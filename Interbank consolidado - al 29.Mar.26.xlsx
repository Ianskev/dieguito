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S 2,007\Informe a Bancos\Interbank\"/>
    </mc:Choice>
  </mc:AlternateContent>
  <xr:revisionPtr revIDLastSave="0" documentId="8_{AFA3F3CC-67C3-42C2-9BA1-45CCDA3454B4}" xr6:coauthVersionLast="47" xr6:coauthVersionMax="47" xr10:uidLastSave="{00000000-0000-0000-0000-000000000000}"/>
  <bookViews>
    <workbookView xWindow="-108" yWindow="-108" windowWidth="23256" windowHeight="12456" tabRatio="792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14" r:id="rId4"/>
    <sheet name="Amex - mov x medio de tx" sheetId="13" r:id="rId5"/>
    <sheet name="Visa - txs x medio de tx" sheetId="11" r:id="rId6"/>
    <sheet name="Visa - imp x medio de tx" sheetId="12" r:id="rId7"/>
    <sheet name="Giro Crédito Visa" sheetId="5" r:id="rId8"/>
    <sheet name="Giro Débito Visa" sheetId="6" r:id="rId9"/>
    <sheet name="Giro Crédito Amex" sheetId="7" r:id="rId10"/>
    <sheet name="Giro Crédito MC" sheetId="8" r:id="rId11"/>
    <sheet name="Detalle Créd Visa" sheetId="9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10" i="9" l="1"/>
  <c r="AQ110" i="9" s="1"/>
  <c r="AC110" i="9"/>
  <c r="AB110" i="9"/>
  <c r="AA110" i="9"/>
  <c r="Z110" i="9"/>
  <c r="Y110" i="9"/>
  <c r="X110" i="9"/>
  <c r="W110" i="9"/>
  <c r="V110" i="9"/>
  <c r="U110" i="9"/>
  <c r="T110" i="9"/>
  <c r="S110" i="9"/>
  <c r="Q110" i="9"/>
  <c r="P110" i="9"/>
  <c r="AP110" i="9" s="1"/>
  <c r="O110" i="9"/>
  <c r="AO110" i="9" s="1"/>
  <c r="N110" i="9"/>
  <c r="AN110" i="9" s="1"/>
  <c r="M110" i="9"/>
  <c r="AM110" i="9" s="1"/>
  <c r="L110" i="9"/>
  <c r="AL110" i="9" s="1"/>
  <c r="K110" i="9"/>
  <c r="AK110" i="9" s="1"/>
  <c r="J110" i="9"/>
  <c r="AJ110" i="9" s="1"/>
  <c r="I110" i="9"/>
  <c r="AI110" i="9" s="1"/>
  <c r="H110" i="9"/>
  <c r="G110" i="9"/>
  <c r="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L88" i="9"/>
  <c r="AK88" i="9"/>
  <c r="AJ88" i="9"/>
  <c r="AI88" i="9"/>
  <c r="AD88" i="9"/>
  <c r="AC88" i="9"/>
  <c r="AB88" i="9"/>
  <c r="AA88" i="9"/>
  <c r="Z88" i="9"/>
  <c r="Y88" i="9"/>
  <c r="X88" i="9"/>
  <c r="W88" i="9"/>
  <c r="V88" i="9"/>
  <c r="U88" i="9"/>
  <c r="T88" i="9"/>
  <c r="S88" i="9"/>
  <c r="Q88" i="9"/>
  <c r="AQ88" i="9" s="1"/>
  <c r="P88" i="9"/>
  <c r="AP88" i="9" s="1"/>
  <c r="O88" i="9"/>
  <c r="AO88" i="9" s="1"/>
  <c r="N88" i="9"/>
  <c r="AN88" i="9" s="1"/>
  <c r="M88" i="9"/>
  <c r="AM88" i="9" s="1"/>
  <c r="L88" i="9"/>
  <c r="K88" i="9"/>
  <c r="J88" i="9"/>
  <c r="I88" i="9"/>
  <c r="H88" i="9"/>
  <c r="G88" i="9"/>
  <c r="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P66" i="9"/>
  <c r="AO66" i="9"/>
  <c r="AN66" i="9"/>
  <c r="AM66" i="9"/>
  <c r="AL66" i="9"/>
  <c r="AK66" i="9"/>
  <c r="AJ66" i="9"/>
  <c r="AD66" i="9"/>
  <c r="AC66" i="9"/>
  <c r="AB66" i="9"/>
  <c r="AA66" i="9"/>
  <c r="Z66" i="9"/>
  <c r="Y66" i="9"/>
  <c r="X66" i="9"/>
  <c r="W66" i="9"/>
  <c r="V66" i="9"/>
  <c r="AI66" i="9" s="1"/>
  <c r="U66" i="9"/>
  <c r="T66" i="9"/>
  <c r="S66" i="9"/>
  <c r="Q66" i="9"/>
  <c r="AQ66" i="9" s="1"/>
  <c r="P66" i="9"/>
  <c r="O66" i="9"/>
  <c r="N66" i="9"/>
  <c r="M66" i="9"/>
  <c r="L66" i="9"/>
  <c r="K66" i="9"/>
  <c r="J66" i="9"/>
  <c r="I66" i="9"/>
  <c r="H66" i="9"/>
  <c r="G66" i="9"/>
  <c r="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D45" i="9"/>
  <c r="AQ45" i="9" s="1"/>
  <c r="AC45" i="9"/>
  <c r="AB45" i="9"/>
  <c r="AA45" i="9"/>
  <c r="Z45" i="9"/>
  <c r="Y45" i="9"/>
  <c r="X45" i="9"/>
  <c r="W45" i="9"/>
  <c r="V45" i="9"/>
  <c r="U45" i="9"/>
  <c r="T45" i="9"/>
  <c r="S45" i="9"/>
  <c r="Q45" i="9"/>
  <c r="P45" i="9"/>
  <c r="AP45" i="9" s="1"/>
  <c r="O45" i="9"/>
  <c r="AO45" i="9" s="1"/>
  <c r="N45" i="9"/>
  <c r="AN45" i="9" s="1"/>
  <c r="M45" i="9"/>
  <c r="AM45" i="9" s="1"/>
  <c r="L45" i="9"/>
  <c r="AL45" i="9" s="1"/>
  <c r="K45" i="9"/>
  <c r="AK45" i="9" s="1"/>
  <c r="J45" i="9"/>
  <c r="AJ45" i="9" s="1"/>
  <c r="I45" i="9"/>
  <c r="AI45" i="9" s="1"/>
  <c r="H45" i="9"/>
  <c r="G45" i="9"/>
  <c r="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P24" i="9"/>
  <c r="AO24" i="9"/>
  <c r="AN24" i="9"/>
  <c r="AM24" i="9"/>
  <c r="AL24" i="9"/>
  <c r="AK24" i="9"/>
  <c r="AJ24" i="9"/>
  <c r="AD24" i="9"/>
  <c r="AC24" i="9"/>
  <c r="AB24" i="9"/>
  <c r="AA24" i="9"/>
  <c r="Z24" i="9"/>
  <c r="Y24" i="9"/>
  <c r="X24" i="9"/>
  <c r="W24" i="9"/>
  <c r="V24" i="9"/>
  <c r="AI24" i="9" s="1"/>
  <c r="U24" i="9"/>
  <c r="T24" i="9"/>
  <c r="S24" i="9"/>
  <c r="Q24" i="9"/>
  <c r="AQ24" i="9" s="1"/>
  <c r="P24" i="9"/>
  <c r="O24" i="9"/>
  <c r="N24" i="9"/>
  <c r="M24" i="9"/>
  <c r="L24" i="9"/>
  <c r="K24" i="9"/>
  <c r="J24" i="9"/>
  <c r="I24" i="9"/>
  <c r="H24" i="9"/>
  <c r="G24" i="9"/>
  <c r="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C236" i="8"/>
  <c r="AB236" i="8"/>
  <c r="AA236" i="8"/>
  <c r="Z236" i="8"/>
  <c r="Y236" i="8"/>
  <c r="X236" i="8"/>
  <c r="W236" i="8"/>
  <c r="V236" i="8"/>
  <c r="U236" i="8"/>
  <c r="T236" i="8"/>
  <c r="S236" i="8"/>
  <c r="R236" i="8"/>
  <c r="O236" i="8"/>
  <c r="N236" i="8"/>
  <c r="M236" i="8"/>
  <c r="L236" i="8"/>
  <c r="K236" i="8"/>
  <c r="J236" i="8"/>
  <c r="I236" i="8"/>
  <c r="H236" i="8"/>
  <c r="G236" i="8"/>
  <c r="F236" i="8"/>
  <c r="E236" i="8"/>
  <c r="AD235" i="8"/>
  <c r="P235" i="8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203" i="8"/>
  <c r="P203" i="8"/>
  <c r="AD202" i="8"/>
  <c r="P202" i="8"/>
  <c r="AD201" i="8"/>
  <c r="P201" i="8"/>
  <c r="AD200" i="8"/>
  <c r="P200" i="8"/>
  <c r="AD199" i="8"/>
  <c r="P199" i="8"/>
  <c r="AD198" i="8"/>
  <c r="P198" i="8"/>
  <c r="AD197" i="8"/>
  <c r="P197" i="8"/>
  <c r="AD196" i="8"/>
  <c r="P196" i="8"/>
  <c r="AD195" i="8"/>
  <c r="P195" i="8"/>
  <c r="AD194" i="8"/>
  <c r="P194" i="8"/>
  <c r="AD193" i="8"/>
  <c r="P193" i="8"/>
  <c r="AD192" i="8"/>
  <c r="P192" i="8"/>
  <c r="AD191" i="8"/>
  <c r="P191" i="8"/>
  <c r="AD190" i="8"/>
  <c r="P190" i="8"/>
  <c r="AD189" i="8"/>
  <c r="P189" i="8"/>
  <c r="AD188" i="8"/>
  <c r="P188" i="8"/>
  <c r="AD187" i="8"/>
  <c r="P187" i="8"/>
  <c r="AD186" i="8"/>
  <c r="P186" i="8"/>
  <c r="AD185" i="8"/>
  <c r="P185" i="8"/>
  <c r="AD184" i="8"/>
  <c r="P184" i="8"/>
  <c r="AD183" i="8"/>
  <c r="P183" i="8"/>
  <c r="AD182" i="8"/>
  <c r="P182" i="8"/>
  <c r="AD181" i="8"/>
  <c r="P181" i="8"/>
  <c r="AD180" i="8"/>
  <c r="P180" i="8"/>
  <c r="AD179" i="8"/>
  <c r="P179" i="8"/>
  <c r="AD178" i="8"/>
  <c r="P178" i="8"/>
  <c r="AD177" i="8"/>
  <c r="P177" i="8"/>
  <c r="AD176" i="8"/>
  <c r="P176" i="8"/>
  <c r="AD175" i="8"/>
  <c r="P175" i="8"/>
  <c r="AD174" i="8"/>
  <c r="P174" i="8"/>
  <c r="AD173" i="8"/>
  <c r="P173" i="8"/>
  <c r="AD172" i="8"/>
  <c r="P172" i="8"/>
  <c r="AD171" i="8"/>
  <c r="P171" i="8"/>
  <c r="AD170" i="8"/>
  <c r="P170" i="8"/>
  <c r="AD169" i="8"/>
  <c r="P169" i="8"/>
  <c r="AD168" i="8"/>
  <c r="P168" i="8"/>
  <c r="AD167" i="8"/>
  <c r="P167" i="8"/>
  <c r="AD166" i="8"/>
  <c r="P166" i="8"/>
  <c r="AD165" i="8"/>
  <c r="P165" i="8"/>
  <c r="AD164" i="8"/>
  <c r="P164" i="8"/>
  <c r="AD163" i="8"/>
  <c r="P163" i="8"/>
  <c r="AD162" i="8"/>
  <c r="P162" i="8"/>
  <c r="AD161" i="8"/>
  <c r="P161" i="8"/>
  <c r="AD160" i="8"/>
  <c r="P160" i="8"/>
  <c r="AD159" i="8"/>
  <c r="P159" i="8"/>
  <c r="AD158" i="8"/>
  <c r="P158" i="8"/>
  <c r="AD157" i="8"/>
  <c r="P157" i="8"/>
  <c r="AD156" i="8"/>
  <c r="P156" i="8"/>
  <c r="AD155" i="8"/>
  <c r="P155" i="8"/>
  <c r="AD154" i="8"/>
  <c r="P154" i="8"/>
  <c r="AD153" i="8"/>
  <c r="P153" i="8"/>
  <c r="AD152" i="8"/>
  <c r="P152" i="8"/>
  <c r="AD151" i="8"/>
  <c r="P151" i="8"/>
  <c r="AD150" i="8"/>
  <c r="P150" i="8"/>
  <c r="AD149" i="8"/>
  <c r="P149" i="8"/>
  <c r="AD148" i="8"/>
  <c r="P148" i="8"/>
  <c r="AD147" i="8"/>
  <c r="P147" i="8"/>
  <c r="AD146" i="8"/>
  <c r="P146" i="8"/>
  <c r="AD145" i="8"/>
  <c r="P145" i="8"/>
  <c r="AD144" i="8"/>
  <c r="P144" i="8"/>
  <c r="AD143" i="8"/>
  <c r="P143" i="8"/>
  <c r="AD142" i="8"/>
  <c r="P142" i="8"/>
  <c r="AD141" i="8"/>
  <c r="P141" i="8"/>
  <c r="AD140" i="8"/>
  <c r="P140" i="8"/>
  <c r="AD139" i="8"/>
  <c r="P139" i="8"/>
  <c r="AD138" i="8"/>
  <c r="P138" i="8"/>
  <c r="AD137" i="8"/>
  <c r="P137" i="8"/>
  <c r="AD136" i="8"/>
  <c r="P136" i="8"/>
  <c r="AD135" i="8"/>
  <c r="P135" i="8"/>
  <c r="AD134" i="8"/>
  <c r="P134" i="8"/>
  <c r="AD133" i="8"/>
  <c r="P133" i="8"/>
  <c r="AD132" i="8"/>
  <c r="P132" i="8"/>
  <c r="AD131" i="8"/>
  <c r="P131" i="8"/>
  <c r="AD130" i="8"/>
  <c r="P130" i="8"/>
  <c r="AD129" i="8"/>
  <c r="P129" i="8"/>
  <c r="AD128" i="8"/>
  <c r="P128" i="8"/>
  <c r="AD127" i="8"/>
  <c r="P127" i="8"/>
  <c r="AD126" i="8"/>
  <c r="P126" i="8"/>
  <c r="AD125" i="8"/>
  <c r="P125" i="8"/>
  <c r="AD124" i="8"/>
  <c r="P124" i="8"/>
  <c r="AD123" i="8"/>
  <c r="P123" i="8"/>
  <c r="AD122" i="8"/>
  <c r="P122" i="8"/>
  <c r="AD121" i="8"/>
  <c r="P121" i="8"/>
  <c r="AD120" i="8"/>
  <c r="P120" i="8"/>
  <c r="AD119" i="8"/>
  <c r="P119" i="8"/>
  <c r="AD118" i="8"/>
  <c r="P118" i="8"/>
  <c r="AD117" i="8"/>
  <c r="P117" i="8"/>
  <c r="AD116" i="8"/>
  <c r="P116" i="8"/>
  <c r="AD115" i="8"/>
  <c r="P115" i="8"/>
  <c r="AD114" i="8"/>
  <c r="P114" i="8"/>
  <c r="AD113" i="8"/>
  <c r="P113" i="8"/>
  <c r="AD112" i="8"/>
  <c r="P112" i="8"/>
  <c r="AD111" i="8"/>
  <c r="P111" i="8"/>
  <c r="AD110" i="8"/>
  <c r="P110" i="8"/>
  <c r="AD109" i="8"/>
  <c r="P109" i="8"/>
  <c r="AD108" i="8"/>
  <c r="P108" i="8"/>
  <c r="AD107" i="8"/>
  <c r="P107" i="8"/>
  <c r="AD106" i="8"/>
  <c r="P106" i="8"/>
  <c r="AD105" i="8"/>
  <c r="P105" i="8"/>
  <c r="AD104" i="8"/>
  <c r="P104" i="8"/>
  <c r="AD103" i="8"/>
  <c r="P103" i="8"/>
  <c r="AD102" i="8"/>
  <c r="P102" i="8"/>
  <c r="AD101" i="8"/>
  <c r="P101" i="8"/>
  <c r="AD100" i="8"/>
  <c r="P100" i="8"/>
  <c r="AD99" i="8"/>
  <c r="P99" i="8"/>
  <c r="AD98" i="8"/>
  <c r="P98" i="8"/>
  <c r="AD97" i="8"/>
  <c r="P97" i="8"/>
  <c r="AD96" i="8"/>
  <c r="P96" i="8"/>
  <c r="AD95" i="8"/>
  <c r="P95" i="8"/>
  <c r="AD94" i="8"/>
  <c r="P94" i="8"/>
  <c r="AD93" i="8"/>
  <c r="P93" i="8"/>
  <c r="AD92" i="8"/>
  <c r="P92" i="8"/>
  <c r="AD91" i="8"/>
  <c r="P91" i="8"/>
  <c r="AD90" i="8"/>
  <c r="P90" i="8"/>
  <c r="AD89" i="8"/>
  <c r="P89" i="8"/>
  <c r="AD88" i="8"/>
  <c r="P88" i="8"/>
  <c r="AD87" i="8"/>
  <c r="P87" i="8"/>
  <c r="AD86" i="8"/>
  <c r="P86" i="8"/>
  <c r="AD85" i="8"/>
  <c r="P85" i="8"/>
  <c r="AD84" i="8"/>
  <c r="P84" i="8"/>
  <c r="AD83" i="8"/>
  <c r="P83" i="8"/>
  <c r="AD82" i="8"/>
  <c r="P82" i="8"/>
  <c r="AD81" i="8"/>
  <c r="P81" i="8"/>
  <c r="AD80" i="8"/>
  <c r="P80" i="8"/>
  <c r="AD79" i="8"/>
  <c r="P79" i="8"/>
  <c r="AD78" i="8"/>
  <c r="P78" i="8"/>
  <c r="AD77" i="8"/>
  <c r="P77" i="8"/>
  <c r="AD76" i="8"/>
  <c r="P76" i="8"/>
  <c r="AD75" i="8"/>
  <c r="P75" i="8"/>
  <c r="AD74" i="8"/>
  <c r="P74" i="8"/>
  <c r="AD73" i="8"/>
  <c r="P73" i="8"/>
  <c r="AD72" i="8"/>
  <c r="P72" i="8"/>
  <c r="AD71" i="8"/>
  <c r="P71" i="8"/>
  <c r="AD70" i="8"/>
  <c r="P70" i="8"/>
  <c r="AD69" i="8"/>
  <c r="P69" i="8"/>
  <c r="AD68" i="8"/>
  <c r="P68" i="8"/>
  <c r="AD67" i="8"/>
  <c r="P67" i="8"/>
  <c r="AD66" i="8"/>
  <c r="P66" i="8"/>
  <c r="AD65" i="8"/>
  <c r="P65" i="8"/>
  <c r="AD64" i="8"/>
  <c r="P64" i="8"/>
  <c r="AD63" i="8"/>
  <c r="P63" i="8"/>
  <c r="AD62" i="8"/>
  <c r="P62" i="8"/>
  <c r="AD61" i="8"/>
  <c r="P61" i="8"/>
  <c r="AD60" i="8"/>
  <c r="P60" i="8"/>
  <c r="AD59" i="8"/>
  <c r="P59" i="8"/>
  <c r="AD58" i="8"/>
  <c r="P58" i="8"/>
  <c r="AD57" i="8"/>
  <c r="P57" i="8"/>
  <c r="AD56" i="8"/>
  <c r="P56" i="8"/>
  <c r="AD55" i="8"/>
  <c r="P55" i="8"/>
  <c r="AD54" i="8"/>
  <c r="P54" i="8"/>
  <c r="AD53" i="8"/>
  <c r="P53" i="8"/>
  <c r="AD52" i="8"/>
  <c r="P52" i="8"/>
  <c r="AD51" i="8"/>
  <c r="P51" i="8"/>
  <c r="AD50" i="8"/>
  <c r="P50" i="8"/>
  <c r="AD49" i="8"/>
  <c r="P49" i="8"/>
  <c r="AD48" i="8"/>
  <c r="P48" i="8"/>
  <c r="AD47" i="8"/>
  <c r="P47" i="8"/>
  <c r="AD46" i="8"/>
  <c r="P46" i="8"/>
  <c r="AD45" i="8"/>
  <c r="P45" i="8"/>
  <c r="AD44" i="8"/>
  <c r="P44" i="8"/>
  <c r="AD43" i="8"/>
  <c r="P43" i="8"/>
  <c r="AD42" i="8"/>
  <c r="P42" i="8"/>
  <c r="AD41" i="8"/>
  <c r="P41" i="8"/>
  <c r="AD40" i="8"/>
  <c r="P40" i="8"/>
  <c r="AD39" i="8"/>
  <c r="P39" i="8"/>
  <c r="AD38" i="8"/>
  <c r="P38" i="8"/>
  <c r="AD37" i="8"/>
  <c r="P37" i="8"/>
  <c r="AD36" i="8"/>
  <c r="P36" i="8"/>
  <c r="AD35" i="8"/>
  <c r="P35" i="8"/>
  <c r="AD34" i="8"/>
  <c r="P34" i="8"/>
  <c r="AD33" i="8"/>
  <c r="P33" i="8"/>
  <c r="AD32" i="8"/>
  <c r="P32" i="8"/>
  <c r="AD31" i="8"/>
  <c r="P31" i="8"/>
  <c r="AD30" i="8"/>
  <c r="P30" i="8"/>
  <c r="AD29" i="8"/>
  <c r="P29" i="8"/>
  <c r="AD28" i="8"/>
  <c r="P28" i="8"/>
  <c r="AD27" i="8"/>
  <c r="P27" i="8"/>
  <c r="AD26" i="8"/>
  <c r="P26" i="8"/>
  <c r="AD25" i="8"/>
  <c r="P25" i="8"/>
  <c r="AD24" i="8"/>
  <c r="P24" i="8"/>
  <c r="AD23" i="8"/>
  <c r="P23" i="8"/>
  <c r="AD22" i="8"/>
  <c r="P22" i="8"/>
  <c r="AD21" i="8"/>
  <c r="P21" i="8"/>
  <c r="AD20" i="8"/>
  <c r="P20" i="8"/>
  <c r="AD19" i="8"/>
  <c r="P19" i="8"/>
  <c r="AD18" i="8"/>
  <c r="P18" i="8"/>
  <c r="AD17" i="8"/>
  <c r="P17" i="8"/>
  <c r="AD16" i="8"/>
  <c r="P16" i="8"/>
  <c r="AD15" i="8"/>
  <c r="P15" i="8"/>
  <c r="AD14" i="8"/>
  <c r="P14" i="8"/>
  <c r="AD13" i="8"/>
  <c r="P13" i="8"/>
  <c r="AD12" i="8"/>
  <c r="P12" i="8"/>
  <c r="AD11" i="8"/>
  <c r="P11" i="8"/>
  <c r="AD10" i="8"/>
  <c r="P10" i="8"/>
  <c r="AD9" i="8"/>
  <c r="P9" i="8"/>
  <c r="AD8" i="8"/>
  <c r="P8" i="8"/>
  <c r="AD7" i="8"/>
  <c r="P7" i="8"/>
  <c r="AD6" i="8"/>
  <c r="P6" i="8"/>
  <c r="AD5" i="8"/>
  <c r="P5" i="8"/>
  <c r="AT257" i="7"/>
  <c r="AI257" i="7"/>
  <c r="AC257" i="7"/>
  <c r="AB257" i="7"/>
  <c r="AA257" i="7"/>
  <c r="Z257" i="7"/>
  <c r="Y257" i="7"/>
  <c r="AM257" i="7" s="1"/>
  <c r="AZ257" i="7" s="1"/>
  <c r="X257" i="7"/>
  <c r="AL257" i="7" s="1"/>
  <c r="AY257" i="7" s="1"/>
  <c r="W257" i="7"/>
  <c r="V257" i="7"/>
  <c r="U257" i="7"/>
  <c r="T257" i="7"/>
  <c r="S257" i="7"/>
  <c r="R257" i="7"/>
  <c r="O257" i="7"/>
  <c r="AQ257" i="7" s="1"/>
  <c r="N257" i="7"/>
  <c r="AP257" i="7" s="1"/>
  <c r="M257" i="7"/>
  <c r="AO257" i="7" s="1"/>
  <c r="L257" i="7"/>
  <c r="K257" i="7"/>
  <c r="J257" i="7"/>
  <c r="I257" i="7"/>
  <c r="AK257" i="7" s="1"/>
  <c r="AX257" i="7" s="1"/>
  <c r="H257" i="7"/>
  <c r="AJ257" i="7" s="1"/>
  <c r="AW257" i="7" s="1"/>
  <c r="G257" i="7"/>
  <c r="F257" i="7"/>
  <c r="E257" i="7"/>
  <c r="D257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D256" i="7"/>
  <c r="P256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D255" i="7"/>
  <c r="P255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D254" i="7"/>
  <c r="P254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D253" i="7"/>
  <c r="P253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D252" i="7"/>
  <c r="P252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D251" i="7"/>
  <c r="P251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D250" i="7"/>
  <c r="P250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D249" i="7"/>
  <c r="P249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D248" i="7"/>
  <c r="P248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D247" i="7"/>
  <c r="P247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D246" i="7"/>
  <c r="P246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D245" i="7"/>
  <c r="P245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D244" i="7"/>
  <c r="P244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D243" i="7"/>
  <c r="P243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D242" i="7"/>
  <c r="P242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D241" i="7"/>
  <c r="P241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D240" i="7"/>
  <c r="P240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D239" i="7"/>
  <c r="P239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D238" i="7"/>
  <c r="P238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D237" i="7"/>
  <c r="P237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D236" i="7"/>
  <c r="P236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D235" i="7"/>
  <c r="P235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D234" i="7"/>
  <c r="P234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D233" i="7"/>
  <c r="P233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D232" i="7"/>
  <c r="P232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D231" i="7"/>
  <c r="P231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D230" i="7"/>
  <c r="P230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D229" i="7"/>
  <c r="P229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D228" i="7"/>
  <c r="P228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D227" i="7"/>
  <c r="P227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D226" i="7"/>
  <c r="P226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D225" i="7"/>
  <c r="P225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D224" i="7"/>
  <c r="P224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D223" i="7"/>
  <c r="P223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D222" i="7"/>
  <c r="P222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D221" i="7"/>
  <c r="P221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D220" i="7"/>
  <c r="P220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D219" i="7"/>
  <c r="P219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D218" i="7"/>
  <c r="P218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D217" i="7"/>
  <c r="P217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D216" i="7"/>
  <c r="P216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D215" i="7"/>
  <c r="P215" i="7"/>
  <c r="BD214" i="7"/>
  <c r="AY214" i="7"/>
  <c r="AX214" i="7"/>
  <c r="AW214" i="7"/>
  <c r="AU214" i="7"/>
  <c r="AT214" i="7"/>
  <c r="AQ214" i="7"/>
  <c r="AP214" i="7"/>
  <c r="BC214" i="7" s="1"/>
  <c r="AO214" i="7"/>
  <c r="AN214" i="7"/>
  <c r="AM214" i="7"/>
  <c r="AZ214" i="7" s="1"/>
  <c r="AL214" i="7"/>
  <c r="AK214" i="7"/>
  <c r="AJ214" i="7"/>
  <c r="AI214" i="7"/>
  <c r="AH214" i="7"/>
  <c r="AV214" i="7" s="1"/>
  <c r="AG214" i="7"/>
  <c r="AF214" i="7"/>
  <c r="AD214" i="7"/>
  <c r="P214" i="7"/>
  <c r="BD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D213" i="7"/>
  <c r="P213" i="7"/>
  <c r="AW212" i="7"/>
  <c r="AQ212" i="7"/>
  <c r="AP212" i="7"/>
  <c r="AO212" i="7"/>
  <c r="AN212" i="7"/>
  <c r="AU212" i="7" s="1"/>
  <c r="AM212" i="7"/>
  <c r="AL212" i="7"/>
  <c r="AK212" i="7"/>
  <c r="AX212" i="7" s="1"/>
  <c r="AJ212" i="7"/>
  <c r="AI212" i="7"/>
  <c r="AH212" i="7"/>
  <c r="AV212" i="7" s="1"/>
  <c r="AG212" i="7"/>
  <c r="AF212" i="7"/>
  <c r="AD212" i="7"/>
  <c r="P212" i="7"/>
  <c r="BD211" i="7"/>
  <c r="BC211" i="7"/>
  <c r="BB211" i="7"/>
  <c r="BA211" i="7"/>
  <c r="AZ211" i="7"/>
  <c r="AY211" i="7"/>
  <c r="AX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D211" i="7"/>
  <c r="P211" i="7"/>
  <c r="BD210" i="7"/>
  <c r="BC210" i="7"/>
  <c r="BB210" i="7"/>
  <c r="AX210" i="7"/>
  <c r="AW210" i="7"/>
  <c r="AU210" i="7"/>
  <c r="AQ210" i="7"/>
  <c r="AP210" i="7"/>
  <c r="AO210" i="7"/>
  <c r="AN210" i="7"/>
  <c r="AM210" i="7"/>
  <c r="AL210" i="7"/>
  <c r="AY210" i="7" s="1"/>
  <c r="AK210" i="7"/>
  <c r="AJ210" i="7"/>
  <c r="AI210" i="7"/>
  <c r="AH210" i="7"/>
  <c r="AV210" i="7" s="1"/>
  <c r="AG210" i="7"/>
  <c r="AF210" i="7"/>
  <c r="AD210" i="7"/>
  <c r="P210" i="7"/>
  <c r="BA209" i="7"/>
  <c r="AZ209" i="7"/>
  <c r="AY209" i="7"/>
  <c r="AX209" i="7"/>
  <c r="AU209" i="7"/>
  <c r="AT209" i="7"/>
  <c r="AQ209" i="7"/>
  <c r="AP209" i="7"/>
  <c r="AO209" i="7"/>
  <c r="BB209" i="7" s="1"/>
  <c r="AN209" i="7"/>
  <c r="AM209" i="7"/>
  <c r="AL209" i="7"/>
  <c r="AK209" i="7"/>
  <c r="AJ209" i="7"/>
  <c r="AI209" i="7"/>
  <c r="AH209" i="7"/>
  <c r="AG209" i="7"/>
  <c r="AF209" i="7"/>
  <c r="AD209" i="7"/>
  <c r="P209" i="7"/>
  <c r="AW208" i="7"/>
  <c r="AQ208" i="7"/>
  <c r="BD208" i="7" s="1"/>
  <c r="AP208" i="7"/>
  <c r="AO208" i="7"/>
  <c r="BB208" i="7" s="1"/>
  <c r="AN208" i="7"/>
  <c r="AM208" i="7"/>
  <c r="AL208" i="7"/>
  <c r="AY208" i="7" s="1"/>
  <c r="AK208" i="7"/>
  <c r="AX208" i="7" s="1"/>
  <c r="AJ208" i="7"/>
  <c r="AI208" i="7"/>
  <c r="AH208" i="7"/>
  <c r="AV208" i="7" s="1"/>
  <c r="AG208" i="7"/>
  <c r="AF208" i="7"/>
  <c r="AD208" i="7"/>
  <c r="P208" i="7"/>
  <c r="BD207" i="7"/>
  <c r="BC207" i="7"/>
  <c r="AZ207" i="7"/>
  <c r="AY207" i="7"/>
  <c r="AQ207" i="7"/>
  <c r="AP207" i="7"/>
  <c r="AO207" i="7"/>
  <c r="AN207" i="7"/>
  <c r="AM207" i="7"/>
  <c r="AL207" i="7"/>
  <c r="AK207" i="7"/>
  <c r="AJ207" i="7"/>
  <c r="AW207" i="7" s="1"/>
  <c r="AI207" i="7"/>
  <c r="AH207" i="7"/>
  <c r="AG207" i="7"/>
  <c r="AF207" i="7"/>
  <c r="AD207" i="7"/>
  <c r="P207" i="7"/>
  <c r="BD206" i="7"/>
  <c r="BC206" i="7"/>
  <c r="BB206" i="7"/>
  <c r="AY206" i="7"/>
  <c r="AX206" i="7"/>
  <c r="AW206" i="7"/>
  <c r="AV206" i="7"/>
  <c r="AU206" i="7"/>
  <c r="AT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D206" i="7"/>
  <c r="P206" i="7"/>
  <c r="BA205" i="7"/>
  <c r="AZ205" i="7"/>
  <c r="AY205" i="7"/>
  <c r="AX205" i="7"/>
  <c r="AU205" i="7"/>
  <c r="AT205" i="7"/>
  <c r="AQ205" i="7"/>
  <c r="AP205" i="7"/>
  <c r="AO205" i="7"/>
  <c r="BB205" i="7" s="1"/>
  <c r="AN205" i="7"/>
  <c r="AM205" i="7"/>
  <c r="AL205" i="7"/>
  <c r="AK205" i="7"/>
  <c r="AJ205" i="7"/>
  <c r="AI205" i="7"/>
  <c r="AH205" i="7"/>
  <c r="AG205" i="7"/>
  <c r="AF205" i="7"/>
  <c r="AD205" i="7"/>
  <c r="P205" i="7"/>
  <c r="AW204" i="7"/>
  <c r="AQ204" i="7"/>
  <c r="AP204" i="7"/>
  <c r="AO204" i="7"/>
  <c r="AN204" i="7"/>
  <c r="AM204" i="7"/>
  <c r="AL204" i="7"/>
  <c r="AY204" i="7" s="1"/>
  <c r="AK204" i="7"/>
  <c r="AX204" i="7" s="1"/>
  <c r="AJ204" i="7"/>
  <c r="AI204" i="7"/>
  <c r="AH204" i="7"/>
  <c r="AV204" i="7" s="1"/>
  <c r="AG204" i="7"/>
  <c r="AF204" i="7"/>
  <c r="AD204" i="7"/>
  <c r="P204" i="7"/>
  <c r="BD203" i="7"/>
  <c r="BC203" i="7"/>
  <c r="BB203" i="7"/>
  <c r="BA203" i="7"/>
  <c r="AZ203" i="7"/>
  <c r="AQ203" i="7"/>
  <c r="AP203" i="7"/>
  <c r="AO203" i="7"/>
  <c r="AN203" i="7"/>
  <c r="AU203" i="7" s="1"/>
  <c r="AM203" i="7"/>
  <c r="AL203" i="7"/>
  <c r="AK203" i="7"/>
  <c r="AJ203" i="7"/>
  <c r="AI203" i="7"/>
  <c r="AH203" i="7"/>
  <c r="AG203" i="7"/>
  <c r="AF203" i="7"/>
  <c r="AD203" i="7"/>
  <c r="P203" i="7"/>
  <c r="BD202" i="7"/>
  <c r="BC202" i="7"/>
  <c r="BB202" i="7"/>
  <c r="AZ202" i="7"/>
  <c r="AY202" i="7"/>
  <c r="AX202" i="7"/>
  <c r="AW202" i="7"/>
  <c r="AU202" i="7"/>
  <c r="AT202" i="7"/>
  <c r="AQ202" i="7"/>
  <c r="AP202" i="7"/>
  <c r="AO202" i="7"/>
  <c r="AN202" i="7"/>
  <c r="AM202" i="7"/>
  <c r="BA202" i="7" s="1"/>
  <c r="AL202" i="7"/>
  <c r="AK202" i="7"/>
  <c r="AJ202" i="7"/>
  <c r="AI202" i="7"/>
  <c r="AH202" i="7"/>
  <c r="AV202" i="7" s="1"/>
  <c r="AG202" i="7"/>
  <c r="AF202" i="7"/>
  <c r="AD202" i="7"/>
  <c r="P202" i="7"/>
  <c r="BA201" i="7"/>
  <c r="AZ201" i="7"/>
  <c r="AY201" i="7"/>
  <c r="AX201" i="7"/>
  <c r="AW201" i="7"/>
  <c r="AU201" i="7"/>
  <c r="AT201" i="7"/>
  <c r="AQ201" i="7"/>
  <c r="AP201" i="7"/>
  <c r="BC201" i="7" s="1"/>
  <c r="AO201" i="7"/>
  <c r="BB201" i="7" s="1"/>
  <c r="AN201" i="7"/>
  <c r="AM201" i="7"/>
  <c r="AL201" i="7"/>
  <c r="AK201" i="7"/>
  <c r="AJ201" i="7"/>
  <c r="AI201" i="7"/>
  <c r="AH201" i="7"/>
  <c r="AG201" i="7"/>
  <c r="AF201" i="7"/>
  <c r="AD201" i="7"/>
  <c r="P201" i="7"/>
  <c r="BC200" i="7"/>
  <c r="BB200" i="7"/>
  <c r="AW200" i="7"/>
  <c r="AT200" i="7"/>
  <c r="AQ200" i="7"/>
  <c r="BD200" i="7" s="1"/>
  <c r="AP200" i="7"/>
  <c r="AO200" i="7"/>
  <c r="AN200" i="7"/>
  <c r="AM200" i="7"/>
  <c r="AZ200" i="7" s="1"/>
  <c r="AL200" i="7"/>
  <c r="AK200" i="7"/>
  <c r="AX200" i="7" s="1"/>
  <c r="AJ200" i="7"/>
  <c r="AI200" i="7"/>
  <c r="AH200" i="7"/>
  <c r="AV200" i="7" s="1"/>
  <c r="AG200" i="7"/>
  <c r="AF200" i="7"/>
  <c r="AD200" i="7"/>
  <c r="P200" i="7"/>
  <c r="AQ199" i="7"/>
  <c r="AP199" i="7"/>
  <c r="AO199" i="7"/>
  <c r="AN199" i="7"/>
  <c r="AM199" i="7"/>
  <c r="AL199" i="7"/>
  <c r="AK199" i="7"/>
  <c r="AJ199" i="7"/>
  <c r="AW199" i="7" s="1"/>
  <c r="AI199" i="7"/>
  <c r="AH199" i="7"/>
  <c r="AG199" i="7"/>
  <c r="AF199" i="7"/>
  <c r="AD199" i="7"/>
  <c r="P199" i="7"/>
  <c r="BD198" i="7"/>
  <c r="BC198" i="7"/>
  <c r="BB198" i="7"/>
  <c r="BA198" i="7"/>
  <c r="AZ198" i="7"/>
  <c r="AY198" i="7"/>
  <c r="AX198" i="7"/>
  <c r="AW198" i="7"/>
  <c r="AU198" i="7"/>
  <c r="AT198" i="7"/>
  <c r="AQ198" i="7"/>
  <c r="AP198" i="7"/>
  <c r="AO198" i="7"/>
  <c r="AN198" i="7"/>
  <c r="AM198" i="7"/>
  <c r="AL198" i="7"/>
  <c r="AK198" i="7"/>
  <c r="AJ198" i="7"/>
  <c r="AI198" i="7"/>
  <c r="AH198" i="7"/>
  <c r="AV198" i="7" s="1"/>
  <c r="AG198" i="7"/>
  <c r="AF198" i="7"/>
  <c r="AD198" i="7"/>
  <c r="P198" i="7"/>
  <c r="BA197" i="7"/>
  <c r="AZ197" i="7"/>
  <c r="AY197" i="7"/>
  <c r="AX197" i="7"/>
  <c r="AU197" i="7"/>
  <c r="AT197" i="7"/>
  <c r="AQ197" i="7"/>
  <c r="AP197" i="7"/>
  <c r="AO197" i="7"/>
  <c r="BB197" i="7" s="1"/>
  <c r="AN197" i="7"/>
  <c r="AM197" i="7"/>
  <c r="AL197" i="7"/>
  <c r="AK197" i="7"/>
  <c r="AJ197" i="7"/>
  <c r="AI197" i="7"/>
  <c r="AH197" i="7"/>
  <c r="AG197" i="7"/>
  <c r="AF197" i="7"/>
  <c r="AD197" i="7"/>
  <c r="P197" i="7"/>
  <c r="AW196" i="7"/>
  <c r="AU196" i="7"/>
  <c r="AT196" i="7"/>
  <c r="AQ196" i="7"/>
  <c r="AP196" i="7"/>
  <c r="AO196" i="7"/>
  <c r="BB196" i="7" s="1"/>
  <c r="AN196" i="7"/>
  <c r="BA196" i="7" s="1"/>
  <c r="AM196" i="7"/>
  <c r="AL196" i="7"/>
  <c r="AK196" i="7"/>
  <c r="AX196" i="7" s="1"/>
  <c r="AJ196" i="7"/>
  <c r="AI196" i="7"/>
  <c r="AH196" i="7"/>
  <c r="AV196" i="7" s="1"/>
  <c r="AG196" i="7"/>
  <c r="AF196" i="7"/>
  <c r="AD196" i="7"/>
  <c r="P196" i="7"/>
  <c r="BD195" i="7"/>
  <c r="AQ195" i="7"/>
  <c r="AP195" i="7"/>
  <c r="AO195" i="7"/>
  <c r="BB195" i="7" s="1"/>
  <c r="AN195" i="7"/>
  <c r="AM195" i="7"/>
  <c r="AL195" i="7"/>
  <c r="AK195" i="7"/>
  <c r="AJ195" i="7"/>
  <c r="AI195" i="7"/>
  <c r="AH195" i="7"/>
  <c r="AG195" i="7"/>
  <c r="AF195" i="7"/>
  <c r="AD195" i="7"/>
  <c r="P195" i="7"/>
  <c r="BD194" i="7"/>
  <c r="BC194" i="7"/>
  <c r="BB194" i="7"/>
  <c r="BA194" i="7"/>
  <c r="AZ194" i="7"/>
  <c r="AY194" i="7"/>
  <c r="AX194" i="7"/>
  <c r="AW194" i="7"/>
  <c r="AU194" i="7"/>
  <c r="AT194" i="7"/>
  <c r="AQ194" i="7"/>
  <c r="AP194" i="7"/>
  <c r="AO194" i="7"/>
  <c r="AN194" i="7"/>
  <c r="AM194" i="7"/>
  <c r="AL194" i="7"/>
  <c r="AK194" i="7"/>
  <c r="AJ194" i="7"/>
  <c r="AI194" i="7"/>
  <c r="AH194" i="7"/>
  <c r="AV194" i="7" s="1"/>
  <c r="AG194" i="7"/>
  <c r="AF194" i="7"/>
  <c r="AD194" i="7"/>
  <c r="P194" i="7"/>
  <c r="BA193" i="7"/>
  <c r="AZ193" i="7"/>
  <c r="AY193" i="7"/>
  <c r="AX193" i="7"/>
  <c r="AU193" i="7"/>
  <c r="AT193" i="7"/>
  <c r="AQ193" i="7"/>
  <c r="AP193" i="7"/>
  <c r="BC193" i="7" s="1"/>
  <c r="AO193" i="7"/>
  <c r="BB193" i="7" s="1"/>
  <c r="AN193" i="7"/>
  <c r="AM193" i="7"/>
  <c r="AL193" i="7"/>
  <c r="AK193" i="7"/>
  <c r="AJ193" i="7"/>
  <c r="AI193" i="7"/>
  <c r="AH193" i="7"/>
  <c r="AG193" i="7"/>
  <c r="AF193" i="7"/>
  <c r="AD193" i="7"/>
  <c r="P193" i="7"/>
  <c r="BD192" i="7"/>
  <c r="BB192" i="7"/>
  <c r="AW192" i="7"/>
  <c r="AU192" i="7"/>
  <c r="AT192" i="7"/>
  <c r="AQ192" i="7"/>
  <c r="AP192" i="7"/>
  <c r="BC192" i="7" s="1"/>
  <c r="AO192" i="7"/>
  <c r="AN192" i="7"/>
  <c r="AM192" i="7"/>
  <c r="AL192" i="7"/>
  <c r="AK192" i="7"/>
  <c r="AX192" i="7" s="1"/>
  <c r="AJ192" i="7"/>
  <c r="AI192" i="7"/>
  <c r="AH192" i="7"/>
  <c r="AV192" i="7" s="1"/>
  <c r="AG192" i="7"/>
  <c r="AF192" i="7"/>
  <c r="AD192" i="7"/>
  <c r="P192" i="7"/>
  <c r="AQ191" i="7"/>
  <c r="AP191" i="7"/>
  <c r="AO191" i="7"/>
  <c r="AN191" i="7"/>
  <c r="AM191" i="7"/>
  <c r="AL191" i="7"/>
  <c r="AY191" i="7" s="1"/>
  <c r="AK191" i="7"/>
  <c r="AJ191" i="7"/>
  <c r="AW191" i="7" s="1"/>
  <c r="AI191" i="7"/>
  <c r="AH191" i="7"/>
  <c r="AG191" i="7"/>
  <c r="AF191" i="7"/>
  <c r="AD191" i="7"/>
  <c r="P191" i="7"/>
  <c r="BD190" i="7"/>
  <c r="BC190" i="7"/>
  <c r="BB190" i="7"/>
  <c r="BA190" i="7"/>
  <c r="AZ190" i="7"/>
  <c r="AY190" i="7"/>
  <c r="AX190" i="7"/>
  <c r="AW190" i="7"/>
  <c r="AU190" i="7"/>
  <c r="AT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D190" i="7"/>
  <c r="P190" i="7"/>
  <c r="BA189" i="7"/>
  <c r="AZ189" i="7"/>
  <c r="AY189" i="7"/>
  <c r="AX189" i="7"/>
  <c r="AU189" i="7"/>
  <c r="AT189" i="7"/>
  <c r="AQ189" i="7"/>
  <c r="AP189" i="7"/>
  <c r="AO189" i="7"/>
  <c r="BB189" i="7" s="1"/>
  <c r="AN189" i="7"/>
  <c r="AM189" i="7"/>
  <c r="AL189" i="7"/>
  <c r="AK189" i="7"/>
  <c r="AJ189" i="7"/>
  <c r="AI189" i="7"/>
  <c r="AH189" i="7"/>
  <c r="AG189" i="7"/>
  <c r="AF189" i="7"/>
  <c r="AD189" i="7"/>
  <c r="P189" i="7"/>
  <c r="BD188" i="7"/>
  <c r="BC188" i="7"/>
  <c r="BB188" i="7"/>
  <c r="AW188" i="7"/>
  <c r="AU188" i="7"/>
  <c r="AT188" i="7"/>
  <c r="AQ188" i="7"/>
  <c r="AP188" i="7"/>
  <c r="AO188" i="7"/>
  <c r="AN188" i="7"/>
  <c r="AM188" i="7"/>
  <c r="AL188" i="7"/>
  <c r="AK188" i="7"/>
  <c r="AX188" i="7" s="1"/>
  <c r="AJ188" i="7"/>
  <c r="AI188" i="7"/>
  <c r="AH188" i="7"/>
  <c r="AV188" i="7" s="1"/>
  <c r="AG188" i="7"/>
  <c r="AF188" i="7"/>
  <c r="AD188" i="7"/>
  <c r="P188" i="7"/>
  <c r="AQ187" i="7"/>
  <c r="AP187" i="7"/>
  <c r="AO187" i="7"/>
  <c r="AN187" i="7"/>
  <c r="AM187" i="7"/>
  <c r="AL187" i="7"/>
  <c r="AY187" i="7" s="1"/>
  <c r="AK187" i="7"/>
  <c r="AX187" i="7" s="1"/>
  <c r="AJ187" i="7"/>
  <c r="AI187" i="7"/>
  <c r="AH187" i="7"/>
  <c r="AG187" i="7"/>
  <c r="AF187" i="7"/>
  <c r="AD187" i="7"/>
  <c r="P187" i="7"/>
  <c r="BD186" i="7"/>
  <c r="BC186" i="7"/>
  <c r="BB186" i="7"/>
  <c r="BA186" i="7"/>
  <c r="AZ186" i="7"/>
  <c r="AY186" i="7"/>
  <c r="AX186" i="7"/>
  <c r="AU186" i="7"/>
  <c r="AT186" i="7"/>
  <c r="AQ186" i="7"/>
  <c r="AP186" i="7"/>
  <c r="AO186" i="7"/>
  <c r="AN186" i="7"/>
  <c r="AM186" i="7"/>
  <c r="AL186" i="7"/>
  <c r="AK186" i="7"/>
  <c r="AJ186" i="7"/>
  <c r="AI186" i="7"/>
  <c r="AW186" i="7" s="1"/>
  <c r="AH186" i="7"/>
  <c r="AG186" i="7"/>
  <c r="AF186" i="7"/>
  <c r="AD186" i="7"/>
  <c r="P186" i="7"/>
  <c r="BA185" i="7"/>
  <c r="AZ185" i="7"/>
  <c r="AY185" i="7"/>
  <c r="AX185" i="7"/>
  <c r="AU185" i="7"/>
  <c r="AT185" i="7"/>
  <c r="AQ185" i="7"/>
  <c r="BD185" i="7" s="1"/>
  <c r="AP185" i="7"/>
  <c r="AO185" i="7"/>
  <c r="BB185" i="7" s="1"/>
  <c r="AN185" i="7"/>
  <c r="AM185" i="7"/>
  <c r="AL185" i="7"/>
  <c r="AK185" i="7"/>
  <c r="AJ185" i="7"/>
  <c r="AI185" i="7"/>
  <c r="AW185" i="7" s="1"/>
  <c r="AH185" i="7"/>
  <c r="AG185" i="7"/>
  <c r="AF185" i="7"/>
  <c r="AD185" i="7"/>
  <c r="P185" i="7"/>
  <c r="BD184" i="7"/>
  <c r="BC184" i="7"/>
  <c r="BB184" i="7"/>
  <c r="AW184" i="7"/>
  <c r="AU184" i="7"/>
  <c r="AT184" i="7"/>
  <c r="AQ184" i="7"/>
  <c r="AP184" i="7"/>
  <c r="AO184" i="7"/>
  <c r="AN184" i="7"/>
  <c r="AM184" i="7"/>
  <c r="AL184" i="7"/>
  <c r="AK184" i="7"/>
  <c r="AX184" i="7" s="1"/>
  <c r="AJ184" i="7"/>
  <c r="AI184" i="7"/>
  <c r="AH184" i="7"/>
  <c r="AV184" i="7" s="1"/>
  <c r="AG184" i="7"/>
  <c r="AF184" i="7"/>
  <c r="AD184" i="7"/>
  <c r="P184" i="7"/>
  <c r="AY183" i="7"/>
  <c r="AQ183" i="7"/>
  <c r="AP183" i="7"/>
  <c r="BC183" i="7" s="1"/>
  <c r="AO183" i="7"/>
  <c r="AN183" i="7"/>
  <c r="AM183" i="7"/>
  <c r="AL183" i="7"/>
  <c r="AK183" i="7"/>
  <c r="AJ183" i="7"/>
  <c r="AW183" i="7" s="1"/>
  <c r="AI183" i="7"/>
  <c r="AH183" i="7"/>
  <c r="AG183" i="7"/>
  <c r="AF183" i="7"/>
  <c r="AD183" i="7"/>
  <c r="P183" i="7"/>
  <c r="BD182" i="7"/>
  <c r="BC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D182" i="7"/>
  <c r="P182" i="7"/>
  <c r="BA181" i="7"/>
  <c r="AZ181" i="7"/>
  <c r="AY181" i="7"/>
  <c r="AX181" i="7"/>
  <c r="AW181" i="7"/>
  <c r="AU181" i="7"/>
  <c r="AT181" i="7"/>
  <c r="AQ181" i="7"/>
  <c r="AP181" i="7"/>
  <c r="AO181" i="7"/>
  <c r="BB181" i="7" s="1"/>
  <c r="AN181" i="7"/>
  <c r="AM181" i="7"/>
  <c r="AL181" i="7"/>
  <c r="AK181" i="7"/>
  <c r="AJ181" i="7"/>
  <c r="AI181" i="7"/>
  <c r="AH181" i="7"/>
  <c r="AV181" i="7" s="1"/>
  <c r="AG181" i="7"/>
  <c r="AF181" i="7"/>
  <c r="AD181" i="7"/>
  <c r="P181" i="7"/>
  <c r="BD180" i="7"/>
  <c r="BC180" i="7"/>
  <c r="BB180" i="7"/>
  <c r="AW180" i="7"/>
  <c r="AQ180" i="7"/>
  <c r="AP180" i="7"/>
  <c r="AO180" i="7"/>
  <c r="AN180" i="7"/>
  <c r="AM180" i="7"/>
  <c r="AL180" i="7"/>
  <c r="AK180" i="7"/>
  <c r="AX180" i="7" s="1"/>
  <c r="AJ180" i="7"/>
  <c r="AI180" i="7"/>
  <c r="AH180" i="7"/>
  <c r="AV180" i="7" s="1"/>
  <c r="AG180" i="7"/>
  <c r="AF180" i="7"/>
  <c r="AD180" i="7"/>
  <c r="P180" i="7"/>
  <c r="AY179" i="7"/>
  <c r="AX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D179" i="7"/>
  <c r="P179" i="7"/>
  <c r="BD178" i="7"/>
  <c r="BC178" i="7"/>
  <c r="AZ178" i="7"/>
  <c r="AY178" i="7"/>
  <c r="AQ178" i="7"/>
  <c r="AP178" i="7"/>
  <c r="AO178" i="7"/>
  <c r="AN178" i="7"/>
  <c r="AM178" i="7"/>
  <c r="AL178" i="7"/>
  <c r="AK178" i="7"/>
  <c r="AJ178" i="7"/>
  <c r="AW178" i="7" s="1"/>
  <c r="AI178" i="7"/>
  <c r="AH178" i="7"/>
  <c r="AG178" i="7"/>
  <c r="AF178" i="7"/>
  <c r="AD178" i="7"/>
  <c r="P178" i="7"/>
  <c r="BA177" i="7"/>
  <c r="AZ177" i="7"/>
  <c r="AY177" i="7"/>
  <c r="AX177" i="7"/>
  <c r="AW177" i="7"/>
  <c r="AU177" i="7"/>
  <c r="AT177" i="7"/>
  <c r="AQ177" i="7"/>
  <c r="BD177" i="7" s="1"/>
  <c r="AP177" i="7"/>
  <c r="AO177" i="7"/>
  <c r="BB177" i="7" s="1"/>
  <c r="AN177" i="7"/>
  <c r="AM177" i="7"/>
  <c r="AL177" i="7"/>
  <c r="AK177" i="7"/>
  <c r="AJ177" i="7"/>
  <c r="AI177" i="7"/>
  <c r="AH177" i="7"/>
  <c r="AV177" i="7" s="1"/>
  <c r="AG177" i="7"/>
  <c r="AF177" i="7"/>
  <c r="AD177" i="7"/>
  <c r="P177" i="7"/>
  <c r="BD176" i="7"/>
  <c r="BB176" i="7"/>
  <c r="AW176" i="7"/>
  <c r="AQ176" i="7"/>
  <c r="AP176" i="7"/>
  <c r="AO176" i="7"/>
  <c r="AN176" i="7"/>
  <c r="AM176" i="7"/>
  <c r="AL176" i="7"/>
  <c r="AK176" i="7"/>
  <c r="AX176" i="7" s="1"/>
  <c r="AJ176" i="7"/>
  <c r="AI176" i="7"/>
  <c r="AH176" i="7"/>
  <c r="AV176" i="7" s="1"/>
  <c r="AG176" i="7"/>
  <c r="AF176" i="7"/>
  <c r="AD176" i="7"/>
  <c r="P176" i="7"/>
  <c r="BC175" i="7"/>
  <c r="BB175" i="7"/>
  <c r="BA175" i="7"/>
  <c r="AZ175" i="7"/>
  <c r="AY175" i="7"/>
  <c r="AX175" i="7"/>
  <c r="AQ175" i="7"/>
  <c r="AP175" i="7"/>
  <c r="AO175" i="7"/>
  <c r="AN175" i="7"/>
  <c r="AU175" i="7" s="1"/>
  <c r="AM175" i="7"/>
  <c r="AT175" i="7" s="1"/>
  <c r="AL175" i="7"/>
  <c r="AK175" i="7"/>
  <c r="AJ175" i="7"/>
  <c r="AI175" i="7"/>
  <c r="AH175" i="7"/>
  <c r="AG175" i="7"/>
  <c r="AF175" i="7"/>
  <c r="AD175" i="7"/>
  <c r="P175" i="7"/>
  <c r="BD174" i="7"/>
  <c r="BC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D174" i="7"/>
  <c r="P174" i="7"/>
  <c r="BA173" i="7"/>
  <c r="AZ173" i="7"/>
  <c r="AY173" i="7"/>
  <c r="AX173" i="7"/>
  <c r="AU173" i="7"/>
  <c r="AT173" i="7"/>
  <c r="AQ173" i="7"/>
  <c r="AP173" i="7"/>
  <c r="BC173" i="7" s="1"/>
  <c r="AO173" i="7"/>
  <c r="BB173" i="7" s="1"/>
  <c r="AN173" i="7"/>
  <c r="AM173" i="7"/>
  <c r="AL173" i="7"/>
  <c r="AK173" i="7"/>
  <c r="AJ173" i="7"/>
  <c r="AI173" i="7"/>
  <c r="AW173" i="7" s="1"/>
  <c r="AH173" i="7"/>
  <c r="AV173" i="7" s="1"/>
  <c r="AG173" i="7"/>
  <c r="AF173" i="7"/>
  <c r="AD173" i="7"/>
  <c r="P173" i="7"/>
  <c r="BD172" i="7"/>
  <c r="BC172" i="7"/>
  <c r="AW172" i="7"/>
  <c r="AQ172" i="7"/>
  <c r="AP172" i="7"/>
  <c r="AO172" i="7"/>
  <c r="AN172" i="7"/>
  <c r="AM172" i="7"/>
  <c r="AL172" i="7"/>
  <c r="AY172" i="7" s="1"/>
  <c r="AK172" i="7"/>
  <c r="AX172" i="7" s="1"/>
  <c r="AJ172" i="7"/>
  <c r="AI172" i="7"/>
  <c r="AH172" i="7"/>
  <c r="AV172" i="7" s="1"/>
  <c r="AG172" i="7"/>
  <c r="AF172" i="7"/>
  <c r="AD172" i="7"/>
  <c r="P172" i="7"/>
  <c r="BB171" i="7"/>
  <c r="BA171" i="7"/>
  <c r="AZ171" i="7"/>
  <c r="AY171" i="7"/>
  <c r="AX171" i="7"/>
  <c r="AQ171" i="7"/>
  <c r="AP171" i="7"/>
  <c r="BC171" i="7" s="1"/>
  <c r="AO171" i="7"/>
  <c r="AN171" i="7"/>
  <c r="AM171" i="7"/>
  <c r="AL171" i="7"/>
  <c r="AK171" i="7"/>
  <c r="AJ171" i="7"/>
  <c r="AI171" i="7"/>
  <c r="AH171" i="7"/>
  <c r="AG171" i="7"/>
  <c r="AF171" i="7"/>
  <c r="AD171" i="7"/>
  <c r="P171" i="7"/>
  <c r="BD170" i="7"/>
  <c r="BC170" i="7"/>
  <c r="BB170" i="7"/>
  <c r="AU170" i="7"/>
  <c r="AT170" i="7"/>
  <c r="AQ170" i="7"/>
  <c r="AP170" i="7"/>
  <c r="AO170" i="7"/>
  <c r="AN170" i="7"/>
  <c r="AM170" i="7"/>
  <c r="AL170" i="7"/>
  <c r="AY170" i="7" s="1"/>
  <c r="AK170" i="7"/>
  <c r="AJ170" i="7"/>
  <c r="AW170" i="7" s="1"/>
  <c r="AI170" i="7"/>
  <c r="AH170" i="7"/>
  <c r="AV170" i="7" s="1"/>
  <c r="AG170" i="7"/>
  <c r="AF170" i="7"/>
  <c r="AD170" i="7"/>
  <c r="P170" i="7"/>
  <c r="BA169" i="7"/>
  <c r="AZ169" i="7"/>
  <c r="AY169" i="7"/>
  <c r="AU169" i="7"/>
  <c r="AT169" i="7"/>
  <c r="AQ169" i="7"/>
  <c r="BD169" i="7" s="1"/>
  <c r="AP169" i="7"/>
  <c r="AO169" i="7"/>
  <c r="BB169" i="7" s="1"/>
  <c r="AN169" i="7"/>
  <c r="AM169" i="7"/>
  <c r="AL169" i="7"/>
  <c r="AK169" i="7"/>
  <c r="AJ169" i="7"/>
  <c r="AI169" i="7"/>
  <c r="AH169" i="7"/>
  <c r="AG169" i="7"/>
  <c r="AF169" i="7"/>
  <c r="AD169" i="7"/>
  <c r="P169" i="7"/>
  <c r="AW168" i="7"/>
  <c r="AT168" i="7"/>
  <c r="AQ168" i="7"/>
  <c r="AP168" i="7"/>
  <c r="AO168" i="7"/>
  <c r="BB168" i="7" s="1"/>
  <c r="AN168" i="7"/>
  <c r="AM168" i="7"/>
  <c r="AL168" i="7"/>
  <c r="AK168" i="7"/>
  <c r="AX168" i="7" s="1"/>
  <c r="AJ168" i="7"/>
  <c r="AI168" i="7"/>
  <c r="AH168" i="7"/>
  <c r="AV168" i="7" s="1"/>
  <c r="AG168" i="7"/>
  <c r="AF168" i="7"/>
  <c r="AD168" i="7"/>
  <c r="P168" i="7"/>
  <c r="BD167" i="7"/>
  <c r="BC167" i="7"/>
  <c r="BB167" i="7"/>
  <c r="BA167" i="7"/>
  <c r="AZ167" i="7"/>
  <c r="AQ167" i="7"/>
  <c r="AP167" i="7"/>
  <c r="AO167" i="7"/>
  <c r="AN167" i="7"/>
  <c r="AM167" i="7"/>
  <c r="AL167" i="7"/>
  <c r="AK167" i="7"/>
  <c r="AY167" i="7" s="1"/>
  <c r="AJ167" i="7"/>
  <c r="AI167" i="7"/>
  <c r="AH167" i="7"/>
  <c r="AG167" i="7"/>
  <c r="AF167" i="7"/>
  <c r="AD167" i="7"/>
  <c r="P167" i="7"/>
  <c r="BD166" i="7"/>
  <c r="BC166" i="7"/>
  <c r="AX166" i="7"/>
  <c r="AW166" i="7"/>
  <c r="AQ166" i="7"/>
  <c r="AP166" i="7"/>
  <c r="AO166" i="7"/>
  <c r="AN166" i="7"/>
  <c r="AM166" i="7"/>
  <c r="AL166" i="7"/>
  <c r="AY166" i="7" s="1"/>
  <c r="AK166" i="7"/>
  <c r="AJ166" i="7"/>
  <c r="AI166" i="7"/>
  <c r="AH166" i="7"/>
  <c r="AV166" i="7" s="1"/>
  <c r="AG166" i="7"/>
  <c r="AF166" i="7"/>
  <c r="AD166" i="7"/>
  <c r="P166" i="7"/>
  <c r="BA165" i="7"/>
  <c r="AZ165" i="7"/>
  <c r="AY165" i="7"/>
  <c r="AX165" i="7"/>
  <c r="AW165" i="7"/>
  <c r="AU165" i="7"/>
  <c r="AT165" i="7"/>
  <c r="AQ165" i="7"/>
  <c r="AP165" i="7"/>
  <c r="AO165" i="7"/>
  <c r="BB165" i="7" s="1"/>
  <c r="AN165" i="7"/>
  <c r="AM165" i="7"/>
  <c r="AL165" i="7"/>
  <c r="AK165" i="7"/>
  <c r="AJ165" i="7"/>
  <c r="AI165" i="7"/>
  <c r="AH165" i="7"/>
  <c r="AV165" i="7" s="1"/>
  <c r="AG165" i="7"/>
  <c r="AF165" i="7"/>
  <c r="AD165" i="7"/>
  <c r="P165" i="7"/>
  <c r="AW164" i="7"/>
  <c r="AU164" i="7"/>
  <c r="AT164" i="7"/>
  <c r="AQ164" i="7"/>
  <c r="BD164" i="7" s="1"/>
  <c r="AP164" i="7"/>
  <c r="AO164" i="7"/>
  <c r="BB164" i="7" s="1"/>
  <c r="AN164" i="7"/>
  <c r="AM164" i="7"/>
  <c r="AZ164" i="7" s="1"/>
  <c r="AL164" i="7"/>
  <c r="AY164" i="7" s="1"/>
  <c r="AK164" i="7"/>
  <c r="AX164" i="7" s="1"/>
  <c r="AJ164" i="7"/>
  <c r="AI164" i="7"/>
  <c r="AH164" i="7"/>
  <c r="AV164" i="7" s="1"/>
  <c r="AG164" i="7"/>
  <c r="AF164" i="7"/>
  <c r="AD164" i="7"/>
  <c r="P164" i="7"/>
  <c r="BD163" i="7"/>
  <c r="BC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D163" i="7"/>
  <c r="P163" i="7"/>
  <c r="BD162" i="7"/>
  <c r="BC162" i="7"/>
  <c r="AZ162" i="7"/>
  <c r="AY162" i="7"/>
  <c r="AX162" i="7"/>
  <c r="AW162" i="7"/>
  <c r="AU162" i="7"/>
  <c r="AT162" i="7"/>
  <c r="AQ162" i="7"/>
  <c r="AP162" i="7"/>
  <c r="AO162" i="7"/>
  <c r="AN162" i="7"/>
  <c r="AM162" i="7"/>
  <c r="AL162" i="7"/>
  <c r="AK162" i="7"/>
  <c r="AJ162" i="7"/>
  <c r="AI162" i="7"/>
  <c r="AH162" i="7"/>
  <c r="AV162" i="7" s="1"/>
  <c r="AG162" i="7"/>
  <c r="AF162" i="7"/>
  <c r="AD162" i="7"/>
  <c r="P162" i="7"/>
  <c r="BA161" i="7"/>
  <c r="AZ161" i="7"/>
  <c r="AY161" i="7"/>
  <c r="AX161" i="7"/>
  <c r="AU161" i="7"/>
  <c r="AT161" i="7"/>
  <c r="AQ161" i="7"/>
  <c r="AP161" i="7"/>
  <c r="AO161" i="7"/>
  <c r="BB161" i="7" s="1"/>
  <c r="AN161" i="7"/>
  <c r="AM161" i="7"/>
  <c r="AL161" i="7"/>
  <c r="AK161" i="7"/>
  <c r="AJ161" i="7"/>
  <c r="AI161" i="7"/>
  <c r="AH161" i="7"/>
  <c r="AG161" i="7"/>
  <c r="AF161" i="7"/>
  <c r="AD161" i="7"/>
  <c r="P161" i="7"/>
  <c r="AW160" i="7"/>
  <c r="AT160" i="7"/>
  <c r="AQ160" i="7"/>
  <c r="AP160" i="7"/>
  <c r="AO160" i="7"/>
  <c r="AN160" i="7"/>
  <c r="BA160" i="7" s="1"/>
  <c r="AM160" i="7"/>
  <c r="AZ160" i="7" s="1"/>
  <c r="AL160" i="7"/>
  <c r="AK160" i="7"/>
  <c r="AX160" i="7" s="1"/>
  <c r="AJ160" i="7"/>
  <c r="AI160" i="7"/>
  <c r="AH160" i="7"/>
  <c r="AV160" i="7" s="1"/>
  <c r="AG160" i="7"/>
  <c r="AF160" i="7"/>
  <c r="AD160" i="7"/>
  <c r="P160" i="7"/>
  <c r="BA159" i="7"/>
  <c r="AQ159" i="7"/>
  <c r="AP159" i="7"/>
  <c r="AO159" i="7"/>
  <c r="BB159" i="7" s="1"/>
  <c r="AN159" i="7"/>
  <c r="AM159" i="7"/>
  <c r="AL159" i="7"/>
  <c r="AK159" i="7"/>
  <c r="AX159" i="7" s="1"/>
  <c r="AJ159" i="7"/>
  <c r="AI159" i="7"/>
  <c r="AH159" i="7"/>
  <c r="AG159" i="7"/>
  <c r="AF159" i="7"/>
  <c r="AD159" i="7"/>
  <c r="P159" i="7"/>
  <c r="BD158" i="7"/>
  <c r="BC158" i="7"/>
  <c r="BB158" i="7"/>
  <c r="BA158" i="7"/>
  <c r="AZ158" i="7"/>
  <c r="AY158" i="7"/>
  <c r="AU158" i="7"/>
  <c r="AT158" i="7"/>
  <c r="AQ158" i="7"/>
  <c r="AP158" i="7"/>
  <c r="AO158" i="7"/>
  <c r="AN158" i="7"/>
  <c r="AM158" i="7"/>
  <c r="AL158" i="7"/>
  <c r="AK158" i="7"/>
  <c r="AJ158" i="7"/>
  <c r="AI158" i="7"/>
  <c r="AH158" i="7"/>
  <c r="AV158" i="7" s="1"/>
  <c r="AG158" i="7"/>
  <c r="AF158" i="7"/>
  <c r="AD158" i="7"/>
  <c r="P158" i="7"/>
  <c r="BA157" i="7"/>
  <c r="AZ157" i="7"/>
  <c r="AY157" i="7"/>
  <c r="AU157" i="7"/>
  <c r="AT157" i="7"/>
  <c r="AQ157" i="7"/>
  <c r="AP157" i="7"/>
  <c r="AO157" i="7"/>
  <c r="BB157" i="7" s="1"/>
  <c r="AN157" i="7"/>
  <c r="AM157" i="7"/>
  <c r="AL157" i="7"/>
  <c r="AK157" i="7"/>
  <c r="AJ157" i="7"/>
  <c r="AI157" i="7"/>
  <c r="AH157" i="7"/>
  <c r="AG157" i="7"/>
  <c r="AF157" i="7"/>
  <c r="AD157" i="7"/>
  <c r="P157" i="7"/>
  <c r="BB156" i="7"/>
  <c r="AW156" i="7"/>
  <c r="AU156" i="7"/>
  <c r="AT156" i="7"/>
  <c r="AQ156" i="7"/>
  <c r="AP156" i="7"/>
  <c r="AO156" i="7"/>
  <c r="AN156" i="7"/>
  <c r="AM156" i="7"/>
  <c r="AL156" i="7"/>
  <c r="AK156" i="7"/>
  <c r="AX156" i="7" s="1"/>
  <c r="AJ156" i="7"/>
  <c r="AI156" i="7"/>
  <c r="AH156" i="7"/>
  <c r="AV156" i="7" s="1"/>
  <c r="AG156" i="7"/>
  <c r="AF156" i="7"/>
  <c r="AD156" i="7"/>
  <c r="P156" i="7"/>
  <c r="AQ155" i="7"/>
  <c r="AP155" i="7"/>
  <c r="BC155" i="7" s="1"/>
  <c r="AO155" i="7"/>
  <c r="AN155" i="7"/>
  <c r="AM155" i="7"/>
  <c r="AL155" i="7"/>
  <c r="AK155" i="7"/>
  <c r="AJ155" i="7"/>
  <c r="AI155" i="7"/>
  <c r="AH155" i="7"/>
  <c r="AG155" i="7"/>
  <c r="AF155" i="7"/>
  <c r="AD155" i="7"/>
  <c r="P155" i="7"/>
  <c r="BD154" i="7"/>
  <c r="BC154" i="7"/>
  <c r="BB154" i="7"/>
  <c r="BA154" i="7"/>
  <c r="AZ154" i="7"/>
  <c r="AY154" i="7"/>
  <c r="AX154" i="7"/>
  <c r="AW154" i="7"/>
  <c r="AU154" i="7"/>
  <c r="AT154" i="7"/>
  <c r="AQ154" i="7"/>
  <c r="AP154" i="7"/>
  <c r="AO154" i="7"/>
  <c r="AN154" i="7"/>
  <c r="AM154" i="7"/>
  <c r="AL154" i="7"/>
  <c r="AK154" i="7"/>
  <c r="AJ154" i="7"/>
  <c r="AI154" i="7"/>
  <c r="AH154" i="7"/>
  <c r="AV154" i="7" s="1"/>
  <c r="AG154" i="7"/>
  <c r="AF154" i="7"/>
  <c r="AD154" i="7"/>
  <c r="P154" i="7"/>
  <c r="BA153" i="7"/>
  <c r="AZ153" i="7"/>
  <c r="AY153" i="7"/>
  <c r="AU153" i="7"/>
  <c r="AT153" i="7"/>
  <c r="AQ153" i="7"/>
  <c r="BD153" i="7" s="1"/>
  <c r="AP153" i="7"/>
  <c r="AO153" i="7"/>
  <c r="BB153" i="7" s="1"/>
  <c r="AN153" i="7"/>
  <c r="AM153" i="7"/>
  <c r="AL153" i="7"/>
  <c r="AK153" i="7"/>
  <c r="AJ153" i="7"/>
  <c r="AI153" i="7"/>
  <c r="AH153" i="7"/>
  <c r="AG153" i="7"/>
  <c r="AF153" i="7"/>
  <c r="AD153" i="7"/>
  <c r="P153" i="7"/>
  <c r="BD152" i="7"/>
  <c r="BC152" i="7"/>
  <c r="BB152" i="7"/>
  <c r="AW152" i="7"/>
  <c r="AU152" i="7"/>
  <c r="AT152" i="7"/>
  <c r="AQ152" i="7"/>
  <c r="AP152" i="7"/>
  <c r="AO152" i="7"/>
  <c r="AN152" i="7"/>
  <c r="AM152" i="7"/>
  <c r="AL152" i="7"/>
  <c r="AK152" i="7"/>
  <c r="AX152" i="7" s="1"/>
  <c r="AJ152" i="7"/>
  <c r="AI152" i="7"/>
  <c r="AH152" i="7"/>
  <c r="AV152" i="7" s="1"/>
  <c r="AG152" i="7"/>
  <c r="AF152" i="7"/>
  <c r="AD152" i="7"/>
  <c r="P152" i="7"/>
  <c r="AY151" i="7"/>
  <c r="AX151" i="7"/>
  <c r="AQ151" i="7"/>
  <c r="AP151" i="7"/>
  <c r="BC151" i="7" s="1"/>
  <c r="AO151" i="7"/>
  <c r="AN151" i="7"/>
  <c r="AM151" i="7"/>
  <c r="AL151" i="7"/>
  <c r="AK151" i="7"/>
  <c r="AJ151" i="7"/>
  <c r="AW151" i="7" s="1"/>
  <c r="AI151" i="7"/>
  <c r="AH151" i="7"/>
  <c r="AG151" i="7"/>
  <c r="AF151" i="7"/>
  <c r="AD151" i="7"/>
  <c r="P151" i="7"/>
  <c r="BD150" i="7"/>
  <c r="BC150" i="7"/>
  <c r="AX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D150" i="7"/>
  <c r="P150" i="7"/>
  <c r="BA149" i="7"/>
  <c r="AZ149" i="7"/>
  <c r="AY149" i="7"/>
  <c r="AX149" i="7"/>
  <c r="AW149" i="7"/>
  <c r="AU149" i="7"/>
  <c r="AT149" i="7"/>
  <c r="AQ149" i="7"/>
  <c r="AP149" i="7"/>
  <c r="AO149" i="7"/>
  <c r="BB149" i="7" s="1"/>
  <c r="AN149" i="7"/>
  <c r="AM149" i="7"/>
  <c r="AL149" i="7"/>
  <c r="AK149" i="7"/>
  <c r="AJ149" i="7"/>
  <c r="AI149" i="7"/>
  <c r="AH149" i="7"/>
  <c r="AV149" i="7" s="1"/>
  <c r="AG149" i="7"/>
  <c r="AF149" i="7"/>
  <c r="AD149" i="7"/>
  <c r="P149" i="7"/>
  <c r="BD148" i="7"/>
  <c r="BC148" i="7"/>
  <c r="BB148" i="7"/>
  <c r="AW148" i="7"/>
  <c r="AQ148" i="7"/>
  <c r="AP148" i="7"/>
  <c r="AO148" i="7"/>
  <c r="AN148" i="7"/>
  <c r="AM148" i="7"/>
  <c r="AL148" i="7"/>
  <c r="AK148" i="7"/>
  <c r="AX148" i="7" s="1"/>
  <c r="AJ148" i="7"/>
  <c r="AI148" i="7"/>
  <c r="AH148" i="7"/>
  <c r="AV148" i="7" s="1"/>
  <c r="AG148" i="7"/>
  <c r="AF148" i="7"/>
  <c r="AD148" i="7"/>
  <c r="P148" i="7"/>
  <c r="AY147" i="7"/>
  <c r="AX147" i="7"/>
  <c r="AQ147" i="7"/>
  <c r="AP147" i="7"/>
  <c r="BC147" i="7" s="1"/>
  <c r="AO147" i="7"/>
  <c r="AN147" i="7"/>
  <c r="AM147" i="7"/>
  <c r="AL147" i="7"/>
  <c r="AK147" i="7"/>
  <c r="AJ147" i="7"/>
  <c r="AI147" i="7"/>
  <c r="AH147" i="7"/>
  <c r="AG147" i="7"/>
  <c r="AF147" i="7"/>
  <c r="AD147" i="7"/>
  <c r="P147" i="7"/>
  <c r="BD146" i="7"/>
  <c r="BC146" i="7"/>
  <c r="BB146" i="7"/>
  <c r="BA146" i="7"/>
  <c r="AZ146" i="7"/>
  <c r="AY146" i="7"/>
  <c r="AQ146" i="7"/>
  <c r="AP146" i="7"/>
  <c r="AO146" i="7"/>
  <c r="AN146" i="7"/>
  <c r="AU146" i="7" s="1"/>
  <c r="AM146" i="7"/>
  <c r="AL146" i="7"/>
  <c r="AK146" i="7"/>
  <c r="AJ146" i="7"/>
  <c r="AI146" i="7"/>
  <c r="AH146" i="7"/>
  <c r="AG146" i="7"/>
  <c r="AF146" i="7"/>
  <c r="AD146" i="7"/>
  <c r="P146" i="7"/>
  <c r="BA145" i="7"/>
  <c r="AZ145" i="7"/>
  <c r="AY145" i="7"/>
  <c r="AX145" i="7"/>
  <c r="AW145" i="7"/>
  <c r="AU145" i="7"/>
  <c r="AT145" i="7"/>
  <c r="AQ145" i="7"/>
  <c r="BD145" i="7" s="1"/>
  <c r="AP145" i="7"/>
  <c r="AO145" i="7"/>
  <c r="BB145" i="7" s="1"/>
  <c r="AN145" i="7"/>
  <c r="AM145" i="7"/>
  <c r="AL145" i="7"/>
  <c r="AK145" i="7"/>
  <c r="AJ145" i="7"/>
  <c r="AI145" i="7"/>
  <c r="AH145" i="7"/>
  <c r="AV145" i="7" s="1"/>
  <c r="AG145" i="7"/>
  <c r="AF145" i="7"/>
  <c r="AD145" i="7"/>
  <c r="P145" i="7"/>
  <c r="AW144" i="7"/>
  <c r="AQ144" i="7"/>
  <c r="AP144" i="7"/>
  <c r="AO144" i="7"/>
  <c r="BB144" i="7" s="1"/>
  <c r="AN144" i="7"/>
  <c r="AM144" i="7"/>
  <c r="AL144" i="7"/>
  <c r="AK144" i="7"/>
  <c r="AX144" i="7" s="1"/>
  <c r="AJ144" i="7"/>
  <c r="AI144" i="7"/>
  <c r="AH144" i="7"/>
  <c r="AV144" i="7" s="1"/>
  <c r="AG144" i="7"/>
  <c r="AF144" i="7"/>
  <c r="AD144" i="7"/>
  <c r="P144" i="7"/>
  <c r="BC143" i="7"/>
  <c r="BB143" i="7"/>
  <c r="BA143" i="7"/>
  <c r="AZ143" i="7"/>
  <c r="AY143" i="7"/>
  <c r="AX143" i="7"/>
  <c r="AQ143" i="7"/>
  <c r="AP143" i="7"/>
  <c r="AO143" i="7"/>
  <c r="AN143" i="7"/>
  <c r="AU143" i="7" s="1"/>
  <c r="AM143" i="7"/>
  <c r="AT143" i="7" s="1"/>
  <c r="AL143" i="7"/>
  <c r="AK143" i="7"/>
  <c r="AJ143" i="7"/>
  <c r="AI143" i="7"/>
  <c r="AH143" i="7"/>
  <c r="AG143" i="7"/>
  <c r="AF143" i="7"/>
  <c r="AD143" i="7"/>
  <c r="P143" i="7"/>
  <c r="BD142" i="7"/>
  <c r="BC142" i="7"/>
  <c r="AQ142" i="7"/>
  <c r="AP142" i="7"/>
  <c r="AO142" i="7"/>
  <c r="AN142" i="7"/>
  <c r="AM142" i="7"/>
  <c r="AL142" i="7"/>
  <c r="AY142" i="7" s="1"/>
  <c r="AK142" i="7"/>
  <c r="AJ142" i="7"/>
  <c r="AI142" i="7"/>
  <c r="AH142" i="7"/>
  <c r="AG142" i="7"/>
  <c r="AF142" i="7"/>
  <c r="AD142" i="7"/>
  <c r="P142" i="7"/>
  <c r="BA141" i="7"/>
  <c r="AZ141" i="7"/>
  <c r="AY141" i="7"/>
  <c r="AX141" i="7"/>
  <c r="AU141" i="7"/>
  <c r="AT141" i="7"/>
  <c r="AQ141" i="7"/>
  <c r="AP141" i="7"/>
  <c r="BC141" i="7" s="1"/>
  <c r="AO141" i="7"/>
  <c r="BB141" i="7" s="1"/>
  <c r="AN141" i="7"/>
  <c r="AM141" i="7"/>
  <c r="AL141" i="7"/>
  <c r="AK141" i="7"/>
  <c r="AJ141" i="7"/>
  <c r="AI141" i="7"/>
  <c r="AW141" i="7" s="1"/>
  <c r="AH141" i="7"/>
  <c r="AV141" i="7" s="1"/>
  <c r="AG141" i="7"/>
  <c r="AF141" i="7"/>
  <c r="AD141" i="7"/>
  <c r="P141" i="7"/>
  <c r="AW140" i="7"/>
  <c r="AQ140" i="7"/>
  <c r="BD140" i="7" s="1"/>
  <c r="AP140" i="7"/>
  <c r="BC140" i="7" s="1"/>
  <c r="AO140" i="7"/>
  <c r="AN140" i="7"/>
  <c r="AM140" i="7"/>
  <c r="AL140" i="7"/>
  <c r="AY140" i="7" s="1"/>
  <c r="AK140" i="7"/>
  <c r="AX140" i="7" s="1"/>
  <c r="AJ140" i="7"/>
  <c r="AI140" i="7"/>
  <c r="AH140" i="7"/>
  <c r="AV140" i="7" s="1"/>
  <c r="AG140" i="7"/>
  <c r="AF140" i="7"/>
  <c r="AD140" i="7"/>
  <c r="P140" i="7"/>
  <c r="BB139" i="7"/>
  <c r="BA139" i="7"/>
  <c r="AZ139" i="7"/>
  <c r="AY139" i="7"/>
  <c r="AQ139" i="7"/>
  <c r="AP139" i="7"/>
  <c r="BC139" i="7" s="1"/>
  <c r="AO139" i="7"/>
  <c r="AN139" i="7"/>
  <c r="AM139" i="7"/>
  <c r="AL139" i="7"/>
  <c r="AK139" i="7"/>
  <c r="AJ139" i="7"/>
  <c r="AI139" i="7"/>
  <c r="AH139" i="7"/>
  <c r="AG139" i="7"/>
  <c r="AF139" i="7"/>
  <c r="AD139" i="7"/>
  <c r="P139" i="7"/>
  <c r="BD138" i="7"/>
  <c r="BC138" i="7"/>
  <c r="BB138" i="7"/>
  <c r="AV138" i="7"/>
  <c r="AU138" i="7"/>
  <c r="AT138" i="7"/>
  <c r="AQ138" i="7"/>
  <c r="AP138" i="7"/>
  <c r="AO138" i="7"/>
  <c r="AN138" i="7"/>
  <c r="AM138" i="7"/>
  <c r="AL138" i="7"/>
  <c r="AY138" i="7" s="1"/>
  <c r="AK138" i="7"/>
  <c r="AJ138" i="7"/>
  <c r="AW138" i="7" s="1"/>
  <c r="AI138" i="7"/>
  <c r="AH138" i="7"/>
  <c r="AG138" i="7"/>
  <c r="AF138" i="7"/>
  <c r="AD138" i="7"/>
  <c r="P138" i="7"/>
  <c r="BC137" i="7"/>
  <c r="AQ137" i="7"/>
  <c r="AP137" i="7"/>
  <c r="AO137" i="7"/>
  <c r="AN137" i="7"/>
  <c r="AU137" i="7" s="1"/>
  <c r="AM137" i="7"/>
  <c r="AL137" i="7"/>
  <c r="AT137" i="7" s="1"/>
  <c r="AK137" i="7"/>
  <c r="AX137" i="7" s="1"/>
  <c r="AJ137" i="7"/>
  <c r="AI137" i="7"/>
  <c r="AH137" i="7"/>
  <c r="AG137" i="7"/>
  <c r="AF137" i="7"/>
  <c r="AD137" i="7"/>
  <c r="P137" i="7"/>
  <c r="BA136" i="7"/>
  <c r="AZ136" i="7"/>
  <c r="AY136" i="7"/>
  <c r="AU136" i="7"/>
  <c r="AT136" i="7"/>
  <c r="AQ136" i="7"/>
  <c r="AP136" i="7"/>
  <c r="AO136" i="7"/>
  <c r="BB136" i="7" s="1"/>
  <c r="AN136" i="7"/>
  <c r="AM136" i="7"/>
  <c r="AL136" i="7"/>
  <c r="AK136" i="7"/>
  <c r="AJ136" i="7"/>
  <c r="AI136" i="7"/>
  <c r="AH136" i="7"/>
  <c r="AV136" i="7" s="1"/>
  <c r="AG136" i="7"/>
  <c r="AF136" i="7"/>
  <c r="AD136" i="7"/>
  <c r="P136" i="7"/>
  <c r="BD135" i="7"/>
  <c r="BC135" i="7"/>
  <c r="BB135" i="7"/>
  <c r="AW135" i="7"/>
  <c r="AU135" i="7"/>
  <c r="AQ135" i="7"/>
  <c r="AP135" i="7"/>
  <c r="AO135" i="7"/>
  <c r="AN135" i="7"/>
  <c r="AM135" i="7"/>
  <c r="AL135" i="7"/>
  <c r="AK135" i="7"/>
  <c r="AX135" i="7" s="1"/>
  <c r="AJ135" i="7"/>
  <c r="AI135" i="7"/>
  <c r="AH135" i="7"/>
  <c r="AV135" i="7" s="1"/>
  <c r="AG135" i="7"/>
  <c r="AF135" i="7"/>
  <c r="AD135" i="7"/>
  <c r="P135" i="7"/>
  <c r="AQ134" i="7"/>
  <c r="AP134" i="7"/>
  <c r="BC134" i="7" s="1"/>
  <c r="AO134" i="7"/>
  <c r="AN134" i="7"/>
  <c r="AM134" i="7"/>
  <c r="AZ134" i="7" s="1"/>
  <c r="AL134" i="7"/>
  <c r="AY134" i="7" s="1"/>
  <c r="AK134" i="7"/>
  <c r="AJ134" i="7"/>
  <c r="AI134" i="7"/>
  <c r="AH134" i="7"/>
  <c r="AG134" i="7"/>
  <c r="AF134" i="7"/>
  <c r="AD134" i="7"/>
  <c r="P134" i="7"/>
  <c r="BD133" i="7"/>
  <c r="BC133" i="7"/>
  <c r="AZ133" i="7"/>
  <c r="AY133" i="7"/>
  <c r="AX133" i="7"/>
  <c r="AT133" i="7"/>
  <c r="AQ133" i="7"/>
  <c r="AP133" i="7"/>
  <c r="AO133" i="7"/>
  <c r="AN133" i="7"/>
  <c r="AM133" i="7"/>
  <c r="AL133" i="7"/>
  <c r="AK133" i="7"/>
  <c r="AJ133" i="7"/>
  <c r="AI133" i="7"/>
  <c r="AH133" i="7"/>
  <c r="AV133" i="7" s="1"/>
  <c r="AG133" i="7"/>
  <c r="AF133" i="7"/>
  <c r="AD133" i="7"/>
  <c r="P133" i="7"/>
  <c r="BA132" i="7"/>
  <c r="AZ132" i="7"/>
  <c r="AY132" i="7"/>
  <c r="AX132" i="7"/>
  <c r="AW132" i="7"/>
  <c r="AU132" i="7"/>
  <c r="AT132" i="7"/>
  <c r="AQ132" i="7"/>
  <c r="AP132" i="7"/>
  <c r="AO132" i="7"/>
  <c r="BB132" i="7" s="1"/>
  <c r="AN132" i="7"/>
  <c r="AM132" i="7"/>
  <c r="AL132" i="7"/>
  <c r="AK132" i="7"/>
  <c r="AJ132" i="7"/>
  <c r="AI132" i="7"/>
  <c r="AH132" i="7"/>
  <c r="AV132" i="7" s="1"/>
  <c r="AG132" i="7"/>
  <c r="AF132" i="7"/>
  <c r="AD132" i="7"/>
  <c r="P132" i="7"/>
  <c r="AW131" i="7"/>
  <c r="AV131" i="7"/>
  <c r="AQ131" i="7"/>
  <c r="AP131" i="7"/>
  <c r="AO131" i="7"/>
  <c r="BB131" i="7" s="1"/>
  <c r="AN131" i="7"/>
  <c r="AU131" i="7" s="1"/>
  <c r="AM131" i="7"/>
  <c r="AL131" i="7"/>
  <c r="AK131" i="7"/>
  <c r="AX131" i="7" s="1"/>
  <c r="AJ131" i="7"/>
  <c r="AI131" i="7"/>
  <c r="AH131" i="7"/>
  <c r="AG131" i="7"/>
  <c r="AF131" i="7"/>
  <c r="AD131" i="7"/>
  <c r="P131" i="7"/>
  <c r="BC130" i="7"/>
  <c r="BB130" i="7"/>
  <c r="BA130" i="7"/>
  <c r="AZ130" i="7"/>
  <c r="AY130" i="7"/>
  <c r="AX130" i="7"/>
  <c r="AQ130" i="7"/>
  <c r="BD130" i="7" s="1"/>
  <c r="AP130" i="7"/>
  <c r="AO130" i="7"/>
  <c r="AN130" i="7"/>
  <c r="AU130" i="7" s="1"/>
  <c r="AM130" i="7"/>
  <c r="AL130" i="7"/>
  <c r="AK130" i="7"/>
  <c r="AJ130" i="7"/>
  <c r="AW130" i="7" s="1"/>
  <c r="AI130" i="7"/>
  <c r="AH130" i="7"/>
  <c r="AG130" i="7"/>
  <c r="AF130" i="7"/>
  <c r="AD130" i="7"/>
  <c r="P130" i="7"/>
  <c r="BD129" i="7"/>
  <c r="BC129" i="7"/>
  <c r="AT129" i="7"/>
  <c r="AQ129" i="7"/>
  <c r="AP129" i="7"/>
  <c r="AO129" i="7"/>
  <c r="AN129" i="7"/>
  <c r="AM129" i="7"/>
  <c r="AL129" i="7"/>
  <c r="AK129" i="7"/>
  <c r="AJ129" i="7"/>
  <c r="AI129" i="7"/>
  <c r="AH129" i="7"/>
  <c r="AV129" i="7" s="1"/>
  <c r="AG129" i="7"/>
  <c r="AF129" i="7"/>
  <c r="AD129" i="7"/>
  <c r="P129" i="7"/>
  <c r="BA128" i="7"/>
  <c r="AZ128" i="7"/>
  <c r="AY128" i="7"/>
  <c r="AX128" i="7"/>
  <c r="AU128" i="7"/>
  <c r="AT128" i="7"/>
  <c r="AQ128" i="7"/>
  <c r="AP128" i="7"/>
  <c r="BC128" i="7" s="1"/>
  <c r="AO128" i="7"/>
  <c r="BB128" i="7" s="1"/>
  <c r="AN128" i="7"/>
  <c r="AM128" i="7"/>
  <c r="AL128" i="7"/>
  <c r="AK128" i="7"/>
  <c r="AJ128" i="7"/>
  <c r="AI128" i="7"/>
  <c r="AH128" i="7"/>
  <c r="AG128" i="7"/>
  <c r="AF128" i="7"/>
  <c r="AD128" i="7"/>
  <c r="P128" i="7"/>
  <c r="AW127" i="7"/>
  <c r="AQ127" i="7"/>
  <c r="AP127" i="7"/>
  <c r="BC127" i="7" s="1"/>
  <c r="AO127" i="7"/>
  <c r="AN127" i="7"/>
  <c r="AM127" i="7"/>
  <c r="AL127" i="7"/>
  <c r="AY127" i="7" s="1"/>
  <c r="AK127" i="7"/>
  <c r="AX127" i="7" s="1"/>
  <c r="AJ127" i="7"/>
  <c r="AI127" i="7"/>
  <c r="AH127" i="7"/>
  <c r="AV127" i="7" s="1"/>
  <c r="AG127" i="7"/>
  <c r="AF127" i="7"/>
  <c r="AD127" i="7"/>
  <c r="P127" i="7"/>
  <c r="BB126" i="7"/>
  <c r="BA126" i="7"/>
  <c r="AZ126" i="7"/>
  <c r="AY126" i="7"/>
  <c r="AX126" i="7"/>
  <c r="AQ126" i="7"/>
  <c r="AP126" i="7"/>
  <c r="BC126" i="7" s="1"/>
  <c r="AO126" i="7"/>
  <c r="AN126" i="7"/>
  <c r="AU126" i="7" s="1"/>
  <c r="AM126" i="7"/>
  <c r="AL126" i="7"/>
  <c r="AK126" i="7"/>
  <c r="AJ126" i="7"/>
  <c r="AI126" i="7"/>
  <c r="AH126" i="7"/>
  <c r="AG126" i="7"/>
  <c r="AF126" i="7"/>
  <c r="AD126" i="7"/>
  <c r="P126" i="7"/>
  <c r="BD125" i="7"/>
  <c r="BC125" i="7"/>
  <c r="BB125" i="7"/>
  <c r="AQ125" i="7"/>
  <c r="AP125" i="7"/>
  <c r="AO125" i="7"/>
  <c r="AN125" i="7"/>
  <c r="AU125" i="7" s="1"/>
  <c r="AM125" i="7"/>
  <c r="AL125" i="7"/>
  <c r="AK125" i="7"/>
  <c r="AX125" i="7" s="1"/>
  <c r="AJ125" i="7"/>
  <c r="AI125" i="7"/>
  <c r="AW125" i="7" s="1"/>
  <c r="AH125" i="7"/>
  <c r="AG125" i="7"/>
  <c r="AF125" i="7"/>
  <c r="AD125" i="7"/>
  <c r="P125" i="7"/>
  <c r="AZ124" i="7"/>
  <c r="AY124" i="7"/>
  <c r="AX124" i="7"/>
  <c r="AW124" i="7"/>
  <c r="AV124" i="7"/>
  <c r="AT124" i="7"/>
  <c r="AQ124" i="7"/>
  <c r="AP124" i="7"/>
  <c r="BC124" i="7" s="1"/>
  <c r="AO124" i="7"/>
  <c r="AN124" i="7"/>
  <c r="AM124" i="7"/>
  <c r="AL124" i="7"/>
  <c r="AK124" i="7"/>
  <c r="AJ124" i="7"/>
  <c r="AI124" i="7"/>
  <c r="AH124" i="7"/>
  <c r="AG124" i="7"/>
  <c r="AF124" i="7"/>
  <c r="AD124" i="7"/>
  <c r="P124" i="7"/>
  <c r="BC123" i="7"/>
  <c r="BA123" i="7"/>
  <c r="AW123" i="7"/>
  <c r="AU123" i="7"/>
  <c r="AT123" i="7"/>
  <c r="AQ123" i="7"/>
  <c r="AP123" i="7"/>
  <c r="AO123" i="7"/>
  <c r="AN123" i="7"/>
  <c r="AM123" i="7"/>
  <c r="AZ123" i="7" s="1"/>
  <c r="AL123" i="7"/>
  <c r="AK123" i="7"/>
  <c r="AX123" i="7" s="1"/>
  <c r="AJ123" i="7"/>
  <c r="AI123" i="7"/>
  <c r="AH123" i="7"/>
  <c r="AV123" i="7" s="1"/>
  <c r="AG123" i="7"/>
  <c r="AF123" i="7"/>
  <c r="AD123" i="7"/>
  <c r="P123" i="7"/>
  <c r="BA122" i="7"/>
  <c r="AZ122" i="7"/>
  <c r="AQ122" i="7"/>
  <c r="AP122" i="7"/>
  <c r="AO122" i="7"/>
  <c r="AN122" i="7"/>
  <c r="AM122" i="7"/>
  <c r="AL122" i="7"/>
  <c r="AK122" i="7"/>
  <c r="AX122" i="7" s="1"/>
  <c r="AJ122" i="7"/>
  <c r="AW122" i="7" s="1"/>
  <c r="AI122" i="7"/>
  <c r="AH122" i="7"/>
  <c r="AG122" i="7"/>
  <c r="AF122" i="7"/>
  <c r="AD122" i="7"/>
  <c r="P122" i="7"/>
  <c r="BD121" i="7"/>
  <c r="BC121" i="7"/>
  <c r="BB121" i="7"/>
  <c r="AY121" i="7"/>
  <c r="AX121" i="7"/>
  <c r="AW121" i="7"/>
  <c r="AQ121" i="7"/>
  <c r="AP121" i="7"/>
  <c r="AO121" i="7"/>
  <c r="AN121" i="7"/>
  <c r="AM121" i="7"/>
  <c r="AL121" i="7"/>
  <c r="AK121" i="7"/>
  <c r="AJ121" i="7"/>
  <c r="AI121" i="7"/>
  <c r="AH121" i="7"/>
  <c r="AV121" i="7" s="1"/>
  <c r="AG121" i="7"/>
  <c r="AF121" i="7"/>
  <c r="AD121" i="7"/>
  <c r="P121" i="7"/>
  <c r="AZ120" i="7"/>
  <c r="AY120" i="7"/>
  <c r="AW120" i="7"/>
  <c r="AU120" i="7"/>
  <c r="AT120" i="7"/>
  <c r="AQ120" i="7"/>
  <c r="AP120" i="7"/>
  <c r="BC120" i="7" s="1"/>
  <c r="AO120" i="7"/>
  <c r="BB120" i="7" s="1"/>
  <c r="AN120" i="7"/>
  <c r="BA120" i="7" s="1"/>
  <c r="AM120" i="7"/>
  <c r="AL120" i="7"/>
  <c r="AK120" i="7"/>
  <c r="AJ120" i="7"/>
  <c r="AX120" i="7" s="1"/>
  <c r="AI120" i="7"/>
  <c r="AH120" i="7"/>
  <c r="AV120" i="7" s="1"/>
  <c r="AG120" i="7"/>
  <c r="AF120" i="7"/>
  <c r="AD120" i="7"/>
  <c r="P120" i="7"/>
  <c r="BD119" i="7"/>
  <c r="BC119" i="7"/>
  <c r="BB119" i="7"/>
  <c r="AQ119" i="7"/>
  <c r="AP119" i="7"/>
  <c r="AO119" i="7"/>
  <c r="AN119" i="7"/>
  <c r="AM119" i="7"/>
  <c r="AU119" i="7" s="1"/>
  <c r="AL119" i="7"/>
  <c r="AK119" i="7"/>
  <c r="AJ119" i="7"/>
  <c r="AW119" i="7" s="1"/>
  <c r="AI119" i="7"/>
  <c r="AH119" i="7"/>
  <c r="AV119" i="7" s="1"/>
  <c r="AG119" i="7"/>
  <c r="AF119" i="7"/>
  <c r="AD119" i="7"/>
  <c r="P119" i="7"/>
  <c r="AQ118" i="7"/>
  <c r="AP118" i="7"/>
  <c r="AO118" i="7"/>
  <c r="AN118" i="7"/>
  <c r="AM118" i="7"/>
  <c r="AL118" i="7"/>
  <c r="AY118" i="7" s="1"/>
  <c r="AK118" i="7"/>
  <c r="AJ118" i="7"/>
  <c r="AI118" i="7"/>
  <c r="AH118" i="7"/>
  <c r="AG118" i="7"/>
  <c r="AF118" i="7"/>
  <c r="AD118" i="7"/>
  <c r="P118" i="7"/>
  <c r="BD117" i="7"/>
  <c r="BC117" i="7"/>
  <c r="BB117" i="7"/>
  <c r="BA117" i="7"/>
  <c r="AZ117" i="7"/>
  <c r="AY117" i="7"/>
  <c r="AX117" i="7"/>
  <c r="AT117" i="7"/>
  <c r="AQ117" i="7"/>
  <c r="AP117" i="7"/>
  <c r="AO117" i="7"/>
  <c r="AN117" i="7"/>
  <c r="AM117" i="7"/>
  <c r="AL117" i="7"/>
  <c r="AK117" i="7"/>
  <c r="AJ117" i="7"/>
  <c r="AI117" i="7"/>
  <c r="AH117" i="7"/>
  <c r="AV117" i="7" s="1"/>
  <c r="AG117" i="7"/>
  <c r="AF117" i="7"/>
  <c r="AD117" i="7"/>
  <c r="P117" i="7"/>
  <c r="BA116" i="7"/>
  <c r="AZ116" i="7"/>
  <c r="AY116" i="7"/>
  <c r="AT116" i="7"/>
  <c r="AQ116" i="7"/>
  <c r="AP116" i="7"/>
  <c r="BC116" i="7" s="1"/>
  <c r="AO116" i="7"/>
  <c r="AN116" i="7"/>
  <c r="AU116" i="7" s="1"/>
  <c r="AM116" i="7"/>
  <c r="AL116" i="7"/>
  <c r="AK116" i="7"/>
  <c r="AJ116" i="7"/>
  <c r="AI116" i="7"/>
  <c r="AH116" i="7"/>
  <c r="AG116" i="7"/>
  <c r="AF116" i="7"/>
  <c r="AD116" i="7"/>
  <c r="P116" i="7"/>
  <c r="BA115" i="7"/>
  <c r="AT115" i="7"/>
  <c r="AQ115" i="7"/>
  <c r="BD115" i="7" s="1"/>
  <c r="AP115" i="7"/>
  <c r="BC115" i="7" s="1"/>
  <c r="AO115" i="7"/>
  <c r="BB115" i="7" s="1"/>
  <c r="AN115" i="7"/>
  <c r="AM115" i="7"/>
  <c r="AL115" i="7"/>
  <c r="AK115" i="7"/>
  <c r="AJ115" i="7"/>
  <c r="AW115" i="7" s="1"/>
  <c r="AI115" i="7"/>
  <c r="AH115" i="7"/>
  <c r="AV115" i="7" s="1"/>
  <c r="AG115" i="7"/>
  <c r="AF115" i="7"/>
  <c r="AD115" i="7"/>
  <c r="P115" i="7"/>
  <c r="BD114" i="7"/>
  <c r="BC114" i="7"/>
  <c r="BB114" i="7"/>
  <c r="AW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D114" i="7"/>
  <c r="P114" i="7"/>
  <c r="BD113" i="7"/>
  <c r="BB113" i="7"/>
  <c r="AZ113" i="7"/>
  <c r="AU113" i="7"/>
  <c r="AT113" i="7"/>
  <c r="AQ113" i="7"/>
  <c r="AP113" i="7"/>
  <c r="AO113" i="7"/>
  <c r="BC113" i="7" s="1"/>
  <c r="AN113" i="7"/>
  <c r="AM113" i="7"/>
  <c r="AL113" i="7"/>
  <c r="AK113" i="7"/>
  <c r="AJ113" i="7"/>
  <c r="AI113" i="7"/>
  <c r="AH113" i="7"/>
  <c r="AG113" i="7"/>
  <c r="AF113" i="7"/>
  <c r="AD113" i="7"/>
  <c r="P113" i="7"/>
  <c r="AZ112" i="7"/>
  <c r="AT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D112" i="7"/>
  <c r="P112" i="7"/>
  <c r="BD111" i="7"/>
  <c r="BC111" i="7"/>
  <c r="BB111" i="7"/>
  <c r="BA111" i="7"/>
  <c r="AX111" i="7"/>
  <c r="AW111" i="7"/>
  <c r="AU111" i="7"/>
  <c r="AT111" i="7"/>
  <c r="AQ111" i="7"/>
  <c r="AP111" i="7"/>
  <c r="AO111" i="7"/>
  <c r="AN111" i="7"/>
  <c r="AM111" i="7"/>
  <c r="AZ111" i="7" s="1"/>
  <c r="AL111" i="7"/>
  <c r="AK111" i="7"/>
  <c r="AJ111" i="7"/>
  <c r="AI111" i="7"/>
  <c r="AH111" i="7"/>
  <c r="AV111" i="7" s="1"/>
  <c r="AG111" i="7"/>
  <c r="AF111" i="7"/>
  <c r="AD111" i="7"/>
  <c r="P111" i="7"/>
  <c r="AQ110" i="7"/>
  <c r="BD110" i="7" s="1"/>
  <c r="AP110" i="7"/>
  <c r="AO110" i="7"/>
  <c r="BB110" i="7" s="1"/>
  <c r="AN110" i="7"/>
  <c r="AM110" i="7"/>
  <c r="AL110" i="7"/>
  <c r="AK110" i="7"/>
  <c r="AX110" i="7" s="1"/>
  <c r="AJ110" i="7"/>
  <c r="AI110" i="7"/>
  <c r="AH110" i="7"/>
  <c r="AG110" i="7"/>
  <c r="AF110" i="7"/>
  <c r="AD110" i="7"/>
  <c r="P110" i="7"/>
  <c r="BD109" i="7"/>
  <c r="BC109" i="7"/>
  <c r="BB109" i="7"/>
  <c r="BA109" i="7"/>
  <c r="AZ109" i="7"/>
  <c r="AY109" i="7"/>
  <c r="AX109" i="7"/>
  <c r="AT109" i="7"/>
  <c r="AQ109" i="7"/>
  <c r="AP109" i="7"/>
  <c r="AO109" i="7"/>
  <c r="AN109" i="7"/>
  <c r="AM109" i="7"/>
  <c r="AL109" i="7"/>
  <c r="AK109" i="7"/>
  <c r="AJ109" i="7"/>
  <c r="AI109" i="7"/>
  <c r="AH109" i="7"/>
  <c r="AV109" i="7" s="1"/>
  <c r="AG109" i="7"/>
  <c r="AF109" i="7"/>
  <c r="AD109" i="7"/>
  <c r="P109" i="7"/>
  <c r="BB108" i="7"/>
  <c r="BA108" i="7"/>
  <c r="AZ108" i="7"/>
  <c r="AU108" i="7"/>
  <c r="AT108" i="7"/>
  <c r="AQ108" i="7"/>
  <c r="BD108" i="7" s="1"/>
  <c r="AP108" i="7"/>
  <c r="AO108" i="7"/>
  <c r="AN108" i="7"/>
  <c r="AM108" i="7"/>
  <c r="AL108" i="7"/>
  <c r="AK108" i="7"/>
  <c r="AJ108" i="7"/>
  <c r="AI108" i="7"/>
  <c r="AH108" i="7"/>
  <c r="AG108" i="7"/>
  <c r="AF108" i="7"/>
  <c r="AD108" i="7"/>
  <c r="P108" i="7"/>
  <c r="BB107" i="7"/>
  <c r="AX107" i="7"/>
  <c r="AW107" i="7"/>
  <c r="AU107" i="7"/>
  <c r="AT107" i="7"/>
  <c r="AQ107" i="7"/>
  <c r="BD107" i="7" s="1"/>
  <c r="AP107" i="7"/>
  <c r="AO107" i="7"/>
  <c r="AN107" i="7"/>
  <c r="AM107" i="7"/>
  <c r="AL107" i="7"/>
  <c r="AY107" i="7" s="1"/>
  <c r="AK107" i="7"/>
  <c r="AJ107" i="7"/>
  <c r="AI107" i="7"/>
  <c r="AH107" i="7"/>
  <c r="AV107" i="7" s="1"/>
  <c r="AG107" i="7"/>
  <c r="AF107" i="7"/>
  <c r="AD107" i="7"/>
  <c r="P107" i="7"/>
  <c r="BD106" i="7"/>
  <c r="AY106" i="7"/>
  <c r="AX106" i="7"/>
  <c r="AU106" i="7"/>
  <c r="AQ106" i="7"/>
  <c r="AP106" i="7"/>
  <c r="AO106" i="7"/>
  <c r="AN106" i="7"/>
  <c r="AM106" i="7"/>
  <c r="AL106" i="7"/>
  <c r="AK106" i="7"/>
  <c r="AJ106" i="7"/>
  <c r="AW106" i="7" s="1"/>
  <c r="AI106" i="7"/>
  <c r="AH106" i="7"/>
  <c r="AG106" i="7"/>
  <c r="AF106" i="7"/>
  <c r="AD106" i="7"/>
  <c r="P106" i="7"/>
  <c r="BC105" i="7"/>
  <c r="AQ105" i="7"/>
  <c r="AP105" i="7"/>
  <c r="BD105" i="7" s="1"/>
  <c r="AO105" i="7"/>
  <c r="AN105" i="7"/>
  <c r="BB105" i="7" s="1"/>
  <c r="AM105" i="7"/>
  <c r="AL105" i="7"/>
  <c r="AK105" i="7"/>
  <c r="AJ105" i="7"/>
  <c r="AW105" i="7" s="1"/>
  <c r="AI105" i="7"/>
  <c r="AH105" i="7"/>
  <c r="AV105" i="7" s="1"/>
  <c r="AG105" i="7"/>
  <c r="AF105" i="7"/>
  <c r="AD105" i="7"/>
  <c r="P105" i="7"/>
  <c r="AY104" i="7"/>
  <c r="AX104" i="7"/>
  <c r="AW104" i="7"/>
  <c r="AU104" i="7"/>
  <c r="AT104" i="7"/>
  <c r="AQ104" i="7"/>
  <c r="BD104" i="7" s="1"/>
  <c r="AP104" i="7"/>
  <c r="AO104" i="7"/>
  <c r="BB104" i="7" s="1"/>
  <c r="AN104" i="7"/>
  <c r="BA104" i="7" s="1"/>
  <c r="AM104" i="7"/>
  <c r="AL104" i="7"/>
  <c r="AZ104" i="7" s="1"/>
  <c r="AK104" i="7"/>
  <c r="AJ104" i="7"/>
  <c r="AI104" i="7"/>
  <c r="AH104" i="7"/>
  <c r="AV104" i="7" s="1"/>
  <c r="AG104" i="7"/>
  <c r="AF104" i="7"/>
  <c r="AD104" i="7"/>
  <c r="P104" i="7"/>
  <c r="BD103" i="7"/>
  <c r="BC103" i="7"/>
  <c r="BB103" i="7"/>
  <c r="AQ103" i="7"/>
  <c r="AP103" i="7"/>
  <c r="AO103" i="7"/>
  <c r="AN103" i="7"/>
  <c r="AM103" i="7"/>
  <c r="AL103" i="7"/>
  <c r="AY103" i="7" s="1"/>
  <c r="AK103" i="7"/>
  <c r="AJ103" i="7"/>
  <c r="AW103" i="7" s="1"/>
  <c r="AI103" i="7"/>
  <c r="AH103" i="7"/>
  <c r="AV103" i="7" s="1"/>
  <c r="AG103" i="7"/>
  <c r="AF103" i="7"/>
  <c r="AD103" i="7"/>
  <c r="P103" i="7"/>
  <c r="BB102" i="7"/>
  <c r="BA102" i="7"/>
  <c r="AZ102" i="7"/>
  <c r="AY102" i="7"/>
  <c r="AX102" i="7"/>
  <c r="AW102" i="7"/>
  <c r="AU102" i="7"/>
  <c r="AQ102" i="7"/>
  <c r="AP102" i="7"/>
  <c r="BD102" i="7" s="1"/>
  <c r="AO102" i="7"/>
  <c r="AN102" i="7"/>
  <c r="AM102" i="7"/>
  <c r="AL102" i="7"/>
  <c r="AK102" i="7"/>
  <c r="AJ102" i="7"/>
  <c r="AI102" i="7"/>
  <c r="AH102" i="7"/>
  <c r="AG102" i="7"/>
  <c r="AF102" i="7"/>
  <c r="AD102" i="7"/>
  <c r="P102" i="7"/>
  <c r="BC101" i="7"/>
  <c r="BB101" i="7"/>
  <c r="BA101" i="7"/>
  <c r="AU101" i="7"/>
  <c r="AT101" i="7"/>
  <c r="AQ101" i="7"/>
  <c r="AP101" i="7"/>
  <c r="BD101" i="7" s="1"/>
  <c r="AO101" i="7"/>
  <c r="AN101" i="7"/>
  <c r="AM101" i="7"/>
  <c r="AL101" i="7"/>
  <c r="AK101" i="7"/>
  <c r="AJ101" i="7"/>
  <c r="AW101" i="7" s="1"/>
  <c r="AI101" i="7"/>
  <c r="AH101" i="7"/>
  <c r="AV101" i="7" s="1"/>
  <c r="AG101" i="7"/>
  <c r="AF101" i="7"/>
  <c r="AD101" i="7"/>
  <c r="P101" i="7"/>
  <c r="BC100" i="7"/>
  <c r="AX100" i="7"/>
  <c r="AW100" i="7"/>
  <c r="AQ100" i="7"/>
  <c r="AP100" i="7"/>
  <c r="AO100" i="7"/>
  <c r="AN100" i="7"/>
  <c r="AU100" i="7" s="1"/>
  <c r="AM100" i="7"/>
  <c r="AL100" i="7"/>
  <c r="AK100" i="7"/>
  <c r="AJ100" i="7"/>
  <c r="AI100" i="7"/>
  <c r="AH100" i="7"/>
  <c r="AV100" i="7" s="1"/>
  <c r="AG100" i="7"/>
  <c r="AF100" i="7"/>
  <c r="AD100" i="7"/>
  <c r="P100" i="7"/>
  <c r="BA99" i="7"/>
  <c r="AY99" i="7"/>
  <c r="AW99" i="7"/>
  <c r="AU99" i="7"/>
  <c r="AT99" i="7"/>
  <c r="AQ99" i="7"/>
  <c r="AP99" i="7"/>
  <c r="BC99" i="7" s="1"/>
  <c r="AO99" i="7"/>
  <c r="BB99" i="7" s="1"/>
  <c r="AN99" i="7"/>
  <c r="AM99" i="7"/>
  <c r="AL99" i="7"/>
  <c r="AK99" i="7"/>
  <c r="AJ99" i="7"/>
  <c r="AI99" i="7"/>
  <c r="AH99" i="7"/>
  <c r="AV99" i="7" s="1"/>
  <c r="AG99" i="7"/>
  <c r="AF99" i="7"/>
  <c r="AD99" i="7"/>
  <c r="P99" i="7"/>
  <c r="BD98" i="7"/>
  <c r="BC98" i="7"/>
  <c r="AQ98" i="7"/>
  <c r="AP98" i="7"/>
  <c r="AO98" i="7"/>
  <c r="BB98" i="7" s="1"/>
  <c r="AN98" i="7"/>
  <c r="AM98" i="7"/>
  <c r="AL98" i="7"/>
  <c r="AY98" i="7" s="1"/>
  <c r="AK98" i="7"/>
  <c r="AJ98" i="7"/>
  <c r="AI98" i="7"/>
  <c r="AH98" i="7"/>
  <c r="AG98" i="7"/>
  <c r="AF98" i="7"/>
  <c r="AD98" i="7"/>
  <c r="P98" i="7"/>
  <c r="BB97" i="7"/>
  <c r="BA97" i="7"/>
  <c r="AZ97" i="7"/>
  <c r="AY97" i="7"/>
  <c r="AX97" i="7"/>
  <c r="AW97" i="7"/>
  <c r="AU97" i="7"/>
  <c r="AT97" i="7"/>
  <c r="AQ97" i="7"/>
  <c r="AP97" i="7"/>
  <c r="AO97" i="7"/>
  <c r="AN97" i="7"/>
  <c r="AM97" i="7"/>
  <c r="AL97" i="7"/>
  <c r="AK97" i="7"/>
  <c r="AJ97" i="7"/>
  <c r="AI97" i="7"/>
  <c r="AH97" i="7"/>
  <c r="AV97" i="7" s="1"/>
  <c r="AG97" i="7"/>
  <c r="AF97" i="7"/>
  <c r="AD97" i="7"/>
  <c r="P97" i="7"/>
  <c r="BC96" i="7"/>
  <c r="BA96" i="7"/>
  <c r="AQ96" i="7"/>
  <c r="AP96" i="7"/>
  <c r="AO96" i="7"/>
  <c r="AN96" i="7"/>
  <c r="AU96" i="7" s="1"/>
  <c r="AM96" i="7"/>
  <c r="AL96" i="7"/>
  <c r="AK96" i="7"/>
  <c r="AJ96" i="7"/>
  <c r="AI96" i="7"/>
  <c r="AH96" i="7"/>
  <c r="AV96" i="7" s="1"/>
  <c r="AG96" i="7"/>
  <c r="AF96" i="7"/>
  <c r="AD96" i="7"/>
  <c r="P96" i="7"/>
  <c r="BD95" i="7"/>
  <c r="BC95" i="7"/>
  <c r="BB95" i="7"/>
  <c r="BA95" i="7"/>
  <c r="AY95" i="7"/>
  <c r="AW95" i="7"/>
  <c r="AU95" i="7"/>
  <c r="AT95" i="7"/>
  <c r="AQ95" i="7"/>
  <c r="AP95" i="7"/>
  <c r="AO95" i="7"/>
  <c r="AN95" i="7"/>
  <c r="AM95" i="7"/>
  <c r="AZ95" i="7" s="1"/>
  <c r="AL95" i="7"/>
  <c r="AK95" i="7"/>
  <c r="AJ95" i="7"/>
  <c r="AI95" i="7"/>
  <c r="AH95" i="7"/>
  <c r="AV95" i="7" s="1"/>
  <c r="AG95" i="7"/>
  <c r="AF95" i="7"/>
  <c r="AD95" i="7"/>
  <c r="P95" i="7"/>
  <c r="AZ94" i="7"/>
  <c r="AY94" i="7"/>
  <c r="AX94" i="7"/>
  <c r="AW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D94" i="7"/>
  <c r="P94" i="7"/>
  <c r="AW93" i="7"/>
  <c r="AQ93" i="7"/>
  <c r="AP93" i="7"/>
  <c r="BD93" i="7" s="1"/>
  <c r="AO93" i="7"/>
  <c r="AN93" i="7"/>
  <c r="AU93" i="7" s="1"/>
  <c r="AM93" i="7"/>
  <c r="AL93" i="7"/>
  <c r="AK93" i="7"/>
  <c r="AX93" i="7" s="1"/>
  <c r="AJ93" i="7"/>
  <c r="AI93" i="7"/>
  <c r="AH93" i="7"/>
  <c r="AG93" i="7"/>
  <c r="AF93" i="7"/>
  <c r="AD93" i="7"/>
  <c r="P93" i="7"/>
  <c r="BC92" i="7"/>
  <c r="BA92" i="7"/>
  <c r="AY92" i="7"/>
  <c r="AX92" i="7"/>
  <c r="AW92" i="7"/>
  <c r="AU92" i="7"/>
  <c r="AT92" i="7"/>
  <c r="AQ92" i="7"/>
  <c r="BD92" i="7" s="1"/>
  <c r="AP92" i="7"/>
  <c r="AO92" i="7"/>
  <c r="BB92" i="7" s="1"/>
  <c r="AN92" i="7"/>
  <c r="AM92" i="7"/>
  <c r="AL92" i="7"/>
  <c r="AZ92" i="7" s="1"/>
  <c r="AK92" i="7"/>
  <c r="AJ92" i="7"/>
  <c r="AI92" i="7"/>
  <c r="AH92" i="7"/>
  <c r="AV92" i="7" s="1"/>
  <c r="AG92" i="7"/>
  <c r="AF92" i="7"/>
  <c r="AD92" i="7"/>
  <c r="P92" i="7"/>
  <c r="AQ91" i="7"/>
  <c r="BD91" i="7" s="1"/>
  <c r="AP91" i="7"/>
  <c r="BC91" i="7" s="1"/>
  <c r="AO91" i="7"/>
  <c r="BB91" i="7" s="1"/>
  <c r="AN91" i="7"/>
  <c r="AM91" i="7"/>
  <c r="AL91" i="7"/>
  <c r="AK91" i="7"/>
  <c r="AX91" i="7" s="1"/>
  <c r="AJ91" i="7"/>
  <c r="AW91" i="7" s="1"/>
  <c r="AI91" i="7"/>
  <c r="AH91" i="7"/>
  <c r="AV91" i="7" s="1"/>
  <c r="AG91" i="7"/>
  <c r="AF91" i="7"/>
  <c r="AD91" i="7"/>
  <c r="P91" i="7"/>
  <c r="BD90" i="7"/>
  <c r="BC90" i="7"/>
  <c r="BB90" i="7"/>
  <c r="BA90" i="7"/>
  <c r="AZ90" i="7"/>
  <c r="AY90" i="7"/>
  <c r="AX90" i="7"/>
  <c r="AW90" i="7"/>
  <c r="AU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D90" i="7"/>
  <c r="P90" i="7"/>
  <c r="BC89" i="7"/>
  <c r="AX89" i="7"/>
  <c r="AW89" i="7"/>
  <c r="AQ89" i="7"/>
  <c r="AP89" i="7"/>
  <c r="BD89" i="7" s="1"/>
  <c r="AO89" i="7"/>
  <c r="AN89" i="7"/>
  <c r="AM89" i="7"/>
  <c r="AL89" i="7"/>
  <c r="AT89" i="7" s="1"/>
  <c r="AK89" i="7"/>
  <c r="AJ89" i="7"/>
  <c r="AI89" i="7"/>
  <c r="AH89" i="7"/>
  <c r="AV89" i="7" s="1"/>
  <c r="AG89" i="7"/>
  <c r="AF89" i="7"/>
  <c r="AD89" i="7"/>
  <c r="P89" i="7"/>
  <c r="AY88" i="7"/>
  <c r="AX88" i="7"/>
  <c r="AW88" i="7"/>
  <c r="AQ88" i="7"/>
  <c r="AP88" i="7"/>
  <c r="BC88" i="7" s="1"/>
  <c r="AO88" i="7"/>
  <c r="AN88" i="7"/>
  <c r="AM88" i="7"/>
  <c r="AL88" i="7"/>
  <c r="AK88" i="7"/>
  <c r="AJ88" i="7"/>
  <c r="AI88" i="7"/>
  <c r="AH88" i="7"/>
  <c r="AV88" i="7" s="1"/>
  <c r="AG88" i="7"/>
  <c r="AF88" i="7"/>
  <c r="AD88" i="7"/>
  <c r="P88" i="7"/>
  <c r="BC87" i="7"/>
  <c r="BB87" i="7"/>
  <c r="BA87" i="7"/>
  <c r="AY87" i="7"/>
  <c r="AW87" i="7"/>
  <c r="AU87" i="7"/>
  <c r="AT87" i="7"/>
  <c r="AQ87" i="7"/>
  <c r="AP87" i="7"/>
  <c r="AO87" i="7"/>
  <c r="AN87" i="7"/>
  <c r="AM87" i="7"/>
  <c r="AL87" i="7"/>
  <c r="AK87" i="7"/>
  <c r="AJ87" i="7"/>
  <c r="AI87" i="7"/>
  <c r="AH87" i="7"/>
  <c r="AV87" i="7" s="1"/>
  <c r="AG87" i="7"/>
  <c r="AF87" i="7"/>
  <c r="AD87" i="7"/>
  <c r="P87" i="7"/>
  <c r="AQ86" i="7"/>
  <c r="AP86" i="7"/>
  <c r="BD86" i="7" s="1"/>
  <c r="AO86" i="7"/>
  <c r="BB86" i="7" s="1"/>
  <c r="AN86" i="7"/>
  <c r="BA86" i="7" s="1"/>
  <c r="AM86" i="7"/>
  <c r="AL86" i="7"/>
  <c r="AK86" i="7"/>
  <c r="AJ86" i="7"/>
  <c r="AI86" i="7"/>
  <c r="AH86" i="7"/>
  <c r="AG86" i="7"/>
  <c r="AF86" i="7"/>
  <c r="AD86" i="7"/>
  <c r="P86" i="7"/>
  <c r="BC85" i="7"/>
  <c r="BB85" i="7"/>
  <c r="BA85" i="7"/>
  <c r="AZ85" i="7"/>
  <c r="AY85" i="7"/>
  <c r="AX85" i="7"/>
  <c r="AW85" i="7"/>
  <c r="AU85" i="7"/>
  <c r="AT85" i="7"/>
  <c r="AQ85" i="7"/>
  <c r="AP85" i="7"/>
  <c r="BD85" i="7" s="1"/>
  <c r="AO85" i="7"/>
  <c r="AN85" i="7"/>
  <c r="AM85" i="7"/>
  <c r="AL85" i="7"/>
  <c r="AK85" i="7"/>
  <c r="AJ85" i="7"/>
  <c r="AI85" i="7"/>
  <c r="AH85" i="7"/>
  <c r="AV85" i="7" s="1"/>
  <c r="AG85" i="7"/>
  <c r="AF85" i="7"/>
  <c r="AD85" i="7"/>
  <c r="P85" i="7"/>
  <c r="AX84" i="7"/>
  <c r="AW84" i="7"/>
  <c r="AQ84" i="7"/>
  <c r="AP84" i="7"/>
  <c r="AO84" i="7"/>
  <c r="AN84" i="7"/>
  <c r="BA84" i="7" s="1"/>
  <c r="AM84" i="7"/>
  <c r="AL84" i="7"/>
  <c r="AK84" i="7"/>
  <c r="AJ84" i="7"/>
  <c r="AI84" i="7"/>
  <c r="AH84" i="7"/>
  <c r="AV84" i="7" s="1"/>
  <c r="AG84" i="7"/>
  <c r="AF84" i="7"/>
  <c r="AD84" i="7"/>
  <c r="P84" i="7"/>
  <c r="BB83" i="7"/>
  <c r="BA83" i="7"/>
  <c r="AY83" i="7"/>
  <c r="AW83" i="7"/>
  <c r="AU83" i="7"/>
  <c r="AQ83" i="7"/>
  <c r="AP83" i="7"/>
  <c r="AO83" i="7"/>
  <c r="AN83" i="7"/>
  <c r="AM83" i="7"/>
  <c r="AL83" i="7"/>
  <c r="AK83" i="7"/>
  <c r="AJ83" i="7"/>
  <c r="AI83" i="7"/>
  <c r="AH83" i="7"/>
  <c r="AV83" i="7" s="1"/>
  <c r="AG83" i="7"/>
  <c r="AF83" i="7"/>
  <c r="AD83" i="7"/>
  <c r="P83" i="7"/>
  <c r="BC82" i="7"/>
  <c r="BB82" i="7"/>
  <c r="BA82" i="7"/>
  <c r="AZ82" i="7"/>
  <c r="AY82" i="7"/>
  <c r="AQ82" i="7"/>
  <c r="AP82" i="7"/>
  <c r="BD82" i="7" s="1"/>
  <c r="AO82" i="7"/>
  <c r="AN82" i="7"/>
  <c r="AU82" i="7" s="1"/>
  <c r="AM82" i="7"/>
  <c r="AL82" i="7"/>
  <c r="AK82" i="7"/>
  <c r="AJ82" i="7"/>
  <c r="AX82" i="7" s="1"/>
  <c r="AI82" i="7"/>
  <c r="AH82" i="7"/>
  <c r="AG82" i="7"/>
  <c r="AF82" i="7"/>
  <c r="AD82" i="7"/>
  <c r="P82" i="7"/>
  <c r="AZ81" i="7"/>
  <c r="AY81" i="7"/>
  <c r="AT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D81" i="7"/>
  <c r="P81" i="7"/>
  <c r="BC80" i="7"/>
  <c r="BA80" i="7"/>
  <c r="AY80" i="7"/>
  <c r="AX80" i="7"/>
  <c r="AU80" i="7"/>
  <c r="AQ80" i="7"/>
  <c r="BD80" i="7" s="1"/>
  <c r="AP80" i="7"/>
  <c r="AO80" i="7"/>
  <c r="AN80" i="7"/>
  <c r="AM80" i="7"/>
  <c r="AL80" i="7"/>
  <c r="AZ80" i="7" s="1"/>
  <c r="AK80" i="7"/>
  <c r="AJ80" i="7"/>
  <c r="AW80" i="7" s="1"/>
  <c r="AI80" i="7"/>
  <c r="AH80" i="7"/>
  <c r="AV80" i="7" s="1"/>
  <c r="AG80" i="7"/>
  <c r="AF80" i="7"/>
  <c r="AD80" i="7"/>
  <c r="P80" i="7"/>
  <c r="AY79" i="7"/>
  <c r="AW79" i="7"/>
  <c r="AQ79" i="7"/>
  <c r="BD79" i="7" s="1"/>
  <c r="AP79" i="7"/>
  <c r="AO79" i="7"/>
  <c r="AN79" i="7"/>
  <c r="AM79" i="7"/>
  <c r="AL79" i="7"/>
  <c r="AK79" i="7"/>
  <c r="AJ79" i="7"/>
  <c r="AI79" i="7"/>
  <c r="AH79" i="7"/>
  <c r="AV79" i="7" s="1"/>
  <c r="AG79" i="7"/>
  <c r="AF79" i="7"/>
  <c r="AD79" i="7"/>
  <c r="P79" i="7"/>
  <c r="BD78" i="7"/>
  <c r="BC78" i="7"/>
  <c r="BB78" i="7"/>
  <c r="BA78" i="7"/>
  <c r="AZ78" i="7"/>
  <c r="AQ78" i="7"/>
  <c r="AP78" i="7"/>
  <c r="AO78" i="7"/>
  <c r="AN78" i="7"/>
  <c r="AM78" i="7"/>
  <c r="AL78" i="7"/>
  <c r="AY78" i="7" s="1"/>
  <c r="AK78" i="7"/>
  <c r="AX78" i="7" s="1"/>
  <c r="AJ78" i="7"/>
  <c r="AW78" i="7" s="1"/>
  <c r="AI78" i="7"/>
  <c r="AH78" i="7"/>
  <c r="AG78" i="7"/>
  <c r="AF78" i="7"/>
  <c r="AD78" i="7"/>
  <c r="P78" i="7"/>
  <c r="AZ77" i="7"/>
  <c r="AY77" i="7"/>
  <c r="AX77" i="7"/>
  <c r="AW77" i="7"/>
  <c r="AT77" i="7"/>
  <c r="AQ77" i="7"/>
  <c r="AP77" i="7"/>
  <c r="AO77" i="7"/>
  <c r="AN77" i="7"/>
  <c r="AM77" i="7"/>
  <c r="AL77" i="7"/>
  <c r="AK77" i="7"/>
  <c r="AJ77" i="7"/>
  <c r="AI77" i="7"/>
  <c r="AH77" i="7"/>
  <c r="AV77" i="7" s="1"/>
  <c r="AG77" i="7"/>
  <c r="AF77" i="7"/>
  <c r="AD77" i="7"/>
  <c r="P77" i="7"/>
  <c r="BC76" i="7"/>
  <c r="BA76" i="7"/>
  <c r="AY76" i="7"/>
  <c r="AX76" i="7"/>
  <c r="AT76" i="7"/>
  <c r="AQ76" i="7"/>
  <c r="BD76" i="7" s="1"/>
  <c r="AP76" i="7"/>
  <c r="AO76" i="7"/>
  <c r="AN76" i="7"/>
  <c r="AU76" i="7" s="1"/>
  <c r="AM76" i="7"/>
  <c r="AL76" i="7"/>
  <c r="AZ76" i="7" s="1"/>
  <c r="AK76" i="7"/>
  <c r="AJ76" i="7"/>
  <c r="AW76" i="7" s="1"/>
  <c r="AI76" i="7"/>
  <c r="AH76" i="7"/>
  <c r="AV76" i="7" s="1"/>
  <c r="AG76" i="7"/>
  <c r="AF76" i="7"/>
  <c r="AD76" i="7"/>
  <c r="P76" i="7"/>
  <c r="BB75" i="7"/>
  <c r="BA75" i="7"/>
  <c r="AW75" i="7"/>
  <c r="AU75" i="7"/>
  <c r="AQ75" i="7"/>
  <c r="BD75" i="7" s="1"/>
  <c r="AP75" i="7"/>
  <c r="BC75" i="7" s="1"/>
  <c r="AO75" i="7"/>
  <c r="AN75" i="7"/>
  <c r="AM75" i="7"/>
  <c r="AL75" i="7"/>
  <c r="AK75" i="7"/>
  <c r="AX75" i="7" s="1"/>
  <c r="AJ75" i="7"/>
  <c r="AI75" i="7"/>
  <c r="AH75" i="7"/>
  <c r="AV75" i="7" s="1"/>
  <c r="AG75" i="7"/>
  <c r="AF75" i="7"/>
  <c r="AD75" i="7"/>
  <c r="P75" i="7"/>
  <c r="BD74" i="7"/>
  <c r="BC74" i="7"/>
  <c r="AY74" i="7"/>
  <c r="AX74" i="7"/>
  <c r="AW74" i="7"/>
  <c r="AU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D74" i="7"/>
  <c r="P74" i="7"/>
  <c r="BC73" i="7"/>
  <c r="AQ73" i="7"/>
  <c r="AP73" i="7"/>
  <c r="BD73" i="7" s="1"/>
  <c r="AO73" i="7"/>
  <c r="AN73" i="7"/>
  <c r="BB73" i="7" s="1"/>
  <c r="AM73" i="7"/>
  <c r="AL73" i="7"/>
  <c r="AK73" i="7"/>
  <c r="AJ73" i="7"/>
  <c r="AW73" i="7" s="1"/>
  <c r="AI73" i="7"/>
  <c r="AH73" i="7"/>
  <c r="AV73" i="7" s="1"/>
  <c r="AG73" i="7"/>
  <c r="AF73" i="7"/>
  <c r="AD73" i="7"/>
  <c r="P73" i="7"/>
  <c r="BA72" i="7"/>
  <c r="AY72" i="7"/>
  <c r="AX72" i="7"/>
  <c r="AW72" i="7"/>
  <c r="AU72" i="7"/>
  <c r="AT72" i="7"/>
  <c r="AQ72" i="7"/>
  <c r="AP72" i="7"/>
  <c r="BC72" i="7" s="1"/>
  <c r="AO72" i="7"/>
  <c r="BB72" i="7" s="1"/>
  <c r="AN72" i="7"/>
  <c r="AM72" i="7"/>
  <c r="AL72" i="7"/>
  <c r="AZ72" i="7" s="1"/>
  <c r="AK72" i="7"/>
  <c r="AJ72" i="7"/>
  <c r="AI72" i="7"/>
  <c r="AH72" i="7"/>
  <c r="AV72" i="7" s="1"/>
  <c r="AG72" i="7"/>
  <c r="AF72" i="7"/>
  <c r="AD72" i="7"/>
  <c r="P72" i="7"/>
  <c r="BD71" i="7"/>
  <c r="BC71" i="7"/>
  <c r="AQ71" i="7"/>
  <c r="AP71" i="7"/>
  <c r="AO71" i="7"/>
  <c r="BB71" i="7" s="1"/>
  <c r="AN71" i="7"/>
  <c r="AM71" i="7"/>
  <c r="AL71" i="7"/>
  <c r="AY71" i="7" s="1"/>
  <c r="AK71" i="7"/>
  <c r="AJ71" i="7"/>
  <c r="AW71" i="7" s="1"/>
  <c r="AI71" i="7"/>
  <c r="AH71" i="7"/>
  <c r="AV71" i="7" s="1"/>
  <c r="AG71" i="7"/>
  <c r="AF71" i="7"/>
  <c r="AD71" i="7"/>
  <c r="P71" i="7"/>
  <c r="BB70" i="7"/>
  <c r="BA70" i="7"/>
  <c r="AZ70" i="7"/>
  <c r="AY70" i="7"/>
  <c r="AX70" i="7"/>
  <c r="AW70" i="7"/>
  <c r="AU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D70" i="7"/>
  <c r="P70" i="7"/>
  <c r="BC69" i="7"/>
  <c r="BB69" i="7"/>
  <c r="BA69" i="7"/>
  <c r="AW69" i="7"/>
  <c r="AQ69" i="7"/>
  <c r="AP69" i="7"/>
  <c r="BD69" i="7" s="1"/>
  <c r="AO69" i="7"/>
  <c r="AN69" i="7"/>
  <c r="AU69" i="7" s="1"/>
  <c r="AM69" i="7"/>
  <c r="AL69" i="7"/>
  <c r="AK69" i="7"/>
  <c r="AJ69" i="7"/>
  <c r="AI69" i="7"/>
  <c r="AH69" i="7"/>
  <c r="AV69" i="7" s="1"/>
  <c r="AG69" i="7"/>
  <c r="AF69" i="7"/>
  <c r="AD69" i="7"/>
  <c r="P69" i="7"/>
  <c r="AY68" i="7"/>
  <c r="AX68" i="7"/>
  <c r="AW68" i="7"/>
  <c r="AT68" i="7"/>
  <c r="AQ68" i="7"/>
  <c r="AP68" i="7"/>
  <c r="AO68" i="7"/>
  <c r="AN68" i="7"/>
  <c r="AM68" i="7"/>
  <c r="AL68" i="7"/>
  <c r="AZ68" i="7" s="1"/>
  <c r="AK68" i="7"/>
  <c r="AJ68" i="7"/>
  <c r="AI68" i="7"/>
  <c r="AH68" i="7"/>
  <c r="AV68" i="7" s="1"/>
  <c r="AG68" i="7"/>
  <c r="AF68" i="7"/>
  <c r="AD68" i="7"/>
  <c r="P68" i="7"/>
  <c r="BB67" i="7"/>
  <c r="BA67" i="7"/>
  <c r="AY67" i="7"/>
  <c r="AW67" i="7"/>
  <c r="AU67" i="7"/>
  <c r="AQ67" i="7"/>
  <c r="AP67" i="7"/>
  <c r="AO67" i="7"/>
  <c r="AN67" i="7"/>
  <c r="AM67" i="7"/>
  <c r="AL67" i="7"/>
  <c r="AK67" i="7"/>
  <c r="AJ67" i="7"/>
  <c r="AI67" i="7"/>
  <c r="AH67" i="7"/>
  <c r="AV67" i="7" s="1"/>
  <c r="AG67" i="7"/>
  <c r="AF67" i="7"/>
  <c r="AD67" i="7"/>
  <c r="P67" i="7"/>
  <c r="AQ66" i="7"/>
  <c r="AP66" i="7"/>
  <c r="BD66" i="7" s="1"/>
  <c r="AO66" i="7"/>
  <c r="AN66" i="7"/>
  <c r="AM66" i="7"/>
  <c r="AL66" i="7"/>
  <c r="AY66" i="7" s="1"/>
  <c r="AK66" i="7"/>
  <c r="AX66" i="7" s="1"/>
  <c r="AJ66" i="7"/>
  <c r="AW66" i="7" s="1"/>
  <c r="AI66" i="7"/>
  <c r="AH66" i="7"/>
  <c r="AG66" i="7"/>
  <c r="AF66" i="7"/>
  <c r="AD66" i="7"/>
  <c r="P66" i="7"/>
  <c r="BC65" i="7"/>
  <c r="BB65" i="7"/>
  <c r="BA65" i="7"/>
  <c r="AZ65" i="7"/>
  <c r="AY65" i="7"/>
  <c r="AX65" i="7"/>
  <c r="AW65" i="7"/>
  <c r="AQ65" i="7"/>
  <c r="AP65" i="7"/>
  <c r="BD65" i="7" s="1"/>
  <c r="AO65" i="7"/>
  <c r="AN65" i="7"/>
  <c r="AM65" i="7"/>
  <c r="AU65" i="7" s="1"/>
  <c r="AL65" i="7"/>
  <c r="AK65" i="7"/>
  <c r="AJ65" i="7"/>
  <c r="AI65" i="7"/>
  <c r="AH65" i="7"/>
  <c r="AV65" i="7" s="1"/>
  <c r="AG65" i="7"/>
  <c r="AF65" i="7"/>
  <c r="AD65" i="7"/>
  <c r="P65" i="7"/>
  <c r="AX64" i="7"/>
  <c r="AW64" i="7"/>
  <c r="AT64" i="7"/>
  <c r="AQ64" i="7"/>
  <c r="AP64" i="7"/>
  <c r="AO64" i="7"/>
  <c r="AN64" i="7"/>
  <c r="AM64" i="7"/>
  <c r="AL64" i="7"/>
  <c r="AK64" i="7"/>
  <c r="AJ64" i="7"/>
  <c r="AI64" i="7"/>
  <c r="AH64" i="7"/>
  <c r="AV64" i="7" s="1"/>
  <c r="AG64" i="7"/>
  <c r="AF64" i="7"/>
  <c r="AD64" i="7"/>
  <c r="P64" i="7"/>
  <c r="BD63" i="7"/>
  <c r="BC63" i="7"/>
  <c r="BB63" i="7"/>
  <c r="BA63" i="7"/>
  <c r="AY63" i="7"/>
  <c r="AQ63" i="7"/>
  <c r="AP63" i="7"/>
  <c r="AO63" i="7"/>
  <c r="AN63" i="7"/>
  <c r="AU63" i="7" s="1"/>
  <c r="AM63" i="7"/>
  <c r="AL63" i="7"/>
  <c r="AK63" i="7"/>
  <c r="AJ63" i="7"/>
  <c r="AW63" i="7" s="1"/>
  <c r="AI63" i="7"/>
  <c r="AH63" i="7"/>
  <c r="AV63" i="7" s="1"/>
  <c r="AG63" i="7"/>
  <c r="AF63" i="7"/>
  <c r="AD63" i="7"/>
  <c r="P63" i="7"/>
  <c r="AZ62" i="7"/>
  <c r="AY62" i="7"/>
  <c r="AX62" i="7"/>
  <c r="AW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D62" i="7"/>
  <c r="P62" i="7"/>
  <c r="BD61" i="7"/>
  <c r="BC61" i="7"/>
  <c r="BB61" i="7"/>
  <c r="BA61" i="7"/>
  <c r="AZ61" i="7"/>
  <c r="AX61" i="7"/>
  <c r="AQ61" i="7"/>
  <c r="AP61" i="7"/>
  <c r="AO61" i="7"/>
  <c r="AN61" i="7"/>
  <c r="AU61" i="7" s="1"/>
  <c r="AM61" i="7"/>
  <c r="AT61" i="7" s="1"/>
  <c r="AL61" i="7"/>
  <c r="AK61" i="7"/>
  <c r="AJ61" i="7"/>
  <c r="AI61" i="7"/>
  <c r="AH61" i="7"/>
  <c r="AG61" i="7"/>
  <c r="AF61" i="7"/>
  <c r="AD61" i="7"/>
  <c r="P61" i="7"/>
  <c r="BA60" i="7"/>
  <c r="AZ60" i="7"/>
  <c r="AY60" i="7"/>
  <c r="AX60" i="7"/>
  <c r="AW60" i="7"/>
  <c r="AU60" i="7"/>
  <c r="AT60" i="7"/>
  <c r="AQ60" i="7"/>
  <c r="AP60" i="7"/>
  <c r="BC60" i="7" s="1"/>
  <c r="AO60" i="7"/>
  <c r="BB60" i="7" s="1"/>
  <c r="AN60" i="7"/>
  <c r="AM60" i="7"/>
  <c r="AL60" i="7"/>
  <c r="AK60" i="7"/>
  <c r="AJ60" i="7"/>
  <c r="AI60" i="7"/>
  <c r="AH60" i="7"/>
  <c r="AV60" i="7" s="1"/>
  <c r="AG60" i="7"/>
  <c r="AF60" i="7"/>
  <c r="AD60" i="7"/>
  <c r="P60" i="7"/>
  <c r="BD59" i="7"/>
  <c r="BC59" i="7"/>
  <c r="BB59" i="7"/>
  <c r="AQ59" i="7"/>
  <c r="AP59" i="7"/>
  <c r="AO59" i="7"/>
  <c r="AN59" i="7"/>
  <c r="BA59" i="7" s="1"/>
  <c r="AM59" i="7"/>
  <c r="AZ59" i="7" s="1"/>
  <c r="AL59" i="7"/>
  <c r="AK59" i="7"/>
  <c r="AJ59" i="7"/>
  <c r="AW59" i="7" s="1"/>
  <c r="AI59" i="7"/>
  <c r="AH59" i="7"/>
  <c r="AV59" i="7" s="1"/>
  <c r="AG59" i="7"/>
  <c r="AF59" i="7"/>
  <c r="AD59" i="7"/>
  <c r="P59" i="7"/>
  <c r="BD58" i="7"/>
  <c r="BC58" i="7"/>
  <c r="BB58" i="7"/>
  <c r="BA58" i="7"/>
  <c r="AZ58" i="7"/>
  <c r="AX58" i="7"/>
  <c r="AW58" i="7"/>
  <c r="AU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D58" i="7"/>
  <c r="P58" i="7"/>
  <c r="BD57" i="7"/>
  <c r="AY57" i="7"/>
  <c r="AX57" i="7"/>
  <c r="AW57" i="7"/>
  <c r="AQ57" i="7"/>
  <c r="AP57" i="7"/>
  <c r="BC57" i="7" s="1"/>
  <c r="AO57" i="7"/>
  <c r="AN57" i="7"/>
  <c r="AM57" i="7"/>
  <c r="AL57" i="7"/>
  <c r="AK57" i="7"/>
  <c r="AJ57" i="7"/>
  <c r="AI57" i="7"/>
  <c r="AH57" i="7"/>
  <c r="AV57" i="7" s="1"/>
  <c r="AG57" i="7"/>
  <c r="AF57" i="7"/>
  <c r="AD57" i="7"/>
  <c r="P57" i="7"/>
  <c r="BA56" i="7"/>
  <c r="AZ56" i="7"/>
  <c r="AY56" i="7"/>
  <c r="AX56" i="7"/>
  <c r="AQ56" i="7"/>
  <c r="AP56" i="7"/>
  <c r="AO56" i="7"/>
  <c r="AN56" i="7"/>
  <c r="AU56" i="7" s="1"/>
  <c r="AM56" i="7"/>
  <c r="AL56" i="7"/>
  <c r="AT56" i="7" s="1"/>
  <c r="AK56" i="7"/>
  <c r="AJ56" i="7"/>
  <c r="AI56" i="7"/>
  <c r="AH56" i="7"/>
  <c r="AG56" i="7"/>
  <c r="AF56" i="7"/>
  <c r="AD56" i="7"/>
  <c r="P56" i="7"/>
  <c r="BA55" i="7"/>
  <c r="AY55" i="7"/>
  <c r="AW55" i="7"/>
  <c r="AU55" i="7"/>
  <c r="AT55" i="7"/>
  <c r="AQ55" i="7"/>
  <c r="AP55" i="7"/>
  <c r="AO55" i="7"/>
  <c r="BB55" i="7" s="1"/>
  <c r="AN55" i="7"/>
  <c r="AM55" i="7"/>
  <c r="AL55" i="7"/>
  <c r="AK55" i="7"/>
  <c r="AJ55" i="7"/>
  <c r="AI55" i="7"/>
  <c r="AH55" i="7"/>
  <c r="AV55" i="7" s="1"/>
  <c r="AG55" i="7"/>
  <c r="AF55" i="7"/>
  <c r="AD55" i="7"/>
  <c r="P55" i="7"/>
  <c r="BD54" i="7"/>
  <c r="BC54" i="7"/>
  <c r="BB54" i="7"/>
  <c r="AQ54" i="7"/>
  <c r="AP54" i="7"/>
  <c r="AO54" i="7"/>
  <c r="AN54" i="7"/>
  <c r="BA54" i="7" s="1"/>
  <c r="AM54" i="7"/>
  <c r="AL54" i="7"/>
  <c r="AK54" i="7"/>
  <c r="AJ54" i="7"/>
  <c r="AI54" i="7"/>
  <c r="AH54" i="7"/>
  <c r="AG54" i="7"/>
  <c r="AF54" i="7"/>
  <c r="AD54" i="7"/>
  <c r="P54" i="7"/>
  <c r="BD53" i="7"/>
  <c r="BC53" i="7"/>
  <c r="BB53" i="7"/>
  <c r="AZ53" i="7"/>
  <c r="AY53" i="7"/>
  <c r="AX53" i="7"/>
  <c r="AW53" i="7"/>
  <c r="AU53" i="7"/>
  <c r="AT53" i="7"/>
  <c r="AQ53" i="7"/>
  <c r="AP53" i="7"/>
  <c r="AO53" i="7"/>
  <c r="AN53" i="7"/>
  <c r="AM53" i="7"/>
  <c r="AL53" i="7"/>
  <c r="AK53" i="7"/>
  <c r="AJ53" i="7"/>
  <c r="AI53" i="7"/>
  <c r="AH53" i="7"/>
  <c r="AV53" i="7" s="1"/>
  <c r="AG53" i="7"/>
  <c r="AF53" i="7"/>
  <c r="AD53" i="7"/>
  <c r="P53" i="7"/>
  <c r="AX52" i="7"/>
  <c r="AW52" i="7"/>
  <c r="AQ52" i="7"/>
  <c r="AP52" i="7"/>
  <c r="AO52" i="7"/>
  <c r="AN52" i="7"/>
  <c r="AM52" i="7"/>
  <c r="AL52" i="7"/>
  <c r="AY52" i="7" s="1"/>
  <c r="AK52" i="7"/>
  <c r="AJ52" i="7"/>
  <c r="AI52" i="7"/>
  <c r="AH52" i="7"/>
  <c r="AV52" i="7" s="1"/>
  <c r="AG52" i="7"/>
  <c r="AF52" i="7"/>
  <c r="AD52" i="7"/>
  <c r="P52" i="7"/>
  <c r="BD51" i="7"/>
  <c r="BC51" i="7"/>
  <c r="BB51" i="7"/>
  <c r="BA51" i="7"/>
  <c r="AZ51" i="7"/>
  <c r="AY51" i="7"/>
  <c r="AQ51" i="7"/>
  <c r="AP51" i="7"/>
  <c r="AO51" i="7"/>
  <c r="AN51" i="7"/>
  <c r="AU51" i="7" s="1"/>
  <c r="AM51" i="7"/>
  <c r="AT51" i="7" s="1"/>
  <c r="AL51" i="7"/>
  <c r="AK51" i="7"/>
  <c r="AJ51" i="7"/>
  <c r="AI51" i="7"/>
  <c r="AH51" i="7"/>
  <c r="AG51" i="7"/>
  <c r="AF51" i="7"/>
  <c r="AD51" i="7"/>
  <c r="P51" i="7"/>
  <c r="BC50" i="7"/>
  <c r="BA50" i="7"/>
  <c r="AZ50" i="7"/>
  <c r="AY50" i="7"/>
  <c r="AX50" i="7"/>
  <c r="AW50" i="7"/>
  <c r="AU50" i="7"/>
  <c r="AQ50" i="7"/>
  <c r="BD50" i="7" s="1"/>
  <c r="AP50" i="7"/>
  <c r="AO50" i="7"/>
  <c r="AN50" i="7"/>
  <c r="AM50" i="7"/>
  <c r="AL50" i="7"/>
  <c r="AK50" i="7"/>
  <c r="AJ50" i="7"/>
  <c r="AI50" i="7"/>
  <c r="AH50" i="7"/>
  <c r="AV50" i="7" s="1"/>
  <c r="AG50" i="7"/>
  <c r="AF50" i="7"/>
  <c r="AD50" i="7"/>
  <c r="P50" i="7"/>
  <c r="BD49" i="7"/>
  <c r="BC49" i="7"/>
  <c r="AW49" i="7"/>
  <c r="AQ49" i="7"/>
  <c r="AP49" i="7"/>
  <c r="AO49" i="7"/>
  <c r="AN49" i="7"/>
  <c r="AM49" i="7"/>
  <c r="AL49" i="7"/>
  <c r="AY49" i="7" s="1"/>
  <c r="AK49" i="7"/>
  <c r="AX49" i="7" s="1"/>
  <c r="AJ49" i="7"/>
  <c r="AI49" i="7"/>
  <c r="AH49" i="7"/>
  <c r="AG49" i="7"/>
  <c r="AF49" i="7"/>
  <c r="AD49" i="7"/>
  <c r="P49" i="7"/>
  <c r="BD48" i="7"/>
  <c r="BC48" i="7"/>
  <c r="BA48" i="7"/>
  <c r="AZ48" i="7"/>
  <c r="AY48" i="7"/>
  <c r="AX48" i="7"/>
  <c r="AW48" i="7"/>
  <c r="AQ48" i="7"/>
  <c r="AP48" i="7"/>
  <c r="AO48" i="7"/>
  <c r="AN48" i="7"/>
  <c r="AU48" i="7" s="1"/>
  <c r="AM48" i="7"/>
  <c r="AT48" i="7" s="1"/>
  <c r="AL48" i="7"/>
  <c r="AK48" i="7"/>
  <c r="AJ48" i="7"/>
  <c r="AI48" i="7"/>
  <c r="AH48" i="7"/>
  <c r="AG48" i="7"/>
  <c r="AF48" i="7"/>
  <c r="AD48" i="7"/>
  <c r="P48" i="7"/>
  <c r="BC47" i="7"/>
  <c r="BB47" i="7"/>
  <c r="BA47" i="7"/>
  <c r="AZ47" i="7"/>
  <c r="AY47" i="7"/>
  <c r="AW47" i="7"/>
  <c r="AU47" i="7"/>
  <c r="AT47" i="7"/>
  <c r="AQ47" i="7"/>
  <c r="BD47" i="7" s="1"/>
  <c r="AP47" i="7"/>
  <c r="AO47" i="7"/>
  <c r="AN47" i="7"/>
  <c r="AM47" i="7"/>
  <c r="AL47" i="7"/>
  <c r="AK47" i="7"/>
  <c r="AJ47" i="7"/>
  <c r="AI47" i="7"/>
  <c r="AH47" i="7"/>
  <c r="AV47" i="7" s="1"/>
  <c r="AG47" i="7"/>
  <c r="AF47" i="7"/>
  <c r="AD47" i="7"/>
  <c r="P47" i="7"/>
  <c r="BD46" i="7"/>
  <c r="AX46" i="7"/>
  <c r="AW46" i="7"/>
  <c r="AQ46" i="7"/>
  <c r="AP46" i="7"/>
  <c r="BC46" i="7" s="1"/>
  <c r="AO46" i="7"/>
  <c r="AN46" i="7"/>
  <c r="AM46" i="7"/>
  <c r="AL46" i="7"/>
  <c r="AY46" i="7" s="1"/>
  <c r="AK46" i="7"/>
  <c r="AJ46" i="7"/>
  <c r="AI46" i="7"/>
  <c r="AH46" i="7"/>
  <c r="AV46" i="7" s="1"/>
  <c r="AG46" i="7"/>
  <c r="AF46" i="7"/>
  <c r="AD46" i="7"/>
  <c r="P46" i="7"/>
  <c r="BD45" i="7"/>
  <c r="BC45" i="7"/>
  <c r="BB45" i="7"/>
  <c r="BA45" i="7"/>
  <c r="AZ45" i="7"/>
  <c r="AY45" i="7"/>
  <c r="AX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D45" i="7"/>
  <c r="P45" i="7"/>
  <c r="BD44" i="7"/>
  <c r="BC44" i="7"/>
  <c r="BA44" i="7"/>
  <c r="AZ44" i="7"/>
  <c r="AY44" i="7"/>
  <c r="AX44" i="7"/>
  <c r="AW44" i="7"/>
  <c r="AQ44" i="7"/>
  <c r="AP44" i="7"/>
  <c r="AO44" i="7"/>
  <c r="AN44" i="7"/>
  <c r="AM44" i="7"/>
  <c r="AL44" i="7"/>
  <c r="AK44" i="7"/>
  <c r="AJ44" i="7"/>
  <c r="AI44" i="7"/>
  <c r="AH44" i="7"/>
  <c r="AV44" i="7" s="1"/>
  <c r="AG44" i="7"/>
  <c r="AF44" i="7"/>
  <c r="AD44" i="7"/>
  <c r="P44" i="7"/>
  <c r="AY43" i="7"/>
  <c r="AW43" i="7"/>
  <c r="AQ43" i="7"/>
  <c r="BD43" i="7" s="1"/>
  <c r="AP43" i="7"/>
  <c r="AO43" i="7"/>
  <c r="AN43" i="7"/>
  <c r="AM43" i="7"/>
  <c r="AZ43" i="7" s="1"/>
  <c r="AL43" i="7"/>
  <c r="AK43" i="7"/>
  <c r="AJ43" i="7"/>
  <c r="AI43" i="7"/>
  <c r="AH43" i="7"/>
  <c r="AV43" i="7" s="1"/>
  <c r="AG43" i="7"/>
  <c r="AF43" i="7"/>
  <c r="AD43" i="7"/>
  <c r="P43" i="7"/>
  <c r="BD42" i="7"/>
  <c r="BC42" i="7"/>
  <c r="BB42" i="7"/>
  <c r="BA42" i="7"/>
  <c r="AZ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D42" i="7"/>
  <c r="P42" i="7"/>
  <c r="BD41" i="7"/>
  <c r="BC41" i="7"/>
  <c r="BB41" i="7"/>
  <c r="BA41" i="7"/>
  <c r="AZ41" i="7"/>
  <c r="AY41" i="7"/>
  <c r="AX41" i="7"/>
  <c r="AW41" i="7"/>
  <c r="AQ41" i="7"/>
  <c r="AP41" i="7"/>
  <c r="AO41" i="7"/>
  <c r="AN41" i="7"/>
  <c r="AM41" i="7"/>
  <c r="AL41" i="7"/>
  <c r="AK41" i="7"/>
  <c r="AJ41" i="7"/>
  <c r="AI41" i="7"/>
  <c r="AH41" i="7"/>
  <c r="AV41" i="7" s="1"/>
  <c r="AG41" i="7"/>
  <c r="AF41" i="7"/>
  <c r="AD41" i="7"/>
  <c r="P41" i="7"/>
  <c r="AZ40" i="7"/>
  <c r="AY40" i="7"/>
  <c r="AX40" i="7"/>
  <c r="AW40" i="7"/>
  <c r="AQ40" i="7"/>
  <c r="AP40" i="7"/>
  <c r="AO40" i="7"/>
  <c r="BB40" i="7" s="1"/>
  <c r="AN40" i="7"/>
  <c r="BA40" i="7" s="1"/>
  <c r="AM40" i="7"/>
  <c r="AL40" i="7"/>
  <c r="AK40" i="7"/>
  <c r="AJ40" i="7"/>
  <c r="AI40" i="7"/>
  <c r="AH40" i="7"/>
  <c r="AV40" i="7" s="1"/>
  <c r="AG40" i="7"/>
  <c r="AF40" i="7"/>
  <c r="AD40" i="7"/>
  <c r="P40" i="7"/>
  <c r="BD39" i="7"/>
  <c r="BC39" i="7"/>
  <c r="BB39" i="7"/>
  <c r="BA39" i="7"/>
  <c r="AQ39" i="7"/>
  <c r="AP39" i="7"/>
  <c r="AO39" i="7"/>
  <c r="AN39" i="7"/>
  <c r="AM39" i="7"/>
  <c r="AL39" i="7"/>
  <c r="AY39" i="7" s="1"/>
  <c r="AK39" i="7"/>
  <c r="AJ39" i="7"/>
  <c r="AW39" i="7" s="1"/>
  <c r="AI39" i="7"/>
  <c r="AH39" i="7"/>
  <c r="AG39" i="7"/>
  <c r="AF39" i="7"/>
  <c r="AD39" i="7"/>
  <c r="P39" i="7"/>
  <c r="BD38" i="7"/>
  <c r="BC38" i="7"/>
  <c r="BB38" i="7"/>
  <c r="BA38" i="7"/>
  <c r="AZ38" i="7"/>
  <c r="AY38" i="7"/>
  <c r="AX38" i="7"/>
  <c r="AW38" i="7"/>
  <c r="AQ38" i="7"/>
  <c r="AP38" i="7"/>
  <c r="AO38" i="7"/>
  <c r="AN38" i="7"/>
  <c r="AM38" i="7"/>
  <c r="AL38" i="7"/>
  <c r="AK38" i="7"/>
  <c r="AJ38" i="7"/>
  <c r="AI38" i="7"/>
  <c r="AH38" i="7"/>
  <c r="AV38" i="7" s="1"/>
  <c r="AG38" i="7"/>
  <c r="AF38" i="7"/>
  <c r="AD38" i="7"/>
  <c r="P38" i="7"/>
  <c r="BB37" i="7"/>
  <c r="BA37" i="7"/>
  <c r="AZ37" i="7"/>
  <c r="AY37" i="7"/>
  <c r="AX37" i="7"/>
  <c r="AW37" i="7"/>
  <c r="AQ37" i="7"/>
  <c r="AP37" i="7"/>
  <c r="BC37" i="7" s="1"/>
  <c r="AO37" i="7"/>
  <c r="AN37" i="7"/>
  <c r="AM37" i="7"/>
  <c r="AL37" i="7"/>
  <c r="AK37" i="7"/>
  <c r="AJ37" i="7"/>
  <c r="AI37" i="7"/>
  <c r="AH37" i="7"/>
  <c r="AV37" i="7" s="1"/>
  <c r="AG37" i="7"/>
  <c r="AF37" i="7"/>
  <c r="AD37" i="7"/>
  <c r="P37" i="7"/>
  <c r="BD36" i="7"/>
  <c r="BC36" i="7"/>
  <c r="BA36" i="7"/>
  <c r="AV36" i="7"/>
  <c r="AQ36" i="7"/>
  <c r="AP36" i="7"/>
  <c r="AO36" i="7"/>
  <c r="AN36" i="7"/>
  <c r="AM36" i="7"/>
  <c r="AL36" i="7"/>
  <c r="AY36" i="7" s="1"/>
  <c r="AK36" i="7"/>
  <c r="AJ36" i="7"/>
  <c r="AI36" i="7"/>
  <c r="AH36" i="7"/>
  <c r="AG36" i="7"/>
  <c r="AF36" i="7"/>
  <c r="AD36" i="7"/>
  <c r="P36" i="7"/>
  <c r="BD35" i="7"/>
  <c r="BC35" i="7"/>
  <c r="BB35" i="7"/>
  <c r="BA35" i="7"/>
  <c r="AZ35" i="7"/>
  <c r="AY35" i="7"/>
  <c r="AX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P35" i="7"/>
  <c r="BD34" i="7"/>
  <c r="BC34" i="7"/>
  <c r="BB34" i="7"/>
  <c r="BA34" i="7"/>
  <c r="AZ34" i="7"/>
  <c r="AY34" i="7"/>
  <c r="AX34" i="7"/>
  <c r="AW34" i="7"/>
  <c r="AQ34" i="7"/>
  <c r="AP34" i="7"/>
  <c r="AO34" i="7"/>
  <c r="AN34" i="7"/>
  <c r="AM34" i="7"/>
  <c r="AL34" i="7"/>
  <c r="AK34" i="7"/>
  <c r="AJ34" i="7"/>
  <c r="AI34" i="7"/>
  <c r="AH34" i="7"/>
  <c r="AV34" i="7" s="1"/>
  <c r="AG34" i="7"/>
  <c r="AF34" i="7"/>
  <c r="AD34" i="7"/>
  <c r="P34" i="7"/>
  <c r="AZ33" i="7"/>
  <c r="AY33" i="7"/>
  <c r="AX33" i="7"/>
  <c r="AW33" i="7"/>
  <c r="AQ33" i="7"/>
  <c r="AP33" i="7"/>
  <c r="AO33" i="7"/>
  <c r="AN33" i="7"/>
  <c r="BA33" i="7" s="1"/>
  <c r="AM33" i="7"/>
  <c r="AL33" i="7"/>
  <c r="AK33" i="7"/>
  <c r="AJ33" i="7"/>
  <c r="AI33" i="7"/>
  <c r="AH33" i="7"/>
  <c r="AV33" i="7" s="1"/>
  <c r="AG33" i="7"/>
  <c r="AT33" i="7" s="1"/>
  <c r="AF33" i="7"/>
  <c r="AD33" i="7"/>
  <c r="P33" i="7"/>
  <c r="BD32" i="7"/>
  <c r="BC32" i="7"/>
  <c r="BB32" i="7"/>
  <c r="BA32" i="7"/>
  <c r="AV32" i="7"/>
  <c r="AQ32" i="7"/>
  <c r="AP32" i="7"/>
  <c r="AO32" i="7"/>
  <c r="AN32" i="7"/>
  <c r="AM32" i="7"/>
  <c r="AL32" i="7"/>
  <c r="AK32" i="7"/>
  <c r="AJ32" i="7"/>
  <c r="AW32" i="7" s="1"/>
  <c r="AI32" i="7"/>
  <c r="AH32" i="7"/>
  <c r="AG32" i="7"/>
  <c r="AF32" i="7"/>
  <c r="AD32" i="7"/>
  <c r="P32" i="7"/>
  <c r="BD31" i="7"/>
  <c r="BC31" i="7"/>
  <c r="BB31" i="7"/>
  <c r="BA31" i="7"/>
  <c r="AZ31" i="7"/>
  <c r="AY31" i="7"/>
  <c r="AX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P31" i="7"/>
  <c r="BD30" i="7"/>
  <c r="BC30" i="7"/>
  <c r="BB30" i="7"/>
  <c r="BA30" i="7"/>
  <c r="AZ30" i="7"/>
  <c r="AY30" i="7"/>
  <c r="AX30" i="7"/>
  <c r="AW30" i="7"/>
  <c r="AQ30" i="7"/>
  <c r="AP30" i="7"/>
  <c r="AO30" i="7"/>
  <c r="AN30" i="7"/>
  <c r="AM30" i="7"/>
  <c r="AL30" i="7"/>
  <c r="AK30" i="7"/>
  <c r="AJ30" i="7"/>
  <c r="AI30" i="7"/>
  <c r="AH30" i="7"/>
  <c r="AV30" i="7" s="1"/>
  <c r="AG30" i="7"/>
  <c r="AF30" i="7"/>
  <c r="AD30" i="7"/>
  <c r="P30" i="7"/>
  <c r="AZ29" i="7"/>
  <c r="AY29" i="7"/>
  <c r="AX29" i="7"/>
  <c r="AW29" i="7"/>
  <c r="AQ29" i="7"/>
  <c r="BD29" i="7" s="1"/>
  <c r="AP29" i="7"/>
  <c r="AO29" i="7"/>
  <c r="AN29" i="7"/>
  <c r="BA29" i="7" s="1"/>
  <c r="AM29" i="7"/>
  <c r="AL29" i="7"/>
  <c r="AK29" i="7"/>
  <c r="AJ29" i="7"/>
  <c r="AI29" i="7"/>
  <c r="AH29" i="7"/>
  <c r="AV29" i="7" s="1"/>
  <c r="AG29" i="7"/>
  <c r="AF29" i="7"/>
  <c r="AD29" i="7"/>
  <c r="P29" i="7"/>
  <c r="BD28" i="7"/>
  <c r="BC28" i="7"/>
  <c r="BB28" i="7"/>
  <c r="AV28" i="7"/>
  <c r="AQ28" i="7"/>
  <c r="AP28" i="7"/>
  <c r="AO28" i="7"/>
  <c r="AN28" i="7"/>
  <c r="AM28" i="7"/>
  <c r="AL28" i="7"/>
  <c r="AK28" i="7"/>
  <c r="AJ28" i="7"/>
  <c r="AW28" i="7" s="1"/>
  <c r="AI28" i="7"/>
  <c r="AH28" i="7"/>
  <c r="AG28" i="7"/>
  <c r="AF28" i="7"/>
  <c r="AD28" i="7"/>
  <c r="P28" i="7"/>
  <c r="BD27" i="7"/>
  <c r="BC27" i="7"/>
  <c r="BB27" i="7"/>
  <c r="BA27" i="7"/>
  <c r="AZ27" i="7"/>
  <c r="AY27" i="7"/>
  <c r="AX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D27" i="7"/>
  <c r="P27" i="7"/>
  <c r="BD26" i="7"/>
  <c r="BC26" i="7"/>
  <c r="BB26" i="7"/>
  <c r="BA26" i="7"/>
  <c r="AZ26" i="7"/>
  <c r="AY26" i="7"/>
  <c r="AX26" i="7"/>
  <c r="AW26" i="7"/>
  <c r="AQ26" i="7"/>
  <c r="AP26" i="7"/>
  <c r="AO26" i="7"/>
  <c r="AN26" i="7"/>
  <c r="AM26" i="7"/>
  <c r="AL26" i="7"/>
  <c r="AK26" i="7"/>
  <c r="AJ26" i="7"/>
  <c r="AI26" i="7"/>
  <c r="AH26" i="7"/>
  <c r="AV26" i="7" s="1"/>
  <c r="AG26" i="7"/>
  <c r="AF26" i="7"/>
  <c r="AD26" i="7"/>
  <c r="P26" i="7"/>
  <c r="AZ25" i="7"/>
  <c r="AY25" i="7"/>
  <c r="AX25" i="7"/>
  <c r="AW25" i="7"/>
  <c r="AQ25" i="7"/>
  <c r="AP25" i="7"/>
  <c r="BC25" i="7" s="1"/>
  <c r="AO25" i="7"/>
  <c r="AN25" i="7"/>
  <c r="BA25" i="7" s="1"/>
  <c r="AM25" i="7"/>
  <c r="AL25" i="7"/>
  <c r="AK25" i="7"/>
  <c r="AJ25" i="7"/>
  <c r="AI25" i="7"/>
  <c r="AH25" i="7"/>
  <c r="AV25" i="7" s="1"/>
  <c r="AG25" i="7"/>
  <c r="AF25" i="7"/>
  <c r="AD25" i="7"/>
  <c r="P25" i="7"/>
  <c r="BD24" i="7"/>
  <c r="BC24" i="7"/>
  <c r="BB24" i="7"/>
  <c r="BA24" i="7"/>
  <c r="AQ24" i="7"/>
  <c r="AP24" i="7"/>
  <c r="AO24" i="7"/>
  <c r="AN24" i="7"/>
  <c r="AM24" i="7"/>
  <c r="AL24" i="7"/>
  <c r="AY24" i="7" s="1"/>
  <c r="AK24" i="7"/>
  <c r="AJ24" i="7"/>
  <c r="AW24" i="7" s="1"/>
  <c r="AI24" i="7"/>
  <c r="AH24" i="7"/>
  <c r="AV24" i="7" s="1"/>
  <c r="AG24" i="7"/>
  <c r="AF24" i="7"/>
  <c r="AD24" i="7"/>
  <c r="P24" i="7"/>
  <c r="BD23" i="7"/>
  <c r="BC23" i="7"/>
  <c r="BB23" i="7"/>
  <c r="BA23" i="7"/>
  <c r="AZ23" i="7"/>
  <c r="AY23" i="7"/>
  <c r="AX23" i="7"/>
  <c r="AW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D23" i="7"/>
  <c r="P23" i="7"/>
  <c r="BD22" i="7"/>
  <c r="BC22" i="7"/>
  <c r="BB22" i="7"/>
  <c r="BA22" i="7"/>
  <c r="AZ22" i="7"/>
  <c r="AY22" i="7"/>
  <c r="AX22" i="7"/>
  <c r="AW22" i="7"/>
  <c r="AQ22" i="7"/>
  <c r="AP22" i="7"/>
  <c r="AO22" i="7"/>
  <c r="AN22" i="7"/>
  <c r="AM22" i="7"/>
  <c r="AL22" i="7"/>
  <c r="AK22" i="7"/>
  <c r="AJ22" i="7"/>
  <c r="AI22" i="7"/>
  <c r="AH22" i="7"/>
  <c r="AV22" i="7" s="1"/>
  <c r="AG22" i="7"/>
  <c r="AF22" i="7"/>
  <c r="AD22" i="7"/>
  <c r="P22" i="7"/>
  <c r="AZ21" i="7"/>
  <c r="AY21" i="7"/>
  <c r="AX21" i="7"/>
  <c r="AW21" i="7"/>
  <c r="AQ21" i="7"/>
  <c r="AP21" i="7"/>
  <c r="AO21" i="7"/>
  <c r="BB21" i="7" s="1"/>
  <c r="AN21" i="7"/>
  <c r="BA21" i="7" s="1"/>
  <c r="AM21" i="7"/>
  <c r="AL21" i="7"/>
  <c r="AK21" i="7"/>
  <c r="AJ21" i="7"/>
  <c r="AI21" i="7"/>
  <c r="AH21" i="7"/>
  <c r="AV21" i="7" s="1"/>
  <c r="AG21" i="7"/>
  <c r="AF21" i="7"/>
  <c r="AD21" i="7"/>
  <c r="P21" i="7"/>
  <c r="BD20" i="7"/>
  <c r="BC20" i="7"/>
  <c r="BB20" i="7"/>
  <c r="AQ20" i="7"/>
  <c r="AP20" i="7"/>
  <c r="AO20" i="7"/>
  <c r="AN20" i="7"/>
  <c r="AM20" i="7"/>
  <c r="AL20" i="7"/>
  <c r="AK20" i="7"/>
  <c r="AX20" i="7" s="1"/>
  <c r="AJ20" i="7"/>
  <c r="AW20" i="7" s="1"/>
  <c r="AI20" i="7"/>
  <c r="AH20" i="7"/>
  <c r="AV20" i="7" s="1"/>
  <c r="AG20" i="7"/>
  <c r="AF20" i="7"/>
  <c r="AD20" i="7"/>
  <c r="P20" i="7"/>
  <c r="BD19" i="7"/>
  <c r="BC19" i="7"/>
  <c r="BB19" i="7"/>
  <c r="BA19" i="7"/>
  <c r="AZ19" i="7"/>
  <c r="AY19" i="7"/>
  <c r="AX19" i="7"/>
  <c r="AW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P19" i="7"/>
  <c r="BD18" i="7"/>
  <c r="BC18" i="7"/>
  <c r="BB18" i="7"/>
  <c r="BA18" i="7"/>
  <c r="AZ18" i="7"/>
  <c r="AY18" i="7"/>
  <c r="AX18" i="7"/>
  <c r="AW18" i="7"/>
  <c r="AQ18" i="7"/>
  <c r="AP18" i="7"/>
  <c r="AO18" i="7"/>
  <c r="AN18" i="7"/>
  <c r="AM18" i="7"/>
  <c r="AL18" i="7"/>
  <c r="AK18" i="7"/>
  <c r="AJ18" i="7"/>
  <c r="AI18" i="7"/>
  <c r="AH18" i="7"/>
  <c r="AV18" i="7" s="1"/>
  <c r="AG18" i="7"/>
  <c r="AF18" i="7"/>
  <c r="AT18" i="7" s="1"/>
  <c r="AD18" i="7"/>
  <c r="P18" i="7"/>
  <c r="AZ17" i="7"/>
  <c r="AY17" i="7"/>
  <c r="AX17" i="7"/>
  <c r="AW17" i="7"/>
  <c r="AQ17" i="7"/>
  <c r="AP17" i="7"/>
  <c r="AO17" i="7"/>
  <c r="AN17" i="7"/>
  <c r="BA17" i="7" s="1"/>
  <c r="AM17" i="7"/>
  <c r="AL17" i="7"/>
  <c r="AK17" i="7"/>
  <c r="AJ17" i="7"/>
  <c r="AI17" i="7"/>
  <c r="AH17" i="7"/>
  <c r="AV17" i="7" s="1"/>
  <c r="AG17" i="7"/>
  <c r="AF17" i="7"/>
  <c r="AD17" i="7"/>
  <c r="P17" i="7"/>
  <c r="BD16" i="7"/>
  <c r="BC16" i="7"/>
  <c r="BB16" i="7"/>
  <c r="AQ16" i="7"/>
  <c r="AP16" i="7"/>
  <c r="AO16" i="7"/>
  <c r="AN16" i="7"/>
  <c r="AM16" i="7"/>
  <c r="AL16" i="7"/>
  <c r="AY16" i="7" s="1"/>
  <c r="AK16" i="7"/>
  <c r="AX16" i="7" s="1"/>
  <c r="AJ16" i="7"/>
  <c r="AW16" i="7" s="1"/>
  <c r="AI16" i="7"/>
  <c r="AH16" i="7"/>
  <c r="AV16" i="7" s="1"/>
  <c r="AG16" i="7"/>
  <c r="AF16" i="7"/>
  <c r="AD16" i="7"/>
  <c r="P16" i="7"/>
  <c r="BD15" i="7"/>
  <c r="BC15" i="7"/>
  <c r="BB15" i="7"/>
  <c r="BA15" i="7"/>
  <c r="AZ15" i="7"/>
  <c r="AY15" i="7"/>
  <c r="AX15" i="7"/>
  <c r="AW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P15" i="7"/>
  <c r="BD14" i="7"/>
  <c r="BC14" i="7"/>
  <c r="BB14" i="7"/>
  <c r="BA14" i="7"/>
  <c r="AZ14" i="7"/>
  <c r="AY14" i="7"/>
  <c r="AX14" i="7"/>
  <c r="AW14" i="7"/>
  <c r="AQ14" i="7"/>
  <c r="AP14" i="7"/>
  <c r="AO14" i="7"/>
  <c r="AN14" i="7"/>
  <c r="AM14" i="7"/>
  <c r="AL14" i="7"/>
  <c r="AK14" i="7"/>
  <c r="AJ14" i="7"/>
  <c r="AI14" i="7"/>
  <c r="AH14" i="7"/>
  <c r="AV14" i="7" s="1"/>
  <c r="AG14" i="7"/>
  <c r="AF14" i="7"/>
  <c r="AD14" i="7"/>
  <c r="P14" i="7"/>
  <c r="AZ13" i="7"/>
  <c r="AY13" i="7"/>
  <c r="AX13" i="7"/>
  <c r="AW13" i="7"/>
  <c r="AQ13" i="7"/>
  <c r="BD13" i="7" s="1"/>
  <c r="AP13" i="7"/>
  <c r="AO13" i="7"/>
  <c r="AN13" i="7"/>
  <c r="BA13" i="7" s="1"/>
  <c r="AM13" i="7"/>
  <c r="AL13" i="7"/>
  <c r="AK13" i="7"/>
  <c r="AJ13" i="7"/>
  <c r="AI13" i="7"/>
  <c r="AH13" i="7"/>
  <c r="AV13" i="7" s="1"/>
  <c r="AG13" i="7"/>
  <c r="AF13" i="7"/>
  <c r="AD13" i="7"/>
  <c r="P13" i="7"/>
  <c r="BD12" i="7"/>
  <c r="BC12" i="7"/>
  <c r="BB12" i="7"/>
  <c r="AQ12" i="7"/>
  <c r="AP12" i="7"/>
  <c r="AO12" i="7"/>
  <c r="AN12" i="7"/>
  <c r="AM12" i="7"/>
  <c r="AL12" i="7"/>
  <c r="AK12" i="7"/>
  <c r="AJ12" i="7"/>
  <c r="AW12" i="7" s="1"/>
  <c r="AI12" i="7"/>
  <c r="AH12" i="7"/>
  <c r="AV12" i="7" s="1"/>
  <c r="AG12" i="7"/>
  <c r="AF12" i="7"/>
  <c r="AD12" i="7"/>
  <c r="P12" i="7"/>
  <c r="BD11" i="7"/>
  <c r="BC11" i="7"/>
  <c r="BB11" i="7"/>
  <c r="BA11" i="7"/>
  <c r="AZ11" i="7"/>
  <c r="AY11" i="7"/>
  <c r="AX11" i="7"/>
  <c r="AW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P11" i="7"/>
  <c r="BD10" i="7"/>
  <c r="BC10" i="7"/>
  <c r="BB10" i="7"/>
  <c r="BA10" i="7"/>
  <c r="AZ10" i="7"/>
  <c r="AY10" i="7"/>
  <c r="AX10" i="7"/>
  <c r="AW10" i="7"/>
  <c r="AQ10" i="7"/>
  <c r="AP10" i="7"/>
  <c r="AO10" i="7"/>
  <c r="AN10" i="7"/>
  <c r="AM10" i="7"/>
  <c r="AL10" i="7"/>
  <c r="AK10" i="7"/>
  <c r="AJ10" i="7"/>
  <c r="AI10" i="7"/>
  <c r="AH10" i="7"/>
  <c r="AV10" i="7" s="1"/>
  <c r="AG10" i="7"/>
  <c r="AF10" i="7"/>
  <c r="AD10" i="7"/>
  <c r="P10" i="7"/>
  <c r="AR10" i="7" s="1"/>
  <c r="AZ9" i="7"/>
  <c r="AY9" i="7"/>
  <c r="AX9" i="7"/>
  <c r="AW9" i="7"/>
  <c r="AQ9" i="7"/>
  <c r="BD9" i="7" s="1"/>
  <c r="AP9" i="7"/>
  <c r="AO9" i="7"/>
  <c r="BB9" i="7" s="1"/>
  <c r="AN9" i="7"/>
  <c r="BA9" i="7" s="1"/>
  <c r="AM9" i="7"/>
  <c r="AL9" i="7"/>
  <c r="AK9" i="7"/>
  <c r="AJ9" i="7"/>
  <c r="AI9" i="7"/>
  <c r="AH9" i="7"/>
  <c r="AV9" i="7" s="1"/>
  <c r="AG9" i="7"/>
  <c r="AF9" i="7"/>
  <c r="AD9" i="7"/>
  <c r="P9" i="7"/>
  <c r="BD8" i="7"/>
  <c r="BC8" i="7"/>
  <c r="BB8" i="7"/>
  <c r="BA8" i="7"/>
  <c r="AQ8" i="7"/>
  <c r="AP8" i="7"/>
  <c r="AO8" i="7"/>
  <c r="AN8" i="7"/>
  <c r="AM8" i="7"/>
  <c r="AL8" i="7"/>
  <c r="AK8" i="7"/>
  <c r="AJ8" i="7"/>
  <c r="AW8" i="7" s="1"/>
  <c r="AI8" i="7"/>
  <c r="AH8" i="7"/>
  <c r="AV8" i="7" s="1"/>
  <c r="AG8" i="7"/>
  <c r="AF8" i="7"/>
  <c r="AD8" i="7"/>
  <c r="P8" i="7"/>
  <c r="BD7" i="7"/>
  <c r="BC7" i="7"/>
  <c r="BB7" i="7"/>
  <c r="BA7" i="7"/>
  <c r="AZ7" i="7"/>
  <c r="AY7" i="7"/>
  <c r="AX7" i="7"/>
  <c r="AW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P7" i="7"/>
  <c r="BD6" i="7"/>
  <c r="BC6" i="7"/>
  <c r="BB6" i="7"/>
  <c r="BA6" i="7"/>
  <c r="AZ6" i="7"/>
  <c r="AY6" i="7"/>
  <c r="AX6" i="7"/>
  <c r="AW6" i="7"/>
  <c r="AQ6" i="7"/>
  <c r="AP6" i="7"/>
  <c r="AO6" i="7"/>
  <c r="AN6" i="7"/>
  <c r="AM6" i="7"/>
  <c r="AL6" i="7"/>
  <c r="AK6" i="7"/>
  <c r="AJ6" i="7"/>
  <c r="AI6" i="7"/>
  <c r="AH6" i="7"/>
  <c r="AV6" i="7" s="1"/>
  <c r="AG6" i="7"/>
  <c r="AF6" i="7"/>
  <c r="AD6" i="7"/>
  <c r="P6" i="7"/>
  <c r="AZ5" i="7"/>
  <c r="AY5" i="7"/>
  <c r="AX5" i="7"/>
  <c r="AW5" i="7"/>
  <c r="AV5" i="7"/>
  <c r="AQ5" i="7"/>
  <c r="AP5" i="7"/>
  <c r="AO5" i="7"/>
  <c r="BB5" i="7" s="1"/>
  <c r="AN5" i="7"/>
  <c r="BA5" i="7" s="1"/>
  <c r="AM5" i="7"/>
  <c r="AL5" i="7"/>
  <c r="AK5" i="7"/>
  <c r="AJ5" i="7"/>
  <c r="AI5" i="7"/>
  <c r="AH5" i="7"/>
  <c r="AG5" i="7"/>
  <c r="AF5" i="7"/>
  <c r="AD5" i="7"/>
  <c r="P5" i="7"/>
  <c r="AI237" i="6"/>
  <c r="AC237" i="6"/>
  <c r="AQ237" i="6" s="1"/>
  <c r="AB237" i="6"/>
  <c r="AP237" i="6" s="1"/>
  <c r="BC237" i="6" s="1"/>
  <c r="AA237" i="6"/>
  <c r="Z237" i="6"/>
  <c r="Y237" i="6"/>
  <c r="X237" i="6"/>
  <c r="AL237" i="6" s="1"/>
  <c r="AY237" i="6" s="1"/>
  <c r="W237" i="6"/>
  <c r="V237" i="6"/>
  <c r="U237" i="6"/>
  <c r="T237" i="6"/>
  <c r="S237" i="6"/>
  <c r="R237" i="6"/>
  <c r="O237" i="6"/>
  <c r="N237" i="6"/>
  <c r="M237" i="6"/>
  <c r="AO237" i="6" s="1"/>
  <c r="L237" i="6"/>
  <c r="K237" i="6"/>
  <c r="J237" i="6"/>
  <c r="I237" i="6"/>
  <c r="AK237" i="6" s="1"/>
  <c r="AX237" i="6" s="1"/>
  <c r="H237" i="6"/>
  <c r="AJ237" i="6" s="1"/>
  <c r="AW237" i="6" s="1"/>
  <c r="G237" i="6"/>
  <c r="F237" i="6"/>
  <c r="E237" i="6"/>
  <c r="D237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AD236" i="6"/>
  <c r="P236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AD235" i="6"/>
  <c r="P235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AD234" i="6"/>
  <c r="P234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AD233" i="6"/>
  <c r="P233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AD232" i="6"/>
  <c r="P232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AD231" i="6"/>
  <c r="P231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AD230" i="6"/>
  <c r="P230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AD229" i="6"/>
  <c r="P229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AD228" i="6"/>
  <c r="P228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AD227" i="6"/>
  <c r="P227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AD226" i="6"/>
  <c r="P226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AD225" i="6"/>
  <c r="P225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AD224" i="6"/>
  <c r="P224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AD223" i="6"/>
  <c r="P223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AD222" i="6"/>
  <c r="P222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AD221" i="6"/>
  <c r="P221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AD220" i="6"/>
  <c r="P220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D219" i="6"/>
  <c r="P219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D218" i="6"/>
  <c r="P218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D217" i="6"/>
  <c r="P217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AD216" i="6"/>
  <c r="P216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AD215" i="6"/>
  <c r="P215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AD214" i="6"/>
  <c r="P214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AD213" i="6"/>
  <c r="P213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D212" i="6"/>
  <c r="P212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AD211" i="6"/>
  <c r="P211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D210" i="6"/>
  <c r="P210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AD209" i="6"/>
  <c r="P209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D208" i="6"/>
  <c r="P208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D207" i="6"/>
  <c r="P207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AD206" i="6"/>
  <c r="P206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AD205" i="6"/>
  <c r="P205" i="6"/>
  <c r="BD204" i="6"/>
  <c r="BB204" i="6"/>
  <c r="BA204" i="6"/>
  <c r="AZ204" i="6"/>
  <c r="AY204" i="6"/>
  <c r="AX204" i="6"/>
  <c r="AW204" i="6"/>
  <c r="AU204" i="6"/>
  <c r="AT204" i="6"/>
  <c r="AQ204" i="6"/>
  <c r="AP204" i="6"/>
  <c r="BC204" i="6" s="1"/>
  <c r="AO204" i="6"/>
  <c r="AN204" i="6"/>
  <c r="AM204" i="6"/>
  <c r="AL204" i="6"/>
  <c r="AK204" i="6"/>
  <c r="AJ204" i="6"/>
  <c r="AI204" i="6"/>
  <c r="AH204" i="6"/>
  <c r="AV204" i="6" s="1"/>
  <c r="AG204" i="6"/>
  <c r="AF204" i="6"/>
  <c r="AD204" i="6"/>
  <c r="P204" i="6"/>
  <c r="BA203" i="6"/>
  <c r="AZ203" i="6"/>
  <c r="AX203" i="6"/>
  <c r="AU203" i="6"/>
  <c r="AT203" i="6"/>
  <c r="AQ203" i="6"/>
  <c r="BD203" i="6" s="1"/>
  <c r="AP203" i="6"/>
  <c r="AO203" i="6"/>
  <c r="BB203" i="6" s="1"/>
  <c r="AN203" i="6"/>
  <c r="AM203" i="6"/>
  <c r="AL203" i="6"/>
  <c r="AY203" i="6" s="1"/>
  <c r="AK203" i="6"/>
  <c r="AJ203" i="6"/>
  <c r="AI203" i="6"/>
  <c r="AH203" i="6"/>
  <c r="AG203" i="6"/>
  <c r="AF203" i="6"/>
  <c r="AD203" i="6"/>
  <c r="P203" i="6"/>
  <c r="AR203" i="6" s="1"/>
  <c r="AW202" i="6"/>
  <c r="AT202" i="6"/>
  <c r="AQ202" i="6"/>
  <c r="AP202" i="6"/>
  <c r="AO202" i="6"/>
  <c r="BB202" i="6" s="1"/>
  <c r="AN202" i="6"/>
  <c r="AM202" i="6"/>
  <c r="AZ202" i="6" s="1"/>
  <c r="AL202" i="6"/>
  <c r="AK202" i="6"/>
  <c r="AX202" i="6" s="1"/>
  <c r="AJ202" i="6"/>
  <c r="AI202" i="6"/>
  <c r="AH202" i="6"/>
  <c r="AV202" i="6" s="1"/>
  <c r="AG202" i="6"/>
  <c r="AF202" i="6"/>
  <c r="AD202" i="6"/>
  <c r="P202" i="6"/>
  <c r="BD201" i="6"/>
  <c r="BC201" i="6"/>
  <c r="BB201" i="6"/>
  <c r="AQ201" i="6"/>
  <c r="AP201" i="6"/>
  <c r="AO201" i="6"/>
  <c r="AN201" i="6"/>
  <c r="AM201" i="6"/>
  <c r="AL201" i="6"/>
  <c r="AY201" i="6" s="1"/>
  <c r="AK201" i="6"/>
  <c r="AJ201" i="6"/>
  <c r="AI201" i="6"/>
  <c r="AH201" i="6"/>
  <c r="AG201" i="6"/>
  <c r="AF201" i="6"/>
  <c r="AD201" i="6"/>
  <c r="P201" i="6"/>
  <c r="BD200" i="6"/>
  <c r="BB200" i="6"/>
  <c r="BA200" i="6"/>
  <c r="AZ200" i="6"/>
  <c r="AU200" i="6"/>
  <c r="AT200" i="6"/>
  <c r="AQ200" i="6"/>
  <c r="AP200" i="6"/>
  <c r="BC200" i="6" s="1"/>
  <c r="AO200" i="6"/>
  <c r="AN200" i="6"/>
  <c r="AM200" i="6"/>
  <c r="AL200" i="6"/>
  <c r="AK200" i="6"/>
  <c r="AJ200" i="6"/>
  <c r="AW200" i="6" s="1"/>
  <c r="AI200" i="6"/>
  <c r="AH200" i="6"/>
  <c r="AV200" i="6" s="1"/>
  <c r="AG200" i="6"/>
  <c r="AF200" i="6"/>
  <c r="AD200" i="6"/>
  <c r="P200" i="6"/>
  <c r="BA199" i="6"/>
  <c r="AZ199" i="6"/>
  <c r="AX199" i="6"/>
  <c r="AW199" i="6"/>
  <c r="AU199" i="6"/>
  <c r="AT199" i="6"/>
  <c r="AQ199" i="6"/>
  <c r="BD199" i="6" s="1"/>
  <c r="AP199" i="6"/>
  <c r="AO199" i="6"/>
  <c r="BB199" i="6" s="1"/>
  <c r="AN199" i="6"/>
  <c r="AM199" i="6"/>
  <c r="AL199" i="6"/>
  <c r="AY199" i="6" s="1"/>
  <c r="AK199" i="6"/>
  <c r="AJ199" i="6"/>
  <c r="AI199" i="6"/>
  <c r="AH199" i="6"/>
  <c r="AG199" i="6"/>
  <c r="AF199" i="6"/>
  <c r="AD199" i="6"/>
  <c r="P199" i="6"/>
  <c r="BD198" i="6"/>
  <c r="BB198" i="6"/>
  <c r="AW198" i="6"/>
  <c r="AV198" i="6"/>
  <c r="AQ198" i="6"/>
  <c r="AP198" i="6"/>
  <c r="AO198" i="6"/>
  <c r="AN198" i="6"/>
  <c r="AM198" i="6"/>
  <c r="AL198" i="6"/>
  <c r="AY198" i="6" s="1"/>
  <c r="AK198" i="6"/>
  <c r="AX198" i="6" s="1"/>
  <c r="AJ198" i="6"/>
  <c r="AI198" i="6"/>
  <c r="AH198" i="6"/>
  <c r="AG198" i="6"/>
  <c r="AF198" i="6"/>
  <c r="AD198" i="6"/>
  <c r="P198" i="6"/>
  <c r="BC197" i="6"/>
  <c r="AQ197" i="6"/>
  <c r="BD197" i="6" s="1"/>
  <c r="AP197" i="6"/>
  <c r="AO197" i="6"/>
  <c r="AN197" i="6"/>
  <c r="AM197" i="6"/>
  <c r="AL197" i="6"/>
  <c r="AK197" i="6"/>
  <c r="AJ197" i="6"/>
  <c r="AI197" i="6"/>
  <c r="AH197" i="6"/>
  <c r="AG197" i="6"/>
  <c r="AF197" i="6"/>
  <c r="AD197" i="6"/>
  <c r="P197" i="6"/>
  <c r="BD196" i="6"/>
  <c r="BB196" i="6"/>
  <c r="BA196" i="6"/>
  <c r="AZ196" i="6"/>
  <c r="AY196" i="6"/>
  <c r="AX196" i="6"/>
  <c r="AW196" i="6"/>
  <c r="AU196" i="6"/>
  <c r="AT196" i="6"/>
  <c r="AQ196" i="6"/>
  <c r="AP196" i="6"/>
  <c r="BC196" i="6" s="1"/>
  <c r="AO196" i="6"/>
  <c r="AN196" i="6"/>
  <c r="AM196" i="6"/>
  <c r="AL196" i="6"/>
  <c r="AK196" i="6"/>
  <c r="AJ196" i="6"/>
  <c r="AI196" i="6"/>
  <c r="AH196" i="6"/>
  <c r="AV196" i="6" s="1"/>
  <c r="AG196" i="6"/>
  <c r="AF196" i="6"/>
  <c r="AD196" i="6"/>
  <c r="P196" i="6"/>
  <c r="BA195" i="6"/>
  <c r="AZ195" i="6"/>
  <c r="AX195" i="6"/>
  <c r="AU195" i="6"/>
  <c r="AT195" i="6"/>
  <c r="AQ195" i="6"/>
  <c r="AP195" i="6"/>
  <c r="AO195" i="6"/>
  <c r="BB195" i="6" s="1"/>
  <c r="AN195" i="6"/>
  <c r="AM195" i="6"/>
  <c r="AL195" i="6"/>
  <c r="AY195" i="6" s="1"/>
  <c r="AK195" i="6"/>
  <c r="AJ195" i="6"/>
  <c r="AI195" i="6"/>
  <c r="AH195" i="6"/>
  <c r="AG195" i="6"/>
  <c r="AF195" i="6"/>
  <c r="AD195" i="6"/>
  <c r="P195" i="6"/>
  <c r="AW194" i="6"/>
  <c r="AQ194" i="6"/>
  <c r="BD194" i="6" s="1"/>
  <c r="AP194" i="6"/>
  <c r="AO194" i="6"/>
  <c r="AN194" i="6"/>
  <c r="AM194" i="6"/>
  <c r="AL194" i="6"/>
  <c r="AK194" i="6"/>
  <c r="AX194" i="6" s="1"/>
  <c r="AJ194" i="6"/>
  <c r="AI194" i="6"/>
  <c r="AH194" i="6"/>
  <c r="AV194" i="6" s="1"/>
  <c r="AG194" i="6"/>
  <c r="AF194" i="6"/>
  <c r="AD194" i="6"/>
  <c r="P194" i="6"/>
  <c r="BD193" i="6"/>
  <c r="BC193" i="6"/>
  <c r="BB193" i="6"/>
  <c r="BA193" i="6"/>
  <c r="AZ193" i="6"/>
  <c r="AY193" i="6"/>
  <c r="AX193" i="6"/>
  <c r="AQ193" i="6"/>
  <c r="AP193" i="6"/>
  <c r="AO193" i="6"/>
  <c r="AN193" i="6"/>
  <c r="AU193" i="6" s="1"/>
  <c r="AM193" i="6"/>
  <c r="AL193" i="6"/>
  <c r="AK193" i="6"/>
  <c r="AJ193" i="6"/>
  <c r="AI193" i="6"/>
  <c r="AH193" i="6"/>
  <c r="AG193" i="6"/>
  <c r="AF193" i="6"/>
  <c r="AD193" i="6"/>
  <c r="P193" i="6"/>
  <c r="BD192" i="6"/>
  <c r="BB192" i="6"/>
  <c r="AW192" i="6"/>
  <c r="AU192" i="6"/>
  <c r="AT192" i="6"/>
  <c r="AQ192" i="6"/>
  <c r="AP192" i="6"/>
  <c r="BC192" i="6" s="1"/>
  <c r="AO192" i="6"/>
  <c r="AN192" i="6"/>
  <c r="AM192" i="6"/>
  <c r="AL192" i="6"/>
  <c r="AK192" i="6"/>
  <c r="AJ192" i="6"/>
  <c r="AI192" i="6"/>
  <c r="AH192" i="6"/>
  <c r="AV192" i="6" s="1"/>
  <c r="AG192" i="6"/>
  <c r="AF192" i="6"/>
  <c r="AD192" i="6"/>
  <c r="P192" i="6"/>
  <c r="BA191" i="6"/>
  <c r="AZ191" i="6"/>
  <c r="AX191" i="6"/>
  <c r="AU191" i="6"/>
  <c r="AT191" i="6"/>
  <c r="AQ191" i="6"/>
  <c r="AP191" i="6"/>
  <c r="BC191" i="6" s="1"/>
  <c r="AO191" i="6"/>
  <c r="BB191" i="6" s="1"/>
  <c r="AN191" i="6"/>
  <c r="AM191" i="6"/>
  <c r="AL191" i="6"/>
  <c r="AY191" i="6" s="1"/>
  <c r="AK191" i="6"/>
  <c r="AJ191" i="6"/>
  <c r="AI191" i="6"/>
  <c r="AH191" i="6"/>
  <c r="AG191" i="6"/>
  <c r="AF191" i="6"/>
  <c r="AD191" i="6"/>
  <c r="P191" i="6"/>
  <c r="AW190" i="6"/>
  <c r="AQ190" i="6"/>
  <c r="AP190" i="6"/>
  <c r="AO190" i="6"/>
  <c r="BB190" i="6" s="1"/>
  <c r="AN190" i="6"/>
  <c r="AM190" i="6"/>
  <c r="AL190" i="6"/>
  <c r="AK190" i="6"/>
  <c r="AX190" i="6" s="1"/>
  <c r="AJ190" i="6"/>
  <c r="AI190" i="6"/>
  <c r="AH190" i="6"/>
  <c r="AV190" i="6" s="1"/>
  <c r="AG190" i="6"/>
  <c r="AF190" i="6"/>
  <c r="AD190" i="6"/>
  <c r="P190" i="6"/>
  <c r="BC189" i="6"/>
  <c r="BB189" i="6"/>
  <c r="AY189" i="6"/>
  <c r="AX189" i="6"/>
  <c r="AQ189" i="6"/>
  <c r="BD189" i="6" s="1"/>
  <c r="AP189" i="6"/>
  <c r="AO189" i="6"/>
  <c r="AN189" i="6"/>
  <c r="AM189" i="6"/>
  <c r="AL189" i="6"/>
  <c r="AK189" i="6"/>
  <c r="AJ189" i="6"/>
  <c r="AW189" i="6" s="1"/>
  <c r="AI189" i="6"/>
  <c r="AH189" i="6"/>
  <c r="AG189" i="6"/>
  <c r="AF189" i="6"/>
  <c r="AD189" i="6"/>
  <c r="P189" i="6"/>
  <c r="BD188" i="6"/>
  <c r="BB188" i="6"/>
  <c r="BA188" i="6"/>
  <c r="AW188" i="6"/>
  <c r="AT188" i="6"/>
  <c r="AQ188" i="6"/>
  <c r="AP188" i="6"/>
  <c r="BC188" i="6" s="1"/>
  <c r="AO188" i="6"/>
  <c r="AN188" i="6"/>
  <c r="AM188" i="6"/>
  <c r="AL188" i="6"/>
  <c r="AK188" i="6"/>
  <c r="AJ188" i="6"/>
  <c r="AI188" i="6"/>
  <c r="AH188" i="6"/>
  <c r="AV188" i="6" s="1"/>
  <c r="AG188" i="6"/>
  <c r="AF188" i="6"/>
  <c r="AD188" i="6"/>
  <c r="P188" i="6"/>
  <c r="BA187" i="6"/>
  <c r="AZ187" i="6"/>
  <c r="AX187" i="6"/>
  <c r="AU187" i="6"/>
  <c r="AT187" i="6"/>
  <c r="AQ187" i="6"/>
  <c r="AP187" i="6"/>
  <c r="BC187" i="6" s="1"/>
  <c r="AO187" i="6"/>
  <c r="BB187" i="6" s="1"/>
  <c r="AN187" i="6"/>
  <c r="AM187" i="6"/>
  <c r="AL187" i="6"/>
  <c r="AY187" i="6" s="1"/>
  <c r="AK187" i="6"/>
  <c r="AJ187" i="6"/>
  <c r="AI187" i="6"/>
  <c r="AH187" i="6"/>
  <c r="AG187" i="6"/>
  <c r="AF187" i="6"/>
  <c r="AD187" i="6"/>
  <c r="P187" i="6"/>
  <c r="AW186" i="6"/>
  <c r="AT186" i="6"/>
  <c r="AQ186" i="6"/>
  <c r="AP186" i="6"/>
  <c r="AO186" i="6"/>
  <c r="AN186" i="6"/>
  <c r="AM186" i="6"/>
  <c r="AL186" i="6"/>
  <c r="AK186" i="6"/>
  <c r="AX186" i="6" s="1"/>
  <c r="AJ186" i="6"/>
  <c r="AI186" i="6"/>
  <c r="AH186" i="6"/>
  <c r="AV186" i="6" s="1"/>
  <c r="AG186" i="6"/>
  <c r="AF186" i="6"/>
  <c r="AD186" i="6"/>
  <c r="P186" i="6"/>
  <c r="BC185" i="6"/>
  <c r="BB185" i="6"/>
  <c r="BA185" i="6"/>
  <c r="AZ185" i="6"/>
  <c r="AY185" i="6"/>
  <c r="AQ185" i="6"/>
  <c r="BD185" i="6" s="1"/>
  <c r="AP185" i="6"/>
  <c r="AO185" i="6"/>
  <c r="AN185" i="6"/>
  <c r="AU185" i="6" s="1"/>
  <c r="AM185" i="6"/>
  <c r="AL185" i="6"/>
  <c r="AK185" i="6"/>
  <c r="AJ185" i="6"/>
  <c r="AI185" i="6"/>
  <c r="AH185" i="6"/>
  <c r="AG185" i="6"/>
  <c r="AF185" i="6"/>
  <c r="AD185" i="6"/>
  <c r="P185" i="6"/>
  <c r="BD184" i="6"/>
  <c r="BB184" i="6"/>
  <c r="BA184" i="6"/>
  <c r="AQ184" i="6"/>
  <c r="AP184" i="6"/>
  <c r="BC184" i="6" s="1"/>
  <c r="AO184" i="6"/>
  <c r="AN184" i="6"/>
  <c r="AM184" i="6"/>
  <c r="AL184" i="6"/>
  <c r="AK184" i="6"/>
  <c r="AJ184" i="6"/>
  <c r="AI184" i="6"/>
  <c r="AH184" i="6"/>
  <c r="AG184" i="6"/>
  <c r="AF184" i="6"/>
  <c r="AD184" i="6"/>
  <c r="P184" i="6"/>
  <c r="BA183" i="6"/>
  <c r="AZ183" i="6"/>
  <c r="AX183" i="6"/>
  <c r="AW183" i="6"/>
  <c r="AU183" i="6"/>
  <c r="AT183" i="6"/>
  <c r="AQ183" i="6"/>
  <c r="AP183" i="6"/>
  <c r="AO183" i="6"/>
  <c r="BB183" i="6" s="1"/>
  <c r="AN183" i="6"/>
  <c r="AM183" i="6"/>
  <c r="AL183" i="6"/>
  <c r="AY183" i="6" s="1"/>
  <c r="AK183" i="6"/>
  <c r="AJ183" i="6"/>
  <c r="AI183" i="6"/>
  <c r="AH183" i="6"/>
  <c r="AV183" i="6" s="1"/>
  <c r="AG183" i="6"/>
  <c r="AF183" i="6"/>
  <c r="AD183" i="6"/>
  <c r="P183" i="6"/>
  <c r="BD182" i="6"/>
  <c r="BC182" i="6"/>
  <c r="BB182" i="6"/>
  <c r="AW182" i="6"/>
  <c r="AQ182" i="6"/>
  <c r="AP182" i="6"/>
  <c r="AO182" i="6"/>
  <c r="AN182" i="6"/>
  <c r="AM182" i="6"/>
  <c r="AL182" i="6"/>
  <c r="AY182" i="6" s="1"/>
  <c r="AK182" i="6"/>
  <c r="AX182" i="6" s="1"/>
  <c r="AJ182" i="6"/>
  <c r="AI182" i="6"/>
  <c r="AH182" i="6"/>
  <c r="AV182" i="6" s="1"/>
  <c r="AG182" i="6"/>
  <c r="AF182" i="6"/>
  <c r="AD182" i="6"/>
  <c r="P182" i="6"/>
  <c r="BD181" i="6"/>
  <c r="BC181" i="6"/>
  <c r="AY181" i="6"/>
  <c r="AX181" i="6"/>
  <c r="AQ181" i="6"/>
  <c r="AP181" i="6"/>
  <c r="AO181" i="6"/>
  <c r="BB181" i="6" s="1"/>
  <c r="AN181" i="6"/>
  <c r="AM181" i="6"/>
  <c r="AL181" i="6"/>
  <c r="AK181" i="6"/>
  <c r="AJ181" i="6"/>
  <c r="AI181" i="6"/>
  <c r="AH181" i="6"/>
  <c r="AG181" i="6"/>
  <c r="AF181" i="6"/>
  <c r="AD181" i="6"/>
  <c r="P181" i="6"/>
  <c r="BD180" i="6"/>
  <c r="BB180" i="6"/>
  <c r="AY180" i="6"/>
  <c r="AX180" i="6"/>
  <c r="AW180" i="6"/>
  <c r="AQ180" i="6"/>
  <c r="AP180" i="6"/>
  <c r="BC180" i="6" s="1"/>
  <c r="AO180" i="6"/>
  <c r="AN180" i="6"/>
  <c r="AM180" i="6"/>
  <c r="AL180" i="6"/>
  <c r="AK180" i="6"/>
  <c r="AJ180" i="6"/>
  <c r="AI180" i="6"/>
  <c r="AH180" i="6"/>
  <c r="AG180" i="6"/>
  <c r="AF180" i="6"/>
  <c r="AD180" i="6"/>
  <c r="P180" i="6"/>
  <c r="BA179" i="6"/>
  <c r="AZ179" i="6"/>
  <c r="AX179" i="6"/>
  <c r="AW179" i="6"/>
  <c r="AU179" i="6"/>
  <c r="AT179" i="6"/>
  <c r="AQ179" i="6"/>
  <c r="BD179" i="6" s="1"/>
  <c r="AP179" i="6"/>
  <c r="AO179" i="6"/>
  <c r="BB179" i="6" s="1"/>
  <c r="AN179" i="6"/>
  <c r="AM179" i="6"/>
  <c r="AL179" i="6"/>
  <c r="AY179" i="6" s="1"/>
  <c r="AK179" i="6"/>
  <c r="AJ179" i="6"/>
  <c r="AI179" i="6"/>
  <c r="AH179" i="6"/>
  <c r="AV179" i="6" s="1"/>
  <c r="AG179" i="6"/>
  <c r="AF179" i="6"/>
  <c r="AD179" i="6"/>
  <c r="P179" i="6"/>
  <c r="BD178" i="6"/>
  <c r="AW178" i="6"/>
  <c r="AT178" i="6"/>
  <c r="AQ178" i="6"/>
  <c r="AP178" i="6"/>
  <c r="AO178" i="6"/>
  <c r="AN178" i="6"/>
  <c r="AM178" i="6"/>
  <c r="AL178" i="6"/>
  <c r="AK178" i="6"/>
  <c r="AX178" i="6" s="1"/>
  <c r="AJ178" i="6"/>
  <c r="AI178" i="6"/>
  <c r="AH178" i="6"/>
  <c r="AV178" i="6" s="1"/>
  <c r="AG178" i="6"/>
  <c r="AF178" i="6"/>
  <c r="AD178" i="6"/>
  <c r="P178" i="6"/>
  <c r="BB177" i="6"/>
  <c r="BA177" i="6"/>
  <c r="AY177" i="6"/>
  <c r="AX177" i="6"/>
  <c r="AQ177" i="6"/>
  <c r="BD177" i="6" s="1"/>
  <c r="AP177" i="6"/>
  <c r="AO177" i="6"/>
  <c r="BC177" i="6" s="1"/>
  <c r="AN177" i="6"/>
  <c r="AM177" i="6"/>
  <c r="AL177" i="6"/>
  <c r="AK177" i="6"/>
  <c r="AJ177" i="6"/>
  <c r="AW177" i="6" s="1"/>
  <c r="AI177" i="6"/>
  <c r="AH177" i="6"/>
  <c r="AG177" i="6"/>
  <c r="AF177" i="6"/>
  <c r="AD177" i="6"/>
  <c r="P177" i="6"/>
  <c r="BD176" i="6"/>
  <c r="BB176" i="6"/>
  <c r="BA176" i="6"/>
  <c r="AZ176" i="6"/>
  <c r="AU176" i="6"/>
  <c r="AQ176" i="6"/>
  <c r="AP176" i="6"/>
  <c r="BC176" i="6" s="1"/>
  <c r="AO176" i="6"/>
  <c r="AN176" i="6"/>
  <c r="AM176" i="6"/>
  <c r="AT176" i="6" s="1"/>
  <c r="AL176" i="6"/>
  <c r="AK176" i="6"/>
  <c r="AJ176" i="6"/>
  <c r="AI176" i="6"/>
  <c r="AH176" i="6"/>
  <c r="AG176" i="6"/>
  <c r="AF176" i="6"/>
  <c r="AD176" i="6"/>
  <c r="P176" i="6"/>
  <c r="BA175" i="6"/>
  <c r="AZ175" i="6"/>
  <c r="AX175" i="6"/>
  <c r="AW175" i="6"/>
  <c r="AU175" i="6"/>
  <c r="AT175" i="6"/>
  <c r="AQ175" i="6"/>
  <c r="AP175" i="6"/>
  <c r="AO175" i="6"/>
  <c r="BB175" i="6" s="1"/>
  <c r="AN175" i="6"/>
  <c r="AM175" i="6"/>
  <c r="AL175" i="6"/>
  <c r="AY175" i="6" s="1"/>
  <c r="AK175" i="6"/>
  <c r="AJ175" i="6"/>
  <c r="AI175" i="6"/>
  <c r="AH175" i="6"/>
  <c r="AV175" i="6" s="1"/>
  <c r="AG175" i="6"/>
  <c r="AF175" i="6"/>
  <c r="AD175" i="6"/>
  <c r="P175" i="6"/>
  <c r="BD174" i="6"/>
  <c r="BC174" i="6"/>
  <c r="BB174" i="6"/>
  <c r="AW174" i="6"/>
  <c r="AT174" i="6"/>
  <c r="AQ174" i="6"/>
  <c r="AP174" i="6"/>
  <c r="AO174" i="6"/>
  <c r="AN174" i="6"/>
  <c r="AM174" i="6"/>
  <c r="AZ174" i="6" s="1"/>
  <c r="AL174" i="6"/>
  <c r="AY174" i="6" s="1"/>
  <c r="AK174" i="6"/>
  <c r="AX174" i="6" s="1"/>
  <c r="AJ174" i="6"/>
  <c r="AI174" i="6"/>
  <c r="AH174" i="6"/>
  <c r="AV174" i="6" s="1"/>
  <c r="AG174" i="6"/>
  <c r="AF174" i="6"/>
  <c r="AD174" i="6"/>
  <c r="P174" i="6"/>
  <c r="BD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AD173" i="6"/>
  <c r="P173" i="6"/>
  <c r="BD172" i="6"/>
  <c r="BB172" i="6"/>
  <c r="AY172" i="6"/>
  <c r="AX172" i="6"/>
  <c r="AW172" i="6"/>
  <c r="AU172" i="6"/>
  <c r="AT172" i="6"/>
  <c r="AQ172" i="6"/>
  <c r="AP172" i="6"/>
  <c r="BC172" i="6" s="1"/>
  <c r="AO172" i="6"/>
  <c r="AN172" i="6"/>
  <c r="AM172" i="6"/>
  <c r="AL172" i="6"/>
  <c r="AK172" i="6"/>
  <c r="AJ172" i="6"/>
  <c r="AI172" i="6"/>
  <c r="AH172" i="6"/>
  <c r="AV172" i="6" s="1"/>
  <c r="AG172" i="6"/>
  <c r="AF172" i="6"/>
  <c r="AD172" i="6"/>
  <c r="P172" i="6"/>
  <c r="BA171" i="6"/>
  <c r="AZ171" i="6"/>
  <c r="AX171" i="6"/>
  <c r="AU171" i="6"/>
  <c r="AT171" i="6"/>
  <c r="AQ171" i="6"/>
  <c r="BD171" i="6" s="1"/>
  <c r="AP171" i="6"/>
  <c r="BC171" i="6" s="1"/>
  <c r="AO171" i="6"/>
  <c r="BB171" i="6" s="1"/>
  <c r="AN171" i="6"/>
  <c r="AM171" i="6"/>
  <c r="AL171" i="6"/>
  <c r="AY171" i="6" s="1"/>
  <c r="AK171" i="6"/>
  <c r="AJ171" i="6"/>
  <c r="AI171" i="6"/>
  <c r="AH171" i="6"/>
  <c r="AG171" i="6"/>
  <c r="AF171" i="6"/>
  <c r="AD171" i="6"/>
  <c r="P171" i="6"/>
  <c r="BD170" i="6"/>
  <c r="AW170" i="6"/>
  <c r="AT170" i="6"/>
  <c r="AQ170" i="6"/>
  <c r="AP170" i="6"/>
  <c r="AO170" i="6"/>
  <c r="BB170" i="6" s="1"/>
  <c r="AN170" i="6"/>
  <c r="AM170" i="6"/>
  <c r="AL170" i="6"/>
  <c r="AK170" i="6"/>
  <c r="AX170" i="6" s="1"/>
  <c r="AJ170" i="6"/>
  <c r="AI170" i="6"/>
  <c r="AH170" i="6"/>
  <c r="AV170" i="6" s="1"/>
  <c r="AG170" i="6"/>
  <c r="AF170" i="6"/>
  <c r="AD170" i="6"/>
  <c r="P170" i="6"/>
  <c r="BD169" i="6"/>
  <c r="BB169" i="6"/>
  <c r="AX169" i="6"/>
  <c r="AQ169" i="6"/>
  <c r="AP169" i="6"/>
  <c r="AO169" i="6"/>
  <c r="BC169" i="6" s="1"/>
  <c r="AN169" i="6"/>
  <c r="AM169" i="6"/>
  <c r="AL169" i="6"/>
  <c r="AY169" i="6" s="1"/>
  <c r="AK169" i="6"/>
  <c r="AJ169" i="6"/>
  <c r="AI169" i="6"/>
  <c r="AH169" i="6"/>
  <c r="AG169" i="6"/>
  <c r="AF169" i="6"/>
  <c r="AD169" i="6"/>
  <c r="P169" i="6"/>
  <c r="BD168" i="6"/>
  <c r="BB168" i="6"/>
  <c r="BA168" i="6"/>
  <c r="AZ168" i="6"/>
  <c r="AY168" i="6"/>
  <c r="AX168" i="6"/>
  <c r="AW168" i="6"/>
  <c r="AU168" i="6"/>
  <c r="AT168" i="6"/>
  <c r="AQ168" i="6"/>
  <c r="AP168" i="6"/>
  <c r="BC168" i="6" s="1"/>
  <c r="AO168" i="6"/>
  <c r="AN168" i="6"/>
  <c r="AM168" i="6"/>
  <c r="AL168" i="6"/>
  <c r="AK168" i="6"/>
  <c r="AJ168" i="6"/>
  <c r="AI168" i="6"/>
  <c r="AH168" i="6"/>
  <c r="AV168" i="6" s="1"/>
  <c r="AG168" i="6"/>
  <c r="AF168" i="6"/>
  <c r="AD168" i="6"/>
  <c r="P168" i="6"/>
  <c r="BA167" i="6"/>
  <c r="AZ167" i="6"/>
  <c r="AX167" i="6"/>
  <c r="AW167" i="6"/>
  <c r="AU167" i="6"/>
  <c r="AT167" i="6"/>
  <c r="AQ167" i="6"/>
  <c r="BD167" i="6" s="1"/>
  <c r="AP167" i="6"/>
  <c r="AO167" i="6"/>
  <c r="BB167" i="6" s="1"/>
  <c r="AN167" i="6"/>
  <c r="AM167" i="6"/>
  <c r="AL167" i="6"/>
  <c r="AY167" i="6" s="1"/>
  <c r="AK167" i="6"/>
  <c r="AJ167" i="6"/>
  <c r="AI167" i="6"/>
  <c r="AH167" i="6"/>
  <c r="AG167" i="6"/>
  <c r="AF167" i="6"/>
  <c r="AD167" i="6"/>
  <c r="P167" i="6"/>
  <c r="BB166" i="6"/>
  <c r="AW166" i="6"/>
  <c r="AT166" i="6"/>
  <c r="AQ166" i="6"/>
  <c r="AP166" i="6"/>
  <c r="AO166" i="6"/>
  <c r="AN166" i="6"/>
  <c r="AM166" i="6"/>
  <c r="AZ166" i="6" s="1"/>
  <c r="AL166" i="6"/>
  <c r="AK166" i="6"/>
  <c r="AX166" i="6" s="1"/>
  <c r="AJ166" i="6"/>
  <c r="AI166" i="6"/>
  <c r="AH166" i="6"/>
  <c r="AV166" i="6" s="1"/>
  <c r="AG166" i="6"/>
  <c r="AF166" i="6"/>
  <c r="AD166" i="6"/>
  <c r="P166" i="6"/>
  <c r="BC165" i="6"/>
  <c r="BB165" i="6"/>
  <c r="AQ165" i="6"/>
  <c r="BD165" i="6" s="1"/>
  <c r="AP165" i="6"/>
  <c r="AO165" i="6"/>
  <c r="AN165" i="6"/>
  <c r="AM165" i="6"/>
  <c r="AL165" i="6"/>
  <c r="AY165" i="6" s="1"/>
  <c r="AK165" i="6"/>
  <c r="AJ165" i="6"/>
  <c r="AI165" i="6"/>
  <c r="AH165" i="6"/>
  <c r="AG165" i="6"/>
  <c r="AF165" i="6"/>
  <c r="AD165" i="6"/>
  <c r="P165" i="6"/>
  <c r="BD164" i="6"/>
  <c r="BB164" i="6"/>
  <c r="AY164" i="6"/>
  <c r="AX164" i="6"/>
  <c r="AQ164" i="6"/>
  <c r="AP164" i="6"/>
  <c r="BC164" i="6" s="1"/>
  <c r="AO164" i="6"/>
  <c r="AN164" i="6"/>
  <c r="AM164" i="6"/>
  <c r="AL164" i="6"/>
  <c r="AK164" i="6"/>
  <c r="AJ164" i="6"/>
  <c r="AI164" i="6"/>
  <c r="AH164" i="6"/>
  <c r="AG164" i="6"/>
  <c r="AF164" i="6"/>
  <c r="AD164" i="6"/>
  <c r="P164" i="6"/>
  <c r="BA163" i="6"/>
  <c r="AZ163" i="6"/>
  <c r="AX163" i="6"/>
  <c r="AW163" i="6"/>
  <c r="AU163" i="6"/>
  <c r="AT163" i="6"/>
  <c r="AQ163" i="6"/>
  <c r="AP163" i="6"/>
  <c r="AO163" i="6"/>
  <c r="BB163" i="6" s="1"/>
  <c r="AN163" i="6"/>
  <c r="AM163" i="6"/>
  <c r="AL163" i="6"/>
  <c r="AY163" i="6" s="1"/>
  <c r="AK163" i="6"/>
  <c r="AJ163" i="6"/>
  <c r="AI163" i="6"/>
  <c r="AH163" i="6"/>
  <c r="AV163" i="6" s="1"/>
  <c r="AG163" i="6"/>
  <c r="AF163" i="6"/>
  <c r="AD163" i="6"/>
  <c r="P163" i="6"/>
  <c r="BC162" i="6"/>
  <c r="AW162" i="6"/>
  <c r="AT162" i="6"/>
  <c r="AQ162" i="6"/>
  <c r="AP162" i="6"/>
  <c r="AO162" i="6"/>
  <c r="AN162" i="6"/>
  <c r="AM162" i="6"/>
  <c r="AL162" i="6"/>
  <c r="AY162" i="6" s="1"/>
  <c r="AK162" i="6"/>
  <c r="AX162" i="6" s="1"/>
  <c r="AJ162" i="6"/>
  <c r="AI162" i="6"/>
  <c r="AH162" i="6"/>
  <c r="AV162" i="6" s="1"/>
  <c r="AG162" i="6"/>
  <c r="AF162" i="6"/>
  <c r="AD162" i="6"/>
  <c r="P162" i="6"/>
  <c r="BD161" i="6"/>
  <c r="BA161" i="6"/>
  <c r="AZ161" i="6"/>
  <c r="AQ161" i="6"/>
  <c r="AP161" i="6"/>
  <c r="AO161" i="6"/>
  <c r="BC161" i="6" s="1"/>
  <c r="AN161" i="6"/>
  <c r="AU161" i="6" s="1"/>
  <c r="AM161" i="6"/>
  <c r="AL161" i="6"/>
  <c r="AK161" i="6"/>
  <c r="AJ161" i="6"/>
  <c r="AI161" i="6"/>
  <c r="AH161" i="6"/>
  <c r="AG161" i="6"/>
  <c r="AF161" i="6"/>
  <c r="AD161" i="6"/>
  <c r="P161" i="6"/>
  <c r="BD160" i="6"/>
  <c r="BB160" i="6"/>
  <c r="AY160" i="6"/>
  <c r="AX160" i="6"/>
  <c r="AW160" i="6"/>
  <c r="AQ160" i="6"/>
  <c r="AP160" i="6"/>
  <c r="BC160" i="6" s="1"/>
  <c r="AO160" i="6"/>
  <c r="AN160" i="6"/>
  <c r="AM160" i="6"/>
  <c r="AL160" i="6"/>
  <c r="AK160" i="6"/>
  <c r="AJ160" i="6"/>
  <c r="AI160" i="6"/>
  <c r="AH160" i="6"/>
  <c r="AV160" i="6" s="1"/>
  <c r="AG160" i="6"/>
  <c r="AF160" i="6"/>
  <c r="AD160" i="6"/>
  <c r="P160" i="6"/>
  <c r="BA159" i="6"/>
  <c r="AZ159" i="6"/>
  <c r="AX159" i="6"/>
  <c r="AW159" i="6"/>
  <c r="AU159" i="6"/>
  <c r="AT159" i="6"/>
  <c r="AQ159" i="6"/>
  <c r="AP159" i="6"/>
  <c r="AO159" i="6"/>
  <c r="BB159" i="6" s="1"/>
  <c r="AN159" i="6"/>
  <c r="AM159" i="6"/>
  <c r="AL159" i="6"/>
  <c r="AY159" i="6" s="1"/>
  <c r="AK159" i="6"/>
  <c r="AJ159" i="6"/>
  <c r="AI159" i="6"/>
  <c r="AH159" i="6"/>
  <c r="AV159" i="6" s="1"/>
  <c r="AG159" i="6"/>
  <c r="AF159" i="6"/>
  <c r="AD159" i="6"/>
  <c r="P159" i="6"/>
  <c r="AW158" i="6"/>
  <c r="AQ158" i="6"/>
  <c r="AP158" i="6"/>
  <c r="BC158" i="6" s="1"/>
  <c r="AO158" i="6"/>
  <c r="BB158" i="6" s="1"/>
  <c r="AN158" i="6"/>
  <c r="AM158" i="6"/>
  <c r="AL158" i="6"/>
  <c r="AK158" i="6"/>
  <c r="AX158" i="6" s="1"/>
  <c r="AJ158" i="6"/>
  <c r="AI158" i="6"/>
  <c r="AH158" i="6"/>
  <c r="AV158" i="6" s="1"/>
  <c r="AG158" i="6"/>
  <c r="AF158" i="6"/>
  <c r="AD158" i="6"/>
  <c r="P158" i="6"/>
  <c r="BD157" i="6"/>
  <c r="BC157" i="6"/>
  <c r="BB157" i="6"/>
  <c r="AQ157" i="6"/>
  <c r="AP157" i="6"/>
  <c r="AO157" i="6"/>
  <c r="AN157" i="6"/>
  <c r="AM157" i="6"/>
  <c r="AL157" i="6"/>
  <c r="AY157" i="6" s="1"/>
  <c r="AK157" i="6"/>
  <c r="AJ157" i="6"/>
  <c r="AI157" i="6"/>
  <c r="AH157" i="6"/>
  <c r="AG157" i="6"/>
  <c r="AF157" i="6"/>
  <c r="AD157" i="6"/>
  <c r="P157" i="6"/>
  <c r="BD156" i="6"/>
  <c r="AX156" i="6"/>
  <c r="AW156" i="6"/>
  <c r="AQ156" i="6"/>
  <c r="AP156" i="6"/>
  <c r="BC156" i="6" s="1"/>
  <c r="AO156" i="6"/>
  <c r="AN156" i="6"/>
  <c r="AM156" i="6"/>
  <c r="AL156" i="6"/>
  <c r="AK156" i="6"/>
  <c r="AY156" i="6" s="1"/>
  <c r="AJ156" i="6"/>
  <c r="AI156" i="6"/>
  <c r="AH156" i="6"/>
  <c r="AV156" i="6" s="1"/>
  <c r="AG156" i="6"/>
  <c r="AF156" i="6"/>
  <c r="AD156" i="6"/>
  <c r="P156" i="6"/>
  <c r="BA155" i="6"/>
  <c r="AZ155" i="6"/>
  <c r="AX155" i="6"/>
  <c r="AW155" i="6"/>
  <c r="AU155" i="6"/>
  <c r="AT155" i="6"/>
  <c r="AQ155" i="6"/>
  <c r="BD155" i="6" s="1"/>
  <c r="AP155" i="6"/>
  <c r="AO155" i="6"/>
  <c r="BB155" i="6" s="1"/>
  <c r="AN155" i="6"/>
  <c r="AM155" i="6"/>
  <c r="AL155" i="6"/>
  <c r="AY155" i="6" s="1"/>
  <c r="AK155" i="6"/>
  <c r="AJ155" i="6"/>
  <c r="AI155" i="6"/>
  <c r="AH155" i="6"/>
  <c r="AV155" i="6" s="1"/>
  <c r="AG155" i="6"/>
  <c r="AF155" i="6"/>
  <c r="AD155" i="6"/>
  <c r="P155" i="6"/>
  <c r="AW154" i="6"/>
  <c r="AQ154" i="6"/>
  <c r="AP154" i="6"/>
  <c r="BC154" i="6" s="1"/>
  <c r="AO154" i="6"/>
  <c r="AN154" i="6"/>
  <c r="AM154" i="6"/>
  <c r="AL154" i="6"/>
  <c r="AK154" i="6"/>
  <c r="AX154" i="6" s="1"/>
  <c r="AJ154" i="6"/>
  <c r="AI154" i="6"/>
  <c r="AH154" i="6"/>
  <c r="AV154" i="6" s="1"/>
  <c r="AG154" i="6"/>
  <c r="AF154" i="6"/>
  <c r="AD154" i="6"/>
  <c r="P154" i="6"/>
  <c r="BC153" i="6"/>
  <c r="BB153" i="6"/>
  <c r="BA153" i="6"/>
  <c r="AZ153" i="6"/>
  <c r="AQ153" i="6"/>
  <c r="BD153" i="6" s="1"/>
  <c r="AP153" i="6"/>
  <c r="AO153" i="6"/>
  <c r="AN153" i="6"/>
  <c r="AM153" i="6"/>
  <c r="AL153" i="6"/>
  <c r="AK153" i="6"/>
  <c r="AJ153" i="6"/>
  <c r="AI153" i="6"/>
  <c r="AH153" i="6"/>
  <c r="AG153" i="6"/>
  <c r="AF153" i="6"/>
  <c r="AD153" i="6"/>
  <c r="P153" i="6"/>
  <c r="BD152" i="6"/>
  <c r="AW152" i="6"/>
  <c r="AQ152" i="6"/>
  <c r="AP152" i="6"/>
  <c r="BC152" i="6" s="1"/>
  <c r="AO152" i="6"/>
  <c r="AN152" i="6"/>
  <c r="AM152" i="6"/>
  <c r="AL152" i="6"/>
  <c r="AK152" i="6"/>
  <c r="AJ152" i="6"/>
  <c r="AI152" i="6"/>
  <c r="AH152" i="6"/>
  <c r="AG152" i="6"/>
  <c r="AF152" i="6"/>
  <c r="AD152" i="6"/>
  <c r="P152" i="6"/>
  <c r="BA151" i="6"/>
  <c r="AZ151" i="6"/>
  <c r="AX151" i="6"/>
  <c r="AW151" i="6"/>
  <c r="AU151" i="6"/>
  <c r="AT151" i="6"/>
  <c r="AQ151" i="6"/>
  <c r="AP151" i="6"/>
  <c r="BC151" i="6" s="1"/>
  <c r="AO151" i="6"/>
  <c r="BB151" i="6" s="1"/>
  <c r="AN151" i="6"/>
  <c r="AM151" i="6"/>
  <c r="AL151" i="6"/>
  <c r="AY151" i="6" s="1"/>
  <c r="AK151" i="6"/>
  <c r="AJ151" i="6"/>
  <c r="AI151" i="6"/>
  <c r="AH151" i="6"/>
  <c r="AV151" i="6" s="1"/>
  <c r="AG151" i="6"/>
  <c r="AF151" i="6"/>
  <c r="AD151" i="6"/>
  <c r="P151" i="6"/>
  <c r="AW150" i="6"/>
  <c r="AT150" i="6"/>
  <c r="AQ150" i="6"/>
  <c r="AP150" i="6"/>
  <c r="AO150" i="6"/>
  <c r="BB150" i="6" s="1"/>
  <c r="AN150" i="6"/>
  <c r="AM150" i="6"/>
  <c r="AL150" i="6"/>
  <c r="AY150" i="6" s="1"/>
  <c r="AK150" i="6"/>
  <c r="AX150" i="6" s="1"/>
  <c r="AJ150" i="6"/>
  <c r="AI150" i="6"/>
  <c r="AH150" i="6"/>
  <c r="AV150" i="6" s="1"/>
  <c r="AG150" i="6"/>
  <c r="AF150" i="6"/>
  <c r="AD150" i="6"/>
  <c r="P150" i="6"/>
  <c r="BA149" i="6"/>
  <c r="AZ149" i="6"/>
  <c r="AX149" i="6"/>
  <c r="AQ149" i="6"/>
  <c r="BD149" i="6" s="1"/>
  <c r="AP149" i="6"/>
  <c r="AO149" i="6"/>
  <c r="BC149" i="6" s="1"/>
  <c r="AN149" i="6"/>
  <c r="AM149" i="6"/>
  <c r="AT149" i="6" s="1"/>
  <c r="AL149" i="6"/>
  <c r="AK149" i="6"/>
  <c r="AY149" i="6" s="1"/>
  <c r="AJ149" i="6"/>
  <c r="AW149" i="6" s="1"/>
  <c r="AI149" i="6"/>
  <c r="AH149" i="6"/>
  <c r="AG149" i="6"/>
  <c r="AF149" i="6"/>
  <c r="AD149" i="6"/>
  <c r="P149" i="6"/>
  <c r="BD148" i="6"/>
  <c r="AQ148" i="6"/>
  <c r="AP148" i="6"/>
  <c r="BC148" i="6" s="1"/>
  <c r="AO148" i="6"/>
  <c r="AN148" i="6"/>
  <c r="AM148" i="6"/>
  <c r="AL148" i="6"/>
  <c r="AK148" i="6"/>
  <c r="AJ148" i="6"/>
  <c r="AI148" i="6"/>
  <c r="AH148" i="6"/>
  <c r="AV148" i="6" s="1"/>
  <c r="AG148" i="6"/>
  <c r="AF148" i="6"/>
  <c r="AD148" i="6"/>
  <c r="P148" i="6"/>
  <c r="BA147" i="6"/>
  <c r="AZ147" i="6"/>
  <c r="AU147" i="6"/>
  <c r="AT147" i="6"/>
  <c r="AQ147" i="6"/>
  <c r="AP147" i="6"/>
  <c r="AO147" i="6"/>
  <c r="BB147" i="6" s="1"/>
  <c r="AN147" i="6"/>
  <c r="AM147" i="6"/>
  <c r="AL147" i="6"/>
  <c r="AY147" i="6" s="1"/>
  <c r="AK147" i="6"/>
  <c r="AJ147" i="6"/>
  <c r="AI147" i="6"/>
  <c r="AH147" i="6"/>
  <c r="AV147" i="6" s="1"/>
  <c r="AG147" i="6"/>
  <c r="AF147" i="6"/>
  <c r="AD147" i="6"/>
  <c r="P147" i="6"/>
  <c r="BB146" i="6"/>
  <c r="AW146" i="6"/>
  <c r="AQ146" i="6"/>
  <c r="BD146" i="6" s="1"/>
  <c r="AP146" i="6"/>
  <c r="AO146" i="6"/>
  <c r="BC146" i="6" s="1"/>
  <c r="AN146" i="6"/>
  <c r="AM146" i="6"/>
  <c r="AL146" i="6"/>
  <c r="AK146" i="6"/>
  <c r="AX146" i="6" s="1"/>
  <c r="AJ146" i="6"/>
  <c r="AI146" i="6"/>
  <c r="AH146" i="6"/>
  <c r="AV146" i="6" s="1"/>
  <c r="AG146" i="6"/>
  <c r="AF146" i="6"/>
  <c r="AD146" i="6"/>
  <c r="P146" i="6"/>
  <c r="BD145" i="6"/>
  <c r="BB145" i="6"/>
  <c r="BA145" i="6"/>
  <c r="AZ145" i="6"/>
  <c r="AY145" i="6"/>
  <c r="AX145" i="6"/>
  <c r="AQ145" i="6"/>
  <c r="AP145" i="6"/>
  <c r="AO145" i="6"/>
  <c r="BC145" i="6" s="1"/>
  <c r="AN145" i="6"/>
  <c r="AU145" i="6" s="1"/>
  <c r="AM145" i="6"/>
  <c r="AL145" i="6"/>
  <c r="AK145" i="6"/>
  <c r="AJ145" i="6"/>
  <c r="AI145" i="6"/>
  <c r="AH145" i="6"/>
  <c r="AG145" i="6"/>
  <c r="AF145" i="6"/>
  <c r="AD145" i="6"/>
  <c r="P145" i="6"/>
  <c r="BD144" i="6"/>
  <c r="AQ144" i="6"/>
  <c r="AP144" i="6"/>
  <c r="BC144" i="6" s="1"/>
  <c r="AO144" i="6"/>
  <c r="AN144" i="6"/>
  <c r="AM144" i="6"/>
  <c r="AL144" i="6"/>
  <c r="AK144" i="6"/>
  <c r="AJ144" i="6"/>
  <c r="AI144" i="6"/>
  <c r="AH144" i="6"/>
  <c r="AG144" i="6"/>
  <c r="AF144" i="6"/>
  <c r="AD144" i="6"/>
  <c r="P144" i="6"/>
  <c r="BA143" i="6"/>
  <c r="AZ143" i="6"/>
  <c r="AX143" i="6"/>
  <c r="AW143" i="6"/>
  <c r="AU143" i="6"/>
  <c r="AT143" i="6"/>
  <c r="AQ143" i="6"/>
  <c r="BD143" i="6" s="1"/>
  <c r="AP143" i="6"/>
  <c r="AO143" i="6"/>
  <c r="BB143" i="6" s="1"/>
  <c r="AN143" i="6"/>
  <c r="AM143" i="6"/>
  <c r="AL143" i="6"/>
  <c r="AY143" i="6" s="1"/>
  <c r="AK143" i="6"/>
  <c r="AJ143" i="6"/>
  <c r="AI143" i="6"/>
  <c r="AH143" i="6"/>
  <c r="AV143" i="6" s="1"/>
  <c r="AG143" i="6"/>
  <c r="AF143" i="6"/>
  <c r="AD143" i="6"/>
  <c r="P143" i="6"/>
  <c r="BD142" i="6"/>
  <c r="BC142" i="6"/>
  <c r="BB142" i="6"/>
  <c r="AW142" i="6"/>
  <c r="AV142" i="6"/>
  <c r="AQ142" i="6"/>
  <c r="AP142" i="6"/>
  <c r="AO142" i="6"/>
  <c r="AN142" i="6"/>
  <c r="AM142" i="6"/>
  <c r="AL142" i="6"/>
  <c r="AK142" i="6"/>
  <c r="AX142" i="6" s="1"/>
  <c r="AJ142" i="6"/>
  <c r="AI142" i="6"/>
  <c r="AH142" i="6"/>
  <c r="AG142" i="6"/>
  <c r="AF142" i="6"/>
  <c r="AD142" i="6"/>
  <c r="P142" i="6"/>
  <c r="BD141" i="6"/>
  <c r="BC141" i="6"/>
  <c r="AY141" i="6"/>
  <c r="AX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D141" i="6"/>
  <c r="P141" i="6"/>
  <c r="BD140" i="6"/>
  <c r="AY140" i="6"/>
  <c r="AX140" i="6"/>
  <c r="AQ140" i="6"/>
  <c r="AP140" i="6"/>
  <c r="BC140" i="6" s="1"/>
  <c r="AO140" i="6"/>
  <c r="AN140" i="6"/>
  <c r="AM140" i="6"/>
  <c r="AL140" i="6"/>
  <c r="AK140" i="6"/>
  <c r="AJ140" i="6"/>
  <c r="AI140" i="6"/>
  <c r="AH140" i="6"/>
  <c r="AG140" i="6"/>
  <c r="AF140" i="6"/>
  <c r="AD140" i="6"/>
  <c r="P140" i="6"/>
  <c r="BA139" i="6"/>
  <c r="AZ139" i="6"/>
  <c r="AX139" i="6"/>
  <c r="AW139" i="6"/>
  <c r="AU139" i="6"/>
  <c r="AT139" i="6"/>
  <c r="AQ139" i="6"/>
  <c r="BD139" i="6" s="1"/>
  <c r="AP139" i="6"/>
  <c r="AO139" i="6"/>
  <c r="BB139" i="6" s="1"/>
  <c r="AN139" i="6"/>
  <c r="AM139" i="6"/>
  <c r="AL139" i="6"/>
  <c r="AY139" i="6" s="1"/>
  <c r="AK139" i="6"/>
  <c r="AJ139" i="6"/>
  <c r="AI139" i="6"/>
  <c r="AH139" i="6"/>
  <c r="AV139" i="6" s="1"/>
  <c r="AG139" i="6"/>
  <c r="AF139" i="6"/>
  <c r="AD139" i="6"/>
  <c r="P139" i="6"/>
  <c r="AW138" i="6"/>
  <c r="AQ138" i="6"/>
  <c r="AP138" i="6"/>
  <c r="AO138" i="6"/>
  <c r="BB138" i="6" s="1"/>
  <c r="AN138" i="6"/>
  <c r="AM138" i="6"/>
  <c r="AL138" i="6"/>
  <c r="AK138" i="6"/>
  <c r="AX138" i="6" s="1"/>
  <c r="AJ138" i="6"/>
  <c r="AI138" i="6"/>
  <c r="AH138" i="6"/>
  <c r="AV138" i="6" s="1"/>
  <c r="AG138" i="6"/>
  <c r="AF138" i="6"/>
  <c r="AD138" i="6"/>
  <c r="P138" i="6"/>
  <c r="BC137" i="6"/>
  <c r="AZ137" i="6"/>
  <c r="AY137" i="6"/>
  <c r="AX137" i="6"/>
  <c r="AQ137" i="6"/>
  <c r="BD137" i="6" s="1"/>
  <c r="AP137" i="6"/>
  <c r="AO137" i="6"/>
  <c r="AN137" i="6"/>
  <c r="AM137" i="6"/>
  <c r="AL137" i="6"/>
  <c r="AK137" i="6"/>
  <c r="AJ137" i="6"/>
  <c r="AW137" i="6" s="1"/>
  <c r="AI137" i="6"/>
  <c r="AH137" i="6"/>
  <c r="AG137" i="6"/>
  <c r="AF137" i="6"/>
  <c r="AD137" i="6"/>
  <c r="P137" i="6"/>
  <c r="BD136" i="6"/>
  <c r="BB136" i="6"/>
  <c r="AQ136" i="6"/>
  <c r="AP136" i="6"/>
  <c r="BC136" i="6" s="1"/>
  <c r="AO136" i="6"/>
  <c r="AN136" i="6"/>
  <c r="AM136" i="6"/>
  <c r="AL136" i="6"/>
  <c r="AK136" i="6"/>
  <c r="AJ136" i="6"/>
  <c r="AW136" i="6" s="1"/>
  <c r="AI136" i="6"/>
  <c r="AH136" i="6"/>
  <c r="AG136" i="6"/>
  <c r="AF136" i="6"/>
  <c r="AD136" i="6"/>
  <c r="P136" i="6"/>
  <c r="BA135" i="6"/>
  <c r="AZ135" i="6"/>
  <c r="AX135" i="6"/>
  <c r="AW135" i="6"/>
  <c r="AU135" i="6"/>
  <c r="AT135" i="6"/>
  <c r="AQ135" i="6"/>
  <c r="AP135" i="6"/>
  <c r="BC135" i="6" s="1"/>
  <c r="AO135" i="6"/>
  <c r="BB135" i="6" s="1"/>
  <c r="AN135" i="6"/>
  <c r="AM135" i="6"/>
  <c r="AL135" i="6"/>
  <c r="AY135" i="6" s="1"/>
  <c r="AK135" i="6"/>
  <c r="AJ135" i="6"/>
  <c r="AI135" i="6"/>
  <c r="AH135" i="6"/>
  <c r="AV135" i="6" s="1"/>
  <c r="AG135" i="6"/>
  <c r="AF135" i="6"/>
  <c r="AD135" i="6"/>
  <c r="P135" i="6"/>
  <c r="BD134" i="6"/>
  <c r="BC134" i="6"/>
  <c r="BB134" i="6"/>
  <c r="AW134" i="6"/>
  <c r="AT134" i="6"/>
  <c r="AQ134" i="6"/>
  <c r="AP134" i="6"/>
  <c r="AO134" i="6"/>
  <c r="AN134" i="6"/>
  <c r="AM134" i="6"/>
  <c r="AL134" i="6"/>
  <c r="AY134" i="6" s="1"/>
  <c r="AK134" i="6"/>
  <c r="AX134" i="6" s="1"/>
  <c r="AJ134" i="6"/>
  <c r="AI134" i="6"/>
  <c r="AH134" i="6"/>
  <c r="AV134" i="6" s="1"/>
  <c r="AG134" i="6"/>
  <c r="AF134" i="6"/>
  <c r="AD134" i="6"/>
  <c r="P134" i="6"/>
  <c r="BB133" i="6"/>
  <c r="AX133" i="6"/>
  <c r="AQ133" i="6"/>
  <c r="BD133" i="6" s="1"/>
  <c r="AP133" i="6"/>
  <c r="AO133" i="6"/>
  <c r="BC133" i="6" s="1"/>
  <c r="AN133" i="6"/>
  <c r="AM133" i="6"/>
  <c r="AL133" i="6"/>
  <c r="AK133" i="6"/>
  <c r="AY133" i="6" s="1"/>
  <c r="AJ133" i="6"/>
  <c r="AI133" i="6"/>
  <c r="AH133" i="6"/>
  <c r="AG133" i="6"/>
  <c r="AF133" i="6"/>
  <c r="AD133" i="6"/>
  <c r="P133" i="6"/>
  <c r="BD132" i="6"/>
  <c r="BB132" i="6"/>
  <c r="AX132" i="6"/>
  <c r="AQ132" i="6"/>
  <c r="AP132" i="6"/>
  <c r="BC132" i="6" s="1"/>
  <c r="AO132" i="6"/>
  <c r="AN132" i="6"/>
  <c r="AM132" i="6"/>
  <c r="AL132" i="6"/>
  <c r="AK132" i="6"/>
  <c r="AY132" i="6" s="1"/>
  <c r="AJ132" i="6"/>
  <c r="AI132" i="6"/>
  <c r="AH132" i="6"/>
  <c r="AV132" i="6" s="1"/>
  <c r="AG132" i="6"/>
  <c r="AF132" i="6"/>
  <c r="AD132" i="6"/>
  <c r="P132" i="6"/>
  <c r="AX131" i="6"/>
  <c r="AW131" i="6"/>
  <c r="AU131" i="6"/>
  <c r="AT131" i="6"/>
  <c r="AQ131" i="6"/>
  <c r="AP131" i="6"/>
  <c r="BC131" i="6" s="1"/>
  <c r="AO131" i="6"/>
  <c r="BB131" i="6" s="1"/>
  <c r="AN131" i="6"/>
  <c r="AM131" i="6"/>
  <c r="AL131" i="6"/>
  <c r="AY131" i="6" s="1"/>
  <c r="AK131" i="6"/>
  <c r="AJ131" i="6"/>
  <c r="AI131" i="6"/>
  <c r="AH131" i="6"/>
  <c r="AV131" i="6" s="1"/>
  <c r="AG131" i="6"/>
  <c r="AF131" i="6"/>
  <c r="AD131" i="6"/>
  <c r="P131" i="6"/>
  <c r="BD130" i="6"/>
  <c r="AQ130" i="6"/>
  <c r="AP130" i="6"/>
  <c r="AO130" i="6"/>
  <c r="AN130" i="6"/>
  <c r="AM130" i="6"/>
  <c r="AL130" i="6"/>
  <c r="AK130" i="6"/>
  <c r="AX130" i="6" s="1"/>
  <c r="AJ130" i="6"/>
  <c r="AI130" i="6"/>
  <c r="AH130" i="6"/>
  <c r="AG130" i="6"/>
  <c r="AF130" i="6"/>
  <c r="AD130" i="6"/>
  <c r="P130" i="6"/>
  <c r="AX129" i="6"/>
  <c r="AQ129" i="6"/>
  <c r="BD129" i="6" s="1"/>
  <c r="AP129" i="6"/>
  <c r="AO129" i="6"/>
  <c r="AN129" i="6"/>
  <c r="AM129" i="6"/>
  <c r="AL129" i="6"/>
  <c r="AY129" i="6" s="1"/>
  <c r="AK129" i="6"/>
  <c r="AJ129" i="6"/>
  <c r="AW129" i="6" s="1"/>
  <c r="AI129" i="6"/>
  <c r="AH129" i="6"/>
  <c r="AV129" i="6" s="1"/>
  <c r="AG129" i="6"/>
  <c r="AF129" i="6"/>
  <c r="AD129" i="6"/>
  <c r="P129" i="6"/>
  <c r="AZ128" i="6"/>
  <c r="AY128" i="6"/>
  <c r="AX128" i="6"/>
  <c r="AW128" i="6"/>
  <c r="AQ128" i="6"/>
  <c r="BD128" i="6" s="1"/>
  <c r="AP128" i="6"/>
  <c r="BC128" i="6" s="1"/>
  <c r="AO128" i="6"/>
  <c r="AN128" i="6"/>
  <c r="AM128" i="6"/>
  <c r="AT128" i="6" s="1"/>
  <c r="AL128" i="6"/>
  <c r="AK128" i="6"/>
  <c r="AJ128" i="6"/>
  <c r="AI128" i="6"/>
  <c r="AH128" i="6"/>
  <c r="AG128" i="6"/>
  <c r="AF128" i="6"/>
  <c r="AD128" i="6"/>
  <c r="P128" i="6"/>
  <c r="BD127" i="6"/>
  <c r="BC127" i="6"/>
  <c r="BA127" i="6"/>
  <c r="AZ127" i="6"/>
  <c r="AY127" i="6"/>
  <c r="AX127" i="6"/>
  <c r="AU127" i="6"/>
  <c r="AQ127" i="6"/>
  <c r="AP127" i="6"/>
  <c r="AO127" i="6"/>
  <c r="AN127" i="6"/>
  <c r="AM127" i="6"/>
  <c r="AL127" i="6"/>
  <c r="AT127" i="6" s="1"/>
  <c r="AK127" i="6"/>
  <c r="AJ127" i="6"/>
  <c r="AI127" i="6"/>
  <c r="AH127" i="6"/>
  <c r="AG127" i="6"/>
  <c r="AF127" i="6"/>
  <c r="AD127" i="6"/>
  <c r="P127" i="6"/>
  <c r="AX126" i="6"/>
  <c r="AW126" i="6"/>
  <c r="AU126" i="6"/>
  <c r="AQ126" i="6"/>
  <c r="AP126" i="6"/>
  <c r="BC126" i="6" s="1"/>
  <c r="AO126" i="6"/>
  <c r="BB126" i="6" s="1"/>
  <c r="AN126" i="6"/>
  <c r="AM126" i="6"/>
  <c r="AL126" i="6"/>
  <c r="AK126" i="6"/>
  <c r="AJ126" i="6"/>
  <c r="AI126" i="6"/>
  <c r="AH126" i="6"/>
  <c r="AV126" i="6" s="1"/>
  <c r="AG126" i="6"/>
  <c r="AF126" i="6"/>
  <c r="AD126" i="6"/>
  <c r="P126" i="6"/>
  <c r="BC125" i="6"/>
  <c r="AY125" i="6"/>
  <c r="AT125" i="6"/>
  <c r="AQ125" i="6"/>
  <c r="BD125" i="6" s="1"/>
  <c r="AP125" i="6"/>
  <c r="AO125" i="6"/>
  <c r="BB125" i="6" s="1"/>
  <c r="AN125" i="6"/>
  <c r="AM125" i="6"/>
  <c r="AL125" i="6"/>
  <c r="AK125" i="6"/>
  <c r="AX125" i="6" s="1"/>
  <c r="AJ125" i="6"/>
  <c r="AI125" i="6"/>
  <c r="AH125" i="6"/>
  <c r="AG125" i="6"/>
  <c r="AF125" i="6"/>
  <c r="AD125" i="6"/>
  <c r="P125" i="6"/>
  <c r="BD124" i="6"/>
  <c r="BC124" i="6"/>
  <c r="BB124" i="6"/>
  <c r="BA124" i="6"/>
  <c r="AZ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D124" i="6"/>
  <c r="P124" i="6"/>
  <c r="BB123" i="6"/>
  <c r="BA123" i="6"/>
  <c r="AW123" i="6"/>
  <c r="AU123" i="6"/>
  <c r="AT123" i="6"/>
  <c r="AQ123" i="6"/>
  <c r="AP123" i="6"/>
  <c r="BC123" i="6" s="1"/>
  <c r="AO123" i="6"/>
  <c r="AN123" i="6"/>
  <c r="AM123" i="6"/>
  <c r="AL123" i="6"/>
  <c r="AK123" i="6"/>
  <c r="AX123" i="6" s="1"/>
  <c r="AJ123" i="6"/>
  <c r="AI123" i="6"/>
  <c r="AH123" i="6"/>
  <c r="AV123" i="6" s="1"/>
  <c r="AG123" i="6"/>
  <c r="AF123" i="6"/>
  <c r="AD123" i="6"/>
  <c r="P123" i="6"/>
  <c r="BD122" i="6"/>
  <c r="AX122" i="6"/>
  <c r="AW122" i="6"/>
  <c r="AQ122" i="6"/>
  <c r="AP122" i="6"/>
  <c r="AO122" i="6"/>
  <c r="AN122" i="6"/>
  <c r="AM122" i="6"/>
  <c r="AL122" i="6"/>
  <c r="AY122" i="6" s="1"/>
  <c r="AK122" i="6"/>
  <c r="AJ122" i="6"/>
  <c r="AI122" i="6"/>
  <c r="AH122" i="6"/>
  <c r="AV122" i="6" s="1"/>
  <c r="AG122" i="6"/>
  <c r="AF122" i="6"/>
  <c r="AD122" i="6"/>
  <c r="P122" i="6"/>
  <c r="AQ121" i="6"/>
  <c r="AP121" i="6"/>
  <c r="AO121" i="6"/>
  <c r="AN121" i="6"/>
  <c r="AM121" i="6"/>
  <c r="AL121" i="6"/>
  <c r="AK121" i="6"/>
  <c r="AX121" i="6" s="1"/>
  <c r="AJ121" i="6"/>
  <c r="AW121" i="6" s="1"/>
  <c r="AI121" i="6"/>
  <c r="AH121" i="6"/>
  <c r="AG121" i="6"/>
  <c r="AF121" i="6"/>
  <c r="AD121" i="6"/>
  <c r="P121" i="6"/>
  <c r="BD120" i="6"/>
  <c r="BC120" i="6"/>
  <c r="BB120" i="6"/>
  <c r="BA120" i="6"/>
  <c r="AZ120" i="6"/>
  <c r="AY120" i="6"/>
  <c r="AX120" i="6"/>
  <c r="AW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D120" i="6"/>
  <c r="P120" i="6"/>
  <c r="BB119" i="6"/>
  <c r="BA119" i="6"/>
  <c r="AZ119" i="6"/>
  <c r="AY119" i="6"/>
  <c r="AX119" i="6"/>
  <c r="AU119" i="6"/>
  <c r="AT119" i="6"/>
  <c r="AQ119" i="6"/>
  <c r="AP119" i="6"/>
  <c r="BC119" i="6" s="1"/>
  <c r="AO119" i="6"/>
  <c r="AN119" i="6"/>
  <c r="AM119" i="6"/>
  <c r="AL119" i="6"/>
  <c r="AK119" i="6"/>
  <c r="AJ119" i="6"/>
  <c r="AI119" i="6"/>
  <c r="AH119" i="6"/>
  <c r="AG119" i="6"/>
  <c r="AF119" i="6"/>
  <c r="AD119" i="6"/>
  <c r="P119" i="6"/>
  <c r="AY118" i="6"/>
  <c r="AX118" i="6"/>
  <c r="AW118" i="6"/>
  <c r="AQ118" i="6"/>
  <c r="AP118" i="6"/>
  <c r="AO118" i="6"/>
  <c r="AN118" i="6"/>
  <c r="AM118" i="6"/>
  <c r="AL118" i="6"/>
  <c r="AK118" i="6"/>
  <c r="AJ118" i="6"/>
  <c r="AI118" i="6"/>
  <c r="AH118" i="6"/>
  <c r="AV118" i="6" s="1"/>
  <c r="AG118" i="6"/>
  <c r="AF118" i="6"/>
  <c r="AD118" i="6"/>
  <c r="P118" i="6"/>
  <c r="BC117" i="6"/>
  <c r="BB117" i="6"/>
  <c r="BA117" i="6"/>
  <c r="AZ117" i="6"/>
  <c r="AY117" i="6"/>
  <c r="AT117" i="6"/>
  <c r="AQ117" i="6"/>
  <c r="AP117" i="6"/>
  <c r="AO117" i="6"/>
  <c r="AN117" i="6"/>
  <c r="AU117" i="6" s="1"/>
  <c r="AM117" i="6"/>
  <c r="AL117" i="6"/>
  <c r="AK117" i="6"/>
  <c r="AJ117" i="6"/>
  <c r="AW117" i="6" s="1"/>
  <c r="AI117" i="6"/>
  <c r="AH117" i="6"/>
  <c r="AG117" i="6"/>
  <c r="AF117" i="6"/>
  <c r="AD117" i="6"/>
  <c r="P117" i="6"/>
  <c r="AZ116" i="6"/>
  <c r="AQ116" i="6"/>
  <c r="AP116" i="6"/>
  <c r="AO116" i="6"/>
  <c r="BB116" i="6" s="1"/>
  <c r="AN116" i="6"/>
  <c r="AM116" i="6"/>
  <c r="AL116" i="6"/>
  <c r="AK116" i="6"/>
  <c r="AJ116" i="6"/>
  <c r="AI116" i="6"/>
  <c r="AH116" i="6"/>
  <c r="AV116" i="6" s="1"/>
  <c r="AG116" i="6"/>
  <c r="AF116" i="6"/>
  <c r="AD116" i="6"/>
  <c r="P116" i="6"/>
  <c r="BC115" i="6"/>
  <c r="BB115" i="6"/>
  <c r="BA115" i="6"/>
  <c r="AX115" i="6"/>
  <c r="AW115" i="6"/>
  <c r="AU115" i="6"/>
  <c r="AQ115" i="6"/>
  <c r="AP115" i="6"/>
  <c r="AO115" i="6"/>
  <c r="AN115" i="6"/>
  <c r="AM115" i="6"/>
  <c r="AL115" i="6"/>
  <c r="AK115" i="6"/>
  <c r="AJ115" i="6"/>
  <c r="AI115" i="6"/>
  <c r="AH115" i="6"/>
  <c r="AV115" i="6" s="1"/>
  <c r="AG115" i="6"/>
  <c r="AF115" i="6"/>
  <c r="AD115" i="6"/>
  <c r="P115" i="6"/>
  <c r="AX114" i="6"/>
  <c r="AW114" i="6"/>
  <c r="AT114" i="6"/>
  <c r="AQ114" i="6"/>
  <c r="AP114" i="6"/>
  <c r="BC114" i="6" s="1"/>
  <c r="AO114" i="6"/>
  <c r="AN114" i="6"/>
  <c r="AM114" i="6"/>
  <c r="AL114" i="6"/>
  <c r="AY114" i="6" s="1"/>
  <c r="AK114" i="6"/>
  <c r="AJ114" i="6"/>
  <c r="AI114" i="6"/>
  <c r="AH114" i="6"/>
  <c r="AV114" i="6" s="1"/>
  <c r="AG114" i="6"/>
  <c r="AF114" i="6"/>
  <c r="AD114" i="6"/>
  <c r="P114" i="6"/>
  <c r="BD113" i="6"/>
  <c r="BC113" i="6"/>
  <c r="BB113" i="6"/>
  <c r="BA113" i="6"/>
  <c r="AU113" i="6"/>
  <c r="AQ113" i="6"/>
  <c r="AP113" i="6"/>
  <c r="AO113" i="6"/>
  <c r="AN113" i="6"/>
  <c r="AM113" i="6"/>
  <c r="AL113" i="6"/>
  <c r="AK113" i="6"/>
  <c r="AX113" i="6" s="1"/>
  <c r="AJ113" i="6"/>
  <c r="AI113" i="6"/>
  <c r="AH113" i="6"/>
  <c r="AG113" i="6"/>
  <c r="AF113" i="6"/>
  <c r="AD113" i="6"/>
  <c r="P113" i="6"/>
  <c r="AX112" i="6"/>
  <c r="AW112" i="6"/>
  <c r="AQ112" i="6"/>
  <c r="AP112" i="6"/>
  <c r="AO112" i="6"/>
  <c r="AN112" i="6"/>
  <c r="BA112" i="6" s="1"/>
  <c r="AM112" i="6"/>
  <c r="AL112" i="6"/>
  <c r="AY112" i="6" s="1"/>
  <c r="AK112" i="6"/>
  <c r="AJ112" i="6"/>
  <c r="AI112" i="6"/>
  <c r="AH112" i="6"/>
  <c r="AV112" i="6" s="1"/>
  <c r="AG112" i="6"/>
  <c r="AF112" i="6"/>
  <c r="AD112" i="6"/>
  <c r="P112" i="6"/>
  <c r="BC111" i="6"/>
  <c r="BB111" i="6"/>
  <c r="BA111" i="6"/>
  <c r="AZ111" i="6"/>
  <c r="AY111" i="6"/>
  <c r="AX111" i="6"/>
  <c r="AU111" i="6"/>
  <c r="AQ111" i="6"/>
  <c r="BD111" i="6" s="1"/>
  <c r="AP111" i="6"/>
  <c r="AO111" i="6"/>
  <c r="AN111" i="6"/>
  <c r="AM111" i="6"/>
  <c r="AL111" i="6"/>
  <c r="AT111" i="6" s="1"/>
  <c r="AK111" i="6"/>
  <c r="AJ111" i="6"/>
  <c r="AI111" i="6"/>
  <c r="AW111" i="6" s="1"/>
  <c r="AH111" i="6"/>
  <c r="AG111" i="6"/>
  <c r="AF111" i="6"/>
  <c r="AD111" i="6"/>
  <c r="P111" i="6"/>
  <c r="BD110" i="6"/>
  <c r="AY110" i="6"/>
  <c r="AX110" i="6"/>
  <c r="AW110" i="6"/>
  <c r="AT110" i="6"/>
  <c r="AQ110" i="6"/>
  <c r="AP110" i="6"/>
  <c r="AO110" i="6"/>
  <c r="AN110" i="6"/>
  <c r="AM110" i="6"/>
  <c r="AZ110" i="6" s="1"/>
  <c r="AL110" i="6"/>
  <c r="AK110" i="6"/>
  <c r="AJ110" i="6"/>
  <c r="AI110" i="6"/>
  <c r="AH110" i="6"/>
  <c r="AV110" i="6" s="1"/>
  <c r="AG110" i="6"/>
  <c r="AF110" i="6"/>
  <c r="AD110" i="6"/>
  <c r="P110" i="6"/>
  <c r="AQ109" i="6"/>
  <c r="AP109" i="6"/>
  <c r="AO109" i="6"/>
  <c r="BB109" i="6" s="1"/>
  <c r="AN109" i="6"/>
  <c r="AM109" i="6"/>
  <c r="AL109" i="6"/>
  <c r="AK109" i="6"/>
  <c r="AX109" i="6" s="1"/>
  <c r="AJ109" i="6"/>
  <c r="AI109" i="6"/>
  <c r="AH109" i="6"/>
  <c r="AG109" i="6"/>
  <c r="AF109" i="6"/>
  <c r="AD109" i="6"/>
  <c r="P109" i="6"/>
  <c r="BD108" i="6"/>
  <c r="BC108" i="6"/>
  <c r="BB108" i="6"/>
  <c r="BA108" i="6"/>
  <c r="AZ108" i="6"/>
  <c r="AY108" i="6"/>
  <c r="AX108" i="6"/>
  <c r="AW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D108" i="6"/>
  <c r="P108" i="6"/>
  <c r="BB107" i="6"/>
  <c r="BA107" i="6"/>
  <c r="AU107" i="6"/>
  <c r="AQ107" i="6"/>
  <c r="AP107" i="6"/>
  <c r="BC107" i="6" s="1"/>
  <c r="AO107" i="6"/>
  <c r="AN107" i="6"/>
  <c r="AM107" i="6"/>
  <c r="AL107" i="6"/>
  <c r="AK107" i="6"/>
  <c r="AJ107" i="6"/>
  <c r="AW107" i="6" s="1"/>
  <c r="AI107" i="6"/>
  <c r="AH107" i="6"/>
  <c r="AV107" i="6" s="1"/>
  <c r="AG107" i="6"/>
  <c r="AF107" i="6"/>
  <c r="AD107" i="6"/>
  <c r="P107" i="6"/>
  <c r="BD106" i="6"/>
  <c r="BC106" i="6"/>
  <c r="AX106" i="6"/>
  <c r="AW106" i="6"/>
  <c r="AU106" i="6"/>
  <c r="AQ106" i="6"/>
  <c r="AP106" i="6"/>
  <c r="AO106" i="6"/>
  <c r="BB106" i="6" s="1"/>
  <c r="AN106" i="6"/>
  <c r="AM106" i="6"/>
  <c r="AL106" i="6"/>
  <c r="AY106" i="6" s="1"/>
  <c r="AK106" i="6"/>
  <c r="AJ106" i="6"/>
  <c r="AI106" i="6"/>
  <c r="AH106" i="6"/>
  <c r="AV106" i="6" s="1"/>
  <c r="AG106" i="6"/>
  <c r="AF106" i="6"/>
  <c r="AD106" i="6"/>
  <c r="P106" i="6"/>
  <c r="BB105" i="6"/>
  <c r="AQ105" i="6"/>
  <c r="BD105" i="6" s="1"/>
  <c r="AP105" i="6"/>
  <c r="BC105" i="6" s="1"/>
  <c r="AO105" i="6"/>
  <c r="AN105" i="6"/>
  <c r="AM105" i="6"/>
  <c r="AL105" i="6"/>
  <c r="AY105" i="6" s="1"/>
  <c r="AK105" i="6"/>
  <c r="AX105" i="6" s="1"/>
  <c r="AJ105" i="6"/>
  <c r="AI105" i="6"/>
  <c r="AH105" i="6"/>
  <c r="AG105" i="6"/>
  <c r="AF105" i="6"/>
  <c r="AD105" i="6"/>
  <c r="P105" i="6"/>
  <c r="BD104" i="6"/>
  <c r="BC104" i="6"/>
  <c r="BB104" i="6"/>
  <c r="BA104" i="6"/>
  <c r="AZ104" i="6"/>
  <c r="AY104" i="6"/>
  <c r="AU104" i="6"/>
  <c r="AQ104" i="6"/>
  <c r="AP104" i="6"/>
  <c r="AO104" i="6"/>
  <c r="AN104" i="6"/>
  <c r="AM104" i="6"/>
  <c r="AL104" i="6"/>
  <c r="AK104" i="6"/>
  <c r="AJ104" i="6"/>
  <c r="AW104" i="6" s="1"/>
  <c r="AI104" i="6"/>
  <c r="AH104" i="6"/>
  <c r="AG104" i="6"/>
  <c r="AF104" i="6"/>
  <c r="AD104" i="6"/>
  <c r="P104" i="6"/>
  <c r="BB103" i="6"/>
  <c r="BA103" i="6"/>
  <c r="AZ103" i="6"/>
  <c r="AU103" i="6"/>
  <c r="AT103" i="6"/>
  <c r="AQ103" i="6"/>
  <c r="AP103" i="6"/>
  <c r="BC103" i="6" s="1"/>
  <c r="AO103" i="6"/>
  <c r="AN103" i="6"/>
  <c r="AM103" i="6"/>
  <c r="AL103" i="6"/>
  <c r="AK103" i="6"/>
  <c r="AJ103" i="6"/>
  <c r="AI103" i="6"/>
  <c r="AH103" i="6"/>
  <c r="AG103" i="6"/>
  <c r="AF103" i="6"/>
  <c r="AD103" i="6"/>
  <c r="P103" i="6"/>
  <c r="AY102" i="6"/>
  <c r="AX102" i="6"/>
  <c r="AW102" i="6"/>
  <c r="AQ102" i="6"/>
  <c r="AP102" i="6"/>
  <c r="AO102" i="6"/>
  <c r="AN102" i="6"/>
  <c r="AM102" i="6"/>
  <c r="AL102" i="6"/>
  <c r="AK102" i="6"/>
  <c r="AJ102" i="6"/>
  <c r="AI102" i="6"/>
  <c r="AH102" i="6"/>
  <c r="AV102" i="6" s="1"/>
  <c r="AG102" i="6"/>
  <c r="AF102" i="6"/>
  <c r="AD102" i="6"/>
  <c r="P102" i="6"/>
  <c r="BD101" i="6"/>
  <c r="BC101" i="6"/>
  <c r="BB101" i="6"/>
  <c r="BA101" i="6"/>
  <c r="AZ101" i="6"/>
  <c r="AY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D101" i="6"/>
  <c r="P101" i="6"/>
  <c r="AX100" i="6"/>
  <c r="AW100" i="6"/>
  <c r="AQ100" i="6"/>
  <c r="AP100" i="6"/>
  <c r="AO100" i="6"/>
  <c r="AN100" i="6"/>
  <c r="AM100" i="6"/>
  <c r="AL100" i="6"/>
  <c r="AK100" i="6"/>
  <c r="AJ100" i="6"/>
  <c r="AI100" i="6"/>
  <c r="AH100" i="6"/>
  <c r="AV100" i="6" s="1"/>
  <c r="AG100" i="6"/>
  <c r="AF100" i="6"/>
  <c r="AD100" i="6"/>
  <c r="P100" i="6"/>
  <c r="BC99" i="6"/>
  <c r="BB99" i="6"/>
  <c r="BA99" i="6"/>
  <c r="AW99" i="6"/>
  <c r="AU99" i="6"/>
  <c r="AQ99" i="6"/>
  <c r="AP99" i="6"/>
  <c r="AO99" i="6"/>
  <c r="AN99" i="6"/>
  <c r="AM99" i="6"/>
  <c r="AL99" i="6"/>
  <c r="AK99" i="6"/>
  <c r="AX99" i="6" s="1"/>
  <c r="AJ99" i="6"/>
  <c r="AI99" i="6"/>
  <c r="AH99" i="6"/>
  <c r="AV99" i="6" s="1"/>
  <c r="AG99" i="6"/>
  <c r="AF99" i="6"/>
  <c r="AD99" i="6"/>
  <c r="P99" i="6"/>
  <c r="AY98" i="6"/>
  <c r="AX98" i="6"/>
  <c r="AW98" i="6"/>
  <c r="AQ98" i="6"/>
  <c r="AP98" i="6"/>
  <c r="AO98" i="6"/>
  <c r="BB98" i="6" s="1"/>
  <c r="AN98" i="6"/>
  <c r="AM98" i="6"/>
  <c r="AL98" i="6"/>
  <c r="AK98" i="6"/>
  <c r="AJ98" i="6"/>
  <c r="AI98" i="6"/>
  <c r="AH98" i="6"/>
  <c r="AV98" i="6" s="1"/>
  <c r="AG98" i="6"/>
  <c r="AF98" i="6"/>
  <c r="AD98" i="6"/>
  <c r="P98" i="6"/>
  <c r="BD97" i="6"/>
  <c r="BC97" i="6"/>
  <c r="BB97" i="6"/>
  <c r="BA97" i="6"/>
  <c r="AZ97" i="6"/>
  <c r="AQ97" i="6"/>
  <c r="AP97" i="6"/>
  <c r="AO97" i="6"/>
  <c r="AN97" i="6"/>
  <c r="AU97" i="6" s="1"/>
  <c r="AM97" i="6"/>
  <c r="AL97" i="6"/>
  <c r="AK97" i="6"/>
  <c r="AJ97" i="6"/>
  <c r="AW97" i="6" s="1"/>
  <c r="AI97" i="6"/>
  <c r="AH97" i="6"/>
  <c r="AG97" i="6"/>
  <c r="AF97" i="6"/>
  <c r="AD97" i="6"/>
  <c r="P97" i="6"/>
  <c r="BB96" i="6"/>
  <c r="BA96" i="6"/>
  <c r="AU96" i="6"/>
  <c r="AQ96" i="6"/>
  <c r="AP96" i="6"/>
  <c r="BD96" i="6" s="1"/>
  <c r="AO96" i="6"/>
  <c r="AN96" i="6"/>
  <c r="AM96" i="6"/>
  <c r="AL96" i="6"/>
  <c r="AK96" i="6"/>
  <c r="AJ96" i="6"/>
  <c r="AI96" i="6"/>
  <c r="AH96" i="6"/>
  <c r="AG96" i="6"/>
  <c r="AF96" i="6"/>
  <c r="AD96" i="6"/>
  <c r="P96" i="6"/>
  <c r="BB95" i="6"/>
  <c r="BA95" i="6"/>
  <c r="AZ95" i="6"/>
  <c r="AU95" i="6"/>
  <c r="AT95" i="6"/>
  <c r="AQ95" i="6"/>
  <c r="AP95" i="6"/>
  <c r="BC95" i="6" s="1"/>
  <c r="AO95" i="6"/>
  <c r="AN95" i="6"/>
  <c r="AM95" i="6"/>
  <c r="AL95" i="6"/>
  <c r="AY95" i="6" s="1"/>
  <c r="AK95" i="6"/>
  <c r="AJ95" i="6"/>
  <c r="AI95" i="6"/>
  <c r="AH95" i="6"/>
  <c r="AV95" i="6" s="1"/>
  <c r="AG95" i="6"/>
  <c r="AF95" i="6"/>
  <c r="AD95" i="6"/>
  <c r="P95" i="6"/>
  <c r="BD94" i="6"/>
  <c r="BC94" i="6"/>
  <c r="AY94" i="6"/>
  <c r="AX94" i="6"/>
  <c r="AW94" i="6"/>
  <c r="AQ94" i="6"/>
  <c r="AP94" i="6"/>
  <c r="AO94" i="6"/>
  <c r="AN94" i="6"/>
  <c r="AM94" i="6"/>
  <c r="AL94" i="6"/>
  <c r="AT94" i="6" s="1"/>
  <c r="AK94" i="6"/>
  <c r="AJ94" i="6"/>
  <c r="AI94" i="6"/>
  <c r="AH94" i="6"/>
  <c r="AV94" i="6" s="1"/>
  <c r="AG94" i="6"/>
  <c r="AF94" i="6"/>
  <c r="AD94" i="6"/>
  <c r="P94" i="6"/>
  <c r="AQ93" i="6"/>
  <c r="AP93" i="6"/>
  <c r="AO93" i="6"/>
  <c r="AN93" i="6"/>
  <c r="AM93" i="6"/>
  <c r="AT93" i="6" s="1"/>
  <c r="AL93" i="6"/>
  <c r="AK93" i="6"/>
  <c r="AX93" i="6" s="1"/>
  <c r="AJ93" i="6"/>
  <c r="AW93" i="6" s="1"/>
  <c r="AI93" i="6"/>
  <c r="AH93" i="6"/>
  <c r="AG93" i="6"/>
  <c r="AF93" i="6"/>
  <c r="AD93" i="6"/>
  <c r="P93" i="6"/>
  <c r="BD92" i="6"/>
  <c r="BC92" i="6"/>
  <c r="BB92" i="6"/>
  <c r="BA92" i="6"/>
  <c r="AZ92" i="6"/>
  <c r="AY92" i="6"/>
  <c r="AX92" i="6"/>
  <c r="AQ92" i="6"/>
  <c r="AP92" i="6"/>
  <c r="AO92" i="6"/>
  <c r="AN92" i="6"/>
  <c r="AM92" i="6"/>
  <c r="AT92" i="6" s="1"/>
  <c r="AL92" i="6"/>
  <c r="AK92" i="6"/>
  <c r="AJ92" i="6"/>
  <c r="AW92" i="6" s="1"/>
  <c r="AI92" i="6"/>
  <c r="AH92" i="6"/>
  <c r="AG92" i="6"/>
  <c r="AF92" i="6"/>
  <c r="AD92" i="6"/>
  <c r="P92" i="6"/>
  <c r="BB91" i="6"/>
  <c r="BA91" i="6"/>
  <c r="AZ91" i="6"/>
  <c r="AY91" i="6"/>
  <c r="AU91" i="6"/>
  <c r="AT91" i="6"/>
  <c r="AQ91" i="6"/>
  <c r="BD91" i="6" s="1"/>
  <c r="AP91" i="6"/>
  <c r="BC91" i="6" s="1"/>
  <c r="AO91" i="6"/>
  <c r="AN91" i="6"/>
  <c r="AM91" i="6"/>
  <c r="AL91" i="6"/>
  <c r="AK91" i="6"/>
  <c r="AJ91" i="6"/>
  <c r="AI91" i="6"/>
  <c r="AH91" i="6"/>
  <c r="AV91" i="6" s="1"/>
  <c r="AG91" i="6"/>
  <c r="AF91" i="6"/>
  <c r="AD91" i="6"/>
  <c r="P91" i="6"/>
  <c r="AY90" i="6"/>
  <c r="AX90" i="6"/>
  <c r="AT90" i="6"/>
  <c r="AQ90" i="6"/>
  <c r="BD90" i="6" s="1"/>
  <c r="AP90" i="6"/>
  <c r="BC90" i="6" s="1"/>
  <c r="AO90" i="6"/>
  <c r="BB90" i="6" s="1"/>
  <c r="AN90" i="6"/>
  <c r="AM90" i="6"/>
  <c r="AL90" i="6"/>
  <c r="AK90" i="6"/>
  <c r="AJ90" i="6"/>
  <c r="AW90" i="6" s="1"/>
  <c r="AI90" i="6"/>
  <c r="AH90" i="6"/>
  <c r="AV90" i="6" s="1"/>
  <c r="AG90" i="6"/>
  <c r="AF90" i="6"/>
  <c r="AD90" i="6"/>
  <c r="P90" i="6"/>
  <c r="BC89" i="6"/>
  <c r="BB89" i="6"/>
  <c r="AQ89" i="6"/>
  <c r="BD89" i="6" s="1"/>
  <c r="AP89" i="6"/>
  <c r="AO89" i="6"/>
  <c r="AN89" i="6"/>
  <c r="AM89" i="6"/>
  <c r="AL89" i="6"/>
  <c r="AY89" i="6" s="1"/>
  <c r="AK89" i="6"/>
  <c r="AX89" i="6" s="1"/>
  <c r="AJ89" i="6"/>
  <c r="AW89" i="6" s="1"/>
  <c r="AI89" i="6"/>
  <c r="AH89" i="6"/>
  <c r="AG89" i="6"/>
  <c r="AF89" i="6"/>
  <c r="AD89" i="6"/>
  <c r="P89" i="6"/>
  <c r="BD88" i="6"/>
  <c r="AZ88" i="6"/>
  <c r="AY88" i="6"/>
  <c r="AX88" i="6"/>
  <c r="AU88" i="6"/>
  <c r="AT88" i="6"/>
  <c r="AQ88" i="6"/>
  <c r="AP88" i="6"/>
  <c r="AO88" i="6"/>
  <c r="AN88" i="6"/>
  <c r="AM88" i="6"/>
  <c r="AL88" i="6"/>
  <c r="AK88" i="6"/>
  <c r="AJ88" i="6"/>
  <c r="AI88" i="6"/>
  <c r="AW88" i="6" s="1"/>
  <c r="AH88" i="6"/>
  <c r="AV88" i="6" s="1"/>
  <c r="AG88" i="6"/>
  <c r="AF88" i="6"/>
  <c r="AD88" i="6"/>
  <c r="P88" i="6"/>
  <c r="AQ87" i="6"/>
  <c r="BD87" i="6" s="1"/>
  <c r="AP87" i="6"/>
  <c r="AO87" i="6"/>
  <c r="BB87" i="6" s="1"/>
  <c r="AN87" i="6"/>
  <c r="AM87" i="6"/>
  <c r="AL87" i="6"/>
  <c r="AY87" i="6" s="1"/>
  <c r="AK87" i="6"/>
  <c r="AX87" i="6" s="1"/>
  <c r="AJ87" i="6"/>
  <c r="AW87" i="6" s="1"/>
  <c r="AI87" i="6"/>
  <c r="AH87" i="6"/>
  <c r="AV87" i="6" s="1"/>
  <c r="AG87" i="6"/>
  <c r="AF87" i="6"/>
  <c r="AD87" i="6"/>
  <c r="P87" i="6"/>
  <c r="BD86" i="6"/>
  <c r="BC86" i="6"/>
  <c r="BB86" i="6"/>
  <c r="BA86" i="6"/>
  <c r="AZ86" i="6"/>
  <c r="AY86" i="6"/>
  <c r="AX86" i="6"/>
  <c r="AW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D86" i="6"/>
  <c r="P86" i="6"/>
  <c r="BD85" i="6"/>
  <c r="BC85" i="6"/>
  <c r="BB85" i="6"/>
  <c r="AY85" i="6"/>
  <c r="AX85" i="6"/>
  <c r="AW85" i="6"/>
  <c r="AQ85" i="6"/>
  <c r="AP85" i="6"/>
  <c r="AO85" i="6"/>
  <c r="AN85" i="6"/>
  <c r="AM85" i="6"/>
  <c r="AL85" i="6"/>
  <c r="AK85" i="6"/>
  <c r="AJ85" i="6"/>
  <c r="AI85" i="6"/>
  <c r="AH85" i="6"/>
  <c r="AV85" i="6" s="1"/>
  <c r="AG85" i="6"/>
  <c r="AF85" i="6"/>
  <c r="AD85" i="6"/>
  <c r="P85" i="6"/>
  <c r="AZ84" i="6"/>
  <c r="AY84" i="6"/>
  <c r="AX84" i="6"/>
  <c r="AW84" i="6"/>
  <c r="AQ84" i="6"/>
  <c r="AP84" i="6"/>
  <c r="AO84" i="6"/>
  <c r="BB84" i="6" s="1"/>
  <c r="AN84" i="6"/>
  <c r="AM84" i="6"/>
  <c r="AT84" i="6" s="1"/>
  <c r="AL84" i="6"/>
  <c r="AK84" i="6"/>
  <c r="AJ84" i="6"/>
  <c r="AI84" i="6"/>
  <c r="AH84" i="6"/>
  <c r="AG84" i="6"/>
  <c r="AF84" i="6"/>
  <c r="AD84" i="6"/>
  <c r="P84" i="6"/>
  <c r="BC83" i="6"/>
  <c r="BB83" i="6"/>
  <c r="BA83" i="6"/>
  <c r="AZ83" i="6"/>
  <c r="AU83" i="6"/>
  <c r="AT83" i="6"/>
  <c r="AQ83" i="6"/>
  <c r="AP83" i="6"/>
  <c r="AO83" i="6"/>
  <c r="AN83" i="6"/>
  <c r="AM83" i="6"/>
  <c r="AL83" i="6"/>
  <c r="AK83" i="6"/>
  <c r="AJ83" i="6"/>
  <c r="AI83" i="6"/>
  <c r="AH83" i="6"/>
  <c r="AV83" i="6" s="1"/>
  <c r="AG83" i="6"/>
  <c r="AF83" i="6"/>
  <c r="AD83" i="6"/>
  <c r="P83" i="6"/>
  <c r="AQ82" i="6"/>
  <c r="BD82" i="6" s="1"/>
  <c r="AP82" i="6"/>
  <c r="AO82" i="6"/>
  <c r="BB82" i="6" s="1"/>
  <c r="AN82" i="6"/>
  <c r="AM82" i="6"/>
  <c r="AL82" i="6"/>
  <c r="AK82" i="6"/>
  <c r="AJ82" i="6"/>
  <c r="AI82" i="6"/>
  <c r="AH82" i="6"/>
  <c r="AG82" i="6"/>
  <c r="AF82" i="6"/>
  <c r="AD82" i="6"/>
  <c r="P82" i="6"/>
  <c r="BD81" i="6"/>
  <c r="BC81" i="6"/>
  <c r="BB81" i="6"/>
  <c r="BA81" i="6"/>
  <c r="AZ81" i="6"/>
  <c r="AY81" i="6"/>
  <c r="AX81" i="6"/>
  <c r="AU81" i="6"/>
  <c r="AT81" i="6"/>
  <c r="AQ81" i="6"/>
  <c r="AP81" i="6"/>
  <c r="AO81" i="6"/>
  <c r="AN81" i="6"/>
  <c r="AM81" i="6"/>
  <c r="AL81" i="6"/>
  <c r="AK81" i="6"/>
  <c r="AJ81" i="6"/>
  <c r="AI81" i="6"/>
  <c r="AW81" i="6" s="1"/>
  <c r="AH81" i="6"/>
  <c r="AV81" i="6" s="1"/>
  <c r="AG81" i="6"/>
  <c r="AF81" i="6"/>
  <c r="AD81" i="6"/>
  <c r="P81" i="6"/>
  <c r="AY80" i="6"/>
  <c r="AX80" i="6"/>
  <c r="AW80" i="6"/>
  <c r="AQ80" i="6"/>
  <c r="AP80" i="6"/>
  <c r="AO80" i="6"/>
  <c r="AN80" i="6"/>
  <c r="AM80" i="6"/>
  <c r="AL80" i="6"/>
  <c r="AK80" i="6"/>
  <c r="AJ80" i="6"/>
  <c r="AI80" i="6"/>
  <c r="AH80" i="6"/>
  <c r="AV80" i="6" s="1"/>
  <c r="AG80" i="6"/>
  <c r="AF80" i="6"/>
  <c r="AD80" i="6"/>
  <c r="P80" i="6"/>
  <c r="BD79" i="6"/>
  <c r="BC79" i="6"/>
  <c r="BB79" i="6"/>
  <c r="BA79" i="6"/>
  <c r="AZ79" i="6"/>
  <c r="AU79" i="6"/>
  <c r="AQ79" i="6"/>
  <c r="AP79" i="6"/>
  <c r="AO79" i="6"/>
  <c r="AN79" i="6"/>
  <c r="AM79" i="6"/>
  <c r="AL79" i="6"/>
  <c r="AK79" i="6"/>
  <c r="AJ79" i="6"/>
  <c r="AI79" i="6"/>
  <c r="AH79" i="6"/>
  <c r="AV79" i="6" s="1"/>
  <c r="AG79" i="6"/>
  <c r="AF79" i="6"/>
  <c r="AD79" i="6"/>
  <c r="P79" i="6"/>
  <c r="BA78" i="6"/>
  <c r="AZ78" i="6"/>
  <c r="AY78" i="6"/>
  <c r="AX78" i="6"/>
  <c r="AW78" i="6"/>
  <c r="AQ78" i="6"/>
  <c r="AP78" i="6"/>
  <c r="AO78" i="6"/>
  <c r="AN78" i="6"/>
  <c r="AM78" i="6"/>
  <c r="AT78" i="6" s="1"/>
  <c r="AL78" i="6"/>
  <c r="AK78" i="6"/>
  <c r="AJ78" i="6"/>
  <c r="AI78" i="6"/>
  <c r="AH78" i="6"/>
  <c r="AV78" i="6" s="1"/>
  <c r="AG78" i="6"/>
  <c r="AF78" i="6"/>
  <c r="AD78" i="6"/>
  <c r="P78" i="6"/>
  <c r="BC77" i="6"/>
  <c r="BB77" i="6"/>
  <c r="AQ77" i="6"/>
  <c r="BD77" i="6" s="1"/>
  <c r="AP77" i="6"/>
  <c r="AO77" i="6"/>
  <c r="AN77" i="6"/>
  <c r="AM77" i="6"/>
  <c r="AL77" i="6"/>
  <c r="AK77" i="6"/>
  <c r="AX77" i="6" s="1"/>
  <c r="AJ77" i="6"/>
  <c r="AW77" i="6" s="1"/>
  <c r="AI77" i="6"/>
  <c r="AH77" i="6"/>
  <c r="AG77" i="6"/>
  <c r="AF77" i="6"/>
  <c r="AD77" i="6"/>
  <c r="P77" i="6"/>
  <c r="BD76" i="6"/>
  <c r="AZ76" i="6"/>
  <c r="AY76" i="6"/>
  <c r="AX76" i="6"/>
  <c r="AW76" i="6"/>
  <c r="AU76" i="6"/>
  <c r="AT76" i="6"/>
  <c r="AQ76" i="6"/>
  <c r="AP76" i="6"/>
  <c r="BC76" i="6" s="1"/>
  <c r="AO76" i="6"/>
  <c r="AN76" i="6"/>
  <c r="AM76" i="6"/>
  <c r="AL76" i="6"/>
  <c r="AK76" i="6"/>
  <c r="AJ76" i="6"/>
  <c r="AI76" i="6"/>
  <c r="AH76" i="6"/>
  <c r="AV76" i="6" s="1"/>
  <c r="AG76" i="6"/>
  <c r="AF76" i="6"/>
  <c r="AD76" i="6"/>
  <c r="P76" i="6"/>
  <c r="AQ75" i="6"/>
  <c r="BD75" i="6" s="1"/>
  <c r="AP75" i="6"/>
  <c r="BC75" i="6" s="1"/>
  <c r="AO75" i="6"/>
  <c r="AN75" i="6"/>
  <c r="AM75" i="6"/>
  <c r="AL75" i="6"/>
  <c r="AY75" i="6" s="1"/>
  <c r="AK75" i="6"/>
  <c r="AJ75" i="6"/>
  <c r="AI75" i="6"/>
  <c r="AH75" i="6"/>
  <c r="AG75" i="6"/>
  <c r="AF75" i="6"/>
  <c r="AD75" i="6"/>
  <c r="P75" i="6"/>
  <c r="BD74" i="6"/>
  <c r="BC74" i="6"/>
  <c r="BB74" i="6"/>
  <c r="BA74" i="6"/>
  <c r="AZ74" i="6"/>
  <c r="AY74" i="6"/>
  <c r="AX74" i="6"/>
  <c r="AW74" i="6"/>
  <c r="AQ74" i="6"/>
  <c r="AP74" i="6"/>
  <c r="AO74" i="6"/>
  <c r="AN74" i="6"/>
  <c r="AM74" i="6"/>
  <c r="AL74" i="6"/>
  <c r="AK74" i="6"/>
  <c r="AJ74" i="6"/>
  <c r="AI74" i="6"/>
  <c r="AH74" i="6"/>
  <c r="AV74" i="6" s="1"/>
  <c r="AG74" i="6"/>
  <c r="AF74" i="6"/>
  <c r="AD74" i="6"/>
  <c r="P74" i="6"/>
  <c r="BD73" i="6"/>
  <c r="BC73" i="6"/>
  <c r="BB73" i="6"/>
  <c r="AX73" i="6"/>
  <c r="AW73" i="6"/>
  <c r="AQ73" i="6"/>
  <c r="AP73" i="6"/>
  <c r="AO73" i="6"/>
  <c r="AN73" i="6"/>
  <c r="AM73" i="6"/>
  <c r="AL73" i="6"/>
  <c r="AY73" i="6" s="1"/>
  <c r="AK73" i="6"/>
  <c r="AJ73" i="6"/>
  <c r="AI73" i="6"/>
  <c r="AH73" i="6"/>
  <c r="AV73" i="6" s="1"/>
  <c r="AG73" i="6"/>
  <c r="AF73" i="6"/>
  <c r="AD73" i="6"/>
  <c r="P73" i="6"/>
  <c r="BD72" i="6"/>
  <c r="AY72" i="6"/>
  <c r="AX72" i="6"/>
  <c r="AW72" i="6"/>
  <c r="AQ72" i="6"/>
  <c r="AP72" i="6"/>
  <c r="AO72" i="6"/>
  <c r="AN72" i="6"/>
  <c r="AM72" i="6"/>
  <c r="AL72" i="6"/>
  <c r="AK72" i="6"/>
  <c r="AJ72" i="6"/>
  <c r="AI72" i="6"/>
  <c r="AH72" i="6"/>
  <c r="AV72" i="6" s="1"/>
  <c r="AG72" i="6"/>
  <c r="AF72" i="6"/>
  <c r="AD72" i="6"/>
  <c r="P72" i="6"/>
  <c r="BB71" i="6"/>
  <c r="BA71" i="6"/>
  <c r="AZ71" i="6"/>
  <c r="AU71" i="6"/>
  <c r="AT71" i="6"/>
  <c r="AQ71" i="6"/>
  <c r="BD71" i="6" s="1"/>
  <c r="AP71" i="6"/>
  <c r="BC71" i="6" s="1"/>
  <c r="AO71" i="6"/>
  <c r="AN71" i="6"/>
  <c r="AM71" i="6"/>
  <c r="AL71" i="6"/>
  <c r="AK71" i="6"/>
  <c r="AJ71" i="6"/>
  <c r="AI71" i="6"/>
  <c r="AH71" i="6"/>
  <c r="AV71" i="6" s="1"/>
  <c r="AG71" i="6"/>
  <c r="AF71" i="6"/>
  <c r="AD71" i="6"/>
  <c r="P71" i="6"/>
  <c r="BD70" i="6"/>
  <c r="AQ70" i="6"/>
  <c r="AP70" i="6"/>
  <c r="BC70" i="6" s="1"/>
  <c r="AO70" i="6"/>
  <c r="BB70" i="6" s="1"/>
  <c r="AN70" i="6"/>
  <c r="AM70" i="6"/>
  <c r="AL70" i="6"/>
  <c r="AK70" i="6"/>
  <c r="AJ70" i="6"/>
  <c r="AI70" i="6"/>
  <c r="AH70" i="6"/>
  <c r="AG70" i="6"/>
  <c r="AF70" i="6"/>
  <c r="AD70" i="6"/>
  <c r="P70" i="6"/>
  <c r="BC69" i="6"/>
  <c r="BB69" i="6"/>
  <c r="BA69" i="6"/>
  <c r="AZ69" i="6"/>
  <c r="AY69" i="6"/>
  <c r="AX69" i="6"/>
  <c r="AW69" i="6"/>
  <c r="AU69" i="6"/>
  <c r="AT69" i="6"/>
  <c r="AQ69" i="6"/>
  <c r="BD69" i="6" s="1"/>
  <c r="AP69" i="6"/>
  <c r="AO69" i="6"/>
  <c r="AN69" i="6"/>
  <c r="AM69" i="6"/>
  <c r="AL69" i="6"/>
  <c r="AK69" i="6"/>
  <c r="AJ69" i="6"/>
  <c r="AI69" i="6"/>
  <c r="AH69" i="6"/>
  <c r="AV69" i="6" s="1"/>
  <c r="AG69" i="6"/>
  <c r="AF69" i="6"/>
  <c r="AD69" i="6"/>
  <c r="P69" i="6"/>
  <c r="BD68" i="6"/>
  <c r="AY68" i="6"/>
  <c r="AX68" i="6"/>
  <c r="AW68" i="6"/>
  <c r="AQ68" i="6"/>
  <c r="AP68" i="6"/>
  <c r="AO68" i="6"/>
  <c r="AN68" i="6"/>
  <c r="AM68" i="6"/>
  <c r="AZ68" i="6" s="1"/>
  <c r="AL68" i="6"/>
  <c r="AK68" i="6"/>
  <c r="AJ68" i="6"/>
  <c r="AI68" i="6"/>
  <c r="AH68" i="6"/>
  <c r="AV68" i="6" s="1"/>
  <c r="AG68" i="6"/>
  <c r="AF68" i="6"/>
  <c r="AD68" i="6"/>
  <c r="P68" i="6"/>
  <c r="BD67" i="6"/>
  <c r="BC67" i="6"/>
  <c r="BB67" i="6"/>
  <c r="BA67" i="6"/>
  <c r="AZ67" i="6"/>
  <c r="AU67" i="6"/>
  <c r="AT67" i="6"/>
  <c r="AQ67" i="6"/>
  <c r="AP67" i="6"/>
  <c r="AO67" i="6"/>
  <c r="AN67" i="6"/>
  <c r="AM67" i="6"/>
  <c r="AL67" i="6"/>
  <c r="AY67" i="6" s="1"/>
  <c r="AK67" i="6"/>
  <c r="AJ67" i="6"/>
  <c r="AI67" i="6"/>
  <c r="AH67" i="6"/>
  <c r="AV67" i="6" s="1"/>
  <c r="AG67" i="6"/>
  <c r="AF67" i="6"/>
  <c r="AD67" i="6"/>
  <c r="P67" i="6"/>
  <c r="AZ66" i="6"/>
  <c r="AY66" i="6"/>
  <c r="AX66" i="6"/>
  <c r="AW66" i="6"/>
  <c r="AQ66" i="6"/>
  <c r="BD66" i="6" s="1"/>
  <c r="AP66" i="6"/>
  <c r="AO66" i="6"/>
  <c r="AN66" i="6"/>
  <c r="AM66" i="6"/>
  <c r="AT66" i="6" s="1"/>
  <c r="AL66" i="6"/>
  <c r="AK66" i="6"/>
  <c r="AJ66" i="6"/>
  <c r="AI66" i="6"/>
  <c r="AH66" i="6"/>
  <c r="AV66" i="6" s="1"/>
  <c r="AG66" i="6"/>
  <c r="AF66" i="6"/>
  <c r="AD66" i="6"/>
  <c r="P66" i="6"/>
  <c r="BC65" i="6"/>
  <c r="AQ65" i="6"/>
  <c r="BD65" i="6" s="1"/>
  <c r="AP65" i="6"/>
  <c r="AO65" i="6"/>
  <c r="AN65" i="6"/>
  <c r="AM65" i="6"/>
  <c r="AL65" i="6"/>
  <c r="AY65" i="6" s="1"/>
  <c r="AK65" i="6"/>
  <c r="AJ65" i="6"/>
  <c r="AI65" i="6"/>
  <c r="AH65" i="6"/>
  <c r="AG65" i="6"/>
  <c r="AF65" i="6"/>
  <c r="AD65" i="6"/>
  <c r="P65" i="6"/>
  <c r="BD64" i="6"/>
  <c r="BA64" i="6"/>
  <c r="AZ64" i="6"/>
  <c r="AY64" i="6"/>
  <c r="AX64" i="6"/>
  <c r="AW64" i="6"/>
  <c r="AU64" i="6"/>
  <c r="AT64" i="6"/>
  <c r="AQ64" i="6"/>
  <c r="AP64" i="6"/>
  <c r="AO64" i="6"/>
  <c r="AN64" i="6"/>
  <c r="AM64" i="6"/>
  <c r="AL64" i="6"/>
  <c r="AK64" i="6"/>
  <c r="AJ64" i="6"/>
  <c r="AI64" i="6"/>
  <c r="AH64" i="6"/>
  <c r="AV64" i="6" s="1"/>
  <c r="AG64" i="6"/>
  <c r="AF64" i="6"/>
  <c r="AD64" i="6"/>
  <c r="P64" i="6"/>
  <c r="AY63" i="6"/>
  <c r="AW63" i="6"/>
  <c r="AQ63" i="6"/>
  <c r="AP63" i="6"/>
  <c r="AO63" i="6"/>
  <c r="AN63" i="6"/>
  <c r="AM63" i="6"/>
  <c r="AL63" i="6"/>
  <c r="AK63" i="6"/>
  <c r="AJ63" i="6"/>
  <c r="AI63" i="6"/>
  <c r="AH63" i="6"/>
  <c r="AV63" i="6" s="1"/>
  <c r="AG63" i="6"/>
  <c r="AF63" i="6"/>
  <c r="AD63" i="6"/>
  <c r="P63" i="6"/>
  <c r="AZ62" i="6"/>
  <c r="AQ62" i="6"/>
  <c r="AP62" i="6"/>
  <c r="AO62" i="6"/>
  <c r="AN62" i="6"/>
  <c r="AU62" i="6" s="1"/>
  <c r="AM62" i="6"/>
  <c r="AL62" i="6"/>
  <c r="AY62" i="6" s="1"/>
  <c r="AK62" i="6"/>
  <c r="AJ62" i="6"/>
  <c r="AI62" i="6"/>
  <c r="AH62" i="6"/>
  <c r="AG62" i="6"/>
  <c r="AF62" i="6"/>
  <c r="AD62" i="6"/>
  <c r="P62" i="6"/>
  <c r="BD61" i="6"/>
  <c r="BC61" i="6"/>
  <c r="BB61" i="6"/>
  <c r="BA61" i="6"/>
  <c r="AZ61" i="6"/>
  <c r="AY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D61" i="6"/>
  <c r="P61" i="6"/>
  <c r="AZ60" i="6"/>
  <c r="AY60" i="6"/>
  <c r="AX60" i="6"/>
  <c r="AW60" i="6"/>
  <c r="AT60" i="6"/>
  <c r="AQ60" i="6"/>
  <c r="BD60" i="6" s="1"/>
  <c r="AP60" i="6"/>
  <c r="AO60" i="6"/>
  <c r="AN60" i="6"/>
  <c r="BA60" i="6" s="1"/>
  <c r="AM60" i="6"/>
  <c r="AL60" i="6"/>
  <c r="AK60" i="6"/>
  <c r="AJ60" i="6"/>
  <c r="AI60" i="6"/>
  <c r="AH60" i="6"/>
  <c r="AV60" i="6" s="1"/>
  <c r="AG60" i="6"/>
  <c r="AF60" i="6"/>
  <c r="AD60" i="6"/>
  <c r="P60" i="6"/>
  <c r="BD59" i="6"/>
  <c r="BC59" i="6"/>
  <c r="BB59" i="6"/>
  <c r="BA59" i="6"/>
  <c r="AQ59" i="6"/>
  <c r="AP59" i="6"/>
  <c r="AO59" i="6"/>
  <c r="AN59" i="6"/>
  <c r="AM59" i="6"/>
  <c r="AL59" i="6"/>
  <c r="AK59" i="6"/>
  <c r="AJ59" i="6"/>
  <c r="AW59" i="6" s="1"/>
  <c r="AI59" i="6"/>
  <c r="AH59" i="6"/>
  <c r="AG59" i="6"/>
  <c r="AF59" i="6"/>
  <c r="AD59" i="6"/>
  <c r="P59" i="6"/>
  <c r="BD58" i="6"/>
  <c r="AY58" i="6"/>
  <c r="AX58" i="6"/>
  <c r="AW58" i="6"/>
  <c r="AQ58" i="6"/>
  <c r="AP58" i="6"/>
  <c r="AO58" i="6"/>
  <c r="AN58" i="6"/>
  <c r="AM58" i="6"/>
  <c r="AL58" i="6"/>
  <c r="AK58" i="6"/>
  <c r="AJ58" i="6"/>
  <c r="AI58" i="6"/>
  <c r="AH58" i="6"/>
  <c r="AV58" i="6" s="1"/>
  <c r="AG58" i="6"/>
  <c r="AF58" i="6"/>
  <c r="AD58" i="6"/>
  <c r="P58" i="6"/>
  <c r="BC57" i="6"/>
  <c r="BB57" i="6"/>
  <c r="BA57" i="6"/>
  <c r="AZ57" i="6"/>
  <c r="AY57" i="6"/>
  <c r="AX57" i="6"/>
  <c r="AW57" i="6"/>
  <c r="AU57" i="6"/>
  <c r="AT57" i="6"/>
  <c r="AQ57" i="6"/>
  <c r="BD57" i="6" s="1"/>
  <c r="AP57" i="6"/>
  <c r="AO57" i="6"/>
  <c r="AN57" i="6"/>
  <c r="AM57" i="6"/>
  <c r="AL57" i="6"/>
  <c r="AK57" i="6"/>
  <c r="AJ57" i="6"/>
  <c r="AI57" i="6"/>
  <c r="AH57" i="6"/>
  <c r="AG57" i="6"/>
  <c r="AF57" i="6"/>
  <c r="AD57" i="6"/>
  <c r="P57" i="6"/>
  <c r="AY56" i="6"/>
  <c r="AX56" i="6"/>
  <c r="AW56" i="6"/>
  <c r="AT56" i="6"/>
  <c r="AQ56" i="6"/>
  <c r="BD56" i="6" s="1"/>
  <c r="AP56" i="6"/>
  <c r="AO56" i="6"/>
  <c r="AN56" i="6"/>
  <c r="BA56" i="6" s="1"/>
  <c r="AM56" i="6"/>
  <c r="AZ56" i="6" s="1"/>
  <c r="AL56" i="6"/>
  <c r="AK56" i="6"/>
  <c r="AJ56" i="6"/>
  <c r="AI56" i="6"/>
  <c r="AH56" i="6"/>
  <c r="AV56" i="6" s="1"/>
  <c r="AG56" i="6"/>
  <c r="AF56" i="6"/>
  <c r="AD56" i="6"/>
  <c r="P56" i="6"/>
  <c r="BD55" i="6"/>
  <c r="BC55" i="6"/>
  <c r="BB55" i="6"/>
  <c r="BA55" i="6"/>
  <c r="AQ55" i="6"/>
  <c r="AP55" i="6"/>
  <c r="AO55" i="6"/>
  <c r="AN55" i="6"/>
  <c r="AU55" i="6" s="1"/>
  <c r="AM55" i="6"/>
  <c r="AZ55" i="6" s="1"/>
  <c r="AL55" i="6"/>
  <c r="AK55" i="6"/>
  <c r="AX55" i="6" s="1"/>
  <c r="AJ55" i="6"/>
  <c r="AI55" i="6"/>
  <c r="AH55" i="6"/>
  <c r="AG55" i="6"/>
  <c r="AF55" i="6"/>
  <c r="AD55" i="6"/>
  <c r="P55" i="6"/>
  <c r="BA54" i="6"/>
  <c r="AZ54" i="6"/>
  <c r="AY54" i="6"/>
  <c r="AX54" i="6"/>
  <c r="AW54" i="6"/>
  <c r="AQ54" i="6"/>
  <c r="AP54" i="6"/>
  <c r="AO54" i="6"/>
  <c r="BB54" i="6" s="1"/>
  <c r="AN54" i="6"/>
  <c r="AM54" i="6"/>
  <c r="AT54" i="6" s="1"/>
  <c r="AL54" i="6"/>
  <c r="AK54" i="6"/>
  <c r="AJ54" i="6"/>
  <c r="AI54" i="6"/>
  <c r="AH54" i="6"/>
  <c r="AV54" i="6" s="1"/>
  <c r="AG54" i="6"/>
  <c r="AF54" i="6"/>
  <c r="AD54" i="6"/>
  <c r="P54" i="6"/>
  <c r="BC53" i="6"/>
  <c r="BB53" i="6"/>
  <c r="BA53" i="6"/>
  <c r="AU53" i="6"/>
  <c r="AQ53" i="6"/>
  <c r="BD53" i="6" s="1"/>
  <c r="AP53" i="6"/>
  <c r="AO53" i="6"/>
  <c r="AN53" i="6"/>
  <c r="AM53" i="6"/>
  <c r="AL53" i="6"/>
  <c r="AT53" i="6" s="1"/>
  <c r="AK53" i="6"/>
  <c r="AY53" i="6" s="1"/>
  <c r="AJ53" i="6"/>
  <c r="AI53" i="6"/>
  <c r="AH53" i="6"/>
  <c r="AG53" i="6"/>
  <c r="AF53" i="6"/>
  <c r="AD53" i="6"/>
  <c r="P53" i="6"/>
  <c r="AY52" i="6"/>
  <c r="AX52" i="6"/>
  <c r="AW52" i="6"/>
  <c r="AU52" i="6"/>
  <c r="AT52" i="6"/>
  <c r="AQ52" i="6"/>
  <c r="AP52" i="6"/>
  <c r="BC52" i="6" s="1"/>
  <c r="AO52" i="6"/>
  <c r="AN52" i="6"/>
  <c r="BA52" i="6" s="1"/>
  <c r="AM52" i="6"/>
  <c r="AZ52" i="6" s="1"/>
  <c r="AL52" i="6"/>
  <c r="AK52" i="6"/>
  <c r="AJ52" i="6"/>
  <c r="AI52" i="6"/>
  <c r="AH52" i="6"/>
  <c r="AV52" i="6" s="1"/>
  <c r="AG52" i="6"/>
  <c r="AF52" i="6"/>
  <c r="AD52" i="6"/>
  <c r="P52" i="6"/>
  <c r="BD51" i="6"/>
  <c r="BC51" i="6"/>
  <c r="AQ51" i="6"/>
  <c r="AP51" i="6"/>
  <c r="AO51" i="6"/>
  <c r="AN51" i="6"/>
  <c r="AM51" i="6"/>
  <c r="AL51" i="6"/>
  <c r="AY51" i="6" s="1"/>
  <c r="AK51" i="6"/>
  <c r="AX51" i="6" s="1"/>
  <c r="AJ51" i="6"/>
  <c r="AI51" i="6"/>
  <c r="AH51" i="6"/>
  <c r="AG51" i="6"/>
  <c r="AF51" i="6"/>
  <c r="AD51" i="6"/>
  <c r="P51" i="6"/>
  <c r="BD50" i="6"/>
  <c r="BC50" i="6"/>
  <c r="BB50" i="6"/>
  <c r="BA50" i="6"/>
  <c r="AZ50" i="6"/>
  <c r="AY50" i="6"/>
  <c r="AX50" i="6"/>
  <c r="AW50" i="6"/>
  <c r="AQ50" i="6"/>
  <c r="AP50" i="6"/>
  <c r="AO50" i="6"/>
  <c r="AN50" i="6"/>
  <c r="AM50" i="6"/>
  <c r="AL50" i="6"/>
  <c r="AK50" i="6"/>
  <c r="AJ50" i="6"/>
  <c r="AI50" i="6"/>
  <c r="AH50" i="6"/>
  <c r="AV50" i="6" s="1"/>
  <c r="AG50" i="6"/>
  <c r="AF50" i="6"/>
  <c r="AD50" i="6"/>
  <c r="P50" i="6"/>
  <c r="BC49" i="6"/>
  <c r="BB49" i="6"/>
  <c r="BA49" i="6"/>
  <c r="AU49" i="6"/>
  <c r="AQ49" i="6"/>
  <c r="BD49" i="6" s="1"/>
  <c r="AP49" i="6"/>
  <c r="AO49" i="6"/>
  <c r="AN49" i="6"/>
  <c r="AM49" i="6"/>
  <c r="AL49" i="6"/>
  <c r="AK49" i="6"/>
  <c r="AJ49" i="6"/>
  <c r="AW49" i="6" s="1"/>
  <c r="AI49" i="6"/>
  <c r="AH49" i="6"/>
  <c r="AV49" i="6" s="1"/>
  <c r="AG49" i="6"/>
  <c r="AF49" i="6"/>
  <c r="AD49" i="6"/>
  <c r="P49" i="6"/>
  <c r="BD48" i="6"/>
  <c r="AY48" i="6"/>
  <c r="AX48" i="6"/>
  <c r="AW48" i="6"/>
  <c r="AU48" i="6"/>
  <c r="AT48" i="6"/>
  <c r="AQ48" i="6"/>
  <c r="AP48" i="6"/>
  <c r="BC48" i="6" s="1"/>
  <c r="AO48" i="6"/>
  <c r="AN48" i="6"/>
  <c r="AM48" i="6"/>
  <c r="AZ48" i="6" s="1"/>
  <c r="AL48" i="6"/>
  <c r="AK48" i="6"/>
  <c r="AJ48" i="6"/>
  <c r="AI48" i="6"/>
  <c r="AH48" i="6"/>
  <c r="AV48" i="6" s="1"/>
  <c r="AG48" i="6"/>
  <c r="AF48" i="6"/>
  <c r="AD48" i="6"/>
  <c r="P48" i="6"/>
  <c r="AQ47" i="6"/>
  <c r="AP47" i="6"/>
  <c r="BC47" i="6" s="1"/>
  <c r="AO47" i="6"/>
  <c r="AN47" i="6"/>
  <c r="AM47" i="6"/>
  <c r="AL47" i="6"/>
  <c r="AY47" i="6" s="1"/>
  <c r="AK47" i="6"/>
  <c r="AJ47" i="6"/>
  <c r="AW47" i="6" s="1"/>
  <c r="AI47" i="6"/>
  <c r="AH47" i="6"/>
  <c r="AG47" i="6"/>
  <c r="AF47" i="6"/>
  <c r="AD47" i="6"/>
  <c r="P47" i="6"/>
  <c r="BD46" i="6"/>
  <c r="BC46" i="6"/>
  <c r="BB46" i="6"/>
  <c r="BA46" i="6"/>
  <c r="AZ46" i="6"/>
  <c r="AY46" i="6"/>
  <c r="AX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D46" i="6"/>
  <c r="P46" i="6"/>
  <c r="BC45" i="6"/>
  <c r="BB45" i="6"/>
  <c r="BA45" i="6"/>
  <c r="AX45" i="6"/>
  <c r="AW45" i="6"/>
  <c r="AQ45" i="6"/>
  <c r="BD45" i="6" s="1"/>
  <c r="AP45" i="6"/>
  <c r="AO45" i="6"/>
  <c r="AN45" i="6"/>
  <c r="AM45" i="6"/>
  <c r="AL45" i="6"/>
  <c r="AK45" i="6"/>
  <c r="AJ45" i="6"/>
  <c r="AI45" i="6"/>
  <c r="AH45" i="6"/>
  <c r="AV45" i="6" s="1"/>
  <c r="AG45" i="6"/>
  <c r="AU45" i="6" s="1"/>
  <c r="AF45" i="6"/>
  <c r="AD45" i="6"/>
  <c r="P45" i="6"/>
  <c r="BD44" i="6"/>
  <c r="AY44" i="6"/>
  <c r="AX44" i="6"/>
  <c r="AW44" i="6"/>
  <c r="AQ44" i="6"/>
  <c r="AP44" i="6"/>
  <c r="AO44" i="6"/>
  <c r="AN44" i="6"/>
  <c r="AM44" i="6"/>
  <c r="AZ44" i="6" s="1"/>
  <c r="AL44" i="6"/>
  <c r="AK44" i="6"/>
  <c r="AJ44" i="6"/>
  <c r="AI44" i="6"/>
  <c r="AH44" i="6"/>
  <c r="AV44" i="6" s="1"/>
  <c r="AG44" i="6"/>
  <c r="AU44" i="6" s="1"/>
  <c r="AF44" i="6"/>
  <c r="AD44" i="6"/>
  <c r="P44" i="6"/>
  <c r="AQ43" i="6"/>
  <c r="BD43" i="6" s="1"/>
  <c r="AP43" i="6"/>
  <c r="BC43" i="6" s="1"/>
  <c r="AO43" i="6"/>
  <c r="BB43" i="6" s="1"/>
  <c r="AN43" i="6"/>
  <c r="AM43" i="6"/>
  <c r="AL43" i="6"/>
  <c r="AY43" i="6" s="1"/>
  <c r="AK43" i="6"/>
  <c r="AX43" i="6" s="1"/>
  <c r="AJ43" i="6"/>
  <c r="AW43" i="6" s="1"/>
  <c r="AI43" i="6"/>
  <c r="AH43" i="6"/>
  <c r="AG43" i="6"/>
  <c r="AF43" i="6"/>
  <c r="AD43" i="6"/>
  <c r="P43" i="6"/>
  <c r="BD42" i="6"/>
  <c r="BC42" i="6"/>
  <c r="BB42" i="6"/>
  <c r="BA42" i="6"/>
  <c r="AZ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D42" i="6"/>
  <c r="P42" i="6"/>
  <c r="BC41" i="6"/>
  <c r="BB41" i="6"/>
  <c r="BA41" i="6"/>
  <c r="AZ41" i="6"/>
  <c r="AY41" i="6"/>
  <c r="AX41" i="6"/>
  <c r="AW41" i="6"/>
  <c r="AQ41" i="6"/>
  <c r="BD41" i="6" s="1"/>
  <c r="AP41" i="6"/>
  <c r="AO41" i="6"/>
  <c r="AN41" i="6"/>
  <c r="AM41" i="6"/>
  <c r="AL41" i="6"/>
  <c r="AK41" i="6"/>
  <c r="AJ41" i="6"/>
  <c r="AI41" i="6"/>
  <c r="AH41" i="6"/>
  <c r="AV41" i="6" s="1"/>
  <c r="AG41" i="6"/>
  <c r="AF41" i="6"/>
  <c r="AD41" i="6"/>
  <c r="P41" i="6"/>
  <c r="BD40" i="6"/>
  <c r="AY40" i="6"/>
  <c r="AX40" i="6"/>
  <c r="AW40" i="6"/>
  <c r="AQ40" i="6"/>
  <c r="AP40" i="6"/>
  <c r="AO40" i="6"/>
  <c r="AN40" i="6"/>
  <c r="AM40" i="6"/>
  <c r="AZ40" i="6" s="1"/>
  <c r="AL40" i="6"/>
  <c r="AK40" i="6"/>
  <c r="AJ40" i="6"/>
  <c r="AI40" i="6"/>
  <c r="AH40" i="6"/>
  <c r="AG40" i="6"/>
  <c r="AF40" i="6"/>
  <c r="AD40" i="6"/>
  <c r="P40" i="6"/>
  <c r="AZ39" i="6"/>
  <c r="AQ39" i="6"/>
  <c r="AP39" i="6"/>
  <c r="AO39" i="6"/>
  <c r="BB39" i="6" s="1"/>
  <c r="AN39" i="6"/>
  <c r="BA39" i="6" s="1"/>
  <c r="AM39" i="6"/>
  <c r="AL39" i="6"/>
  <c r="AY39" i="6" s="1"/>
  <c r="AK39" i="6"/>
  <c r="AJ39" i="6"/>
  <c r="AI39" i="6"/>
  <c r="AH39" i="6"/>
  <c r="AG39" i="6"/>
  <c r="AF39" i="6"/>
  <c r="AD39" i="6"/>
  <c r="P39" i="6"/>
  <c r="BD38" i="6"/>
  <c r="BC38" i="6"/>
  <c r="BB38" i="6"/>
  <c r="AQ38" i="6"/>
  <c r="AP38" i="6"/>
  <c r="AO38" i="6"/>
  <c r="AN38" i="6"/>
  <c r="AM38" i="6"/>
  <c r="BA38" i="6" s="1"/>
  <c r="AL38" i="6"/>
  <c r="AK38" i="6"/>
  <c r="AX38" i="6" s="1"/>
  <c r="AJ38" i="6"/>
  <c r="AI38" i="6"/>
  <c r="AH38" i="6"/>
  <c r="AG38" i="6"/>
  <c r="AF38" i="6"/>
  <c r="AD38" i="6"/>
  <c r="P38" i="6"/>
  <c r="BC37" i="6"/>
  <c r="BB37" i="6"/>
  <c r="BA37" i="6"/>
  <c r="AZ37" i="6"/>
  <c r="AY37" i="6"/>
  <c r="AX37" i="6"/>
  <c r="AW37" i="6"/>
  <c r="AQ37" i="6"/>
  <c r="BD37" i="6" s="1"/>
  <c r="AP37" i="6"/>
  <c r="AO37" i="6"/>
  <c r="AN37" i="6"/>
  <c r="AM37" i="6"/>
  <c r="AL37" i="6"/>
  <c r="AK37" i="6"/>
  <c r="AJ37" i="6"/>
  <c r="AI37" i="6"/>
  <c r="AH37" i="6"/>
  <c r="AV37" i="6" s="1"/>
  <c r="AG37" i="6"/>
  <c r="AF37" i="6"/>
  <c r="AD37" i="6"/>
  <c r="P37" i="6"/>
  <c r="BD36" i="6"/>
  <c r="AY36" i="6"/>
  <c r="AX36" i="6"/>
  <c r="AW36" i="6"/>
  <c r="AQ36" i="6"/>
  <c r="AP36" i="6"/>
  <c r="AO36" i="6"/>
  <c r="AN36" i="6"/>
  <c r="AM36" i="6"/>
  <c r="AZ36" i="6" s="1"/>
  <c r="AL36" i="6"/>
  <c r="AK36" i="6"/>
  <c r="AJ36" i="6"/>
  <c r="AI36" i="6"/>
  <c r="AH36" i="6"/>
  <c r="AG36" i="6"/>
  <c r="AF36" i="6"/>
  <c r="AD36" i="6"/>
  <c r="P36" i="6"/>
  <c r="BB35" i="6"/>
  <c r="BA35" i="6"/>
  <c r="AZ35" i="6"/>
  <c r="AQ35" i="6"/>
  <c r="AP35" i="6"/>
  <c r="BC35" i="6" s="1"/>
  <c r="AO35" i="6"/>
  <c r="AN35" i="6"/>
  <c r="AM35" i="6"/>
  <c r="AL35" i="6"/>
  <c r="AK35" i="6"/>
  <c r="AJ35" i="6"/>
  <c r="AI35" i="6"/>
  <c r="AH35" i="6"/>
  <c r="AG35" i="6"/>
  <c r="AF35" i="6"/>
  <c r="AD35" i="6"/>
  <c r="P35" i="6"/>
  <c r="BD34" i="6"/>
  <c r="BC34" i="6"/>
  <c r="AQ34" i="6"/>
  <c r="AP34" i="6"/>
  <c r="AO34" i="6"/>
  <c r="AN34" i="6"/>
  <c r="BA34" i="6" s="1"/>
  <c r="AM34" i="6"/>
  <c r="AZ34" i="6" s="1"/>
  <c r="AL34" i="6"/>
  <c r="AY34" i="6" s="1"/>
  <c r="AK34" i="6"/>
  <c r="AJ34" i="6"/>
  <c r="AI34" i="6"/>
  <c r="AH34" i="6"/>
  <c r="AG34" i="6"/>
  <c r="AF34" i="6"/>
  <c r="AD34" i="6"/>
  <c r="P34" i="6"/>
  <c r="BC33" i="6"/>
  <c r="BB33" i="6"/>
  <c r="BA33" i="6"/>
  <c r="AZ33" i="6"/>
  <c r="AY33" i="6"/>
  <c r="AX33" i="6"/>
  <c r="AW33" i="6"/>
  <c r="AQ33" i="6"/>
  <c r="BD33" i="6" s="1"/>
  <c r="AP33" i="6"/>
  <c r="AO33" i="6"/>
  <c r="AN33" i="6"/>
  <c r="AM33" i="6"/>
  <c r="AL33" i="6"/>
  <c r="AK33" i="6"/>
  <c r="AJ33" i="6"/>
  <c r="AI33" i="6"/>
  <c r="AH33" i="6"/>
  <c r="AV33" i="6" s="1"/>
  <c r="AG33" i="6"/>
  <c r="AF33" i="6"/>
  <c r="AD33" i="6"/>
  <c r="P33" i="6"/>
  <c r="AY32" i="6"/>
  <c r="AX32" i="6"/>
  <c r="AW32" i="6"/>
  <c r="AQ32" i="6"/>
  <c r="AP32" i="6"/>
  <c r="BC32" i="6" s="1"/>
  <c r="AO32" i="6"/>
  <c r="AN32" i="6"/>
  <c r="BA32" i="6" s="1"/>
  <c r="AM32" i="6"/>
  <c r="AZ32" i="6" s="1"/>
  <c r="AL32" i="6"/>
  <c r="AK32" i="6"/>
  <c r="AJ32" i="6"/>
  <c r="AI32" i="6"/>
  <c r="AH32" i="6"/>
  <c r="AV32" i="6" s="1"/>
  <c r="AG32" i="6"/>
  <c r="AF32" i="6"/>
  <c r="AD32" i="6"/>
  <c r="P32" i="6"/>
  <c r="BD31" i="6"/>
  <c r="BC31" i="6"/>
  <c r="BB31" i="6"/>
  <c r="BA31" i="6"/>
  <c r="AZ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D31" i="6"/>
  <c r="P31" i="6"/>
  <c r="AW30" i="6"/>
  <c r="AQ30" i="6"/>
  <c r="AP30" i="6"/>
  <c r="AO30" i="6"/>
  <c r="AN30" i="6"/>
  <c r="AM30" i="6"/>
  <c r="AL30" i="6"/>
  <c r="AK30" i="6"/>
  <c r="AX30" i="6" s="1"/>
  <c r="AJ30" i="6"/>
  <c r="AI30" i="6"/>
  <c r="AH30" i="6"/>
  <c r="AV30" i="6" s="1"/>
  <c r="AG30" i="6"/>
  <c r="AF30" i="6"/>
  <c r="AD30" i="6"/>
  <c r="P30" i="6"/>
  <c r="BC29" i="6"/>
  <c r="BB29" i="6"/>
  <c r="BA29" i="6"/>
  <c r="AZ29" i="6"/>
  <c r="AY29" i="6"/>
  <c r="AX29" i="6"/>
  <c r="AW29" i="6"/>
  <c r="AQ29" i="6"/>
  <c r="BD29" i="6" s="1"/>
  <c r="AP29" i="6"/>
  <c r="AO29" i="6"/>
  <c r="AN29" i="6"/>
  <c r="AM29" i="6"/>
  <c r="AL29" i="6"/>
  <c r="AK29" i="6"/>
  <c r="AJ29" i="6"/>
  <c r="AI29" i="6"/>
  <c r="AH29" i="6"/>
  <c r="AV29" i="6" s="1"/>
  <c r="AG29" i="6"/>
  <c r="AF29" i="6"/>
  <c r="AD29" i="6"/>
  <c r="P29" i="6"/>
  <c r="AY28" i="6"/>
  <c r="AX28" i="6"/>
  <c r="AW28" i="6"/>
  <c r="AQ28" i="6"/>
  <c r="BD28" i="6" s="1"/>
  <c r="AP28" i="6"/>
  <c r="BC28" i="6" s="1"/>
  <c r="AO28" i="6"/>
  <c r="AN28" i="6"/>
  <c r="AM28" i="6"/>
  <c r="AZ28" i="6" s="1"/>
  <c r="AL28" i="6"/>
  <c r="AK28" i="6"/>
  <c r="AJ28" i="6"/>
  <c r="AI28" i="6"/>
  <c r="AH28" i="6"/>
  <c r="AV28" i="6" s="1"/>
  <c r="AG28" i="6"/>
  <c r="AF28" i="6"/>
  <c r="AD28" i="6"/>
  <c r="P28" i="6"/>
  <c r="BD27" i="6"/>
  <c r="BC27" i="6"/>
  <c r="BB27" i="6"/>
  <c r="BA27" i="6"/>
  <c r="AZ27" i="6"/>
  <c r="AQ27" i="6"/>
  <c r="AP27" i="6"/>
  <c r="AO27" i="6"/>
  <c r="AN27" i="6"/>
  <c r="AM27" i="6"/>
  <c r="AL27" i="6"/>
  <c r="AK27" i="6"/>
  <c r="AJ27" i="6"/>
  <c r="AW27" i="6" s="1"/>
  <c r="AI27" i="6"/>
  <c r="AH27" i="6"/>
  <c r="AG27" i="6"/>
  <c r="AF27" i="6"/>
  <c r="AD27" i="6"/>
  <c r="P27" i="6"/>
  <c r="AY26" i="6"/>
  <c r="AX26" i="6"/>
  <c r="AW26" i="6"/>
  <c r="AQ26" i="6"/>
  <c r="AP26" i="6"/>
  <c r="AO26" i="6"/>
  <c r="AN26" i="6"/>
  <c r="AM26" i="6"/>
  <c r="AZ26" i="6" s="1"/>
  <c r="AL26" i="6"/>
  <c r="AK26" i="6"/>
  <c r="AJ26" i="6"/>
  <c r="AI26" i="6"/>
  <c r="AH26" i="6"/>
  <c r="AV26" i="6" s="1"/>
  <c r="AG26" i="6"/>
  <c r="AF26" i="6"/>
  <c r="AD26" i="6"/>
  <c r="P26" i="6"/>
  <c r="BC25" i="6"/>
  <c r="BB25" i="6"/>
  <c r="BA25" i="6"/>
  <c r="AZ25" i="6"/>
  <c r="AY25" i="6"/>
  <c r="AX25" i="6"/>
  <c r="AW25" i="6"/>
  <c r="AQ25" i="6"/>
  <c r="BD25" i="6" s="1"/>
  <c r="AP25" i="6"/>
  <c r="AO25" i="6"/>
  <c r="AN25" i="6"/>
  <c r="AM25" i="6"/>
  <c r="AL25" i="6"/>
  <c r="AK25" i="6"/>
  <c r="AJ25" i="6"/>
  <c r="AI25" i="6"/>
  <c r="AH25" i="6"/>
  <c r="AG25" i="6"/>
  <c r="AF25" i="6"/>
  <c r="AD25" i="6"/>
  <c r="P25" i="6"/>
  <c r="AY24" i="6"/>
  <c r="AX24" i="6"/>
  <c r="AW24" i="6"/>
  <c r="AQ24" i="6"/>
  <c r="AP24" i="6"/>
  <c r="AO24" i="6"/>
  <c r="AN24" i="6"/>
  <c r="BA24" i="6" s="1"/>
  <c r="AM24" i="6"/>
  <c r="AZ24" i="6" s="1"/>
  <c r="AL24" i="6"/>
  <c r="AK24" i="6"/>
  <c r="AJ24" i="6"/>
  <c r="AI24" i="6"/>
  <c r="AH24" i="6"/>
  <c r="AV24" i="6" s="1"/>
  <c r="AG24" i="6"/>
  <c r="AU24" i="6" s="1"/>
  <c r="AF24" i="6"/>
  <c r="AD24" i="6"/>
  <c r="P24" i="6"/>
  <c r="BD23" i="6"/>
  <c r="BC23" i="6"/>
  <c r="BB23" i="6"/>
  <c r="BA23" i="6"/>
  <c r="AQ23" i="6"/>
  <c r="AP23" i="6"/>
  <c r="AO23" i="6"/>
  <c r="AN23" i="6"/>
  <c r="AM23" i="6"/>
  <c r="AL23" i="6"/>
  <c r="AY23" i="6" s="1"/>
  <c r="AK23" i="6"/>
  <c r="AJ23" i="6"/>
  <c r="AW23" i="6" s="1"/>
  <c r="AI23" i="6"/>
  <c r="AH23" i="6"/>
  <c r="AG23" i="6"/>
  <c r="AF23" i="6"/>
  <c r="AD23" i="6"/>
  <c r="P23" i="6"/>
  <c r="BA22" i="6"/>
  <c r="AZ22" i="6"/>
  <c r="AY22" i="6"/>
  <c r="AX22" i="6"/>
  <c r="AW22" i="6"/>
  <c r="AQ22" i="6"/>
  <c r="AP22" i="6"/>
  <c r="AO22" i="6"/>
  <c r="BB22" i="6" s="1"/>
  <c r="AN22" i="6"/>
  <c r="AM22" i="6"/>
  <c r="AL22" i="6"/>
  <c r="AK22" i="6"/>
  <c r="AJ22" i="6"/>
  <c r="AI22" i="6"/>
  <c r="AH22" i="6"/>
  <c r="AV22" i="6" s="1"/>
  <c r="AG22" i="6"/>
  <c r="AF22" i="6"/>
  <c r="AD22" i="6"/>
  <c r="P22" i="6"/>
  <c r="BC21" i="6"/>
  <c r="BB21" i="6"/>
  <c r="BA21" i="6"/>
  <c r="AZ21" i="6"/>
  <c r="AQ21" i="6"/>
  <c r="BD21" i="6" s="1"/>
  <c r="AP21" i="6"/>
  <c r="AO21" i="6"/>
  <c r="AN21" i="6"/>
  <c r="AM21" i="6"/>
  <c r="AL21" i="6"/>
  <c r="AK21" i="6"/>
  <c r="AY21" i="6" s="1"/>
  <c r="AJ21" i="6"/>
  <c r="AI21" i="6"/>
  <c r="AH21" i="6"/>
  <c r="AG21" i="6"/>
  <c r="AF21" i="6"/>
  <c r="AD21" i="6"/>
  <c r="P21" i="6"/>
  <c r="AZ20" i="6"/>
  <c r="AY20" i="6"/>
  <c r="AX20" i="6"/>
  <c r="AW20" i="6"/>
  <c r="AQ20" i="6"/>
  <c r="BD20" i="6" s="1"/>
  <c r="AP20" i="6"/>
  <c r="BC20" i="6" s="1"/>
  <c r="AO20" i="6"/>
  <c r="BB20" i="6" s="1"/>
  <c r="AN20" i="6"/>
  <c r="AM20" i="6"/>
  <c r="AL20" i="6"/>
  <c r="AK20" i="6"/>
  <c r="AJ20" i="6"/>
  <c r="AI20" i="6"/>
  <c r="AH20" i="6"/>
  <c r="AV20" i="6" s="1"/>
  <c r="AG20" i="6"/>
  <c r="AF20" i="6"/>
  <c r="AD20" i="6"/>
  <c r="P20" i="6"/>
  <c r="AQ19" i="6"/>
  <c r="AP19" i="6"/>
  <c r="BC19" i="6" s="1"/>
  <c r="AO19" i="6"/>
  <c r="AN19" i="6"/>
  <c r="BA19" i="6" s="1"/>
  <c r="AM19" i="6"/>
  <c r="AZ19" i="6" s="1"/>
  <c r="AL19" i="6"/>
  <c r="AK19" i="6"/>
  <c r="AJ19" i="6"/>
  <c r="AW19" i="6" s="1"/>
  <c r="AI19" i="6"/>
  <c r="AH19" i="6"/>
  <c r="AV19" i="6" s="1"/>
  <c r="AG19" i="6"/>
  <c r="AF19" i="6"/>
  <c r="AD19" i="6"/>
  <c r="P19" i="6"/>
  <c r="BD18" i="6"/>
  <c r="BC18" i="6"/>
  <c r="BB18" i="6"/>
  <c r="BA18" i="6"/>
  <c r="AZ18" i="6"/>
  <c r="AY18" i="6"/>
  <c r="AX18" i="6"/>
  <c r="AQ18" i="6"/>
  <c r="AP18" i="6"/>
  <c r="AO18" i="6"/>
  <c r="AN18" i="6"/>
  <c r="AM18" i="6"/>
  <c r="AL18" i="6"/>
  <c r="AK18" i="6"/>
  <c r="AJ18" i="6"/>
  <c r="AI18" i="6"/>
  <c r="AW18" i="6" s="1"/>
  <c r="AH18" i="6"/>
  <c r="AG18" i="6"/>
  <c r="AF18" i="6"/>
  <c r="AD18" i="6"/>
  <c r="P18" i="6"/>
  <c r="BC17" i="6"/>
  <c r="BB17" i="6"/>
  <c r="AY17" i="6"/>
  <c r="AX17" i="6"/>
  <c r="AW17" i="6"/>
  <c r="AQ17" i="6"/>
  <c r="BD17" i="6" s="1"/>
  <c r="AP17" i="6"/>
  <c r="AO17" i="6"/>
  <c r="AN17" i="6"/>
  <c r="AM17" i="6"/>
  <c r="AL17" i="6"/>
  <c r="AK17" i="6"/>
  <c r="AJ17" i="6"/>
  <c r="AI17" i="6"/>
  <c r="AH17" i="6"/>
  <c r="AV17" i="6" s="1"/>
  <c r="AG17" i="6"/>
  <c r="AF17" i="6"/>
  <c r="AD17" i="6"/>
  <c r="P17" i="6"/>
  <c r="BD16" i="6"/>
  <c r="AZ16" i="6"/>
  <c r="AY16" i="6"/>
  <c r="AX16" i="6"/>
  <c r="AQ16" i="6"/>
  <c r="AP16" i="6"/>
  <c r="AO16" i="6"/>
  <c r="AN16" i="6"/>
  <c r="AM16" i="6"/>
  <c r="AL16" i="6"/>
  <c r="AK16" i="6"/>
  <c r="AJ16" i="6"/>
  <c r="AI16" i="6"/>
  <c r="AW16" i="6" s="1"/>
  <c r="AH16" i="6"/>
  <c r="AG16" i="6"/>
  <c r="AF16" i="6"/>
  <c r="AD16" i="6"/>
  <c r="P16" i="6"/>
  <c r="BA15" i="6"/>
  <c r="AZ15" i="6"/>
  <c r="AQ15" i="6"/>
  <c r="AP15" i="6"/>
  <c r="AO15" i="6"/>
  <c r="BB15" i="6" s="1"/>
  <c r="AN15" i="6"/>
  <c r="AM15" i="6"/>
  <c r="AL15" i="6"/>
  <c r="AK15" i="6"/>
  <c r="AJ15" i="6"/>
  <c r="AI15" i="6"/>
  <c r="AH15" i="6"/>
  <c r="AV15" i="6" s="1"/>
  <c r="AG15" i="6"/>
  <c r="AF15" i="6"/>
  <c r="AD15" i="6"/>
  <c r="P15" i="6"/>
  <c r="BD14" i="6"/>
  <c r="BC14" i="6"/>
  <c r="AQ14" i="6"/>
  <c r="AP14" i="6"/>
  <c r="AO14" i="6"/>
  <c r="AN14" i="6"/>
  <c r="AM14" i="6"/>
  <c r="AL14" i="6"/>
  <c r="AK14" i="6"/>
  <c r="AJ14" i="6"/>
  <c r="AW14" i="6" s="1"/>
  <c r="AI14" i="6"/>
  <c r="AH14" i="6"/>
  <c r="AG14" i="6"/>
  <c r="AF14" i="6"/>
  <c r="AD14" i="6"/>
  <c r="P14" i="6"/>
  <c r="BD13" i="6"/>
  <c r="BC13" i="6"/>
  <c r="BB13" i="6"/>
  <c r="BA13" i="6"/>
  <c r="AZ13" i="6"/>
  <c r="AY13" i="6"/>
  <c r="AX13" i="6"/>
  <c r="AW13" i="6"/>
  <c r="AQ13" i="6"/>
  <c r="AP13" i="6"/>
  <c r="AO13" i="6"/>
  <c r="AN13" i="6"/>
  <c r="AM13" i="6"/>
  <c r="AL13" i="6"/>
  <c r="AK13" i="6"/>
  <c r="AJ13" i="6"/>
  <c r="AI13" i="6"/>
  <c r="AH13" i="6"/>
  <c r="AV13" i="6" s="1"/>
  <c r="AG13" i="6"/>
  <c r="AF13" i="6"/>
  <c r="AD13" i="6"/>
  <c r="P13" i="6"/>
  <c r="AY12" i="6"/>
  <c r="AX12" i="6"/>
  <c r="AW12" i="6"/>
  <c r="AQ12" i="6"/>
  <c r="AP12" i="6"/>
  <c r="AO12" i="6"/>
  <c r="AN12" i="6"/>
  <c r="AM12" i="6"/>
  <c r="AZ12" i="6" s="1"/>
  <c r="AL12" i="6"/>
  <c r="AK12" i="6"/>
  <c r="AJ12" i="6"/>
  <c r="AI12" i="6"/>
  <c r="AH12" i="6"/>
  <c r="AV12" i="6" s="1"/>
  <c r="AG12" i="6"/>
  <c r="AF12" i="6"/>
  <c r="AD12" i="6"/>
  <c r="P12" i="6"/>
  <c r="BD11" i="6"/>
  <c r="BC11" i="6"/>
  <c r="BB11" i="6"/>
  <c r="BA11" i="6"/>
  <c r="AZ11" i="6"/>
  <c r="AQ11" i="6"/>
  <c r="AP11" i="6"/>
  <c r="AO11" i="6"/>
  <c r="AN11" i="6"/>
  <c r="AM11" i="6"/>
  <c r="AL11" i="6"/>
  <c r="AK11" i="6"/>
  <c r="AJ11" i="6"/>
  <c r="AI11" i="6"/>
  <c r="AH11" i="6"/>
  <c r="AV11" i="6" s="1"/>
  <c r="AG11" i="6"/>
  <c r="AF11" i="6"/>
  <c r="AD11" i="6"/>
  <c r="P11" i="6"/>
  <c r="AY10" i="6"/>
  <c r="AX10" i="6"/>
  <c r="AW10" i="6"/>
  <c r="AQ10" i="6"/>
  <c r="BD10" i="6" s="1"/>
  <c r="AP10" i="6"/>
  <c r="BC10" i="6" s="1"/>
  <c r="AO10" i="6"/>
  <c r="BB10" i="6" s="1"/>
  <c r="AN10" i="6"/>
  <c r="AM10" i="6"/>
  <c r="AZ10" i="6" s="1"/>
  <c r="AL10" i="6"/>
  <c r="AK10" i="6"/>
  <c r="AJ10" i="6"/>
  <c r="AI10" i="6"/>
  <c r="AH10" i="6"/>
  <c r="AV10" i="6" s="1"/>
  <c r="AG10" i="6"/>
  <c r="AF10" i="6"/>
  <c r="AD10" i="6"/>
  <c r="P10" i="6"/>
  <c r="BD9" i="6"/>
  <c r="BC9" i="6"/>
  <c r="BB9" i="6"/>
  <c r="AQ9" i="6"/>
  <c r="AP9" i="6"/>
  <c r="AO9" i="6"/>
  <c r="AN9" i="6"/>
  <c r="AM9" i="6"/>
  <c r="BA9" i="6" s="1"/>
  <c r="AL9" i="6"/>
  <c r="AY9" i="6" s="1"/>
  <c r="AK9" i="6"/>
  <c r="AX9" i="6" s="1"/>
  <c r="AJ9" i="6"/>
  <c r="AI9" i="6"/>
  <c r="AH9" i="6"/>
  <c r="AG9" i="6"/>
  <c r="AF9" i="6"/>
  <c r="AD9" i="6"/>
  <c r="P9" i="6"/>
  <c r="AZ8" i="6"/>
  <c r="AY8" i="6"/>
  <c r="AX8" i="6"/>
  <c r="AW8" i="6"/>
  <c r="AQ8" i="6"/>
  <c r="AP8" i="6"/>
  <c r="BC8" i="6" s="1"/>
  <c r="AO8" i="6"/>
  <c r="BB8" i="6" s="1"/>
  <c r="AN8" i="6"/>
  <c r="BA8" i="6" s="1"/>
  <c r="AM8" i="6"/>
  <c r="AL8" i="6"/>
  <c r="AK8" i="6"/>
  <c r="AJ8" i="6"/>
  <c r="AI8" i="6"/>
  <c r="AH8" i="6"/>
  <c r="AV8" i="6" s="1"/>
  <c r="AG8" i="6"/>
  <c r="AF8" i="6"/>
  <c r="AD8" i="6"/>
  <c r="P8" i="6"/>
  <c r="BD7" i="6"/>
  <c r="BC7" i="6"/>
  <c r="AQ7" i="6"/>
  <c r="AP7" i="6"/>
  <c r="AO7" i="6"/>
  <c r="AN7" i="6"/>
  <c r="AM7" i="6"/>
  <c r="AL7" i="6"/>
  <c r="AY7" i="6" s="1"/>
  <c r="AK7" i="6"/>
  <c r="AJ7" i="6"/>
  <c r="AI7" i="6"/>
  <c r="AH7" i="6"/>
  <c r="AG7" i="6"/>
  <c r="AF7" i="6"/>
  <c r="AD7" i="6"/>
  <c r="P7" i="6"/>
  <c r="BD6" i="6"/>
  <c r="BC6" i="6"/>
  <c r="BB6" i="6"/>
  <c r="BA6" i="6"/>
  <c r="AZ6" i="6"/>
  <c r="AY6" i="6"/>
  <c r="AX6" i="6"/>
  <c r="AW6" i="6"/>
  <c r="AQ6" i="6"/>
  <c r="AP6" i="6"/>
  <c r="AO6" i="6"/>
  <c r="AN6" i="6"/>
  <c r="AM6" i="6"/>
  <c r="AL6" i="6"/>
  <c r="AK6" i="6"/>
  <c r="AJ6" i="6"/>
  <c r="AI6" i="6"/>
  <c r="AH6" i="6"/>
  <c r="AG6" i="6"/>
  <c r="AF6" i="6"/>
  <c r="AD6" i="6"/>
  <c r="P6" i="6"/>
  <c r="BD5" i="6"/>
  <c r="BC5" i="6"/>
  <c r="BB5" i="6"/>
  <c r="AX5" i="6"/>
  <c r="AW5" i="6"/>
  <c r="AQ5" i="6"/>
  <c r="AP5" i="6"/>
  <c r="AO5" i="6"/>
  <c r="AN5" i="6"/>
  <c r="AM5" i="6"/>
  <c r="AL5" i="6"/>
  <c r="AY5" i="6" s="1"/>
  <c r="AK5" i="6"/>
  <c r="AJ5" i="6"/>
  <c r="AI5" i="6"/>
  <c r="AH5" i="6"/>
  <c r="AV5" i="6" s="1"/>
  <c r="AG5" i="6"/>
  <c r="AF5" i="6"/>
  <c r="AD5" i="6"/>
  <c r="P5" i="6"/>
  <c r="AQ236" i="5"/>
  <c r="AJ236" i="5"/>
  <c r="AC236" i="5"/>
  <c r="AB236" i="5"/>
  <c r="AP236" i="5" s="1"/>
  <c r="AA236" i="5"/>
  <c r="Z236" i="5"/>
  <c r="AN236" i="5" s="1"/>
  <c r="BA236" i="5" s="1"/>
  <c r="Y236" i="5"/>
  <c r="X236" i="5"/>
  <c r="W236" i="5"/>
  <c r="V236" i="5"/>
  <c r="U236" i="5"/>
  <c r="AI236" i="5" s="1"/>
  <c r="T236" i="5"/>
  <c r="S236" i="5"/>
  <c r="R236" i="5"/>
  <c r="O236" i="5"/>
  <c r="N236" i="5"/>
  <c r="M236" i="5"/>
  <c r="L236" i="5"/>
  <c r="K236" i="5"/>
  <c r="AM236" i="5" s="1"/>
  <c r="J236" i="5"/>
  <c r="AL236" i="5" s="1"/>
  <c r="I236" i="5"/>
  <c r="AK236" i="5" s="1"/>
  <c r="AX236" i="5" s="1"/>
  <c r="H236" i="5"/>
  <c r="G236" i="5"/>
  <c r="F236" i="5"/>
  <c r="E236" i="5"/>
  <c r="D236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D235" i="5"/>
  <c r="P235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D234" i="5"/>
  <c r="P234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D233" i="5"/>
  <c r="P233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D232" i="5"/>
  <c r="P232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D231" i="5"/>
  <c r="P231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D230" i="5"/>
  <c r="P230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D229" i="5"/>
  <c r="P229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D228" i="5"/>
  <c r="P228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D227" i="5"/>
  <c r="P227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D226" i="5"/>
  <c r="P226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D225" i="5"/>
  <c r="P225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D224" i="5"/>
  <c r="P224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D223" i="5"/>
  <c r="P223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D222" i="5"/>
  <c r="P222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D221" i="5"/>
  <c r="P221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D220" i="5"/>
  <c r="P220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D219" i="5"/>
  <c r="P219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D218" i="5"/>
  <c r="P218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D217" i="5"/>
  <c r="P217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D216" i="5"/>
  <c r="P216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D215" i="5"/>
  <c r="P215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D214" i="5"/>
  <c r="P214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D213" i="5"/>
  <c r="P213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D212" i="5"/>
  <c r="P212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D211" i="5"/>
  <c r="P211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D210" i="5"/>
  <c r="P210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D209" i="5"/>
  <c r="P209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D208" i="5"/>
  <c r="P208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D207" i="5"/>
  <c r="P207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D206" i="5"/>
  <c r="P206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D205" i="5"/>
  <c r="P205" i="5"/>
  <c r="BD204" i="5"/>
  <c r="BC204" i="5"/>
  <c r="AZ204" i="5"/>
  <c r="AY204" i="5"/>
  <c r="AX204" i="5"/>
  <c r="AW204" i="5"/>
  <c r="AQ204" i="5"/>
  <c r="AP204" i="5"/>
  <c r="AO204" i="5"/>
  <c r="AN204" i="5"/>
  <c r="AM204" i="5"/>
  <c r="AL204" i="5"/>
  <c r="AK204" i="5"/>
  <c r="AJ204" i="5"/>
  <c r="AI204" i="5"/>
  <c r="AH204" i="5"/>
  <c r="AV204" i="5" s="1"/>
  <c r="AG204" i="5"/>
  <c r="AF204" i="5"/>
  <c r="AD204" i="5"/>
  <c r="P204" i="5"/>
  <c r="BB203" i="5"/>
  <c r="BA203" i="5"/>
  <c r="AZ203" i="5"/>
  <c r="AQ203" i="5"/>
  <c r="BD203" i="5" s="1"/>
  <c r="AP203" i="5"/>
  <c r="BC203" i="5" s="1"/>
  <c r="AO203" i="5"/>
  <c r="AN203" i="5"/>
  <c r="AM203" i="5"/>
  <c r="AL203" i="5"/>
  <c r="AK203" i="5"/>
  <c r="AJ203" i="5"/>
  <c r="AI203" i="5"/>
  <c r="AH203" i="5"/>
  <c r="AG203" i="5"/>
  <c r="AF203" i="5"/>
  <c r="AD203" i="5"/>
  <c r="P203" i="5"/>
  <c r="BD202" i="5"/>
  <c r="AX202" i="5"/>
  <c r="AW202" i="5"/>
  <c r="AQ202" i="5"/>
  <c r="AP202" i="5"/>
  <c r="AO202" i="5"/>
  <c r="BB202" i="5" s="1"/>
  <c r="AN202" i="5"/>
  <c r="AM202" i="5"/>
  <c r="AZ202" i="5" s="1"/>
  <c r="AL202" i="5"/>
  <c r="AY202" i="5" s="1"/>
  <c r="AK202" i="5"/>
  <c r="AJ202" i="5"/>
  <c r="AI202" i="5"/>
  <c r="AH202" i="5"/>
  <c r="AV202" i="5" s="1"/>
  <c r="AG202" i="5"/>
  <c r="AF202" i="5"/>
  <c r="AD202" i="5"/>
  <c r="P202" i="5"/>
  <c r="BB201" i="5"/>
  <c r="BA201" i="5"/>
  <c r="AZ201" i="5"/>
  <c r="AY201" i="5"/>
  <c r="AQ201" i="5"/>
  <c r="BD201" i="5" s="1"/>
  <c r="AP201" i="5"/>
  <c r="BC201" i="5" s="1"/>
  <c r="AO201" i="5"/>
  <c r="AN201" i="5"/>
  <c r="AM201" i="5"/>
  <c r="AL201" i="5"/>
  <c r="AK201" i="5"/>
  <c r="AJ201" i="5"/>
  <c r="AW201" i="5" s="1"/>
  <c r="AI201" i="5"/>
  <c r="AH201" i="5"/>
  <c r="AG201" i="5"/>
  <c r="AF201" i="5"/>
  <c r="AD201" i="5"/>
  <c r="P201" i="5"/>
  <c r="BD200" i="5"/>
  <c r="AZ200" i="5"/>
  <c r="AX200" i="5"/>
  <c r="AQ200" i="5"/>
  <c r="AP200" i="5"/>
  <c r="AO200" i="5"/>
  <c r="AN200" i="5"/>
  <c r="BA200" i="5" s="1"/>
  <c r="AM200" i="5"/>
  <c r="AL200" i="5"/>
  <c r="AY200" i="5" s="1"/>
  <c r="AK200" i="5"/>
  <c r="AJ200" i="5"/>
  <c r="AI200" i="5"/>
  <c r="AH200" i="5"/>
  <c r="AG200" i="5"/>
  <c r="AF200" i="5"/>
  <c r="AD200" i="5"/>
  <c r="P200" i="5"/>
  <c r="BB199" i="5"/>
  <c r="BA199" i="5"/>
  <c r="AZ199" i="5"/>
  <c r="AY199" i="5"/>
  <c r="AQ199" i="5"/>
  <c r="BD199" i="5" s="1"/>
  <c r="AP199" i="5"/>
  <c r="BC199" i="5" s="1"/>
  <c r="AO199" i="5"/>
  <c r="AN199" i="5"/>
  <c r="AM199" i="5"/>
  <c r="AL199" i="5"/>
  <c r="AK199" i="5"/>
  <c r="AX199" i="5" s="1"/>
  <c r="AJ199" i="5"/>
  <c r="AI199" i="5"/>
  <c r="AH199" i="5"/>
  <c r="AV199" i="5" s="1"/>
  <c r="AG199" i="5"/>
  <c r="AF199" i="5"/>
  <c r="AD199" i="5"/>
  <c r="P199" i="5"/>
  <c r="BD198" i="5"/>
  <c r="AX198" i="5"/>
  <c r="AW198" i="5"/>
  <c r="AQ198" i="5"/>
  <c r="AP198" i="5"/>
  <c r="BC198" i="5" s="1"/>
  <c r="AO198" i="5"/>
  <c r="AN198" i="5"/>
  <c r="BA198" i="5" s="1"/>
  <c r="AM198" i="5"/>
  <c r="AL198" i="5"/>
  <c r="AY198" i="5" s="1"/>
  <c r="AK198" i="5"/>
  <c r="AJ198" i="5"/>
  <c r="AI198" i="5"/>
  <c r="AH198" i="5"/>
  <c r="AV198" i="5" s="1"/>
  <c r="AG198" i="5"/>
  <c r="AF198" i="5"/>
  <c r="AD198" i="5"/>
  <c r="P198" i="5"/>
  <c r="BD197" i="5"/>
  <c r="BB197" i="5"/>
  <c r="AQ197" i="5"/>
  <c r="AP197" i="5"/>
  <c r="BC197" i="5" s="1"/>
  <c r="AO197" i="5"/>
  <c r="AN197" i="5"/>
  <c r="AM197" i="5"/>
  <c r="AL197" i="5"/>
  <c r="AK197" i="5"/>
  <c r="AJ197" i="5"/>
  <c r="AW197" i="5" s="1"/>
  <c r="AI197" i="5"/>
  <c r="AH197" i="5"/>
  <c r="AG197" i="5"/>
  <c r="AF197" i="5"/>
  <c r="AD197" i="5"/>
  <c r="P197" i="5"/>
  <c r="BD196" i="5"/>
  <c r="AX196" i="5"/>
  <c r="AQ196" i="5"/>
  <c r="AP196" i="5"/>
  <c r="AO196" i="5"/>
  <c r="AN196" i="5"/>
  <c r="AM196" i="5"/>
  <c r="AL196" i="5"/>
  <c r="AK196" i="5"/>
  <c r="AJ196" i="5"/>
  <c r="AI196" i="5"/>
  <c r="AW196" i="5" s="1"/>
  <c r="AH196" i="5"/>
  <c r="AV196" i="5" s="1"/>
  <c r="AG196" i="5"/>
  <c r="AF196" i="5"/>
  <c r="AD196" i="5"/>
  <c r="P196" i="5"/>
  <c r="BB195" i="5"/>
  <c r="BA195" i="5"/>
  <c r="AZ195" i="5"/>
  <c r="AQ195" i="5"/>
  <c r="AP195" i="5"/>
  <c r="BC195" i="5" s="1"/>
  <c r="AO195" i="5"/>
  <c r="AN195" i="5"/>
  <c r="AM195" i="5"/>
  <c r="AL195" i="5"/>
  <c r="AK195" i="5"/>
  <c r="AJ195" i="5"/>
  <c r="AI195" i="5"/>
  <c r="AH195" i="5"/>
  <c r="AG195" i="5"/>
  <c r="AF195" i="5"/>
  <c r="AD195" i="5"/>
  <c r="P195" i="5"/>
  <c r="BD194" i="5"/>
  <c r="BC194" i="5"/>
  <c r="AX194" i="5"/>
  <c r="AW194" i="5"/>
  <c r="AQ194" i="5"/>
  <c r="AP194" i="5"/>
  <c r="AO194" i="5"/>
  <c r="AN194" i="5"/>
  <c r="AM194" i="5"/>
  <c r="AZ194" i="5" s="1"/>
  <c r="AL194" i="5"/>
  <c r="AY194" i="5" s="1"/>
  <c r="AK194" i="5"/>
  <c r="AJ194" i="5"/>
  <c r="AI194" i="5"/>
  <c r="AH194" i="5"/>
  <c r="AV194" i="5" s="1"/>
  <c r="AG194" i="5"/>
  <c r="AF194" i="5"/>
  <c r="AD194" i="5"/>
  <c r="P194" i="5"/>
  <c r="BD193" i="5"/>
  <c r="BC193" i="5"/>
  <c r="BB193" i="5"/>
  <c r="AQ193" i="5"/>
  <c r="AP193" i="5"/>
  <c r="AO193" i="5"/>
  <c r="AN193" i="5"/>
  <c r="AM193" i="5"/>
  <c r="AL193" i="5"/>
  <c r="AY193" i="5" s="1"/>
  <c r="AK193" i="5"/>
  <c r="AJ193" i="5"/>
  <c r="AW193" i="5" s="1"/>
  <c r="AI193" i="5"/>
  <c r="AH193" i="5"/>
  <c r="AG193" i="5"/>
  <c r="AF193" i="5"/>
  <c r="AD193" i="5"/>
  <c r="P193" i="5"/>
  <c r="BD192" i="5"/>
  <c r="AY192" i="5"/>
  <c r="AX192" i="5"/>
  <c r="AQ192" i="5"/>
  <c r="AP192" i="5"/>
  <c r="AO192" i="5"/>
  <c r="AN192" i="5"/>
  <c r="AM192" i="5"/>
  <c r="AZ192" i="5" s="1"/>
  <c r="AL192" i="5"/>
  <c r="AK192" i="5"/>
  <c r="AJ192" i="5"/>
  <c r="AI192" i="5"/>
  <c r="AW192" i="5" s="1"/>
  <c r="AH192" i="5"/>
  <c r="AG192" i="5"/>
  <c r="AF192" i="5"/>
  <c r="AD192" i="5"/>
  <c r="P192" i="5"/>
  <c r="BB191" i="5"/>
  <c r="BA191" i="5"/>
  <c r="AZ191" i="5"/>
  <c r="AQ191" i="5"/>
  <c r="BD191" i="5" s="1"/>
  <c r="AP191" i="5"/>
  <c r="BC191" i="5" s="1"/>
  <c r="AO191" i="5"/>
  <c r="AN191" i="5"/>
  <c r="AM191" i="5"/>
  <c r="AL191" i="5"/>
  <c r="AK191" i="5"/>
  <c r="AJ191" i="5"/>
  <c r="AW191" i="5" s="1"/>
  <c r="AI191" i="5"/>
  <c r="AH191" i="5"/>
  <c r="AV191" i="5" s="1"/>
  <c r="AG191" i="5"/>
  <c r="AF191" i="5"/>
  <c r="AD191" i="5"/>
  <c r="P191" i="5"/>
  <c r="AX190" i="5"/>
  <c r="AW190" i="5"/>
  <c r="AQ190" i="5"/>
  <c r="BD190" i="5" s="1"/>
  <c r="AP190" i="5"/>
  <c r="BC190" i="5" s="1"/>
  <c r="AO190" i="5"/>
  <c r="BB190" i="5" s="1"/>
  <c r="AN190" i="5"/>
  <c r="BA190" i="5" s="1"/>
  <c r="AM190" i="5"/>
  <c r="AL190" i="5"/>
  <c r="AY190" i="5" s="1"/>
  <c r="AK190" i="5"/>
  <c r="AJ190" i="5"/>
  <c r="AI190" i="5"/>
  <c r="AH190" i="5"/>
  <c r="AV190" i="5" s="1"/>
  <c r="AG190" i="5"/>
  <c r="AF190" i="5"/>
  <c r="AD190" i="5"/>
  <c r="P190" i="5"/>
  <c r="BC189" i="5"/>
  <c r="BB189" i="5"/>
  <c r="BA189" i="5"/>
  <c r="AZ189" i="5"/>
  <c r="AY189" i="5"/>
  <c r="AQ189" i="5"/>
  <c r="BD189" i="5" s="1"/>
  <c r="AP189" i="5"/>
  <c r="AO189" i="5"/>
  <c r="AN189" i="5"/>
  <c r="AM189" i="5"/>
  <c r="AL189" i="5"/>
  <c r="AK189" i="5"/>
  <c r="AX189" i="5" s="1"/>
  <c r="AJ189" i="5"/>
  <c r="AI189" i="5"/>
  <c r="AH189" i="5"/>
  <c r="AG189" i="5"/>
  <c r="AF189" i="5"/>
  <c r="AD189" i="5"/>
  <c r="P189" i="5"/>
  <c r="BD188" i="5"/>
  <c r="AZ188" i="5"/>
  <c r="AY188" i="5"/>
  <c r="AX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D188" i="5"/>
  <c r="P188" i="5"/>
  <c r="BB187" i="5"/>
  <c r="BA187" i="5"/>
  <c r="AZ187" i="5"/>
  <c r="AQ187" i="5"/>
  <c r="AP187" i="5"/>
  <c r="BC187" i="5" s="1"/>
  <c r="AO187" i="5"/>
  <c r="AN187" i="5"/>
  <c r="AM187" i="5"/>
  <c r="AL187" i="5"/>
  <c r="AK187" i="5"/>
  <c r="AJ187" i="5"/>
  <c r="AI187" i="5"/>
  <c r="AH187" i="5"/>
  <c r="AG187" i="5"/>
  <c r="AF187" i="5"/>
  <c r="AD187" i="5"/>
  <c r="P187" i="5"/>
  <c r="AX186" i="5"/>
  <c r="AW186" i="5"/>
  <c r="AQ186" i="5"/>
  <c r="BD186" i="5" s="1"/>
  <c r="AP186" i="5"/>
  <c r="AO186" i="5"/>
  <c r="AN186" i="5"/>
  <c r="AM186" i="5"/>
  <c r="AL186" i="5"/>
  <c r="AY186" i="5" s="1"/>
  <c r="AK186" i="5"/>
  <c r="AJ186" i="5"/>
  <c r="AI186" i="5"/>
  <c r="AH186" i="5"/>
  <c r="AV186" i="5" s="1"/>
  <c r="AG186" i="5"/>
  <c r="AF186" i="5"/>
  <c r="AD186" i="5"/>
  <c r="P186" i="5"/>
  <c r="BC185" i="5"/>
  <c r="BB185" i="5"/>
  <c r="AZ185" i="5"/>
  <c r="AQ185" i="5"/>
  <c r="BD185" i="5" s="1"/>
  <c r="AP185" i="5"/>
  <c r="AO185" i="5"/>
  <c r="AN185" i="5"/>
  <c r="AM185" i="5"/>
  <c r="BA185" i="5" s="1"/>
  <c r="AL185" i="5"/>
  <c r="AK185" i="5"/>
  <c r="AX185" i="5" s="1"/>
  <c r="AJ185" i="5"/>
  <c r="AI185" i="5"/>
  <c r="AH185" i="5"/>
  <c r="AG185" i="5"/>
  <c r="AF185" i="5"/>
  <c r="AD185" i="5"/>
  <c r="P185" i="5"/>
  <c r="BD184" i="5"/>
  <c r="BC184" i="5"/>
  <c r="AZ184" i="5"/>
  <c r="AY184" i="5"/>
  <c r="AX184" i="5"/>
  <c r="AQ184" i="5"/>
  <c r="AP184" i="5"/>
  <c r="AO184" i="5"/>
  <c r="BB184" i="5" s="1"/>
  <c r="AN184" i="5"/>
  <c r="AM184" i="5"/>
  <c r="AL184" i="5"/>
  <c r="AK184" i="5"/>
  <c r="AJ184" i="5"/>
  <c r="AI184" i="5"/>
  <c r="AH184" i="5"/>
  <c r="AG184" i="5"/>
  <c r="AF184" i="5"/>
  <c r="AD184" i="5"/>
  <c r="P184" i="5"/>
  <c r="BB183" i="5"/>
  <c r="BA183" i="5"/>
  <c r="AZ183" i="5"/>
  <c r="AQ183" i="5"/>
  <c r="AP183" i="5"/>
  <c r="BC183" i="5" s="1"/>
  <c r="AO183" i="5"/>
  <c r="AN183" i="5"/>
  <c r="AM183" i="5"/>
  <c r="AL183" i="5"/>
  <c r="AK183" i="5"/>
  <c r="AJ183" i="5"/>
  <c r="AI183" i="5"/>
  <c r="AH183" i="5"/>
  <c r="AG183" i="5"/>
  <c r="AF183" i="5"/>
  <c r="AD183" i="5"/>
  <c r="P183" i="5"/>
  <c r="AX182" i="5"/>
  <c r="AW182" i="5"/>
  <c r="AQ182" i="5"/>
  <c r="AP182" i="5"/>
  <c r="AO182" i="5"/>
  <c r="BB182" i="5" s="1"/>
  <c r="AN182" i="5"/>
  <c r="AM182" i="5"/>
  <c r="AZ182" i="5" s="1"/>
  <c r="AL182" i="5"/>
  <c r="AY182" i="5" s="1"/>
  <c r="AK182" i="5"/>
  <c r="AJ182" i="5"/>
  <c r="AI182" i="5"/>
  <c r="AH182" i="5"/>
  <c r="AV182" i="5" s="1"/>
  <c r="AG182" i="5"/>
  <c r="AF182" i="5"/>
  <c r="AD182" i="5"/>
  <c r="P182" i="5"/>
  <c r="BD181" i="5"/>
  <c r="BC181" i="5"/>
  <c r="BB181" i="5"/>
  <c r="BA181" i="5"/>
  <c r="AZ181" i="5"/>
  <c r="AQ181" i="5"/>
  <c r="AP181" i="5"/>
  <c r="AO181" i="5"/>
  <c r="AN181" i="5"/>
  <c r="AM181" i="5"/>
  <c r="AL181" i="5"/>
  <c r="AY181" i="5" s="1"/>
  <c r="AK181" i="5"/>
  <c r="AX181" i="5" s="1"/>
  <c r="AJ181" i="5"/>
  <c r="AI181" i="5"/>
  <c r="AH181" i="5"/>
  <c r="AG181" i="5"/>
  <c r="AF181" i="5"/>
  <c r="AD181" i="5"/>
  <c r="P181" i="5"/>
  <c r="BD180" i="5"/>
  <c r="AX180" i="5"/>
  <c r="AW180" i="5"/>
  <c r="AQ180" i="5"/>
  <c r="AP180" i="5"/>
  <c r="AO180" i="5"/>
  <c r="AN180" i="5"/>
  <c r="AM180" i="5"/>
  <c r="AZ180" i="5" s="1"/>
  <c r="AL180" i="5"/>
  <c r="AY180" i="5" s="1"/>
  <c r="AK180" i="5"/>
  <c r="AJ180" i="5"/>
  <c r="AI180" i="5"/>
  <c r="AH180" i="5"/>
  <c r="AV180" i="5" s="1"/>
  <c r="AG180" i="5"/>
  <c r="AF180" i="5"/>
  <c r="AD180" i="5"/>
  <c r="P180" i="5"/>
  <c r="BB179" i="5"/>
  <c r="BA179" i="5"/>
  <c r="AZ179" i="5"/>
  <c r="AY179" i="5"/>
  <c r="AQ179" i="5"/>
  <c r="AP179" i="5"/>
  <c r="BC179" i="5" s="1"/>
  <c r="AO179" i="5"/>
  <c r="AN179" i="5"/>
  <c r="AM179" i="5"/>
  <c r="AL179" i="5"/>
  <c r="AK179" i="5"/>
  <c r="AJ179" i="5"/>
  <c r="AI179" i="5"/>
  <c r="AH179" i="5"/>
  <c r="AG179" i="5"/>
  <c r="AF179" i="5"/>
  <c r="AD179" i="5"/>
  <c r="P179" i="5"/>
  <c r="BD178" i="5"/>
  <c r="BC178" i="5"/>
  <c r="AX178" i="5"/>
  <c r="AW178" i="5"/>
  <c r="AQ178" i="5"/>
  <c r="AP178" i="5"/>
  <c r="AO178" i="5"/>
  <c r="AN178" i="5"/>
  <c r="AM178" i="5"/>
  <c r="AZ178" i="5" s="1"/>
  <c r="AL178" i="5"/>
  <c r="AY178" i="5" s="1"/>
  <c r="AK178" i="5"/>
  <c r="AJ178" i="5"/>
  <c r="AI178" i="5"/>
  <c r="AH178" i="5"/>
  <c r="AV178" i="5" s="1"/>
  <c r="AG178" i="5"/>
  <c r="AF178" i="5"/>
  <c r="AD178" i="5"/>
  <c r="P178" i="5"/>
  <c r="BB177" i="5"/>
  <c r="BA177" i="5"/>
  <c r="AQ177" i="5"/>
  <c r="AP177" i="5"/>
  <c r="BC177" i="5" s="1"/>
  <c r="AO177" i="5"/>
  <c r="AN177" i="5"/>
  <c r="AM177" i="5"/>
  <c r="AL177" i="5"/>
  <c r="AY177" i="5" s="1"/>
  <c r="AK177" i="5"/>
  <c r="AX177" i="5" s="1"/>
  <c r="AJ177" i="5"/>
  <c r="AI177" i="5"/>
  <c r="AH177" i="5"/>
  <c r="AG177" i="5"/>
  <c r="AF177" i="5"/>
  <c r="AD177" i="5"/>
  <c r="P177" i="5"/>
  <c r="BD176" i="5"/>
  <c r="BC176" i="5"/>
  <c r="AX176" i="5"/>
  <c r="AW176" i="5"/>
  <c r="AQ176" i="5"/>
  <c r="AP176" i="5"/>
  <c r="AO176" i="5"/>
  <c r="AN176" i="5"/>
  <c r="BA176" i="5" s="1"/>
  <c r="AM176" i="5"/>
  <c r="AZ176" i="5" s="1"/>
  <c r="AL176" i="5"/>
  <c r="AY176" i="5" s="1"/>
  <c r="AK176" i="5"/>
  <c r="AJ176" i="5"/>
  <c r="AI176" i="5"/>
  <c r="AH176" i="5"/>
  <c r="AG176" i="5"/>
  <c r="AF176" i="5"/>
  <c r="AD176" i="5"/>
  <c r="P176" i="5"/>
  <c r="BB175" i="5"/>
  <c r="BA175" i="5"/>
  <c r="AZ175" i="5"/>
  <c r="AQ175" i="5"/>
  <c r="AP175" i="5"/>
  <c r="BC175" i="5" s="1"/>
  <c r="AO175" i="5"/>
  <c r="AN175" i="5"/>
  <c r="AM175" i="5"/>
  <c r="AL175" i="5"/>
  <c r="AK175" i="5"/>
  <c r="AJ175" i="5"/>
  <c r="AW175" i="5" s="1"/>
  <c r="AI175" i="5"/>
  <c r="AH175" i="5"/>
  <c r="AG175" i="5"/>
  <c r="AF175" i="5"/>
  <c r="AD175" i="5"/>
  <c r="P175" i="5"/>
  <c r="BC174" i="5"/>
  <c r="AX174" i="5"/>
  <c r="AW174" i="5"/>
  <c r="AQ174" i="5"/>
  <c r="AP174" i="5"/>
  <c r="AO174" i="5"/>
  <c r="BB174" i="5" s="1"/>
  <c r="AN174" i="5"/>
  <c r="AM174" i="5"/>
  <c r="AZ174" i="5" s="1"/>
  <c r="AL174" i="5"/>
  <c r="AY174" i="5" s="1"/>
  <c r="AK174" i="5"/>
  <c r="AJ174" i="5"/>
  <c r="AI174" i="5"/>
  <c r="AH174" i="5"/>
  <c r="AV174" i="5" s="1"/>
  <c r="AG174" i="5"/>
  <c r="AF174" i="5"/>
  <c r="AD174" i="5"/>
  <c r="P174" i="5"/>
  <c r="BB173" i="5"/>
  <c r="BA173" i="5"/>
  <c r="AZ173" i="5"/>
  <c r="AQ173" i="5"/>
  <c r="AP173" i="5"/>
  <c r="AO173" i="5"/>
  <c r="AN173" i="5"/>
  <c r="AM173" i="5"/>
  <c r="AL173" i="5"/>
  <c r="AK173" i="5"/>
  <c r="AX173" i="5" s="1"/>
  <c r="AJ173" i="5"/>
  <c r="AI173" i="5"/>
  <c r="AH173" i="5"/>
  <c r="AG173" i="5"/>
  <c r="AF173" i="5"/>
  <c r="AD173" i="5"/>
  <c r="P173" i="5"/>
  <c r="BD172" i="5"/>
  <c r="BC172" i="5"/>
  <c r="AZ172" i="5"/>
  <c r="AY172" i="5"/>
  <c r="AX172" i="5"/>
  <c r="AW172" i="5"/>
  <c r="AQ172" i="5"/>
  <c r="AP172" i="5"/>
  <c r="AO172" i="5"/>
  <c r="AN172" i="5"/>
  <c r="AM172" i="5"/>
  <c r="AL172" i="5"/>
  <c r="AK172" i="5"/>
  <c r="AJ172" i="5"/>
  <c r="AI172" i="5"/>
  <c r="AH172" i="5"/>
  <c r="AV172" i="5" s="1"/>
  <c r="AG172" i="5"/>
  <c r="AF172" i="5"/>
  <c r="AD172" i="5"/>
  <c r="P172" i="5"/>
  <c r="BB171" i="5"/>
  <c r="BA171" i="5"/>
  <c r="AZ171" i="5"/>
  <c r="AQ171" i="5"/>
  <c r="BD171" i="5" s="1"/>
  <c r="AP171" i="5"/>
  <c r="BC171" i="5" s="1"/>
  <c r="AO171" i="5"/>
  <c r="AN171" i="5"/>
  <c r="AM171" i="5"/>
  <c r="AL171" i="5"/>
  <c r="AK171" i="5"/>
  <c r="AJ171" i="5"/>
  <c r="AI171" i="5"/>
  <c r="AH171" i="5"/>
  <c r="AG171" i="5"/>
  <c r="AF171" i="5"/>
  <c r="AT171" i="5" s="1"/>
  <c r="AD171" i="5"/>
  <c r="P171" i="5"/>
  <c r="BD170" i="5"/>
  <c r="AX170" i="5"/>
  <c r="AW170" i="5"/>
  <c r="AQ170" i="5"/>
  <c r="AP170" i="5"/>
  <c r="AO170" i="5"/>
  <c r="AN170" i="5"/>
  <c r="BA170" i="5" s="1"/>
  <c r="AM170" i="5"/>
  <c r="AZ170" i="5" s="1"/>
  <c r="AL170" i="5"/>
  <c r="AY170" i="5" s="1"/>
  <c r="AK170" i="5"/>
  <c r="AJ170" i="5"/>
  <c r="AI170" i="5"/>
  <c r="AH170" i="5"/>
  <c r="AV170" i="5" s="1"/>
  <c r="AG170" i="5"/>
  <c r="AF170" i="5"/>
  <c r="AD170" i="5"/>
  <c r="P170" i="5"/>
  <c r="BD169" i="5"/>
  <c r="BC169" i="5"/>
  <c r="BB169" i="5"/>
  <c r="BA169" i="5"/>
  <c r="AZ169" i="5"/>
  <c r="AY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D169" i="5"/>
  <c r="P169" i="5"/>
  <c r="BD168" i="5"/>
  <c r="BC168" i="5"/>
  <c r="AX168" i="5"/>
  <c r="AQ168" i="5"/>
  <c r="AP168" i="5"/>
  <c r="AO168" i="5"/>
  <c r="AN168" i="5"/>
  <c r="AM168" i="5"/>
  <c r="AL168" i="5"/>
  <c r="AY168" i="5" s="1"/>
  <c r="AK168" i="5"/>
  <c r="AJ168" i="5"/>
  <c r="AI168" i="5"/>
  <c r="AH168" i="5"/>
  <c r="AG168" i="5"/>
  <c r="AF168" i="5"/>
  <c r="AD168" i="5"/>
  <c r="P168" i="5"/>
  <c r="BB167" i="5"/>
  <c r="BA167" i="5"/>
  <c r="AZ167" i="5"/>
  <c r="AQ167" i="5"/>
  <c r="BD167" i="5" s="1"/>
  <c r="AP167" i="5"/>
  <c r="BC167" i="5" s="1"/>
  <c r="AO167" i="5"/>
  <c r="AN167" i="5"/>
  <c r="AM167" i="5"/>
  <c r="AL167" i="5"/>
  <c r="AK167" i="5"/>
  <c r="AJ167" i="5"/>
  <c r="AI167" i="5"/>
  <c r="AH167" i="5"/>
  <c r="AV167" i="5" s="1"/>
  <c r="AG167" i="5"/>
  <c r="AF167" i="5"/>
  <c r="AD167" i="5"/>
  <c r="P167" i="5"/>
  <c r="AX166" i="5"/>
  <c r="AW166" i="5"/>
  <c r="AQ166" i="5"/>
  <c r="BD166" i="5" s="1"/>
  <c r="AP166" i="5"/>
  <c r="AO166" i="5"/>
  <c r="AN166" i="5"/>
  <c r="BA166" i="5" s="1"/>
  <c r="AM166" i="5"/>
  <c r="AL166" i="5"/>
  <c r="AY166" i="5" s="1"/>
  <c r="AK166" i="5"/>
  <c r="AJ166" i="5"/>
  <c r="AI166" i="5"/>
  <c r="AH166" i="5"/>
  <c r="AV166" i="5" s="1"/>
  <c r="AG166" i="5"/>
  <c r="AF166" i="5"/>
  <c r="AD166" i="5"/>
  <c r="P166" i="5"/>
  <c r="BB165" i="5"/>
  <c r="AY165" i="5"/>
  <c r="AQ165" i="5"/>
  <c r="BD165" i="5" s="1"/>
  <c r="AP165" i="5"/>
  <c r="BC165" i="5" s="1"/>
  <c r="AO165" i="5"/>
  <c r="AN165" i="5"/>
  <c r="AM165" i="5"/>
  <c r="AL165" i="5"/>
  <c r="AK165" i="5"/>
  <c r="AX165" i="5" s="1"/>
  <c r="AJ165" i="5"/>
  <c r="AI165" i="5"/>
  <c r="AH165" i="5"/>
  <c r="AG165" i="5"/>
  <c r="AF165" i="5"/>
  <c r="AD165" i="5"/>
  <c r="P165" i="5"/>
  <c r="BD164" i="5"/>
  <c r="BC164" i="5"/>
  <c r="AX164" i="5"/>
  <c r="AQ164" i="5"/>
  <c r="AP164" i="5"/>
  <c r="AO164" i="5"/>
  <c r="BB164" i="5" s="1"/>
  <c r="AN164" i="5"/>
  <c r="AM164" i="5"/>
  <c r="AL164" i="5"/>
  <c r="AY164" i="5" s="1"/>
  <c r="AK164" i="5"/>
  <c r="AJ164" i="5"/>
  <c r="AI164" i="5"/>
  <c r="AH164" i="5"/>
  <c r="AG164" i="5"/>
  <c r="AF164" i="5"/>
  <c r="AD164" i="5"/>
  <c r="P164" i="5"/>
  <c r="BB163" i="5"/>
  <c r="BA163" i="5"/>
  <c r="AZ163" i="5"/>
  <c r="AQ163" i="5"/>
  <c r="BD163" i="5" s="1"/>
  <c r="AP163" i="5"/>
  <c r="BC163" i="5" s="1"/>
  <c r="AO163" i="5"/>
  <c r="AN163" i="5"/>
  <c r="AM163" i="5"/>
  <c r="AL163" i="5"/>
  <c r="AK163" i="5"/>
  <c r="AJ163" i="5"/>
  <c r="AI163" i="5"/>
  <c r="AH163" i="5"/>
  <c r="AV163" i="5" s="1"/>
  <c r="AG163" i="5"/>
  <c r="AF163" i="5"/>
  <c r="AD163" i="5"/>
  <c r="P163" i="5"/>
  <c r="AX162" i="5"/>
  <c r="AW162" i="5"/>
  <c r="AQ162" i="5"/>
  <c r="BD162" i="5" s="1"/>
  <c r="AP162" i="5"/>
  <c r="AO162" i="5"/>
  <c r="AN162" i="5"/>
  <c r="AM162" i="5"/>
  <c r="AZ162" i="5" s="1"/>
  <c r="AL162" i="5"/>
  <c r="AY162" i="5" s="1"/>
  <c r="AK162" i="5"/>
  <c r="AJ162" i="5"/>
  <c r="AI162" i="5"/>
  <c r="AH162" i="5"/>
  <c r="AV162" i="5" s="1"/>
  <c r="AG162" i="5"/>
  <c r="AF162" i="5"/>
  <c r="AD162" i="5"/>
  <c r="P162" i="5"/>
  <c r="BD161" i="5"/>
  <c r="BC161" i="5"/>
  <c r="BB161" i="5"/>
  <c r="AZ161" i="5"/>
  <c r="AY161" i="5"/>
  <c r="AQ161" i="5"/>
  <c r="AP161" i="5"/>
  <c r="AO161" i="5"/>
  <c r="AN161" i="5"/>
  <c r="AM161" i="5"/>
  <c r="BA161" i="5" s="1"/>
  <c r="AL161" i="5"/>
  <c r="AK161" i="5"/>
  <c r="AX161" i="5" s="1"/>
  <c r="AJ161" i="5"/>
  <c r="AI161" i="5"/>
  <c r="AH161" i="5"/>
  <c r="AG161" i="5"/>
  <c r="AF161" i="5"/>
  <c r="AD161" i="5"/>
  <c r="P161" i="5"/>
  <c r="BD160" i="5"/>
  <c r="AX160" i="5"/>
  <c r="AW160" i="5"/>
  <c r="AQ160" i="5"/>
  <c r="AP160" i="5"/>
  <c r="AO160" i="5"/>
  <c r="AN160" i="5"/>
  <c r="AM160" i="5"/>
  <c r="AL160" i="5"/>
  <c r="AY160" i="5" s="1"/>
  <c r="AK160" i="5"/>
  <c r="AJ160" i="5"/>
  <c r="AI160" i="5"/>
  <c r="AH160" i="5"/>
  <c r="AV160" i="5" s="1"/>
  <c r="AG160" i="5"/>
  <c r="AF160" i="5"/>
  <c r="AD160" i="5"/>
  <c r="P160" i="5"/>
  <c r="BB159" i="5"/>
  <c r="BA159" i="5"/>
  <c r="AZ159" i="5"/>
  <c r="AY159" i="5"/>
  <c r="AQ159" i="5"/>
  <c r="BD159" i="5" s="1"/>
  <c r="AP159" i="5"/>
  <c r="BC159" i="5" s="1"/>
  <c r="AO159" i="5"/>
  <c r="AN159" i="5"/>
  <c r="AM159" i="5"/>
  <c r="AL159" i="5"/>
  <c r="AK159" i="5"/>
  <c r="AJ159" i="5"/>
  <c r="AI159" i="5"/>
  <c r="AH159" i="5"/>
  <c r="AG159" i="5"/>
  <c r="AF159" i="5"/>
  <c r="AD159" i="5"/>
  <c r="P159" i="5"/>
  <c r="BD158" i="5"/>
  <c r="AX158" i="5"/>
  <c r="AW158" i="5"/>
  <c r="AQ158" i="5"/>
  <c r="AP158" i="5"/>
  <c r="AO158" i="5"/>
  <c r="AN158" i="5"/>
  <c r="AM158" i="5"/>
  <c r="AZ158" i="5" s="1"/>
  <c r="AL158" i="5"/>
  <c r="AY158" i="5" s="1"/>
  <c r="AK158" i="5"/>
  <c r="AJ158" i="5"/>
  <c r="AI158" i="5"/>
  <c r="AH158" i="5"/>
  <c r="AV158" i="5" s="1"/>
  <c r="AG158" i="5"/>
  <c r="AF158" i="5"/>
  <c r="AD158" i="5"/>
  <c r="P158" i="5"/>
  <c r="BC157" i="5"/>
  <c r="BB157" i="5"/>
  <c r="AY157" i="5"/>
  <c r="AQ157" i="5"/>
  <c r="BD157" i="5" s="1"/>
  <c r="AP157" i="5"/>
  <c r="AO157" i="5"/>
  <c r="AN157" i="5"/>
  <c r="AM157" i="5"/>
  <c r="AL157" i="5"/>
  <c r="AK157" i="5"/>
  <c r="AX157" i="5" s="1"/>
  <c r="AJ157" i="5"/>
  <c r="AI157" i="5"/>
  <c r="AH157" i="5"/>
  <c r="AG157" i="5"/>
  <c r="AF157" i="5"/>
  <c r="AD157" i="5"/>
  <c r="P157" i="5"/>
  <c r="BD156" i="5"/>
  <c r="AY156" i="5"/>
  <c r="AX156" i="5"/>
  <c r="AQ156" i="5"/>
  <c r="AP156" i="5"/>
  <c r="AO156" i="5"/>
  <c r="AN156" i="5"/>
  <c r="AM156" i="5"/>
  <c r="AZ156" i="5" s="1"/>
  <c r="AL156" i="5"/>
  <c r="AK156" i="5"/>
  <c r="AJ156" i="5"/>
  <c r="AI156" i="5"/>
  <c r="AW156" i="5" s="1"/>
  <c r="AH156" i="5"/>
  <c r="AV156" i="5" s="1"/>
  <c r="AG156" i="5"/>
  <c r="AF156" i="5"/>
  <c r="AD156" i="5"/>
  <c r="P156" i="5"/>
  <c r="BB155" i="5"/>
  <c r="BA155" i="5"/>
  <c r="AZ155" i="5"/>
  <c r="AY155" i="5"/>
  <c r="AQ155" i="5"/>
  <c r="AP155" i="5"/>
  <c r="BC155" i="5" s="1"/>
  <c r="AO155" i="5"/>
  <c r="AN155" i="5"/>
  <c r="AM155" i="5"/>
  <c r="AL155" i="5"/>
  <c r="AK155" i="5"/>
  <c r="AX155" i="5" s="1"/>
  <c r="AJ155" i="5"/>
  <c r="AI155" i="5"/>
  <c r="AH155" i="5"/>
  <c r="AG155" i="5"/>
  <c r="AF155" i="5"/>
  <c r="AD155" i="5"/>
  <c r="P155" i="5"/>
  <c r="BD154" i="5"/>
  <c r="AX154" i="5"/>
  <c r="AW154" i="5"/>
  <c r="AQ154" i="5"/>
  <c r="AP154" i="5"/>
  <c r="AO154" i="5"/>
  <c r="AN154" i="5"/>
  <c r="AM154" i="5"/>
  <c r="AL154" i="5"/>
  <c r="AY154" i="5" s="1"/>
  <c r="AK154" i="5"/>
  <c r="AJ154" i="5"/>
  <c r="AI154" i="5"/>
  <c r="AH154" i="5"/>
  <c r="AV154" i="5" s="1"/>
  <c r="AG154" i="5"/>
  <c r="AF154" i="5"/>
  <c r="AD154" i="5"/>
  <c r="P154" i="5"/>
  <c r="BB153" i="5"/>
  <c r="AQ153" i="5"/>
  <c r="AP153" i="5"/>
  <c r="BC153" i="5" s="1"/>
  <c r="AO153" i="5"/>
  <c r="AN153" i="5"/>
  <c r="AM153" i="5"/>
  <c r="AL153" i="5"/>
  <c r="AK153" i="5"/>
  <c r="AX153" i="5" s="1"/>
  <c r="AJ153" i="5"/>
  <c r="AI153" i="5"/>
  <c r="AH153" i="5"/>
  <c r="AG153" i="5"/>
  <c r="AF153" i="5"/>
  <c r="AD153" i="5"/>
  <c r="P153" i="5"/>
  <c r="BD152" i="5"/>
  <c r="BC152" i="5"/>
  <c r="AZ152" i="5"/>
  <c r="AY152" i="5"/>
  <c r="AX152" i="5"/>
  <c r="AW152" i="5"/>
  <c r="AQ152" i="5"/>
  <c r="AP152" i="5"/>
  <c r="AO152" i="5"/>
  <c r="BB152" i="5" s="1"/>
  <c r="AN152" i="5"/>
  <c r="AM152" i="5"/>
  <c r="AL152" i="5"/>
  <c r="AK152" i="5"/>
  <c r="AJ152" i="5"/>
  <c r="AI152" i="5"/>
  <c r="AH152" i="5"/>
  <c r="AG152" i="5"/>
  <c r="AF152" i="5"/>
  <c r="AD152" i="5"/>
  <c r="P152" i="5"/>
  <c r="BA151" i="5"/>
  <c r="AZ151" i="5"/>
  <c r="AQ151" i="5"/>
  <c r="BD151" i="5" s="1"/>
  <c r="AP151" i="5"/>
  <c r="BC151" i="5" s="1"/>
  <c r="AO151" i="5"/>
  <c r="BB151" i="5" s="1"/>
  <c r="AN151" i="5"/>
  <c r="AM151" i="5"/>
  <c r="AL151" i="5"/>
  <c r="AK151" i="5"/>
  <c r="AJ151" i="5"/>
  <c r="AW151" i="5" s="1"/>
  <c r="AI151" i="5"/>
  <c r="AH151" i="5"/>
  <c r="AG151" i="5"/>
  <c r="AF151" i="5"/>
  <c r="AD151" i="5"/>
  <c r="P151" i="5"/>
  <c r="AY150" i="5"/>
  <c r="AX150" i="5"/>
  <c r="AW150" i="5"/>
  <c r="AQ150" i="5"/>
  <c r="AP150" i="5"/>
  <c r="AO150" i="5"/>
  <c r="BB150" i="5" s="1"/>
  <c r="AN150" i="5"/>
  <c r="BA150" i="5" s="1"/>
  <c r="AM150" i="5"/>
  <c r="AL150" i="5"/>
  <c r="AK150" i="5"/>
  <c r="AJ150" i="5"/>
  <c r="AI150" i="5"/>
  <c r="AH150" i="5"/>
  <c r="AV150" i="5" s="1"/>
  <c r="AG150" i="5"/>
  <c r="AF150" i="5"/>
  <c r="AD150" i="5"/>
  <c r="P150" i="5"/>
  <c r="BD149" i="5"/>
  <c r="BC149" i="5"/>
  <c r="BB149" i="5"/>
  <c r="BA149" i="5"/>
  <c r="AZ149" i="5"/>
  <c r="AQ149" i="5"/>
  <c r="AP149" i="5"/>
  <c r="AO149" i="5"/>
  <c r="AN149" i="5"/>
  <c r="AM149" i="5"/>
  <c r="AL149" i="5"/>
  <c r="AY149" i="5" s="1"/>
  <c r="AK149" i="5"/>
  <c r="AX149" i="5" s="1"/>
  <c r="AJ149" i="5"/>
  <c r="AW149" i="5" s="1"/>
  <c r="AI149" i="5"/>
  <c r="AH149" i="5"/>
  <c r="AG149" i="5"/>
  <c r="AF149" i="5"/>
  <c r="AD149" i="5"/>
  <c r="P149" i="5"/>
  <c r="BC148" i="5"/>
  <c r="AZ148" i="5"/>
  <c r="AY148" i="5"/>
  <c r="AX148" i="5"/>
  <c r="AW148" i="5"/>
  <c r="AQ148" i="5"/>
  <c r="AP148" i="5"/>
  <c r="BD148" i="5" s="1"/>
  <c r="AO148" i="5"/>
  <c r="AN148" i="5"/>
  <c r="BA148" i="5" s="1"/>
  <c r="AM148" i="5"/>
  <c r="AL148" i="5"/>
  <c r="AK148" i="5"/>
  <c r="AJ148" i="5"/>
  <c r="AI148" i="5"/>
  <c r="AH148" i="5"/>
  <c r="AG148" i="5"/>
  <c r="AF148" i="5"/>
  <c r="AD148" i="5"/>
  <c r="P148" i="5"/>
  <c r="AZ147" i="5"/>
  <c r="AQ147" i="5"/>
  <c r="BD147" i="5" s="1"/>
  <c r="AP147" i="5"/>
  <c r="BC147" i="5" s="1"/>
  <c r="AO147" i="5"/>
  <c r="AN147" i="5"/>
  <c r="BA147" i="5" s="1"/>
  <c r="AM147" i="5"/>
  <c r="AL147" i="5"/>
  <c r="AK147" i="5"/>
  <c r="AJ147" i="5"/>
  <c r="AW147" i="5" s="1"/>
  <c r="AI147" i="5"/>
  <c r="AH147" i="5"/>
  <c r="AG147" i="5"/>
  <c r="AF147" i="5"/>
  <c r="AD147" i="5"/>
  <c r="P147" i="5"/>
  <c r="BB146" i="5"/>
  <c r="AQ146" i="5"/>
  <c r="AP146" i="5"/>
  <c r="AO146" i="5"/>
  <c r="AN146" i="5"/>
  <c r="AM146" i="5"/>
  <c r="AL146" i="5"/>
  <c r="AY146" i="5" s="1"/>
  <c r="AK146" i="5"/>
  <c r="AJ146" i="5"/>
  <c r="AW146" i="5" s="1"/>
  <c r="AI146" i="5"/>
  <c r="AH146" i="5"/>
  <c r="AV146" i="5" s="1"/>
  <c r="AG146" i="5"/>
  <c r="AF146" i="5"/>
  <c r="AD146" i="5"/>
  <c r="P146" i="5"/>
  <c r="BB145" i="5"/>
  <c r="BA145" i="5"/>
  <c r="AQ145" i="5"/>
  <c r="AP145" i="5"/>
  <c r="BC145" i="5" s="1"/>
  <c r="AO145" i="5"/>
  <c r="AN145" i="5"/>
  <c r="AM145" i="5"/>
  <c r="AZ145" i="5" s="1"/>
  <c r="AL145" i="5"/>
  <c r="AK145" i="5"/>
  <c r="AX145" i="5" s="1"/>
  <c r="AJ145" i="5"/>
  <c r="AI145" i="5"/>
  <c r="AH145" i="5"/>
  <c r="AG145" i="5"/>
  <c r="AF145" i="5"/>
  <c r="AD145" i="5"/>
  <c r="P145" i="5"/>
  <c r="BD144" i="5"/>
  <c r="BC144" i="5"/>
  <c r="AZ144" i="5"/>
  <c r="AX144" i="5"/>
  <c r="AQ144" i="5"/>
  <c r="AP144" i="5"/>
  <c r="AO144" i="5"/>
  <c r="BB144" i="5" s="1"/>
  <c r="AN144" i="5"/>
  <c r="BA144" i="5" s="1"/>
  <c r="AM144" i="5"/>
  <c r="AL144" i="5"/>
  <c r="AY144" i="5" s="1"/>
  <c r="AK144" i="5"/>
  <c r="AJ144" i="5"/>
  <c r="AI144" i="5"/>
  <c r="AH144" i="5"/>
  <c r="AG144" i="5"/>
  <c r="AF144" i="5"/>
  <c r="AD144" i="5"/>
  <c r="P144" i="5"/>
  <c r="AZ143" i="5"/>
  <c r="AY143" i="5"/>
  <c r="AQ143" i="5"/>
  <c r="AP143" i="5"/>
  <c r="AO143" i="5"/>
  <c r="AN143" i="5"/>
  <c r="BA143" i="5" s="1"/>
  <c r="AM143" i="5"/>
  <c r="AL143" i="5"/>
  <c r="AK143" i="5"/>
  <c r="AJ143" i="5"/>
  <c r="AI143" i="5"/>
  <c r="AH143" i="5"/>
  <c r="AV143" i="5" s="1"/>
  <c r="AG143" i="5"/>
  <c r="AF143" i="5"/>
  <c r="AD143" i="5"/>
  <c r="P143" i="5"/>
  <c r="BC142" i="5"/>
  <c r="BB142" i="5"/>
  <c r="BA142" i="5"/>
  <c r="AX142" i="5"/>
  <c r="AQ142" i="5"/>
  <c r="AP142" i="5"/>
  <c r="AO142" i="5"/>
  <c r="AN142" i="5"/>
  <c r="AM142" i="5"/>
  <c r="AL142" i="5"/>
  <c r="AY142" i="5" s="1"/>
  <c r="AK142" i="5"/>
  <c r="AJ142" i="5"/>
  <c r="AW142" i="5" s="1"/>
  <c r="AI142" i="5"/>
  <c r="AH142" i="5"/>
  <c r="AV142" i="5" s="1"/>
  <c r="AG142" i="5"/>
  <c r="AF142" i="5"/>
  <c r="AD142" i="5"/>
  <c r="P142" i="5"/>
  <c r="BC141" i="5"/>
  <c r="BB141" i="5"/>
  <c r="BA141" i="5"/>
  <c r="AZ141" i="5"/>
  <c r="AQ141" i="5"/>
  <c r="BD141" i="5" s="1"/>
  <c r="AP141" i="5"/>
  <c r="AO141" i="5"/>
  <c r="AN141" i="5"/>
  <c r="AM141" i="5"/>
  <c r="AL141" i="5"/>
  <c r="AK141" i="5"/>
  <c r="AJ141" i="5"/>
  <c r="AW141" i="5" s="1"/>
  <c r="AI141" i="5"/>
  <c r="AH141" i="5"/>
  <c r="AG141" i="5"/>
  <c r="AF141" i="5"/>
  <c r="AD141" i="5"/>
  <c r="P141" i="5"/>
  <c r="BD140" i="5"/>
  <c r="BC140" i="5"/>
  <c r="AX140" i="5"/>
  <c r="AW140" i="5"/>
  <c r="AQ140" i="5"/>
  <c r="AP140" i="5"/>
  <c r="AO140" i="5"/>
  <c r="BB140" i="5" s="1"/>
  <c r="AN140" i="5"/>
  <c r="BA140" i="5" s="1"/>
  <c r="AM140" i="5"/>
  <c r="AL140" i="5"/>
  <c r="AY140" i="5" s="1"/>
  <c r="AK140" i="5"/>
  <c r="AJ140" i="5"/>
  <c r="AI140" i="5"/>
  <c r="AH140" i="5"/>
  <c r="AV140" i="5" s="1"/>
  <c r="AG140" i="5"/>
  <c r="AF140" i="5"/>
  <c r="AD140" i="5"/>
  <c r="P140" i="5"/>
  <c r="BC139" i="5"/>
  <c r="BB139" i="5"/>
  <c r="BA139" i="5"/>
  <c r="AQ139" i="5"/>
  <c r="BD139" i="5" s="1"/>
  <c r="AP139" i="5"/>
  <c r="AO139" i="5"/>
  <c r="AN139" i="5"/>
  <c r="AM139" i="5"/>
  <c r="AL139" i="5"/>
  <c r="AK139" i="5"/>
  <c r="AJ139" i="5"/>
  <c r="AI139" i="5"/>
  <c r="AH139" i="5"/>
  <c r="AG139" i="5"/>
  <c r="AF139" i="5"/>
  <c r="AD139" i="5"/>
  <c r="P139" i="5"/>
  <c r="BA138" i="5"/>
  <c r="AY138" i="5"/>
  <c r="AQ138" i="5"/>
  <c r="BD138" i="5" s="1"/>
  <c r="AP138" i="5"/>
  <c r="BC138" i="5" s="1"/>
  <c r="AO138" i="5"/>
  <c r="AN138" i="5"/>
  <c r="BB138" i="5" s="1"/>
  <c r="AM138" i="5"/>
  <c r="AL138" i="5"/>
  <c r="AK138" i="5"/>
  <c r="AJ138" i="5"/>
  <c r="AX138" i="5" s="1"/>
  <c r="AI138" i="5"/>
  <c r="AH138" i="5"/>
  <c r="AV138" i="5" s="1"/>
  <c r="AG138" i="5"/>
  <c r="AF138" i="5"/>
  <c r="AD138" i="5"/>
  <c r="P138" i="5"/>
  <c r="BD137" i="5"/>
  <c r="BC137" i="5"/>
  <c r="BB137" i="5"/>
  <c r="BA137" i="5"/>
  <c r="AX137" i="5"/>
  <c r="AQ137" i="5"/>
  <c r="AP137" i="5"/>
  <c r="AO137" i="5"/>
  <c r="AN137" i="5"/>
  <c r="AM137" i="5"/>
  <c r="AL137" i="5"/>
  <c r="AY137" i="5" s="1"/>
  <c r="AK137" i="5"/>
  <c r="AJ137" i="5"/>
  <c r="AI137" i="5"/>
  <c r="AH137" i="5"/>
  <c r="AG137" i="5"/>
  <c r="AF137" i="5"/>
  <c r="AD137" i="5"/>
  <c r="P137" i="5"/>
  <c r="AY136" i="5"/>
  <c r="AX136" i="5"/>
  <c r="AQ136" i="5"/>
  <c r="AP136" i="5"/>
  <c r="AO136" i="5"/>
  <c r="BB136" i="5" s="1"/>
  <c r="AN136" i="5"/>
  <c r="AM136" i="5"/>
  <c r="AZ136" i="5" s="1"/>
  <c r="AL136" i="5"/>
  <c r="AK136" i="5"/>
  <c r="AJ136" i="5"/>
  <c r="AI136" i="5"/>
  <c r="AW136" i="5" s="1"/>
  <c r="AH136" i="5"/>
  <c r="AV136" i="5" s="1"/>
  <c r="AG136" i="5"/>
  <c r="AF136" i="5"/>
  <c r="AD136" i="5"/>
  <c r="P136" i="5"/>
  <c r="AY135" i="5"/>
  <c r="AQ135" i="5"/>
  <c r="AP135" i="5"/>
  <c r="BC135" i="5" s="1"/>
  <c r="AO135" i="5"/>
  <c r="AN135" i="5"/>
  <c r="BA135" i="5" s="1"/>
  <c r="AM135" i="5"/>
  <c r="AL135" i="5"/>
  <c r="AZ135" i="5" s="1"/>
  <c r="AK135" i="5"/>
  <c r="AJ135" i="5"/>
  <c r="AI135" i="5"/>
  <c r="AH135" i="5"/>
  <c r="AG135" i="5"/>
  <c r="AF135" i="5"/>
  <c r="AD135" i="5"/>
  <c r="P135" i="5"/>
  <c r="BD134" i="5"/>
  <c r="BC134" i="5"/>
  <c r="BB134" i="5"/>
  <c r="BA134" i="5"/>
  <c r="AQ134" i="5"/>
  <c r="AP134" i="5"/>
  <c r="AO134" i="5"/>
  <c r="AN134" i="5"/>
  <c r="AM134" i="5"/>
  <c r="AL134" i="5"/>
  <c r="AY134" i="5" s="1"/>
  <c r="AK134" i="5"/>
  <c r="AJ134" i="5"/>
  <c r="AW134" i="5" s="1"/>
  <c r="AI134" i="5"/>
  <c r="AH134" i="5"/>
  <c r="AV134" i="5" s="1"/>
  <c r="AG134" i="5"/>
  <c r="AF134" i="5"/>
  <c r="AD134" i="5"/>
  <c r="P134" i="5"/>
  <c r="BC133" i="5"/>
  <c r="BB133" i="5"/>
  <c r="AW133" i="5"/>
  <c r="AQ133" i="5"/>
  <c r="BD133" i="5" s="1"/>
  <c r="AP133" i="5"/>
  <c r="AO133" i="5"/>
  <c r="AN133" i="5"/>
  <c r="AM133" i="5"/>
  <c r="BA133" i="5" s="1"/>
  <c r="AL133" i="5"/>
  <c r="AK133" i="5"/>
  <c r="AJ133" i="5"/>
  <c r="AI133" i="5"/>
  <c r="AH133" i="5"/>
  <c r="AG133" i="5"/>
  <c r="AF133" i="5"/>
  <c r="AD133" i="5"/>
  <c r="P133" i="5"/>
  <c r="BD132" i="5"/>
  <c r="AZ132" i="5"/>
  <c r="AY132" i="5"/>
  <c r="AX132" i="5"/>
  <c r="AW132" i="5"/>
  <c r="AQ132" i="5"/>
  <c r="AP132" i="5"/>
  <c r="AO132" i="5"/>
  <c r="AN132" i="5"/>
  <c r="BA132" i="5" s="1"/>
  <c r="AM132" i="5"/>
  <c r="AL132" i="5"/>
  <c r="AK132" i="5"/>
  <c r="AJ132" i="5"/>
  <c r="AI132" i="5"/>
  <c r="AH132" i="5"/>
  <c r="AG132" i="5"/>
  <c r="AF132" i="5"/>
  <c r="AD132" i="5"/>
  <c r="P132" i="5"/>
  <c r="BA131" i="5"/>
  <c r="AZ131" i="5"/>
  <c r="AY131" i="5"/>
  <c r="AQ131" i="5"/>
  <c r="BD131" i="5" s="1"/>
  <c r="AP131" i="5"/>
  <c r="AO131" i="5"/>
  <c r="BB131" i="5" s="1"/>
  <c r="AN131" i="5"/>
  <c r="AM131" i="5"/>
  <c r="AL131" i="5"/>
  <c r="AK131" i="5"/>
  <c r="AX131" i="5" s="1"/>
  <c r="AJ131" i="5"/>
  <c r="AI131" i="5"/>
  <c r="AH131" i="5"/>
  <c r="AV131" i="5" s="1"/>
  <c r="AG131" i="5"/>
  <c r="AF131" i="5"/>
  <c r="AD131" i="5"/>
  <c r="P131" i="5"/>
  <c r="BB130" i="5"/>
  <c r="AQ130" i="5"/>
  <c r="AP130" i="5"/>
  <c r="AO130" i="5"/>
  <c r="AN130" i="5"/>
  <c r="AM130" i="5"/>
  <c r="AL130" i="5"/>
  <c r="AY130" i="5" s="1"/>
  <c r="AK130" i="5"/>
  <c r="AJ130" i="5"/>
  <c r="AW130" i="5" s="1"/>
  <c r="AI130" i="5"/>
  <c r="AH130" i="5"/>
  <c r="AG130" i="5"/>
  <c r="AF130" i="5"/>
  <c r="AD130" i="5"/>
  <c r="P130" i="5"/>
  <c r="BB129" i="5"/>
  <c r="AY129" i="5"/>
  <c r="AQ129" i="5"/>
  <c r="BD129" i="5" s="1"/>
  <c r="AP129" i="5"/>
  <c r="BC129" i="5" s="1"/>
  <c r="AO129" i="5"/>
  <c r="AN129" i="5"/>
  <c r="AM129" i="5"/>
  <c r="AL129" i="5"/>
  <c r="AK129" i="5"/>
  <c r="AJ129" i="5"/>
  <c r="AI129" i="5"/>
  <c r="AH129" i="5"/>
  <c r="AG129" i="5"/>
  <c r="AF129" i="5"/>
  <c r="AD129" i="5"/>
  <c r="P129" i="5"/>
  <c r="AY128" i="5"/>
  <c r="AQ128" i="5"/>
  <c r="AP128" i="5"/>
  <c r="AO128" i="5"/>
  <c r="BB128" i="5" s="1"/>
  <c r="AN128" i="5"/>
  <c r="BA128" i="5" s="1"/>
  <c r="AM128" i="5"/>
  <c r="AZ128" i="5" s="1"/>
  <c r="AL128" i="5"/>
  <c r="AK128" i="5"/>
  <c r="AJ128" i="5"/>
  <c r="AW128" i="5" s="1"/>
  <c r="AI128" i="5"/>
  <c r="AH128" i="5"/>
  <c r="AV128" i="5" s="1"/>
  <c r="AG128" i="5"/>
  <c r="AF128" i="5"/>
  <c r="AD128" i="5"/>
  <c r="P128" i="5"/>
  <c r="BD127" i="5"/>
  <c r="BC127" i="5"/>
  <c r="BB127" i="5"/>
  <c r="BA127" i="5"/>
  <c r="AQ127" i="5"/>
  <c r="AP127" i="5"/>
  <c r="AO127" i="5"/>
  <c r="AN127" i="5"/>
  <c r="AM127" i="5"/>
  <c r="AL127" i="5"/>
  <c r="AK127" i="5"/>
  <c r="AX127" i="5" s="1"/>
  <c r="AJ127" i="5"/>
  <c r="AW127" i="5" s="1"/>
  <c r="AI127" i="5"/>
  <c r="AH127" i="5"/>
  <c r="AG127" i="5"/>
  <c r="AF127" i="5"/>
  <c r="AD127" i="5"/>
  <c r="P127" i="5"/>
  <c r="BB126" i="5"/>
  <c r="BA126" i="5"/>
  <c r="AZ126" i="5"/>
  <c r="AW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D126" i="5"/>
  <c r="P126" i="5"/>
  <c r="BC125" i="5"/>
  <c r="AZ125" i="5"/>
  <c r="AX125" i="5"/>
  <c r="AQ125" i="5"/>
  <c r="BD125" i="5" s="1"/>
  <c r="AP125" i="5"/>
  <c r="AO125" i="5"/>
  <c r="AN125" i="5"/>
  <c r="BA125" i="5" s="1"/>
  <c r="AM125" i="5"/>
  <c r="AL125" i="5"/>
  <c r="AY125" i="5" s="1"/>
  <c r="AK125" i="5"/>
  <c r="AJ125" i="5"/>
  <c r="AI125" i="5"/>
  <c r="AH125" i="5"/>
  <c r="AG125" i="5"/>
  <c r="AF125" i="5"/>
  <c r="AD125" i="5"/>
  <c r="P125" i="5"/>
  <c r="BC124" i="5"/>
  <c r="BB124" i="5"/>
  <c r="AY124" i="5"/>
  <c r="AQ124" i="5"/>
  <c r="AP124" i="5"/>
  <c r="AO124" i="5"/>
  <c r="AN124" i="5"/>
  <c r="BA124" i="5" s="1"/>
  <c r="AM124" i="5"/>
  <c r="AL124" i="5"/>
  <c r="AZ124" i="5" s="1"/>
  <c r="AK124" i="5"/>
  <c r="AX124" i="5" s="1"/>
  <c r="AJ124" i="5"/>
  <c r="AW124" i="5" s="1"/>
  <c r="AI124" i="5"/>
  <c r="AH124" i="5"/>
  <c r="AV124" i="5" s="1"/>
  <c r="AG124" i="5"/>
  <c r="AF124" i="5"/>
  <c r="AD124" i="5"/>
  <c r="P124" i="5"/>
  <c r="BC123" i="5"/>
  <c r="AY123" i="5"/>
  <c r="AX123" i="5"/>
  <c r="AW123" i="5"/>
  <c r="AQ123" i="5"/>
  <c r="AP123" i="5"/>
  <c r="BD123" i="5" s="1"/>
  <c r="AO123" i="5"/>
  <c r="BB123" i="5" s="1"/>
  <c r="AN123" i="5"/>
  <c r="AM123" i="5"/>
  <c r="AL123" i="5"/>
  <c r="AK123" i="5"/>
  <c r="AJ123" i="5"/>
  <c r="AI123" i="5"/>
  <c r="AH123" i="5"/>
  <c r="AV123" i="5" s="1"/>
  <c r="AG123" i="5"/>
  <c r="AF123" i="5"/>
  <c r="AD123" i="5"/>
  <c r="P123" i="5"/>
  <c r="BD122" i="5"/>
  <c r="BC122" i="5"/>
  <c r="BB122" i="5"/>
  <c r="AX122" i="5"/>
  <c r="AW122" i="5"/>
  <c r="AQ122" i="5"/>
  <c r="AP122" i="5"/>
  <c r="AO122" i="5"/>
  <c r="AN122" i="5"/>
  <c r="AM122" i="5"/>
  <c r="AL122" i="5"/>
  <c r="AY122" i="5" s="1"/>
  <c r="AK122" i="5"/>
  <c r="AJ122" i="5"/>
  <c r="AI122" i="5"/>
  <c r="AH122" i="5"/>
  <c r="AG122" i="5"/>
  <c r="AF122" i="5"/>
  <c r="AD122" i="5"/>
  <c r="P122" i="5"/>
  <c r="AX121" i="5"/>
  <c r="AW121" i="5"/>
  <c r="AQ121" i="5"/>
  <c r="AP121" i="5"/>
  <c r="AO121" i="5"/>
  <c r="AN121" i="5"/>
  <c r="BA121" i="5" s="1"/>
  <c r="AM121" i="5"/>
  <c r="AL121" i="5"/>
  <c r="AZ121" i="5" s="1"/>
  <c r="AK121" i="5"/>
  <c r="AJ121" i="5"/>
  <c r="AI121" i="5"/>
  <c r="AH121" i="5"/>
  <c r="AG121" i="5"/>
  <c r="AF121" i="5"/>
  <c r="AD121" i="5"/>
  <c r="P121" i="5"/>
  <c r="BB120" i="5"/>
  <c r="BA120" i="5"/>
  <c r="AZ120" i="5"/>
  <c r="AQ120" i="5"/>
  <c r="AP120" i="5"/>
  <c r="BC120" i="5" s="1"/>
  <c r="AO120" i="5"/>
  <c r="AN120" i="5"/>
  <c r="AM120" i="5"/>
  <c r="AL120" i="5"/>
  <c r="AK120" i="5"/>
  <c r="AX120" i="5" s="1"/>
  <c r="AJ120" i="5"/>
  <c r="AW120" i="5" s="1"/>
  <c r="AI120" i="5"/>
  <c r="AH120" i="5"/>
  <c r="AG120" i="5"/>
  <c r="AF120" i="5"/>
  <c r="AD120" i="5"/>
  <c r="P120" i="5"/>
  <c r="BB119" i="5"/>
  <c r="AQ119" i="5"/>
  <c r="AP119" i="5"/>
  <c r="BC119" i="5" s="1"/>
  <c r="AO119" i="5"/>
  <c r="AN119" i="5"/>
  <c r="BA119" i="5" s="1"/>
  <c r="AM119" i="5"/>
  <c r="AL119" i="5"/>
  <c r="AY119" i="5" s="1"/>
  <c r="AK119" i="5"/>
  <c r="AX119" i="5" s="1"/>
  <c r="AJ119" i="5"/>
  <c r="AW119" i="5" s="1"/>
  <c r="AI119" i="5"/>
  <c r="AH119" i="5"/>
  <c r="AV119" i="5" s="1"/>
  <c r="AG119" i="5"/>
  <c r="AF119" i="5"/>
  <c r="AD119" i="5"/>
  <c r="P119" i="5"/>
  <c r="BC118" i="5"/>
  <c r="BB118" i="5"/>
  <c r="BA118" i="5"/>
  <c r="AQ118" i="5"/>
  <c r="BD118" i="5" s="1"/>
  <c r="AP118" i="5"/>
  <c r="AO118" i="5"/>
  <c r="AN118" i="5"/>
  <c r="AM118" i="5"/>
  <c r="AL118" i="5"/>
  <c r="AY118" i="5" s="1"/>
  <c r="AK118" i="5"/>
  <c r="AX118" i="5" s="1"/>
  <c r="AJ118" i="5"/>
  <c r="AI118" i="5"/>
  <c r="AH118" i="5"/>
  <c r="AG118" i="5"/>
  <c r="AF118" i="5"/>
  <c r="AD118" i="5"/>
  <c r="P118" i="5"/>
  <c r="BD117" i="5"/>
  <c r="BC117" i="5"/>
  <c r="AX117" i="5"/>
  <c r="AW117" i="5"/>
  <c r="AQ117" i="5"/>
  <c r="AP117" i="5"/>
  <c r="AO117" i="5"/>
  <c r="AN117" i="5"/>
  <c r="BA117" i="5" s="1"/>
  <c r="AM117" i="5"/>
  <c r="AL117" i="5"/>
  <c r="AY117" i="5" s="1"/>
  <c r="AK117" i="5"/>
  <c r="AJ117" i="5"/>
  <c r="AI117" i="5"/>
  <c r="AH117" i="5"/>
  <c r="AG117" i="5"/>
  <c r="AF117" i="5"/>
  <c r="AD117" i="5"/>
  <c r="P117" i="5"/>
  <c r="AZ116" i="5"/>
  <c r="AQ116" i="5"/>
  <c r="AP116" i="5"/>
  <c r="BC116" i="5" s="1"/>
  <c r="AO116" i="5"/>
  <c r="AN116" i="5"/>
  <c r="BA116" i="5" s="1"/>
  <c r="AM116" i="5"/>
  <c r="AL116" i="5"/>
  <c r="AY116" i="5" s="1"/>
  <c r="AK116" i="5"/>
  <c r="AJ116" i="5"/>
  <c r="AW116" i="5" s="1"/>
  <c r="AI116" i="5"/>
  <c r="AH116" i="5"/>
  <c r="AV116" i="5" s="1"/>
  <c r="AG116" i="5"/>
  <c r="AF116" i="5"/>
  <c r="AD116" i="5"/>
  <c r="P116" i="5"/>
  <c r="BD115" i="5"/>
  <c r="BC115" i="5"/>
  <c r="AY115" i="5"/>
  <c r="AX115" i="5"/>
  <c r="AQ115" i="5"/>
  <c r="AP115" i="5"/>
  <c r="AO115" i="5"/>
  <c r="AN115" i="5"/>
  <c r="BB115" i="5" s="1"/>
  <c r="AM115" i="5"/>
  <c r="AZ115" i="5" s="1"/>
  <c r="AL115" i="5"/>
  <c r="AK115" i="5"/>
  <c r="AJ115" i="5"/>
  <c r="AW115" i="5" s="1"/>
  <c r="AI115" i="5"/>
  <c r="AH115" i="5"/>
  <c r="AV115" i="5" s="1"/>
  <c r="AG115" i="5"/>
  <c r="AF115" i="5"/>
  <c r="AD115" i="5"/>
  <c r="P115" i="5"/>
  <c r="BB114" i="5"/>
  <c r="BA114" i="5"/>
  <c r="AX114" i="5"/>
  <c r="AQ114" i="5"/>
  <c r="BD114" i="5" s="1"/>
  <c r="AP114" i="5"/>
  <c r="BC114" i="5" s="1"/>
  <c r="AO114" i="5"/>
  <c r="AN114" i="5"/>
  <c r="AM114" i="5"/>
  <c r="AL114" i="5"/>
  <c r="AK114" i="5"/>
  <c r="AJ114" i="5"/>
  <c r="AI114" i="5"/>
  <c r="AH114" i="5"/>
  <c r="AG114" i="5"/>
  <c r="AF114" i="5"/>
  <c r="AD114" i="5"/>
  <c r="P114" i="5"/>
  <c r="BD113" i="5"/>
  <c r="AZ113" i="5"/>
  <c r="AY113" i="5"/>
  <c r="AX113" i="5"/>
  <c r="AW113" i="5"/>
  <c r="AQ113" i="5"/>
  <c r="AP113" i="5"/>
  <c r="BC113" i="5" s="1"/>
  <c r="AO113" i="5"/>
  <c r="BB113" i="5" s="1"/>
  <c r="AN113" i="5"/>
  <c r="AM113" i="5"/>
  <c r="AL113" i="5"/>
  <c r="AK113" i="5"/>
  <c r="AJ113" i="5"/>
  <c r="AI113" i="5"/>
  <c r="AH113" i="5"/>
  <c r="AG113" i="5"/>
  <c r="AF113" i="5"/>
  <c r="AD113" i="5"/>
  <c r="P113" i="5"/>
  <c r="BC112" i="5"/>
  <c r="BA112" i="5"/>
  <c r="AQ112" i="5"/>
  <c r="BD112" i="5" s="1"/>
  <c r="AP112" i="5"/>
  <c r="AO112" i="5"/>
  <c r="BB112" i="5" s="1"/>
  <c r="AN112" i="5"/>
  <c r="AM112" i="5"/>
  <c r="AL112" i="5"/>
  <c r="AK112" i="5"/>
  <c r="AJ112" i="5"/>
  <c r="AW112" i="5" s="1"/>
  <c r="AI112" i="5"/>
  <c r="AH112" i="5"/>
  <c r="AG112" i="5"/>
  <c r="AF112" i="5"/>
  <c r="AD112" i="5"/>
  <c r="P112" i="5"/>
  <c r="BD111" i="5"/>
  <c r="AQ111" i="5"/>
  <c r="AP111" i="5"/>
  <c r="AO111" i="5"/>
  <c r="AN111" i="5"/>
  <c r="AM111" i="5"/>
  <c r="AZ111" i="5" s="1"/>
  <c r="AL111" i="5"/>
  <c r="AY111" i="5" s="1"/>
  <c r="AK111" i="5"/>
  <c r="AJ111" i="5"/>
  <c r="AW111" i="5" s="1"/>
  <c r="AI111" i="5"/>
  <c r="AH111" i="5"/>
  <c r="AV111" i="5" s="1"/>
  <c r="AG111" i="5"/>
  <c r="AF111" i="5"/>
  <c r="AD111" i="5"/>
  <c r="P111" i="5"/>
  <c r="BC110" i="5"/>
  <c r="BB110" i="5"/>
  <c r="AZ110" i="5"/>
  <c r="AY110" i="5"/>
  <c r="AX110" i="5"/>
  <c r="AW110" i="5"/>
  <c r="AQ110" i="5"/>
  <c r="BD110" i="5" s="1"/>
  <c r="AP110" i="5"/>
  <c r="AO110" i="5"/>
  <c r="AN110" i="5"/>
  <c r="AM110" i="5"/>
  <c r="BA110" i="5" s="1"/>
  <c r="AL110" i="5"/>
  <c r="AK110" i="5"/>
  <c r="AJ110" i="5"/>
  <c r="AI110" i="5"/>
  <c r="AH110" i="5"/>
  <c r="AG110" i="5"/>
  <c r="AF110" i="5"/>
  <c r="AD110" i="5"/>
  <c r="P110" i="5"/>
  <c r="AY109" i="5"/>
  <c r="AX109" i="5"/>
  <c r="AW109" i="5"/>
  <c r="AQ109" i="5"/>
  <c r="AP109" i="5"/>
  <c r="AO109" i="5"/>
  <c r="AN109" i="5"/>
  <c r="BA109" i="5" s="1"/>
  <c r="AM109" i="5"/>
  <c r="AZ109" i="5" s="1"/>
  <c r="AL109" i="5"/>
  <c r="AK109" i="5"/>
  <c r="AJ109" i="5"/>
  <c r="AI109" i="5"/>
  <c r="AH109" i="5"/>
  <c r="AV109" i="5" s="1"/>
  <c r="AG109" i="5"/>
  <c r="AF109" i="5"/>
  <c r="AD109" i="5"/>
  <c r="P109" i="5"/>
  <c r="BA108" i="5"/>
  <c r="AZ108" i="5"/>
  <c r="AY108" i="5"/>
  <c r="AQ108" i="5"/>
  <c r="BD108" i="5" s="1"/>
  <c r="AP108" i="5"/>
  <c r="AO108" i="5"/>
  <c r="BB108" i="5" s="1"/>
  <c r="AN108" i="5"/>
  <c r="AM108" i="5"/>
  <c r="AL108" i="5"/>
  <c r="AK108" i="5"/>
  <c r="AX108" i="5" s="1"/>
  <c r="AJ108" i="5"/>
  <c r="AI108" i="5"/>
  <c r="AH108" i="5"/>
  <c r="AG108" i="5"/>
  <c r="AF108" i="5"/>
  <c r="AD108" i="5"/>
  <c r="P108" i="5"/>
  <c r="BD107" i="5"/>
  <c r="AY107" i="5"/>
  <c r="AQ107" i="5"/>
  <c r="AP107" i="5"/>
  <c r="AO107" i="5"/>
  <c r="BC107" i="5" s="1"/>
  <c r="AN107" i="5"/>
  <c r="AM107" i="5"/>
  <c r="AL107" i="5"/>
  <c r="AK107" i="5"/>
  <c r="AJ107" i="5"/>
  <c r="AW107" i="5" s="1"/>
  <c r="AI107" i="5"/>
  <c r="AH107" i="5"/>
  <c r="AV107" i="5" s="1"/>
  <c r="AG107" i="5"/>
  <c r="AF107" i="5"/>
  <c r="AD107" i="5"/>
  <c r="P107" i="5"/>
  <c r="BB106" i="5"/>
  <c r="AQ106" i="5"/>
  <c r="AP106" i="5"/>
  <c r="BC106" i="5" s="1"/>
  <c r="AO106" i="5"/>
  <c r="AN106" i="5"/>
  <c r="AM106" i="5"/>
  <c r="AL106" i="5"/>
  <c r="AY106" i="5" s="1"/>
  <c r="AK106" i="5"/>
  <c r="AX106" i="5" s="1"/>
  <c r="AJ106" i="5"/>
  <c r="AW106" i="5" s="1"/>
  <c r="AI106" i="5"/>
  <c r="AH106" i="5"/>
  <c r="AG106" i="5"/>
  <c r="AF106" i="5"/>
  <c r="AD106" i="5"/>
  <c r="P106" i="5"/>
  <c r="BD105" i="5"/>
  <c r="BC105" i="5"/>
  <c r="AX105" i="5"/>
  <c r="AW105" i="5"/>
  <c r="AQ105" i="5"/>
  <c r="AP105" i="5"/>
  <c r="AO105" i="5"/>
  <c r="AN105" i="5"/>
  <c r="AM105" i="5"/>
  <c r="AZ105" i="5" s="1"/>
  <c r="AL105" i="5"/>
  <c r="AY105" i="5" s="1"/>
  <c r="AK105" i="5"/>
  <c r="AJ105" i="5"/>
  <c r="AI105" i="5"/>
  <c r="AH105" i="5"/>
  <c r="AV105" i="5" s="1"/>
  <c r="AG105" i="5"/>
  <c r="AF105" i="5"/>
  <c r="AD105" i="5"/>
  <c r="P105" i="5"/>
  <c r="AQ104" i="5"/>
  <c r="AP104" i="5"/>
  <c r="AO104" i="5"/>
  <c r="BB104" i="5" s="1"/>
  <c r="AN104" i="5"/>
  <c r="BA104" i="5" s="1"/>
  <c r="AM104" i="5"/>
  <c r="AL104" i="5"/>
  <c r="AK104" i="5"/>
  <c r="AX104" i="5" s="1"/>
  <c r="AJ104" i="5"/>
  <c r="AI104" i="5"/>
  <c r="AH104" i="5"/>
  <c r="AG104" i="5"/>
  <c r="AF104" i="5"/>
  <c r="AD104" i="5"/>
  <c r="P104" i="5"/>
  <c r="BA103" i="5"/>
  <c r="AZ103" i="5"/>
  <c r="AX103" i="5"/>
  <c r="AQ103" i="5"/>
  <c r="BD103" i="5" s="1"/>
  <c r="AP103" i="5"/>
  <c r="BC103" i="5" s="1"/>
  <c r="AO103" i="5"/>
  <c r="BB103" i="5" s="1"/>
  <c r="AN103" i="5"/>
  <c r="AM103" i="5"/>
  <c r="AL103" i="5"/>
  <c r="AY103" i="5" s="1"/>
  <c r="AK103" i="5"/>
  <c r="AJ103" i="5"/>
  <c r="AI103" i="5"/>
  <c r="AH103" i="5"/>
  <c r="AV103" i="5" s="1"/>
  <c r="AG103" i="5"/>
  <c r="AF103" i="5"/>
  <c r="AD103" i="5"/>
  <c r="P103" i="5"/>
  <c r="BC102" i="5"/>
  <c r="BB102" i="5"/>
  <c r="AW102" i="5"/>
  <c r="AQ102" i="5"/>
  <c r="BD102" i="5" s="1"/>
  <c r="AP102" i="5"/>
  <c r="AO102" i="5"/>
  <c r="AN102" i="5"/>
  <c r="AM102" i="5"/>
  <c r="AZ102" i="5" s="1"/>
  <c r="AL102" i="5"/>
  <c r="AK102" i="5"/>
  <c r="AX102" i="5" s="1"/>
  <c r="AJ102" i="5"/>
  <c r="AI102" i="5"/>
  <c r="AH102" i="5"/>
  <c r="AV102" i="5" s="1"/>
  <c r="AG102" i="5"/>
  <c r="AF102" i="5"/>
  <c r="AD102" i="5"/>
  <c r="P102" i="5"/>
  <c r="BA101" i="5"/>
  <c r="AZ101" i="5"/>
  <c r="AY101" i="5"/>
  <c r="AX101" i="5"/>
  <c r="AQ101" i="5"/>
  <c r="AP101" i="5"/>
  <c r="BC101" i="5" s="1"/>
  <c r="AO101" i="5"/>
  <c r="BB101" i="5" s="1"/>
  <c r="AN101" i="5"/>
  <c r="AM101" i="5"/>
  <c r="AL101" i="5"/>
  <c r="AK101" i="5"/>
  <c r="AJ101" i="5"/>
  <c r="AW101" i="5" s="1"/>
  <c r="AI101" i="5"/>
  <c r="AH101" i="5"/>
  <c r="AG101" i="5"/>
  <c r="AF101" i="5"/>
  <c r="AD101" i="5"/>
  <c r="P101" i="5"/>
  <c r="AQ100" i="5"/>
  <c r="AP100" i="5"/>
  <c r="BD100" i="5" s="1"/>
  <c r="AO100" i="5"/>
  <c r="AN100" i="5"/>
  <c r="AM100" i="5"/>
  <c r="AZ100" i="5" s="1"/>
  <c r="AL100" i="5"/>
  <c r="AY100" i="5" s="1"/>
  <c r="AK100" i="5"/>
  <c r="AX100" i="5" s="1"/>
  <c r="AJ100" i="5"/>
  <c r="AI100" i="5"/>
  <c r="AH100" i="5"/>
  <c r="AG100" i="5"/>
  <c r="AF100" i="5"/>
  <c r="AD100" i="5"/>
  <c r="P100" i="5"/>
  <c r="BA99" i="5"/>
  <c r="AZ99" i="5"/>
  <c r="AY99" i="5"/>
  <c r="AX99" i="5"/>
  <c r="AQ99" i="5"/>
  <c r="BD99" i="5" s="1"/>
  <c r="AP99" i="5"/>
  <c r="BC99" i="5" s="1"/>
  <c r="AO99" i="5"/>
  <c r="BB99" i="5" s="1"/>
  <c r="AN99" i="5"/>
  <c r="AM99" i="5"/>
  <c r="AL99" i="5"/>
  <c r="AK99" i="5"/>
  <c r="AJ99" i="5"/>
  <c r="AW99" i="5" s="1"/>
  <c r="AI99" i="5"/>
  <c r="AH99" i="5"/>
  <c r="AV99" i="5" s="1"/>
  <c r="AG99" i="5"/>
  <c r="AF99" i="5"/>
  <c r="AD99" i="5"/>
  <c r="P99" i="5"/>
  <c r="BD98" i="5"/>
  <c r="BC98" i="5"/>
  <c r="BB98" i="5"/>
  <c r="AW98" i="5"/>
  <c r="AQ98" i="5"/>
  <c r="AP98" i="5"/>
  <c r="AO98" i="5"/>
  <c r="AN98" i="5"/>
  <c r="AM98" i="5"/>
  <c r="AZ98" i="5" s="1"/>
  <c r="AL98" i="5"/>
  <c r="AK98" i="5"/>
  <c r="AY98" i="5" s="1"/>
  <c r="AJ98" i="5"/>
  <c r="AI98" i="5"/>
  <c r="AH98" i="5"/>
  <c r="AG98" i="5"/>
  <c r="AF98" i="5"/>
  <c r="AD98" i="5"/>
  <c r="P98" i="5"/>
  <c r="AY97" i="5"/>
  <c r="AX97" i="5"/>
  <c r="AQ97" i="5"/>
  <c r="BD97" i="5" s="1"/>
  <c r="AP97" i="5"/>
  <c r="AO97" i="5"/>
  <c r="BB97" i="5" s="1"/>
  <c r="AN97" i="5"/>
  <c r="AM97" i="5"/>
  <c r="AL97" i="5"/>
  <c r="AK97" i="5"/>
  <c r="AJ97" i="5"/>
  <c r="AI97" i="5"/>
  <c r="AH97" i="5"/>
  <c r="AG97" i="5"/>
  <c r="AF97" i="5"/>
  <c r="AD97" i="5"/>
  <c r="P97" i="5"/>
  <c r="BD96" i="5"/>
  <c r="BC96" i="5"/>
  <c r="BB96" i="5"/>
  <c r="AZ96" i="5"/>
  <c r="AW96" i="5"/>
  <c r="AQ96" i="5"/>
  <c r="AP96" i="5"/>
  <c r="AO96" i="5"/>
  <c r="AN96" i="5"/>
  <c r="BA96" i="5" s="1"/>
  <c r="AM96" i="5"/>
  <c r="AL96" i="5"/>
  <c r="AK96" i="5"/>
  <c r="AX96" i="5" s="1"/>
  <c r="AJ96" i="5"/>
  <c r="AI96" i="5"/>
  <c r="AH96" i="5"/>
  <c r="AV96" i="5" s="1"/>
  <c r="AG96" i="5"/>
  <c r="AF96" i="5"/>
  <c r="AD96" i="5"/>
  <c r="P96" i="5"/>
  <c r="BB95" i="5"/>
  <c r="BA95" i="5"/>
  <c r="AY95" i="5"/>
  <c r="AQ95" i="5"/>
  <c r="AP95" i="5"/>
  <c r="BC95" i="5" s="1"/>
  <c r="AO95" i="5"/>
  <c r="AN95" i="5"/>
  <c r="AM95" i="5"/>
  <c r="AL95" i="5"/>
  <c r="AZ95" i="5" s="1"/>
  <c r="AK95" i="5"/>
  <c r="AX95" i="5" s="1"/>
  <c r="AJ95" i="5"/>
  <c r="AW95" i="5" s="1"/>
  <c r="AI95" i="5"/>
  <c r="AH95" i="5"/>
  <c r="AV95" i="5" s="1"/>
  <c r="AG95" i="5"/>
  <c r="AF95" i="5"/>
  <c r="AD95" i="5"/>
  <c r="P95" i="5"/>
  <c r="BD94" i="5"/>
  <c r="BC94" i="5"/>
  <c r="BB94" i="5"/>
  <c r="AW94" i="5"/>
  <c r="AQ94" i="5"/>
  <c r="AP94" i="5"/>
  <c r="AO94" i="5"/>
  <c r="AN94" i="5"/>
  <c r="AM94" i="5"/>
  <c r="AZ94" i="5" s="1"/>
  <c r="AL94" i="5"/>
  <c r="AK94" i="5"/>
  <c r="AY94" i="5" s="1"/>
  <c r="AJ94" i="5"/>
  <c r="AI94" i="5"/>
  <c r="AH94" i="5"/>
  <c r="AV94" i="5" s="1"/>
  <c r="AG94" i="5"/>
  <c r="AF94" i="5"/>
  <c r="AD94" i="5"/>
  <c r="P94" i="5"/>
  <c r="AY93" i="5"/>
  <c r="AQ93" i="5"/>
  <c r="AP93" i="5"/>
  <c r="AO93" i="5"/>
  <c r="BB93" i="5" s="1"/>
  <c r="AN93" i="5"/>
  <c r="AM93" i="5"/>
  <c r="AL93" i="5"/>
  <c r="AK93" i="5"/>
  <c r="AJ93" i="5"/>
  <c r="AI93" i="5"/>
  <c r="AH93" i="5"/>
  <c r="AG93" i="5"/>
  <c r="AF93" i="5"/>
  <c r="AD93" i="5"/>
  <c r="P93" i="5"/>
  <c r="BD92" i="5"/>
  <c r="AZ92" i="5"/>
  <c r="AW92" i="5"/>
  <c r="AQ92" i="5"/>
  <c r="AP92" i="5"/>
  <c r="AO92" i="5"/>
  <c r="BC92" i="5" s="1"/>
  <c r="AN92" i="5"/>
  <c r="BA92" i="5" s="1"/>
  <c r="AM92" i="5"/>
  <c r="AL92" i="5"/>
  <c r="AY92" i="5" s="1"/>
  <c r="AK92" i="5"/>
  <c r="AX92" i="5" s="1"/>
  <c r="AJ92" i="5"/>
  <c r="AI92" i="5"/>
  <c r="AH92" i="5"/>
  <c r="AV92" i="5" s="1"/>
  <c r="AG92" i="5"/>
  <c r="AF92" i="5"/>
  <c r="AD92" i="5"/>
  <c r="P92" i="5"/>
  <c r="BA91" i="5"/>
  <c r="AQ91" i="5"/>
  <c r="AP91" i="5"/>
  <c r="BC91" i="5" s="1"/>
  <c r="AO91" i="5"/>
  <c r="BB91" i="5" s="1"/>
  <c r="AN91" i="5"/>
  <c r="AM91" i="5"/>
  <c r="AL91" i="5"/>
  <c r="AK91" i="5"/>
  <c r="AJ91" i="5"/>
  <c r="AW91" i="5" s="1"/>
  <c r="AI91" i="5"/>
  <c r="AH91" i="5"/>
  <c r="AV91" i="5" s="1"/>
  <c r="AG91" i="5"/>
  <c r="AF91" i="5"/>
  <c r="AD91" i="5"/>
  <c r="P91" i="5"/>
  <c r="BC90" i="5"/>
  <c r="AY90" i="5"/>
  <c r="AW90" i="5"/>
  <c r="AQ90" i="5"/>
  <c r="BD90" i="5" s="1"/>
  <c r="AP90" i="5"/>
  <c r="AO90" i="5"/>
  <c r="AN90" i="5"/>
  <c r="AM90" i="5"/>
  <c r="AZ90" i="5" s="1"/>
  <c r="AL90" i="5"/>
  <c r="AK90" i="5"/>
  <c r="AX90" i="5" s="1"/>
  <c r="AJ90" i="5"/>
  <c r="AI90" i="5"/>
  <c r="AH90" i="5"/>
  <c r="AV90" i="5" s="1"/>
  <c r="AG90" i="5"/>
  <c r="AF90" i="5"/>
  <c r="AD90" i="5"/>
  <c r="P90" i="5"/>
  <c r="BD89" i="5"/>
  <c r="AY89" i="5"/>
  <c r="AX89" i="5"/>
  <c r="AQ89" i="5"/>
  <c r="AP89" i="5"/>
  <c r="AO89" i="5"/>
  <c r="BB89" i="5" s="1"/>
  <c r="AN89" i="5"/>
  <c r="AM89" i="5"/>
  <c r="AZ89" i="5" s="1"/>
  <c r="AL89" i="5"/>
  <c r="AK89" i="5"/>
  <c r="AJ89" i="5"/>
  <c r="AW89" i="5" s="1"/>
  <c r="AI89" i="5"/>
  <c r="AH89" i="5"/>
  <c r="AG89" i="5"/>
  <c r="AF89" i="5"/>
  <c r="AD89" i="5"/>
  <c r="P89" i="5"/>
  <c r="BC88" i="5"/>
  <c r="BB88" i="5"/>
  <c r="AW88" i="5"/>
  <c r="AQ88" i="5"/>
  <c r="AP88" i="5"/>
  <c r="BD88" i="5" s="1"/>
  <c r="AO88" i="5"/>
  <c r="AN88" i="5"/>
  <c r="AM88" i="5"/>
  <c r="AZ88" i="5" s="1"/>
  <c r="AL88" i="5"/>
  <c r="AY88" i="5" s="1"/>
  <c r="AK88" i="5"/>
  <c r="AX88" i="5" s="1"/>
  <c r="AJ88" i="5"/>
  <c r="AI88" i="5"/>
  <c r="AH88" i="5"/>
  <c r="AV88" i="5" s="1"/>
  <c r="AG88" i="5"/>
  <c r="AF88" i="5"/>
  <c r="AD88" i="5"/>
  <c r="P88" i="5"/>
  <c r="BA87" i="5"/>
  <c r="AQ87" i="5"/>
  <c r="BD87" i="5" s="1"/>
  <c r="AP87" i="5"/>
  <c r="AO87" i="5"/>
  <c r="BC87" i="5" s="1"/>
  <c r="AN87" i="5"/>
  <c r="AM87" i="5"/>
  <c r="AL87" i="5"/>
  <c r="AK87" i="5"/>
  <c r="AX87" i="5" s="1"/>
  <c r="AJ87" i="5"/>
  <c r="AI87" i="5"/>
  <c r="AH87" i="5"/>
  <c r="AG87" i="5"/>
  <c r="AF87" i="5"/>
  <c r="AD87" i="5"/>
  <c r="P87" i="5"/>
  <c r="BC86" i="5"/>
  <c r="BB86" i="5"/>
  <c r="AY86" i="5"/>
  <c r="AX86" i="5"/>
  <c r="AW86" i="5"/>
  <c r="AQ86" i="5"/>
  <c r="BD86" i="5" s="1"/>
  <c r="AP86" i="5"/>
  <c r="AO86" i="5"/>
  <c r="AN86" i="5"/>
  <c r="BA86" i="5" s="1"/>
  <c r="AM86" i="5"/>
  <c r="AL86" i="5"/>
  <c r="AK86" i="5"/>
  <c r="AJ86" i="5"/>
  <c r="AI86" i="5"/>
  <c r="AH86" i="5"/>
  <c r="AV86" i="5" s="1"/>
  <c r="AG86" i="5"/>
  <c r="AF86" i="5"/>
  <c r="AD86" i="5"/>
  <c r="P86" i="5"/>
  <c r="BD85" i="5"/>
  <c r="AY85" i="5"/>
  <c r="AQ85" i="5"/>
  <c r="AP85" i="5"/>
  <c r="BC85" i="5" s="1"/>
  <c r="AO85" i="5"/>
  <c r="BB85" i="5" s="1"/>
  <c r="AN85" i="5"/>
  <c r="AM85" i="5"/>
  <c r="AZ85" i="5" s="1"/>
  <c r="AL85" i="5"/>
  <c r="AK85" i="5"/>
  <c r="AJ85" i="5"/>
  <c r="AI85" i="5"/>
  <c r="AH85" i="5"/>
  <c r="AG85" i="5"/>
  <c r="AF85" i="5"/>
  <c r="AD85" i="5"/>
  <c r="P85" i="5"/>
  <c r="AZ84" i="5"/>
  <c r="AW84" i="5"/>
  <c r="AQ84" i="5"/>
  <c r="AP84" i="5"/>
  <c r="BD84" i="5" s="1"/>
  <c r="AO84" i="5"/>
  <c r="AN84" i="5"/>
  <c r="BA84" i="5" s="1"/>
  <c r="AM84" i="5"/>
  <c r="AL84" i="5"/>
  <c r="AK84" i="5"/>
  <c r="AX84" i="5" s="1"/>
  <c r="AJ84" i="5"/>
  <c r="AI84" i="5"/>
  <c r="AH84" i="5"/>
  <c r="AV84" i="5" s="1"/>
  <c r="AG84" i="5"/>
  <c r="AF84" i="5"/>
  <c r="AD84" i="5"/>
  <c r="P84" i="5"/>
  <c r="BC83" i="5"/>
  <c r="BB83" i="5"/>
  <c r="BA83" i="5"/>
  <c r="AZ83" i="5"/>
  <c r="AY83" i="5"/>
  <c r="AQ83" i="5"/>
  <c r="BD83" i="5" s="1"/>
  <c r="AP83" i="5"/>
  <c r="AO83" i="5"/>
  <c r="AN83" i="5"/>
  <c r="AM83" i="5"/>
  <c r="AL83" i="5"/>
  <c r="AK83" i="5"/>
  <c r="AJ83" i="5"/>
  <c r="AW83" i="5" s="1"/>
  <c r="AI83" i="5"/>
  <c r="AH83" i="5"/>
  <c r="AG83" i="5"/>
  <c r="AF83" i="5"/>
  <c r="AD83" i="5"/>
  <c r="P83" i="5"/>
  <c r="BD82" i="5"/>
  <c r="BC82" i="5"/>
  <c r="AY82" i="5"/>
  <c r="AX82" i="5"/>
  <c r="AW82" i="5"/>
  <c r="AQ82" i="5"/>
  <c r="AP82" i="5"/>
  <c r="AO82" i="5"/>
  <c r="AN82" i="5"/>
  <c r="AM82" i="5"/>
  <c r="AZ82" i="5" s="1"/>
  <c r="AL82" i="5"/>
  <c r="AK82" i="5"/>
  <c r="AJ82" i="5"/>
  <c r="AI82" i="5"/>
  <c r="AH82" i="5"/>
  <c r="AV82" i="5" s="1"/>
  <c r="AG82" i="5"/>
  <c r="AF82" i="5"/>
  <c r="AD82" i="5"/>
  <c r="P82" i="5"/>
  <c r="BA81" i="5"/>
  <c r="AZ81" i="5"/>
  <c r="AY81" i="5"/>
  <c r="AX81" i="5"/>
  <c r="AQ81" i="5"/>
  <c r="BD81" i="5" s="1"/>
  <c r="AP81" i="5"/>
  <c r="BC81" i="5" s="1"/>
  <c r="AO81" i="5"/>
  <c r="BB81" i="5" s="1"/>
  <c r="AN81" i="5"/>
  <c r="AM81" i="5"/>
  <c r="AL81" i="5"/>
  <c r="AK81" i="5"/>
  <c r="AJ81" i="5"/>
  <c r="AI81" i="5"/>
  <c r="AH81" i="5"/>
  <c r="AG81" i="5"/>
  <c r="AF81" i="5"/>
  <c r="AD81" i="5"/>
  <c r="P81" i="5"/>
  <c r="AZ80" i="5"/>
  <c r="AQ80" i="5"/>
  <c r="AP80" i="5"/>
  <c r="AO80" i="5"/>
  <c r="AN80" i="5"/>
  <c r="BA80" i="5" s="1"/>
  <c r="AM80" i="5"/>
  <c r="AL80" i="5"/>
  <c r="AY80" i="5" s="1"/>
  <c r="AK80" i="5"/>
  <c r="AX80" i="5" s="1"/>
  <c r="AJ80" i="5"/>
  <c r="AI80" i="5"/>
  <c r="AW80" i="5" s="1"/>
  <c r="AH80" i="5"/>
  <c r="AV80" i="5" s="1"/>
  <c r="AG80" i="5"/>
  <c r="AF80" i="5"/>
  <c r="AD80" i="5"/>
  <c r="P80" i="5"/>
  <c r="BB79" i="5"/>
  <c r="BA79" i="5"/>
  <c r="AZ79" i="5"/>
  <c r="AY79" i="5"/>
  <c r="AQ79" i="5"/>
  <c r="AP79" i="5"/>
  <c r="BC79" i="5" s="1"/>
  <c r="AO79" i="5"/>
  <c r="AN79" i="5"/>
  <c r="AM79" i="5"/>
  <c r="AL79" i="5"/>
  <c r="AK79" i="5"/>
  <c r="AX79" i="5" s="1"/>
  <c r="AJ79" i="5"/>
  <c r="AI79" i="5"/>
  <c r="AH79" i="5"/>
  <c r="AG79" i="5"/>
  <c r="AF79" i="5"/>
  <c r="AD79" i="5"/>
  <c r="P79" i="5"/>
  <c r="BC78" i="5"/>
  <c r="AX78" i="5"/>
  <c r="AQ78" i="5"/>
  <c r="BD78" i="5" s="1"/>
  <c r="AP78" i="5"/>
  <c r="AO78" i="5"/>
  <c r="AN78" i="5"/>
  <c r="AM78" i="5"/>
  <c r="AZ78" i="5" s="1"/>
  <c r="AL78" i="5"/>
  <c r="AY78" i="5" s="1"/>
  <c r="AK78" i="5"/>
  <c r="AJ78" i="5"/>
  <c r="AW78" i="5" s="1"/>
  <c r="AI78" i="5"/>
  <c r="AH78" i="5"/>
  <c r="AV78" i="5" s="1"/>
  <c r="AG78" i="5"/>
  <c r="AF78" i="5"/>
  <c r="AD78" i="5"/>
  <c r="P78" i="5"/>
  <c r="BD77" i="5"/>
  <c r="BA77" i="5"/>
  <c r="AY77" i="5"/>
  <c r="AX77" i="5"/>
  <c r="AQ77" i="5"/>
  <c r="AP77" i="5"/>
  <c r="BC77" i="5" s="1"/>
  <c r="AO77" i="5"/>
  <c r="AN77" i="5"/>
  <c r="AM77" i="5"/>
  <c r="AZ77" i="5" s="1"/>
  <c r="AL77" i="5"/>
  <c r="AK77" i="5"/>
  <c r="AJ77" i="5"/>
  <c r="AW77" i="5" s="1"/>
  <c r="AI77" i="5"/>
  <c r="AH77" i="5"/>
  <c r="AG77" i="5"/>
  <c r="AF77" i="5"/>
  <c r="AD77" i="5"/>
  <c r="P77" i="5"/>
  <c r="BB76" i="5"/>
  <c r="AQ76" i="5"/>
  <c r="AP76" i="5"/>
  <c r="BD76" i="5" s="1"/>
  <c r="AO76" i="5"/>
  <c r="AN76" i="5"/>
  <c r="AM76" i="5"/>
  <c r="AL76" i="5"/>
  <c r="AY76" i="5" s="1"/>
  <c r="AK76" i="5"/>
  <c r="AJ76" i="5"/>
  <c r="AW76" i="5" s="1"/>
  <c r="AI76" i="5"/>
  <c r="AH76" i="5"/>
  <c r="AV76" i="5" s="1"/>
  <c r="AG76" i="5"/>
  <c r="AF76" i="5"/>
  <c r="AD76" i="5"/>
  <c r="P76" i="5"/>
  <c r="AY75" i="5"/>
  <c r="AQ75" i="5"/>
  <c r="AP75" i="5"/>
  <c r="AO75" i="5"/>
  <c r="BB75" i="5" s="1"/>
  <c r="AN75" i="5"/>
  <c r="BA75" i="5" s="1"/>
  <c r="AM75" i="5"/>
  <c r="AL75" i="5"/>
  <c r="AZ75" i="5" s="1"/>
  <c r="AK75" i="5"/>
  <c r="AX75" i="5" s="1"/>
  <c r="AJ75" i="5"/>
  <c r="AI75" i="5"/>
  <c r="AH75" i="5"/>
  <c r="AV75" i="5" s="1"/>
  <c r="AG75" i="5"/>
  <c r="AF75" i="5"/>
  <c r="AD75" i="5"/>
  <c r="P75" i="5"/>
  <c r="BD74" i="5"/>
  <c r="BC74" i="5"/>
  <c r="BB74" i="5"/>
  <c r="BA74" i="5"/>
  <c r="AY74" i="5"/>
  <c r="AX74" i="5"/>
  <c r="AQ74" i="5"/>
  <c r="AP74" i="5"/>
  <c r="AO74" i="5"/>
  <c r="AN74" i="5"/>
  <c r="AM74" i="5"/>
  <c r="AZ74" i="5" s="1"/>
  <c r="AL74" i="5"/>
  <c r="AK74" i="5"/>
  <c r="AJ74" i="5"/>
  <c r="AW74" i="5" s="1"/>
  <c r="AI74" i="5"/>
  <c r="AH74" i="5"/>
  <c r="AG74" i="5"/>
  <c r="AF74" i="5"/>
  <c r="AD74" i="5"/>
  <c r="P74" i="5"/>
  <c r="BA73" i="5"/>
  <c r="AY73" i="5"/>
  <c r="AX73" i="5"/>
  <c r="AQ73" i="5"/>
  <c r="AP73" i="5"/>
  <c r="BC73" i="5" s="1"/>
  <c r="AO73" i="5"/>
  <c r="AN73" i="5"/>
  <c r="AM73" i="5"/>
  <c r="AZ73" i="5" s="1"/>
  <c r="AL73" i="5"/>
  <c r="AK73" i="5"/>
  <c r="AJ73" i="5"/>
  <c r="AI73" i="5"/>
  <c r="AH73" i="5"/>
  <c r="AG73" i="5"/>
  <c r="AF73" i="5"/>
  <c r="AD73" i="5"/>
  <c r="P73" i="5"/>
  <c r="AZ72" i="5"/>
  <c r="AW72" i="5"/>
  <c r="AQ72" i="5"/>
  <c r="AP72" i="5"/>
  <c r="BD72" i="5" s="1"/>
  <c r="AO72" i="5"/>
  <c r="AN72" i="5"/>
  <c r="BB72" i="5" s="1"/>
  <c r="AM72" i="5"/>
  <c r="AL72" i="5"/>
  <c r="AK72" i="5"/>
  <c r="AJ72" i="5"/>
  <c r="AI72" i="5"/>
  <c r="AH72" i="5"/>
  <c r="AG72" i="5"/>
  <c r="AF72" i="5"/>
  <c r="AD72" i="5"/>
  <c r="P72" i="5"/>
  <c r="BA71" i="5"/>
  <c r="AZ71" i="5"/>
  <c r="AX71" i="5"/>
  <c r="AQ71" i="5"/>
  <c r="AP71" i="5"/>
  <c r="AO71" i="5"/>
  <c r="BB71" i="5" s="1"/>
  <c r="AN71" i="5"/>
  <c r="AM71" i="5"/>
  <c r="AL71" i="5"/>
  <c r="AY71" i="5" s="1"/>
  <c r="AK71" i="5"/>
  <c r="AJ71" i="5"/>
  <c r="AI71" i="5"/>
  <c r="AW71" i="5" s="1"/>
  <c r="AH71" i="5"/>
  <c r="AG71" i="5"/>
  <c r="AF71" i="5"/>
  <c r="AD71" i="5"/>
  <c r="P71" i="5"/>
  <c r="BD70" i="5"/>
  <c r="BC70" i="5"/>
  <c r="BB70" i="5"/>
  <c r="BA70" i="5"/>
  <c r="AW70" i="5"/>
  <c r="AQ70" i="5"/>
  <c r="AP70" i="5"/>
  <c r="AO70" i="5"/>
  <c r="AN70" i="5"/>
  <c r="AM70" i="5"/>
  <c r="AZ70" i="5" s="1"/>
  <c r="AL70" i="5"/>
  <c r="AK70" i="5"/>
  <c r="AX70" i="5" s="1"/>
  <c r="AJ70" i="5"/>
  <c r="AI70" i="5"/>
  <c r="AH70" i="5"/>
  <c r="AV70" i="5" s="1"/>
  <c r="AG70" i="5"/>
  <c r="AF70" i="5"/>
  <c r="AD70" i="5"/>
  <c r="P70" i="5"/>
  <c r="BB69" i="5"/>
  <c r="AQ69" i="5"/>
  <c r="AP69" i="5"/>
  <c r="BC69" i="5" s="1"/>
  <c r="AO69" i="5"/>
  <c r="AN69" i="5"/>
  <c r="AM69" i="5"/>
  <c r="AL69" i="5"/>
  <c r="AK69" i="5"/>
  <c r="AY69" i="5" s="1"/>
  <c r="AJ69" i="5"/>
  <c r="AI69" i="5"/>
  <c r="AH69" i="5"/>
  <c r="AG69" i="5"/>
  <c r="AF69" i="5"/>
  <c r="AD69" i="5"/>
  <c r="P69" i="5"/>
  <c r="AZ68" i="5"/>
  <c r="AW68" i="5"/>
  <c r="AQ68" i="5"/>
  <c r="AP68" i="5"/>
  <c r="AO68" i="5"/>
  <c r="BB68" i="5" s="1"/>
  <c r="AN68" i="5"/>
  <c r="BA68" i="5" s="1"/>
  <c r="AM68" i="5"/>
  <c r="AL68" i="5"/>
  <c r="AK68" i="5"/>
  <c r="AX68" i="5" s="1"/>
  <c r="AJ68" i="5"/>
  <c r="AI68" i="5"/>
  <c r="AH68" i="5"/>
  <c r="AV68" i="5" s="1"/>
  <c r="AG68" i="5"/>
  <c r="AU68" i="5" s="1"/>
  <c r="AF68" i="5"/>
  <c r="AD68" i="5"/>
  <c r="P68" i="5"/>
  <c r="BA67" i="5"/>
  <c r="AQ67" i="5"/>
  <c r="BD67" i="5" s="1"/>
  <c r="AP67" i="5"/>
  <c r="AO67" i="5"/>
  <c r="BC67" i="5" s="1"/>
  <c r="AN67" i="5"/>
  <c r="AM67" i="5"/>
  <c r="AL67" i="5"/>
  <c r="AY67" i="5" s="1"/>
  <c r="AK67" i="5"/>
  <c r="AX67" i="5" s="1"/>
  <c r="AJ67" i="5"/>
  <c r="AI67" i="5"/>
  <c r="AH67" i="5"/>
  <c r="AG67" i="5"/>
  <c r="AF67" i="5"/>
  <c r="AD67" i="5"/>
  <c r="P67" i="5"/>
  <c r="BD66" i="5"/>
  <c r="BC66" i="5"/>
  <c r="BA66" i="5"/>
  <c r="AX66" i="5"/>
  <c r="AW66" i="5"/>
  <c r="AQ66" i="5"/>
  <c r="AP66" i="5"/>
  <c r="AO66" i="5"/>
  <c r="BB66" i="5" s="1"/>
  <c r="AN66" i="5"/>
  <c r="AM66" i="5"/>
  <c r="AL66" i="5"/>
  <c r="AZ66" i="5" s="1"/>
  <c r="AK66" i="5"/>
  <c r="AJ66" i="5"/>
  <c r="AI66" i="5"/>
  <c r="AH66" i="5"/>
  <c r="AG66" i="5"/>
  <c r="AF66" i="5"/>
  <c r="AD66" i="5"/>
  <c r="P66" i="5"/>
  <c r="BB65" i="5"/>
  <c r="AZ65" i="5"/>
  <c r="AQ65" i="5"/>
  <c r="BD65" i="5" s="1"/>
  <c r="AP65" i="5"/>
  <c r="BC65" i="5" s="1"/>
  <c r="AO65" i="5"/>
  <c r="AN65" i="5"/>
  <c r="BA65" i="5" s="1"/>
  <c r="AM65" i="5"/>
  <c r="AL65" i="5"/>
  <c r="AK65" i="5"/>
  <c r="AY65" i="5" s="1"/>
  <c r="AJ65" i="5"/>
  <c r="AI65" i="5"/>
  <c r="AH65" i="5"/>
  <c r="AG65" i="5"/>
  <c r="AF65" i="5"/>
  <c r="AD65" i="5"/>
  <c r="P65" i="5"/>
  <c r="AX64" i="5"/>
  <c r="AQ64" i="5"/>
  <c r="AP64" i="5"/>
  <c r="AO64" i="5"/>
  <c r="AN64" i="5"/>
  <c r="BA64" i="5" s="1"/>
  <c r="AM64" i="5"/>
  <c r="AZ64" i="5" s="1"/>
  <c r="AL64" i="5"/>
  <c r="AY64" i="5" s="1"/>
  <c r="AK64" i="5"/>
  <c r="AJ64" i="5"/>
  <c r="AW64" i="5" s="1"/>
  <c r="AI64" i="5"/>
  <c r="AH64" i="5"/>
  <c r="AV64" i="5" s="1"/>
  <c r="AG64" i="5"/>
  <c r="AU64" i="5" s="1"/>
  <c r="AF64" i="5"/>
  <c r="AD64" i="5"/>
  <c r="P64" i="5"/>
  <c r="BD63" i="5"/>
  <c r="BC63" i="5"/>
  <c r="BB63" i="5"/>
  <c r="BA63" i="5"/>
  <c r="AZ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D63" i="5"/>
  <c r="P63" i="5"/>
  <c r="BD62" i="5"/>
  <c r="BB62" i="5"/>
  <c r="AQ62" i="5"/>
  <c r="AP62" i="5"/>
  <c r="AO62" i="5"/>
  <c r="BC62" i="5" s="1"/>
  <c r="AN62" i="5"/>
  <c r="AM62" i="5"/>
  <c r="BA62" i="5" s="1"/>
  <c r="AL62" i="5"/>
  <c r="AK62" i="5"/>
  <c r="AY62" i="5" s="1"/>
  <c r="AJ62" i="5"/>
  <c r="AI62" i="5"/>
  <c r="AW62" i="5" s="1"/>
  <c r="AH62" i="5"/>
  <c r="AG62" i="5"/>
  <c r="AF62" i="5"/>
  <c r="AD62" i="5"/>
  <c r="P62" i="5"/>
  <c r="BB61" i="5"/>
  <c r="AZ61" i="5"/>
  <c r="AW61" i="5"/>
  <c r="AQ61" i="5"/>
  <c r="BD61" i="5" s="1"/>
  <c r="AP61" i="5"/>
  <c r="BC61" i="5" s="1"/>
  <c r="AO61" i="5"/>
  <c r="AN61" i="5"/>
  <c r="BA61" i="5" s="1"/>
  <c r="AM61" i="5"/>
  <c r="AL61" i="5"/>
  <c r="AK61" i="5"/>
  <c r="AY61" i="5" s="1"/>
  <c r="AJ61" i="5"/>
  <c r="AI61" i="5"/>
  <c r="AH61" i="5"/>
  <c r="AV61" i="5" s="1"/>
  <c r="AG61" i="5"/>
  <c r="AF61" i="5"/>
  <c r="AD61" i="5"/>
  <c r="P61" i="5"/>
  <c r="AX60" i="5"/>
  <c r="AQ60" i="5"/>
  <c r="BD60" i="5" s="1"/>
  <c r="AP60" i="5"/>
  <c r="AO60" i="5"/>
  <c r="BB60" i="5" s="1"/>
  <c r="AN60" i="5"/>
  <c r="BA60" i="5" s="1"/>
  <c r="AM60" i="5"/>
  <c r="AZ60" i="5" s="1"/>
  <c r="AL60" i="5"/>
  <c r="AY60" i="5" s="1"/>
  <c r="AK60" i="5"/>
  <c r="AJ60" i="5"/>
  <c r="AW60" i="5" s="1"/>
  <c r="AI60" i="5"/>
  <c r="AH60" i="5"/>
  <c r="AV60" i="5" s="1"/>
  <c r="AG60" i="5"/>
  <c r="AF60" i="5"/>
  <c r="AD60" i="5"/>
  <c r="P60" i="5"/>
  <c r="BD59" i="5"/>
  <c r="BC59" i="5"/>
  <c r="BB59" i="5"/>
  <c r="BA59" i="5"/>
  <c r="AZ59" i="5"/>
  <c r="AQ59" i="5"/>
  <c r="AP59" i="5"/>
  <c r="AO59" i="5"/>
  <c r="AN59" i="5"/>
  <c r="AM59" i="5"/>
  <c r="AL59" i="5"/>
  <c r="AK59" i="5"/>
  <c r="AJ59" i="5"/>
  <c r="AW59" i="5" s="1"/>
  <c r="AI59" i="5"/>
  <c r="AH59" i="5"/>
  <c r="AG59" i="5"/>
  <c r="AF59" i="5"/>
  <c r="AD59" i="5"/>
  <c r="P59" i="5"/>
  <c r="AQ58" i="5"/>
  <c r="BD58" i="5" s="1"/>
  <c r="AP58" i="5"/>
  <c r="AO58" i="5"/>
  <c r="BC58" i="5" s="1"/>
  <c r="AN58" i="5"/>
  <c r="AM58" i="5"/>
  <c r="BA58" i="5" s="1"/>
  <c r="AL58" i="5"/>
  <c r="AK58" i="5"/>
  <c r="AY58" i="5" s="1"/>
  <c r="AJ58" i="5"/>
  <c r="AI58" i="5"/>
  <c r="AW58" i="5" s="1"/>
  <c r="AH58" i="5"/>
  <c r="AG58" i="5"/>
  <c r="AF58" i="5"/>
  <c r="AD58" i="5"/>
  <c r="P58" i="5"/>
  <c r="BD57" i="5"/>
  <c r="BB57" i="5"/>
  <c r="AY57" i="5"/>
  <c r="AX57" i="5"/>
  <c r="AW57" i="5"/>
  <c r="AQ57" i="5"/>
  <c r="AP57" i="5"/>
  <c r="BC57" i="5" s="1"/>
  <c r="AO57" i="5"/>
  <c r="AN57" i="5"/>
  <c r="AM57" i="5"/>
  <c r="AZ57" i="5" s="1"/>
  <c r="AL57" i="5"/>
  <c r="AK57" i="5"/>
  <c r="AJ57" i="5"/>
  <c r="AI57" i="5"/>
  <c r="AH57" i="5"/>
  <c r="AG57" i="5"/>
  <c r="AF57" i="5"/>
  <c r="AD57" i="5"/>
  <c r="P57" i="5"/>
  <c r="BA56" i="5"/>
  <c r="AZ56" i="5"/>
  <c r="AQ56" i="5"/>
  <c r="AP56" i="5"/>
  <c r="BC56" i="5" s="1"/>
  <c r="AO56" i="5"/>
  <c r="BB56" i="5" s="1"/>
  <c r="AN56" i="5"/>
  <c r="AM56" i="5"/>
  <c r="AL56" i="5"/>
  <c r="AY56" i="5" s="1"/>
  <c r="AK56" i="5"/>
  <c r="AJ56" i="5"/>
  <c r="AI56" i="5"/>
  <c r="AH56" i="5"/>
  <c r="AV56" i="5" s="1"/>
  <c r="AG56" i="5"/>
  <c r="AF56" i="5"/>
  <c r="AD56" i="5"/>
  <c r="P56" i="5"/>
  <c r="BB55" i="5"/>
  <c r="AQ55" i="5"/>
  <c r="AP55" i="5"/>
  <c r="BD55" i="5" s="1"/>
  <c r="AO55" i="5"/>
  <c r="AN55" i="5"/>
  <c r="AM55" i="5"/>
  <c r="AL55" i="5"/>
  <c r="AK55" i="5"/>
  <c r="AJ55" i="5"/>
  <c r="AI55" i="5"/>
  <c r="AH55" i="5"/>
  <c r="AG55" i="5"/>
  <c r="AF55" i="5"/>
  <c r="AD55" i="5"/>
  <c r="P55" i="5"/>
  <c r="AY54" i="5"/>
  <c r="AX54" i="5"/>
  <c r="AW54" i="5"/>
  <c r="AQ54" i="5"/>
  <c r="BD54" i="5" s="1"/>
  <c r="AP54" i="5"/>
  <c r="AO54" i="5"/>
  <c r="BC54" i="5" s="1"/>
  <c r="AN54" i="5"/>
  <c r="AM54" i="5"/>
  <c r="BA54" i="5" s="1"/>
  <c r="AL54" i="5"/>
  <c r="AK54" i="5"/>
  <c r="AJ54" i="5"/>
  <c r="AI54" i="5"/>
  <c r="AH54" i="5"/>
  <c r="AV54" i="5" s="1"/>
  <c r="AG54" i="5"/>
  <c r="AF54" i="5"/>
  <c r="AD54" i="5"/>
  <c r="P54" i="5"/>
  <c r="BD53" i="5"/>
  <c r="BB53" i="5"/>
  <c r="AZ53" i="5"/>
  <c r="AY53" i="5"/>
  <c r="AQ53" i="5"/>
  <c r="AP53" i="5"/>
  <c r="BC53" i="5" s="1"/>
  <c r="AO53" i="5"/>
  <c r="AN53" i="5"/>
  <c r="BA53" i="5" s="1"/>
  <c r="AM53" i="5"/>
  <c r="AL53" i="5"/>
  <c r="AK53" i="5"/>
  <c r="AX53" i="5" s="1"/>
  <c r="AJ53" i="5"/>
  <c r="AI53" i="5"/>
  <c r="AH53" i="5"/>
  <c r="AG53" i="5"/>
  <c r="AF53" i="5"/>
  <c r="AD53" i="5"/>
  <c r="P53" i="5"/>
  <c r="AZ52" i="5"/>
  <c r="AQ52" i="5"/>
  <c r="BD52" i="5" s="1"/>
  <c r="AP52" i="5"/>
  <c r="BC52" i="5" s="1"/>
  <c r="AO52" i="5"/>
  <c r="AN52" i="5"/>
  <c r="BA52" i="5" s="1"/>
  <c r="AM52" i="5"/>
  <c r="AL52" i="5"/>
  <c r="AY52" i="5" s="1"/>
  <c r="AK52" i="5"/>
  <c r="AJ52" i="5"/>
  <c r="AW52" i="5" s="1"/>
  <c r="AI52" i="5"/>
  <c r="AH52" i="5"/>
  <c r="AV52" i="5" s="1"/>
  <c r="AG52" i="5"/>
  <c r="AF52" i="5"/>
  <c r="AD52" i="5"/>
  <c r="P52" i="5"/>
  <c r="BD51" i="5"/>
  <c r="AQ51" i="5"/>
  <c r="AP51" i="5"/>
  <c r="AO51" i="5"/>
  <c r="BC51" i="5" s="1"/>
  <c r="AN51" i="5"/>
  <c r="AM51" i="5"/>
  <c r="AL51" i="5"/>
  <c r="AK51" i="5"/>
  <c r="AX51" i="5" s="1"/>
  <c r="AJ51" i="5"/>
  <c r="AW51" i="5" s="1"/>
  <c r="AI51" i="5"/>
  <c r="AH51" i="5"/>
  <c r="AG51" i="5"/>
  <c r="AF51" i="5"/>
  <c r="AT51" i="5" s="1"/>
  <c r="AD51" i="5"/>
  <c r="P51" i="5"/>
  <c r="BC50" i="5"/>
  <c r="BA50" i="5"/>
  <c r="AZ50" i="5"/>
  <c r="AY50" i="5"/>
  <c r="AX50" i="5"/>
  <c r="AW50" i="5"/>
  <c r="AQ50" i="5"/>
  <c r="BD50" i="5" s="1"/>
  <c r="AP50" i="5"/>
  <c r="AO50" i="5"/>
  <c r="BB50" i="5" s="1"/>
  <c r="AN50" i="5"/>
  <c r="AM50" i="5"/>
  <c r="AL50" i="5"/>
  <c r="AK50" i="5"/>
  <c r="AJ50" i="5"/>
  <c r="AI50" i="5"/>
  <c r="AH50" i="5"/>
  <c r="AV50" i="5" s="1"/>
  <c r="AG50" i="5"/>
  <c r="AF50" i="5"/>
  <c r="AD50" i="5"/>
  <c r="P50" i="5"/>
  <c r="BD49" i="5"/>
  <c r="BB49" i="5"/>
  <c r="AW49" i="5"/>
  <c r="AQ49" i="5"/>
  <c r="AP49" i="5"/>
  <c r="BC49" i="5" s="1"/>
  <c r="AO49" i="5"/>
  <c r="AN49" i="5"/>
  <c r="BA49" i="5" s="1"/>
  <c r="AM49" i="5"/>
  <c r="AZ49" i="5" s="1"/>
  <c r="AL49" i="5"/>
  <c r="AK49" i="5"/>
  <c r="AJ49" i="5"/>
  <c r="AI49" i="5"/>
  <c r="AH49" i="5"/>
  <c r="AV49" i="5" s="1"/>
  <c r="AG49" i="5"/>
  <c r="AF49" i="5"/>
  <c r="AD49" i="5"/>
  <c r="P49" i="5"/>
  <c r="BD48" i="5"/>
  <c r="AW48" i="5"/>
  <c r="AQ48" i="5"/>
  <c r="AP48" i="5"/>
  <c r="AO48" i="5"/>
  <c r="BB48" i="5" s="1"/>
  <c r="AN48" i="5"/>
  <c r="AM48" i="5"/>
  <c r="BA48" i="5" s="1"/>
  <c r="AL48" i="5"/>
  <c r="AY48" i="5" s="1"/>
  <c r="AK48" i="5"/>
  <c r="AJ48" i="5"/>
  <c r="AX48" i="5" s="1"/>
  <c r="AI48" i="5"/>
  <c r="AH48" i="5"/>
  <c r="AV48" i="5" s="1"/>
  <c r="AG48" i="5"/>
  <c r="AF48" i="5"/>
  <c r="AD48" i="5"/>
  <c r="P48" i="5"/>
  <c r="BB47" i="5"/>
  <c r="AZ47" i="5"/>
  <c r="AW47" i="5"/>
  <c r="AQ47" i="5"/>
  <c r="AP47" i="5"/>
  <c r="BC47" i="5" s="1"/>
  <c r="AO47" i="5"/>
  <c r="AN47" i="5"/>
  <c r="BA47" i="5" s="1"/>
  <c r="AM47" i="5"/>
  <c r="AL47" i="5"/>
  <c r="AY47" i="5" s="1"/>
  <c r="AK47" i="5"/>
  <c r="AJ47" i="5"/>
  <c r="AI47" i="5"/>
  <c r="AH47" i="5"/>
  <c r="AV47" i="5" s="1"/>
  <c r="AG47" i="5"/>
  <c r="AF47" i="5"/>
  <c r="AD47" i="5"/>
  <c r="P47" i="5"/>
  <c r="BD46" i="5"/>
  <c r="BC46" i="5"/>
  <c r="BB46" i="5"/>
  <c r="AQ46" i="5"/>
  <c r="AP46" i="5"/>
  <c r="AO46" i="5"/>
  <c r="AN46" i="5"/>
  <c r="AM46" i="5"/>
  <c r="BA46" i="5" s="1"/>
  <c r="AL46" i="5"/>
  <c r="AY46" i="5" s="1"/>
  <c r="AK46" i="5"/>
  <c r="AJ46" i="5"/>
  <c r="AI46" i="5"/>
  <c r="AH46" i="5"/>
  <c r="AG46" i="5"/>
  <c r="AF46" i="5"/>
  <c r="AD46" i="5"/>
  <c r="P46" i="5"/>
  <c r="BA45" i="5"/>
  <c r="AZ45" i="5"/>
  <c r="AX45" i="5"/>
  <c r="AW45" i="5"/>
  <c r="AQ45" i="5"/>
  <c r="BD45" i="5" s="1"/>
  <c r="AP45" i="5"/>
  <c r="BC45" i="5" s="1"/>
  <c r="AO45" i="5"/>
  <c r="AN45" i="5"/>
  <c r="BB45" i="5" s="1"/>
  <c r="AM45" i="5"/>
  <c r="AL45" i="5"/>
  <c r="AK45" i="5"/>
  <c r="AY45" i="5" s="1"/>
  <c r="AJ45" i="5"/>
  <c r="AI45" i="5"/>
  <c r="AH45" i="5"/>
  <c r="AV45" i="5" s="1"/>
  <c r="AG45" i="5"/>
  <c r="AF45" i="5"/>
  <c r="AD45" i="5"/>
  <c r="P45" i="5"/>
  <c r="BD44" i="5"/>
  <c r="BA44" i="5"/>
  <c r="AQ44" i="5"/>
  <c r="AP44" i="5"/>
  <c r="BC44" i="5" s="1"/>
  <c r="AO44" i="5"/>
  <c r="BB44" i="5" s="1"/>
  <c r="AN44" i="5"/>
  <c r="AM44" i="5"/>
  <c r="AZ44" i="5" s="1"/>
  <c r="AL44" i="5"/>
  <c r="AY44" i="5" s="1"/>
  <c r="AK44" i="5"/>
  <c r="AJ44" i="5"/>
  <c r="AI44" i="5"/>
  <c r="AH44" i="5"/>
  <c r="AV44" i="5" s="1"/>
  <c r="AG44" i="5"/>
  <c r="AF44" i="5"/>
  <c r="AD44" i="5"/>
  <c r="P44" i="5"/>
  <c r="BC43" i="5"/>
  <c r="AQ43" i="5"/>
  <c r="AP43" i="5"/>
  <c r="BD43" i="5" s="1"/>
  <c r="AO43" i="5"/>
  <c r="AN43" i="5"/>
  <c r="BB43" i="5" s="1"/>
  <c r="AM43" i="5"/>
  <c r="AL43" i="5"/>
  <c r="AK43" i="5"/>
  <c r="AX43" i="5" s="1"/>
  <c r="AJ43" i="5"/>
  <c r="AI43" i="5"/>
  <c r="AW43" i="5" s="1"/>
  <c r="AH43" i="5"/>
  <c r="AG43" i="5"/>
  <c r="AF43" i="5"/>
  <c r="AD43" i="5"/>
  <c r="P43" i="5"/>
  <c r="AY42" i="5"/>
  <c r="AX42" i="5"/>
  <c r="AQ42" i="5"/>
  <c r="BD42" i="5" s="1"/>
  <c r="AP42" i="5"/>
  <c r="AO42" i="5"/>
  <c r="AN42" i="5"/>
  <c r="BA42" i="5" s="1"/>
  <c r="AM42" i="5"/>
  <c r="AZ42" i="5" s="1"/>
  <c r="AL42" i="5"/>
  <c r="AK42" i="5"/>
  <c r="AJ42" i="5"/>
  <c r="AW42" i="5" s="1"/>
  <c r="AI42" i="5"/>
  <c r="AH42" i="5"/>
  <c r="AV42" i="5" s="1"/>
  <c r="AG42" i="5"/>
  <c r="AF42" i="5"/>
  <c r="AD42" i="5"/>
  <c r="P42" i="5"/>
  <c r="BD41" i="5"/>
  <c r="BB41" i="5"/>
  <c r="BA41" i="5"/>
  <c r="AZ41" i="5"/>
  <c r="AY41" i="5"/>
  <c r="AQ41" i="5"/>
  <c r="AP41" i="5"/>
  <c r="BC41" i="5" s="1"/>
  <c r="AO41" i="5"/>
  <c r="AN41" i="5"/>
  <c r="AM41" i="5"/>
  <c r="AL41" i="5"/>
  <c r="AK41" i="5"/>
  <c r="AX41" i="5" s="1"/>
  <c r="AJ41" i="5"/>
  <c r="AW41" i="5" s="1"/>
  <c r="AI41" i="5"/>
  <c r="AH41" i="5"/>
  <c r="AG41" i="5"/>
  <c r="AF41" i="5"/>
  <c r="AD41" i="5"/>
  <c r="P41" i="5"/>
  <c r="BA40" i="5"/>
  <c r="AZ40" i="5"/>
  <c r="AQ40" i="5"/>
  <c r="AP40" i="5"/>
  <c r="AO40" i="5"/>
  <c r="BB40" i="5" s="1"/>
  <c r="AN40" i="5"/>
  <c r="AM40" i="5"/>
  <c r="AL40" i="5"/>
  <c r="AY40" i="5" s="1"/>
  <c r="AK40" i="5"/>
  <c r="AJ40" i="5"/>
  <c r="AX40" i="5" s="1"/>
  <c r="AI40" i="5"/>
  <c r="AW40" i="5" s="1"/>
  <c r="AH40" i="5"/>
  <c r="AV40" i="5" s="1"/>
  <c r="AG40" i="5"/>
  <c r="AF40" i="5"/>
  <c r="AD40" i="5"/>
  <c r="P40" i="5"/>
  <c r="BD39" i="5"/>
  <c r="BC39" i="5"/>
  <c r="BB39" i="5"/>
  <c r="AX39" i="5"/>
  <c r="AQ39" i="5"/>
  <c r="AP39" i="5"/>
  <c r="AO39" i="5"/>
  <c r="AN39" i="5"/>
  <c r="BA39" i="5" s="1"/>
  <c r="AM39" i="5"/>
  <c r="AL39" i="5"/>
  <c r="AY39" i="5" s="1"/>
  <c r="AK39" i="5"/>
  <c r="AJ39" i="5"/>
  <c r="AI39" i="5"/>
  <c r="AW39" i="5" s="1"/>
  <c r="AH39" i="5"/>
  <c r="AV39" i="5" s="1"/>
  <c r="AG39" i="5"/>
  <c r="AF39" i="5"/>
  <c r="AD39" i="5"/>
  <c r="P39" i="5"/>
  <c r="BD38" i="5"/>
  <c r="AQ38" i="5"/>
  <c r="AP38" i="5"/>
  <c r="BC38" i="5" s="1"/>
  <c r="AO38" i="5"/>
  <c r="AN38" i="5"/>
  <c r="BB38" i="5" s="1"/>
  <c r="AM38" i="5"/>
  <c r="AZ38" i="5" s="1"/>
  <c r="AL38" i="5"/>
  <c r="AY38" i="5" s="1"/>
  <c r="AK38" i="5"/>
  <c r="AX38" i="5" s="1"/>
  <c r="AJ38" i="5"/>
  <c r="AW38" i="5" s="1"/>
  <c r="AI38" i="5"/>
  <c r="AH38" i="5"/>
  <c r="AG38" i="5"/>
  <c r="AF38" i="5"/>
  <c r="AD38" i="5"/>
  <c r="P38" i="5"/>
  <c r="BC37" i="5"/>
  <c r="BA37" i="5"/>
  <c r="AZ37" i="5"/>
  <c r="AY37" i="5"/>
  <c r="AX37" i="5"/>
  <c r="AW37" i="5"/>
  <c r="AQ37" i="5"/>
  <c r="BD37" i="5" s="1"/>
  <c r="AP37" i="5"/>
  <c r="AO37" i="5"/>
  <c r="BB37" i="5" s="1"/>
  <c r="AN37" i="5"/>
  <c r="AM37" i="5"/>
  <c r="AL37" i="5"/>
  <c r="AK37" i="5"/>
  <c r="AJ37" i="5"/>
  <c r="AI37" i="5"/>
  <c r="AH37" i="5"/>
  <c r="AV37" i="5" s="1"/>
  <c r="AG37" i="5"/>
  <c r="AF37" i="5"/>
  <c r="AD37" i="5"/>
  <c r="P37" i="5"/>
  <c r="AQ36" i="5"/>
  <c r="BD36" i="5" s="1"/>
  <c r="AP36" i="5"/>
  <c r="AO36" i="5"/>
  <c r="BB36" i="5" s="1"/>
  <c r="AN36" i="5"/>
  <c r="AM36" i="5"/>
  <c r="BA36" i="5" s="1"/>
  <c r="AL36" i="5"/>
  <c r="AK36" i="5"/>
  <c r="AX36" i="5" s="1"/>
  <c r="AJ36" i="5"/>
  <c r="AI36" i="5"/>
  <c r="AW36" i="5" s="1"/>
  <c r="AH36" i="5"/>
  <c r="AV36" i="5" s="1"/>
  <c r="AG36" i="5"/>
  <c r="AF36" i="5"/>
  <c r="AD36" i="5"/>
  <c r="P36" i="5"/>
  <c r="BD35" i="5"/>
  <c r="BC35" i="5"/>
  <c r="BB35" i="5"/>
  <c r="AZ35" i="5"/>
  <c r="AX35" i="5"/>
  <c r="AQ35" i="5"/>
  <c r="AP35" i="5"/>
  <c r="AO35" i="5"/>
  <c r="AN35" i="5"/>
  <c r="AM35" i="5"/>
  <c r="AL35" i="5"/>
  <c r="AY35" i="5" s="1"/>
  <c r="AK35" i="5"/>
  <c r="AJ35" i="5"/>
  <c r="AI35" i="5"/>
  <c r="AW35" i="5" s="1"/>
  <c r="AH35" i="5"/>
  <c r="AV35" i="5" s="1"/>
  <c r="AG35" i="5"/>
  <c r="AF35" i="5"/>
  <c r="AD35" i="5"/>
  <c r="P35" i="5"/>
  <c r="AQ34" i="5"/>
  <c r="BD34" i="5" s="1"/>
  <c r="AP34" i="5"/>
  <c r="BC34" i="5" s="1"/>
  <c r="AO34" i="5"/>
  <c r="AN34" i="5"/>
  <c r="BB34" i="5" s="1"/>
  <c r="AM34" i="5"/>
  <c r="AZ34" i="5" s="1"/>
  <c r="AL34" i="5"/>
  <c r="AY34" i="5" s="1"/>
  <c r="AK34" i="5"/>
  <c r="AX34" i="5" s="1"/>
  <c r="AJ34" i="5"/>
  <c r="AW34" i="5" s="1"/>
  <c r="AI34" i="5"/>
  <c r="AH34" i="5"/>
  <c r="AG34" i="5"/>
  <c r="AF34" i="5"/>
  <c r="AD34" i="5"/>
  <c r="P34" i="5"/>
  <c r="BD33" i="5"/>
  <c r="BC33" i="5"/>
  <c r="BA33" i="5"/>
  <c r="AZ33" i="5"/>
  <c r="AY33" i="5"/>
  <c r="AX33" i="5"/>
  <c r="AW33" i="5"/>
  <c r="AQ33" i="5"/>
  <c r="AP33" i="5"/>
  <c r="AO33" i="5"/>
  <c r="BB33" i="5" s="1"/>
  <c r="AN33" i="5"/>
  <c r="AM33" i="5"/>
  <c r="AL33" i="5"/>
  <c r="AK33" i="5"/>
  <c r="AJ33" i="5"/>
  <c r="AI33" i="5"/>
  <c r="AH33" i="5"/>
  <c r="AV33" i="5" s="1"/>
  <c r="AG33" i="5"/>
  <c r="AF33" i="5"/>
  <c r="AD33" i="5"/>
  <c r="P33" i="5"/>
  <c r="AW32" i="5"/>
  <c r="AQ32" i="5"/>
  <c r="BD32" i="5" s="1"/>
  <c r="AP32" i="5"/>
  <c r="AO32" i="5"/>
  <c r="BB32" i="5" s="1"/>
  <c r="AN32" i="5"/>
  <c r="AM32" i="5"/>
  <c r="BA32" i="5" s="1"/>
  <c r="AL32" i="5"/>
  <c r="AK32" i="5"/>
  <c r="AX32" i="5" s="1"/>
  <c r="AJ32" i="5"/>
  <c r="AI32" i="5"/>
  <c r="AH32" i="5"/>
  <c r="AV32" i="5" s="1"/>
  <c r="AG32" i="5"/>
  <c r="AF32" i="5"/>
  <c r="AD32" i="5"/>
  <c r="P32" i="5"/>
  <c r="BD31" i="5"/>
  <c r="BC31" i="5"/>
  <c r="BB31" i="5"/>
  <c r="AZ31" i="5"/>
  <c r="AX31" i="5"/>
  <c r="AQ31" i="5"/>
  <c r="AP31" i="5"/>
  <c r="AO31" i="5"/>
  <c r="AN31" i="5"/>
  <c r="BA31" i="5" s="1"/>
  <c r="AM31" i="5"/>
  <c r="AL31" i="5"/>
  <c r="AK31" i="5"/>
  <c r="AJ31" i="5"/>
  <c r="AI31" i="5"/>
  <c r="AW31" i="5" s="1"/>
  <c r="AH31" i="5"/>
  <c r="AV31" i="5" s="1"/>
  <c r="AG31" i="5"/>
  <c r="AF31" i="5"/>
  <c r="AD31" i="5"/>
  <c r="P31" i="5"/>
  <c r="AQ30" i="5"/>
  <c r="BD30" i="5" s="1"/>
  <c r="AP30" i="5"/>
  <c r="BC30" i="5" s="1"/>
  <c r="AO30" i="5"/>
  <c r="AN30" i="5"/>
  <c r="BB30" i="5" s="1"/>
  <c r="AM30" i="5"/>
  <c r="AZ30" i="5" s="1"/>
  <c r="AL30" i="5"/>
  <c r="AY30" i="5" s="1"/>
  <c r="AK30" i="5"/>
  <c r="AX30" i="5" s="1"/>
  <c r="AJ30" i="5"/>
  <c r="AW30" i="5" s="1"/>
  <c r="AI30" i="5"/>
  <c r="AH30" i="5"/>
  <c r="AV30" i="5" s="1"/>
  <c r="AG30" i="5"/>
  <c r="AF30" i="5"/>
  <c r="AD30" i="5"/>
  <c r="P30" i="5"/>
  <c r="BD29" i="5"/>
  <c r="BC29" i="5"/>
  <c r="BA29" i="5"/>
  <c r="AZ29" i="5"/>
  <c r="AY29" i="5"/>
  <c r="AX29" i="5"/>
  <c r="AW29" i="5"/>
  <c r="AQ29" i="5"/>
  <c r="AP29" i="5"/>
  <c r="AO29" i="5"/>
  <c r="BB29" i="5" s="1"/>
  <c r="AN29" i="5"/>
  <c r="AM29" i="5"/>
  <c r="AL29" i="5"/>
  <c r="AK29" i="5"/>
  <c r="AJ29" i="5"/>
  <c r="AI29" i="5"/>
  <c r="AH29" i="5"/>
  <c r="AG29" i="5"/>
  <c r="AF29" i="5"/>
  <c r="AD29" i="5"/>
  <c r="P29" i="5"/>
  <c r="AY28" i="5"/>
  <c r="AQ28" i="5"/>
  <c r="BD28" i="5" s="1"/>
  <c r="AP28" i="5"/>
  <c r="AO28" i="5"/>
  <c r="BB28" i="5" s="1"/>
  <c r="AN28" i="5"/>
  <c r="AM28" i="5"/>
  <c r="AZ28" i="5" s="1"/>
  <c r="AL28" i="5"/>
  <c r="AK28" i="5"/>
  <c r="AJ28" i="5"/>
  <c r="AW28" i="5" s="1"/>
  <c r="AI28" i="5"/>
  <c r="AH28" i="5"/>
  <c r="AV28" i="5" s="1"/>
  <c r="AG28" i="5"/>
  <c r="AF28" i="5"/>
  <c r="AD28" i="5"/>
  <c r="P28" i="5"/>
  <c r="BD27" i="5"/>
  <c r="BC27" i="5"/>
  <c r="BB27" i="5"/>
  <c r="AZ27" i="5"/>
  <c r="AQ27" i="5"/>
  <c r="AP27" i="5"/>
  <c r="AO27" i="5"/>
  <c r="AN27" i="5"/>
  <c r="AM27" i="5"/>
  <c r="AL27" i="5"/>
  <c r="AK27" i="5"/>
  <c r="AX27" i="5" s="1"/>
  <c r="AJ27" i="5"/>
  <c r="AI27" i="5"/>
  <c r="AW27" i="5" s="1"/>
  <c r="AH27" i="5"/>
  <c r="AG27" i="5"/>
  <c r="AF27" i="5"/>
  <c r="AD27" i="5"/>
  <c r="P27" i="5"/>
  <c r="AZ26" i="5"/>
  <c r="AY26" i="5"/>
  <c r="AX26" i="5"/>
  <c r="AQ26" i="5"/>
  <c r="BD26" i="5" s="1"/>
  <c r="AP26" i="5"/>
  <c r="BC26" i="5" s="1"/>
  <c r="AO26" i="5"/>
  <c r="AN26" i="5"/>
  <c r="BB26" i="5" s="1"/>
  <c r="AM26" i="5"/>
  <c r="AL26" i="5"/>
  <c r="AK26" i="5"/>
  <c r="AJ26" i="5"/>
  <c r="AW26" i="5" s="1"/>
  <c r="AI26" i="5"/>
  <c r="AH26" i="5"/>
  <c r="AV26" i="5" s="1"/>
  <c r="AG26" i="5"/>
  <c r="AF26" i="5"/>
  <c r="AD26" i="5"/>
  <c r="P26" i="5"/>
  <c r="BD25" i="5"/>
  <c r="BC25" i="5"/>
  <c r="AQ25" i="5"/>
  <c r="AP25" i="5"/>
  <c r="AO25" i="5"/>
  <c r="AN25" i="5"/>
  <c r="BA25" i="5" s="1"/>
  <c r="AM25" i="5"/>
  <c r="AZ25" i="5" s="1"/>
  <c r="AL25" i="5"/>
  <c r="AY25" i="5" s="1"/>
  <c r="AK25" i="5"/>
  <c r="AJ25" i="5"/>
  <c r="AX25" i="5" s="1"/>
  <c r="AI25" i="5"/>
  <c r="AH25" i="5"/>
  <c r="AG25" i="5"/>
  <c r="AF25" i="5"/>
  <c r="AD25" i="5"/>
  <c r="P25" i="5"/>
  <c r="BB24" i="5"/>
  <c r="BA24" i="5"/>
  <c r="AZ24" i="5"/>
  <c r="AY24" i="5"/>
  <c r="AW24" i="5"/>
  <c r="AQ24" i="5"/>
  <c r="BD24" i="5" s="1"/>
  <c r="AP24" i="5"/>
  <c r="AO24" i="5"/>
  <c r="AN24" i="5"/>
  <c r="AM24" i="5"/>
  <c r="AL24" i="5"/>
  <c r="AK24" i="5"/>
  <c r="AJ24" i="5"/>
  <c r="AI24" i="5"/>
  <c r="AH24" i="5"/>
  <c r="AV24" i="5" s="1"/>
  <c r="AG24" i="5"/>
  <c r="AF24" i="5"/>
  <c r="AD24" i="5"/>
  <c r="P24" i="5"/>
  <c r="AX23" i="5"/>
  <c r="AQ23" i="5"/>
  <c r="BD23" i="5" s="1"/>
  <c r="AP23" i="5"/>
  <c r="BC23" i="5" s="1"/>
  <c r="AO23" i="5"/>
  <c r="BB23" i="5" s="1"/>
  <c r="AN23" i="5"/>
  <c r="AM23" i="5"/>
  <c r="AZ23" i="5" s="1"/>
  <c r="AL23" i="5"/>
  <c r="AY23" i="5" s="1"/>
  <c r="AK23" i="5"/>
  <c r="AJ23" i="5"/>
  <c r="AI23" i="5"/>
  <c r="AW23" i="5" s="1"/>
  <c r="AH23" i="5"/>
  <c r="AG23" i="5"/>
  <c r="AU23" i="5" s="1"/>
  <c r="AF23" i="5"/>
  <c r="AD23" i="5"/>
  <c r="P23" i="5"/>
  <c r="BD22" i="5"/>
  <c r="BC22" i="5"/>
  <c r="BB22" i="5"/>
  <c r="BA22" i="5"/>
  <c r="AZ22" i="5"/>
  <c r="AQ22" i="5"/>
  <c r="AP22" i="5"/>
  <c r="AO22" i="5"/>
  <c r="AN22" i="5"/>
  <c r="AM22" i="5"/>
  <c r="AL22" i="5"/>
  <c r="AY22" i="5" s="1"/>
  <c r="AK22" i="5"/>
  <c r="AX22" i="5" s="1"/>
  <c r="AJ22" i="5"/>
  <c r="AI22" i="5"/>
  <c r="AH22" i="5"/>
  <c r="AG22" i="5"/>
  <c r="AF22" i="5"/>
  <c r="AD22" i="5"/>
  <c r="P22" i="5"/>
  <c r="BC21" i="5"/>
  <c r="BA21" i="5"/>
  <c r="AZ21" i="5"/>
  <c r="AY21" i="5"/>
  <c r="AX21" i="5"/>
  <c r="AW21" i="5"/>
  <c r="AQ21" i="5"/>
  <c r="BD21" i="5" s="1"/>
  <c r="AP21" i="5"/>
  <c r="AO21" i="5"/>
  <c r="AN21" i="5"/>
  <c r="BB21" i="5" s="1"/>
  <c r="AM21" i="5"/>
  <c r="AL21" i="5"/>
  <c r="AK21" i="5"/>
  <c r="AJ21" i="5"/>
  <c r="AI21" i="5"/>
  <c r="AH21" i="5"/>
  <c r="AV21" i="5" s="1"/>
  <c r="AG21" i="5"/>
  <c r="AF21" i="5"/>
  <c r="AD21" i="5"/>
  <c r="P21" i="5"/>
  <c r="BD20" i="5"/>
  <c r="AW20" i="5"/>
  <c r="AQ20" i="5"/>
  <c r="AP20" i="5"/>
  <c r="AO20" i="5"/>
  <c r="BB20" i="5" s="1"/>
  <c r="AN20" i="5"/>
  <c r="AM20" i="5"/>
  <c r="BA20" i="5" s="1"/>
  <c r="AL20" i="5"/>
  <c r="AK20" i="5"/>
  <c r="AY20" i="5" s="1"/>
  <c r="AJ20" i="5"/>
  <c r="AI20" i="5"/>
  <c r="AH20" i="5"/>
  <c r="AV20" i="5" s="1"/>
  <c r="AG20" i="5"/>
  <c r="AF20" i="5"/>
  <c r="AD20" i="5"/>
  <c r="P20" i="5"/>
  <c r="BD19" i="5"/>
  <c r="BC19" i="5"/>
  <c r="BB19" i="5"/>
  <c r="AZ19" i="5"/>
  <c r="AX19" i="5"/>
  <c r="AW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D19" i="5"/>
  <c r="P19" i="5"/>
  <c r="AZ18" i="5"/>
  <c r="AY18" i="5"/>
  <c r="AX18" i="5"/>
  <c r="AQ18" i="5"/>
  <c r="BD18" i="5" s="1"/>
  <c r="AP18" i="5"/>
  <c r="BC18" i="5" s="1"/>
  <c r="AO18" i="5"/>
  <c r="BB18" i="5" s="1"/>
  <c r="AN18" i="5"/>
  <c r="BA18" i="5" s="1"/>
  <c r="AM18" i="5"/>
  <c r="AL18" i="5"/>
  <c r="AK18" i="5"/>
  <c r="AJ18" i="5"/>
  <c r="AW18" i="5" s="1"/>
  <c r="AI18" i="5"/>
  <c r="AH18" i="5"/>
  <c r="AV18" i="5" s="1"/>
  <c r="AG18" i="5"/>
  <c r="AF18" i="5"/>
  <c r="AD18" i="5"/>
  <c r="P18" i="5"/>
  <c r="BD17" i="5"/>
  <c r="BC17" i="5"/>
  <c r="AQ17" i="5"/>
  <c r="AP17" i="5"/>
  <c r="AO17" i="5"/>
  <c r="BB17" i="5" s="1"/>
  <c r="AN17" i="5"/>
  <c r="BA17" i="5" s="1"/>
  <c r="AM17" i="5"/>
  <c r="AZ17" i="5" s="1"/>
  <c r="AL17" i="5"/>
  <c r="AY17" i="5" s="1"/>
  <c r="AK17" i="5"/>
  <c r="AX17" i="5" s="1"/>
  <c r="AJ17" i="5"/>
  <c r="AW17" i="5" s="1"/>
  <c r="AI17" i="5"/>
  <c r="AH17" i="5"/>
  <c r="AG17" i="5"/>
  <c r="AF17" i="5"/>
  <c r="AD17" i="5"/>
  <c r="P17" i="5"/>
  <c r="BD16" i="5"/>
  <c r="BB16" i="5"/>
  <c r="BA16" i="5"/>
  <c r="AZ16" i="5"/>
  <c r="AY16" i="5"/>
  <c r="AX16" i="5"/>
  <c r="AW16" i="5"/>
  <c r="AQ16" i="5"/>
  <c r="AP16" i="5"/>
  <c r="AO16" i="5"/>
  <c r="AN16" i="5"/>
  <c r="AM16" i="5"/>
  <c r="AL16" i="5"/>
  <c r="AK16" i="5"/>
  <c r="AJ16" i="5"/>
  <c r="AI16" i="5"/>
  <c r="AH16" i="5"/>
  <c r="AV16" i="5" s="1"/>
  <c r="AG16" i="5"/>
  <c r="AF16" i="5"/>
  <c r="AD16" i="5"/>
  <c r="P16" i="5"/>
  <c r="AW15" i="5"/>
  <c r="AQ15" i="5"/>
  <c r="BD15" i="5" s="1"/>
  <c r="AP15" i="5"/>
  <c r="BC15" i="5" s="1"/>
  <c r="AO15" i="5"/>
  <c r="BB15" i="5" s="1"/>
  <c r="AN15" i="5"/>
  <c r="BA15" i="5" s="1"/>
  <c r="AM15" i="5"/>
  <c r="AZ15" i="5" s="1"/>
  <c r="AL15" i="5"/>
  <c r="AK15" i="5"/>
  <c r="AX15" i="5" s="1"/>
  <c r="AJ15" i="5"/>
  <c r="AI15" i="5"/>
  <c r="AH15" i="5"/>
  <c r="AV15" i="5" s="1"/>
  <c r="AG15" i="5"/>
  <c r="AU15" i="5" s="1"/>
  <c r="AF15" i="5"/>
  <c r="AD15" i="5"/>
  <c r="P15" i="5"/>
  <c r="BD14" i="5"/>
  <c r="BC14" i="5"/>
  <c r="BB14" i="5"/>
  <c r="AQ14" i="5"/>
  <c r="AP14" i="5"/>
  <c r="AO14" i="5"/>
  <c r="AN14" i="5"/>
  <c r="BA14" i="5" s="1"/>
  <c r="AM14" i="5"/>
  <c r="AZ14" i="5" s="1"/>
  <c r="AL14" i="5"/>
  <c r="AY14" i="5" s="1"/>
  <c r="AK14" i="5"/>
  <c r="AX14" i="5" s="1"/>
  <c r="AJ14" i="5"/>
  <c r="AI14" i="5"/>
  <c r="AH14" i="5"/>
  <c r="AG14" i="5"/>
  <c r="AF14" i="5"/>
  <c r="AD14" i="5"/>
  <c r="P14" i="5"/>
  <c r="BD13" i="5"/>
  <c r="BC13" i="5"/>
  <c r="BB13" i="5"/>
  <c r="BA13" i="5"/>
  <c r="AZ13" i="5"/>
  <c r="AY13" i="5"/>
  <c r="AX13" i="5"/>
  <c r="AW13" i="5"/>
  <c r="AQ13" i="5"/>
  <c r="AP13" i="5"/>
  <c r="AO13" i="5"/>
  <c r="AN13" i="5"/>
  <c r="AM13" i="5"/>
  <c r="AL13" i="5"/>
  <c r="AK13" i="5"/>
  <c r="AJ13" i="5"/>
  <c r="AI13" i="5"/>
  <c r="AH13" i="5"/>
  <c r="AV13" i="5" s="1"/>
  <c r="AG13" i="5"/>
  <c r="AF13" i="5"/>
  <c r="AD13" i="5"/>
  <c r="P13" i="5"/>
  <c r="BA12" i="5"/>
  <c r="AY12" i="5"/>
  <c r="AX12" i="5"/>
  <c r="AW12" i="5"/>
  <c r="AQ12" i="5"/>
  <c r="BD12" i="5" s="1"/>
  <c r="AP12" i="5"/>
  <c r="BC12" i="5" s="1"/>
  <c r="AO12" i="5"/>
  <c r="BB12" i="5" s="1"/>
  <c r="AN12" i="5"/>
  <c r="AM12" i="5"/>
  <c r="AZ12" i="5" s="1"/>
  <c r="AL12" i="5"/>
  <c r="AK12" i="5"/>
  <c r="AJ12" i="5"/>
  <c r="AI12" i="5"/>
  <c r="AH12" i="5"/>
  <c r="AV12" i="5" s="1"/>
  <c r="AG12" i="5"/>
  <c r="AF12" i="5"/>
  <c r="AD12" i="5"/>
  <c r="P12" i="5"/>
  <c r="BD11" i="5"/>
  <c r="BC11" i="5"/>
  <c r="AW11" i="5"/>
  <c r="AQ11" i="5"/>
  <c r="AP11" i="5"/>
  <c r="AO11" i="5"/>
  <c r="BB11" i="5" s="1"/>
  <c r="AN11" i="5"/>
  <c r="BA11" i="5" s="1"/>
  <c r="AM11" i="5"/>
  <c r="AZ11" i="5" s="1"/>
  <c r="AL11" i="5"/>
  <c r="AY11" i="5" s="1"/>
  <c r="AK11" i="5"/>
  <c r="AX11" i="5" s="1"/>
  <c r="AJ11" i="5"/>
  <c r="AI11" i="5"/>
  <c r="AH11" i="5"/>
  <c r="AG11" i="5"/>
  <c r="AF11" i="5"/>
  <c r="AD11" i="5"/>
  <c r="P11" i="5"/>
  <c r="BD10" i="5"/>
  <c r="BC10" i="5"/>
  <c r="BB10" i="5"/>
  <c r="BA10" i="5"/>
  <c r="AZ10" i="5"/>
  <c r="AY10" i="5"/>
  <c r="AQ10" i="5"/>
  <c r="AP10" i="5"/>
  <c r="AO10" i="5"/>
  <c r="AN10" i="5"/>
  <c r="AM10" i="5"/>
  <c r="AL10" i="5"/>
  <c r="AK10" i="5"/>
  <c r="AX10" i="5" s="1"/>
  <c r="AJ10" i="5"/>
  <c r="AW10" i="5" s="1"/>
  <c r="AI10" i="5"/>
  <c r="AH10" i="5"/>
  <c r="AG10" i="5"/>
  <c r="AF10" i="5"/>
  <c r="AD10" i="5"/>
  <c r="P10" i="5"/>
  <c r="BC9" i="5"/>
  <c r="BB9" i="5"/>
  <c r="BA9" i="5"/>
  <c r="AZ9" i="5"/>
  <c r="AY9" i="5"/>
  <c r="AX9" i="5"/>
  <c r="AW9" i="5"/>
  <c r="AQ9" i="5"/>
  <c r="BD9" i="5" s="1"/>
  <c r="AP9" i="5"/>
  <c r="AO9" i="5"/>
  <c r="AN9" i="5"/>
  <c r="AM9" i="5"/>
  <c r="AL9" i="5"/>
  <c r="AK9" i="5"/>
  <c r="AJ9" i="5"/>
  <c r="AI9" i="5"/>
  <c r="AH9" i="5"/>
  <c r="AV9" i="5" s="1"/>
  <c r="AG9" i="5"/>
  <c r="AF9" i="5"/>
  <c r="AD9" i="5"/>
  <c r="P9" i="5"/>
  <c r="BA8" i="5"/>
  <c r="AY8" i="5"/>
  <c r="AX8" i="5"/>
  <c r="AW8" i="5"/>
  <c r="AQ8" i="5"/>
  <c r="BD8" i="5" s="1"/>
  <c r="AP8" i="5"/>
  <c r="BC8" i="5" s="1"/>
  <c r="AO8" i="5"/>
  <c r="BB8" i="5" s="1"/>
  <c r="AN8" i="5"/>
  <c r="AM8" i="5"/>
  <c r="AZ8" i="5" s="1"/>
  <c r="AL8" i="5"/>
  <c r="AK8" i="5"/>
  <c r="AJ8" i="5"/>
  <c r="AI8" i="5"/>
  <c r="AH8" i="5"/>
  <c r="AV8" i="5" s="1"/>
  <c r="AG8" i="5"/>
  <c r="AF8" i="5"/>
  <c r="AD8" i="5"/>
  <c r="P8" i="5"/>
  <c r="BD7" i="5"/>
  <c r="BC7" i="5"/>
  <c r="AW7" i="5"/>
  <c r="AQ7" i="5"/>
  <c r="AP7" i="5"/>
  <c r="AO7" i="5"/>
  <c r="BB7" i="5" s="1"/>
  <c r="AN7" i="5"/>
  <c r="BA7" i="5" s="1"/>
  <c r="AM7" i="5"/>
  <c r="AZ7" i="5" s="1"/>
  <c r="AL7" i="5"/>
  <c r="AY7" i="5" s="1"/>
  <c r="AK7" i="5"/>
  <c r="AX7" i="5" s="1"/>
  <c r="AJ7" i="5"/>
  <c r="AI7" i="5"/>
  <c r="AH7" i="5"/>
  <c r="AG7" i="5"/>
  <c r="AF7" i="5"/>
  <c r="AD7" i="5"/>
  <c r="P7" i="5"/>
  <c r="BD6" i="5"/>
  <c r="BC6" i="5"/>
  <c r="BB6" i="5"/>
  <c r="BA6" i="5"/>
  <c r="AZ6" i="5"/>
  <c r="AY6" i="5"/>
  <c r="AQ6" i="5"/>
  <c r="AP6" i="5"/>
  <c r="AO6" i="5"/>
  <c r="AN6" i="5"/>
  <c r="AM6" i="5"/>
  <c r="AL6" i="5"/>
  <c r="AK6" i="5"/>
  <c r="AX6" i="5" s="1"/>
  <c r="AJ6" i="5"/>
  <c r="AW6" i="5" s="1"/>
  <c r="AI6" i="5"/>
  <c r="AH6" i="5"/>
  <c r="AG6" i="5"/>
  <c r="AF6" i="5"/>
  <c r="AD6" i="5"/>
  <c r="P6" i="5"/>
  <c r="BC5" i="5"/>
  <c r="BB5" i="5"/>
  <c r="BA5" i="5"/>
  <c r="AZ5" i="5"/>
  <c r="AY5" i="5"/>
  <c r="AX5" i="5"/>
  <c r="AW5" i="5"/>
  <c r="AQ5" i="5"/>
  <c r="BD5" i="5" s="1"/>
  <c r="AP5" i="5"/>
  <c r="AO5" i="5"/>
  <c r="AN5" i="5"/>
  <c r="AM5" i="5"/>
  <c r="AL5" i="5"/>
  <c r="AK5" i="5"/>
  <c r="AJ5" i="5"/>
  <c r="AI5" i="5"/>
  <c r="AH5" i="5"/>
  <c r="AV5" i="5" s="1"/>
  <c r="AG5" i="5"/>
  <c r="AF5" i="5"/>
  <c r="AD5" i="5"/>
  <c r="P5" i="5"/>
  <c r="C9" i="2"/>
  <c r="B39" i="11"/>
  <c r="B40" i="11"/>
  <c r="B41" i="11"/>
  <c r="AU13" i="7" l="1"/>
  <c r="AU43" i="6"/>
  <c r="AU37" i="6"/>
  <c r="AU186" i="5"/>
  <c r="AU187" i="5"/>
  <c r="AH88" i="9"/>
  <c r="AH45" i="9"/>
  <c r="AH257" i="7"/>
  <c r="AV257" i="7" s="1"/>
  <c r="AR193" i="7"/>
  <c r="AR93" i="7"/>
  <c r="AU17" i="7"/>
  <c r="AU21" i="7"/>
  <c r="AU28" i="7"/>
  <c r="AU9" i="7"/>
  <c r="AU18" i="7"/>
  <c r="AU29" i="7"/>
  <c r="AU10" i="7"/>
  <c r="AU19" i="6"/>
  <c r="AU32" i="6"/>
  <c r="AU192" i="5"/>
  <c r="AU35" i="5"/>
  <c r="AU182" i="5"/>
  <c r="AU146" i="5"/>
  <c r="AU148" i="5"/>
  <c r="AU24" i="5"/>
  <c r="AU199" i="5"/>
  <c r="AU5" i="5"/>
  <c r="AU97" i="5"/>
  <c r="AR34" i="7"/>
  <c r="AR216" i="7"/>
  <c r="AU13" i="6"/>
  <c r="AU35" i="6"/>
  <c r="AU29" i="6"/>
  <c r="AU23" i="6"/>
  <c r="AV51" i="6"/>
  <c r="AV199" i="6"/>
  <c r="AU20" i="6"/>
  <c r="AU27" i="6"/>
  <c r="AV34" i="5"/>
  <c r="AV59" i="5"/>
  <c r="AU160" i="5"/>
  <c r="AU45" i="5"/>
  <c r="AU150" i="5"/>
  <c r="AU139" i="5"/>
  <c r="AU140" i="5"/>
  <c r="AU124" i="5"/>
  <c r="AV11" i="5"/>
  <c r="AU21" i="5"/>
  <c r="AU100" i="5"/>
  <c r="AU48" i="5"/>
  <c r="AU49" i="5"/>
  <c r="AU196" i="5"/>
  <c r="AV148" i="5"/>
  <c r="AU151" i="5"/>
  <c r="AU175" i="5"/>
  <c r="AU112" i="5"/>
  <c r="AU111" i="5"/>
  <c r="AU39" i="5"/>
  <c r="AU81" i="5"/>
  <c r="AV25" i="5"/>
  <c r="AU80" i="5"/>
  <c r="AH110" i="9"/>
  <c r="AH66" i="9"/>
  <c r="AH24" i="9"/>
  <c r="AU16" i="7"/>
  <c r="AU20" i="7"/>
  <c r="AU24" i="7"/>
  <c r="AU43" i="7"/>
  <c r="AR110" i="7"/>
  <c r="AU14" i="7"/>
  <c r="AU37" i="7"/>
  <c r="AU41" i="7"/>
  <c r="AV15" i="7"/>
  <c r="AV153" i="7"/>
  <c r="AV187" i="7"/>
  <c r="AR231" i="7"/>
  <c r="AU22" i="7"/>
  <c r="AU25" i="7"/>
  <c r="AU32" i="7"/>
  <c r="AU39" i="7"/>
  <c r="AU44" i="7"/>
  <c r="AV174" i="7"/>
  <c r="AU36" i="7"/>
  <c r="AV39" i="7"/>
  <c r="AU40" i="7"/>
  <c r="AV51" i="7"/>
  <c r="AV183" i="7"/>
  <c r="AV98" i="7"/>
  <c r="AU26" i="7"/>
  <c r="AV54" i="7"/>
  <c r="AU5" i="7"/>
  <c r="AU8" i="7"/>
  <c r="AU30" i="7"/>
  <c r="AV151" i="7"/>
  <c r="AV195" i="7"/>
  <c r="AV108" i="7"/>
  <c r="AV155" i="7"/>
  <c r="AV116" i="7"/>
  <c r="AU34" i="7"/>
  <c r="AV48" i="7"/>
  <c r="AV61" i="7"/>
  <c r="AV157" i="7"/>
  <c r="AU6" i="7"/>
  <c r="AU12" i="7"/>
  <c r="AV86" i="7"/>
  <c r="AR135" i="6"/>
  <c r="AV167" i="6"/>
  <c r="AV39" i="6"/>
  <c r="AV141" i="6"/>
  <c r="AV77" i="6"/>
  <c r="AU31" i="6"/>
  <c r="AV75" i="6"/>
  <c r="AV27" i="6"/>
  <c r="AV82" i="6"/>
  <c r="AR170" i="6"/>
  <c r="AU12" i="6"/>
  <c r="AV34" i="6"/>
  <c r="AV145" i="6"/>
  <c r="AV43" i="6"/>
  <c r="AV31" i="6"/>
  <c r="AV173" i="6"/>
  <c r="AV144" i="6"/>
  <c r="AU7" i="6"/>
  <c r="AU8" i="6"/>
  <c r="AV133" i="6"/>
  <c r="AV161" i="6"/>
  <c r="AV65" i="6"/>
  <c r="AV157" i="6"/>
  <c r="AV47" i="6"/>
  <c r="AV23" i="6"/>
  <c r="AV35" i="6"/>
  <c r="AV96" i="6"/>
  <c r="AV7" i="6"/>
  <c r="AU39" i="6"/>
  <c r="AV59" i="6"/>
  <c r="AV55" i="6"/>
  <c r="AU15" i="6"/>
  <c r="AV38" i="6"/>
  <c r="AU41" i="6"/>
  <c r="AV113" i="6"/>
  <c r="AV152" i="6"/>
  <c r="AV25" i="6"/>
  <c r="AH237" i="6"/>
  <c r="AV237" i="6" s="1"/>
  <c r="AV9" i="6"/>
  <c r="AU28" i="6"/>
  <c r="AV193" i="6"/>
  <c r="AV197" i="6"/>
  <c r="AU5" i="6"/>
  <c r="AU11" i="6"/>
  <c r="AU17" i="6"/>
  <c r="AV122" i="5"/>
  <c r="AV193" i="5"/>
  <c r="AV93" i="5"/>
  <c r="AV22" i="5"/>
  <c r="AV155" i="5"/>
  <c r="AV175" i="5"/>
  <c r="AU72" i="5"/>
  <c r="AU73" i="5"/>
  <c r="AU84" i="5"/>
  <c r="AU129" i="5"/>
  <c r="AV165" i="5"/>
  <c r="AU11" i="5"/>
  <c r="AU17" i="5"/>
  <c r="AU36" i="5"/>
  <c r="AV129" i="5"/>
  <c r="AU88" i="5"/>
  <c r="AU116" i="5"/>
  <c r="AU145" i="5"/>
  <c r="AU76" i="5"/>
  <c r="AU162" i="5"/>
  <c r="AU170" i="5"/>
  <c r="AU180" i="5"/>
  <c r="AU7" i="5"/>
  <c r="AU28" i="5"/>
  <c r="AU40" i="5"/>
  <c r="AU78" i="5"/>
  <c r="AU90" i="5"/>
  <c r="AU105" i="5"/>
  <c r="AU204" i="5"/>
  <c r="AV121" i="5"/>
  <c r="AV183" i="5"/>
  <c r="AU8" i="5"/>
  <c r="AU119" i="5"/>
  <c r="AU136" i="5"/>
  <c r="AV108" i="5"/>
  <c r="AU9" i="5"/>
  <c r="AV19" i="5"/>
  <c r="AU37" i="5"/>
  <c r="AU60" i="5"/>
  <c r="AU86" i="5"/>
  <c r="AU123" i="5"/>
  <c r="AV147" i="5"/>
  <c r="AV38" i="5"/>
  <c r="AV151" i="5"/>
  <c r="AV152" i="5"/>
  <c r="AV161" i="5"/>
  <c r="AV179" i="5"/>
  <c r="AV10" i="5"/>
  <c r="AU52" i="5"/>
  <c r="AU53" i="5"/>
  <c r="AU69" i="5"/>
  <c r="AV81" i="5"/>
  <c r="AU82" i="5"/>
  <c r="AU92" i="5"/>
  <c r="AU141" i="5"/>
  <c r="AU154" i="5"/>
  <c r="AV171" i="5"/>
  <c r="AV135" i="5"/>
  <c r="AV169" i="5"/>
  <c r="AV112" i="5"/>
  <c r="AV177" i="5"/>
  <c r="AV197" i="5"/>
  <c r="AV79" i="5"/>
  <c r="AV139" i="5"/>
  <c r="AV65" i="5"/>
  <c r="AV6" i="5"/>
  <c r="AV67" i="5"/>
  <c r="AV69" i="5"/>
  <c r="AR73" i="5"/>
  <c r="AU93" i="5"/>
  <c r="AR95" i="5"/>
  <c r="AR119" i="5"/>
  <c r="AU128" i="5"/>
  <c r="AV141" i="5"/>
  <c r="AU142" i="5"/>
  <c r="AU155" i="5"/>
  <c r="AV201" i="5"/>
  <c r="AV63" i="5"/>
  <c r="AV97" i="5"/>
  <c r="AV113" i="5"/>
  <c r="AV187" i="5"/>
  <c r="AV87" i="5"/>
  <c r="AV14" i="5"/>
  <c r="AU12" i="5"/>
  <c r="AU44" i="5"/>
  <c r="AV51" i="5"/>
  <c r="AU56" i="5"/>
  <c r="AU104" i="5"/>
  <c r="AU108" i="5"/>
  <c r="AU118" i="5"/>
  <c r="AV153" i="5"/>
  <c r="AV181" i="5"/>
  <c r="AV29" i="5"/>
  <c r="AV185" i="5"/>
  <c r="AV104" i="5"/>
  <c r="AV118" i="5"/>
  <c r="AV7" i="5"/>
  <c r="AV17" i="5"/>
  <c r="AU19" i="5"/>
  <c r="AV55" i="5"/>
  <c r="AV72" i="5"/>
  <c r="AV83" i="5"/>
  <c r="AU96" i="5"/>
  <c r="AU134" i="5"/>
  <c r="AU147" i="5"/>
  <c r="AV173" i="5"/>
  <c r="AV203" i="5"/>
  <c r="AH236" i="5"/>
  <c r="AV236" i="5" s="1"/>
  <c r="AR191" i="7"/>
  <c r="AR28" i="7"/>
  <c r="AT22" i="7"/>
  <c r="AT25" i="7"/>
  <c r="AR8" i="7"/>
  <c r="AR231" i="6"/>
  <c r="AT183" i="5"/>
  <c r="AT49" i="5"/>
  <c r="AR50" i="5"/>
  <c r="AR53" i="5"/>
  <c r="AR167" i="5"/>
  <c r="AG45" i="9"/>
  <c r="AU33" i="7"/>
  <c r="AR139" i="7"/>
  <c r="AR155" i="7"/>
  <c r="AU38" i="5"/>
  <c r="AR26" i="5"/>
  <c r="AT44" i="5"/>
  <c r="AT28" i="5"/>
  <c r="AT36" i="5"/>
  <c r="AT76" i="5"/>
  <c r="AR99" i="5"/>
  <c r="AT181" i="5"/>
  <c r="AT143" i="5"/>
  <c r="AT12" i="5"/>
  <c r="AT185" i="5"/>
  <c r="AG110" i="9"/>
  <c r="AG88" i="9"/>
  <c r="AG66" i="9"/>
  <c r="AG24" i="9"/>
  <c r="AR184" i="7"/>
  <c r="AR253" i="7"/>
  <c r="AT44" i="7"/>
  <c r="AT8" i="7"/>
  <c r="AR26" i="7"/>
  <c r="AT30" i="7"/>
  <c r="AT40" i="7"/>
  <c r="AT13" i="7"/>
  <c r="AT37" i="7"/>
  <c r="AT10" i="7"/>
  <c r="AT16" i="7"/>
  <c r="AT34" i="7"/>
  <c r="AR91" i="7"/>
  <c r="AR179" i="7"/>
  <c r="AR103" i="7"/>
  <c r="AG257" i="7"/>
  <c r="AT20" i="7"/>
  <c r="AR199" i="7"/>
  <c r="AR215" i="7"/>
  <c r="AT24" i="7"/>
  <c r="AT21" i="6"/>
  <c r="AR126" i="6"/>
  <c r="AR62" i="6"/>
  <c r="AR63" i="6"/>
  <c r="AU14" i="6"/>
  <c r="AT35" i="6"/>
  <c r="AR95" i="6"/>
  <c r="AT31" i="6"/>
  <c r="AT39" i="6"/>
  <c r="AT41" i="6"/>
  <c r="AR69" i="6"/>
  <c r="AR206" i="6"/>
  <c r="AT37" i="6"/>
  <c r="AT7" i="6"/>
  <c r="AT8" i="6"/>
  <c r="AR216" i="5"/>
  <c r="AT112" i="5"/>
  <c r="AT113" i="5"/>
  <c r="AT203" i="5"/>
  <c r="AT15" i="5"/>
  <c r="AT139" i="5"/>
  <c r="AT53" i="5"/>
  <c r="AT67" i="5"/>
  <c r="AU114" i="5"/>
  <c r="AT126" i="5"/>
  <c r="AT151" i="5"/>
  <c r="AR43" i="5"/>
  <c r="AT56" i="5"/>
  <c r="AT108" i="5"/>
  <c r="AT118" i="5"/>
  <c r="AT189" i="5"/>
  <c r="AT47" i="5"/>
  <c r="AU109" i="5"/>
  <c r="AT121" i="5"/>
  <c r="AT173" i="5"/>
  <c r="AR58" i="5"/>
  <c r="AT59" i="5"/>
  <c r="AT72" i="5"/>
  <c r="AT73" i="5"/>
  <c r="AT193" i="5"/>
  <c r="AT177" i="5"/>
  <c r="AT14" i="5"/>
  <c r="AT84" i="5"/>
  <c r="AT161" i="5"/>
  <c r="AT179" i="5"/>
  <c r="AT11" i="5"/>
  <c r="AT133" i="5"/>
  <c r="AT7" i="5"/>
  <c r="AU30" i="5"/>
  <c r="AT78" i="5"/>
  <c r="AT199" i="5"/>
  <c r="AT147" i="5"/>
  <c r="AT101" i="5"/>
  <c r="AT165" i="5"/>
  <c r="AT157" i="5"/>
  <c r="AT167" i="5"/>
  <c r="AT6" i="7"/>
  <c r="AT28" i="7"/>
  <c r="AR59" i="7"/>
  <c r="AR95" i="7"/>
  <c r="AU42" i="7"/>
  <c r="AT21" i="7"/>
  <c r="AT41" i="7"/>
  <c r="AR36" i="7"/>
  <c r="AT9" i="7"/>
  <c r="AR24" i="7"/>
  <c r="AT36" i="7"/>
  <c r="AT39" i="7"/>
  <c r="AU35" i="7"/>
  <c r="AT12" i="7"/>
  <c r="AT43" i="7"/>
  <c r="AR13" i="7"/>
  <c r="AR211" i="7"/>
  <c r="AT14" i="7"/>
  <c r="AT26" i="7"/>
  <c r="AT29" i="7"/>
  <c r="AT5" i="7"/>
  <c r="AT17" i="7"/>
  <c r="AT32" i="7"/>
  <c r="AG237" i="6"/>
  <c r="AR59" i="6"/>
  <c r="AR117" i="6"/>
  <c r="AR129" i="6"/>
  <c r="AR201" i="6"/>
  <c r="AT17" i="6"/>
  <c r="AT27" i="6"/>
  <c r="AT45" i="6"/>
  <c r="AT12" i="6"/>
  <c r="AT23" i="6"/>
  <c r="AT28" i="6"/>
  <c r="AR233" i="6"/>
  <c r="AR35" i="6"/>
  <c r="AR93" i="6"/>
  <c r="AR232" i="6"/>
  <c r="AR7" i="6"/>
  <c r="AT24" i="6"/>
  <c r="AR48" i="6"/>
  <c r="AU6" i="6"/>
  <c r="AU21" i="6"/>
  <c r="AR145" i="6"/>
  <c r="AR154" i="6"/>
  <c r="AU42" i="6"/>
  <c r="AR13" i="6"/>
  <c r="AT32" i="6"/>
  <c r="AT43" i="6"/>
  <c r="AR211" i="6"/>
  <c r="AR219" i="6"/>
  <c r="AR227" i="6"/>
  <c r="AU38" i="6"/>
  <c r="AT5" i="6"/>
  <c r="AR175" i="6"/>
  <c r="AT19" i="6"/>
  <c r="AT20" i="6"/>
  <c r="AT11" i="6"/>
  <c r="AT15" i="6"/>
  <c r="AT36" i="6"/>
  <c r="AU95" i="5"/>
  <c r="AU197" i="5"/>
  <c r="AU126" i="5"/>
  <c r="AT106" i="5"/>
  <c r="AU127" i="5"/>
  <c r="AU117" i="5"/>
  <c r="AT43" i="5"/>
  <c r="AT45" i="5"/>
  <c r="AR81" i="5"/>
  <c r="AT201" i="5"/>
  <c r="AU47" i="5"/>
  <c r="AT48" i="5"/>
  <c r="AR214" i="5"/>
  <c r="AR222" i="5"/>
  <c r="AU110" i="5"/>
  <c r="AU184" i="5"/>
  <c r="AT30" i="5"/>
  <c r="AT60" i="5"/>
  <c r="AU91" i="5"/>
  <c r="AU168" i="5"/>
  <c r="AU10" i="5"/>
  <c r="AU89" i="5"/>
  <c r="AT8" i="5"/>
  <c r="AT100" i="5"/>
  <c r="AT187" i="5"/>
  <c r="AT195" i="5"/>
  <c r="AR197" i="5"/>
  <c r="AR221" i="5"/>
  <c r="AU133" i="5"/>
  <c r="AU6" i="5"/>
  <c r="AT17" i="5"/>
  <c r="AT18" i="5"/>
  <c r="AT40" i="5"/>
  <c r="AR181" i="5"/>
  <c r="AU195" i="5"/>
  <c r="AT197" i="5"/>
  <c r="AR228" i="5"/>
  <c r="AR113" i="5"/>
  <c r="AU156" i="5"/>
  <c r="AU181" i="5"/>
  <c r="AU54" i="5"/>
  <c r="AT55" i="5"/>
  <c r="AU67" i="5"/>
  <c r="AT70" i="5"/>
  <c r="AU102" i="5"/>
  <c r="AU113" i="5"/>
  <c r="AT159" i="5"/>
  <c r="AT169" i="5"/>
  <c r="AT175" i="5"/>
  <c r="AT191" i="5"/>
  <c r="AU120" i="5"/>
  <c r="AU131" i="5"/>
  <c r="AU163" i="5"/>
  <c r="AU42" i="5"/>
  <c r="AU164" i="5"/>
  <c r="AR70" i="5"/>
  <c r="AT23" i="5"/>
  <c r="AT24" i="5"/>
  <c r="AU55" i="5"/>
  <c r="AU70" i="5"/>
  <c r="AU85" i="5"/>
  <c r="AT96" i="5"/>
  <c r="AT104" i="5"/>
  <c r="AT124" i="5"/>
  <c r="AT136" i="5"/>
  <c r="AU159" i="5"/>
  <c r="AU169" i="5"/>
  <c r="AU191" i="5"/>
  <c r="AU200" i="5"/>
  <c r="AU57" i="5"/>
  <c r="AT80" i="5"/>
  <c r="AT88" i="5"/>
  <c r="AT135" i="5"/>
  <c r="AU183" i="5"/>
  <c r="AR193" i="5"/>
  <c r="AU201" i="5"/>
  <c r="AU43" i="5"/>
  <c r="AU75" i="5"/>
  <c r="AU101" i="5"/>
  <c r="AU165" i="5"/>
  <c r="AT32" i="5"/>
  <c r="AU59" i="5"/>
  <c r="AR60" i="5"/>
  <c r="AR106" i="5"/>
  <c r="AU51" i="5"/>
  <c r="AR190" i="5"/>
  <c r="AU173" i="5"/>
  <c r="AU66" i="5"/>
  <c r="AU121" i="5"/>
  <c r="AU132" i="5"/>
  <c r="AU157" i="5"/>
  <c r="AU13" i="5"/>
  <c r="AU32" i="5"/>
  <c r="AU33" i="5"/>
  <c r="AU177" i="5"/>
  <c r="AU193" i="5"/>
  <c r="AT26" i="5"/>
  <c r="AU61" i="5"/>
  <c r="AT63" i="5"/>
  <c r="AT97" i="5"/>
  <c r="AU106" i="5"/>
  <c r="AT145" i="5"/>
  <c r="AT153" i="5"/>
  <c r="AU161" i="5"/>
  <c r="AU185" i="5"/>
  <c r="AU203" i="5"/>
  <c r="AU14" i="5"/>
  <c r="AU65" i="5"/>
  <c r="AU29" i="5"/>
  <c r="AU189" i="5"/>
  <c r="AU16" i="5"/>
  <c r="AR55" i="5"/>
  <c r="AT116" i="5"/>
  <c r="AU135" i="5"/>
  <c r="AT155" i="5"/>
  <c r="AG236" i="5"/>
  <c r="AU137" i="5"/>
  <c r="AU143" i="5"/>
  <c r="AT20" i="5"/>
  <c r="AT21" i="5"/>
  <c r="AU25" i="5"/>
  <c r="AU63" i="5"/>
  <c r="AT68" i="5"/>
  <c r="AT92" i="5"/>
  <c r="AU153" i="5"/>
  <c r="AU171" i="5"/>
  <c r="AU179" i="5"/>
  <c r="AT34" i="5"/>
  <c r="AT64" i="5"/>
  <c r="AT120" i="5"/>
  <c r="AT128" i="5"/>
  <c r="AT129" i="5"/>
  <c r="AT131" i="5"/>
  <c r="AT140" i="5"/>
  <c r="AT163" i="5"/>
  <c r="AF45" i="9"/>
  <c r="AR183" i="7"/>
  <c r="AR17" i="7"/>
  <c r="AR173" i="7"/>
  <c r="AR240" i="7"/>
  <c r="AR22" i="7"/>
  <c r="AR43" i="7"/>
  <c r="AR254" i="7"/>
  <c r="AR87" i="7"/>
  <c r="AR153" i="7"/>
  <c r="AR116" i="7"/>
  <c r="AR147" i="7"/>
  <c r="AR69" i="7"/>
  <c r="AR122" i="7"/>
  <c r="AR163" i="7"/>
  <c r="AR42" i="7"/>
  <c r="AR82" i="7"/>
  <c r="AR39" i="7"/>
  <c r="AR16" i="7"/>
  <c r="AR5" i="7"/>
  <c r="AR25" i="7"/>
  <c r="AR37" i="7"/>
  <c r="AR55" i="7"/>
  <c r="AR159" i="7"/>
  <c r="AR239" i="7"/>
  <c r="AR195" i="7"/>
  <c r="AR222" i="7"/>
  <c r="AR84" i="7"/>
  <c r="AR71" i="7"/>
  <c r="AR72" i="7"/>
  <c r="AR126" i="7"/>
  <c r="AR151" i="7"/>
  <c r="AR172" i="7"/>
  <c r="AR29" i="7"/>
  <c r="AR48" i="7"/>
  <c r="AR167" i="7"/>
  <c r="AR189" i="7"/>
  <c r="AR189" i="6"/>
  <c r="AR80" i="6"/>
  <c r="AR133" i="6"/>
  <c r="AR34" i="6"/>
  <c r="AR51" i="6"/>
  <c r="AR52" i="6"/>
  <c r="AR94" i="6"/>
  <c r="AR101" i="6"/>
  <c r="AR230" i="6"/>
  <c r="AR28" i="6"/>
  <c r="AR205" i="6"/>
  <c r="AR36" i="6"/>
  <c r="AR21" i="6"/>
  <c r="AR119" i="6"/>
  <c r="AR113" i="6"/>
  <c r="AR169" i="6"/>
  <c r="AR234" i="6"/>
  <c r="AR143" i="6"/>
  <c r="AR216" i="6"/>
  <c r="AR49" i="6"/>
  <c r="AR84" i="6"/>
  <c r="AR214" i="6"/>
  <c r="AR24" i="6"/>
  <c r="AR39" i="6"/>
  <c r="AR97" i="6"/>
  <c r="AR177" i="6"/>
  <c r="AR5" i="6"/>
  <c r="AR128" i="5"/>
  <c r="AR230" i="5"/>
  <c r="AR36" i="5"/>
  <c r="AR94" i="5"/>
  <c r="AR213" i="5"/>
  <c r="AR77" i="5"/>
  <c r="AR212" i="5"/>
  <c r="AR71" i="5"/>
  <c r="AR143" i="5"/>
  <c r="AR20" i="5"/>
  <c r="AR41" i="5"/>
  <c r="AR145" i="5"/>
  <c r="AR195" i="5"/>
  <c r="AR28" i="5"/>
  <c r="AR42" i="5"/>
  <c r="AR151" i="5"/>
  <c r="AR177" i="5"/>
  <c r="AR54" i="5"/>
  <c r="AR110" i="5"/>
  <c r="AR185" i="5"/>
  <c r="AR93" i="5"/>
  <c r="AR140" i="5"/>
  <c r="AR232" i="5"/>
  <c r="AT119" i="5"/>
  <c r="AR10" i="5"/>
  <c r="AR85" i="5"/>
  <c r="AR189" i="5"/>
  <c r="AR205" i="5"/>
  <c r="AD236" i="8"/>
  <c r="AR47" i="7"/>
  <c r="AR44" i="7"/>
  <c r="AR213" i="7"/>
  <c r="AR161" i="7"/>
  <c r="AR12" i="7"/>
  <c r="AR102" i="7"/>
  <c r="AR152" i="7"/>
  <c r="AR238" i="7"/>
  <c r="AR11" i="7"/>
  <c r="AR143" i="7"/>
  <c r="AR214" i="7"/>
  <c r="AR225" i="7"/>
  <c r="AR56" i="7"/>
  <c r="AR176" i="7"/>
  <c r="AR223" i="7"/>
  <c r="AR52" i="7"/>
  <c r="AR242" i="7"/>
  <c r="AR224" i="7"/>
  <c r="AR241" i="7"/>
  <c r="AR57" i="7"/>
  <c r="AR131" i="7"/>
  <c r="AR146" i="7"/>
  <c r="AR20" i="7"/>
  <c r="AR50" i="7"/>
  <c r="AR18" i="7"/>
  <c r="AR107" i="7"/>
  <c r="AR90" i="7"/>
  <c r="AR201" i="7"/>
  <c r="AR192" i="7"/>
  <c r="AR230" i="7"/>
  <c r="AR75" i="7"/>
  <c r="AR252" i="7"/>
  <c r="AT31" i="7"/>
  <c r="AR83" i="7"/>
  <c r="AR9" i="7"/>
  <c r="AT11" i="7"/>
  <c r="AR89" i="7"/>
  <c r="AR175" i="7"/>
  <c r="AR43" i="6"/>
  <c r="AR115" i="6"/>
  <c r="AR14" i="6"/>
  <c r="AR25" i="6"/>
  <c r="AR40" i="6"/>
  <c r="AR45" i="6"/>
  <c r="AR89" i="6"/>
  <c r="AR90" i="6"/>
  <c r="AR102" i="6"/>
  <c r="AR167" i="6"/>
  <c r="AR186" i="6"/>
  <c r="AR217" i="6"/>
  <c r="AR85" i="6"/>
  <c r="AR103" i="6"/>
  <c r="AR197" i="6"/>
  <c r="AR65" i="6"/>
  <c r="AR181" i="6"/>
  <c r="AR199" i="6"/>
  <c r="AR139" i="6"/>
  <c r="AR161" i="6"/>
  <c r="AR30" i="6"/>
  <c r="AR92" i="6"/>
  <c r="AR222" i="6"/>
  <c r="AR210" i="6"/>
  <c r="AR123" i="6"/>
  <c r="AR130" i="6"/>
  <c r="AR144" i="6"/>
  <c r="AR76" i="6"/>
  <c r="AR98" i="6"/>
  <c r="AR75" i="6"/>
  <c r="AR146" i="6"/>
  <c r="AR58" i="6"/>
  <c r="AR10" i="6"/>
  <c r="AR226" i="6"/>
  <c r="AR17" i="6"/>
  <c r="AR56" i="6"/>
  <c r="AR215" i="6"/>
  <c r="AR32" i="6"/>
  <c r="AR68" i="6"/>
  <c r="AR141" i="6"/>
  <c r="AR179" i="6"/>
  <c r="AR212" i="6"/>
  <c r="AR228" i="6"/>
  <c r="AT9" i="6"/>
  <c r="AT38" i="6"/>
  <c r="AR41" i="6"/>
  <c r="AR127" i="6"/>
  <c r="AR185" i="6"/>
  <c r="AR55" i="6"/>
  <c r="AR165" i="6"/>
  <c r="AR220" i="6"/>
  <c r="AT29" i="6"/>
  <c r="AR31" i="6"/>
  <c r="AR236" i="6"/>
  <c r="AR27" i="6"/>
  <c r="AR137" i="6"/>
  <c r="AR193" i="6"/>
  <c r="AR231" i="5"/>
  <c r="AR44" i="5"/>
  <c r="AR87" i="5"/>
  <c r="AR124" i="5"/>
  <c r="AR169" i="5"/>
  <c r="AT5" i="5"/>
  <c r="AR45" i="5"/>
  <c r="AR229" i="5"/>
  <c r="AR11" i="5"/>
  <c r="AR133" i="5"/>
  <c r="AR173" i="5"/>
  <c r="AR134" i="5"/>
  <c r="AR97" i="5"/>
  <c r="AR125" i="5"/>
  <c r="AR144" i="5"/>
  <c r="AR191" i="5"/>
  <c r="AR220" i="5"/>
  <c r="AR98" i="5"/>
  <c r="AR126" i="5"/>
  <c r="AR39" i="5"/>
  <c r="AR46" i="5"/>
  <c r="AR219" i="5"/>
  <c r="AR6" i="5"/>
  <c r="AR47" i="5"/>
  <c r="AR153" i="5"/>
  <c r="AR17" i="5"/>
  <c r="AR56" i="5"/>
  <c r="AR141" i="5"/>
  <c r="AR165" i="5"/>
  <c r="AR103" i="5"/>
  <c r="AR223" i="5"/>
  <c r="AR206" i="5"/>
  <c r="AR18" i="5"/>
  <c r="AR35" i="5"/>
  <c r="AR57" i="5"/>
  <c r="AR132" i="5"/>
  <c r="AR156" i="5"/>
  <c r="AT142" i="5"/>
  <c r="AT168" i="5"/>
  <c r="AF236" i="5"/>
  <c r="AT16" i="5"/>
  <c r="AT57" i="5"/>
  <c r="AT37" i="5"/>
  <c r="AT38" i="5"/>
  <c r="AT117" i="5"/>
  <c r="AR89" i="5"/>
  <c r="AR135" i="5"/>
  <c r="AF110" i="9"/>
  <c r="AF88" i="9"/>
  <c r="AF66" i="9"/>
  <c r="AF24" i="9"/>
  <c r="P236" i="8"/>
  <c r="AR23" i="7"/>
  <c r="AR67" i="7"/>
  <c r="AR130" i="7"/>
  <c r="AR134" i="7"/>
  <c r="AR168" i="7"/>
  <c r="AR61" i="7"/>
  <c r="AR185" i="7"/>
  <c r="AF257" i="7"/>
  <c r="AR21" i="7"/>
  <c r="AR40" i="7"/>
  <c r="AR49" i="7"/>
  <c r="AR66" i="7"/>
  <c r="AR78" i="7"/>
  <c r="AR96" i="7"/>
  <c r="AR124" i="7"/>
  <c r="AR136" i="7"/>
  <c r="AR32" i="7"/>
  <c r="AR46" i="7"/>
  <c r="AR58" i="7"/>
  <c r="AR97" i="7"/>
  <c r="AR207" i="7"/>
  <c r="AR256" i="7"/>
  <c r="AR74" i="7"/>
  <c r="AR30" i="7"/>
  <c r="AR62" i="7"/>
  <c r="AR79" i="7"/>
  <c r="AR80" i="7"/>
  <c r="AR92" i="7"/>
  <c r="AR108" i="7"/>
  <c r="AR113" i="7"/>
  <c r="AR118" i="7"/>
  <c r="AR120" i="7"/>
  <c r="AR160" i="7"/>
  <c r="AR181" i="7"/>
  <c r="AR203" i="7"/>
  <c r="AR217" i="7"/>
  <c r="AR255" i="7"/>
  <c r="AR35" i="7"/>
  <c r="AR27" i="7"/>
  <c r="AR33" i="7"/>
  <c r="AR54" i="7"/>
  <c r="AR81" i="7"/>
  <c r="AR86" i="7"/>
  <c r="AR114" i="7"/>
  <c r="AR171" i="7"/>
  <c r="AR204" i="7"/>
  <c r="AR51" i="7"/>
  <c r="AR64" i="7"/>
  <c r="AR70" i="7"/>
  <c r="AR94" i="7"/>
  <c r="AR98" i="7"/>
  <c r="AR99" i="7"/>
  <c r="AR104" i="7"/>
  <c r="AR115" i="7"/>
  <c r="AR127" i="7"/>
  <c r="AR128" i="7"/>
  <c r="AR197" i="7"/>
  <c r="AR76" i="7"/>
  <c r="AR140" i="7"/>
  <c r="AR157" i="7"/>
  <c r="AR187" i="7"/>
  <c r="AR31" i="7"/>
  <c r="AR45" i="7"/>
  <c r="AR77" i="7"/>
  <c r="AR106" i="7"/>
  <c r="AR14" i="7"/>
  <c r="AR180" i="7"/>
  <c r="AR7" i="7"/>
  <c r="AR19" i="7"/>
  <c r="AR166" i="7"/>
  <c r="AR226" i="7"/>
  <c r="AT42" i="7"/>
  <c r="AR148" i="7"/>
  <c r="AR88" i="7"/>
  <c r="AR117" i="7"/>
  <c r="AR125" i="7"/>
  <c r="AR15" i="7"/>
  <c r="AR144" i="7"/>
  <c r="AT45" i="7"/>
  <c r="AR112" i="7"/>
  <c r="AR178" i="7"/>
  <c r="AR109" i="7"/>
  <c r="AR33" i="6"/>
  <c r="AR47" i="6"/>
  <c r="AR171" i="6"/>
  <c r="AR107" i="6"/>
  <c r="AR12" i="6"/>
  <c r="AR53" i="6"/>
  <c r="AR91" i="6"/>
  <c r="AR114" i="6"/>
  <c r="AR125" i="6"/>
  <c r="AR213" i="6"/>
  <c r="AR8" i="6"/>
  <c r="AR162" i="6"/>
  <c r="AR221" i="6"/>
  <c r="AR77" i="6"/>
  <c r="AR149" i="6"/>
  <c r="AR150" i="6"/>
  <c r="AR157" i="6"/>
  <c r="AR174" i="6"/>
  <c r="AR229" i="6"/>
  <c r="AR9" i="6"/>
  <c r="AR23" i="6"/>
  <c r="AR109" i="6"/>
  <c r="AR151" i="6"/>
  <c r="AR173" i="6"/>
  <c r="AR183" i="6"/>
  <c r="AF237" i="6"/>
  <c r="AR194" i="6"/>
  <c r="AR218" i="6"/>
  <c r="AR60" i="6"/>
  <c r="AR87" i="6"/>
  <c r="AR121" i="6"/>
  <c r="AR131" i="6"/>
  <c r="AR19" i="6"/>
  <c r="AR57" i="6"/>
  <c r="AR105" i="6"/>
  <c r="AR118" i="6"/>
  <c r="AR153" i="6"/>
  <c r="AR191" i="6"/>
  <c r="AT13" i="6"/>
  <c r="AR73" i="6"/>
  <c r="AR136" i="6"/>
  <c r="AR190" i="6"/>
  <c r="AT6" i="6"/>
  <c r="AT33" i="6"/>
  <c r="AR42" i="6"/>
  <c r="AR26" i="6"/>
  <c r="AR138" i="6"/>
  <c r="AR82" i="6"/>
  <c r="AR158" i="6"/>
  <c r="AR38" i="6"/>
  <c r="AR104" i="6"/>
  <c r="AT14" i="6"/>
  <c r="AT34" i="6"/>
  <c r="AR178" i="6"/>
  <c r="AR71" i="6"/>
  <c r="AR70" i="6"/>
  <c r="AR198" i="6"/>
  <c r="AR122" i="6"/>
  <c r="AR235" i="6"/>
  <c r="AR16" i="6"/>
  <c r="AR20" i="6"/>
  <c r="AR72" i="6"/>
  <c r="AR142" i="6"/>
  <c r="AR40" i="5"/>
  <c r="AR207" i="5"/>
  <c r="AR62" i="5"/>
  <c r="AR72" i="5"/>
  <c r="AR127" i="5"/>
  <c r="AR137" i="5"/>
  <c r="AR235" i="5"/>
  <c r="AR121" i="5"/>
  <c r="AR122" i="5"/>
  <c r="AR157" i="5"/>
  <c r="AR215" i="5"/>
  <c r="AT62" i="5"/>
  <c r="AR64" i="5"/>
  <c r="AT102" i="5"/>
  <c r="AT127" i="5"/>
  <c r="AT184" i="5"/>
  <c r="AR129" i="5"/>
  <c r="AR159" i="5"/>
  <c r="AT22" i="5"/>
  <c r="AR23" i="5"/>
  <c r="AR65" i="5"/>
  <c r="AT103" i="5"/>
  <c r="AR114" i="5"/>
  <c r="AT6" i="5"/>
  <c r="AT13" i="5"/>
  <c r="AR7" i="5"/>
  <c r="AR68" i="5"/>
  <c r="AT144" i="5"/>
  <c r="AR201" i="5"/>
  <c r="AR211" i="5"/>
  <c r="AT31" i="5"/>
  <c r="AR83" i="5"/>
  <c r="AT89" i="5"/>
  <c r="AT115" i="5"/>
  <c r="AT132" i="5"/>
  <c r="AR147" i="5"/>
  <c r="AR161" i="5"/>
  <c r="AR8" i="5"/>
  <c r="AR15" i="5"/>
  <c r="AR32" i="5"/>
  <c r="AR69" i="5"/>
  <c r="AR175" i="5"/>
  <c r="AT83" i="5"/>
  <c r="AT91" i="5"/>
  <c r="AR12" i="5"/>
  <c r="AT69" i="5"/>
  <c r="AR101" i="5"/>
  <c r="AR118" i="5"/>
  <c r="AR149" i="5"/>
  <c r="AT202" i="5"/>
  <c r="AR109" i="5"/>
  <c r="AT122" i="5"/>
  <c r="AT141" i="5"/>
  <c r="AR166" i="5"/>
  <c r="AT200" i="5"/>
  <c r="AT85" i="5"/>
  <c r="AR67" i="5"/>
  <c r="AT74" i="5"/>
  <c r="AT81" i="5"/>
  <c r="AT107" i="5"/>
  <c r="AT114" i="5"/>
  <c r="AT176" i="5"/>
  <c r="AT29" i="5"/>
  <c r="AT35" i="5"/>
  <c r="AT66" i="5"/>
  <c r="AT94" i="5"/>
  <c r="AT9" i="5"/>
  <c r="AR51" i="5"/>
  <c r="AR52" i="5"/>
  <c r="AT58" i="5"/>
  <c r="AR88" i="5"/>
  <c r="AR100" i="5"/>
  <c r="AR142" i="5"/>
  <c r="AT99" i="5"/>
  <c r="AR30" i="5"/>
  <c r="AR31" i="5"/>
  <c r="AT46" i="5"/>
  <c r="AR75" i="5"/>
  <c r="AT95" i="5"/>
  <c r="AR184" i="5"/>
  <c r="AR34" i="5"/>
  <c r="AR9" i="5"/>
  <c r="AR61" i="5"/>
  <c r="AT87" i="5"/>
  <c r="AR196" i="5"/>
  <c r="AT25" i="5"/>
  <c r="AR63" i="5"/>
  <c r="AT77" i="5"/>
  <c r="AT138" i="5"/>
  <c r="AT150" i="5"/>
  <c r="AT156" i="5"/>
  <c r="AT180" i="5"/>
  <c r="AT204" i="5"/>
  <c r="AR59" i="5"/>
  <c r="AT93" i="5"/>
  <c r="P236" i="5"/>
  <c r="AT10" i="5"/>
  <c r="AR27" i="5"/>
  <c r="AR5" i="5"/>
  <c r="AR22" i="5"/>
  <c r="AR38" i="5"/>
  <c r="AR49" i="5"/>
  <c r="AT71" i="5"/>
  <c r="AR91" i="5"/>
  <c r="AR120" i="5"/>
  <c r="AT27" i="5"/>
  <c r="AT33" i="5"/>
  <c r="AT39" i="5"/>
  <c r="AT152" i="5"/>
  <c r="AR14" i="5"/>
  <c r="AR19" i="5"/>
  <c r="AT79" i="5"/>
  <c r="AR108" i="5"/>
  <c r="AR164" i="5"/>
  <c r="AT170" i="5"/>
  <c r="AR176" i="5"/>
  <c r="AT27" i="7"/>
  <c r="BD5" i="7"/>
  <c r="AT23" i="7"/>
  <c r="AU150" i="7"/>
  <c r="BA150" i="7"/>
  <c r="BB150" i="7"/>
  <c r="AZ20" i="7"/>
  <c r="BA20" i="7"/>
  <c r="BC55" i="7"/>
  <c r="BD139" i="7"/>
  <c r="BA79" i="7"/>
  <c r="AU79" i="7"/>
  <c r="AZ39" i="7"/>
  <c r="AV42" i="7"/>
  <c r="BB79" i="7"/>
  <c r="AR6" i="7"/>
  <c r="AZ28" i="7"/>
  <c r="BA28" i="7"/>
  <c r="AR38" i="7"/>
  <c r="AX12" i="7"/>
  <c r="AW195" i="7"/>
  <c r="AZ52" i="7"/>
  <c r="AT52" i="7"/>
  <c r="AV31" i="7"/>
  <c r="AW31" i="7"/>
  <c r="AT66" i="7"/>
  <c r="AZ66" i="7"/>
  <c r="BC5" i="7"/>
  <c r="AU66" i="7"/>
  <c r="BA66" i="7"/>
  <c r="AU52" i="7"/>
  <c r="BA52" i="7"/>
  <c r="BA46" i="7"/>
  <c r="AU46" i="7"/>
  <c r="AZ49" i="7"/>
  <c r="AT49" i="7"/>
  <c r="AU27" i="7"/>
  <c r="AX59" i="7"/>
  <c r="AY59" i="7"/>
  <c r="BC168" i="7"/>
  <c r="BB46" i="7"/>
  <c r="BD97" i="7"/>
  <c r="BC97" i="7"/>
  <c r="AZ16" i="7"/>
  <c r="BA16" i="7"/>
  <c r="AT93" i="7"/>
  <c r="AY93" i="7"/>
  <c r="AZ93" i="7"/>
  <c r="AV82" i="7"/>
  <c r="AV35" i="7"/>
  <c r="AW35" i="7"/>
  <c r="AU31" i="7"/>
  <c r="BA124" i="7"/>
  <c r="AU124" i="7"/>
  <c r="AU88" i="7"/>
  <c r="BA88" i="7"/>
  <c r="AT105" i="7"/>
  <c r="AZ105" i="7"/>
  <c r="AY105" i="7"/>
  <c r="AU133" i="7"/>
  <c r="BA133" i="7"/>
  <c r="BB133" i="7"/>
  <c r="BC9" i="7"/>
  <c r="AY20" i="7"/>
  <c r="AZ24" i="7"/>
  <c r="AT35" i="7"/>
  <c r="AX39" i="7"/>
  <c r="AT46" i="7"/>
  <c r="AZ46" i="7"/>
  <c r="AV56" i="7"/>
  <c r="AZ79" i="7"/>
  <c r="AT79" i="7"/>
  <c r="BB88" i="7"/>
  <c r="AV110" i="7"/>
  <c r="AW110" i="7"/>
  <c r="AR132" i="7"/>
  <c r="AY12" i="7"/>
  <c r="AU23" i="7"/>
  <c r="AV27" i="7"/>
  <c r="AW42" i="7"/>
  <c r="BB49" i="7"/>
  <c r="AU49" i="7"/>
  <c r="BA49" i="7"/>
  <c r="BB52" i="7"/>
  <c r="BD55" i="7"/>
  <c r="AU62" i="7"/>
  <c r="BA62" i="7"/>
  <c r="AR65" i="7"/>
  <c r="BB66" i="7"/>
  <c r="AR149" i="7"/>
  <c r="BD168" i="7"/>
  <c r="AT187" i="7"/>
  <c r="AZ187" i="7"/>
  <c r="AW193" i="7"/>
  <c r="AV193" i="7"/>
  <c r="AW209" i="7"/>
  <c r="AV209" i="7"/>
  <c r="AX8" i="7"/>
  <c r="AZ12" i="7"/>
  <c r="AT19" i="7"/>
  <c r="AV23" i="7"/>
  <c r="AT38" i="7"/>
  <c r="AX42" i="7"/>
  <c r="AU45" i="7"/>
  <c r="BC52" i="7"/>
  <c r="BB62" i="7"/>
  <c r="BA68" i="7"/>
  <c r="AU68" i="7"/>
  <c r="BD120" i="7"/>
  <c r="AT121" i="7"/>
  <c r="BA121" i="7"/>
  <c r="AZ121" i="7"/>
  <c r="AU121" i="7"/>
  <c r="AU187" i="7"/>
  <c r="BA187" i="7"/>
  <c r="AR190" i="7"/>
  <c r="AT191" i="7"/>
  <c r="AZ191" i="7"/>
  <c r="AY8" i="7"/>
  <c r="AU19" i="7"/>
  <c r="BB33" i="7"/>
  <c r="AU38" i="7"/>
  <c r="AR41" i="7"/>
  <c r="AY42" i="7"/>
  <c r="AV45" i="7"/>
  <c r="BC62" i="7"/>
  <c r="BB68" i="7"/>
  <c r="BC68" i="7"/>
  <c r="BA81" i="7"/>
  <c r="BB81" i="7"/>
  <c r="AU81" i="7"/>
  <c r="AW86" i="7"/>
  <c r="AW113" i="7"/>
  <c r="AV113" i="7"/>
  <c r="AR145" i="7"/>
  <c r="BB187" i="7"/>
  <c r="AD257" i="7"/>
  <c r="BF52" i="7" s="1"/>
  <c r="AZ8" i="7"/>
  <c r="AT15" i="7"/>
  <c r="AV19" i="7"/>
  <c r="BB29" i="7"/>
  <c r="BC33" i="7"/>
  <c r="BD37" i="7"/>
  <c r="AW45" i="7"/>
  <c r="BD62" i="7"/>
  <c r="BD72" i="7"/>
  <c r="AX73" i="7"/>
  <c r="AX86" i="7"/>
  <c r="AR101" i="7"/>
  <c r="AV128" i="7"/>
  <c r="AV137" i="7"/>
  <c r="AU15" i="7"/>
  <c r="BB25" i="7"/>
  <c r="BC29" i="7"/>
  <c r="BD33" i="7"/>
  <c r="AT57" i="7"/>
  <c r="AZ57" i="7"/>
  <c r="AT73" i="7"/>
  <c r="AZ73" i="7"/>
  <c r="AY73" i="7"/>
  <c r="BD81" i="7"/>
  <c r="BC81" i="7"/>
  <c r="AY113" i="7"/>
  <c r="AX113" i="7"/>
  <c r="AW128" i="7"/>
  <c r="AW137" i="7"/>
  <c r="AV167" i="7"/>
  <c r="AZ208" i="7"/>
  <c r="AT208" i="7"/>
  <c r="AU208" i="7"/>
  <c r="AW51" i="7"/>
  <c r="AR135" i="7"/>
  <c r="BA204" i="7"/>
  <c r="AU204" i="7"/>
  <c r="BB77" i="7"/>
  <c r="AU77" i="7"/>
  <c r="BA77" i="7"/>
  <c r="AZ142" i="7"/>
  <c r="AT142" i="7"/>
  <c r="AZ204" i="7"/>
  <c r="AT204" i="7"/>
  <c r="BD126" i="7"/>
  <c r="AU142" i="7"/>
  <c r="BB142" i="7"/>
  <c r="BA142" i="7"/>
  <c r="BB57" i="7"/>
  <c r="BA57" i="7"/>
  <c r="AU57" i="7"/>
  <c r="AR85" i="7"/>
  <c r="AU11" i="7"/>
  <c r="BC21" i="7"/>
  <c r="BD25" i="7"/>
  <c r="AX36" i="7"/>
  <c r="AW36" i="7"/>
  <c r="AW54" i="7"/>
  <c r="AW56" i="7"/>
  <c r="BA64" i="7"/>
  <c r="AU64" i="7"/>
  <c r="AZ127" i="7"/>
  <c r="AT127" i="7"/>
  <c r="AT7" i="7"/>
  <c r="AV11" i="7"/>
  <c r="BB17" i="7"/>
  <c r="BD21" i="7"/>
  <c r="BD40" i="7"/>
  <c r="AX54" i="7"/>
  <c r="AW61" i="7"/>
  <c r="AZ100" i="7"/>
  <c r="AT100" i="7"/>
  <c r="AY100" i="7"/>
  <c r="AR111" i="7"/>
  <c r="AU112" i="7"/>
  <c r="BA112" i="7"/>
  <c r="BA127" i="7"/>
  <c r="AU127" i="7"/>
  <c r="AU7" i="7"/>
  <c r="BC17" i="7"/>
  <c r="BA43" i="7"/>
  <c r="BC64" i="7"/>
  <c r="AW118" i="7"/>
  <c r="AX118" i="7"/>
  <c r="AR141" i="7"/>
  <c r="AV7" i="7"/>
  <c r="BB13" i="7"/>
  <c r="BD17" i="7"/>
  <c r="AX28" i="7"/>
  <c r="AY32" i="7"/>
  <c r="AZ36" i="7"/>
  <c r="BB43" i="7"/>
  <c r="AR53" i="7"/>
  <c r="AZ54" i="7"/>
  <c r="AR200" i="7"/>
  <c r="AR220" i="7"/>
  <c r="AR164" i="7"/>
  <c r="AZ166" i="7"/>
  <c r="AT166" i="7"/>
  <c r="BC40" i="7"/>
  <c r="BB64" i="7"/>
  <c r="BB204" i="7"/>
  <c r="AX32" i="7"/>
  <c r="AY54" i="7"/>
  <c r="BD60" i="7"/>
  <c r="BD99" i="7"/>
  <c r="BB112" i="7"/>
  <c r="AV163" i="7"/>
  <c r="AV182" i="7"/>
  <c r="BA12" i="7"/>
  <c r="BC13" i="7"/>
  <c r="AX24" i="7"/>
  <c r="AW27" i="7"/>
  <c r="AY28" i="7"/>
  <c r="AZ32" i="7"/>
  <c r="BC43" i="7"/>
  <c r="AR63" i="7"/>
  <c r="BD70" i="7"/>
  <c r="BC70" i="7"/>
  <c r="AT75" i="7"/>
  <c r="AY75" i="7"/>
  <c r="BC83" i="7"/>
  <c r="BD83" i="7"/>
  <c r="BC104" i="7"/>
  <c r="AX105" i="7"/>
  <c r="AR196" i="7"/>
  <c r="AT86" i="7"/>
  <c r="AZ86" i="7"/>
  <c r="AW134" i="7"/>
  <c r="AX134" i="7"/>
  <c r="BC136" i="7"/>
  <c r="AR138" i="7"/>
  <c r="BC187" i="7"/>
  <c r="BD187" i="7"/>
  <c r="BC204" i="7"/>
  <c r="AR219" i="7"/>
  <c r="AX51" i="7"/>
  <c r="AZ84" i="7"/>
  <c r="AY84" i="7"/>
  <c r="AY86" i="7"/>
  <c r="BB166" i="7"/>
  <c r="BA166" i="7"/>
  <c r="AU166" i="7"/>
  <c r="BD77" i="7"/>
  <c r="BC77" i="7"/>
  <c r="AY110" i="7"/>
  <c r="BD136" i="7"/>
  <c r="AX163" i="7"/>
  <c r="BB191" i="7"/>
  <c r="BD204" i="7"/>
  <c r="AY61" i="7"/>
  <c r="AX71" i="7"/>
  <c r="AX96" i="7"/>
  <c r="AW96" i="7"/>
  <c r="AU118" i="7"/>
  <c r="BA118" i="7"/>
  <c r="AX182" i="7"/>
  <c r="AY212" i="7"/>
  <c r="AZ69" i="7"/>
  <c r="AY69" i="7"/>
  <c r="BB118" i="7"/>
  <c r="AY125" i="7"/>
  <c r="AZ144" i="7"/>
  <c r="AT144" i="7"/>
  <c r="AX174" i="7"/>
  <c r="AY182" i="7"/>
  <c r="AV190" i="7"/>
  <c r="AZ212" i="7"/>
  <c r="AU98" i="7"/>
  <c r="BC118" i="7"/>
  <c r="AU134" i="7"/>
  <c r="AY155" i="7"/>
  <c r="AU163" i="7"/>
  <c r="BB163" i="7"/>
  <c r="BA163" i="7"/>
  <c r="AY174" i="7"/>
  <c r="AZ63" i="7"/>
  <c r="AT63" i="7"/>
  <c r="AU71" i="7"/>
  <c r="AU73" i="7"/>
  <c r="AT78" i="7"/>
  <c r="AV114" i="7"/>
  <c r="AU178" i="7"/>
  <c r="BB178" i="7"/>
  <c r="BA178" i="7"/>
  <c r="AR188" i="7"/>
  <c r="AX199" i="7"/>
  <c r="AR249" i="7"/>
  <c r="BB48" i="7"/>
  <c r="AW117" i="7"/>
  <c r="AT122" i="7"/>
  <c r="BD131" i="7"/>
  <c r="BC131" i="7"/>
  <c r="BC144" i="7"/>
  <c r="AU86" i="7"/>
  <c r="BB96" i="7"/>
  <c r="BD128" i="7"/>
  <c r="AT179" i="7"/>
  <c r="AZ179" i="7"/>
  <c r="AT199" i="7"/>
  <c r="AZ199" i="7"/>
  <c r="BA53" i="7"/>
  <c r="BD56" i="7"/>
  <c r="AT58" i="7"/>
  <c r="AU59" i="7"/>
  <c r="AR73" i="7"/>
  <c r="AT74" i="7"/>
  <c r="AZ74" i="7"/>
  <c r="AV81" i="7"/>
  <c r="AX83" i="7"/>
  <c r="AU84" i="7"/>
  <c r="BB94" i="7"/>
  <c r="AR105" i="7"/>
  <c r="AT106" i="7"/>
  <c r="AZ106" i="7"/>
  <c r="AZ114" i="7"/>
  <c r="AY114" i="7"/>
  <c r="BD116" i="7"/>
  <c r="BB122" i="7"/>
  <c r="AX129" i="7"/>
  <c r="AZ138" i="7"/>
  <c r="AV139" i="7"/>
  <c r="AW146" i="7"/>
  <c r="AX146" i="7"/>
  <c r="BC149" i="7"/>
  <c r="AV150" i="7"/>
  <c r="BD156" i="7"/>
  <c r="BC156" i="7"/>
  <c r="AU179" i="7"/>
  <c r="BA179" i="7"/>
  <c r="AZ180" i="7"/>
  <c r="AT180" i="7"/>
  <c r="BC195" i="7"/>
  <c r="BC196" i="7"/>
  <c r="AU199" i="7"/>
  <c r="BA199" i="7"/>
  <c r="AT212" i="7"/>
  <c r="AR234" i="7"/>
  <c r="BB257" i="7"/>
  <c r="BB84" i="7"/>
  <c r="AZ91" i="7"/>
  <c r="AT98" i="7"/>
  <c r="AX103" i="7"/>
  <c r="AU110" i="7"/>
  <c r="BA110" i="7"/>
  <c r="AZ119" i="7"/>
  <c r="AT119" i="7"/>
  <c r="BD147" i="7"/>
  <c r="BD151" i="7"/>
  <c r="AX155" i="7"/>
  <c r="AV161" i="7"/>
  <c r="AT163" i="7"/>
  <c r="AZ163" i="7"/>
  <c r="BD173" i="7"/>
  <c r="BD191" i="7"/>
  <c r="AV203" i="7"/>
  <c r="AZ96" i="7"/>
  <c r="AY96" i="7"/>
  <c r="AW203" i="7"/>
  <c r="AZ174" i="7"/>
  <c r="AT174" i="7"/>
  <c r="AZ67" i="7"/>
  <c r="AR121" i="7"/>
  <c r="AU155" i="7"/>
  <c r="BA155" i="7"/>
  <c r="AU174" i="7"/>
  <c r="AR177" i="7"/>
  <c r="AR198" i="7"/>
  <c r="AY203" i="7"/>
  <c r="AU54" i="7"/>
  <c r="AY58" i="7"/>
  <c r="BA94" i="7"/>
  <c r="AW109" i="7"/>
  <c r="AU122" i="7"/>
  <c r="BD127" i="7"/>
  <c r="BB155" i="7"/>
  <c r="AT50" i="7"/>
  <c r="AX55" i="7"/>
  <c r="AV62" i="7"/>
  <c r="BC66" i="7"/>
  <c r="BC67" i="7"/>
  <c r="BA74" i="7"/>
  <c r="AT80" i="7"/>
  <c r="AW81" i="7"/>
  <c r="AT90" i="7"/>
  <c r="AT91" i="7"/>
  <c r="BA93" i="7"/>
  <c r="BD94" i="7"/>
  <c r="BC94" i="7"/>
  <c r="BD96" i="7"/>
  <c r="AV102" i="7"/>
  <c r="BA106" i="7"/>
  <c r="AV112" i="7"/>
  <c r="BD122" i="7"/>
  <c r="BC122" i="7"/>
  <c r="AY129" i="7"/>
  <c r="BA138" i="7"/>
  <c r="AW139" i="7"/>
  <c r="AX139" i="7"/>
  <c r="AV142" i="7"/>
  <c r="BD149" i="7"/>
  <c r="AW150" i="7"/>
  <c r="BD155" i="7"/>
  <c r="AX167" i="7"/>
  <c r="AV169" i="7"/>
  <c r="AX178" i="7"/>
  <c r="BB179" i="7"/>
  <c r="BA180" i="7"/>
  <c r="AU180" i="7"/>
  <c r="BD196" i="7"/>
  <c r="BB199" i="7"/>
  <c r="AR247" i="7"/>
  <c r="BC257" i="7"/>
  <c r="AX116" i="7"/>
  <c r="AW116" i="7"/>
  <c r="AT118" i="7"/>
  <c r="AZ118" i="7"/>
  <c r="AW182" i="7"/>
  <c r="BD52" i="7"/>
  <c r="AZ89" i="7"/>
  <c r="AY89" i="7"/>
  <c r="AY91" i="7"/>
  <c r="AY119" i="7"/>
  <c r="AY131" i="7"/>
  <c r="AW155" i="7"/>
  <c r="AW174" i="7"/>
  <c r="AX63" i="7"/>
  <c r="AR68" i="7"/>
  <c r="AZ71" i="7"/>
  <c r="AT71" i="7"/>
  <c r="BB89" i="7"/>
  <c r="BA89" i="7"/>
  <c r="BA144" i="7"/>
  <c r="AU144" i="7"/>
  <c r="AR154" i="7"/>
  <c r="AR162" i="7"/>
  <c r="AX101" i="7"/>
  <c r="AZ103" i="7"/>
  <c r="AT103" i="7"/>
  <c r="AU105" i="7"/>
  <c r="BD118" i="7"/>
  <c r="AY122" i="7"/>
  <c r="AU182" i="7"/>
  <c r="BA182" i="7"/>
  <c r="BB182" i="7"/>
  <c r="AX203" i="7"/>
  <c r="BB56" i="7"/>
  <c r="AU78" i="7"/>
  <c r="AZ101" i="7"/>
  <c r="AY101" i="7"/>
  <c r="BC56" i="7"/>
  <c r="AY180" i="7"/>
  <c r="AR208" i="7"/>
  <c r="BB44" i="7"/>
  <c r="BD67" i="7"/>
  <c r="AT69" i="7"/>
  <c r="BB74" i="7"/>
  <c r="BB76" i="7"/>
  <c r="AX81" i="7"/>
  <c r="AW82" i="7"/>
  <c r="AZ83" i="7"/>
  <c r="AT83" i="7"/>
  <c r="BC86" i="7"/>
  <c r="AU89" i="7"/>
  <c r="BB93" i="7"/>
  <c r="AX95" i="7"/>
  <c r="AZ98" i="7"/>
  <c r="AZ99" i="7"/>
  <c r="BA100" i="7"/>
  <c r="BC102" i="7"/>
  <c r="BB106" i="7"/>
  <c r="AW112" i="7"/>
  <c r="AU114" i="7"/>
  <c r="BA114" i="7"/>
  <c r="AV125" i="7"/>
  <c r="AZ129" i="7"/>
  <c r="BA134" i="7"/>
  <c r="AX136" i="7"/>
  <c r="AW136" i="7"/>
  <c r="AR137" i="7"/>
  <c r="AY137" i="7"/>
  <c r="AW142" i="7"/>
  <c r="AX158" i="7"/>
  <c r="AW158" i="7"/>
  <c r="AY168" i="7"/>
  <c r="AX169" i="7"/>
  <c r="AW169" i="7"/>
  <c r="BD171" i="7"/>
  <c r="BA174" i="7"/>
  <c r="BC199" i="7"/>
  <c r="BD199" i="7"/>
  <c r="AR233" i="7"/>
  <c r="BD257" i="7"/>
  <c r="AV58" i="7"/>
  <c r="BC84" i="7"/>
  <c r="BA91" i="7"/>
  <c r="AU91" i="7"/>
  <c r="AT125" i="7"/>
  <c r="AW197" i="7"/>
  <c r="AV197" i="7"/>
  <c r="BC110" i="7"/>
  <c r="BB134" i="7"/>
  <c r="AX153" i="7"/>
  <c r="AW153" i="7"/>
  <c r="AT155" i="7"/>
  <c r="AZ155" i="7"/>
  <c r="AT94" i="7"/>
  <c r="AY199" i="7"/>
  <c r="AV70" i="7"/>
  <c r="AW129" i="7"/>
  <c r="BD159" i="7"/>
  <c r="BC159" i="7"/>
  <c r="AX43" i="7"/>
  <c r="AV49" i="7"/>
  <c r="BB50" i="7"/>
  <c r="AZ55" i="7"/>
  <c r="AT65" i="7"/>
  <c r="AV66" i="7"/>
  <c r="BA71" i="7"/>
  <c r="BA73" i="7"/>
  <c r="AX79" i="7"/>
  <c r="BD87" i="7"/>
  <c r="AV93" i="7"/>
  <c r="BC93" i="7"/>
  <c r="AT96" i="7"/>
  <c r="BA98" i="7"/>
  <c r="BA105" i="7"/>
  <c r="BC106" i="7"/>
  <c r="AY112" i="7"/>
  <c r="AX112" i="7"/>
  <c r="AR119" i="7"/>
  <c r="BA119" i="7"/>
  <c r="AU129" i="7"/>
  <c r="BB129" i="7"/>
  <c r="BA129" i="7"/>
  <c r="AZ137" i="7"/>
  <c r="BD141" i="7"/>
  <c r="AX142" i="7"/>
  <c r="BD144" i="7"/>
  <c r="AY150" i="7"/>
  <c r="AU160" i="7"/>
  <c r="AZ168" i="7"/>
  <c r="BB174" i="7"/>
  <c r="BD175" i="7"/>
  <c r="AY176" i="7"/>
  <c r="AV186" i="7"/>
  <c r="BC197" i="7"/>
  <c r="AT210" i="7"/>
  <c r="AR212" i="7"/>
  <c r="BC79" i="7"/>
  <c r="AW98" i="7"/>
  <c r="BC112" i="7"/>
  <c r="BB127" i="7"/>
  <c r="AV159" i="7"/>
  <c r="AW163" i="7"/>
  <c r="AW167" i="7"/>
  <c r="BC181" i="7"/>
  <c r="AU191" i="7"/>
  <c r="BA191" i="7"/>
  <c r="AT54" i="7"/>
  <c r="BD64" i="7"/>
  <c r="AV78" i="7"/>
  <c r="AX98" i="7"/>
  <c r="BD112" i="7"/>
  <c r="AX119" i="7"/>
  <c r="AR123" i="7"/>
  <c r="AR165" i="7"/>
  <c r="BD181" i="7"/>
  <c r="AR243" i="7"/>
  <c r="BB36" i="7"/>
  <c r="AR60" i="7"/>
  <c r="AX69" i="7"/>
  <c r="AW108" i="7"/>
  <c r="AZ110" i="7"/>
  <c r="AT110" i="7"/>
  <c r="AY163" i="7"/>
  <c r="BC191" i="7"/>
  <c r="AR251" i="7"/>
  <c r="P257" i="7"/>
  <c r="AY108" i="7"/>
  <c r="AX108" i="7"/>
  <c r="AZ131" i="7"/>
  <c r="AT131" i="7"/>
  <c r="AT134" i="7"/>
  <c r="AR237" i="7"/>
  <c r="AR250" i="7"/>
  <c r="BA131" i="7"/>
  <c r="AW161" i="7"/>
  <c r="AT182" i="7"/>
  <c r="AZ182" i="7"/>
  <c r="BA212" i="7"/>
  <c r="BD84" i="7"/>
  <c r="AV90" i="7"/>
  <c r="BA125" i="7"/>
  <c r="AV201" i="7"/>
  <c r="AU103" i="7"/>
  <c r="AX47" i="7"/>
  <c r="AT59" i="7"/>
  <c r="AT84" i="7"/>
  <c r="AR100" i="7"/>
  <c r="AX114" i="7"/>
  <c r="BA200" i="7"/>
  <c r="AU200" i="7"/>
  <c r="AR248" i="7"/>
  <c r="AZ64" i="7"/>
  <c r="AY64" i="7"/>
  <c r="AT67" i="7"/>
  <c r="AZ88" i="7"/>
  <c r="AT88" i="7"/>
  <c r="AU94" i="7"/>
  <c r="BA103" i="7"/>
  <c r="AZ125" i="7"/>
  <c r="BA137" i="7"/>
  <c r="AT150" i="7"/>
  <c r="AZ150" i="7"/>
  <c r="BA168" i="7"/>
  <c r="AU168" i="7"/>
  <c r="AX183" i="7"/>
  <c r="AR186" i="7"/>
  <c r="AR206" i="7"/>
  <c r="AU207" i="7"/>
  <c r="BB207" i="7"/>
  <c r="BA207" i="7"/>
  <c r="AT211" i="7"/>
  <c r="AR221" i="7"/>
  <c r="BD88" i="7"/>
  <c r="BB100" i="7"/>
  <c r="AZ107" i="7"/>
  <c r="AX115" i="7"/>
  <c r="BB123" i="7"/>
  <c r="BC132" i="7"/>
  <c r="BD134" i="7"/>
  <c r="AY135" i="7"/>
  <c r="AR156" i="7"/>
  <c r="BB160" i="7"/>
  <c r="AZ176" i="7"/>
  <c r="AT176" i="7"/>
  <c r="BC179" i="7"/>
  <c r="BC189" i="7"/>
  <c r="AX195" i="7"/>
  <c r="BD197" i="7"/>
  <c r="BA210" i="7"/>
  <c r="AZ210" i="7"/>
  <c r="BB212" i="7"/>
  <c r="AR236" i="7"/>
  <c r="AT70" i="7"/>
  <c r="AZ75" i="7"/>
  <c r="AX87" i="7"/>
  <c r="AV94" i="7"/>
  <c r="AT102" i="7"/>
  <c r="BA107" i="7"/>
  <c r="AY115" i="7"/>
  <c r="AU117" i="7"/>
  <c r="AV126" i="7"/>
  <c r="BD132" i="7"/>
  <c r="AW133" i="7"/>
  <c r="AZ135" i="7"/>
  <c r="AT135" i="7"/>
  <c r="AT147" i="7"/>
  <c r="AZ147" i="7"/>
  <c r="AY148" i="7"/>
  <c r="BC157" i="7"/>
  <c r="BC160" i="7"/>
  <c r="AZ170" i="7"/>
  <c r="BA176" i="7"/>
  <c r="AU176" i="7"/>
  <c r="BD179" i="7"/>
  <c r="BD189" i="7"/>
  <c r="AR194" i="7"/>
  <c r="AY195" i="7"/>
  <c r="AX207" i="7"/>
  <c r="AR209" i="7"/>
  <c r="BC212" i="7"/>
  <c r="BD68" i="7"/>
  <c r="BB80" i="7"/>
  <c r="BD100" i="7"/>
  <c r="AU109" i="7"/>
  <c r="BA113" i="7"/>
  <c r="AZ115" i="7"/>
  <c r="BD123" i="7"/>
  <c r="AW126" i="7"/>
  <c r="BA135" i="7"/>
  <c r="BA140" i="7"/>
  <c r="AU140" i="7"/>
  <c r="AU147" i="7"/>
  <c r="BA147" i="7"/>
  <c r="AZ148" i="7"/>
  <c r="AT148" i="7"/>
  <c r="BD157" i="7"/>
  <c r="BD160" i="7"/>
  <c r="AR169" i="7"/>
  <c r="BA170" i="7"/>
  <c r="AV171" i="7"/>
  <c r="BD183" i="7"/>
  <c r="AT195" i="7"/>
  <c r="AZ195" i="7"/>
  <c r="AV211" i="7"/>
  <c r="BD212" i="7"/>
  <c r="AR235" i="7"/>
  <c r="AT62" i="7"/>
  <c r="AX67" i="7"/>
  <c r="AV74" i="7"/>
  <c r="AT82" i="7"/>
  <c r="AZ87" i="7"/>
  <c r="AX99" i="7"/>
  <c r="AV106" i="7"/>
  <c r="BC107" i="7"/>
  <c r="AU115" i="7"/>
  <c r="AV122" i="7"/>
  <c r="BD143" i="7"/>
  <c r="AY144" i="7"/>
  <c r="BB147" i="7"/>
  <c r="BA148" i="7"/>
  <c r="AU148" i="7"/>
  <c r="AW171" i="7"/>
  <c r="BC176" i="7"/>
  <c r="AW187" i="7"/>
  <c r="AW205" i="7"/>
  <c r="AV205" i="7"/>
  <c r="AT207" i="7"/>
  <c r="AW211" i="7"/>
  <c r="AY111" i="7"/>
  <c r="AT114" i="7"/>
  <c r="BB124" i="7"/>
  <c r="AV130" i="7"/>
  <c r="BC145" i="7"/>
  <c r="AV146" i="7"/>
  <c r="BC153" i="7"/>
  <c r="AW159" i="7"/>
  <c r="BC161" i="7"/>
  <c r="BC177" i="7"/>
  <c r="AV178" i="7"/>
  <c r="BC185" i="7"/>
  <c r="AU195" i="7"/>
  <c r="BA195" i="7"/>
  <c r="AR202" i="7"/>
  <c r="AT203" i="7"/>
  <c r="BA208" i="7"/>
  <c r="AR246" i="7"/>
  <c r="BA206" i="7"/>
  <c r="AZ206" i="7"/>
  <c r="AR210" i="7"/>
  <c r="AV118" i="7"/>
  <c r="BD124" i="7"/>
  <c r="AT126" i="7"/>
  <c r="AR129" i="7"/>
  <c r="AV134" i="7"/>
  <c r="AZ140" i="7"/>
  <c r="AT140" i="7"/>
  <c r="AR150" i="7"/>
  <c r="AT151" i="7"/>
  <c r="AZ151" i="7"/>
  <c r="AX157" i="7"/>
  <c r="AW157" i="7"/>
  <c r="AR158" i="7"/>
  <c r="AY159" i="7"/>
  <c r="BA164" i="7"/>
  <c r="AZ172" i="7"/>
  <c r="AT172" i="7"/>
  <c r="AR182" i="7"/>
  <c r="AT183" i="7"/>
  <c r="AZ183" i="7"/>
  <c r="AV191" i="7"/>
  <c r="AR205" i="7"/>
  <c r="BC208" i="7"/>
  <c r="AR227" i="7"/>
  <c r="AR245" i="7"/>
  <c r="AU151" i="7"/>
  <c r="BA151" i="7"/>
  <c r="AT159" i="7"/>
  <c r="AZ159" i="7"/>
  <c r="BA172" i="7"/>
  <c r="AU172" i="7"/>
  <c r="AU183" i="7"/>
  <c r="BA183" i="7"/>
  <c r="AW189" i="7"/>
  <c r="AV189" i="7"/>
  <c r="BC108" i="7"/>
  <c r="BB116" i="7"/>
  <c r="AY123" i="7"/>
  <c r="AT130" i="7"/>
  <c r="AR133" i="7"/>
  <c r="AX138" i="7"/>
  <c r="BB140" i="7"/>
  <c r="AT146" i="7"/>
  <c r="BB151" i="7"/>
  <c r="AY152" i="7"/>
  <c r="AU159" i="7"/>
  <c r="BB162" i="7"/>
  <c r="BA162" i="7"/>
  <c r="BC164" i="7"/>
  <c r="AX170" i="7"/>
  <c r="BB172" i="7"/>
  <c r="AT178" i="7"/>
  <c r="BB183" i="7"/>
  <c r="AY184" i="7"/>
  <c r="AX191" i="7"/>
  <c r="BD193" i="7"/>
  <c r="AV199" i="7"/>
  <c r="AV207" i="7"/>
  <c r="AR244" i="7"/>
  <c r="AV143" i="7"/>
  <c r="AZ152" i="7"/>
  <c r="BD161" i="7"/>
  <c r="AT167" i="7"/>
  <c r="AR170" i="7"/>
  <c r="AV175" i="7"/>
  <c r="AZ184" i="7"/>
  <c r="AV185" i="7"/>
  <c r="AY188" i="7"/>
  <c r="BD201" i="7"/>
  <c r="BC205" i="7"/>
  <c r="AU211" i="7"/>
  <c r="BB137" i="7"/>
  <c r="AW143" i="7"/>
  <c r="BA152" i="7"/>
  <c r="AY156" i="7"/>
  <c r="BC165" i="7"/>
  <c r="AU167" i="7"/>
  <c r="AW175" i="7"/>
  <c r="BA184" i="7"/>
  <c r="AZ188" i="7"/>
  <c r="AY192" i="7"/>
  <c r="BD205" i="7"/>
  <c r="BC209" i="7"/>
  <c r="AR218" i="7"/>
  <c r="AR232" i="7"/>
  <c r="AN257" i="7"/>
  <c r="AT139" i="7"/>
  <c r="AR142" i="7"/>
  <c r="AV147" i="7"/>
  <c r="AZ156" i="7"/>
  <c r="BD165" i="7"/>
  <c r="AT171" i="7"/>
  <c r="AR174" i="7"/>
  <c r="AV179" i="7"/>
  <c r="BA188" i="7"/>
  <c r="AZ192" i="7"/>
  <c r="AY196" i="7"/>
  <c r="BD209" i="7"/>
  <c r="BA214" i="7"/>
  <c r="AR229" i="7"/>
  <c r="BD137" i="7"/>
  <c r="AU139" i="7"/>
  <c r="AW147" i="7"/>
  <c r="BA156" i="7"/>
  <c r="AY160" i="7"/>
  <c r="BC169" i="7"/>
  <c r="AU171" i="7"/>
  <c r="AW179" i="7"/>
  <c r="BA192" i="7"/>
  <c r="AZ196" i="7"/>
  <c r="AY200" i="7"/>
  <c r="BB214" i="7"/>
  <c r="AR228" i="7"/>
  <c r="BA102" i="6"/>
  <c r="AU102" i="6"/>
  <c r="AT144" i="6"/>
  <c r="AZ144" i="6"/>
  <c r="AX14" i="6"/>
  <c r="AZ23" i="6"/>
  <c r="BB51" i="6"/>
  <c r="BB72" i="6"/>
  <c r="BD8" i="6"/>
  <c r="AU18" i="6"/>
  <c r="BA26" i="6"/>
  <c r="AR79" i="6"/>
  <c r="BB122" i="6"/>
  <c r="BC122" i="6"/>
  <c r="AU140" i="6"/>
  <c r="BB140" i="6"/>
  <c r="BA140" i="6"/>
  <c r="BA12" i="6"/>
  <c r="AV53" i="6"/>
  <c r="AR11" i="6"/>
  <c r="AR108" i="6"/>
  <c r="AV36" i="6"/>
  <c r="AU36" i="6"/>
  <c r="AR37" i="6"/>
  <c r="BA47" i="6"/>
  <c r="AU47" i="6"/>
  <c r="AU61" i="6"/>
  <c r="AT61" i="6"/>
  <c r="AR74" i="6"/>
  <c r="AR78" i="6"/>
  <c r="AZ87" i="6"/>
  <c r="AT87" i="6"/>
  <c r="AT106" i="6"/>
  <c r="AV111" i="6"/>
  <c r="AX144" i="6"/>
  <c r="AY144" i="6"/>
  <c r="AY161" i="6"/>
  <c r="AX161" i="6"/>
  <c r="AR163" i="6"/>
  <c r="AU9" i="6"/>
  <c r="AV14" i="6"/>
  <c r="BA17" i="6"/>
  <c r="AZ17" i="6"/>
  <c r="AR18" i="6"/>
  <c r="BB19" i="6"/>
  <c r="AX23" i="6"/>
  <c r="BB32" i="6"/>
  <c r="BB34" i="6"/>
  <c r="AW38" i="6"/>
  <c r="AT42" i="6"/>
  <c r="AZ45" i="6"/>
  <c r="AY45" i="6"/>
  <c r="AR46" i="6"/>
  <c r="BB47" i="6"/>
  <c r="AZ51" i="6"/>
  <c r="AT51" i="6"/>
  <c r="AZ53" i="6"/>
  <c r="BC54" i="6"/>
  <c r="BD54" i="6"/>
  <c r="AY55" i="6"/>
  <c r="AU60" i="6"/>
  <c r="AT65" i="6"/>
  <c r="AZ65" i="6"/>
  <c r="AT72" i="6"/>
  <c r="AZ72" i="6"/>
  <c r="AZ80" i="6"/>
  <c r="AT80" i="6"/>
  <c r="BC82" i="6"/>
  <c r="BA87" i="6"/>
  <c r="AU87" i="6"/>
  <c r="AZ102" i="6"/>
  <c r="AT102" i="6"/>
  <c r="AY103" i="6"/>
  <c r="AX103" i="6"/>
  <c r="AT112" i="6"/>
  <c r="AZ112" i="6"/>
  <c r="AZ113" i="6"/>
  <c r="AY113" i="6"/>
  <c r="AT113" i="6"/>
  <c r="AW157" i="6"/>
  <c r="AX157" i="6"/>
  <c r="AY192" i="6"/>
  <c r="AX192" i="6"/>
  <c r="AV201" i="6"/>
  <c r="AW70" i="6"/>
  <c r="AR88" i="6"/>
  <c r="BD98" i="6"/>
  <c r="AZ109" i="6"/>
  <c r="AT109" i="6"/>
  <c r="BB118" i="6"/>
  <c r="BD121" i="6"/>
  <c r="AU129" i="6"/>
  <c r="BA129" i="6"/>
  <c r="AZ152" i="6"/>
  <c r="AT152" i="6"/>
  <c r="AR166" i="6"/>
  <c r="BC175" i="6"/>
  <c r="AW176" i="6"/>
  <c r="BD183" i="6"/>
  <c r="AX184" i="6"/>
  <c r="AY184" i="6"/>
  <c r="AW185" i="6"/>
  <c r="AX185" i="6"/>
  <c r="BC22" i="6"/>
  <c r="BD22" i="6"/>
  <c r="AR50" i="6"/>
  <c r="BA72" i="6"/>
  <c r="AU72" i="6"/>
  <c r="BA80" i="6"/>
  <c r="AU80" i="6"/>
  <c r="AR86" i="6"/>
  <c r="AW42" i="6"/>
  <c r="AR83" i="6"/>
  <c r="BA85" i="6"/>
  <c r="AZ85" i="6"/>
  <c r="AT85" i="6"/>
  <c r="AU85" i="6"/>
  <c r="AW119" i="6"/>
  <c r="AV119" i="6"/>
  <c r="AZ14" i="6"/>
  <c r="AR44" i="6"/>
  <c r="BB12" i="6"/>
  <c r="AT16" i="6"/>
  <c r="BD26" i="6"/>
  <c r="BC26" i="6"/>
  <c r="BA36" i="6"/>
  <c r="AY77" i="6"/>
  <c r="AU112" i="6"/>
  <c r="AR120" i="6"/>
  <c r="BB121" i="6"/>
  <c r="AU128" i="6"/>
  <c r="BB128" i="6"/>
  <c r="BA128" i="6"/>
  <c r="AY130" i="6"/>
  <c r="AT130" i="6"/>
  <c r="AZ130" i="6"/>
  <c r="AR134" i="6"/>
  <c r="BD135" i="6"/>
  <c r="AY136" i="6"/>
  <c r="AX136" i="6"/>
  <c r="AY153" i="6"/>
  <c r="AX153" i="6"/>
  <c r="AV184" i="6"/>
  <c r="AW197" i="6"/>
  <c r="BC12" i="6"/>
  <c r="AU16" i="6"/>
  <c r="AW21" i="6"/>
  <c r="AR22" i="6"/>
  <c r="AZ30" i="6"/>
  <c r="AT44" i="6"/>
  <c r="AX53" i="6"/>
  <c r="AV57" i="6"/>
  <c r="BC62" i="6"/>
  <c r="AV70" i="6"/>
  <c r="AU77" i="6"/>
  <c r="AT77" i="6"/>
  <c r="BA77" i="6"/>
  <c r="AZ77" i="6"/>
  <c r="BC98" i="6"/>
  <c r="AY109" i="6"/>
  <c r="BA118" i="6"/>
  <c r="AU118" i="6"/>
  <c r="BC121" i="6"/>
  <c r="AT129" i="6"/>
  <c r="AZ129" i="6"/>
  <c r="AV176" i="6"/>
  <c r="BC183" i="6"/>
  <c r="AW184" i="6"/>
  <c r="AW7" i="6"/>
  <c r="BD12" i="6"/>
  <c r="AV16" i="6"/>
  <c r="BD19" i="6"/>
  <c r="AX21" i="6"/>
  <c r="AT25" i="6"/>
  <c r="AR29" i="6"/>
  <c r="BA30" i="6"/>
  <c r="BD52" i="6"/>
  <c r="BB56" i="6"/>
  <c r="BD62" i="6"/>
  <c r="AV6" i="6"/>
  <c r="AX7" i="6"/>
  <c r="AU25" i="6"/>
  <c r="BB30" i="6"/>
  <c r="BC56" i="6"/>
  <c r="AX70" i="6"/>
  <c r="AU109" i="6"/>
  <c r="BA109" i="6"/>
  <c r="BD118" i="6"/>
  <c r="BC118" i="6"/>
  <c r="BC129" i="6"/>
  <c r="BB129" i="6"/>
  <c r="BB130" i="6"/>
  <c r="BC130" i="6"/>
  <c r="AU152" i="6"/>
  <c r="BA152" i="6"/>
  <c r="BB152" i="6"/>
  <c r="BD175" i="6"/>
  <c r="AY176" i="6"/>
  <c r="AX176" i="6"/>
  <c r="AR182" i="6"/>
  <c r="BA186" i="6"/>
  <c r="AU186" i="6"/>
  <c r="AW201" i="6"/>
  <c r="AX201" i="6"/>
  <c r="AY38" i="6"/>
  <c r="AV42" i="6"/>
  <c r="AU58" i="6"/>
  <c r="BA58" i="6"/>
  <c r="BB102" i="6"/>
  <c r="AZ140" i="6"/>
  <c r="AT140" i="6"/>
  <c r="BA156" i="6"/>
  <c r="BB156" i="6"/>
  <c r="AU156" i="6"/>
  <c r="BB186" i="6"/>
  <c r="AZ38" i="6"/>
  <c r="BC58" i="6"/>
  <c r="BB58" i="6"/>
  <c r="BC102" i="6"/>
  <c r="BD112" i="6"/>
  <c r="BC112" i="6"/>
  <c r="AZ121" i="6"/>
  <c r="AT121" i="6"/>
  <c r="AR204" i="6"/>
  <c r="AX42" i="6"/>
  <c r="BD102" i="6"/>
  <c r="BA121" i="6"/>
  <c r="AU121" i="6"/>
  <c r="BA14" i="6"/>
  <c r="AY30" i="6"/>
  <c r="BA63" i="6"/>
  <c r="AU63" i="6"/>
  <c r="AZ89" i="6"/>
  <c r="AU89" i="6"/>
  <c r="AT89" i="6"/>
  <c r="BA89" i="6"/>
  <c r="AT99" i="6"/>
  <c r="AZ99" i="6"/>
  <c r="AY99" i="6"/>
  <c r="BB14" i="6"/>
  <c r="AR66" i="6"/>
  <c r="AT115" i="6"/>
  <c r="AZ115" i="6"/>
  <c r="AY115" i="6"/>
  <c r="AZ7" i="6"/>
  <c r="BC15" i="6"/>
  <c r="BA62" i="6"/>
  <c r="AY126" i="6"/>
  <c r="AT126" i="6"/>
  <c r="AW127" i="6"/>
  <c r="AV127" i="6"/>
  <c r="AU180" i="6"/>
  <c r="AT180" i="6"/>
  <c r="BA180" i="6"/>
  <c r="AZ180" i="6"/>
  <c r="AR6" i="6"/>
  <c r="BA7" i="6"/>
  <c r="AW34" i="6"/>
  <c r="BD39" i="6"/>
  <c r="AY42" i="6"/>
  <c r="AV61" i="6"/>
  <c r="AZ105" i="6"/>
  <c r="AT105" i="6"/>
  <c r="BD114" i="6"/>
  <c r="BA5" i="6"/>
  <c r="AZ5" i="6"/>
  <c r="BB7" i="6"/>
  <c r="BA10" i="6"/>
  <c r="AR15" i="6"/>
  <c r="AX19" i="6"/>
  <c r="BD24" i="6"/>
  <c r="BB28" i="6"/>
  <c r="AU33" i="6"/>
  <c r="AX34" i="6"/>
  <c r="BA43" i="6"/>
  <c r="AX47" i="6"/>
  <c r="AU56" i="6"/>
  <c r="BC60" i="6"/>
  <c r="AW61" i="6"/>
  <c r="AX75" i="6"/>
  <c r="AR81" i="6"/>
  <c r="AY82" i="6"/>
  <c r="BD95" i="6"/>
  <c r="AZ96" i="6"/>
  <c r="AY96" i="6"/>
  <c r="BA105" i="6"/>
  <c r="AU105" i="6"/>
  <c r="AT148" i="6"/>
  <c r="AZ148" i="6"/>
  <c r="AR159" i="6"/>
  <c r="AZ164" i="6"/>
  <c r="AU164" i="6"/>
  <c r="AT164" i="6"/>
  <c r="BA164" i="6"/>
  <c r="AZ122" i="6"/>
  <c r="AU122" i="6"/>
  <c r="AT122" i="6"/>
  <c r="AZ156" i="6"/>
  <c r="AT156" i="6"/>
  <c r="AW9" i="6"/>
  <c r="AT18" i="6"/>
  <c r="BD32" i="6"/>
  <c r="AR100" i="6"/>
  <c r="AT40" i="6"/>
  <c r="BC80" i="6"/>
  <c r="BC84" i="6"/>
  <c r="BD84" i="6"/>
  <c r="AV40" i="6"/>
  <c r="AU40" i="6"/>
  <c r="AV46" i="6"/>
  <c r="AZ49" i="6"/>
  <c r="AY49" i="6"/>
  <c r="AT49" i="6"/>
  <c r="AZ63" i="6"/>
  <c r="AT63" i="6"/>
  <c r="AR155" i="6"/>
  <c r="AW53" i="6"/>
  <c r="BB62" i="6"/>
  <c r="BD30" i="6"/>
  <c r="BC30" i="6"/>
  <c r="AW11" i="6"/>
  <c r="BB24" i="6"/>
  <c r="BC39" i="6"/>
  <c r="AW82" i="6"/>
  <c r="AX96" i="6"/>
  <c r="AW96" i="6"/>
  <c r="AV165" i="6"/>
  <c r="AW173" i="6"/>
  <c r="BD15" i="6"/>
  <c r="BC24" i="6"/>
  <c r="AZ43" i="6"/>
  <c r="BB60" i="6"/>
  <c r="AW75" i="6"/>
  <c r="AW165" i="6"/>
  <c r="AZ9" i="6"/>
  <c r="AY19" i="6"/>
  <c r="AW46" i="6"/>
  <c r="AW51" i="6"/>
  <c r="AX61" i="6"/>
  <c r="AR64" i="6"/>
  <c r="AW65" i="6"/>
  <c r="AT82" i="6"/>
  <c r="AZ82" i="6"/>
  <c r="AU148" i="6"/>
  <c r="BB148" i="6"/>
  <c r="BA148" i="6"/>
  <c r="BA160" i="6"/>
  <c r="AZ160" i="6"/>
  <c r="AU160" i="6"/>
  <c r="AT160" i="6"/>
  <c r="BA51" i="6"/>
  <c r="AU51" i="6"/>
  <c r="AT58" i="6"/>
  <c r="AZ58" i="6"/>
  <c r="AU65" i="6"/>
  <c r="BB65" i="6"/>
  <c r="BA65" i="6"/>
  <c r="AR111" i="6"/>
  <c r="BD47" i="6"/>
  <c r="BB80" i="6"/>
  <c r="BB112" i="6"/>
  <c r="AY121" i="6"/>
  <c r="AY14" i="6"/>
  <c r="AX49" i="6"/>
  <c r="BD186" i="6"/>
  <c r="BC186" i="6"/>
  <c r="AW203" i="6"/>
  <c r="AV203" i="6"/>
  <c r="AV18" i="6"/>
  <c r="BB26" i="6"/>
  <c r="BD35" i="6"/>
  <c r="AV21" i="6"/>
  <c r="AR54" i="6"/>
  <c r="BA28" i="6"/>
  <c r="AX82" i="6"/>
  <c r="AT47" i="6"/>
  <c r="AZ47" i="6"/>
  <c r="AW55" i="6"/>
  <c r="AX65" i="6"/>
  <c r="AU82" i="6"/>
  <c r="BA82" i="6"/>
  <c r="AV103" i="6"/>
  <c r="AW103" i="6"/>
  <c r="AW113" i="6"/>
  <c r="BC143" i="6"/>
  <c r="AW144" i="6"/>
  <c r="AR202" i="6"/>
  <c r="AR67" i="6"/>
  <c r="AZ75" i="6"/>
  <c r="AV101" i="6"/>
  <c r="BC109" i="6"/>
  <c r="AV120" i="6"/>
  <c r="BD126" i="6"/>
  <c r="AT136" i="6"/>
  <c r="BA136" i="6"/>
  <c r="AZ136" i="6"/>
  <c r="P237" i="6"/>
  <c r="AY11" i="6"/>
  <c r="AX11" i="6"/>
  <c r="BD80" i="6"/>
  <c r="AT10" i="6"/>
  <c r="BC68" i="6"/>
  <c r="BA94" i="6"/>
  <c r="AU94" i="6"/>
  <c r="AR99" i="6"/>
  <c r="AU173" i="6"/>
  <c r="BA173" i="6"/>
  <c r="AU10" i="6"/>
  <c r="AW15" i="6"/>
  <c r="AU26" i="6"/>
  <c r="AX35" i="6"/>
  <c r="BB44" i="6"/>
  <c r="AU46" i="6"/>
  <c r="AV62" i="6"/>
  <c r="AU66" i="6"/>
  <c r="BA66" i="6"/>
  <c r="BC78" i="6"/>
  <c r="AY79" i="6"/>
  <c r="BC93" i="6"/>
  <c r="BB100" i="6"/>
  <c r="AU101" i="6"/>
  <c r="AT101" i="6"/>
  <c r="AT116" i="6"/>
  <c r="AU116" i="6"/>
  <c r="BA116" i="6"/>
  <c r="BD123" i="6"/>
  <c r="AV125" i="6"/>
  <c r="AT133" i="6"/>
  <c r="AZ133" i="6"/>
  <c r="BA133" i="6"/>
  <c r="AU137" i="6"/>
  <c r="BA137" i="6"/>
  <c r="AR152" i="6"/>
  <c r="AZ154" i="6"/>
  <c r="AT154" i="6"/>
  <c r="AR156" i="6"/>
  <c r="AW171" i="6"/>
  <c r="AV171" i="6"/>
  <c r="AR172" i="6"/>
  <c r="BC173" i="6"/>
  <c r="BB173" i="6"/>
  <c r="AY190" i="6"/>
  <c r="AY194" i="6"/>
  <c r="AR223" i="6"/>
  <c r="AX27" i="6"/>
  <c r="AX59" i="6"/>
  <c r="BB63" i="6"/>
  <c r="AY70" i="6"/>
  <c r="BA73" i="6"/>
  <c r="AZ73" i="6"/>
  <c r="AX173" i="6"/>
  <c r="AX197" i="6"/>
  <c r="AT22" i="6"/>
  <c r="BC63" i="6"/>
  <c r="AW116" i="6"/>
  <c r="AT132" i="6"/>
  <c r="BA132" i="6"/>
  <c r="AZ132" i="6"/>
  <c r="AR225" i="6"/>
  <c r="AD237" i="6"/>
  <c r="BF37" i="6" s="1"/>
  <c r="AU70" i="6"/>
  <c r="AU78" i="6"/>
  <c r="AX101" i="6"/>
  <c r="BD119" i="6"/>
  <c r="AR168" i="6"/>
  <c r="AW191" i="6"/>
  <c r="AV191" i="6"/>
  <c r="AZ198" i="6"/>
  <c r="AT198" i="6"/>
  <c r="BA44" i="6"/>
  <c r="AU59" i="6"/>
  <c r="BA100" i="6"/>
  <c r="AT137" i="6"/>
  <c r="AX15" i="6"/>
  <c r="AT30" i="6"/>
  <c r="AY35" i="6"/>
  <c r="AW39" i="6"/>
  <c r="BC44" i="6"/>
  <c r="BA48" i="6"/>
  <c r="AT50" i="6"/>
  <c r="AW62" i="6"/>
  <c r="BB66" i="6"/>
  <c r="AW67" i="6"/>
  <c r="BD78" i="6"/>
  <c r="AT79" i="6"/>
  <c r="BD83" i="6"/>
  <c r="AT86" i="6"/>
  <c r="BD93" i="6"/>
  <c r="BC100" i="6"/>
  <c r="BD100" i="6"/>
  <c r="AT124" i="6"/>
  <c r="AU124" i="6"/>
  <c r="AZ146" i="6"/>
  <c r="AT146" i="6"/>
  <c r="AX147" i="6"/>
  <c r="AW147" i="6"/>
  <c r="BA154" i="6"/>
  <c r="AU154" i="6"/>
  <c r="BC166" i="6"/>
  <c r="AR188" i="6"/>
  <c r="AZ190" i="6"/>
  <c r="AT190" i="6"/>
  <c r="AZ194" i="6"/>
  <c r="AT194" i="6"/>
  <c r="BC87" i="6"/>
  <c r="AY93" i="6"/>
  <c r="AR128" i="6"/>
  <c r="AU144" i="6"/>
  <c r="BB144" i="6"/>
  <c r="BA144" i="6"/>
  <c r="BA68" i="6"/>
  <c r="AT70" i="6"/>
  <c r="AZ70" i="6"/>
  <c r="AY100" i="6"/>
  <c r="BB110" i="6"/>
  <c r="AV124" i="6"/>
  <c r="BD131" i="6"/>
  <c r="AU141" i="6"/>
  <c r="BB16" i="6"/>
  <c r="BD63" i="6"/>
  <c r="BB68" i="6"/>
  <c r="AR106" i="6"/>
  <c r="BB141" i="6"/>
  <c r="AT169" i="6"/>
  <c r="AZ169" i="6"/>
  <c r="BC16" i="6"/>
  <c r="AT26" i="6"/>
  <c r="AY31" i="6"/>
  <c r="AY15" i="6"/>
  <c r="BA20" i="6"/>
  <c r="AU30" i="6"/>
  <c r="AX39" i="6"/>
  <c r="BB48" i="6"/>
  <c r="AU50" i="6"/>
  <c r="AT55" i="6"/>
  <c r="AX62" i="6"/>
  <c r="BC66" i="6"/>
  <c r="AX67" i="6"/>
  <c r="AT68" i="6"/>
  <c r="BA70" i="6"/>
  <c r="AT73" i="6"/>
  <c r="AT75" i="6"/>
  <c r="AV89" i="6"/>
  <c r="AV92" i="6"/>
  <c r="BD107" i="6"/>
  <c r="AT108" i="6"/>
  <c r="AU108" i="6"/>
  <c r="AZ114" i="6"/>
  <c r="BA134" i="6"/>
  <c r="AU134" i="6"/>
  <c r="BA146" i="6"/>
  <c r="AU146" i="6"/>
  <c r="BB161" i="6"/>
  <c r="BD166" i="6"/>
  <c r="BA178" i="6"/>
  <c r="AU178" i="6"/>
  <c r="AW187" i="6"/>
  <c r="AV187" i="6"/>
  <c r="BA194" i="6"/>
  <c r="AU194" i="6"/>
  <c r="BB36" i="6"/>
  <c r="BA110" i="6"/>
  <c r="AU110" i="6"/>
  <c r="AT141" i="6"/>
  <c r="AZ141" i="6"/>
  <c r="AT157" i="6"/>
  <c r="AZ157" i="6"/>
  <c r="BA157" i="6"/>
  <c r="AV181" i="6"/>
  <c r="AY27" i="6"/>
  <c r="AV86" i="6"/>
  <c r="AY173" i="6"/>
  <c r="AY197" i="6"/>
  <c r="AU22" i="6"/>
  <c r="AX31" i="6"/>
  <c r="BB40" i="6"/>
  <c r="AW79" i="6"/>
  <c r="BA93" i="6"/>
  <c r="AT100" i="6"/>
  <c r="AZ100" i="6"/>
  <c r="AV108" i="6"/>
  <c r="AX116" i="6"/>
  <c r="AW124" i="6"/>
  <c r="AT173" i="6"/>
  <c r="AZ173" i="6"/>
  <c r="AW195" i="6"/>
  <c r="AV195" i="6"/>
  <c r="AT197" i="6"/>
  <c r="AZ197" i="6"/>
  <c r="AR224" i="6"/>
  <c r="AW35" i="6"/>
  <c r="AT46" i="6"/>
  <c r="BB78" i="6"/>
  <c r="AV84" i="6"/>
  <c r="AY154" i="6"/>
  <c r="AU197" i="6"/>
  <c r="BB197" i="6"/>
  <c r="BA197" i="6"/>
  <c r="AR61" i="6"/>
  <c r="AU68" i="6"/>
  <c r="AU73" i="6"/>
  <c r="BC96" i="6"/>
  <c r="AZ98" i="6"/>
  <c r="AT98" i="6"/>
  <c r="AU100" i="6"/>
  <c r="AR110" i="6"/>
  <c r="BA114" i="6"/>
  <c r="AU114" i="6"/>
  <c r="BD116" i="6"/>
  <c r="BC116" i="6"/>
  <c r="AW130" i="6"/>
  <c r="AV130" i="6"/>
  <c r="BB149" i="6"/>
  <c r="BD150" i="6"/>
  <c r="BC150" i="6"/>
  <c r="BD162" i="6"/>
  <c r="AW164" i="6"/>
  <c r="AV164" i="6"/>
  <c r="BC170" i="6"/>
  <c r="BC178" i="6"/>
  <c r="BB178" i="6"/>
  <c r="AR180" i="6"/>
  <c r="AY186" i="6"/>
  <c r="BB194" i="6"/>
  <c r="AX107" i="6"/>
  <c r="BA16" i="6"/>
  <c r="AW31" i="6"/>
  <c r="BC36" i="6"/>
  <c r="BA40" i="6"/>
  <c r="AY59" i="6"/>
  <c r="BA75" i="6"/>
  <c r="AU75" i="6"/>
  <c r="AX91" i="6"/>
  <c r="AW91" i="6"/>
  <c r="AZ93" i="6"/>
  <c r="AW101" i="6"/>
  <c r="AZ107" i="6"/>
  <c r="AY107" i="6"/>
  <c r="BD109" i="6"/>
  <c r="AZ59" i="6"/>
  <c r="BB75" i="6"/>
  <c r="AU132" i="6"/>
  <c r="AR196" i="6"/>
  <c r="BC40" i="6"/>
  <c r="AX79" i="6"/>
  <c r="BB93" i="6"/>
  <c r="AY116" i="6"/>
  <c r="AY124" i="6"/>
  <c r="AX124" i="6"/>
  <c r="AU169" i="6"/>
  <c r="BA169" i="6"/>
  <c r="AU34" i="6"/>
  <c r="BB52" i="6"/>
  <c r="AU54" i="6"/>
  <c r="AT59" i="6"/>
  <c r="AT62" i="6"/>
  <c r="BA84" i="6"/>
  <c r="AU84" i="6"/>
  <c r="AU93" i="6"/>
  <c r="BA98" i="6"/>
  <c r="AU98" i="6"/>
  <c r="AT107" i="6"/>
  <c r="BB114" i="6"/>
  <c r="BA141" i="6"/>
  <c r="AZ186" i="6"/>
  <c r="BC72" i="6"/>
  <c r="AT74" i="6"/>
  <c r="AW83" i="6"/>
  <c r="AU86" i="6"/>
  <c r="AV97" i="6"/>
  <c r="BD103" i="6"/>
  <c r="AV104" i="6"/>
  <c r="AZ106" i="6"/>
  <c r="BC110" i="6"/>
  <c r="AW125" i="6"/>
  <c r="BB137" i="6"/>
  <c r="AY138" i="6"/>
  <c r="AR147" i="6"/>
  <c r="BB154" i="6"/>
  <c r="AX165" i="6"/>
  <c r="BC194" i="6"/>
  <c r="AR209" i="6"/>
  <c r="BD237" i="6"/>
  <c r="AW71" i="6"/>
  <c r="AU74" i="6"/>
  <c r="AX83" i="6"/>
  <c r="AZ138" i="6"/>
  <c r="AT138" i="6"/>
  <c r="AZ142" i="6"/>
  <c r="AT142" i="6"/>
  <c r="AT177" i="6"/>
  <c r="AZ177" i="6"/>
  <c r="AZ184" i="6"/>
  <c r="AU184" i="6"/>
  <c r="AT184" i="6"/>
  <c r="BA192" i="6"/>
  <c r="AZ192" i="6"/>
  <c r="AR208" i="6"/>
  <c r="BB64" i="6"/>
  <c r="AX71" i="6"/>
  <c r="AY83" i="6"/>
  <c r="BA88" i="6"/>
  <c r="AU92" i="6"/>
  <c r="AX97" i="6"/>
  <c r="AX104" i="6"/>
  <c r="AR112" i="6"/>
  <c r="BD117" i="6"/>
  <c r="AT120" i="6"/>
  <c r="AU120" i="6"/>
  <c r="BA131" i="6"/>
  <c r="AZ131" i="6"/>
  <c r="BD154" i="6"/>
  <c r="BD158" i="6"/>
  <c r="AZ162" i="6"/>
  <c r="AT165" i="6"/>
  <c r="AZ165" i="6"/>
  <c r="AR176" i="6"/>
  <c r="AU177" i="6"/>
  <c r="AW193" i="6"/>
  <c r="BC195" i="6"/>
  <c r="BC202" i="6"/>
  <c r="AX63" i="6"/>
  <c r="BC64" i="6"/>
  <c r="AY71" i="6"/>
  <c r="BA76" i="6"/>
  <c r="BB88" i="6"/>
  <c r="AZ90" i="6"/>
  <c r="AW95" i="6"/>
  <c r="AY97" i="6"/>
  <c r="AV109" i="6"/>
  <c r="AR124" i="6"/>
  <c r="AZ125" i="6"/>
  <c r="AW132" i="6"/>
  <c r="BD151" i="6"/>
  <c r="AY152" i="6"/>
  <c r="AX152" i="6"/>
  <c r="BA162" i="6"/>
  <c r="AU162" i="6"/>
  <c r="AR164" i="6"/>
  <c r="AU165" i="6"/>
  <c r="BA165" i="6"/>
  <c r="AY178" i="6"/>
  <c r="AT181" i="6"/>
  <c r="AZ181" i="6"/>
  <c r="AR187" i="6"/>
  <c r="BD202" i="6"/>
  <c r="BB76" i="6"/>
  <c r="BC88" i="6"/>
  <c r="BA90" i="6"/>
  <c r="AU90" i="6"/>
  <c r="AX95" i="6"/>
  <c r="AR96" i="6"/>
  <c r="AT97" i="6"/>
  <c r="AT104" i="6"/>
  <c r="AW109" i="6"/>
  <c r="BD115" i="6"/>
  <c r="AZ118" i="6"/>
  <c r="AT118" i="6"/>
  <c r="AZ123" i="6"/>
  <c r="AY123" i="6"/>
  <c r="BA125" i="6"/>
  <c r="AU125" i="6"/>
  <c r="AV136" i="6"/>
  <c r="BD138" i="6"/>
  <c r="BC138" i="6"/>
  <c r="AY146" i="6"/>
  <c r="AV153" i="6"/>
  <c r="BB162" i="6"/>
  <c r="BA172" i="6"/>
  <c r="AZ172" i="6"/>
  <c r="AU181" i="6"/>
  <c r="BA181" i="6"/>
  <c r="AT189" i="6"/>
  <c r="BA189" i="6"/>
  <c r="AZ189" i="6"/>
  <c r="AY200" i="6"/>
  <c r="AX200" i="6"/>
  <c r="AZ94" i="6"/>
  <c r="BA106" i="6"/>
  <c r="AV117" i="6"/>
  <c r="BA122" i="6"/>
  <c r="AV128" i="6"/>
  <c r="BA130" i="6"/>
  <c r="AU130" i="6"/>
  <c r="AY142" i="6"/>
  <c r="AW145" i="6"/>
  <c r="AW161" i="6"/>
  <c r="AZ182" i="6"/>
  <c r="AT182" i="6"/>
  <c r="BA190" i="6"/>
  <c r="AU190" i="6"/>
  <c r="BA198" i="6"/>
  <c r="AU198" i="6"/>
  <c r="BC203" i="6"/>
  <c r="BA182" i="6"/>
  <c r="AU182" i="6"/>
  <c r="BB94" i="6"/>
  <c r="AT96" i="6"/>
  <c r="BD99" i="6"/>
  <c r="AV105" i="6"/>
  <c r="AX117" i="6"/>
  <c r="AZ126" i="6"/>
  <c r="AR132" i="6"/>
  <c r="AU133" i="6"/>
  <c r="AU136" i="6"/>
  <c r="AV140" i="6"/>
  <c r="BA142" i="6"/>
  <c r="AU142" i="6"/>
  <c r="BC147" i="6"/>
  <c r="AZ150" i="6"/>
  <c r="AY158" i="6"/>
  <c r="BC163" i="6"/>
  <c r="AV169" i="6"/>
  <c r="AV180" i="6"/>
  <c r="BD187" i="6"/>
  <c r="AY188" i="6"/>
  <c r="AX188" i="6"/>
  <c r="BC190" i="6"/>
  <c r="BC198" i="6"/>
  <c r="AR200" i="6"/>
  <c r="AT201" i="6"/>
  <c r="AZ201" i="6"/>
  <c r="AV93" i="6"/>
  <c r="AW105" i="6"/>
  <c r="AR116" i="6"/>
  <c r="AV121" i="6"/>
  <c r="BA126" i="6"/>
  <c r="BC139" i="6"/>
  <c r="AW140" i="6"/>
  <c r="BD147" i="6"/>
  <c r="AW148" i="6"/>
  <c r="BA150" i="6"/>
  <c r="AU150" i="6"/>
  <c r="AZ158" i="6"/>
  <c r="AT158" i="6"/>
  <c r="AW169" i="6"/>
  <c r="BC179" i="6"/>
  <c r="BD190" i="6"/>
  <c r="AR195" i="6"/>
  <c r="AU201" i="6"/>
  <c r="BA201" i="6"/>
  <c r="AY148" i="6"/>
  <c r="AX148" i="6"/>
  <c r="BA158" i="6"/>
  <c r="AU158" i="6"/>
  <c r="BA166" i="6"/>
  <c r="AU166" i="6"/>
  <c r="AZ188" i="6"/>
  <c r="AU188" i="6"/>
  <c r="AV189" i="6"/>
  <c r="AZ134" i="6"/>
  <c r="BA138" i="6"/>
  <c r="AU138" i="6"/>
  <c r="AV149" i="6"/>
  <c r="AW153" i="6"/>
  <c r="AR160" i="6"/>
  <c r="AT161" i="6"/>
  <c r="BC167" i="6"/>
  <c r="AZ178" i="6"/>
  <c r="AV185" i="6"/>
  <c r="AR192" i="6"/>
  <c r="AT193" i="6"/>
  <c r="BC199" i="6"/>
  <c r="AR207" i="6"/>
  <c r="AV137" i="6"/>
  <c r="AW141" i="6"/>
  <c r="AR148" i="6"/>
  <c r="AT153" i="6"/>
  <c r="AU157" i="6"/>
  <c r="BD163" i="6"/>
  <c r="AY170" i="6"/>
  <c r="BA174" i="6"/>
  <c r="AU174" i="6"/>
  <c r="AW181" i="6"/>
  <c r="AU189" i="6"/>
  <c r="BD195" i="6"/>
  <c r="AY202" i="6"/>
  <c r="AM237" i="6"/>
  <c r="AU153" i="6"/>
  <c r="BC159" i="6"/>
  <c r="AZ170" i="6"/>
  <c r="AV177" i="6"/>
  <c r="AR184" i="6"/>
  <c r="AT185" i="6"/>
  <c r="AN237" i="6"/>
  <c r="BB127" i="6"/>
  <c r="AW133" i="6"/>
  <c r="AR140" i="6"/>
  <c r="AT145" i="6"/>
  <c r="AU149" i="6"/>
  <c r="BC155" i="6"/>
  <c r="BD159" i="6"/>
  <c r="AY166" i="6"/>
  <c r="BA170" i="6"/>
  <c r="AU170" i="6"/>
  <c r="BD191" i="6"/>
  <c r="BA202" i="6"/>
  <c r="AU202" i="6"/>
  <c r="AR29" i="5"/>
  <c r="AX129" i="5"/>
  <c r="AW129" i="5"/>
  <c r="BD47" i="5"/>
  <c r="BC60" i="5"/>
  <c r="AR37" i="5"/>
  <c r="BA100" i="5"/>
  <c r="BB100" i="5"/>
  <c r="AX107" i="5"/>
  <c r="BA111" i="5"/>
  <c r="BD177" i="5"/>
  <c r="AX55" i="5"/>
  <c r="AR104" i="5"/>
  <c r="BC20" i="5"/>
  <c r="AX46" i="5"/>
  <c r="BD75" i="5"/>
  <c r="BA97" i="5"/>
  <c r="AZ97" i="5"/>
  <c r="AZ107" i="5"/>
  <c r="BA107" i="5"/>
  <c r="AZ55" i="5"/>
  <c r="AV74" i="5"/>
  <c r="AU74" i="5"/>
  <c r="AW53" i="5"/>
  <c r="AV53" i="5"/>
  <c r="AW63" i="5"/>
  <c r="BB92" i="5"/>
  <c r="BC93" i="5"/>
  <c r="AR115" i="5"/>
  <c r="BA158" i="5"/>
  <c r="AU18" i="5"/>
  <c r="BA19" i="5"/>
  <c r="AU20" i="5"/>
  <c r="AV23" i="5"/>
  <c r="AX24" i="5"/>
  <c r="AU26" i="5"/>
  <c r="BA26" i="5"/>
  <c r="AY31" i="5"/>
  <c r="AX44" i="5"/>
  <c r="AW44" i="5"/>
  <c r="AX61" i="5"/>
  <c r="AX63" i="5"/>
  <c r="BD93" i="5"/>
  <c r="BC100" i="5"/>
  <c r="AX111" i="5"/>
  <c r="BD136" i="5"/>
  <c r="BC136" i="5"/>
  <c r="BD145" i="5"/>
  <c r="AZ146" i="5"/>
  <c r="AT149" i="5"/>
  <c r="AU149" i="5"/>
  <c r="AW14" i="5"/>
  <c r="AR33" i="5"/>
  <c r="BB64" i="5"/>
  <c r="AZ51" i="5"/>
  <c r="AV98" i="5"/>
  <c r="AU98" i="5"/>
  <c r="AR148" i="5"/>
  <c r="AW46" i="5"/>
  <c r="BA51" i="5"/>
  <c r="BC111" i="5"/>
  <c r="BB111" i="5"/>
  <c r="AZ168" i="5"/>
  <c r="AR204" i="5"/>
  <c r="BC32" i="5"/>
  <c r="BB67" i="5"/>
  <c r="BA93" i="5"/>
  <c r="AZ93" i="5"/>
  <c r="BB25" i="5"/>
  <c r="BD40" i="5"/>
  <c r="AR79" i="5"/>
  <c r="AR96" i="5"/>
  <c r="BB162" i="5"/>
  <c r="BC162" i="5"/>
  <c r="AW56" i="5"/>
  <c r="AX56" i="5"/>
  <c r="BA115" i="5"/>
  <c r="BD121" i="5"/>
  <c r="BC121" i="5"/>
  <c r="BC130" i="5"/>
  <c r="BD130" i="5"/>
  <c r="AR172" i="5"/>
  <c r="BA72" i="5"/>
  <c r="BB73" i="5"/>
  <c r="AU79" i="5"/>
  <c r="AR84" i="5"/>
  <c r="AR111" i="5"/>
  <c r="BB196" i="5"/>
  <c r="BC196" i="5"/>
  <c r="AU77" i="5"/>
  <c r="AT41" i="5"/>
  <c r="AV46" i="5"/>
  <c r="BC64" i="5"/>
  <c r="AW85" i="5"/>
  <c r="AX85" i="5"/>
  <c r="AX130" i="5"/>
  <c r="AW22" i="5"/>
  <c r="BD64" i="5"/>
  <c r="AY55" i="5"/>
  <c r="AR105" i="5"/>
  <c r="BC36" i="5"/>
  <c r="BB87" i="5"/>
  <c r="AY19" i="5"/>
  <c r="AX59" i="5"/>
  <c r="BA69" i="5"/>
  <c r="AZ69" i="5"/>
  <c r="BB121" i="5"/>
  <c r="AR48" i="5"/>
  <c r="AW65" i="5"/>
  <c r="BA153" i="5"/>
  <c r="AZ153" i="5"/>
  <c r="BC16" i="5"/>
  <c r="AX20" i="5"/>
  <c r="AR25" i="5"/>
  <c r="AW25" i="5"/>
  <c r="BA28" i="5"/>
  <c r="BA30" i="5"/>
  <c r="AY32" i="5"/>
  <c r="BA35" i="5"/>
  <c r="AZ39" i="5"/>
  <c r="AV43" i="5"/>
  <c r="BA55" i="5"/>
  <c r="AV57" i="5"/>
  <c r="AV58" i="5"/>
  <c r="AT61" i="5"/>
  <c r="AX65" i="5"/>
  <c r="AW67" i="5"/>
  <c r="BC72" i="5"/>
  <c r="BD73" i="5"/>
  <c r="BC76" i="5"/>
  <c r="AW79" i="5"/>
  <c r="BC84" i="5"/>
  <c r="AX91" i="5"/>
  <c r="AZ114" i="5"/>
  <c r="AY114" i="5"/>
  <c r="AV120" i="5"/>
  <c r="AU144" i="5"/>
  <c r="BC146" i="5"/>
  <c r="BD146" i="5"/>
  <c r="BB147" i="5"/>
  <c r="AW188" i="5"/>
  <c r="AV188" i="5"/>
  <c r="BC71" i="5"/>
  <c r="BD71" i="5"/>
  <c r="BC128" i="5"/>
  <c r="AY43" i="5"/>
  <c r="BC75" i="5"/>
  <c r="AZ129" i="5"/>
  <c r="BA129" i="5"/>
  <c r="AR192" i="5"/>
  <c r="BB200" i="5"/>
  <c r="BC200" i="5"/>
  <c r="AV41" i="5"/>
  <c r="AY126" i="5"/>
  <c r="AX126" i="5"/>
  <c r="AZ130" i="5"/>
  <c r="BA130" i="5"/>
  <c r="AV159" i="5"/>
  <c r="AW159" i="5"/>
  <c r="AU50" i="5"/>
  <c r="AR92" i="5"/>
  <c r="BD106" i="5"/>
  <c r="AZ122" i="5"/>
  <c r="BA27" i="5"/>
  <c r="BB54" i="5"/>
  <c r="BB107" i="5"/>
  <c r="AY133" i="5"/>
  <c r="AZ133" i="5"/>
  <c r="AX187" i="5"/>
  <c r="AY187" i="5"/>
  <c r="AT194" i="5"/>
  <c r="AU194" i="5"/>
  <c r="AU27" i="5"/>
  <c r="AZ32" i="5"/>
  <c r="BA34" i="5"/>
  <c r="AY36" i="5"/>
  <c r="AZ48" i="5"/>
  <c r="AT52" i="5"/>
  <c r="AV62" i="5"/>
  <c r="AX69" i="5"/>
  <c r="BA78" i="5"/>
  <c r="BB78" i="5"/>
  <c r="BA85" i="5"/>
  <c r="AY91" i="5"/>
  <c r="AZ91" i="5"/>
  <c r="AR131" i="5"/>
  <c r="AY139" i="5"/>
  <c r="AZ139" i="5"/>
  <c r="AV144" i="5"/>
  <c r="AW144" i="5"/>
  <c r="BB186" i="5"/>
  <c r="BC186" i="5"/>
  <c r="BC42" i="5"/>
  <c r="BB42" i="5"/>
  <c r="AT98" i="5"/>
  <c r="AU41" i="5"/>
  <c r="BB51" i="5"/>
  <c r="BD68" i="5"/>
  <c r="BC68" i="5"/>
  <c r="AY27" i="5"/>
  <c r="BC40" i="5"/>
  <c r="BC80" i="5"/>
  <c r="BD80" i="5"/>
  <c r="AW164" i="5"/>
  <c r="AV164" i="5"/>
  <c r="AY49" i="5"/>
  <c r="AX49" i="5"/>
  <c r="BA90" i="5"/>
  <c r="BB90" i="5"/>
  <c r="AY15" i="5"/>
  <c r="AR16" i="5"/>
  <c r="AT19" i="5"/>
  <c r="AZ20" i="5"/>
  <c r="BC24" i="5"/>
  <c r="AV27" i="5"/>
  <c r="AX28" i="5"/>
  <c r="AU34" i="5"/>
  <c r="AZ36" i="5"/>
  <c r="BA38" i="5"/>
  <c r="AZ43" i="5"/>
  <c r="AZ46" i="5"/>
  <c r="BC55" i="5"/>
  <c r="AZ58" i="5"/>
  <c r="AT82" i="5"/>
  <c r="AT86" i="5"/>
  <c r="AZ87" i="5"/>
  <c r="AY87" i="5"/>
  <c r="BA89" i="5"/>
  <c r="AX94" i="5"/>
  <c r="AX98" i="5"/>
  <c r="AW100" i="5"/>
  <c r="AV100" i="5"/>
  <c r="AY102" i="5"/>
  <c r="BC109" i="5"/>
  <c r="BD109" i="5"/>
  <c r="BA122" i="5"/>
  <c r="AR86" i="5"/>
  <c r="AR13" i="5"/>
  <c r="AU22" i="5"/>
  <c r="AU46" i="5"/>
  <c r="AY51" i="5"/>
  <c r="BC28" i="5"/>
  <c r="BA106" i="5"/>
  <c r="AZ106" i="5"/>
  <c r="AZ112" i="5"/>
  <c r="AY112" i="5"/>
  <c r="AW69" i="5"/>
  <c r="BD128" i="5"/>
  <c r="BB80" i="5"/>
  <c r="AR160" i="5"/>
  <c r="AT50" i="5"/>
  <c r="AT105" i="5"/>
  <c r="AR76" i="5"/>
  <c r="AZ104" i="5"/>
  <c r="AY104" i="5"/>
  <c r="AV117" i="5"/>
  <c r="BA43" i="5"/>
  <c r="BD56" i="5"/>
  <c r="BB58" i="5"/>
  <c r="AZ62" i="5"/>
  <c r="AT65" i="5"/>
  <c r="AR66" i="5"/>
  <c r="AZ67" i="5"/>
  <c r="BD69" i="5"/>
  <c r="AX72" i="5"/>
  <c r="AT90" i="5"/>
  <c r="AU125" i="5"/>
  <c r="AT125" i="5"/>
  <c r="AT130" i="5"/>
  <c r="BA146" i="5"/>
  <c r="AR152" i="5"/>
  <c r="AX167" i="5"/>
  <c r="AY167" i="5"/>
  <c r="AD236" i="5"/>
  <c r="BF224" i="5" s="1"/>
  <c r="BA23" i="5"/>
  <c r="AV85" i="5"/>
  <c r="AX112" i="5"/>
  <c r="AW55" i="5"/>
  <c r="BA76" i="5"/>
  <c r="AZ76" i="5"/>
  <c r="AR21" i="5"/>
  <c r="BB84" i="5"/>
  <c r="AR24" i="5"/>
  <c r="AU31" i="5"/>
  <c r="AX52" i="5"/>
  <c r="AV66" i="5"/>
  <c r="AU138" i="5"/>
  <c r="AW168" i="5"/>
  <c r="AV168" i="5"/>
  <c r="AR174" i="5"/>
  <c r="AX183" i="5"/>
  <c r="AY183" i="5"/>
  <c r="AW184" i="5"/>
  <c r="AV184" i="5"/>
  <c r="AT54" i="5"/>
  <c r="AZ54" i="5"/>
  <c r="BA57" i="5"/>
  <c r="AX58" i="5"/>
  <c r="AY59" i="5"/>
  <c r="AX62" i="5"/>
  <c r="AY63" i="5"/>
  <c r="AY66" i="5"/>
  <c r="AV71" i="5"/>
  <c r="AY72" i="5"/>
  <c r="AV77" i="5"/>
  <c r="AR78" i="5"/>
  <c r="BA82" i="5"/>
  <c r="BB82" i="5"/>
  <c r="AU83" i="5"/>
  <c r="AV89" i="5"/>
  <c r="AR90" i="5"/>
  <c r="BC97" i="5"/>
  <c r="AY121" i="5"/>
  <c r="AV127" i="5"/>
  <c r="BB143" i="5"/>
  <c r="BB158" i="5"/>
  <c r="BC182" i="5"/>
  <c r="AR217" i="5"/>
  <c r="AU94" i="5"/>
  <c r="AU107" i="5"/>
  <c r="AT110" i="5"/>
  <c r="AT137" i="5"/>
  <c r="BC143" i="5"/>
  <c r="BD182" i="5"/>
  <c r="AR198" i="5"/>
  <c r="AR210" i="5"/>
  <c r="AT42" i="5"/>
  <c r="AU58" i="5"/>
  <c r="AU62" i="5"/>
  <c r="AY70" i="5"/>
  <c r="AX83" i="5"/>
  <c r="BD91" i="5"/>
  <c r="BC104" i="5"/>
  <c r="BC108" i="5"/>
  <c r="BB116" i="5"/>
  <c r="AZ117" i="5"/>
  <c r="BD119" i="5"/>
  <c r="BD126" i="5"/>
  <c r="BC126" i="5"/>
  <c r="AY127" i="5"/>
  <c r="AV137" i="5"/>
  <c r="AW137" i="5"/>
  <c r="BD153" i="5"/>
  <c r="BB154" i="5"/>
  <c r="BC154" i="5"/>
  <c r="BC173" i="5"/>
  <c r="BD173" i="5"/>
  <c r="AX175" i="5"/>
  <c r="AY175" i="5"/>
  <c r="AU176" i="5"/>
  <c r="AV176" i="5"/>
  <c r="AR199" i="5"/>
  <c r="AR227" i="5"/>
  <c r="AY236" i="5"/>
  <c r="AZ236" i="5"/>
  <c r="BC236" i="5"/>
  <c r="AT172" i="5"/>
  <c r="AU172" i="5"/>
  <c r="AR226" i="5"/>
  <c r="BC48" i="5"/>
  <c r="AW75" i="5"/>
  <c r="AU87" i="5"/>
  <c r="AY96" i="5"/>
  <c r="BD101" i="5"/>
  <c r="AV114" i="5"/>
  <c r="AW114" i="5"/>
  <c r="BD116" i="5"/>
  <c r="AU122" i="5"/>
  <c r="BB135" i="5"/>
  <c r="AX151" i="5"/>
  <c r="AY151" i="5"/>
  <c r="AU152" i="5"/>
  <c r="AR168" i="5"/>
  <c r="AW171" i="5"/>
  <c r="AX191" i="5"/>
  <c r="AY191" i="5"/>
  <c r="AZ196" i="5"/>
  <c r="AY196" i="5"/>
  <c r="AX197" i="5"/>
  <c r="AY197" i="5"/>
  <c r="AW203" i="5"/>
  <c r="AV73" i="5"/>
  <c r="AW73" i="5"/>
  <c r="AW93" i="5"/>
  <c r="AX93" i="5"/>
  <c r="AW125" i="5"/>
  <c r="AV125" i="5"/>
  <c r="AR158" i="5"/>
  <c r="AX171" i="5"/>
  <c r="AY171" i="5"/>
  <c r="AR188" i="5"/>
  <c r="AX203" i="5"/>
  <c r="AY203" i="5"/>
  <c r="AX47" i="5"/>
  <c r="BB52" i="5"/>
  <c r="AR74" i="5"/>
  <c r="AW81" i="5"/>
  <c r="AR82" i="5"/>
  <c r="AW87" i="5"/>
  <c r="BC89" i="5"/>
  <c r="BD95" i="5"/>
  <c r="BA102" i="5"/>
  <c r="BB109" i="5"/>
  <c r="AR112" i="5"/>
  <c r="AU115" i="5"/>
  <c r="AR123" i="5"/>
  <c r="BB132" i="5"/>
  <c r="BC132" i="5"/>
  <c r="BD135" i="5"/>
  <c r="AZ137" i="5"/>
  <c r="BD150" i="5"/>
  <c r="BC150" i="5"/>
  <c r="AZ164" i="5"/>
  <c r="BB170" i="5"/>
  <c r="BD174" i="5"/>
  <c r="AR194" i="5"/>
  <c r="BD195" i="5"/>
  <c r="BA197" i="5"/>
  <c r="AZ197" i="5"/>
  <c r="AU71" i="5"/>
  <c r="BB77" i="5"/>
  <c r="AR80" i="5"/>
  <c r="BA98" i="5"/>
  <c r="AU103" i="5"/>
  <c r="AR116" i="5"/>
  <c r="AY120" i="5"/>
  <c r="AX134" i="5"/>
  <c r="AV145" i="5"/>
  <c r="AW145" i="5"/>
  <c r="BA168" i="5"/>
  <c r="AW169" i="5"/>
  <c r="AR178" i="5"/>
  <c r="BD179" i="5"/>
  <c r="AR186" i="5"/>
  <c r="BD187" i="5"/>
  <c r="AX193" i="5"/>
  <c r="BA202" i="5"/>
  <c r="AX76" i="5"/>
  <c r="BA94" i="5"/>
  <c r="AU99" i="5"/>
  <c r="AV101" i="5"/>
  <c r="AW103" i="5"/>
  <c r="AW108" i="5"/>
  <c r="AW118" i="5"/>
  <c r="AV132" i="5"/>
  <c r="AY141" i="5"/>
  <c r="AX141" i="5"/>
  <c r="AR154" i="5"/>
  <c r="AZ160" i="5"/>
  <c r="AW161" i="5"/>
  <c r="AR162" i="5"/>
  <c r="AW165" i="5"/>
  <c r="AT166" i="5"/>
  <c r="AU166" i="5"/>
  <c r="AU167" i="5"/>
  <c r="AT178" i="5"/>
  <c r="AU178" i="5"/>
  <c r="BA180" i="5"/>
  <c r="AT186" i="5"/>
  <c r="BB188" i="5"/>
  <c r="BC188" i="5"/>
  <c r="AT190" i="5"/>
  <c r="AU190" i="5"/>
  <c r="BB192" i="5"/>
  <c r="BC192" i="5"/>
  <c r="BA193" i="5"/>
  <c r="AZ193" i="5"/>
  <c r="BC202" i="5"/>
  <c r="AR136" i="5"/>
  <c r="AT158" i="5"/>
  <c r="AU158" i="5"/>
  <c r="AT174" i="5"/>
  <c r="AU174" i="5"/>
  <c r="BB180" i="5"/>
  <c r="BC180" i="5"/>
  <c r="AW236" i="5"/>
  <c r="BB156" i="5"/>
  <c r="BC156" i="5"/>
  <c r="BB160" i="5"/>
  <c r="BC160" i="5"/>
  <c r="AR187" i="5"/>
  <c r="BA204" i="5"/>
  <c r="BD236" i="5"/>
  <c r="AY68" i="5"/>
  <c r="AT75" i="5"/>
  <c r="BD79" i="5"/>
  <c r="AY84" i="5"/>
  <c r="AZ86" i="5"/>
  <c r="BA88" i="5"/>
  <c r="AW97" i="5"/>
  <c r="AR102" i="5"/>
  <c r="AV106" i="5"/>
  <c r="AT109" i="5"/>
  <c r="AR117" i="5"/>
  <c r="AZ118" i="5"/>
  <c r="BD120" i="5"/>
  <c r="AZ123" i="5"/>
  <c r="AV126" i="5"/>
  <c r="BC131" i="5"/>
  <c r="AW135" i="5"/>
  <c r="AW139" i="5"/>
  <c r="AR155" i="5"/>
  <c r="AR163" i="5"/>
  <c r="AY173" i="5"/>
  <c r="AZ177" i="5"/>
  <c r="AR183" i="5"/>
  <c r="AV195" i="5"/>
  <c r="AW200" i="5"/>
  <c r="AV200" i="5"/>
  <c r="BA123" i="5"/>
  <c r="AX139" i="5"/>
  <c r="AX146" i="5"/>
  <c r="BA157" i="5"/>
  <c r="AZ157" i="5"/>
  <c r="AW104" i="5"/>
  <c r="AX116" i="5"/>
  <c r="BD124" i="5"/>
  <c r="AT134" i="5"/>
  <c r="AZ138" i="5"/>
  <c r="BD142" i="5"/>
  <c r="AT146" i="5"/>
  <c r="BA156" i="5"/>
  <c r="AX163" i="5"/>
  <c r="AY163" i="5"/>
  <c r="AT164" i="5"/>
  <c r="AZ166" i="5"/>
  <c r="AR171" i="5"/>
  <c r="AW173" i="5"/>
  <c r="BD175" i="5"/>
  <c r="AW183" i="5"/>
  <c r="AR200" i="5"/>
  <c r="AO236" i="5"/>
  <c r="BB236" i="5" s="1"/>
  <c r="BD104" i="5"/>
  <c r="AR107" i="5"/>
  <c r="AV110" i="5"/>
  <c r="BA113" i="5"/>
  <c r="BB125" i="5"/>
  <c r="AZ127" i="5"/>
  <c r="AV130" i="5"/>
  <c r="AU130" i="5"/>
  <c r="AW138" i="5"/>
  <c r="AR150" i="5"/>
  <c r="AT162" i="5"/>
  <c r="BC170" i="5"/>
  <c r="AR179" i="5"/>
  <c r="AW181" i="5"/>
  <c r="AR182" i="5"/>
  <c r="AT188" i="5"/>
  <c r="AU188" i="5"/>
  <c r="AZ190" i="5"/>
  <c r="AV192" i="5"/>
  <c r="AU202" i="5"/>
  <c r="AR208" i="5"/>
  <c r="AR138" i="5"/>
  <c r="AT198" i="5"/>
  <c r="AU198" i="5"/>
  <c r="AZ142" i="5"/>
  <c r="AX147" i="5"/>
  <c r="BC158" i="5"/>
  <c r="AX159" i="5"/>
  <c r="BB168" i="5"/>
  <c r="BA178" i="5"/>
  <c r="AW179" i="5"/>
  <c r="AY185" i="5"/>
  <c r="BA194" i="5"/>
  <c r="BB204" i="5"/>
  <c r="AR225" i="5"/>
  <c r="BA105" i="5"/>
  <c r="BB117" i="5"/>
  <c r="AT123" i="5"/>
  <c r="AX128" i="5"/>
  <c r="AZ140" i="5"/>
  <c r="AY147" i="5"/>
  <c r="AT148" i="5"/>
  <c r="AT154" i="5"/>
  <c r="BD155" i="5"/>
  <c r="BA165" i="5"/>
  <c r="AZ165" i="5"/>
  <c r="BA172" i="5"/>
  <c r="BB178" i="5"/>
  <c r="BB194" i="5"/>
  <c r="BB105" i="5"/>
  <c r="AT111" i="5"/>
  <c r="AZ119" i="5"/>
  <c r="AX133" i="5"/>
  <c r="AR139" i="5"/>
  <c r="AY145" i="5"/>
  <c r="AY153" i="5"/>
  <c r="BA162" i="5"/>
  <c r="BB172" i="5"/>
  <c r="BA188" i="5"/>
  <c r="AX195" i="5"/>
  <c r="AY195" i="5"/>
  <c r="AT196" i="5"/>
  <c r="AZ198" i="5"/>
  <c r="AR203" i="5"/>
  <c r="AZ134" i="5"/>
  <c r="AW143" i="5"/>
  <c r="AZ154" i="5"/>
  <c r="AV157" i="5"/>
  <c r="AT160" i="5"/>
  <c r="BB166" i="5"/>
  <c r="AX169" i="5"/>
  <c r="AR170" i="5"/>
  <c r="BB176" i="5"/>
  <c r="AX179" i="5"/>
  <c r="AR180" i="5"/>
  <c r="AT182" i="5"/>
  <c r="BD183" i="5"/>
  <c r="AZ186" i="5"/>
  <c r="AV189" i="5"/>
  <c r="AT192" i="5"/>
  <c r="BB198" i="5"/>
  <c r="AX201" i="5"/>
  <c r="AR202" i="5"/>
  <c r="AR209" i="5"/>
  <c r="AR234" i="5"/>
  <c r="AW131" i="5"/>
  <c r="AX143" i="5"/>
  <c r="BA154" i="5"/>
  <c r="AW157" i="5"/>
  <c r="BA164" i="5"/>
  <c r="AW167" i="5"/>
  <c r="BA186" i="5"/>
  <c r="AW189" i="5"/>
  <c r="BA196" i="5"/>
  <c r="AW199" i="5"/>
  <c r="AR218" i="5"/>
  <c r="AR224" i="5"/>
  <c r="AR233" i="5"/>
  <c r="AR130" i="5"/>
  <c r="AV133" i="5"/>
  <c r="BA136" i="5"/>
  <c r="BB148" i="5"/>
  <c r="AZ150" i="5"/>
  <c r="BA152" i="5"/>
  <c r="AW155" i="5"/>
  <c r="BA174" i="5"/>
  <c r="AW177" i="5"/>
  <c r="BA184" i="5"/>
  <c r="AW187" i="5"/>
  <c r="AX135" i="5"/>
  <c r="BD143" i="5"/>
  <c r="AR146" i="5"/>
  <c r="AV149" i="5"/>
  <c r="AW153" i="5"/>
  <c r="BA160" i="5"/>
  <c r="AW163" i="5"/>
  <c r="BC166" i="5"/>
  <c r="BA182" i="5"/>
  <c r="AW185" i="5"/>
  <c r="BA192" i="5"/>
  <c r="AW195" i="5"/>
  <c r="B66" i="12"/>
  <c r="BF5" i="5" l="1"/>
  <c r="AU236" i="5"/>
  <c r="BF68" i="7"/>
  <c r="BF44" i="7"/>
  <c r="BF188" i="7"/>
  <c r="BF117" i="7"/>
  <c r="BF180" i="7"/>
  <c r="BF247" i="7"/>
  <c r="BF246" i="7"/>
  <c r="BF236" i="7"/>
  <c r="BF116" i="7"/>
  <c r="BF192" i="7"/>
  <c r="BF59" i="7"/>
  <c r="BF227" i="7"/>
  <c r="BF131" i="6"/>
  <c r="AT236" i="5"/>
  <c r="BF186" i="7"/>
  <c r="BF248" i="7"/>
  <c r="BF164" i="7"/>
  <c r="BF157" i="7"/>
  <c r="BF158" i="7"/>
  <c r="BF196" i="7"/>
  <c r="BF244" i="7"/>
  <c r="BF220" i="7"/>
  <c r="BF108" i="7"/>
  <c r="BF40" i="7"/>
  <c r="BF201" i="7"/>
  <c r="BF161" i="7"/>
  <c r="BF38" i="7"/>
  <c r="BF176" i="6"/>
  <c r="BF89" i="6"/>
  <c r="BF168" i="6"/>
  <c r="BF124" i="6"/>
  <c r="BF91" i="6"/>
  <c r="BF57" i="6"/>
  <c r="BF187" i="6"/>
  <c r="BF170" i="6"/>
  <c r="BF103" i="6"/>
  <c r="BF234" i="6"/>
  <c r="BF212" i="7"/>
  <c r="BF235" i="7"/>
  <c r="BF128" i="7"/>
  <c r="BF173" i="7"/>
  <c r="BF219" i="7"/>
  <c r="BF115" i="7"/>
  <c r="BF111" i="7"/>
  <c r="BF190" i="7"/>
  <c r="BF30" i="7"/>
  <c r="BF60" i="7"/>
  <c r="BF48" i="6"/>
  <c r="BF220" i="6"/>
  <c r="BF207" i="6"/>
  <c r="BF200" i="6"/>
  <c r="BF106" i="6"/>
  <c r="BF11" i="6"/>
  <c r="BF203" i="6"/>
  <c r="BF53" i="6"/>
  <c r="BF116" i="6"/>
  <c r="BF107" i="6"/>
  <c r="BF172" i="6"/>
  <c r="BF218" i="6"/>
  <c r="BF79" i="6"/>
  <c r="BF195" i="6"/>
  <c r="BF139" i="6"/>
  <c r="BF152" i="7"/>
  <c r="BF154" i="7"/>
  <c r="BF135" i="7"/>
  <c r="BF22" i="7"/>
  <c r="BF34" i="7"/>
  <c r="BF193" i="7"/>
  <c r="BF88" i="7"/>
  <c r="BF209" i="7"/>
  <c r="BF250" i="7"/>
  <c r="BF124" i="7"/>
  <c r="BF145" i="7"/>
  <c r="BF153" i="7"/>
  <c r="BF160" i="7"/>
  <c r="BF194" i="7"/>
  <c r="BF232" i="7"/>
  <c r="BF10" i="7"/>
  <c r="BF65" i="7"/>
  <c r="BF210" i="7"/>
  <c r="BF100" i="7"/>
  <c r="BF97" i="7"/>
  <c r="BF198" i="7"/>
  <c r="BF120" i="6"/>
  <c r="BF159" i="6"/>
  <c r="BF208" i="6"/>
  <c r="BF233" i="6"/>
  <c r="BF110" i="6"/>
  <c r="BF67" i="6"/>
  <c r="BF18" i="6"/>
  <c r="BF50" i="6"/>
  <c r="BF127" i="6"/>
  <c r="BF224" i="6"/>
  <c r="BF56" i="6"/>
  <c r="BF22" i="6"/>
  <c r="BF136" i="6"/>
  <c r="BF147" i="6"/>
  <c r="BF191" i="6"/>
  <c r="BF128" i="6"/>
  <c r="BF204" i="6"/>
  <c r="BF163" i="5"/>
  <c r="BF196" i="5"/>
  <c r="BF150" i="5"/>
  <c r="BF165" i="5"/>
  <c r="BF114" i="5"/>
  <c r="BA257" i="7"/>
  <c r="AU257" i="7"/>
  <c r="BF141" i="7"/>
  <c r="BF41" i="7"/>
  <c r="BF245" i="7"/>
  <c r="BF221" i="7"/>
  <c r="BF243" i="7"/>
  <c r="BF148" i="7"/>
  <c r="BF208" i="7"/>
  <c r="BF177" i="7"/>
  <c r="BF234" i="7"/>
  <c r="BF257" i="7"/>
  <c r="BF242" i="7"/>
  <c r="BF226" i="7"/>
  <c r="BF241" i="7"/>
  <c r="BF225" i="7"/>
  <c r="BF256" i="7"/>
  <c r="BF240" i="7"/>
  <c r="BF224" i="7"/>
  <c r="BF179" i="7"/>
  <c r="BF147" i="7"/>
  <c r="BF231" i="7"/>
  <c r="BF217" i="7"/>
  <c r="BF175" i="7"/>
  <c r="BF143" i="7"/>
  <c r="BF230" i="7"/>
  <c r="BF216" i="7"/>
  <c r="BF223" i="7"/>
  <c r="BF207" i="7"/>
  <c r="BF187" i="7"/>
  <c r="BF118" i="7"/>
  <c r="BF222" i="7"/>
  <c r="BF168" i="7"/>
  <c r="BF155" i="7"/>
  <c r="AR257" i="7"/>
  <c r="BF199" i="7"/>
  <c r="BF176" i="7"/>
  <c r="BF144" i="7"/>
  <c r="BF255" i="7"/>
  <c r="BF213" i="7"/>
  <c r="BF254" i="7"/>
  <c r="BF178" i="7"/>
  <c r="BF146" i="7"/>
  <c r="BF211" i="7"/>
  <c r="BF171" i="7"/>
  <c r="BF159" i="7"/>
  <c r="BF122" i="7"/>
  <c r="BF99" i="7"/>
  <c r="BF67" i="7"/>
  <c r="BF191" i="7"/>
  <c r="BF133" i="7"/>
  <c r="BF131" i="7"/>
  <c r="BF126" i="7"/>
  <c r="BF120" i="7"/>
  <c r="BF82" i="7"/>
  <c r="BF62" i="7"/>
  <c r="BF174" i="7"/>
  <c r="BF87" i="7"/>
  <c r="BF102" i="7"/>
  <c r="BF229" i="7"/>
  <c r="BF182" i="7"/>
  <c r="BF170" i="7"/>
  <c r="BF140" i="7"/>
  <c r="BF134" i="7"/>
  <c r="BF93" i="7"/>
  <c r="BF86" i="7"/>
  <c r="BF83" i="7"/>
  <c r="BF58" i="7"/>
  <c r="BF27" i="7"/>
  <c r="BF19" i="7"/>
  <c r="BF48" i="7"/>
  <c r="BF203" i="7"/>
  <c r="BF214" i="7"/>
  <c r="BF94" i="7"/>
  <c r="BF80" i="7"/>
  <c r="BF39" i="7"/>
  <c r="BF252" i="7"/>
  <c r="BF163" i="7"/>
  <c r="BF66" i="7"/>
  <c r="BF35" i="7"/>
  <c r="BF31" i="7"/>
  <c r="BF15" i="7"/>
  <c r="BF142" i="7"/>
  <c r="BF45" i="7"/>
  <c r="BF195" i="7"/>
  <c r="BF110" i="7"/>
  <c r="BF95" i="7"/>
  <c r="BF70" i="7"/>
  <c r="BF172" i="7"/>
  <c r="BF239" i="7"/>
  <c r="BF106" i="7"/>
  <c r="BF78" i="7"/>
  <c r="BF253" i="7"/>
  <c r="BF166" i="7"/>
  <c r="BF130" i="7"/>
  <c r="BF81" i="7"/>
  <c r="BF55" i="7"/>
  <c r="BF150" i="7"/>
  <c r="BF23" i="7"/>
  <c r="BF7" i="7"/>
  <c r="BF74" i="7"/>
  <c r="BF114" i="7"/>
  <c r="BF76" i="7"/>
  <c r="BF139" i="7"/>
  <c r="BF127" i="7"/>
  <c r="BF90" i="7"/>
  <c r="BF79" i="7"/>
  <c r="BF151" i="7"/>
  <c r="BF112" i="7"/>
  <c r="BF11" i="7"/>
  <c r="BF129" i="7"/>
  <c r="BF61" i="7"/>
  <c r="BF51" i="7"/>
  <c r="BF215" i="7"/>
  <c r="BF56" i="7"/>
  <c r="BF42" i="7"/>
  <c r="BF238" i="7"/>
  <c r="BF69" i="7"/>
  <c r="BF32" i="7"/>
  <c r="BF28" i="7"/>
  <c r="BF24" i="7"/>
  <c r="BF20" i="7"/>
  <c r="BF16" i="7"/>
  <c r="BF12" i="7"/>
  <c r="BF8" i="7"/>
  <c r="BF103" i="7"/>
  <c r="BF237" i="7"/>
  <c r="BF167" i="7"/>
  <c r="BF125" i="7"/>
  <c r="BF96" i="7"/>
  <c r="BF98" i="7"/>
  <c r="BF49" i="7"/>
  <c r="BF5" i="7"/>
  <c r="BG5" i="7" s="1"/>
  <c r="BF89" i="7"/>
  <c r="BF46" i="7"/>
  <c r="BF9" i="7"/>
  <c r="BF36" i="7"/>
  <c r="BF75" i="7"/>
  <c r="BF71" i="7"/>
  <c r="BF13" i="7"/>
  <c r="BF183" i="7"/>
  <c r="BF119" i="7"/>
  <c r="BF105" i="7"/>
  <c r="BF251" i="7"/>
  <c r="BF54" i="7"/>
  <c r="BF43" i="7"/>
  <c r="BF17" i="7"/>
  <c r="BF113" i="7"/>
  <c r="BF21" i="7"/>
  <c r="BF73" i="7"/>
  <c r="BF156" i="7"/>
  <c r="BF91" i="7"/>
  <c r="BF29" i="7"/>
  <c r="BF33" i="7"/>
  <c r="BF57" i="7"/>
  <c r="BF25" i="7"/>
  <c r="BF228" i="7"/>
  <c r="BF184" i="7"/>
  <c r="BF162" i="7"/>
  <c r="BF107" i="7"/>
  <c r="BF200" i="7"/>
  <c r="BF101" i="7"/>
  <c r="BF197" i="7"/>
  <c r="BF185" i="7"/>
  <c r="BF136" i="7"/>
  <c r="BF165" i="7"/>
  <c r="BF137" i="7"/>
  <c r="BF104" i="7"/>
  <c r="BF63" i="7"/>
  <c r="BF138" i="7"/>
  <c r="BF53" i="7"/>
  <c r="BF37" i="7"/>
  <c r="BF26" i="7"/>
  <c r="BF189" i="7"/>
  <c r="BF202" i="7"/>
  <c r="BF92" i="7"/>
  <c r="BF77" i="7"/>
  <c r="BF233" i="7"/>
  <c r="BF121" i="7"/>
  <c r="BF47" i="7"/>
  <c r="BF149" i="7"/>
  <c r="BF205" i="7"/>
  <c r="BF169" i="7"/>
  <c r="BF206" i="7"/>
  <c r="BF72" i="7"/>
  <c r="BF249" i="7"/>
  <c r="BF50" i="7"/>
  <c r="BF14" i="7"/>
  <c r="BF85" i="7"/>
  <c r="BF18" i="7"/>
  <c r="BF84" i="7"/>
  <c r="BF123" i="7"/>
  <c r="BF181" i="7"/>
  <c r="BF109" i="7"/>
  <c r="BF204" i="7"/>
  <c r="BF218" i="7"/>
  <c r="BF132" i="7"/>
  <c r="BF6" i="7"/>
  <c r="BF64" i="7"/>
  <c r="BA237" i="6"/>
  <c r="AU237" i="6"/>
  <c r="BF9" i="6"/>
  <c r="BF17" i="6"/>
  <c r="BF49" i="6"/>
  <c r="BF94" i="6"/>
  <c r="BF155" i="6"/>
  <c r="BF6" i="6"/>
  <c r="BF167" i="6"/>
  <c r="BF135" i="6"/>
  <c r="BF151" i="6"/>
  <c r="BF183" i="6"/>
  <c r="BF98" i="6"/>
  <c r="BF180" i="6"/>
  <c r="BF152" i="6"/>
  <c r="BF72" i="6"/>
  <c r="BF126" i="6"/>
  <c r="BF194" i="6"/>
  <c r="BF111" i="6"/>
  <c r="BF20" i="6"/>
  <c r="BF66" i="6"/>
  <c r="BF134" i="6"/>
  <c r="BF166" i="6"/>
  <c r="BF163" i="6"/>
  <c r="BF64" i="6"/>
  <c r="BF15" i="6"/>
  <c r="BF123" i="6"/>
  <c r="BF164" i="6"/>
  <c r="BF77" i="6"/>
  <c r="BF156" i="6"/>
  <c r="BF81" i="6"/>
  <c r="BF24" i="6"/>
  <c r="BF162" i="6"/>
  <c r="BF73" i="6"/>
  <c r="BF196" i="6"/>
  <c r="BF45" i="6"/>
  <c r="BF122" i="6"/>
  <c r="AZ237" i="6"/>
  <c r="AT237" i="6"/>
  <c r="BF44" i="6"/>
  <c r="BF215" i="6"/>
  <c r="BF108" i="6"/>
  <c r="BF192" i="6"/>
  <c r="BF60" i="6"/>
  <c r="BF115" i="6"/>
  <c r="BF33" i="6"/>
  <c r="BF29" i="6"/>
  <c r="BF237" i="6"/>
  <c r="BF222" i="6"/>
  <c r="BF206" i="6"/>
  <c r="BF221" i="6"/>
  <c r="BF205" i="6"/>
  <c r="BF177" i="6"/>
  <c r="BF133" i="6"/>
  <c r="BF137" i="6"/>
  <c r="BF181" i="6"/>
  <c r="BF141" i="6"/>
  <c r="BF235" i="6"/>
  <c r="BF232" i="6"/>
  <c r="BF153" i="6"/>
  <c r="AR237" i="6"/>
  <c r="BF197" i="6"/>
  <c r="BF154" i="6"/>
  <c r="BF146" i="6"/>
  <c r="BF121" i="6"/>
  <c r="BF105" i="6"/>
  <c r="BF186" i="6"/>
  <c r="BF140" i="6"/>
  <c r="BF169" i="6"/>
  <c r="BF161" i="6"/>
  <c r="BF201" i="6"/>
  <c r="BF157" i="6"/>
  <c r="BF150" i="6"/>
  <c r="BF217" i="6"/>
  <c r="BF214" i="6"/>
  <c r="BF193" i="6"/>
  <c r="BF109" i="6"/>
  <c r="BF93" i="6"/>
  <c r="BF219" i="6"/>
  <c r="BF216" i="6"/>
  <c r="BF213" i="6"/>
  <c r="BF173" i="6"/>
  <c r="BF102" i="6"/>
  <c r="BF212" i="6"/>
  <c r="BF104" i="6"/>
  <c r="BF96" i="6"/>
  <c r="BF62" i="6"/>
  <c r="BF35" i="6"/>
  <c r="BF84" i="6"/>
  <c r="BF125" i="6"/>
  <c r="BF101" i="6"/>
  <c r="BF165" i="6"/>
  <c r="BF87" i="6"/>
  <c r="BF43" i="6"/>
  <c r="BF82" i="6"/>
  <c r="BF31" i="6"/>
  <c r="BF114" i="6"/>
  <c r="BF144" i="6"/>
  <c r="BF39" i="6"/>
  <c r="BF229" i="6"/>
  <c r="BF130" i="6"/>
  <c r="BF112" i="6"/>
  <c r="BF228" i="6"/>
  <c r="BF227" i="6"/>
  <c r="BF211" i="6"/>
  <c r="BF231" i="6"/>
  <c r="BF148" i="6"/>
  <c r="BF118" i="6"/>
  <c r="BF230" i="6"/>
  <c r="BF226" i="6"/>
  <c r="BF59" i="6"/>
  <c r="BF149" i="6"/>
  <c r="BF209" i="6"/>
  <c r="BF189" i="6"/>
  <c r="BF132" i="6"/>
  <c r="BF63" i="6"/>
  <c r="BF30" i="6"/>
  <c r="BF23" i="6"/>
  <c r="BF55" i="6"/>
  <c r="BF32" i="6"/>
  <c r="BF178" i="6"/>
  <c r="BF174" i="6"/>
  <c r="BF97" i="6"/>
  <c r="BF34" i="6"/>
  <c r="BF16" i="6"/>
  <c r="BF190" i="6"/>
  <c r="BF75" i="6"/>
  <c r="BF198" i="6"/>
  <c r="BF145" i="6"/>
  <c r="BF113" i="6"/>
  <c r="BF38" i="6"/>
  <c r="BF14" i="6"/>
  <c r="BF117" i="6"/>
  <c r="BF210" i="6"/>
  <c r="BF47" i="6"/>
  <c r="BF138" i="6"/>
  <c r="BF51" i="6"/>
  <c r="BF19" i="6"/>
  <c r="BF68" i="6"/>
  <c r="BF185" i="6"/>
  <c r="BF40" i="6"/>
  <c r="BF42" i="6"/>
  <c r="BF65" i="6"/>
  <c r="BF225" i="6"/>
  <c r="BF142" i="6"/>
  <c r="BF70" i="6"/>
  <c r="BF27" i="6"/>
  <c r="BF90" i="6"/>
  <c r="BF36" i="6"/>
  <c r="BF12" i="6"/>
  <c r="BF7" i="6"/>
  <c r="BF80" i="6"/>
  <c r="BF236" i="6"/>
  <c r="BF5" i="6"/>
  <c r="BG5" i="6" s="1"/>
  <c r="BF69" i="6"/>
  <c r="BF52" i="6"/>
  <c r="BF71" i="6"/>
  <c r="BF83" i="6"/>
  <c r="BF119" i="6"/>
  <c r="BF143" i="6"/>
  <c r="BF58" i="6"/>
  <c r="BF85" i="6"/>
  <c r="BF158" i="6"/>
  <c r="BF76" i="6"/>
  <c r="BF74" i="6"/>
  <c r="BF21" i="6"/>
  <c r="BF41" i="6"/>
  <c r="BF99" i="6"/>
  <c r="BF78" i="6"/>
  <c r="BF188" i="6"/>
  <c r="BF199" i="6"/>
  <c r="BF129" i="6"/>
  <c r="BF179" i="6"/>
  <c r="BF95" i="6"/>
  <c r="BF26" i="6"/>
  <c r="BF223" i="6"/>
  <c r="BF54" i="6"/>
  <c r="BF100" i="6"/>
  <c r="BF28" i="6"/>
  <c r="BF61" i="6"/>
  <c r="BF92" i="6"/>
  <c r="BF182" i="6"/>
  <c r="BF88" i="6"/>
  <c r="BB237" i="6"/>
  <c r="BF184" i="6"/>
  <c r="BF171" i="6"/>
  <c r="BF160" i="6"/>
  <c r="BF175" i="6"/>
  <c r="BF25" i="6"/>
  <c r="BF10" i="6"/>
  <c r="BF202" i="6"/>
  <c r="BF13" i="6"/>
  <c r="BF8" i="6"/>
  <c r="BF86" i="6"/>
  <c r="BF46" i="6"/>
  <c r="BF236" i="5"/>
  <c r="BF222" i="5"/>
  <c r="BF206" i="5"/>
  <c r="BF221" i="5"/>
  <c r="BF215" i="5"/>
  <c r="BF231" i="5"/>
  <c r="BF220" i="5"/>
  <c r="BF214" i="5"/>
  <c r="BF126" i="5"/>
  <c r="BF107" i="5"/>
  <c r="BF230" i="5"/>
  <c r="BF234" i="5"/>
  <c r="BF205" i="5"/>
  <c r="BF219" i="5"/>
  <c r="BF101" i="5"/>
  <c r="BF97" i="5"/>
  <c r="BF93" i="5"/>
  <c r="BF89" i="5"/>
  <c r="BF85" i="5"/>
  <c r="BF81" i="5"/>
  <c r="BF235" i="5"/>
  <c r="BF147" i="5"/>
  <c r="BF73" i="5"/>
  <c r="AR236" i="5"/>
  <c r="BF218" i="5"/>
  <c r="BF121" i="5"/>
  <c r="BF146" i="5"/>
  <c r="BF139" i="5"/>
  <c r="BF113" i="5"/>
  <c r="BF166" i="5"/>
  <c r="BF69" i="5"/>
  <c r="BF130" i="5"/>
  <c r="BF119" i="5"/>
  <c r="BF100" i="5"/>
  <c r="BF125" i="5"/>
  <c r="BF228" i="5"/>
  <c r="BF213" i="5"/>
  <c r="BF176" i="5"/>
  <c r="BF102" i="5"/>
  <c r="BF75" i="5"/>
  <c r="BF227" i="5"/>
  <c r="BF212" i="5"/>
  <c r="BF156" i="5"/>
  <c r="BF77" i="5"/>
  <c r="BF70" i="5"/>
  <c r="BF210" i="5"/>
  <c r="BF65" i="5"/>
  <c r="BF55" i="5"/>
  <c r="BF30" i="5"/>
  <c r="BF23" i="5"/>
  <c r="BF6" i="5"/>
  <c r="BF22" i="5"/>
  <c r="BF98" i="5"/>
  <c r="BF46" i="5"/>
  <c r="BF180" i="5"/>
  <c r="BF34" i="5"/>
  <c r="BF67" i="5"/>
  <c r="BF53" i="5"/>
  <c r="BF19" i="5"/>
  <c r="BF117" i="5"/>
  <c r="BF72" i="5"/>
  <c r="BF10" i="5"/>
  <c r="BF41" i="5"/>
  <c r="BF63" i="5"/>
  <c r="BF25" i="5"/>
  <c r="BF11" i="5"/>
  <c r="BF140" i="5"/>
  <c r="BF112" i="5"/>
  <c r="BF64" i="5"/>
  <c r="BF74" i="5"/>
  <c r="BF88" i="5"/>
  <c r="BF57" i="5"/>
  <c r="BF51" i="5"/>
  <c r="BF229" i="5"/>
  <c r="BF194" i="5"/>
  <c r="BF124" i="5"/>
  <c r="BF94" i="5"/>
  <c r="BF38" i="5"/>
  <c r="BF211" i="5"/>
  <c r="BF108" i="5"/>
  <c r="BF144" i="5"/>
  <c r="BF27" i="5"/>
  <c r="BF134" i="5"/>
  <c r="BF127" i="5"/>
  <c r="BF14" i="5"/>
  <c r="BF17" i="5"/>
  <c r="BF7" i="5"/>
  <c r="BF164" i="5"/>
  <c r="BF52" i="5"/>
  <c r="BF49" i="5"/>
  <c r="BF208" i="5"/>
  <c r="BF87" i="5"/>
  <c r="BF197" i="5"/>
  <c r="BF118" i="5"/>
  <c r="BF207" i="5"/>
  <c r="BF177" i="5"/>
  <c r="BF200" i="5"/>
  <c r="BF91" i="5"/>
  <c r="BF62" i="5"/>
  <c r="BF160" i="5"/>
  <c r="BF184" i="5"/>
  <c r="BF66" i="5"/>
  <c r="BF48" i="5"/>
  <c r="BF68" i="5"/>
  <c r="BF79" i="5"/>
  <c r="BF148" i="5"/>
  <c r="BF115" i="5"/>
  <c r="BF202" i="5"/>
  <c r="BF233" i="5"/>
  <c r="BF209" i="5"/>
  <c r="BF133" i="5"/>
  <c r="BF153" i="5"/>
  <c r="BF223" i="5"/>
  <c r="BF135" i="5"/>
  <c r="BF169" i="5"/>
  <c r="BF137" i="5"/>
  <c r="BF110" i="5"/>
  <c r="BF32" i="5"/>
  <c r="BF60" i="5"/>
  <c r="BF20" i="5"/>
  <c r="BF58" i="5"/>
  <c r="BF61" i="5"/>
  <c r="BF29" i="5"/>
  <c r="BF9" i="5"/>
  <c r="BF201" i="5"/>
  <c r="BF33" i="5"/>
  <c r="BF47" i="5"/>
  <c r="BF18" i="5"/>
  <c r="BF80" i="5"/>
  <c r="BF45" i="5"/>
  <c r="BF50" i="5"/>
  <c r="BF157" i="5"/>
  <c r="BF128" i="5"/>
  <c r="BF186" i="5"/>
  <c r="BF96" i="5"/>
  <c r="BF120" i="5"/>
  <c r="BF204" i="5"/>
  <c r="BF16" i="5"/>
  <c r="BF83" i="5"/>
  <c r="BF8" i="5"/>
  <c r="BF132" i="5"/>
  <c r="BF92" i="5"/>
  <c r="BF172" i="5"/>
  <c r="BF104" i="5"/>
  <c r="BF54" i="5"/>
  <c r="BF167" i="5"/>
  <c r="BF155" i="5"/>
  <c r="BF59" i="5"/>
  <c r="BF170" i="5"/>
  <c r="BF141" i="5"/>
  <c r="BF191" i="5"/>
  <c r="BF190" i="5"/>
  <c r="BF43" i="5"/>
  <c r="BF31" i="5"/>
  <c r="BF129" i="5"/>
  <c r="BF171" i="5"/>
  <c r="BF154" i="5"/>
  <c r="BF199" i="5"/>
  <c r="BF185" i="5"/>
  <c r="BF99" i="5"/>
  <c r="BF189" i="5"/>
  <c r="BF12" i="5"/>
  <c r="BF151" i="5"/>
  <c r="BF203" i="5"/>
  <c r="BF142" i="5"/>
  <c r="BF123" i="5"/>
  <c r="BF78" i="5"/>
  <c r="BF71" i="5"/>
  <c r="BF111" i="5"/>
  <c r="BF105" i="5"/>
  <c r="BF159" i="5"/>
  <c r="BF162" i="5"/>
  <c r="BF145" i="5"/>
  <c r="BF116" i="5"/>
  <c r="BF182" i="5"/>
  <c r="BF90" i="5"/>
  <c r="BF76" i="5"/>
  <c r="BF122" i="5"/>
  <c r="BG5" i="5"/>
  <c r="BF84" i="5"/>
  <c r="BF161" i="5"/>
  <c r="BF217" i="5"/>
  <c r="BF44" i="5"/>
  <c r="BF136" i="5"/>
  <c r="BF95" i="5"/>
  <c r="BF37" i="5"/>
  <c r="BF26" i="5"/>
  <c r="BF152" i="5"/>
  <c r="BF173" i="5"/>
  <c r="BF192" i="5"/>
  <c r="BF39" i="5"/>
  <c r="BF106" i="5"/>
  <c r="BF188" i="5"/>
  <c r="BF178" i="5"/>
  <c r="BF103" i="5"/>
  <c r="BF13" i="5"/>
  <c r="BF40" i="5"/>
  <c r="BF175" i="5"/>
  <c r="BF193" i="5"/>
  <c r="BF225" i="5"/>
  <c r="BF195" i="5"/>
  <c r="BF179" i="5"/>
  <c r="BF183" i="5"/>
  <c r="BF187" i="5"/>
  <c r="BF158" i="5"/>
  <c r="BF168" i="5"/>
  <c r="BF226" i="5"/>
  <c r="BF181" i="5"/>
  <c r="BF24" i="5"/>
  <c r="BF56" i="5"/>
  <c r="BF86" i="5"/>
  <c r="BF36" i="5"/>
  <c r="BF21" i="5"/>
  <c r="BF82" i="5"/>
  <c r="BF143" i="5"/>
  <c r="BF198" i="5"/>
  <c r="BF42" i="5"/>
  <c r="BF149" i="5"/>
  <c r="BF131" i="5"/>
  <c r="BF232" i="5"/>
  <c r="BF174" i="5"/>
  <c r="BF35" i="5"/>
  <c r="BF216" i="5"/>
  <c r="BF138" i="5"/>
  <c r="BF109" i="5"/>
  <c r="BF28" i="5"/>
  <c r="BF15" i="5"/>
  <c r="B63" i="12"/>
  <c r="C63" i="12"/>
  <c r="D63" i="12"/>
  <c r="B57" i="12"/>
  <c r="C57" i="12"/>
  <c r="D57" i="12"/>
  <c r="B51" i="12"/>
  <c r="C51" i="12"/>
  <c r="D51" i="12"/>
  <c r="B36" i="12"/>
  <c r="C36" i="12"/>
  <c r="D36" i="12"/>
  <c r="B30" i="12"/>
  <c r="C30" i="12"/>
  <c r="D30" i="12"/>
  <c r="B15" i="12"/>
  <c r="C15" i="12"/>
  <c r="D15" i="12"/>
  <c r="B9" i="12"/>
  <c r="C9" i="12"/>
  <c r="D9" i="12"/>
  <c r="B63" i="11"/>
  <c r="C63" i="11"/>
  <c r="D63" i="11"/>
  <c r="B51" i="11"/>
  <c r="C51" i="11"/>
  <c r="D51" i="11"/>
  <c r="B57" i="11"/>
  <c r="C57" i="11"/>
  <c r="D57" i="11"/>
  <c r="B36" i="11"/>
  <c r="C36" i="11"/>
  <c r="D36" i="11"/>
  <c r="B30" i="11"/>
  <c r="C30" i="11"/>
  <c r="D30" i="11"/>
  <c r="B15" i="11"/>
  <c r="C15" i="11"/>
  <c r="D15" i="11"/>
  <c r="B9" i="11"/>
  <c r="C9" i="11"/>
  <c r="D9" i="11"/>
  <c r="D9" i="2"/>
  <c r="E9" i="2"/>
  <c r="BG6" i="7" l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3" i="7" s="1"/>
  <c r="BG104" i="7" s="1"/>
  <c r="BG105" i="7" s="1"/>
  <c r="BG106" i="7" s="1"/>
  <c r="BG107" i="7" s="1"/>
  <c r="BG108" i="7" s="1"/>
  <c r="BG109" i="7" s="1"/>
  <c r="BG110" i="7" s="1"/>
  <c r="BG111" i="7" s="1"/>
  <c r="BG112" i="7" s="1"/>
  <c r="BG113" i="7" s="1"/>
  <c r="BG114" i="7" s="1"/>
  <c r="BG115" i="7" s="1"/>
  <c r="BG116" i="7" s="1"/>
  <c r="BG117" i="7" s="1"/>
  <c r="BG118" i="7" s="1"/>
  <c r="BG119" i="7" s="1"/>
  <c r="BG120" i="7" s="1"/>
  <c r="BG121" i="7" s="1"/>
  <c r="BG122" i="7" s="1"/>
  <c r="BG123" i="7" s="1"/>
  <c r="BG124" i="7" s="1"/>
  <c r="BG125" i="7" s="1"/>
  <c r="BG126" i="7" s="1"/>
  <c r="BG127" i="7" s="1"/>
  <c r="BG128" i="7" s="1"/>
  <c r="BG129" i="7" s="1"/>
  <c r="BG130" i="7" s="1"/>
  <c r="BG131" i="7" s="1"/>
  <c r="BG132" i="7" s="1"/>
  <c r="BG133" i="7" s="1"/>
  <c r="BG134" i="7" s="1"/>
  <c r="BG135" i="7" s="1"/>
  <c r="BG136" i="7" s="1"/>
  <c r="BG137" i="7" s="1"/>
  <c r="BG138" i="7" s="1"/>
  <c r="BG139" i="7" s="1"/>
  <c r="BG140" i="7" s="1"/>
  <c r="BG141" i="7" s="1"/>
  <c r="BG142" i="7" s="1"/>
  <c r="BG143" i="7" s="1"/>
  <c r="BG144" i="7" s="1"/>
  <c r="BG145" i="7" s="1"/>
  <c r="BG146" i="7" s="1"/>
  <c r="BG147" i="7" s="1"/>
  <c r="BG148" i="7" s="1"/>
  <c r="BG149" i="7" s="1"/>
  <c r="BG150" i="7" s="1"/>
  <c r="BG151" i="7" s="1"/>
  <c r="BG152" i="7" s="1"/>
  <c r="BG153" i="7" s="1"/>
  <c r="BG154" i="7" s="1"/>
  <c r="BG155" i="7" s="1"/>
  <c r="BG156" i="7" s="1"/>
  <c r="BG157" i="7" s="1"/>
  <c r="BG158" i="7" s="1"/>
  <c r="BG159" i="7" s="1"/>
  <c r="BG160" i="7" s="1"/>
  <c r="BG161" i="7" s="1"/>
  <c r="BG162" i="7" s="1"/>
  <c r="BG163" i="7" s="1"/>
  <c r="BG164" i="7" s="1"/>
  <c r="BG165" i="7" s="1"/>
  <c r="BG166" i="7" s="1"/>
  <c r="BG167" i="7" s="1"/>
  <c r="BG168" i="7" s="1"/>
  <c r="BG169" i="7" s="1"/>
  <c r="BG170" i="7" s="1"/>
  <c r="BG171" i="7" s="1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G183" i="7" s="1"/>
  <c r="BG184" i="7" s="1"/>
  <c r="BG185" i="7" s="1"/>
  <c r="BG186" i="7" s="1"/>
  <c r="BG187" i="7" s="1"/>
  <c r="BG188" i="7" s="1"/>
  <c r="BG189" i="7" s="1"/>
  <c r="BG190" i="7" s="1"/>
  <c r="BG191" i="7" s="1"/>
  <c r="BG192" i="7" s="1"/>
  <c r="BG193" i="7" s="1"/>
  <c r="BG194" i="7" s="1"/>
  <c r="BG195" i="7" s="1"/>
  <c r="BG196" i="7" s="1"/>
  <c r="BG197" i="7" s="1"/>
  <c r="BG198" i="7" s="1"/>
  <c r="BG199" i="7" s="1"/>
  <c r="BG200" i="7" s="1"/>
  <c r="BG201" i="7" s="1"/>
  <c r="BG202" i="7" s="1"/>
  <c r="BG203" i="7" s="1"/>
  <c r="BG204" i="7" s="1"/>
  <c r="BG205" i="7" s="1"/>
  <c r="BG206" i="7" s="1"/>
  <c r="BG207" i="7" s="1"/>
  <c r="BG208" i="7" s="1"/>
  <c r="BG209" i="7" s="1"/>
  <c r="BG210" i="7" s="1"/>
  <c r="BG211" i="7" s="1"/>
  <c r="BG212" i="7" s="1"/>
  <c r="BG6" i="6"/>
  <c r="BG7" i="6" s="1"/>
  <c r="BG8" i="6" s="1"/>
  <c r="BG9" i="6" s="1"/>
  <c r="BG10" i="6" s="1"/>
  <c r="BG11" i="6" s="1"/>
  <c r="BG12" i="6" s="1"/>
  <c r="BG13" i="6" s="1"/>
  <c r="BG14" i="6" s="1"/>
  <c r="BG15" i="6" s="1"/>
  <c r="BG16" i="6" s="1"/>
  <c r="BG17" i="6" s="1"/>
  <c r="BG18" i="6" s="1"/>
  <c r="BG19" i="6" s="1"/>
  <c r="BG20" i="6" s="1"/>
  <c r="BG21" i="6" s="1"/>
  <c r="BG22" i="6" s="1"/>
  <c r="BG23" i="6" s="1"/>
  <c r="BG24" i="6" s="1"/>
  <c r="BG25" i="6" s="1"/>
  <c r="BG26" i="6" s="1"/>
  <c r="BG27" i="6" s="1"/>
  <c r="BG28" i="6" s="1"/>
  <c r="BG29" i="6" s="1"/>
  <c r="BG30" i="6" s="1"/>
  <c r="BG31" i="6" s="1"/>
  <c r="BG32" i="6" s="1"/>
  <c r="BG33" i="6" s="1"/>
  <c r="BG34" i="6" s="1"/>
  <c r="BG35" i="6" s="1"/>
  <c r="BG36" i="6" s="1"/>
  <c r="BG37" i="6" s="1"/>
  <c r="BG38" i="6" s="1"/>
  <c r="BG39" i="6" s="1"/>
  <c r="BG40" i="6" s="1"/>
  <c r="BG41" i="6" s="1"/>
  <c r="BG42" i="6" s="1"/>
  <c r="BG43" i="6" s="1"/>
  <c r="BG44" i="6" s="1"/>
  <c r="BG45" i="6" s="1"/>
  <c r="BG46" i="6" s="1"/>
  <c r="BG47" i="6" s="1"/>
  <c r="BG48" i="6" s="1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G59" i="6" s="1"/>
  <c r="BG60" i="6" s="1"/>
  <c r="BG61" i="6" s="1"/>
  <c r="BG62" i="6" s="1"/>
  <c r="BG63" i="6" s="1"/>
  <c r="BG64" i="6" s="1"/>
  <c r="BG65" i="6" s="1"/>
  <c r="BG66" i="6" s="1"/>
  <c r="BG67" i="6" s="1"/>
  <c r="BG68" i="6" s="1"/>
  <c r="BG69" i="6" s="1"/>
  <c r="BG70" i="6" s="1"/>
  <c r="BG71" i="6" s="1"/>
  <c r="BG72" i="6" s="1"/>
  <c r="BG73" i="6" s="1"/>
  <c r="BG74" i="6" s="1"/>
  <c r="BG75" i="6" s="1"/>
  <c r="BG76" i="6" s="1"/>
  <c r="BG77" i="6" s="1"/>
  <c r="BG78" i="6" s="1"/>
  <c r="BG79" i="6" s="1"/>
  <c r="BG80" i="6" s="1"/>
  <c r="BG81" i="6" s="1"/>
  <c r="BG82" i="6" s="1"/>
  <c r="BG83" i="6" s="1"/>
  <c r="BG84" i="6" s="1"/>
  <c r="BG85" i="6" s="1"/>
  <c r="BG86" i="6" s="1"/>
  <c r="BG87" i="6" s="1"/>
  <c r="BG88" i="6" s="1"/>
  <c r="BG89" i="6" s="1"/>
  <c r="BG90" i="6" s="1"/>
  <c r="BG91" i="6" s="1"/>
  <c r="BG92" i="6" s="1"/>
  <c r="BG93" i="6" s="1"/>
  <c r="BG94" i="6" s="1"/>
  <c r="BG95" i="6" s="1"/>
  <c r="BG96" i="6" s="1"/>
  <c r="BG97" i="6" s="1"/>
  <c r="BG98" i="6" s="1"/>
  <c r="BG99" i="6" s="1"/>
  <c r="BG100" i="6" s="1"/>
  <c r="BG101" i="6" s="1"/>
  <c r="BG102" i="6" s="1"/>
  <c r="BG103" i="6" s="1"/>
  <c r="BG104" i="6" s="1"/>
  <c r="BG105" i="6" s="1"/>
  <c r="BG106" i="6" s="1"/>
  <c r="BG107" i="6" s="1"/>
  <c r="BG108" i="6" s="1"/>
  <c r="BG109" i="6" s="1"/>
  <c r="BG110" i="6" s="1"/>
  <c r="BG111" i="6" s="1"/>
  <c r="BG112" i="6" s="1"/>
  <c r="BG113" i="6" s="1"/>
  <c r="BG114" i="6" s="1"/>
  <c r="BG115" i="6" s="1"/>
  <c r="BG116" i="6" s="1"/>
  <c r="BG117" i="6" s="1"/>
  <c r="BG118" i="6" s="1"/>
  <c r="BG119" i="6" s="1"/>
  <c r="BG120" i="6" s="1"/>
  <c r="BG121" i="6" s="1"/>
  <c r="BG122" i="6" s="1"/>
  <c r="BG123" i="6" s="1"/>
  <c r="BG124" i="6" s="1"/>
  <c r="BG125" i="6" s="1"/>
  <c r="BG126" i="6" s="1"/>
  <c r="BG127" i="6" s="1"/>
  <c r="BG128" i="6" s="1"/>
  <c r="BG129" i="6" s="1"/>
  <c r="BG130" i="6" s="1"/>
  <c r="BG131" i="6" s="1"/>
  <c r="BG132" i="6" s="1"/>
  <c r="BG133" i="6" s="1"/>
  <c r="BG134" i="6" s="1"/>
  <c r="BG135" i="6" s="1"/>
  <c r="BG136" i="6" s="1"/>
  <c r="BG137" i="6" s="1"/>
  <c r="BG138" i="6" s="1"/>
  <c r="BG139" i="6" s="1"/>
  <c r="BG140" i="6" s="1"/>
  <c r="BG141" i="6" s="1"/>
  <c r="BG142" i="6" s="1"/>
  <c r="BG143" i="6" s="1"/>
  <c r="BG144" i="6" s="1"/>
  <c r="BG145" i="6" s="1"/>
  <c r="BG146" i="6" s="1"/>
  <c r="BG147" i="6" s="1"/>
  <c r="BG148" i="6" s="1"/>
  <c r="BG149" i="6" s="1"/>
  <c r="BG150" i="6" s="1"/>
  <c r="BG151" i="6" s="1"/>
  <c r="BG152" i="6" s="1"/>
  <c r="BG153" i="6" s="1"/>
  <c r="BG154" i="6" s="1"/>
  <c r="BG155" i="6" s="1"/>
  <c r="BG156" i="6" s="1"/>
  <c r="BG157" i="6" s="1"/>
  <c r="BG158" i="6" s="1"/>
  <c r="BG159" i="6" s="1"/>
  <c r="BG160" i="6" s="1"/>
  <c r="BG161" i="6" s="1"/>
  <c r="BG162" i="6" s="1"/>
  <c r="BG163" i="6" s="1"/>
  <c r="BG164" i="6" s="1"/>
  <c r="BG165" i="6" s="1"/>
  <c r="BG166" i="6" s="1"/>
  <c r="BG167" i="6" s="1"/>
  <c r="BG168" i="6" s="1"/>
  <c r="BG169" i="6" s="1"/>
  <c r="BG170" i="6" s="1"/>
  <c r="BG171" i="6" s="1"/>
  <c r="BG172" i="6" s="1"/>
  <c r="BG173" i="6" s="1"/>
  <c r="BG174" i="6" s="1"/>
  <c r="BG175" i="6" s="1"/>
  <c r="BG176" i="6" s="1"/>
  <c r="BG177" i="6" s="1"/>
  <c r="BG178" i="6" s="1"/>
  <c r="BG179" i="6" s="1"/>
  <c r="BG180" i="6" s="1"/>
  <c r="BG181" i="6" s="1"/>
  <c r="BG182" i="6" s="1"/>
  <c r="BG183" i="6" s="1"/>
  <c r="BG184" i="6" s="1"/>
  <c r="BG185" i="6" s="1"/>
  <c r="BG186" i="6" s="1"/>
  <c r="BG187" i="6" s="1"/>
  <c r="BG188" i="6" s="1"/>
  <c r="BG189" i="6" s="1"/>
  <c r="BG190" i="6" s="1"/>
  <c r="BG191" i="6" s="1"/>
  <c r="BG192" i="6" s="1"/>
  <c r="BG193" i="6" s="1"/>
  <c r="BG194" i="6" s="1"/>
  <c r="BG195" i="6" s="1"/>
  <c r="BG196" i="6" s="1"/>
  <c r="BG197" i="6" s="1"/>
  <c r="BG198" i="6" s="1"/>
  <c r="BG199" i="6" s="1"/>
  <c r="BG200" i="6" s="1"/>
  <c r="BG201" i="6" s="1"/>
  <c r="BG202" i="6" s="1"/>
  <c r="BG203" i="6" s="1"/>
  <c r="BG204" i="6" s="1"/>
  <c r="BG205" i="6" s="1"/>
  <c r="BG206" i="6" s="1"/>
  <c r="BG207" i="6" s="1"/>
  <c r="BG208" i="6" s="1"/>
  <c r="BG209" i="6" s="1"/>
  <c r="BG210" i="6" s="1"/>
  <c r="BG211" i="6" s="1"/>
  <c r="BG212" i="6" s="1"/>
  <c r="BG213" i="6" s="1"/>
  <c r="BG214" i="6" s="1"/>
  <c r="BG215" i="6" s="1"/>
  <c r="BG216" i="6" s="1"/>
  <c r="BG217" i="6" s="1"/>
  <c r="BG218" i="6" s="1"/>
  <c r="BG219" i="6" s="1"/>
  <c r="BG220" i="6" s="1"/>
  <c r="BG221" i="6" s="1"/>
  <c r="BG222" i="6" s="1"/>
  <c r="BG223" i="6" s="1"/>
  <c r="BG224" i="6" s="1"/>
  <c r="BG225" i="6" s="1"/>
  <c r="BG226" i="6" s="1"/>
  <c r="BG227" i="6" s="1"/>
  <c r="BG228" i="6" s="1"/>
  <c r="BG229" i="6" s="1"/>
  <c r="BG230" i="6" s="1"/>
  <c r="BG231" i="6" s="1"/>
  <c r="BG232" i="6" s="1"/>
  <c r="BG233" i="6" s="1"/>
  <c r="BG234" i="6" s="1"/>
  <c r="BG235" i="6" s="1"/>
  <c r="BG236" i="6" s="1"/>
  <c r="BG6" i="5"/>
  <c r="BG7" i="5" s="1"/>
  <c r="BG8" i="5" s="1"/>
  <c r="BG9" i="5" s="1"/>
  <c r="BG10" i="5" s="1"/>
  <c r="BG11" i="5" s="1"/>
  <c r="BG12" i="5" s="1"/>
  <c r="BG13" i="5" s="1"/>
  <c r="BG14" i="5" s="1"/>
  <c r="BG15" i="5" s="1"/>
  <c r="BG16" i="5" s="1"/>
  <c r="BG17" i="5" s="1"/>
  <c r="BG18" i="5" s="1"/>
  <c r="BG19" i="5" s="1"/>
  <c r="BG20" i="5" s="1"/>
  <c r="BG21" i="5" s="1"/>
  <c r="BG22" i="5" s="1"/>
  <c r="BG23" i="5" s="1"/>
  <c r="BG24" i="5" s="1"/>
  <c r="BG25" i="5" s="1"/>
  <c r="BG26" i="5" s="1"/>
  <c r="BG27" i="5" s="1"/>
  <c r="BG28" i="5" s="1"/>
  <c r="BG29" i="5" s="1"/>
  <c r="BG30" i="5" s="1"/>
  <c r="BG31" i="5" s="1"/>
  <c r="BG32" i="5" s="1"/>
  <c r="BG33" i="5" s="1"/>
  <c r="BG34" i="5" s="1"/>
  <c r="BG35" i="5" s="1"/>
  <c r="BG36" i="5" s="1"/>
  <c r="BG37" i="5" s="1"/>
  <c r="BG38" i="5" s="1"/>
  <c r="BG39" i="5" s="1"/>
  <c r="BG40" i="5" s="1"/>
  <c r="BG41" i="5" s="1"/>
  <c r="BG42" i="5" s="1"/>
  <c r="BG43" i="5" s="1"/>
  <c r="BG44" i="5" s="1"/>
  <c r="BG45" i="5" s="1"/>
  <c r="BG46" i="5" s="1"/>
  <c r="BG47" i="5" s="1"/>
  <c r="BG48" i="5" s="1"/>
  <c r="BG49" i="5" s="1"/>
  <c r="BG50" i="5" s="1"/>
  <c r="BG51" i="5" s="1"/>
  <c r="BG52" i="5" s="1"/>
  <c r="BG53" i="5" s="1"/>
  <c r="BG54" i="5" s="1"/>
  <c r="BG55" i="5" s="1"/>
  <c r="BG56" i="5" s="1"/>
  <c r="BG57" i="5" s="1"/>
  <c r="BG58" i="5" s="1"/>
  <c r="BG59" i="5" s="1"/>
  <c r="BG60" i="5" s="1"/>
  <c r="BG61" i="5" s="1"/>
  <c r="BG62" i="5" s="1"/>
  <c r="BG63" i="5" s="1"/>
  <c r="BG64" i="5" s="1"/>
  <c r="BG65" i="5" s="1"/>
  <c r="BG66" i="5" s="1"/>
  <c r="BG67" i="5" s="1"/>
  <c r="BG68" i="5" s="1"/>
  <c r="BG69" i="5" s="1"/>
  <c r="BG70" i="5" s="1"/>
  <c r="BG71" i="5" s="1"/>
  <c r="BG72" i="5" s="1"/>
  <c r="BG73" i="5" s="1"/>
  <c r="BG74" i="5" s="1"/>
  <c r="BG75" i="5" s="1"/>
  <c r="BG76" i="5" s="1"/>
  <c r="BG77" i="5" s="1"/>
  <c r="BG78" i="5" s="1"/>
  <c r="BG79" i="5" s="1"/>
  <c r="BG80" i="5" s="1"/>
  <c r="BG81" i="5" s="1"/>
  <c r="BG82" i="5" s="1"/>
  <c r="BG83" i="5" s="1"/>
  <c r="BG84" i="5" s="1"/>
  <c r="BG85" i="5" s="1"/>
  <c r="BG86" i="5" s="1"/>
  <c r="BG87" i="5" s="1"/>
  <c r="BG88" i="5" s="1"/>
  <c r="BG89" i="5" s="1"/>
  <c r="BG90" i="5" s="1"/>
  <c r="BG91" i="5" s="1"/>
  <c r="BG92" i="5" s="1"/>
  <c r="BG93" i="5" s="1"/>
  <c r="BG94" i="5" s="1"/>
  <c r="BG95" i="5" s="1"/>
  <c r="BG96" i="5" s="1"/>
  <c r="BG97" i="5" s="1"/>
  <c r="BG98" i="5" s="1"/>
  <c r="BG99" i="5" s="1"/>
  <c r="BG100" i="5" s="1"/>
  <c r="BG101" i="5" s="1"/>
  <c r="BG102" i="5" s="1"/>
  <c r="BG103" i="5" s="1"/>
  <c r="BG104" i="5" s="1"/>
  <c r="BG105" i="5" s="1"/>
  <c r="BG106" i="5" s="1"/>
  <c r="BG107" i="5" s="1"/>
  <c r="BG108" i="5" s="1"/>
  <c r="BG109" i="5" s="1"/>
  <c r="BG110" i="5" s="1"/>
  <c r="BG111" i="5" s="1"/>
  <c r="BG112" i="5" s="1"/>
  <c r="BG113" i="5" s="1"/>
  <c r="BG114" i="5" s="1"/>
  <c r="BG115" i="5" s="1"/>
  <c r="BG116" i="5" s="1"/>
  <c r="BG117" i="5" s="1"/>
  <c r="BG118" i="5" s="1"/>
  <c r="BG119" i="5" s="1"/>
  <c r="BG120" i="5" s="1"/>
  <c r="BG121" i="5" s="1"/>
  <c r="BG122" i="5" s="1"/>
  <c r="BG123" i="5" s="1"/>
  <c r="BG124" i="5" s="1"/>
  <c r="BG125" i="5" s="1"/>
  <c r="BG126" i="5" s="1"/>
  <c r="BG127" i="5" s="1"/>
  <c r="BG128" i="5" s="1"/>
  <c r="BG129" i="5" s="1"/>
  <c r="BG130" i="5" s="1"/>
  <c r="BG131" i="5" s="1"/>
  <c r="BG132" i="5" s="1"/>
  <c r="BG133" i="5" s="1"/>
  <c r="BG134" i="5" s="1"/>
  <c r="BG135" i="5" s="1"/>
  <c r="BG136" i="5" s="1"/>
  <c r="BG137" i="5" s="1"/>
  <c r="BG138" i="5" s="1"/>
  <c r="BG139" i="5" s="1"/>
  <c r="BG140" i="5" s="1"/>
  <c r="BG141" i="5" s="1"/>
  <c r="BG142" i="5" s="1"/>
  <c r="BG143" i="5" s="1"/>
  <c r="BG144" i="5" s="1"/>
  <c r="BG145" i="5" s="1"/>
  <c r="BG146" i="5" s="1"/>
  <c r="BG147" i="5" s="1"/>
  <c r="BG148" i="5" s="1"/>
  <c r="BG149" i="5" s="1"/>
  <c r="BG150" i="5" s="1"/>
  <c r="BG151" i="5" s="1"/>
  <c r="BG152" i="5" s="1"/>
  <c r="BG153" i="5" s="1"/>
  <c r="BG154" i="5" s="1"/>
  <c r="BG155" i="5" s="1"/>
  <c r="BG156" i="5" s="1"/>
  <c r="BG157" i="5" s="1"/>
  <c r="BG158" i="5" s="1"/>
  <c r="BG159" i="5" s="1"/>
  <c r="BG160" i="5" s="1"/>
  <c r="BG161" i="5" s="1"/>
  <c r="BG162" i="5" s="1"/>
  <c r="BG163" i="5" s="1"/>
  <c r="BG164" i="5" s="1"/>
  <c r="BG165" i="5" s="1"/>
  <c r="BG166" i="5" s="1"/>
  <c r="BG167" i="5" s="1"/>
  <c r="BG168" i="5" s="1"/>
  <c r="BG169" i="5" s="1"/>
  <c r="BG170" i="5" s="1"/>
  <c r="BG171" i="5" s="1"/>
  <c r="BG172" i="5" s="1"/>
  <c r="BG173" i="5" s="1"/>
  <c r="BG174" i="5" s="1"/>
  <c r="BG175" i="5" s="1"/>
  <c r="BG176" i="5" s="1"/>
  <c r="BG177" i="5" s="1"/>
  <c r="BG178" i="5" s="1"/>
  <c r="BG179" i="5" s="1"/>
  <c r="BG180" i="5" s="1"/>
  <c r="BG181" i="5" s="1"/>
  <c r="BG182" i="5" s="1"/>
  <c r="BG183" i="5" s="1"/>
  <c r="BG184" i="5" s="1"/>
  <c r="BG185" i="5" s="1"/>
  <c r="BG186" i="5" s="1"/>
  <c r="BG187" i="5" s="1"/>
  <c r="BG188" i="5" s="1"/>
  <c r="BG189" i="5" s="1"/>
  <c r="BG190" i="5" s="1"/>
  <c r="BG191" i="5" s="1"/>
  <c r="BG192" i="5" s="1"/>
  <c r="BG193" i="5" s="1"/>
  <c r="BG194" i="5" s="1"/>
  <c r="BG195" i="5" s="1"/>
  <c r="BG196" i="5" s="1"/>
  <c r="BG197" i="5" s="1"/>
  <c r="BG198" i="5" s="1"/>
  <c r="BG199" i="5" s="1"/>
  <c r="BG200" i="5" s="1"/>
  <c r="BG201" i="5" s="1"/>
  <c r="BG202" i="5" s="1"/>
  <c r="BG203" i="5" s="1"/>
  <c r="BG204" i="5" s="1"/>
  <c r="BG205" i="5" s="1"/>
  <c r="BG206" i="5" s="1"/>
  <c r="BG207" i="5" s="1"/>
  <c r="BG208" i="5" s="1"/>
  <c r="BG209" i="5" s="1"/>
  <c r="BG210" i="5" s="1"/>
  <c r="BG211" i="5" s="1"/>
  <c r="BG212" i="5" s="1"/>
  <c r="BG213" i="5" s="1"/>
  <c r="BG214" i="5" s="1"/>
  <c r="BG215" i="5" s="1"/>
  <c r="BG216" i="5" s="1"/>
  <c r="BG217" i="5" s="1"/>
  <c r="BG218" i="5" s="1"/>
  <c r="BG219" i="5" s="1"/>
  <c r="BG220" i="5" s="1"/>
  <c r="BG221" i="5" s="1"/>
  <c r="BG222" i="5" s="1"/>
  <c r="BG223" i="5" s="1"/>
  <c r="BG224" i="5" s="1"/>
  <c r="BG225" i="5" s="1"/>
  <c r="BG226" i="5" s="1"/>
  <c r="BG227" i="5" s="1"/>
  <c r="BG228" i="5" s="1"/>
  <c r="BG229" i="5" s="1"/>
  <c r="BG230" i="5" s="1"/>
  <c r="BG231" i="5" s="1"/>
  <c r="BG232" i="5" s="1"/>
  <c r="BG233" i="5" s="1"/>
  <c r="BG234" i="5" s="1"/>
  <c r="BG235" i="5" s="1"/>
  <c r="D32" i="2"/>
  <c r="D26" i="2"/>
  <c r="C26" i="2"/>
  <c r="BG214" i="7" l="1"/>
  <c r="BG216" i="7" s="1"/>
  <c r="BG218" i="7" s="1"/>
  <c r="BG220" i="7" s="1"/>
  <c r="BG222" i="7" s="1"/>
  <c r="BG224" i="7" s="1"/>
  <c r="BG226" i="7" s="1"/>
  <c r="BG228" i="7" s="1"/>
  <c r="BG230" i="7" s="1"/>
  <c r="BG232" i="7" s="1"/>
  <c r="BG234" i="7" s="1"/>
  <c r="BG236" i="7" s="1"/>
  <c r="BG238" i="7" s="1"/>
  <c r="BG240" i="7" s="1"/>
  <c r="BG242" i="7" s="1"/>
  <c r="BG244" i="7" s="1"/>
  <c r="BG246" i="7" s="1"/>
  <c r="BG248" i="7" s="1"/>
  <c r="BG250" i="7" s="1"/>
  <c r="BG252" i="7" s="1"/>
  <c r="BG254" i="7" s="1"/>
  <c r="BG256" i="7" s="1"/>
  <c r="BG213" i="7"/>
  <c r="BG215" i="7" s="1"/>
  <c r="BG217" i="7" s="1"/>
  <c r="BG219" i="7" s="1"/>
  <c r="BG221" i="7" s="1"/>
  <c r="BG223" i="7" s="1"/>
  <c r="BG225" i="7" s="1"/>
  <c r="BG227" i="7" s="1"/>
  <c r="BG229" i="7" s="1"/>
  <c r="BG231" i="7" s="1"/>
  <c r="BG233" i="7" s="1"/>
  <c r="BG235" i="7" s="1"/>
  <c r="BG237" i="7" s="1"/>
  <c r="BG239" i="7" s="1"/>
  <c r="BG241" i="7" s="1"/>
  <c r="BG243" i="7" s="1"/>
  <c r="BG245" i="7" s="1"/>
  <c r="BG247" i="7" s="1"/>
  <c r="BG249" i="7" s="1"/>
  <c r="BG251" i="7" s="1"/>
  <c r="BG253" i="7" s="1"/>
  <c r="BG255" i="7" s="1"/>
  <c r="C66" i="11"/>
  <c r="L17" i="13" l="1"/>
  <c r="L15" i="13"/>
  <c r="K15" i="13" s="1"/>
  <c r="L10" i="13"/>
  <c r="C10" i="13" s="1"/>
  <c r="L8" i="13"/>
  <c r="I8" i="13" s="1"/>
  <c r="K17" i="13" l="1"/>
  <c r="E17" i="13"/>
  <c r="E10" i="13"/>
  <c r="C15" i="13"/>
  <c r="E15" i="13"/>
  <c r="G15" i="13"/>
  <c r="G10" i="13"/>
  <c r="I10" i="13"/>
  <c r="G8" i="13"/>
  <c r="K8" i="13"/>
  <c r="G17" i="13"/>
  <c r="K10" i="13"/>
  <c r="I17" i="13"/>
  <c r="I15" i="13"/>
  <c r="C8" i="13"/>
  <c r="E8" i="13"/>
  <c r="C17" i="13"/>
  <c r="E63" i="12" l="1"/>
  <c r="F63" i="12"/>
  <c r="G63" i="12"/>
  <c r="H63" i="12"/>
  <c r="I63" i="12"/>
  <c r="J63" i="12"/>
  <c r="K63" i="12"/>
  <c r="L63" i="12"/>
  <c r="M63" i="12"/>
  <c r="B69" i="12"/>
  <c r="E57" i="12"/>
  <c r="F57" i="12"/>
  <c r="G57" i="12"/>
  <c r="H57" i="12"/>
  <c r="I57" i="12"/>
  <c r="J57" i="12"/>
  <c r="K57" i="12"/>
  <c r="L57" i="12"/>
  <c r="M57" i="12"/>
  <c r="E51" i="12"/>
  <c r="F51" i="12"/>
  <c r="G51" i="12"/>
  <c r="H51" i="12"/>
  <c r="I51" i="12"/>
  <c r="J51" i="12"/>
  <c r="K51" i="12"/>
  <c r="L51" i="12"/>
  <c r="M51" i="12"/>
  <c r="E36" i="12"/>
  <c r="F36" i="12"/>
  <c r="G36" i="12"/>
  <c r="H36" i="12"/>
  <c r="I36" i="12"/>
  <c r="J36" i="12"/>
  <c r="K36" i="12"/>
  <c r="L36" i="12"/>
  <c r="M36" i="12"/>
  <c r="C42" i="12"/>
  <c r="P36" i="12" s="1"/>
  <c r="D42" i="12"/>
  <c r="Q36" i="12" s="1"/>
  <c r="E30" i="12"/>
  <c r="F30" i="12"/>
  <c r="G30" i="12"/>
  <c r="H30" i="12"/>
  <c r="I30" i="12"/>
  <c r="J30" i="12"/>
  <c r="K30" i="12"/>
  <c r="L30" i="12"/>
  <c r="M30" i="12"/>
  <c r="E15" i="12"/>
  <c r="F15" i="12"/>
  <c r="G15" i="12"/>
  <c r="H15" i="12"/>
  <c r="I15" i="12"/>
  <c r="J15" i="12"/>
  <c r="K15" i="12"/>
  <c r="L15" i="12"/>
  <c r="M15" i="12"/>
  <c r="C21" i="12"/>
  <c r="P9" i="12" s="1"/>
  <c r="E9" i="12"/>
  <c r="F9" i="12"/>
  <c r="G9" i="12"/>
  <c r="H9" i="12"/>
  <c r="I9" i="12"/>
  <c r="J9" i="12"/>
  <c r="K9" i="12"/>
  <c r="L9" i="12"/>
  <c r="M9" i="12"/>
  <c r="A1" i="12"/>
  <c r="E63" i="11"/>
  <c r="F63" i="11"/>
  <c r="G63" i="11"/>
  <c r="H63" i="11"/>
  <c r="I63" i="11"/>
  <c r="J63" i="11"/>
  <c r="K63" i="11"/>
  <c r="L63" i="11"/>
  <c r="M63" i="11"/>
  <c r="E57" i="11"/>
  <c r="F57" i="11"/>
  <c r="F69" i="11" s="1"/>
  <c r="S63" i="11" s="1"/>
  <c r="G57" i="11"/>
  <c r="H57" i="11"/>
  <c r="I57" i="11"/>
  <c r="J57" i="11"/>
  <c r="K57" i="11"/>
  <c r="L57" i="11"/>
  <c r="M57" i="11"/>
  <c r="D69" i="11"/>
  <c r="Q57" i="11" s="1"/>
  <c r="E51" i="11"/>
  <c r="F51" i="11"/>
  <c r="G51" i="11"/>
  <c r="H51" i="11"/>
  <c r="I51" i="11"/>
  <c r="J51" i="11"/>
  <c r="K51" i="11"/>
  <c r="L51" i="11"/>
  <c r="M51" i="11"/>
  <c r="E36" i="11"/>
  <c r="F36" i="11"/>
  <c r="G36" i="11"/>
  <c r="H36" i="11"/>
  <c r="I36" i="11"/>
  <c r="J36" i="11"/>
  <c r="K36" i="11"/>
  <c r="L36" i="11"/>
  <c r="M36" i="11"/>
  <c r="C42" i="11"/>
  <c r="P36" i="11" s="1"/>
  <c r="E30" i="11"/>
  <c r="F30" i="11"/>
  <c r="G30" i="11"/>
  <c r="H30" i="11"/>
  <c r="I30" i="11"/>
  <c r="J30" i="11"/>
  <c r="K30" i="11"/>
  <c r="L30" i="11"/>
  <c r="M30" i="11"/>
  <c r="E15" i="11"/>
  <c r="F15" i="11"/>
  <c r="G15" i="11"/>
  <c r="H15" i="11"/>
  <c r="I15" i="11"/>
  <c r="J15" i="11"/>
  <c r="K15" i="11"/>
  <c r="L15" i="11"/>
  <c r="M15" i="11"/>
  <c r="E9" i="11"/>
  <c r="F9" i="11"/>
  <c r="G9" i="11"/>
  <c r="H9" i="11"/>
  <c r="I9" i="11"/>
  <c r="J9" i="11"/>
  <c r="K9" i="11"/>
  <c r="L9" i="11"/>
  <c r="M9" i="11"/>
  <c r="C69" i="12"/>
  <c r="P63" i="12" s="1"/>
  <c r="M68" i="12"/>
  <c r="Z62" i="12" s="1"/>
  <c r="L68" i="12"/>
  <c r="Y62" i="12" s="1"/>
  <c r="K68" i="12"/>
  <c r="X50" i="12" s="1"/>
  <c r="J68" i="12"/>
  <c r="W62" i="12" s="1"/>
  <c r="I68" i="12"/>
  <c r="V62" i="12" s="1"/>
  <c r="H68" i="12"/>
  <c r="U62" i="12" s="1"/>
  <c r="G68" i="12"/>
  <c r="T62" i="12" s="1"/>
  <c r="F68" i="12"/>
  <c r="S62" i="12" s="1"/>
  <c r="E68" i="12"/>
  <c r="R62" i="12" s="1"/>
  <c r="D68" i="12"/>
  <c r="Q62" i="12" s="1"/>
  <c r="C68" i="12"/>
  <c r="P62" i="12" s="1"/>
  <c r="B68" i="12"/>
  <c r="O62" i="12" s="1"/>
  <c r="M67" i="12"/>
  <c r="Z61" i="12" s="1"/>
  <c r="L67" i="12"/>
  <c r="Y61" i="12" s="1"/>
  <c r="K67" i="12"/>
  <c r="X61" i="12" s="1"/>
  <c r="J67" i="12"/>
  <c r="W61" i="12" s="1"/>
  <c r="I67" i="12"/>
  <c r="V55" i="12" s="1"/>
  <c r="H67" i="12"/>
  <c r="U61" i="12" s="1"/>
  <c r="G67" i="12"/>
  <c r="T55" i="12" s="1"/>
  <c r="F67" i="12"/>
  <c r="S55" i="12" s="1"/>
  <c r="E67" i="12"/>
  <c r="R55" i="12" s="1"/>
  <c r="D67" i="12"/>
  <c r="Q55" i="12" s="1"/>
  <c r="C67" i="12"/>
  <c r="P55" i="12" s="1"/>
  <c r="B67" i="12"/>
  <c r="O49" i="12" s="1"/>
  <c r="M66" i="12"/>
  <c r="Z48" i="12" s="1"/>
  <c r="L66" i="12"/>
  <c r="Y60" i="12" s="1"/>
  <c r="K66" i="12"/>
  <c r="X48" i="12" s="1"/>
  <c r="J66" i="12"/>
  <c r="W48" i="12" s="1"/>
  <c r="I66" i="12"/>
  <c r="V60" i="12" s="1"/>
  <c r="H66" i="12"/>
  <c r="U54" i="12" s="1"/>
  <c r="G66" i="12"/>
  <c r="T60" i="12" s="1"/>
  <c r="F66" i="12"/>
  <c r="S60" i="12" s="1"/>
  <c r="E66" i="12"/>
  <c r="R60" i="12" s="1"/>
  <c r="D66" i="12"/>
  <c r="Q60" i="12" s="1"/>
  <c r="C66" i="12"/>
  <c r="P60" i="12" s="1"/>
  <c r="O60" i="12"/>
  <c r="M41" i="12"/>
  <c r="Z29" i="12" s="1"/>
  <c r="L41" i="12"/>
  <c r="Y29" i="12" s="1"/>
  <c r="K41" i="12"/>
  <c r="X35" i="12" s="1"/>
  <c r="J41" i="12"/>
  <c r="W35" i="12" s="1"/>
  <c r="I41" i="12"/>
  <c r="V35" i="12" s="1"/>
  <c r="H41" i="12"/>
  <c r="U35" i="12" s="1"/>
  <c r="G41" i="12"/>
  <c r="T29" i="12" s="1"/>
  <c r="F41" i="12"/>
  <c r="S35" i="12" s="1"/>
  <c r="E41" i="12"/>
  <c r="R35" i="12" s="1"/>
  <c r="D41" i="12"/>
  <c r="Q35" i="12" s="1"/>
  <c r="C41" i="12"/>
  <c r="P35" i="12" s="1"/>
  <c r="B41" i="12"/>
  <c r="O35" i="12" s="1"/>
  <c r="M40" i="12"/>
  <c r="Z34" i="12" s="1"/>
  <c r="L40" i="12"/>
  <c r="Y34" i="12" s="1"/>
  <c r="K40" i="12"/>
  <c r="X34" i="12" s="1"/>
  <c r="J40" i="12"/>
  <c r="W34" i="12" s="1"/>
  <c r="I40" i="12"/>
  <c r="V28" i="12" s="1"/>
  <c r="H40" i="12"/>
  <c r="U28" i="12" s="1"/>
  <c r="G40" i="12"/>
  <c r="T34" i="12" s="1"/>
  <c r="F40" i="12"/>
  <c r="S34" i="12" s="1"/>
  <c r="E40" i="12"/>
  <c r="R34" i="12" s="1"/>
  <c r="D40" i="12"/>
  <c r="Q34" i="12" s="1"/>
  <c r="C40" i="12"/>
  <c r="P34" i="12" s="1"/>
  <c r="B40" i="12"/>
  <c r="O34" i="12" s="1"/>
  <c r="M39" i="12"/>
  <c r="Z33" i="12" s="1"/>
  <c r="L39" i="12"/>
  <c r="Y33" i="12" s="1"/>
  <c r="K39" i="12"/>
  <c r="X33" i="12" s="1"/>
  <c r="J39" i="12"/>
  <c r="W33" i="12" s="1"/>
  <c r="I39" i="12"/>
  <c r="V33" i="12" s="1"/>
  <c r="H39" i="12"/>
  <c r="U33" i="12" s="1"/>
  <c r="G39" i="12"/>
  <c r="T27" i="12" s="1"/>
  <c r="F39" i="12"/>
  <c r="S33" i="12" s="1"/>
  <c r="E39" i="12"/>
  <c r="R27" i="12" s="1"/>
  <c r="D39" i="12"/>
  <c r="Q33" i="12" s="1"/>
  <c r="C39" i="12"/>
  <c r="P27" i="12" s="1"/>
  <c r="B39" i="12"/>
  <c r="O27" i="12" s="1"/>
  <c r="M20" i="12"/>
  <c r="Z8" i="12" s="1"/>
  <c r="L20" i="12"/>
  <c r="Y8" i="12" s="1"/>
  <c r="K20" i="12"/>
  <c r="X8" i="12" s="1"/>
  <c r="J20" i="12"/>
  <c r="W8" i="12" s="1"/>
  <c r="I20" i="12"/>
  <c r="V14" i="12" s="1"/>
  <c r="H20" i="12"/>
  <c r="U14" i="12" s="1"/>
  <c r="G20" i="12"/>
  <c r="T14" i="12" s="1"/>
  <c r="F20" i="12"/>
  <c r="S14" i="12" s="1"/>
  <c r="E20" i="12"/>
  <c r="R14" i="12" s="1"/>
  <c r="D20" i="12"/>
  <c r="Q14" i="12" s="1"/>
  <c r="C20" i="12"/>
  <c r="P14" i="12" s="1"/>
  <c r="B20" i="12"/>
  <c r="O14" i="12" s="1"/>
  <c r="M19" i="12"/>
  <c r="Z13" i="12" s="1"/>
  <c r="L19" i="12"/>
  <c r="Y13" i="12" s="1"/>
  <c r="K19" i="12"/>
  <c r="X7" i="12" s="1"/>
  <c r="J19" i="12"/>
  <c r="W13" i="12" s="1"/>
  <c r="I19" i="12"/>
  <c r="V13" i="12" s="1"/>
  <c r="H19" i="12"/>
  <c r="U7" i="12" s="1"/>
  <c r="G19" i="12"/>
  <c r="T7" i="12" s="1"/>
  <c r="F19" i="12"/>
  <c r="S7" i="12" s="1"/>
  <c r="E19" i="12"/>
  <c r="R7" i="12" s="1"/>
  <c r="D19" i="12"/>
  <c r="Q7" i="12" s="1"/>
  <c r="C19" i="12"/>
  <c r="P7" i="12" s="1"/>
  <c r="B19" i="12"/>
  <c r="O7" i="12" s="1"/>
  <c r="M18" i="12"/>
  <c r="Z6" i="12" s="1"/>
  <c r="L18" i="12"/>
  <c r="Y6" i="12" s="1"/>
  <c r="K18" i="12"/>
  <c r="X6" i="12" s="1"/>
  <c r="J18" i="12"/>
  <c r="W12" i="12" s="1"/>
  <c r="I18" i="12"/>
  <c r="V12" i="12" s="1"/>
  <c r="H18" i="12"/>
  <c r="U12" i="12" s="1"/>
  <c r="G18" i="12"/>
  <c r="T12" i="12" s="1"/>
  <c r="F18" i="12"/>
  <c r="S12" i="12" s="1"/>
  <c r="E18" i="12"/>
  <c r="R12" i="12" s="1"/>
  <c r="D18" i="12"/>
  <c r="Q12" i="12" s="1"/>
  <c r="C18" i="12"/>
  <c r="P12" i="12" s="1"/>
  <c r="B18" i="12"/>
  <c r="O12" i="12" s="1"/>
  <c r="C69" i="11"/>
  <c r="P51" i="11" s="1"/>
  <c r="M68" i="11"/>
  <c r="Z62" i="11" s="1"/>
  <c r="L68" i="11"/>
  <c r="Y56" i="11" s="1"/>
  <c r="K68" i="11"/>
  <c r="X56" i="11" s="1"/>
  <c r="J68" i="11"/>
  <c r="W50" i="11" s="1"/>
  <c r="I68" i="11"/>
  <c r="V62" i="11" s="1"/>
  <c r="H68" i="11"/>
  <c r="U56" i="11" s="1"/>
  <c r="G68" i="11"/>
  <c r="T62" i="11" s="1"/>
  <c r="F68" i="11"/>
  <c r="S62" i="11" s="1"/>
  <c r="E68" i="11"/>
  <c r="R62" i="11" s="1"/>
  <c r="D68" i="11"/>
  <c r="Q62" i="11" s="1"/>
  <c r="C68" i="11"/>
  <c r="P62" i="11" s="1"/>
  <c r="B68" i="11"/>
  <c r="O62" i="11" s="1"/>
  <c r="M67" i="11"/>
  <c r="Z61" i="11" s="1"/>
  <c r="L67" i="11"/>
  <c r="Y61" i="11" s="1"/>
  <c r="K67" i="11"/>
  <c r="X61" i="11" s="1"/>
  <c r="J67" i="11"/>
  <c r="W61" i="11" s="1"/>
  <c r="I67" i="11"/>
  <c r="V55" i="11" s="1"/>
  <c r="H67" i="11"/>
  <c r="U61" i="11" s="1"/>
  <c r="G67" i="11"/>
  <c r="T61" i="11" s="1"/>
  <c r="F67" i="11"/>
  <c r="S61" i="11" s="1"/>
  <c r="E67" i="11"/>
  <c r="R61" i="11" s="1"/>
  <c r="D67" i="11"/>
  <c r="Q55" i="11" s="1"/>
  <c r="C67" i="11"/>
  <c r="P61" i="11" s="1"/>
  <c r="B67" i="11"/>
  <c r="O61" i="11" s="1"/>
  <c r="M66" i="11"/>
  <c r="Z54" i="11" s="1"/>
  <c r="L66" i="11"/>
  <c r="Y60" i="11" s="1"/>
  <c r="K66" i="11"/>
  <c r="X60" i="11" s="1"/>
  <c r="J66" i="11"/>
  <c r="W60" i="11" s="1"/>
  <c r="I66" i="11"/>
  <c r="V48" i="11" s="1"/>
  <c r="H66" i="11"/>
  <c r="U48" i="11" s="1"/>
  <c r="G66" i="11"/>
  <c r="T48" i="11" s="1"/>
  <c r="F66" i="11"/>
  <c r="S48" i="11" s="1"/>
  <c r="E66" i="11"/>
  <c r="R48" i="11" s="1"/>
  <c r="D66" i="11"/>
  <c r="Q60" i="11" s="1"/>
  <c r="P48" i="11"/>
  <c r="B66" i="11"/>
  <c r="O60" i="11" s="1"/>
  <c r="M41" i="11"/>
  <c r="Z29" i="11" s="1"/>
  <c r="L41" i="11"/>
  <c r="Y29" i="11" s="1"/>
  <c r="K41" i="11"/>
  <c r="X35" i="11" s="1"/>
  <c r="J41" i="11"/>
  <c r="W35" i="11" s="1"/>
  <c r="I41" i="11"/>
  <c r="V35" i="11" s="1"/>
  <c r="H41" i="11"/>
  <c r="U29" i="11" s="1"/>
  <c r="G41" i="11"/>
  <c r="T35" i="11" s="1"/>
  <c r="F41" i="11"/>
  <c r="S35" i="11" s="1"/>
  <c r="E41" i="11"/>
  <c r="R35" i="11" s="1"/>
  <c r="D41" i="11"/>
  <c r="Q35" i="11" s="1"/>
  <c r="C41" i="11"/>
  <c r="P35" i="11" s="1"/>
  <c r="O35" i="11"/>
  <c r="M40" i="11"/>
  <c r="Z34" i="11" s="1"/>
  <c r="L40" i="11"/>
  <c r="Y34" i="11" s="1"/>
  <c r="K40" i="11"/>
  <c r="X28" i="11" s="1"/>
  <c r="J40" i="11"/>
  <c r="W34" i="11" s="1"/>
  <c r="I40" i="11"/>
  <c r="V34" i="11" s="1"/>
  <c r="H40" i="11"/>
  <c r="U34" i="11" s="1"/>
  <c r="G40" i="11"/>
  <c r="T34" i="11" s="1"/>
  <c r="F40" i="11"/>
  <c r="S34" i="11" s="1"/>
  <c r="E40" i="11"/>
  <c r="R34" i="11" s="1"/>
  <c r="D40" i="11"/>
  <c r="Q34" i="11" s="1"/>
  <c r="C40" i="11"/>
  <c r="P28" i="11" s="1"/>
  <c r="O34" i="11"/>
  <c r="M39" i="11"/>
  <c r="Z33" i="11" s="1"/>
  <c r="L39" i="11"/>
  <c r="Y33" i="11" s="1"/>
  <c r="K39" i="11"/>
  <c r="X33" i="11" s="1"/>
  <c r="J39" i="11"/>
  <c r="W27" i="11" s="1"/>
  <c r="I39" i="11"/>
  <c r="V33" i="11" s="1"/>
  <c r="H39" i="11"/>
  <c r="U33" i="11" s="1"/>
  <c r="G39" i="11"/>
  <c r="T33" i="11" s="1"/>
  <c r="F39" i="11"/>
  <c r="S33" i="11" s="1"/>
  <c r="E39" i="11"/>
  <c r="R33" i="11" s="1"/>
  <c r="D39" i="11"/>
  <c r="Q33" i="11" s="1"/>
  <c r="C39" i="11"/>
  <c r="P33" i="11" s="1"/>
  <c r="O33" i="11"/>
  <c r="C21" i="11"/>
  <c r="P15" i="11" s="1"/>
  <c r="M20" i="11"/>
  <c r="Z8" i="11" s="1"/>
  <c r="L20" i="11"/>
  <c r="Y8" i="11" s="1"/>
  <c r="K20" i="11"/>
  <c r="X8" i="11" s="1"/>
  <c r="J20" i="11"/>
  <c r="W8" i="11" s="1"/>
  <c r="I20" i="11"/>
  <c r="V14" i="11" s="1"/>
  <c r="H20" i="11"/>
  <c r="U8" i="11" s="1"/>
  <c r="G20" i="11"/>
  <c r="T8" i="11" s="1"/>
  <c r="F20" i="11"/>
  <c r="S14" i="11" s="1"/>
  <c r="E20" i="11"/>
  <c r="R14" i="11" s="1"/>
  <c r="D20" i="11"/>
  <c r="Q14" i="11" s="1"/>
  <c r="C20" i="11"/>
  <c r="P14" i="11" s="1"/>
  <c r="B20" i="11"/>
  <c r="O14" i="11" s="1"/>
  <c r="M19" i="11"/>
  <c r="Z7" i="11" s="1"/>
  <c r="L19" i="11"/>
  <c r="Y7" i="11" s="1"/>
  <c r="K19" i="11"/>
  <c r="X7" i="11" s="1"/>
  <c r="J19" i="11"/>
  <c r="W7" i="11" s="1"/>
  <c r="I19" i="11"/>
  <c r="V13" i="11" s="1"/>
  <c r="H19" i="11"/>
  <c r="U13" i="11" s="1"/>
  <c r="G19" i="11"/>
  <c r="T13" i="11" s="1"/>
  <c r="F19" i="11"/>
  <c r="S13" i="11" s="1"/>
  <c r="E19" i="11"/>
  <c r="R13" i="11" s="1"/>
  <c r="D19" i="11"/>
  <c r="Q7" i="11" s="1"/>
  <c r="C19" i="11"/>
  <c r="P13" i="11" s="1"/>
  <c r="B19" i="11"/>
  <c r="O13" i="11" s="1"/>
  <c r="M18" i="11"/>
  <c r="Z12" i="11" s="1"/>
  <c r="L18" i="11"/>
  <c r="Y12" i="11" s="1"/>
  <c r="K18" i="11"/>
  <c r="X6" i="11" s="1"/>
  <c r="J18" i="11"/>
  <c r="W12" i="11" s="1"/>
  <c r="I18" i="11"/>
  <c r="V6" i="11" s="1"/>
  <c r="H18" i="11"/>
  <c r="U12" i="11" s="1"/>
  <c r="G18" i="11"/>
  <c r="T12" i="11" s="1"/>
  <c r="F18" i="11"/>
  <c r="S6" i="11" s="1"/>
  <c r="E18" i="11"/>
  <c r="R6" i="11" s="1"/>
  <c r="D18" i="11"/>
  <c r="Q12" i="11" s="1"/>
  <c r="C18" i="11"/>
  <c r="P12" i="11" s="1"/>
  <c r="B18" i="11"/>
  <c r="O6" i="11" s="1"/>
  <c r="H42" i="12" l="1"/>
  <c r="U36" i="12" s="1"/>
  <c r="F42" i="11"/>
  <c r="S36" i="11" s="1"/>
  <c r="F69" i="12"/>
  <c r="S63" i="12" s="1"/>
  <c r="F21" i="12"/>
  <c r="S15" i="12" s="1"/>
  <c r="F21" i="11"/>
  <c r="S15" i="11" s="1"/>
  <c r="M42" i="11"/>
  <c r="Z36" i="11" s="1"/>
  <c r="M42" i="12"/>
  <c r="Z36" i="12" s="1"/>
  <c r="Z48" i="11"/>
  <c r="L42" i="12"/>
  <c r="Y36" i="12" s="1"/>
  <c r="L69" i="11"/>
  <c r="Y63" i="11" s="1"/>
  <c r="Y54" i="11"/>
  <c r="Y48" i="11"/>
  <c r="Y14" i="11"/>
  <c r="Y20" i="11" s="1"/>
  <c r="K42" i="12"/>
  <c r="X36" i="12" s="1"/>
  <c r="K21" i="12"/>
  <c r="X15" i="12" s="1"/>
  <c r="X29" i="11"/>
  <c r="X41" i="11" s="1"/>
  <c r="X62" i="12"/>
  <c r="X56" i="12"/>
  <c r="X14" i="12"/>
  <c r="X20" i="12" s="1"/>
  <c r="X12" i="12"/>
  <c r="X18" i="12" s="1"/>
  <c r="K69" i="12"/>
  <c r="X63" i="12" s="1"/>
  <c r="X29" i="12"/>
  <c r="X41" i="12" s="1"/>
  <c r="X28" i="12"/>
  <c r="X40" i="12" s="1"/>
  <c r="X48" i="11"/>
  <c r="X54" i="11"/>
  <c r="K21" i="11"/>
  <c r="X9" i="11" s="1"/>
  <c r="X14" i="11"/>
  <c r="X20" i="11" s="1"/>
  <c r="W14" i="12"/>
  <c r="W20" i="12" s="1"/>
  <c r="W56" i="12"/>
  <c r="W29" i="12"/>
  <c r="W41" i="12" s="1"/>
  <c r="J21" i="12"/>
  <c r="W15" i="12" s="1"/>
  <c r="W56" i="11"/>
  <c r="W62" i="11"/>
  <c r="W48" i="11"/>
  <c r="W54" i="11"/>
  <c r="W29" i="11"/>
  <c r="W41" i="11" s="1"/>
  <c r="I42" i="12"/>
  <c r="V36" i="12" s="1"/>
  <c r="I42" i="11"/>
  <c r="V30" i="11" s="1"/>
  <c r="V29" i="11"/>
  <c r="V41" i="11" s="1"/>
  <c r="I21" i="11"/>
  <c r="V15" i="11" s="1"/>
  <c r="V7" i="11"/>
  <c r="V19" i="11" s="1"/>
  <c r="I69" i="12"/>
  <c r="V57" i="12" s="1"/>
  <c r="V49" i="12"/>
  <c r="I21" i="12"/>
  <c r="V9" i="12" s="1"/>
  <c r="H42" i="11"/>
  <c r="U36" i="11" s="1"/>
  <c r="U14" i="11"/>
  <c r="U20" i="11" s="1"/>
  <c r="H69" i="12"/>
  <c r="U57" i="12" s="1"/>
  <c r="U13" i="12"/>
  <c r="U19" i="12" s="1"/>
  <c r="H21" i="12"/>
  <c r="U15" i="12" s="1"/>
  <c r="U62" i="11"/>
  <c r="U54" i="11"/>
  <c r="U35" i="11"/>
  <c r="U41" i="11" s="1"/>
  <c r="U28" i="11"/>
  <c r="U40" i="11" s="1"/>
  <c r="H21" i="11"/>
  <c r="U15" i="11" s="1"/>
  <c r="G42" i="11"/>
  <c r="T36" i="11" s="1"/>
  <c r="G21" i="11"/>
  <c r="T15" i="11" s="1"/>
  <c r="G69" i="12"/>
  <c r="T63" i="12" s="1"/>
  <c r="T49" i="12"/>
  <c r="T61" i="12"/>
  <c r="G42" i="12"/>
  <c r="T36" i="12" s="1"/>
  <c r="T35" i="12"/>
  <c r="T41" i="12" s="1"/>
  <c r="T56" i="11"/>
  <c r="T14" i="11"/>
  <c r="T20" i="11" s="1"/>
  <c r="S12" i="11"/>
  <c r="S18" i="11" s="1"/>
  <c r="S49" i="12"/>
  <c r="F42" i="12"/>
  <c r="S36" i="12" s="1"/>
  <c r="E21" i="12"/>
  <c r="R9" i="12" s="1"/>
  <c r="E69" i="12"/>
  <c r="R51" i="12" s="1"/>
  <c r="E69" i="11"/>
  <c r="R63" i="11" s="1"/>
  <c r="E42" i="11"/>
  <c r="R30" i="11" s="1"/>
  <c r="R49" i="12"/>
  <c r="E42" i="12"/>
  <c r="R30" i="12" s="1"/>
  <c r="E21" i="11"/>
  <c r="R15" i="11" s="1"/>
  <c r="R12" i="11"/>
  <c r="R18" i="11" s="1"/>
  <c r="Q27" i="11"/>
  <c r="Q39" i="11" s="1"/>
  <c r="D42" i="11"/>
  <c r="Q36" i="11" s="1"/>
  <c r="D21" i="11"/>
  <c r="Q15" i="11" s="1"/>
  <c r="D69" i="12"/>
  <c r="Q63" i="12" s="1"/>
  <c r="D21" i="12"/>
  <c r="Q15" i="12" s="1"/>
  <c r="P49" i="12"/>
  <c r="P27" i="11"/>
  <c r="P39" i="11" s="1"/>
  <c r="O13" i="12"/>
  <c r="O19" i="12" s="1"/>
  <c r="O27" i="11"/>
  <c r="O39" i="11" s="1"/>
  <c r="B42" i="12"/>
  <c r="O36" i="12" s="1"/>
  <c r="B21" i="12"/>
  <c r="O9" i="12" s="1"/>
  <c r="B21" i="11"/>
  <c r="O15" i="11" s="1"/>
  <c r="Z56" i="12"/>
  <c r="P61" i="12"/>
  <c r="R48" i="12"/>
  <c r="Y50" i="12"/>
  <c r="Y56" i="12"/>
  <c r="V61" i="12"/>
  <c r="R54" i="12"/>
  <c r="U55" i="12"/>
  <c r="U49" i="12"/>
  <c r="X60" i="12"/>
  <c r="W60" i="12"/>
  <c r="O63" i="12"/>
  <c r="O57" i="12"/>
  <c r="T54" i="12"/>
  <c r="U48" i="12"/>
  <c r="V54" i="12"/>
  <c r="Y48" i="12"/>
  <c r="S56" i="12"/>
  <c r="X49" i="12"/>
  <c r="T48" i="12"/>
  <c r="U60" i="12"/>
  <c r="V48" i="12"/>
  <c r="W54" i="12"/>
  <c r="X54" i="12"/>
  <c r="Y54" i="12"/>
  <c r="X55" i="12"/>
  <c r="P57" i="12"/>
  <c r="L69" i="12"/>
  <c r="Y63" i="12" s="1"/>
  <c r="M69" i="12"/>
  <c r="Z63" i="12" s="1"/>
  <c r="J69" i="12"/>
  <c r="W63" i="12" s="1"/>
  <c r="O51" i="12"/>
  <c r="Y35" i="12"/>
  <c r="S27" i="12"/>
  <c r="S39" i="12" s="1"/>
  <c r="Z35" i="12"/>
  <c r="U34" i="12"/>
  <c r="U40" i="12" s="1"/>
  <c r="V34" i="12"/>
  <c r="V40" i="12" s="1"/>
  <c r="Q30" i="12"/>
  <c r="Q42" i="12" s="1"/>
  <c r="R33" i="12"/>
  <c r="R39" i="12" s="1"/>
  <c r="V27" i="12"/>
  <c r="V39" i="12" s="1"/>
  <c r="P33" i="12"/>
  <c r="P39" i="12" s="1"/>
  <c r="U27" i="12"/>
  <c r="U39" i="12" s="1"/>
  <c r="Z41" i="12"/>
  <c r="P30" i="12"/>
  <c r="P42" i="12" s="1"/>
  <c r="Q27" i="12"/>
  <c r="Q39" i="12" s="1"/>
  <c r="J42" i="12"/>
  <c r="W36" i="12" s="1"/>
  <c r="G21" i="12"/>
  <c r="T15" i="12" s="1"/>
  <c r="Q6" i="12"/>
  <c r="Q18" i="12" s="1"/>
  <c r="V7" i="12"/>
  <c r="V19" i="12" s="1"/>
  <c r="P13" i="12"/>
  <c r="P19" i="12" s="1"/>
  <c r="T8" i="12"/>
  <c r="T20" i="12" s="1"/>
  <c r="U8" i="12"/>
  <c r="U20" i="12" s="1"/>
  <c r="O6" i="12"/>
  <c r="O18" i="12" s="1"/>
  <c r="Q13" i="12"/>
  <c r="Q19" i="12" s="1"/>
  <c r="P6" i="12"/>
  <c r="P18" i="12" s="1"/>
  <c r="R13" i="12"/>
  <c r="R19" i="12" s="1"/>
  <c r="M21" i="12"/>
  <c r="Z15" i="12" s="1"/>
  <c r="L21" i="12"/>
  <c r="Y15" i="12" s="1"/>
  <c r="S49" i="11"/>
  <c r="Q49" i="11"/>
  <c r="O54" i="11"/>
  <c r="P54" i="11"/>
  <c r="T54" i="11"/>
  <c r="V54" i="11"/>
  <c r="P49" i="11"/>
  <c r="S56" i="11"/>
  <c r="M69" i="11"/>
  <c r="Z63" i="11" s="1"/>
  <c r="Q54" i="11"/>
  <c r="I69" i="11"/>
  <c r="V57" i="11" s="1"/>
  <c r="B69" i="11"/>
  <c r="O51" i="11" s="1"/>
  <c r="V49" i="11"/>
  <c r="T60" i="11"/>
  <c r="X49" i="11"/>
  <c r="R54" i="11"/>
  <c r="Z60" i="11"/>
  <c r="Z66" i="11" s="1"/>
  <c r="S54" i="11"/>
  <c r="G69" i="11"/>
  <c r="T63" i="11" s="1"/>
  <c r="P57" i="11"/>
  <c r="K69" i="11"/>
  <c r="X57" i="11" s="1"/>
  <c r="P63" i="11"/>
  <c r="J69" i="11"/>
  <c r="W63" i="11" s="1"/>
  <c r="S50" i="11"/>
  <c r="T50" i="11"/>
  <c r="U50" i="11"/>
  <c r="V50" i="11"/>
  <c r="R60" i="11"/>
  <c r="X50" i="11"/>
  <c r="P55" i="11"/>
  <c r="Q61" i="11"/>
  <c r="O48" i="11"/>
  <c r="P60" i="11"/>
  <c r="Q48" i="11"/>
  <c r="Y50" i="11"/>
  <c r="O55" i="11"/>
  <c r="S55" i="11"/>
  <c r="V61" i="11"/>
  <c r="H69" i="11"/>
  <c r="U51" i="11" s="1"/>
  <c r="Z50" i="11"/>
  <c r="O49" i="11"/>
  <c r="X55" i="11"/>
  <c r="Q51" i="11"/>
  <c r="Q63" i="11"/>
  <c r="X34" i="11"/>
  <c r="X40" i="11" s="1"/>
  <c r="S27" i="11"/>
  <c r="S39" i="11" s="1"/>
  <c r="V27" i="11"/>
  <c r="V39" i="11" s="1"/>
  <c r="Z35" i="11"/>
  <c r="Z41" i="11" s="1"/>
  <c r="V28" i="11"/>
  <c r="V40" i="11" s="1"/>
  <c r="T29" i="11"/>
  <c r="T41" i="11" s="1"/>
  <c r="X27" i="11"/>
  <c r="X39" i="11" s="1"/>
  <c r="W33" i="11"/>
  <c r="W39" i="11" s="1"/>
  <c r="B42" i="11"/>
  <c r="O36" i="11" s="1"/>
  <c r="Y27" i="11"/>
  <c r="Y39" i="11" s="1"/>
  <c r="S28" i="11"/>
  <c r="S40" i="11" s="1"/>
  <c r="L42" i="11"/>
  <c r="Y36" i="11" s="1"/>
  <c r="K42" i="11"/>
  <c r="X36" i="11" s="1"/>
  <c r="J42" i="11"/>
  <c r="W36" i="11" s="1"/>
  <c r="P30" i="11"/>
  <c r="P42" i="11" s="1"/>
  <c r="R7" i="11"/>
  <c r="R19" i="11" s="1"/>
  <c r="U7" i="11"/>
  <c r="U19" i="11" s="1"/>
  <c r="V12" i="11"/>
  <c r="V18" i="11" s="1"/>
  <c r="U6" i="11"/>
  <c r="U18" i="11" s="1"/>
  <c r="S7" i="11"/>
  <c r="S19" i="11" s="1"/>
  <c r="O7" i="11"/>
  <c r="O19" i="11" s="1"/>
  <c r="P7" i="11"/>
  <c r="P19" i="11" s="1"/>
  <c r="L21" i="11"/>
  <c r="Y15" i="11" s="1"/>
  <c r="J21" i="11"/>
  <c r="W9" i="11" s="1"/>
  <c r="M21" i="11"/>
  <c r="Z15" i="11" s="1"/>
  <c r="Y6" i="11"/>
  <c r="Y18" i="11" s="1"/>
  <c r="X12" i="11"/>
  <c r="X18" i="11" s="1"/>
  <c r="P6" i="11"/>
  <c r="P18" i="11" s="1"/>
  <c r="W6" i="11"/>
  <c r="W18" i="11" s="1"/>
  <c r="S8" i="11"/>
  <c r="S20" i="11" s="1"/>
  <c r="P9" i="11"/>
  <c r="P21" i="11" s="1"/>
  <c r="Q13" i="11"/>
  <c r="Q19" i="11" s="1"/>
  <c r="R27" i="11"/>
  <c r="R39" i="11" s="1"/>
  <c r="S60" i="11"/>
  <c r="Q49" i="12"/>
  <c r="U27" i="11"/>
  <c r="U39" i="11" s="1"/>
  <c r="V60" i="11"/>
  <c r="X62" i="11"/>
  <c r="Y35" i="11"/>
  <c r="Y41" i="11" s="1"/>
  <c r="Y62" i="11"/>
  <c r="S6" i="12"/>
  <c r="S18" i="12" s="1"/>
  <c r="W27" i="12"/>
  <c r="W39" i="12" s="1"/>
  <c r="U30" i="12"/>
  <c r="U42" i="12" s="1"/>
  <c r="Q61" i="12"/>
  <c r="O12" i="11"/>
  <c r="O18" i="11" s="1"/>
  <c r="X13" i="11"/>
  <c r="X19" i="11" s="1"/>
  <c r="T6" i="12"/>
  <c r="T18" i="12" s="1"/>
  <c r="X27" i="12"/>
  <c r="X39" i="12" s="1"/>
  <c r="O33" i="12"/>
  <c r="O39" i="12" s="1"/>
  <c r="R61" i="12"/>
  <c r="T27" i="11"/>
  <c r="T39" i="11" s="1"/>
  <c r="R49" i="11"/>
  <c r="U6" i="12"/>
  <c r="U18" i="12" s="1"/>
  <c r="Y27" i="12"/>
  <c r="Y39" i="12" s="1"/>
  <c r="S61" i="12"/>
  <c r="V6" i="12"/>
  <c r="V18" i="12" s="1"/>
  <c r="Z27" i="12"/>
  <c r="Z39" i="12" s="1"/>
  <c r="S50" i="12"/>
  <c r="T56" i="12"/>
  <c r="Z27" i="11"/>
  <c r="Z39" i="11" s="1"/>
  <c r="T49" i="11"/>
  <c r="W6" i="12"/>
  <c r="W18" i="12" s="1"/>
  <c r="P15" i="12"/>
  <c r="P21" i="12" s="1"/>
  <c r="T50" i="12"/>
  <c r="O55" i="12"/>
  <c r="V56" i="11"/>
  <c r="O61" i="12"/>
  <c r="W14" i="11"/>
  <c r="W20" i="11" s="1"/>
  <c r="O28" i="11"/>
  <c r="O40" i="11" s="1"/>
  <c r="U49" i="11"/>
  <c r="R55" i="11"/>
  <c r="W50" i="12"/>
  <c r="P34" i="11"/>
  <c r="P40" i="11" s="1"/>
  <c r="U60" i="11"/>
  <c r="Q28" i="11"/>
  <c r="Q40" i="11" s="1"/>
  <c r="T55" i="11"/>
  <c r="R28" i="11"/>
  <c r="R40" i="11" s="1"/>
  <c r="U55" i="11"/>
  <c r="Y41" i="12"/>
  <c r="Z56" i="11"/>
  <c r="Z6" i="11"/>
  <c r="Z18" i="11" s="1"/>
  <c r="Z14" i="11"/>
  <c r="Z20" i="11" s="1"/>
  <c r="Y14" i="12"/>
  <c r="Y20" i="12" s="1"/>
  <c r="P51" i="12"/>
  <c r="Y12" i="12"/>
  <c r="Y18" i="12" s="1"/>
  <c r="T33" i="12"/>
  <c r="T39" i="12" s="1"/>
  <c r="O48" i="12"/>
  <c r="O54" i="12"/>
  <c r="P48" i="12"/>
  <c r="P54" i="12"/>
  <c r="S13" i="12"/>
  <c r="S19" i="12" s="1"/>
  <c r="Q48" i="12"/>
  <c r="Q54" i="12"/>
  <c r="T13" i="12"/>
  <c r="T19" i="12" s="1"/>
  <c r="O28" i="12"/>
  <c r="O40" i="12" s="1"/>
  <c r="P28" i="12"/>
  <c r="P40" i="12" s="1"/>
  <c r="S48" i="12"/>
  <c r="S54" i="12"/>
  <c r="Q28" i="12"/>
  <c r="Q40" i="12" s="1"/>
  <c r="X13" i="12"/>
  <c r="X19" i="12" s="1"/>
  <c r="R28" i="12"/>
  <c r="R40" i="12" s="1"/>
  <c r="S28" i="12"/>
  <c r="S40" i="12" s="1"/>
  <c r="T28" i="12"/>
  <c r="T40" i="12" s="1"/>
  <c r="Z14" i="12"/>
  <c r="Z20" i="12" s="1"/>
  <c r="Z12" i="12"/>
  <c r="Z18" i="12" s="1"/>
  <c r="Z60" i="12"/>
  <c r="Z54" i="12"/>
  <c r="Z50" i="12"/>
  <c r="T7" i="11"/>
  <c r="T19" i="11" s="1"/>
  <c r="T28" i="11"/>
  <c r="T40" i="11" s="1"/>
  <c r="W49" i="11"/>
  <c r="W55" i="11"/>
  <c r="W7" i="12"/>
  <c r="W19" i="12" s="1"/>
  <c r="W28" i="12"/>
  <c r="W40" i="12" s="1"/>
  <c r="W49" i="12"/>
  <c r="W55" i="12"/>
  <c r="W13" i="11"/>
  <c r="W19" i="11" s="1"/>
  <c r="Y28" i="11"/>
  <c r="Y40" i="11" s="1"/>
  <c r="Y49" i="11"/>
  <c r="Y55" i="11"/>
  <c r="Y7" i="12"/>
  <c r="Y19" i="12" s="1"/>
  <c r="Y28" i="12"/>
  <c r="Y40" i="12" s="1"/>
  <c r="Y49" i="12"/>
  <c r="Y55" i="12"/>
  <c r="R6" i="12"/>
  <c r="R18" i="12" s="1"/>
  <c r="Z13" i="11"/>
  <c r="Z19" i="11" s="1"/>
  <c r="Z28" i="11"/>
  <c r="Z40" i="11" s="1"/>
  <c r="Z49" i="11"/>
  <c r="Z55" i="11"/>
  <c r="Z7" i="12"/>
  <c r="Z19" i="12" s="1"/>
  <c r="Z28" i="12"/>
  <c r="Z40" i="12" s="1"/>
  <c r="Z49" i="12"/>
  <c r="Z55" i="12"/>
  <c r="Q6" i="11"/>
  <c r="Q18" i="11" s="1"/>
  <c r="W28" i="11"/>
  <c r="W40" i="11" s="1"/>
  <c r="T6" i="11"/>
  <c r="T18" i="11" s="1"/>
  <c r="O8" i="11"/>
  <c r="O20" i="11" s="1"/>
  <c r="S9" i="11"/>
  <c r="S21" i="11" s="1"/>
  <c r="O29" i="11"/>
  <c r="O41" i="11" s="1"/>
  <c r="S30" i="11"/>
  <c r="S42" i="11" s="1"/>
  <c r="O50" i="11"/>
  <c r="S51" i="11"/>
  <c r="O56" i="11"/>
  <c r="S57" i="11"/>
  <c r="O8" i="12"/>
  <c r="O20" i="12" s="1"/>
  <c r="S9" i="12"/>
  <c r="S21" i="12" s="1"/>
  <c r="O29" i="12"/>
  <c r="O41" i="12" s="1"/>
  <c r="O50" i="12"/>
  <c r="S51" i="12"/>
  <c r="O56" i="12"/>
  <c r="Y13" i="11"/>
  <c r="Y19" i="11" s="1"/>
  <c r="P8" i="11"/>
  <c r="P20" i="11" s="1"/>
  <c r="P29" i="11"/>
  <c r="P41" i="11" s="1"/>
  <c r="T30" i="11"/>
  <c r="T42" i="11" s="1"/>
  <c r="P50" i="11"/>
  <c r="P56" i="11"/>
  <c r="P8" i="12"/>
  <c r="P20" i="12" s="1"/>
  <c r="P29" i="12"/>
  <c r="P41" i="12" s="1"/>
  <c r="P50" i="12"/>
  <c r="P56" i="12"/>
  <c r="Q8" i="11"/>
  <c r="Q20" i="11" s="1"/>
  <c r="Q29" i="11"/>
  <c r="Q41" i="11" s="1"/>
  <c r="Q50" i="11"/>
  <c r="Q56" i="11"/>
  <c r="Q8" i="12"/>
  <c r="Q20" i="12" s="1"/>
  <c r="Q29" i="12"/>
  <c r="Q41" i="12" s="1"/>
  <c r="Q50" i="12"/>
  <c r="Q56" i="12"/>
  <c r="R8" i="11"/>
  <c r="R20" i="11" s="1"/>
  <c r="R29" i="11"/>
  <c r="R41" i="11" s="1"/>
  <c r="R50" i="11"/>
  <c r="R56" i="11"/>
  <c r="R8" i="12"/>
  <c r="R20" i="12" s="1"/>
  <c r="R29" i="12"/>
  <c r="R41" i="12" s="1"/>
  <c r="R50" i="12"/>
  <c r="R56" i="12"/>
  <c r="S29" i="11"/>
  <c r="S41" i="11" s="1"/>
  <c r="S8" i="12"/>
  <c r="S20" i="12" s="1"/>
  <c r="S29" i="12"/>
  <c r="S41" i="12" s="1"/>
  <c r="U29" i="12"/>
  <c r="U41" i="12" s="1"/>
  <c r="U50" i="12"/>
  <c r="U56" i="12"/>
  <c r="V8" i="11"/>
  <c r="V20" i="11" s="1"/>
  <c r="V8" i="12"/>
  <c r="V20" i="12" s="1"/>
  <c r="V29" i="12"/>
  <c r="V41" i="12" s="1"/>
  <c r="V50" i="12"/>
  <c r="V56" i="12"/>
  <c r="S57" i="12" l="1"/>
  <c r="S69" i="12" s="1"/>
  <c r="Y68" i="12"/>
  <c r="Y68" i="11"/>
  <c r="T9" i="11"/>
  <c r="T21" i="11" s="1"/>
  <c r="Z9" i="11"/>
  <c r="Z21" i="11" s="1"/>
  <c r="Z30" i="11"/>
  <c r="Z42" i="11" s="1"/>
  <c r="Z30" i="12"/>
  <c r="Z42" i="12" s="1"/>
  <c r="Z51" i="11"/>
  <c r="Y66" i="11"/>
  <c r="Y30" i="12"/>
  <c r="Y42" i="12" s="1"/>
  <c r="W9" i="12"/>
  <c r="W21" i="12" s="1"/>
  <c r="V36" i="11"/>
  <c r="V42" i="11" s="1"/>
  <c r="V51" i="12"/>
  <c r="V63" i="12"/>
  <c r="U67" i="12"/>
  <c r="T51" i="12"/>
  <c r="W68" i="12"/>
  <c r="S67" i="12"/>
  <c r="R63" i="12"/>
  <c r="X30" i="12"/>
  <c r="X42" i="12" s="1"/>
  <c r="V30" i="12"/>
  <c r="V42" i="12" s="1"/>
  <c r="S30" i="12"/>
  <c r="S42" i="12" s="1"/>
  <c r="R15" i="12"/>
  <c r="R21" i="12" s="1"/>
  <c r="Y57" i="11"/>
  <c r="Y51" i="11"/>
  <c r="T68" i="11"/>
  <c r="Z68" i="11"/>
  <c r="R57" i="11"/>
  <c r="U68" i="11"/>
  <c r="Q9" i="11"/>
  <c r="Q21" i="11" s="1"/>
  <c r="W15" i="11"/>
  <c r="W21" i="11" s="1"/>
  <c r="Z68" i="12"/>
  <c r="Z57" i="11"/>
  <c r="Z9" i="12"/>
  <c r="Z21" i="12" s="1"/>
  <c r="Y66" i="12"/>
  <c r="Y9" i="12"/>
  <c r="Y21" i="12" s="1"/>
  <c r="X9" i="12"/>
  <c r="X21" i="12" s="1"/>
  <c r="X66" i="11"/>
  <c r="X68" i="12"/>
  <c r="X57" i="12"/>
  <c r="X51" i="12"/>
  <c r="X63" i="11"/>
  <c r="X30" i="11"/>
  <c r="X42" i="11" s="1"/>
  <c r="X15" i="11"/>
  <c r="X21" i="11" s="1"/>
  <c r="X66" i="12"/>
  <c r="W68" i="11"/>
  <c r="W57" i="12"/>
  <c r="W66" i="11"/>
  <c r="U9" i="12"/>
  <c r="U21" i="12" s="1"/>
  <c r="V67" i="12"/>
  <c r="V15" i="12"/>
  <c r="V21" i="12" s="1"/>
  <c r="V51" i="11"/>
  <c r="V9" i="11"/>
  <c r="V21" i="11" s="1"/>
  <c r="V66" i="11"/>
  <c r="V68" i="11"/>
  <c r="V63" i="11"/>
  <c r="U30" i="11"/>
  <c r="U42" i="11" s="1"/>
  <c r="U9" i="11"/>
  <c r="U21" i="11" s="1"/>
  <c r="U66" i="11"/>
  <c r="U51" i="12"/>
  <c r="U63" i="12"/>
  <c r="T57" i="12"/>
  <c r="T57" i="11"/>
  <c r="T30" i="12"/>
  <c r="T42" i="12" s="1"/>
  <c r="T66" i="11"/>
  <c r="T67" i="12"/>
  <c r="T9" i="12"/>
  <c r="T21" i="12" s="1"/>
  <c r="S68" i="11"/>
  <c r="S67" i="11"/>
  <c r="R51" i="11"/>
  <c r="R57" i="12"/>
  <c r="R69" i="12" s="1"/>
  <c r="R36" i="12"/>
  <c r="R42" i="12" s="1"/>
  <c r="R67" i="12"/>
  <c r="R36" i="11"/>
  <c r="R42" i="11" s="1"/>
  <c r="R66" i="12"/>
  <c r="R9" i="11"/>
  <c r="R21" i="11" s="1"/>
  <c r="Q30" i="11"/>
  <c r="Q42" i="11" s="1"/>
  <c r="Q51" i="12"/>
  <c r="Q9" i="12"/>
  <c r="Q21" i="12" s="1"/>
  <c r="Q67" i="11"/>
  <c r="Q57" i="12"/>
  <c r="Q67" i="12"/>
  <c r="P67" i="11"/>
  <c r="P67" i="12"/>
  <c r="P66" i="11"/>
  <c r="O9" i="11"/>
  <c r="O21" i="11" s="1"/>
  <c r="O30" i="12"/>
  <c r="O42" i="12" s="1"/>
  <c r="O15" i="12"/>
  <c r="O21" i="12" s="1"/>
  <c r="O66" i="11"/>
  <c r="W66" i="12"/>
  <c r="V66" i="12"/>
  <c r="P69" i="12"/>
  <c r="O69" i="12"/>
  <c r="T66" i="12"/>
  <c r="T68" i="12"/>
  <c r="W51" i="12"/>
  <c r="Y57" i="12"/>
  <c r="Z66" i="12"/>
  <c r="Y51" i="12"/>
  <c r="X67" i="12"/>
  <c r="Y67" i="12"/>
  <c r="Z51" i="12"/>
  <c r="S68" i="12"/>
  <c r="O67" i="12"/>
  <c r="Z57" i="12"/>
  <c r="U66" i="12"/>
  <c r="W30" i="12"/>
  <c r="W42" i="12" s="1"/>
  <c r="O63" i="11"/>
  <c r="O67" i="11"/>
  <c r="O57" i="11"/>
  <c r="Q66" i="11"/>
  <c r="X68" i="11"/>
  <c r="S66" i="11"/>
  <c r="P69" i="11"/>
  <c r="T51" i="11"/>
  <c r="W57" i="11"/>
  <c r="W51" i="11"/>
  <c r="X67" i="11"/>
  <c r="R66" i="11"/>
  <c r="V67" i="11"/>
  <c r="X51" i="11"/>
  <c r="Q69" i="11"/>
  <c r="R67" i="11"/>
  <c r="U63" i="11"/>
  <c r="U57" i="11"/>
  <c r="Y30" i="11"/>
  <c r="Y42" i="11" s="1"/>
  <c r="O30" i="11"/>
  <c r="O42" i="11" s="1"/>
  <c r="W30" i="11"/>
  <c r="W42" i="11" s="1"/>
  <c r="Y9" i="11"/>
  <c r="Y21" i="11" s="1"/>
  <c r="T67" i="11"/>
  <c r="U67" i="11"/>
  <c r="S66" i="12"/>
  <c r="O66" i="12"/>
  <c r="P66" i="12"/>
  <c r="Q66" i="12"/>
  <c r="Q68" i="12"/>
  <c r="Z67" i="12"/>
  <c r="O68" i="11"/>
  <c r="P68" i="11"/>
  <c r="R68" i="12"/>
  <c r="V68" i="12"/>
  <c r="S69" i="11"/>
  <c r="Y67" i="11"/>
  <c r="W67" i="11"/>
  <c r="R68" i="11"/>
  <c r="P68" i="12"/>
  <c r="O68" i="12"/>
  <c r="U68" i="12"/>
  <c r="Q68" i="11"/>
  <c r="Z67" i="11"/>
  <c r="W67" i="12"/>
  <c r="Z69" i="11" l="1"/>
  <c r="T69" i="12"/>
  <c r="Z69" i="12"/>
  <c r="Y69" i="11"/>
  <c r="X69" i="12"/>
  <c r="X69" i="11"/>
  <c r="V69" i="12"/>
  <c r="O69" i="11"/>
  <c r="R69" i="11"/>
  <c r="Y69" i="12"/>
  <c r="W69" i="12"/>
  <c r="W69" i="11"/>
  <c r="V69" i="11"/>
  <c r="U69" i="12"/>
  <c r="T69" i="11"/>
  <c r="Q69" i="12"/>
  <c r="U69" i="11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 s="1"/>
  <c r="M7" i="3"/>
  <c r="M10" i="3" s="1"/>
  <c r="L7" i="3"/>
  <c r="L10" i="3" s="1"/>
  <c r="K7" i="3"/>
  <c r="K10" i="3" s="1"/>
  <c r="J7" i="3"/>
  <c r="J10" i="3" s="1"/>
  <c r="I7" i="3"/>
  <c r="I10" i="3" s="1"/>
  <c r="H7" i="3"/>
  <c r="H10" i="3" s="1"/>
  <c r="G7" i="3"/>
  <c r="G10" i="3" s="1"/>
  <c r="F7" i="3"/>
  <c r="F10" i="3" s="1"/>
  <c r="E7" i="3"/>
  <c r="E10" i="3" s="1"/>
  <c r="D7" i="3"/>
  <c r="D10" i="3" s="1"/>
  <c r="C7" i="3"/>
  <c r="N54" i="2"/>
  <c r="M54" i="2"/>
  <c r="L54" i="2"/>
  <c r="K54" i="2"/>
  <c r="J54" i="2"/>
  <c r="I54" i="2"/>
  <c r="H54" i="2"/>
  <c r="G54" i="2"/>
  <c r="F54" i="2"/>
  <c r="E54" i="2"/>
  <c r="D54" i="2"/>
  <c r="C54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7" i="2"/>
  <c r="N55" i="2" s="1"/>
  <c r="M47" i="2"/>
  <c r="M55" i="2" s="1"/>
  <c r="L47" i="2"/>
  <c r="L55" i="2" s="1"/>
  <c r="K47" i="2"/>
  <c r="K55" i="2" s="1"/>
  <c r="J47" i="2"/>
  <c r="J55" i="2" s="1"/>
  <c r="I47" i="2"/>
  <c r="I55" i="2" s="1"/>
  <c r="H47" i="2"/>
  <c r="H55" i="2" s="1"/>
  <c r="G47" i="2"/>
  <c r="G55" i="2" s="1"/>
  <c r="F47" i="2"/>
  <c r="F55" i="2" s="1"/>
  <c r="E47" i="2"/>
  <c r="E55" i="2" s="1"/>
  <c r="D47" i="2"/>
  <c r="D55" i="2" s="1"/>
  <c r="C47" i="2"/>
  <c r="C55" i="2" s="1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D25" i="2"/>
  <c r="C25" i="2"/>
  <c r="N23" i="2"/>
  <c r="M23" i="2"/>
  <c r="L23" i="2"/>
  <c r="K23" i="2"/>
  <c r="J23" i="2"/>
  <c r="I23" i="2"/>
  <c r="H23" i="2"/>
  <c r="G23" i="2"/>
  <c r="F23" i="2"/>
  <c r="E23" i="2"/>
  <c r="D23" i="2"/>
  <c r="C23" i="2"/>
  <c r="N19" i="2"/>
  <c r="M19" i="2"/>
  <c r="L19" i="2"/>
  <c r="K19" i="2"/>
  <c r="J19" i="2"/>
  <c r="I19" i="2"/>
  <c r="H19" i="2"/>
  <c r="G19" i="2"/>
  <c r="F19" i="2"/>
  <c r="E19" i="2"/>
  <c r="D19" i="2"/>
  <c r="C19" i="2"/>
  <c r="N9" i="2"/>
  <c r="M9" i="2"/>
  <c r="L9" i="2"/>
  <c r="K9" i="2"/>
  <c r="J9" i="2"/>
  <c r="I9" i="2"/>
  <c r="H9" i="2"/>
  <c r="G9" i="2"/>
  <c r="F9" i="2"/>
  <c r="N5" i="2"/>
  <c r="N17" i="2" s="1"/>
  <c r="M5" i="2"/>
  <c r="L5" i="2"/>
  <c r="K5" i="2"/>
  <c r="J5" i="2"/>
  <c r="I5" i="2"/>
  <c r="H5" i="2"/>
  <c r="H17" i="2" s="1"/>
  <c r="G5" i="2"/>
  <c r="F5" i="2"/>
  <c r="F17" i="2" s="1"/>
  <c r="E5" i="2"/>
  <c r="E17" i="2" s="1"/>
  <c r="D5" i="2"/>
  <c r="D13" i="2" s="1"/>
  <c r="C5" i="2"/>
  <c r="C17" i="2" s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D17" i="2" l="1"/>
  <c r="D35" i="2"/>
  <c r="C13" i="2"/>
  <c r="C16" i="2" s="1"/>
  <c r="C35" i="2"/>
  <c r="I52" i="2"/>
  <c r="I56" i="2" s="1"/>
  <c r="J52" i="2"/>
  <c r="J56" i="2" s="1"/>
  <c r="K52" i="2"/>
  <c r="K56" i="2" s="1"/>
  <c r="G52" i="2"/>
  <c r="G56" i="2" s="1"/>
  <c r="C52" i="2"/>
  <c r="C56" i="2" s="1"/>
  <c r="I13" i="2"/>
  <c r="I29" i="2" s="1"/>
  <c r="K13" i="2"/>
  <c r="K16" i="2" s="1"/>
  <c r="F13" i="2"/>
  <c r="F29" i="2" s="1"/>
  <c r="F35" i="2"/>
  <c r="G35" i="2"/>
  <c r="E13" i="2"/>
  <c r="E16" i="2" s="1"/>
  <c r="K35" i="2"/>
  <c r="I35" i="2"/>
  <c r="J13" i="2"/>
  <c r="J16" i="2" s="1"/>
  <c r="J17" i="2"/>
  <c r="H13" i="2"/>
  <c r="H29" i="2" s="1"/>
  <c r="N35" i="2"/>
  <c r="N13" i="2"/>
  <c r="N16" i="2" s="1"/>
  <c r="I17" i="2"/>
  <c r="D52" i="2"/>
  <c r="D56" i="2" s="1"/>
  <c r="M52" i="2"/>
  <c r="M56" i="2" s="1"/>
  <c r="L13" i="2"/>
  <c r="L16" i="2" s="1"/>
  <c r="H35" i="2"/>
  <c r="G17" i="2"/>
  <c r="G13" i="2"/>
  <c r="G16" i="2" s="1"/>
  <c r="J35" i="2"/>
  <c r="N52" i="2"/>
  <c r="N56" i="2" s="1"/>
  <c r="M13" i="2"/>
  <c r="M16" i="2" s="1"/>
  <c r="O5" i="3"/>
  <c r="E52" i="2"/>
  <c r="E56" i="2" s="1"/>
  <c r="D16" i="2"/>
  <c r="F52" i="2"/>
  <c r="F56" i="2" s="1"/>
  <c r="E35" i="2"/>
  <c r="H52" i="2"/>
  <c r="H56" i="2" s="1"/>
  <c r="K17" i="2"/>
  <c r="L17" i="2"/>
  <c r="L35" i="2"/>
  <c r="L52" i="2"/>
  <c r="L56" i="2" s="1"/>
  <c r="M17" i="2"/>
  <c r="M35" i="2"/>
  <c r="C10" i="3"/>
  <c r="O6" i="3"/>
  <c r="M29" i="2" l="1"/>
  <c r="K29" i="2"/>
  <c r="J29" i="2"/>
  <c r="I16" i="2"/>
  <c r="F16" i="2"/>
  <c r="E29" i="2"/>
  <c r="D29" i="2"/>
  <c r="C29" i="2"/>
  <c r="O7" i="3"/>
  <c r="L29" i="2"/>
  <c r="G29" i="2"/>
  <c r="N29" i="2"/>
  <c r="O5" i="2"/>
  <c r="O9" i="2"/>
  <c r="H16" i="2"/>
  <c r="O13" i="2" l="1"/>
</calcChain>
</file>

<file path=xl/sharedStrings.xml><?xml version="1.0" encoding="utf-8"?>
<sst xmlns="http://schemas.openxmlformats.org/spreadsheetml/2006/main" count="1700" uniqueCount="474">
  <si>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</si>
  <si>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</si>
  <si>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</si>
  <si>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</si>
  <si>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</si>
  <si>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</si>
  <si>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</si>
  <si>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</si>
  <si>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</si>
  <si>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</si>
  <si>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</si>
  <si>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</si>
  <si>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</si>
  <si>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</si>
  <si>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</si>
  <si>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</si>
  <si>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</si>
  <si>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</si>
  <si>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</si>
  <si>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</si>
  <si>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</si>
  <si>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</si>
  <si>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</si>
  <si>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</si>
  <si>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</si>
  <si>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</si>
  <si>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</si>
  <si>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</si>
  <si>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</si>
  <si>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</si>
  <si>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</si>
  <si>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</si>
  <si>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</si>
  <si>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</si>
  <si>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</si>
  <si>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</si>
  <si>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</si>
  <si>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</si>
  <si>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</si>
  <si>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</si>
  <si>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</si>
  <si>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</si>
  <si>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</si>
  <si>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</si>
  <si>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</si>
  <si>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</si>
  <si>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</si>
  <si>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</si>
  <si>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</si>
  <si>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</si>
  <si>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</si>
  <si>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</si>
  <si>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</si>
  <si>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</si>
  <si>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</si>
  <si>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</si>
  <si>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</si>
  <si>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</si>
  <si>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</si>
  <si>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</si>
  <si>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</si>
  <si>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</si>
  <si>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</si>
  <si>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</si>
  <si>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</si>
  <si>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</si>
  <si>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</si>
  <si>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</si>
  <si>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</si>
  <si>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</si>
  <si>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</si>
  <si>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Importes Crédito Local</t>
  </si>
  <si>
    <t>Importes Crédito IBK</t>
  </si>
  <si>
    <t>Share IBK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</si>
  <si>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</si>
  <si>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</si>
  <si>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</si>
  <si>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</si>
  <si>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</si>
  <si>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</si>
  <si>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</si>
  <si>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</si>
  <si>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</si>
  <si>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</si>
  <si>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</si>
  <si>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</si>
  <si>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</si>
  <si>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</si>
  <si>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</si>
  <si>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</si>
  <si>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</si>
  <si>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</si>
  <si>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</si>
  <si>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</si>
  <si>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</si>
  <si>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</si>
  <si>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</si>
  <si>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</si>
  <si>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</si>
  <si>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</si>
  <si>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</si>
  <si>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</si>
  <si>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</si>
  <si>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</si>
  <si>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</si>
  <si>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</si>
  <si>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</si>
  <si>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</si>
  <si>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</si>
  <si>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</si>
  <si>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</si>
  <si>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</si>
  <si>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</si>
  <si>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</si>
  <si>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</si>
  <si>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</si>
  <si>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</si>
  <si>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</si>
  <si>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</si>
  <si>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</si>
  <si>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</si>
  <si>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</si>
  <si>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</si>
  <si>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</si>
  <si>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</si>
  <si>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</si>
  <si>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</si>
  <si>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</si>
  <si>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</si>
  <si>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</si>
  <si>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</si>
  <si>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</si>
  <si>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</si>
  <si>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</si>
  <si>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</si>
  <si>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</si>
  <si>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</si>
  <si>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</si>
  <si>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</si>
  <si>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</si>
  <si>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</si>
  <si>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</si>
  <si>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</si>
  <si>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</si>
  <si>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</si>
  <si>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</si>
  <si>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</si>
  <si>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</si>
  <si>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</si>
  <si>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</si>
  <si>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</si>
  <si>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</si>
  <si>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</si>
  <si>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</si>
  <si>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</si>
  <si>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</si>
  <si>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</si>
  <si>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</si>
  <si>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</si>
  <si>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</si>
  <si>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</si>
  <si>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</si>
  <si>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</si>
  <si>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</si>
  <si>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</si>
  <si>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</si>
  <si>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Unicas/Cajeros Automaticos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</si>
  <si>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</si>
  <si>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</si>
  <si>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</si>
  <si>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</si>
  <si>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</si>
  <si>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</si>
  <si>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</si>
  <si>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</si>
  <si>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</si>
  <si>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</si>
  <si>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</si>
  <si>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</si>
  <si>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</si>
  <si>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</si>
  <si>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</si>
  <si>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</si>
  <si>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</si>
  <si>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</si>
  <si>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</si>
  <si>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</si>
  <si>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</si>
  <si>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</si>
  <si>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</si>
  <si>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</si>
  <si>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</si>
  <si>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</si>
  <si>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</si>
  <si>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</si>
  <si>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</si>
  <si>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</si>
  <si>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</si>
  <si>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</si>
  <si>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</si>
  <si>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</si>
  <si>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</si>
  <si>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</si>
  <si>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</si>
  <si>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</si>
  <si>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</si>
  <si>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</si>
  <si>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</si>
  <si>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</si>
  <si>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</si>
  <si>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</si>
  <si>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</si>
  <si>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</si>
  <si>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</si>
  <si>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</si>
  <si>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</si>
  <si>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</si>
  <si>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</si>
  <si>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</si>
  <si>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</si>
  <si>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</si>
  <si>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</si>
  <si>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</si>
  <si>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</si>
  <si>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</si>
  <si>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</si>
  <si>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</si>
  <si>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</si>
  <si>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</si>
  <si>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</si>
  <si>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</si>
  <si>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</si>
  <si>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</si>
  <si>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</si>
  <si>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</si>
  <si>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</si>
  <si>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</si>
  <si>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</si>
  <si>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</si>
  <si>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</si>
  <si>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</si>
  <si>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</si>
  <si>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</si>
  <si>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</si>
  <si>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</si>
  <si>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</si>
  <si>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</si>
  <si>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</si>
  <si>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</si>
  <si>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</si>
  <si>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</si>
  <si>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</si>
  <si>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</si>
  <si>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</si>
  <si>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</si>
  <si>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</si>
  <si>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</si>
  <si>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</si>
  <si>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</si>
  <si>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</si>
  <si>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</si>
  <si>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</si>
  <si>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</si>
  <si>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</si>
  <si>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</si>
  <si>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</si>
  <si>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</si>
  <si>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</si>
  <si>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</si>
  <si>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</si>
  <si>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</si>
  <si>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</si>
  <si>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</si>
  <si>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</si>
  <si>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</si>
  <si>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</si>
  <si>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</si>
  <si>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</si>
  <si>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</si>
  <si>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</si>
  <si>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</si>
  <si>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</si>
  <si>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</si>
  <si>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</si>
  <si>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</si>
  <si>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</si>
  <si>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Suministros y acces. de autos</t>
  </si>
  <si>
    <t>Total general</t>
  </si>
  <si>
    <t>Importes Débito Local</t>
  </si>
  <si>
    <t>Importes Débito IBK</t>
  </si>
  <si>
    <t>pp. Dic</t>
  </si>
  <si>
    <t>Corredores de bolsa</t>
  </si>
  <si>
    <t>Vta por correo/telefono Venta por Telemarketing</t>
  </si>
  <si>
    <t>ALQUILER DE BIENES INMOBILIARIOS</t>
  </si>
  <si>
    <t>Florists Supplies- Nursery Stock- and Flowers</t>
  </si>
  <si>
    <t>Timeshares</t>
  </si>
  <si>
    <t>Organizaciones religiosas</t>
  </si>
  <si>
    <t>Activ. Comercial no clasific.</t>
  </si>
  <si>
    <t>Escuelas arte y ofic</t>
  </si>
  <si>
    <t>AGENCIAS DE INFORMES CREDITICIOS DEL CONSUMIDOR</t>
  </si>
  <si>
    <t>TALLERES DE REPARACIÓN Y SERVICIOS AFINES</t>
  </si>
  <si>
    <t>Alquiler de equipos y muebles</t>
  </si>
  <si>
    <t>Maquinas afeitar</t>
  </si>
  <si>
    <t>Bienes Digitales</t>
  </si>
  <si>
    <t>Estudios fotografia</t>
  </si>
  <si>
    <t>Transacciones de fondos de PDI (excluyendo MoneySend)</t>
  </si>
  <si>
    <t>SERVICIOS DE ARQUITECTURA- INGENIER-A Y TOPOGRA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</si>
  <si>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</si>
  <si>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</si>
  <si>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</si>
  <si>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</si>
  <si>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</si>
  <si>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</si>
  <si>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</si>
  <si>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</si>
  <si>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</si>
  <si>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</si>
  <si>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</si>
  <si>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</si>
  <si>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</si>
  <si>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</si>
  <si>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</si>
  <si>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</si>
  <si>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</si>
  <si>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</si>
  <si>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</si>
  <si>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</si>
  <si>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</si>
  <si>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</si>
  <si>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LA PLAZA GASTRONOMICA S.A.C.</t>
  </si>
  <si>
    <t>INVERSIONES INDEPENDENCIA S.A.C.</t>
  </si>
  <si>
    <t>ORIENTAL POLO S.A.C.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</si>
  <si>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</si>
  <si>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</si>
  <si>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</si>
  <si>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</si>
  <si>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</si>
  <si>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</si>
  <si>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</si>
  <si>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</si>
  <si>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</si>
  <si>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</si>
  <si>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</si>
  <si>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</si>
  <si>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</si>
  <si>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</si>
  <si>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</si>
  <si>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</si>
  <si>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</si>
  <si>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</si>
  <si>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</si>
  <si>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</si>
  <si>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</si>
  <si>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</si>
  <si>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</si>
  <si>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</si>
  <si>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</si>
  <si>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</si>
  <si>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</si>
  <si>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</si>
  <si>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</si>
  <si>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</si>
  <si>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</si>
  <si>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</si>
  <si>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</si>
  <si>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</si>
  <si>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</si>
  <si>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</si>
  <si>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</si>
  <si>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</si>
  <si>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</si>
  <si>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</si>
  <si>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</si>
  <si>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</si>
  <si>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</si>
  <si>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</si>
  <si>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</si>
  <si>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</si>
  <si>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</si>
  <si>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</si>
  <si>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</si>
  <si>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</si>
  <si>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</si>
  <si>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</si>
  <si>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</si>
  <si>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</si>
  <si>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</si>
  <si>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</si>
  <si>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</si>
  <si>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</si>
  <si>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</si>
  <si>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</si>
  <si>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</si>
  <si>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</si>
  <si>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</si>
  <si>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</si>
  <si>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</si>
  <si>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</si>
  <si>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</si>
  <si>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</si>
  <si>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</si>
  <si>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</si>
  <si>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</si>
  <si>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</si>
  <si>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</si>
  <si>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</si>
  <si>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</si>
  <si>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</si>
  <si>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</si>
  <si>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</si>
  <si>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</si>
  <si>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</si>
  <si>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</si>
  <si>
    <t>INTERBANK</t>
  </si>
  <si>
    <t>POS</t>
  </si>
  <si>
    <t>CREDITO</t>
  </si>
  <si>
    <t>DEBITO</t>
  </si>
  <si>
    <t>PREPAGO</t>
  </si>
  <si>
    <t>E-COM</t>
  </si>
  <si>
    <t>TOTAL</t>
  </si>
  <si>
    <t>LOCALES</t>
  </si>
  <si>
    <t>FORÁNEAS</t>
  </si>
  <si>
    <t>CARGO AUTOMATICO</t>
  </si>
  <si>
    <t>PROCESOS DE MEDIOS DE PAGO S.A.</t>
  </si>
  <si>
    <t>TERMINALIZACIÓN</t>
  </si>
  <si>
    <t xml:space="preserve">Número de transacciones </t>
  </si>
  <si>
    <t>Producto</t>
  </si>
  <si>
    <t>% POS</t>
  </si>
  <si>
    <t>OTROS **</t>
  </si>
  <si>
    <t>% OTROS</t>
  </si>
  <si>
    <t>REC</t>
  </si>
  <si>
    <t>% REC</t>
  </si>
  <si>
    <t>% E-COM</t>
  </si>
  <si>
    <t>MANUAL</t>
  </si>
  <si>
    <t>% MANUAL</t>
  </si>
  <si>
    <t>American Express</t>
  </si>
  <si>
    <t>Amex Interbank</t>
  </si>
  <si>
    <t>Importe en soles</t>
  </si>
  <si>
    <t>** Estan consideradas las transacciones MOTO y UATP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</si>
  <si>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</si>
  <si>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</si>
  <si>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</si>
  <si>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</si>
  <si>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</si>
  <si>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</si>
  <si>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</si>
  <si>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Con efectivo - foráneas</t>
  </si>
  <si>
    <t>CORPORATION INTHERPHARMA SAC</t>
  </si>
  <si>
    <t>C &amp; M SERVICENTROS SAC</t>
  </si>
  <si>
    <t>JE OPERADORES SAC</t>
  </si>
  <si>
    <t>INVERSIONES PABECSA SAC</t>
  </si>
  <si>
    <t>INVERSIONES KAMADO SAC</t>
  </si>
  <si>
    <t xml:space="preserve"> </t>
  </si>
  <si>
    <t>Share Total 2026: considera Amex, Visa y MC.</t>
  </si>
  <si>
    <t>Facturación Mastercard 2026</t>
  </si>
  <si>
    <t>pp: puntos porcentuales</t>
  </si>
  <si>
    <t>Bancos - Disp.efectivo ventanilla</t>
  </si>
  <si>
    <t>Contrat.calef.plomer</t>
  </si>
  <si>
    <t>Direct Marketing-Inbound Telemarketing Merchants</t>
  </si>
  <si>
    <t>MANTENIMIENTO Y REPARACIÓN DE COMPUTADORAS (NO</t>
  </si>
  <si>
    <t>PETROLEOS Y PRODUCTOS DE PETRO LEOS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</si>
  <si>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</si>
  <si>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</si>
  <si>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</si>
  <si>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</si>
  <si>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</si>
  <si>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</si>
  <si>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</si>
  <si>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</si>
  <si>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</si>
  <si>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</si>
  <si>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</si>
  <si>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Al 29 de Marzo del 2,026</t>
  </si>
  <si>
    <t>AL 29 DE MARZO DEL 2,026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</si>
</sst>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"/>
    <numFmt numFmtId="165" formatCode="_-&quot;S/&quot;\ * #,##0_-;\-&quot;S/&quot;\ * #,##0_-;_-&quot;S/&quot;\ * &quot;-&quot;??_-;_-@_-"/>
    <numFmt numFmtId="166" formatCode="_-* #,##0_-;\-* #,##0_-;_-* &quot;-&quot;??_-;_-@_-"/>
    <numFmt numFmtId="167" formatCode="0.0%"/>
    <numFmt numFmtId="168" formatCode="_([$€-2]\ * #,##0.00_);_([$€-2]\ * \(#,##0.00\);_([$€-2]\ * &quot;-&quot;??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44" fontId="1" fillId="0" borderId="0"/>
    <xf numFmtId="0" fontId="14" fillId="0" borderId="0"/>
    <xf numFmtId="9" fontId="14" fillId="0" borderId="0"/>
  </cellStyleXfs>
  <cellXfs count="262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165" fontId="19" fillId="2" borderId="31" xfId="3" applyNumberFormat="1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>
      <alignment horizontal="center" vertical="center"/>
    </xf>
    <xf numFmtId="165" fontId="19" fillId="2" borderId="5" xfId="3" applyNumberFormat="1" applyFont="1" applyFill="1" applyBorder="1" applyAlignment="1">
      <alignment horizontal="center" vertical="center"/>
    </xf>
    <xf numFmtId="165" fontId="20" fillId="2" borderId="36" xfId="3" applyNumberFormat="1" applyFont="1" applyFill="1" applyBorder="1" applyAlignment="1">
      <alignment horizontal="center" vertical="center"/>
    </xf>
    <xf numFmtId="165" fontId="20" fillId="2" borderId="13" xfId="3" applyNumberFormat="1" applyFont="1" applyFill="1" applyBorder="1" applyAlignment="1">
      <alignment horizontal="center" vertical="center"/>
    </xf>
    <xf numFmtId="165" fontId="20" fillId="2" borderId="14" xfId="3" applyNumberFormat="1" applyFont="1" applyFill="1" applyBorder="1" applyAlignment="1">
      <alignment horizontal="center" vertical="center"/>
    </xf>
    <xf numFmtId="165" fontId="20" fillId="2" borderId="29" xfId="3" applyNumberFormat="1" applyFont="1" applyFill="1" applyBorder="1" applyAlignment="1">
      <alignment horizontal="center" vertical="center"/>
    </xf>
    <xf numFmtId="165" fontId="20" fillId="2" borderId="24" xfId="3" applyNumberFormat="1" applyFont="1" applyFill="1" applyBorder="1" applyAlignment="1">
      <alignment horizontal="center" vertical="center"/>
    </xf>
    <xf numFmtId="165" fontId="20" fillId="2" borderId="25" xfId="3" applyNumberFormat="1" applyFont="1" applyFill="1" applyBorder="1" applyAlignment="1">
      <alignment horizontal="center" vertical="center"/>
    </xf>
    <xf numFmtId="166" fontId="18" fillId="2" borderId="0" xfId="2" applyNumberFormat="1" applyFont="1" applyFill="1" applyAlignment="1">
      <alignment horizontal="center"/>
    </xf>
    <xf numFmtId="165" fontId="18" fillId="3" borderId="28" xfId="3" applyNumberFormat="1" applyFont="1" applyFill="1" applyBorder="1" applyAlignment="1">
      <alignment horizontal="center" vertical="center"/>
    </xf>
    <xf numFmtId="165" fontId="18" fillId="3" borderId="1" xfId="3" applyNumberFormat="1" applyFont="1" applyFill="1" applyBorder="1" applyAlignment="1">
      <alignment horizontal="center" vertical="center"/>
    </xf>
    <xf numFmtId="165" fontId="18" fillId="3" borderId="30" xfId="3" applyNumberFormat="1" applyFont="1" applyFill="1" applyBorder="1" applyAlignment="1">
      <alignment horizontal="center" vertical="center"/>
    </xf>
    <xf numFmtId="167" fontId="18" fillId="3" borderId="7" xfId="1" applyNumberFormat="1" applyFont="1" applyFill="1" applyBorder="1" applyAlignment="1">
      <alignment horizontal="center" vertical="center"/>
    </xf>
    <xf numFmtId="165" fontId="23" fillId="2" borderId="32" xfId="3" applyNumberFormat="1" applyFont="1" applyFill="1" applyBorder="1" applyAlignment="1">
      <alignment horizontal="left" vertical="center"/>
    </xf>
    <xf numFmtId="165" fontId="23" fillId="2" borderId="13" xfId="3" applyNumberFormat="1" applyFont="1" applyFill="1" applyBorder="1" applyAlignment="1">
      <alignment horizontal="left" vertical="center"/>
    </xf>
    <xf numFmtId="165" fontId="23" fillId="2" borderId="16" xfId="3" applyNumberFormat="1" applyFont="1" applyFill="1" applyBorder="1" applyAlignment="1">
      <alignment horizontal="center" vertical="center"/>
    </xf>
    <xf numFmtId="165" fontId="23" fillId="2" borderId="13" xfId="3" applyNumberFormat="1" applyFont="1" applyFill="1" applyBorder="1" applyAlignment="1">
      <alignment horizontal="center" vertical="center"/>
    </xf>
    <xf numFmtId="167" fontId="23" fillId="2" borderId="12" xfId="1" applyNumberFormat="1" applyFont="1" applyFill="1" applyBorder="1" applyAlignment="1">
      <alignment horizontal="center" vertical="center"/>
    </xf>
    <xf numFmtId="166" fontId="23" fillId="2" borderId="0" xfId="2" applyNumberFormat="1" applyFont="1" applyFill="1" applyAlignment="1">
      <alignment horizontal="center"/>
    </xf>
    <xf numFmtId="165" fontId="18" fillId="4" borderId="35" xfId="3" applyNumberFormat="1" applyFont="1" applyFill="1" applyBorder="1" applyAlignment="1">
      <alignment horizontal="center" vertical="center"/>
    </xf>
    <xf numFmtId="165" fontId="18" fillId="4" borderId="1" xfId="3" applyNumberFormat="1" applyFont="1" applyFill="1" applyBorder="1" applyAlignment="1">
      <alignment horizontal="center" vertical="center"/>
    </xf>
    <xf numFmtId="165" fontId="18" fillId="4" borderId="8" xfId="3" applyNumberFormat="1" applyFont="1" applyFill="1" applyBorder="1" applyAlignment="1">
      <alignment horizontal="center" vertical="center"/>
    </xf>
    <xf numFmtId="165" fontId="18" fillId="4" borderId="39" xfId="3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165" fontId="23" fillId="2" borderId="0" xfId="3" applyNumberFormat="1" applyFont="1" applyFill="1" applyAlignment="1">
      <alignment horizontal="left" vertical="center"/>
    </xf>
    <xf numFmtId="167" fontId="23" fillId="2" borderId="0" xfId="1" applyNumberFormat="1" applyFont="1" applyFill="1"/>
    <xf numFmtId="165" fontId="23" fillId="2" borderId="18" xfId="3" applyNumberFormat="1" applyFont="1" applyFill="1" applyBorder="1" applyAlignment="1">
      <alignment horizontal="center" vertical="center"/>
    </xf>
    <xf numFmtId="165" fontId="23" fillId="2" borderId="20" xfId="3" applyNumberFormat="1" applyFont="1" applyFill="1" applyBorder="1" applyAlignment="1">
      <alignment horizontal="center" vertical="center"/>
    </xf>
    <xf numFmtId="165" fontId="23" fillId="2" borderId="19" xfId="3" applyNumberFormat="1" applyFont="1" applyFill="1" applyBorder="1" applyAlignment="1">
      <alignment horizontal="center" vertical="center"/>
    </xf>
    <xf numFmtId="165" fontId="18" fillId="2" borderId="0" xfId="3" applyNumberFormat="1" applyFont="1" applyFill="1" applyAlignment="1">
      <alignment horizontal="left" indent="1"/>
    </xf>
    <xf numFmtId="165" fontId="18" fillId="2" borderId="0" xfId="3" applyNumberFormat="1" applyFont="1" applyFill="1" applyAlignment="1">
      <alignment horizontal="center"/>
    </xf>
    <xf numFmtId="165" fontId="23" fillId="2" borderId="0" xfId="3" applyNumberFormat="1" applyFont="1" applyFill="1" applyAlignment="1">
      <alignment horizontal="center"/>
    </xf>
    <xf numFmtId="167" fontId="23" fillId="2" borderId="16" xfId="1" applyNumberFormat="1" applyFont="1" applyFill="1" applyBorder="1" applyAlignment="1">
      <alignment horizontal="center"/>
    </xf>
    <xf numFmtId="167" fontId="23" fillId="2" borderId="19" xfId="1" applyNumberFormat="1" applyFont="1" applyFill="1" applyBorder="1" applyAlignment="1">
      <alignment horizontal="center"/>
    </xf>
    <xf numFmtId="167" fontId="23" fillId="2" borderId="0" xfId="1" applyNumberFormat="1" applyFont="1" applyFill="1" applyAlignment="1">
      <alignment horizontal="center"/>
    </xf>
    <xf numFmtId="165" fontId="23" fillId="2" borderId="16" xfId="3" applyNumberFormat="1" applyFont="1" applyFill="1" applyBorder="1" applyAlignment="1">
      <alignment horizontal="left" vertical="center"/>
    </xf>
    <xf numFmtId="165" fontId="23" fillId="2" borderId="34" xfId="3" applyNumberFormat="1" applyFont="1" applyFill="1" applyBorder="1" applyAlignment="1">
      <alignment horizontal="center" vertical="center"/>
    </xf>
    <xf numFmtId="165" fontId="23" fillId="2" borderId="22" xfId="3" applyNumberFormat="1" applyFont="1" applyFill="1" applyBorder="1" applyAlignment="1">
      <alignment horizontal="center" vertical="center"/>
    </xf>
    <xf numFmtId="165" fontId="23" fillId="2" borderId="10" xfId="3" applyNumberFormat="1" applyFont="1" applyFill="1" applyBorder="1" applyAlignment="1">
      <alignment horizontal="center" vertical="center"/>
    </xf>
    <xf numFmtId="166" fontId="23" fillId="2" borderId="0" xfId="2" applyNumberFormat="1" applyFont="1" applyFill="1"/>
    <xf numFmtId="165" fontId="23" fillId="2" borderId="40" xfId="3" applyNumberFormat="1" applyFont="1" applyFill="1" applyBorder="1" applyAlignment="1">
      <alignment horizontal="center" vertical="center"/>
    </xf>
    <xf numFmtId="165" fontId="23" fillId="2" borderId="41" xfId="3" applyNumberFormat="1" applyFont="1" applyFill="1" applyBorder="1" applyAlignment="1">
      <alignment horizontal="center" vertical="center"/>
    </xf>
    <xf numFmtId="165" fontId="23" fillId="2" borderId="11" xfId="3" applyNumberFormat="1" applyFont="1" applyFill="1" applyBorder="1" applyAlignment="1">
      <alignment horizontal="center" vertical="center"/>
    </xf>
    <xf numFmtId="165" fontId="18" fillId="4" borderId="28" xfId="3" applyNumberFormat="1" applyFont="1" applyFill="1" applyBorder="1" applyAlignment="1">
      <alignment horizontal="center" vertical="center"/>
    </xf>
    <xf numFmtId="165" fontId="18" fillId="4" borderId="2" xfId="3" applyNumberFormat="1" applyFont="1" applyFill="1" applyBorder="1" applyAlignment="1">
      <alignment horizontal="center" vertical="center"/>
    </xf>
    <xf numFmtId="165" fontId="28" fillId="0" borderId="21" xfId="3" applyNumberFormat="1" applyFont="1" applyBorder="1"/>
    <xf numFmtId="167" fontId="29" fillId="9" borderId="21" xfId="1" applyNumberFormat="1" applyFont="1" applyFill="1" applyBorder="1" applyAlignment="1">
      <alignment horizontal="center"/>
    </xf>
    <xf numFmtId="167" fontId="29" fillId="0" borderId="21" xfId="1" applyNumberFormat="1" applyFont="1" applyBorder="1" applyAlignment="1">
      <alignment horizontal="center"/>
    </xf>
    <xf numFmtId="165" fontId="27" fillId="0" borderId="21" xfId="3" applyNumberFormat="1" applyFont="1" applyBorder="1"/>
    <xf numFmtId="165" fontId="6" fillId="0" borderId="21" xfId="3" applyNumberFormat="1" applyFont="1" applyBorder="1"/>
    <xf numFmtId="167" fontId="4" fillId="9" borderId="21" xfId="1" applyNumberFormat="1" applyFont="1" applyFill="1" applyBorder="1" applyAlignment="1">
      <alignment horizontal="center"/>
    </xf>
    <xf numFmtId="167" fontId="4" fillId="0" borderId="21" xfId="1" applyNumberFormat="1" applyFont="1" applyBorder="1" applyAlignment="1">
      <alignment horizontal="center"/>
    </xf>
    <xf numFmtId="165" fontId="7" fillId="0" borderId="21" xfId="3" applyNumberFormat="1" applyFont="1" applyBorder="1"/>
    <xf numFmtId="167" fontId="9" fillId="0" borderId="21" xfId="1" applyNumberFormat="1" applyFont="1" applyBorder="1" applyAlignment="1">
      <alignment horizontal="center"/>
    </xf>
    <xf numFmtId="166" fontId="6" fillId="0" borderId="21" xfId="2" applyNumberFormat="1" applyFont="1" applyBorder="1"/>
    <xf numFmtId="166" fontId="7" fillId="0" borderId="21" xfId="2" applyNumberFormat="1" applyFont="1" applyBorder="1"/>
    <xf numFmtId="165" fontId="3" fillId="0" borderId="0" xfId="0" applyNumberFormat="1" applyFont="1"/>
    <xf numFmtId="167" fontId="3" fillId="0" borderId="0" xfId="1" applyNumberFormat="1" applyFont="1"/>
    <xf numFmtId="165" fontId="5" fillId="0" borderId="27" xfId="0" applyNumberFormat="1" applyFont="1" applyBorder="1"/>
    <xf numFmtId="167" fontId="5" fillId="0" borderId="27" xfId="1" applyNumberFormat="1" applyFont="1" applyBorder="1"/>
    <xf numFmtId="165" fontId="5" fillId="0" borderId="0" xfId="0" applyNumberFormat="1" applyFont="1"/>
    <xf numFmtId="167" fontId="5" fillId="0" borderId="0" xfId="1" applyNumberFormat="1" applyFont="1"/>
    <xf numFmtId="165" fontId="3" fillId="11" borderId="0" xfId="0" applyNumberFormat="1" applyFont="1" applyFill="1"/>
    <xf numFmtId="0" fontId="3" fillId="0" borderId="0" xfId="0" applyFont="1"/>
    <xf numFmtId="44" fontId="23" fillId="2" borderId="0" xfId="3" applyFont="1" applyFill="1"/>
    <xf numFmtId="0" fontId="35" fillId="0" borderId="0" xfId="0" applyFont="1"/>
    <xf numFmtId="0" fontId="32" fillId="0" borderId="0" xfId="0" applyFont="1"/>
    <xf numFmtId="4" fontId="16" fillId="0" borderId="0" xfId="0" applyNumberFormat="1" applyFont="1" applyAlignment="1">
      <alignment horizontal="center"/>
    </xf>
    <xf numFmtId="4" fontId="18" fillId="13" borderId="0" xfId="0" applyNumberFormat="1" applyFont="1" applyFill="1"/>
    <xf numFmtId="4" fontId="0" fillId="0" borderId="0" xfId="0" applyNumberFormat="1"/>
    <xf numFmtId="4" fontId="34" fillId="14" borderId="0" xfId="0" applyNumberFormat="1" applyFont="1" applyFill="1"/>
    <xf numFmtId="3" fontId="0" fillId="15" borderId="0" xfId="0" applyNumberFormat="1" applyFill="1"/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4" fontId="34" fillId="16" borderId="0" xfId="0" applyNumberFormat="1" applyFont="1" applyFill="1"/>
    <xf numFmtId="3" fontId="0" fillId="17" borderId="0" xfId="0" applyNumberFormat="1" applyFill="1"/>
    <xf numFmtId="4" fontId="0" fillId="18" borderId="0" xfId="0" applyNumberFormat="1" applyFill="1"/>
    <xf numFmtId="3" fontId="0" fillId="3" borderId="0" xfId="0" applyNumberFormat="1" applyFill="1"/>
    <xf numFmtId="3" fontId="16" fillId="0" borderId="0" xfId="0" applyNumberFormat="1" applyFont="1"/>
    <xf numFmtId="10" fontId="0" fillId="0" borderId="0" xfId="0" applyNumberFormat="1" applyAlignment="1">
      <alignment horizontal="center"/>
    </xf>
    <xf numFmtId="4" fontId="16" fillId="0" borderId="0" xfId="0" applyNumberFormat="1" applyFont="1"/>
    <xf numFmtId="4" fontId="0" fillId="15" borderId="0" xfId="0" applyNumberFormat="1" applyFill="1"/>
    <xf numFmtId="4" fontId="0" fillId="17" borderId="0" xfId="0" applyNumberFormat="1" applyFill="1"/>
    <xf numFmtId="4" fontId="0" fillId="3" borderId="0" xfId="0" applyNumberForma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168" fontId="36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0" fontId="36" fillId="19" borderId="0" xfId="0" applyFont="1" applyFill="1"/>
    <xf numFmtId="0" fontId="36" fillId="2" borderId="35" xfId="0" applyFont="1" applyFill="1" applyBorder="1" applyAlignment="1">
      <alignment horizontal="left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left" vertical="center"/>
    </xf>
    <xf numFmtId="3" fontId="37" fillId="2" borderId="46" xfId="0" applyNumberFormat="1" applyFont="1" applyFill="1" applyBorder="1" applyAlignment="1">
      <alignment horizontal="center" vertical="center"/>
    </xf>
    <xf numFmtId="10" fontId="37" fillId="2" borderId="47" xfId="1" applyNumberFormat="1" applyFont="1" applyFill="1" applyBorder="1" applyAlignment="1">
      <alignment horizontal="center" vertical="center"/>
    </xf>
    <xf numFmtId="3" fontId="37" fillId="2" borderId="47" xfId="0" applyNumberFormat="1" applyFont="1" applyFill="1" applyBorder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0" fontId="37" fillId="2" borderId="41" xfId="1" applyNumberFormat="1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left" vertical="center"/>
    </xf>
    <xf numFmtId="3" fontId="37" fillId="2" borderId="8" xfId="0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2" borderId="30" xfId="1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0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left" indent="1"/>
    </xf>
    <xf numFmtId="3" fontId="0" fillId="2" borderId="49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0" fontId="0" fillId="2" borderId="51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2" xfId="0" applyNumberFormat="1" applyFill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50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5" fontId="0" fillId="0" borderId="0" xfId="0" applyNumberFormat="1"/>
    <xf numFmtId="0" fontId="41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51" xfId="0" applyNumberFormat="1" applyFont="1" applyFill="1" applyBorder="1" applyAlignment="1">
      <alignment horizontal="center"/>
    </xf>
    <xf numFmtId="3" fontId="23" fillId="2" borderId="52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42" fillId="2" borderId="21" xfId="0" applyNumberFormat="1" applyFont="1" applyFill="1" applyBorder="1" applyAlignment="1">
      <alignment horizontal="center" vertical="center"/>
    </xf>
    <xf numFmtId="17" fontId="42" fillId="4" borderId="21" xfId="0" applyNumberFormat="1" applyFont="1" applyFill="1" applyBorder="1" applyAlignment="1">
      <alignment horizontal="center" vertical="center"/>
    </xf>
    <xf numFmtId="17" fontId="42" fillId="6" borderId="21" xfId="0" applyNumberFormat="1" applyFont="1" applyFill="1" applyBorder="1" applyAlignment="1">
      <alignment horizontal="center" vertical="center"/>
    </xf>
    <xf numFmtId="17" fontId="42" fillId="7" borderId="21" xfId="0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7" fontId="5" fillId="0" borderId="27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7" fontId="3" fillId="11" borderId="0" xfId="1" applyNumberFormat="1" applyFont="1" applyFill="1" applyAlignment="1">
      <alignment horizontal="center"/>
    </xf>
    <xf numFmtId="167" fontId="3" fillId="11" borderId="0" xfId="1" applyNumberFormat="1" applyFont="1" applyFill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0" fontId="43" fillId="0" borderId="21" xfId="1" applyNumberFormat="1" applyFont="1" applyBorder="1" applyAlignment="1">
      <alignment horizontal="center"/>
    </xf>
    <xf numFmtId="167" fontId="43" fillId="0" borderId="21" xfId="1" applyNumberFormat="1" applyFont="1" applyBorder="1" applyAlignment="1">
      <alignment horizontal="center"/>
    </xf>
    <xf numFmtId="9" fontId="44" fillId="0" borderId="0" xfId="1" applyFont="1" applyAlignment="1">
      <alignment horizontal="center"/>
    </xf>
    <xf numFmtId="0" fontId="16" fillId="2" borderId="48" xfId="0" applyFont="1" applyFill="1" applyBorder="1" applyAlignment="1">
      <alignment horizontal="center" vertical="center"/>
    </xf>
    <xf numFmtId="0" fontId="0" fillId="2" borderId="46" xfId="0" applyFill="1" applyBorder="1"/>
    <xf numFmtId="0" fontId="16" fillId="2" borderId="49" xfId="0" applyFont="1" applyFill="1" applyBorder="1" applyAlignment="1">
      <alignment horizontal="center" vertical="center"/>
    </xf>
    <xf numFmtId="0" fontId="0" fillId="2" borderId="44" xfId="0" applyFill="1" applyBorder="1"/>
    <xf numFmtId="0" fontId="16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tabSelected="1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4140625" defaultRowHeight="14.4" x14ac:dyDescent="0.3"/>
  <cols>
    <col min="1" max="1" width="2.6640625" customWidth="1"/>
    <col min="2" max="2" width="23" customWidth="1"/>
    <col min="3" max="14" width="20.77734375" customWidth="1"/>
    <col min="15" max="15" width="16.109375" bestFit="1" customWidth="1"/>
    <col min="16" max="28" width="11.44140625" customWidth="1"/>
  </cols>
  <sheetData>
    <row r="2" spans="2:14" ht="18" customHeight="1" x14ac:dyDescent="0.35">
      <c r="B2" s="18" t="s">
        <v>453</v>
      </c>
    </row>
    <row r="3" spans="2:14" ht="11.4" customHeight="1" thickBot="1" x14ac:dyDescent="0.35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35">
      <c r="C4" s="19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</row>
    <row r="5" spans="2:14" x14ac:dyDescent="0.3">
      <c r="B5" s="22" t="s">
        <v>12</v>
      </c>
      <c r="C5" s="91">
        <v>895463131.43000007</v>
      </c>
      <c r="D5" s="92">
        <v>869165941.94999993</v>
      </c>
      <c r="E5" s="92">
        <v>910159957.86000013</v>
      </c>
      <c r="F5" s="92"/>
      <c r="G5" s="92"/>
      <c r="H5" s="92"/>
      <c r="I5" s="92"/>
      <c r="J5" s="92"/>
      <c r="K5" s="92"/>
      <c r="L5" s="92"/>
      <c r="M5" s="92"/>
      <c r="N5" s="93"/>
    </row>
    <row r="6" spans="2:14" x14ac:dyDescent="0.3">
      <c r="B6" s="23" t="s">
        <v>13</v>
      </c>
      <c r="C6" s="94">
        <v>5766552459.2400007</v>
      </c>
      <c r="D6" s="95">
        <v>5570738565.6800032</v>
      </c>
      <c r="E6" s="95">
        <v>5944667340.5599995</v>
      </c>
      <c r="F6" s="95"/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35">
      <c r="B7" s="24" t="s">
        <v>14</v>
      </c>
      <c r="C7" s="97">
        <v>6102335520.1099987</v>
      </c>
      <c r="D7" s="98">
        <v>5856202548.2399998</v>
      </c>
      <c r="E7" s="98">
        <v>6289336478.6299982</v>
      </c>
      <c r="F7" s="98"/>
      <c r="G7" s="98"/>
      <c r="H7" s="98"/>
      <c r="I7" s="98"/>
      <c r="J7" s="98"/>
      <c r="K7" s="98"/>
      <c r="L7" s="98"/>
      <c r="M7" s="98"/>
      <c r="N7" s="99"/>
    </row>
    <row r="8" spans="2:14" ht="7.2" customHeight="1" x14ac:dyDescent="0.3"/>
    <row r="9" spans="2:14" x14ac:dyDescent="0.3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">
      <c r="B10" s="25" t="s">
        <v>15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0.15310528002972515</v>
      </c>
      <c r="F10" s="29" t="str">
        <f t="shared" si="1"/>
        <v/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">
      <c r="B11" s="26" t="s">
        <v>16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0.14471478206843524</v>
      </c>
      <c r="F11" s="31" t="str">
        <f t="shared" si="2"/>
        <v/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4140625" defaultRowHeight="14.4" x14ac:dyDescent="0.3"/>
  <cols>
    <col min="1" max="1" width="3.6640625" style="32" customWidth="1"/>
    <col min="2" max="2" width="19.77734375" style="32" customWidth="1"/>
    <col min="3" max="4" width="19" style="32" customWidth="1"/>
    <col min="5" max="14" width="17.21875" style="32" bestFit="1" customWidth="1"/>
    <col min="15" max="15" width="16.77734375" style="32" customWidth="1"/>
    <col min="16" max="16" width="11.44140625" style="32" customWidth="1"/>
    <col min="17" max="17" width="16.44140625" style="32" bestFit="1" customWidth="1"/>
    <col min="18" max="21" width="11.44140625" style="32" customWidth="1"/>
    <col min="22" max="22" width="22" style="32" bestFit="1" customWidth="1"/>
    <col min="23" max="45" width="11.44140625" style="32" customWidth="1"/>
    <col min="46" max="16384" width="11.44140625" style="32"/>
  </cols>
  <sheetData>
    <row r="1" spans="2:21" ht="11.4" customHeight="1" x14ac:dyDescent="0.3">
      <c r="E1" s="225"/>
      <c r="F1" s="224"/>
    </row>
    <row r="2" spans="2:21" ht="18" x14ac:dyDescent="0.35">
      <c r="B2" s="50" t="s">
        <v>17</v>
      </c>
      <c r="C2" s="33"/>
      <c r="D2" s="33"/>
      <c r="E2" s="225"/>
      <c r="F2" s="224"/>
      <c r="G2" s="33"/>
      <c r="H2" s="33"/>
      <c r="I2" s="33"/>
      <c r="J2" s="33"/>
      <c r="K2" s="33"/>
      <c r="L2" s="33"/>
      <c r="M2" s="33"/>
      <c r="N2" s="33"/>
      <c r="O2" s="33"/>
    </row>
    <row r="3" spans="2:21" ht="15" thickBot="1" x14ac:dyDescent="0.35">
      <c r="B3" s="34"/>
      <c r="C3" s="34"/>
      <c r="D3" s="34"/>
      <c r="E3" s="225"/>
      <c r="F3" s="224"/>
      <c r="G3" s="100"/>
      <c r="O3" s="34"/>
    </row>
    <row r="4" spans="2:21" ht="15" customHeight="1" thickBot="1" x14ac:dyDescent="0.35">
      <c r="B4" s="51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56" t="s">
        <v>30</v>
      </c>
      <c r="O4" s="57" t="s">
        <v>31</v>
      </c>
    </row>
    <row r="5" spans="2:21" ht="15" customHeight="1" thickBot="1" x14ac:dyDescent="0.35">
      <c r="B5" s="40" t="s">
        <v>32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5383635241.5999994</v>
      </c>
      <c r="F5" s="102">
        <f t="shared" si="0"/>
        <v>0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0.97273977235367448</v>
      </c>
      <c r="R5" s="36"/>
      <c r="S5" s="36"/>
      <c r="T5" s="36"/>
      <c r="U5" s="36"/>
    </row>
    <row r="6" spans="2:21" x14ac:dyDescent="0.3">
      <c r="B6" s="37" t="s">
        <v>33</v>
      </c>
      <c r="C6" s="105">
        <v>1758281137.8099999</v>
      </c>
      <c r="D6" s="106">
        <v>1728712045.03</v>
      </c>
      <c r="E6" s="106">
        <v>1843896342</v>
      </c>
      <c r="F6" s="107"/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">
      <c r="B7" s="37" t="s">
        <v>34</v>
      </c>
      <c r="C7" s="105">
        <v>3378387892.0599999</v>
      </c>
      <c r="D7" s="106">
        <v>3246181622.5</v>
      </c>
      <c r="E7" s="106">
        <v>3476769862.1500001</v>
      </c>
      <c r="F7" s="107"/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35">
      <c r="B8" s="37" t="s">
        <v>35</v>
      </c>
      <c r="C8" s="105">
        <v>71432490.310000002</v>
      </c>
      <c r="D8" s="106">
        <v>60450995.740000002</v>
      </c>
      <c r="E8" s="106">
        <v>62969037.450000003</v>
      </c>
      <c r="F8" s="107"/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35">
      <c r="B9" s="40" t="s">
        <v>36</v>
      </c>
      <c r="C9" s="101">
        <f>+SUM(C10:C12)</f>
        <v>153103652.16999999</v>
      </c>
      <c r="D9" s="102">
        <f t="shared" ref="D9:M9" si="1">+SUM(D10:D12)</f>
        <v>128054866.93999998</v>
      </c>
      <c r="E9" s="102">
        <f t="shared" si="1"/>
        <v>156777513.94</v>
      </c>
      <c r="F9" s="102">
        <f t="shared" si="1"/>
        <v>0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f>+SUM(N10:N12)</f>
        <v>0</v>
      </c>
      <c r="O9" s="104">
        <f>+IFERROR(SUM(C9:N9)/SUM(C13:N13),"")</f>
        <v>2.7260227646325536E-2</v>
      </c>
      <c r="R9" s="100"/>
      <c r="S9" s="100"/>
      <c r="T9" s="100"/>
      <c r="U9" s="100"/>
    </row>
    <row r="10" spans="2:21" x14ac:dyDescent="0.3">
      <c r="B10" s="37" t="s">
        <v>33</v>
      </c>
      <c r="C10" s="105">
        <v>101082993.38</v>
      </c>
      <c r="D10" s="106">
        <v>85054048.299999997</v>
      </c>
      <c r="E10" s="106">
        <v>107413464.40000001</v>
      </c>
      <c r="F10" s="107"/>
      <c r="G10" s="107"/>
      <c r="H10" s="107"/>
      <c r="I10" s="108"/>
      <c r="J10" s="108"/>
      <c r="K10" s="108"/>
      <c r="L10" s="108"/>
      <c r="M10" s="108"/>
      <c r="N10" s="108"/>
      <c r="O10" s="109"/>
      <c r="Q10" s="218"/>
      <c r="R10" s="110"/>
      <c r="S10" s="110"/>
      <c r="T10" s="110"/>
      <c r="U10" s="110"/>
    </row>
    <row r="11" spans="2:21" x14ac:dyDescent="0.3">
      <c r="B11" s="37" t="s">
        <v>34</v>
      </c>
      <c r="C11" s="105">
        <v>48679459.640000001</v>
      </c>
      <c r="D11" s="106">
        <v>40510806.119999997</v>
      </c>
      <c r="E11" s="106">
        <v>46295726.32</v>
      </c>
      <c r="F11" s="107"/>
      <c r="G11" s="107"/>
      <c r="H11" s="107"/>
      <c r="I11" s="108"/>
      <c r="J11" s="108"/>
      <c r="K11" s="108"/>
      <c r="L11" s="108"/>
      <c r="M11" s="108"/>
      <c r="N11" s="108"/>
      <c r="O11" s="109"/>
      <c r="Q11" s="218"/>
    </row>
    <row r="12" spans="2:21" ht="15" customHeight="1" thickBot="1" x14ac:dyDescent="0.35">
      <c r="B12" s="39" t="s">
        <v>35</v>
      </c>
      <c r="C12" s="105">
        <v>3341199.15</v>
      </c>
      <c r="D12" s="106">
        <v>2490012.52</v>
      </c>
      <c r="E12" s="106">
        <v>3068323.22</v>
      </c>
      <c r="F12" s="107"/>
      <c r="G12" s="107"/>
      <c r="H12" s="107"/>
      <c r="I12" s="108"/>
      <c r="J12" s="108"/>
      <c r="K12" s="108"/>
      <c r="L12" s="108"/>
      <c r="M12" s="108"/>
      <c r="N12" s="108"/>
      <c r="O12" s="109"/>
      <c r="Q12" s="218"/>
    </row>
    <row r="13" spans="2:21" ht="15" customHeight="1" thickBot="1" x14ac:dyDescent="0.35">
      <c r="B13" s="52" t="s">
        <v>37</v>
      </c>
      <c r="C13" s="101">
        <f t="shared" ref="C13:N13" si="2">SUM(C5,C9)</f>
        <v>5361205172.3500004</v>
      </c>
      <c r="D13" s="102">
        <f>SUM(D5,D9)</f>
        <v>5163399530.2099991</v>
      </c>
      <c r="E13" s="102">
        <f t="shared" si="2"/>
        <v>5540412755.539999</v>
      </c>
      <c r="F13" s="102">
        <f t="shared" si="2"/>
        <v>0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0</v>
      </c>
      <c r="O13" s="104">
        <f>SUM(O5:O9)</f>
        <v>1</v>
      </c>
    </row>
    <row r="14" spans="2:21" ht="15" customHeight="1" thickBot="1" x14ac:dyDescent="0.35"/>
    <row r="15" spans="2:21" ht="15" customHeight="1" thickBot="1" x14ac:dyDescent="0.35">
      <c r="B15" s="41" t="s">
        <v>38</v>
      </c>
      <c r="C15" s="111">
        <v>702662554.41999996</v>
      </c>
      <c r="D15" s="112">
        <v>684549084.78000009</v>
      </c>
      <c r="E15" s="113">
        <v>719024983.88000011</v>
      </c>
      <c r="F15" s="113"/>
      <c r="G15" s="113"/>
      <c r="H15" s="113"/>
      <c r="I15" s="113"/>
      <c r="J15" s="113"/>
      <c r="K15" s="113"/>
      <c r="L15" s="113"/>
      <c r="M15" s="113"/>
      <c r="N15" s="114"/>
    </row>
    <row r="16" spans="2:21" x14ac:dyDescent="0.3">
      <c r="B16" s="42" t="s">
        <v>39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0.12977823415070092</v>
      </c>
      <c r="F16" s="115" t="str">
        <f t="shared" si="3"/>
        <v/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 t="str">
        <f t="shared" si="3"/>
        <v/>
      </c>
    </row>
    <row r="17" spans="2:20" x14ac:dyDescent="0.3">
      <c r="B17" s="42" t="s">
        <v>40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0.13355752230834794</v>
      </c>
      <c r="F17" s="115" t="str">
        <f t="shared" si="4"/>
        <v/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">
      <c r="B19" s="62" t="s">
        <v>38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">
      <c r="B20" s="58" t="s">
        <v>41</v>
      </c>
      <c r="C20" s="116">
        <v>253932768</v>
      </c>
      <c r="D20" s="106">
        <v>250319400</v>
      </c>
      <c r="E20" s="106">
        <v>266937515</v>
      </c>
      <c r="F20" s="107"/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">
      <c r="B21" s="59" t="s">
        <v>42</v>
      </c>
      <c r="C21" s="116">
        <v>424800123</v>
      </c>
      <c r="D21" s="106">
        <v>414006085</v>
      </c>
      <c r="E21" s="106">
        <v>431019780</v>
      </c>
      <c r="F21" s="107"/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35">
      <c r="B22" s="60" t="s">
        <v>35</v>
      </c>
      <c r="C22" s="118">
        <v>23929662</v>
      </c>
      <c r="D22" s="119">
        <v>20223598</v>
      </c>
      <c r="E22" s="119">
        <v>21067687</v>
      </c>
      <c r="F22" s="120"/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">
      <c r="B23" s="121" t="s">
        <v>43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719024982</v>
      </c>
      <c r="F23" s="122">
        <f t="shared" si="6"/>
        <v>0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">
      <c r="B25" s="61" t="s">
        <v>44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">
      <c r="B26" s="47" t="s">
        <v>45</v>
      </c>
      <c r="C26" s="124">
        <f>IFERROR(C20/(C6+C10),"")</f>
        <v>0.13656968193609398</v>
      </c>
      <c r="D26" s="124">
        <f>IFERROR(D20/(D6+D10),"")</f>
        <v>0.13801084986676748</v>
      </c>
      <c r="E26" s="124">
        <f t="shared" ref="E26:M26" si="8">IFERROR(E20/(E6+E10),"")</f>
        <v>0.13679914595031781</v>
      </c>
      <c r="F26" s="124" t="str">
        <f t="shared" si="8"/>
        <v/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>IFERROR(N20/(N6+N10),"")</f>
        <v/>
      </c>
    </row>
    <row r="27" spans="2:20" x14ac:dyDescent="0.3">
      <c r="B27" s="47" t="s">
        <v>46</v>
      </c>
      <c r="C27" s="124">
        <f t="shared" ref="C27:M27" si="9">IFERROR(C21/(C7+C11),"")</f>
        <v>0.12395441332347248</v>
      </c>
      <c r="D27" s="124">
        <f t="shared" si="9"/>
        <v>0.12596435291446811</v>
      </c>
      <c r="E27" s="124">
        <f t="shared" si="9"/>
        <v>0.1223422525571497</v>
      </c>
      <c r="F27" s="124" t="str">
        <f t="shared" si="9"/>
        <v/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>IFERROR(N21/(N7+N11),"")</f>
        <v/>
      </c>
    </row>
    <row r="28" spans="2:20" ht="15" customHeight="1" thickBot="1" x14ac:dyDescent="0.35">
      <c r="B28" s="48" t="s">
        <v>47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0.31902678705284482</v>
      </c>
      <c r="F28" s="125" t="str">
        <f t="shared" si="10"/>
        <v/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">
      <c r="B29" s="121" t="s">
        <v>43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0.12977823381137601</v>
      </c>
      <c r="F29" s="53" t="str">
        <f t="shared" si="11"/>
        <v/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 t="str">
        <f t="shared" si="11"/>
        <v/>
      </c>
    </row>
    <row r="30" spans="2:20" x14ac:dyDescent="0.3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">
      <c r="B31" s="61" t="s">
        <v>32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">
      <c r="B32" s="47" t="s">
        <v>45</v>
      </c>
      <c r="C32" s="124">
        <f t="shared" ref="C32:N32" si="13">+IFERROR(C20/C6,"")</f>
        <v>0.14442102718356067</v>
      </c>
      <c r="D32" s="124">
        <f>+IFERROR(D20/D6,"")</f>
        <v>0.14480109670066885</v>
      </c>
      <c r="E32" s="124">
        <f t="shared" si="13"/>
        <v>0.14476817862248353</v>
      </c>
      <c r="F32" s="124" t="str">
        <f t="shared" si="13"/>
        <v/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">
      <c r="B33" s="47" t="s">
        <v>46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0.12397132887405485</v>
      </c>
      <c r="F33" s="124" t="str">
        <f t="shared" si="14"/>
        <v/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35">
      <c r="B34" s="48" t="s">
        <v>47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0.33457216202055823</v>
      </c>
      <c r="F34" s="125" t="str">
        <f t="shared" si="15"/>
        <v/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">
      <c r="B35" s="121" t="s">
        <v>43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0.1335575219591415</v>
      </c>
      <c r="F35" s="53" t="str">
        <f t="shared" si="16"/>
        <v/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35">
      <c r="B37" s="50" t="s">
        <v>48</v>
      </c>
    </row>
    <row r="38" spans="2:14" ht="9" customHeight="1" x14ac:dyDescent="0.3"/>
    <row r="39" spans="2:14" x14ac:dyDescent="0.3">
      <c r="B39" s="55" t="s">
        <v>49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">
      <c r="B40" s="47" t="s">
        <v>12</v>
      </c>
      <c r="C40" s="127">
        <v>702662554.41999996</v>
      </c>
      <c r="D40" s="127">
        <v>684549084.78000009</v>
      </c>
      <c r="E40" s="127">
        <v>719024983.88000011</v>
      </c>
      <c r="F40" s="127"/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35">
      <c r="B41" s="48" t="s">
        <v>50</v>
      </c>
      <c r="C41" s="120">
        <v>4505438965.7599993</v>
      </c>
      <c r="D41" s="120">
        <v>4350795578.4899998</v>
      </c>
      <c r="E41" s="120">
        <v>4664610257.7199993</v>
      </c>
      <c r="F41" s="120"/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">
      <c r="B42" s="45" t="s">
        <v>44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5383635241.5999994</v>
      </c>
      <c r="F42" s="122">
        <f t="shared" si="18"/>
        <v>0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">
      <c r="B44" s="55" t="s">
        <v>51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">
      <c r="B45" s="47" t="s">
        <v>12</v>
      </c>
      <c r="C45" s="127">
        <v>511739091.76999998</v>
      </c>
      <c r="D45" s="127">
        <v>487149145.82999992</v>
      </c>
      <c r="E45" s="127">
        <v>512328087.24000013</v>
      </c>
      <c r="F45" s="127"/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35">
      <c r="B46" s="48" t="s">
        <v>50</v>
      </c>
      <c r="C46" s="120">
        <v>3607816508.1300001</v>
      </c>
      <c r="D46" s="120">
        <v>3481266262.48</v>
      </c>
      <c r="E46" s="120">
        <v>3751998612.5999999</v>
      </c>
      <c r="F46" s="120"/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">
      <c r="B47" s="45" t="s">
        <v>44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4264326699.8400002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">
      <c r="B49" s="55" t="s">
        <v>52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">
      <c r="B50" s="47" t="s">
        <v>12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206696896.63999999</v>
      </c>
      <c r="F50" s="127">
        <f t="shared" si="22"/>
        <v>0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35">
      <c r="B51" s="48" t="s">
        <v>50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912611645.11999941</v>
      </c>
      <c r="F51" s="120">
        <f t="shared" si="23"/>
        <v>0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">
      <c r="B52" s="45" t="s">
        <v>44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1119308541.7599993</v>
      </c>
      <c r="F52" s="122">
        <f t="shared" si="24"/>
        <v>0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">
      <c r="B54" s="43" t="s">
        <v>38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">
      <c r="B55" s="58" t="s">
        <v>53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0.12014278532158967</v>
      </c>
      <c r="F55" s="124" t="str">
        <f t="shared" si="26"/>
        <v/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35">
      <c r="B56" s="63" t="s">
        <v>54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0.18466480771690535</v>
      </c>
      <c r="F56" s="125" t="str">
        <f t="shared" si="27"/>
        <v/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"/>
  </sheetData>
  <pageMargins left="0.7" right="0.7" top="0.75" bottom="0.75" header="0.3" footer="0.3"/>
  <pageSetup paperSize="9" orientation="portrait" horizontalDpi="360" verticalDpi="360"/>
  <ignoredErrors>
    <ignoredError sqref="D5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4140625" defaultRowHeight="14.4" x14ac:dyDescent="0.3"/>
  <cols>
    <col min="1" max="1" width="3.33203125" style="32" customWidth="1"/>
    <col min="2" max="2" width="24.21875" style="32" customWidth="1"/>
    <col min="3" max="15" width="16.77734375" style="32" customWidth="1"/>
    <col min="16" max="16" width="11.44140625" style="32" customWidth="1"/>
    <col min="17" max="17" width="14.44140625" style="32" bestFit="1" customWidth="1"/>
    <col min="18" max="40" width="11.44140625" style="32" customWidth="1"/>
    <col min="41" max="16384" width="11.44140625" style="32"/>
  </cols>
  <sheetData>
    <row r="2" spans="2:17" ht="21" customHeight="1" x14ac:dyDescent="0.35">
      <c r="B2" s="49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3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35">
      <c r="B4" s="35" t="s">
        <v>18</v>
      </c>
      <c r="C4" s="64" t="s">
        <v>19</v>
      </c>
      <c r="D4" s="64" t="s">
        <v>20</v>
      </c>
      <c r="E4" s="64" t="s">
        <v>21</v>
      </c>
      <c r="F4" s="64" t="s">
        <v>22</v>
      </c>
      <c r="G4" s="64" t="s">
        <v>23</v>
      </c>
      <c r="H4" s="64" t="s">
        <v>24</v>
      </c>
      <c r="I4" s="64" t="s">
        <v>25</v>
      </c>
      <c r="J4" s="64" t="s">
        <v>26</v>
      </c>
      <c r="K4" s="64" t="s">
        <v>27</v>
      </c>
      <c r="L4" s="64" t="s">
        <v>28</v>
      </c>
      <c r="M4" s="64" t="s">
        <v>29</v>
      </c>
      <c r="N4" s="73" t="s">
        <v>30</v>
      </c>
      <c r="O4" s="57" t="s">
        <v>31</v>
      </c>
    </row>
    <row r="5" spans="2:17" x14ac:dyDescent="0.3">
      <c r="B5" s="65" t="s">
        <v>32</v>
      </c>
      <c r="C5" s="128">
        <v>267983149.02000001</v>
      </c>
      <c r="D5" s="129">
        <v>254946875.94</v>
      </c>
      <c r="E5" s="129">
        <v>265375124.24000001</v>
      </c>
      <c r="F5" s="129"/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0.79197227485227306</v>
      </c>
      <c r="P5" s="131"/>
      <c r="Q5" s="156"/>
    </row>
    <row r="6" spans="2:17" ht="14.4" customHeight="1" thickBot="1" x14ac:dyDescent="0.35">
      <c r="B6" s="66" t="s">
        <v>36</v>
      </c>
      <c r="C6" s="132">
        <v>71691887.38000001</v>
      </c>
      <c r="D6" s="133">
        <v>61475266.700000003</v>
      </c>
      <c r="E6" s="133">
        <v>73897325.469999999</v>
      </c>
      <c r="F6" s="133"/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0.20802772514772694</v>
      </c>
      <c r="P6" s="131"/>
      <c r="Q6" s="156"/>
    </row>
    <row r="7" spans="2:17" ht="14.4" customHeight="1" thickBot="1" x14ac:dyDescent="0.35">
      <c r="B7" s="67" t="s">
        <v>56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339272449.71000004</v>
      </c>
      <c r="F7" s="102">
        <f t="shared" si="0"/>
        <v>0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</v>
      </c>
      <c r="Q7" s="156"/>
    </row>
    <row r="8" spans="2:17" ht="11.4" customHeight="1" thickBot="1" x14ac:dyDescent="0.35"/>
    <row r="9" spans="2:17" ht="14.4" customHeight="1" thickBot="1" x14ac:dyDescent="0.35">
      <c r="B9" s="68" t="s">
        <v>38</v>
      </c>
      <c r="C9" s="135">
        <v>192800577.00999999</v>
      </c>
      <c r="D9" s="112">
        <v>184616857.16999999</v>
      </c>
      <c r="E9" s="112">
        <v>191134973.97999999</v>
      </c>
      <c r="F9" s="112"/>
      <c r="G9" s="112"/>
      <c r="H9" s="112"/>
      <c r="I9" s="112"/>
      <c r="J9" s="112"/>
      <c r="K9" s="112"/>
      <c r="L9" s="112"/>
      <c r="M9" s="112"/>
      <c r="N9" s="136"/>
    </row>
    <row r="10" spans="2:17" x14ac:dyDescent="0.3">
      <c r="B10" s="69" t="s">
        <v>57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0.56336721164178361</v>
      </c>
      <c r="F10" s="70" t="str">
        <f t="shared" si="1"/>
        <v/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">
      <c r="B11" s="71" t="s">
        <v>58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0.72024450116560779</v>
      </c>
      <c r="F11" s="72" t="str">
        <f t="shared" si="2"/>
        <v/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0C7C-FFC9-45E6-965D-4A36CDD8D795}">
  <sheetPr codeName="Hoja4"/>
  <dimension ref="B1:K33"/>
  <sheetViews>
    <sheetView zoomScale="70" zoomScaleNormal="70" workbookViewId="0">
      <selection activeCell="B1" sqref="B1"/>
    </sheetView>
  </sheetViews>
  <sheetFormatPr baseColWidth="10" defaultColWidth="13.6640625" defaultRowHeight="14.4" x14ac:dyDescent="0.3"/>
  <cols>
    <col min="1" max="1" width="6" style="201" customWidth="1"/>
    <col min="2" max="4" width="16.77734375" style="201" customWidth="1"/>
    <col min="5" max="5" width="2.21875" style="201" customWidth="1"/>
    <col min="6" max="7" width="16.77734375" style="201" customWidth="1"/>
    <col min="8" max="8" width="2.21875" style="201" customWidth="1"/>
    <col min="9" max="10" width="16.77734375" style="201" customWidth="1"/>
    <col min="11" max="11" width="3.77734375" style="201" customWidth="1"/>
    <col min="12" max="16384" width="13.6640625" style="201"/>
  </cols>
  <sheetData>
    <row r="1" spans="2:11" x14ac:dyDescent="0.3">
      <c r="B1" s="201" t="s">
        <v>452</v>
      </c>
    </row>
    <row r="2" spans="2:11" ht="25.8" x14ac:dyDescent="0.5">
      <c r="B2" s="199" t="s">
        <v>454</v>
      </c>
      <c r="C2" s="200"/>
      <c r="D2" s="200"/>
      <c r="E2" s="200"/>
      <c r="F2" s="200"/>
      <c r="G2" s="200"/>
      <c r="H2" s="200"/>
      <c r="I2" s="200"/>
      <c r="J2" s="200"/>
      <c r="K2" s="200"/>
    </row>
    <row r="3" spans="2:11" ht="15" thickBot="1" x14ac:dyDescent="0.35">
      <c r="B3" s="201" t="s">
        <v>439</v>
      </c>
    </row>
    <row r="4" spans="2:11" x14ac:dyDescent="0.3">
      <c r="B4" s="248" t="s">
        <v>440</v>
      </c>
      <c r="C4" s="250" t="s">
        <v>441</v>
      </c>
      <c r="D4" s="251"/>
      <c r="E4" s="202"/>
      <c r="F4" s="248" t="s">
        <v>442</v>
      </c>
      <c r="G4" s="251"/>
      <c r="I4" s="248" t="s">
        <v>443</v>
      </c>
      <c r="J4" s="251"/>
    </row>
    <row r="5" spans="2:11" ht="15" thickBot="1" x14ac:dyDescent="0.35">
      <c r="B5" s="249"/>
      <c r="C5" s="203" t="s">
        <v>444</v>
      </c>
      <c r="D5" s="204" t="s">
        <v>445</v>
      </c>
      <c r="E5" s="202"/>
      <c r="F5" s="205" t="s">
        <v>444</v>
      </c>
      <c r="G5" s="204" t="s">
        <v>445</v>
      </c>
      <c r="I5" s="205" t="s">
        <v>444</v>
      </c>
      <c r="J5" s="204" t="s">
        <v>445</v>
      </c>
    </row>
    <row r="6" spans="2:11" x14ac:dyDescent="0.3">
      <c r="B6" s="206" t="s">
        <v>59</v>
      </c>
      <c r="C6" s="207">
        <v>1336309</v>
      </c>
      <c r="D6" s="208">
        <v>158466723.06999999</v>
      </c>
      <c r="F6" s="209">
        <v>1643323</v>
      </c>
      <c r="G6" s="208">
        <v>112127174.66</v>
      </c>
      <c r="I6" s="209">
        <v>348559</v>
      </c>
      <c r="J6" s="208">
        <v>19873892.309999999</v>
      </c>
    </row>
    <row r="7" spans="2:11" x14ac:dyDescent="0.3">
      <c r="B7" s="210" t="s">
        <v>60</v>
      </c>
      <c r="C7" s="221">
        <v>1311107</v>
      </c>
      <c r="D7" s="223">
        <v>156986691.19</v>
      </c>
      <c r="E7" s="220"/>
      <c r="F7" s="222">
        <v>1540930</v>
      </c>
      <c r="G7" s="223">
        <v>105989101.66</v>
      </c>
      <c r="H7" s="220"/>
      <c r="I7" s="222">
        <v>293733</v>
      </c>
      <c r="J7" s="223">
        <v>17471233.620000001</v>
      </c>
    </row>
    <row r="8" spans="2:11" x14ac:dyDescent="0.3">
      <c r="B8" s="210" t="s">
        <v>61</v>
      </c>
      <c r="C8" s="211">
        <v>1437221</v>
      </c>
      <c r="D8" s="212">
        <v>167041961.06999999</v>
      </c>
      <c r="F8" s="213">
        <v>1584500</v>
      </c>
      <c r="G8" s="212">
        <v>109747471.76000001</v>
      </c>
      <c r="I8" s="213">
        <v>313648</v>
      </c>
      <c r="J8" s="212">
        <v>18867541.890000001</v>
      </c>
    </row>
    <row r="9" spans="2:11" x14ac:dyDescent="0.3">
      <c r="B9" s="210" t="s">
        <v>62</v>
      </c>
      <c r="C9" s="211"/>
      <c r="D9" s="212"/>
      <c r="F9" s="213"/>
      <c r="G9" s="212"/>
      <c r="I9" s="213"/>
      <c r="J9" s="212"/>
    </row>
    <row r="10" spans="2:11" x14ac:dyDescent="0.3">
      <c r="B10" s="210" t="s">
        <v>63</v>
      </c>
      <c r="C10" s="211"/>
      <c r="D10" s="212"/>
      <c r="F10" s="213"/>
      <c r="G10" s="212"/>
      <c r="I10" s="213"/>
      <c r="J10" s="212"/>
    </row>
    <row r="11" spans="2:11" x14ac:dyDescent="0.3">
      <c r="B11" s="210" t="s">
        <v>64</v>
      </c>
      <c r="C11" s="211"/>
      <c r="D11" s="212"/>
      <c r="F11" s="213"/>
      <c r="G11" s="212"/>
      <c r="I11" s="213"/>
      <c r="J11" s="212"/>
    </row>
    <row r="12" spans="2:11" x14ac:dyDescent="0.3">
      <c r="B12" s="210" t="s">
        <v>65</v>
      </c>
      <c r="C12" s="211"/>
      <c r="D12" s="212"/>
      <c r="F12" s="213"/>
      <c r="G12" s="212"/>
      <c r="I12" s="213"/>
      <c r="J12" s="212"/>
    </row>
    <row r="13" spans="2:11" x14ac:dyDescent="0.3">
      <c r="B13" s="210" t="s">
        <v>66</v>
      </c>
      <c r="C13" s="211"/>
      <c r="D13" s="212"/>
      <c r="F13" s="213"/>
      <c r="G13" s="212"/>
      <c r="I13" s="213"/>
      <c r="J13" s="212"/>
    </row>
    <row r="14" spans="2:11" x14ac:dyDescent="0.3">
      <c r="B14" s="210" t="s">
        <v>67</v>
      </c>
      <c r="C14" s="211"/>
      <c r="D14" s="212"/>
      <c r="F14" s="213"/>
      <c r="G14" s="212"/>
      <c r="I14" s="213"/>
      <c r="J14" s="212"/>
    </row>
    <row r="15" spans="2:11" x14ac:dyDescent="0.3">
      <c r="B15" s="210" t="s">
        <v>68</v>
      </c>
      <c r="C15" s="211"/>
      <c r="D15" s="212"/>
      <c r="F15" s="213"/>
      <c r="G15" s="212"/>
      <c r="I15" s="213"/>
      <c r="J15" s="212"/>
    </row>
    <row r="16" spans="2:11" x14ac:dyDescent="0.3">
      <c r="B16" s="210" t="s">
        <v>69</v>
      </c>
      <c r="C16" s="211"/>
      <c r="D16" s="212"/>
      <c r="F16" s="213"/>
      <c r="G16" s="212"/>
      <c r="I16" s="213"/>
      <c r="J16" s="212"/>
    </row>
    <row r="17" spans="2:10" ht="15" thickBot="1" x14ac:dyDescent="0.35">
      <c r="B17" s="214" t="s">
        <v>70</v>
      </c>
      <c r="C17" s="215"/>
      <c r="D17" s="216"/>
      <c r="F17" s="217"/>
      <c r="G17" s="216"/>
      <c r="I17" s="217"/>
      <c r="J17" s="216"/>
    </row>
    <row r="19" spans="2:10" ht="15" thickBot="1" x14ac:dyDescent="0.35">
      <c r="B19" s="201" t="s">
        <v>446</v>
      </c>
    </row>
    <row r="20" spans="2:10" x14ac:dyDescent="0.3">
      <c r="B20" s="248" t="s">
        <v>440</v>
      </c>
      <c r="C20" s="250" t="s">
        <v>441</v>
      </c>
      <c r="D20" s="251"/>
      <c r="E20" s="202"/>
      <c r="F20" s="248" t="s">
        <v>442</v>
      </c>
      <c r="G20" s="251"/>
      <c r="I20" s="248" t="s">
        <v>443</v>
      </c>
      <c r="J20" s="251"/>
    </row>
    <row r="21" spans="2:10" ht="15" thickBot="1" x14ac:dyDescent="0.35">
      <c r="B21" s="249"/>
      <c r="C21" s="203" t="s">
        <v>444</v>
      </c>
      <c r="D21" s="204" t="s">
        <v>445</v>
      </c>
      <c r="E21" s="202"/>
      <c r="F21" s="205" t="s">
        <v>444</v>
      </c>
      <c r="G21" s="204" t="s">
        <v>445</v>
      </c>
      <c r="I21" s="205" t="s">
        <v>444</v>
      </c>
      <c r="J21" s="204" t="s">
        <v>445</v>
      </c>
    </row>
    <row r="22" spans="2:10" x14ac:dyDescent="0.3">
      <c r="B22" s="206" t="s">
        <v>59</v>
      </c>
      <c r="C22" s="207">
        <v>1683590</v>
      </c>
      <c r="D22" s="208">
        <v>243315953.77000001</v>
      </c>
      <c r="F22" s="209">
        <v>1841561</v>
      </c>
      <c r="G22" s="208">
        <v>135384511.24000001</v>
      </c>
      <c r="I22" s="209">
        <v>389433</v>
      </c>
      <c r="J22" s="208">
        <v>22753302.710000001</v>
      </c>
    </row>
    <row r="23" spans="2:10" x14ac:dyDescent="0.3">
      <c r="B23" s="210" t="s">
        <v>60</v>
      </c>
      <c r="C23" s="221">
        <v>1604311</v>
      </c>
      <c r="D23" s="223">
        <v>229407668.71000001</v>
      </c>
      <c r="E23" s="220"/>
      <c r="F23" s="222">
        <v>1701036</v>
      </c>
      <c r="G23" s="223">
        <v>125904042.7</v>
      </c>
      <c r="H23" s="220"/>
      <c r="I23" s="222">
        <v>335491</v>
      </c>
      <c r="J23" s="223">
        <v>21069163.98</v>
      </c>
    </row>
    <row r="24" spans="2:10" x14ac:dyDescent="0.3">
      <c r="B24" s="210" t="s">
        <v>61</v>
      </c>
      <c r="C24" s="211">
        <v>1781335</v>
      </c>
      <c r="D24" s="212">
        <v>251431106.09</v>
      </c>
      <c r="F24" s="213">
        <v>1783360</v>
      </c>
      <c r="G24" s="212">
        <v>133095804.69</v>
      </c>
      <c r="I24" s="213">
        <v>383466</v>
      </c>
      <c r="J24" s="212">
        <v>25124362.600000001</v>
      </c>
    </row>
    <row r="25" spans="2:10" x14ac:dyDescent="0.3">
      <c r="B25" s="210" t="s">
        <v>62</v>
      </c>
      <c r="C25" s="211"/>
      <c r="D25" s="212"/>
      <c r="F25" s="213"/>
      <c r="G25" s="212"/>
      <c r="I25" s="213"/>
      <c r="J25" s="212"/>
    </row>
    <row r="26" spans="2:10" x14ac:dyDescent="0.3">
      <c r="B26" s="210" t="s">
        <v>63</v>
      </c>
      <c r="C26" s="211"/>
      <c r="D26" s="212"/>
      <c r="F26" s="213"/>
      <c r="G26" s="212"/>
      <c r="I26" s="213"/>
      <c r="J26" s="212"/>
    </row>
    <row r="27" spans="2:10" x14ac:dyDescent="0.3">
      <c r="B27" s="210" t="s">
        <v>64</v>
      </c>
      <c r="C27" s="211"/>
      <c r="D27" s="212"/>
      <c r="F27" s="213"/>
      <c r="G27" s="212"/>
      <c r="I27" s="213"/>
      <c r="J27" s="212"/>
    </row>
    <row r="28" spans="2:10" x14ac:dyDescent="0.3">
      <c r="B28" s="210" t="s">
        <v>65</v>
      </c>
      <c r="C28" s="211"/>
      <c r="D28" s="212"/>
      <c r="F28" s="213"/>
      <c r="G28" s="212"/>
      <c r="I28" s="213"/>
      <c r="J28" s="212"/>
    </row>
    <row r="29" spans="2:10" x14ac:dyDescent="0.3">
      <c r="B29" s="210" t="s">
        <v>66</v>
      </c>
      <c r="C29" s="211"/>
      <c r="D29" s="212"/>
      <c r="F29" s="213"/>
      <c r="G29" s="212"/>
      <c r="I29" s="213"/>
      <c r="J29" s="212"/>
    </row>
    <row r="30" spans="2:10" x14ac:dyDescent="0.3">
      <c r="B30" s="210" t="s">
        <v>67</v>
      </c>
      <c r="C30" s="211"/>
      <c r="D30" s="212"/>
      <c r="F30" s="213"/>
      <c r="G30" s="212"/>
      <c r="I30" s="213"/>
      <c r="J30" s="212"/>
    </row>
    <row r="31" spans="2:10" x14ac:dyDescent="0.3">
      <c r="B31" s="210" t="s">
        <v>68</v>
      </c>
      <c r="C31" s="211"/>
      <c r="D31" s="212"/>
      <c r="F31" s="213"/>
      <c r="G31" s="212"/>
      <c r="I31" s="213"/>
      <c r="J31" s="212"/>
    </row>
    <row r="32" spans="2:10" x14ac:dyDescent="0.3">
      <c r="B32" s="210" t="s">
        <v>69</v>
      </c>
      <c r="C32" s="211"/>
      <c r="D32" s="212"/>
      <c r="F32" s="213"/>
      <c r="G32" s="212"/>
      <c r="I32" s="213"/>
      <c r="J32" s="212"/>
    </row>
    <row r="33" spans="2:10" ht="15" thickBot="1" x14ac:dyDescent="0.35">
      <c r="B33" s="214" t="s">
        <v>70</v>
      </c>
      <c r="C33" s="215"/>
      <c r="D33" s="216"/>
      <c r="F33" s="217"/>
      <c r="G33" s="216"/>
      <c r="I33" s="217"/>
      <c r="J33" s="216"/>
    </row>
  </sheetData>
  <mergeCells count="8">
    <mergeCell ref="B4:B5"/>
    <mergeCell ref="C4:D4"/>
    <mergeCell ref="F4:G4"/>
    <mergeCell ref="I4:J4"/>
    <mergeCell ref="B20:B21"/>
    <mergeCell ref="C20:D20"/>
    <mergeCell ref="F20:G20"/>
    <mergeCell ref="I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AC0-C2E1-4E56-AC50-6E94C2278D5B}">
  <sheetPr codeName="Hoja5"/>
  <dimension ref="A1:L19"/>
  <sheetViews>
    <sheetView zoomScale="72" zoomScaleNormal="72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.6" x14ac:dyDescent="0.3"/>
  <cols>
    <col min="1" max="1" width="29.6640625" style="177" bestFit="1" customWidth="1"/>
    <col min="2" max="4" width="14.6640625" style="177" customWidth="1"/>
    <col min="5" max="5" width="18.33203125" style="177" bestFit="1" customWidth="1"/>
    <col min="6" max="11" width="14.6640625" style="177" customWidth="1"/>
    <col min="12" max="12" width="16.33203125" style="177" customWidth="1"/>
    <col min="13" max="256" width="11.5546875" style="177"/>
    <col min="257" max="257" width="29.6640625" style="177" bestFit="1" customWidth="1"/>
    <col min="258" max="264" width="15.6640625" style="177" customWidth="1"/>
    <col min="265" max="512" width="11.5546875" style="177"/>
    <col min="513" max="513" width="29.6640625" style="177" bestFit="1" customWidth="1"/>
    <col min="514" max="520" width="15.6640625" style="177" customWidth="1"/>
    <col min="521" max="768" width="11.5546875" style="177"/>
    <col min="769" max="769" width="29.6640625" style="177" bestFit="1" customWidth="1"/>
    <col min="770" max="776" width="15.6640625" style="177" customWidth="1"/>
    <col min="777" max="1024" width="11.5546875" style="177"/>
    <col min="1025" max="1025" width="29.6640625" style="177" bestFit="1" customWidth="1"/>
    <col min="1026" max="1032" width="15.6640625" style="177" customWidth="1"/>
    <col min="1033" max="1280" width="11.5546875" style="177"/>
    <col min="1281" max="1281" width="29.6640625" style="177" bestFit="1" customWidth="1"/>
    <col min="1282" max="1288" width="15.6640625" style="177" customWidth="1"/>
    <col min="1289" max="1536" width="11.5546875" style="177"/>
    <col min="1537" max="1537" width="29.6640625" style="177" bestFit="1" customWidth="1"/>
    <col min="1538" max="1544" width="15.6640625" style="177" customWidth="1"/>
    <col min="1545" max="1792" width="11.5546875" style="177"/>
    <col min="1793" max="1793" width="29.6640625" style="177" bestFit="1" customWidth="1"/>
    <col min="1794" max="1800" width="15.6640625" style="177" customWidth="1"/>
    <col min="1801" max="2048" width="11.5546875" style="177"/>
    <col min="2049" max="2049" width="29.6640625" style="177" bestFit="1" customWidth="1"/>
    <col min="2050" max="2056" width="15.6640625" style="177" customWidth="1"/>
    <col min="2057" max="2304" width="11.5546875" style="177"/>
    <col min="2305" max="2305" width="29.6640625" style="177" bestFit="1" customWidth="1"/>
    <col min="2306" max="2312" width="15.6640625" style="177" customWidth="1"/>
    <col min="2313" max="2560" width="11.5546875" style="177"/>
    <col min="2561" max="2561" width="29.6640625" style="177" bestFit="1" customWidth="1"/>
    <col min="2562" max="2568" width="15.6640625" style="177" customWidth="1"/>
    <col min="2569" max="2816" width="11.5546875" style="177"/>
    <col min="2817" max="2817" width="29.6640625" style="177" bestFit="1" customWidth="1"/>
    <col min="2818" max="2824" width="15.6640625" style="177" customWidth="1"/>
    <col min="2825" max="3072" width="11.5546875" style="177"/>
    <col min="3073" max="3073" width="29.6640625" style="177" bestFit="1" customWidth="1"/>
    <col min="3074" max="3080" width="15.6640625" style="177" customWidth="1"/>
    <col min="3081" max="3328" width="11.5546875" style="177"/>
    <col min="3329" max="3329" width="29.6640625" style="177" bestFit="1" customWidth="1"/>
    <col min="3330" max="3336" width="15.6640625" style="177" customWidth="1"/>
    <col min="3337" max="3584" width="11.5546875" style="177"/>
    <col min="3585" max="3585" width="29.6640625" style="177" bestFit="1" customWidth="1"/>
    <col min="3586" max="3592" width="15.6640625" style="177" customWidth="1"/>
    <col min="3593" max="3840" width="11.5546875" style="177"/>
    <col min="3841" max="3841" width="29.6640625" style="177" bestFit="1" customWidth="1"/>
    <col min="3842" max="3848" width="15.6640625" style="177" customWidth="1"/>
    <col min="3849" max="4096" width="11.5546875" style="177"/>
    <col min="4097" max="4097" width="29.6640625" style="177" bestFit="1" customWidth="1"/>
    <col min="4098" max="4104" width="15.6640625" style="177" customWidth="1"/>
    <col min="4105" max="4352" width="11.5546875" style="177"/>
    <col min="4353" max="4353" width="29.6640625" style="177" bestFit="1" customWidth="1"/>
    <col min="4354" max="4360" width="15.6640625" style="177" customWidth="1"/>
    <col min="4361" max="4608" width="11.5546875" style="177"/>
    <col min="4609" max="4609" width="29.6640625" style="177" bestFit="1" customWidth="1"/>
    <col min="4610" max="4616" width="15.6640625" style="177" customWidth="1"/>
    <col min="4617" max="4864" width="11.5546875" style="177"/>
    <col min="4865" max="4865" width="29.6640625" style="177" bestFit="1" customWidth="1"/>
    <col min="4866" max="4872" width="15.6640625" style="177" customWidth="1"/>
    <col min="4873" max="5120" width="11.5546875" style="177"/>
    <col min="5121" max="5121" width="29.6640625" style="177" bestFit="1" customWidth="1"/>
    <col min="5122" max="5128" width="15.6640625" style="177" customWidth="1"/>
    <col min="5129" max="5376" width="11.5546875" style="177"/>
    <col min="5377" max="5377" width="29.6640625" style="177" bestFit="1" customWidth="1"/>
    <col min="5378" max="5384" width="15.6640625" style="177" customWidth="1"/>
    <col min="5385" max="5632" width="11.5546875" style="177"/>
    <col min="5633" max="5633" width="29.6640625" style="177" bestFit="1" customWidth="1"/>
    <col min="5634" max="5640" width="15.6640625" style="177" customWidth="1"/>
    <col min="5641" max="5888" width="11.5546875" style="177"/>
    <col min="5889" max="5889" width="29.6640625" style="177" bestFit="1" customWidth="1"/>
    <col min="5890" max="5896" width="15.6640625" style="177" customWidth="1"/>
    <col min="5897" max="6144" width="11.5546875" style="177"/>
    <col min="6145" max="6145" width="29.6640625" style="177" bestFit="1" customWidth="1"/>
    <col min="6146" max="6152" width="15.6640625" style="177" customWidth="1"/>
    <col min="6153" max="6400" width="11.5546875" style="177"/>
    <col min="6401" max="6401" width="29.6640625" style="177" bestFit="1" customWidth="1"/>
    <col min="6402" max="6408" width="15.6640625" style="177" customWidth="1"/>
    <col min="6409" max="6656" width="11.5546875" style="177"/>
    <col min="6657" max="6657" width="29.6640625" style="177" bestFit="1" customWidth="1"/>
    <col min="6658" max="6664" width="15.6640625" style="177" customWidth="1"/>
    <col min="6665" max="6912" width="11.5546875" style="177"/>
    <col min="6913" max="6913" width="29.6640625" style="177" bestFit="1" customWidth="1"/>
    <col min="6914" max="6920" width="15.6640625" style="177" customWidth="1"/>
    <col min="6921" max="7168" width="11.5546875" style="177"/>
    <col min="7169" max="7169" width="29.6640625" style="177" bestFit="1" customWidth="1"/>
    <col min="7170" max="7176" width="15.6640625" style="177" customWidth="1"/>
    <col min="7177" max="7424" width="11.5546875" style="177"/>
    <col min="7425" max="7425" width="29.6640625" style="177" bestFit="1" customWidth="1"/>
    <col min="7426" max="7432" width="15.6640625" style="177" customWidth="1"/>
    <col min="7433" max="7680" width="11.5546875" style="177"/>
    <col min="7681" max="7681" width="29.6640625" style="177" bestFit="1" customWidth="1"/>
    <col min="7682" max="7688" width="15.6640625" style="177" customWidth="1"/>
    <col min="7689" max="7936" width="11.5546875" style="177"/>
    <col min="7937" max="7937" width="29.6640625" style="177" bestFit="1" customWidth="1"/>
    <col min="7938" max="7944" width="15.6640625" style="177" customWidth="1"/>
    <col min="7945" max="8192" width="11.5546875" style="177"/>
    <col min="8193" max="8193" width="29.6640625" style="177" bestFit="1" customWidth="1"/>
    <col min="8194" max="8200" width="15.6640625" style="177" customWidth="1"/>
    <col min="8201" max="8448" width="11.5546875" style="177"/>
    <col min="8449" max="8449" width="29.6640625" style="177" bestFit="1" customWidth="1"/>
    <col min="8450" max="8456" width="15.6640625" style="177" customWidth="1"/>
    <col min="8457" max="8704" width="11.5546875" style="177"/>
    <col min="8705" max="8705" width="29.6640625" style="177" bestFit="1" customWidth="1"/>
    <col min="8706" max="8712" width="15.6640625" style="177" customWidth="1"/>
    <col min="8713" max="8960" width="11.5546875" style="177"/>
    <col min="8961" max="8961" width="29.6640625" style="177" bestFit="1" customWidth="1"/>
    <col min="8962" max="8968" width="15.6640625" style="177" customWidth="1"/>
    <col min="8969" max="9216" width="11.5546875" style="177"/>
    <col min="9217" max="9217" width="29.6640625" style="177" bestFit="1" customWidth="1"/>
    <col min="9218" max="9224" width="15.6640625" style="177" customWidth="1"/>
    <col min="9225" max="9472" width="11.5546875" style="177"/>
    <col min="9473" max="9473" width="29.6640625" style="177" bestFit="1" customWidth="1"/>
    <col min="9474" max="9480" width="15.6640625" style="177" customWidth="1"/>
    <col min="9481" max="9728" width="11.5546875" style="177"/>
    <col min="9729" max="9729" width="29.6640625" style="177" bestFit="1" customWidth="1"/>
    <col min="9730" max="9736" width="15.6640625" style="177" customWidth="1"/>
    <col min="9737" max="9984" width="11.5546875" style="177"/>
    <col min="9985" max="9985" width="29.6640625" style="177" bestFit="1" customWidth="1"/>
    <col min="9986" max="9992" width="15.6640625" style="177" customWidth="1"/>
    <col min="9993" max="10240" width="11.5546875" style="177"/>
    <col min="10241" max="10241" width="29.6640625" style="177" bestFit="1" customWidth="1"/>
    <col min="10242" max="10248" width="15.6640625" style="177" customWidth="1"/>
    <col min="10249" max="10496" width="11.5546875" style="177"/>
    <col min="10497" max="10497" width="29.6640625" style="177" bestFit="1" customWidth="1"/>
    <col min="10498" max="10504" width="15.6640625" style="177" customWidth="1"/>
    <col min="10505" max="10752" width="11.5546875" style="177"/>
    <col min="10753" max="10753" width="29.6640625" style="177" bestFit="1" customWidth="1"/>
    <col min="10754" max="10760" width="15.6640625" style="177" customWidth="1"/>
    <col min="10761" max="11008" width="11.5546875" style="177"/>
    <col min="11009" max="11009" width="29.6640625" style="177" bestFit="1" customWidth="1"/>
    <col min="11010" max="11016" width="15.6640625" style="177" customWidth="1"/>
    <col min="11017" max="11264" width="11.5546875" style="177"/>
    <col min="11265" max="11265" width="29.6640625" style="177" bestFit="1" customWidth="1"/>
    <col min="11266" max="11272" width="15.6640625" style="177" customWidth="1"/>
    <col min="11273" max="11520" width="11.5546875" style="177"/>
    <col min="11521" max="11521" width="29.6640625" style="177" bestFit="1" customWidth="1"/>
    <col min="11522" max="11528" width="15.6640625" style="177" customWidth="1"/>
    <col min="11529" max="11776" width="11.5546875" style="177"/>
    <col min="11777" max="11777" width="29.6640625" style="177" bestFit="1" customWidth="1"/>
    <col min="11778" max="11784" width="15.6640625" style="177" customWidth="1"/>
    <col min="11785" max="12032" width="11.5546875" style="177"/>
    <col min="12033" max="12033" width="29.6640625" style="177" bestFit="1" customWidth="1"/>
    <col min="12034" max="12040" width="15.6640625" style="177" customWidth="1"/>
    <col min="12041" max="12288" width="11.5546875" style="177"/>
    <col min="12289" max="12289" width="29.6640625" style="177" bestFit="1" customWidth="1"/>
    <col min="12290" max="12296" width="15.6640625" style="177" customWidth="1"/>
    <col min="12297" max="12544" width="11.5546875" style="177"/>
    <col min="12545" max="12545" width="29.6640625" style="177" bestFit="1" customWidth="1"/>
    <col min="12546" max="12552" width="15.6640625" style="177" customWidth="1"/>
    <col min="12553" max="12800" width="11.5546875" style="177"/>
    <col min="12801" max="12801" width="29.6640625" style="177" bestFit="1" customWidth="1"/>
    <col min="12802" max="12808" width="15.6640625" style="177" customWidth="1"/>
    <col min="12809" max="13056" width="11.5546875" style="177"/>
    <col min="13057" max="13057" width="29.6640625" style="177" bestFit="1" customWidth="1"/>
    <col min="13058" max="13064" width="15.6640625" style="177" customWidth="1"/>
    <col min="13065" max="13312" width="11.5546875" style="177"/>
    <col min="13313" max="13313" width="29.6640625" style="177" bestFit="1" customWidth="1"/>
    <col min="13314" max="13320" width="15.6640625" style="177" customWidth="1"/>
    <col min="13321" max="13568" width="11.5546875" style="177"/>
    <col min="13569" max="13569" width="29.6640625" style="177" bestFit="1" customWidth="1"/>
    <col min="13570" max="13576" width="15.6640625" style="177" customWidth="1"/>
    <col min="13577" max="13824" width="11.5546875" style="177"/>
    <col min="13825" max="13825" width="29.6640625" style="177" bestFit="1" customWidth="1"/>
    <col min="13826" max="13832" width="15.6640625" style="177" customWidth="1"/>
    <col min="13833" max="14080" width="11.5546875" style="177"/>
    <col min="14081" max="14081" width="29.6640625" style="177" bestFit="1" customWidth="1"/>
    <col min="14082" max="14088" width="15.6640625" style="177" customWidth="1"/>
    <col min="14089" max="14336" width="11.5546875" style="177"/>
    <col min="14337" max="14337" width="29.6640625" style="177" bestFit="1" customWidth="1"/>
    <col min="14338" max="14344" width="15.6640625" style="177" customWidth="1"/>
    <col min="14345" max="14592" width="11.5546875" style="177"/>
    <col min="14593" max="14593" width="29.6640625" style="177" bestFit="1" customWidth="1"/>
    <col min="14594" max="14600" width="15.6640625" style="177" customWidth="1"/>
    <col min="14601" max="14848" width="11.5546875" style="177"/>
    <col min="14849" max="14849" width="29.6640625" style="177" bestFit="1" customWidth="1"/>
    <col min="14850" max="14856" width="15.6640625" style="177" customWidth="1"/>
    <col min="14857" max="15104" width="11.5546875" style="177"/>
    <col min="15105" max="15105" width="29.6640625" style="177" bestFit="1" customWidth="1"/>
    <col min="15106" max="15112" width="15.6640625" style="177" customWidth="1"/>
    <col min="15113" max="15360" width="11.5546875" style="177"/>
    <col min="15361" max="15361" width="29.6640625" style="177" bestFit="1" customWidth="1"/>
    <col min="15362" max="15368" width="15.6640625" style="177" customWidth="1"/>
    <col min="15369" max="15616" width="11.5546875" style="177"/>
    <col min="15617" max="15617" width="29.6640625" style="177" bestFit="1" customWidth="1"/>
    <col min="15618" max="15624" width="15.6640625" style="177" customWidth="1"/>
    <col min="15625" max="15872" width="11.5546875" style="177"/>
    <col min="15873" max="15873" width="29.6640625" style="177" bestFit="1" customWidth="1"/>
    <col min="15874" max="15880" width="15.6640625" style="177" customWidth="1"/>
    <col min="15881" max="16128" width="11.5546875" style="177"/>
    <col min="16129" max="16129" width="29.6640625" style="177" bestFit="1" customWidth="1"/>
    <col min="16130" max="16136" width="15.6640625" style="177" customWidth="1"/>
    <col min="16137" max="16384" width="11.5546875" style="177"/>
  </cols>
  <sheetData>
    <row r="1" spans="1:12" x14ac:dyDescent="0.3">
      <c r="A1" s="176" t="s">
        <v>423</v>
      </c>
    </row>
    <row r="2" spans="1:12" x14ac:dyDescent="0.3">
      <c r="A2" s="176" t="s">
        <v>424</v>
      </c>
      <c r="C2" s="178"/>
    </row>
    <row r="3" spans="1:12" x14ac:dyDescent="0.3">
      <c r="A3" s="179" t="s">
        <v>472</v>
      </c>
    </row>
    <row r="4" spans="1:12" x14ac:dyDescent="0.3">
      <c r="B4" s="180"/>
    </row>
    <row r="5" spans="1:12" x14ac:dyDescent="0.3">
      <c r="A5" s="181" t="s">
        <v>425</v>
      </c>
      <c r="H5" s="180"/>
    </row>
    <row r="6" spans="1:12" ht="16.2" thickBot="1" x14ac:dyDescent="0.35">
      <c r="B6" s="180"/>
    </row>
    <row r="7" spans="1:12" ht="16.2" thickBot="1" x14ac:dyDescent="0.35">
      <c r="A7" s="182" t="s">
        <v>426</v>
      </c>
      <c r="B7" s="183" t="s">
        <v>414</v>
      </c>
      <c r="C7" s="184" t="s">
        <v>427</v>
      </c>
      <c r="D7" s="184" t="s">
        <v>428</v>
      </c>
      <c r="E7" s="184" t="s">
        <v>429</v>
      </c>
      <c r="F7" s="184" t="s">
        <v>430</v>
      </c>
      <c r="G7" s="184" t="s">
        <v>431</v>
      </c>
      <c r="H7" s="184" t="s">
        <v>418</v>
      </c>
      <c r="I7" s="184" t="s">
        <v>432</v>
      </c>
      <c r="J7" s="184" t="s">
        <v>433</v>
      </c>
      <c r="K7" s="185" t="s">
        <v>434</v>
      </c>
      <c r="L7" s="186" t="s">
        <v>44</v>
      </c>
    </row>
    <row r="8" spans="1:12" ht="16.2" thickBot="1" x14ac:dyDescent="0.35">
      <c r="A8" s="187" t="s">
        <v>435</v>
      </c>
      <c r="B8" s="188">
        <v>1146051</v>
      </c>
      <c r="C8" s="189">
        <f>B8/L8</f>
        <v>0.61576348856939145</v>
      </c>
      <c r="D8" s="190">
        <v>5822</v>
      </c>
      <c r="E8" s="189">
        <f>D8/L8</f>
        <v>3.1281112537321614E-3</v>
      </c>
      <c r="F8" s="190">
        <v>8429</v>
      </c>
      <c r="G8" s="189">
        <f>F8/L8</f>
        <v>4.5288302572498084E-3</v>
      </c>
      <c r="H8" s="190">
        <v>700878</v>
      </c>
      <c r="I8" s="189">
        <f>H8/L8</f>
        <v>0.37657580887895736</v>
      </c>
      <c r="J8" s="190">
        <v>7</v>
      </c>
      <c r="K8" s="192">
        <f>J8/L8</f>
        <v>3.7610406692073394E-6</v>
      </c>
      <c r="L8" s="193">
        <f>B8+D8+F8+H8+J8</f>
        <v>1861187</v>
      </c>
    </row>
    <row r="9" spans="1:12" ht="16.2" thickBot="1" x14ac:dyDescent="0.35"/>
    <row r="10" spans="1:12" ht="16.2" thickBot="1" x14ac:dyDescent="0.35">
      <c r="A10" s="194" t="s">
        <v>436</v>
      </c>
      <c r="B10" s="195">
        <v>765975</v>
      </c>
      <c r="C10" s="196">
        <f>B10/L10</f>
        <v>0.60301359186613601</v>
      </c>
      <c r="D10" s="191">
        <v>813</v>
      </c>
      <c r="E10" s="196">
        <f>D10/L10</f>
        <v>6.4003400918720399E-4</v>
      </c>
      <c r="F10" s="191">
        <v>5450</v>
      </c>
      <c r="G10" s="196">
        <f>F10/L10</f>
        <v>4.2905108856952793E-3</v>
      </c>
      <c r="H10" s="191">
        <v>498000</v>
      </c>
      <c r="I10" s="196">
        <f>H10/L10</f>
        <v>0.39205035249105485</v>
      </c>
      <c r="J10" s="191">
        <v>7</v>
      </c>
      <c r="K10" s="197">
        <f>J10/L10</f>
        <v>5.5107479265810926E-6</v>
      </c>
      <c r="L10" s="198">
        <f>B10+D10+F10+H10+J10</f>
        <v>1270245</v>
      </c>
    </row>
    <row r="12" spans="1:12" ht="16.2" thickBot="1" x14ac:dyDescent="0.35">
      <c r="A12" s="181" t="s">
        <v>437</v>
      </c>
      <c r="E12" s="176"/>
      <c r="H12" s="180"/>
    </row>
    <row r="13" spans="1:12" ht="16.2" hidden="1" thickBot="1" x14ac:dyDescent="0.35">
      <c r="B13" s="180"/>
    </row>
    <row r="14" spans="1:12" ht="16.2" thickBot="1" x14ac:dyDescent="0.35">
      <c r="A14" s="182" t="s">
        <v>426</v>
      </c>
      <c r="B14" s="183" t="s">
        <v>414</v>
      </c>
      <c r="C14" s="184" t="s">
        <v>427</v>
      </c>
      <c r="D14" s="184" t="s">
        <v>428</v>
      </c>
      <c r="E14" s="184" t="s">
        <v>429</v>
      </c>
      <c r="F14" s="184" t="s">
        <v>430</v>
      </c>
      <c r="G14" s="184" t="s">
        <v>431</v>
      </c>
      <c r="H14" s="184" t="s">
        <v>418</v>
      </c>
      <c r="I14" s="184" t="s">
        <v>432</v>
      </c>
      <c r="J14" s="184" t="s">
        <v>433</v>
      </c>
      <c r="K14" s="185" t="s">
        <v>434</v>
      </c>
      <c r="L14" s="186" t="s">
        <v>44</v>
      </c>
    </row>
    <row r="15" spans="1:12" ht="16.2" thickBot="1" x14ac:dyDescent="0.35">
      <c r="A15" s="187" t="s">
        <v>435</v>
      </c>
      <c r="B15" s="188">
        <v>162673561.5</v>
      </c>
      <c r="C15" s="189">
        <f>B15/L15</f>
        <v>0.47418072361423691</v>
      </c>
      <c r="D15" s="190">
        <v>8697258.8499999996</v>
      </c>
      <c r="E15" s="189">
        <f>D15/L15</f>
        <v>2.5351830112561504E-2</v>
      </c>
      <c r="F15" s="190">
        <v>1813742.12</v>
      </c>
      <c r="G15" s="189">
        <f>F15/L15</f>
        <v>5.2869165891546556E-3</v>
      </c>
      <c r="H15" s="190">
        <v>169877681.78</v>
      </c>
      <c r="I15" s="196">
        <f>H15/L15</f>
        <v>0.49518017144014803</v>
      </c>
      <c r="J15" s="190">
        <v>122.9</v>
      </c>
      <c r="K15" s="192">
        <f>J15/L15</f>
        <v>3.5824389897672287E-7</v>
      </c>
      <c r="L15" s="193">
        <f>B15+D15+F15+H15+J15</f>
        <v>343062367.14999998</v>
      </c>
    </row>
    <row r="16" spans="1:12" ht="16.2" thickBot="1" x14ac:dyDescent="0.35"/>
    <row r="17" spans="1:12" ht="16.2" thickBot="1" x14ac:dyDescent="0.35">
      <c r="A17" s="194" t="s">
        <v>436</v>
      </c>
      <c r="B17" s="195">
        <v>90918255.090000004</v>
      </c>
      <c r="C17" s="196">
        <f>B17/L17</f>
        <v>0.47068726408028033</v>
      </c>
      <c r="D17" s="191">
        <v>972886.54</v>
      </c>
      <c r="E17" s="196">
        <f>D17/L17</f>
        <v>5.0366706149367899E-3</v>
      </c>
      <c r="F17" s="191">
        <v>1065438</v>
      </c>
      <c r="G17" s="196">
        <f>F17/L17</f>
        <v>5.5158130429443734E-3</v>
      </c>
      <c r="H17" s="191">
        <v>100203941.55</v>
      </c>
      <c r="I17" s="196">
        <f>H17/L17</f>
        <v>0.51875961600386478</v>
      </c>
      <c r="J17" s="191">
        <v>122.9</v>
      </c>
      <c r="K17" s="197">
        <f>J17/L17</f>
        <v>6.3625797369519728E-7</v>
      </c>
      <c r="L17" s="198">
        <f>B17+D17+F17+H17+J17</f>
        <v>193160644.08000001</v>
      </c>
    </row>
    <row r="19" spans="1:12" x14ac:dyDescent="0.3">
      <c r="A19" s="177" t="s">
        <v>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6D2B-9CE7-4B47-ADBA-24F6D8828105}">
  <sheetPr codeName="Hoja6"/>
  <dimension ref="A1:AD69"/>
  <sheetViews>
    <sheetView zoomScale="68" zoomScaleNormal="68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RowHeight="14.4" x14ac:dyDescent="0.3"/>
  <cols>
    <col min="1" max="1" width="19.44140625" bestFit="1" customWidth="1"/>
    <col min="2" max="4" width="11.21875" customWidth="1"/>
    <col min="5" max="13" width="11.21875" hidden="1" customWidth="1"/>
    <col min="15" max="17" width="8.77734375" customWidth="1"/>
    <col min="18" max="22" width="8.77734375" hidden="1" customWidth="1"/>
    <col min="23" max="23" width="10.5546875" hidden="1" customWidth="1"/>
    <col min="24" max="24" width="8.77734375" hidden="1" customWidth="1"/>
    <col min="25" max="25" width="11.21875" hidden="1" customWidth="1"/>
    <col min="26" max="26" width="11.5546875" hidden="1" customWidth="1"/>
  </cols>
  <sheetData>
    <row r="1" spans="1:30" x14ac:dyDescent="0.3">
      <c r="A1" s="157" t="s">
        <v>473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30" x14ac:dyDescent="0.3">
      <c r="G2" s="242"/>
      <c r="H2" s="242"/>
      <c r="I2" s="242"/>
      <c r="J2" s="242"/>
      <c r="L2" s="242"/>
      <c r="M2" s="164"/>
      <c r="N2" s="164"/>
    </row>
    <row r="3" spans="1:30" ht="15.6" customHeight="1" x14ac:dyDescent="0.3">
      <c r="A3" s="158" t="s">
        <v>413</v>
      </c>
      <c r="B3" s="164"/>
      <c r="N3" s="164"/>
    </row>
    <row r="4" spans="1:30" x14ac:dyDescent="0.3">
      <c r="B4" s="159" t="s">
        <v>59</v>
      </c>
      <c r="C4" s="159" t="s">
        <v>60</v>
      </c>
      <c r="D4" s="159" t="s">
        <v>61</v>
      </c>
      <c r="E4" s="159" t="s">
        <v>62</v>
      </c>
      <c r="F4" s="159" t="s">
        <v>63</v>
      </c>
      <c r="G4" s="159" t="s">
        <v>64</v>
      </c>
      <c r="H4" s="159" t="s">
        <v>65</v>
      </c>
      <c r="I4" s="159" t="s">
        <v>66</v>
      </c>
      <c r="J4" s="159" t="s">
        <v>67</v>
      </c>
      <c r="K4" s="159" t="s">
        <v>68</v>
      </c>
      <c r="L4" s="159" t="s">
        <v>69</v>
      </c>
      <c r="M4" s="159" t="s">
        <v>70</v>
      </c>
      <c r="O4" s="159" t="s">
        <v>59</v>
      </c>
      <c r="P4" s="159" t="s">
        <v>60</v>
      </c>
      <c r="Q4" s="159" t="s">
        <v>61</v>
      </c>
      <c r="R4" s="159" t="s">
        <v>62</v>
      </c>
      <c r="S4" s="159" t="s">
        <v>63</v>
      </c>
      <c r="T4" s="159" t="s">
        <v>64</v>
      </c>
      <c r="U4" s="159" t="s">
        <v>65</v>
      </c>
      <c r="V4" s="159" t="s">
        <v>66</v>
      </c>
      <c r="W4" s="159" t="s">
        <v>67</v>
      </c>
      <c r="X4" s="159" t="s">
        <v>68</v>
      </c>
      <c r="Y4" s="159" t="s">
        <v>69</v>
      </c>
      <c r="Z4" s="159" t="s">
        <v>70</v>
      </c>
    </row>
    <row r="5" spans="1:30" x14ac:dyDescent="0.3">
      <c r="A5" s="160" t="s">
        <v>414</v>
      </c>
      <c r="B5" s="161"/>
      <c r="C5" s="161"/>
      <c r="D5" s="161"/>
      <c r="J5" s="161"/>
      <c r="K5" s="161"/>
      <c r="L5" s="161"/>
      <c r="M5" s="161"/>
    </row>
    <row r="6" spans="1:30" x14ac:dyDescent="0.3">
      <c r="A6" s="162" t="s">
        <v>415</v>
      </c>
      <c r="B6" s="163">
        <v>1841038</v>
      </c>
      <c r="C6" s="163">
        <v>1771633</v>
      </c>
      <c r="D6" s="163">
        <v>1866704</v>
      </c>
      <c r="E6" s="163"/>
      <c r="F6" s="163"/>
      <c r="G6" s="163"/>
      <c r="H6" s="163"/>
      <c r="I6" s="163"/>
      <c r="J6" s="163"/>
      <c r="K6" s="163"/>
      <c r="L6" s="163"/>
      <c r="M6" s="163"/>
      <c r="N6" s="164"/>
      <c r="O6" s="165">
        <f t="shared" ref="O6:Z9" si="0">B6/B18</f>
        <v>0.78406435923971607</v>
      </c>
      <c r="P6" s="165">
        <f t="shared" si="0"/>
        <v>0.79946652081954173</v>
      </c>
      <c r="Q6" s="165">
        <f t="shared" si="0"/>
        <v>0.80090168284670238</v>
      </c>
      <c r="R6" s="165" t="e">
        <f t="shared" si="0"/>
        <v>#DIV/0!</v>
      </c>
      <c r="S6" s="165" t="e">
        <f t="shared" si="0"/>
        <v>#DIV/0!</v>
      </c>
      <c r="T6" s="165" t="e">
        <f t="shared" si="0"/>
        <v>#DIV/0!</v>
      </c>
      <c r="U6" s="165" t="e">
        <f t="shared" si="0"/>
        <v>#DIV/0!</v>
      </c>
      <c r="V6" s="165" t="e">
        <f t="shared" si="0"/>
        <v>#DIV/0!</v>
      </c>
      <c r="W6" s="165" t="e">
        <f t="shared" si="0"/>
        <v>#DIV/0!</v>
      </c>
      <c r="X6" s="165" t="e">
        <f t="shared" si="0"/>
        <v>#DIV/0!</v>
      </c>
      <c r="Y6" s="165" t="e">
        <f t="shared" si="0"/>
        <v>#DIV/0!</v>
      </c>
      <c r="Z6" s="165" t="e">
        <f t="shared" si="0"/>
        <v>#DIV/0!</v>
      </c>
    </row>
    <row r="7" spans="1:30" x14ac:dyDescent="0.3">
      <c r="A7" s="166" t="s">
        <v>416</v>
      </c>
      <c r="B7" s="167">
        <v>5273960</v>
      </c>
      <c r="C7" s="167">
        <v>4955210</v>
      </c>
      <c r="D7" s="167">
        <v>5049076</v>
      </c>
      <c r="E7" s="167"/>
      <c r="F7" s="167"/>
      <c r="G7" s="167"/>
      <c r="H7" s="167"/>
      <c r="I7" s="167"/>
      <c r="J7" s="167"/>
      <c r="K7" s="167"/>
      <c r="L7" s="167"/>
      <c r="M7" s="167"/>
      <c r="N7" s="164"/>
      <c r="O7" s="165">
        <f t="shared" si="0"/>
        <v>0.77633928374282568</v>
      </c>
      <c r="P7" s="165">
        <f t="shared" si="0"/>
        <v>0.75770505986380843</v>
      </c>
      <c r="Q7" s="165">
        <f t="shared" si="0"/>
        <v>0.76353061282200996</v>
      </c>
      <c r="R7" s="165" t="e">
        <f t="shared" si="0"/>
        <v>#DIV/0!</v>
      </c>
      <c r="S7" s="165" t="e">
        <f t="shared" si="0"/>
        <v>#DIV/0!</v>
      </c>
      <c r="T7" s="165" t="e">
        <f t="shared" si="0"/>
        <v>#DIV/0!</v>
      </c>
      <c r="U7" s="165" t="e">
        <f t="shared" si="0"/>
        <v>#DIV/0!</v>
      </c>
      <c r="V7" s="165" t="e">
        <f t="shared" si="0"/>
        <v>#DIV/0!</v>
      </c>
      <c r="W7" s="165" t="e">
        <f t="shared" si="0"/>
        <v>#DIV/0!</v>
      </c>
      <c r="X7" s="165" t="e">
        <f t="shared" si="0"/>
        <v>#DIV/0!</v>
      </c>
      <c r="Y7" s="165" t="e">
        <f t="shared" si="0"/>
        <v>#DIV/0!</v>
      </c>
      <c r="Z7" s="165" t="e">
        <f t="shared" si="0"/>
        <v>#DIV/0!</v>
      </c>
    </row>
    <row r="8" spans="1:30" x14ac:dyDescent="0.3">
      <c r="A8" s="168" t="s">
        <v>417</v>
      </c>
      <c r="B8" s="169">
        <v>351358</v>
      </c>
      <c r="C8" s="169">
        <v>292253</v>
      </c>
      <c r="D8" s="169">
        <v>298462</v>
      </c>
      <c r="E8" s="169"/>
      <c r="F8" s="169"/>
      <c r="G8" s="169"/>
      <c r="H8" s="169"/>
      <c r="I8" s="169"/>
      <c r="J8" s="169"/>
      <c r="K8" s="169"/>
      <c r="L8" s="169"/>
      <c r="M8" s="169"/>
      <c r="N8" s="164"/>
      <c r="O8" s="165">
        <f t="shared" si="0"/>
        <v>0.96920195408291332</v>
      </c>
      <c r="P8" s="165">
        <f t="shared" si="0"/>
        <v>0.96050547211358328</v>
      </c>
      <c r="Q8" s="165">
        <f t="shared" si="0"/>
        <v>0.94555327453365778</v>
      </c>
      <c r="R8" s="165" t="e">
        <f t="shared" si="0"/>
        <v>#DIV/0!</v>
      </c>
      <c r="S8" s="165" t="e">
        <f t="shared" si="0"/>
        <v>#DIV/0!</v>
      </c>
      <c r="T8" s="165" t="e">
        <f t="shared" si="0"/>
        <v>#DIV/0!</v>
      </c>
      <c r="U8" s="165" t="e">
        <f t="shared" si="0"/>
        <v>#DIV/0!</v>
      </c>
      <c r="V8" s="165" t="e">
        <f t="shared" si="0"/>
        <v>#DIV/0!</v>
      </c>
      <c r="W8" s="165" t="e">
        <f t="shared" si="0"/>
        <v>#DIV/0!</v>
      </c>
      <c r="X8" s="165" t="e">
        <f t="shared" si="0"/>
        <v>#DIV/0!</v>
      </c>
      <c r="Y8" s="165" t="e">
        <f t="shared" si="0"/>
        <v>#DIV/0!</v>
      </c>
      <c r="Z8" s="165" t="e">
        <f t="shared" si="0"/>
        <v>#DIV/0!</v>
      </c>
    </row>
    <row r="9" spans="1:30" x14ac:dyDescent="0.3">
      <c r="B9" s="170">
        <f t="shared" ref="B9:D9" si="1">SUM(B6:B8)</f>
        <v>7466356</v>
      </c>
      <c r="C9" s="170">
        <f t="shared" si="1"/>
        <v>7019096</v>
      </c>
      <c r="D9" s="170">
        <f t="shared" si="1"/>
        <v>7214242</v>
      </c>
      <c r="E9" s="170">
        <f t="shared" ref="E9:M9" si="2">SUM(E6:E8)</f>
        <v>0</v>
      </c>
      <c r="F9" s="170">
        <f t="shared" si="2"/>
        <v>0</v>
      </c>
      <c r="G9" s="170">
        <f t="shared" si="2"/>
        <v>0</v>
      </c>
      <c r="H9" s="170">
        <f t="shared" si="2"/>
        <v>0</v>
      </c>
      <c r="I9" s="170">
        <f t="shared" si="2"/>
        <v>0</v>
      </c>
      <c r="J9" s="170">
        <f t="shared" si="2"/>
        <v>0</v>
      </c>
      <c r="K9" s="170">
        <f t="shared" si="2"/>
        <v>0</v>
      </c>
      <c r="L9" s="170">
        <f t="shared" si="2"/>
        <v>0</v>
      </c>
      <c r="M9" s="170">
        <f t="shared" si="2"/>
        <v>0</v>
      </c>
      <c r="N9" s="164"/>
      <c r="O9" s="165">
        <f t="shared" si="0"/>
        <v>0.78560448941141714</v>
      </c>
      <c r="P9" s="165">
        <f t="shared" si="0"/>
        <v>0.77473038228265845</v>
      </c>
      <c r="Q9" s="165">
        <f t="shared" si="0"/>
        <v>0.77914295422002888</v>
      </c>
      <c r="R9" s="165" t="e">
        <f t="shared" si="0"/>
        <v>#DIV/0!</v>
      </c>
      <c r="S9" s="165" t="e">
        <f t="shared" si="0"/>
        <v>#DIV/0!</v>
      </c>
      <c r="T9" s="165" t="e">
        <f t="shared" si="0"/>
        <v>#DIV/0!</v>
      </c>
      <c r="U9" s="165" t="e">
        <f t="shared" si="0"/>
        <v>#DIV/0!</v>
      </c>
      <c r="V9" s="165" t="e">
        <f t="shared" si="0"/>
        <v>#DIV/0!</v>
      </c>
      <c r="W9" s="165" t="e">
        <f t="shared" si="0"/>
        <v>#DIV/0!</v>
      </c>
      <c r="X9" s="165" t="e">
        <f t="shared" si="0"/>
        <v>#DIV/0!</v>
      </c>
      <c r="Y9" s="165" t="e">
        <f t="shared" si="0"/>
        <v>#DIV/0!</v>
      </c>
      <c r="Z9" s="165" t="e">
        <f t="shared" si="0"/>
        <v>#DIV/0!</v>
      </c>
    </row>
    <row r="10" spans="1:30" x14ac:dyDescent="0.3"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</row>
    <row r="11" spans="1:30" x14ac:dyDescent="0.3">
      <c r="A11" s="160" t="s">
        <v>418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</row>
    <row r="12" spans="1:30" x14ac:dyDescent="0.3">
      <c r="A12" s="162" t="s">
        <v>415</v>
      </c>
      <c r="B12" s="163">
        <v>507032</v>
      </c>
      <c r="C12" s="163">
        <v>444386</v>
      </c>
      <c r="D12" s="163">
        <v>464049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4"/>
      <c r="O12" s="165">
        <f t="shared" ref="O12:Z15" si="3">B12/B18</f>
        <v>0.21593564076028399</v>
      </c>
      <c r="P12" s="165">
        <f t="shared" si="3"/>
        <v>0.2005334791804583</v>
      </c>
      <c r="Q12" s="165">
        <f t="shared" si="3"/>
        <v>0.19909831715329768</v>
      </c>
      <c r="R12" s="165" t="e">
        <f t="shared" si="3"/>
        <v>#DIV/0!</v>
      </c>
      <c r="S12" s="165" t="e">
        <f t="shared" si="3"/>
        <v>#DIV/0!</v>
      </c>
      <c r="T12" s="165" t="e">
        <f t="shared" si="3"/>
        <v>#DIV/0!</v>
      </c>
      <c r="U12" s="165" t="e">
        <f t="shared" si="3"/>
        <v>#DIV/0!</v>
      </c>
      <c r="V12" s="165" t="e">
        <f t="shared" si="3"/>
        <v>#DIV/0!</v>
      </c>
      <c r="W12" s="165" t="e">
        <f t="shared" si="3"/>
        <v>#DIV/0!</v>
      </c>
      <c r="X12" s="165" t="e">
        <f t="shared" si="3"/>
        <v>#DIV/0!</v>
      </c>
      <c r="Y12" s="165" t="e">
        <f t="shared" si="3"/>
        <v>#DIV/0!</v>
      </c>
      <c r="Z12" s="165" t="e">
        <f t="shared" si="3"/>
        <v>#DIV/0!</v>
      </c>
    </row>
    <row r="13" spans="1:30" x14ac:dyDescent="0.3">
      <c r="A13" s="166" t="s">
        <v>416</v>
      </c>
      <c r="B13" s="167">
        <v>1519410</v>
      </c>
      <c r="C13" s="167">
        <v>1584551</v>
      </c>
      <c r="D13" s="167">
        <v>1563725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4"/>
      <c r="O13" s="165">
        <f t="shared" si="3"/>
        <v>0.22366071625717426</v>
      </c>
      <c r="P13" s="165">
        <f t="shared" si="3"/>
        <v>0.24229494013619152</v>
      </c>
      <c r="Q13" s="165">
        <f t="shared" si="3"/>
        <v>0.23646938717799007</v>
      </c>
      <c r="R13" s="165" t="e">
        <f t="shared" si="3"/>
        <v>#DIV/0!</v>
      </c>
      <c r="S13" s="165" t="e">
        <f t="shared" si="3"/>
        <v>#DIV/0!</v>
      </c>
      <c r="T13" s="165" t="e">
        <f t="shared" si="3"/>
        <v>#DIV/0!</v>
      </c>
      <c r="U13" s="165" t="e">
        <f t="shared" si="3"/>
        <v>#DIV/0!</v>
      </c>
      <c r="V13" s="165" t="e">
        <f t="shared" si="3"/>
        <v>#DIV/0!</v>
      </c>
      <c r="W13" s="165" t="e">
        <f t="shared" si="3"/>
        <v>#DIV/0!</v>
      </c>
      <c r="X13" s="165" t="e">
        <f t="shared" si="3"/>
        <v>#DIV/0!</v>
      </c>
      <c r="Y13" s="165" t="e">
        <f t="shared" si="3"/>
        <v>#DIV/0!</v>
      </c>
      <c r="Z13" s="165" t="e">
        <f t="shared" si="3"/>
        <v>#DIV/0!</v>
      </c>
      <c r="AD13" s="164"/>
    </row>
    <row r="14" spans="1:30" x14ac:dyDescent="0.3">
      <c r="A14" s="168" t="s">
        <v>417</v>
      </c>
      <c r="B14" s="169">
        <v>11165</v>
      </c>
      <c r="C14" s="169">
        <v>12017</v>
      </c>
      <c r="D14" s="169">
        <v>17186</v>
      </c>
      <c r="E14" s="169"/>
      <c r="F14" s="169"/>
      <c r="G14" s="169"/>
      <c r="H14" s="169"/>
      <c r="I14" s="169"/>
      <c r="J14" s="169"/>
      <c r="K14" s="169"/>
      <c r="L14" s="169"/>
      <c r="M14" s="169"/>
      <c r="N14" s="164"/>
      <c r="O14" s="165">
        <f t="shared" si="3"/>
        <v>3.0798045917086639E-2</v>
      </c>
      <c r="P14" s="165">
        <f t="shared" si="3"/>
        <v>3.9494527886416671E-2</v>
      </c>
      <c r="Q14" s="165">
        <f t="shared" si="3"/>
        <v>5.4446725466342258E-2</v>
      </c>
      <c r="R14" s="165" t="e">
        <f t="shared" si="3"/>
        <v>#DIV/0!</v>
      </c>
      <c r="S14" s="165" t="e">
        <f t="shared" si="3"/>
        <v>#DIV/0!</v>
      </c>
      <c r="T14" s="165" t="e">
        <f t="shared" si="3"/>
        <v>#DIV/0!</v>
      </c>
      <c r="U14" s="165" t="e">
        <f t="shared" si="3"/>
        <v>#DIV/0!</v>
      </c>
      <c r="V14" s="165" t="e">
        <f t="shared" si="3"/>
        <v>#DIV/0!</v>
      </c>
      <c r="W14" s="165" t="e">
        <f t="shared" si="3"/>
        <v>#DIV/0!</v>
      </c>
      <c r="X14" s="165" t="e">
        <f t="shared" si="3"/>
        <v>#DIV/0!</v>
      </c>
      <c r="Y14" s="165" t="e">
        <f t="shared" si="3"/>
        <v>#DIV/0!</v>
      </c>
      <c r="Z14" s="165" t="e">
        <f t="shared" si="3"/>
        <v>#DIV/0!</v>
      </c>
    </row>
    <row r="15" spans="1:30" x14ac:dyDescent="0.3">
      <c r="B15" s="170">
        <f t="shared" ref="B15:D15" si="4">SUM(B12:B14)</f>
        <v>2037607</v>
      </c>
      <c r="C15" s="170">
        <f t="shared" si="4"/>
        <v>2040954</v>
      </c>
      <c r="D15" s="170">
        <f t="shared" si="4"/>
        <v>2044960</v>
      </c>
      <c r="E15" s="170">
        <f t="shared" ref="E15:M15" si="5">SUM(E12:E14)</f>
        <v>0</v>
      </c>
      <c r="F15" s="170">
        <f t="shared" si="5"/>
        <v>0</v>
      </c>
      <c r="G15" s="170">
        <f t="shared" si="5"/>
        <v>0</v>
      </c>
      <c r="H15" s="170">
        <f t="shared" si="5"/>
        <v>0</v>
      </c>
      <c r="I15" s="170">
        <f t="shared" si="5"/>
        <v>0</v>
      </c>
      <c r="J15" s="170">
        <f t="shared" si="5"/>
        <v>0</v>
      </c>
      <c r="K15" s="170">
        <f t="shared" si="5"/>
        <v>0</v>
      </c>
      <c r="L15" s="170">
        <f t="shared" si="5"/>
        <v>0</v>
      </c>
      <c r="M15" s="170">
        <f t="shared" si="5"/>
        <v>0</v>
      </c>
      <c r="N15" s="164"/>
      <c r="O15" s="165">
        <f t="shared" si="3"/>
        <v>0.21439551058858289</v>
      </c>
      <c r="P15" s="165">
        <f t="shared" si="3"/>
        <v>0.22526961771734152</v>
      </c>
      <c r="Q15" s="165">
        <f t="shared" si="3"/>
        <v>0.22085704577997109</v>
      </c>
      <c r="R15" s="165" t="e">
        <f t="shared" si="3"/>
        <v>#DIV/0!</v>
      </c>
      <c r="S15" s="165" t="e">
        <f t="shared" si="3"/>
        <v>#DIV/0!</v>
      </c>
      <c r="T15" s="165" t="e">
        <f t="shared" si="3"/>
        <v>#DIV/0!</v>
      </c>
      <c r="U15" s="165" t="e">
        <f t="shared" si="3"/>
        <v>#DIV/0!</v>
      </c>
      <c r="V15" s="165" t="e">
        <f t="shared" si="3"/>
        <v>#DIV/0!</v>
      </c>
      <c r="W15" s="165" t="e">
        <f t="shared" si="3"/>
        <v>#DIV/0!</v>
      </c>
      <c r="X15" s="165" t="e">
        <f t="shared" si="3"/>
        <v>#DIV/0!</v>
      </c>
      <c r="Y15" s="165" t="e">
        <f t="shared" si="3"/>
        <v>#DIV/0!</v>
      </c>
      <c r="Z15" s="165" t="e">
        <f t="shared" si="3"/>
        <v>#DIV/0!</v>
      </c>
    </row>
    <row r="16" spans="1:30" x14ac:dyDescent="0.3"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</row>
    <row r="17" spans="1:26" x14ac:dyDescent="0.3">
      <c r="A17" s="160" t="s">
        <v>419</v>
      </c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</row>
    <row r="18" spans="1:26" x14ac:dyDescent="0.3">
      <c r="A18" s="162" t="s">
        <v>415</v>
      </c>
      <c r="B18" s="163">
        <f>B6+B12</f>
        <v>2348070</v>
      </c>
      <c r="C18" s="163">
        <f t="shared" ref="C18:M21" si="6">C6+C12</f>
        <v>2216019</v>
      </c>
      <c r="D18" s="163">
        <f t="shared" si="6"/>
        <v>2330753</v>
      </c>
      <c r="E18" s="163">
        <f t="shared" si="6"/>
        <v>0</v>
      </c>
      <c r="F18" s="163">
        <f t="shared" si="6"/>
        <v>0</v>
      </c>
      <c r="G18" s="163">
        <f t="shared" si="6"/>
        <v>0</v>
      </c>
      <c r="H18" s="163">
        <f t="shared" si="6"/>
        <v>0</v>
      </c>
      <c r="I18" s="163">
        <f t="shared" si="6"/>
        <v>0</v>
      </c>
      <c r="J18" s="163">
        <f t="shared" si="6"/>
        <v>0</v>
      </c>
      <c r="K18" s="163">
        <f t="shared" si="6"/>
        <v>0</v>
      </c>
      <c r="L18" s="163">
        <f t="shared" si="6"/>
        <v>0</v>
      </c>
      <c r="M18" s="163">
        <f t="shared" si="6"/>
        <v>0</v>
      </c>
      <c r="N18" s="164"/>
      <c r="O18" s="171">
        <f t="shared" ref="O18:Z21" si="7">O6+O12</f>
        <v>1</v>
      </c>
      <c r="P18" s="171">
        <f t="shared" si="7"/>
        <v>1</v>
      </c>
      <c r="Q18" s="171">
        <f t="shared" si="7"/>
        <v>1</v>
      </c>
      <c r="R18" s="171" t="e">
        <f t="shared" si="7"/>
        <v>#DIV/0!</v>
      </c>
      <c r="S18" s="171" t="e">
        <f t="shared" si="7"/>
        <v>#DIV/0!</v>
      </c>
      <c r="T18" s="171" t="e">
        <f t="shared" si="7"/>
        <v>#DIV/0!</v>
      </c>
      <c r="U18" s="171" t="e">
        <f t="shared" si="7"/>
        <v>#DIV/0!</v>
      </c>
      <c r="V18" s="171" t="e">
        <f t="shared" si="7"/>
        <v>#DIV/0!</v>
      </c>
      <c r="W18" s="171" t="e">
        <f t="shared" si="7"/>
        <v>#DIV/0!</v>
      </c>
      <c r="X18" s="171" t="e">
        <f t="shared" si="7"/>
        <v>#DIV/0!</v>
      </c>
      <c r="Y18" s="171" t="e">
        <f t="shared" si="7"/>
        <v>#DIV/0!</v>
      </c>
      <c r="Z18" s="171" t="e">
        <f t="shared" si="7"/>
        <v>#DIV/0!</v>
      </c>
    </row>
    <row r="19" spans="1:26" x14ac:dyDescent="0.3">
      <c r="A19" s="166" t="s">
        <v>416</v>
      </c>
      <c r="B19" s="167">
        <f t="shared" ref="B19:B21" si="8">B7+B13</f>
        <v>6793370</v>
      </c>
      <c r="C19" s="167">
        <f t="shared" si="6"/>
        <v>6539761</v>
      </c>
      <c r="D19" s="167">
        <f t="shared" si="6"/>
        <v>6612801</v>
      </c>
      <c r="E19" s="167">
        <f t="shared" si="6"/>
        <v>0</v>
      </c>
      <c r="F19" s="167">
        <f t="shared" si="6"/>
        <v>0</v>
      </c>
      <c r="G19" s="167">
        <f t="shared" si="6"/>
        <v>0</v>
      </c>
      <c r="H19" s="167">
        <f t="shared" si="6"/>
        <v>0</v>
      </c>
      <c r="I19" s="167">
        <f t="shared" si="6"/>
        <v>0</v>
      </c>
      <c r="J19" s="167">
        <f t="shared" si="6"/>
        <v>0</v>
      </c>
      <c r="K19" s="167">
        <f t="shared" si="6"/>
        <v>0</v>
      </c>
      <c r="L19" s="167">
        <f t="shared" si="6"/>
        <v>0</v>
      </c>
      <c r="M19" s="167">
        <f t="shared" si="6"/>
        <v>0</v>
      </c>
      <c r="N19" s="164"/>
      <c r="O19" s="171">
        <f t="shared" si="7"/>
        <v>1</v>
      </c>
      <c r="P19" s="171">
        <f t="shared" si="7"/>
        <v>1</v>
      </c>
      <c r="Q19" s="171">
        <f t="shared" si="7"/>
        <v>1</v>
      </c>
      <c r="R19" s="171" t="e">
        <f t="shared" si="7"/>
        <v>#DIV/0!</v>
      </c>
      <c r="S19" s="171" t="e">
        <f t="shared" si="7"/>
        <v>#DIV/0!</v>
      </c>
      <c r="T19" s="171" t="e">
        <f t="shared" si="7"/>
        <v>#DIV/0!</v>
      </c>
      <c r="U19" s="171" t="e">
        <f t="shared" si="7"/>
        <v>#DIV/0!</v>
      </c>
      <c r="V19" s="171" t="e">
        <f t="shared" si="7"/>
        <v>#DIV/0!</v>
      </c>
      <c r="W19" s="171" t="e">
        <f t="shared" si="7"/>
        <v>#DIV/0!</v>
      </c>
      <c r="X19" s="171" t="e">
        <f t="shared" si="7"/>
        <v>#DIV/0!</v>
      </c>
      <c r="Y19" s="171" t="e">
        <f t="shared" si="7"/>
        <v>#DIV/0!</v>
      </c>
      <c r="Z19" s="171" t="e">
        <f t="shared" si="7"/>
        <v>#DIV/0!</v>
      </c>
    </row>
    <row r="20" spans="1:26" x14ac:dyDescent="0.3">
      <c r="A20" s="168" t="s">
        <v>417</v>
      </c>
      <c r="B20" s="169">
        <f t="shared" si="8"/>
        <v>362523</v>
      </c>
      <c r="C20" s="169">
        <f t="shared" si="6"/>
        <v>304270</v>
      </c>
      <c r="D20" s="169">
        <f t="shared" si="6"/>
        <v>315648</v>
      </c>
      <c r="E20" s="169">
        <f t="shared" si="6"/>
        <v>0</v>
      </c>
      <c r="F20" s="169">
        <f t="shared" si="6"/>
        <v>0</v>
      </c>
      <c r="G20" s="169">
        <f t="shared" si="6"/>
        <v>0</v>
      </c>
      <c r="H20" s="169">
        <f t="shared" si="6"/>
        <v>0</v>
      </c>
      <c r="I20" s="169">
        <f t="shared" si="6"/>
        <v>0</v>
      </c>
      <c r="J20" s="169">
        <f t="shared" si="6"/>
        <v>0</v>
      </c>
      <c r="K20" s="169">
        <f t="shared" si="6"/>
        <v>0</v>
      </c>
      <c r="L20" s="169">
        <f t="shared" si="6"/>
        <v>0</v>
      </c>
      <c r="M20" s="169">
        <f t="shared" si="6"/>
        <v>0</v>
      </c>
      <c r="N20" s="164"/>
      <c r="O20" s="171">
        <f t="shared" si="7"/>
        <v>1</v>
      </c>
      <c r="P20" s="171">
        <f t="shared" si="7"/>
        <v>1</v>
      </c>
      <c r="Q20" s="171">
        <f t="shared" si="7"/>
        <v>1</v>
      </c>
      <c r="R20" s="171" t="e">
        <f t="shared" si="7"/>
        <v>#DIV/0!</v>
      </c>
      <c r="S20" s="171" t="e">
        <f t="shared" si="7"/>
        <v>#DIV/0!</v>
      </c>
      <c r="T20" s="171" t="e">
        <f t="shared" si="7"/>
        <v>#DIV/0!</v>
      </c>
      <c r="U20" s="171" t="e">
        <f t="shared" si="7"/>
        <v>#DIV/0!</v>
      </c>
      <c r="V20" s="171" t="e">
        <f t="shared" si="7"/>
        <v>#DIV/0!</v>
      </c>
      <c r="W20" s="171" t="e">
        <f t="shared" si="7"/>
        <v>#DIV/0!</v>
      </c>
      <c r="X20" s="171" t="e">
        <f t="shared" si="7"/>
        <v>#DIV/0!</v>
      </c>
      <c r="Y20" s="171" t="e">
        <f t="shared" si="7"/>
        <v>#DIV/0!</v>
      </c>
      <c r="Z20" s="171" t="e">
        <f t="shared" si="7"/>
        <v>#DIV/0!</v>
      </c>
    </row>
    <row r="21" spans="1:26" x14ac:dyDescent="0.3">
      <c r="B21" s="170">
        <f t="shared" si="8"/>
        <v>9503963</v>
      </c>
      <c r="C21" s="170">
        <f t="shared" si="6"/>
        <v>9060050</v>
      </c>
      <c r="D21" s="170">
        <f t="shared" si="6"/>
        <v>9259202</v>
      </c>
      <c r="E21" s="170">
        <f t="shared" si="6"/>
        <v>0</v>
      </c>
      <c r="F21" s="170">
        <f t="shared" si="6"/>
        <v>0</v>
      </c>
      <c r="G21" s="170">
        <f t="shared" si="6"/>
        <v>0</v>
      </c>
      <c r="H21" s="170">
        <f t="shared" si="6"/>
        <v>0</v>
      </c>
      <c r="I21" s="170">
        <f t="shared" si="6"/>
        <v>0</v>
      </c>
      <c r="J21" s="170">
        <f t="shared" si="6"/>
        <v>0</v>
      </c>
      <c r="K21" s="170">
        <f t="shared" si="6"/>
        <v>0</v>
      </c>
      <c r="L21" s="170">
        <f t="shared" si="6"/>
        <v>0</v>
      </c>
      <c r="M21" s="170">
        <f t="shared" si="6"/>
        <v>0</v>
      </c>
      <c r="N21" s="164"/>
      <c r="O21" s="171">
        <f t="shared" si="7"/>
        <v>1</v>
      </c>
      <c r="P21" s="171">
        <f t="shared" si="7"/>
        <v>1</v>
      </c>
      <c r="Q21" s="171">
        <f t="shared" si="7"/>
        <v>1</v>
      </c>
      <c r="R21" s="171" t="e">
        <f t="shared" si="7"/>
        <v>#DIV/0!</v>
      </c>
      <c r="S21" s="171" t="e">
        <f t="shared" si="7"/>
        <v>#DIV/0!</v>
      </c>
      <c r="T21" s="171" t="e">
        <f t="shared" si="7"/>
        <v>#DIV/0!</v>
      </c>
      <c r="U21" s="171" t="e">
        <f t="shared" si="7"/>
        <v>#DIV/0!</v>
      </c>
      <c r="V21" s="171" t="e">
        <f t="shared" si="7"/>
        <v>#DIV/0!</v>
      </c>
      <c r="W21" s="171" t="e">
        <f t="shared" si="7"/>
        <v>#DIV/0!</v>
      </c>
      <c r="X21" s="171" t="e">
        <f t="shared" si="7"/>
        <v>#DIV/0!</v>
      </c>
      <c r="Y21" s="171" t="e">
        <f t="shared" si="7"/>
        <v>#DIV/0!</v>
      </c>
      <c r="Z21" s="171" t="e">
        <f t="shared" si="7"/>
        <v>#DIV/0!</v>
      </c>
    </row>
    <row r="22" spans="1:26" x14ac:dyDescent="0.3"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  <row r="23" spans="1:26" x14ac:dyDescent="0.3">
      <c r="G23" s="164"/>
      <c r="H23" s="164"/>
      <c r="I23" s="242"/>
      <c r="J23" s="242"/>
      <c r="L23" s="242"/>
    </row>
    <row r="24" spans="1:26" ht="15.6" customHeight="1" x14ac:dyDescent="0.3">
      <c r="A24" s="158" t="s">
        <v>420</v>
      </c>
      <c r="G24" s="242"/>
      <c r="H24" s="242"/>
      <c r="I24" s="242"/>
      <c r="J24" s="242"/>
      <c r="K24" s="242"/>
    </row>
    <row r="25" spans="1:26" x14ac:dyDescent="0.3">
      <c r="B25" s="159" t="s">
        <v>59</v>
      </c>
      <c r="C25" s="159" t="s">
        <v>60</v>
      </c>
      <c r="D25" s="159" t="s">
        <v>61</v>
      </c>
      <c r="E25" s="159" t="s">
        <v>62</v>
      </c>
      <c r="F25" s="159" t="s">
        <v>63</v>
      </c>
      <c r="G25" s="159" t="s">
        <v>64</v>
      </c>
      <c r="H25" s="159" t="s">
        <v>65</v>
      </c>
      <c r="I25" s="159" t="s">
        <v>66</v>
      </c>
      <c r="J25" s="159" t="s">
        <v>67</v>
      </c>
      <c r="K25" s="159" t="s">
        <v>68</v>
      </c>
      <c r="L25" s="159" t="s">
        <v>69</v>
      </c>
      <c r="M25" s="159" t="s">
        <v>70</v>
      </c>
      <c r="O25" s="159" t="s">
        <v>59</v>
      </c>
      <c r="P25" s="159" t="s">
        <v>60</v>
      </c>
      <c r="Q25" s="159" t="s">
        <v>61</v>
      </c>
      <c r="R25" s="159" t="s">
        <v>62</v>
      </c>
      <c r="S25" s="159" t="s">
        <v>63</v>
      </c>
      <c r="T25" s="159" t="s">
        <v>64</v>
      </c>
      <c r="U25" s="159" t="s">
        <v>65</v>
      </c>
      <c r="V25" s="159" t="s">
        <v>66</v>
      </c>
      <c r="W25" s="159" t="s">
        <v>67</v>
      </c>
      <c r="X25" s="159" t="s">
        <v>68</v>
      </c>
      <c r="Y25" s="159" t="s">
        <v>69</v>
      </c>
      <c r="Z25" s="159" t="s">
        <v>70</v>
      </c>
    </row>
    <row r="26" spans="1:26" x14ac:dyDescent="0.3">
      <c r="A26" s="160" t="s">
        <v>414</v>
      </c>
      <c r="B26" s="161"/>
      <c r="C26" s="161"/>
      <c r="D26" s="161"/>
      <c r="J26" s="161"/>
      <c r="K26" s="161"/>
      <c r="L26" s="161"/>
      <c r="M26" s="161"/>
    </row>
    <row r="27" spans="1:26" x14ac:dyDescent="0.3">
      <c r="A27" s="162" t="s">
        <v>415</v>
      </c>
      <c r="B27" s="163">
        <v>12807655</v>
      </c>
      <c r="C27" s="163">
        <v>12384546</v>
      </c>
      <c r="D27" s="163">
        <v>13216961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4"/>
      <c r="O27" s="165">
        <f t="shared" ref="O27:Z30" si="9">B27/B39</f>
        <v>0.80952221733147289</v>
      </c>
      <c r="P27" s="165">
        <f t="shared" si="9"/>
        <v>0.82669120286210518</v>
      </c>
      <c r="Q27" s="165">
        <f t="shared" si="9"/>
        <v>0.83183245987625376</v>
      </c>
      <c r="R27" s="165" t="e">
        <f t="shared" si="9"/>
        <v>#DIV/0!</v>
      </c>
      <c r="S27" s="165" t="e">
        <f t="shared" si="9"/>
        <v>#DIV/0!</v>
      </c>
      <c r="T27" s="165" t="e">
        <f t="shared" si="9"/>
        <v>#DIV/0!</v>
      </c>
      <c r="U27" s="165" t="e">
        <f t="shared" si="9"/>
        <v>#DIV/0!</v>
      </c>
      <c r="V27" s="165" t="e">
        <f t="shared" si="9"/>
        <v>#DIV/0!</v>
      </c>
      <c r="W27" s="165" t="e">
        <f t="shared" si="9"/>
        <v>#DIV/0!</v>
      </c>
      <c r="X27" s="165" t="e">
        <f t="shared" si="9"/>
        <v>#DIV/0!</v>
      </c>
      <c r="Y27" s="165" t="e">
        <f t="shared" si="9"/>
        <v>#DIV/0!</v>
      </c>
      <c r="Z27" s="165" t="e">
        <f t="shared" si="9"/>
        <v>#DIV/0!</v>
      </c>
    </row>
    <row r="28" spans="1:26" x14ac:dyDescent="0.3">
      <c r="A28" s="166" t="s">
        <v>416</v>
      </c>
      <c r="B28" s="167">
        <v>46471141</v>
      </c>
      <c r="C28" s="167">
        <v>44042821</v>
      </c>
      <c r="D28" s="167">
        <v>45622014</v>
      </c>
      <c r="E28" s="167"/>
      <c r="F28" s="167"/>
      <c r="G28" s="167"/>
      <c r="H28" s="167"/>
      <c r="I28" s="167"/>
      <c r="J28" s="167"/>
      <c r="K28" s="167"/>
      <c r="L28" s="167"/>
      <c r="M28" s="167"/>
      <c r="N28" s="164"/>
      <c r="O28" s="165">
        <f t="shared" si="9"/>
        <v>0.7707738649953475</v>
      </c>
      <c r="P28" s="165">
        <f t="shared" si="9"/>
        <v>0.76185199893596645</v>
      </c>
      <c r="Q28" s="165">
        <f t="shared" si="9"/>
        <v>0.76169682265235106</v>
      </c>
      <c r="R28" s="165" t="e">
        <f t="shared" si="9"/>
        <v>#DIV/0!</v>
      </c>
      <c r="S28" s="165" t="e">
        <f t="shared" si="9"/>
        <v>#DIV/0!</v>
      </c>
      <c r="T28" s="165" t="e">
        <f t="shared" si="9"/>
        <v>#DIV/0!</v>
      </c>
      <c r="U28" s="165" t="e">
        <f t="shared" si="9"/>
        <v>#DIV/0!</v>
      </c>
      <c r="V28" s="165" t="e">
        <f t="shared" si="9"/>
        <v>#DIV/0!</v>
      </c>
      <c r="W28" s="165" t="e">
        <f t="shared" si="9"/>
        <v>#DIV/0!</v>
      </c>
      <c r="X28" s="165" t="e">
        <f t="shared" si="9"/>
        <v>#DIV/0!</v>
      </c>
      <c r="Y28" s="165" t="e">
        <f t="shared" si="9"/>
        <v>#DIV/0!</v>
      </c>
      <c r="Z28" s="165" t="e">
        <f t="shared" si="9"/>
        <v>#DIV/0!</v>
      </c>
    </row>
    <row r="29" spans="1:26" x14ac:dyDescent="0.3">
      <c r="A29" s="168" t="s">
        <v>417</v>
      </c>
      <c r="B29" s="169">
        <v>1282601</v>
      </c>
      <c r="C29" s="169">
        <v>1103389</v>
      </c>
      <c r="D29" s="169">
        <v>1146488</v>
      </c>
      <c r="E29" s="169"/>
      <c r="F29" s="169"/>
      <c r="G29" s="169"/>
      <c r="H29" s="169"/>
      <c r="I29" s="169"/>
      <c r="J29" s="169"/>
      <c r="K29" s="169"/>
      <c r="L29" s="169"/>
      <c r="M29" s="169"/>
      <c r="N29" s="164"/>
      <c r="O29" s="165">
        <f t="shared" si="9"/>
        <v>0.94815392519599184</v>
      </c>
      <c r="P29" s="165">
        <f t="shared" si="9"/>
        <v>0.946494316173771</v>
      </c>
      <c r="Q29" s="165">
        <f t="shared" si="9"/>
        <v>0.93804885432476548</v>
      </c>
      <c r="R29" s="165" t="e">
        <f t="shared" si="9"/>
        <v>#DIV/0!</v>
      </c>
      <c r="S29" s="165" t="e">
        <f t="shared" si="9"/>
        <v>#DIV/0!</v>
      </c>
      <c r="T29" s="165" t="e">
        <f t="shared" si="9"/>
        <v>#DIV/0!</v>
      </c>
      <c r="U29" s="165" t="e">
        <f t="shared" si="9"/>
        <v>#DIV/0!</v>
      </c>
      <c r="V29" s="165" t="e">
        <f t="shared" si="9"/>
        <v>#DIV/0!</v>
      </c>
      <c r="W29" s="165" t="e">
        <f t="shared" si="9"/>
        <v>#DIV/0!</v>
      </c>
      <c r="X29" s="165" t="e">
        <f t="shared" si="9"/>
        <v>#DIV/0!</v>
      </c>
      <c r="Y29" s="165" t="e">
        <f t="shared" si="9"/>
        <v>#DIV/0!</v>
      </c>
      <c r="Z29" s="165" t="e">
        <f t="shared" si="9"/>
        <v>#DIV/0!</v>
      </c>
    </row>
    <row r="30" spans="1:26" x14ac:dyDescent="0.3">
      <c r="B30" s="170">
        <f t="shared" ref="B30:D30" si="10">SUM(B27:B29)</f>
        <v>60561397</v>
      </c>
      <c r="C30" s="170">
        <f t="shared" si="10"/>
        <v>57530756</v>
      </c>
      <c r="D30" s="170">
        <f t="shared" si="10"/>
        <v>59985463</v>
      </c>
      <c r="E30" s="170">
        <f t="shared" ref="E30:M30" si="11">SUM(E27:E29)</f>
        <v>0</v>
      </c>
      <c r="F30" s="170">
        <f t="shared" si="11"/>
        <v>0</v>
      </c>
      <c r="G30" s="170">
        <f t="shared" si="11"/>
        <v>0</v>
      </c>
      <c r="H30" s="170">
        <f t="shared" si="11"/>
        <v>0</v>
      </c>
      <c r="I30" s="170">
        <f t="shared" si="11"/>
        <v>0</v>
      </c>
      <c r="J30" s="170">
        <f t="shared" si="11"/>
        <v>0</v>
      </c>
      <c r="K30" s="170">
        <f t="shared" si="11"/>
        <v>0</v>
      </c>
      <c r="L30" s="170">
        <f t="shared" si="11"/>
        <v>0</v>
      </c>
      <c r="M30" s="170">
        <f t="shared" si="11"/>
        <v>0</v>
      </c>
      <c r="N30" s="164"/>
      <c r="O30" s="165">
        <f t="shared" si="9"/>
        <v>0.7817851590341014</v>
      </c>
      <c r="P30" s="165">
        <f t="shared" si="9"/>
        <v>0.77789644610380881</v>
      </c>
      <c r="Q30" s="165">
        <f t="shared" si="9"/>
        <v>0.77896708994958408</v>
      </c>
      <c r="R30" s="165" t="e">
        <f t="shared" si="9"/>
        <v>#DIV/0!</v>
      </c>
      <c r="S30" s="165" t="e">
        <f t="shared" si="9"/>
        <v>#DIV/0!</v>
      </c>
      <c r="T30" s="165" t="e">
        <f t="shared" si="9"/>
        <v>#DIV/0!</v>
      </c>
      <c r="U30" s="165" t="e">
        <f t="shared" si="9"/>
        <v>#DIV/0!</v>
      </c>
      <c r="V30" s="165" t="e">
        <f t="shared" si="9"/>
        <v>#DIV/0!</v>
      </c>
      <c r="W30" s="165" t="e">
        <f t="shared" si="9"/>
        <v>#DIV/0!</v>
      </c>
      <c r="X30" s="165" t="e">
        <f t="shared" si="9"/>
        <v>#DIV/0!</v>
      </c>
      <c r="Y30" s="165" t="e">
        <f t="shared" si="9"/>
        <v>#DIV/0!</v>
      </c>
      <c r="Z30" s="165" t="e">
        <f t="shared" si="9"/>
        <v>#DIV/0!</v>
      </c>
    </row>
    <row r="31" spans="1:26" x14ac:dyDescent="0.3"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</row>
    <row r="32" spans="1:26" x14ac:dyDescent="0.3">
      <c r="A32" s="160" t="s">
        <v>418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</row>
    <row r="33" spans="1:30" x14ac:dyDescent="0.3">
      <c r="A33" s="162" t="s">
        <v>415</v>
      </c>
      <c r="B33" s="163">
        <v>3013597</v>
      </c>
      <c r="C33" s="163">
        <v>2596315</v>
      </c>
      <c r="D33" s="163">
        <v>2672009</v>
      </c>
      <c r="E33" s="163"/>
      <c r="F33" s="163"/>
      <c r="G33" s="163"/>
      <c r="H33" s="163"/>
      <c r="I33" s="163"/>
      <c r="J33" s="163"/>
      <c r="K33" s="163"/>
      <c r="L33" s="163"/>
      <c r="M33" s="163"/>
      <c r="N33" s="164"/>
      <c r="O33" s="165">
        <f t="shared" ref="O33:Z36" si="12">B33/B39</f>
        <v>0.19047778266852711</v>
      </c>
      <c r="P33" s="165">
        <f t="shared" si="12"/>
        <v>0.17330879713789482</v>
      </c>
      <c r="Q33" s="165">
        <f t="shared" si="12"/>
        <v>0.16816754012374621</v>
      </c>
      <c r="R33" s="165" t="e">
        <f t="shared" si="12"/>
        <v>#DIV/0!</v>
      </c>
      <c r="S33" s="165" t="e">
        <f t="shared" si="12"/>
        <v>#DIV/0!</v>
      </c>
      <c r="T33" s="165" t="e">
        <f t="shared" si="12"/>
        <v>#DIV/0!</v>
      </c>
      <c r="U33" s="165" t="e">
        <f t="shared" si="12"/>
        <v>#DIV/0!</v>
      </c>
      <c r="V33" s="165" t="e">
        <f t="shared" si="12"/>
        <v>#DIV/0!</v>
      </c>
      <c r="W33" s="165" t="e">
        <f t="shared" si="12"/>
        <v>#DIV/0!</v>
      </c>
      <c r="X33" s="165" t="e">
        <f t="shared" si="12"/>
        <v>#DIV/0!</v>
      </c>
      <c r="Y33" s="165" t="e">
        <f t="shared" si="12"/>
        <v>#DIV/0!</v>
      </c>
      <c r="Z33" s="165" t="e">
        <f t="shared" si="12"/>
        <v>#DIV/0!</v>
      </c>
    </row>
    <row r="34" spans="1:30" x14ac:dyDescent="0.3">
      <c r="A34" s="166" t="s">
        <v>416</v>
      </c>
      <c r="B34" s="167">
        <v>13820396</v>
      </c>
      <c r="C34" s="167">
        <v>13767385</v>
      </c>
      <c r="D34" s="167">
        <v>14273226</v>
      </c>
      <c r="E34" s="167"/>
      <c r="F34" s="167"/>
      <c r="G34" s="167"/>
      <c r="H34" s="167"/>
      <c r="I34" s="167"/>
      <c r="J34" s="167"/>
      <c r="K34" s="167"/>
      <c r="L34" s="167"/>
      <c r="M34" s="167"/>
      <c r="N34" s="164"/>
      <c r="O34" s="165">
        <f t="shared" si="12"/>
        <v>0.22922613500465247</v>
      </c>
      <c r="P34" s="165">
        <f t="shared" si="12"/>
        <v>0.23814800106403358</v>
      </c>
      <c r="Q34" s="165">
        <f t="shared" si="12"/>
        <v>0.238303177347649</v>
      </c>
      <c r="R34" s="165" t="e">
        <f t="shared" si="12"/>
        <v>#DIV/0!</v>
      </c>
      <c r="S34" s="165" t="e">
        <f t="shared" si="12"/>
        <v>#DIV/0!</v>
      </c>
      <c r="T34" s="165" t="e">
        <f t="shared" si="12"/>
        <v>#DIV/0!</v>
      </c>
      <c r="U34" s="165" t="e">
        <f t="shared" si="12"/>
        <v>#DIV/0!</v>
      </c>
      <c r="V34" s="165" t="e">
        <f t="shared" si="12"/>
        <v>#DIV/0!</v>
      </c>
      <c r="W34" s="165" t="e">
        <f t="shared" si="12"/>
        <v>#DIV/0!</v>
      </c>
      <c r="X34" s="165" t="e">
        <f t="shared" si="12"/>
        <v>#DIV/0!</v>
      </c>
      <c r="Y34" s="165" t="e">
        <f t="shared" si="12"/>
        <v>#DIV/0!</v>
      </c>
      <c r="Z34" s="165" t="e">
        <f t="shared" si="12"/>
        <v>#DIV/0!</v>
      </c>
      <c r="AD34" s="164"/>
    </row>
    <row r="35" spans="1:30" x14ac:dyDescent="0.3">
      <c r="A35" s="168" t="s">
        <v>417</v>
      </c>
      <c r="B35" s="169">
        <v>70134</v>
      </c>
      <c r="C35" s="169">
        <v>62375</v>
      </c>
      <c r="D35" s="169">
        <v>75717</v>
      </c>
      <c r="E35" s="169"/>
      <c r="F35" s="169"/>
      <c r="G35" s="169"/>
      <c r="H35" s="169"/>
      <c r="I35" s="169"/>
      <c r="J35" s="169"/>
      <c r="K35" s="169"/>
      <c r="L35" s="169"/>
      <c r="M35" s="169"/>
      <c r="N35" s="164"/>
      <c r="O35" s="165">
        <f t="shared" si="12"/>
        <v>5.1846074804008178E-2</v>
      </c>
      <c r="P35" s="165">
        <f t="shared" si="12"/>
        <v>5.3505683826228979E-2</v>
      </c>
      <c r="Q35" s="165">
        <f t="shared" si="12"/>
        <v>6.1951145675234513E-2</v>
      </c>
      <c r="R35" s="165" t="e">
        <f t="shared" si="12"/>
        <v>#DIV/0!</v>
      </c>
      <c r="S35" s="165" t="e">
        <f t="shared" si="12"/>
        <v>#DIV/0!</v>
      </c>
      <c r="T35" s="165" t="e">
        <f t="shared" si="12"/>
        <v>#DIV/0!</v>
      </c>
      <c r="U35" s="165" t="e">
        <f t="shared" si="12"/>
        <v>#DIV/0!</v>
      </c>
      <c r="V35" s="165" t="e">
        <f t="shared" si="12"/>
        <v>#DIV/0!</v>
      </c>
      <c r="W35" s="165" t="e">
        <f t="shared" si="12"/>
        <v>#DIV/0!</v>
      </c>
      <c r="X35" s="165" t="e">
        <f t="shared" si="12"/>
        <v>#DIV/0!</v>
      </c>
      <c r="Y35" s="165" t="e">
        <f t="shared" si="12"/>
        <v>#DIV/0!</v>
      </c>
      <c r="Z35" s="165" t="e">
        <f t="shared" si="12"/>
        <v>#DIV/0!</v>
      </c>
    </row>
    <row r="36" spans="1:30" x14ac:dyDescent="0.3">
      <c r="B36" s="170">
        <f t="shared" ref="B36:D36" si="13">SUM(B33:B35)</f>
        <v>16904127</v>
      </c>
      <c r="C36" s="170">
        <f t="shared" si="13"/>
        <v>16426075</v>
      </c>
      <c r="D36" s="170">
        <f t="shared" si="13"/>
        <v>17020952</v>
      </c>
      <c r="E36" s="170">
        <f t="shared" ref="E36:M36" si="14">SUM(E33:E35)</f>
        <v>0</v>
      </c>
      <c r="F36" s="170">
        <f t="shared" si="14"/>
        <v>0</v>
      </c>
      <c r="G36" s="170">
        <f t="shared" si="14"/>
        <v>0</v>
      </c>
      <c r="H36" s="170">
        <f t="shared" si="14"/>
        <v>0</v>
      </c>
      <c r="I36" s="170">
        <f t="shared" si="14"/>
        <v>0</v>
      </c>
      <c r="J36" s="170">
        <f t="shared" si="14"/>
        <v>0</v>
      </c>
      <c r="K36" s="170">
        <f t="shared" si="14"/>
        <v>0</v>
      </c>
      <c r="L36" s="170">
        <f t="shared" si="14"/>
        <v>0</v>
      </c>
      <c r="M36" s="170">
        <f t="shared" si="14"/>
        <v>0</v>
      </c>
      <c r="N36" s="164"/>
      <c r="O36" s="165">
        <f t="shared" si="12"/>
        <v>0.21821484096589858</v>
      </c>
      <c r="P36" s="165">
        <f t="shared" si="12"/>
        <v>0.22210355389619113</v>
      </c>
      <c r="Q36" s="165">
        <f t="shared" si="12"/>
        <v>0.22103291005041592</v>
      </c>
      <c r="R36" s="165" t="e">
        <f t="shared" si="12"/>
        <v>#DIV/0!</v>
      </c>
      <c r="S36" s="165" t="e">
        <f t="shared" si="12"/>
        <v>#DIV/0!</v>
      </c>
      <c r="T36" s="165" t="e">
        <f t="shared" si="12"/>
        <v>#DIV/0!</v>
      </c>
      <c r="U36" s="165" t="e">
        <f t="shared" si="12"/>
        <v>#DIV/0!</v>
      </c>
      <c r="V36" s="165" t="e">
        <f t="shared" si="12"/>
        <v>#DIV/0!</v>
      </c>
      <c r="W36" s="165" t="e">
        <f t="shared" si="12"/>
        <v>#DIV/0!</v>
      </c>
      <c r="X36" s="165" t="e">
        <f t="shared" si="12"/>
        <v>#DIV/0!</v>
      </c>
      <c r="Y36" s="165" t="e">
        <f t="shared" si="12"/>
        <v>#DIV/0!</v>
      </c>
      <c r="Z36" s="165" t="e">
        <f t="shared" si="12"/>
        <v>#DIV/0!</v>
      </c>
    </row>
    <row r="37" spans="1:30" x14ac:dyDescent="0.3"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</row>
    <row r="38" spans="1:30" x14ac:dyDescent="0.3">
      <c r="A38" s="160" t="s">
        <v>419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</row>
    <row r="39" spans="1:30" x14ac:dyDescent="0.3">
      <c r="A39" s="162" t="s">
        <v>415</v>
      </c>
      <c r="B39" s="163">
        <f>B27+B33</f>
        <v>15821252</v>
      </c>
      <c r="C39" s="163">
        <f t="shared" ref="C39:M42" si="15">C27+C33</f>
        <v>14980861</v>
      </c>
      <c r="D39" s="163">
        <f t="shared" si="15"/>
        <v>15888970</v>
      </c>
      <c r="E39" s="163">
        <f t="shared" si="15"/>
        <v>0</v>
      </c>
      <c r="F39" s="163">
        <f t="shared" si="15"/>
        <v>0</v>
      </c>
      <c r="G39" s="163">
        <f t="shared" si="15"/>
        <v>0</v>
      </c>
      <c r="H39" s="163">
        <f t="shared" si="15"/>
        <v>0</v>
      </c>
      <c r="I39" s="163">
        <f t="shared" si="15"/>
        <v>0</v>
      </c>
      <c r="J39" s="163">
        <f t="shared" si="15"/>
        <v>0</v>
      </c>
      <c r="K39" s="163">
        <f t="shared" si="15"/>
        <v>0</v>
      </c>
      <c r="L39" s="163">
        <f t="shared" si="15"/>
        <v>0</v>
      </c>
      <c r="M39" s="163">
        <f t="shared" si="15"/>
        <v>0</v>
      </c>
      <c r="N39" s="164"/>
      <c r="O39" s="171">
        <f t="shared" ref="O39:Z42" si="16">O27+O33</f>
        <v>1</v>
      </c>
      <c r="P39" s="171">
        <f t="shared" si="16"/>
        <v>1</v>
      </c>
      <c r="Q39" s="171">
        <f t="shared" si="16"/>
        <v>1</v>
      </c>
      <c r="R39" s="171" t="e">
        <f t="shared" si="16"/>
        <v>#DIV/0!</v>
      </c>
      <c r="S39" s="171" t="e">
        <f t="shared" si="16"/>
        <v>#DIV/0!</v>
      </c>
      <c r="T39" s="171" t="e">
        <f t="shared" si="16"/>
        <v>#DIV/0!</v>
      </c>
      <c r="U39" s="171" t="e">
        <f t="shared" si="16"/>
        <v>#DIV/0!</v>
      </c>
      <c r="V39" s="171" t="e">
        <f t="shared" si="16"/>
        <v>#DIV/0!</v>
      </c>
      <c r="W39" s="171" t="e">
        <f t="shared" si="16"/>
        <v>#DIV/0!</v>
      </c>
      <c r="X39" s="171" t="e">
        <f t="shared" si="16"/>
        <v>#DIV/0!</v>
      </c>
      <c r="Y39" s="171" t="e">
        <f t="shared" si="16"/>
        <v>#DIV/0!</v>
      </c>
      <c r="Z39" s="171" t="e">
        <f t="shared" si="16"/>
        <v>#DIV/0!</v>
      </c>
    </row>
    <row r="40" spans="1:30" x14ac:dyDescent="0.3">
      <c r="A40" s="166" t="s">
        <v>416</v>
      </c>
      <c r="B40" s="167">
        <f t="shared" ref="B40:B42" si="17">B28+B34</f>
        <v>60291537</v>
      </c>
      <c r="C40" s="167">
        <f t="shared" si="15"/>
        <v>57810206</v>
      </c>
      <c r="D40" s="167">
        <f t="shared" si="15"/>
        <v>59895240</v>
      </c>
      <c r="E40" s="167">
        <f t="shared" si="15"/>
        <v>0</v>
      </c>
      <c r="F40" s="167">
        <f t="shared" si="15"/>
        <v>0</v>
      </c>
      <c r="G40" s="167">
        <f t="shared" si="15"/>
        <v>0</v>
      </c>
      <c r="H40" s="167">
        <f t="shared" si="15"/>
        <v>0</v>
      </c>
      <c r="I40" s="167">
        <f t="shared" si="15"/>
        <v>0</v>
      </c>
      <c r="J40" s="167">
        <f t="shared" si="15"/>
        <v>0</v>
      </c>
      <c r="K40" s="167">
        <f t="shared" si="15"/>
        <v>0</v>
      </c>
      <c r="L40" s="167">
        <f t="shared" si="15"/>
        <v>0</v>
      </c>
      <c r="M40" s="167">
        <f t="shared" si="15"/>
        <v>0</v>
      </c>
      <c r="N40" s="164"/>
      <c r="O40" s="171">
        <f t="shared" si="16"/>
        <v>1</v>
      </c>
      <c r="P40" s="171">
        <f t="shared" si="16"/>
        <v>1</v>
      </c>
      <c r="Q40" s="171">
        <f t="shared" si="16"/>
        <v>1</v>
      </c>
      <c r="R40" s="171" t="e">
        <f t="shared" si="16"/>
        <v>#DIV/0!</v>
      </c>
      <c r="S40" s="171" t="e">
        <f t="shared" si="16"/>
        <v>#DIV/0!</v>
      </c>
      <c r="T40" s="171" t="e">
        <f t="shared" si="16"/>
        <v>#DIV/0!</v>
      </c>
      <c r="U40" s="171" t="e">
        <f t="shared" si="16"/>
        <v>#DIV/0!</v>
      </c>
      <c r="V40" s="171" t="e">
        <f t="shared" si="16"/>
        <v>#DIV/0!</v>
      </c>
      <c r="W40" s="171" t="e">
        <f t="shared" si="16"/>
        <v>#DIV/0!</v>
      </c>
      <c r="X40" s="171" t="e">
        <f t="shared" si="16"/>
        <v>#DIV/0!</v>
      </c>
      <c r="Y40" s="171" t="e">
        <f t="shared" si="16"/>
        <v>#DIV/0!</v>
      </c>
      <c r="Z40" s="171" t="e">
        <f t="shared" si="16"/>
        <v>#DIV/0!</v>
      </c>
    </row>
    <row r="41" spans="1:30" x14ac:dyDescent="0.3">
      <c r="A41" s="168" t="s">
        <v>417</v>
      </c>
      <c r="B41" s="169">
        <f t="shared" si="17"/>
        <v>1352735</v>
      </c>
      <c r="C41" s="169">
        <f t="shared" si="15"/>
        <v>1165764</v>
      </c>
      <c r="D41" s="169">
        <f t="shared" si="15"/>
        <v>1222205</v>
      </c>
      <c r="E41" s="169">
        <f t="shared" si="15"/>
        <v>0</v>
      </c>
      <c r="F41" s="169">
        <f t="shared" si="15"/>
        <v>0</v>
      </c>
      <c r="G41" s="169">
        <f t="shared" si="15"/>
        <v>0</v>
      </c>
      <c r="H41" s="169">
        <f t="shared" si="15"/>
        <v>0</v>
      </c>
      <c r="I41" s="169">
        <f t="shared" si="15"/>
        <v>0</v>
      </c>
      <c r="J41" s="169">
        <f t="shared" si="15"/>
        <v>0</v>
      </c>
      <c r="K41" s="169">
        <f t="shared" si="15"/>
        <v>0</v>
      </c>
      <c r="L41" s="169">
        <f t="shared" si="15"/>
        <v>0</v>
      </c>
      <c r="M41" s="169">
        <f t="shared" si="15"/>
        <v>0</v>
      </c>
      <c r="N41" s="164"/>
      <c r="O41" s="171">
        <f t="shared" si="16"/>
        <v>1</v>
      </c>
      <c r="P41" s="171">
        <f t="shared" si="16"/>
        <v>1</v>
      </c>
      <c r="Q41" s="171">
        <f t="shared" si="16"/>
        <v>1</v>
      </c>
      <c r="R41" s="171" t="e">
        <f t="shared" si="16"/>
        <v>#DIV/0!</v>
      </c>
      <c r="S41" s="171" t="e">
        <f t="shared" si="16"/>
        <v>#DIV/0!</v>
      </c>
      <c r="T41" s="171" t="e">
        <f t="shared" si="16"/>
        <v>#DIV/0!</v>
      </c>
      <c r="U41" s="171" t="e">
        <f t="shared" si="16"/>
        <v>#DIV/0!</v>
      </c>
      <c r="V41" s="171" t="e">
        <f t="shared" si="16"/>
        <v>#DIV/0!</v>
      </c>
      <c r="W41" s="171" t="e">
        <f t="shared" si="16"/>
        <v>#DIV/0!</v>
      </c>
      <c r="X41" s="171" t="e">
        <f t="shared" si="16"/>
        <v>#DIV/0!</v>
      </c>
      <c r="Y41" s="171" t="e">
        <f t="shared" si="16"/>
        <v>#DIV/0!</v>
      </c>
      <c r="Z41" s="171" t="e">
        <f t="shared" si="16"/>
        <v>#DIV/0!</v>
      </c>
    </row>
    <row r="42" spans="1:30" x14ac:dyDescent="0.3">
      <c r="B42" s="170">
        <f t="shared" si="17"/>
        <v>77465524</v>
      </c>
      <c r="C42" s="170">
        <f t="shared" si="15"/>
        <v>73956831</v>
      </c>
      <c r="D42" s="170">
        <f t="shared" si="15"/>
        <v>77006415</v>
      </c>
      <c r="E42" s="170">
        <f t="shared" si="15"/>
        <v>0</v>
      </c>
      <c r="F42" s="170">
        <f t="shared" si="15"/>
        <v>0</v>
      </c>
      <c r="G42" s="170">
        <f t="shared" si="15"/>
        <v>0</v>
      </c>
      <c r="H42" s="170">
        <f t="shared" si="15"/>
        <v>0</v>
      </c>
      <c r="I42" s="170">
        <f t="shared" si="15"/>
        <v>0</v>
      </c>
      <c r="J42" s="170">
        <f t="shared" si="15"/>
        <v>0</v>
      </c>
      <c r="K42" s="170">
        <f t="shared" si="15"/>
        <v>0</v>
      </c>
      <c r="L42" s="170">
        <f t="shared" si="15"/>
        <v>0</v>
      </c>
      <c r="M42" s="170">
        <f t="shared" si="15"/>
        <v>0</v>
      </c>
      <c r="N42" s="164"/>
      <c r="O42" s="171">
        <f t="shared" si="16"/>
        <v>1</v>
      </c>
      <c r="P42" s="171">
        <f t="shared" si="16"/>
        <v>1</v>
      </c>
      <c r="Q42" s="171">
        <f t="shared" si="16"/>
        <v>1</v>
      </c>
      <c r="R42" s="171" t="e">
        <f t="shared" si="16"/>
        <v>#DIV/0!</v>
      </c>
      <c r="S42" s="171" t="e">
        <f t="shared" si="16"/>
        <v>#DIV/0!</v>
      </c>
      <c r="T42" s="171" t="e">
        <f t="shared" si="16"/>
        <v>#DIV/0!</v>
      </c>
      <c r="U42" s="171" t="e">
        <f t="shared" si="16"/>
        <v>#DIV/0!</v>
      </c>
      <c r="V42" s="171" t="e">
        <f t="shared" si="16"/>
        <v>#DIV/0!</v>
      </c>
      <c r="W42" s="171" t="e">
        <f t="shared" si="16"/>
        <v>#DIV/0!</v>
      </c>
      <c r="X42" s="171" t="e">
        <f t="shared" si="16"/>
        <v>#DIV/0!</v>
      </c>
      <c r="Y42" s="171" t="e">
        <f t="shared" si="16"/>
        <v>#DIV/0!</v>
      </c>
      <c r="Z42" s="171" t="e">
        <f t="shared" si="16"/>
        <v>#DIV/0!</v>
      </c>
    </row>
    <row r="43" spans="1:30" x14ac:dyDescent="0.3"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</row>
    <row r="45" spans="1:30" ht="15.6" customHeight="1" x14ac:dyDescent="0.3">
      <c r="A45" s="158" t="s">
        <v>421</v>
      </c>
    </row>
    <row r="46" spans="1:30" x14ac:dyDescent="0.3">
      <c r="B46" s="159" t="s">
        <v>59</v>
      </c>
      <c r="C46" s="159" t="s">
        <v>60</v>
      </c>
      <c r="D46" s="159" t="s">
        <v>61</v>
      </c>
      <c r="E46" s="159" t="s">
        <v>62</v>
      </c>
      <c r="F46" s="159" t="s">
        <v>63</v>
      </c>
      <c r="G46" s="159" t="s">
        <v>64</v>
      </c>
      <c r="H46" s="159" t="s">
        <v>65</v>
      </c>
      <c r="I46" s="159" t="s">
        <v>66</v>
      </c>
      <c r="J46" s="159" t="s">
        <v>67</v>
      </c>
      <c r="K46" s="159" t="s">
        <v>68</v>
      </c>
      <c r="L46" s="159" t="s">
        <v>69</v>
      </c>
      <c r="M46" s="159" t="s">
        <v>70</v>
      </c>
      <c r="O46" s="159" t="s">
        <v>59</v>
      </c>
      <c r="P46" s="159" t="s">
        <v>60</v>
      </c>
      <c r="Q46" s="159" t="s">
        <v>61</v>
      </c>
      <c r="R46" s="159" t="s">
        <v>62</v>
      </c>
      <c r="S46" s="159" t="s">
        <v>63</v>
      </c>
      <c r="T46" s="159" t="s">
        <v>64</v>
      </c>
      <c r="U46" s="159" t="s">
        <v>65</v>
      </c>
      <c r="V46" s="159" t="s">
        <v>66</v>
      </c>
      <c r="W46" s="159" t="s">
        <v>67</v>
      </c>
      <c r="X46" s="159" t="s">
        <v>68</v>
      </c>
      <c r="Y46" s="159" t="s">
        <v>69</v>
      </c>
      <c r="Z46" s="159" t="s">
        <v>70</v>
      </c>
    </row>
    <row r="47" spans="1:30" x14ac:dyDescent="0.3">
      <c r="A47" s="160" t="s">
        <v>414</v>
      </c>
      <c r="B47" s="161"/>
      <c r="C47" s="161"/>
      <c r="D47" s="161"/>
      <c r="J47" s="161"/>
      <c r="K47" s="161"/>
      <c r="L47" s="161"/>
      <c r="M47" s="161"/>
    </row>
    <row r="48" spans="1:30" x14ac:dyDescent="0.3">
      <c r="A48" s="162" t="s">
        <v>415</v>
      </c>
      <c r="B48" s="163">
        <v>413715</v>
      </c>
      <c r="C48" s="163">
        <v>333744</v>
      </c>
      <c r="D48" s="163">
        <v>411823</v>
      </c>
      <c r="E48" s="163"/>
      <c r="F48" s="163"/>
      <c r="G48" s="163"/>
      <c r="H48" s="163"/>
      <c r="I48" s="163"/>
      <c r="J48" s="163"/>
      <c r="K48" s="163"/>
      <c r="L48" s="163"/>
      <c r="M48" s="163"/>
      <c r="N48" s="164"/>
      <c r="O48" s="165">
        <f t="shared" ref="O48:Z51" si="18">B48/B66</f>
        <v>0.88817018243646495</v>
      </c>
      <c r="P48" s="165">
        <f t="shared" si="18"/>
        <v>0.88437587776711946</v>
      </c>
      <c r="Q48" s="165">
        <f t="shared" si="18"/>
        <v>0.86454049446939119</v>
      </c>
      <c r="R48" s="165" t="e">
        <f t="shared" si="18"/>
        <v>#DIV/0!</v>
      </c>
      <c r="S48" s="165" t="e">
        <f t="shared" si="18"/>
        <v>#DIV/0!</v>
      </c>
      <c r="T48" s="165" t="e">
        <f t="shared" si="18"/>
        <v>#DIV/0!</v>
      </c>
      <c r="U48" s="165" t="e">
        <f t="shared" si="18"/>
        <v>#DIV/0!</v>
      </c>
      <c r="V48" s="165" t="e">
        <f t="shared" si="18"/>
        <v>#DIV/0!</v>
      </c>
      <c r="W48" s="165" t="e">
        <f t="shared" si="18"/>
        <v>#DIV/0!</v>
      </c>
      <c r="X48" s="165" t="e">
        <f t="shared" si="18"/>
        <v>#DIV/0!</v>
      </c>
      <c r="Y48" s="165" t="e">
        <f t="shared" si="18"/>
        <v>#DIV/0!</v>
      </c>
      <c r="Z48" s="165" t="e">
        <f t="shared" si="18"/>
        <v>#DIV/0!</v>
      </c>
    </row>
    <row r="49" spans="1:26" x14ac:dyDescent="0.3">
      <c r="A49" s="166" t="s">
        <v>416</v>
      </c>
      <c r="B49" s="167">
        <v>749435</v>
      </c>
      <c r="C49" s="167">
        <v>713853</v>
      </c>
      <c r="D49" s="167">
        <v>942897</v>
      </c>
      <c r="E49" s="167"/>
      <c r="F49" s="167"/>
      <c r="G49" s="167"/>
      <c r="H49" s="167"/>
      <c r="I49" s="167"/>
      <c r="J49" s="167"/>
      <c r="K49" s="167"/>
      <c r="L49" s="167"/>
      <c r="M49" s="167"/>
      <c r="N49" s="164"/>
      <c r="O49" s="165">
        <f t="shared" si="18"/>
        <v>0.96059488988410335</v>
      </c>
      <c r="P49" s="165">
        <f t="shared" si="18"/>
        <v>0.96436257232520028</v>
      </c>
      <c r="Q49" s="165">
        <f t="shared" si="18"/>
        <v>0.96952101663789314</v>
      </c>
      <c r="R49" s="165" t="e">
        <f t="shared" si="18"/>
        <v>#DIV/0!</v>
      </c>
      <c r="S49" s="165" t="e">
        <f t="shared" si="18"/>
        <v>#DIV/0!</v>
      </c>
      <c r="T49" s="165" t="e">
        <f t="shared" si="18"/>
        <v>#DIV/0!</v>
      </c>
      <c r="U49" s="165" t="e">
        <f t="shared" si="18"/>
        <v>#DIV/0!</v>
      </c>
      <c r="V49" s="165" t="e">
        <f t="shared" si="18"/>
        <v>#DIV/0!</v>
      </c>
      <c r="W49" s="165" t="e">
        <f t="shared" si="18"/>
        <v>#DIV/0!</v>
      </c>
      <c r="X49" s="165" t="e">
        <f t="shared" si="18"/>
        <v>#DIV/0!</v>
      </c>
      <c r="Y49" s="165" t="e">
        <f t="shared" si="18"/>
        <v>#DIV/0!</v>
      </c>
      <c r="Z49" s="165" t="e">
        <f t="shared" si="18"/>
        <v>#DIV/0!</v>
      </c>
    </row>
    <row r="50" spans="1:26" x14ac:dyDescent="0.3">
      <c r="A50" s="168" t="s">
        <v>417</v>
      </c>
      <c r="B50" s="169">
        <v>27624</v>
      </c>
      <c r="C50" s="169">
        <v>21047</v>
      </c>
      <c r="D50" s="169">
        <v>24432</v>
      </c>
      <c r="E50" s="169"/>
      <c r="F50" s="169"/>
      <c r="G50" s="169"/>
      <c r="H50" s="169"/>
      <c r="I50" s="169"/>
      <c r="J50" s="169"/>
      <c r="K50" s="169"/>
      <c r="L50" s="169"/>
      <c r="M50" s="169"/>
      <c r="N50" s="164"/>
      <c r="O50" s="165">
        <f t="shared" si="18"/>
        <v>0.91168316831683172</v>
      </c>
      <c r="P50" s="165">
        <f t="shared" si="18"/>
        <v>0.90672927795967606</v>
      </c>
      <c r="Q50" s="165">
        <f t="shared" si="18"/>
        <v>0.91981025525186355</v>
      </c>
      <c r="R50" s="165" t="e">
        <f t="shared" si="18"/>
        <v>#DIV/0!</v>
      </c>
      <c r="S50" s="165" t="e">
        <f t="shared" si="18"/>
        <v>#DIV/0!</v>
      </c>
      <c r="T50" s="165" t="e">
        <f t="shared" si="18"/>
        <v>#DIV/0!</v>
      </c>
      <c r="U50" s="165" t="e">
        <f t="shared" si="18"/>
        <v>#DIV/0!</v>
      </c>
      <c r="V50" s="165" t="e">
        <f t="shared" si="18"/>
        <v>#DIV/0!</v>
      </c>
      <c r="W50" s="165" t="e">
        <f t="shared" si="18"/>
        <v>#DIV/0!</v>
      </c>
      <c r="X50" s="165" t="e">
        <f t="shared" si="18"/>
        <v>#DIV/0!</v>
      </c>
      <c r="Y50" s="165" t="e">
        <f t="shared" si="18"/>
        <v>#DIV/0!</v>
      </c>
      <c r="Z50" s="165" t="e">
        <f t="shared" si="18"/>
        <v>#DIV/0!</v>
      </c>
    </row>
    <row r="51" spans="1:26" x14ac:dyDescent="0.3">
      <c r="B51" s="170">
        <f t="shared" ref="B51:D51" si="19">SUM(B48:B50)</f>
        <v>1190774</v>
      </c>
      <c r="C51" s="170">
        <f t="shared" si="19"/>
        <v>1068644</v>
      </c>
      <c r="D51" s="170">
        <f t="shared" si="19"/>
        <v>1379152</v>
      </c>
      <c r="E51" s="170">
        <f t="shared" ref="E51:M51" si="20">SUM(E48:E50)</f>
        <v>0</v>
      </c>
      <c r="F51" s="170">
        <f t="shared" si="20"/>
        <v>0</v>
      </c>
      <c r="G51" s="170">
        <f t="shared" si="20"/>
        <v>0</v>
      </c>
      <c r="H51" s="170">
        <f t="shared" si="20"/>
        <v>0</v>
      </c>
      <c r="I51" s="170">
        <f t="shared" si="20"/>
        <v>0</v>
      </c>
      <c r="J51" s="170">
        <f t="shared" si="20"/>
        <v>0</v>
      </c>
      <c r="K51" s="170">
        <f t="shared" si="20"/>
        <v>0</v>
      </c>
      <c r="L51" s="170">
        <f t="shared" si="20"/>
        <v>0</v>
      </c>
      <c r="M51" s="170">
        <f t="shared" si="20"/>
        <v>0</v>
      </c>
      <c r="N51" s="164"/>
      <c r="O51" s="165">
        <f t="shared" si="18"/>
        <v>0.93300080546336084</v>
      </c>
      <c r="P51" s="165">
        <f t="shared" si="18"/>
        <v>0.93673076366798358</v>
      </c>
      <c r="Q51" s="165">
        <f t="shared" si="18"/>
        <v>0.93473313226473276</v>
      </c>
      <c r="R51" s="165" t="e">
        <f t="shared" si="18"/>
        <v>#DIV/0!</v>
      </c>
      <c r="S51" s="165" t="e">
        <f t="shared" si="18"/>
        <v>#DIV/0!</v>
      </c>
      <c r="T51" s="165" t="e">
        <f t="shared" si="18"/>
        <v>#DIV/0!</v>
      </c>
      <c r="U51" s="165" t="e">
        <f t="shared" si="18"/>
        <v>#DIV/0!</v>
      </c>
      <c r="V51" s="165" t="e">
        <f t="shared" si="18"/>
        <v>#DIV/0!</v>
      </c>
      <c r="W51" s="165" t="e">
        <f t="shared" si="18"/>
        <v>#DIV/0!</v>
      </c>
      <c r="X51" s="165" t="e">
        <f t="shared" si="18"/>
        <v>#DIV/0!</v>
      </c>
      <c r="Y51" s="165" t="e">
        <f t="shared" si="18"/>
        <v>#DIV/0!</v>
      </c>
      <c r="Z51" s="165" t="e">
        <f t="shared" si="18"/>
        <v>#DIV/0!</v>
      </c>
    </row>
    <row r="52" spans="1:26" x14ac:dyDescent="0.3"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</row>
    <row r="53" spans="1:26" x14ac:dyDescent="0.3">
      <c r="A53" s="160" t="s">
        <v>422</v>
      </c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</row>
    <row r="54" spans="1:26" x14ac:dyDescent="0.3">
      <c r="A54" s="162" t="s">
        <v>415</v>
      </c>
      <c r="B54" s="163">
        <v>9628</v>
      </c>
      <c r="C54" s="163">
        <v>9702</v>
      </c>
      <c r="D54" s="163">
        <v>9840</v>
      </c>
      <c r="E54" s="163"/>
      <c r="F54" s="163"/>
      <c r="G54" s="163"/>
      <c r="H54" s="163"/>
      <c r="I54" s="163"/>
      <c r="J54" s="163"/>
      <c r="K54" s="163"/>
      <c r="L54" s="163"/>
      <c r="M54" s="163"/>
      <c r="N54" s="164"/>
      <c r="O54" s="165">
        <f t="shared" ref="O54:Z57" si="21">B54/B66</f>
        <v>2.0669549125601646E-2</v>
      </c>
      <c r="P54" s="165">
        <f t="shared" si="21"/>
        <v>2.5708970846207251E-2</v>
      </c>
      <c r="Q54" s="165">
        <f t="shared" si="21"/>
        <v>2.0657123243672183E-2</v>
      </c>
      <c r="R54" s="165" t="e">
        <f t="shared" si="21"/>
        <v>#DIV/0!</v>
      </c>
      <c r="S54" s="165" t="e">
        <f t="shared" si="21"/>
        <v>#DIV/0!</v>
      </c>
      <c r="T54" s="165" t="e">
        <f t="shared" si="21"/>
        <v>#DIV/0!</v>
      </c>
      <c r="U54" s="165" t="e">
        <f t="shared" si="21"/>
        <v>#DIV/0!</v>
      </c>
      <c r="V54" s="165" t="e">
        <f t="shared" si="21"/>
        <v>#DIV/0!</v>
      </c>
      <c r="W54" s="165" t="e">
        <f t="shared" si="21"/>
        <v>#DIV/0!</v>
      </c>
      <c r="X54" s="165" t="e">
        <f t="shared" si="21"/>
        <v>#DIV/0!</v>
      </c>
      <c r="Y54" s="165" t="e">
        <f t="shared" si="21"/>
        <v>#DIV/0!</v>
      </c>
      <c r="Z54" s="165" t="e">
        <f t="shared" si="21"/>
        <v>#DIV/0!</v>
      </c>
    </row>
    <row r="55" spans="1:26" x14ac:dyDescent="0.3">
      <c r="A55" s="166" t="s">
        <v>416</v>
      </c>
      <c r="B55" s="167">
        <v>6039</v>
      </c>
      <c r="C55" s="167">
        <v>6196</v>
      </c>
      <c r="D55" s="167">
        <v>6055</v>
      </c>
      <c r="E55" s="167"/>
      <c r="F55" s="167"/>
      <c r="G55" s="167"/>
      <c r="H55" s="167"/>
      <c r="I55" s="167"/>
      <c r="J55" s="167"/>
      <c r="K55" s="167"/>
      <c r="L55" s="167"/>
      <c r="M55" s="167"/>
      <c r="N55" s="164"/>
      <c r="O55" s="165">
        <f t="shared" si="21"/>
        <v>7.7405412610968265E-3</v>
      </c>
      <c r="P55" s="165">
        <f t="shared" si="21"/>
        <v>8.3703374478035966E-3</v>
      </c>
      <c r="Q55" s="165">
        <f t="shared" si="21"/>
        <v>6.2259714006327764E-3</v>
      </c>
      <c r="R55" s="165" t="e">
        <f t="shared" si="21"/>
        <v>#DIV/0!</v>
      </c>
      <c r="S55" s="165" t="e">
        <f t="shared" si="21"/>
        <v>#DIV/0!</v>
      </c>
      <c r="T55" s="165" t="e">
        <f t="shared" si="21"/>
        <v>#DIV/0!</v>
      </c>
      <c r="U55" s="165" t="e">
        <f t="shared" si="21"/>
        <v>#DIV/0!</v>
      </c>
      <c r="V55" s="165" t="e">
        <f t="shared" si="21"/>
        <v>#DIV/0!</v>
      </c>
      <c r="W55" s="165" t="e">
        <f t="shared" si="21"/>
        <v>#DIV/0!</v>
      </c>
      <c r="X55" s="165" t="e">
        <f t="shared" si="21"/>
        <v>#DIV/0!</v>
      </c>
      <c r="Y55" s="165" t="e">
        <f t="shared" si="21"/>
        <v>#DIV/0!</v>
      </c>
      <c r="Z55" s="165" t="e">
        <f t="shared" si="21"/>
        <v>#DIV/0!</v>
      </c>
    </row>
    <row r="56" spans="1:26" x14ac:dyDescent="0.3">
      <c r="A56" s="168" t="s">
        <v>417</v>
      </c>
      <c r="B56" s="169">
        <v>7</v>
      </c>
      <c r="C56" s="169">
        <v>8</v>
      </c>
      <c r="D56" s="169">
        <v>4</v>
      </c>
      <c r="E56" s="169"/>
      <c r="F56" s="169"/>
      <c r="G56" s="169"/>
      <c r="H56" s="169"/>
      <c r="I56" s="169"/>
      <c r="J56" s="169"/>
      <c r="K56" s="169"/>
      <c r="L56" s="169"/>
      <c r="M56" s="169"/>
      <c r="N56" s="164"/>
      <c r="O56" s="165">
        <f t="shared" si="21"/>
        <v>2.3102310231023102E-4</v>
      </c>
      <c r="P56" s="165">
        <f t="shared" si="21"/>
        <v>3.4464931931759432E-4</v>
      </c>
      <c r="Q56" s="165">
        <f t="shared" si="21"/>
        <v>1.5059106994955198E-4</v>
      </c>
      <c r="R56" s="165" t="e">
        <f t="shared" si="21"/>
        <v>#DIV/0!</v>
      </c>
      <c r="S56" s="165" t="e">
        <f t="shared" si="21"/>
        <v>#DIV/0!</v>
      </c>
      <c r="T56" s="165" t="e">
        <f t="shared" si="21"/>
        <v>#DIV/0!</v>
      </c>
      <c r="U56" s="165" t="e">
        <f t="shared" si="21"/>
        <v>#DIV/0!</v>
      </c>
      <c r="V56" s="165" t="e">
        <f t="shared" si="21"/>
        <v>#DIV/0!</v>
      </c>
      <c r="W56" s="165" t="e">
        <f t="shared" si="21"/>
        <v>#DIV/0!</v>
      </c>
      <c r="X56" s="165" t="e">
        <f t="shared" si="21"/>
        <v>#DIV/0!</v>
      </c>
      <c r="Y56" s="165" t="e">
        <f t="shared" si="21"/>
        <v>#DIV/0!</v>
      </c>
      <c r="Z56" s="165" t="e">
        <f t="shared" si="21"/>
        <v>#DIV/0!</v>
      </c>
    </row>
    <row r="57" spans="1:26" x14ac:dyDescent="0.3">
      <c r="B57" s="170">
        <f t="shared" ref="B57:D57" si="22">SUM(B54:B56)</f>
        <v>15674</v>
      </c>
      <c r="C57" s="170">
        <f t="shared" si="22"/>
        <v>15906</v>
      </c>
      <c r="D57" s="170">
        <f t="shared" si="22"/>
        <v>15899</v>
      </c>
      <c r="E57" s="170">
        <f t="shared" ref="E57:M57" si="23">SUM(E54:E56)</f>
        <v>0</v>
      </c>
      <c r="F57" s="170">
        <f t="shared" si="23"/>
        <v>0</v>
      </c>
      <c r="G57" s="170">
        <f t="shared" si="23"/>
        <v>0</v>
      </c>
      <c r="H57" s="170">
        <f t="shared" si="23"/>
        <v>0</v>
      </c>
      <c r="I57" s="170">
        <f t="shared" si="23"/>
        <v>0</v>
      </c>
      <c r="J57" s="170">
        <f t="shared" si="23"/>
        <v>0</v>
      </c>
      <c r="K57" s="170">
        <f t="shared" si="23"/>
        <v>0</v>
      </c>
      <c r="L57" s="170">
        <f t="shared" si="23"/>
        <v>0</v>
      </c>
      <c r="M57" s="170">
        <f t="shared" si="23"/>
        <v>0</v>
      </c>
      <c r="N57" s="164"/>
      <c r="O57" s="165">
        <f t="shared" si="21"/>
        <v>1.2280965678485353E-2</v>
      </c>
      <c r="P57" s="165">
        <f t="shared" si="21"/>
        <v>1.3942566024703219E-2</v>
      </c>
      <c r="Q57" s="165">
        <f t="shared" si="21"/>
        <v>1.0775695550510014E-2</v>
      </c>
      <c r="R57" s="165" t="e">
        <f t="shared" si="21"/>
        <v>#DIV/0!</v>
      </c>
      <c r="S57" s="165" t="e">
        <f t="shared" si="21"/>
        <v>#DIV/0!</v>
      </c>
      <c r="T57" s="165" t="e">
        <f t="shared" si="21"/>
        <v>#DIV/0!</v>
      </c>
      <c r="U57" s="165" t="e">
        <f t="shared" si="21"/>
        <v>#DIV/0!</v>
      </c>
      <c r="V57" s="165" t="e">
        <f t="shared" si="21"/>
        <v>#DIV/0!</v>
      </c>
      <c r="W57" s="165" t="e">
        <f t="shared" si="21"/>
        <v>#DIV/0!</v>
      </c>
      <c r="X57" s="165" t="e">
        <f t="shared" si="21"/>
        <v>#DIV/0!</v>
      </c>
      <c r="Y57" s="165" t="e">
        <f t="shared" si="21"/>
        <v>#DIV/0!</v>
      </c>
      <c r="Z57" s="165" t="e">
        <f t="shared" si="21"/>
        <v>#DIV/0!</v>
      </c>
    </row>
    <row r="58" spans="1:26" x14ac:dyDescent="0.3"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64"/>
    </row>
    <row r="59" spans="1:26" x14ac:dyDescent="0.3">
      <c r="A59" s="160" t="s">
        <v>418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</row>
    <row r="60" spans="1:26" x14ac:dyDescent="0.3">
      <c r="A60" s="162" t="s">
        <v>415</v>
      </c>
      <c r="B60" s="163">
        <v>42463</v>
      </c>
      <c r="C60" s="163">
        <v>33932</v>
      </c>
      <c r="D60" s="163">
        <v>54686</v>
      </c>
      <c r="E60" s="163"/>
      <c r="F60" s="163"/>
      <c r="G60" s="163"/>
      <c r="H60" s="163"/>
      <c r="I60" s="163"/>
      <c r="J60" s="163"/>
      <c r="K60" s="163"/>
      <c r="L60" s="163"/>
      <c r="M60" s="163"/>
      <c r="N60" s="164"/>
      <c r="O60" s="165">
        <f t="shared" ref="O60:Z63" si="24">B60/B66</f>
        <v>9.1160268437933387E-2</v>
      </c>
      <c r="P60" s="165">
        <f t="shared" si="24"/>
        <v>8.9915151386673303E-2</v>
      </c>
      <c r="Q60" s="165">
        <f t="shared" si="24"/>
        <v>0.11480238228693668</v>
      </c>
      <c r="R60" s="165" t="e">
        <f t="shared" si="24"/>
        <v>#DIV/0!</v>
      </c>
      <c r="S60" s="165" t="e">
        <f t="shared" si="24"/>
        <v>#DIV/0!</v>
      </c>
      <c r="T60" s="165" t="e">
        <f t="shared" si="24"/>
        <v>#DIV/0!</v>
      </c>
      <c r="U60" s="165" t="e">
        <f t="shared" si="24"/>
        <v>#DIV/0!</v>
      </c>
      <c r="V60" s="165" t="e">
        <f t="shared" si="24"/>
        <v>#DIV/0!</v>
      </c>
      <c r="W60" s="165" t="e">
        <f t="shared" si="24"/>
        <v>#DIV/0!</v>
      </c>
      <c r="X60" s="165" t="e">
        <f t="shared" si="24"/>
        <v>#DIV/0!</v>
      </c>
      <c r="Y60" s="165" t="e">
        <f t="shared" si="24"/>
        <v>#DIV/0!</v>
      </c>
      <c r="Z60" s="165" t="e">
        <f t="shared" si="24"/>
        <v>#DIV/0!</v>
      </c>
    </row>
    <row r="61" spans="1:26" x14ac:dyDescent="0.3">
      <c r="A61" s="166" t="s">
        <v>416</v>
      </c>
      <c r="B61" s="167">
        <v>24704</v>
      </c>
      <c r="C61" s="167">
        <v>20184</v>
      </c>
      <c r="D61" s="167">
        <v>23587</v>
      </c>
      <c r="E61" s="167"/>
      <c r="F61" s="167"/>
      <c r="G61" s="167"/>
      <c r="H61" s="167"/>
      <c r="I61" s="167"/>
      <c r="J61" s="167"/>
      <c r="K61" s="167"/>
      <c r="L61" s="167"/>
      <c r="M61" s="167"/>
      <c r="N61" s="164"/>
      <c r="O61" s="165">
        <f t="shared" si="24"/>
        <v>3.1664568854799804E-2</v>
      </c>
      <c r="P61" s="165">
        <f t="shared" si="24"/>
        <v>2.7267090226996093E-2</v>
      </c>
      <c r="Q61" s="165">
        <f t="shared" si="24"/>
        <v>2.4253011961474037E-2</v>
      </c>
      <c r="R61" s="165" t="e">
        <f t="shared" si="24"/>
        <v>#DIV/0!</v>
      </c>
      <c r="S61" s="165" t="e">
        <f t="shared" si="24"/>
        <v>#DIV/0!</v>
      </c>
      <c r="T61" s="165" t="e">
        <f t="shared" si="24"/>
        <v>#DIV/0!</v>
      </c>
      <c r="U61" s="165" t="e">
        <f t="shared" si="24"/>
        <v>#DIV/0!</v>
      </c>
      <c r="V61" s="165" t="e">
        <f t="shared" si="24"/>
        <v>#DIV/0!</v>
      </c>
      <c r="W61" s="165" t="e">
        <f t="shared" si="24"/>
        <v>#DIV/0!</v>
      </c>
      <c r="X61" s="165" t="e">
        <f t="shared" si="24"/>
        <v>#DIV/0!</v>
      </c>
      <c r="Y61" s="165" t="e">
        <f t="shared" si="24"/>
        <v>#DIV/0!</v>
      </c>
      <c r="Z61" s="165" t="e">
        <f t="shared" si="24"/>
        <v>#DIV/0!</v>
      </c>
    </row>
    <row r="62" spans="1:26" x14ac:dyDescent="0.3">
      <c r="A62" s="168" t="s">
        <v>417</v>
      </c>
      <c r="B62" s="169">
        <v>2669</v>
      </c>
      <c r="C62" s="169">
        <v>2157</v>
      </c>
      <c r="D62" s="169">
        <v>2126</v>
      </c>
      <c r="E62" s="169"/>
      <c r="F62" s="169"/>
      <c r="G62" s="169"/>
      <c r="H62" s="169"/>
      <c r="I62" s="169"/>
      <c r="J62" s="169"/>
      <c r="K62" s="169"/>
      <c r="L62" s="169"/>
      <c r="M62" s="169"/>
      <c r="N62" s="164"/>
      <c r="O62" s="165">
        <f t="shared" si="24"/>
        <v>8.8085808580858085E-2</v>
      </c>
      <c r="P62" s="165">
        <f t="shared" si="24"/>
        <v>9.2926072721006378E-2</v>
      </c>
      <c r="Q62" s="165">
        <f t="shared" si="24"/>
        <v>8.0039153678186883E-2</v>
      </c>
      <c r="R62" s="165" t="e">
        <f t="shared" si="24"/>
        <v>#DIV/0!</v>
      </c>
      <c r="S62" s="165" t="e">
        <f t="shared" si="24"/>
        <v>#DIV/0!</v>
      </c>
      <c r="T62" s="165" t="e">
        <f t="shared" si="24"/>
        <v>#DIV/0!</v>
      </c>
      <c r="U62" s="165" t="e">
        <f t="shared" si="24"/>
        <v>#DIV/0!</v>
      </c>
      <c r="V62" s="165" t="e">
        <f t="shared" si="24"/>
        <v>#DIV/0!</v>
      </c>
      <c r="W62" s="165" t="e">
        <f t="shared" si="24"/>
        <v>#DIV/0!</v>
      </c>
      <c r="X62" s="165" t="e">
        <f t="shared" si="24"/>
        <v>#DIV/0!</v>
      </c>
      <c r="Y62" s="165" t="e">
        <f t="shared" si="24"/>
        <v>#DIV/0!</v>
      </c>
      <c r="Z62" s="165" t="e">
        <f t="shared" si="24"/>
        <v>#DIV/0!</v>
      </c>
    </row>
    <row r="63" spans="1:26" x14ac:dyDescent="0.3">
      <c r="B63" s="170">
        <f t="shared" ref="B63:D63" si="25">SUM(B60:B62)</f>
        <v>69836</v>
      </c>
      <c r="C63" s="170">
        <f t="shared" si="25"/>
        <v>56273</v>
      </c>
      <c r="D63" s="170">
        <f t="shared" si="25"/>
        <v>80399</v>
      </c>
      <c r="E63" s="170">
        <f t="shared" ref="E63:M63" si="26">SUM(E60:E62)</f>
        <v>0</v>
      </c>
      <c r="F63" s="170">
        <f t="shared" si="26"/>
        <v>0</v>
      </c>
      <c r="G63" s="170">
        <f t="shared" si="26"/>
        <v>0</v>
      </c>
      <c r="H63" s="170">
        <f t="shared" si="26"/>
        <v>0</v>
      </c>
      <c r="I63" s="170">
        <f t="shared" si="26"/>
        <v>0</v>
      </c>
      <c r="J63" s="170">
        <f t="shared" si="26"/>
        <v>0</v>
      </c>
      <c r="K63" s="170">
        <f t="shared" si="26"/>
        <v>0</v>
      </c>
      <c r="L63" s="170">
        <f t="shared" si="26"/>
        <v>0</v>
      </c>
      <c r="M63" s="170">
        <f t="shared" si="26"/>
        <v>0</v>
      </c>
      <c r="N63" s="164"/>
      <c r="O63" s="165">
        <f t="shared" si="24"/>
        <v>5.4718228858153826E-2</v>
      </c>
      <c r="P63" s="165">
        <f t="shared" si="24"/>
        <v>4.9326670307313226E-2</v>
      </c>
      <c r="Q63" s="165">
        <f t="shared" si="24"/>
        <v>5.4491172184757193E-2</v>
      </c>
      <c r="R63" s="165" t="e">
        <f t="shared" si="24"/>
        <v>#DIV/0!</v>
      </c>
      <c r="S63" s="165" t="e">
        <f t="shared" si="24"/>
        <v>#DIV/0!</v>
      </c>
      <c r="T63" s="165" t="e">
        <f t="shared" si="24"/>
        <v>#DIV/0!</v>
      </c>
      <c r="U63" s="165" t="e">
        <f t="shared" si="24"/>
        <v>#DIV/0!</v>
      </c>
      <c r="V63" s="165" t="e">
        <f t="shared" si="24"/>
        <v>#DIV/0!</v>
      </c>
      <c r="W63" s="165" t="e">
        <f t="shared" si="24"/>
        <v>#DIV/0!</v>
      </c>
      <c r="X63" s="165" t="e">
        <f t="shared" si="24"/>
        <v>#DIV/0!</v>
      </c>
      <c r="Y63" s="165" t="e">
        <f t="shared" si="24"/>
        <v>#DIV/0!</v>
      </c>
      <c r="Z63" s="165" t="e">
        <f t="shared" si="24"/>
        <v>#DIV/0!</v>
      </c>
    </row>
    <row r="64" spans="1:26" x14ac:dyDescent="0.3"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</row>
    <row r="65" spans="1:26" x14ac:dyDescent="0.3">
      <c r="A65" s="160" t="s">
        <v>419</v>
      </c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</row>
    <row r="66" spans="1:26" x14ac:dyDescent="0.3">
      <c r="A66" s="162" t="s">
        <v>415</v>
      </c>
      <c r="B66" s="163">
        <f>B48+B54+B60</f>
        <v>465806</v>
      </c>
      <c r="C66" s="163">
        <f t="shared" ref="C66:M69" si="27">C48+C54+C60</f>
        <v>377378</v>
      </c>
      <c r="D66" s="163">
        <f t="shared" si="27"/>
        <v>476349</v>
      </c>
      <c r="E66" s="163">
        <f t="shared" si="27"/>
        <v>0</v>
      </c>
      <c r="F66" s="163">
        <f t="shared" si="27"/>
        <v>0</v>
      </c>
      <c r="G66" s="163">
        <f t="shared" si="27"/>
        <v>0</v>
      </c>
      <c r="H66" s="163">
        <f t="shared" si="27"/>
        <v>0</v>
      </c>
      <c r="I66" s="163">
        <f t="shared" si="27"/>
        <v>0</v>
      </c>
      <c r="J66" s="163">
        <f t="shared" si="27"/>
        <v>0</v>
      </c>
      <c r="K66" s="163">
        <f t="shared" si="27"/>
        <v>0</v>
      </c>
      <c r="L66" s="163">
        <f t="shared" si="27"/>
        <v>0</v>
      </c>
      <c r="M66" s="163">
        <f t="shared" si="27"/>
        <v>0</v>
      </c>
      <c r="N66" s="164"/>
      <c r="O66" s="171">
        <f t="shared" ref="O66:Z69" si="28">O48+O54+O60</f>
        <v>0.99999999999999989</v>
      </c>
      <c r="P66" s="171">
        <f t="shared" si="28"/>
        <v>1</v>
      </c>
      <c r="Q66" s="171">
        <f t="shared" si="28"/>
        <v>1</v>
      </c>
      <c r="R66" s="171" t="e">
        <f t="shared" si="28"/>
        <v>#DIV/0!</v>
      </c>
      <c r="S66" s="171" t="e">
        <f t="shared" si="28"/>
        <v>#DIV/0!</v>
      </c>
      <c r="T66" s="171" t="e">
        <f t="shared" si="28"/>
        <v>#DIV/0!</v>
      </c>
      <c r="U66" s="171" t="e">
        <f t="shared" si="28"/>
        <v>#DIV/0!</v>
      </c>
      <c r="V66" s="171" t="e">
        <f t="shared" si="28"/>
        <v>#DIV/0!</v>
      </c>
      <c r="W66" s="171" t="e">
        <f t="shared" si="28"/>
        <v>#DIV/0!</v>
      </c>
      <c r="X66" s="171" t="e">
        <f t="shared" si="28"/>
        <v>#DIV/0!</v>
      </c>
      <c r="Y66" s="171" t="e">
        <f t="shared" si="28"/>
        <v>#DIV/0!</v>
      </c>
      <c r="Z66" s="171" t="e">
        <f t="shared" si="28"/>
        <v>#DIV/0!</v>
      </c>
    </row>
    <row r="67" spans="1:26" x14ac:dyDescent="0.3">
      <c r="A67" s="166" t="s">
        <v>416</v>
      </c>
      <c r="B67" s="167">
        <f t="shared" ref="B67:B69" si="29">B49+B55+B61</f>
        <v>780178</v>
      </c>
      <c r="C67" s="167">
        <f t="shared" si="27"/>
        <v>740233</v>
      </c>
      <c r="D67" s="167">
        <f t="shared" si="27"/>
        <v>972539</v>
      </c>
      <c r="E67" s="167">
        <f t="shared" si="27"/>
        <v>0</v>
      </c>
      <c r="F67" s="167">
        <f t="shared" si="27"/>
        <v>0</v>
      </c>
      <c r="G67" s="167">
        <f t="shared" si="27"/>
        <v>0</v>
      </c>
      <c r="H67" s="167">
        <f t="shared" si="27"/>
        <v>0</v>
      </c>
      <c r="I67" s="167">
        <f t="shared" si="27"/>
        <v>0</v>
      </c>
      <c r="J67" s="167">
        <f t="shared" si="27"/>
        <v>0</v>
      </c>
      <c r="K67" s="167">
        <f t="shared" si="27"/>
        <v>0</v>
      </c>
      <c r="L67" s="167">
        <f t="shared" si="27"/>
        <v>0</v>
      </c>
      <c r="M67" s="167">
        <f t="shared" si="27"/>
        <v>0</v>
      </c>
      <c r="N67" s="164"/>
      <c r="O67" s="171">
        <f t="shared" si="28"/>
        <v>1</v>
      </c>
      <c r="P67" s="171">
        <f t="shared" si="28"/>
        <v>1</v>
      </c>
      <c r="Q67" s="171">
        <f t="shared" si="28"/>
        <v>0.99999999999999989</v>
      </c>
      <c r="R67" s="171" t="e">
        <f t="shared" si="28"/>
        <v>#DIV/0!</v>
      </c>
      <c r="S67" s="171" t="e">
        <f t="shared" si="28"/>
        <v>#DIV/0!</v>
      </c>
      <c r="T67" s="171" t="e">
        <f t="shared" si="28"/>
        <v>#DIV/0!</v>
      </c>
      <c r="U67" s="171" t="e">
        <f t="shared" si="28"/>
        <v>#DIV/0!</v>
      </c>
      <c r="V67" s="171" t="e">
        <f t="shared" si="28"/>
        <v>#DIV/0!</v>
      </c>
      <c r="W67" s="171" t="e">
        <f t="shared" si="28"/>
        <v>#DIV/0!</v>
      </c>
      <c r="X67" s="171" t="e">
        <f t="shared" si="28"/>
        <v>#DIV/0!</v>
      </c>
      <c r="Y67" s="171" t="e">
        <f t="shared" si="28"/>
        <v>#DIV/0!</v>
      </c>
      <c r="Z67" s="171" t="e">
        <f t="shared" si="28"/>
        <v>#DIV/0!</v>
      </c>
    </row>
    <row r="68" spans="1:26" x14ac:dyDescent="0.3">
      <c r="A68" s="168" t="s">
        <v>417</v>
      </c>
      <c r="B68" s="169">
        <f t="shared" si="29"/>
        <v>30300</v>
      </c>
      <c r="C68" s="169">
        <f t="shared" si="27"/>
        <v>23212</v>
      </c>
      <c r="D68" s="169">
        <f t="shared" si="27"/>
        <v>26562</v>
      </c>
      <c r="E68" s="169">
        <f t="shared" si="27"/>
        <v>0</v>
      </c>
      <c r="F68" s="169">
        <f t="shared" si="27"/>
        <v>0</v>
      </c>
      <c r="G68" s="169">
        <f t="shared" si="27"/>
        <v>0</v>
      </c>
      <c r="H68" s="169">
        <f t="shared" si="27"/>
        <v>0</v>
      </c>
      <c r="I68" s="169">
        <f t="shared" si="27"/>
        <v>0</v>
      </c>
      <c r="J68" s="169">
        <f t="shared" si="27"/>
        <v>0</v>
      </c>
      <c r="K68" s="169">
        <f t="shared" si="27"/>
        <v>0</v>
      </c>
      <c r="L68" s="169">
        <f t="shared" si="27"/>
        <v>0</v>
      </c>
      <c r="M68" s="169">
        <f t="shared" si="27"/>
        <v>0</v>
      </c>
      <c r="N68" s="164"/>
      <c r="O68" s="171">
        <f t="shared" si="28"/>
        <v>1</v>
      </c>
      <c r="P68" s="171">
        <f t="shared" si="28"/>
        <v>1</v>
      </c>
      <c r="Q68" s="171">
        <f t="shared" si="28"/>
        <v>1</v>
      </c>
      <c r="R68" s="171" t="e">
        <f t="shared" si="28"/>
        <v>#DIV/0!</v>
      </c>
      <c r="S68" s="171" t="e">
        <f t="shared" si="28"/>
        <v>#DIV/0!</v>
      </c>
      <c r="T68" s="171" t="e">
        <f t="shared" si="28"/>
        <v>#DIV/0!</v>
      </c>
      <c r="U68" s="171" t="e">
        <f t="shared" si="28"/>
        <v>#DIV/0!</v>
      </c>
      <c r="V68" s="171" t="e">
        <f t="shared" si="28"/>
        <v>#DIV/0!</v>
      </c>
      <c r="W68" s="171" t="e">
        <f t="shared" si="28"/>
        <v>#DIV/0!</v>
      </c>
      <c r="X68" s="171" t="e">
        <f t="shared" si="28"/>
        <v>#DIV/0!</v>
      </c>
      <c r="Y68" s="171" t="e">
        <f t="shared" si="28"/>
        <v>#DIV/0!</v>
      </c>
      <c r="Z68" s="171" t="e">
        <f t="shared" si="28"/>
        <v>#DIV/0!</v>
      </c>
    </row>
    <row r="69" spans="1:26" x14ac:dyDescent="0.3">
      <c r="B69" s="170">
        <f t="shared" si="29"/>
        <v>1276284</v>
      </c>
      <c r="C69" s="170">
        <f t="shared" si="27"/>
        <v>1140823</v>
      </c>
      <c r="D69" s="170">
        <f t="shared" si="27"/>
        <v>1475450</v>
      </c>
      <c r="E69" s="170">
        <f t="shared" si="27"/>
        <v>0</v>
      </c>
      <c r="F69" s="170">
        <f t="shared" si="27"/>
        <v>0</v>
      </c>
      <c r="G69" s="170">
        <f t="shared" si="27"/>
        <v>0</v>
      </c>
      <c r="H69" s="170">
        <f t="shared" si="27"/>
        <v>0</v>
      </c>
      <c r="I69" s="170">
        <f t="shared" si="27"/>
        <v>0</v>
      </c>
      <c r="J69" s="170">
        <f t="shared" si="27"/>
        <v>0</v>
      </c>
      <c r="K69" s="170">
        <f t="shared" si="27"/>
        <v>0</v>
      </c>
      <c r="L69" s="170">
        <f t="shared" si="27"/>
        <v>0</v>
      </c>
      <c r="M69" s="170">
        <f t="shared" si="27"/>
        <v>0</v>
      </c>
      <c r="N69" s="164"/>
      <c r="O69" s="171">
        <f t="shared" si="28"/>
        <v>1</v>
      </c>
      <c r="P69" s="171">
        <f t="shared" si="28"/>
        <v>1</v>
      </c>
      <c r="Q69" s="171">
        <f t="shared" si="28"/>
        <v>1</v>
      </c>
      <c r="R69" s="171" t="e">
        <f t="shared" si="28"/>
        <v>#DIV/0!</v>
      </c>
      <c r="S69" s="171" t="e">
        <f t="shared" si="28"/>
        <v>#DIV/0!</v>
      </c>
      <c r="T69" s="171" t="e">
        <f t="shared" si="28"/>
        <v>#DIV/0!</v>
      </c>
      <c r="U69" s="171" t="e">
        <f t="shared" si="28"/>
        <v>#DIV/0!</v>
      </c>
      <c r="V69" s="171" t="e">
        <f t="shared" si="28"/>
        <v>#DIV/0!</v>
      </c>
      <c r="W69" s="171" t="e">
        <f t="shared" si="28"/>
        <v>#DIV/0!</v>
      </c>
      <c r="X69" s="171" t="e">
        <f t="shared" si="28"/>
        <v>#DIV/0!</v>
      </c>
      <c r="Y69" s="171" t="e">
        <f t="shared" si="28"/>
        <v>#DIV/0!</v>
      </c>
      <c r="Z69" s="171" t="e">
        <f t="shared" si="2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858-C609-4482-B826-0EA5CE99ADAD}">
  <sheetPr codeName="Hoja7"/>
  <dimension ref="A1:AC69"/>
  <sheetViews>
    <sheetView zoomScale="68" zoomScaleNormal="68" workbookViewId="0">
      <pane xSplit="1" ySplit="4" topLeftCell="B5" activePane="bottomRight" state="frozen"/>
      <selection activeCell="N42" sqref="N42"/>
      <selection pane="topRight" activeCell="N42" sqref="N42"/>
      <selection pane="bottomLeft" activeCell="N42" sqref="N42"/>
      <selection pane="bottomRight"/>
    </sheetView>
  </sheetViews>
  <sheetFormatPr baseColWidth="10" defaultRowHeight="14.4" x14ac:dyDescent="0.3"/>
  <cols>
    <col min="1" max="1" width="19.44140625" bestFit="1" customWidth="1"/>
    <col min="2" max="4" width="16.77734375" customWidth="1"/>
    <col min="5" max="12" width="16.77734375" hidden="1" customWidth="1"/>
    <col min="13" max="13" width="16.5546875" hidden="1" customWidth="1"/>
    <col min="14" max="14" width="8.88671875" customWidth="1"/>
    <col min="15" max="17" width="8.77734375" customWidth="1"/>
    <col min="18" max="22" width="8.77734375" hidden="1" customWidth="1"/>
    <col min="23" max="23" width="10.5546875" hidden="1" customWidth="1"/>
    <col min="24" max="24" width="8.77734375" hidden="1" customWidth="1"/>
    <col min="25" max="25" width="11.21875" hidden="1" customWidth="1"/>
    <col min="26" max="26" width="10.21875" hidden="1" customWidth="1"/>
    <col min="29" max="29" width="15.109375" bestFit="1" customWidth="1"/>
  </cols>
  <sheetData>
    <row r="1" spans="1:29" x14ac:dyDescent="0.3">
      <c r="A1" s="157" t="str">
        <f>'Visa - txs x medio de tx'!A1</f>
        <v>AL 29 DE MARZO DEL 2,026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29" x14ac:dyDescent="0.3">
      <c r="B2" s="161"/>
      <c r="G2" s="241"/>
      <c r="H2" s="241"/>
      <c r="I2" s="241"/>
      <c r="J2" s="241"/>
      <c r="K2" s="241"/>
      <c r="M2" s="161"/>
    </row>
    <row r="3" spans="1:29" ht="15.6" customHeight="1" x14ac:dyDescent="0.3">
      <c r="A3" s="158" t="s">
        <v>413</v>
      </c>
    </row>
    <row r="4" spans="1:29" x14ac:dyDescent="0.3">
      <c r="B4" s="159" t="s">
        <v>59</v>
      </c>
      <c r="C4" s="159" t="s">
        <v>60</v>
      </c>
      <c r="D4" s="159" t="s">
        <v>61</v>
      </c>
      <c r="E4" s="159" t="s">
        <v>62</v>
      </c>
      <c r="F4" s="159" t="s">
        <v>63</v>
      </c>
      <c r="G4" s="159" t="s">
        <v>64</v>
      </c>
      <c r="H4" s="159" t="s">
        <v>65</v>
      </c>
      <c r="I4" s="159" t="s">
        <v>66</v>
      </c>
      <c r="J4" s="159" t="s">
        <v>67</v>
      </c>
      <c r="K4" s="159" t="s">
        <v>68</v>
      </c>
      <c r="L4" s="159" t="s">
        <v>69</v>
      </c>
      <c r="M4" s="159" t="s">
        <v>70</v>
      </c>
      <c r="O4" s="159" t="s">
        <v>59</v>
      </c>
      <c r="P4" s="159" t="s">
        <v>60</v>
      </c>
      <c r="Q4" s="159" t="s">
        <v>61</v>
      </c>
      <c r="R4" s="159" t="s">
        <v>62</v>
      </c>
      <c r="S4" s="159" t="s">
        <v>63</v>
      </c>
      <c r="T4" s="159" t="s">
        <v>64</v>
      </c>
      <c r="U4" s="159" t="s">
        <v>65</v>
      </c>
      <c r="V4" s="159" t="s">
        <v>66</v>
      </c>
      <c r="W4" s="159" t="s">
        <v>67</v>
      </c>
      <c r="X4" s="159" t="s">
        <v>68</v>
      </c>
      <c r="Y4" s="159" t="s">
        <v>69</v>
      </c>
      <c r="Z4" s="159" t="s">
        <v>70</v>
      </c>
    </row>
    <row r="5" spans="1:29" x14ac:dyDescent="0.3">
      <c r="A5" s="160" t="s">
        <v>414</v>
      </c>
      <c r="B5" s="161"/>
      <c r="C5" s="161"/>
      <c r="D5" s="161"/>
      <c r="J5" s="161"/>
      <c r="K5" s="161"/>
      <c r="L5" s="161"/>
      <c r="M5" s="161"/>
    </row>
    <row r="6" spans="1:29" x14ac:dyDescent="0.3">
      <c r="A6" s="162" t="s">
        <v>415</v>
      </c>
      <c r="B6" s="173">
        <v>202971179.11999997</v>
      </c>
      <c r="C6" s="173">
        <v>197340118.75</v>
      </c>
      <c r="D6" s="173">
        <v>211866255.63</v>
      </c>
      <c r="E6" s="173"/>
      <c r="F6" s="173"/>
      <c r="G6" s="173"/>
      <c r="H6" s="173"/>
      <c r="I6" s="173"/>
      <c r="J6" s="173"/>
      <c r="K6" s="173"/>
      <c r="L6" s="173"/>
      <c r="M6" s="173"/>
      <c r="O6" s="165">
        <f t="shared" ref="O6:Z9" si="0">B6/B18</f>
        <v>0.79930944478922028</v>
      </c>
      <c r="P6" s="165">
        <f t="shared" si="0"/>
        <v>0.78835519422461686</v>
      </c>
      <c r="Q6" s="165">
        <f t="shared" si="0"/>
        <v>0.79390923313262374</v>
      </c>
      <c r="R6" s="165" t="e">
        <f t="shared" si="0"/>
        <v>#DIV/0!</v>
      </c>
      <c r="S6" s="165" t="e">
        <f t="shared" si="0"/>
        <v>#DIV/0!</v>
      </c>
      <c r="T6" s="165" t="e">
        <f t="shared" si="0"/>
        <v>#DIV/0!</v>
      </c>
      <c r="U6" s="165" t="e">
        <f t="shared" si="0"/>
        <v>#DIV/0!</v>
      </c>
      <c r="V6" s="165" t="e">
        <f t="shared" si="0"/>
        <v>#DIV/0!</v>
      </c>
      <c r="W6" s="165" t="e">
        <f t="shared" si="0"/>
        <v>#DIV/0!</v>
      </c>
      <c r="X6" s="165" t="e">
        <f t="shared" si="0"/>
        <v>#DIV/0!</v>
      </c>
      <c r="Y6" s="165" t="e">
        <f t="shared" si="0"/>
        <v>#DIV/0!</v>
      </c>
      <c r="Z6" s="165" t="e">
        <f t="shared" si="0"/>
        <v>#DIV/0!</v>
      </c>
    </row>
    <row r="7" spans="1:29" x14ac:dyDescent="0.3">
      <c r="A7" s="166" t="s">
        <v>416</v>
      </c>
      <c r="B7" s="174">
        <v>269154269.31</v>
      </c>
      <c r="C7" s="174">
        <v>254317183.54999998</v>
      </c>
      <c r="D7" s="174">
        <v>263386079.30000001</v>
      </c>
      <c r="E7" s="174"/>
      <c r="F7" s="174"/>
      <c r="G7" s="174"/>
      <c r="H7" s="174"/>
      <c r="I7" s="174"/>
      <c r="J7" s="174"/>
      <c r="K7" s="174"/>
      <c r="L7" s="174"/>
      <c r="M7" s="174"/>
      <c r="O7" s="165">
        <f t="shared" si="0"/>
        <v>0.63360211992076976</v>
      </c>
      <c r="P7" s="165">
        <f t="shared" si="0"/>
        <v>0.6142827785771573</v>
      </c>
      <c r="Q7" s="165">
        <f t="shared" si="0"/>
        <v>0.77819179604953559</v>
      </c>
      <c r="R7" s="165" t="e">
        <f t="shared" si="0"/>
        <v>#DIV/0!</v>
      </c>
      <c r="S7" s="165" t="e">
        <f t="shared" si="0"/>
        <v>#DIV/0!</v>
      </c>
      <c r="T7" s="165" t="e">
        <f t="shared" si="0"/>
        <v>#DIV/0!</v>
      </c>
      <c r="U7" s="165" t="e">
        <f t="shared" si="0"/>
        <v>#DIV/0!</v>
      </c>
      <c r="V7" s="165" t="e">
        <f t="shared" si="0"/>
        <v>#DIV/0!</v>
      </c>
      <c r="W7" s="165" t="e">
        <f t="shared" si="0"/>
        <v>#DIV/0!</v>
      </c>
      <c r="X7" s="165" t="e">
        <f t="shared" si="0"/>
        <v>#DIV/0!</v>
      </c>
      <c r="Y7" s="165" t="e">
        <f t="shared" si="0"/>
        <v>#DIV/0!</v>
      </c>
      <c r="Z7" s="165" t="e">
        <f t="shared" si="0"/>
        <v>#DIV/0!</v>
      </c>
    </row>
    <row r="8" spans="1:29" x14ac:dyDescent="0.3">
      <c r="A8" s="168" t="s">
        <v>417</v>
      </c>
      <c r="B8" s="175">
        <v>22678223.699999999</v>
      </c>
      <c r="C8" s="175">
        <v>19207951.669999998</v>
      </c>
      <c r="D8" s="175">
        <v>20005196.689999998</v>
      </c>
      <c r="E8" s="175"/>
      <c r="F8" s="175"/>
      <c r="G8" s="175"/>
      <c r="H8" s="175"/>
      <c r="I8" s="175"/>
      <c r="J8" s="175"/>
      <c r="K8" s="175"/>
      <c r="L8" s="175"/>
      <c r="M8" s="175"/>
      <c r="O8" s="165">
        <f t="shared" si="0"/>
        <v>0.94770345439365955</v>
      </c>
      <c r="P8" s="165">
        <f t="shared" si="0"/>
        <v>0.94977913586668472</v>
      </c>
      <c r="Q8" s="165">
        <f t="shared" si="0"/>
        <v>0.94956776202503823</v>
      </c>
      <c r="R8" s="165" t="e">
        <f t="shared" si="0"/>
        <v>#DIV/0!</v>
      </c>
      <c r="S8" s="165" t="e">
        <f t="shared" si="0"/>
        <v>#DIV/0!</v>
      </c>
      <c r="T8" s="165" t="e">
        <f t="shared" si="0"/>
        <v>#DIV/0!</v>
      </c>
      <c r="U8" s="165" t="e">
        <f t="shared" si="0"/>
        <v>#DIV/0!</v>
      </c>
      <c r="V8" s="165" t="e">
        <f t="shared" si="0"/>
        <v>#DIV/0!</v>
      </c>
      <c r="W8" s="165" t="e">
        <f t="shared" si="0"/>
        <v>#DIV/0!</v>
      </c>
      <c r="X8" s="165" t="e">
        <f t="shared" si="0"/>
        <v>#DIV/0!</v>
      </c>
      <c r="Y8" s="165" t="e">
        <f t="shared" si="0"/>
        <v>#DIV/0!</v>
      </c>
      <c r="Z8" s="165" t="e">
        <f t="shared" si="0"/>
        <v>#DIV/0!</v>
      </c>
    </row>
    <row r="9" spans="1:29" x14ac:dyDescent="0.3">
      <c r="B9" s="172">
        <f t="shared" ref="B9:D9" si="1">SUM(B6:B8)</f>
        <v>494803672.12999994</v>
      </c>
      <c r="C9" s="172">
        <f t="shared" si="1"/>
        <v>470865253.96999997</v>
      </c>
      <c r="D9" s="172">
        <f t="shared" si="1"/>
        <v>495257531.62</v>
      </c>
      <c r="E9" s="172">
        <f t="shared" ref="E9:M9" si="2">SUM(E6:E8)</f>
        <v>0</v>
      </c>
      <c r="F9" s="172">
        <f t="shared" si="2"/>
        <v>0</v>
      </c>
      <c r="G9" s="172">
        <f t="shared" si="2"/>
        <v>0</v>
      </c>
      <c r="H9" s="172">
        <f t="shared" si="2"/>
        <v>0</v>
      </c>
      <c r="I9" s="172">
        <f t="shared" si="2"/>
        <v>0</v>
      </c>
      <c r="J9" s="172">
        <f t="shared" si="2"/>
        <v>0</v>
      </c>
      <c r="K9" s="172">
        <f t="shared" si="2"/>
        <v>0</v>
      </c>
      <c r="L9" s="172">
        <f t="shared" si="2"/>
        <v>0</v>
      </c>
      <c r="M9" s="172">
        <f t="shared" si="2"/>
        <v>0</v>
      </c>
      <c r="O9" s="165">
        <f t="shared" si="0"/>
        <v>0.70418350372316529</v>
      </c>
      <c r="P9" s="165">
        <f t="shared" si="0"/>
        <v>0.68784732087009715</v>
      </c>
      <c r="Q9" s="165">
        <f t="shared" si="0"/>
        <v>0.7906519338696304</v>
      </c>
      <c r="R9" s="165" t="e">
        <f t="shared" si="0"/>
        <v>#DIV/0!</v>
      </c>
      <c r="S9" s="165" t="e">
        <f t="shared" si="0"/>
        <v>#DIV/0!</v>
      </c>
      <c r="T9" s="165" t="e">
        <f t="shared" si="0"/>
        <v>#DIV/0!</v>
      </c>
      <c r="U9" s="165" t="e">
        <f t="shared" si="0"/>
        <v>#DIV/0!</v>
      </c>
      <c r="V9" s="165" t="e">
        <f t="shared" si="0"/>
        <v>#DIV/0!</v>
      </c>
      <c r="W9" s="165" t="e">
        <f t="shared" si="0"/>
        <v>#DIV/0!</v>
      </c>
      <c r="X9" s="165" t="e">
        <f t="shared" si="0"/>
        <v>#DIV/0!</v>
      </c>
      <c r="Y9" s="165" t="e">
        <f t="shared" si="0"/>
        <v>#DIV/0!</v>
      </c>
      <c r="Z9" s="165" t="e">
        <f t="shared" si="0"/>
        <v>#DIV/0!</v>
      </c>
    </row>
    <row r="11" spans="1:29" x14ac:dyDescent="0.3">
      <c r="A11" s="160" t="s">
        <v>418</v>
      </c>
    </row>
    <row r="12" spans="1:29" x14ac:dyDescent="0.3">
      <c r="A12" s="162" t="s">
        <v>415</v>
      </c>
      <c r="B12" s="173">
        <v>50961988.369999997</v>
      </c>
      <c r="C12" s="173">
        <v>52978671.810000002</v>
      </c>
      <c r="D12" s="173">
        <v>54998326.350000001</v>
      </c>
      <c r="E12" s="173"/>
      <c r="F12" s="173"/>
      <c r="G12" s="173"/>
      <c r="H12" s="173"/>
      <c r="I12" s="173"/>
      <c r="J12" s="173"/>
      <c r="K12" s="173"/>
      <c r="L12" s="173"/>
      <c r="M12" s="173"/>
      <c r="O12" s="165">
        <f t="shared" ref="O12:Z15" si="3">B12/B18</f>
        <v>0.20069055521077966</v>
      </c>
      <c r="P12" s="165">
        <f t="shared" si="3"/>
        <v>0.21164480577538311</v>
      </c>
      <c r="Q12" s="165">
        <f t="shared" si="3"/>
        <v>0.20609076686737626</v>
      </c>
      <c r="R12" s="165" t="e">
        <f t="shared" si="3"/>
        <v>#DIV/0!</v>
      </c>
      <c r="S12" s="165" t="e">
        <f t="shared" si="3"/>
        <v>#DIV/0!</v>
      </c>
      <c r="T12" s="165" t="e">
        <f t="shared" si="3"/>
        <v>#DIV/0!</v>
      </c>
      <c r="U12" s="165" t="e">
        <f t="shared" si="3"/>
        <v>#DIV/0!</v>
      </c>
      <c r="V12" s="165" t="e">
        <f t="shared" si="3"/>
        <v>#DIV/0!</v>
      </c>
      <c r="W12" s="165" t="e">
        <f t="shared" si="3"/>
        <v>#DIV/0!</v>
      </c>
      <c r="X12" s="165" t="e">
        <f t="shared" si="3"/>
        <v>#DIV/0!</v>
      </c>
      <c r="Y12" s="165" t="e">
        <f t="shared" si="3"/>
        <v>#DIV/0!</v>
      </c>
      <c r="Z12" s="165" t="e">
        <f t="shared" si="3"/>
        <v>#DIV/0!</v>
      </c>
    </row>
    <row r="13" spans="1:29" x14ac:dyDescent="0.3">
      <c r="A13" s="166" t="s">
        <v>416</v>
      </c>
      <c r="B13" s="174">
        <v>155645870.79000002</v>
      </c>
      <c r="C13" s="174">
        <v>159689512.41999999</v>
      </c>
      <c r="D13" s="174">
        <v>75073000.629999995</v>
      </c>
      <c r="E13" s="174"/>
      <c r="F13" s="174"/>
      <c r="G13" s="174"/>
      <c r="H13" s="174"/>
      <c r="I13" s="174"/>
      <c r="J13" s="174"/>
      <c r="K13" s="174"/>
      <c r="L13" s="174"/>
      <c r="M13" s="174"/>
      <c r="O13" s="165">
        <f t="shared" si="3"/>
        <v>0.36639788007923024</v>
      </c>
      <c r="P13" s="165">
        <f t="shared" si="3"/>
        <v>0.3857172214228427</v>
      </c>
      <c r="Q13" s="165">
        <f t="shared" si="3"/>
        <v>0.22180820395046447</v>
      </c>
      <c r="R13" s="165" t="e">
        <f t="shared" si="3"/>
        <v>#DIV/0!</v>
      </c>
      <c r="S13" s="165" t="e">
        <f t="shared" si="3"/>
        <v>#DIV/0!</v>
      </c>
      <c r="T13" s="165" t="e">
        <f t="shared" si="3"/>
        <v>#DIV/0!</v>
      </c>
      <c r="U13" s="165" t="e">
        <f t="shared" si="3"/>
        <v>#DIV/0!</v>
      </c>
      <c r="V13" s="165" t="e">
        <f t="shared" si="3"/>
        <v>#DIV/0!</v>
      </c>
      <c r="W13" s="165" t="e">
        <f t="shared" si="3"/>
        <v>#DIV/0!</v>
      </c>
      <c r="X13" s="165" t="e">
        <f t="shared" si="3"/>
        <v>#DIV/0!</v>
      </c>
      <c r="Y13" s="165" t="e">
        <f t="shared" si="3"/>
        <v>#DIV/0!</v>
      </c>
      <c r="Z13" s="165" t="e">
        <f t="shared" si="3"/>
        <v>#DIV/0!</v>
      </c>
      <c r="AC13" s="161"/>
    </row>
    <row r="14" spans="1:29" x14ac:dyDescent="0.3">
      <c r="A14" s="168" t="s">
        <v>417</v>
      </c>
      <c r="B14" s="175">
        <v>1251438.6800000002</v>
      </c>
      <c r="C14" s="175">
        <v>1015646.5800000001</v>
      </c>
      <c r="D14" s="175">
        <v>1062490.6200000001</v>
      </c>
      <c r="E14" s="175"/>
      <c r="F14" s="175"/>
      <c r="G14" s="175"/>
      <c r="H14" s="175"/>
      <c r="I14" s="175"/>
      <c r="J14" s="175"/>
      <c r="K14" s="175"/>
      <c r="L14" s="175"/>
      <c r="M14" s="175"/>
      <c r="O14" s="165">
        <f t="shared" si="3"/>
        <v>5.2296545606340485E-2</v>
      </c>
      <c r="P14" s="165">
        <f t="shared" si="3"/>
        <v>5.0220864133315155E-2</v>
      </c>
      <c r="Q14" s="165">
        <f t="shared" si="3"/>
        <v>5.0432237974961672E-2</v>
      </c>
      <c r="R14" s="165" t="e">
        <f t="shared" si="3"/>
        <v>#DIV/0!</v>
      </c>
      <c r="S14" s="165" t="e">
        <f t="shared" si="3"/>
        <v>#DIV/0!</v>
      </c>
      <c r="T14" s="165" t="e">
        <f t="shared" si="3"/>
        <v>#DIV/0!</v>
      </c>
      <c r="U14" s="165" t="e">
        <f t="shared" si="3"/>
        <v>#DIV/0!</v>
      </c>
      <c r="V14" s="165" t="e">
        <f t="shared" si="3"/>
        <v>#DIV/0!</v>
      </c>
      <c r="W14" s="165" t="e">
        <f t="shared" si="3"/>
        <v>#DIV/0!</v>
      </c>
      <c r="X14" s="165" t="e">
        <f t="shared" si="3"/>
        <v>#DIV/0!</v>
      </c>
      <c r="Y14" s="165" t="e">
        <f t="shared" si="3"/>
        <v>#DIV/0!</v>
      </c>
      <c r="Z14" s="165" t="e">
        <f t="shared" si="3"/>
        <v>#DIV/0!</v>
      </c>
    </row>
    <row r="15" spans="1:29" x14ac:dyDescent="0.3">
      <c r="B15" s="172">
        <f t="shared" ref="B15:D15" si="4">SUM(B12:B14)</f>
        <v>207859297.84000003</v>
      </c>
      <c r="C15" s="172">
        <f t="shared" si="4"/>
        <v>213683830.81</v>
      </c>
      <c r="D15" s="172">
        <f t="shared" si="4"/>
        <v>131133817.59999999</v>
      </c>
      <c r="E15" s="172">
        <f t="shared" ref="E15:M15" si="5">SUM(E12:E14)</f>
        <v>0</v>
      </c>
      <c r="F15" s="172">
        <f t="shared" si="5"/>
        <v>0</v>
      </c>
      <c r="G15" s="172">
        <f t="shared" si="5"/>
        <v>0</v>
      </c>
      <c r="H15" s="172">
        <f t="shared" si="5"/>
        <v>0</v>
      </c>
      <c r="I15" s="172">
        <f t="shared" si="5"/>
        <v>0</v>
      </c>
      <c r="J15" s="172">
        <f t="shared" si="5"/>
        <v>0</v>
      </c>
      <c r="K15" s="172">
        <f t="shared" si="5"/>
        <v>0</v>
      </c>
      <c r="L15" s="172">
        <f t="shared" si="5"/>
        <v>0</v>
      </c>
      <c r="M15" s="172">
        <f t="shared" si="5"/>
        <v>0</v>
      </c>
      <c r="O15" s="165">
        <f t="shared" si="3"/>
        <v>0.2958164962768346</v>
      </c>
      <c r="P15" s="165">
        <f t="shared" si="3"/>
        <v>0.31215267912990285</v>
      </c>
      <c r="Q15" s="165">
        <f t="shared" si="3"/>
        <v>0.20934806613036958</v>
      </c>
      <c r="R15" s="165" t="e">
        <f t="shared" si="3"/>
        <v>#DIV/0!</v>
      </c>
      <c r="S15" s="165" t="e">
        <f t="shared" si="3"/>
        <v>#DIV/0!</v>
      </c>
      <c r="T15" s="165" t="e">
        <f t="shared" si="3"/>
        <v>#DIV/0!</v>
      </c>
      <c r="U15" s="165" t="e">
        <f t="shared" si="3"/>
        <v>#DIV/0!</v>
      </c>
      <c r="V15" s="165" t="e">
        <f t="shared" si="3"/>
        <v>#DIV/0!</v>
      </c>
      <c r="W15" s="165" t="e">
        <f t="shared" si="3"/>
        <v>#DIV/0!</v>
      </c>
      <c r="X15" s="165" t="e">
        <f t="shared" si="3"/>
        <v>#DIV/0!</v>
      </c>
      <c r="Y15" s="165" t="e">
        <f t="shared" si="3"/>
        <v>#DIV/0!</v>
      </c>
      <c r="Z15" s="165" t="e">
        <f t="shared" si="3"/>
        <v>#DIV/0!</v>
      </c>
    </row>
    <row r="17" spans="1:26" x14ac:dyDescent="0.3">
      <c r="A17" s="160" t="s">
        <v>419</v>
      </c>
    </row>
    <row r="18" spans="1:26" x14ac:dyDescent="0.3">
      <c r="A18" s="162" t="s">
        <v>415</v>
      </c>
      <c r="B18" s="173">
        <f>B6+B12</f>
        <v>253933167.48999998</v>
      </c>
      <c r="C18" s="173">
        <f t="shared" ref="C18:M21" si="6">C6+C12</f>
        <v>250318790.56</v>
      </c>
      <c r="D18" s="173">
        <f t="shared" si="6"/>
        <v>266864581.97999999</v>
      </c>
      <c r="E18" s="173">
        <f t="shared" si="6"/>
        <v>0</v>
      </c>
      <c r="F18" s="173">
        <f t="shared" si="6"/>
        <v>0</v>
      </c>
      <c r="G18" s="173">
        <f t="shared" si="6"/>
        <v>0</v>
      </c>
      <c r="H18" s="173">
        <f t="shared" si="6"/>
        <v>0</v>
      </c>
      <c r="I18" s="173">
        <f t="shared" si="6"/>
        <v>0</v>
      </c>
      <c r="J18" s="173">
        <f t="shared" si="6"/>
        <v>0</v>
      </c>
      <c r="K18" s="173">
        <f t="shared" si="6"/>
        <v>0</v>
      </c>
      <c r="L18" s="173">
        <f t="shared" si="6"/>
        <v>0</v>
      </c>
      <c r="M18" s="173">
        <f t="shared" si="6"/>
        <v>0</v>
      </c>
      <c r="O18" s="171">
        <f t="shared" ref="O18:Z21" si="7">O6+O12</f>
        <v>1</v>
      </c>
      <c r="P18" s="171">
        <f t="shared" si="7"/>
        <v>1</v>
      </c>
      <c r="Q18" s="171">
        <f t="shared" si="7"/>
        <v>1</v>
      </c>
      <c r="R18" s="171" t="e">
        <f t="shared" si="7"/>
        <v>#DIV/0!</v>
      </c>
      <c r="S18" s="171" t="e">
        <f t="shared" si="7"/>
        <v>#DIV/0!</v>
      </c>
      <c r="T18" s="171" t="e">
        <f t="shared" si="7"/>
        <v>#DIV/0!</v>
      </c>
      <c r="U18" s="171" t="e">
        <f t="shared" si="7"/>
        <v>#DIV/0!</v>
      </c>
      <c r="V18" s="171" t="e">
        <f t="shared" si="7"/>
        <v>#DIV/0!</v>
      </c>
      <c r="W18" s="171" t="e">
        <f t="shared" si="7"/>
        <v>#DIV/0!</v>
      </c>
      <c r="X18" s="171" t="e">
        <f t="shared" si="7"/>
        <v>#DIV/0!</v>
      </c>
      <c r="Y18" s="171" t="e">
        <f t="shared" si="7"/>
        <v>#DIV/0!</v>
      </c>
      <c r="Z18" s="171" t="e">
        <f t="shared" si="7"/>
        <v>#DIV/0!</v>
      </c>
    </row>
    <row r="19" spans="1:26" x14ac:dyDescent="0.3">
      <c r="A19" s="166" t="s">
        <v>416</v>
      </c>
      <c r="B19" s="174">
        <f t="shared" ref="B19:B21" si="8">B7+B13</f>
        <v>424800140.10000002</v>
      </c>
      <c r="C19" s="174">
        <f t="shared" si="6"/>
        <v>414006695.96999997</v>
      </c>
      <c r="D19" s="174">
        <f t="shared" si="6"/>
        <v>338459079.93000001</v>
      </c>
      <c r="E19" s="174">
        <f t="shared" si="6"/>
        <v>0</v>
      </c>
      <c r="F19" s="174">
        <f t="shared" si="6"/>
        <v>0</v>
      </c>
      <c r="G19" s="174">
        <f t="shared" si="6"/>
        <v>0</v>
      </c>
      <c r="H19" s="174">
        <f t="shared" si="6"/>
        <v>0</v>
      </c>
      <c r="I19" s="174">
        <f t="shared" si="6"/>
        <v>0</v>
      </c>
      <c r="J19" s="174">
        <f t="shared" si="6"/>
        <v>0</v>
      </c>
      <c r="K19" s="174">
        <f t="shared" si="6"/>
        <v>0</v>
      </c>
      <c r="L19" s="174">
        <f t="shared" si="6"/>
        <v>0</v>
      </c>
      <c r="M19" s="174">
        <f t="shared" si="6"/>
        <v>0</v>
      </c>
      <c r="O19" s="171">
        <f t="shared" si="7"/>
        <v>1</v>
      </c>
      <c r="P19" s="171">
        <f t="shared" si="7"/>
        <v>1</v>
      </c>
      <c r="Q19" s="171">
        <f t="shared" si="7"/>
        <v>1</v>
      </c>
      <c r="R19" s="171" t="e">
        <f t="shared" si="7"/>
        <v>#DIV/0!</v>
      </c>
      <c r="S19" s="171" t="e">
        <f t="shared" si="7"/>
        <v>#DIV/0!</v>
      </c>
      <c r="T19" s="171" t="e">
        <f t="shared" si="7"/>
        <v>#DIV/0!</v>
      </c>
      <c r="U19" s="171" t="e">
        <f t="shared" si="7"/>
        <v>#DIV/0!</v>
      </c>
      <c r="V19" s="171" t="e">
        <f t="shared" si="7"/>
        <v>#DIV/0!</v>
      </c>
      <c r="W19" s="171" t="e">
        <f t="shared" si="7"/>
        <v>#DIV/0!</v>
      </c>
      <c r="X19" s="171" t="e">
        <f t="shared" si="7"/>
        <v>#DIV/0!</v>
      </c>
      <c r="Y19" s="171" t="e">
        <f t="shared" si="7"/>
        <v>#DIV/0!</v>
      </c>
      <c r="Z19" s="171" t="e">
        <f t="shared" si="7"/>
        <v>#DIV/0!</v>
      </c>
    </row>
    <row r="20" spans="1:26" x14ac:dyDescent="0.3">
      <c r="A20" s="168" t="s">
        <v>417</v>
      </c>
      <c r="B20" s="175">
        <f t="shared" si="8"/>
        <v>23929662.379999999</v>
      </c>
      <c r="C20" s="175">
        <f t="shared" si="6"/>
        <v>20223598.25</v>
      </c>
      <c r="D20" s="175">
        <f t="shared" si="6"/>
        <v>21067687.309999999</v>
      </c>
      <c r="E20" s="175">
        <f t="shared" si="6"/>
        <v>0</v>
      </c>
      <c r="F20" s="175">
        <f t="shared" si="6"/>
        <v>0</v>
      </c>
      <c r="G20" s="175">
        <f t="shared" si="6"/>
        <v>0</v>
      </c>
      <c r="H20" s="175">
        <f t="shared" si="6"/>
        <v>0</v>
      </c>
      <c r="I20" s="175">
        <f t="shared" si="6"/>
        <v>0</v>
      </c>
      <c r="J20" s="175">
        <f t="shared" si="6"/>
        <v>0</v>
      </c>
      <c r="K20" s="175">
        <f t="shared" si="6"/>
        <v>0</v>
      </c>
      <c r="L20" s="175">
        <f t="shared" si="6"/>
        <v>0</v>
      </c>
      <c r="M20" s="175">
        <f t="shared" si="6"/>
        <v>0</v>
      </c>
      <c r="O20" s="171">
        <f t="shared" si="7"/>
        <v>1</v>
      </c>
      <c r="P20" s="171">
        <f t="shared" si="7"/>
        <v>0.99999999999999989</v>
      </c>
      <c r="Q20" s="171">
        <f t="shared" si="7"/>
        <v>0.99999999999999989</v>
      </c>
      <c r="R20" s="171" t="e">
        <f t="shared" si="7"/>
        <v>#DIV/0!</v>
      </c>
      <c r="S20" s="171" t="e">
        <f t="shared" si="7"/>
        <v>#DIV/0!</v>
      </c>
      <c r="T20" s="171" t="e">
        <f t="shared" si="7"/>
        <v>#DIV/0!</v>
      </c>
      <c r="U20" s="171" t="e">
        <f t="shared" si="7"/>
        <v>#DIV/0!</v>
      </c>
      <c r="V20" s="171" t="e">
        <f t="shared" si="7"/>
        <v>#DIV/0!</v>
      </c>
      <c r="W20" s="171" t="e">
        <f t="shared" si="7"/>
        <v>#DIV/0!</v>
      </c>
      <c r="X20" s="171" t="e">
        <f t="shared" si="7"/>
        <v>#DIV/0!</v>
      </c>
      <c r="Y20" s="171" t="e">
        <f t="shared" si="7"/>
        <v>#DIV/0!</v>
      </c>
      <c r="Z20" s="171" t="e">
        <f t="shared" si="7"/>
        <v>#DIV/0!</v>
      </c>
    </row>
    <row r="21" spans="1:26" x14ac:dyDescent="0.3">
      <c r="B21" s="172">
        <f t="shared" si="8"/>
        <v>702662969.97000003</v>
      </c>
      <c r="C21" s="172">
        <f t="shared" si="6"/>
        <v>684549084.77999997</v>
      </c>
      <c r="D21" s="172">
        <f t="shared" si="6"/>
        <v>626391349.22000003</v>
      </c>
      <c r="E21" s="172">
        <f t="shared" si="6"/>
        <v>0</v>
      </c>
      <c r="F21" s="172">
        <f t="shared" si="6"/>
        <v>0</v>
      </c>
      <c r="G21" s="172">
        <f t="shared" si="6"/>
        <v>0</v>
      </c>
      <c r="H21" s="172">
        <f t="shared" si="6"/>
        <v>0</v>
      </c>
      <c r="I21" s="172">
        <f t="shared" si="6"/>
        <v>0</v>
      </c>
      <c r="J21" s="172">
        <f t="shared" si="6"/>
        <v>0</v>
      </c>
      <c r="K21" s="172">
        <f t="shared" si="6"/>
        <v>0</v>
      </c>
      <c r="L21" s="172">
        <f t="shared" si="6"/>
        <v>0</v>
      </c>
      <c r="M21" s="172">
        <f t="shared" si="6"/>
        <v>0</v>
      </c>
      <c r="O21" s="171">
        <f t="shared" si="7"/>
        <v>0.99999999999999989</v>
      </c>
      <c r="P21" s="171">
        <f t="shared" si="7"/>
        <v>1</v>
      </c>
      <c r="Q21" s="171">
        <f t="shared" si="7"/>
        <v>1</v>
      </c>
      <c r="R21" s="171" t="e">
        <f t="shared" si="7"/>
        <v>#DIV/0!</v>
      </c>
      <c r="S21" s="171" t="e">
        <f t="shared" si="7"/>
        <v>#DIV/0!</v>
      </c>
      <c r="T21" s="171" t="e">
        <f t="shared" si="7"/>
        <v>#DIV/0!</v>
      </c>
      <c r="U21" s="171" t="e">
        <f t="shared" si="7"/>
        <v>#DIV/0!</v>
      </c>
      <c r="V21" s="171" t="e">
        <f t="shared" si="7"/>
        <v>#DIV/0!</v>
      </c>
      <c r="W21" s="171" t="e">
        <f t="shared" si="7"/>
        <v>#DIV/0!</v>
      </c>
      <c r="X21" s="171" t="e">
        <f t="shared" si="7"/>
        <v>#DIV/0!</v>
      </c>
      <c r="Y21" s="171" t="e">
        <f t="shared" si="7"/>
        <v>#DIV/0!</v>
      </c>
      <c r="Z21" s="171" t="e">
        <f t="shared" si="7"/>
        <v>#DIV/0!</v>
      </c>
    </row>
    <row r="22" spans="1:26" x14ac:dyDescent="0.3"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  <row r="23" spans="1:26" x14ac:dyDescent="0.3">
      <c r="G23" s="161"/>
      <c r="H23" s="161"/>
      <c r="I23" s="161"/>
      <c r="J23" s="241"/>
      <c r="K23" s="241"/>
      <c r="L23" s="161"/>
    </row>
    <row r="24" spans="1:26" ht="15.6" customHeight="1" x14ac:dyDescent="0.3">
      <c r="A24" s="158" t="s">
        <v>420</v>
      </c>
      <c r="G24" s="241"/>
      <c r="H24" s="241"/>
      <c r="I24" s="241"/>
      <c r="J24" s="241"/>
      <c r="K24" s="241"/>
    </row>
    <row r="25" spans="1:26" x14ac:dyDescent="0.3">
      <c r="B25" s="159" t="s">
        <v>59</v>
      </c>
      <c r="C25" s="159" t="s">
        <v>60</v>
      </c>
      <c r="D25" s="159" t="s">
        <v>61</v>
      </c>
      <c r="E25" s="159" t="s">
        <v>62</v>
      </c>
      <c r="F25" s="159" t="s">
        <v>63</v>
      </c>
      <c r="G25" s="159" t="s">
        <v>64</v>
      </c>
      <c r="H25" s="159" t="s">
        <v>65</v>
      </c>
      <c r="I25" s="159" t="s">
        <v>66</v>
      </c>
      <c r="J25" s="159" t="s">
        <v>67</v>
      </c>
      <c r="K25" s="159" t="s">
        <v>68</v>
      </c>
      <c r="L25" s="159" t="s">
        <v>69</v>
      </c>
      <c r="M25" s="159" t="s">
        <v>70</v>
      </c>
      <c r="O25" s="159" t="s">
        <v>59</v>
      </c>
      <c r="P25" s="159" t="s">
        <v>60</v>
      </c>
      <c r="Q25" s="159" t="s">
        <v>61</v>
      </c>
      <c r="R25" s="159" t="s">
        <v>62</v>
      </c>
      <c r="S25" s="159" t="s">
        <v>63</v>
      </c>
      <c r="T25" s="159" t="s">
        <v>64</v>
      </c>
      <c r="U25" s="159" t="s">
        <v>65</v>
      </c>
      <c r="V25" s="159" t="s">
        <v>66</v>
      </c>
      <c r="W25" s="159" t="s">
        <v>67</v>
      </c>
      <c r="X25" s="159" t="s">
        <v>68</v>
      </c>
      <c r="Y25" s="159" t="s">
        <v>69</v>
      </c>
      <c r="Z25" s="159" t="s">
        <v>70</v>
      </c>
    </row>
    <row r="26" spans="1:26" x14ac:dyDescent="0.3">
      <c r="A26" s="160" t="s">
        <v>414</v>
      </c>
      <c r="B26" s="161"/>
      <c r="C26" s="161"/>
      <c r="D26" s="161"/>
      <c r="J26" s="161"/>
      <c r="K26" s="161"/>
      <c r="L26" s="161"/>
      <c r="M26" s="161"/>
    </row>
    <row r="27" spans="1:26" x14ac:dyDescent="0.3">
      <c r="A27" s="162" t="s">
        <v>415</v>
      </c>
      <c r="B27" s="173">
        <v>1398443632.5700002</v>
      </c>
      <c r="C27" s="173">
        <v>1376767619.4499998</v>
      </c>
      <c r="D27" s="173">
        <v>1512927315.3699999</v>
      </c>
      <c r="E27" s="173"/>
      <c r="F27" s="173"/>
      <c r="G27" s="173"/>
      <c r="H27" s="173"/>
      <c r="I27" s="173"/>
      <c r="J27" s="173"/>
      <c r="K27" s="173"/>
      <c r="L27" s="173"/>
      <c r="M27" s="173"/>
      <c r="O27" s="165">
        <f t="shared" ref="O27:Z30" si="9">B27/B39</f>
        <v>0.7946202738111946</v>
      </c>
      <c r="P27" s="165">
        <f t="shared" si="9"/>
        <v>0.7965271772653707</v>
      </c>
      <c r="Q27" s="165">
        <f t="shared" si="9"/>
        <v>0.82262744597073378</v>
      </c>
      <c r="R27" s="165" t="e">
        <f t="shared" si="9"/>
        <v>#DIV/0!</v>
      </c>
      <c r="S27" s="165" t="e">
        <f t="shared" si="9"/>
        <v>#DIV/0!</v>
      </c>
      <c r="T27" s="165" t="e">
        <f t="shared" si="9"/>
        <v>#DIV/0!</v>
      </c>
      <c r="U27" s="165" t="e">
        <f t="shared" si="9"/>
        <v>#DIV/0!</v>
      </c>
      <c r="V27" s="165" t="e">
        <f t="shared" si="9"/>
        <v>#DIV/0!</v>
      </c>
      <c r="W27" s="165" t="e">
        <f t="shared" si="9"/>
        <v>#DIV/0!</v>
      </c>
      <c r="X27" s="165" t="e">
        <f t="shared" si="9"/>
        <v>#DIV/0!</v>
      </c>
      <c r="Y27" s="165" t="e">
        <f t="shared" si="9"/>
        <v>#DIV/0!</v>
      </c>
      <c r="Z27" s="165" t="e">
        <f t="shared" si="9"/>
        <v>#DIV/0!</v>
      </c>
    </row>
    <row r="28" spans="1:26" x14ac:dyDescent="0.3">
      <c r="A28" s="166" t="s">
        <v>416</v>
      </c>
      <c r="B28" s="174">
        <v>2352041711.6500001</v>
      </c>
      <c r="C28" s="174">
        <v>2238702328.4700003</v>
      </c>
      <c r="D28" s="174">
        <v>2364077514.8699999</v>
      </c>
      <c r="E28" s="174"/>
      <c r="F28" s="174"/>
      <c r="G28" s="174"/>
      <c r="H28" s="174"/>
      <c r="I28" s="174"/>
      <c r="J28" s="174"/>
      <c r="K28" s="174"/>
      <c r="L28" s="174"/>
      <c r="M28" s="174"/>
      <c r="O28" s="165">
        <f t="shared" si="9"/>
        <v>0.71027087978931069</v>
      </c>
      <c r="P28" s="165">
        <f t="shared" si="9"/>
        <v>0.70433280542695698</v>
      </c>
      <c r="Q28" s="165">
        <f t="shared" si="9"/>
        <v>0.8039952079086371</v>
      </c>
      <c r="R28" s="165" t="e">
        <f t="shared" si="9"/>
        <v>#DIV/0!</v>
      </c>
      <c r="S28" s="165" t="e">
        <f t="shared" si="9"/>
        <v>#DIV/0!</v>
      </c>
      <c r="T28" s="165" t="e">
        <f t="shared" si="9"/>
        <v>#DIV/0!</v>
      </c>
      <c r="U28" s="165" t="e">
        <f t="shared" si="9"/>
        <v>#DIV/0!</v>
      </c>
      <c r="V28" s="165" t="e">
        <f t="shared" si="9"/>
        <v>#DIV/0!</v>
      </c>
      <c r="W28" s="165" t="e">
        <f t="shared" si="9"/>
        <v>#DIV/0!</v>
      </c>
      <c r="X28" s="165" t="e">
        <f t="shared" si="9"/>
        <v>#DIV/0!</v>
      </c>
      <c r="Y28" s="165" t="e">
        <f t="shared" si="9"/>
        <v>#DIV/0!</v>
      </c>
      <c r="Z28" s="165" t="e">
        <f t="shared" si="9"/>
        <v>#DIV/0!</v>
      </c>
    </row>
    <row r="29" spans="1:26" x14ac:dyDescent="0.3">
      <c r="A29" s="168" t="s">
        <v>417</v>
      </c>
      <c r="B29" s="175">
        <v>66514700.550000004</v>
      </c>
      <c r="C29" s="175">
        <v>56503442.230000004</v>
      </c>
      <c r="D29" s="175">
        <v>58695124.920000002</v>
      </c>
      <c r="E29" s="175"/>
      <c r="F29" s="175"/>
      <c r="G29" s="175"/>
      <c r="H29" s="175"/>
      <c r="I29" s="175"/>
      <c r="J29" s="175"/>
      <c r="K29" s="175"/>
      <c r="L29" s="175"/>
      <c r="M29" s="175"/>
      <c r="O29" s="165">
        <f t="shared" si="9"/>
        <v>0.93203659824373897</v>
      </c>
      <c r="P29" s="165">
        <f t="shared" si="9"/>
        <v>0.9359335826867613</v>
      </c>
      <c r="Q29" s="165">
        <f t="shared" si="9"/>
        <v>0.9338289696103329</v>
      </c>
      <c r="R29" s="165" t="e">
        <f t="shared" si="9"/>
        <v>#DIV/0!</v>
      </c>
      <c r="S29" s="165" t="e">
        <f t="shared" si="9"/>
        <v>#DIV/0!</v>
      </c>
      <c r="T29" s="165" t="e">
        <f t="shared" si="9"/>
        <v>#DIV/0!</v>
      </c>
      <c r="U29" s="165" t="e">
        <f t="shared" si="9"/>
        <v>#DIV/0!</v>
      </c>
      <c r="V29" s="165" t="e">
        <f t="shared" si="9"/>
        <v>#DIV/0!</v>
      </c>
      <c r="W29" s="165" t="e">
        <f t="shared" si="9"/>
        <v>#DIV/0!</v>
      </c>
      <c r="X29" s="165" t="e">
        <f t="shared" si="9"/>
        <v>#DIV/0!</v>
      </c>
      <c r="Y29" s="165" t="e">
        <f t="shared" si="9"/>
        <v>#DIV/0!</v>
      </c>
      <c r="Z29" s="165" t="e">
        <f t="shared" si="9"/>
        <v>#DIV/0!</v>
      </c>
    </row>
    <row r="30" spans="1:26" x14ac:dyDescent="0.3">
      <c r="B30" s="172">
        <f t="shared" ref="B30:D30" si="10">SUM(B27:B29)</f>
        <v>3817000044.7700005</v>
      </c>
      <c r="C30" s="172">
        <f t="shared" si="10"/>
        <v>3671973390.1500001</v>
      </c>
      <c r="D30" s="172">
        <f t="shared" si="10"/>
        <v>3935699955.1599998</v>
      </c>
      <c r="E30" s="172">
        <f t="shared" ref="E30:M30" si="11">SUM(E27:E29)</f>
        <v>0</v>
      </c>
      <c r="F30" s="172">
        <f t="shared" si="11"/>
        <v>0</v>
      </c>
      <c r="G30" s="172">
        <f t="shared" si="11"/>
        <v>0</v>
      </c>
      <c r="H30" s="172">
        <f t="shared" si="11"/>
        <v>0</v>
      </c>
      <c r="I30" s="172">
        <f t="shared" si="11"/>
        <v>0</v>
      </c>
      <c r="J30" s="172">
        <f t="shared" si="11"/>
        <v>0</v>
      </c>
      <c r="K30" s="172">
        <f t="shared" si="11"/>
        <v>0</v>
      </c>
      <c r="L30" s="172">
        <f t="shared" si="11"/>
        <v>0</v>
      </c>
      <c r="M30" s="172">
        <f t="shared" si="11"/>
        <v>0</v>
      </c>
      <c r="O30" s="165">
        <f t="shared" si="9"/>
        <v>0.74221345102066572</v>
      </c>
      <c r="P30" s="165">
        <f t="shared" si="9"/>
        <v>0.73922829027096704</v>
      </c>
      <c r="Q30" s="165">
        <f t="shared" si="9"/>
        <v>0.81275694658397379</v>
      </c>
      <c r="R30" s="165" t="e">
        <f t="shared" si="9"/>
        <v>#DIV/0!</v>
      </c>
      <c r="S30" s="165" t="e">
        <f t="shared" si="9"/>
        <v>#DIV/0!</v>
      </c>
      <c r="T30" s="165" t="e">
        <f t="shared" si="9"/>
        <v>#DIV/0!</v>
      </c>
      <c r="U30" s="165" t="e">
        <f t="shared" si="9"/>
        <v>#DIV/0!</v>
      </c>
      <c r="V30" s="165" t="e">
        <f t="shared" si="9"/>
        <v>#DIV/0!</v>
      </c>
      <c r="W30" s="165" t="e">
        <f t="shared" si="9"/>
        <v>#DIV/0!</v>
      </c>
      <c r="X30" s="165" t="e">
        <f t="shared" si="9"/>
        <v>#DIV/0!</v>
      </c>
      <c r="Y30" s="165" t="e">
        <f t="shared" si="9"/>
        <v>#DIV/0!</v>
      </c>
      <c r="Z30" s="165" t="e">
        <f t="shared" si="9"/>
        <v>#DIV/0!</v>
      </c>
    </row>
    <row r="32" spans="1:26" x14ac:dyDescent="0.3">
      <c r="A32" s="160" t="s">
        <v>418</v>
      </c>
    </row>
    <row r="33" spans="1:29" x14ac:dyDescent="0.3">
      <c r="A33" s="162" t="s">
        <v>415</v>
      </c>
      <c r="B33" s="173">
        <v>361445560.61999995</v>
      </c>
      <c r="C33" s="173">
        <v>351695211.12999994</v>
      </c>
      <c r="D33" s="173">
        <v>326213018.18000001</v>
      </c>
      <c r="E33" s="173"/>
      <c r="F33" s="173"/>
      <c r="G33" s="173"/>
      <c r="H33" s="173"/>
      <c r="I33" s="173"/>
      <c r="J33" s="173"/>
      <c r="K33" s="173"/>
      <c r="L33" s="173"/>
      <c r="M33" s="173"/>
      <c r="O33" s="165">
        <f t="shared" ref="O33:Z36" si="12">B33/B39</f>
        <v>0.20537972618880546</v>
      </c>
      <c r="P33" s="165">
        <f t="shared" si="12"/>
        <v>0.20347282273462933</v>
      </c>
      <c r="Q33" s="165">
        <f t="shared" si="12"/>
        <v>0.17737255402926619</v>
      </c>
      <c r="R33" s="165" t="e">
        <f t="shared" si="12"/>
        <v>#DIV/0!</v>
      </c>
      <c r="S33" s="165" t="e">
        <f t="shared" si="12"/>
        <v>#DIV/0!</v>
      </c>
      <c r="T33" s="165" t="e">
        <f t="shared" si="12"/>
        <v>#DIV/0!</v>
      </c>
      <c r="U33" s="165" t="e">
        <f t="shared" si="12"/>
        <v>#DIV/0!</v>
      </c>
      <c r="V33" s="165" t="e">
        <f t="shared" si="12"/>
        <v>#DIV/0!</v>
      </c>
      <c r="W33" s="165" t="e">
        <f t="shared" si="12"/>
        <v>#DIV/0!</v>
      </c>
      <c r="X33" s="165" t="e">
        <f t="shared" si="12"/>
        <v>#DIV/0!</v>
      </c>
      <c r="Y33" s="165" t="e">
        <f t="shared" si="12"/>
        <v>#DIV/0!</v>
      </c>
      <c r="Z33" s="165" t="e">
        <f t="shared" si="12"/>
        <v>#DIV/0!</v>
      </c>
    </row>
    <row r="34" spans="1:29" x14ac:dyDescent="0.3">
      <c r="A34" s="166" t="s">
        <v>416</v>
      </c>
      <c r="B34" s="174">
        <v>959429698.16999984</v>
      </c>
      <c r="C34" s="174">
        <v>939769994.87</v>
      </c>
      <c r="D34" s="174">
        <v>576334929.89999998</v>
      </c>
      <c r="E34" s="174"/>
      <c r="F34" s="174"/>
      <c r="G34" s="174"/>
      <c r="H34" s="174"/>
      <c r="I34" s="174"/>
      <c r="J34" s="174"/>
      <c r="K34" s="174"/>
      <c r="L34" s="174"/>
      <c r="M34" s="174"/>
      <c r="O34" s="165">
        <f t="shared" si="12"/>
        <v>0.28972912021068942</v>
      </c>
      <c r="P34" s="165">
        <f t="shared" si="12"/>
        <v>0.29566719457304302</v>
      </c>
      <c r="Q34" s="165">
        <f t="shared" si="12"/>
        <v>0.1960047920913629</v>
      </c>
      <c r="R34" s="165" t="e">
        <f t="shared" si="12"/>
        <v>#DIV/0!</v>
      </c>
      <c r="S34" s="165" t="e">
        <f t="shared" si="12"/>
        <v>#DIV/0!</v>
      </c>
      <c r="T34" s="165" t="e">
        <f t="shared" si="12"/>
        <v>#DIV/0!</v>
      </c>
      <c r="U34" s="165" t="e">
        <f t="shared" si="12"/>
        <v>#DIV/0!</v>
      </c>
      <c r="V34" s="165" t="e">
        <f t="shared" si="12"/>
        <v>#DIV/0!</v>
      </c>
      <c r="W34" s="165" t="e">
        <f t="shared" si="12"/>
        <v>#DIV/0!</v>
      </c>
      <c r="X34" s="165" t="e">
        <f t="shared" si="12"/>
        <v>#DIV/0!</v>
      </c>
      <c r="Y34" s="165" t="e">
        <f t="shared" si="12"/>
        <v>#DIV/0!</v>
      </c>
      <c r="Z34" s="165" t="e">
        <f t="shared" si="12"/>
        <v>#DIV/0!</v>
      </c>
      <c r="AC34" s="161"/>
    </row>
    <row r="35" spans="1:29" x14ac:dyDescent="0.3">
      <c r="A35" s="168" t="s">
        <v>417</v>
      </c>
      <c r="B35" s="175">
        <v>4850201.51</v>
      </c>
      <c r="C35" s="175">
        <v>3867767.09</v>
      </c>
      <c r="D35" s="175">
        <v>4159130.8699999996</v>
      </c>
      <c r="E35" s="175"/>
      <c r="F35" s="175"/>
      <c r="G35" s="175"/>
      <c r="H35" s="175"/>
      <c r="I35" s="175"/>
      <c r="J35" s="175"/>
      <c r="K35" s="175"/>
      <c r="L35" s="175"/>
      <c r="M35" s="175"/>
      <c r="O35" s="165">
        <f t="shared" si="12"/>
        <v>6.7963401756261019E-2</v>
      </c>
      <c r="P35" s="165">
        <f t="shared" si="12"/>
        <v>6.4066417313238602E-2</v>
      </c>
      <c r="Q35" s="165">
        <f t="shared" si="12"/>
        <v>6.617103038966711E-2</v>
      </c>
      <c r="R35" s="165" t="e">
        <f t="shared" si="12"/>
        <v>#DIV/0!</v>
      </c>
      <c r="S35" s="165" t="e">
        <f t="shared" si="12"/>
        <v>#DIV/0!</v>
      </c>
      <c r="T35" s="165" t="e">
        <f t="shared" si="12"/>
        <v>#DIV/0!</v>
      </c>
      <c r="U35" s="165" t="e">
        <f t="shared" si="12"/>
        <v>#DIV/0!</v>
      </c>
      <c r="V35" s="165" t="e">
        <f t="shared" si="12"/>
        <v>#DIV/0!</v>
      </c>
      <c r="W35" s="165" t="e">
        <f t="shared" si="12"/>
        <v>#DIV/0!</v>
      </c>
      <c r="X35" s="165" t="e">
        <f t="shared" si="12"/>
        <v>#DIV/0!</v>
      </c>
      <c r="Y35" s="165" t="e">
        <f t="shared" si="12"/>
        <v>#DIV/0!</v>
      </c>
      <c r="Z35" s="165" t="e">
        <f t="shared" si="12"/>
        <v>#DIV/0!</v>
      </c>
    </row>
    <row r="36" spans="1:29" x14ac:dyDescent="0.3">
      <c r="B36" s="172">
        <f t="shared" ref="B36:D36" si="13">SUM(B33:B35)</f>
        <v>1325725460.2999997</v>
      </c>
      <c r="C36" s="172">
        <f t="shared" si="13"/>
        <v>1295332973.0899999</v>
      </c>
      <c r="D36" s="172">
        <f t="shared" si="13"/>
        <v>906707078.94999993</v>
      </c>
      <c r="E36" s="172">
        <f t="shared" ref="E36:M36" si="14">SUM(E33:E35)</f>
        <v>0</v>
      </c>
      <c r="F36" s="172">
        <f t="shared" si="14"/>
        <v>0</v>
      </c>
      <c r="G36" s="172">
        <f t="shared" si="14"/>
        <v>0</v>
      </c>
      <c r="H36" s="172">
        <f t="shared" si="14"/>
        <v>0</v>
      </c>
      <c r="I36" s="172">
        <f t="shared" si="14"/>
        <v>0</v>
      </c>
      <c r="J36" s="172">
        <f t="shared" si="14"/>
        <v>0</v>
      </c>
      <c r="K36" s="172">
        <f t="shared" si="14"/>
        <v>0</v>
      </c>
      <c r="L36" s="172">
        <f t="shared" si="14"/>
        <v>0</v>
      </c>
      <c r="M36" s="172">
        <f t="shared" si="14"/>
        <v>0</v>
      </c>
      <c r="O36" s="165">
        <f t="shared" si="12"/>
        <v>0.2577865489793344</v>
      </c>
      <c r="P36" s="165">
        <f t="shared" si="12"/>
        <v>0.26077170972903302</v>
      </c>
      <c r="Q36" s="165">
        <f t="shared" si="12"/>
        <v>0.18724305341602626</v>
      </c>
      <c r="R36" s="165" t="e">
        <f t="shared" si="12"/>
        <v>#DIV/0!</v>
      </c>
      <c r="S36" s="165" t="e">
        <f t="shared" si="12"/>
        <v>#DIV/0!</v>
      </c>
      <c r="T36" s="165" t="e">
        <f t="shared" si="12"/>
        <v>#DIV/0!</v>
      </c>
      <c r="U36" s="165" t="e">
        <f t="shared" si="12"/>
        <v>#DIV/0!</v>
      </c>
      <c r="V36" s="165" t="e">
        <f t="shared" si="12"/>
        <v>#DIV/0!</v>
      </c>
      <c r="W36" s="165" t="e">
        <f t="shared" si="12"/>
        <v>#DIV/0!</v>
      </c>
      <c r="X36" s="165" t="e">
        <f t="shared" si="12"/>
        <v>#DIV/0!</v>
      </c>
      <c r="Y36" s="165" t="e">
        <f t="shared" si="12"/>
        <v>#DIV/0!</v>
      </c>
      <c r="Z36" s="165" t="e">
        <f t="shared" si="12"/>
        <v>#DIV/0!</v>
      </c>
    </row>
    <row r="38" spans="1:29" x14ac:dyDescent="0.3">
      <c r="A38" s="160" t="s">
        <v>419</v>
      </c>
    </row>
    <row r="39" spans="1:29" x14ac:dyDescent="0.3">
      <c r="A39" s="162" t="s">
        <v>415</v>
      </c>
      <c r="B39" s="173">
        <f>B27+B33</f>
        <v>1759889193.1900001</v>
      </c>
      <c r="C39" s="173">
        <f t="shared" ref="C39:M42" si="15">C27+C33</f>
        <v>1728462830.5799997</v>
      </c>
      <c r="D39" s="173">
        <f t="shared" si="15"/>
        <v>1839140333.55</v>
      </c>
      <c r="E39" s="173">
        <f t="shared" si="15"/>
        <v>0</v>
      </c>
      <c r="F39" s="173">
        <f t="shared" si="15"/>
        <v>0</v>
      </c>
      <c r="G39" s="173">
        <f t="shared" si="15"/>
        <v>0</v>
      </c>
      <c r="H39" s="173">
        <f t="shared" si="15"/>
        <v>0</v>
      </c>
      <c r="I39" s="173">
        <f t="shared" si="15"/>
        <v>0</v>
      </c>
      <c r="J39" s="173">
        <f t="shared" si="15"/>
        <v>0</v>
      </c>
      <c r="K39" s="173">
        <f t="shared" si="15"/>
        <v>0</v>
      </c>
      <c r="L39" s="173">
        <f t="shared" si="15"/>
        <v>0</v>
      </c>
      <c r="M39" s="173">
        <f t="shared" si="15"/>
        <v>0</v>
      </c>
      <c r="O39" s="171">
        <f t="shared" ref="O39:Z42" si="16">O27+O33</f>
        <v>1</v>
      </c>
      <c r="P39" s="171">
        <f t="shared" si="16"/>
        <v>1</v>
      </c>
      <c r="Q39" s="171">
        <f t="shared" si="16"/>
        <v>1</v>
      </c>
      <c r="R39" s="171" t="e">
        <f t="shared" si="16"/>
        <v>#DIV/0!</v>
      </c>
      <c r="S39" s="171" t="e">
        <f t="shared" si="16"/>
        <v>#DIV/0!</v>
      </c>
      <c r="T39" s="171" t="e">
        <f t="shared" si="16"/>
        <v>#DIV/0!</v>
      </c>
      <c r="U39" s="171" t="e">
        <f t="shared" si="16"/>
        <v>#DIV/0!</v>
      </c>
      <c r="V39" s="171" t="e">
        <f t="shared" si="16"/>
        <v>#DIV/0!</v>
      </c>
      <c r="W39" s="171" t="e">
        <f t="shared" si="16"/>
        <v>#DIV/0!</v>
      </c>
      <c r="X39" s="171" t="e">
        <f t="shared" si="16"/>
        <v>#DIV/0!</v>
      </c>
      <c r="Y39" s="171" t="e">
        <f t="shared" si="16"/>
        <v>#DIV/0!</v>
      </c>
      <c r="Z39" s="171" t="e">
        <f t="shared" si="16"/>
        <v>#DIV/0!</v>
      </c>
    </row>
    <row r="40" spans="1:29" x14ac:dyDescent="0.3">
      <c r="A40" s="166" t="s">
        <v>416</v>
      </c>
      <c r="B40" s="174">
        <f t="shared" ref="B40:B42" si="17">B28+B34</f>
        <v>3311471409.8199997</v>
      </c>
      <c r="C40" s="174">
        <f t="shared" si="15"/>
        <v>3178472323.3400002</v>
      </c>
      <c r="D40" s="174">
        <f t="shared" si="15"/>
        <v>2940412444.77</v>
      </c>
      <c r="E40" s="174">
        <f t="shared" si="15"/>
        <v>0</v>
      </c>
      <c r="F40" s="174">
        <f t="shared" si="15"/>
        <v>0</v>
      </c>
      <c r="G40" s="174">
        <f t="shared" si="15"/>
        <v>0</v>
      </c>
      <c r="H40" s="174">
        <f t="shared" si="15"/>
        <v>0</v>
      </c>
      <c r="I40" s="174">
        <f t="shared" si="15"/>
        <v>0</v>
      </c>
      <c r="J40" s="174">
        <f t="shared" si="15"/>
        <v>0</v>
      </c>
      <c r="K40" s="174">
        <f t="shared" si="15"/>
        <v>0</v>
      </c>
      <c r="L40" s="174">
        <f t="shared" si="15"/>
        <v>0</v>
      </c>
      <c r="M40" s="174">
        <f t="shared" si="15"/>
        <v>0</v>
      </c>
      <c r="O40" s="171">
        <f t="shared" si="16"/>
        <v>1</v>
      </c>
      <c r="P40" s="171">
        <f t="shared" si="16"/>
        <v>1</v>
      </c>
      <c r="Q40" s="171">
        <f t="shared" si="16"/>
        <v>1</v>
      </c>
      <c r="R40" s="171" t="e">
        <f t="shared" si="16"/>
        <v>#DIV/0!</v>
      </c>
      <c r="S40" s="171" t="e">
        <f t="shared" si="16"/>
        <v>#DIV/0!</v>
      </c>
      <c r="T40" s="171" t="e">
        <f t="shared" si="16"/>
        <v>#DIV/0!</v>
      </c>
      <c r="U40" s="171" t="e">
        <f t="shared" si="16"/>
        <v>#DIV/0!</v>
      </c>
      <c r="V40" s="171" t="e">
        <f t="shared" si="16"/>
        <v>#DIV/0!</v>
      </c>
      <c r="W40" s="171" t="e">
        <f t="shared" si="16"/>
        <v>#DIV/0!</v>
      </c>
      <c r="X40" s="171" t="e">
        <f t="shared" si="16"/>
        <v>#DIV/0!</v>
      </c>
      <c r="Y40" s="171" t="e">
        <f t="shared" si="16"/>
        <v>#DIV/0!</v>
      </c>
      <c r="Z40" s="171" t="e">
        <f t="shared" si="16"/>
        <v>#DIV/0!</v>
      </c>
    </row>
    <row r="41" spans="1:29" x14ac:dyDescent="0.3">
      <c r="A41" s="168" t="s">
        <v>417</v>
      </c>
      <c r="B41" s="175">
        <f t="shared" si="17"/>
        <v>71364902.060000002</v>
      </c>
      <c r="C41" s="175">
        <f t="shared" si="15"/>
        <v>60371209.320000008</v>
      </c>
      <c r="D41" s="175">
        <f t="shared" si="15"/>
        <v>62854255.789999999</v>
      </c>
      <c r="E41" s="175">
        <f t="shared" si="15"/>
        <v>0</v>
      </c>
      <c r="F41" s="175">
        <f t="shared" si="15"/>
        <v>0</v>
      </c>
      <c r="G41" s="175">
        <f t="shared" si="15"/>
        <v>0</v>
      </c>
      <c r="H41" s="175">
        <f t="shared" si="15"/>
        <v>0</v>
      </c>
      <c r="I41" s="175">
        <f t="shared" si="15"/>
        <v>0</v>
      </c>
      <c r="J41" s="175">
        <f t="shared" si="15"/>
        <v>0</v>
      </c>
      <c r="K41" s="175">
        <f t="shared" si="15"/>
        <v>0</v>
      </c>
      <c r="L41" s="175">
        <f t="shared" si="15"/>
        <v>0</v>
      </c>
      <c r="M41" s="175">
        <f t="shared" si="15"/>
        <v>0</v>
      </c>
      <c r="O41" s="171">
        <f t="shared" si="16"/>
        <v>1</v>
      </c>
      <c r="P41" s="171">
        <f t="shared" si="16"/>
        <v>0.99999999999999989</v>
      </c>
      <c r="Q41" s="171">
        <f t="shared" si="16"/>
        <v>1</v>
      </c>
      <c r="R41" s="171" t="e">
        <f t="shared" si="16"/>
        <v>#DIV/0!</v>
      </c>
      <c r="S41" s="171" t="e">
        <f t="shared" si="16"/>
        <v>#DIV/0!</v>
      </c>
      <c r="T41" s="171" t="e">
        <f t="shared" si="16"/>
        <v>#DIV/0!</v>
      </c>
      <c r="U41" s="171" t="e">
        <f t="shared" si="16"/>
        <v>#DIV/0!</v>
      </c>
      <c r="V41" s="171" t="e">
        <f t="shared" si="16"/>
        <v>#DIV/0!</v>
      </c>
      <c r="W41" s="171" t="e">
        <f t="shared" si="16"/>
        <v>#DIV/0!</v>
      </c>
      <c r="X41" s="171" t="e">
        <f t="shared" si="16"/>
        <v>#DIV/0!</v>
      </c>
      <c r="Y41" s="171" t="e">
        <f t="shared" si="16"/>
        <v>#DIV/0!</v>
      </c>
      <c r="Z41" s="171" t="e">
        <f t="shared" si="16"/>
        <v>#DIV/0!</v>
      </c>
    </row>
    <row r="42" spans="1:29" x14ac:dyDescent="0.3">
      <c r="B42" s="172">
        <f t="shared" si="17"/>
        <v>5142725505.0699997</v>
      </c>
      <c r="C42" s="172">
        <f t="shared" si="15"/>
        <v>4967306363.2399998</v>
      </c>
      <c r="D42" s="172">
        <f t="shared" si="15"/>
        <v>4842407034.1099997</v>
      </c>
      <c r="E42" s="172">
        <f t="shared" si="15"/>
        <v>0</v>
      </c>
      <c r="F42" s="172">
        <f t="shared" si="15"/>
        <v>0</v>
      </c>
      <c r="G42" s="172">
        <f t="shared" si="15"/>
        <v>0</v>
      </c>
      <c r="H42" s="172">
        <f t="shared" si="15"/>
        <v>0</v>
      </c>
      <c r="I42" s="172">
        <f t="shared" si="15"/>
        <v>0</v>
      </c>
      <c r="J42" s="172">
        <f t="shared" si="15"/>
        <v>0</v>
      </c>
      <c r="K42" s="172">
        <f t="shared" si="15"/>
        <v>0</v>
      </c>
      <c r="L42" s="172">
        <f t="shared" si="15"/>
        <v>0</v>
      </c>
      <c r="M42" s="172">
        <f t="shared" si="15"/>
        <v>0</v>
      </c>
      <c r="O42" s="171">
        <f t="shared" si="16"/>
        <v>1</v>
      </c>
      <c r="P42" s="171">
        <f t="shared" si="16"/>
        <v>1</v>
      </c>
      <c r="Q42" s="171">
        <f t="shared" si="16"/>
        <v>1</v>
      </c>
      <c r="R42" s="171" t="e">
        <f t="shared" si="16"/>
        <v>#DIV/0!</v>
      </c>
      <c r="S42" s="171" t="e">
        <f t="shared" si="16"/>
        <v>#DIV/0!</v>
      </c>
      <c r="T42" s="171" t="e">
        <f t="shared" si="16"/>
        <v>#DIV/0!</v>
      </c>
      <c r="U42" s="171" t="e">
        <f t="shared" si="16"/>
        <v>#DIV/0!</v>
      </c>
      <c r="V42" s="171" t="e">
        <f t="shared" si="16"/>
        <v>#DIV/0!</v>
      </c>
      <c r="W42" s="171" t="e">
        <f t="shared" si="16"/>
        <v>#DIV/0!</v>
      </c>
      <c r="X42" s="171" t="e">
        <f t="shared" si="16"/>
        <v>#DIV/0!</v>
      </c>
      <c r="Y42" s="171" t="e">
        <f t="shared" si="16"/>
        <v>#DIV/0!</v>
      </c>
      <c r="Z42" s="171" t="e">
        <f t="shared" si="16"/>
        <v>#DIV/0!</v>
      </c>
    </row>
    <row r="43" spans="1:29" x14ac:dyDescent="0.3"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</row>
    <row r="45" spans="1:29" ht="15.6" customHeight="1" x14ac:dyDescent="0.3">
      <c r="A45" s="158" t="s">
        <v>421</v>
      </c>
    </row>
    <row r="46" spans="1:29" x14ac:dyDescent="0.3">
      <c r="B46" s="159" t="s">
        <v>59</v>
      </c>
      <c r="C46" s="159" t="s">
        <v>60</v>
      </c>
      <c r="D46" s="159" t="s">
        <v>61</v>
      </c>
      <c r="E46" s="159" t="s">
        <v>62</v>
      </c>
      <c r="F46" s="159" t="s">
        <v>63</v>
      </c>
      <c r="G46" s="159" t="s">
        <v>64</v>
      </c>
      <c r="H46" s="159" t="s">
        <v>65</v>
      </c>
      <c r="I46" s="159" t="s">
        <v>66</v>
      </c>
      <c r="J46" s="159" t="s">
        <v>67</v>
      </c>
      <c r="K46" s="159" t="s">
        <v>68</v>
      </c>
      <c r="L46" s="159" t="s">
        <v>69</v>
      </c>
      <c r="M46" s="159" t="s">
        <v>70</v>
      </c>
      <c r="O46" s="159" t="s">
        <v>59</v>
      </c>
      <c r="P46" s="159" t="s">
        <v>60</v>
      </c>
      <c r="Q46" s="159" t="s">
        <v>61</v>
      </c>
      <c r="R46" s="159" t="s">
        <v>62</v>
      </c>
      <c r="S46" s="159" t="s">
        <v>63</v>
      </c>
      <c r="T46" s="159" t="s">
        <v>64</v>
      </c>
      <c r="U46" s="159" t="s">
        <v>65</v>
      </c>
      <c r="V46" s="159" t="s">
        <v>66</v>
      </c>
      <c r="W46" s="159" t="s">
        <v>67</v>
      </c>
      <c r="X46" s="159" t="s">
        <v>68</v>
      </c>
      <c r="Y46" s="159" t="s">
        <v>69</v>
      </c>
      <c r="Z46" s="159" t="s">
        <v>70</v>
      </c>
    </row>
    <row r="47" spans="1:29" x14ac:dyDescent="0.3">
      <c r="A47" s="160" t="s">
        <v>414</v>
      </c>
      <c r="B47" s="161"/>
      <c r="C47" s="161"/>
      <c r="D47" s="161"/>
      <c r="J47" s="161"/>
      <c r="K47" s="161"/>
      <c r="L47" s="161"/>
      <c r="M47" s="161"/>
    </row>
    <row r="48" spans="1:29" x14ac:dyDescent="0.3">
      <c r="A48" s="162" t="s">
        <v>415</v>
      </c>
      <c r="B48" s="173">
        <v>78411410.37000002</v>
      </c>
      <c r="C48" s="173">
        <v>64645383.260000005</v>
      </c>
      <c r="D48" s="173">
        <v>85801886</v>
      </c>
      <c r="E48" s="173"/>
      <c r="F48" s="173"/>
      <c r="G48" s="173"/>
      <c r="H48" s="173"/>
      <c r="I48" s="173"/>
      <c r="J48" s="173"/>
      <c r="K48" s="173"/>
      <c r="L48" s="173"/>
      <c r="M48" s="173"/>
      <c r="O48" s="165">
        <f t="shared" ref="O48:Z51" si="18">B48/B66</f>
        <v>0.75456609909856565</v>
      </c>
      <c r="P48" s="165">
        <f t="shared" si="18"/>
        <v>0.73457298459532527</v>
      </c>
      <c r="Q48" s="165">
        <f t="shared" si="18"/>
        <v>0.7769262955470797</v>
      </c>
      <c r="R48" s="165" t="e">
        <f t="shared" si="18"/>
        <v>#DIV/0!</v>
      </c>
      <c r="S48" s="165" t="e">
        <f t="shared" si="18"/>
        <v>#DIV/0!</v>
      </c>
      <c r="T48" s="165" t="e">
        <f t="shared" si="18"/>
        <v>#DIV/0!</v>
      </c>
      <c r="U48" s="165" t="e">
        <f t="shared" si="18"/>
        <v>#DIV/0!</v>
      </c>
      <c r="V48" s="165" t="e">
        <f t="shared" si="18"/>
        <v>#DIV/0!</v>
      </c>
      <c r="W48" s="165" t="e">
        <f t="shared" si="18"/>
        <v>#DIV/0!</v>
      </c>
      <c r="X48" s="165" t="e">
        <f t="shared" si="18"/>
        <v>#DIV/0!</v>
      </c>
      <c r="Y48" s="165" t="e">
        <f t="shared" si="18"/>
        <v>#DIV/0!</v>
      </c>
      <c r="Z48" s="165" t="e">
        <f t="shared" si="18"/>
        <v>#DIV/0!</v>
      </c>
    </row>
    <row r="49" spans="1:26" x14ac:dyDescent="0.3">
      <c r="A49" s="166" t="s">
        <v>416</v>
      </c>
      <c r="B49" s="174">
        <v>50654060.109999999</v>
      </c>
      <c r="C49" s="174">
        <v>43744176.610000014</v>
      </c>
      <c r="D49" s="174">
        <v>54390334.680000007</v>
      </c>
      <c r="E49" s="174"/>
      <c r="F49" s="174"/>
      <c r="G49" s="174"/>
      <c r="H49" s="174"/>
      <c r="I49" s="174"/>
      <c r="J49" s="174"/>
      <c r="K49" s="174"/>
      <c r="L49" s="174"/>
      <c r="M49" s="174"/>
      <c r="O49" s="165">
        <f t="shared" si="18"/>
        <v>0.83182990148447067</v>
      </c>
      <c r="P49" s="165">
        <f t="shared" si="18"/>
        <v>0.81339565486524357</v>
      </c>
      <c r="Q49" s="165">
        <f t="shared" si="18"/>
        <v>0.83821019933266872</v>
      </c>
      <c r="R49" s="165" t="e">
        <f t="shared" si="18"/>
        <v>#DIV/0!</v>
      </c>
      <c r="S49" s="165" t="e">
        <f t="shared" si="18"/>
        <v>#DIV/0!</v>
      </c>
      <c r="T49" s="165" t="e">
        <f t="shared" si="18"/>
        <v>#DIV/0!</v>
      </c>
      <c r="U49" s="165" t="e">
        <f t="shared" si="18"/>
        <v>#DIV/0!</v>
      </c>
      <c r="V49" s="165" t="e">
        <f t="shared" si="18"/>
        <v>#DIV/0!</v>
      </c>
      <c r="W49" s="165" t="e">
        <f t="shared" si="18"/>
        <v>#DIV/0!</v>
      </c>
      <c r="X49" s="165" t="e">
        <f t="shared" si="18"/>
        <v>#DIV/0!</v>
      </c>
      <c r="Y49" s="165" t="e">
        <f t="shared" si="18"/>
        <v>#DIV/0!</v>
      </c>
      <c r="Z49" s="165" t="e">
        <f t="shared" si="18"/>
        <v>#DIV/0!</v>
      </c>
    </row>
    <row r="50" spans="1:26" x14ac:dyDescent="0.3">
      <c r="A50" s="168" t="s">
        <v>417</v>
      </c>
      <c r="B50" s="175">
        <v>2700367.05</v>
      </c>
      <c r="C50" s="175">
        <v>2040492.1</v>
      </c>
      <c r="D50" s="175">
        <v>2586371.75</v>
      </c>
      <c r="E50" s="175"/>
      <c r="F50" s="175"/>
      <c r="G50" s="175"/>
      <c r="H50" s="175"/>
      <c r="I50" s="175"/>
      <c r="J50" s="175"/>
      <c r="K50" s="175"/>
      <c r="L50" s="175"/>
      <c r="M50" s="175"/>
      <c r="O50" s="165">
        <f t="shared" si="18"/>
        <v>0.79628436807066894</v>
      </c>
      <c r="P50" s="165">
        <f t="shared" si="18"/>
        <v>0.80516842553078893</v>
      </c>
      <c r="Q50" s="165">
        <f t="shared" si="18"/>
        <v>0.82592909383871749</v>
      </c>
      <c r="R50" s="165" t="e">
        <f t="shared" si="18"/>
        <v>#DIV/0!</v>
      </c>
      <c r="S50" s="165" t="e">
        <f t="shared" si="18"/>
        <v>#DIV/0!</v>
      </c>
      <c r="T50" s="165" t="e">
        <f t="shared" si="18"/>
        <v>#DIV/0!</v>
      </c>
      <c r="U50" s="165" t="e">
        <f t="shared" si="18"/>
        <v>#DIV/0!</v>
      </c>
      <c r="V50" s="165" t="e">
        <f t="shared" si="18"/>
        <v>#DIV/0!</v>
      </c>
      <c r="W50" s="165" t="e">
        <f t="shared" si="18"/>
        <v>#DIV/0!</v>
      </c>
      <c r="X50" s="165" t="e">
        <f t="shared" si="18"/>
        <v>#DIV/0!</v>
      </c>
      <c r="Y50" s="165" t="e">
        <f t="shared" si="18"/>
        <v>#DIV/0!</v>
      </c>
      <c r="Z50" s="165" t="e">
        <f t="shared" si="18"/>
        <v>#DIV/0!</v>
      </c>
    </row>
    <row r="51" spans="1:26" x14ac:dyDescent="0.3">
      <c r="B51" s="172">
        <f t="shared" ref="B51:D51" si="19">SUM(B48:B50)</f>
        <v>131765837.53000002</v>
      </c>
      <c r="C51" s="172">
        <f t="shared" si="19"/>
        <v>110430051.97000001</v>
      </c>
      <c r="D51" s="172">
        <f t="shared" si="19"/>
        <v>142778592.43000001</v>
      </c>
      <c r="E51" s="172">
        <f t="shared" ref="E51:M51" si="20">SUM(E48:E50)</f>
        <v>0</v>
      </c>
      <c r="F51" s="172">
        <f t="shared" si="20"/>
        <v>0</v>
      </c>
      <c r="G51" s="172">
        <f t="shared" si="20"/>
        <v>0</v>
      </c>
      <c r="H51" s="172">
        <f t="shared" si="20"/>
        <v>0</v>
      </c>
      <c r="I51" s="172">
        <f t="shared" si="20"/>
        <v>0</v>
      </c>
      <c r="J51" s="172">
        <f t="shared" si="20"/>
        <v>0</v>
      </c>
      <c r="K51" s="172">
        <f t="shared" si="20"/>
        <v>0</v>
      </c>
      <c r="L51" s="172">
        <f t="shared" si="20"/>
        <v>0</v>
      </c>
      <c r="M51" s="172">
        <f t="shared" si="20"/>
        <v>0</v>
      </c>
      <c r="O51" s="165">
        <f t="shared" si="18"/>
        <v>0.78337930436929726</v>
      </c>
      <c r="P51" s="165">
        <f t="shared" si="18"/>
        <v>0.76518570439927136</v>
      </c>
      <c r="Q51" s="165">
        <f t="shared" si="18"/>
        <v>0.80006948341915551</v>
      </c>
      <c r="R51" s="165" t="e">
        <f t="shared" si="18"/>
        <v>#DIV/0!</v>
      </c>
      <c r="S51" s="165" t="e">
        <f t="shared" si="18"/>
        <v>#DIV/0!</v>
      </c>
      <c r="T51" s="165" t="e">
        <f t="shared" si="18"/>
        <v>#DIV/0!</v>
      </c>
      <c r="U51" s="165" t="e">
        <f t="shared" si="18"/>
        <v>#DIV/0!</v>
      </c>
      <c r="V51" s="165" t="e">
        <f t="shared" si="18"/>
        <v>#DIV/0!</v>
      </c>
      <c r="W51" s="165" t="e">
        <f t="shared" si="18"/>
        <v>#DIV/0!</v>
      </c>
      <c r="X51" s="165" t="e">
        <f t="shared" si="18"/>
        <v>#DIV/0!</v>
      </c>
      <c r="Y51" s="165" t="e">
        <f t="shared" si="18"/>
        <v>#DIV/0!</v>
      </c>
      <c r="Z51" s="165" t="e">
        <f t="shared" si="18"/>
        <v>#DIV/0!</v>
      </c>
    </row>
    <row r="53" spans="1:26" x14ac:dyDescent="0.3">
      <c r="A53" s="160" t="s">
        <v>422</v>
      </c>
    </row>
    <row r="54" spans="1:26" x14ac:dyDescent="0.3">
      <c r="A54" s="162" t="s">
        <v>415</v>
      </c>
      <c r="B54" s="173">
        <v>2800375.21</v>
      </c>
      <c r="C54" s="173">
        <v>2821627.1</v>
      </c>
      <c r="D54" s="173">
        <v>2849709.5000000005</v>
      </c>
      <c r="E54" s="173"/>
      <c r="F54" s="173"/>
      <c r="G54" s="173"/>
      <c r="H54" s="173"/>
      <c r="I54" s="173"/>
      <c r="J54" s="173"/>
      <c r="K54" s="173"/>
      <c r="L54" s="173"/>
      <c r="M54" s="173"/>
      <c r="O54" s="165">
        <f t="shared" ref="O54:Z57" si="21">B54/B66</f>
        <v>2.6948478394293495E-2</v>
      </c>
      <c r="P54" s="165">
        <f t="shared" si="21"/>
        <v>3.2062475860430872E-2</v>
      </c>
      <c r="Q54" s="165">
        <f t="shared" si="21"/>
        <v>2.5803794630112453E-2</v>
      </c>
      <c r="R54" s="165" t="e">
        <f t="shared" si="21"/>
        <v>#DIV/0!</v>
      </c>
      <c r="S54" s="165" t="e">
        <f t="shared" si="21"/>
        <v>#DIV/0!</v>
      </c>
      <c r="T54" s="165" t="e">
        <f t="shared" si="21"/>
        <v>#DIV/0!</v>
      </c>
      <c r="U54" s="165" t="e">
        <f t="shared" si="21"/>
        <v>#DIV/0!</v>
      </c>
      <c r="V54" s="165" t="e">
        <f t="shared" si="21"/>
        <v>#DIV/0!</v>
      </c>
      <c r="W54" s="165" t="e">
        <f t="shared" si="21"/>
        <v>#DIV/0!</v>
      </c>
      <c r="X54" s="165" t="e">
        <f t="shared" si="21"/>
        <v>#DIV/0!</v>
      </c>
      <c r="Y54" s="165" t="e">
        <f t="shared" si="21"/>
        <v>#DIV/0!</v>
      </c>
      <c r="Z54" s="165" t="e">
        <f t="shared" si="21"/>
        <v>#DIV/0!</v>
      </c>
    </row>
    <row r="55" spans="1:26" x14ac:dyDescent="0.3">
      <c r="A55" s="166" t="s">
        <v>416</v>
      </c>
      <c r="B55" s="174">
        <v>1273856.67</v>
      </c>
      <c r="C55" s="174">
        <v>1283539.18</v>
      </c>
      <c r="D55" s="174">
        <v>1271799.22</v>
      </c>
      <c r="E55" s="174"/>
      <c r="F55" s="174"/>
      <c r="G55" s="174"/>
      <c r="H55" s="174"/>
      <c r="I55" s="174"/>
      <c r="J55" s="174"/>
      <c r="K55" s="174"/>
      <c r="L55" s="174"/>
      <c r="M55" s="174"/>
      <c r="O55" s="165">
        <f t="shared" si="21"/>
        <v>2.091899575296326E-2</v>
      </c>
      <c r="P55" s="165">
        <f t="shared" si="21"/>
        <v>2.3866609747150463E-2</v>
      </c>
      <c r="Q55" s="165">
        <f t="shared" si="21"/>
        <v>1.9599715353458318E-2</v>
      </c>
      <c r="R55" s="165" t="e">
        <f t="shared" si="21"/>
        <v>#DIV/0!</v>
      </c>
      <c r="S55" s="165" t="e">
        <f t="shared" si="21"/>
        <v>#DIV/0!</v>
      </c>
      <c r="T55" s="165" t="e">
        <f t="shared" si="21"/>
        <v>#DIV/0!</v>
      </c>
      <c r="U55" s="165" t="e">
        <f t="shared" si="21"/>
        <v>#DIV/0!</v>
      </c>
      <c r="V55" s="165" t="e">
        <f t="shared" si="21"/>
        <v>#DIV/0!</v>
      </c>
      <c r="W55" s="165" t="e">
        <f t="shared" si="21"/>
        <v>#DIV/0!</v>
      </c>
      <c r="X55" s="165" t="e">
        <f t="shared" si="21"/>
        <v>#DIV/0!</v>
      </c>
      <c r="Y55" s="165" t="e">
        <f t="shared" si="21"/>
        <v>#DIV/0!</v>
      </c>
      <c r="Z55" s="165" t="e">
        <f t="shared" si="21"/>
        <v>#DIV/0!</v>
      </c>
    </row>
    <row r="56" spans="1:26" x14ac:dyDescent="0.3">
      <c r="A56" s="168" t="s">
        <v>417</v>
      </c>
      <c r="B56" s="175">
        <v>473.70000000000005</v>
      </c>
      <c r="C56" s="175">
        <v>519.9</v>
      </c>
      <c r="D56" s="175">
        <v>164</v>
      </c>
      <c r="E56" s="175"/>
      <c r="F56" s="175"/>
      <c r="G56" s="175"/>
      <c r="H56" s="175"/>
      <c r="I56" s="175"/>
      <c r="J56" s="175"/>
      <c r="K56" s="175"/>
      <c r="L56" s="175"/>
      <c r="M56" s="175"/>
      <c r="O56" s="165">
        <f t="shared" si="21"/>
        <v>1.3968467921984012E-4</v>
      </c>
      <c r="P56" s="165">
        <f t="shared" si="21"/>
        <v>2.0515005396661774E-4</v>
      </c>
      <c r="Q56" s="165">
        <f t="shared" si="21"/>
        <v>5.2371578598300758E-5</v>
      </c>
      <c r="R56" s="165" t="e">
        <f t="shared" si="21"/>
        <v>#DIV/0!</v>
      </c>
      <c r="S56" s="165" t="e">
        <f t="shared" si="21"/>
        <v>#DIV/0!</v>
      </c>
      <c r="T56" s="165" t="e">
        <f t="shared" si="21"/>
        <v>#DIV/0!</v>
      </c>
      <c r="U56" s="165" t="e">
        <f t="shared" si="21"/>
        <v>#DIV/0!</v>
      </c>
      <c r="V56" s="165" t="e">
        <f t="shared" si="21"/>
        <v>#DIV/0!</v>
      </c>
      <c r="W56" s="165" t="e">
        <f t="shared" si="21"/>
        <v>#DIV/0!</v>
      </c>
      <c r="X56" s="165" t="e">
        <f t="shared" si="21"/>
        <v>#DIV/0!</v>
      </c>
      <c r="Y56" s="165" t="e">
        <f t="shared" si="21"/>
        <v>#DIV/0!</v>
      </c>
      <c r="Z56" s="165" t="e">
        <f t="shared" si="21"/>
        <v>#DIV/0!</v>
      </c>
    </row>
    <row r="57" spans="1:26" x14ac:dyDescent="0.3">
      <c r="B57" s="172">
        <f t="shared" ref="B57:D57" si="22">SUM(B54:B56)</f>
        <v>4074705.58</v>
      </c>
      <c r="C57" s="172">
        <f t="shared" si="22"/>
        <v>4105686.18</v>
      </c>
      <c r="D57" s="172">
        <f t="shared" si="22"/>
        <v>4121672.7200000007</v>
      </c>
      <c r="E57" s="172">
        <f t="shared" ref="E57:M57" si="23">SUM(E54:E56)</f>
        <v>0</v>
      </c>
      <c r="F57" s="172">
        <f t="shared" si="23"/>
        <v>0</v>
      </c>
      <c r="G57" s="172">
        <f t="shared" si="23"/>
        <v>0</v>
      </c>
      <c r="H57" s="172">
        <f t="shared" si="23"/>
        <v>0</v>
      </c>
      <c r="I57" s="172">
        <f t="shared" si="23"/>
        <v>0</v>
      </c>
      <c r="J57" s="172">
        <f t="shared" si="23"/>
        <v>0</v>
      </c>
      <c r="K57" s="172">
        <f t="shared" si="23"/>
        <v>0</v>
      </c>
      <c r="L57" s="172">
        <f t="shared" si="23"/>
        <v>0</v>
      </c>
      <c r="M57" s="172">
        <f t="shared" si="23"/>
        <v>0</v>
      </c>
      <c r="O57" s="165">
        <f t="shared" si="21"/>
        <v>2.4225095689490387E-2</v>
      </c>
      <c r="P57" s="165">
        <f t="shared" si="21"/>
        <v>2.8448889732833958E-2</v>
      </c>
      <c r="Q57" s="165">
        <f t="shared" si="21"/>
        <v>2.3096071391304342E-2</v>
      </c>
      <c r="R57" s="165" t="e">
        <f t="shared" si="21"/>
        <v>#DIV/0!</v>
      </c>
      <c r="S57" s="165" t="e">
        <f t="shared" si="21"/>
        <v>#DIV/0!</v>
      </c>
      <c r="T57" s="165" t="e">
        <f t="shared" si="21"/>
        <v>#DIV/0!</v>
      </c>
      <c r="U57" s="165" t="e">
        <f t="shared" si="21"/>
        <v>#DIV/0!</v>
      </c>
      <c r="V57" s="165" t="e">
        <f t="shared" si="21"/>
        <v>#DIV/0!</v>
      </c>
      <c r="W57" s="165" t="e">
        <f t="shared" si="21"/>
        <v>#DIV/0!</v>
      </c>
      <c r="X57" s="165" t="e">
        <f t="shared" si="21"/>
        <v>#DIV/0!</v>
      </c>
      <c r="Y57" s="165" t="e">
        <f t="shared" si="21"/>
        <v>#DIV/0!</v>
      </c>
      <c r="Z57" s="165" t="e">
        <f t="shared" si="21"/>
        <v>#DIV/0!</v>
      </c>
    </row>
    <row r="58" spans="1:26" x14ac:dyDescent="0.3"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</row>
    <row r="59" spans="1:26" x14ac:dyDescent="0.3">
      <c r="A59" s="160" t="s">
        <v>418</v>
      </c>
    </row>
    <row r="60" spans="1:26" x14ac:dyDescent="0.3">
      <c r="A60" s="162" t="s">
        <v>415</v>
      </c>
      <c r="B60" s="173">
        <v>22704107.890000001</v>
      </c>
      <c r="C60" s="173">
        <v>20537020.030000001</v>
      </c>
      <c r="D60" s="173">
        <v>21786018.070000008</v>
      </c>
      <c r="E60" s="173"/>
      <c r="F60" s="173"/>
      <c r="G60" s="173"/>
      <c r="H60" s="173"/>
      <c r="I60" s="173"/>
      <c r="J60" s="173"/>
      <c r="K60" s="173"/>
      <c r="L60" s="173"/>
      <c r="M60" s="173"/>
      <c r="O60" s="165">
        <f t="shared" ref="O60:Z63" si="24">B60/B66</f>
        <v>0.21848542250714093</v>
      </c>
      <c r="P60" s="165">
        <f t="shared" si="24"/>
        <v>0.23336453954424394</v>
      </c>
      <c r="Q60" s="165">
        <f t="shared" si="24"/>
        <v>0.1972699098228079</v>
      </c>
      <c r="R60" s="165" t="e">
        <f t="shared" si="24"/>
        <v>#DIV/0!</v>
      </c>
      <c r="S60" s="165" t="e">
        <f t="shared" si="24"/>
        <v>#DIV/0!</v>
      </c>
      <c r="T60" s="165" t="e">
        <f t="shared" si="24"/>
        <v>#DIV/0!</v>
      </c>
      <c r="U60" s="165" t="e">
        <f t="shared" si="24"/>
        <v>#DIV/0!</v>
      </c>
      <c r="V60" s="165" t="e">
        <f t="shared" si="24"/>
        <v>#DIV/0!</v>
      </c>
      <c r="W60" s="165" t="e">
        <f t="shared" si="24"/>
        <v>#DIV/0!</v>
      </c>
      <c r="X60" s="165" t="e">
        <f t="shared" si="24"/>
        <v>#DIV/0!</v>
      </c>
      <c r="Y60" s="165" t="e">
        <f t="shared" si="24"/>
        <v>#DIV/0!</v>
      </c>
      <c r="Z60" s="165" t="e">
        <f t="shared" si="24"/>
        <v>#DIV/0!</v>
      </c>
    </row>
    <row r="61" spans="1:26" x14ac:dyDescent="0.3">
      <c r="A61" s="166" t="s">
        <v>416</v>
      </c>
      <c r="B61" s="174">
        <v>8966816.6500000004</v>
      </c>
      <c r="C61" s="174">
        <v>8751987.0500000007</v>
      </c>
      <c r="D61" s="174">
        <v>9226523.7700000014</v>
      </c>
      <c r="E61" s="174"/>
      <c r="F61" s="174"/>
      <c r="G61" s="174"/>
      <c r="H61" s="174"/>
      <c r="I61" s="174"/>
      <c r="J61" s="174"/>
      <c r="K61" s="174"/>
      <c r="L61" s="174"/>
      <c r="M61" s="174"/>
      <c r="O61" s="165">
        <f t="shared" si="24"/>
        <v>0.14725110276256612</v>
      </c>
      <c r="P61" s="165">
        <f t="shared" si="24"/>
        <v>0.16273773538760591</v>
      </c>
      <c r="Q61" s="165">
        <f t="shared" si="24"/>
        <v>0.142190085313873</v>
      </c>
      <c r="R61" s="165" t="e">
        <f t="shared" si="24"/>
        <v>#DIV/0!</v>
      </c>
      <c r="S61" s="165" t="e">
        <f t="shared" si="24"/>
        <v>#DIV/0!</v>
      </c>
      <c r="T61" s="165" t="e">
        <f t="shared" si="24"/>
        <v>#DIV/0!</v>
      </c>
      <c r="U61" s="165" t="e">
        <f t="shared" si="24"/>
        <v>#DIV/0!</v>
      </c>
      <c r="V61" s="165" t="e">
        <f t="shared" si="24"/>
        <v>#DIV/0!</v>
      </c>
      <c r="W61" s="165" t="e">
        <f t="shared" si="24"/>
        <v>#DIV/0!</v>
      </c>
      <c r="X61" s="165" t="e">
        <f t="shared" si="24"/>
        <v>#DIV/0!</v>
      </c>
      <c r="Y61" s="165" t="e">
        <f t="shared" si="24"/>
        <v>#DIV/0!</v>
      </c>
      <c r="Z61" s="165" t="e">
        <f t="shared" si="24"/>
        <v>#DIV/0!</v>
      </c>
    </row>
    <row r="62" spans="1:26" x14ac:dyDescent="0.3">
      <c r="A62" s="168" t="s">
        <v>417</v>
      </c>
      <c r="B62" s="175">
        <v>690368.66999999993</v>
      </c>
      <c r="C62" s="175">
        <v>493230.56999999995</v>
      </c>
      <c r="D62" s="175">
        <v>544933.73</v>
      </c>
      <c r="E62" s="175"/>
      <c r="F62" s="175"/>
      <c r="G62" s="175"/>
      <c r="H62" s="175"/>
      <c r="I62" s="175"/>
      <c r="J62" s="175"/>
      <c r="K62" s="175"/>
      <c r="L62" s="175"/>
      <c r="M62" s="175"/>
      <c r="O62" s="165">
        <f t="shared" si="24"/>
        <v>0.20357594725011113</v>
      </c>
      <c r="P62" s="165">
        <f t="shared" si="24"/>
        <v>0.1946264244152445</v>
      </c>
      <c r="Q62" s="165">
        <f t="shared" si="24"/>
        <v>0.17401853458268415</v>
      </c>
      <c r="R62" s="165" t="e">
        <f t="shared" si="24"/>
        <v>#DIV/0!</v>
      </c>
      <c r="S62" s="165" t="e">
        <f t="shared" si="24"/>
        <v>#DIV/0!</v>
      </c>
      <c r="T62" s="165" t="e">
        <f t="shared" si="24"/>
        <v>#DIV/0!</v>
      </c>
      <c r="U62" s="165" t="e">
        <f t="shared" si="24"/>
        <v>#DIV/0!</v>
      </c>
      <c r="V62" s="165" t="e">
        <f t="shared" si="24"/>
        <v>#DIV/0!</v>
      </c>
      <c r="W62" s="165" t="e">
        <f t="shared" si="24"/>
        <v>#DIV/0!</v>
      </c>
      <c r="X62" s="165" t="e">
        <f t="shared" si="24"/>
        <v>#DIV/0!</v>
      </c>
      <c r="Y62" s="165" t="e">
        <f t="shared" si="24"/>
        <v>#DIV/0!</v>
      </c>
      <c r="Z62" s="165" t="e">
        <f t="shared" si="24"/>
        <v>#DIV/0!</v>
      </c>
    </row>
    <row r="63" spans="1:26" x14ac:dyDescent="0.3">
      <c r="B63" s="172">
        <f t="shared" ref="B63:D63" si="25">SUM(B60:B62)</f>
        <v>32361293.210000001</v>
      </c>
      <c r="C63" s="172">
        <f t="shared" si="25"/>
        <v>29782237.650000002</v>
      </c>
      <c r="D63" s="172">
        <f t="shared" si="25"/>
        <v>31557475.570000011</v>
      </c>
      <c r="E63" s="172">
        <f t="shared" ref="E63:M63" si="26">SUM(E60:E62)</f>
        <v>0</v>
      </c>
      <c r="F63" s="172">
        <f t="shared" si="26"/>
        <v>0</v>
      </c>
      <c r="G63" s="172">
        <f t="shared" si="26"/>
        <v>0</v>
      </c>
      <c r="H63" s="172">
        <f t="shared" si="26"/>
        <v>0</v>
      </c>
      <c r="I63" s="172">
        <f t="shared" si="26"/>
        <v>0</v>
      </c>
      <c r="J63" s="172">
        <f t="shared" si="26"/>
        <v>0</v>
      </c>
      <c r="K63" s="172">
        <f t="shared" si="26"/>
        <v>0</v>
      </c>
      <c r="L63" s="172">
        <f t="shared" si="26"/>
        <v>0</v>
      </c>
      <c r="M63" s="172">
        <f t="shared" si="26"/>
        <v>0</v>
      </c>
      <c r="O63" s="165">
        <f t="shared" si="24"/>
        <v>0.19239559994121233</v>
      </c>
      <c r="P63" s="165">
        <f t="shared" si="24"/>
        <v>0.20636540586789467</v>
      </c>
      <c r="Q63" s="165">
        <f t="shared" si="24"/>
        <v>0.17683444518954014</v>
      </c>
      <c r="R63" s="165" t="e">
        <f t="shared" si="24"/>
        <v>#DIV/0!</v>
      </c>
      <c r="S63" s="165" t="e">
        <f t="shared" si="24"/>
        <v>#DIV/0!</v>
      </c>
      <c r="T63" s="165" t="e">
        <f t="shared" si="24"/>
        <v>#DIV/0!</v>
      </c>
      <c r="U63" s="165" t="e">
        <f t="shared" si="24"/>
        <v>#DIV/0!</v>
      </c>
      <c r="V63" s="165" t="e">
        <f t="shared" si="24"/>
        <v>#DIV/0!</v>
      </c>
      <c r="W63" s="165" t="e">
        <f t="shared" si="24"/>
        <v>#DIV/0!</v>
      </c>
      <c r="X63" s="165" t="e">
        <f t="shared" si="24"/>
        <v>#DIV/0!</v>
      </c>
      <c r="Y63" s="165" t="e">
        <f t="shared" si="24"/>
        <v>#DIV/0!</v>
      </c>
      <c r="Z63" s="165" t="e">
        <f t="shared" si="24"/>
        <v>#DIV/0!</v>
      </c>
    </row>
    <row r="65" spans="1:26" x14ac:dyDescent="0.3">
      <c r="A65" s="160" t="s">
        <v>419</v>
      </c>
    </row>
    <row r="66" spans="1:26" x14ac:dyDescent="0.3">
      <c r="A66" s="162" t="s">
        <v>415</v>
      </c>
      <c r="B66" s="173">
        <f>B48+B54+B60</f>
        <v>103915893.47000001</v>
      </c>
      <c r="C66" s="173">
        <f t="shared" ref="C66:M69" si="27">C48+C54+C60</f>
        <v>88004030.390000001</v>
      </c>
      <c r="D66" s="173">
        <f t="shared" si="27"/>
        <v>110437613.57000001</v>
      </c>
      <c r="E66" s="173">
        <f t="shared" si="27"/>
        <v>0</v>
      </c>
      <c r="F66" s="173">
        <f t="shared" si="27"/>
        <v>0</v>
      </c>
      <c r="G66" s="173">
        <f t="shared" si="27"/>
        <v>0</v>
      </c>
      <c r="H66" s="173">
        <f t="shared" si="27"/>
        <v>0</v>
      </c>
      <c r="I66" s="173">
        <f t="shared" si="27"/>
        <v>0</v>
      </c>
      <c r="J66" s="173">
        <f t="shared" si="27"/>
        <v>0</v>
      </c>
      <c r="K66" s="173">
        <f t="shared" si="27"/>
        <v>0</v>
      </c>
      <c r="L66" s="173">
        <f t="shared" si="27"/>
        <v>0</v>
      </c>
      <c r="M66" s="173">
        <f t="shared" si="27"/>
        <v>0</v>
      </c>
      <c r="O66" s="171">
        <f t="shared" ref="O66:Z69" si="28">O48+O54+O60</f>
        <v>1</v>
      </c>
      <c r="P66" s="171">
        <f t="shared" si="28"/>
        <v>1</v>
      </c>
      <c r="Q66" s="171">
        <f t="shared" si="28"/>
        <v>1</v>
      </c>
      <c r="R66" s="171" t="e">
        <f t="shared" si="28"/>
        <v>#DIV/0!</v>
      </c>
      <c r="S66" s="171" t="e">
        <f t="shared" si="28"/>
        <v>#DIV/0!</v>
      </c>
      <c r="T66" s="171" t="e">
        <f t="shared" si="28"/>
        <v>#DIV/0!</v>
      </c>
      <c r="U66" s="171" t="e">
        <f t="shared" si="28"/>
        <v>#DIV/0!</v>
      </c>
      <c r="V66" s="171" t="e">
        <f t="shared" si="28"/>
        <v>#DIV/0!</v>
      </c>
      <c r="W66" s="171" t="e">
        <f t="shared" si="28"/>
        <v>#DIV/0!</v>
      </c>
      <c r="X66" s="171" t="e">
        <f t="shared" si="28"/>
        <v>#DIV/0!</v>
      </c>
      <c r="Y66" s="171" t="e">
        <f t="shared" si="28"/>
        <v>#DIV/0!</v>
      </c>
      <c r="Z66" s="171" t="e">
        <f t="shared" si="28"/>
        <v>#DIV/0!</v>
      </c>
    </row>
    <row r="67" spans="1:26" x14ac:dyDescent="0.3">
      <c r="A67" s="166" t="s">
        <v>416</v>
      </c>
      <c r="B67" s="174">
        <f t="shared" ref="B67:B69" si="29">B49+B55+B61</f>
        <v>60894733.43</v>
      </c>
      <c r="C67" s="174">
        <f t="shared" si="27"/>
        <v>53779702.840000018</v>
      </c>
      <c r="D67" s="174">
        <f t="shared" si="27"/>
        <v>64888657.670000009</v>
      </c>
      <c r="E67" s="174">
        <f t="shared" si="27"/>
        <v>0</v>
      </c>
      <c r="F67" s="174">
        <f t="shared" si="27"/>
        <v>0</v>
      </c>
      <c r="G67" s="174">
        <f t="shared" si="27"/>
        <v>0</v>
      </c>
      <c r="H67" s="174">
        <f t="shared" si="27"/>
        <v>0</v>
      </c>
      <c r="I67" s="174">
        <f t="shared" si="27"/>
        <v>0</v>
      </c>
      <c r="J67" s="174">
        <f t="shared" si="27"/>
        <v>0</v>
      </c>
      <c r="K67" s="174">
        <f t="shared" si="27"/>
        <v>0</v>
      </c>
      <c r="L67" s="174">
        <f t="shared" si="27"/>
        <v>0</v>
      </c>
      <c r="M67" s="174">
        <f t="shared" si="27"/>
        <v>0</v>
      </c>
      <c r="O67" s="171">
        <f t="shared" si="28"/>
        <v>1</v>
      </c>
      <c r="P67" s="171">
        <f t="shared" si="28"/>
        <v>1</v>
      </c>
      <c r="Q67" s="171">
        <f t="shared" si="28"/>
        <v>1</v>
      </c>
      <c r="R67" s="171" t="e">
        <f t="shared" si="28"/>
        <v>#DIV/0!</v>
      </c>
      <c r="S67" s="171" t="e">
        <f t="shared" si="28"/>
        <v>#DIV/0!</v>
      </c>
      <c r="T67" s="171" t="e">
        <f t="shared" si="28"/>
        <v>#DIV/0!</v>
      </c>
      <c r="U67" s="171" t="e">
        <f t="shared" si="28"/>
        <v>#DIV/0!</v>
      </c>
      <c r="V67" s="171" t="e">
        <f t="shared" si="28"/>
        <v>#DIV/0!</v>
      </c>
      <c r="W67" s="171" t="e">
        <f t="shared" si="28"/>
        <v>#DIV/0!</v>
      </c>
      <c r="X67" s="171" t="e">
        <f t="shared" si="28"/>
        <v>#DIV/0!</v>
      </c>
      <c r="Y67" s="171" t="e">
        <f t="shared" si="28"/>
        <v>#DIV/0!</v>
      </c>
      <c r="Z67" s="171" t="e">
        <f t="shared" si="28"/>
        <v>#DIV/0!</v>
      </c>
    </row>
    <row r="68" spans="1:26" x14ac:dyDescent="0.3">
      <c r="A68" s="168" t="s">
        <v>417</v>
      </c>
      <c r="B68" s="175">
        <f t="shared" si="29"/>
        <v>3391209.42</v>
      </c>
      <c r="C68" s="175">
        <f t="shared" si="27"/>
        <v>2534242.5699999998</v>
      </c>
      <c r="D68" s="175">
        <f t="shared" si="27"/>
        <v>3131469.48</v>
      </c>
      <c r="E68" s="175">
        <f t="shared" si="27"/>
        <v>0</v>
      </c>
      <c r="F68" s="175">
        <f t="shared" si="27"/>
        <v>0</v>
      </c>
      <c r="G68" s="175">
        <f t="shared" si="27"/>
        <v>0</v>
      </c>
      <c r="H68" s="175">
        <f t="shared" si="27"/>
        <v>0</v>
      </c>
      <c r="I68" s="175">
        <f t="shared" si="27"/>
        <v>0</v>
      </c>
      <c r="J68" s="175">
        <f t="shared" si="27"/>
        <v>0</v>
      </c>
      <c r="K68" s="175">
        <f t="shared" si="27"/>
        <v>0</v>
      </c>
      <c r="L68" s="175">
        <f t="shared" si="27"/>
        <v>0</v>
      </c>
      <c r="M68" s="175">
        <f t="shared" si="27"/>
        <v>0</v>
      </c>
      <c r="O68" s="171">
        <f t="shared" si="28"/>
        <v>1</v>
      </c>
      <c r="P68" s="171">
        <f t="shared" si="28"/>
        <v>1</v>
      </c>
      <c r="Q68" s="171">
        <f t="shared" si="28"/>
        <v>0.99999999999999989</v>
      </c>
      <c r="R68" s="171" t="e">
        <f t="shared" si="28"/>
        <v>#DIV/0!</v>
      </c>
      <c r="S68" s="171" t="e">
        <f t="shared" si="28"/>
        <v>#DIV/0!</v>
      </c>
      <c r="T68" s="171" t="e">
        <f t="shared" si="28"/>
        <v>#DIV/0!</v>
      </c>
      <c r="U68" s="171" t="e">
        <f t="shared" si="28"/>
        <v>#DIV/0!</v>
      </c>
      <c r="V68" s="171" t="e">
        <f t="shared" si="28"/>
        <v>#DIV/0!</v>
      </c>
      <c r="W68" s="171" t="e">
        <f t="shared" si="28"/>
        <v>#DIV/0!</v>
      </c>
      <c r="X68" s="171" t="e">
        <f t="shared" si="28"/>
        <v>#DIV/0!</v>
      </c>
      <c r="Y68" s="171" t="e">
        <f t="shared" si="28"/>
        <v>#DIV/0!</v>
      </c>
      <c r="Z68" s="171" t="e">
        <f t="shared" si="28"/>
        <v>#DIV/0!</v>
      </c>
    </row>
    <row r="69" spans="1:26" x14ac:dyDescent="0.3">
      <c r="B69" s="172">
        <f t="shared" si="29"/>
        <v>168201836.32000002</v>
      </c>
      <c r="C69" s="172">
        <f t="shared" si="27"/>
        <v>144317975.80000001</v>
      </c>
      <c r="D69" s="172">
        <f t="shared" si="27"/>
        <v>178457740.72000003</v>
      </c>
      <c r="E69" s="172">
        <f t="shared" si="27"/>
        <v>0</v>
      </c>
      <c r="F69" s="172">
        <f t="shared" si="27"/>
        <v>0</v>
      </c>
      <c r="G69" s="172">
        <f t="shared" si="27"/>
        <v>0</v>
      </c>
      <c r="H69" s="172">
        <f t="shared" si="27"/>
        <v>0</v>
      </c>
      <c r="I69" s="172">
        <f t="shared" si="27"/>
        <v>0</v>
      </c>
      <c r="J69" s="172">
        <f t="shared" si="27"/>
        <v>0</v>
      </c>
      <c r="K69" s="172">
        <f t="shared" si="27"/>
        <v>0</v>
      </c>
      <c r="L69" s="172">
        <f t="shared" si="27"/>
        <v>0</v>
      </c>
      <c r="M69" s="172">
        <f t="shared" si="27"/>
        <v>0</v>
      </c>
      <c r="O69" s="171">
        <f t="shared" si="28"/>
        <v>1</v>
      </c>
      <c r="P69" s="171">
        <f t="shared" si="28"/>
        <v>1</v>
      </c>
      <c r="Q69" s="171">
        <f t="shared" si="28"/>
        <v>1</v>
      </c>
      <c r="R69" s="171" t="e">
        <f t="shared" si="28"/>
        <v>#DIV/0!</v>
      </c>
      <c r="S69" s="171" t="e">
        <f t="shared" si="28"/>
        <v>#DIV/0!</v>
      </c>
      <c r="T69" s="171" t="e">
        <f t="shared" si="28"/>
        <v>#DIV/0!</v>
      </c>
      <c r="U69" s="171" t="e">
        <f t="shared" si="28"/>
        <v>#DIV/0!</v>
      </c>
      <c r="V69" s="171" t="e">
        <f t="shared" si="28"/>
        <v>#DIV/0!</v>
      </c>
      <c r="W69" s="171" t="e">
        <f t="shared" si="28"/>
        <v>#DIV/0!</v>
      </c>
      <c r="X69" s="171" t="e">
        <f t="shared" si="28"/>
        <v>#DIV/0!</v>
      </c>
      <c r="Y69" s="171" t="e">
        <f t="shared" si="28"/>
        <v>#DIV/0!</v>
      </c>
      <c r="Z69" s="171" t="e">
        <f t="shared" si="2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BG240"/>
  <sheetViews>
    <sheetView showGridLines="0" zoomScale="70" zoomScaleNormal="70" workbookViewId="0">
      <pane xSplit="2" ySplit="4" topLeftCell="C5" activePane="bottomRight" state="frozen"/>
      <selection activeCell="B212" sqref="B212"/>
      <selection pane="topRight" activeCell="B212" sqref="B212"/>
      <selection pane="bottomLeft" activeCell="B212" sqref="B212"/>
      <selection pane="bottomRight" activeCell="B1" sqref="B1"/>
    </sheetView>
  </sheetViews>
  <sheetFormatPr baseColWidth="10" defaultColWidth="11.5546875" defaultRowHeight="14.4" outlineLevelCol="1" x14ac:dyDescent="0.3"/>
  <cols>
    <col min="1" max="1" width="1.33203125" customWidth="1"/>
    <col min="2" max="2" width="60.21875" bestFit="1" customWidth="1"/>
    <col min="3" max="3" width="1.44140625" customWidth="1"/>
    <col min="4" max="4" width="15.5546875" hidden="1" customWidth="1" outlineLevel="1"/>
    <col min="5" max="5" width="15.5546875" bestFit="1" customWidth="1" outlineLevel="1"/>
    <col min="6" max="6" width="14.109375" bestFit="1" customWidth="1" outlineLevel="1"/>
    <col min="7" max="14" width="15.5546875" hidden="1" customWidth="1" outlineLevel="1"/>
    <col min="15" max="15" width="7.109375" hidden="1" customWidth="1" outlineLevel="1"/>
    <col min="16" max="16" width="15.5546875" bestFit="1" customWidth="1" outlineLevel="1"/>
    <col min="17" max="17" width="1.5546875" customWidth="1"/>
    <col min="18" max="18" width="14.109375" hidden="1" customWidth="1" outlineLevel="1"/>
    <col min="19" max="19" width="14.109375" customWidth="1" outlineLevel="1"/>
    <col min="20" max="20" width="14.109375" bestFit="1" customWidth="1" outlineLevel="1"/>
    <col min="21" max="29" width="14.109375" hidden="1" customWidth="1" outlineLevel="1"/>
    <col min="30" max="30" width="14.109375" bestFit="1" customWidth="1" outlineLevel="1"/>
    <col min="31" max="31" width="1.6640625" customWidth="1"/>
    <col min="32" max="32" width="8.5546875" hidden="1" customWidth="1"/>
    <col min="33" max="34" width="8.5546875" customWidth="1"/>
    <col min="35" max="38" width="7.77734375" hidden="1" customWidth="1"/>
    <col min="39" max="39" width="8.5546875" hidden="1" customWidth="1"/>
    <col min="40" max="40" width="7.77734375" hidden="1" customWidth="1"/>
    <col min="41" max="41" width="8.5546875" hidden="1" customWidth="1"/>
    <col min="42" max="43" width="7.77734375" hidden="1" customWidth="1"/>
    <col min="44" max="44" width="8.5546875" bestFit="1" customWidth="1"/>
    <col min="45" max="45" width="2.6640625" customWidth="1"/>
    <col min="46" max="46" width="8.5546875" customWidth="1"/>
    <col min="47" max="47" width="9.109375" customWidth="1"/>
    <col min="48" max="48" width="8.5546875" hidden="1" customWidth="1"/>
    <col min="49" max="49" width="9.33203125" hidden="1" customWidth="1"/>
    <col min="50" max="50" width="8.33203125" hidden="1" customWidth="1"/>
    <col min="51" max="51" width="7.5546875" hidden="1" customWidth="1"/>
    <col min="52" max="52" width="8.77734375" hidden="1" customWidth="1"/>
    <col min="53" max="53" width="8.5546875" hidden="1" customWidth="1"/>
    <col min="54" max="54" width="8.44140625" hidden="1" customWidth="1"/>
    <col min="55" max="55" width="8.88671875" hidden="1" customWidth="1"/>
    <col min="56" max="56" width="8" hidden="1" customWidth="1"/>
    <col min="57" max="57" width="3.6640625" customWidth="1"/>
    <col min="58" max="58" width="6" bestFit="1" customWidth="1"/>
    <col min="59" max="59" width="9.109375" bestFit="1" customWidth="1"/>
    <col min="60" max="71" width="11.5546875" customWidth="1"/>
  </cols>
  <sheetData>
    <row r="1" spans="2:59" ht="22.95" customHeight="1" x14ac:dyDescent="0.3"/>
    <row r="2" spans="2:59" x14ac:dyDescent="0.3">
      <c r="D2" s="252" t="s">
        <v>71</v>
      </c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R2" s="254" t="s">
        <v>72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F2" s="252" t="s">
        <v>73</v>
      </c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T2" s="255" t="s">
        <v>455</v>
      </c>
      <c r="AU2" s="253"/>
      <c r="AV2" s="253"/>
      <c r="AW2" s="253"/>
      <c r="AX2" s="253"/>
      <c r="AY2" s="253"/>
      <c r="AZ2" s="253"/>
      <c r="BA2" s="253"/>
      <c r="BB2" s="253"/>
      <c r="BC2" s="253"/>
      <c r="BD2" s="253"/>
    </row>
    <row r="3" spans="2:59" ht="4.95" customHeight="1" x14ac:dyDescent="0.3"/>
    <row r="4" spans="2:59" ht="17.399999999999999" customHeight="1" x14ac:dyDescent="0.3">
      <c r="B4" s="76" t="s">
        <v>74</v>
      </c>
      <c r="D4" s="77" t="s">
        <v>19</v>
      </c>
      <c r="E4" s="77" t="s">
        <v>20</v>
      </c>
      <c r="F4" s="77" t="s">
        <v>21</v>
      </c>
      <c r="G4" s="77" t="s">
        <v>22</v>
      </c>
      <c r="H4" s="77" t="s">
        <v>23</v>
      </c>
      <c r="I4" s="77" t="s">
        <v>24</v>
      </c>
      <c r="J4" s="77" t="s">
        <v>25</v>
      </c>
      <c r="K4" s="77" t="s">
        <v>26</v>
      </c>
      <c r="L4" s="77" t="s">
        <v>27</v>
      </c>
      <c r="M4" s="77" t="s">
        <v>28</v>
      </c>
      <c r="N4" s="77" t="s">
        <v>29</v>
      </c>
      <c r="O4" s="77" t="s">
        <v>30</v>
      </c>
      <c r="P4" s="77" t="s">
        <v>44</v>
      </c>
      <c r="R4" s="78" t="s">
        <v>19</v>
      </c>
      <c r="S4" s="78" t="s">
        <v>20</v>
      </c>
      <c r="T4" s="78" t="s">
        <v>21</v>
      </c>
      <c r="U4" s="78" t="s">
        <v>22</v>
      </c>
      <c r="V4" s="78" t="s">
        <v>23</v>
      </c>
      <c r="W4" s="78" t="s">
        <v>24</v>
      </c>
      <c r="X4" s="78" t="s">
        <v>25</v>
      </c>
      <c r="Y4" s="78" t="s">
        <v>26</v>
      </c>
      <c r="Z4" s="78" t="s">
        <v>27</v>
      </c>
      <c r="AA4" s="78" t="s">
        <v>28</v>
      </c>
      <c r="AB4" s="78" t="s">
        <v>29</v>
      </c>
      <c r="AC4" s="78" t="s">
        <v>30</v>
      </c>
      <c r="AD4" s="78" t="s">
        <v>44</v>
      </c>
      <c r="AF4" s="79" t="s">
        <v>19</v>
      </c>
      <c r="AG4" s="79" t="s">
        <v>20</v>
      </c>
      <c r="AH4" s="79" t="s">
        <v>21</v>
      </c>
      <c r="AI4" s="79" t="s">
        <v>22</v>
      </c>
      <c r="AJ4" s="79" t="s">
        <v>23</v>
      </c>
      <c r="AK4" s="79" t="s">
        <v>24</v>
      </c>
      <c r="AL4" s="79" t="s">
        <v>25</v>
      </c>
      <c r="AM4" s="79" t="s">
        <v>26</v>
      </c>
      <c r="AN4" s="79" t="s">
        <v>27</v>
      </c>
      <c r="AO4" s="79" t="s">
        <v>28</v>
      </c>
      <c r="AP4" s="79" t="s">
        <v>29</v>
      </c>
      <c r="AQ4" s="79" t="s">
        <v>30</v>
      </c>
      <c r="AR4" s="79" t="s">
        <v>44</v>
      </c>
      <c r="AT4" s="76" t="s">
        <v>75</v>
      </c>
      <c r="AU4" s="76" t="s">
        <v>76</v>
      </c>
      <c r="AV4" s="76" t="s">
        <v>77</v>
      </c>
      <c r="AW4" s="76" t="s">
        <v>78</v>
      </c>
      <c r="AX4" s="76" t="s">
        <v>79</v>
      </c>
      <c r="AY4" s="76" t="s">
        <v>80</v>
      </c>
      <c r="AZ4" s="76" t="s">
        <v>81</v>
      </c>
      <c r="BA4" s="76" t="s">
        <v>82</v>
      </c>
      <c r="BB4" s="76" t="s">
        <v>83</v>
      </c>
      <c r="BC4" s="76" t="s">
        <v>84</v>
      </c>
      <c r="BD4" s="76" t="s">
        <v>290</v>
      </c>
      <c r="BF4" s="76" t="s">
        <v>85</v>
      </c>
      <c r="BG4" s="76" t="s">
        <v>86</v>
      </c>
    </row>
    <row r="5" spans="2:59" x14ac:dyDescent="0.3">
      <c r="B5" s="80" t="s">
        <v>87</v>
      </c>
      <c r="D5" s="137">
        <v>112747135</v>
      </c>
      <c r="E5" s="137">
        <v>105746923</v>
      </c>
      <c r="F5" s="137">
        <v>107265907</v>
      </c>
      <c r="G5" s="137"/>
      <c r="H5" s="137"/>
      <c r="I5" s="137"/>
      <c r="J5" s="137"/>
      <c r="K5" s="137"/>
      <c r="L5" s="137"/>
      <c r="M5" s="137"/>
      <c r="N5" s="137"/>
      <c r="O5" s="137"/>
      <c r="P5" s="137">
        <f t="shared" ref="P5:P68" si="0">+SUM(D5:O5)</f>
        <v>325759965</v>
      </c>
      <c r="R5" s="137">
        <v>16444200</v>
      </c>
      <c r="S5" s="137">
        <v>15425572</v>
      </c>
      <c r="T5" s="137">
        <v>15540378</v>
      </c>
      <c r="U5" s="137"/>
      <c r="V5" s="137"/>
      <c r="W5" s="137"/>
      <c r="X5" s="137"/>
      <c r="Y5" s="137"/>
      <c r="Z5" s="137"/>
      <c r="AA5" s="137"/>
      <c r="AB5" s="137"/>
      <c r="AC5" s="137"/>
      <c r="AD5" s="137">
        <f t="shared" ref="AD5:AD68" si="1">+SUM(R5:AC5)</f>
        <v>47410150</v>
      </c>
      <c r="AF5" s="81">
        <f t="shared" ref="AF5:AR24" si="2">+IFERROR(R5/D5,"")</f>
        <v>0.14585026927735237</v>
      </c>
      <c r="AG5" s="81">
        <f t="shared" si="2"/>
        <v>0.14587253758674379</v>
      </c>
      <c r="AH5" s="81">
        <f t="shared" si="2"/>
        <v>0.14487714162525098</v>
      </c>
      <c r="AI5" s="81" t="str">
        <f t="shared" si="2"/>
        <v/>
      </c>
      <c r="AJ5" s="81" t="str">
        <f t="shared" si="2"/>
        <v/>
      </c>
      <c r="AK5" s="81" t="str">
        <f t="shared" si="2"/>
        <v/>
      </c>
      <c r="AL5" s="81" t="str">
        <f t="shared" si="2"/>
        <v/>
      </c>
      <c r="AM5" s="81" t="str">
        <f t="shared" si="2"/>
        <v/>
      </c>
      <c r="AN5" s="81" t="str">
        <f t="shared" si="2"/>
        <v/>
      </c>
      <c r="AO5" s="81" t="str">
        <f t="shared" si="2"/>
        <v/>
      </c>
      <c r="AP5" s="81" t="str">
        <f t="shared" si="2"/>
        <v/>
      </c>
      <c r="AQ5" s="81" t="str">
        <f t="shared" si="2"/>
        <v/>
      </c>
      <c r="AR5" s="81">
        <f t="shared" si="2"/>
        <v>0.14553706745394573</v>
      </c>
      <c r="AT5" s="138">
        <f t="shared" ref="AT5:BD28" si="3">+IFERROR(AG5-AF5,"")</f>
        <v>2.2268309391421104E-5</v>
      </c>
      <c r="AU5" s="138">
        <f t="shared" si="3"/>
        <v>-9.9539596149281206E-4</v>
      </c>
      <c r="AV5" s="138" t="str">
        <f t="shared" si="3"/>
        <v/>
      </c>
      <c r="AW5" s="138" t="str">
        <f t="shared" si="3"/>
        <v/>
      </c>
      <c r="AX5" s="138" t="str">
        <f t="shared" si="3"/>
        <v/>
      </c>
      <c r="AY5" s="138" t="str">
        <f t="shared" si="3"/>
        <v/>
      </c>
      <c r="AZ5" s="138" t="str">
        <f t="shared" si="3"/>
        <v/>
      </c>
      <c r="BA5" s="138" t="str">
        <f t="shared" si="3"/>
        <v/>
      </c>
      <c r="BB5" s="138" t="str">
        <f t="shared" si="3"/>
        <v/>
      </c>
      <c r="BC5" s="138" t="str">
        <f t="shared" si="3"/>
        <v/>
      </c>
      <c r="BD5" s="138" t="str">
        <f t="shared" si="3"/>
        <v/>
      </c>
      <c r="BF5" s="82">
        <f>+AD5/$AD$236</f>
        <v>6.1310447241292067E-2</v>
      </c>
      <c r="BG5" s="82">
        <f>+BF5</f>
        <v>6.1310447241292067E-2</v>
      </c>
    </row>
    <row r="6" spans="2:59" x14ac:dyDescent="0.3">
      <c r="B6" s="80" t="s">
        <v>88</v>
      </c>
      <c r="D6" s="137">
        <v>218028733</v>
      </c>
      <c r="E6" s="137">
        <v>221668455</v>
      </c>
      <c r="F6" s="137">
        <v>264708377</v>
      </c>
      <c r="G6" s="137"/>
      <c r="H6" s="137"/>
      <c r="I6" s="137"/>
      <c r="J6" s="137"/>
      <c r="K6" s="137"/>
      <c r="L6" s="137"/>
      <c r="M6" s="137"/>
      <c r="N6" s="137"/>
      <c r="O6" s="137"/>
      <c r="P6" s="137">
        <f t="shared" si="0"/>
        <v>704405565</v>
      </c>
      <c r="R6" s="137">
        <v>23632419</v>
      </c>
      <c r="S6" s="137">
        <v>23060673</v>
      </c>
      <c r="T6" s="137">
        <v>26106029</v>
      </c>
      <c r="U6" s="137"/>
      <c r="V6" s="137"/>
      <c r="W6" s="137"/>
      <c r="X6" s="137"/>
      <c r="Y6" s="137"/>
      <c r="Z6" s="137"/>
      <c r="AA6" s="137"/>
      <c r="AB6" s="137"/>
      <c r="AC6" s="137"/>
      <c r="AD6" s="137">
        <f t="shared" si="1"/>
        <v>72799121</v>
      </c>
      <c r="AF6" s="81">
        <f t="shared" si="2"/>
        <v>0.10839130547073353</v>
      </c>
      <c r="AG6" s="81">
        <f t="shared" si="2"/>
        <v>0.10403227198024184</v>
      </c>
      <c r="AH6" s="81">
        <f t="shared" si="2"/>
        <v>9.8621846788022133E-2</v>
      </c>
      <c r="AI6" s="81" t="str">
        <f t="shared" si="2"/>
        <v/>
      </c>
      <c r="AJ6" s="81" t="str">
        <f t="shared" si="2"/>
        <v/>
      </c>
      <c r="AK6" s="81" t="str">
        <f t="shared" si="2"/>
        <v/>
      </c>
      <c r="AL6" s="81" t="str">
        <f t="shared" si="2"/>
        <v/>
      </c>
      <c r="AM6" s="81" t="str">
        <f t="shared" si="2"/>
        <v/>
      </c>
      <c r="AN6" s="81" t="str">
        <f t="shared" si="2"/>
        <v/>
      </c>
      <c r="AO6" s="81" t="str">
        <f t="shared" si="2"/>
        <v/>
      </c>
      <c r="AP6" s="81" t="str">
        <f t="shared" si="2"/>
        <v/>
      </c>
      <c r="AQ6" s="81" t="str">
        <f t="shared" si="2"/>
        <v/>
      </c>
      <c r="AR6" s="81">
        <f t="shared" si="2"/>
        <v>0.10334830475111309</v>
      </c>
      <c r="AT6" s="138">
        <f t="shared" si="3"/>
        <v>-4.3590334904916872E-3</v>
      </c>
      <c r="AU6" s="138">
        <f t="shared" si="3"/>
        <v>-5.4104251922197089E-3</v>
      </c>
      <c r="AV6" s="138" t="str">
        <f t="shared" si="3"/>
        <v/>
      </c>
      <c r="AW6" s="138" t="str">
        <f t="shared" si="3"/>
        <v/>
      </c>
      <c r="AX6" s="138" t="str">
        <f t="shared" si="3"/>
        <v/>
      </c>
      <c r="AY6" s="138" t="str">
        <f t="shared" si="3"/>
        <v/>
      </c>
      <c r="AZ6" s="138" t="str">
        <f t="shared" si="3"/>
        <v/>
      </c>
      <c r="BA6" s="138" t="str">
        <f t="shared" si="3"/>
        <v/>
      </c>
      <c r="BB6" s="138" t="str">
        <f t="shared" si="3"/>
        <v/>
      </c>
      <c r="BC6" s="138" t="str">
        <f t="shared" si="3"/>
        <v/>
      </c>
      <c r="BD6" s="138" t="str">
        <f t="shared" si="3"/>
        <v/>
      </c>
      <c r="BF6" s="82">
        <f t="shared" ref="BF6:BF68" si="4">+AD6/$AD$236</f>
        <v>9.4143272427590657E-2</v>
      </c>
      <c r="BG6" s="82">
        <f t="shared" ref="BG6:BG69" si="5">+BF6+BG5</f>
        <v>0.15545371966888272</v>
      </c>
    </row>
    <row r="7" spans="2:59" x14ac:dyDescent="0.3">
      <c r="B7" s="80" t="s">
        <v>89</v>
      </c>
      <c r="D7" s="137">
        <v>117317466</v>
      </c>
      <c r="E7" s="137">
        <v>113475422</v>
      </c>
      <c r="F7" s="137">
        <v>151333924</v>
      </c>
      <c r="G7" s="137"/>
      <c r="H7" s="137"/>
      <c r="I7" s="137"/>
      <c r="J7" s="137"/>
      <c r="K7" s="137"/>
      <c r="L7" s="137"/>
      <c r="M7" s="137"/>
      <c r="N7" s="137"/>
      <c r="O7" s="137"/>
      <c r="P7" s="137">
        <f t="shared" si="0"/>
        <v>382126812</v>
      </c>
      <c r="R7" s="137">
        <v>17639568</v>
      </c>
      <c r="S7" s="137">
        <v>16883400</v>
      </c>
      <c r="T7" s="137">
        <v>22108574</v>
      </c>
      <c r="U7" s="137"/>
      <c r="V7" s="137"/>
      <c r="W7" s="137"/>
      <c r="X7" s="137"/>
      <c r="Y7" s="137"/>
      <c r="Z7" s="137"/>
      <c r="AA7" s="137"/>
      <c r="AB7" s="137"/>
      <c r="AC7" s="137"/>
      <c r="AD7" s="137">
        <f t="shared" si="1"/>
        <v>56631542</v>
      </c>
      <c r="AF7" s="81">
        <f t="shared" si="2"/>
        <v>0.15035756056988139</v>
      </c>
      <c r="AG7" s="81">
        <f t="shared" si="2"/>
        <v>0.14878464166451832</v>
      </c>
      <c r="AH7" s="81">
        <f t="shared" si="2"/>
        <v>0.14609132847173117</v>
      </c>
      <c r="AI7" s="81" t="str">
        <f t="shared" si="2"/>
        <v/>
      </c>
      <c r="AJ7" s="81" t="str">
        <f t="shared" si="2"/>
        <v/>
      </c>
      <c r="AK7" s="81" t="str">
        <f t="shared" si="2"/>
        <v/>
      </c>
      <c r="AL7" s="81" t="str">
        <f t="shared" si="2"/>
        <v/>
      </c>
      <c r="AM7" s="81" t="str">
        <f t="shared" si="2"/>
        <v/>
      </c>
      <c r="AN7" s="81" t="str">
        <f t="shared" si="2"/>
        <v/>
      </c>
      <c r="AO7" s="81" t="str">
        <f t="shared" si="2"/>
        <v/>
      </c>
      <c r="AP7" s="81" t="str">
        <f t="shared" si="2"/>
        <v/>
      </c>
      <c r="AQ7" s="81" t="str">
        <f t="shared" si="2"/>
        <v/>
      </c>
      <c r="AR7" s="81">
        <f t="shared" si="2"/>
        <v>0.14820091190041906</v>
      </c>
      <c r="AT7" s="138">
        <f t="shared" si="3"/>
        <v>-1.5729189053630688E-3</v>
      </c>
      <c r="AU7" s="138">
        <f t="shared" si="3"/>
        <v>-2.6933131927871501E-3</v>
      </c>
      <c r="AV7" s="138" t="str">
        <f t="shared" si="3"/>
        <v/>
      </c>
      <c r="AW7" s="138" t="str">
        <f t="shared" si="3"/>
        <v/>
      </c>
      <c r="AX7" s="138" t="str">
        <f t="shared" si="3"/>
        <v/>
      </c>
      <c r="AY7" s="138" t="str">
        <f t="shared" si="3"/>
        <v/>
      </c>
      <c r="AZ7" s="138" t="str">
        <f t="shared" si="3"/>
        <v/>
      </c>
      <c r="BA7" s="138" t="str">
        <f t="shared" si="3"/>
        <v/>
      </c>
      <c r="BB7" s="138" t="str">
        <f t="shared" si="3"/>
        <v/>
      </c>
      <c r="BC7" s="138" t="str">
        <f t="shared" si="3"/>
        <v/>
      </c>
      <c r="BD7" s="138" t="str">
        <f t="shared" si="3"/>
        <v/>
      </c>
      <c r="BF7" s="82">
        <f t="shared" si="4"/>
        <v>7.3235481600121832E-2</v>
      </c>
      <c r="BG7" s="82">
        <f t="shared" si="5"/>
        <v>0.22868920126900455</v>
      </c>
    </row>
    <row r="8" spans="2:59" x14ac:dyDescent="0.3">
      <c r="B8" s="80" t="s">
        <v>90</v>
      </c>
      <c r="D8" s="137">
        <v>124428472</v>
      </c>
      <c r="E8" s="137">
        <v>113953819</v>
      </c>
      <c r="F8" s="137">
        <v>124647118</v>
      </c>
      <c r="G8" s="137"/>
      <c r="H8" s="137"/>
      <c r="I8" s="137"/>
      <c r="J8" s="137"/>
      <c r="K8" s="137"/>
      <c r="L8" s="137"/>
      <c r="M8" s="137"/>
      <c r="N8" s="137"/>
      <c r="O8" s="137"/>
      <c r="P8" s="137">
        <f t="shared" si="0"/>
        <v>363029409</v>
      </c>
      <c r="R8" s="137">
        <v>16268628</v>
      </c>
      <c r="S8" s="137">
        <v>14763094</v>
      </c>
      <c r="T8" s="137">
        <v>15940361</v>
      </c>
      <c r="U8" s="137"/>
      <c r="V8" s="137"/>
      <c r="W8" s="137"/>
      <c r="X8" s="137"/>
      <c r="Y8" s="137"/>
      <c r="Z8" s="137"/>
      <c r="AA8" s="137"/>
      <c r="AB8" s="137"/>
      <c r="AC8" s="137"/>
      <c r="AD8" s="137">
        <f t="shared" si="1"/>
        <v>46972083</v>
      </c>
      <c r="AF8" s="81">
        <f t="shared" si="2"/>
        <v>0.1307468277839175</v>
      </c>
      <c r="AG8" s="81">
        <f t="shared" si="2"/>
        <v>0.12955330615115235</v>
      </c>
      <c r="AH8" s="81">
        <f t="shared" si="2"/>
        <v>0.12788391144350406</v>
      </c>
      <c r="AI8" s="81" t="str">
        <f t="shared" si="2"/>
        <v/>
      </c>
      <c r="AJ8" s="81" t="str">
        <f t="shared" si="2"/>
        <v/>
      </c>
      <c r="AK8" s="81" t="str">
        <f t="shared" si="2"/>
        <v/>
      </c>
      <c r="AL8" s="81" t="str">
        <f t="shared" si="2"/>
        <v/>
      </c>
      <c r="AM8" s="81" t="str">
        <f t="shared" si="2"/>
        <v/>
      </c>
      <c r="AN8" s="81" t="str">
        <f t="shared" si="2"/>
        <v/>
      </c>
      <c r="AO8" s="81" t="str">
        <f t="shared" si="2"/>
        <v/>
      </c>
      <c r="AP8" s="81" t="str">
        <f t="shared" si="2"/>
        <v/>
      </c>
      <c r="AQ8" s="81" t="str">
        <f t="shared" si="2"/>
        <v/>
      </c>
      <c r="AR8" s="81">
        <f t="shared" si="2"/>
        <v>0.12938919502248922</v>
      </c>
      <c r="AT8" s="138">
        <f t="shared" si="3"/>
        <v>-1.1935216327651488E-3</v>
      </c>
      <c r="AU8" s="138">
        <f t="shared" si="3"/>
        <v>-1.6693947076482918E-3</v>
      </c>
      <c r="AV8" s="138" t="str">
        <f t="shared" si="3"/>
        <v/>
      </c>
      <c r="AW8" s="138" t="str">
        <f t="shared" si="3"/>
        <v/>
      </c>
      <c r="AX8" s="138" t="str">
        <f t="shared" si="3"/>
        <v/>
      </c>
      <c r="AY8" s="138" t="str">
        <f t="shared" si="3"/>
        <v/>
      </c>
      <c r="AZ8" s="138" t="str">
        <f t="shared" si="3"/>
        <v/>
      </c>
      <c r="BA8" s="138" t="str">
        <f t="shared" si="3"/>
        <v/>
      </c>
      <c r="BB8" s="138" t="str">
        <f t="shared" si="3"/>
        <v/>
      </c>
      <c r="BC8" s="138" t="str">
        <f t="shared" si="3"/>
        <v/>
      </c>
      <c r="BD8" s="138" t="str">
        <f t="shared" si="3"/>
        <v/>
      </c>
      <c r="BF8" s="82">
        <f t="shared" si="4"/>
        <v>6.0743942311616651E-2</v>
      </c>
      <c r="BG8" s="82">
        <f t="shared" si="5"/>
        <v>0.28943314358062122</v>
      </c>
    </row>
    <row r="9" spans="2:59" x14ac:dyDescent="0.3">
      <c r="B9" s="80" t="s">
        <v>91</v>
      </c>
      <c r="D9" s="137">
        <v>199865960</v>
      </c>
      <c r="E9" s="137">
        <v>192640480</v>
      </c>
      <c r="F9" s="137">
        <v>222853463</v>
      </c>
      <c r="G9" s="137"/>
      <c r="H9" s="137"/>
      <c r="I9" s="137"/>
      <c r="J9" s="137"/>
      <c r="K9" s="137"/>
      <c r="L9" s="137"/>
      <c r="M9" s="137"/>
      <c r="N9" s="137"/>
      <c r="O9" s="137"/>
      <c r="P9" s="137">
        <f t="shared" si="0"/>
        <v>615359903</v>
      </c>
      <c r="R9" s="137">
        <v>25658586</v>
      </c>
      <c r="S9" s="137">
        <v>24176350</v>
      </c>
      <c r="T9" s="137">
        <v>27862798</v>
      </c>
      <c r="U9" s="137"/>
      <c r="V9" s="137"/>
      <c r="W9" s="137"/>
      <c r="X9" s="137"/>
      <c r="Y9" s="137"/>
      <c r="Z9" s="137"/>
      <c r="AA9" s="137"/>
      <c r="AB9" s="137"/>
      <c r="AC9" s="137"/>
      <c r="AD9" s="137">
        <f t="shared" si="1"/>
        <v>77697734</v>
      </c>
      <c r="AF9" s="81">
        <f t="shared" si="2"/>
        <v>0.12837896958541614</v>
      </c>
      <c r="AG9" s="81">
        <f t="shared" si="2"/>
        <v>0.12549984302364695</v>
      </c>
      <c r="AH9" s="81">
        <f t="shared" si="2"/>
        <v>0.12502744011655767</v>
      </c>
      <c r="AI9" s="81" t="str">
        <f t="shared" si="2"/>
        <v/>
      </c>
      <c r="AJ9" s="81" t="str">
        <f t="shared" si="2"/>
        <v/>
      </c>
      <c r="AK9" s="81" t="str">
        <f t="shared" si="2"/>
        <v/>
      </c>
      <c r="AL9" s="81" t="str">
        <f t="shared" si="2"/>
        <v/>
      </c>
      <c r="AM9" s="81" t="str">
        <f t="shared" si="2"/>
        <v/>
      </c>
      <c r="AN9" s="81" t="str">
        <f t="shared" si="2"/>
        <v/>
      </c>
      <c r="AO9" s="81" t="str">
        <f t="shared" si="2"/>
        <v/>
      </c>
      <c r="AP9" s="81" t="str">
        <f t="shared" si="2"/>
        <v/>
      </c>
      <c r="AQ9" s="81" t="str">
        <f t="shared" si="2"/>
        <v/>
      </c>
      <c r="AR9" s="81">
        <f t="shared" si="2"/>
        <v>0.12626388820787368</v>
      </c>
      <c r="AT9" s="138">
        <f t="shared" si="3"/>
        <v>-2.8791265617691963E-3</v>
      </c>
      <c r="AU9" s="138">
        <f t="shared" si="3"/>
        <v>-4.7240290708927546E-4</v>
      </c>
      <c r="AV9" s="138" t="str">
        <f t="shared" si="3"/>
        <v/>
      </c>
      <c r="AW9" s="138" t="str">
        <f t="shared" si="3"/>
        <v/>
      </c>
      <c r="AX9" s="138" t="str">
        <f t="shared" si="3"/>
        <v/>
      </c>
      <c r="AY9" s="138" t="str">
        <f t="shared" si="3"/>
        <v/>
      </c>
      <c r="AZ9" s="138" t="str">
        <f t="shared" si="3"/>
        <v/>
      </c>
      <c r="BA9" s="138" t="str">
        <f t="shared" si="3"/>
        <v/>
      </c>
      <c r="BB9" s="138" t="str">
        <f t="shared" si="3"/>
        <v/>
      </c>
      <c r="BC9" s="138" t="str">
        <f t="shared" si="3"/>
        <v/>
      </c>
      <c r="BD9" s="138" t="str">
        <f t="shared" si="3"/>
        <v/>
      </c>
      <c r="BF9" s="82">
        <f t="shared" si="4"/>
        <v>0.100478121692822</v>
      </c>
      <c r="BG9" s="82">
        <f t="shared" si="5"/>
        <v>0.38991126527344322</v>
      </c>
    </row>
    <row r="10" spans="2:59" x14ac:dyDescent="0.3">
      <c r="B10" s="83" t="s">
        <v>92</v>
      </c>
      <c r="D10" s="137">
        <v>61180609</v>
      </c>
      <c r="E10" s="137">
        <v>57980926</v>
      </c>
      <c r="F10" s="137">
        <v>60327468</v>
      </c>
      <c r="G10" s="137"/>
      <c r="H10" s="137"/>
      <c r="I10" s="137"/>
      <c r="J10" s="137"/>
      <c r="K10" s="137"/>
      <c r="L10" s="137"/>
      <c r="M10" s="137"/>
      <c r="N10" s="137"/>
      <c r="O10" s="137"/>
      <c r="P10" s="137">
        <f t="shared" si="0"/>
        <v>179489003</v>
      </c>
      <c r="R10" s="137">
        <v>5752791</v>
      </c>
      <c r="S10" s="137">
        <v>5810603</v>
      </c>
      <c r="T10" s="137">
        <v>5780025</v>
      </c>
      <c r="U10" s="137"/>
      <c r="V10" s="137"/>
      <c r="W10" s="137"/>
      <c r="X10" s="137"/>
      <c r="Y10" s="137"/>
      <c r="Z10" s="137"/>
      <c r="AA10" s="137"/>
      <c r="AB10" s="137"/>
      <c r="AC10" s="137"/>
      <c r="AD10" s="137">
        <f t="shared" si="1"/>
        <v>17343419</v>
      </c>
      <c r="AF10" s="84">
        <f t="shared" si="2"/>
        <v>9.4029645896463704E-2</v>
      </c>
      <c r="AG10" s="84">
        <f t="shared" si="2"/>
        <v>0.10021576750947372</v>
      </c>
      <c r="AH10" s="84">
        <f t="shared" si="2"/>
        <v>9.5810833632202164E-2</v>
      </c>
      <c r="AI10" s="84" t="str">
        <f t="shared" si="2"/>
        <v/>
      </c>
      <c r="AJ10" s="84" t="str">
        <f t="shared" si="2"/>
        <v/>
      </c>
      <c r="AK10" s="84" t="str">
        <f t="shared" si="2"/>
        <v/>
      </c>
      <c r="AL10" s="84" t="str">
        <f t="shared" si="2"/>
        <v/>
      </c>
      <c r="AM10" s="84" t="str">
        <f t="shared" si="2"/>
        <v/>
      </c>
      <c r="AN10" s="84" t="str">
        <f t="shared" si="2"/>
        <v/>
      </c>
      <c r="AO10" s="84" t="str">
        <f t="shared" si="2"/>
        <v/>
      </c>
      <c r="AP10" s="84" t="str">
        <f t="shared" si="2"/>
        <v/>
      </c>
      <c r="AQ10" s="84" t="str">
        <f t="shared" si="2"/>
        <v/>
      </c>
      <c r="AR10" s="84">
        <f t="shared" si="2"/>
        <v>9.662663845762183E-2</v>
      </c>
      <c r="AT10" s="139">
        <f t="shared" si="3"/>
        <v>6.1861216130100205E-3</v>
      </c>
      <c r="AU10" s="139">
        <f t="shared" si="3"/>
        <v>-4.4049338772715607E-3</v>
      </c>
      <c r="AV10" s="139" t="str">
        <f t="shared" si="3"/>
        <v/>
      </c>
      <c r="AW10" s="139" t="str">
        <f t="shared" si="3"/>
        <v/>
      </c>
      <c r="AX10" s="139" t="str">
        <f t="shared" si="3"/>
        <v/>
      </c>
      <c r="AY10" s="139" t="str">
        <f t="shared" si="3"/>
        <v/>
      </c>
      <c r="AZ10" s="139" t="str">
        <f t="shared" si="3"/>
        <v/>
      </c>
      <c r="BA10" s="139" t="str">
        <f t="shared" si="3"/>
        <v/>
      </c>
      <c r="BB10" s="139" t="str">
        <f t="shared" si="3"/>
        <v/>
      </c>
      <c r="BC10" s="139" t="str">
        <f t="shared" si="3"/>
        <v/>
      </c>
      <c r="BD10" s="139" t="str">
        <f t="shared" si="3"/>
        <v/>
      </c>
      <c r="BF10" s="82">
        <f t="shared" si="4"/>
        <v>2.2428378218232223E-2</v>
      </c>
      <c r="BG10" s="82">
        <f t="shared" si="5"/>
        <v>0.41233964349167546</v>
      </c>
    </row>
    <row r="11" spans="2:59" x14ac:dyDescent="0.3">
      <c r="B11" s="83" t="s">
        <v>93</v>
      </c>
      <c r="D11" s="137">
        <v>44302578</v>
      </c>
      <c r="E11" s="137">
        <v>42971012</v>
      </c>
      <c r="F11" s="137">
        <v>44120158</v>
      </c>
      <c r="G11" s="137"/>
      <c r="H11" s="137"/>
      <c r="I11" s="137"/>
      <c r="J11" s="137"/>
      <c r="K11" s="137"/>
      <c r="L11" s="137"/>
      <c r="M11" s="137"/>
      <c r="N11" s="137"/>
      <c r="O11" s="137"/>
      <c r="P11" s="137">
        <f t="shared" si="0"/>
        <v>131393748</v>
      </c>
      <c r="R11" s="137">
        <v>8260175</v>
      </c>
      <c r="S11" s="137">
        <v>8227434</v>
      </c>
      <c r="T11" s="137">
        <v>8382009</v>
      </c>
      <c r="U11" s="137"/>
      <c r="V11" s="137"/>
      <c r="W11" s="137"/>
      <c r="X11" s="137"/>
      <c r="Y11" s="137"/>
      <c r="Z11" s="137"/>
      <c r="AA11" s="137"/>
      <c r="AB11" s="137"/>
      <c r="AC11" s="137"/>
      <c r="AD11" s="137">
        <f t="shared" si="1"/>
        <v>24869618</v>
      </c>
      <c r="AF11" s="84">
        <f t="shared" si="2"/>
        <v>0.18644908203761867</v>
      </c>
      <c r="AG11" s="84">
        <f t="shared" si="2"/>
        <v>0.19146474837502081</v>
      </c>
      <c r="AH11" s="84">
        <f t="shared" si="2"/>
        <v>0.18998139127244285</v>
      </c>
      <c r="AI11" s="84" t="str">
        <f t="shared" si="2"/>
        <v/>
      </c>
      <c r="AJ11" s="84" t="str">
        <f t="shared" si="2"/>
        <v/>
      </c>
      <c r="AK11" s="84" t="str">
        <f t="shared" si="2"/>
        <v/>
      </c>
      <c r="AL11" s="84" t="str">
        <f t="shared" si="2"/>
        <v/>
      </c>
      <c r="AM11" s="84" t="str">
        <f t="shared" si="2"/>
        <v/>
      </c>
      <c r="AN11" s="84" t="str">
        <f t="shared" si="2"/>
        <v/>
      </c>
      <c r="AO11" s="84" t="str">
        <f t="shared" si="2"/>
        <v/>
      </c>
      <c r="AP11" s="84" t="str">
        <f t="shared" si="2"/>
        <v/>
      </c>
      <c r="AQ11" s="84" t="str">
        <f t="shared" si="2"/>
        <v/>
      </c>
      <c r="AR11" s="84">
        <f t="shared" si="2"/>
        <v>0.18927550495020509</v>
      </c>
      <c r="AT11" s="139">
        <f t="shared" si="3"/>
        <v>5.015666337402136E-3</v>
      </c>
      <c r="AU11" s="139">
        <f t="shared" si="3"/>
        <v>-1.4833571025779646E-3</v>
      </c>
      <c r="AV11" s="139" t="str">
        <f t="shared" si="3"/>
        <v/>
      </c>
      <c r="AW11" s="139" t="str">
        <f t="shared" si="3"/>
        <v/>
      </c>
      <c r="AX11" s="139" t="str">
        <f t="shared" si="3"/>
        <v/>
      </c>
      <c r="AY11" s="139" t="str">
        <f t="shared" si="3"/>
        <v/>
      </c>
      <c r="AZ11" s="139" t="str">
        <f t="shared" si="3"/>
        <v/>
      </c>
      <c r="BA11" s="139" t="str">
        <f t="shared" si="3"/>
        <v/>
      </c>
      <c r="BB11" s="139" t="str">
        <f t="shared" si="3"/>
        <v/>
      </c>
      <c r="BC11" s="139" t="str">
        <f t="shared" si="3"/>
        <v/>
      </c>
      <c r="BD11" s="139" t="str">
        <f t="shared" si="3"/>
        <v/>
      </c>
      <c r="BF11" s="82">
        <f t="shared" si="4"/>
        <v>3.2161201816490508E-2</v>
      </c>
      <c r="BG11" s="82">
        <f t="shared" si="5"/>
        <v>0.44450084530816597</v>
      </c>
    </row>
    <row r="12" spans="2:59" x14ac:dyDescent="0.3">
      <c r="B12" s="83" t="s">
        <v>94</v>
      </c>
      <c r="D12" s="137">
        <v>40835754</v>
      </c>
      <c r="E12" s="137">
        <v>38364263</v>
      </c>
      <c r="F12" s="137">
        <v>40317063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>
        <f t="shared" si="0"/>
        <v>119517080</v>
      </c>
      <c r="R12" s="137">
        <v>5989752</v>
      </c>
      <c r="S12" s="137">
        <v>5651230</v>
      </c>
      <c r="T12" s="137">
        <v>5954722</v>
      </c>
      <c r="U12" s="137"/>
      <c r="V12" s="137"/>
      <c r="W12" s="137"/>
      <c r="X12" s="137"/>
      <c r="Y12" s="137"/>
      <c r="Z12" s="137"/>
      <c r="AA12" s="137"/>
      <c r="AB12" s="137"/>
      <c r="AC12" s="137"/>
      <c r="AD12" s="137">
        <f t="shared" si="1"/>
        <v>17595704</v>
      </c>
      <c r="AF12" s="84">
        <f t="shared" si="2"/>
        <v>0.14667910870459255</v>
      </c>
      <c r="AG12" s="84">
        <f t="shared" si="2"/>
        <v>0.14730453703750285</v>
      </c>
      <c r="AH12" s="84">
        <f t="shared" si="2"/>
        <v>0.14769731614626791</v>
      </c>
      <c r="AI12" s="84" t="str">
        <f t="shared" si="2"/>
        <v/>
      </c>
      <c r="AJ12" s="84" t="str">
        <f t="shared" si="2"/>
        <v/>
      </c>
      <c r="AK12" s="84" t="str">
        <f t="shared" si="2"/>
        <v/>
      </c>
      <c r="AL12" s="84" t="str">
        <f t="shared" si="2"/>
        <v/>
      </c>
      <c r="AM12" s="84" t="str">
        <f t="shared" si="2"/>
        <v/>
      </c>
      <c r="AN12" s="84" t="str">
        <f t="shared" si="2"/>
        <v/>
      </c>
      <c r="AO12" s="84" t="str">
        <f t="shared" si="2"/>
        <v/>
      </c>
      <c r="AP12" s="84" t="str">
        <f t="shared" si="2"/>
        <v/>
      </c>
      <c r="AQ12" s="84" t="str">
        <f t="shared" si="2"/>
        <v/>
      </c>
      <c r="AR12" s="84">
        <f t="shared" si="2"/>
        <v>0.14722334247121835</v>
      </c>
      <c r="AT12" s="139">
        <f t="shared" si="3"/>
        <v>6.2542833291029387E-4</v>
      </c>
      <c r="AU12" s="139">
        <f t="shared" si="3"/>
        <v>3.9277910876506228E-4</v>
      </c>
      <c r="AV12" s="139" t="str">
        <f t="shared" si="3"/>
        <v/>
      </c>
      <c r="AW12" s="139" t="str">
        <f t="shared" si="3"/>
        <v/>
      </c>
      <c r="AX12" s="139" t="str">
        <f t="shared" si="3"/>
        <v/>
      </c>
      <c r="AY12" s="139" t="str">
        <f t="shared" si="3"/>
        <v/>
      </c>
      <c r="AZ12" s="139" t="str">
        <f t="shared" si="3"/>
        <v/>
      </c>
      <c r="BA12" s="139" t="str">
        <f t="shared" si="3"/>
        <v/>
      </c>
      <c r="BB12" s="139" t="str">
        <f t="shared" si="3"/>
        <v/>
      </c>
      <c r="BC12" s="139" t="str">
        <f t="shared" si="3"/>
        <v/>
      </c>
      <c r="BD12" s="139" t="str">
        <f t="shared" si="3"/>
        <v/>
      </c>
      <c r="BF12" s="82">
        <f t="shared" si="4"/>
        <v>2.275463127126558E-2</v>
      </c>
      <c r="BG12" s="82">
        <f t="shared" si="5"/>
        <v>0.46725547657943156</v>
      </c>
    </row>
    <row r="13" spans="2:59" x14ac:dyDescent="0.3">
      <c r="B13" s="83" t="s">
        <v>95</v>
      </c>
      <c r="D13" s="137">
        <v>29810171</v>
      </c>
      <c r="E13" s="137">
        <v>23451798</v>
      </c>
      <c r="F13" s="137">
        <v>27850461</v>
      </c>
      <c r="G13" s="137"/>
      <c r="H13" s="137"/>
      <c r="I13" s="137"/>
      <c r="J13" s="137"/>
      <c r="K13" s="137"/>
      <c r="L13" s="137"/>
      <c r="M13" s="137"/>
      <c r="N13" s="137"/>
      <c r="O13" s="137"/>
      <c r="P13" s="137">
        <f t="shared" si="0"/>
        <v>81112430</v>
      </c>
      <c r="R13" s="137">
        <v>5090481</v>
      </c>
      <c r="S13" s="137">
        <v>3914784</v>
      </c>
      <c r="T13" s="137">
        <v>4726133</v>
      </c>
      <c r="U13" s="137"/>
      <c r="V13" s="137"/>
      <c r="W13" s="137"/>
      <c r="X13" s="137"/>
      <c r="Y13" s="137"/>
      <c r="Z13" s="137"/>
      <c r="AA13" s="137"/>
      <c r="AB13" s="137"/>
      <c r="AC13" s="137"/>
      <c r="AD13" s="137">
        <f t="shared" si="1"/>
        <v>13731398</v>
      </c>
      <c r="AF13" s="84">
        <f t="shared" si="2"/>
        <v>0.17076322708782851</v>
      </c>
      <c r="AG13" s="84">
        <f t="shared" si="2"/>
        <v>0.16692894932832017</v>
      </c>
      <c r="AH13" s="84">
        <f t="shared" si="2"/>
        <v>0.16969676013621462</v>
      </c>
      <c r="AI13" s="84" t="str">
        <f t="shared" si="2"/>
        <v/>
      </c>
      <c r="AJ13" s="84" t="str">
        <f t="shared" si="2"/>
        <v/>
      </c>
      <c r="AK13" s="84" t="str">
        <f t="shared" si="2"/>
        <v/>
      </c>
      <c r="AL13" s="84" t="str">
        <f t="shared" si="2"/>
        <v/>
      </c>
      <c r="AM13" s="84" t="str">
        <f t="shared" si="2"/>
        <v/>
      </c>
      <c r="AN13" s="84" t="str">
        <f t="shared" si="2"/>
        <v/>
      </c>
      <c r="AO13" s="84" t="str">
        <f t="shared" si="2"/>
        <v/>
      </c>
      <c r="AP13" s="84" t="str">
        <f t="shared" si="2"/>
        <v/>
      </c>
      <c r="AQ13" s="84" t="str">
        <f t="shared" si="2"/>
        <v/>
      </c>
      <c r="AR13" s="84">
        <f t="shared" si="2"/>
        <v>0.16928845554251057</v>
      </c>
      <c r="AT13" s="139">
        <f t="shared" si="3"/>
        <v>-3.8342777595083422E-3</v>
      </c>
      <c r="AU13" s="139">
        <f t="shared" si="3"/>
        <v>2.7678108078944552E-3</v>
      </c>
      <c r="AV13" s="139" t="str">
        <f t="shared" si="3"/>
        <v/>
      </c>
      <c r="AW13" s="139" t="str">
        <f t="shared" si="3"/>
        <v/>
      </c>
      <c r="AX13" s="139" t="str">
        <f t="shared" si="3"/>
        <v/>
      </c>
      <c r="AY13" s="139" t="str">
        <f t="shared" si="3"/>
        <v/>
      </c>
      <c r="AZ13" s="139" t="str">
        <f t="shared" si="3"/>
        <v/>
      </c>
      <c r="BA13" s="139" t="str">
        <f t="shared" si="3"/>
        <v/>
      </c>
      <c r="BB13" s="139" t="str">
        <f t="shared" si="3"/>
        <v/>
      </c>
      <c r="BC13" s="139" t="str">
        <f t="shared" si="3"/>
        <v/>
      </c>
      <c r="BD13" s="139" t="str">
        <f t="shared" si="3"/>
        <v/>
      </c>
      <c r="BF13" s="82">
        <f t="shared" si="4"/>
        <v>1.7757339992136356E-2</v>
      </c>
      <c r="BG13" s="82">
        <f t="shared" si="5"/>
        <v>0.48501281657156792</v>
      </c>
    </row>
    <row r="14" spans="2:59" x14ac:dyDescent="0.3">
      <c r="B14" s="83" t="s">
        <v>96</v>
      </c>
      <c r="D14" s="137">
        <v>41265349</v>
      </c>
      <c r="E14" s="137">
        <v>40481871</v>
      </c>
      <c r="F14" s="137">
        <v>42432881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>
        <f t="shared" si="0"/>
        <v>124180101</v>
      </c>
      <c r="R14" s="137">
        <v>6347059</v>
      </c>
      <c r="S14" s="137">
        <v>5762253</v>
      </c>
      <c r="T14" s="137">
        <v>5743333</v>
      </c>
      <c r="U14" s="137"/>
      <c r="V14" s="137"/>
      <c r="W14" s="137"/>
      <c r="X14" s="137"/>
      <c r="Y14" s="137"/>
      <c r="Z14" s="137"/>
      <c r="AA14" s="137"/>
      <c r="AB14" s="137"/>
      <c r="AC14" s="137"/>
      <c r="AD14" s="137">
        <f t="shared" si="1"/>
        <v>17852645</v>
      </c>
      <c r="AF14" s="84">
        <f t="shared" si="2"/>
        <v>0.15381086441314237</v>
      </c>
      <c r="AG14" s="84">
        <f t="shared" si="2"/>
        <v>0.14234156815528609</v>
      </c>
      <c r="AH14" s="84">
        <f t="shared" si="2"/>
        <v>0.1353510029168182</v>
      </c>
      <c r="AI14" s="84" t="str">
        <f t="shared" si="2"/>
        <v/>
      </c>
      <c r="AJ14" s="84" t="str">
        <f t="shared" si="2"/>
        <v/>
      </c>
      <c r="AK14" s="84" t="str">
        <f t="shared" si="2"/>
        <v/>
      </c>
      <c r="AL14" s="84" t="str">
        <f t="shared" si="2"/>
        <v/>
      </c>
      <c r="AM14" s="84" t="str">
        <f t="shared" si="2"/>
        <v/>
      </c>
      <c r="AN14" s="84" t="str">
        <f t="shared" si="2"/>
        <v/>
      </c>
      <c r="AO14" s="84" t="str">
        <f t="shared" si="2"/>
        <v/>
      </c>
      <c r="AP14" s="84" t="str">
        <f t="shared" si="2"/>
        <v/>
      </c>
      <c r="AQ14" s="84" t="str">
        <f t="shared" si="2"/>
        <v/>
      </c>
      <c r="AR14" s="84">
        <f t="shared" si="2"/>
        <v>0.1437641365745064</v>
      </c>
      <c r="AT14" s="139">
        <f t="shared" si="3"/>
        <v>-1.1469296257856282E-2</v>
      </c>
      <c r="AU14" s="139">
        <f t="shared" si="3"/>
        <v>-6.9905652384678885E-3</v>
      </c>
      <c r="AV14" s="139" t="str">
        <f t="shared" si="3"/>
        <v/>
      </c>
      <c r="AW14" s="139" t="str">
        <f t="shared" si="3"/>
        <v/>
      </c>
      <c r="AX14" s="139" t="str">
        <f t="shared" si="3"/>
        <v/>
      </c>
      <c r="AY14" s="139" t="str">
        <f t="shared" si="3"/>
        <v/>
      </c>
      <c r="AZ14" s="139" t="str">
        <f t="shared" si="3"/>
        <v/>
      </c>
      <c r="BA14" s="139" t="str">
        <f t="shared" si="3"/>
        <v/>
      </c>
      <c r="BB14" s="139" t="str">
        <f t="shared" si="3"/>
        <v/>
      </c>
      <c r="BC14" s="139" t="str">
        <f t="shared" si="3"/>
        <v/>
      </c>
      <c r="BD14" s="139" t="str">
        <f t="shared" si="3"/>
        <v/>
      </c>
      <c r="BF14" s="82">
        <f t="shared" si="4"/>
        <v>2.3086905428268349E-2</v>
      </c>
      <c r="BG14" s="82">
        <f t="shared" si="5"/>
        <v>0.50809972199983622</v>
      </c>
    </row>
    <row r="15" spans="2:59" x14ac:dyDescent="0.3">
      <c r="B15" s="83" t="s">
        <v>97</v>
      </c>
      <c r="D15" s="137">
        <v>28889629</v>
      </c>
      <c r="E15" s="137">
        <v>28686154</v>
      </c>
      <c r="F15" s="137">
        <v>22609954</v>
      </c>
      <c r="G15" s="137"/>
      <c r="H15" s="137"/>
      <c r="I15" s="137"/>
      <c r="J15" s="137"/>
      <c r="K15" s="137"/>
      <c r="L15" s="137"/>
      <c r="M15" s="137"/>
      <c r="N15" s="137"/>
      <c r="O15" s="137"/>
      <c r="P15" s="137">
        <f t="shared" si="0"/>
        <v>80185737</v>
      </c>
      <c r="R15" s="137">
        <v>3655956</v>
      </c>
      <c r="S15" s="137">
        <v>3959817</v>
      </c>
      <c r="T15" s="137">
        <v>2839842</v>
      </c>
      <c r="U15" s="137"/>
      <c r="V15" s="137"/>
      <c r="W15" s="137"/>
      <c r="X15" s="137"/>
      <c r="Y15" s="137"/>
      <c r="Z15" s="137"/>
      <c r="AA15" s="137"/>
      <c r="AB15" s="137"/>
      <c r="AC15" s="137"/>
      <c r="AD15" s="137">
        <f t="shared" si="1"/>
        <v>10455615</v>
      </c>
      <c r="AF15" s="84">
        <f t="shared" si="2"/>
        <v>0.12654908098681364</v>
      </c>
      <c r="AG15" s="84">
        <f t="shared" si="2"/>
        <v>0.13803931332168126</v>
      </c>
      <c r="AH15" s="84">
        <f t="shared" si="2"/>
        <v>0.12560140546946713</v>
      </c>
      <c r="AI15" s="84" t="str">
        <f t="shared" si="2"/>
        <v/>
      </c>
      <c r="AJ15" s="84" t="str">
        <f t="shared" si="2"/>
        <v/>
      </c>
      <c r="AK15" s="84" t="str">
        <f t="shared" si="2"/>
        <v/>
      </c>
      <c r="AL15" s="84" t="str">
        <f t="shared" si="2"/>
        <v/>
      </c>
      <c r="AM15" s="84" t="str">
        <f t="shared" si="2"/>
        <v/>
      </c>
      <c r="AN15" s="84" t="str">
        <f t="shared" si="2"/>
        <v/>
      </c>
      <c r="AO15" s="84" t="str">
        <f t="shared" si="2"/>
        <v/>
      </c>
      <c r="AP15" s="84" t="str">
        <f t="shared" si="2"/>
        <v/>
      </c>
      <c r="AQ15" s="84" t="str">
        <f t="shared" si="2"/>
        <v/>
      </c>
      <c r="AR15" s="84">
        <f t="shared" si="2"/>
        <v>0.1303924537103151</v>
      </c>
      <c r="AT15" s="139">
        <f t="shared" si="3"/>
        <v>1.1490232334867623E-2</v>
      </c>
      <c r="AU15" s="139">
        <f t="shared" si="3"/>
        <v>-1.2437907852214131E-2</v>
      </c>
      <c r="AV15" s="139" t="str">
        <f t="shared" si="3"/>
        <v/>
      </c>
      <c r="AW15" s="139" t="str">
        <f t="shared" si="3"/>
        <v/>
      </c>
      <c r="AX15" s="139" t="str">
        <f t="shared" si="3"/>
        <v/>
      </c>
      <c r="AY15" s="139" t="str">
        <f t="shared" si="3"/>
        <v/>
      </c>
      <c r="AZ15" s="139" t="str">
        <f t="shared" si="3"/>
        <v/>
      </c>
      <c r="BA15" s="139" t="str">
        <f t="shared" si="3"/>
        <v/>
      </c>
      <c r="BB15" s="139" t="str">
        <f t="shared" si="3"/>
        <v/>
      </c>
      <c r="BC15" s="139" t="str">
        <f t="shared" si="3"/>
        <v/>
      </c>
      <c r="BD15" s="139" t="str">
        <f t="shared" si="3"/>
        <v/>
      </c>
      <c r="BF15" s="82">
        <f t="shared" si="4"/>
        <v>1.3521122203426101E-2</v>
      </c>
      <c r="BG15" s="82">
        <f t="shared" si="5"/>
        <v>0.52162084420326227</v>
      </c>
    </row>
    <row r="16" spans="2:59" x14ac:dyDescent="0.3">
      <c r="B16" s="83" t="s">
        <v>98</v>
      </c>
      <c r="D16" s="137">
        <v>58123330</v>
      </c>
      <c r="E16" s="137">
        <v>61140886</v>
      </c>
      <c r="F16" s="137">
        <v>69761080</v>
      </c>
      <c r="G16" s="137"/>
      <c r="H16" s="137"/>
      <c r="I16" s="137"/>
      <c r="J16" s="137"/>
      <c r="K16" s="137"/>
      <c r="L16" s="137"/>
      <c r="M16" s="137"/>
      <c r="N16" s="137"/>
      <c r="O16" s="137"/>
      <c r="P16" s="137">
        <f t="shared" si="0"/>
        <v>189025296</v>
      </c>
      <c r="R16" s="137">
        <v>4327858</v>
      </c>
      <c r="S16" s="137">
        <v>4549660</v>
      </c>
      <c r="T16" s="137">
        <v>4555154</v>
      </c>
      <c r="U16" s="137"/>
      <c r="V16" s="137"/>
      <c r="W16" s="137"/>
      <c r="X16" s="137"/>
      <c r="Y16" s="137"/>
      <c r="Z16" s="137"/>
      <c r="AA16" s="137"/>
      <c r="AB16" s="137"/>
      <c r="AC16" s="137"/>
      <c r="AD16" s="137">
        <f t="shared" si="1"/>
        <v>13432672</v>
      </c>
      <c r="AF16" s="84">
        <f t="shared" si="2"/>
        <v>7.4459911364335107E-2</v>
      </c>
      <c r="AG16" s="84">
        <f t="shared" si="2"/>
        <v>7.4412726043911109E-2</v>
      </c>
      <c r="AH16" s="84">
        <f t="shared" si="2"/>
        <v>6.5296494836375812E-2</v>
      </c>
      <c r="AI16" s="84" t="str">
        <f t="shared" si="2"/>
        <v/>
      </c>
      <c r="AJ16" s="84" t="str">
        <f t="shared" si="2"/>
        <v/>
      </c>
      <c r="AK16" s="84" t="str">
        <f t="shared" si="2"/>
        <v/>
      </c>
      <c r="AL16" s="84" t="str">
        <f t="shared" si="2"/>
        <v/>
      </c>
      <c r="AM16" s="84" t="str">
        <f t="shared" si="2"/>
        <v/>
      </c>
      <c r="AN16" s="84" t="str">
        <f t="shared" si="2"/>
        <v/>
      </c>
      <c r="AO16" s="84" t="str">
        <f t="shared" si="2"/>
        <v/>
      </c>
      <c r="AP16" s="84" t="str">
        <f t="shared" si="2"/>
        <v/>
      </c>
      <c r="AQ16" s="84" t="str">
        <f t="shared" si="2"/>
        <v/>
      </c>
      <c r="AR16" s="84">
        <f t="shared" si="2"/>
        <v>7.1062827485269486E-2</v>
      </c>
      <c r="AT16" s="139">
        <f t="shared" si="3"/>
        <v>-4.7185320423998034E-5</v>
      </c>
      <c r="AU16" s="139">
        <f t="shared" si="3"/>
        <v>-9.1162312075352969E-3</v>
      </c>
      <c r="AV16" s="139" t="str">
        <f t="shared" si="3"/>
        <v/>
      </c>
      <c r="AW16" s="139" t="str">
        <f t="shared" si="3"/>
        <v/>
      </c>
      <c r="AX16" s="139" t="str">
        <f t="shared" si="3"/>
        <v/>
      </c>
      <c r="AY16" s="139" t="str">
        <f t="shared" si="3"/>
        <v/>
      </c>
      <c r="AZ16" s="139" t="str">
        <f t="shared" si="3"/>
        <v/>
      </c>
      <c r="BA16" s="139" t="str">
        <f t="shared" si="3"/>
        <v/>
      </c>
      <c r="BB16" s="139" t="str">
        <f t="shared" si="3"/>
        <v/>
      </c>
      <c r="BC16" s="139" t="str">
        <f t="shared" si="3"/>
        <v/>
      </c>
      <c r="BD16" s="139" t="str">
        <f t="shared" si="3"/>
        <v/>
      </c>
      <c r="BF16" s="82">
        <f t="shared" si="4"/>
        <v>1.7371029789308434E-2</v>
      </c>
      <c r="BG16" s="82">
        <f t="shared" si="5"/>
        <v>0.53899187399257076</v>
      </c>
    </row>
    <row r="17" spans="2:59" x14ac:dyDescent="0.3">
      <c r="B17" s="83" t="s">
        <v>99</v>
      </c>
      <c r="D17" s="137">
        <v>27328000</v>
      </c>
      <c r="E17" s="137">
        <v>29527339</v>
      </c>
      <c r="F17" s="137">
        <v>33887114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>
        <f t="shared" si="0"/>
        <v>90742453</v>
      </c>
      <c r="R17" s="137">
        <v>3851373</v>
      </c>
      <c r="S17" s="137">
        <v>4136697</v>
      </c>
      <c r="T17" s="137">
        <v>4580261</v>
      </c>
      <c r="U17" s="137"/>
      <c r="V17" s="137"/>
      <c r="W17" s="137"/>
      <c r="X17" s="137"/>
      <c r="Y17" s="137"/>
      <c r="Z17" s="137"/>
      <c r="AA17" s="137"/>
      <c r="AB17" s="137"/>
      <c r="AC17" s="137"/>
      <c r="AD17" s="137">
        <f t="shared" si="1"/>
        <v>12568331</v>
      </c>
      <c r="AF17" s="84">
        <f t="shared" si="2"/>
        <v>0.14093138905152225</v>
      </c>
      <c r="AG17" s="84">
        <f t="shared" si="2"/>
        <v>0.14009718247892233</v>
      </c>
      <c r="AH17" s="84">
        <f t="shared" si="2"/>
        <v>0.13516232158336056</v>
      </c>
      <c r="AI17" s="84" t="str">
        <f t="shared" si="2"/>
        <v/>
      </c>
      <c r="AJ17" s="84" t="str">
        <f t="shared" si="2"/>
        <v/>
      </c>
      <c r="AK17" s="84" t="str">
        <f t="shared" si="2"/>
        <v/>
      </c>
      <c r="AL17" s="84" t="str">
        <f t="shared" si="2"/>
        <v/>
      </c>
      <c r="AM17" s="84" t="str">
        <f t="shared" si="2"/>
        <v/>
      </c>
      <c r="AN17" s="84" t="str">
        <f t="shared" si="2"/>
        <v/>
      </c>
      <c r="AO17" s="84" t="str">
        <f t="shared" si="2"/>
        <v/>
      </c>
      <c r="AP17" s="84" t="str">
        <f t="shared" si="2"/>
        <v/>
      </c>
      <c r="AQ17" s="84" t="str">
        <f t="shared" si="2"/>
        <v/>
      </c>
      <c r="AR17" s="84">
        <f t="shared" si="2"/>
        <v>0.13850552398004934</v>
      </c>
      <c r="AT17" s="139">
        <f t="shared" si="3"/>
        <v>-8.3420657259991593E-4</v>
      </c>
      <c r="AU17" s="139">
        <f t="shared" si="3"/>
        <v>-4.9348608955617768E-3</v>
      </c>
      <c r="AV17" s="139" t="str">
        <f t="shared" si="3"/>
        <v/>
      </c>
      <c r="AW17" s="139" t="str">
        <f t="shared" si="3"/>
        <v/>
      </c>
      <c r="AX17" s="139" t="str">
        <f t="shared" si="3"/>
        <v/>
      </c>
      <c r="AY17" s="139" t="str">
        <f t="shared" si="3"/>
        <v/>
      </c>
      <c r="AZ17" s="139" t="str">
        <f t="shared" si="3"/>
        <v/>
      </c>
      <c r="BA17" s="139" t="str">
        <f t="shared" si="3"/>
        <v/>
      </c>
      <c r="BB17" s="139" t="str">
        <f t="shared" si="3"/>
        <v/>
      </c>
      <c r="BC17" s="139" t="str">
        <f t="shared" si="3"/>
        <v/>
      </c>
      <c r="BD17" s="139" t="str">
        <f t="shared" si="3"/>
        <v/>
      </c>
      <c r="BF17" s="82">
        <f t="shared" si="4"/>
        <v>1.6253270548323422E-2</v>
      </c>
      <c r="BG17" s="82">
        <f t="shared" si="5"/>
        <v>0.55524514454089413</v>
      </c>
    </row>
    <row r="18" spans="2:59" x14ac:dyDescent="0.3">
      <c r="B18" s="83" t="s">
        <v>100</v>
      </c>
      <c r="D18" s="137">
        <v>47853968</v>
      </c>
      <c r="E18" s="137">
        <v>44632788</v>
      </c>
      <c r="F18" s="137">
        <v>7449306</v>
      </c>
      <c r="G18" s="137"/>
      <c r="H18" s="137"/>
      <c r="I18" s="137"/>
      <c r="J18" s="137"/>
      <c r="K18" s="137"/>
      <c r="L18" s="137"/>
      <c r="M18" s="137"/>
      <c r="N18" s="137"/>
      <c r="O18" s="137"/>
      <c r="P18" s="137">
        <f t="shared" si="0"/>
        <v>99936062</v>
      </c>
      <c r="R18" s="137">
        <v>904900</v>
      </c>
      <c r="S18" s="137">
        <v>866821</v>
      </c>
      <c r="T18" s="137">
        <v>158797</v>
      </c>
      <c r="U18" s="137"/>
      <c r="V18" s="137"/>
      <c r="W18" s="137"/>
      <c r="X18" s="137"/>
      <c r="Y18" s="137"/>
      <c r="Z18" s="137"/>
      <c r="AA18" s="137"/>
      <c r="AB18" s="137"/>
      <c r="AC18" s="137"/>
      <c r="AD18" s="137">
        <f t="shared" si="1"/>
        <v>1930518</v>
      </c>
      <c r="AF18" s="84">
        <f t="shared" si="2"/>
        <v>1.8909612678304964E-2</v>
      </c>
      <c r="AG18" s="84">
        <f t="shared" si="2"/>
        <v>1.9421170821773446E-2</v>
      </c>
      <c r="AH18" s="84">
        <f t="shared" si="2"/>
        <v>2.1317019330391315E-2</v>
      </c>
      <c r="AI18" s="84" t="str">
        <f t="shared" si="2"/>
        <v/>
      </c>
      <c r="AJ18" s="84" t="str">
        <f t="shared" si="2"/>
        <v/>
      </c>
      <c r="AK18" s="84" t="str">
        <f t="shared" si="2"/>
        <v/>
      </c>
      <c r="AL18" s="84" t="str">
        <f t="shared" si="2"/>
        <v/>
      </c>
      <c r="AM18" s="84" t="str">
        <f t="shared" si="2"/>
        <v/>
      </c>
      <c r="AN18" s="84" t="str">
        <f t="shared" si="2"/>
        <v/>
      </c>
      <c r="AO18" s="84" t="str">
        <f t="shared" si="2"/>
        <v/>
      </c>
      <c r="AP18" s="84" t="str">
        <f t="shared" si="2"/>
        <v/>
      </c>
      <c r="AQ18" s="84" t="str">
        <f t="shared" si="2"/>
        <v/>
      </c>
      <c r="AR18" s="84">
        <f t="shared" si="2"/>
        <v>1.931753124312623E-2</v>
      </c>
      <c r="AT18" s="139">
        <f t="shared" si="3"/>
        <v>5.1155814346848238E-4</v>
      </c>
      <c r="AU18" s="139">
        <f t="shared" si="3"/>
        <v>1.8958485086178686E-3</v>
      </c>
      <c r="AV18" s="139" t="str">
        <f t="shared" si="3"/>
        <v/>
      </c>
      <c r="AW18" s="139" t="str">
        <f t="shared" si="3"/>
        <v/>
      </c>
      <c r="AX18" s="139" t="str">
        <f t="shared" si="3"/>
        <v/>
      </c>
      <c r="AY18" s="139" t="str">
        <f t="shared" si="3"/>
        <v/>
      </c>
      <c r="AZ18" s="139" t="str">
        <f t="shared" si="3"/>
        <v/>
      </c>
      <c r="BA18" s="139" t="str">
        <f t="shared" si="3"/>
        <v/>
      </c>
      <c r="BB18" s="139" t="str">
        <f t="shared" si="3"/>
        <v/>
      </c>
      <c r="BC18" s="139" t="str">
        <f t="shared" si="3"/>
        <v/>
      </c>
      <c r="BD18" s="139" t="str">
        <f t="shared" si="3"/>
        <v/>
      </c>
      <c r="BF18" s="82">
        <f t="shared" si="4"/>
        <v>2.4965312699361778E-3</v>
      </c>
      <c r="BG18" s="82">
        <f t="shared" si="5"/>
        <v>0.55774167581083034</v>
      </c>
    </row>
    <row r="19" spans="2:59" x14ac:dyDescent="0.3">
      <c r="B19" s="83" t="s">
        <v>101</v>
      </c>
      <c r="D19" s="137">
        <v>28943825</v>
      </c>
      <c r="E19" s="137">
        <v>25649339</v>
      </c>
      <c r="F19" s="137">
        <v>29590455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>
        <f t="shared" si="0"/>
        <v>84183619</v>
      </c>
      <c r="R19" s="137">
        <v>7228038</v>
      </c>
      <c r="S19" s="137">
        <v>6798897</v>
      </c>
      <c r="T19" s="137">
        <v>7706584</v>
      </c>
      <c r="U19" s="137"/>
      <c r="V19" s="137"/>
      <c r="W19" s="137"/>
      <c r="X19" s="137"/>
      <c r="Y19" s="137"/>
      <c r="Z19" s="137"/>
      <c r="AA19" s="137"/>
      <c r="AB19" s="137"/>
      <c r="AC19" s="137"/>
      <c r="AD19" s="137">
        <f t="shared" si="1"/>
        <v>21733519</v>
      </c>
      <c r="AF19" s="84">
        <f t="shared" si="2"/>
        <v>0.24972642696671915</v>
      </c>
      <c r="AG19" s="84">
        <f t="shared" si="2"/>
        <v>0.26507104140188564</v>
      </c>
      <c r="AH19" s="84">
        <f t="shared" si="2"/>
        <v>0.26044155116911855</v>
      </c>
      <c r="AI19" s="84" t="str">
        <f t="shared" si="2"/>
        <v/>
      </c>
      <c r="AJ19" s="84" t="str">
        <f t="shared" si="2"/>
        <v/>
      </c>
      <c r="AK19" s="84" t="str">
        <f t="shared" si="2"/>
        <v/>
      </c>
      <c r="AL19" s="84" t="str">
        <f t="shared" si="2"/>
        <v/>
      </c>
      <c r="AM19" s="84" t="str">
        <f t="shared" si="2"/>
        <v/>
      </c>
      <c r="AN19" s="84" t="str">
        <f t="shared" si="2"/>
        <v/>
      </c>
      <c r="AO19" s="84" t="str">
        <f t="shared" si="2"/>
        <v/>
      </c>
      <c r="AP19" s="84" t="str">
        <f t="shared" si="2"/>
        <v/>
      </c>
      <c r="AQ19" s="84" t="str">
        <f t="shared" si="2"/>
        <v/>
      </c>
      <c r="AR19" s="84">
        <f t="shared" si="2"/>
        <v>0.25816802910314418</v>
      </c>
      <c r="AT19" s="139">
        <f t="shared" si="3"/>
        <v>1.5344614435166493E-2</v>
      </c>
      <c r="AU19" s="139">
        <f t="shared" si="3"/>
        <v>-4.6294902327670973E-3</v>
      </c>
      <c r="AV19" s="139" t="str">
        <f t="shared" si="3"/>
        <v/>
      </c>
      <c r="AW19" s="139" t="str">
        <f t="shared" si="3"/>
        <v/>
      </c>
      <c r="AX19" s="139" t="str">
        <f t="shared" si="3"/>
        <v/>
      </c>
      <c r="AY19" s="139" t="str">
        <f t="shared" si="3"/>
        <v/>
      </c>
      <c r="AZ19" s="139" t="str">
        <f t="shared" si="3"/>
        <v/>
      </c>
      <c r="BA19" s="139" t="str">
        <f t="shared" si="3"/>
        <v/>
      </c>
      <c r="BB19" s="139" t="str">
        <f t="shared" si="3"/>
        <v/>
      </c>
      <c r="BC19" s="139" t="str">
        <f t="shared" si="3"/>
        <v/>
      </c>
      <c r="BD19" s="139" t="str">
        <f t="shared" si="3"/>
        <v/>
      </c>
      <c r="BF19" s="82">
        <f t="shared" si="4"/>
        <v>2.8105622319632373E-2</v>
      </c>
      <c r="BG19" s="82">
        <f t="shared" si="5"/>
        <v>0.58584729813046277</v>
      </c>
    </row>
    <row r="20" spans="2:59" x14ac:dyDescent="0.3">
      <c r="B20" s="83" t="s">
        <v>102</v>
      </c>
      <c r="D20" s="137">
        <v>4953857</v>
      </c>
      <c r="E20" s="137">
        <v>4801619</v>
      </c>
      <c r="F20" s="137">
        <v>4406503</v>
      </c>
      <c r="G20" s="137"/>
      <c r="H20" s="137"/>
      <c r="I20" s="137"/>
      <c r="J20" s="137"/>
      <c r="K20" s="137"/>
      <c r="L20" s="137"/>
      <c r="M20" s="137"/>
      <c r="N20" s="137"/>
      <c r="O20" s="137"/>
      <c r="P20" s="137">
        <f t="shared" si="0"/>
        <v>14161979</v>
      </c>
      <c r="R20" s="137">
        <v>1017759</v>
      </c>
      <c r="S20" s="137">
        <v>1006154</v>
      </c>
      <c r="T20" s="137">
        <v>968453</v>
      </c>
      <c r="U20" s="137"/>
      <c r="V20" s="137"/>
      <c r="W20" s="137"/>
      <c r="X20" s="137"/>
      <c r="Y20" s="137"/>
      <c r="Z20" s="137"/>
      <c r="AA20" s="137"/>
      <c r="AB20" s="137"/>
      <c r="AC20" s="137"/>
      <c r="AD20" s="137">
        <f t="shared" si="1"/>
        <v>2992366</v>
      </c>
      <c r="AF20" s="84">
        <f t="shared" si="2"/>
        <v>0.20544779552578929</v>
      </c>
      <c r="AG20" s="84">
        <f t="shared" si="2"/>
        <v>0.20954473897241743</v>
      </c>
      <c r="AH20" s="84">
        <f t="shared" si="2"/>
        <v>0.21977813245560027</v>
      </c>
      <c r="AI20" s="84" t="str">
        <f t="shared" si="2"/>
        <v/>
      </c>
      <c r="AJ20" s="84" t="str">
        <f t="shared" si="2"/>
        <v/>
      </c>
      <c r="AK20" s="84" t="str">
        <f t="shared" si="2"/>
        <v/>
      </c>
      <c r="AL20" s="84" t="str">
        <f t="shared" si="2"/>
        <v/>
      </c>
      <c r="AM20" s="84" t="str">
        <f t="shared" si="2"/>
        <v/>
      </c>
      <c r="AN20" s="84" t="str">
        <f t="shared" si="2"/>
        <v/>
      </c>
      <c r="AO20" s="84" t="str">
        <f t="shared" si="2"/>
        <v/>
      </c>
      <c r="AP20" s="84" t="str">
        <f t="shared" si="2"/>
        <v/>
      </c>
      <c r="AQ20" s="84" t="str">
        <f t="shared" si="2"/>
        <v/>
      </c>
      <c r="AR20" s="84">
        <f t="shared" si="2"/>
        <v>0.21129575181547719</v>
      </c>
      <c r="AT20" s="139">
        <f t="shared" si="3"/>
        <v>4.0969434466281429E-3</v>
      </c>
      <c r="AU20" s="139">
        <f t="shared" si="3"/>
        <v>1.0233393483182834E-2</v>
      </c>
      <c r="AV20" s="139" t="str">
        <f t="shared" si="3"/>
        <v/>
      </c>
      <c r="AW20" s="139" t="str">
        <f t="shared" si="3"/>
        <v/>
      </c>
      <c r="AX20" s="139" t="str">
        <f t="shared" si="3"/>
        <v/>
      </c>
      <c r="AY20" s="139" t="str">
        <f t="shared" si="3"/>
        <v/>
      </c>
      <c r="AZ20" s="139" t="str">
        <f t="shared" si="3"/>
        <v/>
      </c>
      <c r="BA20" s="139" t="str">
        <f t="shared" si="3"/>
        <v/>
      </c>
      <c r="BB20" s="139" t="str">
        <f t="shared" si="3"/>
        <v/>
      </c>
      <c r="BC20" s="139" t="str">
        <f t="shared" si="3"/>
        <v/>
      </c>
      <c r="BD20" s="139" t="str">
        <f t="shared" si="3"/>
        <v/>
      </c>
      <c r="BF20" s="82">
        <f t="shared" si="4"/>
        <v>3.8697050688436163E-3</v>
      </c>
      <c r="BG20" s="82">
        <f t="shared" si="5"/>
        <v>0.58971700319930642</v>
      </c>
    </row>
    <row r="21" spans="2:59" x14ac:dyDescent="0.3">
      <c r="B21" s="83" t="s">
        <v>103</v>
      </c>
      <c r="D21" s="137">
        <v>21554835</v>
      </c>
      <c r="E21" s="137">
        <v>20602941</v>
      </c>
      <c r="F21" s="137">
        <v>20817430</v>
      </c>
      <c r="G21" s="137"/>
      <c r="H21" s="137"/>
      <c r="I21" s="137"/>
      <c r="J21" s="137"/>
      <c r="K21" s="137"/>
      <c r="L21" s="137"/>
      <c r="M21" s="137"/>
      <c r="N21" s="137"/>
      <c r="O21" s="137"/>
      <c r="P21" s="137">
        <f t="shared" si="0"/>
        <v>62975206</v>
      </c>
      <c r="R21" s="137">
        <v>3420639</v>
      </c>
      <c r="S21" s="137">
        <v>3241459</v>
      </c>
      <c r="T21" s="137">
        <v>3282792</v>
      </c>
      <c r="U21" s="137"/>
      <c r="V21" s="137"/>
      <c r="W21" s="137"/>
      <c r="X21" s="137"/>
      <c r="Y21" s="137"/>
      <c r="Z21" s="137"/>
      <c r="AA21" s="137"/>
      <c r="AB21" s="137"/>
      <c r="AC21" s="137"/>
      <c r="AD21" s="137">
        <f t="shared" si="1"/>
        <v>9944890</v>
      </c>
      <c r="AF21" s="84">
        <f t="shared" si="2"/>
        <v>0.15869474296602132</v>
      </c>
      <c r="AG21" s="84">
        <f t="shared" si="2"/>
        <v>0.1573299171220264</v>
      </c>
      <c r="AH21" s="84">
        <f t="shared" si="2"/>
        <v>0.15769439359229262</v>
      </c>
      <c r="AI21" s="84" t="str">
        <f t="shared" si="2"/>
        <v/>
      </c>
      <c r="AJ21" s="84" t="str">
        <f t="shared" si="2"/>
        <v/>
      </c>
      <c r="AK21" s="84" t="str">
        <f t="shared" si="2"/>
        <v/>
      </c>
      <c r="AL21" s="84" t="str">
        <f t="shared" si="2"/>
        <v/>
      </c>
      <c r="AM21" s="84" t="str">
        <f t="shared" si="2"/>
        <v/>
      </c>
      <c r="AN21" s="84" t="str">
        <f t="shared" si="2"/>
        <v/>
      </c>
      <c r="AO21" s="84" t="str">
        <f t="shared" si="2"/>
        <v/>
      </c>
      <c r="AP21" s="84" t="str">
        <f t="shared" si="2"/>
        <v/>
      </c>
      <c r="AQ21" s="84" t="str">
        <f t="shared" si="2"/>
        <v/>
      </c>
      <c r="AR21" s="84">
        <f t="shared" si="2"/>
        <v>0.15791754615300505</v>
      </c>
      <c r="AT21" s="139">
        <f t="shared" si="3"/>
        <v>-1.3648258439949157E-3</v>
      </c>
      <c r="AU21" s="139">
        <f t="shared" si="3"/>
        <v>3.6447647026621732E-4</v>
      </c>
      <c r="AV21" s="139" t="str">
        <f t="shared" si="3"/>
        <v/>
      </c>
      <c r="AW21" s="139" t="str">
        <f t="shared" si="3"/>
        <v/>
      </c>
      <c r="AX21" s="139" t="str">
        <f t="shared" si="3"/>
        <v/>
      </c>
      <c r="AY21" s="139" t="str">
        <f t="shared" si="3"/>
        <v/>
      </c>
      <c r="AZ21" s="139" t="str">
        <f t="shared" si="3"/>
        <v/>
      </c>
      <c r="BA21" s="139" t="str">
        <f t="shared" si="3"/>
        <v/>
      </c>
      <c r="BB21" s="139" t="str">
        <f t="shared" si="3"/>
        <v/>
      </c>
      <c r="BC21" s="139" t="str">
        <f t="shared" si="3"/>
        <v/>
      </c>
      <c r="BD21" s="139" t="str">
        <f t="shared" si="3"/>
        <v/>
      </c>
      <c r="BF21" s="82">
        <f t="shared" si="4"/>
        <v>1.2860656497932469E-2</v>
      </c>
      <c r="BG21" s="82">
        <f t="shared" si="5"/>
        <v>0.60257765969723887</v>
      </c>
    </row>
    <row r="22" spans="2:59" x14ac:dyDescent="0.3">
      <c r="B22" s="83" t="s">
        <v>104</v>
      </c>
      <c r="D22" s="137">
        <v>23065050</v>
      </c>
      <c r="E22" s="137">
        <v>20902165</v>
      </c>
      <c r="F22" s="137">
        <v>22399968</v>
      </c>
      <c r="G22" s="137"/>
      <c r="H22" s="137"/>
      <c r="I22" s="137"/>
      <c r="J22" s="137"/>
      <c r="K22" s="137"/>
      <c r="L22" s="137"/>
      <c r="M22" s="137"/>
      <c r="N22" s="137"/>
      <c r="O22" s="137"/>
      <c r="P22" s="137">
        <f t="shared" si="0"/>
        <v>66367183</v>
      </c>
      <c r="R22" s="137">
        <v>3084711</v>
      </c>
      <c r="S22" s="137">
        <v>2837093</v>
      </c>
      <c r="T22" s="137">
        <v>2679021</v>
      </c>
      <c r="U22" s="137"/>
      <c r="V22" s="137"/>
      <c r="W22" s="137"/>
      <c r="X22" s="137"/>
      <c r="Y22" s="137"/>
      <c r="Z22" s="137"/>
      <c r="AA22" s="137"/>
      <c r="AB22" s="137"/>
      <c r="AC22" s="137"/>
      <c r="AD22" s="137">
        <f t="shared" si="1"/>
        <v>8600825</v>
      </c>
      <c r="AF22" s="84">
        <f t="shared" si="2"/>
        <v>0.13373961903399298</v>
      </c>
      <c r="AG22" s="84">
        <f t="shared" si="2"/>
        <v>0.1357320162767828</v>
      </c>
      <c r="AH22" s="84">
        <f t="shared" si="2"/>
        <v>0.11959932264188949</v>
      </c>
      <c r="AI22" s="84" t="str">
        <f t="shared" si="2"/>
        <v/>
      </c>
      <c r="AJ22" s="84" t="str">
        <f t="shared" si="2"/>
        <v/>
      </c>
      <c r="AK22" s="84" t="str">
        <f t="shared" si="2"/>
        <v/>
      </c>
      <c r="AL22" s="84" t="str">
        <f t="shared" si="2"/>
        <v/>
      </c>
      <c r="AM22" s="84" t="str">
        <f t="shared" si="2"/>
        <v/>
      </c>
      <c r="AN22" s="84" t="str">
        <f t="shared" si="2"/>
        <v/>
      </c>
      <c r="AO22" s="84" t="str">
        <f t="shared" si="2"/>
        <v/>
      </c>
      <c r="AP22" s="84" t="str">
        <f t="shared" si="2"/>
        <v/>
      </c>
      <c r="AQ22" s="84" t="str">
        <f t="shared" si="2"/>
        <v/>
      </c>
      <c r="AR22" s="84">
        <f t="shared" si="2"/>
        <v>0.12959454675061319</v>
      </c>
      <c r="AT22" s="139">
        <f t="shared" si="3"/>
        <v>1.9923972427898229E-3</v>
      </c>
      <c r="AU22" s="139">
        <f t="shared" si="3"/>
        <v>-1.6132693634893308E-2</v>
      </c>
      <c r="AV22" s="139" t="str">
        <f t="shared" si="3"/>
        <v/>
      </c>
      <c r="AW22" s="139" t="str">
        <f t="shared" si="3"/>
        <v/>
      </c>
      <c r="AX22" s="139" t="str">
        <f t="shared" si="3"/>
        <v/>
      </c>
      <c r="AY22" s="139" t="str">
        <f t="shared" si="3"/>
        <v/>
      </c>
      <c r="AZ22" s="139" t="str">
        <f t="shared" si="3"/>
        <v/>
      </c>
      <c r="BA22" s="139" t="str">
        <f t="shared" si="3"/>
        <v/>
      </c>
      <c r="BB22" s="139" t="str">
        <f t="shared" si="3"/>
        <v/>
      </c>
      <c r="BC22" s="139" t="str">
        <f t="shared" si="3"/>
        <v/>
      </c>
      <c r="BD22" s="139" t="str">
        <f t="shared" si="3"/>
        <v/>
      </c>
      <c r="BF22" s="82">
        <f t="shared" si="4"/>
        <v>1.1122521810078344E-2</v>
      </c>
      <c r="BG22" s="82">
        <f t="shared" si="5"/>
        <v>0.6137001815073172</v>
      </c>
    </row>
    <row r="23" spans="2:59" x14ac:dyDescent="0.3">
      <c r="B23" s="83" t="s">
        <v>105</v>
      </c>
      <c r="D23" s="137">
        <v>8717272</v>
      </c>
      <c r="E23" s="137">
        <v>8893096</v>
      </c>
      <c r="F23" s="137">
        <v>8834711</v>
      </c>
      <c r="G23" s="137"/>
      <c r="H23" s="137"/>
      <c r="I23" s="137"/>
      <c r="J23" s="137"/>
      <c r="K23" s="137"/>
      <c r="L23" s="137"/>
      <c r="M23" s="137"/>
      <c r="N23" s="137"/>
      <c r="O23" s="137"/>
      <c r="P23" s="137">
        <f t="shared" si="0"/>
        <v>26445079</v>
      </c>
      <c r="R23" s="137">
        <v>1827236</v>
      </c>
      <c r="S23" s="137">
        <v>2212261</v>
      </c>
      <c r="T23" s="137">
        <v>2079358</v>
      </c>
      <c r="U23" s="137"/>
      <c r="V23" s="137"/>
      <c r="W23" s="137"/>
      <c r="X23" s="137"/>
      <c r="Y23" s="137"/>
      <c r="Z23" s="137"/>
      <c r="AA23" s="137"/>
      <c r="AB23" s="137"/>
      <c r="AC23" s="137"/>
      <c r="AD23" s="137">
        <f t="shared" si="1"/>
        <v>6118855</v>
      </c>
      <c r="AF23" s="84">
        <f t="shared" si="2"/>
        <v>0.20961098839178127</v>
      </c>
      <c r="AG23" s="84">
        <f t="shared" si="2"/>
        <v>0.24876162362353899</v>
      </c>
      <c r="AH23" s="84">
        <f t="shared" si="2"/>
        <v>0.23536231122896947</v>
      </c>
      <c r="AI23" s="84" t="str">
        <f t="shared" si="2"/>
        <v/>
      </c>
      <c r="AJ23" s="84" t="str">
        <f t="shared" si="2"/>
        <v/>
      </c>
      <c r="AK23" s="84" t="str">
        <f t="shared" si="2"/>
        <v/>
      </c>
      <c r="AL23" s="84" t="str">
        <f t="shared" si="2"/>
        <v/>
      </c>
      <c r="AM23" s="84" t="str">
        <f t="shared" si="2"/>
        <v/>
      </c>
      <c r="AN23" s="84" t="str">
        <f t="shared" si="2"/>
        <v/>
      </c>
      <c r="AO23" s="84" t="str">
        <f t="shared" si="2"/>
        <v/>
      </c>
      <c r="AP23" s="84" t="str">
        <f t="shared" si="2"/>
        <v/>
      </c>
      <c r="AQ23" s="84" t="str">
        <f t="shared" si="2"/>
        <v/>
      </c>
      <c r="AR23" s="84">
        <f t="shared" si="2"/>
        <v>0.23137972096812418</v>
      </c>
      <c r="AT23" s="139">
        <f t="shared" si="3"/>
        <v>3.9150635231757713E-2</v>
      </c>
      <c r="AU23" s="139">
        <f t="shared" si="3"/>
        <v>-1.3399312394569513E-2</v>
      </c>
      <c r="AV23" s="139" t="str">
        <f t="shared" si="3"/>
        <v/>
      </c>
      <c r="AW23" s="139" t="str">
        <f t="shared" si="3"/>
        <v/>
      </c>
      <c r="AX23" s="139" t="str">
        <f t="shared" si="3"/>
        <v/>
      </c>
      <c r="AY23" s="139" t="str">
        <f t="shared" si="3"/>
        <v/>
      </c>
      <c r="AZ23" s="139" t="str">
        <f t="shared" si="3"/>
        <v/>
      </c>
      <c r="BA23" s="139" t="str">
        <f t="shared" si="3"/>
        <v/>
      </c>
      <c r="BB23" s="139" t="str">
        <f t="shared" si="3"/>
        <v/>
      </c>
      <c r="BC23" s="139" t="str">
        <f t="shared" si="3"/>
        <v/>
      </c>
      <c r="BD23" s="139" t="str">
        <f t="shared" si="3"/>
        <v/>
      </c>
      <c r="BF23" s="82">
        <f t="shared" si="4"/>
        <v>7.9128569864178062E-3</v>
      </c>
      <c r="BG23" s="82">
        <f t="shared" si="5"/>
        <v>0.62161303849373506</v>
      </c>
    </row>
    <row r="24" spans="2:59" x14ac:dyDescent="0.3">
      <c r="B24" s="83" t="s">
        <v>106</v>
      </c>
      <c r="D24" s="137">
        <v>18601849</v>
      </c>
      <c r="E24" s="137">
        <v>17928684</v>
      </c>
      <c r="F24" s="137">
        <v>17974686</v>
      </c>
      <c r="G24" s="137"/>
      <c r="H24" s="137"/>
      <c r="I24" s="137"/>
      <c r="J24" s="137"/>
      <c r="K24" s="137"/>
      <c r="L24" s="137"/>
      <c r="M24" s="137"/>
      <c r="N24" s="137"/>
      <c r="O24" s="137"/>
      <c r="P24" s="137">
        <f t="shared" si="0"/>
        <v>54505219</v>
      </c>
      <c r="R24" s="137">
        <v>2246074</v>
      </c>
      <c r="S24" s="137">
        <v>1930031</v>
      </c>
      <c r="T24" s="137">
        <v>2361106</v>
      </c>
      <c r="U24" s="137"/>
      <c r="V24" s="137"/>
      <c r="W24" s="137"/>
      <c r="X24" s="137"/>
      <c r="Y24" s="137"/>
      <c r="Z24" s="137"/>
      <c r="AA24" s="137"/>
      <c r="AB24" s="137"/>
      <c r="AC24" s="137"/>
      <c r="AD24" s="137">
        <f t="shared" si="1"/>
        <v>6537211</v>
      </c>
      <c r="AF24" s="84">
        <f t="shared" si="2"/>
        <v>0.12074466360844022</v>
      </c>
      <c r="AG24" s="84">
        <f t="shared" si="2"/>
        <v>0.10765045554933089</v>
      </c>
      <c r="AH24" s="84">
        <f t="shared" si="2"/>
        <v>0.13135728768780716</v>
      </c>
      <c r="AI24" s="84" t="str">
        <f t="shared" si="2"/>
        <v/>
      </c>
      <c r="AJ24" s="84" t="str">
        <f t="shared" si="2"/>
        <v/>
      </c>
      <c r="AK24" s="84" t="str">
        <f t="shared" si="2"/>
        <v/>
      </c>
      <c r="AL24" s="84" t="str">
        <f t="shared" si="2"/>
        <v/>
      </c>
      <c r="AM24" s="84" t="str">
        <f t="shared" si="2"/>
        <v/>
      </c>
      <c r="AN24" s="84" t="str">
        <f t="shared" ref="AN24:AR55" si="6">+IFERROR(Z24/L24,"")</f>
        <v/>
      </c>
      <c r="AO24" s="84" t="str">
        <f t="shared" si="6"/>
        <v/>
      </c>
      <c r="AP24" s="84" t="str">
        <f t="shared" si="6"/>
        <v/>
      </c>
      <c r="AQ24" s="84" t="str">
        <f t="shared" si="6"/>
        <v/>
      </c>
      <c r="AR24" s="84">
        <f t="shared" si="6"/>
        <v>0.11993734031231028</v>
      </c>
      <c r="AT24" s="139">
        <f t="shared" si="3"/>
        <v>-1.3094208059109325E-2</v>
      </c>
      <c r="AU24" s="139">
        <f t="shared" si="3"/>
        <v>2.3706832138476269E-2</v>
      </c>
      <c r="AV24" s="139" t="str">
        <f t="shared" si="3"/>
        <v/>
      </c>
      <c r="AW24" s="139" t="str">
        <f t="shared" si="3"/>
        <v/>
      </c>
      <c r="AX24" s="139" t="str">
        <f t="shared" si="3"/>
        <v/>
      </c>
      <c r="AY24" s="139" t="str">
        <f t="shared" si="3"/>
        <v/>
      </c>
      <c r="AZ24" s="139" t="str">
        <f t="shared" si="3"/>
        <v/>
      </c>
      <c r="BA24" s="139" t="str">
        <f t="shared" si="3"/>
        <v/>
      </c>
      <c r="BB24" s="139" t="str">
        <f t="shared" si="3"/>
        <v/>
      </c>
      <c r="BC24" s="139" t="str">
        <f t="shared" si="3"/>
        <v/>
      </c>
      <c r="BD24" s="139" t="str">
        <f t="shared" si="3"/>
        <v/>
      </c>
      <c r="BF24" s="82">
        <f t="shared" si="4"/>
        <v>8.4538718000405858E-3</v>
      </c>
      <c r="BG24" s="82">
        <f t="shared" si="5"/>
        <v>0.63006691029377559</v>
      </c>
    </row>
    <row r="25" spans="2:59" x14ac:dyDescent="0.3">
      <c r="B25" s="83" t="s">
        <v>107</v>
      </c>
      <c r="D25" s="137">
        <v>4235724</v>
      </c>
      <c r="E25" s="137">
        <v>3952499</v>
      </c>
      <c r="F25" s="137">
        <v>3980168</v>
      </c>
      <c r="G25" s="137"/>
      <c r="H25" s="137"/>
      <c r="I25" s="137"/>
      <c r="J25" s="137"/>
      <c r="K25" s="137"/>
      <c r="L25" s="137"/>
      <c r="M25" s="137"/>
      <c r="N25" s="137"/>
      <c r="O25" s="137"/>
      <c r="P25" s="137">
        <f t="shared" si="0"/>
        <v>12168391</v>
      </c>
      <c r="R25" s="137">
        <v>958464</v>
      </c>
      <c r="S25" s="137">
        <v>944994</v>
      </c>
      <c r="T25" s="137">
        <v>1028723</v>
      </c>
      <c r="U25" s="137"/>
      <c r="V25" s="137"/>
      <c r="W25" s="137"/>
      <c r="X25" s="137"/>
      <c r="Y25" s="137"/>
      <c r="Z25" s="137"/>
      <c r="AA25" s="137"/>
      <c r="AB25" s="137"/>
      <c r="AC25" s="137"/>
      <c r="AD25" s="137">
        <f t="shared" si="1"/>
        <v>2932181</v>
      </c>
      <c r="AF25" s="84">
        <f t="shared" ref="AF25:AM56" si="7">+IFERROR(R25/D25,"")</f>
        <v>0.22628103247520376</v>
      </c>
      <c r="AG25" s="84">
        <f t="shared" si="7"/>
        <v>0.23908772652440899</v>
      </c>
      <c r="AH25" s="84">
        <f t="shared" si="7"/>
        <v>0.25846220561544136</v>
      </c>
      <c r="AI25" s="84" t="str">
        <f t="shared" si="7"/>
        <v/>
      </c>
      <c r="AJ25" s="84" t="str">
        <f t="shared" si="7"/>
        <v/>
      </c>
      <c r="AK25" s="84" t="str">
        <f t="shared" si="7"/>
        <v/>
      </c>
      <c r="AL25" s="84" t="str">
        <f t="shared" si="7"/>
        <v/>
      </c>
      <c r="AM25" s="84" t="str">
        <f t="shared" si="7"/>
        <v/>
      </c>
      <c r="AN25" s="84" t="str">
        <f t="shared" si="6"/>
        <v/>
      </c>
      <c r="AO25" s="84" t="str">
        <f t="shared" si="6"/>
        <v/>
      </c>
      <c r="AP25" s="84" t="str">
        <f t="shared" si="6"/>
        <v/>
      </c>
      <c r="AQ25" s="84" t="str">
        <f t="shared" si="6"/>
        <v/>
      </c>
      <c r="AR25" s="84">
        <f t="shared" si="6"/>
        <v>0.24096702678275214</v>
      </c>
      <c r="AT25" s="139">
        <f t="shared" si="3"/>
        <v>1.2806694049205231E-2</v>
      </c>
      <c r="AU25" s="139">
        <f t="shared" si="3"/>
        <v>1.9374479091032376E-2</v>
      </c>
      <c r="AV25" s="139" t="str">
        <f t="shared" si="3"/>
        <v/>
      </c>
      <c r="AW25" s="139" t="str">
        <f t="shared" si="3"/>
        <v/>
      </c>
      <c r="AX25" s="139" t="str">
        <f t="shared" si="3"/>
        <v/>
      </c>
      <c r="AY25" s="139" t="str">
        <f t="shared" si="3"/>
        <v/>
      </c>
      <c r="AZ25" s="139" t="str">
        <f t="shared" si="3"/>
        <v/>
      </c>
      <c r="BA25" s="139" t="str">
        <f t="shared" si="3"/>
        <v/>
      </c>
      <c r="BB25" s="139" t="str">
        <f t="shared" si="3"/>
        <v/>
      </c>
      <c r="BC25" s="139" t="str">
        <f t="shared" si="3"/>
        <v/>
      </c>
      <c r="BD25" s="139" t="str">
        <f t="shared" si="3"/>
        <v/>
      </c>
      <c r="BF25" s="82">
        <f t="shared" si="4"/>
        <v>3.7918742822458697E-3</v>
      </c>
      <c r="BG25" s="82">
        <f t="shared" si="5"/>
        <v>0.63385878457602152</v>
      </c>
    </row>
    <row r="26" spans="2:59" x14ac:dyDescent="0.3">
      <c r="B26" s="83" t="s">
        <v>108</v>
      </c>
      <c r="D26" s="137">
        <v>9351755</v>
      </c>
      <c r="E26" s="137">
        <v>8609082</v>
      </c>
      <c r="F26" s="137">
        <v>9092436</v>
      </c>
      <c r="G26" s="137"/>
      <c r="H26" s="137"/>
      <c r="I26" s="137"/>
      <c r="J26" s="137"/>
      <c r="K26" s="137"/>
      <c r="L26" s="137"/>
      <c r="M26" s="137"/>
      <c r="N26" s="137"/>
      <c r="O26" s="137"/>
      <c r="P26" s="137">
        <f t="shared" si="0"/>
        <v>27053273</v>
      </c>
      <c r="R26" s="137">
        <v>2286774</v>
      </c>
      <c r="S26" s="137">
        <v>2091300</v>
      </c>
      <c r="T26" s="137">
        <v>2165310</v>
      </c>
      <c r="U26" s="137"/>
      <c r="V26" s="137"/>
      <c r="W26" s="137"/>
      <c r="X26" s="137"/>
      <c r="Y26" s="137"/>
      <c r="Z26" s="137"/>
      <c r="AA26" s="137"/>
      <c r="AB26" s="137"/>
      <c r="AC26" s="137"/>
      <c r="AD26" s="137">
        <f t="shared" si="1"/>
        <v>6543384</v>
      </c>
      <c r="AF26" s="84">
        <f t="shared" si="7"/>
        <v>0.24452886116028488</v>
      </c>
      <c r="AG26" s="84">
        <f t="shared" si="7"/>
        <v>0.24291788601850928</v>
      </c>
      <c r="AH26" s="84">
        <f t="shared" si="7"/>
        <v>0.23814410131674285</v>
      </c>
      <c r="AI26" s="84" t="str">
        <f t="shared" si="7"/>
        <v/>
      </c>
      <c r="AJ26" s="84" t="str">
        <f t="shared" si="7"/>
        <v/>
      </c>
      <c r="AK26" s="84" t="str">
        <f t="shared" si="7"/>
        <v/>
      </c>
      <c r="AL26" s="84" t="str">
        <f t="shared" si="7"/>
        <v/>
      </c>
      <c r="AM26" s="84" t="str">
        <f t="shared" si="7"/>
        <v/>
      </c>
      <c r="AN26" s="84" t="str">
        <f t="shared" si="6"/>
        <v/>
      </c>
      <c r="AO26" s="84" t="str">
        <f t="shared" si="6"/>
        <v/>
      </c>
      <c r="AP26" s="84" t="str">
        <f t="shared" si="6"/>
        <v/>
      </c>
      <c r="AQ26" s="84" t="str">
        <f t="shared" si="6"/>
        <v/>
      </c>
      <c r="AR26" s="84">
        <f t="shared" si="6"/>
        <v>0.24187032748311083</v>
      </c>
      <c r="AT26" s="139">
        <f t="shared" si="3"/>
        <v>-1.6109751417756057E-3</v>
      </c>
      <c r="AU26" s="139">
        <f t="shared" si="3"/>
        <v>-4.7737847017664259E-3</v>
      </c>
      <c r="AV26" s="139" t="str">
        <f t="shared" si="3"/>
        <v/>
      </c>
      <c r="AW26" s="139" t="str">
        <f t="shared" si="3"/>
        <v/>
      </c>
      <c r="AX26" s="139" t="str">
        <f t="shared" si="3"/>
        <v/>
      </c>
      <c r="AY26" s="139" t="str">
        <f t="shared" si="3"/>
        <v/>
      </c>
      <c r="AZ26" s="139" t="str">
        <f t="shared" si="3"/>
        <v/>
      </c>
      <c r="BA26" s="139" t="str">
        <f t="shared" si="3"/>
        <v/>
      </c>
      <c r="BB26" s="139" t="str">
        <f t="shared" si="3"/>
        <v/>
      </c>
      <c r="BC26" s="139" t="str">
        <f t="shared" si="3"/>
        <v/>
      </c>
      <c r="BD26" s="139" t="str">
        <f t="shared" si="3"/>
        <v/>
      </c>
      <c r="BF26" s="82">
        <f t="shared" si="4"/>
        <v>8.461854676931304E-3</v>
      </c>
      <c r="BG26" s="82">
        <f t="shared" si="5"/>
        <v>0.6423206392529528</v>
      </c>
    </row>
    <row r="27" spans="2:59" x14ac:dyDescent="0.3">
      <c r="B27" s="83" t="s">
        <v>109</v>
      </c>
      <c r="D27" s="137">
        <v>12478342</v>
      </c>
      <c r="E27" s="137">
        <v>11014210</v>
      </c>
      <c r="F27" s="137">
        <v>11308771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>
        <f t="shared" si="0"/>
        <v>34801323</v>
      </c>
      <c r="R27" s="137">
        <v>2114629</v>
      </c>
      <c r="S27" s="137">
        <v>1819657</v>
      </c>
      <c r="T27" s="137">
        <v>1935277</v>
      </c>
      <c r="U27" s="137"/>
      <c r="V27" s="137"/>
      <c r="W27" s="137"/>
      <c r="X27" s="137"/>
      <c r="Y27" s="137"/>
      <c r="Z27" s="137"/>
      <c r="AA27" s="137"/>
      <c r="AB27" s="137"/>
      <c r="AC27" s="137"/>
      <c r="AD27" s="137">
        <f t="shared" si="1"/>
        <v>5869563</v>
      </c>
      <c r="AF27" s="84">
        <f t="shared" si="7"/>
        <v>0.16946394000100334</v>
      </c>
      <c r="AG27" s="84">
        <f t="shared" si="7"/>
        <v>0.16520994242891682</v>
      </c>
      <c r="AH27" s="84">
        <f t="shared" si="7"/>
        <v>0.17113062064834456</v>
      </c>
      <c r="AI27" s="84" t="str">
        <f t="shared" si="7"/>
        <v/>
      </c>
      <c r="AJ27" s="84" t="str">
        <f t="shared" si="7"/>
        <v/>
      </c>
      <c r="AK27" s="84" t="str">
        <f t="shared" si="7"/>
        <v/>
      </c>
      <c r="AL27" s="84" t="str">
        <f t="shared" si="7"/>
        <v/>
      </c>
      <c r="AM27" s="84" t="str">
        <f t="shared" si="7"/>
        <v/>
      </c>
      <c r="AN27" s="84" t="str">
        <f t="shared" si="6"/>
        <v/>
      </c>
      <c r="AO27" s="84" t="str">
        <f t="shared" si="6"/>
        <v/>
      </c>
      <c r="AP27" s="84" t="str">
        <f t="shared" si="6"/>
        <v/>
      </c>
      <c r="AQ27" s="84" t="str">
        <f t="shared" si="6"/>
        <v/>
      </c>
      <c r="AR27" s="84">
        <f t="shared" si="6"/>
        <v>0.16865919149108211</v>
      </c>
      <c r="AT27" s="139">
        <f t="shared" si="3"/>
        <v>-4.2539975720865264E-3</v>
      </c>
      <c r="AU27" s="139">
        <f t="shared" si="3"/>
        <v>5.9206782194277385E-3</v>
      </c>
      <c r="AV27" s="139" t="str">
        <f t="shared" si="3"/>
        <v/>
      </c>
      <c r="AW27" s="139" t="str">
        <f t="shared" si="3"/>
        <v/>
      </c>
      <c r="AX27" s="139" t="str">
        <f t="shared" si="3"/>
        <v/>
      </c>
      <c r="AY27" s="139" t="str">
        <f t="shared" si="3"/>
        <v/>
      </c>
      <c r="AZ27" s="139" t="str">
        <f t="shared" si="3"/>
        <v/>
      </c>
      <c r="BA27" s="139" t="str">
        <f t="shared" si="3"/>
        <v/>
      </c>
      <c r="BB27" s="139" t="str">
        <f t="shared" si="3"/>
        <v/>
      </c>
      <c r="BC27" s="139" t="str">
        <f t="shared" si="3"/>
        <v/>
      </c>
      <c r="BD27" s="139" t="str">
        <f t="shared" si="3"/>
        <v/>
      </c>
      <c r="BF27" s="82">
        <f t="shared" si="4"/>
        <v>7.5904744583372968E-3</v>
      </c>
      <c r="BG27" s="82">
        <f t="shared" si="5"/>
        <v>0.64991111371129007</v>
      </c>
    </row>
    <row r="28" spans="2:59" x14ac:dyDescent="0.3">
      <c r="B28" s="83" t="s">
        <v>110</v>
      </c>
      <c r="D28" s="137">
        <v>9647288</v>
      </c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>
        <f t="shared" si="0"/>
        <v>9647288</v>
      </c>
      <c r="R28" s="137">
        <v>1691122</v>
      </c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>
        <f t="shared" si="1"/>
        <v>1691122</v>
      </c>
      <c r="AF28" s="84">
        <f t="shared" si="7"/>
        <v>0.17529506738059442</v>
      </c>
      <c r="AG28" s="84" t="str">
        <f t="shared" si="7"/>
        <v/>
      </c>
      <c r="AH28" s="84" t="str">
        <f t="shared" si="7"/>
        <v/>
      </c>
      <c r="AI28" s="84" t="str">
        <f t="shared" si="7"/>
        <v/>
      </c>
      <c r="AJ28" s="84" t="str">
        <f t="shared" si="7"/>
        <v/>
      </c>
      <c r="AK28" s="84" t="str">
        <f t="shared" si="7"/>
        <v/>
      </c>
      <c r="AL28" s="84" t="str">
        <f t="shared" si="7"/>
        <v/>
      </c>
      <c r="AM28" s="84" t="str">
        <f t="shared" si="7"/>
        <v/>
      </c>
      <c r="AN28" s="84" t="str">
        <f t="shared" si="6"/>
        <v/>
      </c>
      <c r="AO28" s="84" t="str">
        <f t="shared" si="6"/>
        <v/>
      </c>
      <c r="AP28" s="84" t="str">
        <f t="shared" si="6"/>
        <v/>
      </c>
      <c r="AQ28" s="84" t="str">
        <f t="shared" si="6"/>
        <v/>
      </c>
      <c r="AR28" s="84">
        <f t="shared" si="6"/>
        <v>0.17529506738059442</v>
      </c>
      <c r="AT28" s="139" t="str">
        <f t="shared" si="3"/>
        <v/>
      </c>
      <c r="AU28" s="139" t="str">
        <f t="shared" si="3"/>
        <v/>
      </c>
      <c r="AV28" s="139" t="str">
        <f t="shared" ref="AV28:BD56" si="8">+IFERROR(AI28-AH28,"")</f>
        <v/>
      </c>
      <c r="AW28" s="139" t="str">
        <f t="shared" si="8"/>
        <v/>
      </c>
      <c r="AX28" s="139" t="str">
        <f t="shared" si="8"/>
        <v/>
      </c>
      <c r="AY28" s="139" t="str">
        <f t="shared" si="8"/>
        <v/>
      </c>
      <c r="AZ28" s="139" t="str">
        <f t="shared" si="8"/>
        <v/>
      </c>
      <c r="BA28" s="139" t="str">
        <f t="shared" si="8"/>
        <v/>
      </c>
      <c r="BB28" s="139" t="str">
        <f t="shared" si="8"/>
        <v/>
      </c>
      <c r="BC28" s="139" t="str">
        <f t="shared" si="8"/>
        <v/>
      </c>
      <c r="BD28" s="139" t="str">
        <f t="shared" si="8"/>
        <v/>
      </c>
      <c r="BF28" s="82">
        <f t="shared" si="4"/>
        <v>2.1869461741755368E-3</v>
      </c>
      <c r="BG28" s="82">
        <f t="shared" si="5"/>
        <v>0.65209805988546565</v>
      </c>
    </row>
    <row r="29" spans="2:59" x14ac:dyDescent="0.3">
      <c r="B29" s="83" t="s">
        <v>111</v>
      </c>
      <c r="D29" s="137">
        <v>1159782</v>
      </c>
      <c r="E29" s="137">
        <v>1138481</v>
      </c>
      <c r="F29" s="137">
        <v>1369036</v>
      </c>
      <c r="G29" s="137"/>
      <c r="H29" s="137"/>
      <c r="I29" s="137"/>
      <c r="J29" s="137"/>
      <c r="K29" s="137"/>
      <c r="L29" s="137"/>
      <c r="M29" s="137"/>
      <c r="N29" s="137"/>
      <c r="O29" s="137"/>
      <c r="P29" s="137">
        <f t="shared" si="0"/>
        <v>3667299</v>
      </c>
      <c r="R29" s="137">
        <v>265052</v>
      </c>
      <c r="S29" s="137">
        <v>245988</v>
      </c>
      <c r="T29" s="137">
        <v>509332</v>
      </c>
      <c r="U29" s="137"/>
      <c r="V29" s="137"/>
      <c r="W29" s="137"/>
      <c r="X29" s="137"/>
      <c r="Y29" s="137"/>
      <c r="Z29" s="137"/>
      <c r="AA29" s="137"/>
      <c r="AB29" s="137"/>
      <c r="AC29" s="137"/>
      <c r="AD29" s="137">
        <f t="shared" si="1"/>
        <v>1020372</v>
      </c>
      <c r="AF29" s="84">
        <f t="shared" si="7"/>
        <v>0.22853605246503222</v>
      </c>
      <c r="AG29" s="84">
        <f t="shared" si="7"/>
        <v>0.21606684696538633</v>
      </c>
      <c r="AH29" s="84">
        <f t="shared" si="7"/>
        <v>0.37203696615720844</v>
      </c>
      <c r="AI29" s="84" t="str">
        <f t="shared" si="7"/>
        <v/>
      </c>
      <c r="AJ29" s="84" t="str">
        <f t="shared" si="7"/>
        <v/>
      </c>
      <c r="AK29" s="84" t="str">
        <f t="shared" si="7"/>
        <v/>
      </c>
      <c r="AL29" s="84" t="str">
        <f t="shared" si="7"/>
        <v/>
      </c>
      <c r="AM29" s="84" t="str">
        <f t="shared" si="7"/>
        <v/>
      </c>
      <c r="AN29" s="84" t="str">
        <f t="shared" si="6"/>
        <v/>
      </c>
      <c r="AO29" s="84" t="str">
        <f t="shared" si="6"/>
        <v/>
      </c>
      <c r="AP29" s="84" t="str">
        <f t="shared" si="6"/>
        <v/>
      </c>
      <c r="AQ29" s="84" t="str">
        <f t="shared" si="6"/>
        <v/>
      </c>
      <c r="AR29" s="84">
        <f t="shared" si="6"/>
        <v>0.27823528978684314</v>
      </c>
      <c r="AT29" s="139">
        <f t="shared" ref="AT29:AX60" si="9">+IFERROR(AG29-AF29,"")</f>
        <v>-1.2469205499645891E-2</v>
      </c>
      <c r="AU29" s="139">
        <f t="shared" si="9"/>
        <v>0.1559701191918221</v>
      </c>
      <c r="AV29" s="139" t="str">
        <f t="shared" si="8"/>
        <v/>
      </c>
      <c r="AW29" s="139" t="str">
        <f t="shared" si="8"/>
        <v/>
      </c>
      <c r="AX29" s="139" t="str">
        <f t="shared" si="8"/>
        <v/>
      </c>
      <c r="AY29" s="139" t="str">
        <f t="shared" si="8"/>
        <v/>
      </c>
      <c r="AZ29" s="139" t="str">
        <f t="shared" si="8"/>
        <v/>
      </c>
      <c r="BA29" s="139" t="str">
        <f t="shared" si="8"/>
        <v/>
      </c>
      <c r="BB29" s="139" t="str">
        <f t="shared" si="8"/>
        <v/>
      </c>
      <c r="BC29" s="139" t="str">
        <f t="shared" si="8"/>
        <v/>
      </c>
      <c r="BD29" s="139" t="str">
        <f t="shared" si="8"/>
        <v/>
      </c>
      <c r="BF29" s="82">
        <f t="shared" si="4"/>
        <v>1.3195373495441729E-3</v>
      </c>
      <c r="BG29" s="82">
        <f t="shared" si="5"/>
        <v>0.65341759723500981</v>
      </c>
    </row>
    <row r="30" spans="2:59" x14ac:dyDescent="0.3">
      <c r="B30" s="83" t="s">
        <v>112</v>
      </c>
      <c r="D30" s="137">
        <v>9016427</v>
      </c>
      <c r="E30" s="137">
        <v>8774382</v>
      </c>
      <c r="F30" s="137">
        <v>9229986</v>
      </c>
      <c r="G30" s="137"/>
      <c r="H30" s="137"/>
      <c r="I30" s="137"/>
      <c r="J30" s="137"/>
      <c r="K30" s="137"/>
      <c r="L30" s="137"/>
      <c r="M30" s="137"/>
      <c r="N30" s="137"/>
      <c r="O30" s="137"/>
      <c r="P30" s="137">
        <f t="shared" si="0"/>
        <v>27020795</v>
      </c>
      <c r="R30" s="137">
        <v>1468391</v>
      </c>
      <c r="S30" s="137">
        <v>1448560</v>
      </c>
      <c r="T30" s="137">
        <v>1501156</v>
      </c>
      <c r="U30" s="137"/>
      <c r="V30" s="137"/>
      <c r="W30" s="137"/>
      <c r="X30" s="137"/>
      <c r="Y30" s="137"/>
      <c r="Z30" s="137"/>
      <c r="AA30" s="137"/>
      <c r="AB30" s="137"/>
      <c r="AC30" s="137"/>
      <c r="AD30" s="137">
        <f t="shared" si="1"/>
        <v>4418107</v>
      </c>
      <c r="AF30" s="84">
        <f t="shared" si="7"/>
        <v>0.16285730478381291</v>
      </c>
      <c r="AG30" s="84">
        <f t="shared" si="7"/>
        <v>0.16508968950747757</v>
      </c>
      <c r="AH30" s="84">
        <f t="shared" si="7"/>
        <v>0.16263903325530504</v>
      </c>
      <c r="AI30" s="84" t="str">
        <f t="shared" si="7"/>
        <v/>
      </c>
      <c r="AJ30" s="84" t="str">
        <f t="shared" si="7"/>
        <v/>
      </c>
      <c r="AK30" s="84" t="str">
        <f t="shared" si="7"/>
        <v/>
      </c>
      <c r="AL30" s="84" t="str">
        <f t="shared" si="7"/>
        <v/>
      </c>
      <c r="AM30" s="84" t="str">
        <f t="shared" si="7"/>
        <v/>
      </c>
      <c r="AN30" s="84" t="str">
        <f t="shared" si="6"/>
        <v/>
      </c>
      <c r="AO30" s="84" t="str">
        <f t="shared" si="6"/>
        <v/>
      </c>
      <c r="AP30" s="84" t="str">
        <f t="shared" si="6"/>
        <v/>
      </c>
      <c r="AQ30" s="84" t="str">
        <f t="shared" si="6"/>
        <v/>
      </c>
      <c r="AR30" s="84">
        <f t="shared" si="6"/>
        <v>0.16350766141410716</v>
      </c>
      <c r="AT30" s="139">
        <f t="shared" si="9"/>
        <v>2.2323847236646599E-3</v>
      </c>
      <c r="AU30" s="139">
        <f t="shared" si="9"/>
        <v>-2.4506562521725284E-3</v>
      </c>
      <c r="AV30" s="139" t="str">
        <f t="shared" si="8"/>
        <v/>
      </c>
      <c r="AW30" s="139" t="str">
        <f t="shared" si="8"/>
        <v/>
      </c>
      <c r="AX30" s="139" t="str">
        <f t="shared" si="8"/>
        <v/>
      </c>
      <c r="AY30" s="139" t="str">
        <f t="shared" si="8"/>
        <v/>
      </c>
      <c r="AZ30" s="139" t="str">
        <f t="shared" si="8"/>
        <v/>
      </c>
      <c r="BA30" s="139" t="str">
        <f t="shared" si="8"/>
        <v/>
      </c>
      <c r="BB30" s="139" t="str">
        <f t="shared" si="8"/>
        <v/>
      </c>
      <c r="BC30" s="139" t="str">
        <f t="shared" si="8"/>
        <v/>
      </c>
      <c r="BD30" s="139" t="str">
        <f t="shared" si="8"/>
        <v/>
      </c>
      <c r="BF30" s="82">
        <f t="shared" si="4"/>
        <v>5.7134625418793902E-3</v>
      </c>
      <c r="BG30" s="82">
        <f t="shared" si="5"/>
        <v>0.65913105977688924</v>
      </c>
    </row>
    <row r="31" spans="2:59" x14ac:dyDescent="0.3">
      <c r="B31" s="83" t="s">
        <v>113</v>
      </c>
      <c r="D31" s="137">
        <v>22215252</v>
      </c>
      <c r="E31" s="137">
        <v>25929673</v>
      </c>
      <c r="F31" s="137">
        <v>25232759</v>
      </c>
      <c r="G31" s="137"/>
      <c r="H31" s="137"/>
      <c r="I31" s="137"/>
      <c r="J31" s="137"/>
      <c r="K31" s="137"/>
      <c r="L31" s="137"/>
      <c r="M31" s="137"/>
      <c r="N31" s="137"/>
      <c r="O31" s="137"/>
      <c r="P31" s="137">
        <f t="shared" si="0"/>
        <v>73377684</v>
      </c>
      <c r="R31" s="137">
        <v>3033338</v>
      </c>
      <c r="S31" s="137">
        <v>2883407</v>
      </c>
      <c r="T31" s="137">
        <v>2235033</v>
      </c>
      <c r="U31" s="137"/>
      <c r="V31" s="137"/>
      <c r="W31" s="137"/>
      <c r="X31" s="137"/>
      <c r="Y31" s="137"/>
      <c r="Z31" s="137"/>
      <c r="AA31" s="137"/>
      <c r="AB31" s="137"/>
      <c r="AC31" s="137"/>
      <c r="AD31" s="137">
        <f t="shared" si="1"/>
        <v>8151778</v>
      </c>
      <c r="AF31" s="84">
        <f t="shared" si="7"/>
        <v>0.13654303808932711</v>
      </c>
      <c r="AG31" s="84">
        <f t="shared" si="7"/>
        <v>0.11120105525434124</v>
      </c>
      <c r="AH31" s="84">
        <f t="shared" si="7"/>
        <v>8.857663959775465E-2</v>
      </c>
      <c r="AI31" s="84" t="str">
        <f t="shared" si="7"/>
        <v/>
      </c>
      <c r="AJ31" s="84" t="str">
        <f t="shared" si="7"/>
        <v/>
      </c>
      <c r="AK31" s="84" t="str">
        <f t="shared" si="7"/>
        <v/>
      </c>
      <c r="AL31" s="84" t="str">
        <f t="shared" si="7"/>
        <v/>
      </c>
      <c r="AM31" s="84" t="str">
        <f t="shared" si="7"/>
        <v/>
      </c>
      <c r="AN31" s="84" t="str">
        <f t="shared" si="6"/>
        <v/>
      </c>
      <c r="AO31" s="84" t="str">
        <f t="shared" si="6"/>
        <v/>
      </c>
      <c r="AP31" s="84" t="str">
        <f t="shared" si="6"/>
        <v/>
      </c>
      <c r="AQ31" s="84" t="str">
        <f t="shared" si="6"/>
        <v/>
      </c>
      <c r="AR31" s="84">
        <f t="shared" si="6"/>
        <v>0.11109342180927924</v>
      </c>
      <c r="AT31" s="139">
        <f t="shared" si="9"/>
        <v>-2.5341982834985871E-2</v>
      </c>
      <c r="AU31" s="139">
        <f t="shared" si="9"/>
        <v>-2.2624415656586586E-2</v>
      </c>
      <c r="AV31" s="139" t="str">
        <f t="shared" si="8"/>
        <v/>
      </c>
      <c r="AW31" s="139" t="str">
        <f t="shared" si="8"/>
        <v/>
      </c>
      <c r="AX31" s="139" t="str">
        <f t="shared" si="8"/>
        <v/>
      </c>
      <c r="AY31" s="139" t="str">
        <f t="shared" si="8"/>
        <v/>
      </c>
      <c r="AZ31" s="139" t="str">
        <f t="shared" si="8"/>
        <v/>
      </c>
      <c r="BA31" s="139" t="str">
        <f t="shared" si="8"/>
        <v/>
      </c>
      <c r="BB31" s="139" t="str">
        <f t="shared" si="8"/>
        <v/>
      </c>
      <c r="BC31" s="139" t="str">
        <f t="shared" si="8"/>
        <v/>
      </c>
      <c r="BD31" s="139" t="str">
        <f t="shared" si="8"/>
        <v/>
      </c>
      <c r="BF31" s="82">
        <f t="shared" si="4"/>
        <v>1.0541817627485368E-2</v>
      </c>
      <c r="BG31" s="82">
        <f t="shared" si="5"/>
        <v>0.66967287740437464</v>
      </c>
    </row>
    <row r="32" spans="2:59" x14ac:dyDescent="0.3">
      <c r="B32" s="83" t="s">
        <v>114</v>
      </c>
      <c r="D32" s="137">
        <v>1113153</v>
      </c>
      <c r="E32" s="137">
        <v>1099169</v>
      </c>
      <c r="F32" s="137">
        <v>1270017</v>
      </c>
      <c r="G32" s="137"/>
      <c r="H32" s="137"/>
      <c r="I32" s="137"/>
      <c r="J32" s="137"/>
      <c r="K32" s="137"/>
      <c r="L32" s="137"/>
      <c r="M32" s="137"/>
      <c r="N32" s="137"/>
      <c r="O32" s="137"/>
      <c r="P32" s="137">
        <f t="shared" si="0"/>
        <v>3482339</v>
      </c>
      <c r="R32" s="137">
        <v>196730</v>
      </c>
      <c r="S32" s="137">
        <v>202677</v>
      </c>
      <c r="T32" s="137">
        <v>282378</v>
      </c>
      <c r="U32" s="137"/>
      <c r="V32" s="137"/>
      <c r="W32" s="137"/>
      <c r="X32" s="137"/>
      <c r="Y32" s="137"/>
      <c r="Z32" s="137"/>
      <c r="AA32" s="137"/>
      <c r="AB32" s="137"/>
      <c r="AC32" s="137"/>
      <c r="AD32" s="137">
        <f t="shared" si="1"/>
        <v>681785</v>
      </c>
      <c r="AF32" s="84">
        <f t="shared" si="7"/>
        <v>0.17673221920077473</v>
      </c>
      <c r="AG32" s="84">
        <f t="shared" si="7"/>
        <v>0.18439111728951599</v>
      </c>
      <c r="AH32" s="84">
        <f t="shared" si="7"/>
        <v>0.22234190565953055</v>
      </c>
      <c r="AI32" s="84" t="str">
        <f t="shared" si="7"/>
        <v/>
      </c>
      <c r="AJ32" s="84" t="str">
        <f t="shared" si="7"/>
        <v/>
      </c>
      <c r="AK32" s="84" t="str">
        <f t="shared" si="7"/>
        <v/>
      </c>
      <c r="AL32" s="84" t="str">
        <f t="shared" si="7"/>
        <v/>
      </c>
      <c r="AM32" s="84" t="str">
        <f t="shared" si="7"/>
        <v/>
      </c>
      <c r="AN32" s="84" t="str">
        <f t="shared" si="6"/>
        <v/>
      </c>
      <c r="AO32" s="84" t="str">
        <f t="shared" si="6"/>
        <v/>
      </c>
      <c r="AP32" s="84" t="str">
        <f t="shared" si="6"/>
        <v/>
      </c>
      <c r="AQ32" s="84" t="str">
        <f t="shared" si="6"/>
        <v/>
      </c>
      <c r="AR32" s="84">
        <f t="shared" si="6"/>
        <v>0.19578363852571504</v>
      </c>
      <c r="AT32" s="139">
        <f t="shared" si="9"/>
        <v>7.6588980887412617E-3</v>
      </c>
      <c r="AU32" s="139">
        <f t="shared" si="9"/>
        <v>3.795078837001456E-2</v>
      </c>
      <c r="AV32" s="139" t="str">
        <f t="shared" si="8"/>
        <v/>
      </c>
      <c r="AW32" s="139" t="str">
        <f t="shared" si="8"/>
        <v/>
      </c>
      <c r="AX32" s="139" t="str">
        <f t="shared" si="8"/>
        <v/>
      </c>
      <c r="AY32" s="139" t="str">
        <f t="shared" si="8"/>
        <v/>
      </c>
      <c r="AZ32" s="139" t="str">
        <f t="shared" si="8"/>
        <v/>
      </c>
      <c r="BA32" s="139" t="str">
        <f t="shared" si="8"/>
        <v/>
      </c>
      <c r="BB32" s="139" t="str">
        <f t="shared" si="8"/>
        <v/>
      </c>
      <c r="BC32" s="139" t="str">
        <f t="shared" si="8"/>
        <v/>
      </c>
      <c r="BD32" s="139" t="str">
        <f t="shared" si="8"/>
        <v/>
      </c>
      <c r="BF32" s="82">
        <f t="shared" si="4"/>
        <v>8.8167920313275347E-4</v>
      </c>
      <c r="BG32" s="82">
        <f t="shared" si="5"/>
        <v>0.6705545566075074</v>
      </c>
    </row>
    <row r="33" spans="2:59" x14ac:dyDescent="0.3">
      <c r="B33" s="83" t="s">
        <v>115</v>
      </c>
      <c r="D33" s="137">
        <v>5600896</v>
      </c>
      <c r="E33" s="137">
        <v>4752845</v>
      </c>
      <c r="F33" s="137">
        <v>4879314</v>
      </c>
      <c r="G33" s="137"/>
      <c r="H33" s="137"/>
      <c r="I33" s="137"/>
      <c r="J33" s="137"/>
      <c r="K33" s="137"/>
      <c r="L33" s="137"/>
      <c r="M33" s="137"/>
      <c r="N33" s="137"/>
      <c r="O33" s="137"/>
      <c r="P33" s="137">
        <f t="shared" si="0"/>
        <v>15233055</v>
      </c>
      <c r="R33" s="137">
        <v>1009498</v>
      </c>
      <c r="S33" s="137">
        <v>965043</v>
      </c>
      <c r="T33" s="137">
        <v>889295</v>
      </c>
      <c r="U33" s="137"/>
      <c r="V33" s="137"/>
      <c r="W33" s="137"/>
      <c r="X33" s="137"/>
      <c r="Y33" s="137"/>
      <c r="Z33" s="137"/>
      <c r="AA33" s="137"/>
      <c r="AB33" s="137"/>
      <c r="AC33" s="137"/>
      <c r="AD33" s="137">
        <f t="shared" si="1"/>
        <v>2863836</v>
      </c>
      <c r="AF33" s="84">
        <f t="shared" si="7"/>
        <v>0.18023866181410975</v>
      </c>
      <c r="AG33" s="84">
        <f t="shared" si="7"/>
        <v>0.20304533390001148</v>
      </c>
      <c r="AH33" s="84">
        <f t="shared" si="7"/>
        <v>0.18225820268996831</v>
      </c>
      <c r="AI33" s="84" t="str">
        <f t="shared" si="7"/>
        <v/>
      </c>
      <c r="AJ33" s="84" t="str">
        <f t="shared" si="7"/>
        <v/>
      </c>
      <c r="AK33" s="84" t="str">
        <f t="shared" si="7"/>
        <v/>
      </c>
      <c r="AL33" s="84" t="str">
        <f t="shared" si="7"/>
        <v/>
      </c>
      <c r="AM33" s="84" t="str">
        <f t="shared" si="7"/>
        <v/>
      </c>
      <c r="AN33" s="84" t="str">
        <f t="shared" si="6"/>
        <v/>
      </c>
      <c r="AO33" s="84" t="str">
        <f t="shared" si="6"/>
        <v/>
      </c>
      <c r="AP33" s="84" t="str">
        <f t="shared" si="6"/>
        <v/>
      </c>
      <c r="AQ33" s="84" t="str">
        <f t="shared" si="6"/>
        <v/>
      </c>
      <c r="AR33" s="84">
        <f t="shared" si="6"/>
        <v>0.18800142190781824</v>
      </c>
      <c r="AT33" s="139">
        <f t="shared" si="9"/>
        <v>2.280667208590173E-2</v>
      </c>
      <c r="AU33" s="139">
        <f t="shared" si="9"/>
        <v>-2.0787131210043164E-2</v>
      </c>
      <c r="AV33" s="139" t="str">
        <f t="shared" si="8"/>
        <v/>
      </c>
      <c r="AW33" s="139" t="str">
        <f t="shared" si="8"/>
        <v/>
      </c>
      <c r="AX33" s="139" t="str">
        <f t="shared" si="8"/>
        <v/>
      </c>
      <c r="AY33" s="139" t="str">
        <f t="shared" si="8"/>
        <v/>
      </c>
      <c r="AZ33" s="139" t="str">
        <f t="shared" si="8"/>
        <v/>
      </c>
      <c r="BA33" s="139" t="str">
        <f t="shared" si="8"/>
        <v/>
      </c>
      <c r="BB33" s="139" t="str">
        <f t="shared" si="8"/>
        <v/>
      </c>
      <c r="BC33" s="139" t="str">
        <f t="shared" si="8"/>
        <v/>
      </c>
      <c r="BD33" s="139" t="str">
        <f t="shared" si="8"/>
        <v/>
      </c>
      <c r="BF33" s="82">
        <f t="shared" si="4"/>
        <v>3.7034910453924512E-3</v>
      </c>
      <c r="BG33" s="82">
        <f t="shared" si="5"/>
        <v>0.67425804765289987</v>
      </c>
    </row>
    <row r="34" spans="2:59" x14ac:dyDescent="0.3">
      <c r="B34" s="83" t="s">
        <v>116</v>
      </c>
      <c r="D34" s="137">
        <v>7427920</v>
      </c>
      <c r="E34" s="137">
        <v>6728802</v>
      </c>
      <c r="F34" s="137">
        <v>7270808</v>
      </c>
      <c r="G34" s="137"/>
      <c r="H34" s="137"/>
      <c r="I34" s="137"/>
      <c r="J34" s="137"/>
      <c r="K34" s="137"/>
      <c r="L34" s="137"/>
      <c r="M34" s="137"/>
      <c r="N34" s="137"/>
      <c r="O34" s="137"/>
      <c r="P34" s="137">
        <f t="shared" si="0"/>
        <v>21427530</v>
      </c>
      <c r="R34" s="137">
        <v>1177725</v>
      </c>
      <c r="S34" s="137">
        <v>1054491</v>
      </c>
      <c r="T34" s="137">
        <v>1143188</v>
      </c>
      <c r="U34" s="137"/>
      <c r="V34" s="137"/>
      <c r="W34" s="137"/>
      <c r="X34" s="137"/>
      <c r="Y34" s="137"/>
      <c r="Z34" s="137"/>
      <c r="AA34" s="137"/>
      <c r="AB34" s="137"/>
      <c r="AC34" s="137"/>
      <c r="AD34" s="137">
        <f t="shared" si="1"/>
        <v>3375404</v>
      </c>
      <c r="AF34" s="84">
        <f t="shared" si="7"/>
        <v>0.15855380779545283</v>
      </c>
      <c r="AG34" s="84">
        <f t="shared" si="7"/>
        <v>0.15671303747680493</v>
      </c>
      <c r="AH34" s="84">
        <f t="shared" si="7"/>
        <v>0.15722984295555598</v>
      </c>
      <c r="AI34" s="84" t="str">
        <f t="shared" si="7"/>
        <v/>
      </c>
      <c r="AJ34" s="84" t="str">
        <f t="shared" si="7"/>
        <v/>
      </c>
      <c r="AK34" s="84" t="str">
        <f t="shared" si="7"/>
        <v/>
      </c>
      <c r="AL34" s="84" t="str">
        <f t="shared" si="7"/>
        <v/>
      </c>
      <c r="AM34" s="84" t="str">
        <f t="shared" si="7"/>
        <v/>
      </c>
      <c r="AN34" s="84" t="str">
        <f t="shared" si="6"/>
        <v/>
      </c>
      <c r="AO34" s="84" t="str">
        <f t="shared" si="6"/>
        <v/>
      </c>
      <c r="AP34" s="84" t="str">
        <f t="shared" si="6"/>
        <v/>
      </c>
      <c r="AQ34" s="84" t="str">
        <f t="shared" si="6"/>
        <v/>
      </c>
      <c r="AR34" s="84">
        <f t="shared" si="6"/>
        <v>0.15752650912167665</v>
      </c>
      <c r="AT34" s="139">
        <f t="shared" si="9"/>
        <v>-1.8407703186479052E-3</v>
      </c>
      <c r="AU34" s="139">
        <f t="shared" si="9"/>
        <v>5.1680547875104788E-4</v>
      </c>
      <c r="AV34" s="139" t="str">
        <f t="shared" si="8"/>
        <v/>
      </c>
      <c r="AW34" s="139" t="str">
        <f t="shared" si="8"/>
        <v/>
      </c>
      <c r="AX34" s="139" t="str">
        <f t="shared" si="8"/>
        <v/>
      </c>
      <c r="AY34" s="139" t="str">
        <f t="shared" si="8"/>
        <v/>
      </c>
      <c r="AZ34" s="139" t="str">
        <f t="shared" si="8"/>
        <v/>
      </c>
      <c r="BA34" s="139" t="str">
        <f t="shared" si="8"/>
        <v/>
      </c>
      <c r="BB34" s="139" t="str">
        <f t="shared" si="8"/>
        <v/>
      </c>
      <c r="BC34" s="139" t="str">
        <f t="shared" si="8"/>
        <v/>
      </c>
      <c r="BD34" s="139" t="str">
        <f t="shared" si="8"/>
        <v/>
      </c>
      <c r="BF34" s="82">
        <f t="shared" si="4"/>
        <v>4.3650469121073489E-3</v>
      </c>
      <c r="BG34" s="82">
        <f t="shared" si="5"/>
        <v>0.67862309456500725</v>
      </c>
    </row>
    <row r="35" spans="2:59" x14ac:dyDescent="0.3">
      <c r="B35" s="83" t="s">
        <v>117</v>
      </c>
      <c r="D35" s="137">
        <v>4680577</v>
      </c>
      <c r="E35" s="137">
        <v>4298700</v>
      </c>
      <c r="F35" s="137">
        <v>4511107</v>
      </c>
      <c r="G35" s="137"/>
      <c r="H35" s="137"/>
      <c r="I35" s="137"/>
      <c r="J35" s="137"/>
      <c r="K35" s="137"/>
      <c r="L35" s="137"/>
      <c r="M35" s="137"/>
      <c r="N35" s="137"/>
      <c r="O35" s="137"/>
      <c r="P35" s="137">
        <f t="shared" si="0"/>
        <v>13490384</v>
      </c>
      <c r="R35" s="137">
        <v>1222256</v>
      </c>
      <c r="S35" s="137">
        <v>1058637</v>
      </c>
      <c r="T35" s="137">
        <v>1162156</v>
      </c>
      <c r="U35" s="137"/>
      <c r="V35" s="137"/>
      <c r="W35" s="137"/>
      <c r="X35" s="137"/>
      <c r="Y35" s="137"/>
      <c r="Z35" s="137"/>
      <c r="AA35" s="137"/>
      <c r="AB35" s="137"/>
      <c r="AC35" s="137"/>
      <c r="AD35" s="137">
        <f t="shared" si="1"/>
        <v>3443049</v>
      </c>
      <c r="AF35" s="84">
        <f t="shared" si="7"/>
        <v>0.26113361664598189</v>
      </c>
      <c r="AG35" s="84">
        <f t="shared" si="7"/>
        <v>0.24626910461302254</v>
      </c>
      <c r="AH35" s="84">
        <f t="shared" si="7"/>
        <v>0.25762102295511946</v>
      </c>
      <c r="AI35" s="84" t="str">
        <f t="shared" si="7"/>
        <v/>
      </c>
      <c r="AJ35" s="84" t="str">
        <f t="shared" si="7"/>
        <v/>
      </c>
      <c r="AK35" s="84" t="str">
        <f t="shared" si="7"/>
        <v/>
      </c>
      <c r="AL35" s="84" t="str">
        <f t="shared" si="7"/>
        <v/>
      </c>
      <c r="AM35" s="84" t="str">
        <f t="shared" si="7"/>
        <v/>
      </c>
      <c r="AN35" s="84" t="str">
        <f t="shared" si="6"/>
        <v/>
      </c>
      <c r="AO35" s="84" t="str">
        <f t="shared" si="6"/>
        <v/>
      </c>
      <c r="AP35" s="84" t="str">
        <f t="shared" si="6"/>
        <v/>
      </c>
      <c r="AQ35" s="84" t="str">
        <f t="shared" si="6"/>
        <v/>
      </c>
      <c r="AR35" s="84">
        <f t="shared" si="6"/>
        <v>0.25522246068014076</v>
      </c>
      <c r="AT35" s="139">
        <f t="shared" si="9"/>
        <v>-1.4864512032959354E-2</v>
      </c>
      <c r="AU35" s="139">
        <f t="shared" si="9"/>
        <v>1.1351918342096923E-2</v>
      </c>
      <c r="AV35" s="139" t="str">
        <f t="shared" si="8"/>
        <v/>
      </c>
      <c r="AW35" s="139" t="str">
        <f t="shared" si="8"/>
        <v/>
      </c>
      <c r="AX35" s="139" t="str">
        <f t="shared" si="8"/>
        <v/>
      </c>
      <c r="AY35" s="139" t="str">
        <f t="shared" si="8"/>
        <v/>
      </c>
      <c r="AZ35" s="139" t="str">
        <f t="shared" si="8"/>
        <v/>
      </c>
      <c r="BA35" s="139" t="str">
        <f t="shared" si="8"/>
        <v/>
      </c>
      <c r="BB35" s="139" t="str">
        <f t="shared" si="8"/>
        <v/>
      </c>
      <c r="BC35" s="139" t="str">
        <f t="shared" si="8"/>
        <v/>
      </c>
      <c r="BD35" s="139" t="str">
        <f t="shared" si="8"/>
        <v/>
      </c>
      <c r="BF35" s="82">
        <f t="shared" si="4"/>
        <v>4.4525249142574625E-3</v>
      </c>
      <c r="BG35" s="82">
        <f t="shared" si="5"/>
        <v>0.68307561947926476</v>
      </c>
    </row>
    <row r="36" spans="2:59" x14ac:dyDescent="0.3">
      <c r="B36" s="83" t="s">
        <v>118</v>
      </c>
      <c r="D36" s="137">
        <v>6626740</v>
      </c>
      <c r="E36" s="137">
        <v>6130290</v>
      </c>
      <c r="F36" s="137">
        <v>6232384</v>
      </c>
      <c r="G36" s="137"/>
      <c r="H36" s="137"/>
      <c r="I36" s="137"/>
      <c r="J36" s="137"/>
      <c r="K36" s="137"/>
      <c r="L36" s="137"/>
      <c r="M36" s="137"/>
      <c r="N36" s="137"/>
      <c r="O36" s="137"/>
      <c r="P36" s="137">
        <f t="shared" si="0"/>
        <v>18989414</v>
      </c>
      <c r="R36" s="137">
        <v>1145757</v>
      </c>
      <c r="S36" s="137">
        <v>1025436</v>
      </c>
      <c r="T36" s="137">
        <v>1011116</v>
      </c>
      <c r="U36" s="137"/>
      <c r="V36" s="137"/>
      <c r="W36" s="137"/>
      <c r="X36" s="137"/>
      <c r="Y36" s="137"/>
      <c r="Z36" s="137"/>
      <c r="AA36" s="137"/>
      <c r="AB36" s="137"/>
      <c r="AC36" s="137"/>
      <c r="AD36" s="137">
        <f t="shared" si="1"/>
        <v>3182309</v>
      </c>
      <c r="AF36" s="84">
        <f t="shared" si="7"/>
        <v>0.17289904236472231</v>
      </c>
      <c r="AG36" s="84">
        <f t="shared" si="7"/>
        <v>0.16727365263307281</v>
      </c>
      <c r="AH36" s="84">
        <f t="shared" si="7"/>
        <v>0.16223583142502132</v>
      </c>
      <c r="AI36" s="84" t="str">
        <f t="shared" si="7"/>
        <v/>
      </c>
      <c r="AJ36" s="84" t="str">
        <f t="shared" si="7"/>
        <v/>
      </c>
      <c r="AK36" s="84" t="str">
        <f t="shared" si="7"/>
        <v/>
      </c>
      <c r="AL36" s="84" t="str">
        <f t="shared" si="7"/>
        <v/>
      </c>
      <c r="AM36" s="84" t="str">
        <f t="shared" si="7"/>
        <v/>
      </c>
      <c r="AN36" s="84" t="str">
        <f t="shared" si="6"/>
        <v/>
      </c>
      <c r="AO36" s="84" t="str">
        <f t="shared" si="6"/>
        <v/>
      </c>
      <c r="AP36" s="84" t="str">
        <f t="shared" si="6"/>
        <v/>
      </c>
      <c r="AQ36" s="84" t="str">
        <f t="shared" si="6"/>
        <v/>
      </c>
      <c r="AR36" s="84">
        <f t="shared" si="6"/>
        <v>0.16758331773692436</v>
      </c>
      <c r="AT36" s="139">
        <f t="shared" si="9"/>
        <v>-5.6253897316494994E-3</v>
      </c>
      <c r="AU36" s="139">
        <f t="shared" si="9"/>
        <v>-5.0378212080514906E-3</v>
      </c>
      <c r="AV36" s="139" t="str">
        <f t="shared" si="8"/>
        <v/>
      </c>
      <c r="AW36" s="139" t="str">
        <f t="shared" si="8"/>
        <v/>
      </c>
      <c r="AX36" s="139" t="str">
        <f t="shared" si="8"/>
        <v/>
      </c>
      <c r="AY36" s="139" t="str">
        <f t="shared" si="8"/>
        <v/>
      </c>
      <c r="AZ36" s="139" t="str">
        <f t="shared" si="8"/>
        <v/>
      </c>
      <c r="BA36" s="139" t="str">
        <f t="shared" si="8"/>
        <v/>
      </c>
      <c r="BB36" s="139" t="str">
        <f t="shared" si="8"/>
        <v/>
      </c>
      <c r="BC36" s="139" t="str">
        <f t="shared" si="8"/>
        <v/>
      </c>
      <c r="BD36" s="139" t="str">
        <f t="shared" si="8"/>
        <v/>
      </c>
      <c r="BF36" s="82">
        <f t="shared" si="4"/>
        <v>4.1153379192006125E-3</v>
      </c>
      <c r="BG36" s="82">
        <f t="shared" si="5"/>
        <v>0.68719095739846536</v>
      </c>
    </row>
    <row r="37" spans="2:59" x14ac:dyDescent="0.3">
      <c r="B37" s="83" t="s">
        <v>119</v>
      </c>
      <c r="D37" s="137">
        <v>29494326</v>
      </c>
      <c r="E37" s="137">
        <v>29102138</v>
      </c>
      <c r="F37" s="137">
        <v>31280408</v>
      </c>
      <c r="G37" s="137"/>
      <c r="H37" s="137"/>
      <c r="I37" s="137"/>
      <c r="J37" s="137"/>
      <c r="K37" s="137"/>
      <c r="L37" s="137"/>
      <c r="M37" s="137"/>
      <c r="N37" s="137"/>
      <c r="O37" s="137"/>
      <c r="P37" s="137">
        <f t="shared" si="0"/>
        <v>89876872</v>
      </c>
      <c r="R37" s="137">
        <v>4191009</v>
      </c>
      <c r="S37" s="137">
        <v>4135700</v>
      </c>
      <c r="T37" s="137">
        <v>4339944</v>
      </c>
      <c r="U37" s="137"/>
      <c r="V37" s="137"/>
      <c r="W37" s="137"/>
      <c r="X37" s="137"/>
      <c r="Y37" s="137"/>
      <c r="Z37" s="137"/>
      <c r="AA37" s="137"/>
      <c r="AB37" s="137"/>
      <c r="AC37" s="137"/>
      <c r="AD37" s="137">
        <f t="shared" si="1"/>
        <v>12666653</v>
      </c>
      <c r="AF37" s="84">
        <f t="shared" si="7"/>
        <v>0.14209543218583806</v>
      </c>
      <c r="AG37" s="84">
        <f t="shared" si="7"/>
        <v>0.14210983399226546</v>
      </c>
      <c r="AH37" s="84">
        <f t="shared" si="7"/>
        <v>0.13874320309377039</v>
      </c>
      <c r="AI37" s="84" t="str">
        <f t="shared" si="7"/>
        <v/>
      </c>
      <c r="AJ37" s="84" t="str">
        <f t="shared" si="7"/>
        <v/>
      </c>
      <c r="AK37" s="84" t="str">
        <f t="shared" si="7"/>
        <v/>
      </c>
      <c r="AL37" s="84" t="str">
        <f t="shared" si="7"/>
        <v/>
      </c>
      <c r="AM37" s="84" t="str">
        <f t="shared" si="7"/>
        <v/>
      </c>
      <c r="AN37" s="84" t="str">
        <f t="shared" si="6"/>
        <v/>
      </c>
      <c r="AO37" s="84" t="str">
        <f t="shared" si="6"/>
        <v/>
      </c>
      <c r="AP37" s="84" t="str">
        <f t="shared" si="6"/>
        <v/>
      </c>
      <c r="AQ37" s="84" t="str">
        <f t="shared" si="6"/>
        <v/>
      </c>
      <c r="AR37" s="84">
        <f t="shared" si="6"/>
        <v>0.14093339830518356</v>
      </c>
      <c r="AT37" s="139">
        <f t="shared" si="9"/>
        <v>1.4401806427394304E-5</v>
      </c>
      <c r="AU37" s="139">
        <f t="shared" si="9"/>
        <v>-3.3666308984950655E-3</v>
      </c>
      <c r="AV37" s="139" t="str">
        <f t="shared" si="8"/>
        <v/>
      </c>
      <c r="AW37" s="139" t="str">
        <f t="shared" si="8"/>
        <v/>
      </c>
      <c r="AX37" s="139" t="str">
        <f t="shared" si="8"/>
        <v/>
      </c>
      <c r="AY37" s="139" t="str">
        <f t="shared" si="8"/>
        <v/>
      </c>
      <c r="AZ37" s="139" t="str">
        <f t="shared" si="8"/>
        <v/>
      </c>
      <c r="BA37" s="139" t="str">
        <f t="shared" si="8"/>
        <v/>
      </c>
      <c r="BB37" s="139" t="str">
        <f t="shared" si="8"/>
        <v/>
      </c>
      <c r="BC37" s="139" t="str">
        <f t="shared" si="8"/>
        <v/>
      </c>
      <c r="BD37" s="139" t="str">
        <f t="shared" si="8"/>
        <v/>
      </c>
      <c r="BF37" s="82">
        <f t="shared" si="4"/>
        <v>1.6380419814749667E-2</v>
      </c>
      <c r="BG37" s="82">
        <f t="shared" si="5"/>
        <v>0.70357137721321505</v>
      </c>
    </row>
    <row r="38" spans="2:59" x14ac:dyDescent="0.3">
      <c r="B38" s="83" t="s">
        <v>120</v>
      </c>
      <c r="D38" s="137">
        <v>10809942</v>
      </c>
      <c r="E38" s="137">
        <v>9672335</v>
      </c>
      <c r="F38" s="137">
        <v>10163560</v>
      </c>
      <c r="G38" s="137"/>
      <c r="H38" s="137"/>
      <c r="I38" s="137"/>
      <c r="J38" s="137"/>
      <c r="K38" s="137"/>
      <c r="L38" s="137"/>
      <c r="M38" s="137"/>
      <c r="N38" s="137"/>
      <c r="O38" s="137"/>
      <c r="P38" s="137">
        <f t="shared" si="0"/>
        <v>30645837</v>
      </c>
      <c r="R38" s="137">
        <v>1740067</v>
      </c>
      <c r="S38" s="137">
        <v>1491074</v>
      </c>
      <c r="T38" s="137">
        <v>1597139</v>
      </c>
      <c r="U38" s="137"/>
      <c r="V38" s="137"/>
      <c r="W38" s="137"/>
      <c r="X38" s="137"/>
      <c r="Y38" s="137"/>
      <c r="Z38" s="137"/>
      <c r="AA38" s="137"/>
      <c r="AB38" s="137"/>
      <c r="AC38" s="137"/>
      <c r="AD38" s="137">
        <f t="shared" si="1"/>
        <v>4828280</v>
      </c>
      <c r="AF38" s="84">
        <f t="shared" si="7"/>
        <v>0.16096913378443659</v>
      </c>
      <c r="AG38" s="84">
        <f t="shared" si="7"/>
        <v>0.15415863904631094</v>
      </c>
      <c r="AH38" s="84">
        <f t="shared" si="7"/>
        <v>0.15714365832444538</v>
      </c>
      <c r="AI38" s="84" t="str">
        <f t="shared" si="7"/>
        <v/>
      </c>
      <c r="AJ38" s="84" t="str">
        <f t="shared" si="7"/>
        <v/>
      </c>
      <c r="AK38" s="84" t="str">
        <f t="shared" si="7"/>
        <v/>
      </c>
      <c r="AL38" s="84" t="str">
        <f t="shared" si="7"/>
        <v/>
      </c>
      <c r="AM38" s="84" t="str">
        <f t="shared" si="7"/>
        <v/>
      </c>
      <c r="AN38" s="84" t="str">
        <f t="shared" si="6"/>
        <v/>
      </c>
      <c r="AO38" s="84" t="str">
        <f t="shared" si="6"/>
        <v/>
      </c>
      <c r="AP38" s="84" t="str">
        <f t="shared" si="6"/>
        <v/>
      </c>
      <c r="AQ38" s="84" t="str">
        <f t="shared" si="6"/>
        <v/>
      </c>
      <c r="AR38" s="84">
        <f t="shared" si="6"/>
        <v>0.15755092608500137</v>
      </c>
      <c r="AT38" s="139">
        <f t="shared" si="9"/>
        <v>-6.8104947381256442E-3</v>
      </c>
      <c r="AU38" s="139">
        <f t="shared" si="9"/>
        <v>2.9850192781344376E-3</v>
      </c>
      <c r="AV38" s="139" t="str">
        <f t="shared" si="8"/>
        <v/>
      </c>
      <c r="AW38" s="139" t="str">
        <f t="shared" si="8"/>
        <v/>
      </c>
      <c r="AX38" s="139" t="str">
        <f t="shared" si="8"/>
        <v/>
      </c>
      <c r="AY38" s="139" t="str">
        <f t="shared" si="8"/>
        <v/>
      </c>
      <c r="AZ38" s="139" t="str">
        <f t="shared" si="8"/>
        <v/>
      </c>
      <c r="BA38" s="139" t="str">
        <f t="shared" si="8"/>
        <v/>
      </c>
      <c r="BB38" s="139" t="str">
        <f t="shared" si="8"/>
        <v/>
      </c>
      <c r="BC38" s="139" t="str">
        <f t="shared" si="8"/>
        <v/>
      </c>
      <c r="BD38" s="139" t="str">
        <f t="shared" si="8"/>
        <v/>
      </c>
      <c r="BF38" s="82">
        <f t="shared" si="4"/>
        <v>6.2438951618205311E-3</v>
      </c>
      <c r="BG38" s="82">
        <f t="shared" si="5"/>
        <v>0.70981527237503561</v>
      </c>
    </row>
    <row r="39" spans="2:59" x14ac:dyDescent="0.3">
      <c r="B39" s="83" t="s">
        <v>121</v>
      </c>
      <c r="D39" s="137">
        <v>7608618</v>
      </c>
      <c r="E39" s="137">
        <v>7465366</v>
      </c>
      <c r="F39" s="137">
        <v>7991247</v>
      </c>
      <c r="G39" s="137"/>
      <c r="H39" s="137"/>
      <c r="I39" s="137"/>
      <c r="J39" s="137"/>
      <c r="K39" s="137"/>
      <c r="L39" s="137"/>
      <c r="M39" s="137"/>
      <c r="N39" s="137"/>
      <c r="O39" s="137"/>
      <c r="P39" s="137">
        <f t="shared" si="0"/>
        <v>23065231</v>
      </c>
      <c r="R39" s="137">
        <v>1101908</v>
      </c>
      <c r="S39" s="137">
        <v>1283700</v>
      </c>
      <c r="T39" s="137">
        <v>1165762</v>
      </c>
      <c r="U39" s="137"/>
      <c r="V39" s="137"/>
      <c r="W39" s="137"/>
      <c r="X39" s="137"/>
      <c r="Y39" s="137"/>
      <c r="Z39" s="137"/>
      <c r="AA39" s="137"/>
      <c r="AB39" s="137"/>
      <c r="AC39" s="137"/>
      <c r="AD39" s="137">
        <f t="shared" si="1"/>
        <v>3551370</v>
      </c>
      <c r="AF39" s="84">
        <f t="shared" si="7"/>
        <v>0.14482367231473572</v>
      </c>
      <c r="AG39" s="84">
        <f t="shared" si="7"/>
        <v>0.17195406092614884</v>
      </c>
      <c r="AH39" s="84">
        <f t="shared" si="7"/>
        <v>0.14587986080270077</v>
      </c>
      <c r="AI39" s="84" t="str">
        <f t="shared" si="7"/>
        <v/>
      </c>
      <c r="AJ39" s="84" t="str">
        <f t="shared" si="7"/>
        <v/>
      </c>
      <c r="AK39" s="84" t="str">
        <f t="shared" si="7"/>
        <v/>
      </c>
      <c r="AL39" s="84" t="str">
        <f t="shared" si="7"/>
        <v/>
      </c>
      <c r="AM39" s="84" t="str">
        <f t="shared" si="7"/>
        <v/>
      </c>
      <c r="AN39" s="84" t="str">
        <f t="shared" si="6"/>
        <v/>
      </c>
      <c r="AO39" s="84" t="str">
        <f t="shared" si="6"/>
        <v/>
      </c>
      <c r="AP39" s="84" t="str">
        <f t="shared" si="6"/>
        <v/>
      </c>
      <c r="AQ39" s="84" t="str">
        <f t="shared" si="6"/>
        <v/>
      </c>
      <c r="AR39" s="84">
        <f t="shared" si="6"/>
        <v>0.15397071028683823</v>
      </c>
      <c r="AT39" s="139">
        <f t="shared" si="9"/>
        <v>2.713038861141312E-2</v>
      </c>
      <c r="AU39" s="139">
        <f t="shared" si="9"/>
        <v>-2.6074200123448077E-2</v>
      </c>
      <c r="AV39" s="139" t="str">
        <f t="shared" si="8"/>
        <v/>
      </c>
      <c r="AW39" s="139" t="str">
        <f t="shared" si="8"/>
        <v/>
      </c>
      <c r="AX39" s="139" t="str">
        <f t="shared" si="8"/>
        <v/>
      </c>
      <c r="AY39" s="139" t="str">
        <f t="shared" si="8"/>
        <v/>
      </c>
      <c r="AZ39" s="139" t="str">
        <f t="shared" si="8"/>
        <v/>
      </c>
      <c r="BA39" s="139" t="str">
        <f t="shared" si="8"/>
        <v/>
      </c>
      <c r="BB39" s="139" t="str">
        <f t="shared" si="8"/>
        <v/>
      </c>
      <c r="BC39" s="139" t="str">
        <f t="shared" si="8"/>
        <v/>
      </c>
      <c r="BD39" s="139" t="str">
        <f t="shared" si="8"/>
        <v/>
      </c>
      <c r="BF39" s="82">
        <f t="shared" si="4"/>
        <v>4.5926048118242069E-3</v>
      </c>
      <c r="BG39" s="82">
        <f t="shared" si="5"/>
        <v>0.71440787718685983</v>
      </c>
    </row>
    <row r="40" spans="2:59" x14ac:dyDescent="0.3">
      <c r="B40" s="83" t="s">
        <v>122</v>
      </c>
      <c r="D40" s="137">
        <v>6461385</v>
      </c>
      <c r="E40" s="137">
        <v>6045951</v>
      </c>
      <c r="F40" s="137">
        <v>6046042</v>
      </c>
      <c r="G40" s="137"/>
      <c r="H40" s="137"/>
      <c r="I40" s="137"/>
      <c r="J40" s="137"/>
      <c r="K40" s="137"/>
      <c r="L40" s="137"/>
      <c r="M40" s="137"/>
      <c r="N40" s="137"/>
      <c r="O40" s="137"/>
      <c r="P40" s="137">
        <f t="shared" si="0"/>
        <v>18553378</v>
      </c>
      <c r="R40" s="137">
        <v>1216091</v>
      </c>
      <c r="S40" s="137">
        <v>1122072</v>
      </c>
      <c r="T40" s="137">
        <v>1027657</v>
      </c>
      <c r="U40" s="137"/>
      <c r="V40" s="137"/>
      <c r="W40" s="137"/>
      <c r="X40" s="137"/>
      <c r="Y40" s="137"/>
      <c r="Z40" s="137"/>
      <c r="AA40" s="137"/>
      <c r="AB40" s="137"/>
      <c r="AC40" s="137"/>
      <c r="AD40" s="137">
        <f t="shared" si="1"/>
        <v>3365820</v>
      </c>
      <c r="AF40" s="84">
        <f t="shared" si="7"/>
        <v>0.18820902948825988</v>
      </c>
      <c r="AG40" s="84">
        <f t="shared" si="7"/>
        <v>0.1855906539765208</v>
      </c>
      <c r="AH40" s="84">
        <f t="shared" si="7"/>
        <v>0.16997185927587005</v>
      </c>
      <c r="AI40" s="84" t="str">
        <f t="shared" si="7"/>
        <v/>
      </c>
      <c r="AJ40" s="84" t="str">
        <f t="shared" si="7"/>
        <v/>
      </c>
      <c r="AK40" s="84" t="str">
        <f t="shared" si="7"/>
        <v/>
      </c>
      <c r="AL40" s="84" t="str">
        <f t="shared" si="7"/>
        <v/>
      </c>
      <c r="AM40" s="84" t="str">
        <f t="shared" si="7"/>
        <v/>
      </c>
      <c r="AN40" s="84" t="str">
        <f t="shared" si="6"/>
        <v/>
      </c>
      <c r="AO40" s="84" t="str">
        <f t="shared" si="6"/>
        <v/>
      </c>
      <c r="AP40" s="84" t="str">
        <f t="shared" si="6"/>
        <v/>
      </c>
      <c r="AQ40" s="84" t="str">
        <f t="shared" si="6"/>
        <v/>
      </c>
      <c r="AR40" s="84">
        <f t="shared" si="6"/>
        <v>0.18141278639393862</v>
      </c>
      <c r="AT40" s="139">
        <f t="shared" si="9"/>
        <v>-2.6183755117390739E-3</v>
      </c>
      <c r="AU40" s="139">
        <f t="shared" si="9"/>
        <v>-1.5618794700650751E-2</v>
      </c>
      <c r="AV40" s="139" t="str">
        <f t="shared" si="8"/>
        <v/>
      </c>
      <c r="AW40" s="139" t="str">
        <f t="shared" si="8"/>
        <v/>
      </c>
      <c r="AX40" s="139" t="str">
        <f t="shared" si="8"/>
        <v/>
      </c>
      <c r="AY40" s="139" t="str">
        <f t="shared" si="8"/>
        <v/>
      </c>
      <c r="AZ40" s="139" t="str">
        <f t="shared" si="8"/>
        <v/>
      </c>
      <c r="BA40" s="139" t="str">
        <f t="shared" si="8"/>
        <v/>
      </c>
      <c r="BB40" s="139" t="str">
        <f t="shared" si="8"/>
        <v/>
      </c>
      <c r="BC40" s="139" t="str">
        <f t="shared" si="8"/>
        <v/>
      </c>
      <c r="BD40" s="139" t="str">
        <f t="shared" si="8"/>
        <v/>
      </c>
      <c r="BF40" s="82">
        <f t="shared" si="4"/>
        <v>4.3526529558266672E-3</v>
      </c>
      <c r="BG40" s="82">
        <f t="shared" si="5"/>
        <v>0.71876053014268648</v>
      </c>
    </row>
    <row r="41" spans="2:59" x14ac:dyDescent="0.3">
      <c r="B41" s="83" t="s">
        <v>123</v>
      </c>
      <c r="D41" s="137">
        <v>4774438</v>
      </c>
      <c r="E41" s="137">
        <v>4118762</v>
      </c>
      <c r="F41" s="137">
        <v>4115048</v>
      </c>
      <c r="G41" s="137"/>
      <c r="H41" s="137"/>
      <c r="I41" s="137"/>
      <c r="J41" s="137"/>
      <c r="K41" s="137"/>
      <c r="L41" s="137"/>
      <c r="M41" s="137"/>
      <c r="N41" s="137"/>
      <c r="O41" s="137"/>
      <c r="P41" s="137">
        <f t="shared" si="0"/>
        <v>13008248</v>
      </c>
      <c r="R41" s="137">
        <v>897101</v>
      </c>
      <c r="S41" s="137">
        <v>708825</v>
      </c>
      <c r="T41" s="137">
        <v>663458</v>
      </c>
      <c r="U41" s="137"/>
      <c r="V41" s="137"/>
      <c r="W41" s="137"/>
      <c r="X41" s="137"/>
      <c r="Y41" s="137"/>
      <c r="Z41" s="137"/>
      <c r="AA41" s="137"/>
      <c r="AB41" s="137"/>
      <c r="AC41" s="137"/>
      <c r="AD41" s="137">
        <f t="shared" si="1"/>
        <v>2269384</v>
      </c>
      <c r="AF41" s="84">
        <f t="shared" si="7"/>
        <v>0.18789666972322189</v>
      </c>
      <c r="AG41" s="84">
        <f t="shared" si="7"/>
        <v>0.17209661543929947</v>
      </c>
      <c r="AH41" s="84">
        <f t="shared" si="7"/>
        <v>0.16122728094544705</v>
      </c>
      <c r="AI41" s="84" t="str">
        <f t="shared" si="7"/>
        <v/>
      </c>
      <c r="AJ41" s="84" t="str">
        <f t="shared" si="7"/>
        <v/>
      </c>
      <c r="AK41" s="84" t="str">
        <f t="shared" si="7"/>
        <v/>
      </c>
      <c r="AL41" s="84" t="str">
        <f t="shared" si="7"/>
        <v/>
      </c>
      <c r="AM41" s="84" t="str">
        <f t="shared" si="7"/>
        <v/>
      </c>
      <c r="AN41" s="84" t="str">
        <f t="shared" si="6"/>
        <v/>
      </c>
      <c r="AO41" s="84" t="str">
        <f t="shared" si="6"/>
        <v/>
      </c>
      <c r="AP41" s="84" t="str">
        <f t="shared" si="6"/>
        <v/>
      </c>
      <c r="AQ41" s="84" t="str">
        <f t="shared" si="6"/>
        <v/>
      </c>
      <c r="AR41" s="84">
        <f t="shared" si="6"/>
        <v>0.17445731354445271</v>
      </c>
      <c r="AT41" s="139">
        <f t="shared" si="9"/>
        <v>-1.5800054283922421E-2</v>
      </c>
      <c r="AU41" s="139">
        <f t="shared" si="9"/>
        <v>-1.0869334493852412E-2</v>
      </c>
      <c r="AV41" s="139" t="str">
        <f t="shared" si="8"/>
        <v/>
      </c>
      <c r="AW41" s="139" t="str">
        <f t="shared" si="8"/>
        <v/>
      </c>
      <c r="AX41" s="139" t="str">
        <f t="shared" si="8"/>
        <v/>
      </c>
      <c r="AY41" s="139" t="str">
        <f t="shared" si="8"/>
        <v/>
      </c>
      <c r="AZ41" s="139" t="str">
        <f t="shared" si="8"/>
        <v/>
      </c>
      <c r="BA41" s="139" t="str">
        <f t="shared" si="8"/>
        <v/>
      </c>
      <c r="BB41" s="139" t="str">
        <f t="shared" si="8"/>
        <v/>
      </c>
      <c r="BC41" s="139" t="str">
        <f t="shared" si="8"/>
        <v/>
      </c>
      <c r="BD41" s="139" t="str">
        <f t="shared" si="8"/>
        <v/>
      </c>
      <c r="BF41" s="82">
        <f t="shared" si="4"/>
        <v>2.9347502170364859E-3</v>
      </c>
      <c r="BG41" s="82">
        <f t="shared" si="5"/>
        <v>0.72169528035972297</v>
      </c>
    </row>
    <row r="42" spans="2:59" x14ac:dyDescent="0.3">
      <c r="B42" s="83" t="s">
        <v>124</v>
      </c>
      <c r="D42" s="137">
        <v>1860067</v>
      </c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>
        <f t="shared" si="0"/>
        <v>1860067</v>
      </c>
      <c r="R42" s="137">
        <v>323405</v>
      </c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>
        <f t="shared" si="1"/>
        <v>323405</v>
      </c>
      <c r="AF42" s="84">
        <f t="shared" si="7"/>
        <v>0.17386739294874862</v>
      </c>
      <c r="AG42" s="84" t="str">
        <f t="shared" si="7"/>
        <v/>
      </c>
      <c r="AH42" s="84" t="str">
        <f t="shared" si="7"/>
        <v/>
      </c>
      <c r="AI42" s="84" t="str">
        <f t="shared" si="7"/>
        <v/>
      </c>
      <c r="AJ42" s="84" t="str">
        <f t="shared" si="7"/>
        <v/>
      </c>
      <c r="AK42" s="84" t="str">
        <f t="shared" si="7"/>
        <v/>
      </c>
      <c r="AL42" s="84" t="str">
        <f t="shared" si="7"/>
        <v/>
      </c>
      <c r="AM42" s="84" t="str">
        <f t="shared" si="7"/>
        <v/>
      </c>
      <c r="AN42" s="84" t="str">
        <f t="shared" si="6"/>
        <v/>
      </c>
      <c r="AO42" s="84" t="str">
        <f t="shared" si="6"/>
        <v/>
      </c>
      <c r="AP42" s="84" t="str">
        <f t="shared" si="6"/>
        <v/>
      </c>
      <c r="AQ42" s="84" t="str">
        <f t="shared" si="6"/>
        <v/>
      </c>
      <c r="AR42" s="84">
        <f t="shared" si="6"/>
        <v>0.17386739294874862</v>
      </c>
      <c r="AT42" s="139" t="str">
        <f t="shared" si="9"/>
        <v/>
      </c>
      <c r="AU42" s="139" t="str">
        <f t="shared" si="9"/>
        <v/>
      </c>
      <c r="AV42" s="139" t="str">
        <f t="shared" si="8"/>
        <v/>
      </c>
      <c r="AW42" s="139" t="str">
        <f t="shared" si="8"/>
        <v/>
      </c>
      <c r="AX42" s="139" t="str">
        <f t="shared" si="8"/>
        <v/>
      </c>
      <c r="AY42" s="139" t="str">
        <f t="shared" si="8"/>
        <v/>
      </c>
      <c r="AZ42" s="139" t="str">
        <f t="shared" si="8"/>
        <v/>
      </c>
      <c r="BA42" s="139" t="str">
        <f t="shared" si="8"/>
        <v/>
      </c>
      <c r="BB42" s="139" t="str">
        <f t="shared" si="8"/>
        <v/>
      </c>
      <c r="BC42" s="139" t="str">
        <f t="shared" si="8"/>
        <v/>
      </c>
      <c r="BD42" s="139" t="str">
        <f t="shared" si="8"/>
        <v/>
      </c>
      <c r="BF42" s="82">
        <f t="shared" si="4"/>
        <v>4.1822489888916322E-4</v>
      </c>
      <c r="BG42" s="82">
        <f t="shared" si="5"/>
        <v>0.72211350525861218</v>
      </c>
    </row>
    <row r="43" spans="2:59" x14ac:dyDescent="0.3">
      <c r="B43" s="83" t="s">
        <v>125</v>
      </c>
      <c r="D43" s="137">
        <v>55434809</v>
      </c>
      <c r="E43" s="137">
        <v>29011381</v>
      </c>
      <c r="F43" s="137">
        <v>34151022</v>
      </c>
      <c r="G43" s="137"/>
      <c r="H43" s="137"/>
      <c r="I43" s="137"/>
      <c r="J43" s="137"/>
      <c r="K43" s="137"/>
      <c r="L43" s="137"/>
      <c r="M43" s="137"/>
      <c r="N43" s="137"/>
      <c r="O43" s="137"/>
      <c r="P43" s="137">
        <f t="shared" si="0"/>
        <v>118597212</v>
      </c>
      <c r="R43" s="137">
        <v>10984246</v>
      </c>
      <c r="S43" s="137">
        <v>7272848</v>
      </c>
      <c r="T43" s="137">
        <v>8883957</v>
      </c>
      <c r="U43" s="137"/>
      <c r="V43" s="137"/>
      <c r="W43" s="137"/>
      <c r="X43" s="137"/>
      <c r="Y43" s="137"/>
      <c r="Z43" s="137"/>
      <c r="AA43" s="137"/>
      <c r="AB43" s="137"/>
      <c r="AC43" s="137"/>
      <c r="AD43" s="137">
        <f t="shared" si="1"/>
        <v>27141051</v>
      </c>
      <c r="AF43" s="84">
        <f t="shared" si="7"/>
        <v>0.19814708841154302</v>
      </c>
      <c r="AG43" s="84">
        <f t="shared" si="7"/>
        <v>0.25068947941499237</v>
      </c>
      <c r="AH43" s="84">
        <f t="shared" si="7"/>
        <v>0.26013736865620007</v>
      </c>
      <c r="AI43" s="84" t="str">
        <f t="shared" si="7"/>
        <v/>
      </c>
      <c r="AJ43" s="84" t="str">
        <f t="shared" si="7"/>
        <v/>
      </c>
      <c r="AK43" s="84" t="str">
        <f t="shared" si="7"/>
        <v/>
      </c>
      <c r="AL43" s="84" t="str">
        <f t="shared" si="7"/>
        <v/>
      </c>
      <c r="AM43" s="84" t="str">
        <f t="shared" si="7"/>
        <v/>
      </c>
      <c r="AN43" s="84" t="str">
        <f t="shared" si="6"/>
        <v/>
      </c>
      <c r="AO43" s="84" t="str">
        <f t="shared" si="6"/>
        <v/>
      </c>
      <c r="AP43" s="84" t="str">
        <f t="shared" si="6"/>
        <v/>
      </c>
      <c r="AQ43" s="84" t="str">
        <f t="shared" si="6"/>
        <v/>
      </c>
      <c r="AR43" s="84">
        <f t="shared" si="6"/>
        <v>0.22885066640521026</v>
      </c>
      <c r="AT43" s="139">
        <f t="shared" si="9"/>
        <v>5.2542391003449346E-2</v>
      </c>
      <c r="AU43" s="139">
        <f t="shared" si="9"/>
        <v>9.4478892412077076E-3</v>
      </c>
      <c r="AV43" s="139" t="str">
        <f t="shared" si="8"/>
        <v/>
      </c>
      <c r="AW43" s="139" t="str">
        <f t="shared" si="8"/>
        <v/>
      </c>
      <c r="AX43" s="139" t="str">
        <f t="shared" si="8"/>
        <v/>
      </c>
      <c r="AY43" s="139" t="str">
        <f t="shared" si="8"/>
        <v/>
      </c>
      <c r="AZ43" s="139" t="str">
        <f t="shared" si="8"/>
        <v/>
      </c>
      <c r="BA43" s="139" t="str">
        <f t="shared" si="8"/>
        <v/>
      </c>
      <c r="BB43" s="139" t="str">
        <f t="shared" si="8"/>
        <v/>
      </c>
      <c r="BC43" s="139" t="str">
        <f t="shared" si="8"/>
        <v/>
      </c>
      <c r="BD43" s="139" t="str">
        <f t="shared" si="8"/>
        <v/>
      </c>
      <c r="BF43" s="82">
        <f t="shared" si="4"/>
        <v>3.5098601784822811E-2</v>
      </c>
      <c r="BG43" s="82">
        <f t="shared" si="5"/>
        <v>0.757212107043435</v>
      </c>
    </row>
    <row r="44" spans="2:59" x14ac:dyDescent="0.3">
      <c r="B44" s="83" t="s">
        <v>126</v>
      </c>
      <c r="D44" s="137">
        <v>6151597</v>
      </c>
      <c r="E44" s="137">
        <v>6192149</v>
      </c>
      <c r="F44" s="137">
        <v>5251509</v>
      </c>
      <c r="G44" s="137"/>
      <c r="H44" s="137"/>
      <c r="I44" s="137"/>
      <c r="J44" s="137"/>
      <c r="K44" s="137"/>
      <c r="L44" s="137"/>
      <c r="M44" s="137"/>
      <c r="N44" s="137"/>
      <c r="O44" s="137"/>
      <c r="P44" s="137">
        <f t="shared" si="0"/>
        <v>17595255</v>
      </c>
      <c r="R44" s="137">
        <v>1223258</v>
      </c>
      <c r="S44" s="137">
        <v>1227000</v>
      </c>
      <c r="T44" s="137">
        <v>1050211</v>
      </c>
      <c r="U44" s="137"/>
      <c r="V44" s="137"/>
      <c r="W44" s="137"/>
      <c r="X44" s="137"/>
      <c r="Y44" s="137"/>
      <c r="Z44" s="137"/>
      <c r="AA44" s="137"/>
      <c r="AB44" s="137"/>
      <c r="AC44" s="137"/>
      <c r="AD44" s="137">
        <f t="shared" si="1"/>
        <v>3500469</v>
      </c>
      <c r="AF44" s="84">
        <f t="shared" si="7"/>
        <v>0.19885210295797986</v>
      </c>
      <c r="AG44" s="84">
        <f t="shared" si="7"/>
        <v>0.1981541464845242</v>
      </c>
      <c r="AH44" s="84">
        <f t="shared" si="7"/>
        <v>0.19998270973162191</v>
      </c>
      <c r="AI44" s="84" t="str">
        <f t="shared" si="7"/>
        <v/>
      </c>
      <c r="AJ44" s="84" t="str">
        <f t="shared" si="7"/>
        <v/>
      </c>
      <c r="AK44" s="84" t="str">
        <f t="shared" si="7"/>
        <v/>
      </c>
      <c r="AL44" s="84" t="str">
        <f t="shared" si="7"/>
        <v/>
      </c>
      <c r="AM44" s="84" t="str">
        <f t="shared" si="7"/>
        <v/>
      </c>
      <c r="AN44" s="84" t="str">
        <f t="shared" si="6"/>
        <v/>
      </c>
      <c r="AO44" s="84" t="str">
        <f t="shared" si="6"/>
        <v/>
      </c>
      <c r="AP44" s="84" t="str">
        <f t="shared" si="6"/>
        <v/>
      </c>
      <c r="AQ44" s="84" t="str">
        <f t="shared" si="6"/>
        <v/>
      </c>
      <c r="AR44" s="84">
        <f t="shared" si="6"/>
        <v>0.19894391982383888</v>
      </c>
      <c r="AT44" s="139">
        <f t="shared" si="9"/>
        <v>-6.9795647345566314E-4</v>
      </c>
      <c r="AU44" s="139">
        <f t="shared" si="9"/>
        <v>1.8285632470977087E-3</v>
      </c>
      <c r="AV44" s="139" t="str">
        <f t="shared" si="8"/>
        <v/>
      </c>
      <c r="AW44" s="139" t="str">
        <f t="shared" si="8"/>
        <v/>
      </c>
      <c r="AX44" s="139" t="str">
        <f t="shared" si="8"/>
        <v/>
      </c>
      <c r="AY44" s="139" t="str">
        <f t="shared" si="8"/>
        <v/>
      </c>
      <c r="AZ44" s="139" t="str">
        <f t="shared" si="8"/>
        <v/>
      </c>
      <c r="BA44" s="139" t="str">
        <f t="shared" si="8"/>
        <v/>
      </c>
      <c r="BB44" s="139" t="str">
        <f t="shared" si="8"/>
        <v/>
      </c>
      <c r="BC44" s="139" t="str">
        <f t="shared" si="8"/>
        <v/>
      </c>
      <c r="BD44" s="139" t="str">
        <f t="shared" si="8"/>
        <v/>
      </c>
      <c r="BF44" s="82">
        <f t="shared" si="4"/>
        <v>4.5267800237771532E-3</v>
      </c>
      <c r="BG44" s="82">
        <f t="shared" si="5"/>
        <v>0.76173888706721216</v>
      </c>
    </row>
    <row r="45" spans="2:59" x14ac:dyDescent="0.3">
      <c r="B45" s="83" t="s">
        <v>127</v>
      </c>
      <c r="D45" s="137">
        <v>3367819</v>
      </c>
      <c r="E45" s="137">
        <v>3475149</v>
      </c>
      <c r="F45" s="137">
        <v>3541647</v>
      </c>
      <c r="G45" s="137"/>
      <c r="H45" s="137"/>
      <c r="I45" s="137"/>
      <c r="J45" s="137"/>
      <c r="K45" s="137"/>
      <c r="L45" s="137"/>
      <c r="M45" s="137"/>
      <c r="N45" s="137"/>
      <c r="O45" s="137"/>
      <c r="P45" s="137">
        <f t="shared" si="0"/>
        <v>10384615</v>
      </c>
      <c r="R45" s="137">
        <v>595081</v>
      </c>
      <c r="S45" s="137">
        <v>584195</v>
      </c>
      <c r="T45" s="137">
        <v>593132</v>
      </c>
      <c r="U45" s="137"/>
      <c r="V45" s="137"/>
      <c r="W45" s="137"/>
      <c r="X45" s="137"/>
      <c r="Y45" s="137"/>
      <c r="Z45" s="137"/>
      <c r="AA45" s="137"/>
      <c r="AB45" s="137"/>
      <c r="AC45" s="137"/>
      <c r="AD45" s="137">
        <f t="shared" si="1"/>
        <v>1772408</v>
      </c>
      <c r="AF45" s="84">
        <f t="shared" si="7"/>
        <v>0.17669625356944657</v>
      </c>
      <c r="AG45" s="84">
        <f t="shared" si="7"/>
        <v>0.16810646104670621</v>
      </c>
      <c r="AH45" s="84">
        <f t="shared" si="7"/>
        <v>0.1674734946763469</v>
      </c>
      <c r="AI45" s="84" t="str">
        <f t="shared" si="7"/>
        <v/>
      </c>
      <c r="AJ45" s="84" t="str">
        <f t="shared" si="7"/>
        <v/>
      </c>
      <c r="AK45" s="84" t="str">
        <f t="shared" si="7"/>
        <v/>
      </c>
      <c r="AL45" s="84" t="str">
        <f t="shared" si="7"/>
        <v/>
      </c>
      <c r="AM45" s="84" t="str">
        <f t="shared" si="7"/>
        <v/>
      </c>
      <c r="AN45" s="84" t="str">
        <f t="shared" si="6"/>
        <v/>
      </c>
      <c r="AO45" s="84" t="str">
        <f t="shared" si="6"/>
        <v/>
      </c>
      <c r="AP45" s="84" t="str">
        <f t="shared" si="6"/>
        <v/>
      </c>
      <c r="AQ45" s="84" t="str">
        <f t="shared" si="6"/>
        <v/>
      </c>
      <c r="AR45" s="84">
        <f t="shared" si="6"/>
        <v>0.17067633224727158</v>
      </c>
      <c r="AT45" s="139">
        <f t="shared" si="9"/>
        <v>-8.5897925227403638E-3</v>
      </c>
      <c r="AU45" s="139">
        <f t="shared" si="9"/>
        <v>-6.3296637035931136E-4</v>
      </c>
      <c r="AV45" s="139" t="str">
        <f t="shared" si="8"/>
        <v/>
      </c>
      <c r="AW45" s="139" t="str">
        <f t="shared" si="8"/>
        <v/>
      </c>
      <c r="AX45" s="139" t="str">
        <f t="shared" si="8"/>
        <v/>
      </c>
      <c r="AY45" s="139" t="str">
        <f t="shared" si="8"/>
        <v/>
      </c>
      <c r="AZ45" s="139" t="str">
        <f t="shared" si="8"/>
        <v/>
      </c>
      <c r="BA45" s="139" t="str">
        <f t="shared" si="8"/>
        <v/>
      </c>
      <c r="BB45" s="139" t="str">
        <f t="shared" si="8"/>
        <v/>
      </c>
      <c r="BC45" s="139" t="str">
        <f t="shared" si="8"/>
        <v/>
      </c>
      <c r="BD45" s="139" t="str">
        <f t="shared" si="8"/>
        <v/>
      </c>
      <c r="BF45" s="82">
        <f t="shared" si="4"/>
        <v>2.2920646143082019E-3</v>
      </c>
      <c r="BG45" s="82">
        <f t="shared" si="5"/>
        <v>0.76403095168152035</v>
      </c>
    </row>
    <row r="46" spans="2:59" x14ac:dyDescent="0.3">
      <c r="B46" s="83" t="s">
        <v>128</v>
      </c>
      <c r="D46" s="137">
        <v>2363062</v>
      </c>
      <c r="E46" s="137">
        <v>2882099</v>
      </c>
      <c r="F46" s="137">
        <v>2681383</v>
      </c>
      <c r="G46" s="137"/>
      <c r="H46" s="137"/>
      <c r="I46" s="137"/>
      <c r="J46" s="137"/>
      <c r="K46" s="137"/>
      <c r="L46" s="137"/>
      <c r="M46" s="137"/>
      <c r="N46" s="137"/>
      <c r="O46" s="137"/>
      <c r="P46" s="137">
        <f t="shared" si="0"/>
        <v>7926544</v>
      </c>
      <c r="R46" s="137">
        <v>457515</v>
      </c>
      <c r="S46" s="137">
        <v>462861</v>
      </c>
      <c r="T46" s="137">
        <v>465052</v>
      </c>
      <c r="U46" s="137"/>
      <c r="V46" s="137"/>
      <c r="W46" s="137"/>
      <c r="X46" s="137"/>
      <c r="Y46" s="137"/>
      <c r="Z46" s="137"/>
      <c r="AA46" s="137"/>
      <c r="AB46" s="137"/>
      <c r="AC46" s="137"/>
      <c r="AD46" s="137">
        <f t="shared" si="1"/>
        <v>1385428</v>
      </c>
      <c r="AF46" s="84">
        <f t="shared" si="7"/>
        <v>0.19361108595542564</v>
      </c>
      <c r="AG46" s="84">
        <f t="shared" si="7"/>
        <v>0.16059857763387031</v>
      </c>
      <c r="AH46" s="84">
        <f t="shared" si="7"/>
        <v>0.17343736422584913</v>
      </c>
      <c r="AI46" s="84" t="str">
        <f t="shared" si="7"/>
        <v/>
      </c>
      <c r="AJ46" s="84" t="str">
        <f t="shared" si="7"/>
        <v/>
      </c>
      <c r="AK46" s="84" t="str">
        <f t="shared" si="7"/>
        <v/>
      </c>
      <c r="AL46" s="84" t="str">
        <f t="shared" si="7"/>
        <v/>
      </c>
      <c r="AM46" s="84" t="str">
        <f t="shared" si="7"/>
        <v/>
      </c>
      <c r="AN46" s="84" t="str">
        <f t="shared" si="6"/>
        <v/>
      </c>
      <c r="AO46" s="84" t="str">
        <f t="shared" si="6"/>
        <v/>
      </c>
      <c r="AP46" s="84" t="str">
        <f t="shared" si="6"/>
        <v/>
      </c>
      <c r="AQ46" s="84" t="str">
        <f t="shared" si="6"/>
        <v/>
      </c>
      <c r="AR46" s="84">
        <f t="shared" si="6"/>
        <v>0.17478336081904042</v>
      </c>
      <c r="AT46" s="139">
        <f t="shared" si="9"/>
        <v>-3.3012508321555334E-2</v>
      </c>
      <c r="AU46" s="139">
        <f t="shared" si="9"/>
        <v>1.2838786591978818E-2</v>
      </c>
      <c r="AV46" s="139" t="str">
        <f t="shared" si="8"/>
        <v/>
      </c>
      <c r="AW46" s="139" t="str">
        <f t="shared" si="8"/>
        <v/>
      </c>
      <c r="AX46" s="139" t="str">
        <f t="shared" si="8"/>
        <v/>
      </c>
      <c r="AY46" s="139" t="str">
        <f t="shared" si="8"/>
        <v/>
      </c>
      <c r="AZ46" s="139" t="str">
        <f t="shared" si="8"/>
        <v/>
      </c>
      <c r="BA46" s="139" t="str">
        <f t="shared" si="8"/>
        <v/>
      </c>
      <c r="BB46" s="139" t="str">
        <f t="shared" si="8"/>
        <v/>
      </c>
      <c r="BC46" s="139" t="str">
        <f t="shared" si="8"/>
        <v/>
      </c>
      <c r="BD46" s="139" t="str">
        <f t="shared" si="8"/>
        <v/>
      </c>
      <c r="BF46" s="82">
        <f t="shared" si="4"/>
        <v>1.7916250064724281E-3</v>
      </c>
      <c r="BG46" s="82">
        <f t="shared" si="5"/>
        <v>0.76582257668799281</v>
      </c>
    </row>
    <row r="47" spans="2:59" x14ac:dyDescent="0.3">
      <c r="B47" s="83" t="s">
        <v>129</v>
      </c>
      <c r="D47" s="137">
        <v>8366023</v>
      </c>
      <c r="E47" s="137">
        <v>7578544</v>
      </c>
      <c r="F47" s="137">
        <v>7532191</v>
      </c>
      <c r="G47" s="137"/>
      <c r="H47" s="137"/>
      <c r="I47" s="137"/>
      <c r="J47" s="137"/>
      <c r="K47" s="137"/>
      <c r="L47" s="137"/>
      <c r="M47" s="137"/>
      <c r="N47" s="137"/>
      <c r="O47" s="137"/>
      <c r="P47" s="137">
        <f t="shared" si="0"/>
        <v>23476758</v>
      </c>
      <c r="R47" s="137">
        <v>1003517</v>
      </c>
      <c r="S47" s="137">
        <v>907026</v>
      </c>
      <c r="T47" s="137">
        <v>954946</v>
      </c>
      <c r="U47" s="137"/>
      <c r="V47" s="137"/>
      <c r="W47" s="137"/>
      <c r="X47" s="137"/>
      <c r="Y47" s="137"/>
      <c r="Z47" s="137"/>
      <c r="AA47" s="137"/>
      <c r="AB47" s="137"/>
      <c r="AC47" s="137"/>
      <c r="AD47" s="137">
        <f t="shared" si="1"/>
        <v>2865489</v>
      </c>
      <c r="AF47" s="84">
        <f t="shared" si="7"/>
        <v>0.11995149905755698</v>
      </c>
      <c r="AG47" s="84">
        <f t="shared" si="7"/>
        <v>0.11968341148378897</v>
      </c>
      <c r="AH47" s="84">
        <f t="shared" si="7"/>
        <v>0.12678196822146437</v>
      </c>
      <c r="AI47" s="84" t="str">
        <f t="shared" si="7"/>
        <v/>
      </c>
      <c r="AJ47" s="84" t="str">
        <f t="shared" si="7"/>
        <v/>
      </c>
      <c r="AK47" s="84" t="str">
        <f t="shared" si="7"/>
        <v/>
      </c>
      <c r="AL47" s="84" t="str">
        <f t="shared" si="7"/>
        <v/>
      </c>
      <c r="AM47" s="84" t="str">
        <f t="shared" si="7"/>
        <v/>
      </c>
      <c r="AN47" s="84" t="str">
        <f t="shared" si="6"/>
        <v/>
      </c>
      <c r="AO47" s="84" t="str">
        <f t="shared" si="6"/>
        <v/>
      </c>
      <c r="AP47" s="84" t="str">
        <f t="shared" si="6"/>
        <v/>
      </c>
      <c r="AQ47" s="84" t="str">
        <f t="shared" si="6"/>
        <v/>
      </c>
      <c r="AR47" s="84">
        <f t="shared" si="6"/>
        <v>0.12205641852252343</v>
      </c>
      <c r="AT47" s="139">
        <f t="shared" si="9"/>
        <v>-2.6808757376800552E-4</v>
      </c>
      <c r="AU47" s="139">
        <f t="shared" si="9"/>
        <v>7.0985567376753989E-3</v>
      </c>
      <c r="AV47" s="139" t="str">
        <f t="shared" si="8"/>
        <v/>
      </c>
      <c r="AW47" s="139" t="str">
        <f t="shared" si="8"/>
        <v/>
      </c>
      <c r="AX47" s="139" t="str">
        <f t="shared" si="8"/>
        <v/>
      </c>
      <c r="AY47" s="139" t="str">
        <f t="shared" si="8"/>
        <v/>
      </c>
      <c r="AZ47" s="139" t="str">
        <f t="shared" si="8"/>
        <v/>
      </c>
      <c r="BA47" s="139" t="str">
        <f t="shared" si="8"/>
        <v/>
      </c>
      <c r="BB47" s="139" t="str">
        <f t="shared" si="8"/>
        <v/>
      </c>
      <c r="BC47" s="139" t="str">
        <f t="shared" si="8"/>
        <v/>
      </c>
      <c r="BD47" s="139" t="str">
        <f t="shared" si="8"/>
        <v/>
      </c>
      <c r="BF47" s="82">
        <f t="shared" si="4"/>
        <v>3.7056286924846845E-3</v>
      </c>
      <c r="BG47" s="82">
        <f t="shared" si="5"/>
        <v>0.7695282053804775</v>
      </c>
    </row>
    <row r="48" spans="2:59" x14ac:dyDescent="0.3">
      <c r="B48" s="83" t="s">
        <v>130</v>
      </c>
      <c r="D48" s="137">
        <v>8326890</v>
      </c>
      <c r="E48" s="137">
        <v>12194767</v>
      </c>
      <c r="F48" s="137">
        <v>11031267</v>
      </c>
      <c r="G48" s="137"/>
      <c r="H48" s="137"/>
      <c r="I48" s="137"/>
      <c r="J48" s="137"/>
      <c r="K48" s="137"/>
      <c r="L48" s="137"/>
      <c r="M48" s="137"/>
      <c r="N48" s="137"/>
      <c r="O48" s="137"/>
      <c r="P48" s="137">
        <f t="shared" si="0"/>
        <v>31552924</v>
      </c>
      <c r="R48" s="137">
        <v>1172782</v>
      </c>
      <c r="S48" s="137">
        <v>1267775</v>
      </c>
      <c r="T48" s="137">
        <v>1135596</v>
      </c>
      <c r="U48" s="137"/>
      <c r="V48" s="137"/>
      <c r="W48" s="137"/>
      <c r="X48" s="137"/>
      <c r="Y48" s="137"/>
      <c r="Z48" s="137"/>
      <c r="AA48" s="137"/>
      <c r="AB48" s="137"/>
      <c r="AC48" s="137"/>
      <c r="AD48" s="137">
        <f t="shared" si="1"/>
        <v>3576153</v>
      </c>
      <c r="AF48" s="84">
        <f t="shared" si="7"/>
        <v>0.14084273960626356</v>
      </c>
      <c r="AG48" s="84">
        <f t="shared" si="7"/>
        <v>0.10396057587652147</v>
      </c>
      <c r="AH48" s="84">
        <f t="shared" si="7"/>
        <v>0.10294338809857471</v>
      </c>
      <c r="AI48" s="84" t="str">
        <f t="shared" si="7"/>
        <v/>
      </c>
      <c r="AJ48" s="84" t="str">
        <f t="shared" si="7"/>
        <v/>
      </c>
      <c r="AK48" s="84" t="str">
        <f t="shared" si="7"/>
        <v/>
      </c>
      <c r="AL48" s="84" t="str">
        <f t="shared" si="7"/>
        <v/>
      </c>
      <c r="AM48" s="84" t="str">
        <f t="shared" si="7"/>
        <v/>
      </c>
      <c r="AN48" s="84" t="str">
        <f t="shared" si="6"/>
        <v/>
      </c>
      <c r="AO48" s="84" t="str">
        <f t="shared" si="6"/>
        <v/>
      </c>
      <c r="AP48" s="84" t="str">
        <f t="shared" si="6"/>
        <v/>
      </c>
      <c r="AQ48" s="84" t="str">
        <f t="shared" si="6"/>
        <v/>
      </c>
      <c r="AR48" s="84">
        <f t="shared" si="6"/>
        <v>0.11333824402454745</v>
      </c>
      <c r="AT48" s="139">
        <f t="shared" si="9"/>
        <v>-3.6882163729742096E-2</v>
      </c>
      <c r="AU48" s="139">
        <f t="shared" si="9"/>
        <v>-1.0171877779467514E-3</v>
      </c>
      <c r="AV48" s="139" t="str">
        <f t="shared" si="8"/>
        <v/>
      </c>
      <c r="AW48" s="139" t="str">
        <f t="shared" si="8"/>
        <v/>
      </c>
      <c r="AX48" s="139" t="str">
        <f t="shared" si="8"/>
        <v/>
      </c>
      <c r="AY48" s="139" t="str">
        <f t="shared" si="8"/>
        <v/>
      </c>
      <c r="AZ48" s="139" t="str">
        <f t="shared" si="8"/>
        <v/>
      </c>
      <c r="BA48" s="139" t="str">
        <f t="shared" si="8"/>
        <v/>
      </c>
      <c r="BB48" s="139" t="str">
        <f t="shared" si="8"/>
        <v/>
      </c>
      <c r="BC48" s="139" t="str">
        <f t="shared" si="8"/>
        <v/>
      </c>
      <c r="BD48" s="139" t="str">
        <f t="shared" si="8"/>
        <v/>
      </c>
      <c r="BF48" s="82">
        <f t="shared" si="4"/>
        <v>4.6246539998985106E-3</v>
      </c>
      <c r="BG48" s="82">
        <f t="shared" si="5"/>
        <v>0.77415285938037603</v>
      </c>
    </row>
    <row r="49" spans="2:59" x14ac:dyDescent="0.3">
      <c r="B49" s="83" t="s">
        <v>131</v>
      </c>
      <c r="D49" s="137">
        <v>3684849</v>
      </c>
      <c r="E49" s="137">
        <v>3526914</v>
      </c>
      <c r="F49" s="137">
        <v>3822630</v>
      </c>
      <c r="G49" s="137"/>
      <c r="H49" s="137"/>
      <c r="I49" s="137"/>
      <c r="J49" s="137"/>
      <c r="K49" s="137"/>
      <c r="L49" s="137"/>
      <c r="M49" s="137"/>
      <c r="N49" s="137"/>
      <c r="O49" s="137"/>
      <c r="P49" s="137">
        <f t="shared" si="0"/>
        <v>11034393</v>
      </c>
      <c r="R49" s="137">
        <v>624117</v>
      </c>
      <c r="S49" s="137">
        <v>602778</v>
      </c>
      <c r="T49" s="137">
        <v>612268</v>
      </c>
      <c r="U49" s="137"/>
      <c r="V49" s="137"/>
      <c r="W49" s="137"/>
      <c r="X49" s="137"/>
      <c r="Y49" s="137"/>
      <c r="Z49" s="137"/>
      <c r="AA49" s="137"/>
      <c r="AB49" s="137"/>
      <c r="AC49" s="137"/>
      <c r="AD49" s="137">
        <f t="shared" si="1"/>
        <v>1839163</v>
      </c>
      <c r="AF49" s="84">
        <f t="shared" si="7"/>
        <v>0.16937383322898714</v>
      </c>
      <c r="AG49" s="84">
        <f t="shared" si="7"/>
        <v>0.17090805162813724</v>
      </c>
      <c r="AH49" s="84">
        <f t="shared" si="7"/>
        <v>0.16016930751864553</v>
      </c>
      <c r="AI49" s="84" t="str">
        <f t="shared" si="7"/>
        <v/>
      </c>
      <c r="AJ49" s="84" t="str">
        <f t="shared" si="7"/>
        <v/>
      </c>
      <c r="AK49" s="84" t="str">
        <f t="shared" si="7"/>
        <v/>
      </c>
      <c r="AL49" s="84" t="str">
        <f t="shared" si="7"/>
        <v/>
      </c>
      <c r="AM49" s="84" t="str">
        <f t="shared" si="7"/>
        <v/>
      </c>
      <c r="AN49" s="84" t="str">
        <f t="shared" si="6"/>
        <v/>
      </c>
      <c r="AO49" s="84" t="str">
        <f t="shared" si="6"/>
        <v/>
      </c>
      <c r="AP49" s="84" t="str">
        <f t="shared" si="6"/>
        <v/>
      </c>
      <c r="AQ49" s="84" t="str">
        <f t="shared" si="6"/>
        <v/>
      </c>
      <c r="AR49" s="84">
        <f t="shared" si="6"/>
        <v>0.16667550267604209</v>
      </c>
      <c r="AT49" s="139">
        <f t="shared" si="9"/>
        <v>1.5342183991501057E-3</v>
      </c>
      <c r="AU49" s="139">
        <f t="shared" si="9"/>
        <v>-1.0738744109491716E-2</v>
      </c>
      <c r="AV49" s="139" t="str">
        <f t="shared" si="8"/>
        <v/>
      </c>
      <c r="AW49" s="139" t="str">
        <f t="shared" si="8"/>
        <v/>
      </c>
      <c r="AX49" s="139" t="str">
        <f t="shared" si="8"/>
        <v/>
      </c>
      <c r="AY49" s="139" t="str">
        <f t="shared" si="8"/>
        <v/>
      </c>
      <c r="AZ49" s="139" t="str">
        <f t="shared" si="8"/>
        <v/>
      </c>
      <c r="BA49" s="139" t="str">
        <f t="shared" si="8"/>
        <v/>
      </c>
      <c r="BB49" s="139" t="str">
        <f t="shared" si="8"/>
        <v/>
      </c>
      <c r="BC49" s="139" t="str">
        <f t="shared" si="8"/>
        <v/>
      </c>
      <c r="BD49" s="139" t="str">
        <f t="shared" si="8"/>
        <v/>
      </c>
      <c r="BF49" s="82">
        <f t="shared" si="4"/>
        <v>2.3783916751926844E-3</v>
      </c>
      <c r="BG49" s="82">
        <f t="shared" si="5"/>
        <v>0.77653125105556875</v>
      </c>
    </row>
    <row r="50" spans="2:59" x14ac:dyDescent="0.3">
      <c r="B50" s="83" t="s">
        <v>132</v>
      </c>
      <c r="D50" s="137">
        <v>1302841</v>
      </c>
      <c r="E50" s="137">
        <v>2233035</v>
      </c>
      <c r="F50" s="137">
        <v>8056815</v>
      </c>
      <c r="G50" s="137"/>
      <c r="H50" s="137"/>
      <c r="I50" s="137"/>
      <c r="J50" s="137"/>
      <c r="K50" s="137"/>
      <c r="L50" s="137"/>
      <c r="M50" s="137"/>
      <c r="N50" s="137"/>
      <c r="O50" s="137"/>
      <c r="P50" s="137">
        <f t="shared" si="0"/>
        <v>11592691</v>
      </c>
      <c r="R50" s="137">
        <v>224750</v>
      </c>
      <c r="S50" s="137">
        <v>418083</v>
      </c>
      <c r="T50" s="137">
        <v>1166954</v>
      </c>
      <c r="U50" s="137"/>
      <c r="V50" s="137"/>
      <c r="W50" s="137"/>
      <c r="X50" s="137"/>
      <c r="Y50" s="137"/>
      <c r="Z50" s="137"/>
      <c r="AA50" s="137"/>
      <c r="AB50" s="137"/>
      <c r="AC50" s="137"/>
      <c r="AD50" s="137">
        <f t="shared" si="1"/>
        <v>1809787</v>
      </c>
      <c r="AF50" s="84">
        <f t="shared" si="7"/>
        <v>0.17250761988607974</v>
      </c>
      <c r="AG50" s="84">
        <f t="shared" si="7"/>
        <v>0.18722635337108465</v>
      </c>
      <c r="AH50" s="84">
        <f t="shared" si="7"/>
        <v>0.14484061009220145</v>
      </c>
      <c r="AI50" s="84" t="str">
        <f t="shared" si="7"/>
        <v/>
      </c>
      <c r="AJ50" s="84" t="str">
        <f t="shared" si="7"/>
        <v/>
      </c>
      <c r="AK50" s="84" t="str">
        <f t="shared" si="7"/>
        <v/>
      </c>
      <c r="AL50" s="84" t="str">
        <f t="shared" si="7"/>
        <v/>
      </c>
      <c r="AM50" s="84" t="str">
        <f t="shared" si="7"/>
        <v/>
      </c>
      <c r="AN50" s="84" t="str">
        <f t="shared" si="6"/>
        <v/>
      </c>
      <c r="AO50" s="84" t="str">
        <f t="shared" si="6"/>
        <v/>
      </c>
      <c r="AP50" s="84" t="str">
        <f t="shared" si="6"/>
        <v/>
      </c>
      <c r="AQ50" s="84" t="str">
        <f t="shared" si="6"/>
        <v/>
      </c>
      <c r="AR50" s="84">
        <f t="shared" si="6"/>
        <v>0.15611448627415325</v>
      </c>
      <c r="AT50" s="139">
        <f t="shared" si="9"/>
        <v>1.4718733485004909E-2</v>
      </c>
      <c r="AU50" s="139">
        <f t="shared" si="9"/>
        <v>-4.2385743278883198E-2</v>
      </c>
      <c r="AV50" s="139" t="str">
        <f t="shared" si="8"/>
        <v/>
      </c>
      <c r="AW50" s="139" t="str">
        <f t="shared" si="8"/>
        <v/>
      </c>
      <c r="AX50" s="139" t="str">
        <f t="shared" si="8"/>
        <v/>
      </c>
      <c r="AY50" s="139" t="str">
        <f t="shared" si="8"/>
        <v/>
      </c>
      <c r="AZ50" s="139" t="str">
        <f t="shared" si="8"/>
        <v/>
      </c>
      <c r="BA50" s="139" t="str">
        <f t="shared" si="8"/>
        <v/>
      </c>
      <c r="BB50" s="139" t="str">
        <f t="shared" si="8"/>
        <v/>
      </c>
      <c r="BC50" s="139" t="str">
        <f t="shared" si="8"/>
        <v/>
      </c>
      <c r="BD50" s="139" t="str">
        <f t="shared" si="8"/>
        <v/>
      </c>
      <c r="BF50" s="82">
        <f t="shared" si="4"/>
        <v>2.3404028542722654E-3</v>
      </c>
      <c r="BG50" s="82">
        <f t="shared" si="5"/>
        <v>0.77887165390984103</v>
      </c>
    </row>
    <row r="51" spans="2:59" x14ac:dyDescent="0.3">
      <c r="B51" s="83" t="s">
        <v>133</v>
      </c>
      <c r="D51" s="137">
        <v>5011967</v>
      </c>
      <c r="E51" s="137">
        <v>4721562</v>
      </c>
      <c r="F51" s="137">
        <v>4694949</v>
      </c>
      <c r="G51" s="137"/>
      <c r="H51" s="137"/>
      <c r="I51" s="137"/>
      <c r="J51" s="137"/>
      <c r="K51" s="137"/>
      <c r="L51" s="137"/>
      <c r="M51" s="137"/>
      <c r="N51" s="137"/>
      <c r="O51" s="137"/>
      <c r="P51" s="137">
        <f t="shared" si="0"/>
        <v>14428478</v>
      </c>
      <c r="R51" s="137">
        <v>1057787</v>
      </c>
      <c r="S51" s="137">
        <v>1061540</v>
      </c>
      <c r="T51" s="137">
        <v>992132</v>
      </c>
      <c r="U51" s="137"/>
      <c r="V51" s="137"/>
      <c r="W51" s="137"/>
      <c r="X51" s="137"/>
      <c r="Y51" s="137"/>
      <c r="Z51" s="137"/>
      <c r="AA51" s="137"/>
      <c r="AB51" s="137"/>
      <c r="AC51" s="137"/>
      <c r="AD51" s="137">
        <f t="shared" si="1"/>
        <v>3111459</v>
      </c>
      <c r="AF51" s="84">
        <f t="shared" si="7"/>
        <v>0.21105226750295841</v>
      </c>
      <c r="AG51" s="84">
        <f t="shared" si="7"/>
        <v>0.22482813950129216</v>
      </c>
      <c r="AH51" s="84">
        <f t="shared" si="7"/>
        <v>0.21131901539292547</v>
      </c>
      <c r="AI51" s="84" t="str">
        <f t="shared" si="7"/>
        <v/>
      </c>
      <c r="AJ51" s="84" t="str">
        <f t="shared" si="7"/>
        <v/>
      </c>
      <c r="AK51" s="84" t="str">
        <f t="shared" si="7"/>
        <v/>
      </c>
      <c r="AL51" s="84" t="str">
        <f t="shared" si="7"/>
        <v/>
      </c>
      <c r="AM51" s="84" t="str">
        <f t="shared" si="7"/>
        <v/>
      </c>
      <c r="AN51" s="84" t="str">
        <f t="shared" si="6"/>
        <v/>
      </c>
      <c r="AO51" s="84" t="str">
        <f t="shared" si="6"/>
        <v/>
      </c>
      <c r="AP51" s="84" t="str">
        <f t="shared" si="6"/>
        <v/>
      </c>
      <c r="AQ51" s="84" t="str">
        <f t="shared" si="6"/>
        <v/>
      </c>
      <c r="AR51" s="84">
        <f t="shared" si="6"/>
        <v>0.21564706963548061</v>
      </c>
      <c r="AT51" s="139">
        <f t="shared" si="9"/>
        <v>1.3775871998333744E-2</v>
      </c>
      <c r="AU51" s="139">
        <f t="shared" si="9"/>
        <v>-1.3509124108366688E-2</v>
      </c>
      <c r="AV51" s="139" t="str">
        <f t="shared" si="8"/>
        <v/>
      </c>
      <c r="AW51" s="139" t="str">
        <f t="shared" si="8"/>
        <v/>
      </c>
      <c r="AX51" s="139" t="str">
        <f t="shared" si="8"/>
        <v/>
      </c>
      <c r="AY51" s="139" t="str">
        <f t="shared" si="8"/>
        <v/>
      </c>
      <c r="AZ51" s="139" t="str">
        <f t="shared" si="8"/>
        <v/>
      </c>
      <c r="BA51" s="139" t="str">
        <f t="shared" si="8"/>
        <v/>
      </c>
      <c r="BB51" s="139" t="str">
        <f t="shared" si="8"/>
        <v/>
      </c>
      <c r="BC51" s="139" t="str">
        <f t="shared" si="8"/>
        <v/>
      </c>
      <c r="BD51" s="139" t="str">
        <f t="shared" si="8"/>
        <v/>
      </c>
      <c r="BF51" s="82">
        <f t="shared" si="4"/>
        <v>4.0237152353017943E-3</v>
      </c>
      <c r="BG51" s="82">
        <f t="shared" si="5"/>
        <v>0.78289536914514279</v>
      </c>
    </row>
    <row r="52" spans="2:59" x14ac:dyDescent="0.3">
      <c r="B52" s="83" t="s">
        <v>134</v>
      </c>
      <c r="D52" s="137">
        <v>4823234</v>
      </c>
      <c r="E52" s="137">
        <v>4151876</v>
      </c>
      <c r="F52" s="137">
        <v>4567743</v>
      </c>
      <c r="G52" s="137"/>
      <c r="H52" s="137"/>
      <c r="I52" s="137"/>
      <c r="J52" s="137"/>
      <c r="K52" s="137"/>
      <c r="L52" s="137"/>
      <c r="M52" s="137"/>
      <c r="N52" s="137"/>
      <c r="O52" s="137"/>
      <c r="P52" s="137">
        <f t="shared" si="0"/>
        <v>13542853</v>
      </c>
      <c r="R52" s="137">
        <v>1149652</v>
      </c>
      <c r="S52" s="137">
        <v>953227</v>
      </c>
      <c r="T52" s="137">
        <v>1120380</v>
      </c>
      <c r="U52" s="137"/>
      <c r="V52" s="137"/>
      <c r="W52" s="137"/>
      <c r="X52" s="137"/>
      <c r="Y52" s="137"/>
      <c r="Z52" s="137"/>
      <c r="AA52" s="137"/>
      <c r="AB52" s="137"/>
      <c r="AC52" s="137"/>
      <c r="AD52" s="137">
        <f t="shared" si="1"/>
        <v>3223259</v>
      </c>
      <c r="AF52" s="84">
        <f t="shared" si="7"/>
        <v>0.23835708572298173</v>
      </c>
      <c r="AG52" s="84">
        <f t="shared" si="7"/>
        <v>0.22958946750818185</v>
      </c>
      <c r="AH52" s="84">
        <f t="shared" si="7"/>
        <v>0.24528087504047405</v>
      </c>
      <c r="AI52" s="84" t="str">
        <f t="shared" si="7"/>
        <v/>
      </c>
      <c r="AJ52" s="84" t="str">
        <f t="shared" si="7"/>
        <v/>
      </c>
      <c r="AK52" s="84" t="str">
        <f t="shared" si="7"/>
        <v/>
      </c>
      <c r="AL52" s="84" t="str">
        <f t="shared" si="7"/>
        <v/>
      </c>
      <c r="AM52" s="84" t="str">
        <f t="shared" si="7"/>
        <v/>
      </c>
      <c r="AN52" s="84" t="str">
        <f t="shared" si="6"/>
        <v/>
      </c>
      <c r="AO52" s="84" t="str">
        <f t="shared" si="6"/>
        <v/>
      </c>
      <c r="AP52" s="84" t="str">
        <f t="shared" si="6"/>
        <v/>
      </c>
      <c r="AQ52" s="84" t="str">
        <f t="shared" si="6"/>
        <v/>
      </c>
      <c r="AR52" s="84">
        <f t="shared" si="6"/>
        <v>0.23800442934734653</v>
      </c>
      <c r="AT52" s="139">
        <f t="shared" si="9"/>
        <v>-8.7676182147998771E-3</v>
      </c>
      <c r="AU52" s="139">
        <f t="shared" si="9"/>
        <v>1.5691407532292201E-2</v>
      </c>
      <c r="AV52" s="139" t="str">
        <f t="shared" si="8"/>
        <v/>
      </c>
      <c r="AW52" s="139" t="str">
        <f t="shared" si="8"/>
        <v/>
      </c>
      <c r="AX52" s="139" t="str">
        <f t="shared" si="8"/>
        <v/>
      </c>
      <c r="AY52" s="139" t="str">
        <f t="shared" si="8"/>
        <v/>
      </c>
      <c r="AZ52" s="139" t="str">
        <f t="shared" si="8"/>
        <v/>
      </c>
      <c r="BA52" s="139" t="str">
        <f t="shared" si="8"/>
        <v/>
      </c>
      <c r="BB52" s="139" t="str">
        <f t="shared" si="8"/>
        <v/>
      </c>
      <c r="BC52" s="139" t="str">
        <f t="shared" si="8"/>
        <v/>
      </c>
      <c r="BD52" s="139" t="str">
        <f t="shared" si="8"/>
        <v/>
      </c>
      <c r="BF52" s="82">
        <f t="shared" si="4"/>
        <v>4.1682941493439664E-3</v>
      </c>
      <c r="BG52" s="82">
        <f t="shared" si="5"/>
        <v>0.78706366329448674</v>
      </c>
    </row>
    <row r="53" spans="2:59" x14ac:dyDescent="0.3">
      <c r="B53" s="83" t="s">
        <v>135</v>
      </c>
      <c r="D53" s="137">
        <v>46959441</v>
      </c>
      <c r="E53" s="137">
        <v>49624464</v>
      </c>
      <c r="F53" s="137">
        <v>64917337</v>
      </c>
      <c r="G53" s="137"/>
      <c r="H53" s="137"/>
      <c r="I53" s="137"/>
      <c r="J53" s="137"/>
      <c r="K53" s="137"/>
      <c r="L53" s="137"/>
      <c r="M53" s="137"/>
      <c r="N53" s="137"/>
      <c r="O53" s="137"/>
      <c r="P53" s="137">
        <f t="shared" si="0"/>
        <v>161501242</v>
      </c>
      <c r="R53" s="137">
        <v>8364972</v>
      </c>
      <c r="S53" s="137">
        <v>9414182</v>
      </c>
      <c r="T53" s="137">
        <v>13209072</v>
      </c>
      <c r="U53" s="137"/>
      <c r="V53" s="137"/>
      <c r="W53" s="137"/>
      <c r="X53" s="137"/>
      <c r="Y53" s="137"/>
      <c r="Z53" s="137"/>
      <c r="AA53" s="137"/>
      <c r="AB53" s="137"/>
      <c r="AC53" s="137"/>
      <c r="AD53" s="137">
        <f t="shared" si="1"/>
        <v>30988226</v>
      </c>
      <c r="AF53" s="84">
        <f t="shared" si="7"/>
        <v>0.17813184786420264</v>
      </c>
      <c r="AG53" s="84">
        <f t="shared" si="7"/>
        <v>0.18970848732995887</v>
      </c>
      <c r="AH53" s="84">
        <f t="shared" si="7"/>
        <v>0.20347525962132426</v>
      </c>
      <c r="AI53" s="84" t="str">
        <f t="shared" si="7"/>
        <v/>
      </c>
      <c r="AJ53" s="84" t="str">
        <f t="shared" si="7"/>
        <v/>
      </c>
      <c r="AK53" s="84" t="str">
        <f t="shared" si="7"/>
        <v/>
      </c>
      <c r="AL53" s="84" t="str">
        <f t="shared" si="7"/>
        <v/>
      </c>
      <c r="AM53" s="84" t="str">
        <f t="shared" si="7"/>
        <v/>
      </c>
      <c r="AN53" s="84" t="str">
        <f t="shared" si="6"/>
        <v/>
      </c>
      <c r="AO53" s="84" t="str">
        <f t="shared" si="6"/>
        <v/>
      </c>
      <c r="AP53" s="84" t="str">
        <f t="shared" si="6"/>
        <v/>
      </c>
      <c r="AQ53" s="84" t="str">
        <f t="shared" si="6"/>
        <v/>
      </c>
      <c r="AR53" s="84">
        <f t="shared" si="6"/>
        <v>0.1918760847671995</v>
      </c>
      <c r="AT53" s="139">
        <f t="shared" si="9"/>
        <v>1.1576639465756239E-2</v>
      </c>
      <c r="AU53" s="139">
        <f t="shared" si="9"/>
        <v>1.3766772291365387E-2</v>
      </c>
      <c r="AV53" s="139" t="str">
        <f t="shared" si="8"/>
        <v/>
      </c>
      <c r="AW53" s="139" t="str">
        <f t="shared" si="8"/>
        <v/>
      </c>
      <c r="AX53" s="139" t="str">
        <f t="shared" si="8"/>
        <v/>
      </c>
      <c r="AY53" s="139" t="str">
        <f t="shared" si="8"/>
        <v/>
      </c>
      <c r="AZ53" s="139" t="str">
        <f t="shared" si="8"/>
        <v/>
      </c>
      <c r="BA53" s="139" t="str">
        <f t="shared" si="8"/>
        <v/>
      </c>
      <c r="BB53" s="139" t="str">
        <f t="shared" si="8"/>
        <v/>
      </c>
      <c r="BC53" s="139" t="str">
        <f t="shared" si="8"/>
        <v/>
      </c>
      <c r="BD53" s="139" t="str">
        <f t="shared" si="8"/>
        <v/>
      </c>
      <c r="BF53" s="82">
        <f t="shared" si="4"/>
        <v>4.0073739384377291E-2</v>
      </c>
      <c r="BG53" s="82">
        <f t="shared" si="5"/>
        <v>0.82713740267886404</v>
      </c>
    </row>
    <row r="54" spans="2:59" x14ac:dyDescent="0.3">
      <c r="B54" s="83" t="s">
        <v>136</v>
      </c>
      <c r="D54" s="137">
        <v>1087658</v>
      </c>
      <c r="E54" s="137">
        <v>1107103</v>
      </c>
      <c r="F54" s="137">
        <v>1214904</v>
      </c>
      <c r="G54" s="137"/>
      <c r="H54" s="137"/>
      <c r="I54" s="137"/>
      <c r="J54" s="137"/>
      <c r="K54" s="137"/>
      <c r="L54" s="137"/>
      <c r="M54" s="137"/>
      <c r="N54" s="137"/>
      <c r="O54" s="137"/>
      <c r="P54" s="137">
        <f t="shared" si="0"/>
        <v>3409665</v>
      </c>
      <c r="R54" s="137">
        <v>191247</v>
      </c>
      <c r="S54" s="137">
        <v>286596</v>
      </c>
      <c r="T54" s="137">
        <v>289391</v>
      </c>
      <c r="U54" s="137"/>
      <c r="V54" s="137"/>
      <c r="W54" s="137"/>
      <c r="X54" s="137"/>
      <c r="Y54" s="137"/>
      <c r="Z54" s="137"/>
      <c r="AA54" s="137"/>
      <c r="AB54" s="137"/>
      <c r="AC54" s="137"/>
      <c r="AD54" s="137">
        <f t="shared" si="1"/>
        <v>767234</v>
      </c>
      <c r="AF54" s="84">
        <f t="shared" si="7"/>
        <v>0.17583376392211522</v>
      </c>
      <c r="AG54" s="84">
        <f t="shared" si="7"/>
        <v>0.25887022255381836</v>
      </c>
      <c r="AH54" s="84">
        <f t="shared" si="7"/>
        <v>0.23820071380125507</v>
      </c>
      <c r="AI54" s="84" t="str">
        <f t="shared" si="7"/>
        <v/>
      </c>
      <c r="AJ54" s="84" t="str">
        <f t="shared" si="7"/>
        <v/>
      </c>
      <c r="AK54" s="84" t="str">
        <f t="shared" si="7"/>
        <v/>
      </c>
      <c r="AL54" s="84" t="str">
        <f t="shared" si="7"/>
        <v/>
      </c>
      <c r="AM54" s="84" t="str">
        <f t="shared" si="7"/>
        <v/>
      </c>
      <c r="AN54" s="84" t="str">
        <f t="shared" si="6"/>
        <v/>
      </c>
      <c r="AO54" s="84" t="str">
        <f t="shared" si="6"/>
        <v/>
      </c>
      <c r="AP54" s="84" t="str">
        <f t="shared" si="6"/>
        <v/>
      </c>
      <c r="AQ54" s="84" t="str">
        <f t="shared" si="6"/>
        <v/>
      </c>
      <c r="AR54" s="84">
        <f t="shared" si="6"/>
        <v>0.22501741373419382</v>
      </c>
      <c r="AT54" s="139">
        <f t="shared" si="9"/>
        <v>8.3036458631703142E-2</v>
      </c>
      <c r="AU54" s="139">
        <f t="shared" si="9"/>
        <v>-2.0669508752563293E-2</v>
      </c>
      <c r="AV54" s="139" t="str">
        <f t="shared" si="8"/>
        <v/>
      </c>
      <c r="AW54" s="139" t="str">
        <f t="shared" si="8"/>
        <v/>
      </c>
      <c r="AX54" s="139" t="str">
        <f t="shared" si="8"/>
        <v/>
      </c>
      <c r="AY54" s="139" t="str">
        <f t="shared" si="8"/>
        <v/>
      </c>
      <c r="AZ54" s="139" t="str">
        <f t="shared" si="8"/>
        <v/>
      </c>
      <c r="BA54" s="139" t="str">
        <f t="shared" si="8"/>
        <v/>
      </c>
      <c r="BB54" s="139" t="str">
        <f t="shared" si="8"/>
        <v/>
      </c>
      <c r="BC54" s="139" t="str">
        <f t="shared" si="8"/>
        <v/>
      </c>
      <c r="BD54" s="139" t="str">
        <f t="shared" si="8"/>
        <v/>
      </c>
      <c r="BF54" s="82">
        <f t="shared" si="4"/>
        <v>9.9218120336521786E-4</v>
      </c>
      <c r="BG54" s="82">
        <f t="shared" si="5"/>
        <v>0.82812958388222924</v>
      </c>
    </row>
    <row r="55" spans="2:59" x14ac:dyDescent="0.3">
      <c r="B55" s="83" t="s">
        <v>137</v>
      </c>
      <c r="D55" s="137">
        <v>2607780</v>
      </c>
      <c r="E55" s="137">
        <v>2848461</v>
      </c>
      <c r="F55" s="137">
        <v>2896099</v>
      </c>
      <c r="G55" s="137"/>
      <c r="H55" s="137"/>
      <c r="I55" s="137"/>
      <c r="J55" s="137"/>
      <c r="K55" s="137"/>
      <c r="L55" s="137"/>
      <c r="M55" s="137"/>
      <c r="N55" s="137"/>
      <c r="O55" s="137"/>
      <c r="P55" s="137">
        <f t="shared" si="0"/>
        <v>8352340</v>
      </c>
      <c r="R55" s="137">
        <v>532879</v>
      </c>
      <c r="S55" s="137">
        <v>588193</v>
      </c>
      <c r="T55" s="137">
        <v>590313</v>
      </c>
      <c r="U55" s="137"/>
      <c r="V55" s="137"/>
      <c r="W55" s="137"/>
      <c r="X55" s="137"/>
      <c r="Y55" s="137"/>
      <c r="Z55" s="137"/>
      <c r="AA55" s="137"/>
      <c r="AB55" s="137"/>
      <c r="AC55" s="137"/>
      <c r="AD55" s="137">
        <f t="shared" si="1"/>
        <v>1711385</v>
      </c>
      <c r="AF55" s="84">
        <f t="shared" si="7"/>
        <v>0.20434200737792299</v>
      </c>
      <c r="AG55" s="84">
        <f t="shared" si="7"/>
        <v>0.20649501608061335</v>
      </c>
      <c r="AH55" s="84">
        <f t="shared" si="7"/>
        <v>0.20383039391954488</v>
      </c>
      <c r="AI55" s="84" t="str">
        <f t="shared" si="7"/>
        <v/>
      </c>
      <c r="AJ55" s="84" t="str">
        <f t="shared" si="7"/>
        <v/>
      </c>
      <c r="AK55" s="84" t="str">
        <f t="shared" si="7"/>
        <v/>
      </c>
      <c r="AL55" s="84" t="str">
        <f t="shared" si="7"/>
        <v/>
      </c>
      <c r="AM55" s="84" t="str">
        <f t="shared" si="7"/>
        <v/>
      </c>
      <c r="AN55" s="84" t="str">
        <f t="shared" si="6"/>
        <v/>
      </c>
      <c r="AO55" s="84" t="str">
        <f t="shared" si="6"/>
        <v/>
      </c>
      <c r="AP55" s="84" t="str">
        <f t="shared" si="6"/>
        <v/>
      </c>
      <c r="AQ55" s="84" t="str">
        <f t="shared" si="6"/>
        <v/>
      </c>
      <c r="AR55" s="84">
        <f t="shared" si="6"/>
        <v>0.20489886666491067</v>
      </c>
      <c r="AT55" s="139">
        <f t="shared" si="9"/>
        <v>2.1530087026903622E-3</v>
      </c>
      <c r="AU55" s="139">
        <f t="shared" si="9"/>
        <v>-2.6646221610684695E-3</v>
      </c>
      <c r="AV55" s="139" t="str">
        <f t="shared" si="8"/>
        <v/>
      </c>
      <c r="AW55" s="139" t="str">
        <f t="shared" si="8"/>
        <v/>
      </c>
      <c r="AX55" s="139" t="str">
        <f t="shared" si="8"/>
        <v/>
      </c>
      <c r="AY55" s="139" t="str">
        <f t="shared" si="8"/>
        <v/>
      </c>
      <c r="AZ55" s="139" t="str">
        <f t="shared" si="8"/>
        <v/>
      </c>
      <c r="BA55" s="139" t="str">
        <f t="shared" si="8"/>
        <v/>
      </c>
      <c r="BB55" s="139" t="str">
        <f t="shared" si="8"/>
        <v/>
      </c>
      <c r="BC55" s="139" t="str">
        <f t="shared" si="8"/>
        <v/>
      </c>
      <c r="BD55" s="139" t="str">
        <f t="shared" si="8"/>
        <v/>
      </c>
      <c r="BF55" s="82">
        <f t="shared" si="4"/>
        <v>2.2131501324513555E-3</v>
      </c>
      <c r="BG55" s="82">
        <f t="shared" si="5"/>
        <v>0.83034273401468062</v>
      </c>
    </row>
    <row r="56" spans="2:59" x14ac:dyDescent="0.3">
      <c r="B56" s="83" t="s">
        <v>138</v>
      </c>
      <c r="D56" s="137">
        <v>29858618</v>
      </c>
      <c r="E56" s="137">
        <v>53429301</v>
      </c>
      <c r="F56" s="137">
        <v>31924391</v>
      </c>
      <c r="G56" s="137"/>
      <c r="H56" s="137"/>
      <c r="I56" s="137"/>
      <c r="J56" s="137"/>
      <c r="K56" s="137"/>
      <c r="L56" s="137"/>
      <c r="M56" s="137"/>
      <c r="N56" s="137"/>
      <c r="O56" s="137"/>
      <c r="P56" s="137">
        <f t="shared" si="0"/>
        <v>115212310</v>
      </c>
      <c r="R56" s="137">
        <v>4039090</v>
      </c>
      <c r="S56" s="137">
        <v>6506500</v>
      </c>
      <c r="T56" s="137">
        <v>4041803</v>
      </c>
      <c r="U56" s="137"/>
      <c r="V56" s="137"/>
      <c r="W56" s="137"/>
      <c r="X56" s="137"/>
      <c r="Y56" s="137"/>
      <c r="Z56" s="137"/>
      <c r="AA56" s="137"/>
      <c r="AB56" s="137"/>
      <c r="AC56" s="137"/>
      <c r="AD56" s="137">
        <f t="shared" si="1"/>
        <v>14587393</v>
      </c>
      <c r="AF56" s="84">
        <f t="shared" si="7"/>
        <v>0.13527384288181055</v>
      </c>
      <c r="AG56" s="84">
        <f t="shared" si="7"/>
        <v>0.12177774887977666</v>
      </c>
      <c r="AH56" s="84">
        <f t="shared" si="7"/>
        <v>0.12660548481566963</v>
      </c>
      <c r="AI56" s="84" t="str">
        <f t="shared" si="7"/>
        <v/>
      </c>
      <c r="AJ56" s="84" t="str">
        <f t="shared" si="7"/>
        <v/>
      </c>
      <c r="AK56" s="84" t="str">
        <f t="shared" si="7"/>
        <v/>
      </c>
      <c r="AL56" s="84" t="str">
        <f t="shared" si="7"/>
        <v/>
      </c>
      <c r="AM56" s="84" t="str">
        <f t="shared" ref="AM56:AR87" si="10">+IFERROR(Y56/K56,"")</f>
        <v/>
      </c>
      <c r="AN56" s="84" t="str">
        <f t="shared" si="10"/>
        <v/>
      </c>
      <c r="AO56" s="84" t="str">
        <f t="shared" si="10"/>
        <v/>
      </c>
      <c r="AP56" s="84" t="str">
        <f t="shared" si="10"/>
        <v/>
      </c>
      <c r="AQ56" s="84" t="str">
        <f t="shared" si="10"/>
        <v/>
      </c>
      <c r="AR56" s="84">
        <f t="shared" si="10"/>
        <v>0.12661314576541344</v>
      </c>
      <c r="AT56" s="139">
        <f t="shared" si="9"/>
        <v>-1.3496094002033887E-2</v>
      </c>
      <c r="AU56" s="139">
        <f t="shared" si="9"/>
        <v>4.8277359358929739E-3</v>
      </c>
      <c r="AV56" s="139" t="str">
        <f t="shared" si="8"/>
        <v/>
      </c>
      <c r="AW56" s="139" t="str">
        <f t="shared" si="8"/>
        <v/>
      </c>
      <c r="AX56" s="139" t="str">
        <f t="shared" si="8"/>
        <v/>
      </c>
      <c r="AY56" s="139" t="str">
        <f t="shared" ref="AY56:BD87" si="11">+IFERROR(AL56-AK56,"")</f>
        <v/>
      </c>
      <c r="AZ56" s="139" t="str">
        <f t="shared" si="11"/>
        <v/>
      </c>
      <c r="BA56" s="139" t="str">
        <f t="shared" si="11"/>
        <v/>
      </c>
      <c r="BB56" s="139" t="str">
        <f t="shared" si="11"/>
        <v/>
      </c>
      <c r="BC56" s="139" t="str">
        <f t="shared" si="11"/>
        <v/>
      </c>
      <c r="BD56" s="139" t="str">
        <f t="shared" si="11"/>
        <v/>
      </c>
      <c r="BF56" s="82">
        <f t="shared" si="4"/>
        <v>1.8864306249073103E-2</v>
      </c>
      <c r="BG56" s="82">
        <f t="shared" si="5"/>
        <v>0.84920704026375371</v>
      </c>
    </row>
    <row r="57" spans="2:59" x14ac:dyDescent="0.3">
      <c r="B57" s="83" t="s">
        <v>139</v>
      </c>
      <c r="D57" s="137">
        <v>2827833</v>
      </c>
      <c r="E57" s="137">
        <v>2775763</v>
      </c>
      <c r="F57" s="137">
        <v>2823474</v>
      </c>
      <c r="G57" s="137"/>
      <c r="H57" s="137"/>
      <c r="I57" s="137"/>
      <c r="J57" s="137"/>
      <c r="K57" s="137"/>
      <c r="L57" s="137"/>
      <c r="M57" s="137"/>
      <c r="N57" s="137"/>
      <c r="O57" s="137"/>
      <c r="P57" s="137">
        <f t="shared" si="0"/>
        <v>8427070</v>
      </c>
      <c r="R57" s="137">
        <v>409711</v>
      </c>
      <c r="S57" s="137">
        <v>406361</v>
      </c>
      <c r="T57" s="137">
        <v>402208</v>
      </c>
      <c r="U57" s="137"/>
      <c r="V57" s="137"/>
      <c r="W57" s="137"/>
      <c r="X57" s="137"/>
      <c r="Y57" s="137"/>
      <c r="Z57" s="137"/>
      <c r="AA57" s="137"/>
      <c r="AB57" s="137"/>
      <c r="AC57" s="137"/>
      <c r="AD57" s="137">
        <f t="shared" si="1"/>
        <v>1218280</v>
      </c>
      <c r="AF57" s="84">
        <f t="shared" ref="AF57:AR88" si="12">+IFERROR(R57/D57,"")</f>
        <v>0.14488514703661778</v>
      </c>
      <c r="AG57" s="84">
        <f t="shared" si="12"/>
        <v>0.14639614405120321</v>
      </c>
      <c r="AH57" s="84">
        <f t="shared" si="12"/>
        <v>0.14245146227661384</v>
      </c>
      <c r="AI57" s="84" t="str">
        <f t="shared" si="12"/>
        <v/>
      </c>
      <c r="AJ57" s="84" t="str">
        <f t="shared" si="12"/>
        <v/>
      </c>
      <c r="AK57" s="84" t="str">
        <f t="shared" si="12"/>
        <v/>
      </c>
      <c r="AL57" s="84" t="str">
        <f t="shared" si="12"/>
        <v/>
      </c>
      <c r="AM57" s="84" t="str">
        <f t="shared" si="10"/>
        <v/>
      </c>
      <c r="AN57" s="84" t="str">
        <f t="shared" si="10"/>
        <v/>
      </c>
      <c r="AO57" s="84" t="str">
        <f t="shared" si="10"/>
        <v/>
      </c>
      <c r="AP57" s="84" t="str">
        <f t="shared" si="10"/>
        <v/>
      </c>
      <c r="AQ57" s="84" t="str">
        <f t="shared" si="10"/>
        <v/>
      </c>
      <c r="AR57" s="84">
        <f t="shared" si="10"/>
        <v>0.14456744752327916</v>
      </c>
      <c r="AT57" s="139">
        <f t="shared" si="9"/>
        <v>1.5109970145854301E-3</v>
      </c>
      <c r="AU57" s="139">
        <f t="shared" si="9"/>
        <v>-3.9446817745893703E-3</v>
      </c>
      <c r="AV57" s="139" t="str">
        <f t="shared" si="9"/>
        <v/>
      </c>
      <c r="AW57" s="139" t="str">
        <f t="shared" si="9"/>
        <v/>
      </c>
      <c r="AX57" s="139" t="str">
        <f t="shared" si="9"/>
        <v/>
      </c>
      <c r="AY57" s="139" t="str">
        <f t="shared" si="11"/>
        <v/>
      </c>
      <c r="AZ57" s="139" t="str">
        <f t="shared" si="11"/>
        <v/>
      </c>
      <c r="BA57" s="139" t="str">
        <f t="shared" si="11"/>
        <v/>
      </c>
      <c r="BB57" s="139" t="str">
        <f t="shared" si="11"/>
        <v/>
      </c>
      <c r="BC57" s="139" t="str">
        <f t="shared" si="11"/>
        <v/>
      </c>
      <c r="BD57" s="139" t="str">
        <f t="shared" si="11"/>
        <v/>
      </c>
      <c r="BF57" s="82">
        <f t="shared" si="4"/>
        <v>1.5754704776323489E-3</v>
      </c>
      <c r="BG57" s="82">
        <f t="shared" si="5"/>
        <v>0.85078251074138611</v>
      </c>
    </row>
    <row r="58" spans="2:59" x14ac:dyDescent="0.3">
      <c r="B58" s="83" t="s">
        <v>140</v>
      </c>
      <c r="D58" s="137">
        <v>569623</v>
      </c>
      <c r="E58" s="137">
        <v>535983</v>
      </c>
      <c r="F58" s="137">
        <v>570433</v>
      </c>
      <c r="G58" s="137"/>
      <c r="H58" s="137"/>
      <c r="I58" s="137"/>
      <c r="J58" s="137"/>
      <c r="K58" s="137"/>
      <c r="L58" s="137"/>
      <c r="M58" s="137"/>
      <c r="N58" s="137"/>
      <c r="O58" s="137"/>
      <c r="P58" s="137">
        <f t="shared" si="0"/>
        <v>1676039</v>
      </c>
      <c r="R58" s="137">
        <v>84501</v>
      </c>
      <c r="S58" s="137">
        <v>100687</v>
      </c>
      <c r="T58" s="137">
        <v>86056</v>
      </c>
      <c r="U58" s="137"/>
      <c r="V58" s="137"/>
      <c r="W58" s="137"/>
      <c r="X58" s="137"/>
      <c r="Y58" s="137"/>
      <c r="Z58" s="137"/>
      <c r="AA58" s="137"/>
      <c r="AB58" s="137"/>
      <c r="AC58" s="137"/>
      <c r="AD58" s="137">
        <f t="shared" si="1"/>
        <v>271244</v>
      </c>
      <c r="AF58" s="84">
        <f t="shared" si="12"/>
        <v>0.14834548464510738</v>
      </c>
      <c r="AG58" s="84">
        <f t="shared" si="12"/>
        <v>0.187854838679585</v>
      </c>
      <c r="AH58" s="84">
        <f t="shared" si="12"/>
        <v>0.15086083729377509</v>
      </c>
      <c r="AI58" s="84" t="str">
        <f t="shared" si="12"/>
        <v/>
      </c>
      <c r="AJ58" s="84" t="str">
        <f t="shared" si="12"/>
        <v/>
      </c>
      <c r="AK58" s="84" t="str">
        <f t="shared" si="12"/>
        <v/>
      </c>
      <c r="AL58" s="84" t="str">
        <f t="shared" si="12"/>
        <v/>
      </c>
      <c r="AM58" s="84" t="str">
        <f t="shared" si="10"/>
        <v/>
      </c>
      <c r="AN58" s="84" t="str">
        <f t="shared" si="10"/>
        <v/>
      </c>
      <c r="AO58" s="84" t="str">
        <f t="shared" si="10"/>
        <v/>
      </c>
      <c r="AP58" s="84" t="str">
        <f t="shared" si="10"/>
        <v/>
      </c>
      <c r="AQ58" s="84" t="str">
        <f t="shared" si="10"/>
        <v/>
      </c>
      <c r="AR58" s="84">
        <f t="shared" si="10"/>
        <v>0.16183632958421612</v>
      </c>
      <c r="AT58" s="139">
        <f t="shared" si="9"/>
        <v>3.9509354034477612E-2</v>
      </c>
      <c r="AU58" s="139">
        <f t="shared" si="9"/>
        <v>-3.699400138580991E-2</v>
      </c>
      <c r="AV58" s="139" t="str">
        <f t="shared" si="9"/>
        <v/>
      </c>
      <c r="AW58" s="139" t="str">
        <f t="shared" si="9"/>
        <v/>
      </c>
      <c r="AX58" s="139" t="str">
        <f t="shared" si="9"/>
        <v/>
      </c>
      <c r="AY58" s="139" t="str">
        <f t="shared" si="11"/>
        <v/>
      </c>
      <c r="AZ58" s="139" t="str">
        <f t="shared" si="11"/>
        <v/>
      </c>
      <c r="BA58" s="139" t="str">
        <f t="shared" si="11"/>
        <v/>
      </c>
      <c r="BB58" s="139" t="str">
        <f t="shared" si="11"/>
        <v/>
      </c>
      <c r="BC58" s="139" t="str">
        <f t="shared" si="11"/>
        <v/>
      </c>
      <c r="BD58" s="139" t="str">
        <f t="shared" si="11"/>
        <v/>
      </c>
      <c r="BF58" s="82">
        <f t="shared" si="4"/>
        <v>3.5077068837616052E-4</v>
      </c>
      <c r="BG58" s="82">
        <f t="shared" si="5"/>
        <v>0.8511332814297623</v>
      </c>
    </row>
    <row r="59" spans="2:59" x14ac:dyDescent="0.3">
      <c r="B59" s="83" t="s">
        <v>141</v>
      </c>
      <c r="D59" s="137">
        <v>2103572</v>
      </c>
      <c r="E59" s="137">
        <v>1908003</v>
      </c>
      <c r="F59" s="137">
        <v>1904853</v>
      </c>
      <c r="G59" s="137"/>
      <c r="H59" s="137"/>
      <c r="I59" s="137"/>
      <c r="J59" s="137"/>
      <c r="K59" s="137"/>
      <c r="L59" s="137"/>
      <c r="M59" s="137"/>
      <c r="N59" s="137"/>
      <c r="O59" s="137"/>
      <c r="P59" s="137">
        <f t="shared" si="0"/>
        <v>5916428</v>
      </c>
      <c r="R59" s="137">
        <v>533244</v>
      </c>
      <c r="S59" s="137">
        <v>439962</v>
      </c>
      <c r="T59" s="137">
        <v>419935</v>
      </c>
      <c r="U59" s="137"/>
      <c r="V59" s="137"/>
      <c r="W59" s="137"/>
      <c r="X59" s="137"/>
      <c r="Y59" s="137"/>
      <c r="Z59" s="137"/>
      <c r="AA59" s="137"/>
      <c r="AB59" s="137"/>
      <c r="AC59" s="137"/>
      <c r="AD59" s="137">
        <f t="shared" si="1"/>
        <v>1393141</v>
      </c>
      <c r="AF59" s="84">
        <f t="shared" si="12"/>
        <v>0.25349453215768225</v>
      </c>
      <c r="AG59" s="84">
        <f t="shared" si="12"/>
        <v>0.23058768775520794</v>
      </c>
      <c r="AH59" s="84">
        <f t="shared" si="12"/>
        <v>0.22045533172376031</v>
      </c>
      <c r="AI59" s="84" t="str">
        <f t="shared" si="12"/>
        <v/>
      </c>
      <c r="AJ59" s="84" t="str">
        <f t="shared" si="12"/>
        <v/>
      </c>
      <c r="AK59" s="84" t="str">
        <f t="shared" si="12"/>
        <v/>
      </c>
      <c r="AL59" s="84" t="str">
        <f t="shared" si="12"/>
        <v/>
      </c>
      <c r="AM59" s="84" t="str">
        <f t="shared" si="10"/>
        <v/>
      </c>
      <c r="AN59" s="84" t="str">
        <f t="shared" si="10"/>
        <v/>
      </c>
      <c r="AO59" s="84" t="str">
        <f t="shared" si="10"/>
        <v/>
      </c>
      <c r="AP59" s="84" t="str">
        <f t="shared" si="10"/>
        <v/>
      </c>
      <c r="AQ59" s="84" t="str">
        <f t="shared" si="10"/>
        <v/>
      </c>
      <c r="AR59" s="84">
        <f t="shared" si="10"/>
        <v>0.235469949097665</v>
      </c>
      <c r="AT59" s="139">
        <f t="shared" si="9"/>
        <v>-2.2906844402474313E-2</v>
      </c>
      <c r="AU59" s="139">
        <f t="shared" si="9"/>
        <v>-1.0132356031447631E-2</v>
      </c>
      <c r="AV59" s="139" t="str">
        <f t="shared" si="9"/>
        <v/>
      </c>
      <c r="AW59" s="139" t="str">
        <f t="shared" si="9"/>
        <v/>
      </c>
      <c r="AX59" s="139" t="str">
        <f t="shared" si="9"/>
        <v/>
      </c>
      <c r="AY59" s="139" t="str">
        <f t="shared" si="11"/>
        <v/>
      </c>
      <c r="AZ59" s="139" t="str">
        <f t="shared" si="11"/>
        <v/>
      </c>
      <c r="BA59" s="139" t="str">
        <f t="shared" si="11"/>
        <v/>
      </c>
      <c r="BB59" s="139" t="str">
        <f t="shared" si="11"/>
        <v/>
      </c>
      <c r="BC59" s="139" t="str">
        <f t="shared" si="11"/>
        <v/>
      </c>
      <c r="BD59" s="139" t="str">
        <f t="shared" si="11"/>
        <v/>
      </c>
      <c r="BF59" s="82">
        <f t="shared" si="4"/>
        <v>1.8015993997104181E-3</v>
      </c>
      <c r="BG59" s="82">
        <f t="shared" si="5"/>
        <v>0.85293488082947266</v>
      </c>
    </row>
    <row r="60" spans="2:59" x14ac:dyDescent="0.3">
      <c r="B60" s="83" t="s">
        <v>142</v>
      </c>
      <c r="D60" s="137">
        <v>3140991</v>
      </c>
      <c r="E60" s="137">
        <v>3089175</v>
      </c>
      <c r="F60" s="137">
        <v>2732076</v>
      </c>
      <c r="G60" s="137"/>
      <c r="H60" s="137"/>
      <c r="I60" s="137"/>
      <c r="J60" s="137"/>
      <c r="K60" s="137"/>
      <c r="L60" s="137"/>
      <c r="M60" s="137"/>
      <c r="N60" s="137"/>
      <c r="O60" s="137"/>
      <c r="P60" s="137">
        <f t="shared" si="0"/>
        <v>8962242</v>
      </c>
      <c r="R60" s="137">
        <v>629313</v>
      </c>
      <c r="S60" s="137">
        <v>648207</v>
      </c>
      <c r="T60" s="137">
        <v>533708</v>
      </c>
      <c r="U60" s="137"/>
      <c r="V60" s="137"/>
      <c r="W60" s="137"/>
      <c r="X60" s="137"/>
      <c r="Y60" s="137"/>
      <c r="Z60" s="137"/>
      <c r="AA60" s="137"/>
      <c r="AB60" s="137"/>
      <c r="AC60" s="137"/>
      <c r="AD60" s="137">
        <f t="shared" si="1"/>
        <v>1811228</v>
      </c>
      <c r="AF60" s="84">
        <f t="shared" si="12"/>
        <v>0.20035491983262607</v>
      </c>
      <c r="AG60" s="84">
        <f t="shared" si="12"/>
        <v>0.2098317511957076</v>
      </c>
      <c r="AH60" s="84">
        <f t="shared" si="12"/>
        <v>0.19534888487728747</v>
      </c>
      <c r="AI60" s="84" t="str">
        <f t="shared" si="12"/>
        <v/>
      </c>
      <c r="AJ60" s="84" t="str">
        <f t="shared" si="12"/>
        <v/>
      </c>
      <c r="AK60" s="84" t="str">
        <f t="shared" si="12"/>
        <v/>
      </c>
      <c r="AL60" s="84" t="str">
        <f t="shared" si="12"/>
        <v/>
      </c>
      <c r="AM60" s="84" t="str">
        <f t="shared" si="10"/>
        <v/>
      </c>
      <c r="AN60" s="84" t="str">
        <f t="shared" si="10"/>
        <v/>
      </c>
      <c r="AO60" s="84" t="str">
        <f t="shared" si="10"/>
        <v/>
      </c>
      <c r="AP60" s="84" t="str">
        <f t="shared" si="10"/>
        <v/>
      </c>
      <c r="AQ60" s="84" t="str">
        <f t="shared" si="10"/>
        <v/>
      </c>
      <c r="AR60" s="84">
        <f t="shared" si="10"/>
        <v>0.20209541317897911</v>
      </c>
      <c r="AT60" s="139">
        <f t="shared" si="9"/>
        <v>9.4768313630815282E-3</v>
      </c>
      <c r="AU60" s="139">
        <f t="shared" si="9"/>
        <v>-1.4482866318420134E-2</v>
      </c>
      <c r="AV60" s="139" t="str">
        <f t="shared" si="9"/>
        <v/>
      </c>
      <c r="AW60" s="139" t="str">
        <f t="shared" si="9"/>
        <v/>
      </c>
      <c r="AX60" s="139" t="str">
        <f t="shared" si="9"/>
        <v/>
      </c>
      <c r="AY60" s="139" t="str">
        <f t="shared" si="11"/>
        <v/>
      </c>
      <c r="AZ60" s="139" t="str">
        <f t="shared" si="11"/>
        <v/>
      </c>
      <c r="BA60" s="139" t="str">
        <f t="shared" si="11"/>
        <v/>
      </c>
      <c r="BB60" s="139" t="str">
        <f t="shared" si="11"/>
        <v/>
      </c>
      <c r="BC60" s="139" t="str">
        <f t="shared" si="11"/>
        <v/>
      </c>
      <c r="BD60" s="139" t="str">
        <f t="shared" si="11"/>
        <v/>
      </c>
      <c r="BF60" s="82">
        <f t="shared" si="4"/>
        <v>2.3422663445686409E-3</v>
      </c>
      <c r="BG60" s="82">
        <f t="shared" si="5"/>
        <v>0.85527714717404135</v>
      </c>
    </row>
    <row r="61" spans="2:59" x14ac:dyDescent="0.3">
      <c r="B61" s="83" t="s">
        <v>143</v>
      </c>
      <c r="D61" s="137">
        <v>2381200</v>
      </c>
      <c r="E61" s="137">
        <v>1941872</v>
      </c>
      <c r="F61" s="137">
        <v>1809667</v>
      </c>
      <c r="G61" s="137"/>
      <c r="H61" s="137"/>
      <c r="I61" s="137"/>
      <c r="J61" s="137"/>
      <c r="K61" s="137"/>
      <c r="L61" s="137"/>
      <c r="M61" s="137"/>
      <c r="N61" s="137"/>
      <c r="O61" s="137"/>
      <c r="P61" s="137">
        <f t="shared" si="0"/>
        <v>6132739</v>
      </c>
      <c r="R61" s="137">
        <v>447316</v>
      </c>
      <c r="S61" s="137">
        <v>370026</v>
      </c>
      <c r="T61" s="137">
        <v>316136</v>
      </c>
      <c r="U61" s="137"/>
      <c r="V61" s="137"/>
      <c r="W61" s="137"/>
      <c r="X61" s="137"/>
      <c r="Y61" s="137"/>
      <c r="Z61" s="137"/>
      <c r="AA61" s="137"/>
      <c r="AB61" s="137"/>
      <c r="AC61" s="137"/>
      <c r="AD61" s="137">
        <f t="shared" si="1"/>
        <v>1133478</v>
      </c>
      <c r="AF61" s="84">
        <f t="shared" si="12"/>
        <v>0.18785318326894004</v>
      </c>
      <c r="AG61" s="84">
        <f t="shared" si="12"/>
        <v>0.19055117948041889</v>
      </c>
      <c r="AH61" s="84">
        <f t="shared" si="12"/>
        <v>0.17469291311605947</v>
      </c>
      <c r="AI61" s="84" t="str">
        <f t="shared" si="12"/>
        <v/>
      </c>
      <c r="AJ61" s="84" t="str">
        <f t="shared" si="12"/>
        <v/>
      </c>
      <c r="AK61" s="84" t="str">
        <f t="shared" si="12"/>
        <v/>
      </c>
      <c r="AL61" s="84" t="str">
        <f t="shared" si="12"/>
        <v/>
      </c>
      <c r="AM61" s="84" t="str">
        <f t="shared" si="10"/>
        <v/>
      </c>
      <c r="AN61" s="84" t="str">
        <f t="shared" si="10"/>
        <v/>
      </c>
      <c r="AO61" s="84" t="str">
        <f t="shared" si="10"/>
        <v/>
      </c>
      <c r="AP61" s="84" t="str">
        <f t="shared" si="10"/>
        <v/>
      </c>
      <c r="AQ61" s="84" t="str">
        <f t="shared" si="10"/>
        <v/>
      </c>
      <c r="AR61" s="84">
        <f t="shared" si="10"/>
        <v>0.18482410550978934</v>
      </c>
      <c r="AT61" s="139">
        <f t="shared" ref="AT61:BD92" si="13">+IFERROR(AG61-AF61,"")</f>
        <v>2.6979962114788425E-3</v>
      </c>
      <c r="AU61" s="139">
        <f t="shared" si="13"/>
        <v>-1.5858266364359414E-2</v>
      </c>
      <c r="AV61" s="139" t="str">
        <f t="shared" si="13"/>
        <v/>
      </c>
      <c r="AW61" s="139" t="str">
        <f t="shared" si="13"/>
        <v/>
      </c>
      <c r="AX61" s="139" t="str">
        <f t="shared" si="13"/>
        <v/>
      </c>
      <c r="AY61" s="139" t="str">
        <f t="shared" si="11"/>
        <v/>
      </c>
      <c r="AZ61" s="139" t="str">
        <f t="shared" si="11"/>
        <v/>
      </c>
      <c r="BA61" s="139" t="str">
        <f t="shared" si="11"/>
        <v/>
      </c>
      <c r="BB61" s="139" t="str">
        <f t="shared" si="11"/>
        <v/>
      </c>
      <c r="BC61" s="139" t="str">
        <f t="shared" si="11"/>
        <v/>
      </c>
      <c r="BD61" s="139" t="str">
        <f t="shared" si="11"/>
        <v/>
      </c>
      <c r="BF61" s="82">
        <f t="shared" si="4"/>
        <v>1.4658051729042252E-3</v>
      </c>
      <c r="BG61" s="82">
        <f t="shared" si="5"/>
        <v>0.85674295234694553</v>
      </c>
    </row>
    <row r="62" spans="2:59" x14ac:dyDescent="0.3">
      <c r="B62" s="83" t="s">
        <v>144</v>
      </c>
      <c r="D62" s="137">
        <v>8241866</v>
      </c>
      <c r="E62" s="137">
        <v>22786394</v>
      </c>
      <c r="F62" s="137">
        <v>19985428</v>
      </c>
      <c r="G62" s="137"/>
      <c r="H62" s="137"/>
      <c r="I62" s="137"/>
      <c r="J62" s="137"/>
      <c r="K62" s="137"/>
      <c r="L62" s="137"/>
      <c r="M62" s="137"/>
      <c r="N62" s="137"/>
      <c r="O62" s="137"/>
      <c r="P62" s="137">
        <f t="shared" si="0"/>
        <v>51013688</v>
      </c>
      <c r="R62" s="137">
        <v>1405259</v>
      </c>
      <c r="S62" s="137">
        <v>3908129</v>
      </c>
      <c r="T62" s="137">
        <v>3105362</v>
      </c>
      <c r="U62" s="137"/>
      <c r="V62" s="137"/>
      <c r="W62" s="137"/>
      <c r="X62" s="137"/>
      <c r="Y62" s="137"/>
      <c r="Z62" s="137"/>
      <c r="AA62" s="137"/>
      <c r="AB62" s="137"/>
      <c r="AC62" s="137"/>
      <c r="AD62" s="137">
        <f t="shared" si="1"/>
        <v>8418750</v>
      </c>
      <c r="AF62" s="84">
        <f t="shared" si="12"/>
        <v>0.1705025294029289</v>
      </c>
      <c r="AG62" s="84">
        <f t="shared" si="12"/>
        <v>0.17151151691663016</v>
      </c>
      <c r="AH62" s="84">
        <f t="shared" si="12"/>
        <v>0.15538131082306569</v>
      </c>
      <c r="AI62" s="84" t="str">
        <f t="shared" si="12"/>
        <v/>
      </c>
      <c r="AJ62" s="84" t="str">
        <f t="shared" si="12"/>
        <v/>
      </c>
      <c r="AK62" s="84" t="str">
        <f t="shared" si="12"/>
        <v/>
      </c>
      <c r="AL62" s="84" t="str">
        <f t="shared" si="12"/>
        <v/>
      </c>
      <c r="AM62" s="84" t="str">
        <f t="shared" si="10"/>
        <v/>
      </c>
      <c r="AN62" s="84" t="str">
        <f t="shared" si="10"/>
        <v/>
      </c>
      <c r="AO62" s="84" t="str">
        <f t="shared" si="10"/>
        <v/>
      </c>
      <c r="AP62" s="84" t="str">
        <f t="shared" si="10"/>
        <v/>
      </c>
      <c r="AQ62" s="84" t="str">
        <f t="shared" si="10"/>
        <v/>
      </c>
      <c r="AR62" s="84">
        <f t="shared" si="10"/>
        <v>0.16502923685893872</v>
      </c>
      <c r="AT62" s="139">
        <f t="shared" si="13"/>
        <v>1.0089875137012649E-3</v>
      </c>
      <c r="AU62" s="139">
        <f t="shared" si="13"/>
        <v>-1.613020609356447E-2</v>
      </c>
      <c r="AV62" s="139" t="str">
        <f t="shared" si="13"/>
        <v/>
      </c>
      <c r="AW62" s="139" t="str">
        <f t="shared" si="13"/>
        <v/>
      </c>
      <c r="AX62" s="139" t="str">
        <f t="shared" si="13"/>
        <v/>
      </c>
      <c r="AY62" s="139" t="str">
        <f t="shared" si="11"/>
        <v/>
      </c>
      <c r="AZ62" s="139" t="str">
        <f t="shared" si="11"/>
        <v/>
      </c>
      <c r="BA62" s="139" t="str">
        <f t="shared" si="11"/>
        <v/>
      </c>
      <c r="BB62" s="139" t="str">
        <f t="shared" si="11"/>
        <v/>
      </c>
      <c r="BC62" s="139" t="str">
        <f t="shared" si="11"/>
        <v/>
      </c>
      <c r="BD62" s="139" t="str">
        <f t="shared" si="11"/>
        <v/>
      </c>
      <c r="BF62" s="82">
        <f t="shared" si="4"/>
        <v>1.0887063797786499E-2</v>
      </c>
      <c r="BG62" s="82">
        <f t="shared" si="5"/>
        <v>0.86763001614473201</v>
      </c>
    </row>
    <row r="63" spans="2:59" x14ac:dyDescent="0.3">
      <c r="B63" s="83" t="s">
        <v>145</v>
      </c>
      <c r="D63" s="137">
        <v>7947340</v>
      </c>
      <c r="E63" s="137">
        <v>6554363</v>
      </c>
      <c r="F63" s="137">
        <v>2085560</v>
      </c>
      <c r="G63" s="137"/>
      <c r="H63" s="137"/>
      <c r="I63" s="137"/>
      <c r="J63" s="137"/>
      <c r="K63" s="137"/>
      <c r="L63" s="137"/>
      <c r="M63" s="137"/>
      <c r="N63" s="137"/>
      <c r="O63" s="137"/>
      <c r="P63" s="137">
        <f t="shared" si="0"/>
        <v>16587263</v>
      </c>
      <c r="R63" s="137">
        <v>1251522</v>
      </c>
      <c r="S63" s="137">
        <v>959035</v>
      </c>
      <c r="T63" s="137">
        <v>404654</v>
      </c>
      <c r="U63" s="137"/>
      <c r="V63" s="137"/>
      <c r="W63" s="137"/>
      <c r="X63" s="137"/>
      <c r="Y63" s="137"/>
      <c r="Z63" s="137"/>
      <c r="AA63" s="137"/>
      <c r="AB63" s="137"/>
      <c r="AC63" s="137"/>
      <c r="AD63" s="137">
        <f t="shared" si="1"/>
        <v>2615211</v>
      </c>
      <c r="AF63" s="84">
        <f t="shared" si="12"/>
        <v>0.15747684130790932</v>
      </c>
      <c r="AG63" s="84">
        <f t="shared" si="12"/>
        <v>0.14632009243308616</v>
      </c>
      <c r="AH63" s="84">
        <f t="shared" si="12"/>
        <v>0.19402654442931394</v>
      </c>
      <c r="AI63" s="84" t="str">
        <f t="shared" si="12"/>
        <v/>
      </c>
      <c r="AJ63" s="84" t="str">
        <f t="shared" si="12"/>
        <v/>
      </c>
      <c r="AK63" s="84" t="str">
        <f t="shared" si="12"/>
        <v/>
      </c>
      <c r="AL63" s="84" t="str">
        <f t="shared" si="12"/>
        <v/>
      </c>
      <c r="AM63" s="84" t="str">
        <f t="shared" si="10"/>
        <v/>
      </c>
      <c r="AN63" s="84" t="str">
        <f t="shared" si="10"/>
        <v/>
      </c>
      <c r="AO63" s="84" t="str">
        <f t="shared" si="10"/>
        <v/>
      </c>
      <c r="AP63" s="84" t="str">
        <f t="shared" si="10"/>
        <v/>
      </c>
      <c r="AQ63" s="84" t="str">
        <f t="shared" si="10"/>
        <v/>
      </c>
      <c r="AR63" s="84">
        <f t="shared" si="10"/>
        <v>0.1576638050533111</v>
      </c>
      <c r="AT63" s="139">
        <f t="shared" si="13"/>
        <v>-1.1156748874823152E-2</v>
      </c>
      <c r="AU63" s="139">
        <f t="shared" si="13"/>
        <v>4.7706451996227778E-2</v>
      </c>
      <c r="AV63" s="139" t="str">
        <f t="shared" si="13"/>
        <v/>
      </c>
      <c r="AW63" s="139" t="str">
        <f t="shared" si="13"/>
        <v/>
      </c>
      <c r="AX63" s="139" t="str">
        <f t="shared" si="13"/>
        <v/>
      </c>
      <c r="AY63" s="139" t="str">
        <f t="shared" si="11"/>
        <v/>
      </c>
      <c r="AZ63" s="139" t="str">
        <f t="shared" si="11"/>
        <v/>
      </c>
      <c r="BA63" s="139" t="str">
        <f t="shared" si="11"/>
        <v/>
      </c>
      <c r="BB63" s="139" t="str">
        <f t="shared" si="11"/>
        <v/>
      </c>
      <c r="BC63" s="139" t="str">
        <f t="shared" si="11"/>
        <v/>
      </c>
      <c r="BD63" s="139" t="str">
        <f t="shared" si="11"/>
        <v/>
      </c>
      <c r="BF63" s="82">
        <f t="shared" si="4"/>
        <v>3.3819710766649479E-3</v>
      </c>
      <c r="BG63" s="82">
        <f t="shared" si="5"/>
        <v>0.87101198722139694</v>
      </c>
    </row>
    <row r="64" spans="2:59" x14ac:dyDescent="0.3">
      <c r="B64" s="83" t="s">
        <v>146</v>
      </c>
      <c r="D64" s="137">
        <v>1403061</v>
      </c>
      <c r="E64" s="137">
        <v>1416732</v>
      </c>
      <c r="F64" s="137">
        <v>1744303</v>
      </c>
      <c r="G64" s="137"/>
      <c r="H64" s="137"/>
      <c r="I64" s="137"/>
      <c r="J64" s="137"/>
      <c r="K64" s="137"/>
      <c r="L64" s="137"/>
      <c r="M64" s="137"/>
      <c r="N64" s="137"/>
      <c r="O64" s="137"/>
      <c r="P64" s="137">
        <f t="shared" si="0"/>
        <v>4564096</v>
      </c>
      <c r="R64" s="137">
        <v>208718</v>
      </c>
      <c r="S64" s="137">
        <v>212075</v>
      </c>
      <c r="T64" s="137">
        <v>286237</v>
      </c>
      <c r="U64" s="137"/>
      <c r="V64" s="137"/>
      <c r="W64" s="137"/>
      <c r="X64" s="137"/>
      <c r="Y64" s="137"/>
      <c r="Z64" s="137"/>
      <c r="AA64" s="137"/>
      <c r="AB64" s="137"/>
      <c r="AC64" s="137"/>
      <c r="AD64" s="137">
        <f t="shared" si="1"/>
        <v>707030</v>
      </c>
      <c r="AF64" s="84">
        <f t="shared" si="12"/>
        <v>0.14875903471053648</v>
      </c>
      <c r="AG64" s="84">
        <f t="shared" si="12"/>
        <v>0.14969309650660817</v>
      </c>
      <c r="AH64" s="84">
        <f t="shared" si="12"/>
        <v>0.16409821000135871</v>
      </c>
      <c r="AI64" s="84" t="str">
        <f t="shared" si="12"/>
        <v/>
      </c>
      <c r="AJ64" s="84" t="str">
        <f t="shared" si="12"/>
        <v/>
      </c>
      <c r="AK64" s="84" t="str">
        <f t="shared" si="12"/>
        <v/>
      </c>
      <c r="AL64" s="84" t="str">
        <f t="shared" si="12"/>
        <v/>
      </c>
      <c r="AM64" s="84" t="str">
        <f t="shared" si="10"/>
        <v/>
      </c>
      <c r="AN64" s="84" t="str">
        <f t="shared" si="10"/>
        <v/>
      </c>
      <c r="AO64" s="84" t="str">
        <f t="shared" si="10"/>
        <v/>
      </c>
      <c r="AP64" s="84" t="str">
        <f t="shared" si="10"/>
        <v/>
      </c>
      <c r="AQ64" s="84" t="str">
        <f t="shared" si="10"/>
        <v/>
      </c>
      <c r="AR64" s="84">
        <f t="shared" si="10"/>
        <v>0.15491129020949604</v>
      </c>
      <c r="AT64" s="139">
        <f t="shared" si="13"/>
        <v>9.3406179607169459E-4</v>
      </c>
      <c r="AU64" s="139">
        <f t="shared" si="13"/>
        <v>1.4405113494750543E-2</v>
      </c>
      <c r="AV64" s="139" t="str">
        <f t="shared" si="13"/>
        <v/>
      </c>
      <c r="AW64" s="139" t="str">
        <f t="shared" si="13"/>
        <v/>
      </c>
      <c r="AX64" s="139" t="str">
        <f t="shared" si="13"/>
        <v/>
      </c>
      <c r="AY64" s="139" t="str">
        <f t="shared" si="11"/>
        <v/>
      </c>
      <c r="AZ64" s="139" t="str">
        <f t="shared" si="11"/>
        <v/>
      </c>
      <c r="BA64" s="139" t="str">
        <f t="shared" si="11"/>
        <v/>
      </c>
      <c r="BB64" s="139" t="str">
        <f t="shared" si="11"/>
        <v/>
      </c>
      <c r="BC64" s="139" t="str">
        <f t="shared" si="11"/>
        <v/>
      </c>
      <c r="BD64" s="139" t="str">
        <f t="shared" si="11"/>
        <v/>
      </c>
      <c r="BF64" s="82">
        <f t="shared" si="4"/>
        <v>9.1432584611123848E-4</v>
      </c>
      <c r="BG64" s="82">
        <f t="shared" si="5"/>
        <v>0.87192631306750823</v>
      </c>
    </row>
    <row r="65" spans="2:59" x14ac:dyDescent="0.3">
      <c r="B65" s="83" t="s">
        <v>147</v>
      </c>
      <c r="D65" s="137">
        <v>2873554</v>
      </c>
      <c r="E65" s="137">
        <v>2432206</v>
      </c>
      <c r="F65" s="137">
        <v>3404197</v>
      </c>
      <c r="G65" s="137"/>
      <c r="H65" s="137"/>
      <c r="I65" s="137"/>
      <c r="J65" s="137"/>
      <c r="K65" s="137"/>
      <c r="L65" s="137"/>
      <c r="M65" s="137"/>
      <c r="N65" s="137"/>
      <c r="O65" s="137"/>
      <c r="P65" s="137">
        <f t="shared" si="0"/>
        <v>8709957</v>
      </c>
      <c r="R65" s="137">
        <v>436800</v>
      </c>
      <c r="S65" s="137">
        <v>324209</v>
      </c>
      <c r="T65" s="137">
        <v>478849</v>
      </c>
      <c r="U65" s="137"/>
      <c r="V65" s="137"/>
      <c r="W65" s="137"/>
      <c r="X65" s="137"/>
      <c r="Y65" s="137"/>
      <c r="Z65" s="137"/>
      <c r="AA65" s="137"/>
      <c r="AB65" s="137"/>
      <c r="AC65" s="137"/>
      <c r="AD65" s="137">
        <f t="shared" si="1"/>
        <v>1239858</v>
      </c>
      <c r="AF65" s="84">
        <f t="shared" si="12"/>
        <v>0.15200688763809556</v>
      </c>
      <c r="AG65" s="84">
        <f t="shared" si="12"/>
        <v>0.13329833081572859</v>
      </c>
      <c r="AH65" s="84">
        <f t="shared" si="12"/>
        <v>0.14066430350534942</v>
      </c>
      <c r="AI65" s="84" t="str">
        <f t="shared" si="12"/>
        <v/>
      </c>
      <c r="AJ65" s="84" t="str">
        <f t="shared" si="12"/>
        <v/>
      </c>
      <c r="AK65" s="84" t="str">
        <f t="shared" si="12"/>
        <v/>
      </c>
      <c r="AL65" s="84" t="str">
        <f t="shared" si="12"/>
        <v/>
      </c>
      <c r="AM65" s="84" t="str">
        <f t="shared" si="10"/>
        <v/>
      </c>
      <c r="AN65" s="84" t="str">
        <f t="shared" si="10"/>
        <v/>
      </c>
      <c r="AO65" s="84" t="str">
        <f t="shared" si="10"/>
        <v/>
      </c>
      <c r="AP65" s="84" t="str">
        <f t="shared" si="10"/>
        <v/>
      </c>
      <c r="AQ65" s="84" t="str">
        <f t="shared" si="10"/>
        <v/>
      </c>
      <c r="AR65" s="84">
        <f t="shared" si="10"/>
        <v>0.14234949724780502</v>
      </c>
      <c r="AT65" s="139">
        <f t="shared" si="13"/>
        <v>-1.8708556822366967E-2</v>
      </c>
      <c r="AU65" s="139">
        <f t="shared" si="13"/>
        <v>7.3659726896208311E-3</v>
      </c>
      <c r="AV65" s="139" t="str">
        <f t="shared" si="13"/>
        <v/>
      </c>
      <c r="AW65" s="139" t="str">
        <f t="shared" si="13"/>
        <v/>
      </c>
      <c r="AX65" s="139" t="str">
        <f t="shared" si="13"/>
        <v/>
      </c>
      <c r="AY65" s="139" t="str">
        <f t="shared" si="11"/>
        <v/>
      </c>
      <c r="AZ65" s="139" t="str">
        <f t="shared" si="11"/>
        <v/>
      </c>
      <c r="BA65" s="139" t="str">
        <f t="shared" si="11"/>
        <v/>
      </c>
      <c r="BB65" s="139" t="str">
        <f t="shared" si="11"/>
        <v/>
      </c>
      <c r="BC65" s="139" t="str">
        <f t="shared" si="11"/>
        <v/>
      </c>
      <c r="BD65" s="139" t="str">
        <f t="shared" si="11"/>
        <v/>
      </c>
      <c r="BF65" s="82">
        <f t="shared" si="4"/>
        <v>1.603374983957948E-3</v>
      </c>
      <c r="BG65" s="82">
        <f t="shared" si="5"/>
        <v>0.87352968805146614</v>
      </c>
    </row>
    <row r="66" spans="2:59" x14ac:dyDescent="0.3">
      <c r="B66" s="83" t="s">
        <v>148</v>
      </c>
      <c r="D66" s="137">
        <v>15393342</v>
      </c>
      <c r="E66" s="137">
        <v>14907478</v>
      </c>
      <c r="F66" s="137">
        <v>16759742</v>
      </c>
      <c r="G66" s="137"/>
      <c r="H66" s="137"/>
      <c r="I66" s="137"/>
      <c r="J66" s="137"/>
      <c r="K66" s="137"/>
      <c r="L66" s="137"/>
      <c r="M66" s="137"/>
      <c r="N66" s="137"/>
      <c r="O66" s="137"/>
      <c r="P66" s="137">
        <f t="shared" si="0"/>
        <v>47060562</v>
      </c>
      <c r="R66" s="137">
        <v>8932167</v>
      </c>
      <c r="S66" s="137">
        <v>8423161</v>
      </c>
      <c r="T66" s="137">
        <v>9298629</v>
      </c>
      <c r="U66" s="137"/>
      <c r="V66" s="137"/>
      <c r="W66" s="137"/>
      <c r="X66" s="137"/>
      <c r="Y66" s="137"/>
      <c r="Z66" s="137"/>
      <c r="AA66" s="137"/>
      <c r="AB66" s="137"/>
      <c r="AC66" s="137"/>
      <c r="AD66" s="137">
        <f t="shared" si="1"/>
        <v>26653957</v>
      </c>
      <c r="AF66" s="84">
        <f t="shared" si="12"/>
        <v>0.58026171314845076</v>
      </c>
      <c r="AG66" s="84">
        <f t="shared" si="12"/>
        <v>0.56502924237084229</v>
      </c>
      <c r="AH66" s="84">
        <f t="shared" si="12"/>
        <v>0.55481934029772062</v>
      </c>
      <c r="AI66" s="84" t="str">
        <f t="shared" si="12"/>
        <v/>
      </c>
      <c r="AJ66" s="84" t="str">
        <f t="shared" si="12"/>
        <v/>
      </c>
      <c r="AK66" s="84" t="str">
        <f t="shared" si="12"/>
        <v/>
      </c>
      <c r="AL66" s="84" t="str">
        <f t="shared" si="12"/>
        <v/>
      </c>
      <c r="AM66" s="84" t="str">
        <f t="shared" si="10"/>
        <v/>
      </c>
      <c r="AN66" s="84" t="str">
        <f t="shared" si="10"/>
        <v/>
      </c>
      <c r="AO66" s="84" t="str">
        <f t="shared" si="10"/>
        <v/>
      </c>
      <c r="AP66" s="84" t="str">
        <f t="shared" si="10"/>
        <v/>
      </c>
      <c r="AQ66" s="84" t="str">
        <f t="shared" si="10"/>
        <v/>
      </c>
      <c r="AR66" s="84">
        <f t="shared" si="10"/>
        <v>0.56637566291707264</v>
      </c>
      <c r="AT66" s="139">
        <f t="shared" si="13"/>
        <v>-1.5232470777608476E-2</v>
      </c>
      <c r="AU66" s="139">
        <f t="shared" si="13"/>
        <v>-1.0209902073121668E-2</v>
      </c>
      <c r="AV66" s="139" t="str">
        <f t="shared" si="13"/>
        <v/>
      </c>
      <c r="AW66" s="139" t="str">
        <f t="shared" si="13"/>
        <v/>
      </c>
      <c r="AX66" s="139" t="str">
        <f t="shared" si="13"/>
        <v/>
      </c>
      <c r="AY66" s="139" t="str">
        <f t="shared" si="11"/>
        <v/>
      </c>
      <c r="AZ66" s="139" t="str">
        <f t="shared" si="11"/>
        <v/>
      </c>
      <c r="BA66" s="139" t="str">
        <f t="shared" si="11"/>
        <v/>
      </c>
      <c r="BB66" s="139" t="str">
        <f t="shared" si="11"/>
        <v/>
      </c>
      <c r="BC66" s="139" t="str">
        <f t="shared" si="11"/>
        <v/>
      </c>
      <c r="BD66" s="139" t="str">
        <f t="shared" si="11"/>
        <v/>
      </c>
      <c r="BF66" s="82">
        <f t="shared" si="4"/>
        <v>3.4468695509720336E-2</v>
      </c>
      <c r="BG66" s="82">
        <f t="shared" si="5"/>
        <v>0.90799838356118645</v>
      </c>
    </row>
    <row r="67" spans="2:59" x14ac:dyDescent="0.3">
      <c r="B67" s="83" t="s">
        <v>149</v>
      </c>
      <c r="D67" s="137">
        <v>1129615</v>
      </c>
      <c r="E67" s="137">
        <v>1169624</v>
      </c>
      <c r="F67" s="137">
        <v>1089746</v>
      </c>
      <c r="G67" s="137"/>
      <c r="H67" s="137"/>
      <c r="I67" s="137"/>
      <c r="J67" s="137"/>
      <c r="K67" s="137"/>
      <c r="L67" s="137"/>
      <c r="M67" s="137"/>
      <c r="N67" s="137"/>
      <c r="O67" s="137"/>
      <c r="P67" s="137">
        <f t="shared" si="0"/>
        <v>3388985</v>
      </c>
      <c r="R67" s="137">
        <v>220703</v>
      </c>
      <c r="S67" s="137">
        <v>201241</v>
      </c>
      <c r="T67" s="137">
        <v>199482</v>
      </c>
      <c r="U67" s="137"/>
      <c r="V67" s="137"/>
      <c r="W67" s="137"/>
      <c r="X67" s="137"/>
      <c r="Y67" s="137"/>
      <c r="Z67" s="137"/>
      <c r="AA67" s="137"/>
      <c r="AB67" s="137"/>
      <c r="AC67" s="137"/>
      <c r="AD67" s="137">
        <f t="shared" si="1"/>
        <v>621426</v>
      </c>
      <c r="AF67" s="84">
        <f t="shared" si="12"/>
        <v>0.19537895654714216</v>
      </c>
      <c r="AG67" s="84">
        <f t="shared" si="12"/>
        <v>0.17205614795866023</v>
      </c>
      <c r="AH67" s="84">
        <f t="shared" si="12"/>
        <v>0.18305366571659817</v>
      </c>
      <c r="AI67" s="84" t="str">
        <f t="shared" si="12"/>
        <v/>
      </c>
      <c r="AJ67" s="84" t="str">
        <f t="shared" si="12"/>
        <v/>
      </c>
      <c r="AK67" s="84" t="str">
        <f t="shared" si="12"/>
        <v/>
      </c>
      <c r="AL67" s="84" t="str">
        <f t="shared" si="12"/>
        <v/>
      </c>
      <c r="AM67" s="84" t="str">
        <f t="shared" si="10"/>
        <v/>
      </c>
      <c r="AN67" s="84" t="str">
        <f t="shared" si="10"/>
        <v/>
      </c>
      <c r="AO67" s="84" t="str">
        <f t="shared" si="10"/>
        <v/>
      </c>
      <c r="AP67" s="84" t="str">
        <f t="shared" si="10"/>
        <v/>
      </c>
      <c r="AQ67" s="84" t="str">
        <f t="shared" si="10"/>
        <v/>
      </c>
      <c r="AR67" s="84">
        <f t="shared" si="10"/>
        <v>0.18336640616585792</v>
      </c>
      <c r="AT67" s="139">
        <f t="shared" si="13"/>
        <v>-2.332280858848193E-2</v>
      </c>
      <c r="AU67" s="139">
        <f t="shared" si="13"/>
        <v>1.0997517757937947E-2</v>
      </c>
      <c r="AV67" s="139" t="str">
        <f t="shared" si="13"/>
        <v/>
      </c>
      <c r="AW67" s="139" t="str">
        <f t="shared" si="13"/>
        <v/>
      </c>
      <c r="AX67" s="139" t="str">
        <f t="shared" si="13"/>
        <v/>
      </c>
      <c r="AY67" s="139" t="str">
        <f t="shared" si="11"/>
        <v/>
      </c>
      <c r="AZ67" s="139" t="str">
        <f t="shared" si="11"/>
        <v/>
      </c>
      <c r="BA67" s="139" t="str">
        <f t="shared" si="11"/>
        <v/>
      </c>
      <c r="BB67" s="139" t="str">
        <f t="shared" si="11"/>
        <v/>
      </c>
      <c r="BC67" s="139" t="str">
        <f t="shared" si="11"/>
        <v/>
      </c>
      <c r="BD67" s="139" t="str">
        <f t="shared" si="11"/>
        <v/>
      </c>
      <c r="BF67" s="82">
        <f t="shared" si="4"/>
        <v>8.0362340105161374E-4</v>
      </c>
      <c r="BG67" s="82">
        <f t="shared" si="5"/>
        <v>0.90880200696223812</v>
      </c>
    </row>
    <row r="68" spans="2:59" x14ac:dyDescent="0.3">
      <c r="B68" s="83" t="s">
        <v>150</v>
      </c>
      <c r="D68" s="137">
        <v>2119723</v>
      </c>
      <c r="E68" s="137">
        <v>1481010</v>
      </c>
      <c r="F68" s="137">
        <v>1651992</v>
      </c>
      <c r="G68" s="137"/>
      <c r="H68" s="137"/>
      <c r="I68" s="137"/>
      <c r="J68" s="137"/>
      <c r="K68" s="137"/>
      <c r="L68" s="137"/>
      <c r="M68" s="137"/>
      <c r="N68" s="137"/>
      <c r="O68" s="137"/>
      <c r="P68" s="137">
        <f t="shared" si="0"/>
        <v>5252725</v>
      </c>
      <c r="R68" s="137">
        <v>293347</v>
      </c>
      <c r="S68" s="137">
        <v>236900</v>
      </c>
      <c r="T68" s="137">
        <v>268300</v>
      </c>
      <c r="U68" s="137"/>
      <c r="V68" s="137"/>
      <c r="W68" s="137"/>
      <c r="X68" s="137"/>
      <c r="Y68" s="137"/>
      <c r="Z68" s="137"/>
      <c r="AA68" s="137"/>
      <c r="AB68" s="137"/>
      <c r="AC68" s="137"/>
      <c r="AD68" s="137">
        <f t="shared" si="1"/>
        <v>798547</v>
      </c>
      <c r="AF68" s="84">
        <f t="shared" si="12"/>
        <v>0.13838930841435415</v>
      </c>
      <c r="AG68" s="84">
        <f t="shared" si="12"/>
        <v>0.15995840676295231</v>
      </c>
      <c r="AH68" s="84">
        <f t="shared" si="12"/>
        <v>0.16240998745756638</v>
      </c>
      <c r="AI68" s="84" t="str">
        <f t="shared" si="12"/>
        <v/>
      </c>
      <c r="AJ68" s="84" t="str">
        <f t="shared" si="12"/>
        <v/>
      </c>
      <c r="AK68" s="84" t="str">
        <f t="shared" si="12"/>
        <v/>
      </c>
      <c r="AL68" s="84" t="str">
        <f t="shared" si="12"/>
        <v/>
      </c>
      <c r="AM68" s="84" t="str">
        <f t="shared" si="10"/>
        <v/>
      </c>
      <c r="AN68" s="84" t="str">
        <f t="shared" si="10"/>
        <v/>
      </c>
      <c r="AO68" s="84" t="str">
        <f t="shared" si="10"/>
        <v/>
      </c>
      <c r="AP68" s="84" t="str">
        <f t="shared" si="10"/>
        <v/>
      </c>
      <c r="AQ68" s="84" t="str">
        <f t="shared" si="10"/>
        <v/>
      </c>
      <c r="AR68" s="84">
        <f t="shared" si="10"/>
        <v>0.15202528211547339</v>
      </c>
      <c r="AT68" s="139">
        <f t="shared" si="13"/>
        <v>2.1569098348598159E-2</v>
      </c>
      <c r="AU68" s="139">
        <f t="shared" si="13"/>
        <v>2.4515806946140695E-3</v>
      </c>
      <c r="AV68" s="139" t="str">
        <f t="shared" si="13"/>
        <v/>
      </c>
      <c r="AW68" s="139" t="str">
        <f t="shared" si="13"/>
        <v/>
      </c>
      <c r="AX68" s="139" t="str">
        <f t="shared" si="13"/>
        <v/>
      </c>
      <c r="AY68" s="139" t="str">
        <f t="shared" si="11"/>
        <v/>
      </c>
      <c r="AZ68" s="139" t="str">
        <f t="shared" si="11"/>
        <v/>
      </c>
      <c r="BA68" s="139" t="str">
        <f t="shared" si="11"/>
        <v/>
      </c>
      <c r="BB68" s="139" t="str">
        <f t="shared" si="11"/>
        <v/>
      </c>
      <c r="BC68" s="139" t="str">
        <f t="shared" si="11"/>
        <v/>
      </c>
      <c r="BD68" s="139" t="str">
        <f t="shared" si="11"/>
        <v/>
      </c>
      <c r="BF68" s="82">
        <f t="shared" si="4"/>
        <v>1.0326749380289255E-3</v>
      </c>
      <c r="BG68" s="82">
        <f t="shared" si="5"/>
        <v>0.90983468190026706</v>
      </c>
    </row>
    <row r="69" spans="2:59" x14ac:dyDescent="0.3">
      <c r="B69" s="83" t="s">
        <v>151</v>
      </c>
      <c r="D69" s="137">
        <v>59504</v>
      </c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>
        <f t="shared" ref="P69:P132" si="14">+SUM(D69:O69)</f>
        <v>59504</v>
      </c>
      <c r="R69" s="137">
        <v>9149</v>
      </c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>
        <f t="shared" ref="AD69:AD132" si="15">+SUM(R69:AC69)</f>
        <v>9149</v>
      </c>
      <c r="AF69" s="84">
        <f t="shared" si="12"/>
        <v>0.15375436945415435</v>
      </c>
      <c r="AG69" s="84" t="str">
        <f t="shared" si="12"/>
        <v/>
      </c>
      <c r="AH69" s="84" t="str">
        <f t="shared" si="12"/>
        <v/>
      </c>
      <c r="AI69" s="84" t="str">
        <f t="shared" si="12"/>
        <v/>
      </c>
      <c r="AJ69" s="84" t="str">
        <f t="shared" si="12"/>
        <v/>
      </c>
      <c r="AK69" s="84" t="str">
        <f t="shared" si="12"/>
        <v/>
      </c>
      <c r="AL69" s="84" t="str">
        <f t="shared" si="12"/>
        <v/>
      </c>
      <c r="AM69" s="84" t="str">
        <f t="shared" si="10"/>
        <v/>
      </c>
      <c r="AN69" s="84" t="str">
        <f t="shared" si="10"/>
        <v/>
      </c>
      <c r="AO69" s="84" t="str">
        <f t="shared" si="10"/>
        <v/>
      </c>
      <c r="AP69" s="84" t="str">
        <f t="shared" si="10"/>
        <v/>
      </c>
      <c r="AQ69" s="84" t="str">
        <f t="shared" si="10"/>
        <v/>
      </c>
      <c r="AR69" s="84">
        <f t="shared" si="10"/>
        <v>0.15375436945415435</v>
      </c>
      <c r="AT69" s="139" t="str">
        <f t="shared" si="13"/>
        <v/>
      </c>
      <c r="AU69" s="139" t="str">
        <f t="shared" si="13"/>
        <v/>
      </c>
      <c r="AV69" s="139" t="str">
        <f t="shared" si="13"/>
        <v/>
      </c>
      <c r="AW69" s="139" t="str">
        <f t="shared" si="13"/>
        <v/>
      </c>
      <c r="AX69" s="139" t="str">
        <f t="shared" si="13"/>
        <v/>
      </c>
      <c r="AY69" s="139" t="str">
        <f t="shared" si="11"/>
        <v/>
      </c>
      <c r="AZ69" s="139" t="str">
        <f t="shared" si="11"/>
        <v/>
      </c>
      <c r="BA69" s="139" t="str">
        <f t="shared" si="11"/>
        <v/>
      </c>
      <c r="BB69" s="139" t="str">
        <f t="shared" si="11"/>
        <v/>
      </c>
      <c r="BC69" s="139" t="str">
        <f t="shared" si="11"/>
        <v/>
      </c>
      <c r="BD69" s="139" t="str">
        <f t="shared" si="11"/>
        <v/>
      </c>
      <c r="BF69" s="82">
        <f t="shared" ref="BF69:BF132" si="16">+AD69/$AD$236</f>
        <v>1.1831417572198804E-5</v>
      </c>
      <c r="BG69" s="82">
        <f t="shared" si="5"/>
        <v>0.90984651331783928</v>
      </c>
    </row>
    <row r="70" spans="2:59" x14ac:dyDescent="0.3">
      <c r="B70" s="83" t="s">
        <v>152</v>
      </c>
      <c r="D70" s="137">
        <v>3261574</v>
      </c>
      <c r="E70" s="137">
        <v>3025581</v>
      </c>
      <c r="F70" s="137">
        <v>3073946</v>
      </c>
      <c r="G70" s="137"/>
      <c r="H70" s="137"/>
      <c r="I70" s="137"/>
      <c r="J70" s="137"/>
      <c r="K70" s="137"/>
      <c r="L70" s="137"/>
      <c r="M70" s="137"/>
      <c r="N70" s="137"/>
      <c r="O70" s="137"/>
      <c r="P70" s="137">
        <f t="shared" si="14"/>
        <v>9361101</v>
      </c>
      <c r="R70" s="137">
        <v>294904</v>
      </c>
      <c r="S70" s="137">
        <v>243152</v>
      </c>
      <c r="T70" s="137">
        <v>226402</v>
      </c>
      <c r="U70" s="137"/>
      <c r="V70" s="137"/>
      <c r="W70" s="137"/>
      <c r="X70" s="137"/>
      <c r="Y70" s="137"/>
      <c r="Z70" s="137"/>
      <c r="AA70" s="137"/>
      <c r="AB70" s="137"/>
      <c r="AC70" s="137"/>
      <c r="AD70" s="137">
        <f t="shared" si="15"/>
        <v>764458</v>
      </c>
      <c r="AF70" s="84">
        <f t="shared" si="12"/>
        <v>9.0417694033616894E-2</v>
      </c>
      <c r="AG70" s="84">
        <f t="shared" si="12"/>
        <v>8.0365390977798976E-2</v>
      </c>
      <c r="AH70" s="84">
        <f t="shared" si="12"/>
        <v>7.3651911907365974E-2</v>
      </c>
      <c r="AI70" s="84" t="str">
        <f t="shared" si="12"/>
        <v/>
      </c>
      <c r="AJ70" s="84" t="str">
        <f t="shared" si="12"/>
        <v/>
      </c>
      <c r="AK70" s="84" t="str">
        <f t="shared" si="12"/>
        <v/>
      </c>
      <c r="AL70" s="84" t="str">
        <f t="shared" si="12"/>
        <v/>
      </c>
      <c r="AM70" s="84" t="str">
        <f t="shared" si="10"/>
        <v/>
      </c>
      <c r="AN70" s="84" t="str">
        <f t="shared" si="10"/>
        <v/>
      </c>
      <c r="AO70" s="84" t="str">
        <f t="shared" si="10"/>
        <v/>
      </c>
      <c r="AP70" s="84" t="str">
        <f t="shared" si="10"/>
        <v/>
      </c>
      <c r="AQ70" s="84" t="str">
        <f t="shared" si="10"/>
        <v/>
      </c>
      <c r="AR70" s="84">
        <f t="shared" si="10"/>
        <v>8.1663257345476775E-2</v>
      </c>
      <c r="AT70" s="139">
        <f t="shared" si="13"/>
        <v>-1.0052303055817918E-2</v>
      </c>
      <c r="AU70" s="139">
        <f t="shared" si="13"/>
        <v>-6.7134790704330011E-3</v>
      </c>
      <c r="AV70" s="139" t="str">
        <f t="shared" si="13"/>
        <v/>
      </c>
      <c r="AW70" s="139" t="str">
        <f t="shared" si="13"/>
        <v/>
      </c>
      <c r="AX70" s="139" t="str">
        <f t="shared" si="13"/>
        <v/>
      </c>
      <c r="AY70" s="139" t="str">
        <f t="shared" si="11"/>
        <v/>
      </c>
      <c r="AZ70" s="139" t="str">
        <f t="shared" si="11"/>
        <v/>
      </c>
      <c r="BA70" s="139" t="str">
        <f t="shared" si="11"/>
        <v/>
      </c>
      <c r="BB70" s="139" t="str">
        <f t="shared" si="11"/>
        <v/>
      </c>
      <c r="BC70" s="139" t="str">
        <f t="shared" si="11"/>
        <v/>
      </c>
      <c r="BD70" s="139" t="str">
        <f t="shared" si="11"/>
        <v/>
      </c>
      <c r="BF70" s="82">
        <f t="shared" si="16"/>
        <v>9.8859130117039595E-4</v>
      </c>
      <c r="BG70" s="82">
        <f t="shared" ref="BG70:BG133" si="17">+BF70+BG69</f>
        <v>0.91083510461900963</v>
      </c>
    </row>
    <row r="71" spans="2:59" x14ac:dyDescent="0.3">
      <c r="B71" s="83" t="s">
        <v>153</v>
      </c>
      <c r="D71" s="137">
        <v>254131</v>
      </c>
      <c r="E71" s="137">
        <v>245277</v>
      </c>
      <c r="F71" s="137">
        <v>217724</v>
      </c>
      <c r="G71" s="137"/>
      <c r="H71" s="137"/>
      <c r="I71" s="137"/>
      <c r="J71" s="137"/>
      <c r="K71" s="137"/>
      <c r="L71" s="137"/>
      <c r="M71" s="137"/>
      <c r="N71" s="137"/>
      <c r="O71" s="137"/>
      <c r="P71" s="137">
        <f t="shared" si="14"/>
        <v>717132</v>
      </c>
      <c r="R71" s="137">
        <v>24240</v>
      </c>
      <c r="S71" s="137">
        <v>32995</v>
      </c>
      <c r="T71" s="137">
        <v>19530</v>
      </c>
      <c r="U71" s="137"/>
      <c r="V71" s="137"/>
      <c r="W71" s="137"/>
      <c r="X71" s="137"/>
      <c r="Y71" s="137"/>
      <c r="Z71" s="137"/>
      <c r="AA71" s="137"/>
      <c r="AB71" s="137"/>
      <c r="AC71" s="137"/>
      <c r="AD71" s="137">
        <f t="shared" si="15"/>
        <v>76765</v>
      </c>
      <c r="AF71" s="84">
        <f t="shared" si="12"/>
        <v>9.5383876819435651E-2</v>
      </c>
      <c r="AG71" s="84">
        <f t="shared" si="12"/>
        <v>0.1345213778707339</v>
      </c>
      <c r="AH71" s="84">
        <f t="shared" si="12"/>
        <v>8.9700722015028198E-2</v>
      </c>
      <c r="AI71" s="84" t="str">
        <f t="shared" si="12"/>
        <v/>
      </c>
      <c r="AJ71" s="84" t="str">
        <f t="shared" si="12"/>
        <v/>
      </c>
      <c r="AK71" s="84" t="str">
        <f t="shared" si="12"/>
        <v/>
      </c>
      <c r="AL71" s="84" t="str">
        <f t="shared" si="12"/>
        <v/>
      </c>
      <c r="AM71" s="84" t="str">
        <f t="shared" si="10"/>
        <v/>
      </c>
      <c r="AN71" s="84" t="str">
        <f t="shared" si="10"/>
        <v/>
      </c>
      <c r="AO71" s="84" t="str">
        <f t="shared" si="10"/>
        <v/>
      </c>
      <c r="AP71" s="84" t="str">
        <f t="shared" si="10"/>
        <v/>
      </c>
      <c r="AQ71" s="84" t="str">
        <f t="shared" si="10"/>
        <v/>
      </c>
      <c r="AR71" s="84">
        <f t="shared" si="10"/>
        <v>0.10704444927851497</v>
      </c>
      <c r="AT71" s="139">
        <f t="shared" si="13"/>
        <v>3.9137501051298249E-2</v>
      </c>
      <c r="AU71" s="139">
        <f t="shared" si="13"/>
        <v>-4.4820655855705702E-2</v>
      </c>
      <c r="AV71" s="139" t="str">
        <f t="shared" si="13"/>
        <v/>
      </c>
      <c r="AW71" s="139" t="str">
        <f t="shared" si="13"/>
        <v/>
      </c>
      <c r="AX71" s="139" t="str">
        <f t="shared" si="13"/>
        <v/>
      </c>
      <c r="AY71" s="139" t="str">
        <f t="shared" si="11"/>
        <v/>
      </c>
      <c r="AZ71" s="139" t="str">
        <f t="shared" si="11"/>
        <v/>
      </c>
      <c r="BA71" s="139" t="str">
        <f t="shared" si="11"/>
        <v/>
      </c>
      <c r="BB71" s="139" t="str">
        <f t="shared" si="11"/>
        <v/>
      </c>
      <c r="BC71" s="139" t="str">
        <f t="shared" si="11"/>
        <v/>
      </c>
      <c r="BD71" s="139" t="str">
        <f t="shared" si="11"/>
        <v/>
      </c>
      <c r="BF71" s="82">
        <f t="shared" si="16"/>
        <v>9.9271917141746777E-5</v>
      </c>
      <c r="BG71" s="82">
        <f t="shared" si="17"/>
        <v>0.91093437653615139</v>
      </c>
    </row>
    <row r="72" spans="2:59" x14ac:dyDescent="0.3">
      <c r="B72" s="83" t="s">
        <v>154</v>
      </c>
      <c r="D72" s="137">
        <v>891268</v>
      </c>
      <c r="E72" s="137">
        <v>962161</v>
      </c>
      <c r="F72" s="137">
        <v>999198</v>
      </c>
      <c r="G72" s="137"/>
      <c r="H72" s="137"/>
      <c r="I72" s="137"/>
      <c r="J72" s="137"/>
      <c r="K72" s="137"/>
      <c r="L72" s="137"/>
      <c r="M72" s="137"/>
      <c r="N72" s="137"/>
      <c r="O72" s="137"/>
      <c r="P72" s="137">
        <f t="shared" si="14"/>
        <v>2852627</v>
      </c>
      <c r="R72" s="137">
        <v>187719</v>
      </c>
      <c r="S72" s="137">
        <v>206023</v>
      </c>
      <c r="T72" s="137">
        <v>243264</v>
      </c>
      <c r="U72" s="137"/>
      <c r="V72" s="137"/>
      <c r="W72" s="137"/>
      <c r="X72" s="137"/>
      <c r="Y72" s="137"/>
      <c r="Z72" s="137"/>
      <c r="AA72" s="137"/>
      <c r="AB72" s="137"/>
      <c r="AC72" s="137"/>
      <c r="AD72" s="137">
        <f t="shared" si="15"/>
        <v>637006</v>
      </c>
      <c r="AF72" s="84">
        <f t="shared" si="12"/>
        <v>0.21062015016807514</v>
      </c>
      <c r="AG72" s="84">
        <f t="shared" si="12"/>
        <v>0.21412528672436318</v>
      </c>
      <c r="AH72" s="84">
        <f t="shared" si="12"/>
        <v>0.24345925432196622</v>
      </c>
      <c r="AI72" s="84" t="str">
        <f t="shared" si="12"/>
        <v/>
      </c>
      <c r="AJ72" s="84" t="str">
        <f t="shared" si="12"/>
        <v/>
      </c>
      <c r="AK72" s="84" t="str">
        <f t="shared" si="12"/>
        <v/>
      </c>
      <c r="AL72" s="84" t="str">
        <f t="shared" si="12"/>
        <v/>
      </c>
      <c r="AM72" s="84" t="str">
        <f t="shared" si="10"/>
        <v/>
      </c>
      <c r="AN72" s="84" t="str">
        <f t="shared" si="10"/>
        <v/>
      </c>
      <c r="AO72" s="84" t="str">
        <f t="shared" si="10"/>
        <v/>
      </c>
      <c r="AP72" s="84" t="str">
        <f t="shared" si="10"/>
        <v/>
      </c>
      <c r="AQ72" s="84" t="str">
        <f t="shared" si="10"/>
        <v/>
      </c>
      <c r="AR72" s="84">
        <f t="shared" si="10"/>
        <v>0.22330504478854052</v>
      </c>
      <c r="AT72" s="139">
        <f t="shared" si="13"/>
        <v>3.5051365562880354E-3</v>
      </c>
      <c r="AU72" s="139">
        <f t="shared" si="13"/>
        <v>2.9333967597603039E-2</v>
      </c>
      <c r="AV72" s="139" t="str">
        <f t="shared" si="13"/>
        <v/>
      </c>
      <c r="AW72" s="139" t="str">
        <f t="shared" si="13"/>
        <v/>
      </c>
      <c r="AX72" s="139" t="str">
        <f t="shared" si="13"/>
        <v/>
      </c>
      <c r="AY72" s="139" t="str">
        <f t="shared" si="11"/>
        <v/>
      </c>
      <c r="AZ72" s="139" t="str">
        <f t="shared" si="11"/>
        <v/>
      </c>
      <c r="BA72" s="139" t="str">
        <f t="shared" si="11"/>
        <v/>
      </c>
      <c r="BB72" s="139" t="str">
        <f t="shared" si="11"/>
        <v/>
      </c>
      <c r="BC72" s="139" t="str">
        <f t="shared" si="11"/>
        <v/>
      </c>
      <c r="BD72" s="139" t="str">
        <f t="shared" si="11"/>
        <v/>
      </c>
      <c r="BF72" s="82">
        <f t="shared" si="16"/>
        <v>8.2377133916232068E-4</v>
      </c>
      <c r="BG72" s="82">
        <f t="shared" si="17"/>
        <v>0.91175814787531373</v>
      </c>
    </row>
    <row r="73" spans="2:59" x14ac:dyDescent="0.3">
      <c r="B73" s="83" t="s">
        <v>155</v>
      </c>
      <c r="D73" s="137">
        <v>810970</v>
      </c>
      <c r="E73" s="137">
        <v>738078</v>
      </c>
      <c r="F73" s="137">
        <v>674109</v>
      </c>
      <c r="G73" s="137"/>
      <c r="H73" s="137"/>
      <c r="I73" s="137"/>
      <c r="J73" s="137"/>
      <c r="K73" s="137"/>
      <c r="L73" s="137"/>
      <c r="M73" s="137"/>
      <c r="N73" s="137"/>
      <c r="O73" s="137"/>
      <c r="P73" s="137">
        <f t="shared" si="14"/>
        <v>2223157</v>
      </c>
      <c r="R73" s="137">
        <v>129427</v>
      </c>
      <c r="S73" s="137">
        <v>134448</v>
      </c>
      <c r="T73" s="137">
        <v>104026</v>
      </c>
      <c r="U73" s="137"/>
      <c r="V73" s="137"/>
      <c r="W73" s="137"/>
      <c r="X73" s="137"/>
      <c r="Y73" s="137"/>
      <c r="Z73" s="137"/>
      <c r="AA73" s="137"/>
      <c r="AB73" s="137"/>
      <c r="AC73" s="137"/>
      <c r="AD73" s="137">
        <f t="shared" si="15"/>
        <v>367901</v>
      </c>
      <c r="AF73" s="84">
        <f t="shared" si="12"/>
        <v>0.15959529945620676</v>
      </c>
      <c r="AG73" s="84">
        <f t="shared" si="12"/>
        <v>0.18215960914700072</v>
      </c>
      <c r="AH73" s="84">
        <f t="shared" si="12"/>
        <v>0.15431629009551867</v>
      </c>
      <c r="AI73" s="84" t="str">
        <f t="shared" si="12"/>
        <v/>
      </c>
      <c r="AJ73" s="84" t="str">
        <f t="shared" si="12"/>
        <v/>
      </c>
      <c r="AK73" s="84" t="str">
        <f t="shared" si="12"/>
        <v/>
      </c>
      <c r="AL73" s="84" t="str">
        <f t="shared" si="12"/>
        <v/>
      </c>
      <c r="AM73" s="84" t="str">
        <f t="shared" si="10"/>
        <v/>
      </c>
      <c r="AN73" s="84" t="str">
        <f t="shared" si="10"/>
        <v/>
      </c>
      <c r="AO73" s="84" t="str">
        <f t="shared" si="10"/>
        <v/>
      </c>
      <c r="AP73" s="84" t="str">
        <f t="shared" si="10"/>
        <v/>
      </c>
      <c r="AQ73" s="84" t="str">
        <f t="shared" si="10"/>
        <v/>
      </c>
      <c r="AR73" s="84">
        <f t="shared" si="10"/>
        <v>0.16548583838208458</v>
      </c>
      <c r="AT73" s="139">
        <f t="shared" si="13"/>
        <v>2.2564309690793954E-2</v>
      </c>
      <c r="AU73" s="139">
        <f t="shared" si="13"/>
        <v>-2.7843319051482046E-2</v>
      </c>
      <c r="AV73" s="139" t="str">
        <f t="shared" si="13"/>
        <v/>
      </c>
      <c r="AW73" s="139" t="str">
        <f t="shared" si="13"/>
        <v/>
      </c>
      <c r="AX73" s="139" t="str">
        <f t="shared" si="13"/>
        <v/>
      </c>
      <c r="AY73" s="139" t="str">
        <f t="shared" si="11"/>
        <v/>
      </c>
      <c r="AZ73" s="139" t="str">
        <f t="shared" si="11"/>
        <v/>
      </c>
      <c r="BA73" s="139" t="str">
        <f t="shared" si="11"/>
        <v/>
      </c>
      <c r="BB73" s="139" t="str">
        <f t="shared" si="11"/>
        <v/>
      </c>
      <c r="BC73" s="139" t="str">
        <f t="shared" si="11"/>
        <v/>
      </c>
      <c r="BD73" s="139" t="str">
        <f t="shared" si="11"/>
        <v/>
      </c>
      <c r="BF73" s="82">
        <f t="shared" si="16"/>
        <v>4.7576678940097414E-4</v>
      </c>
      <c r="BG73" s="82">
        <f t="shared" si="17"/>
        <v>0.91223391466471471</v>
      </c>
    </row>
    <row r="74" spans="2:59" x14ac:dyDescent="0.3">
      <c r="B74" s="83" t="s">
        <v>156</v>
      </c>
      <c r="D74" s="137">
        <v>6154417</v>
      </c>
      <c r="E74" s="137">
        <v>5435931</v>
      </c>
      <c r="F74" s="137">
        <v>4625153</v>
      </c>
      <c r="G74" s="137"/>
      <c r="H74" s="137"/>
      <c r="I74" s="137"/>
      <c r="J74" s="137"/>
      <c r="K74" s="137"/>
      <c r="L74" s="137"/>
      <c r="M74" s="137"/>
      <c r="N74" s="137"/>
      <c r="O74" s="137"/>
      <c r="P74" s="137">
        <f t="shared" si="14"/>
        <v>16215501</v>
      </c>
      <c r="R74" s="137">
        <v>1153233</v>
      </c>
      <c r="S74" s="137">
        <v>1016190</v>
      </c>
      <c r="T74" s="137">
        <v>828433</v>
      </c>
      <c r="U74" s="137"/>
      <c r="V74" s="137"/>
      <c r="W74" s="137"/>
      <c r="X74" s="137"/>
      <c r="Y74" s="137"/>
      <c r="Z74" s="137"/>
      <c r="AA74" s="137"/>
      <c r="AB74" s="137"/>
      <c r="AC74" s="137"/>
      <c r="AD74" s="137">
        <f t="shared" si="15"/>
        <v>2997856</v>
      </c>
      <c r="AF74" s="84">
        <f t="shared" si="12"/>
        <v>0.18738298038628193</v>
      </c>
      <c r="AG74" s="84">
        <f t="shared" si="12"/>
        <v>0.18693945894456718</v>
      </c>
      <c r="AH74" s="84">
        <f t="shared" si="12"/>
        <v>0.17911472333996303</v>
      </c>
      <c r="AI74" s="84" t="str">
        <f t="shared" si="12"/>
        <v/>
      </c>
      <c r="AJ74" s="84" t="str">
        <f t="shared" si="12"/>
        <v/>
      </c>
      <c r="AK74" s="84" t="str">
        <f t="shared" si="12"/>
        <v/>
      </c>
      <c r="AL74" s="84" t="str">
        <f t="shared" si="12"/>
        <v/>
      </c>
      <c r="AM74" s="84" t="str">
        <f t="shared" si="10"/>
        <v/>
      </c>
      <c r="AN74" s="84" t="str">
        <f t="shared" si="10"/>
        <v/>
      </c>
      <c r="AO74" s="84" t="str">
        <f t="shared" si="10"/>
        <v/>
      </c>
      <c r="AP74" s="84" t="str">
        <f t="shared" si="10"/>
        <v/>
      </c>
      <c r="AQ74" s="84" t="str">
        <f t="shared" si="10"/>
        <v/>
      </c>
      <c r="AR74" s="84">
        <f t="shared" si="10"/>
        <v>0.18487594062002771</v>
      </c>
      <c r="AT74" s="139">
        <f t="shared" si="13"/>
        <v>-4.4352144171475039E-4</v>
      </c>
      <c r="AU74" s="139">
        <f t="shared" si="13"/>
        <v>-7.8247356046041439E-3</v>
      </c>
      <c r="AV74" s="139" t="str">
        <f t="shared" si="13"/>
        <v/>
      </c>
      <c r="AW74" s="139" t="str">
        <f t="shared" si="13"/>
        <v/>
      </c>
      <c r="AX74" s="139" t="str">
        <f t="shared" si="13"/>
        <v/>
      </c>
      <c r="AY74" s="139" t="str">
        <f t="shared" si="11"/>
        <v/>
      </c>
      <c r="AZ74" s="139" t="str">
        <f t="shared" si="11"/>
        <v/>
      </c>
      <c r="BA74" s="139" t="str">
        <f t="shared" si="11"/>
        <v/>
      </c>
      <c r="BB74" s="139" t="str">
        <f t="shared" si="11"/>
        <v/>
      </c>
      <c r="BC74" s="139" t="str">
        <f t="shared" si="11"/>
        <v/>
      </c>
      <c r="BD74" s="139" t="str">
        <f t="shared" si="11"/>
        <v/>
      </c>
      <c r="BF74" s="82">
        <f t="shared" si="16"/>
        <v>3.8768046953023957E-3</v>
      </c>
      <c r="BG74" s="82">
        <f t="shared" si="17"/>
        <v>0.91611071936001709</v>
      </c>
    </row>
    <row r="75" spans="2:59" x14ac:dyDescent="0.3">
      <c r="B75" s="83" t="s">
        <v>157</v>
      </c>
      <c r="D75" s="137">
        <v>487209</v>
      </c>
      <c r="E75" s="137">
        <v>495917</v>
      </c>
      <c r="F75" s="137">
        <v>526108</v>
      </c>
      <c r="G75" s="137"/>
      <c r="H75" s="137"/>
      <c r="I75" s="137"/>
      <c r="J75" s="137"/>
      <c r="K75" s="137"/>
      <c r="L75" s="137"/>
      <c r="M75" s="137"/>
      <c r="N75" s="137"/>
      <c r="O75" s="137"/>
      <c r="P75" s="137">
        <f t="shared" si="14"/>
        <v>1509234</v>
      </c>
      <c r="R75" s="137">
        <v>89271</v>
      </c>
      <c r="S75" s="137">
        <v>58232</v>
      </c>
      <c r="T75" s="137">
        <v>74012</v>
      </c>
      <c r="U75" s="137"/>
      <c r="V75" s="137"/>
      <c r="W75" s="137"/>
      <c r="X75" s="137"/>
      <c r="Y75" s="137"/>
      <c r="Z75" s="137"/>
      <c r="AA75" s="137"/>
      <c r="AB75" s="137"/>
      <c r="AC75" s="137"/>
      <c r="AD75" s="137">
        <f t="shared" si="15"/>
        <v>221515</v>
      </c>
      <c r="AF75" s="84">
        <f t="shared" si="12"/>
        <v>0.18322937384161622</v>
      </c>
      <c r="AG75" s="84">
        <f t="shared" si="12"/>
        <v>0.11742287519887401</v>
      </c>
      <c r="AH75" s="84">
        <f t="shared" si="12"/>
        <v>0.14067833980855643</v>
      </c>
      <c r="AI75" s="84" t="str">
        <f t="shared" si="12"/>
        <v/>
      </c>
      <c r="AJ75" s="84" t="str">
        <f t="shared" si="12"/>
        <v/>
      </c>
      <c r="AK75" s="84" t="str">
        <f t="shared" si="12"/>
        <v/>
      </c>
      <c r="AL75" s="84" t="str">
        <f t="shared" si="12"/>
        <v/>
      </c>
      <c r="AM75" s="84" t="str">
        <f t="shared" si="10"/>
        <v/>
      </c>
      <c r="AN75" s="84" t="str">
        <f t="shared" si="10"/>
        <v/>
      </c>
      <c r="AO75" s="84" t="str">
        <f t="shared" si="10"/>
        <v/>
      </c>
      <c r="AP75" s="84" t="str">
        <f t="shared" si="10"/>
        <v/>
      </c>
      <c r="AQ75" s="84" t="str">
        <f t="shared" si="10"/>
        <v/>
      </c>
      <c r="AR75" s="84">
        <f t="shared" si="10"/>
        <v>0.14677313127056507</v>
      </c>
      <c r="AT75" s="139">
        <f t="shared" si="13"/>
        <v>-6.5806498642742212E-2</v>
      </c>
      <c r="AU75" s="139">
        <f t="shared" si="13"/>
        <v>2.3255464609682419E-2</v>
      </c>
      <c r="AV75" s="139" t="str">
        <f t="shared" si="13"/>
        <v/>
      </c>
      <c r="AW75" s="139" t="str">
        <f t="shared" si="13"/>
        <v/>
      </c>
      <c r="AX75" s="139" t="str">
        <f t="shared" si="13"/>
        <v/>
      </c>
      <c r="AY75" s="139" t="str">
        <f t="shared" si="11"/>
        <v/>
      </c>
      <c r="AZ75" s="139" t="str">
        <f t="shared" si="11"/>
        <v/>
      </c>
      <c r="BA75" s="139" t="str">
        <f t="shared" si="11"/>
        <v/>
      </c>
      <c r="BB75" s="139" t="str">
        <f t="shared" si="11"/>
        <v/>
      </c>
      <c r="BC75" s="139" t="str">
        <f t="shared" si="11"/>
        <v/>
      </c>
      <c r="BD75" s="139" t="str">
        <f t="shared" si="11"/>
        <v/>
      </c>
      <c r="BF75" s="82">
        <f t="shared" si="16"/>
        <v>2.8646152186092666E-4</v>
      </c>
      <c r="BG75" s="82">
        <f t="shared" si="17"/>
        <v>0.91639718088187805</v>
      </c>
    </row>
    <row r="76" spans="2:59" x14ac:dyDescent="0.3">
      <c r="B76" s="83" t="s">
        <v>158</v>
      </c>
      <c r="D76" s="137">
        <v>2067583</v>
      </c>
      <c r="E76" s="137">
        <v>2237154</v>
      </c>
      <c r="F76" s="137">
        <v>2187417</v>
      </c>
      <c r="G76" s="137"/>
      <c r="H76" s="137"/>
      <c r="I76" s="137"/>
      <c r="J76" s="137"/>
      <c r="K76" s="137"/>
      <c r="L76" s="137"/>
      <c r="M76" s="137"/>
      <c r="N76" s="137"/>
      <c r="O76" s="137"/>
      <c r="P76" s="137">
        <f t="shared" si="14"/>
        <v>6492154</v>
      </c>
      <c r="R76" s="137">
        <v>440597</v>
      </c>
      <c r="S76" s="137">
        <v>443851</v>
      </c>
      <c r="T76" s="137">
        <v>429691</v>
      </c>
      <c r="U76" s="137"/>
      <c r="V76" s="137"/>
      <c r="W76" s="137"/>
      <c r="X76" s="137"/>
      <c r="Y76" s="137"/>
      <c r="Z76" s="137"/>
      <c r="AA76" s="137"/>
      <c r="AB76" s="137"/>
      <c r="AC76" s="137"/>
      <c r="AD76" s="137">
        <f t="shared" si="15"/>
        <v>1314139</v>
      </c>
      <c r="AF76" s="84">
        <f t="shared" si="12"/>
        <v>0.21309761204266045</v>
      </c>
      <c r="AG76" s="84">
        <f t="shared" si="12"/>
        <v>0.19839984194203886</v>
      </c>
      <c r="AH76" s="84">
        <f t="shared" si="12"/>
        <v>0.19643762483330796</v>
      </c>
      <c r="AI76" s="84" t="str">
        <f t="shared" si="12"/>
        <v/>
      </c>
      <c r="AJ76" s="84" t="str">
        <f t="shared" si="12"/>
        <v/>
      </c>
      <c r="AK76" s="84" t="str">
        <f t="shared" si="12"/>
        <v/>
      </c>
      <c r="AL76" s="84" t="str">
        <f t="shared" si="12"/>
        <v/>
      </c>
      <c r="AM76" s="84" t="str">
        <f t="shared" si="10"/>
        <v/>
      </c>
      <c r="AN76" s="84" t="str">
        <f t="shared" si="10"/>
        <v/>
      </c>
      <c r="AO76" s="84" t="str">
        <f t="shared" si="10"/>
        <v/>
      </c>
      <c r="AP76" s="84" t="str">
        <f t="shared" si="10"/>
        <v/>
      </c>
      <c r="AQ76" s="84" t="str">
        <f t="shared" si="10"/>
        <v/>
      </c>
      <c r="AR76" s="84">
        <f t="shared" si="10"/>
        <v>0.20241956675704242</v>
      </c>
      <c r="AT76" s="139">
        <f t="shared" si="13"/>
        <v>-1.4697770100621593E-2</v>
      </c>
      <c r="AU76" s="139">
        <f t="shared" si="13"/>
        <v>-1.9622171087309015E-3</v>
      </c>
      <c r="AV76" s="139" t="str">
        <f t="shared" si="13"/>
        <v/>
      </c>
      <c r="AW76" s="139" t="str">
        <f t="shared" si="13"/>
        <v/>
      </c>
      <c r="AX76" s="139" t="str">
        <f t="shared" si="13"/>
        <v/>
      </c>
      <c r="AY76" s="139" t="str">
        <f t="shared" si="11"/>
        <v/>
      </c>
      <c r="AZ76" s="139" t="str">
        <f t="shared" si="11"/>
        <v/>
      </c>
      <c r="BA76" s="139" t="str">
        <f t="shared" si="11"/>
        <v/>
      </c>
      <c r="BB76" s="139" t="str">
        <f t="shared" si="11"/>
        <v/>
      </c>
      <c r="BC76" s="139" t="str">
        <f t="shared" si="11"/>
        <v/>
      </c>
      <c r="BD76" s="139" t="str">
        <f t="shared" si="11"/>
        <v/>
      </c>
      <c r="BF76" s="82">
        <f t="shared" si="16"/>
        <v>1.6994346110953944E-3</v>
      </c>
      <c r="BG76" s="82">
        <f t="shared" si="17"/>
        <v>0.91809661549297339</v>
      </c>
    </row>
    <row r="77" spans="2:59" x14ac:dyDescent="0.3">
      <c r="B77" s="83" t="s">
        <v>159</v>
      </c>
      <c r="D77" s="137">
        <v>779639</v>
      </c>
      <c r="E77" s="137">
        <v>705288</v>
      </c>
      <c r="F77" s="137">
        <v>653080</v>
      </c>
      <c r="G77" s="137"/>
      <c r="H77" s="137"/>
      <c r="I77" s="137"/>
      <c r="J77" s="137"/>
      <c r="K77" s="137"/>
      <c r="L77" s="137"/>
      <c r="M77" s="137"/>
      <c r="N77" s="137"/>
      <c r="O77" s="137"/>
      <c r="P77" s="137">
        <f t="shared" si="14"/>
        <v>2138007</v>
      </c>
      <c r="R77" s="137">
        <v>128285</v>
      </c>
      <c r="S77" s="137">
        <v>112151</v>
      </c>
      <c r="T77" s="137">
        <v>98920</v>
      </c>
      <c r="U77" s="137"/>
      <c r="V77" s="137"/>
      <c r="W77" s="137"/>
      <c r="X77" s="137"/>
      <c r="Y77" s="137"/>
      <c r="Z77" s="137"/>
      <c r="AA77" s="137"/>
      <c r="AB77" s="137"/>
      <c r="AC77" s="137"/>
      <c r="AD77" s="137">
        <f t="shared" si="15"/>
        <v>339356</v>
      </c>
      <c r="AF77" s="84">
        <f t="shared" si="12"/>
        <v>0.16454410310412895</v>
      </c>
      <c r="AG77" s="84">
        <f t="shared" si="12"/>
        <v>0.1590144735200372</v>
      </c>
      <c r="AH77" s="84">
        <f t="shared" si="12"/>
        <v>0.15146689532675936</v>
      </c>
      <c r="AI77" s="84" t="str">
        <f t="shared" si="12"/>
        <v/>
      </c>
      <c r="AJ77" s="84" t="str">
        <f t="shared" si="12"/>
        <v/>
      </c>
      <c r="AK77" s="84" t="str">
        <f t="shared" si="12"/>
        <v/>
      </c>
      <c r="AL77" s="84" t="str">
        <f t="shared" si="12"/>
        <v/>
      </c>
      <c r="AM77" s="84" t="str">
        <f t="shared" si="10"/>
        <v/>
      </c>
      <c r="AN77" s="84" t="str">
        <f t="shared" si="10"/>
        <v/>
      </c>
      <c r="AO77" s="84" t="str">
        <f t="shared" si="10"/>
        <v/>
      </c>
      <c r="AP77" s="84" t="str">
        <f t="shared" si="10"/>
        <v/>
      </c>
      <c r="AQ77" s="84" t="str">
        <f t="shared" si="10"/>
        <v/>
      </c>
      <c r="AR77" s="84">
        <f t="shared" si="10"/>
        <v>0.15872539238646086</v>
      </c>
      <c r="AT77" s="139">
        <f t="shared" si="13"/>
        <v>-5.5296295840917553E-3</v>
      </c>
      <c r="AU77" s="139">
        <f t="shared" si="13"/>
        <v>-7.5475781932778374E-3</v>
      </c>
      <c r="AV77" s="139" t="str">
        <f t="shared" si="13"/>
        <v/>
      </c>
      <c r="AW77" s="139" t="str">
        <f t="shared" si="13"/>
        <v/>
      </c>
      <c r="AX77" s="139" t="str">
        <f t="shared" si="13"/>
        <v/>
      </c>
      <c r="AY77" s="139" t="str">
        <f t="shared" si="11"/>
        <v/>
      </c>
      <c r="AZ77" s="139" t="str">
        <f t="shared" si="11"/>
        <v/>
      </c>
      <c r="BA77" s="139" t="str">
        <f t="shared" si="11"/>
        <v/>
      </c>
      <c r="BB77" s="139" t="str">
        <f t="shared" si="11"/>
        <v/>
      </c>
      <c r="BC77" s="139" t="str">
        <f t="shared" si="11"/>
        <v/>
      </c>
      <c r="BD77" s="139" t="str">
        <f t="shared" si="11"/>
        <v/>
      </c>
      <c r="BF77" s="82">
        <f t="shared" si="16"/>
        <v>4.3885261139262185E-4</v>
      </c>
      <c r="BG77" s="82">
        <f t="shared" si="17"/>
        <v>0.91853546810436604</v>
      </c>
    </row>
    <row r="78" spans="2:59" x14ac:dyDescent="0.3">
      <c r="B78" s="83" t="s">
        <v>160</v>
      </c>
      <c r="D78" s="137">
        <v>16475560</v>
      </c>
      <c r="E78" s="137">
        <v>26398296</v>
      </c>
      <c r="F78" s="137">
        <v>27495298</v>
      </c>
      <c r="G78" s="137"/>
      <c r="H78" s="137"/>
      <c r="I78" s="137"/>
      <c r="J78" s="137"/>
      <c r="K78" s="137"/>
      <c r="L78" s="137"/>
      <c r="M78" s="137"/>
      <c r="N78" s="137"/>
      <c r="O78" s="137"/>
      <c r="P78" s="137">
        <f t="shared" si="14"/>
        <v>70369154</v>
      </c>
      <c r="R78" s="137">
        <v>2735756</v>
      </c>
      <c r="S78" s="137">
        <v>4222723</v>
      </c>
      <c r="T78" s="137">
        <v>4303931</v>
      </c>
      <c r="U78" s="137"/>
      <c r="V78" s="137"/>
      <c r="W78" s="137"/>
      <c r="X78" s="137"/>
      <c r="Y78" s="137"/>
      <c r="Z78" s="137"/>
      <c r="AA78" s="137"/>
      <c r="AB78" s="137"/>
      <c r="AC78" s="137"/>
      <c r="AD78" s="137">
        <f t="shared" si="15"/>
        <v>11262410</v>
      </c>
      <c r="AF78" s="84">
        <f t="shared" si="12"/>
        <v>0.16604934824673637</v>
      </c>
      <c r="AG78" s="84">
        <f t="shared" si="12"/>
        <v>0.15996195360488419</v>
      </c>
      <c r="AH78" s="84">
        <f t="shared" si="12"/>
        <v>0.15653334617431677</v>
      </c>
      <c r="AI78" s="84" t="str">
        <f t="shared" si="12"/>
        <v/>
      </c>
      <c r="AJ78" s="84" t="str">
        <f t="shared" si="12"/>
        <v/>
      </c>
      <c r="AK78" s="84" t="str">
        <f t="shared" si="12"/>
        <v/>
      </c>
      <c r="AL78" s="84" t="str">
        <f t="shared" si="12"/>
        <v/>
      </c>
      <c r="AM78" s="84" t="str">
        <f t="shared" si="10"/>
        <v/>
      </c>
      <c r="AN78" s="84" t="str">
        <f t="shared" si="10"/>
        <v/>
      </c>
      <c r="AO78" s="84" t="str">
        <f t="shared" si="10"/>
        <v/>
      </c>
      <c r="AP78" s="84" t="str">
        <f t="shared" si="10"/>
        <v/>
      </c>
      <c r="AQ78" s="84" t="str">
        <f t="shared" si="10"/>
        <v/>
      </c>
      <c r="AR78" s="84">
        <f t="shared" si="10"/>
        <v>0.16004754014805975</v>
      </c>
      <c r="AT78" s="139">
        <f t="shared" si="13"/>
        <v>-6.0873946418521785E-3</v>
      </c>
      <c r="AU78" s="139">
        <f t="shared" si="13"/>
        <v>-3.4286074305674152E-3</v>
      </c>
      <c r="AV78" s="139" t="str">
        <f t="shared" si="13"/>
        <v/>
      </c>
      <c r="AW78" s="139" t="str">
        <f t="shared" si="13"/>
        <v/>
      </c>
      <c r="AX78" s="139" t="str">
        <f t="shared" si="13"/>
        <v/>
      </c>
      <c r="AY78" s="139" t="str">
        <f t="shared" si="11"/>
        <v/>
      </c>
      <c r="AZ78" s="139" t="str">
        <f t="shared" si="11"/>
        <v/>
      </c>
      <c r="BA78" s="139" t="str">
        <f t="shared" si="11"/>
        <v/>
      </c>
      <c r="BB78" s="139" t="str">
        <f t="shared" si="11"/>
        <v/>
      </c>
      <c r="BC78" s="139" t="str">
        <f t="shared" si="11"/>
        <v/>
      </c>
      <c r="BD78" s="139" t="str">
        <f t="shared" si="11"/>
        <v/>
      </c>
      <c r="BF78" s="82">
        <f t="shared" si="16"/>
        <v>1.4564463392644828E-2</v>
      </c>
      <c r="BG78" s="82">
        <f t="shared" si="17"/>
        <v>0.93309993149701087</v>
      </c>
    </row>
    <row r="79" spans="2:59" x14ac:dyDescent="0.3">
      <c r="B79" s="83" t="s">
        <v>161</v>
      </c>
      <c r="D79" s="137">
        <v>3722341</v>
      </c>
      <c r="E79" s="137">
        <v>4126552</v>
      </c>
      <c r="F79" s="137">
        <v>5140497</v>
      </c>
      <c r="G79" s="137"/>
      <c r="H79" s="137"/>
      <c r="I79" s="137"/>
      <c r="J79" s="137"/>
      <c r="K79" s="137"/>
      <c r="L79" s="137"/>
      <c r="M79" s="137"/>
      <c r="N79" s="137"/>
      <c r="O79" s="137"/>
      <c r="P79" s="137">
        <f t="shared" si="14"/>
        <v>12989390</v>
      </c>
      <c r="R79" s="137">
        <v>555940</v>
      </c>
      <c r="S79" s="137">
        <v>638583</v>
      </c>
      <c r="T79" s="137">
        <v>727484</v>
      </c>
      <c r="U79" s="137"/>
      <c r="V79" s="137"/>
      <c r="W79" s="137"/>
      <c r="X79" s="137"/>
      <c r="Y79" s="137"/>
      <c r="Z79" s="137"/>
      <c r="AA79" s="137"/>
      <c r="AB79" s="137"/>
      <c r="AC79" s="137"/>
      <c r="AD79" s="137">
        <f t="shared" si="15"/>
        <v>1922007</v>
      </c>
      <c r="AF79" s="84">
        <f t="shared" si="12"/>
        <v>0.14935224902823249</v>
      </c>
      <c r="AG79" s="84">
        <f t="shared" si="12"/>
        <v>0.15474977656891273</v>
      </c>
      <c r="AH79" s="84">
        <f t="shared" si="12"/>
        <v>0.14152016818607227</v>
      </c>
      <c r="AI79" s="84" t="str">
        <f t="shared" si="12"/>
        <v/>
      </c>
      <c r="AJ79" s="84" t="str">
        <f t="shared" si="12"/>
        <v/>
      </c>
      <c r="AK79" s="84" t="str">
        <f t="shared" si="12"/>
        <v/>
      </c>
      <c r="AL79" s="84" t="str">
        <f t="shared" si="12"/>
        <v/>
      </c>
      <c r="AM79" s="84" t="str">
        <f t="shared" si="10"/>
        <v/>
      </c>
      <c r="AN79" s="84" t="str">
        <f t="shared" si="10"/>
        <v/>
      </c>
      <c r="AO79" s="84" t="str">
        <f t="shared" si="10"/>
        <v/>
      </c>
      <c r="AP79" s="84" t="str">
        <f t="shared" si="10"/>
        <v/>
      </c>
      <c r="AQ79" s="84" t="str">
        <f t="shared" si="10"/>
        <v/>
      </c>
      <c r="AR79" s="84">
        <f t="shared" si="10"/>
        <v>0.14796745651643381</v>
      </c>
      <c r="AT79" s="139">
        <f t="shared" si="13"/>
        <v>5.3975275406802359E-3</v>
      </c>
      <c r="AU79" s="139">
        <f t="shared" si="13"/>
        <v>-1.3229608382840458E-2</v>
      </c>
      <c r="AV79" s="139" t="str">
        <f t="shared" si="13"/>
        <v/>
      </c>
      <c r="AW79" s="139" t="str">
        <f t="shared" si="13"/>
        <v/>
      </c>
      <c r="AX79" s="139" t="str">
        <f t="shared" si="13"/>
        <v/>
      </c>
      <c r="AY79" s="139" t="str">
        <f t="shared" si="11"/>
        <v/>
      </c>
      <c r="AZ79" s="139" t="str">
        <f t="shared" si="11"/>
        <v/>
      </c>
      <c r="BA79" s="139" t="str">
        <f t="shared" si="11"/>
        <v/>
      </c>
      <c r="BB79" s="139" t="str">
        <f t="shared" si="11"/>
        <v/>
      </c>
      <c r="BC79" s="139" t="str">
        <f t="shared" si="11"/>
        <v/>
      </c>
      <c r="BD79" s="139" t="str">
        <f t="shared" si="11"/>
        <v/>
      </c>
      <c r="BF79" s="82">
        <f t="shared" si="16"/>
        <v>2.48552490913642E-3</v>
      </c>
      <c r="BG79" s="82">
        <f t="shared" si="17"/>
        <v>0.93558545640614732</v>
      </c>
    </row>
    <row r="80" spans="2:59" x14ac:dyDescent="0.3">
      <c r="B80" s="83" t="s">
        <v>162</v>
      </c>
      <c r="D80" s="137">
        <v>788872</v>
      </c>
      <c r="E80" s="137">
        <v>724715</v>
      </c>
      <c r="F80" s="137">
        <v>656017</v>
      </c>
      <c r="G80" s="137"/>
      <c r="H80" s="137"/>
      <c r="I80" s="137"/>
      <c r="J80" s="137"/>
      <c r="K80" s="137"/>
      <c r="L80" s="137"/>
      <c r="M80" s="137"/>
      <c r="N80" s="137"/>
      <c r="O80" s="137"/>
      <c r="P80" s="137">
        <f t="shared" si="14"/>
        <v>2169604</v>
      </c>
      <c r="R80" s="137">
        <v>124859</v>
      </c>
      <c r="S80" s="137">
        <v>121443</v>
      </c>
      <c r="T80" s="137">
        <v>135698</v>
      </c>
      <c r="U80" s="137"/>
      <c r="V80" s="137"/>
      <c r="W80" s="137"/>
      <c r="X80" s="137"/>
      <c r="Y80" s="137"/>
      <c r="Z80" s="137"/>
      <c r="AA80" s="137"/>
      <c r="AB80" s="137"/>
      <c r="AC80" s="137"/>
      <c r="AD80" s="137">
        <f t="shared" si="15"/>
        <v>382000</v>
      </c>
      <c r="AF80" s="84">
        <f t="shared" si="12"/>
        <v>0.15827536026123376</v>
      </c>
      <c r="AG80" s="84">
        <f t="shared" si="12"/>
        <v>0.1675734599118274</v>
      </c>
      <c r="AH80" s="84">
        <f t="shared" si="12"/>
        <v>0.20685134684009712</v>
      </c>
      <c r="AI80" s="84" t="str">
        <f t="shared" si="12"/>
        <v/>
      </c>
      <c r="AJ80" s="84" t="str">
        <f t="shared" si="12"/>
        <v/>
      </c>
      <c r="AK80" s="84" t="str">
        <f t="shared" si="12"/>
        <v/>
      </c>
      <c r="AL80" s="84" t="str">
        <f t="shared" si="12"/>
        <v/>
      </c>
      <c r="AM80" s="84" t="str">
        <f t="shared" si="10"/>
        <v/>
      </c>
      <c r="AN80" s="84" t="str">
        <f t="shared" si="10"/>
        <v/>
      </c>
      <c r="AO80" s="84" t="str">
        <f t="shared" si="10"/>
        <v/>
      </c>
      <c r="AP80" s="84" t="str">
        <f t="shared" si="10"/>
        <v/>
      </c>
      <c r="AQ80" s="84" t="str">
        <f t="shared" si="10"/>
        <v/>
      </c>
      <c r="AR80" s="84">
        <f t="shared" si="10"/>
        <v>0.17606899692294078</v>
      </c>
      <c r="AT80" s="139">
        <f t="shared" si="13"/>
        <v>9.2980996505936386E-3</v>
      </c>
      <c r="AU80" s="139">
        <f t="shared" si="13"/>
        <v>3.9277886928269723E-2</v>
      </c>
      <c r="AV80" s="139" t="str">
        <f t="shared" si="13"/>
        <v/>
      </c>
      <c r="AW80" s="139" t="str">
        <f t="shared" si="13"/>
        <v/>
      </c>
      <c r="AX80" s="139" t="str">
        <f t="shared" si="13"/>
        <v/>
      </c>
      <c r="AY80" s="139" t="str">
        <f t="shared" si="11"/>
        <v/>
      </c>
      <c r="AZ80" s="139" t="str">
        <f t="shared" si="11"/>
        <v/>
      </c>
      <c r="BA80" s="139" t="str">
        <f t="shared" si="11"/>
        <v/>
      </c>
      <c r="BB80" s="139" t="str">
        <f t="shared" si="11"/>
        <v/>
      </c>
      <c r="BC80" s="139" t="str">
        <f t="shared" si="11"/>
        <v/>
      </c>
      <c r="BD80" s="139" t="str">
        <f t="shared" si="11"/>
        <v/>
      </c>
      <c r="BF80" s="82">
        <f t="shared" si="16"/>
        <v>4.9399950951797388E-4</v>
      </c>
      <c r="BG80" s="82">
        <f t="shared" si="17"/>
        <v>0.93607945591566533</v>
      </c>
    </row>
    <row r="81" spans="2:59" x14ac:dyDescent="0.3">
      <c r="B81" s="83" t="s">
        <v>163</v>
      </c>
      <c r="D81" s="137">
        <v>725914</v>
      </c>
      <c r="E81" s="137">
        <v>754466</v>
      </c>
      <c r="F81" s="137">
        <v>703703</v>
      </c>
      <c r="G81" s="137"/>
      <c r="H81" s="137"/>
      <c r="I81" s="137"/>
      <c r="J81" s="137"/>
      <c r="K81" s="137"/>
      <c r="L81" s="137"/>
      <c r="M81" s="137"/>
      <c r="N81" s="137"/>
      <c r="O81" s="137"/>
      <c r="P81" s="137">
        <f t="shared" si="14"/>
        <v>2184083</v>
      </c>
      <c r="R81" s="137">
        <v>184233</v>
      </c>
      <c r="S81" s="137">
        <v>181607</v>
      </c>
      <c r="T81" s="137">
        <v>149645</v>
      </c>
      <c r="U81" s="137"/>
      <c r="V81" s="137"/>
      <c r="W81" s="137"/>
      <c r="X81" s="137"/>
      <c r="Y81" s="137"/>
      <c r="Z81" s="137"/>
      <c r="AA81" s="137"/>
      <c r="AB81" s="137"/>
      <c r="AC81" s="137"/>
      <c r="AD81" s="137">
        <f t="shared" si="15"/>
        <v>515485</v>
      </c>
      <c r="AF81" s="84">
        <f t="shared" si="12"/>
        <v>0.25379452662436597</v>
      </c>
      <c r="AG81" s="84">
        <f t="shared" si="12"/>
        <v>0.24070932288532551</v>
      </c>
      <c r="AH81" s="84">
        <f t="shared" si="12"/>
        <v>0.21265363370626528</v>
      </c>
      <c r="AI81" s="84" t="str">
        <f t="shared" si="12"/>
        <v/>
      </c>
      <c r="AJ81" s="84" t="str">
        <f t="shared" si="12"/>
        <v/>
      </c>
      <c r="AK81" s="84" t="str">
        <f t="shared" si="12"/>
        <v/>
      </c>
      <c r="AL81" s="84" t="str">
        <f t="shared" si="12"/>
        <v/>
      </c>
      <c r="AM81" s="84" t="str">
        <f t="shared" si="10"/>
        <v/>
      </c>
      <c r="AN81" s="84" t="str">
        <f t="shared" si="10"/>
        <v/>
      </c>
      <c r="AO81" s="84" t="str">
        <f t="shared" si="10"/>
        <v/>
      </c>
      <c r="AP81" s="84" t="str">
        <f t="shared" si="10"/>
        <v/>
      </c>
      <c r="AQ81" s="84" t="str">
        <f t="shared" si="10"/>
        <v/>
      </c>
      <c r="AR81" s="84">
        <f t="shared" si="10"/>
        <v>0.23601896081788101</v>
      </c>
      <c r="AT81" s="139">
        <f t="shared" si="13"/>
        <v>-1.3085203739040457E-2</v>
      </c>
      <c r="AU81" s="139">
        <f t="shared" si="13"/>
        <v>-2.8055689179060234E-2</v>
      </c>
      <c r="AV81" s="139" t="str">
        <f t="shared" si="13"/>
        <v/>
      </c>
      <c r="AW81" s="139" t="str">
        <f t="shared" si="13"/>
        <v/>
      </c>
      <c r="AX81" s="139" t="str">
        <f t="shared" si="13"/>
        <v/>
      </c>
      <c r="AY81" s="139" t="str">
        <f t="shared" si="11"/>
        <v/>
      </c>
      <c r="AZ81" s="139" t="str">
        <f t="shared" si="11"/>
        <v/>
      </c>
      <c r="BA81" s="139" t="str">
        <f t="shared" si="11"/>
        <v/>
      </c>
      <c r="BB81" s="139" t="str">
        <f t="shared" si="11"/>
        <v/>
      </c>
      <c r="BC81" s="139" t="str">
        <f t="shared" si="11"/>
        <v/>
      </c>
      <c r="BD81" s="139" t="str">
        <f t="shared" si="11"/>
        <v/>
      </c>
      <c r="BF81" s="82">
        <f t="shared" si="16"/>
        <v>6.6662130147610672E-4</v>
      </c>
      <c r="BG81" s="82">
        <f t="shared" si="17"/>
        <v>0.93674607721714143</v>
      </c>
    </row>
    <row r="82" spans="2:59" x14ac:dyDescent="0.3">
      <c r="B82" s="83" t="s">
        <v>164</v>
      </c>
      <c r="D82" s="137">
        <v>1102048</v>
      </c>
      <c r="E82" s="137">
        <v>983588</v>
      </c>
      <c r="F82" s="137">
        <v>897823</v>
      </c>
      <c r="G82" s="137"/>
      <c r="H82" s="137"/>
      <c r="I82" s="137"/>
      <c r="J82" s="137"/>
      <c r="K82" s="137"/>
      <c r="L82" s="137"/>
      <c r="M82" s="137"/>
      <c r="N82" s="137"/>
      <c r="O82" s="137"/>
      <c r="P82" s="137">
        <f t="shared" si="14"/>
        <v>2983459</v>
      </c>
      <c r="R82" s="137">
        <v>285336</v>
      </c>
      <c r="S82" s="137">
        <v>307950</v>
      </c>
      <c r="T82" s="137">
        <v>199383</v>
      </c>
      <c r="U82" s="137"/>
      <c r="V82" s="137"/>
      <c r="W82" s="137"/>
      <c r="X82" s="137"/>
      <c r="Y82" s="137"/>
      <c r="Z82" s="137"/>
      <c r="AA82" s="137"/>
      <c r="AB82" s="137"/>
      <c r="AC82" s="137"/>
      <c r="AD82" s="137">
        <f t="shared" si="15"/>
        <v>792669</v>
      </c>
      <c r="AF82" s="84">
        <f t="shared" si="12"/>
        <v>0.2589143122622608</v>
      </c>
      <c r="AG82" s="84">
        <f t="shared" si="12"/>
        <v>0.31308840693461082</v>
      </c>
      <c r="AH82" s="84">
        <f t="shared" si="12"/>
        <v>0.22207383860738697</v>
      </c>
      <c r="AI82" s="84" t="str">
        <f t="shared" si="12"/>
        <v/>
      </c>
      <c r="AJ82" s="84" t="str">
        <f t="shared" si="12"/>
        <v/>
      </c>
      <c r="AK82" s="84" t="str">
        <f t="shared" si="12"/>
        <v/>
      </c>
      <c r="AL82" s="84" t="str">
        <f t="shared" si="12"/>
        <v/>
      </c>
      <c r="AM82" s="84" t="str">
        <f t="shared" si="10"/>
        <v/>
      </c>
      <c r="AN82" s="84" t="str">
        <f t="shared" si="10"/>
        <v/>
      </c>
      <c r="AO82" s="84" t="str">
        <f t="shared" si="10"/>
        <v/>
      </c>
      <c r="AP82" s="84" t="str">
        <f t="shared" si="10"/>
        <v/>
      </c>
      <c r="AQ82" s="84" t="str">
        <f t="shared" si="10"/>
        <v/>
      </c>
      <c r="AR82" s="84">
        <f t="shared" si="10"/>
        <v>0.2656879145984577</v>
      </c>
      <c r="AT82" s="139">
        <f t="shared" si="13"/>
        <v>5.4174094672350015E-2</v>
      </c>
      <c r="AU82" s="139">
        <f t="shared" si="13"/>
        <v>-9.1014568327223849E-2</v>
      </c>
      <c r="AV82" s="139" t="str">
        <f t="shared" si="13"/>
        <v/>
      </c>
      <c r="AW82" s="139" t="str">
        <f t="shared" si="13"/>
        <v/>
      </c>
      <c r="AX82" s="139" t="str">
        <f t="shared" si="13"/>
        <v/>
      </c>
      <c r="AY82" s="139" t="str">
        <f t="shared" si="11"/>
        <v/>
      </c>
      <c r="AZ82" s="139" t="str">
        <f t="shared" si="11"/>
        <v/>
      </c>
      <c r="BA82" s="139" t="str">
        <f t="shared" si="11"/>
        <v/>
      </c>
      <c r="BB82" s="139" t="str">
        <f t="shared" si="11"/>
        <v/>
      </c>
      <c r="BC82" s="139" t="str">
        <f t="shared" si="11"/>
        <v/>
      </c>
      <c r="BD82" s="139" t="str">
        <f t="shared" si="11"/>
        <v/>
      </c>
      <c r="BF82" s="82">
        <f t="shared" si="16"/>
        <v>1.0250735529060285E-3</v>
      </c>
      <c r="BG82" s="82">
        <f t="shared" si="17"/>
        <v>0.93777115077004747</v>
      </c>
    </row>
    <row r="83" spans="2:59" x14ac:dyDescent="0.3">
      <c r="B83" s="83" t="s">
        <v>165</v>
      </c>
      <c r="D83" s="137">
        <v>782363</v>
      </c>
      <c r="E83" s="137">
        <v>786072</v>
      </c>
      <c r="F83" s="137">
        <v>882051</v>
      </c>
      <c r="G83" s="137"/>
      <c r="H83" s="137"/>
      <c r="I83" s="137"/>
      <c r="J83" s="137"/>
      <c r="K83" s="137"/>
      <c r="L83" s="137"/>
      <c r="M83" s="137"/>
      <c r="N83" s="137"/>
      <c r="O83" s="137"/>
      <c r="P83" s="137">
        <f t="shared" si="14"/>
        <v>2450486</v>
      </c>
      <c r="R83" s="137">
        <v>269334</v>
      </c>
      <c r="S83" s="137">
        <v>261568</v>
      </c>
      <c r="T83" s="137">
        <v>243041</v>
      </c>
      <c r="U83" s="137"/>
      <c r="V83" s="137"/>
      <c r="W83" s="137"/>
      <c r="X83" s="137"/>
      <c r="Y83" s="137"/>
      <c r="Z83" s="137"/>
      <c r="AA83" s="137"/>
      <c r="AB83" s="137"/>
      <c r="AC83" s="137"/>
      <c r="AD83" s="137">
        <f t="shared" si="15"/>
        <v>773943</v>
      </c>
      <c r="AF83" s="84">
        <f t="shared" si="12"/>
        <v>0.34425707759697227</v>
      </c>
      <c r="AG83" s="84">
        <f t="shared" si="12"/>
        <v>0.33275323380046612</v>
      </c>
      <c r="AH83" s="84">
        <f t="shared" si="12"/>
        <v>0.27554075671361405</v>
      </c>
      <c r="AI83" s="84" t="str">
        <f t="shared" si="12"/>
        <v/>
      </c>
      <c r="AJ83" s="84" t="str">
        <f t="shared" si="12"/>
        <v/>
      </c>
      <c r="AK83" s="84" t="str">
        <f t="shared" si="12"/>
        <v/>
      </c>
      <c r="AL83" s="84" t="str">
        <f t="shared" si="12"/>
        <v/>
      </c>
      <c r="AM83" s="84" t="str">
        <f t="shared" si="10"/>
        <v/>
      </c>
      <c r="AN83" s="84" t="str">
        <f t="shared" si="10"/>
        <v/>
      </c>
      <c r="AO83" s="84" t="str">
        <f t="shared" si="10"/>
        <v/>
      </c>
      <c r="AP83" s="84" t="str">
        <f t="shared" si="10"/>
        <v/>
      </c>
      <c r="AQ83" s="84" t="str">
        <f t="shared" si="10"/>
        <v/>
      </c>
      <c r="AR83" s="84">
        <f t="shared" si="10"/>
        <v>0.31583245119539555</v>
      </c>
      <c r="AT83" s="139">
        <f t="shared" si="13"/>
        <v>-1.1503843796506152E-2</v>
      </c>
      <c r="AU83" s="139">
        <f t="shared" si="13"/>
        <v>-5.7212477086852065E-2</v>
      </c>
      <c r="AV83" s="139" t="str">
        <f t="shared" si="13"/>
        <v/>
      </c>
      <c r="AW83" s="139" t="str">
        <f t="shared" si="13"/>
        <v/>
      </c>
      <c r="AX83" s="139" t="str">
        <f t="shared" si="13"/>
        <v/>
      </c>
      <c r="AY83" s="139" t="str">
        <f t="shared" si="11"/>
        <v/>
      </c>
      <c r="AZ83" s="139" t="str">
        <f t="shared" si="11"/>
        <v/>
      </c>
      <c r="BA83" s="139" t="str">
        <f t="shared" si="11"/>
        <v/>
      </c>
      <c r="BB83" s="139" t="str">
        <f t="shared" si="11"/>
        <v/>
      </c>
      <c r="BC83" s="139" t="str">
        <f t="shared" si="11"/>
        <v/>
      </c>
      <c r="BD83" s="139" t="str">
        <f t="shared" si="11"/>
        <v/>
      </c>
      <c r="BF83" s="82">
        <f t="shared" si="16"/>
        <v>1.0008572314001813E-3</v>
      </c>
      <c r="BG83" s="82">
        <f t="shared" si="17"/>
        <v>0.93877200800144767</v>
      </c>
    </row>
    <row r="84" spans="2:59" x14ac:dyDescent="0.3">
      <c r="B84" s="83" t="s">
        <v>166</v>
      </c>
      <c r="D84" s="137">
        <v>11669154</v>
      </c>
      <c r="E84" s="137">
        <v>9108259</v>
      </c>
      <c r="F84" s="137">
        <v>7413496</v>
      </c>
      <c r="G84" s="137"/>
      <c r="H84" s="137"/>
      <c r="I84" s="137"/>
      <c r="J84" s="137"/>
      <c r="K84" s="137"/>
      <c r="L84" s="137"/>
      <c r="M84" s="137"/>
      <c r="N84" s="137"/>
      <c r="O84" s="137"/>
      <c r="P84" s="137">
        <f t="shared" si="14"/>
        <v>28190909</v>
      </c>
      <c r="R84" s="137">
        <v>1907911</v>
      </c>
      <c r="S84" s="137">
        <v>1603146</v>
      </c>
      <c r="T84" s="137">
        <v>1487092</v>
      </c>
      <c r="U84" s="137"/>
      <c r="V84" s="137"/>
      <c r="W84" s="137"/>
      <c r="X84" s="137"/>
      <c r="Y84" s="137"/>
      <c r="Z84" s="137"/>
      <c r="AA84" s="137"/>
      <c r="AB84" s="137"/>
      <c r="AC84" s="137"/>
      <c r="AD84" s="137">
        <f t="shared" si="15"/>
        <v>4998149</v>
      </c>
      <c r="AF84" s="84">
        <f t="shared" si="12"/>
        <v>0.16350037029248221</v>
      </c>
      <c r="AG84" s="84">
        <f t="shared" si="12"/>
        <v>0.17601014639570525</v>
      </c>
      <c r="AH84" s="84">
        <f t="shared" si="12"/>
        <v>0.20059254095503659</v>
      </c>
      <c r="AI84" s="84" t="str">
        <f t="shared" si="12"/>
        <v/>
      </c>
      <c r="AJ84" s="84" t="str">
        <f t="shared" si="12"/>
        <v/>
      </c>
      <c r="AK84" s="84" t="str">
        <f t="shared" si="12"/>
        <v/>
      </c>
      <c r="AL84" s="84" t="str">
        <f t="shared" si="12"/>
        <v/>
      </c>
      <c r="AM84" s="84" t="str">
        <f t="shared" si="10"/>
        <v/>
      </c>
      <c r="AN84" s="84" t="str">
        <f t="shared" si="10"/>
        <v/>
      </c>
      <c r="AO84" s="84" t="str">
        <f t="shared" si="10"/>
        <v/>
      </c>
      <c r="AP84" s="84" t="str">
        <f t="shared" si="10"/>
        <v/>
      </c>
      <c r="AQ84" s="84" t="str">
        <f t="shared" si="10"/>
        <v/>
      </c>
      <c r="AR84" s="84">
        <f t="shared" si="10"/>
        <v>0.17729648235181064</v>
      </c>
      <c r="AT84" s="139">
        <f t="shared" si="13"/>
        <v>1.2509776103223041E-2</v>
      </c>
      <c r="AU84" s="139">
        <f t="shared" si="13"/>
        <v>2.4582394559331339E-2</v>
      </c>
      <c r="AV84" s="139" t="str">
        <f t="shared" si="13"/>
        <v/>
      </c>
      <c r="AW84" s="139" t="str">
        <f t="shared" si="13"/>
        <v/>
      </c>
      <c r="AX84" s="139" t="str">
        <f t="shared" si="13"/>
        <v/>
      </c>
      <c r="AY84" s="139" t="str">
        <f t="shared" si="11"/>
        <v/>
      </c>
      <c r="AZ84" s="139" t="str">
        <f t="shared" si="11"/>
        <v/>
      </c>
      <c r="BA84" s="139" t="str">
        <f t="shared" si="11"/>
        <v/>
      </c>
      <c r="BB84" s="139" t="str">
        <f t="shared" si="11"/>
        <v/>
      </c>
      <c r="BC84" s="139" t="str">
        <f t="shared" si="11"/>
        <v/>
      </c>
      <c r="BD84" s="139" t="str">
        <f t="shared" si="11"/>
        <v/>
      </c>
      <c r="BF84" s="82">
        <f t="shared" si="16"/>
        <v>6.463568467271601E-3</v>
      </c>
      <c r="BG84" s="82">
        <f t="shared" si="17"/>
        <v>0.94523557646871925</v>
      </c>
    </row>
    <row r="85" spans="2:59" x14ac:dyDescent="0.3">
      <c r="B85" s="83" t="s">
        <v>167</v>
      </c>
      <c r="D85" s="137">
        <v>2631011</v>
      </c>
      <c r="E85" s="137">
        <v>1566702</v>
      </c>
      <c r="F85" s="137">
        <v>1494486</v>
      </c>
      <c r="G85" s="137"/>
      <c r="H85" s="137"/>
      <c r="I85" s="137"/>
      <c r="J85" s="137"/>
      <c r="K85" s="137"/>
      <c r="L85" s="137"/>
      <c r="M85" s="137"/>
      <c r="N85" s="137"/>
      <c r="O85" s="137"/>
      <c r="P85" s="137">
        <f t="shared" si="14"/>
        <v>5692199</v>
      </c>
      <c r="R85" s="137">
        <v>439730</v>
      </c>
      <c r="S85" s="137">
        <v>221192</v>
      </c>
      <c r="T85" s="137">
        <v>237596</v>
      </c>
      <c r="U85" s="137"/>
      <c r="V85" s="137"/>
      <c r="W85" s="137"/>
      <c r="X85" s="137"/>
      <c r="Y85" s="137"/>
      <c r="Z85" s="137"/>
      <c r="AA85" s="137"/>
      <c r="AB85" s="137"/>
      <c r="AC85" s="137"/>
      <c r="AD85" s="137">
        <f t="shared" si="15"/>
        <v>898518</v>
      </c>
      <c r="AF85" s="84">
        <f t="shared" si="12"/>
        <v>0.16713347074565632</v>
      </c>
      <c r="AG85" s="84">
        <f t="shared" si="12"/>
        <v>0.14118319884700473</v>
      </c>
      <c r="AH85" s="84">
        <f t="shared" si="12"/>
        <v>0.1589817502472422</v>
      </c>
      <c r="AI85" s="84" t="str">
        <f t="shared" si="12"/>
        <v/>
      </c>
      <c r="AJ85" s="84" t="str">
        <f t="shared" si="12"/>
        <v/>
      </c>
      <c r="AK85" s="84" t="str">
        <f t="shared" si="12"/>
        <v/>
      </c>
      <c r="AL85" s="84" t="str">
        <f t="shared" si="12"/>
        <v/>
      </c>
      <c r="AM85" s="84" t="str">
        <f t="shared" si="10"/>
        <v/>
      </c>
      <c r="AN85" s="84" t="str">
        <f t="shared" si="10"/>
        <v/>
      </c>
      <c r="AO85" s="84" t="str">
        <f t="shared" si="10"/>
        <v/>
      </c>
      <c r="AP85" s="84" t="str">
        <f t="shared" si="10"/>
        <v/>
      </c>
      <c r="AQ85" s="84" t="str">
        <f t="shared" si="10"/>
        <v/>
      </c>
      <c r="AR85" s="84">
        <f t="shared" si="10"/>
        <v>0.15785077085323265</v>
      </c>
      <c r="AT85" s="139">
        <f t="shared" si="13"/>
        <v>-2.5950271898651595E-2</v>
      </c>
      <c r="AU85" s="139">
        <f t="shared" si="13"/>
        <v>1.7798551400237478E-2</v>
      </c>
      <c r="AV85" s="139" t="str">
        <f t="shared" si="13"/>
        <v/>
      </c>
      <c r="AW85" s="139" t="str">
        <f t="shared" si="13"/>
        <v/>
      </c>
      <c r="AX85" s="139" t="str">
        <f t="shared" si="13"/>
        <v/>
      </c>
      <c r="AY85" s="139" t="str">
        <f t="shared" si="11"/>
        <v/>
      </c>
      <c r="AZ85" s="139" t="str">
        <f t="shared" si="11"/>
        <v/>
      </c>
      <c r="BA85" s="139" t="str">
        <f t="shared" si="11"/>
        <v/>
      </c>
      <c r="BB85" s="139" t="str">
        <f t="shared" si="11"/>
        <v/>
      </c>
      <c r="BC85" s="139" t="str">
        <f t="shared" si="11"/>
        <v/>
      </c>
      <c r="BD85" s="139" t="str">
        <f t="shared" si="11"/>
        <v/>
      </c>
      <c r="BF85" s="82">
        <f t="shared" si="16"/>
        <v>1.1619566787776725E-3</v>
      </c>
      <c r="BG85" s="82">
        <f t="shared" si="17"/>
        <v>0.94639753314749697</v>
      </c>
    </row>
    <row r="86" spans="2:59" x14ac:dyDescent="0.3">
      <c r="B86" s="83" t="s">
        <v>168</v>
      </c>
      <c r="D86" s="137">
        <v>406807</v>
      </c>
      <c r="E86" s="137">
        <v>338113</v>
      </c>
      <c r="F86" s="137">
        <v>464662</v>
      </c>
      <c r="G86" s="137"/>
      <c r="H86" s="137"/>
      <c r="I86" s="137"/>
      <c r="J86" s="137"/>
      <c r="K86" s="137"/>
      <c r="L86" s="137"/>
      <c r="M86" s="137"/>
      <c r="N86" s="137"/>
      <c r="O86" s="137"/>
      <c r="P86" s="137">
        <f t="shared" si="14"/>
        <v>1209582</v>
      </c>
      <c r="R86" s="137">
        <v>71941</v>
      </c>
      <c r="S86" s="137">
        <v>54305</v>
      </c>
      <c r="T86" s="137">
        <v>55773</v>
      </c>
      <c r="U86" s="137"/>
      <c r="V86" s="137"/>
      <c r="W86" s="137"/>
      <c r="X86" s="137"/>
      <c r="Y86" s="137"/>
      <c r="Z86" s="137"/>
      <c r="AA86" s="137"/>
      <c r="AB86" s="137"/>
      <c r="AC86" s="137"/>
      <c r="AD86" s="137">
        <f t="shared" si="15"/>
        <v>182019</v>
      </c>
      <c r="AF86" s="84">
        <f t="shared" si="12"/>
        <v>0.1768430730051351</v>
      </c>
      <c r="AG86" s="84">
        <f t="shared" si="12"/>
        <v>0.16061198475066027</v>
      </c>
      <c r="AH86" s="84">
        <f t="shared" si="12"/>
        <v>0.12002918250255024</v>
      </c>
      <c r="AI86" s="84" t="str">
        <f t="shared" si="12"/>
        <v/>
      </c>
      <c r="AJ86" s="84" t="str">
        <f t="shared" si="12"/>
        <v/>
      </c>
      <c r="AK86" s="84" t="str">
        <f t="shared" si="12"/>
        <v/>
      </c>
      <c r="AL86" s="84" t="str">
        <f t="shared" si="12"/>
        <v/>
      </c>
      <c r="AM86" s="84" t="str">
        <f t="shared" si="10"/>
        <v/>
      </c>
      <c r="AN86" s="84" t="str">
        <f t="shared" si="10"/>
        <v/>
      </c>
      <c r="AO86" s="84" t="str">
        <f t="shared" si="10"/>
        <v/>
      </c>
      <c r="AP86" s="84" t="str">
        <f t="shared" si="10"/>
        <v/>
      </c>
      <c r="AQ86" s="84" t="str">
        <f t="shared" si="10"/>
        <v/>
      </c>
      <c r="AR86" s="84">
        <f t="shared" si="10"/>
        <v>0.15048090993417559</v>
      </c>
      <c r="AT86" s="139">
        <f t="shared" si="13"/>
        <v>-1.6231088254474835E-2</v>
      </c>
      <c r="AU86" s="139">
        <f t="shared" si="13"/>
        <v>-4.0582802248110034E-2</v>
      </c>
      <c r="AV86" s="139" t="str">
        <f t="shared" si="13"/>
        <v/>
      </c>
      <c r="AW86" s="139" t="str">
        <f t="shared" si="13"/>
        <v/>
      </c>
      <c r="AX86" s="139" t="str">
        <f t="shared" si="13"/>
        <v/>
      </c>
      <c r="AY86" s="139" t="str">
        <f t="shared" si="11"/>
        <v/>
      </c>
      <c r="AZ86" s="139" t="str">
        <f t="shared" si="11"/>
        <v/>
      </c>
      <c r="BA86" s="139" t="str">
        <f t="shared" si="11"/>
        <v/>
      </c>
      <c r="BB86" s="139" t="str">
        <f t="shared" si="11"/>
        <v/>
      </c>
      <c r="BC86" s="139" t="str">
        <f t="shared" si="11"/>
        <v/>
      </c>
      <c r="BD86" s="139" t="str">
        <f t="shared" si="11"/>
        <v/>
      </c>
      <c r="BF86" s="82">
        <f t="shared" si="16"/>
        <v>2.3538559351558139E-4</v>
      </c>
      <c r="BG86" s="82">
        <f t="shared" si="17"/>
        <v>0.94663291874101252</v>
      </c>
    </row>
    <row r="87" spans="2:59" x14ac:dyDescent="0.3">
      <c r="B87" s="83" t="s">
        <v>169</v>
      </c>
      <c r="D87" s="137">
        <v>1110855</v>
      </c>
      <c r="E87" s="137">
        <v>1012071</v>
      </c>
      <c r="F87" s="137">
        <v>1042310</v>
      </c>
      <c r="G87" s="137"/>
      <c r="H87" s="137"/>
      <c r="I87" s="137"/>
      <c r="J87" s="137"/>
      <c r="K87" s="137"/>
      <c r="L87" s="137"/>
      <c r="M87" s="137"/>
      <c r="N87" s="137"/>
      <c r="O87" s="137"/>
      <c r="P87" s="137">
        <f t="shared" si="14"/>
        <v>3165236</v>
      </c>
      <c r="R87" s="137">
        <v>188586</v>
      </c>
      <c r="S87" s="137">
        <v>168895</v>
      </c>
      <c r="T87" s="137">
        <v>165120</v>
      </c>
      <c r="U87" s="137"/>
      <c r="V87" s="137"/>
      <c r="W87" s="137"/>
      <c r="X87" s="137"/>
      <c r="Y87" s="137"/>
      <c r="Z87" s="137"/>
      <c r="AA87" s="137"/>
      <c r="AB87" s="137"/>
      <c r="AC87" s="137"/>
      <c r="AD87" s="137">
        <f t="shared" si="15"/>
        <v>522601</v>
      </c>
      <c r="AF87" s="84">
        <f t="shared" si="12"/>
        <v>0.16976653118543825</v>
      </c>
      <c r="AG87" s="84">
        <f t="shared" si="12"/>
        <v>0.1668805844649239</v>
      </c>
      <c r="AH87" s="84">
        <f t="shared" si="12"/>
        <v>0.15841736143757615</v>
      </c>
      <c r="AI87" s="84" t="str">
        <f t="shared" si="12"/>
        <v/>
      </c>
      <c r="AJ87" s="84" t="str">
        <f t="shared" si="12"/>
        <v/>
      </c>
      <c r="AK87" s="84" t="str">
        <f t="shared" si="12"/>
        <v/>
      </c>
      <c r="AL87" s="84" t="str">
        <f t="shared" si="12"/>
        <v/>
      </c>
      <c r="AM87" s="84" t="str">
        <f t="shared" si="10"/>
        <v/>
      </c>
      <c r="AN87" s="84" t="str">
        <f t="shared" si="10"/>
        <v/>
      </c>
      <c r="AO87" s="84" t="str">
        <f t="shared" si="10"/>
        <v/>
      </c>
      <c r="AP87" s="84" t="str">
        <f t="shared" si="10"/>
        <v/>
      </c>
      <c r="AQ87" s="84" t="str">
        <f t="shared" si="10"/>
        <v/>
      </c>
      <c r="AR87" s="84">
        <f t="shared" si="10"/>
        <v>0.16510648811020726</v>
      </c>
      <c r="AT87" s="139">
        <f t="shared" si="13"/>
        <v>-2.885946720514343E-3</v>
      </c>
      <c r="AU87" s="139">
        <f t="shared" si="13"/>
        <v>-8.4632230273477549E-3</v>
      </c>
      <c r="AV87" s="139" t="str">
        <f t="shared" si="13"/>
        <v/>
      </c>
      <c r="AW87" s="139" t="str">
        <f t="shared" si="13"/>
        <v/>
      </c>
      <c r="AX87" s="139" t="str">
        <f t="shared" si="13"/>
        <v/>
      </c>
      <c r="AY87" s="139" t="str">
        <f t="shared" si="11"/>
        <v/>
      </c>
      <c r="AZ87" s="139" t="str">
        <f t="shared" si="11"/>
        <v/>
      </c>
      <c r="BA87" s="139" t="str">
        <f t="shared" si="11"/>
        <v/>
      </c>
      <c r="BB87" s="139" t="str">
        <f t="shared" si="11"/>
        <v/>
      </c>
      <c r="BC87" s="139" t="str">
        <f t="shared" si="11"/>
        <v/>
      </c>
      <c r="BD87" s="139" t="str">
        <f t="shared" si="11"/>
        <v/>
      </c>
      <c r="BF87" s="82">
        <f t="shared" si="16"/>
        <v>6.7582365883142061E-4</v>
      </c>
      <c r="BG87" s="82">
        <f t="shared" si="17"/>
        <v>0.94730874239984397</v>
      </c>
    </row>
    <row r="88" spans="2:59" x14ac:dyDescent="0.3">
      <c r="B88" s="83" t="s">
        <v>170</v>
      </c>
      <c r="D88" s="137">
        <v>1465022</v>
      </c>
      <c r="E88" s="137">
        <v>1038601</v>
      </c>
      <c r="F88" s="137">
        <v>1370971</v>
      </c>
      <c r="G88" s="137"/>
      <c r="H88" s="137"/>
      <c r="I88" s="137"/>
      <c r="J88" s="137"/>
      <c r="K88" s="137"/>
      <c r="L88" s="137"/>
      <c r="M88" s="137"/>
      <c r="N88" s="137"/>
      <c r="O88" s="137"/>
      <c r="P88" s="137">
        <f t="shared" si="14"/>
        <v>3874594</v>
      </c>
      <c r="R88" s="137">
        <v>236763</v>
      </c>
      <c r="S88" s="137">
        <v>132569</v>
      </c>
      <c r="T88" s="137">
        <v>159639</v>
      </c>
      <c r="U88" s="137"/>
      <c r="V88" s="137"/>
      <c r="W88" s="137"/>
      <c r="X88" s="137"/>
      <c r="Y88" s="137"/>
      <c r="Z88" s="137"/>
      <c r="AA88" s="137"/>
      <c r="AB88" s="137"/>
      <c r="AC88" s="137"/>
      <c r="AD88" s="137">
        <f t="shared" si="15"/>
        <v>528971</v>
      </c>
      <c r="AF88" s="84">
        <f t="shared" si="12"/>
        <v>0.16161054236728187</v>
      </c>
      <c r="AG88" s="84">
        <f t="shared" si="12"/>
        <v>0.127641895203259</v>
      </c>
      <c r="AH88" s="84">
        <f t="shared" si="12"/>
        <v>0.11644228798420973</v>
      </c>
      <c r="AI88" s="84" t="str">
        <f t="shared" si="12"/>
        <v/>
      </c>
      <c r="AJ88" s="84" t="str">
        <f t="shared" si="12"/>
        <v/>
      </c>
      <c r="AK88" s="84" t="str">
        <f t="shared" si="12"/>
        <v/>
      </c>
      <c r="AL88" s="84" t="str">
        <f t="shared" si="12"/>
        <v/>
      </c>
      <c r="AM88" s="84" t="str">
        <f t="shared" si="12"/>
        <v/>
      </c>
      <c r="AN88" s="84" t="str">
        <f t="shared" si="12"/>
        <v/>
      </c>
      <c r="AO88" s="84" t="str">
        <f t="shared" si="12"/>
        <v/>
      </c>
      <c r="AP88" s="84" t="str">
        <f t="shared" si="12"/>
        <v/>
      </c>
      <c r="AQ88" s="84" t="str">
        <f t="shared" si="12"/>
        <v/>
      </c>
      <c r="AR88" s="84">
        <f t="shared" si="12"/>
        <v>0.13652294924319813</v>
      </c>
      <c r="AT88" s="139">
        <f t="shared" si="13"/>
        <v>-3.3968647164022869E-2</v>
      </c>
      <c r="AU88" s="139">
        <f t="shared" si="13"/>
        <v>-1.1199607219049265E-2</v>
      </c>
      <c r="AV88" s="139" t="str">
        <f t="shared" si="13"/>
        <v/>
      </c>
      <c r="AW88" s="139" t="str">
        <f t="shared" si="13"/>
        <v/>
      </c>
      <c r="AX88" s="139" t="str">
        <f t="shared" si="13"/>
        <v/>
      </c>
      <c r="AY88" s="139" t="str">
        <f t="shared" si="13"/>
        <v/>
      </c>
      <c r="AZ88" s="139" t="str">
        <f t="shared" si="13"/>
        <v/>
      </c>
      <c r="BA88" s="139" t="str">
        <f t="shared" si="13"/>
        <v/>
      </c>
      <c r="BB88" s="139" t="str">
        <f t="shared" si="13"/>
        <v/>
      </c>
      <c r="BC88" s="139" t="str">
        <f t="shared" si="13"/>
        <v/>
      </c>
      <c r="BD88" s="139" t="str">
        <f t="shared" si="13"/>
        <v/>
      </c>
      <c r="BF88" s="82">
        <f t="shared" si="16"/>
        <v>6.8406129463149782E-4</v>
      </c>
      <c r="BG88" s="82">
        <f t="shared" si="17"/>
        <v>0.94799280369447547</v>
      </c>
    </row>
    <row r="89" spans="2:59" x14ac:dyDescent="0.3">
      <c r="B89" s="83" t="s">
        <v>171</v>
      </c>
      <c r="D89" s="137">
        <v>74629</v>
      </c>
      <c r="E89" s="137">
        <v>71594</v>
      </c>
      <c r="F89" s="137">
        <v>77175</v>
      </c>
      <c r="G89" s="137"/>
      <c r="H89" s="137"/>
      <c r="I89" s="137"/>
      <c r="J89" s="137"/>
      <c r="K89" s="137"/>
      <c r="L89" s="137"/>
      <c r="M89" s="137"/>
      <c r="N89" s="137"/>
      <c r="O89" s="137"/>
      <c r="P89" s="137">
        <f t="shared" si="14"/>
        <v>223398</v>
      </c>
      <c r="R89" s="137">
        <v>11674</v>
      </c>
      <c r="S89" s="137">
        <v>12361</v>
      </c>
      <c r="T89" s="137">
        <v>11343</v>
      </c>
      <c r="U89" s="137"/>
      <c r="V89" s="137"/>
      <c r="W89" s="137"/>
      <c r="X89" s="137"/>
      <c r="Y89" s="137"/>
      <c r="Z89" s="137"/>
      <c r="AA89" s="137"/>
      <c r="AB89" s="137"/>
      <c r="AC89" s="137"/>
      <c r="AD89" s="137">
        <f t="shared" si="15"/>
        <v>35378</v>
      </c>
      <c r="AF89" s="84">
        <f t="shared" ref="AF89:AR108" si="18">+IFERROR(R89/D89,"")</f>
        <v>0.15642712618419113</v>
      </c>
      <c r="AG89" s="84">
        <f t="shared" si="18"/>
        <v>0.17265413302790736</v>
      </c>
      <c r="AH89" s="84">
        <f t="shared" si="18"/>
        <v>0.14697764820213799</v>
      </c>
      <c r="AI89" s="84" t="str">
        <f t="shared" si="18"/>
        <v/>
      </c>
      <c r="AJ89" s="84" t="str">
        <f t="shared" si="18"/>
        <v/>
      </c>
      <c r="AK89" s="84" t="str">
        <f t="shared" si="18"/>
        <v/>
      </c>
      <c r="AL89" s="84" t="str">
        <f t="shared" si="18"/>
        <v/>
      </c>
      <c r="AM89" s="84" t="str">
        <f t="shared" si="18"/>
        <v/>
      </c>
      <c r="AN89" s="84" t="str">
        <f t="shared" si="18"/>
        <v/>
      </c>
      <c r="AO89" s="84" t="str">
        <f t="shared" si="18"/>
        <v/>
      </c>
      <c r="AP89" s="84" t="str">
        <f t="shared" si="18"/>
        <v/>
      </c>
      <c r="AQ89" s="84" t="str">
        <f t="shared" si="18"/>
        <v/>
      </c>
      <c r="AR89" s="84">
        <f t="shared" si="18"/>
        <v>0.15836310083349001</v>
      </c>
      <c r="AT89" s="139">
        <f t="shared" si="13"/>
        <v>1.6227006843716224E-2</v>
      </c>
      <c r="AU89" s="139">
        <f t="shared" si="13"/>
        <v>-2.5676484825769369E-2</v>
      </c>
      <c r="AV89" s="139" t="str">
        <f t="shared" si="13"/>
        <v/>
      </c>
      <c r="AW89" s="139" t="str">
        <f t="shared" si="13"/>
        <v/>
      </c>
      <c r="AX89" s="139" t="str">
        <f t="shared" si="13"/>
        <v/>
      </c>
      <c r="AY89" s="139" t="str">
        <f t="shared" si="13"/>
        <v/>
      </c>
      <c r="AZ89" s="139" t="str">
        <f t="shared" si="13"/>
        <v/>
      </c>
      <c r="BA89" s="139" t="str">
        <f t="shared" si="13"/>
        <v/>
      </c>
      <c r="BB89" s="139" t="str">
        <f t="shared" si="13"/>
        <v/>
      </c>
      <c r="BC89" s="139" t="str">
        <f t="shared" si="13"/>
        <v/>
      </c>
      <c r="BD89" s="139" t="str">
        <f t="shared" si="13"/>
        <v/>
      </c>
      <c r="BF89" s="82">
        <f t="shared" si="16"/>
        <v>4.5750561905044189E-5</v>
      </c>
      <c r="BG89" s="82">
        <f t="shared" si="17"/>
        <v>0.94803855425638051</v>
      </c>
    </row>
    <row r="90" spans="2:59" x14ac:dyDescent="0.3">
      <c r="B90" s="83" t="s">
        <v>172</v>
      </c>
      <c r="D90" s="137">
        <v>1016037</v>
      </c>
      <c r="E90" s="137">
        <v>942007</v>
      </c>
      <c r="F90" s="137">
        <v>840967</v>
      </c>
      <c r="G90" s="137"/>
      <c r="H90" s="137"/>
      <c r="I90" s="137"/>
      <c r="J90" s="137"/>
      <c r="K90" s="137"/>
      <c r="L90" s="137"/>
      <c r="M90" s="137"/>
      <c r="N90" s="137"/>
      <c r="O90" s="137"/>
      <c r="P90" s="137">
        <f t="shared" si="14"/>
        <v>2799011</v>
      </c>
      <c r="R90" s="137">
        <v>231058</v>
      </c>
      <c r="S90" s="137">
        <v>177660</v>
      </c>
      <c r="T90" s="137">
        <v>153746</v>
      </c>
      <c r="U90" s="137"/>
      <c r="V90" s="137"/>
      <c r="W90" s="137"/>
      <c r="X90" s="137"/>
      <c r="Y90" s="137"/>
      <c r="Z90" s="137"/>
      <c r="AA90" s="137"/>
      <c r="AB90" s="137"/>
      <c r="AC90" s="137"/>
      <c r="AD90" s="137">
        <f t="shared" si="15"/>
        <v>562464</v>
      </c>
      <c r="AF90" s="84">
        <f t="shared" si="18"/>
        <v>0.22741100963842853</v>
      </c>
      <c r="AG90" s="84">
        <f t="shared" si="18"/>
        <v>0.18859732464833065</v>
      </c>
      <c r="AH90" s="84">
        <f t="shared" si="18"/>
        <v>0.18282049117266194</v>
      </c>
      <c r="AI90" s="84" t="str">
        <f t="shared" si="18"/>
        <v/>
      </c>
      <c r="AJ90" s="84" t="str">
        <f t="shared" si="18"/>
        <v/>
      </c>
      <c r="AK90" s="84" t="str">
        <f t="shared" si="18"/>
        <v/>
      </c>
      <c r="AL90" s="84" t="str">
        <f t="shared" si="18"/>
        <v/>
      </c>
      <c r="AM90" s="84" t="str">
        <f t="shared" si="18"/>
        <v/>
      </c>
      <c r="AN90" s="84" t="str">
        <f t="shared" si="18"/>
        <v/>
      </c>
      <c r="AO90" s="84" t="str">
        <f t="shared" si="18"/>
        <v/>
      </c>
      <c r="AP90" s="84" t="str">
        <f t="shared" si="18"/>
        <v/>
      </c>
      <c r="AQ90" s="84" t="str">
        <f t="shared" si="18"/>
        <v/>
      </c>
      <c r="AR90" s="84">
        <f t="shared" si="18"/>
        <v>0.20095097875642504</v>
      </c>
      <c r="AT90" s="139">
        <f t="shared" si="13"/>
        <v>-3.881368499009788E-2</v>
      </c>
      <c r="AU90" s="139">
        <f t="shared" si="13"/>
        <v>-5.7768334756687079E-3</v>
      </c>
      <c r="AV90" s="139" t="str">
        <f t="shared" si="13"/>
        <v/>
      </c>
      <c r="AW90" s="139" t="str">
        <f t="shared" si="13"/>
        <v/>
      </c>
      <c r="AX90" s="139" t="str">
        <f t="shared" si="13"/>
        <v/>
      </c>
      <c r="AY90" s="139" t="str">
        <f t="shared" si="13"/>
        <v/>
      </c>
      <c r="AZ90" s="139" t="str">
        <f t="shared" si="13"/>
        <v/>
      </c>
      <c r="BA90" s="139" t="str">
        <f t="shared" si="13"/>
        <v/>
      </c>
      <c r="BB90" s="139" t="str">
        <f t="shared" si="13"/>
        <v/>
      </c>
      <c r="BC90" s="139" t="str">
        <f t="shared" si="13"/>
        <v/>
      </c>
      <c r="BD90" s="139" t="str">
        <f t="shared" si="13"/>
        <v/>
      </c>
      <c r="BF90" s="82">
        <f t="shared" si="16"/>
        <v>7.2737418879978443E-4</v>
      </c>
      <c r="BG90" s="82">
        <f t="shared" si="17"/>
        <v>0.94876592844518026</v>
      </c>
    </row>
    <row r="91" spans="2:59" x14ac:dyDescent="0.3">
      <c r="B91" s="83" t="s">
        <v>173</v>
      </c>
      <c r="D91" s="137">
        <v>496849</v>
      </c>
      <c r="E91" s="137">
        <v>450197</v>
      </c>
      <c r="F91" s="137">
        <v>549240</v>
      </c>
      <c r="G91" s="137"/>
      <c r="H91" s="137"/>
      <c r="I91" s="137"/>
      <c r="J91" s="137"/>
      <c r="K91" s="137"/>
      <c r="L91" s="137"/>
      <c r="M91" s="137"/>
      <c r="N91" s="137"/>
      <c r="O91" s="137"/>
      <c r="P91" s="137">
        <f t="shared" si="14"/>
        <v>1496286</v>
      </c>
      <c r="R91" s="137">
        <v>121983</v>
      </c>
      <c r="S91" s="137">
        <v>128143</v>
      </c>
      <c r="T91" s="137">
        <v>144199</v>
      </c>
      <c r="U91" s="137"/>
      <c r="V91" s="137"/>
      <c r="W91" s="137"/>
      <c r="X91" s="137"/>
      <c r="Y91" s="137"/>
      <c r="Z91" s="137"/>
      <c r="AA91" s="137"/>
      <c r="AB91" s="137"/>
      <c r="AC91" s="137"/>
      <c r="AD91" s="137">
        <f t="shared" si="15"/>
        <v>394325</v>
      </c>
      <c r="AF91" s="84">
        <f t="shared" si="18"/>
        <v>0.24551322433978937</v>
      </c>
      <c r="AG91" s="84">
        <f t="shared" si="18"/>
        <v>0.28463761420000577</v>
      </c>
      <c r="AH91" s="84">
        <f t="shared" si="18"/>
        <v>0.26254278639574685</v>
      </c>
      <c r="AI91" s="84" t="str">
        <f t="shared" si="18"/>
        <v/>
      </c>
      <c r="AJ91" s="84" t="str">
        <f t="shared" si="18"/>
        <v/>
      </c>
      <c r="AK91" s="84" t="str">
        <f t="shared" si="18"/>
        <v/>
      </c>
      <c r="AL91" s="84" t="str">
        <f t="shared" si="18"/>
        <v/>
      </c>
      <c r="AM91" s="84" t="str">
        <f t="shared" si="18"/>
        <v/>
      </c>
      <c r="AN91" s="84" t="str">
        <f t="shared" si="18"/>
        <v/>
      </c>
      <c r="AO91" s="84" t="str">
        <f t="shared" si="18"/>
        <v/>
      </c>
      <c r="AP91" s="84" t="str">
        <f t="shared" si="18"/>
        <v/>
      </c>
      <c r="AQ91" s="84" t="str">
        <f t="shared" si="18"/>
        <v/>
      </c>
      <c r="AR91" s="84">
        <f t="shared" si="18"/>
        <v>0.26353584809321212</v>
      </c>
      <c r="AT91" s="139">
        <f t="shared" si="13"/>
        <v>3.9124389860216408E-2</v>
      </c>
      <c r="AU91" s="139">
        <f t="shared" si="13"/>
        <v>-2.2094827804258921E-2</v>
      </c>
      <c r="AV91" s="139" t="str">
        <f t="shared" si="13"/>
        <v/>
      </c>
      <c r="AW91" s="139" t="str">
        <f t="shared" si="13"/>
        <v/>
      </c>
      <c r="AX91" s="139" t="str">
        <f t="shared" si="13"/>
        <v/>
      </c>
      <c r="AY91" s="139" t="str">
        <f t="shared" si="13"/>
        <v/>
      </c>
      <c r="AZ91" s="139" t="str">
        <f t="shared" si="13"/>
        <v/>
      </c>
      <c r="BA91" s="139" t="str">
        <f t="shared" si="13"/>
        <v/>
      </c>
      <c r="BB91" s="139" t="str">
        <f t="shared" si="13"/>
        <v/>
      </c>
      <c r="BC91" s="139" t="str">
        <f t="shared" si="13"/>
        <v/>
      </c>
      <c r="BD91" s="139" t="str">
        <f t="shared" si="13"/>
        <v/>
      </c>
      <c r="BF91" s="82">
        <f t="shared" si="16"/>
        <v>5.0993810625831165E-4</v>
      </c>
      <c r="BG91" s="82">
        <f t="shared" si="17"/>
        <v>0.94927586655143859</v>
      </c>
    </row>
    <row r="92" spans="2:59" x14ac:dyDescent="0.3">
      <c r="B92" s="83" t="s">
        <v>174</v>
      </c>
      <c r="D92" s="137">
        <v>1201899</v>
      </c>
      <c r="E92" s="137">
        <v>1174312</v>
      </c>
      <c r="F92" s="137">
        <v>1514389</v>
      </c>
      <c r="G92" s="137"/>
      <c r="H92" s="137"/>
      <c r="I92" s="137"/>
      <c r="J92" s="137"/>
      <c r="K92" s="137"/>
      <c r="L92" s="137"/>
      <c r="M92" s="137"/>
      <c r="N92" s="137"/>
      <c r="O92" s="137"/>
      <c r="P92" s="137">
        <f t="shared" si="14"/>
        <v>3890600</v>
      </c>
      <c r="R92" s="137">
        <v>221845</v>
      </c>
      <c r="S92" s="137">
        <v>212160</v>
      </c>
      <c r="T92" s="137">
        <v>281411</v>
      </c>
      <c r="U92" s="137"/>
      <c r="V92" s="137"/>
      <c r="W92" s="137"/>
      <c r="X92" s="137"/>
      <c r="Y92" s="137"/>
      <c r="Z92" s="137"/>
      <c r="AA92" s="137"/>
      <c r="AB92" s="137"/>
      <c r="AC92" s="137"/>
      <c r="AD92" s="137">
        <f t="shared" si="15"/>
        <v>715416</v>
      </c>
      <c r="AF92" s="84">
        <f t="shared" si="18"/>
        <v>0.18457873748126921</v>
      </c>
      <c r="AG92" s="84">
        <f t="shared" si="18"/>
        <v>0.18066748870828195</v>
      </c>
      <c r="AH92" s="84">
        <f t="shared" si="18"/>
        <v>0.1858247781778658</v>
      </c>
      <c r="AI92" s="84" t="str">
        <f t="shared" si="18"/>
        <v/>
      </c>
      <c r="AJ92" s="84" t="str">
        <f t="shared" si="18"/>
        <v/>
      </c>
      <c r="AK92" s="84" t="str">
        <f t="shared" si="18"/>
        <v/>
      </c>
      <c r="AL92" s="84" t="str">
        <f t="shared" si="18"/>
        <v/>
      </c>
      <c r="AM92" s="84" t="str">
        <f t="shared" si="18"/>
        <v/>
      </c>
      <c r="AN92" s="84" t="str">
        <f t="shared" si="18"/>
        <v/>
      </c>
      <c r="AO92" s="84" t="str">
        <f t="shared" si="18"/>
        <v/>
      </c>
      <c r="AP92" s="84" t="str">
        <f t="shared" si="18"/>
        <v/>
      </c>
      <c r="AQ92" s="84" t="str">
        <f t="shared" si="18"/>
        <v/>
      </c>
      <c r="AR92" s="84">
        <f t="shared" si="18"/>
        <v>0.18388320567521718</v>
      </c>
      <c r="AT92" s="139">
        <f t="shared" si="13"/>
        <v>-3.9112487729872636E-3</v>
      </c>
      <c r="AU92" s="139">
        <f t="shared" si="13"/>
        <v>5.1572894695838534E-3</v>
      </c>
      <c r="AV92" s="139" t="str">
        <f t="shared" si="13"/>
        <v/>
      </c>
      <c r="AW92" s="139" t="str">
        <f t="shared" si="13"/>
        <v/>
      </c>
      <c r="AX92" s="139" t="str">
        <f t="shared" si="13"/>
        <v/>
      </c>
      <c r="AY92" s="139" t="str">
        <f t="shared" si="13"/>
        <v/>
      </c>
      <c r="AZ92" s="139" t="str">
        <f t="shared" si="13"/>
        <v/>
      </c>
      <c r="BA92" s="139" t="str">
        <f t="shared" si="13"/>
        <v/>
      </c>
      <c r="BB92" s="139" t="str">
        <f t="shared" si="13"/>
        <v/>
      </c>
      <c r="BC92" s="139" t="str">
        <f t="shared" si="13"/>
        <v/>
      </c>
      <c r="BD92" s="139" t="str">
        <f t="shared" si="13"/>
        <v/>
      </c>
      <c r="BF92" s="82">
        <f t="shared" si="16"/>
        <v>9.2517055785683463E-4</v>
      </c>
      <c r="BG92" s="82">
        <f t="shared" si="17"/>
        <v>0.95020103710929538</v>
      </c>
    </row>
    <row r="93" spans="2:59" x14ac:dyDescent="0.3">
      <c r="B93" s="83" t="s">
        <v>175</v>
      </c>
      <c r="D93" s="137">
        <v>2327681</v>
      </c>
      <c r="E93" s="137">
        <v>2027813</v>
      </c>
      <c r="F93" s="137">
        <v>1762261</v>
      </c>
      <c r="G93" s="137"/>
      <c r="H93" s="137"/>
      <c r="I93" s="137"/>
      <c r="J93" s="137"/>
      <c r="K93" s="137"/>
      <c r="L93" s="137"/>
      <c r="M93" s="137"/>
      <c r="N93" s="137"/>
      <c r="O93" s="137"/>
      <c r="P93" s="137">
        <f t="shared" si="14"/>
        <v>6117755</v>
      </c>
      <c r="R93" s="137">
        <v>369406</v>
      </c>
      <c r="S93" s="137">
        <v>306548</v>
      </c>
      <c r="T93" s="137">
        <v>286206</v>
      </c>
      <c r="U93" s="137"/>
      <c r="V93" s="137"/>
      <c r="W93" s="137"/>
      <c r="X93" s="137"/>
      <c r="Y93" s="137"/>
      <c r="Z93" s="137"/>
      <c r="AA93" s="137"/>
      <c r="AB93" s="137"/>
      <c r="AC93" s="137"/>
      <c r="AD93" s="137">
        <f t="shared" si="15"/>
        <v>962160</v>
      </c>
      <c r="AF93" s="84">
        <f t="shared" si="18"/>
        <v>0.1587012997055868</v>
      </c>
      <c r="AG93" s="84">
        <f t="shared" si="18"/>
        <v>0.15117173033213616</v>
      </c>
      <c r="AH93" s="84">
        <f t="shared" si="18"/>
        <v>0.1624084060193127</v>
      </c>
      <c r="AI93" s="84" t="str">
        <f t="shared" si="18"/>
        <v/>
      </c>
      <c r="AJ93" s="84" t="str">
        <f t="shared" si="18"/>
        <v/>
      </c>
      <c r="AK93" s="84" t="str">
        <f t="shared" si="18"/>
        <v/>
      </c>
      <c r="AL93" s="84" t="str">
        <f t="shared" si="18"/>
        <v/>
      </c>
      <c r="AM93" s="84" t="str">
        <f t="shared" si="18"/>
        <v/>
      </c>
      <c r="AN93" s="84" t="str">
        <f t="shared" si="18"/>
        <v/>
      </c>
      <c r="AO93" s="84" t="str">
        <f t="shared" si="18"/>
        <v/>
      </c>
      <c r="AP93" s="84" t="str">
        <f t="shared" si="18"/>
        <v/>
      </c>
      <c r="AQ93" s="84" t="str">
        <f t="shared" si="18"/>
        <v/>
      </c>
      <c r="AR93" s="84">
        <f t="shared" si="18"/>
        <v>0.15727337887836307</v>
      </c>
      <c r="AT93" s="139">
        <f t="shared" ref="AT93:BD116" si="19">+IFERROR(AG93-AF93,"")</f>
        <v>-7.5295693734506453E-3</v>
      </c>
      <c r="AU93" s="139">
        <f t="shared" si="19"/>
        <v>1.1236675687176539E-2</v>
      </c>
      <c r="AV93" s="139" t="str">
        <f t="shared" si="19"/>
        <v/>
      </c>
      <c r="AW93" s="139" t="str">
        <f t="shared" si="19"/>
        <v/>
      </c>
      <c r="AX93" s="139" t="str">
        <f t="shared" si="19"/>
        <v/>
      </c>
      <c r="AY93" s="139" t="str">
        <f t="shared" si="19"/>
        <v/>
      </c>
      <c r="AZ93" s="139" t="str">
        <f t="shared" si="19"/>
        <v/>
      </c>
      <c r="BA93" s="139" t="str">
        <f t="shared" si="19"/>
        <v/>
      </c>
      <c r="BB93" s="139" t="str">
        <f t="shared" si="19"/>
        <v/>
      </c>
      <c r="BC93" s="139" t="str">
        <f t="shared" si="19"/>
        <v/>
      </c>
      <c r="BD93" s="139" t="str">
        <f t="shared" si="19"/>
        <v/>
      </c>
      <c r="BF93" s="82">
        <f t="shared" si="16"/>
        <v>1.2442580316173136E-3</v>
      </c>
      <c r="BG93" s="82">
        <f t="shared" si="17"/>
        <v>0.95144529514091269</v>
      </c>
    </row>
    <row r="94" spans="2:59" x14ac:dyDescent="0.3">
      <c r="B94" s="83" t="s">
        <v>176</v>
      </c>
      <c r="D94" s="137">
        <v>986067</v>
      </c>
      <c r="E94" s="137">
        <v>1073874</v>
      </c>
      <c r="F94" s="137">
        <v>1145047</v>
      </c>
      <c r="G94" s="137"/>
      <c r="H94" s="137"/>
      <c r="I94" s="137"/>
      <c r="J94" s="137"/>
      <c r="K94" s="137"/>
      <c r="L94" s="137"/>
      <c r="M94" s="137"/>
      <c r="N94" s="137"/>
      <c r="O94" s="137"/>
      <c r="P94" s="137">
        <f t="shared" si="14"/>
        <v>3204988</v>
      </c>
      <c r="R94" s="137">
        <v>342042</v>
      </c>
      <c r="S94" s="137">
        <v>413502</v>
      </c>
      <c r="T94" s="137">
        <v>437996</v>
      </c>
      <c r="U94" s="137"/>
      <c r="V94" s="137"/>
      <c r="W94" s="137"/>
      <c r="X94" s="137"/>
      <c r="Y94" s="137"/>
      <c r="Z94" s="137"/>
      <c r="AA94" s="137"/>
      <c r="AB94" s="137"/>
      <c r="AC94" s="137"/>
      <c r="AD94" s="137">
        <f t="shared" si="15"/>
        <v>1193540</v>
      </c>
      <c r="AF94" s="84">
        <f t="shared" si="18"/>
        <v>0.34687500950746752</v>
      </c>
      <c r="AG94" s="84">
        <f t="shared" si="18"/>
        <v>0.38505634739271088</v>
      </c>
      <c r="AH94" s="84">
        <f t="shared" si="18"/>
        <v>0.38251355621210309</v>
      </c>
      <c r="AI94" s="84" t="str">
        <f t="shared" si="18"/>
        <v/>
      </c>
      <c r="AJ94" s="84" t="str">
        <f t="shared" si="18"/>
        <v/>
      </c>
      <c r="AK94" s="84" t="str">
        <f t="shared" si="18"/>
        <v/>
      </c>
      <c r="AL94" s="84" t="str">
        <f t="shared" si="18"/>
        <v/>
      </c>
      <c r="AM94" s="84" t="str">
        <f t="shared" si="18"/>
        <v/>
      </c>
      <c r="AN94" s="84" t="str">
        <f t="shared" si="18"/>
        <v/>
      </c>
      <c r="AO94" s="84" t="str">
        <f t="shared" si="18"/>
        <v/>
      </c>
      <c r="AP94" s="84" t="str">
        <f t="shared" si="18"/>
        <v/>
      </c>
      <c r="AQ94" s="84" t="str">
        <f t="shared" si="18"/>
        <v/>
      </c>
      <c r="AR94" s="84">
        <f t="shared" si="18"/>
        <v>0.37240077029929597</v>
      </c>
      <c r="AT94" s="139">
        <f t="shared" si="19"/>
        <v>3.818133788524336E-2</v>
      </c>
      <c r="AU94" s="139">
        <f t="shared" si="19"/>
        <v>-2.5427911806077952E-3</v>
      </c>
      <c r="AV94" s="139" t="str">
        <f t="shared" si="19"/>
        <v/>
      </c>
      <c r="AW94" s="139" t="str">
        <f t="shared" si="19"/>
        <v/>
      </c>
      <c r="AX94" s="139" t="str">
        <f t="shared" si="19"/>
        <v/>
      </c>
      <c r="AY94" s="139" t="str">
        <f t="shared" si="19"/>
        <v/>
      </c>
      <c r="AZ94" s="139" t="str">
        <f t="shared" si="19"/>
        <v/>
      </c>
      <c r="BA94" s="139" t="str">
        <f t="shared" si="19"/>
        <v/>
      </c>
      <c r="BB94" s="139" t="str">
        <f t="shared" si="19"/>
        <v/>
      </c>
      <c r="BC94" s="139" t="str">
        <f t="shared" si="19"/>
        <v/>
      </c>
      <c r="BD94" s="139" t="str">
        <f t="shared" si="19"/>
        <v/>
      </c>
      <c r="BF94" s="82">
        <f t="shared" si="16"/>
        <v>1.5434768968326769E-3</v>
      </c>
      <c r="BG94" s="82">
        <f t="shared" si="17"/>
        <v>0.95298877203774535</v>
      </c>
    </row>
    <row r="95" spans="2:59" x14ac:dyDescent="0.3">
      <c r="B95" s="83" t="s">
        <v>177</v>
      </c>
      <c r="D95" s="137">
        <v>4710733</v>
      </c>
      <c r="E95" s="137">
        <v>4418482</v>
      </c>
      <c r="F95" s="137">
        <v>4613878</v>
      </c>
      <c r="G95" s="137"/>
      <c r="H95" s="137"/>
      <c r="I95" s="137"/>
      <c r="J95" s="137"/>
      <c r="K95" s="137"/>
      <c r="L95" s="137"/>
      <c r="M95" s="137"/>
      <c r="N95" s="137"/>
      <c r="O95" s="137"/>
      <c r="P95" s="137">
        <f t="shared" si="14"/>
        <v>13743093</v>
      </c>
      <c r="R95" s="137">
        <v>571170</v>
      </c>
      <c r="S95" s="137">
        <v>539219</v>
      </c>
      <c r="T95" s="137">
        <v>553532</v>
      </c>
      <c r="U95" s="137"/>
      <c r="V95" s="137"/>
      <c r="W95" s="137"/>
      <c r="X95" s="137"/>
      <c r="Y95" s="137"/>
      <c r="Z95" s="137"/>
      <c r="AA95" s="137"/>
      <c r="AB95" s="137"/>
      <c r="AC95" s="137"/>
      <c r="AD95" s="137">
        <f t="shared" si="15"/>
        <v>1663921</v>
      </c>
      <c r="AF95" s="84">
        <f t="shared" si="18"/>
        <v>0.12124864644207176</v>
      </c>
      <c r="AG95" s="84">
        <f t="shared" si="18"/>
        <v>0.12203716117888451</v>
      </c>
      <c r="AH95" s="84">
        <f t="shared" si="18"/>
        <v>0.11997109589807099</v>
      </c>
      <c r="AI95" s="84" t="str">
        <f t="shared" si="18"/>
        <v/>
      </c>
      <c r="AJ95" s="84" t="str">
        <f t="shared" si="18"/>
        <v/>
      </c>
      <c r="AK95" s="84" t="str">
        <f t="shared" si="18"/>
        <v/>
      </c>
      <c r="AL95" s="84" t="str">
        <f t="shared" si="18"/>
        <v/>
      </c>
      <c r="AM95" s="84" t="str">
        <f t="shared" si="18"/>
        <v/>
      </c>
      <c r="AN95" s="84" t="str">
        <f t="shared" si="18"/>
        <v/>
      </c>
      <c r="AO95" s="84" t="str">
        <f t="shared" si="18"/>
        <v/>
      </c>
      <c r="AP95" s="84" t="str">
        <f t="shared" si="18"/>
        <v/>
      </c>
      <c r="AQ95" s="84" t="str">
        <f t="shared" si="18"/>
        <v/>
      </c>
      <c r="AR95" s="84">
        <f t="shared" si="18"/>
        <v>0.12107325476150092</v>
      </c>
      <c r="AT95" s="139">
        <f t="shared" si="19"/>
        <v>7.8851473681275375E-4</v>
      </c>
      <c r="AU95" s="139">
        <f t="shared" si="19"/>
        <v>-2.0660652808135171E-3</v>
      </c>
      <c r="AV95" s="139" t="str">
        <f t="shared" si="19"/>
        <v/>
      </c>
      <c r="AW95" s="139" t="str">
        <f t="shared" si="19"/>
        <v/>
      </c>
      <c r="AX95" s="139" t="str">
        <f t="shared" si="19"/>
        <v/>
      </c>
      <c r="AY95" s="139" t="str">
        <f t="shared" si="19"/>
        <v/>
      </c>
      <c r="AZ95" s="139" t="str">
        <f t="shared" si="19"/>
        <v/>
      </c>
      <c r="BA95" s="139" t="str">
        <f t="shared" si="19"/>
        <v/>
      </c>
      <c r="BB95" s="139" t="str">
        <f t="shared" si="19"/>
        <v/>
      </c>
      <c r="BC95" s="139" t="str">
        <f t="shared" si="19"/>
        <v/>
      </c>
      <c r="BD95" s="139" t="str">
        <f t="shared" si="19"/>
        <v/>
      </c>
      <c r="BF95" s="82">
        <f t="shared" si="16"/>
        <v>2.1517700467975306E-3</v>
      </c>
      <c r="BG95" s="82">
        <f t="shared" si="17"/>
        <v>0.95514054208454291</v>
      </c>
    </row>
    <row r="96" spans="2:59" x14ac:dyDescent="0.3">
      <c r="B96" s="83" t="s">
        <v>178</v>
      </c>
      <c r="D96" s="137">
        <v>883466</v>
      </c>
      <c r="E96" s="137">
        <v>745543</v>
      </c>
      <c r="F96" s="137">
        <v>807261</v>
      </c>
      <c r="G96" s="137"/>
      <c r="H96" s="137"/>
      <c r="I96" s="137"/>
      <c r="J96" s="137"/>
      <c r="K96" s="137"/>
      <c r="L96" s="137"/>
      <c r="M96" s="137"/>
      <c r="N96" s="137"/>
      <c r="O96" s="137"/>
      <c r="P96" s="137">
        <f t="shared" si="14"/>
        <v>2436270</v>
      </c>
      <c r="R96" s="137">
        <v>149206</v>
      </c>
      <c r="S96" s="137">
        <v>116662</v>
      </c>
      <c r="T96" s="137">
        <v>160131</v>
      </c>
      <c r="U96" s="137"/>
      <c r="V96" s="137"/>
      <c r="W96" s="137"/>
      <c r="X96" s="137"/>
      <c r="Y96" s="137"/>
      <c r="Z96" s="137"/>
      <c r="AA96" s="137"/>
      <c r="AB96" s="137"/>
      <c r="AC96" s="137"/>
      <c r="AD96" s="137">
        <f t="shared" si="15"/>
        <v>425999</v>
      </c>
      <c r="AF96" s="84">
        <f t="shared" si="18"/>
        <v>0.16888708790151516</v>
      </c>
      <c r="AG96" s="84">
        <f t="shared" si="18"/>
        <v>0.15647923728074706</v>
      </c>
      <c r="AH96" s="84">
        <f t="shared" si="18"/>
        <v>0.19836335460278645</v>
      </c>
      <c r="AI96" s="84" t="str">
        <f t="shared" si="18"/>
        <v/>
      </c>
      <c r="AJ96" s="84" t="str">
        <f t="shared" si="18"/>
        <v/>
      </c>
      <c r="AK96" s="84" t="str">
        <f t="shared" si="18"/>
        <v/>
      </c>
      <c r="AL96" s="84" t="str">
        <f t="shared" si="18"/>
        <v/>
      </c>
      <c r="AM96" s="84" t="str">
        <f t="shared" si="18"/>
        <v/>
      </c>
      <c r="AN96" s="84" t="str">
        <f t="shared" si="18"/>
        <v/>
      </c>
      <c r="AO96" s="84" t="str">
        <f t="shared" si="18"/>
        <v/>
      </c>
      <c r="AP96" s="84" t="str">
        <f t="shared" si="18"/>
        <v/>
      </c>
      <c r="AQ96" s="84" t="str">
        <f t="shared" si="18"/>
        <v/>
      </c>
      <c r="AR96" s="84">
        <f t="shared" si="18"/>
        <v>0.17485705607342372</v>
      </c>
      <c r="AT96" s="139">
        <f t="shared" si="19"/>
        <v>-1.2407850620768102E-2</v>
      </c>
      <c r="AU96" s="139">
        <f t="shared" si="19"/>
        <v>4.1884117322039394E-2</v>
      </c>
      <c r="AV96" s="139" t="str">
        <f t="shared" si="19"/>
        <v/>
      </c>
      <c r="AW96" s="139" t="str">
        <f t="shared" si="19"/>
        <v/>
      </c>
      <c r="AX96" s="139" t="str">
        <f t="shared" si="19"/>
        <v/>
      </c>
      <c r="AY96" s="139" t="str">
        <f t="shared" si="19"/>
        <v/>
      </c>
      <c r="AZ96" s="139" t="str">
        <f t="shared" si="19"/>
        <v/>
      </c>
      <c r="BA96" s="139" t="str">
        <f t="shared" si="19"/>
        <v/>
      </c>
      <c r="BB96" s="139" t="str">
        <f t="shared" si="19"/>
        <v/>
      </c>
      <c r="BC96" s="139" t="str">
        <f t="shared" si="19"/>
        <v/>
      </c>
      <c r="BD96" s="139" t="str">
        <f t="shared" si="19"/>
        <v/>
      </c>
      <c r="BF96" s="82">
        <f t="shared" si="16"/>
        <v>5.5089868339043817E-4</v>
      </c>
      <c r="BG96" s="82">
        <f t="shared" si="17"/>
        <v>0.95569144076793333</v>
      </c>
    </row>
    <row r="97" spans="2:59" x14ac:dyDescent="0.3">
      <c r="B97" s="83" t="s">
        <v>179</v>
      </c>
      <c r="D97" s="137">
        <v>2123549</v>
      </c>
      <c r="E97" s="137">
        <v>1702450</v>
      </c>
      <c r="F97" s="137">
        <v>1460761</v>
      </c>
      <c r="G97" s="137"/>
      <c r="H97" s="137"/>
      <c r="I97" s="137"/>
      <c r="J97" s="137"/>
      <c r="K97" s="137"/>
      <c r="L97" s="137"/>
      <c r="M97" s="137"/>
      <c r="N97" s="137"/>
      <c r="O97" s="137"/>
      <c r="P97" s="137">
        <f t="shared" si="14"/>
        <v>5286760</v>
      </c>
      <c r="R97" s="137">
        <v>298855</v>
      </c>
      <c r="S97" s="137">
        <v>245588</v>
      </c>
      <c r="T97" s="137">
        <v>215103</v>
      </c>
      <c r="U97" s="137"/>
      <c r="V97" s="137"/>
      <c r="W97" s="137"/>
      <c r="X97" s="137"/>
      <c r="Y97" s="137"/>
      <c r="Z97" s="137"/>
      <c r="AA97" s="137"/>
      <c r="AB97" s="137"/>
      <c r="AC97" s="137"/>
      <c r="AD97" s="137">
        <f t="shared" si="15"/>
        <v>759546</v>
      </c>
      <c r="AF97" s="84">
        <f t="shared" si="18"/>
        <v>0.14073374337017888</v>
      </c>
      <c r="AG97" s="84">
        <f t="shared" si="18"/>
        <v>0.14425563158976767</v>
      </c>
      <c r="AH97" s="84">
        <f t="shared" si="18"/>
        <v>0.14725406825620344</v>
      </c>
      <c r="AI97" s="84" t="str">
        <f t="shared" si="18"/>
        <v/>
      </c>
      <c r="AJ97" s="84" t="str">
        <f t="shared" si="18"/>
        <v/>
      </c>
      <c r="AK97" s="84" t="str">
        <f t="shared" si="18"/>
        <v/>
      </c>
      <c r="AL97" s="84" t="str">
        <f t="shared" si="18"/>
        <v/>
      </c>
      <c r="AM97" s="84" t="str">
        <f t="shared" si="18"/>
        <v/>
      </c>
      <c r="AN97" s="84" t="str">
        <f t="shared" si="18"/>
        <v/>
      </c>
      <c r="AO97" s="84" t="str">
        <f t="shared" si="18"/>
        <v/>
      </c>
      <c r="AP97" s="84" t="str">
        <f t="shared" si="18"/>
        <v/>
      </c>
      <c r="AQ97" s="84" t="str">
        <f t="shared" si="18"/>
        <v/>
      </c>
      <c r="AR97" s="84">
        <f t="shared" si="18"/>
        <v>0.14366946863485386</v>
      </c>
      <c r="AT97" s="139">
        <f t="shared" si="19"/>
        <v>3.5218882195887924E-3</v>
      </c>
      <c r="AU97" s="139">
        <f t="shared" si="19"/>
        <v>2.9984366664357609E-3</v>
      </c>
      <c r="AV97" s="139" t="str">
        <f t="shared" si="19"/>
        <v/>
      </c>
      <c r="AW97" s="139" t="str">
        <f t="shared" si="19"/>
        <v/>
      </c>
      <c r="AX97" s="139" t="str">
        <f t="shared" si="19"/>
        <v/>
      </c>
      <c r="AY97" s="139" t="str">
        <f t="shared" si="19"/>
        <v/>
      </c>
      <c r="AZ97" s="139" t="str">
        <f t="shared" si="19"/>
        <v/>
      </c>
      <c r="BA97" s="139" t="str">
        <f t="shared" si="19"/>
        <v/>
      </c>
      <c r="BB97" s="139" t="str">
        <f t="shared" si="19"/>
        <v/>
      </c>
      <c r="BC97" s="139" t="str">
        <f t="shared" si="19"/>
        <v/>
      </c>
      <c r="BD97" s="139" t="str">
        <f t="shared" si="19"/>
        <v/>
      </c>
      <c r="BF97" s="82">
        <f t="shared" si="16"/>
        <v>9.8223913993806026E-4</v>
      </c>
      <c r="BG97" s="82">
        <f t="shared" si="17"/>
        <v>0.95667367990787144</v>
      </c>
    </row>
    <row r="98" spans="2:59" x14ac:dyDescent="0.3">
      <c r="B98" s="83" t="s">
        <v>180</v>
      </c>
      <c r="D98" s="137">
        <v>499843</v>
      </c>
      <c r="E98" s="137">
        <v>513786</v>
      </c>
      <c r="F98" s="137">
        <v>455611</v>
      </c>
      <c r="G98" s="137"/>
      <c r="H98" s="137"/>
      <c r="I98" s="137"/>
      <c r="J98" s="137"/>
      <c r="K98" s="137"/>
      <c r="L98" s="137"/>
      <c r="M98" s="137"/>
      <c r="N98" s="137"/>
      <c r="O98" s="137"/>
      <c r="P98" s="137">
        <f t="shared" si="14"/>
        <v>1469240</v>
      </c>
      <c r="R98" s="137">
        <v>96810</v>
      </c>
      <c r="S98" s="137">
        <v>92280</v>
      </c>
      <c r="T98" s="137">
        <v>97605</v>
      </c>
      <c r="U98" s="137"/>
      <c r="V98" s="137"/>
      <c r="W98" s="137"/>
      <c r="X98" s="137"/>
      <c r="Y98" s="137"/>
      <c r="Z98" s="137"/>
      <c r="AA98" s="137"/>
      <c r="AB98" s="137"/>
      <c r="AC98" s="137"/>
      <c r="AD98" s="137">
        <f t="shared" si="15"/>
        <v>286695</v>
      </c>
      <c r="AF98" s="84">
        <f t="shared" si="18"/>
        <v>0.1936808157761537</v>
      </c>
      <c r="AG98" s="84">
        <f t="shared" si="18"/>
        <v>0.17960785229648141</v>
      </c>
      <c r="AH98" s="84">
        <f t="shared" si="18"/>
        <v>0.21422880483570414</v>
      </c>
      <c r="AI98" s="84" t="str">
        <f t="shared" si="18"/>
        <v/>
      </c>
      <c r="AJ98" s="84" t="str">
        <f t="shared" si="18"/>
        <v/>
      </c>
      <c r="AK98" s="84" t="str">
        <f t="shared" si="18"/>
        <v/>
      </c>
      <c r="AL98" s="84" t="str">
        <f t="shared" si="18"/>
        <v/>
      </c>
      <c r="AM98" s="84" t="str">
        <f t="shared" si="18"/>
        <v/>
      </c>
      <c r="AN98" s="84" t="str">
        <f t="shared" si="18"/>
        <v/>
      </c>
      <c r="AO98" s="84" t="str">
        <f t="shared" si="18"/>
        <v/>
      </c>
      <c r="AP98" s="84" t="str">
        <f t="shared" si="18"/>
        <v/>
      </c>
      <c r="AQ98" s="84" t="str">
        <f t="shared" si="18"/>
        <v/>
      </c>
      <c r="AR98" s="84">
        <f t="shared" si="18"/>
        <v>0.19513149655604259</v>
      </c>
      <c r="AT98" s="139">
        <f t="shared" si="19"/>
        <v>-1.4072963479672296E-2</v>
      </c>
      <c r="AU98" s="139">
        <f t="shared" si="19"/>
        <v>3.4620952539222732E-2</v>
      </c>
      <c r="AV98" s="139" t="str">
        <f t="shared" si="19"/>
        <v/>
      </c>
      <c r="AW98" s="139" t="str">
        <f t="shared" si="19"/>
        <v/>
      </c>
      <c r="AX98" s="139" t="str">
        <f t="shared" si="19"/>
        <v/>
      </c>
      <c r="AY98" s="139" t="str">
        <f t="shared" si="19"/>
        <v/>
      </c>
      <c r="AZ98" s="139" t="str">
        <f t="shared" si="19"/>
        <v/>
      </c>
      <c r="BA98" s="139" t="str">
        <f t="shared" si="19"/>
        <v/>
      </c>
      <c r="BB98" s="139" t="str">
        <f t="shared" si="19"/>
        <v/>
      </c>
      <c r="BC98" s="139" t="str">
        <f t="shared" si="19"/>
        <v/>
      </c>
      <c r="BD98" s="139" t="str">
        <f t="shared" si="19"/>
        <v/>
      </c>
      <c r="BF98" s="82">
        <f t="shared" si="16"/>
        <v>3.7075180466297259E-4</v>
      </c>
      <c r="BG98" s="82">
        <f t="shared" si="17"/>
        <v>0.95704443171253439</v>
      </c>
    </row>
    <row r="99" spans="2:59" x14ac:dyDescent="0.3">
      <c r="B99" s="83" t="s">
        <v>181</v>
      </c>
      <c r="D99" s="137">
        <v>14204997</v>
      </c>
      <c r="E99" s="137">
        <v>12401195</v>
      </c>
      <c r="F99" s="137">
        <v>13533582</v>
      </c>
      <c r="G99" s="137"/>
      <c r="H99" s="137"/>
      <c r="I99" s="137"/>
      <c r="J99" s="137"/>
      <c r="K99" s="137"/>
      <c r="L99" s="137"/>
      <c r="M99" s="137"/>
      <c r="N99" s="137"/>
      <c r="O99" s="137"/>
      <c r="P99" s="137">
        <f t="shared" si="14"/>
        <v>40139774</v>
      </c>
      <c r="R99" s="137">
        <v>2077260</v>
      </c>
      <c r="S99" s="137">
        <v>1956357</v>
      </c>
      <c r="T99" s="137">
        <v>1910397</v>
      </c>
      <c r="U99" s="137"/>
      <c r="V99" s="137"/>
      <c r="W99" s="137"/>
      <c r="X99" s="137"/>
      <c r="Y99" s="137"/>
      <c r="Z99" s="137"/>
      <c r="AA99" s="137"/>
      <c r="AB99" s="137"/>
      <c r="AC99" s="137"/>
      <c r="AD99" s="137">
        <f t="shared" si="15"/>
        <v>5944014</v>
      </c>
      <c r="AF99" s="84">
        <f t="shared" si="18"/>
        <v>0.14623445538214475</v>
      </c>
      <c r="AG99" s="84">
        <f t="shared" si="18"/>
        <v>0.15775552275405716</v>
      </c>
      <c r="AH99" s="84">
        <f t="shared" si="18"/>
        <v>0.14115974617806284</v>
      </c>
      <c r="AI99" s="84" t="str">
        <f t="shared" si="18"/>
        <v/>
      </c>
      <c r="AJ99" s="84" t="str">
        <f t="shared" si="18"/>
        <v/>
      </c>
      <c r="AK99" s="84" t="str">
        <f t="shared" si="18"/>
        <v/>
      </c>
      <c r="AL99" s="84" t="str">
        <f t="shared" si="18"/>
        <v/>
      </c>
      <c r="AM99" s="84" t="str">
        <f t="shared" si="18"/>
        <v/>
      </c>
      <c r="AN99" s="84" t="str">
        <f t="shared" si="18"/>
        <v/>
      </c>
      <c r="AO99" s="84" t="str">
        <f t="shared" si="18"/>
        <v/>
      </c>
      <c r="AP99" s="84" t="str">
        <f t="shared" si="18"/>
        <v/>
      </c>
      <c r="AQ99" s="84" t="str">
        <f t="shared" si="18"/>
        <v/>
      </c>
      <c r="AR99" s="84">
        <f t="shared" si="18"/>
        <v>0.14808289653050863</v>
      </c>
      <c r="AT99" s="139">
        <f t="shared" si="19"/>
        <v>1.1521067371912413E-2</v>
      </c>
      <c r="AU99" s="139">
        <f t="shared" si="19"/>
        <v>-1.6595776575994314E-2</v>
      </c>
      <c r="AV99" s="139" t="str">
        <f t="shared" si="19"/>
        <v/>
      </c>
      <c r="AW99" s="139" t="str">
        <f t="shared" si="19"/>
        <v/>
      </c>
      <c r="AX99" s="139" t="str">
        <f t="shared" si="19"/>
        <v/>
      </c>
      <c r="AY99" s="139" t="str">
        <f t="shared" si="19"/>
        <v/>
      </c>
      <c r="AZ99" s="139" t="str">
        <f t="shared" si="19"/>
        <v/>
      </c>
      <c r="BA99" s="139" t="str">
        <f t="shared" si="19"/>
        <v/>
      </c>
      <c r="BB99" s="139" t="str">
        <f t="shared" si="19"/>
        <v/>
      </c>
      <c r="BC99" s="139" t="str">
        <f t="shared" si="19"/>
        <v/>
      </c>
      <c r="BD99" s="139" t="str">
        <f t="shared" si="19"/>
        <v/>
      </c>
      <c r="BF99" s="82">
        <f t="shared" si="16"/>
        <v>7.686753928188403E-3</v>
      </c>
      <c r="BG99" s="82">
        <f t="shared" si="17"/>
        <v>0.9647311856407228</v>
      </c>
    </row>
    <row r="100" spans="2:59" x14ac:dyDescent="0.3">
      <c r="B100" s="83" t="s">
        <v>182</v>
      </c>
      <c r="D100" s="137">
        <v>2914347</v>
      </c>
      <c r="E100" s="137">
        <v>2293418</v>
      </c>
      <c r="F100" s="137">
        <v>2773821</v>
      </c>
      <c r="G100" s="137"/>
      <c r="H100" s="137"/>
      <c r="I100" s="137"/>
      <c r="J100" s="137"/>
      <c r="K100" s="137"/>
      <c r="L100" s="137"/>
      <c r="M100" s="137"/>
      <c r="N100" s="137"/>
      <c r="O100" s="137"/>
      <c r="P100" s="137">
        <f t="shared" si="14"/>
        <v>7981586</v>
      </c>
      <c r="R100" s="137">
        <v>500945</v>
      </c>
      <c r="S100" s="137">
        <v>448120</v>
      </c>
      <c r="T100" s="137">
        <v>418612</v>
      </c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>
        <f t="shared" si="15"/>
        <v>1367677</v>
      </c>
      <c r="AF100" s="84">
        <f t="shared" si="18"/>
        <v>0.17188927742646981</v>
      </c>
      <c r="AG100" s="84">
        <f t="shared" si="18"/>
        <v>0.19539394911873892</v>
      </c>
      <c r="AH100" s="84">
        <f t="shared" si="18"/>
        <v>0.15091528977536761</v>
      </c>
      <c r="AI100" s="84" t="str">
        <f t="shared" si="18"/>
        <v/>
      </c>
      <c r="AJ100" s="84" t="str">
        <f t="shared" si="18"/>
        <v/>
      </c>
      <c r="AK100" s="84" t="str">
        <f t="shared" si="18"/>
        <v/>
      </c>
      <c r="AL100" s="84" t="str">
        <f t="shared" si="18"/>
        <v/>
      </c>
      <c r="AM100" s="84" t="str">
        <f t="shared" si="18"/>
        <v/>
      </c>
      <c r="AN100" s="84" t="str">
        <f t="shared" si="18"/>
        <v/>
      </c>
      <c r="AO100" s="84" t="str">
        <f t="shared" si="18"/>
        <v/>
      </c>
      <c r="AP100" s="84" t="str">
        <f t="shared" si="18"/>
        <v/>
      </c>
      <c r="AQ100" s="84" t="str">
        <f t="shared" si="18"/>
        <v/>
      </c>
      <c r="AR100" s="84">
        <f t="shared" si="18"/>
        <v>0.17135403915963568</v>
      </c>
      <c r="AT100" s="139">
        <f t="shared" si="19"/>
        <v>2.3504671692269108E-2</v>
      </c>
      <c r="AU100" s="139">
        <f t="shared" si="19"/>
        <v>-4.4478659343371307E-2</v>
      </c>
      <c r="AV100" s="139" t="str">
        <f t="shared" si="19"/>
        <v/>
      </c>
      <c r="AW100" s="139" t="str">
        <f t="shared" si="19"/>
        <v/>
      </c>
      <c r="AX100" s="139" t="str">
        <f t="shared" si="19"/>
        <v/>
      </c>
      <c r="AY100" s="139" t="str">
        <f t="shared" si="19"/>
        <v/>
      </c>
      <c r="AZ100" s="139" t="str">
        <f t="shared" si="19"/>
        <v/>
      </c>
      <c r="BA100" s="139" t="str">
        <f t="shared" si="19"/>
        <v/>
      </c>
      <c r="BB100" s="139" t="str">
        <f t="shared" si="19"/>
        <v/>
      </c>
      <c r="BC100" s="139" t="str">
        <f t="shared" si="19"/>
        <v/>
      </c>
      <c r="BD100" s="139" t="str">
        <f t="shared" si="19"/>
        <v/>
      </c>
      <c r="BF100" s="82">
        <f t="shared" si="16"/>
        <v>1.7686695475890419E-3</v>
      </c>
      <c r="BG100" s="82">
        <f t="shared" si="17"/>
        <v>0.96649985518831183</v>
      </c>
    </row>
    <row r="101" spans="2:59" x14ac:dyDescent="0.3">
      <c r="B101" s="83" t="s">
        <v>183</v>
      </c>
      <c r="D101" s="137">
        <v>970881</v>
      </c>
      <c r="E101" s="137">
        <v>724083</v>
      </c>
      <c r="F101" s="137">
        <v>763910</v>
      </c>
      <c r="G101" s="137"/>
      <c r="H101" s="137"/>
      <c r="I101" s="137"/>
      <c r="J101" s="137"/>
      <c r="K101" s="137"/>
      <c r="L101" s="137"/>
      <c r="M101" s="137"/>
      <c r="N101" s="137"/>
      <c r="O101" s="137"/>
      <c r="P101" s="137">
        <f t="shared" si="14"/>
        <v>2458874</v>
      </c>
      <c r="R101" s="137">
        <v>116396</v>
      </c>
      <c r="S101" s="137">
        <v>72589</v>
      </c>
      <c r="T101" s="137">
        <v>80871</v>
      </c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>
        <f t="shared" si="15"/>
        <v>269856</v>
      </c>
      <c r="AF101" s="84">
        <f t="shared" si="18"/>
        <v>0.11988698923966995</v>
      </c>
      <c r="AG101" s="84">
        <f t="shared" si="18"/>
        <v>0.10024955702592106</v>
      </c>
      <c r="AH101" s="84">
        <f t="shared" si="18"/>
        <v>0.10586456519747091</v>
      </c>
      <c r="AI101" s="84" t="str">
        <f t="shared" si="18"/>
        <v/>
      </c>
      <c r="AJ101" s="84" t="str">
        <f t="shared" si="18"/>
        <v/>
      </c>
      <c r="AK101" s="84" t="str">
        <f t="shared" si="18"/>
        <v/>
      </c>
      <c r="AL101" s="84" t="str">
        <f t="shared" si="18"/>
        <v/>
      </c>
      <c r="AM101" s="84" t="str">
        <f t="shared" si="18"/>
        <v/>
      </c>
      <c r="AN101" s="84" t="str">
        <f t="shared" si="18"/>
        <v/>
      </c>
      <c r="AO101" s="84" t="str">
        <f t="shared" si="18"/>
        <v/>
      </c>
      <c r="AP101" s="84" t="str">
        <f t="shared" si="18"/>
        <v/>
      </c>
      <c r="AQ101" s="84" t="str">
        <f t="shared" si="18"/>
        <v/>
      </c>
      <c r="AR101" s="84">
        <f t="shared" si="18"/>
        <v>0.10974779512898994</v>
      </c>
      <c r="AT101" s="139">
        <f t="shared" si="19"/>
        <v>-1.963743221374889E-2</v>
      </c>
      <c r="AU101" s="139">
        <f t="shared" si="19"/>
        <v>5.6150081715498484E-3</v>
      </c>
      <c r="AV101" s="139" t="str">
        <f t="shared" si="19"/>
        <v/>
      </c>
      <c r="AW101" s="139" t="str">
        <f t="shared" si="19"/>
        <v/>
      </c>
      <c r="AX101" s="139" t="str">
        <f t="shared" si="19"/>
        <v/>
      </c>
      <c r="AY101" s="139" t="str">
        <f t="shared" si="19"/>
        <v/>
      </c>
      <c r="AZ101" s="139" t="str">
        <f t="shared" si="19"/>
        <v/>
      </c>
      <c r="BA101" s="139" t="str">
        <f t="shared" si="19"/>
        <v/>
      </c>
      <c r="BB101" s="139" t="str">
        <f t="shared" si="19"/>
        <v/>
      </c>
      <c r="BC101" s="139" t="str">
        <f t="shared" si="19"/>
        <v/>
      </c>
      <c r="BD101" s="139" t="str">
        <f t="shared" si="19"/>
        <v/>
      </c>
      <c r="BF101" s="82">
        <f t="shared" si="16"/>
        <v>3.4897573727874962E-4</v>
      </c>
      <c r="BG101" s="82">
        <f t="shared" si="17"/>
        <v>0.9668488309255906</v>
      </c>
    </row>
    <row r="102" spans="2:59" x14ac:dyDescent="0.3">
      <c r="B102" s="83" t="s">
        <v>184</v>
      </c>
      <c r="D102" s="137">
        <v>546759</v>
      </c>
      <c r="E102" s="137">
        <v>454534</v>
      </c>
      <c r="F102" s="137">
        <v>396645</v>
      </c>
      <c r="G102" s="137"/>
      <c r="H102" s="137"/>
      <c r="I102" s="137"/>
      <c r="J102" s="137"/>
      <c r="K102" s="137"/>
      <c r="L102" s="137"/>
      <c r="M102" s="137"/>
      <c r="N102" s="137"/>
      <c r="O102" s="137"/>
      <c r="P102" s="137">
        <f t="shared" si="14"/>
        <v>1397938</v>
      </c>
      <c r="R102" s="137">
        <v>91022</v>
      </c>
      <c r="S102" s="137">
        <v>120238</v>
      </c>
      <c r="T102" s="137">
        <v>53107</v>
      </c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>
        <f t="shared" si="15"/>
        <v>264367</v>
      </c>
      <c r="AF102" s="84">
        <f t="shared" si="18"/>
        <v>0.16647554041177193</v>
      </c>
      <c r="AG102" s="84">
        <f t="shared" si="18"/>
        <v>0.26453026616270731</v>
      </c>
      <c r="AH102" s="84">
        <f t="shared" si="18"/>
        <v>0.1338905066243114</v>
      </c>
      <c r="AI102" s="84" t="str">
        <f t="shared" si="18"/>
        <v/>
      </c>
      <c r="AJ102" s="84" t="str">
        <f t="shared" si="18"/>
        <v/>
      </c>
      <c r="AK102" s="84" t="str">
        <f t="shared" si="18"/>
        <v/>
      </c>
      <c r="AL102" s="84" t="str">
        <f t="shared" si="18"/>
        <v/>
      </c>
      <c r="AM102" s="84" t="str">
        <f t="shared" si="18"/>
        <v/>
      </c>
      <c r="AN102" s="84" t="str">
        <f t="shared" si="18"/>
        <v/>
      </c>
      <c r="AO102" s="84" t="str">
        <f t="shared" si="18"/>
        <v/>
      </c>
      <c r="AP102" s="84" t="str">
        <f t="shared" si="18"/>
        <v/>
      </c>
      <c r="AQ102" s="84" t="str">
        <f t="shared" si="18"/>
        <v/>
      </c>
      <c r="AR102" s="84">
        <f t="shared" si="18"/>
        <v>0.18911210654549773</v>
      </c>
      <c r="AT102" s="139">
        <f t="shared" si="19"/>
        <v>9.8054725750935379E-2</v>
      </c>
      <c r="AU102" s="139">
        <f t="shared" si="19"/>
        <v>-0.13063975953839591</v>
      </c>
      <c r="AV102" s="139" t="str">
        <f t="shared" si="19"/>
        <v/>
      </c>
      <c r="AW102" s="139" t="str">
        <f t="shared" si="19"/>
        <v/>
      </c>
      <c r="AX102" s="139" t="str">
        <f t="shared" si="19"/>
        <v/>
      </c>
      <c r="AY102" s="139" t="str">
        <f t="shared" si="19"/>
        <v/>
      </c>
      <c r="AZ102" s="139" t="str">
        <f t="shared" si="19"/>
        <v/>
      </c>
      <c r="BA102" s="139" t="str">
        <f t="shared" si="19"/>
        <v/>
      </c>
      <c r="BB102" s="139" t="str">
        <f t="shared" si="19"/>
        <v/>
      </c>
      <c r="BC102" s="139" t="str">
        <f t="shared" si="19"/>
        <v/>
      </c>
      <c r="BD102" s="139" t="str">
        <f t="shared" si="19"/>
        <v/>
      </c>
      <c r="BF102" s="82">
        <f t="shared" si="16"/>
        <v>3.418774040124037E-4</v>
      </c>
      <c r="BG102" s="82">
        <f t="shared" si="17"/>
        <v>0.96719070832960297</v>
      </c>
    </row>
    <row r="103" spans="2:59" x14ac:dyDescent="0.3">
      <c r="B103" s="83" t="s">
        <v>185</v>
      </c>
      <c r="D103" s="137">
        <v>375574</v>
      </c>
      <c r="E103" s="137">
        <v>331622</v>
      </c>
      <c r="F103" s="137">
        <v>360895</v>
      </c>
      <c r="G103" s="137"/>
      <c r="H103" s="137"/>
      <c r="I103" s="137"/>
      <c r="J103" s="137"/>
      <c r="K103" s="137"/>
      <c r="L103" s="137"/>
      <c r="M103" s="137"/>
      <c r="N103" s="137"/>
      <c r="O103" s="137"/>
      <c r="P103" s="137">
        <f t="shared" si="14"/>
        <v>1068091</v>
      </c>
      <c r="R103" s="137">
        <v>58643</v>
      </c>
      <c r="S103" s="137">
        <v>41597</v>
      </c>
      <c r="T103" s="137">
        <v>56699</v>
      </c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>
        <f t="shared" si="15"/>
        <v>156939</v>
      </c>
      <c r="AF103" s="84">
        <f t="shared" si="18"/>
        <v>0.15614233147129461</v>
      </c>
      <c r="AG103" s="84">
        <f t="shared" si="18"/>
        <v>0.12543498320376814</v>
      </c>
      <c r="AH103" s="84">
        <f t="shared" si="18"/>
        <v>0.15710663766469471</v>
      </c>
      <c r="AI103" s="84" t="str">
        <f t="shared" si="18"/>
        <v/>
      </c>
      <c r="AJ103" s="84" t="str">
        <f t="shared" si="18"/>
        <v/>
      </c>
      <c r="AK103" s="84" t="str">
        <f t="shared" si="18"/>
        <v/>
      </c>
      <c r="AL103" s="84" t="str">
        <f t="shared" si="18"/>
        <v/>
      </c>
      <c r="AM103" s="84" t="str">
        <f t="shared" si="18"/>
        <v/>
      </c>
      <c r="AN103" s="84" t="str">
        <f t="shared" si="18"/>
        <v/>
      </c>
      <c r="AO103" s="84" t="str">
        <f t="shared" si="18"/>
        <v/>
      </c>
      <c r="AP103" s="84" t="str">
        <f t="shared" si="18"/>
        <v/>
      </c>
      <c r="AQ103" s="84" t="str">
        <f t="shared" si="18"/>
        <v/>
      </c>
      <c r="AR103" s="84">
        <f t="shared" si="18"/>
        <v>0.14693410954684571</v>
      </c>
      <c r="AT103" s="139">
        <f t="shared" si="19"/>
        <v>-3.0707348267526469E-2</v>
      </c>
      <c r="AU103" s="139">
        <f t="shared" si="19"/>
        <v>3.1671654460926568E-2</v>
      </c>
      <c r="AV103" s="139" t="str">
        <f t="shared" si="19"/>
        <v/>
      </c>
      <c r="AW103" s="139" t="str">
        <f t="shared" si="19"/>
        <v/>
      </c>
      <c r="AX103" s="139" t="str">
        <f t="shared" si="19"/>
        <v/>
      </c>
      <c r="AY103" s="139" t="str">
        <f t="shared" si="19"/>
        <v/>
      </c>
      <c r="AZ103" s="139" t="str">
        <f t="shared" si="19"/>
        <v/>
      </c>
      <c r="BA103" s="139" t="str">
        <f t="shared" si="19"/>
        <v/>
      </c>
      <c r="BB103" s="139" t="str">
        <f t="shared" si="19"/>
        <v/>
      </c>
      <c r="BC103" s="139" t="str">
        <f t="shared" si="19"/>
        <v/>
      </c>
      <c r="BD103" s="139" t="str">
        <f t="shared" si="19"/>
        <v/>
      </c>
      <c r="BF103" s="82">
        <f t="shared" si="16"/>
        <v>2.0295232728858982E-4</v>
      </c>
      <c r="BG103" s="82">
        <f t="shared" si="17"/>
        <v>0.96739366065689159</v>
      </c>
    </row>
    <row r="104" spans="2:59" x14ac:dyDescent="0.3">
      <c r="B104" s="83" t="s">
        <v>186</v>
      </c>
      <c r="D104" s="137">
        <v>338407</v>
      </c>
      <c r="E104" s="137">
        <v>347515</v>
      </c>
      <c r="F104" s="137">
        <v>301554</v>
      </c>
      <c r="G104" s="137"/>
      <c r="H104" s="137"/>
      <c r="I104" s="137"/>
      <c r="J104" s="137"/>
      <c r="K104" s="137"/>
      <c r="L104" s="137"/>
      <c r="M104" s="137"/>
      <c r="N104" s="137"/>
      <c r="O104" s="137"/>
      <c r="P104" s="137">
        <f t="shared" si="14"/>
        <v>987476</v>
      </c>
      <c r="R104" s="137">
        <v>85895</v>
      </c>
      <c r="S104" s="137">
        <v>55886</v>
      </c>
      <c r="T104" s="137">
        <v>54668</v>
      </c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>
        <f t="shared" si="15"/>
        <v>196449</v>
      </c>
      <c r="AF104" s="84">
        <f t="shared" si="18"/>
        <v>0.25382158170487018</v>
      </c>
      <c r="AG104" s="84">
        <f t="shared" si="18"/>
        <v>0.16081607988144397</v>
      </c>
      <c r="AH104" s="84">
        <f t="shared" si="18"/>
        <v>0.1812875969146488</v>
      </c>
      <c r="AI104" s="84" t="str">
        <f t="shared" si="18"/>
        <v/>
      </c>
      <c r="AJ104" s="84" t="str">
        <f t="shared" si="18"/>
        <v/>
      </c>
      <c r="AK104" s="84" t="str">
        <f t="shared" si="18"/>
        <v/>
      </c>
      <c r="AL104" s="84" t="str">
        <f t="shared" si="18"/>
        <v/>
      </c>
      <c r="AM104" s="84" t="str">
        <f t="shared" si="18"/>
        <v/>
      </c>
      <c r="AN104" s="84" t="str">
        <f t="shared" si="18"/>
        <v/>
      </c>
      <c r="AO104" s="84" t="str">
        <f t="shared" si="18"/>
        <v/>
      </c>
      <c r="AP104" s="84" t="str">
        <f t="shared" si="18"/>
        <v/>
      </c>
      <c r="AQ104" s="84" t="str">
        <f t="shared" si="18"/>
        <v/>
      </c>
      <c r="AR104" s="84">
        <f t="shared" si="18"/>
        <v>0.1989405312129105</v>
      </c>
      <c r="AT104" s="139">
        <f t="shared" si="19"/>
        <v>-9.3005501823426207E-2</v>
      </c>
      <c r="AU104" s="139">
        <f t="shared" si="19"/>
        <v>2.0471517033204822E-2</v>
      </c>
      <c r="AV104" s="139" t="str">
        <f t="shared" si="19"/>
        <v/>
      </c>
      <c r="AW104" s="139" t="str">
        <f t="shared" si="19"/>
        <v/>
      </c>
      <c r="AX104" s="139" t="str">
        <f t="shared" si="19"/>
        <v/>
      </c>
      <c r="AY104" s="139" t="str">
        <f t="shared" si="19"/>
        <v/>
      </c>
      <c r="AZ104" s="139" t="str">
        <f t="shared" si="19"/>
        <v/>
      </c>
      <c r="BA104" s="139" t="str">
        <f t="shared" si="19"/>
        <v/>
      </c>
      <c r="BB104" s="139" t="str">
        <f t="shared" si="19"/>
        <v/>
      </c>
      <c r="BC104" s="139" t="str">
        <f t="shared" si="19"/>
        <v/>
      </c>
      <c r="BD104" s="139" t="str">
        <f t="shared" si="19"/>
        <v/>
      </c>
      <c r="BF104" s="82">
        <f t="shared" si="16"/>
        <v>2.5404636032800117E-4</v>
      </c>
      <c r="BG104" s="82">
        <f t="shared" si="17"/>
        <v>0.96764770701721958</v>
      </c>
    </row>
    <row r="105" spans="2:59" x14ac:dyDescent="0.3">
      <c r="B105" s="83" t="s">
        <v>187</v>
      </c>
      <c r="D105" s="137">
        <v>505261</v>
      </c>
      <c r="E105" s="137">
        <v>471447</v>
      </c>
      <c r="F105" s="137">
        <v>480415</v>
      </c>
      <c r="G105" s="137"/>
      <c r="H105" s="137"/>
      <c r="I105" s="137"/>
      <c r="J105" s="137"/>
      <c r="K105" s="137"/>
      <c r="L105" s="137"/>
      <c r="M105" s="137"/>
      <c r="N105" s="137"/>
      <c r="O105" s="137"/>
      <c r="P105" s="137">
        <f t="shared" si="14"/>
        <v>1457123</v>
      </c>
      <c r="R105" s="137">
        <v>134365</v>
      </c>
      <c r="S105" s="137">
        <v>125782</v>
      </c>
      <c r="T105" s="137">
        <v>165809</v>
      </c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>
        <f t="shared" si="15"/>
        <v>425956</v>
      </c>
      <c r="AF105" s="84">
        <f t="shared" si="18"/>
        <v>0.26593186491733978</v>
      </c>
      <c r="AG105" s="84">
        <f t="shared" si="18"/>
        <v>0.2667998735806994</v>
      </c>
      <c r="AH105" s="84">
        <f t="shared" si="18"/>
        <v>0.34513701695409177</v>
      </c>
      <c r="AI105" s="84" t="str">
        <f t="shared" si="18"/>
        <v/>
      </c>
      <c r="AJ105" s="84" t="str">
        <f t="shared" si="18"/>
        <v/>
      </c>
      <c r="AK105" s="84" t="str">
        <f t="shared" si="18"/>
        <v/>
      </c>
      <c r="AL105" s="84" t="str">
        <f t="shared" si="18"/>
        <v/>
      </c>
      <c r="AM105" s="84" t="str">
        <f t="shared" si="18"/>
        <v/>
      </c>
      <c r="AN105" s="84" t="str">
        <f t="shared" si="18"/>
        <v/>
      </c>
      <c r="AO105" s="84" t="str">
        <f t="shared" si="18"/>
        <v/>
      </c>
      <c r="AP105" s="84" t="str">
        <f t="shared" si="18"/>
        <v/>
      </c>
      <c r="AQ105" s="84" t="str">
        <f t="shared" si="18"/>
        <v/>
      </c>
      <c r="AR105" s="84">
        <f t="shared" si="18"/>
        <v>0.29232672876620575</v>
      </c>
      <c r="AT105" s="139">
        <f t="shared" si="19"/>
        <v>8.6800866335962068E-4</v>
      </c>
      <c r="AU105" s="139">
        <f t="shared" si="19"/>
        <v>7.8337143373392371E-2</v>
      </c>
      <c r="AV105" s="139" t="str">
        <f t="shared" si="19"/>
        <v/>
      </c>
      <c r="AW105" s="139" t="str">
        <f t="shared" si="19"/>
        <v/>
      </c>
      <c r="AX105" s="139" t="str">
        <f t="shared" si="19"/>
        <v/>
      </c>
      <c r="AY105" s="139" t="str">
        <f t="shared" si="19"/>
        <v/>
      </c>
      <c r="AZ105" s="139" t="str">
        <f t="shared" si="19"/>
        <v/>
      </c>
      <c r="BA105" s="139" t="str">
        <f t="shared" si="19"/>
        <v/>
      </c>
      <c r="BB105" s="139" t="str">
        <f t="shared" si="19"/>
        <v/>
      </c>
      <c r="BC105" s="139" t="str">
        <f t="shared" si="19"/>
        <v/>
      </c>
      <c r="BD105" s="139" t="str">
        <f t="shared" si="19"/>
        <v/>
      </c>
      <c r="BF105" s="82">
        <f t="shared" si="16"/>
        <v>5.5084307611580655E-4</v>
      </c>
      <c r="BG105" s="82">
        <f t="shared" si="17"/>
        <v>0.96819855009333544</v>
      </c>
    </row>
    <row r="106" spans="2:59" x14ac:dyDescent="0.3">
      <c r="B106" s="83" t="s">
        <v>188</v>
      </c>
      <c r="D106" s="137">
        <v>364999</v>
      </c>
      <c r="E106" s="137">
        <v>337489</v>
      </c>
      <c r="F106" s="137">
        <v>418926</v>
      </c>
      <c r="G106" s="137"/>
      <c r="H106" s="137"/>
      <c r="I106" s="137"/>
      <c r="J106" s="137"/>
      <c r="K106" s="137"/>
      <c r="L106" s="137"/>
      <c r="M106" s="137"/>
      <c r="N106" s="137"/>
      <c r="O106" s="137"/>
      <c r="P106" s="137">
        <f t="shared" si="14"/>
        <v>1121414</v>
      </c>
      <c r="R106" s="137">
        <v>68687</v>
      </c>
      <c r="S106" s="137">
        <v>67429</v>
      </c>
      <c r="T106" s="137">
        <v>72704</v>
      </c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>
        <f t="shared" si="15"/>
        <v>208820</v>
      </c>
      <c r="AF106" s="84">
        <f t="shared" si="18"/>
        <v>0.1881840772166499</v>
      </c>
      <c r="AG106" s="84">
        <f t="shared" si="18"/>
        <v>0.19979614150387123</v>
      </c>
      <c r="AH106" s="84">
        <f t="shared" si="18"/>
        <v>0.17354855034063296</v>
      </c>
      <c r="AI106" s="84" t="str">
        <f t="shared" si="18"/>
        <v/>
      </c>
      <c r="AJ106" s="84" t="str">
        <f t="shared" si="18"/>
        <v/>
      </c>
      <c r="AK106" s="84" t="str">
        <f t="shared" si="18"/>
        <v/>
      </c>
      <c r="AL106" s="84" t="str">
        <f t="shared" si="18"/>
        <v/>
      </c>
      <c r="AM106" s="84" t="str">
        <f t="shared" si="18"/>
        <v/>
      </c>
      <c r="AN106" s="84" t="str">
        <f t="shared" si="18"/>
        <v/>
      </c>
      <c r="AO106" s="84" t="str">
        <f t="shared" si="18"/>
        <v/>
      </c>
      <c r="AP106" s="84" t="str">
        <f t="shared" si="18"/>
        <v/>
      </c>
      <c r="AQ106" s="84" t="str">
        <f t="shared" si="18"/>
        <v/>
      </c>
      <c r="AR106" s="84">
        <f t="shared" si="18"/>
        <v>0.18621133675877063</v>
      </c>
      <c r="AT106" s="139">
        <f t="shared" si="19"/>
        <v>1.1612064287221335E-2</v>
      </c>
      <c r="AU106" s="139">
        <f t="shared" si="19"/>
        <v>-2.6247591163238271E-2</v>
      </c>
      <c r="AV106" s="139" t="str">
        <f t="shared" si="19"/>
        <v/>
      </c>
      <c r="AW106" s="139" t="str">
        <f t="shared" si="19"/>
        <v/>
      </c>
      <c r="AX106" s="139" t="str">
        <f t="shared" si="19"/>
        <v/>
      </c>
      <c r="AY106" s="139" t="str">
        <f t="shared" si="19"/>
        <v/>
      </c>
      <c r="AZ106" s="139" t="str">
        <f t="shared" si="19"/>
        <v/>
      </c>
      <c r="BA106" s="139" t="str">
        <f t="shared" si="19"/>
        <v/>
      </c>
      <c r="BB106" s="139" t="str">
        <f t="shared" si="19"/>
        <v/>
      </c>
      <c r="BC106" s="139" t="str">
        <f t="shared" si="19"/>
        <v/>
      </c>
      <c r="BD106" s="139" t="str">
        <f t="shared" si="19"/>
        <v/>
      </c>
      <c r="BF106" s="82">
        <f t="shared" si="16"/>
        <v>2.7004444392027043E-4</v>
      </c>
      <c r="BG106" s="82">
        <f t="shared" si="17"/>
        <v>0.96846859453725576</v>
      </c>
    </row>
    <row r="107" spans="2:59" x14ac:dyDescent="0.3">
      <c r="B107" s="83" t="s">
        <v>189</v>
      </c>
      <c r="D107" s="137">
        <v>145313</v>
      </c>
      <c r="E107" s="137">
        <v>133473</v>
      </c>
      <c r="F107" s="137">
        <v>164289</v>
      </c>
      <c r="G107" s="137"/>
      <c r="H107" s="137"/>
      <c r="I107" s="137"/>
      <c r="J107" s="137"/>
      <c r="K107" s="137"/>
      <c r="L107" s="137"/>
      <c r="M107" s="137"/>
      <c r="N107" s="137"/>
      <c r="O107" s="137"/>
      <c r="P107" s="137">
        <f t="shared" si="14"/>
        <v>443075</v>
      </c>
      <c r="R107" s="137">
        <v>22394</v>
      </c>
      <c r="S107" s="137">
        <v>31961</v>
      </c>
      <c r="T107" s="137">
        <v>22047</v>
      </c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>
        <f t="shared" si="15"/>
        <v>76402</v>
      </c>
      <c r="AF107" s="84">
        <f t="shared" si="18"/>
        <v>0.15410871704527468</v>
      </c>
      <c r="AG107" s="84">
        <f t="shared" si="18"/>
        <v>0.23945666913907682</v>
      </c>
      <c r="AH107" s="84">
        <f t="shared" si="18"/>
        <v>0.1341964465058525</v>
      </c>
      <c r="AI107" s="84" t="str">
        <f t="shared" si="18"/>
        <v/>
      </c>
      <c r="AJ107" s="84" t="str">
        <f t="shared" si="18"/>
        <v/>
      </c>
      <c r="AK107" s="84" t="str">
        <f t="shared" si="18"/>
        <v/>
      </c>
      <c r="AL107" s="84" t="str">
        <f t="shared" si="18"/>
        <v/>
      </c>
      <c r="AM107" s="84" t="str">
        <f t="shared" si="18"/>
        <v/>
      </c>
      <c r="AN107" s="84" t="str">
        <f t="shared" si="18"/>
        <v/>
      </c>
      <c r="AO107" s="84" t="str">
        <f t="shared" si="18"/>
        <v/>
      </c>
      <c r="AP107" s="84" t="str">
        <f t="shared" si="18"/>
        <v/>
      </c>
      <c r="AQ107" s="84" t="str">
        <f t="shared" si="18"/>
        <v/>
      </c>
      <c r="AR107" s="84">
        <f t="shared" si="18"/>
        <v>0.17243581786379281</v>
      </c>
      <c r="AT107" s="139">
        <f t="shared" si="19"/>
        <v>8.5347952093802137E-2</v>
      </c>
      <c r="AU107" s="139">
        <f t="shared" si="19"/>
        <v>-0.10526022263322432</v>
      </c>
      <c r="AV107" s="139" t="str">
        <f t="shared" si="19"/>
        <v/>
      </c>
      <c r="AW107" s="139" t="str">
        <f t="shared" si="19"/>
        <v/>
      </c>
      <c r="AX107" s="139" t="str">
        <f t="shared" si="19"/>
        <v/>
      </c>
      <c r="AY107" s="139" t="str">
        <f t="shared" si="19"/>
        <v/>
      </c>
      <c r="AZ107" s="139" t="str">
        <f t="shared" si="19"/>
        <v/>
      </c>
      <c r="BA107" s="139" t="str">
        <f t="shared" si="19"/>
        <v/>
      </c>
      <c r="BB107" s="139" t="str">
        <f t="shared" si="19"/>
        <v/>
      </c>
      <c r="BC107" s="139" t="str">
        <f t="shared" si="19"/>
        <v/>
      </c>
      <c r="BD107" s="139" t="str">
        <f t="shared" si="19"/>
        <v/>
      </c>
      <c r="BF107" s="82">
        <f t="shared" si="16"/>
        <v>9.8802488288461362E-5</v>
      </c>
      <c r="BG107" s="82">
        <f t="shared" si="17"/>
        <v>0.96856739702554417</v>
      </c>
    </row>
    <row r="108" spans="2:59" x14ac:dyDescent="0.3">
      <c r="B108" s="83" t="s">
        <v>190</v>
      </c>
      <c r="D108" s="137">
        <v>421715</v>
      </c>
      <c r="E108" s="137">
        <v>510053</v>
      </c>
      <c r="F108" s="137">
        <v>407669</v>
      </c>
      <c r="G108" s="137"/>
      <c r="H108" s="137"/>
      <c r="I108" s="137"/>
      <c r="J108" s="137"/>
      <c r="K108" s="137"/>
      <c r="L108" s="137"/>
      <c r="M108" s="137"/>
      <c r="N108" s="137"/>
      <c r="O108" s="137"/>
      <c r="P108" s="137">
        <f t="shared" si="14"/>
        <v>1339437</v>
      </c>
      <c r="R108" s="137">
        <v>68274</v>
      </c>
      <c r="S108" s="137">
        <v>93533</v>
      </c>
      <c r="T108" s="137">
        <v>73989</v>
      </c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>
        <f t="shared" si="15"/>
        <v>235796</v>
      </c>
      <c r="AF108" s="84">
        <f t="shared" si="18"/>
        <v>0.16189606724920858</v>
      </c>
      <c r="AG108" s="84">
        <f t="shared" si="18"/>
        <v>0.1833789821842044</v>
      </c>
      <c r="AH108" s="84">
        <f t="shared" si="18"/>
        <v>0.18149282874096387</v>
      </c>
      <c r="AI108" s="84" t="str">
        <f t="shared" si="18"/>
        <v/>
      </c>
      <c r="AJ108" s="84" t="str">
        <f t="shared" si="18"/>
        <v/>
      </c>
      <c r="AK108" s="84" t="str">
        <f t="shared" si="18"/>
        <v/>
      </c>
      <c r="AL108" s="84" t="str">
        <f t="shared" si="18"/>
        <v/>
      </c>
      <c r="AM108" s="84" t="str">
        <f t="shared" si="18"/>
        <v/>
      </c>
      <c r="AN108" s="84" t="str">
        <f t="shared" ref="AN108:AR139" si="20">+IFERROR(Z108/L108,"")</f>
        <v/>
      </c>
      <c r="AO108" s="84" t="str">
        <f t="shared" si="20"/>
        <v/>
      </c>
      <c r="AP108" s="84" t="str">
        <f t="shared" si="20"/>
        <v/>
      </c>
      <c r="AQ108" s="84" t="str">
        <f t="shared" si="20"/>
        <v/>
      </c>
      <c r="AR108" s="84">
        <f t="shared" si="20"/>
        <v>0.17604112772754524</v>
      </c>
      <c r="AT108" s="139">
        <f t="shared" si="19"/>
        <v>2.1482914934995823E-2</v>
      </c>
      <c r="AU108" s="139">
        <f t="shared" si="19"/>
        <v>-1.8861534432405291E-3</v>
      </c>
      <c r="AV108" s="139" t="str">
        <f t="shared" si="19"/>
        <v/>
      </c>
      <c r="AW108" s="139" t="str">
        <f t="shared" si="19"/>
        <v/>
      </c>
      <c r="AX108" s="139" t="str">
        <f t="shared" si="19"/>
        <v/>
      </c>
      <c r="AY108" s="139" t="str">
        <f t="shared" si="19"/>
        <v/>
      </c>
      <c r="AZ108" s="139" t="str">
        <f t="shared" si="19"/>
        <v/>
      </c>
      <c r="BA108" s="139" t="str">
        <f t="shared" si="19"/>
        <v/>
      </c>
      <c r="BB108" s="139" t="str">
        <f t="shared" si="19"/>
        <v/>
      </c>
      <c r="BC108" s="139" t="str">
        <f t="shared" si="19"/>
        <v/>
      </c>
      <c r="BD108" s="139" t="str">
        <f t="shared" si="19"/>
        <v/>
      </c>
      <c r="BF108" s="82">
        <f t="shared" si="16"/>
        <v>3.0492960300078581E-4</v>
      </c>
      <c r="BG108" s="82">
        <f t="shared" si="17"/>
        <v>0.96887232662854494</v>
      </c>
    </row>
    <row r="109" spans="2:59" x14ac:dyDescent="0.3">
      <c r="B109" s="83" t="s">
        <v>191</v>
      </c>
      <c r="D109" s="137">
        <v>1264736</v>
      </c>
      <c r="E109" s="137">
        <v>879654</v>
      </c>
      <c r="F109" s="137">
        <v>884652</v>
      </c>
      <c r="G109" s="137"/>
      <c r="H109" s="137"/>
      <c r="I109" s="137"/>
      <c r="J109" s="137"/>
      <c r="K109" s="137"/>
      <c r="L109" s="137"/>
      <c r="M109" s="137"/>
      <c r="N109" s="137"/>
      <c r="O109" s="137"/>
      <c r="P109" s="137">
        <f t="shared" si="14"/>
        <v>3029042</v>
      </c>
      <c r="R109" s="137">
        <v>154135</v>
      </c>
      <c r="S109" s="137">
        <v>100495</v>
      </c>
      <c r="T109" s="137">
        <v>102341</v>
      </c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>
        <f t="shared" si="15"/>
        <v>356971</v>
      </c>
      <c r="AF109" s="84">
        <f t="shared" ref="AF109:AM140" si="21">+IFERROR(R109/D109,"")</f>
        <v>0.12187128380942742</v>
      </c>
      <c r="AG109" s="84">
        <f t="shared" si="21"/>
        <v>0.11424378221437065</v>
      </c>
      <c r="AH109" s="84">
        <f t="shared" si="21"/>
        <v>0.11568503773235125</v>
      </c>
      <c r="AI109" s="84" t="str">
        <f t="shared" si="21"/>
        <v/>
      </c>
      <c r="AJ109" s="84" t="str">
        <f t="shared" si="21"/>
        <v/>
      </c>
      <c r="AK109" s="84" t="str">
        <f t="shared" si="21"/>
        <v/>
      </c>
      <c r="AL109" s="84" t="str">
        <f t="shared" si="21"/>
        <v/>
      </c>
      <c r="AM109" s="84" t="str">
        <f t="shared" si="21"/>
        <v/>
      </c>
      <c r="AN109" s="84" t="str">
        <f t="shared" si="20"/>
        <v/>
      </c>
      <c r="AO109" s="84" t="str">
        <f t="shared" si="20"/>
        <v/>
      </c>
      <c r="AP109" s="84" t="str">
        <f t="shared" si="20"/>
        <v/>
      </c>
      <c r="AQ109" s="84" t="str">
        <f t="shared" si="20"/>
        <v/>
      </c>
      <c r="AR109" s="84">
        <f t="shared" si="20"/>
        <v>0.11784947187922783</v>
      </c>
      <c r="AT109" s="139">
        <f t="shared" si="19"/>
        <v>-7.6275015950567765E-3</v>
      </c>
      <c r="AU109" s="139">
        <f t="shared" si="19"/>
        <v>1.4412555179806052E-3</v>
      </c>
      <c r="AV109" s="139" t="str">
        <f t="shared" si="19"/>
        <v/>
      </c>
      <c r="AW109" s="139" t="str">
        <f t="shared" si="19"/>
        <v/>
      </c>
      <c r="AX109" s="139" t="str">
        <f t="shared" si="19"/>
        <v/>
      </c>
      <c r="AY109" s="139" t="str">
        <f t="shared" si="19"/>
        <v/>
      </c>
      <c r="AZ109" s="139" t="str">
        <f t="shared" si="19"/>
        <v/>
      </c>
      <c r="BA109" s="139" t="str">
        <f t="shared" si="19"/>
        <v/>
      </c>
      <c r="BB109" s="139" t="str">
        <f t="shared" si="19"/>
        <v/>
      </c>
      <c r="BC109" s="139" t="str">
        <f t="shared" si="19"/>
        <v/>
      </c>
      <c r="BD109" s="139" t="str">
        <f t="shared" si="19"/>
        <v/>
      </c>
      <c r="BF109" s="82">
        <f t="shared" si="16"/>
        <v>4.6163219610508027E-4</v>
      </c>
      <c r="BG109" s="82">
        <f t="shared" si="17"/>
        <v>0.96933395882465001</v>
      </c>
    </row>
    <row r="110" spans="2:59" x14ac:dyDescent="0.3">
      <c r="B110" s="83" t="s">
        <v>192</v>
      </c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>
        <f t="shared" si="14"/>
        <v>0</v>
      </c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>
        <f t="shared" si="15"/>
        <v>0</v>
      </c>
      <c r="AF110" s="84" t="str">
        <f t="shared" si="21"/>
        <v/>
      </c>
      <c r="AG110" s="84" t="str">
        <f t="shared" si="21"/>
        <v/>
      </c>
      <c r="AH110" s="84" t="str">
        <f t="shared" si="21"/>
        <v/>
      </c>
      <c r="AI110" s="84" t="str">
        <f t="shared" si="21"/>
        <v/>
      </c>
      <c r="AJ110" s="84" t="str">
        <f t="shared" si="21"/>
        <v/>
      </c>
      <c r="AK110" s="84" t="str">
        <f t="shared" si="21"/>
        <v/>
      </c>
      <c r="AL110" s="84" t="str">
        <f t="shared" si="21"/>
        <v/>
      </c>
      <c r="AM110" s="84" t="str">
        <f t="shared" si="21"/>
        <v/>
      </c>
      <c r="AN110" s="84" t="str">
        <f t="shared" si="20"/>
        <v/>
      </c>
      <c r="AO110" s="84" t="str">
        <f t="shared" si="20"/>
        <v/>
      </c>
      <c r="AP110" s="84" t="str">
        <f t="shared" si="20"/>
        <v/>
      </c>
      <c r="AQ110" s="84" t="str">
        <f t="shared" si="20"/>
        <v/>
      </c>
      <c r="AR110" s="84" t="str">
        <f t="shared" si="20"/>
        <v/>
      </c>
      <c r="AT110" s="139" t="str">
        <f t="shared" si="19"/>
        <v/>
      </c>
      <c r="AU110" s="139" t="str">
        <f t="shared" si="19"/>
        <v/>
      </c>
      <c r="AV110" s="139" t="str">
        <f t="shared" si="19"/>
        <v/>
      </c>
      <c r="AW110" s="139" t="str">
        <f t="shared" si="19"/>
        <v/>
      </c>
      <c r="AX110" s="139" t="str">
        <f t="shared" si="19"/>
        <v/>
      </c>
      <c r="AY110" s="139" t="str">
        <f t="shared" si="19"/>
        <v/>
      </c>
      <c r="AZ110" s="139" t="str">
        <f t="shared" si="19"/>
        <v/>
      </c>
      <c r="BA110" s="139" t="str">
        <f t="shared" si="19"/>
        <v/>
      </c>
      <c r="BB110" s="139" t="str">
        <f t="shared" si="19"/>
        <v/>
      </c>
      <c r="BC110" s="139" t="str">
        <f t="shared" si="19"/>
        <v/>
      </c>
      <c r="BD110" s="139" t="str">
        <f t="shared" si="19"/>
        <v/>
      </c>
      <c r="BF110" s="82">
        <f t="shared" si="16"/>
        <v>0</v>
      </c>
      <c r="BG110" s="82">
        <f t="shared" si="17"/>
        <v>0.96933395882465001</v>
      </c>
    </row>
    <row r="111" spans="2:59" x14ac:dyDescent="0.3">
      <c r="B111" s="83" t="s">
        <v>193</v>
      </c>
      <c r="D111" s="137">
        <v>462963</v>
      </c>
      <c r="E111" s="137">
        <v>904492</v>
      </c>
      <c r="F111" s="137">
        <v>619957</v>
      </c>
      <c r="G111" s="137"/>
      <c r="H111" s="137"/>
      <c r="I111" s="137"/>
      <c r="J111" s="137"/>
      <c r="K111" s="137"/>
      <c r="L111" s="137"/>
      <c r="M111" s="137"/>
      <c r="N111" s="137"/>
      <c r="O111" s="137"/>
      <c r="P111" s="137">
        <f t="shared" si="14"/>
        <v>1987412</v>
      </c>
      <c r="R111" s="137">
        <v>71447</v>
      </c>
      <c r="S111" s="137">
        <v>149154</v>
      </c>
      <c r="T111" s="137">
        <v>97926</v>
      </c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>
        <f t="shared" si="15"/>
        <v>318527</v>
      </c>
      <c r="AF111" s="84">
        <f t="shared" si="21"/>
        <v>0.15432550765395939</v>
      </c>
      <c r="AG111" s="84">
        <f t="shared" si="21"/>
        <v>0.16490361440454973</v>
      </c>
      <c r="AH111" s="84">
        <f t="shared" si="21"/>
        <v>0.15795611631129255</v>
      </c>
      <c r="AI111" s="84" t="str">
        <f t="shared" si="21"/>
        <v/>
      </c>
      <c r="AJ111" s="84" t="str">
        <f t="shared" si="21"/>
        <v/>
      </c>
      <c r="AK111" s="84" t="str">
        <f t="shared" si="21"/>
        <v/>
      </c>
      <c r="AL111" s="84" t="str">
        <f t="shared" si="21"/>
        <v/>
      </c>
      <c r="AM111" s="84" t="str">
        <f t="shared" si="21"/>
        <v/>
      </c>
      <c r="AN111" s="84" t="str">
        <f t="shared" si="20"/>
        <v/>
      </c>
      <c r="AO111" s="84" t="str">
        <f t="shared" si="20"/>
        <v/>
      </c>
      <c r="AP111" s="84" t="str">
        <f t="shared" si="20"/>
        <v/>
      </c>
      <c r="AQ111" s="84" t="str">
        <f t="shared" si="20"/>
        <v/>
      </c>
      <c r="AR111" s="84">
        <f t="shared" si="20"/>
        <v>0.16027225356393138</v>
      </c>
      <c r="AT111" s="139">
        <f t="shared" si="19"/>
        <v>1.0578106750590344E-2</v>
      </c>
      <c r="AU111" s="139">
        <f t="shared" si="19"/>
        <v>-6.9474980932571762E-3</v>
      </c>
      <c r="AV111" s="139" t="str">
        <f t="shared" si="19"/>
        <v/>
      </c>
      <c r="AW111" s="139" t="str">
        <f t="shared" si="19"/>
        <v/>
      </c>
      <c r="AX111" s="139" t="str">
        <f t="shared" si="19"/>
        <v/>
      </c>
      <c r="AY111" s="139" t="str">
        <f t="shared" si="19"/>
        <v/>
      </c>
      <c r="AZ111" s="139" t="str">
        <f t="shared" si="19"/>
        <v/>
      </c>
      <c r="BA111" s="139" t="str">
        <f t="shared" si="19"/>
        <v/>
      </c>
      <c r="BB111" s="139" t="str">
        <f t="shared" si="19"/>
        <v/>
      </c>
      <c r="BC111" s="139" t="str">
        <f t="shared" si="19"/>
        <v/>
      </c>
      <c r="BD111" s="139" t="str">
        <f t="shared" si="19"/>
        <v/>
      </c>
      <c r="BF111" s="82">
        <f t="shared" si="16"/>
        <v>4.1191670619955935E-4</v>
      </c>
      <c r="BG111" s="82">
        <f t="shared" si="17"/>
        <v>0.96974587553084957</v>
      </c>
    </row>
    <row r="112" spans="2:59" x14ac:dyDescent="0.3">
      <c r="B112" s="83" t="s">
        <v>194</v>
      </c>
      <c r="D112" s="137">
        <v>244170</v>
      </c>
      <c r="E112" s="137">
        <v>222784</v>
      </c>
      <c r="F112" s="137">
        <v>222824</v>
      </c>
      <c r="G112" s="137"/>
      <c r="H112" s="137"/>
      <c r="I112" s="137"/>
      <c r="J112" s="137"/>
      <c r="K112" s="137"/>
      <c r="L112" s="137"/>
      <c r="M112" s="137"/>
      <c r="N112" s="137"/>
      <c r="O112" s="137"/>
      <c r="P112" s="137">
        <f t="shared" si="14"/>
        <v>689778</v>
      </c>
      <c r="R112" s="137">
        <v>43714</v>
      </c>
      <c r="S112" s="137">
        <v>33360</v>
      </c>
      <c r="T112" s="137">
        <v>27578</v>
      </c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>
        <f t="shared" si="15"/>
        <v>104652</v>
      </c>
      <c r="AF112" s="84">
        <f t="shared" si="21"/>
        <v>0.17903100298972027</v>
      </c>
      <c r="AG112" s="84">
        <f t="shared" si="21"/>
        <v>0.14974145360528585</v>
      </c>
      <c r="AH112" s="84">
        <f t="shared" si="21"/>
        <v>0.12376584209959429</v>
      </c>
      <c r="AI112" s="84" t="str">
        <f t="shared" si="21"/>
        <v/>
      </c>
      <c r="AJ112" s="84" t="str">
        <f t="shared" si="21"/>
        <v/>
      </c>
      <c r="AK112" s="84" t="str">
        <f t="shared" si="21"/>
        <v/>
      </c>
      <c r="AL112" s="84" t="str">
        <f t="shared" si="21"/>
        <v/>
      </c>
      <c r="AM112" s="84" t="str">
        <f t="shared" si="21"/>
        <v/>
      </c>
      <c r="AN112" s="84" t="str">
        <f t="shared" si="20"/>
        <v/>
      </c>
      <c r="AO112" s="84" t="str">
        <f t="shared" si="20"/>
        <v/>
      </c>
      <c r="AP112" s="84" t="str">
        <f t="shared" si="20"/>
        <v/>
      </c>
      <c r="AQ112" s="84" t="str">
        <f t="shared" si="20"/>
        <v/>
      </c>
      <c r="AR112" s="84">
        <f t="shared" si="20"/>
        <v>0.15171837895670781</v>
      </c>
      <c r="AT112" s="139">
        <f t="shared" si="19"/>
        <v>-2.9289549384434427E-2</v>
      </c>
      <c r="AU112" s="139">
        <f t="shared" si="19"/>
        <v>-2.5975611505691554E-2</v>
      </c>
      <c r="AV112" s="139" t="str">
        <f t="shared" si="19"/>
        <v/>
      </c>
      <c r="AW112" s="139" t="str">
        <f t="shared" si="19"/>
        <v/>
      </c>
      <c r="AX112" s="139" t="str">
        <f t="shared" si="19"/>
        <v/>
      </c>
      <c r="AY112" s="139" t="str">
        <f t="shared" si="19"/>
        <v/>
      </c>
      <c r="AZ112" s="139" t="str">
        <f t="shared" si="19"/>
        <v/>
      </c>
      <c r="BA112" s="139" t="str">
        <f t="shared" si="19"/>
        <v/>
      </c>
      <c r="BB112" s="139" t="str">
        <f t="shared" si="19"/>
        <v/>
      </c>
      <c r="BC112" s="139" t="str">
        <f t="shared" si="19"/>
        <v/>
      </c>
      <c r="BD112" s="139" t="str">
        <f t="shared" si="19"/>
        <v/>
      </c>
      <c r="BF112" s="82">
        <f t="shared" si="16"/>
        <v>1.3533517452899216E-4</v>
      </c>
      <c r="BG112" s="82">
        <f t="shared" si="17"/>
        <v>0.96988121070537858</v>
      </c>
    </row>
    <row r="113" spans="2:59" x14ac:dyDescent="0.3">
      <c r="B113" s="83" t="s">
        <v>195</v>
      </c>
      <c r="D113" s="137">
        <v>859089</v>
      </c>
      <c r="E113" s="137">
        <v>928078</v>
      </c>
      <c r="F113" s="137">
        <v>1151512</v>
      </c>
      <c r="G113" s="137"/>
      <c r="H113" s="137"/>
      <c r="I113" s="137"/>
      <c r="J113" s="137"/>
      <c r="K113" s="137"/>
      <c r="L113" s="137"/>
      <c r="M113" s="137"/>
      <c r="N113" s="137"/>
      <c r="O113" s="137"/>
      <c r="P113" s="137">
        <f t="shared" si="14"/>
        <v>2938679</v>
      </c>
      <c r="R113" s="137">
        <v>101192</v>
      </c>
      <c r="S113" s="137">
        <v>156537</v>
      </c>
      <c r="T113" s="137">
        <v>111048</v>
      </c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>
        <f t="shared" si="15"/>
        <v>368777</v>
      </c>
      <c r="AF113" s="84">
        <f t="shared" si="21"/>
        <v>0.11778989138494382</v>
      </c>
      <c r="AG113" s="84">
        <f t="shared" si="21"/>
        <v>0.16866793523820195</v>
      </c>
      <c r="AH113" s="84">
        <f t="shared" si="21"/>
        <v>9.643668498461154E-2</v>
      </c>
      <c r="AI113" s="84" t="str">
        <f t="shared" si="21"/>
        <v/>
      </c>
      <c r="AJ113" s="84" t="str">
        <f t="shared" si="21"/>
        <v/>
      </c>
      <c r="AK113" s="84" t="str">
        <f t="shared" si="21"/>
        <v/>
      </c>
      <c r="AL113" s="84" t="str">
        <f t="shared" si="21"/>
        <v/>
      </c>
      <c r="AM113" s="84" t="str">
        <f t="shared" si="21"/>
        <v/>
      </c>
      <c r="AN113" s="84" t="str">
        <f t="shared" si="20"/>
        <v/>
      </c>
      <c r="AO113" s="84" t="str">
        <f t="shared" si="20"/>
        <v/>
      </c>
      <c r="AP113" s="84" t="str">
        <f t="shared" si="20"/>
        <v/>
      </c>
      <c r="AQ113" s="84" t="str">
        <f t="shared" si="20"/>
        <v/>
      </c>
      <c r="AR113" s="84">
        <f t="shared" si="20"/>
        <v>0.12549073920628964</v>
      </c>
      <c r="AT113" s="139">
        <f t="shared" si="19"/>
        <v>5.0878043853258129E-2</v>
      </c>
      <c r="AU113" s="139">
        <f t="shared" si="19"/>
        <v>-7.2231250253590409E-2</v>
      </c>
      <c r="AV113" s="139" t="str">
        <f t="shared" si="19"/>
        <v/>
      </c>
      <c r="AW113" s="139" t="str">
        <f t="shared" si="19"/>
        <v/>
      </c>
      <c r="AX113" s="139" t="str">
        <f t="shared" si="19"/>
        <v/>
      </c>
      <c r="AY113" s="139" t="str">
        <f t="shared" si="19"/>
        <v/>
      </c>
      <c r="AZ113" s="139" t="str">
        <f t="shared" si="19"/>
        <v/>
      </c>
      <c r="BA113" s="139" t="str">
        <f t="shared" si="19"/>
        <v/>
      </c>
      <c r="BB113" s="139" t="str">
        <f t="shared" si="19"/>
        <v/>
      </c>
      <c r="BC113" s="139" t="str">
        <f t="shared" si="19"/>
        <v/>
      </c>
      <c r="BD113" s="139" t="str">
        <f t="shared" si="19"/>
        <v/>
      </c>
      <c r="BF113" s="82">
        <f t="shared" si="16"/>
        <v>4.7689962597253892E-4</v>
      </c>
      <c r="BG113" s="82">
        <f t="shared" si="17"/>
        <v>0.97035811033135111</v>
      </c>
    </row>
    <row r="114" spans="2:59" x14ac:dyDescent="0.3">
      <c r="B114" s="83" t="s">
        <v>196</v>
      </c>
      <c r="D114" s="137">
        <v>453213</v>
      </c>
      <c r="E114" s="137">
        <v>329465</v>
      </c>
      <c r="F114" s="137">
        <v>274231</v>
      </c>
      <c r="G114" s="137"/>
      <c r="H114" s="137"/>
      <c r="I114" s="137"/>
      <c r="J114" s="137"/>
      <c r="K114" s="137"/>
      <c r="L114" s="137"/>
      <c r="M114" s="137"/>
      <c r="N114" s="137"/>
      <c r="O114" s="137"/>
      <c r="P114" s="137">
        <f t="shared" si="14"/>
        <v>1056909</v>
      </c>
      <c r="R114" s="137">
        <v>69686</v>
      </c>
      <c r="S114" s="137">
        <v>49792</v>
      </c>
      <c r="T114" s="137">
        <v>39991</v>
      </c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>
        <f t="shared" si="15"/>
        <v>159469</v>
      </c>
      <c r="AF114" s="84">
        <f t="shared" si="21"/>
        <v>0.15375993186426692</v>
      </c>
      <c r="AG114" s="84">
        <f t="shared" si="21"/>
        <v>0.15112986204907958</v>
      </c>
      <c r="AH114" s="84">
        <f t="shared" si="21"/>
        <v>0.14582961080257156</v>
      </c>
      <c r="AI114" s="84" t="str">
        <f t="shared" si="21"/>
        <v/>
      </c>
      <c r="AJ114" s="84" t="str">
        <f t="shared" si="21"/>
        <v/>
      </c>
      <c r="AK114" s="84" t="str">
        <f t="shared" si="21"/>
        <v/>
      </c>
      <c r="AL114" s="84" t="str">
        <f t="shared" si="21"/>
        <v/>
      </c>
      <c r="AM114" s="84" t="str">
        <f t="shared" si="21"/>
        <v/>
      </c>
      <c r="AN114" s="84" t="str">
        <f t="shared" si="20"/>
        <v/>
      </c>
      <c r="AO114" s="84" t="str">
        <f t="shared" si="20"/>
        <v/>
      </c>
      <c r="AP114" s="84" t="str">
        <f t="shared" si="20"/>
        <v/>
      </c>
      <c r="AQ114" s="84" t="str">
        <f t="shared" si="20"/>
        <v/>
      </c>
      <c r="AR114" s="84">
        <f t="shared" si="20"/>
        <v>0.15088243169468704</v>
      </c>
      <c r="AT114" s="139">
        <f t="shared" si="19"/>
        <v>-2.6300698151873469E-3</v>
      </c>
      <c r="AU114" s="139">
        <f t="shared" si="19"/>
        <v>-5.3002512465080143E-3</v>
      </c>
      <c r="AV114" s="139" t="str">
        <f t="shared" si="19"/>
        <v/>
      </c>
      <c r="AW114" s="139" t="str">
        <f t="shared" si="19"/>
        <v/>
      </c>
      <c r="AX114" s="139" t="str">
        <f t="shared" si="19"/>
        <v/>
      </c>
      <c r="AY114" s="139" t="str">
        <f t="shared" si="19"/>
        <v/>
      </c>
      <c r="AZ114" s="139" t="str">
        <f t="shared" si="19"/>
        <v/>
      </c>
      <c r="BA114" s="139" t="str">
        <f t="shared" si="19"/>
        <v/>
      </c>
      <c r="BB114" s="139" t="str">
        <f t="shared" si="19"/>
        <v/>
      </c>
      <c r="BC114" s="139" t="str">
        <f t="shared" si="19"/>
        <v/>
      </c>
      <c r="BD114" s="139" t="str">
        <f t="shared" si="19"/>
        <v/>
      </c>
      <c r="BF114" s="82">
        <f t="shared" si="16"/>
        <v>2.0622410414482142E-4</v>
      </c>
      <c r="BG114" s="82">
        <f t="shared" si="17"/>
        <v>0.97056433443549595</v>
      </c>
    </row>
    <row r="115" spans="2:59" x14ac:dyDescent="0.3">
      <c r="B115" s="83" t="s">
        <v>197</v>
      </c>
      <c r="D115" s="137">
        <v>283166</v>
      </c>
      <c r="E115" s="137">
        <v>310461</v>
      </c>
      <c r="F115" s="137">
        <v>395872</v>
      </c>
      <c r="G115" s="137"/>
      <c r="H115" s="137"/>
      <c r="I115" s="137"/>
      <c r="J115" s="137"/>
      <c r="K115" s="137"/>
      <c r="L115" s="137"/>
      <c r="M115" s="137"/>
      <c r="N115" s="137"/>
      <c r="O115" s="137"/>
      <c r="P115" s="137">
        <f t="shared" si="14"/>
        <v>989499</v>
      </c>
      <c r="R115" s="137">
        <v>45713</v>
      </c>
      <c r="S115" s="137">
        <v>53527</v>
      </c>
      <c r="T115" s="137">
        <v>57054</v>
      </c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>
        <f t="shared" si="15"/>
        <v>156294</v>
      </c>
      <c r="AF115" s="84">
        <f t="shared" si="21"/>
        <v>0.16143534181363581</v>
      </c>
      <c r="AG115" s="84">
        <f t="shared" si="21"/>
        <v>0.17241134957369847</v>
      </c>
      <c r="AH115" s="84">
        <f t="shared" si="21"/>
        <v>0.1441223425753779</v>
      </c>
      <c r="AI115" s="84" t="str">
        <f t="shared" si="21"/>
        <v/>
      </c>
      <c r="AJ115" s="84" t="str">
        <f t="shared" si="21"/>
        <v/>
      </c>
      <c r="AK115" s="84" t="str">
        <f t="shared" si="21"/>
        <v/>
      </c>
      <c r="AL115" s="84" t="str">
        <f t="shared" si="21"/>
        <v/>
      </c>
      <c r="AM115" s="84" t="str">
        <f t="shared" si="21"/>
        <v/>
      </c>
      <c r="AN115" s="84" t="str">
        <f t="shared" si="20"/>
        <v/>
      </c>
      <c r="AO115" s="84" t="str">
        <f t="shared" si="20"/>
        <v/>
      </c>
      <c r="AP115" s="84" t="str">
        <f t="shared" si="20"/>
        <v/>
      </c>
      <c r="AQ115" s="84" t="str">
        <f t="shared" si="20"/>
        <v/>
      </c>
      <c r="AR115" s="84">
        <f t="shared" si="20"/>
        <v>0.15795266089202717</v>
      </c>
      <c r="AT115" s="139">
        <f t="shared" si="19"/>
        <v>1.0976007760062662E-2</v>
      </c>
      <c r="AU115" s="139">
        <f t="shared" si="19"/>
        <v>-2.8289006998320571E-2</v>
      </c>
      <c r="AV115" s="139" t="str">
        <f t="shared" si="19"/>
        <v/>
      </c>
      <c r="AW115" s="139" t="str">
        <f t="shared" si="19"/>
        <v/>
      </c>
      <c r="AX115" s="139" t="str">
        <f t="shared" si="19"/>
        <v/>
      </c>
      <c r="AY115" s="139" t="str">
        <f t="shared" si="19"/>
        <v/>
      </c>
      <c r="AZ115" s="139" t="str">
        <f t="shared" si="19"/>
        <v/>
      </c>
      <c r="BA115" s="139" t="str">
        <f t="shared" si="19"/>
        <v/>
      </c>
      <c r="BB115" s="139" t="str">
        <f t="shared" si="19"/>
        <v/>
      </c>
      <c r="BC115" s="139" t="str">
        <f t="shared" si="19"/>
        <v/>
      </c>
      <c r="BD115" s="139" t="str">
        <f t="shared" si="19"/>
        <v/>
      </c>
      <c r="BF115" s="82">
        <f t="shared" si="16"/>
        <v>2.0211821816911574E-4</v>
      </c>
      <c r="BG115" s="82">
        <f t="shared" si="17"/>
        <v>0.97076645265366501</v>
      </c>
    </row>
    <row r="116" spans="2:59" x14ac:dyDescent="0.3">
      <c r="B116" s="83" t="s">
        <v>198</v>
      </c>
      <c r="D116" s="137">
        <v>16843</v>
      </c>
      <c r="E116" s="137">
        <v>6101</v>
      </c>
      <c r="F116" s="137">
        <v>159975</v>
      </c>
      <c r="G116" s="137"/>
      <c r="H116" s="137"/>
      <c r="I116" s="137"/>
      <c r="J116" s="137"/>
      <c r="K116" s="137"/>
      <c r="L116" s="137"/>
      <c r="M116" s="137"/>
      <c r="N116" s="137"/>
      <c r="O116" s="137"/>
      <c r="P116" s="137">
        <f t="shared" si="14"/>
        <v>182919</v>
      </c>
      <c r="R116" s="137">
        <v>731</v>
      </c>
      <c r="S116" s="137">
        <v>1653</v>
      </c>
      <c r="T116" s="137">
        <v>7464</v>
      </c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>
        <f t="shared" si="15"/>
        <v>9848</v>
      </c>
      <c r="AF116" s="84">
        <f t="shared" si="21"/>
        <v>4.3400819331473016E-2</v>
      </c>
      <c r="AG116" s="84">
        <f t="shared" si="21"/>
        <v>0.27093919029667268</v>
      </c>
      <c r="AH116" s="84">
        <f t="shared" si="21"/>
        <v>4.6657290201594002E-2</v>
      </c>
      <c r="AI116" s="84" t="str">
        <f t="shared" si="21"/>
        <v/>
      </c>
      <c r="AJ116" s="84" t="str">
        <f t="shared" si="21"/>
        <v/>
      </c>
      <c r="AK116" s="84" t="str">
        <f t="shared" si="21"/>
        <v/>
      </c>
      <c r="AL116" s="84" t="str">
        <f t="shared" si="21"/>
        <v/>
      </c>
      <c r="AM116" s="84" t="str">
        <f t="shared" si="21"/>
        <v/>
      </c>
      <c r="AN116" s="84" t="str">
        <f t="shared" si="20"/>
        <v/>
      </c>
      <c r="AO116" s="84" t="str">
        <f t="shared" si="20"/>
        <v/>
      </c>
      <c r="AP116" s="84" t="str">
        <f t="shared" si="20"/>
        <v/>
      </c>
      <c r="AQ116" s="84" t="str">
        <f t="shared" si="20"/>
        <v/>
      </c>
      <c r="AR116" s="84">
        <f t="shared" si="20"/>
        <v>5.3838037601342668E-2</v>
      </c>
      <c r="AT116" s="139">
        <f t="shared" si="19"/>
        <v>0.22753837096519966</v>
      </c>
      <c r="AU116" s="139">
        <f t="shared" si="19"/>
        <v>-0.22428190009507867</v>
      </c>
      <c r="AV116" s="139" t="str">
        <f t="shared" ref="AV116:BD144" si="22">+IFERROR(AI116-AH116,"")</f>
        <v/>
      </c>
      <c r="AW116" s="139" t="str">
        <f t="shared" si="22"/>
        <v/>
      </c>
      <c r="AX116" s="139" t="str">
        <f t="shared" si="22"/>
        <v/>
      </c>
      <c r="AY116" s="139" t="str">
        <f t="shared" si="22"/>
        <v/>
      </c>
      <c r="AZ116" s="139" t="str">
        <f t="shared" si="22"/>
        <v/>
      </c>
      <c r="BA116" s="139" t="str">
        <f t="shared" si="22"/>
        <v/>
      </c>
      <c r="BB116" s="139" t="str">
        <f t="shared" si="22"/>
        <v/>
      </c>
      <c r="BC116" s="139" t="str">
        <f t="shared" si="22"/>
        <v/>
      </c>
      <c r="BD116" s="139" t="str">
        <f t="shared" si="22"/>
        <v/>
      </c>
      <c r="BF116" s="82">
        <f t="shared" si="16"/>
        <v>1.2735359083070699E-5</v>
      </c>
      <c r="BG116" s="82">
        <f t="shared" si="17"/>
        <v>0.9707791880127481</v>
      </c>
    </row>
    <row r="117" spans="2:59" x14ac:dyDescent="0.3">
      <c r="B117" s="83" t="s">
        <v>199</v>
      </c>
      <c r="D117" s="137">
        <v>803366</v>
      </c>
      <c r="E117" s="137">
        <v>761066</v>
      </c>
      <c r="F117" s="137">
        <v>566212</v>
      </c>
      <c r="G117" s="137"/>
      <c r="H117" s="137"/>
      <c r="I117" s="137"/>
      <c r="J117" s="137"/>
      <c r="K117" s="137"/>
      <c r="L117" s="137"/>
      <c r="M117" s="137"/>
      <c r="N117" s="137"/>
      <c r="O117" s="137"/>
      <c r="P117" s="137">
        <f t="shared" si="14"/>
        <v>2130644</v>
      </c>
      <c r="R117" s="137">
        <v>134413</v>
      </c>
      <c r="S117" s="137">
        <v>117707</v>
      </c>
      <c r="T117" s="137">
        <v>127574</v>
      </c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>
        <f t="shared" si="15"/>
        <v>379694</v>
      </c>
      <c r="AF117" s="84">
        <f t="shared" si="21"/>
        <v>0.16731228356689229</v>
      </c>
      <c r="AG117" s="84">
        <f t="shared" si="21"/>
        <v>0.15466069959766959</v>
      </c>
      <c r="AH117" s="84">
        <f t="shared" si="21"/>
        <v>0.22531136747366712</v>
      </c>
      <c r="AI117" s="84" t="str">
        <f t="shared" si="21"/>
        <v/>
      </c>
      <c r="AJ117" s="84" t="str">
        <f t="shared" si="21"/>
        <v/>
      </c>
      <c r="AK117" s="84" t="str">
        <f t="shared" si="21"/>
        <v/>
      </c>
      <c r="AL117" s="84" t="str">
        <f t="shared" si="21"/>
        <v/>
      </c>
      <c r="AM117" s="84" t="str">
        <f t="shared" si="21"/>
        <v/>
      </c>
      <c r="AN117" s="84" t="str">
        <f t="shared" si="20"/>
        <v/>
      </c>
      <c r="AO117" s="84" t="str">
        <f t="shared" si="20"/>
        <v/>
      </c>
      <c r="AP117" s="84" t="str">
        <f t="shared" si="20"/>
        <v/>
      </c>
      <c r="AQ117" s="84" t="str">
        <f t="shared" si="20"/>
        <v/>
      </c>
      <c r="AR117" s="84">
        <f t="shared" si="20"/>
        <v>0.17820621370815584</v>
      </c>
      <c r="AT117" s="139">
        <f t="shared" ref="AT117:AX148" si="23">+IFERROR(AG117-AF117,"")</f>
        <v>-1.2651583969222696E-2</v>
      </c>
      <c r="AU117" s="139">
        <f t="shared" si="23"/>
        <v>7.0650667875997525E-2</v>
      </c>
      <c r="AV117" s="139" t="str">
        <f t="shared" si="22"/>
        <v/>
      </c>
      <c r="AW117" s="139" t="str">
        <f t="shared" si="22"/>
        <v/>
      </c>
      <c r="AX117" s="139" t="str">
        <f t="shared" si="22"/>
        <v/>
      </c>
      <c r="AY117" s="139" t="str">
        <f t="shared" si="22"/>
        <v/>
      </c>
      <c r="AZ117" s="139" t="str">
        <f t="shared" si="22"/>
        <v/>
      </c>
      <c r="BA117" s="139" t="str">
        <f t="shared" si="22"/>
        <v/>
      </c>
      <c r="BB117" s="139" t="str">
        <f t="shared" si="22"/>
        <v/>
      </c>
      <c r="BC117" s="139" t="str">
        <f t="shared" si="22"/>
        <v/>
      </c>
      <c r="BD117" s="139" t="str">
        <f t="shared" si="22"/>
        <v/>
      </c>
      <c r="BF117" s="82">
        <f t="shared" si="16"/>
        <v>4.9101740776679999E-4</v>
      </c>
      <c r="BG117" s="82">
        <f t="shared" si="17"/>
        <v>0.9712702054205149</v>
      </c>
    </row>
    <row r="118" spans="2:59" x14ac:dyDescent="0.3">
      <c r="B118" s="83" t="s">
        <v>200</v>
      </c>
      <c r="D118" s="137">
        <v>124305</v>
      </c>
      <c r="E118" s="137">
        <v>110018</v>
      </c>
      <c r="F118" s="137">
        <v>153173</v>
      </c>
      <c r="G118" s="137"/>
      <c r="H118" s="137"/>
      <c r="I118" s="137"/>
      <c r="J118" s="137"/>
      <c r="K118" s="137"/>
      <c r="L118" s="137"/>
      <c r="M118" s="137"/>
      <c r="N118" s="137"/>
      <c r="O118" s="137"/>
      <c r="P118" s="137">
        <f t="shared" si="14"/>
        <v>387496</v>
      </c>
      <c r="R118" s="137">
        <v>24454</v>
      </c>
      <c r="S118" s="137">
        <v>24444</v>
      </c>
      <c r="T118" s="137">
        <v>19411</v>
      </c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>
        <f t="shared" si="15"/>
        <v>68309</v>
      </c>
      <c r="AF118" s="84">
        <f t="shared" si="21"/>
        <v>0.19672579542254937</v>
      </c>
      <c r="AG118" s="84">
        <f t="shared" si="21"/>
        <v>0.22218182479230672</v>
      </c>
      <c r="AH118" s="84">
        <f t="shared" si="21"/>
        <v>0.12672598956735195</v>
      </c>
      <c r="AI118" s="84" t="str">
        <f t="shared" si="21"/>
        <v/>
      </c>
      <c r="AJ118" s="84" t="str">
        <f t="shared" si="21"/>
        <v/>
      </c>
      <c r="AK118" s="84" t="str">
        <f t="shared" si="21"/>
        <v/>
      </c>
      <c r="AL118" s="84" t="str">
        <f t="shared" si="21"/>
        <v/>
      </c>
      <c r="AM118" s="84" t="str">
        <f t="shared" si="21"/>
        <v/>
      </c>
      <c r="AN118" s="84" t="str">
        <f t="shared" si="20"/>
        <v/>
      </c>
      <c r="AO118" s="84" t="str">
        <f t="shared" si="20"/>
        <v/>
      </c>
      <c r="AP118" s="84" t="str">
        <f t="shared" si="20"/>
        <v/>
      </c>
      <c r="AQ118" s="84" t="str">
        <f t="shared" si="20"/>
        <v/>
      </c>
      <c r="AR118" s="84">
        <f t="shared" si="20"/>
        <v>0.17628311001920019</v>
      </c>
      <c r="AT118" s="139">
        <f t="shared" si="23"/>
        <v>2.5456029369757355E-2</v>
      </c>
      <c r="AU118" s="139">
        <f t="shared" si="23"/>
        <v>-9.5455835224954766E-2</v>
      </c>
      <c r="AV118" s="139" t="str">
        <f t="shared" si="22"/>
        <v/>
      </c>
      <c r="AW118" s="139" t="str">
        <f t="shared" si="22"/>
        <v/>
      </c>
      <c r="AX118" s="139" t="str">
        <f t="shared" si="22"/>
        <v/>
      </c>
      <c r="AY118" s="139" t="str">
        <f t="shared" si="22"/>
        <v/>
      </c>
      <c r="AZ118" s="139" t="str">
        <f t="shared" si="22"/>
        <v/>
      </c>
      <c r="BA118" s="139" t="str">
        <f t="shared" si="22"/>
        <v/>
      </c>
      <c r="BB118" s="139" t="str">
        <f t="shared" si="22"/>
        <v/>
      </c>
      <c r="BC118" s="139" t="str">
        <f t="shared" si="22"/>
        <v/>
      </c>
      <c r="BD118" s="139" t="str">
        <f t="shared" si="22"/>
        <v/>
      </c>
      <c r="BF118" s="82">
        <f t="shared" si="16"/>
        <v>8.8336681925820109E-5</v>
      </c>
      <c r="BG118" s="82">
        <f t="shared" si="17"/>
        <v>0.97135854210244077</v>
      </c>
    </row>
    <row r="119" spans="2:59" x14ac:dyDescent="0.3">
      <c r="B119" s="83" t="s">
        <v>201</v>
      </c>
      <c r="D119" s="137">
        <v>108958</v>
      </c>
      <c r="E119" s="137">
        <v>80843</v>
      </c>
      <c r="F119" s="137">
        <v>102814</v>
      </c>
      <c r="G119" s="137"/>
      <c r="H119" s="137"/>
      <c r="I119" s="137"/>
      <c r="J119" s="137"/>
      <c r="K119" s="137"/>
      <c r="L119" s="137"/>
      <c r="M119" s="137"/>
      <c r="N119" s="137"/>
      <c r="O119" s="137"/>
      <c r="P119" s="137">
        <f t="shared" si="14"/>
        <v>292615</v>
      </c>
      <c r="R119" s="137">
        <v>15351</v>
      </c>
      <c r="S119" s="137">
        <v>10853</v>
      </c>
      <c r="T119" s="137">
        <v>22867</v>
      </c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>
        <f t="shared" si="15"/>
        <v>49071</v>
      </c>
      <c r="AF119" s="84">
        <f t="shared" si="21"/>
        <v>0.14088914994768625</v>
      </c>
      <c r="AG119" s="84">
        <f t="shared" si="21"/>
        <v>0.13424786314213971</v>
      </c>
      <c r="AH119" s="84">
        <f t="shared" si="21"/>
        <v>0.22241134475849592</v>
      </c>
      <c r="AI119" s="84" t="str">
        <f t="shared" si="21"/>
        <v/>
      </c>
      <c r="AJ119" s="84" t="str">
        <f t="shared" si="21"/>
        <v/>
      </c>
      <c r="AK119" s="84" t="str">
        <f t="shared" si="21"/>
        <v/>
      </c>
      <c r="AL119" s="84" t="str">
        <f t="shared" si="21"/>
        <v/>
      </c>
      <c r="AM119" s="84" t="str">
        <f t="shared" si="21"/>
        <v/>
      </c>
      <c r="AN119" s="84" t="str">
        <f t="shared" si="20"/>
        <v/>
      </c>
      <c r="AO119" s="84" t="str">
        <f t="shared" si="20"/>
        <v/>
      </c>
      <c r="AP119" s="84" t="str">
        <f t="shared" si="20"/>
        <v/>
      </c>
      <c r="AQ119" s="84" t="str">
        <f t="shared" si="20"/>
        <v/>
      </c>
      <c r="AR119" s="84">
        <f t="shared" si="20"/>
        <v>0.16769816995027595</v>
      </c>
      <c r="AT119" s="139">
        <f t="shared" si="23"/>
        <v>-6.6412868055465424E-3</v>
      </c>
      <c r="AU119" s="139">
        <f t="shared" si="23"/>
        <v>8.8163481616356204E-2</v>
      </c>
      <c r="AV119" s="139" t="str">
        <f t="shared" si="22"/>
        <v/>
      </c>
      <c r="AW119" s="139" t="str">
        <f t="shared" si="22"/>
        <v/>
      </c>
      <c r="AX119" s="139" t="str">
        <f t="shared" si="22"/>
        <v/>
      </c>
      <c r="AY119" s="139" t="str">
        <f t="shared" si="22"/>
        <v/>
      </c>
      <c r="AZ119" s="139" t="str">
        <f t="shared" si="22"/>
        <v/>
      </c>
      <c r="BA119" s="139" t="str">
        <f t="shared" si="22"/>
        <v/>
      </c>
      <c r="BB119" s="139" t="str">
        <f t="shared" si="22"/>
        <v/>
      </c>
      <c r="BC119" s="139" t="str">
        <f t="shared" si="22"/>
        <v/>
      </c>
      <c r="BD119" s="139" t="str">
        <f t="shared" si="22"/>
        <v/>
      </c>
      <c r="BF119" s="82">
        <f t="shared" si="16"/>
        <v>6.3458245894126961E-5</v>
      </c>
      <c r="BG119" s="82">
        <f t="shared" si="17"/>
        <v>0.97142200034833492</v>
      </c>
    </row>
    <row r="120" spans="2:59" x14ac:dyDescent="0.3">
      <c r="B120" s="83" t="s">
        <v>202</v>
      </c>
      <c r="D120" s="137">
        <v>119115</v>
      </c>
      <c r="E120" s="137">
        <v>94550</v>
      </c>
      <c r="F120" s="137">
        <v>90500</v>
      </c>
      <c r="G120" s="137"/>
      <c r="H120" s="137"/>
      <c r="I120" s="137"/>
      <c r="J120" s="137"/>
      <c r="K120" s="137"/>
      <c r="L120" s="137"/>
      <c r="M120" s="137"/>
      <c r="N120" s="137"/>
      <c r="O120" s="137"/>
      <c r="P120" s="137">
        <f t="shared" si="14"/>
        <v>304165</v>
      </c>
      <c r="R120" s="137">
        <v>19883</v>
      </c>
      <c r="S120" s="137">
        <v>20370</v>
      </c>
      <c r="T120" s="137">
        <v>14753</v>
      </c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>
        <f t="shared" si="15"/>
        <v>55006</v>
      </c>
      <c r="AF120" s="84">
        <f t="shared" si="21"/>
        <v>0.16692272173949543</v>
      </c>
      <c r="AG120" s="84">
        <f t="shared" si="21"/>
        <v>0.21544156530936012</v>
      </c>
      <c r="AH120" s="84">
        <f t="shared" si="21"/>
        <v>0.16301657458563537</v>
      </c>
      <c r="AI120" s="84" t="str">
        <f t="shared" si="21"/>
        <v/>
      </c>
      <c r="AJ120" s="84" t="str">
        <f t="shared" si="21"/>
        <v/>
      </c>
      <c r="AK120" s="84" t="str">
        <f t="shared" si="21"/>
        <v/>
      </c>
      <c r="AL120" s="84" t="str">
        <f t="shared" si="21"/>
        <v/>
      </c>
      <c r="AM120" s="84" t="str">
        <f t="shared" si="21"/>
        <v/>
      </c>
      <c r="AN120" s="84" t="str">
        <f t="shared" si="20"/>
        <v/>
      </c>
      <c r="AO120" s="84" t="str">
        <f t="shared" si="20"/>
        <v/>
      </c>
      <c r="AP120" s="84" t="str">
        <f t="shared" si="20"/>
        <v/>
      </c>
      <c r="AQ120" s="84" t="str">
        <f t="shared" si="20"/>
        <v/>
      </c>
      <c r="AR120" s="84">
        <f t="shared" si="20"/>
        <v>0.18084263475416304</v>
      </c>
      <c r="AT120" s="139">
        <f t="shared" si="23"/>
        <v>4.8518843569864689E-2</v>
      </c>
      <c r="AU120" s="139">
        <f t="shared" si="23"/>
        <v>-5.2424990723724751E-2</v>
      </c>
      <c r="AV120" s="139" t="str">
        <f t="shared" si="22"/>
        <v/>
      </c>
      <c r="AW120" s="139" t="str">
        <f t="shared" si="22"/>
        <v/>
      </c>
      <c r="AX120" s="139" t="str">
        <f t="shared" si="22"/>
        <v/>
      </c>
      <c r="AY120" s="139" t="str">
        <f t="shared" si="22"/>
        <v/>
      </c>
      <c r="AZ120" s="139" t="str">
        <f t="shared" si="22"/>
        <v/>
      </c>
      <c r="BA120" s="139" t="str">
        <f t="shared" si="22"/>
        <v/>
      </c>
      <c r="BB120" s="139" t="str">
        <f t="shared" si="22"/>
        <v/>
      </c>
      <c r="BC120" s="139" t="str">
        <f t="shared" si="22"/>
        <v/>
      </c>
      <c r="BD120" s="139" t="str">
        <f t="shared" si="22"/>
        <v/>
      </c>
      <c r="BF120" s="82">
        <f t="shared" si="16"/>
        <v>7.113334298572165E-5</v>
      </c>
      <c r="BG120" s="82">
        <f t="shared" si="17"/>
        <v>0.97149313369132062</v>
      </c>
    </row>
    <row r="121" spans="2:59" x14ac:dyDescent="0.3">
      <c r="B121" s="83" t="s">
        <v>203</v>
      </c>
      <c r="D121" s="137">
        <v>273499</v>
      </c>
      <c r="E121" s="137">
        <v>257024</v>
      </c>
      <c r="F121" s="137">
        <v>332351</v>
      </c>
      <c r="G121" s="137"/>
      <c r="H121" s="137"/>
      <c r="I121" s="137"/>
      <c r="J121" s="137"/>
      <c r="K121" s="137"/>
      <c r="L121" s="137"/>
      <c r="M121" s="137"/>
      <c r="N121" s="137"/>
      <c r="O121" s="137"/>
      <c r="P121" s="137">
        <f t="shared" si="14"/>
        <v>862874</v>
      </c>
      <c r="R121" s="137">
        <v>69451</v>
      </c>
      <c r="S121" s="137">
        <v>65017</v>
      </c>
      <c r="T121" s="137">
        <v>58937</v>
      </c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>
        <f t="shared" si="15"/>
        <v>193405</v>
      </c>
      <c r="AF121" s="84">
        <f t="shared" si="21"/>
        <v>0.25393511493643489</v>
      </c>
      <c r="AG121" s="84">
        <f t="shared" si="21"/>
        <v>0.25296081299800799</v>
      </c>
      <c r="AH121" s="84">
        <f t="shared" si="21"/>
        <v>0.17733360212546373</v>
      </c>
      <c r="AI121" s="84" t="str">
        <f t="shared" si="21"/>
        <v/>
      </c>
      <c r="AJ121" s="84" t="str">
        <f t="shared" si="21"/>
        <v/>
      </c>
      <c r="AK121" s="84" t="str">
        <f t="shared" si="21"/>
        <v/>
      </c>
      <c r="AL121" s="84" t="str">
        <f t="shared" si="21"/>
        <v/>
      </c>
      <c r="AM121" s="84" t="str">
        <f t="shared" si="21"/>
        <v/>
      </c>
      <c r="AN121" s="84" t="str">
        <f t="shared" si="20"/>
        <v/>
      </c>
      <c r="AO121" s="84" t="str">
        <f t="shared" si="20"/>
        <v/>
      </c>
      <c r="AP121" s="84" t="str">
        <f t="shared" si="20"/>
        <v/>
      </c>
      <c r="AQ121" s="84" t="str">
        <f t="shared" si="20"/>
        <v/>
      </c>
      <c r="AR121" s="84">
        <f t="shared" si="20"/>
        <v>0.22414048864608274</v>
      </c>
      <c r="AT121" s="139">
        <f t="shared" si="23"/>
        <v>-9.7430193842690249E-4</v>
      </c>
      <c r="AU121" s="139">
        <f t="shared" si="23"/>
        <v>-7.5627210872544259E-2</v>
      </c>
      <c r="AV121" s="139" t="str">
        <f t="shared" si="22"/>
        <v/>
      </c>
      <c r="AW121" s="139" t="str">
        <f t="shared" si="22"/>
        <v/>
      </c>
      <c r="AX121" s="139" t="str">
        <f t="shared" si="22"/>
        <v/>
      </c>
      <c r="AY121" s="139" t="str">
        <f t="shared" si="22"/>
        <v/>
      </c>
      <c r="AZ121" s="139" t="str">
        <f t="shared" si="22"/>
        <v/>
      </c>
      <c r="BA121" s="139" t="str">
        <f t="shared" si="22"/>
        <v/>
      </c>
      <c r="BB121" s="139" t="str">
        <f t="shared" si="22"/>
        <v/>
      </c>
      <c r="BC121" s="139" t="str">
        <f t="shared" si="22"/>
        <v/>
      </c>
      <c r="BD121" s="139" t="str">
        <f t="shared" si="22"/>
        <v/>
      </c>
      <c r="BF121" s="82">
        <f t="shared" si="16"/>
        <v>2.5010988256105694E-4</v>
      </c>
      <c r="BG121" s="82">
        <f t="shared" si="17"/>
        <v>0.97174324357388164</v>
      </c>
    </row>
    <row r="122" spans="2:59" x14ac:dyDescent="0.3">
      <c r="B122" s="83" t="s">
        <v>204</v>
      </c>
      <c r="D122" s="137">
        <v>4576574</v>
      </c>
      <c r="E122" s="137">
        <v>4232054</v>
      </c>
      <c r="F122" s="137">
        <v>4038455</v>
      </c>
      <c r="G122" s="137"/>
      <c r="H122" s="137"/>
      <c r="I122" s="137"/>
      <c r="J122" s="137"/>
      <c r="K122" s="137"/>
      <c r="L122" s="137"/>
      <c r="M122" s="137"/>
      <c r="N122" s="137"/>
      <c r="O122" s="137"/>
      <c r="P122" s="137">
        <f t="shared" si="14"/>
        <v>12847083</v>
      </c>
      <c r="R122" s="137">
        <v>629199</v>
      </c>
      <c r="S122" s="137">
        <v>585066</v>
      </c>
      <c r="T122" s="137">
        <v>528886</v>
      </c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>
        <f t="shared" si="15"/>
        <v>1743151</v>
      </c>
      <c r="AF122" s="84">
        <f t="shared" si="21"/>
        <v>0.13748253606300259</v>
      </c>
      <c r="AG122" s="84">
        <f t="shared" si="21"/>
        <v>0.13824634562791496</v>
      </c>
      <c r="AH122" s="84">
        <f t="shared" si="21"/>
        <v>0.13096245965350611</v>
      </c>
      <c r="AI122" s="84" t="str">
        <f t="shared" si="21"/>
        <v/>
      </c>
      <c r="AJ122" s="84" t="str">
        <f t="shared" si="21"/>
        <v/>
      </c>
      <c r="AK122" s="84" t="str">
        <f t="shared" si="21"/>
        <v/>
      </c>
      <c r="AL122" s="84" t="str">
        <f t="shared" si="21"/>
        <v/>
      </c>
      <c r="AM122" s="84" t="str">
        <f t="shared" si="21"/>
        <v/>
      </c>
      <c r="AN122" s="84" t="str">
        <f t="shared" si="20"/>
        <v/>
      </c>
      <c r="AO122" s="84" t="str">
        <f t="shared" si="20"/>
        <v/>
      </c>
      <c r="AP122" s="84" t="str">
        <f t="shared" si="20"/>
        <v/>
      </c>
      <c r="AQ122" s="84" t="str">
        <f t="shared" si="20"/>
        <v/>
      </c>
      <c r="AR122" s="84">
        <f t="shared" si="20"/>
        <v>0.13568457524560246</v>
      </c>
      <c r="AT122" s="139">
        <f t="shared" si="23"/>
        <v>7.6380956491237106E-4</v>
      </c>
      <c r="AU122" s="139">
        <f t="shared" si="23"/>
        <v>-7.2838859744088491E-3</v>
      </c>
      <c r="AV122" s="139" t="str">
        <f t="shared" si="22"/>
        <v/>
      </c>
      <c r="AW122" s="139" t="str">
        <f t="shared" si="22"/>
        <v/>
      </c>
      <c r="AX122" s="139" t="str">
        <f t="shared" si="22"/>
        <v/>
      </c>
      <c r="AY122" s="139" t="str">
        <f t="shared" si="22"/>
        <v/>
      </c>
      <c r="AZ122" s="139" t="str">
        <f t="shared" si="22"/>
        <v/>
      </c>
      <c r="BA122" s="139" t="str">
        <f t="shared" si="22"/>
        <v/>
      </c>
      <c r="BB122" s="139" t="str">
        <f t="shared" si="22"/>
        <v/>
      </c>
      <c r="BC122" s="139" t="str">
        <f t="shared" si="22"/>
        <v/>
      </c>
      <c r="BD122" s="139" t="str">
        <f t="shared" si="22"/>
        <v/>
      </c>
      <c r="BF122" s="82">
        <f t="shared" si="16"/>
        <v>2.2542296832873446E-3</v>
      </c>
      <c r="BG122" s="82">
        <f t="shared" si="17"/>
        <v>0.97399747325716901</v>
      </c>
    </row>
    <row r="123" spans="2:59" x14ac:dyDescent="0.3">
      <c r="B123" s="83" t="s">
        <v>205</v>
      </c>
      <c r="D123" s="137">
        <v>6549604</v>
      </c>
      <c r="E123" s="137">
        <v>4988517</v>
      </c>
      <c r="F123" s="137">
        <v>5906582</v>
      </c>
      <c r="G123" s="137"/>
      <c r="H123" s="137"/>
      <c r="I123" s="137"/>
      <c r="J123" s="137"/>
      <c r="K123" s="137"/>
      <c r="L123" s="137"/>
      <c r="M123" s="137"/>
      <c r="N123" s="137"/>
      <c r="O123" s="137"/>
      <c r="P123" s="137">
        <f t="shared" si="14"/>
        <v>17444703</v>
      </c>
      <c r="R123" s="137">
        <v>1134185</v>
      </c>
      <c r="S123" s="137">
        <v>834390</v>
      </c>
      <c r="T123" s="137">
        <v>989111</v>
      </c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>
        <f t="shared" si="15"/>
        <v>2957686</v>
      </c>
      <c r="AF123" s="84">
        <f t="shared" si="21"/>
        <v>0.17316848469006677</v>
      </c>
      <c r="AG123" s="84">
        <f t="shared" si="21"/>
        <v>0.16726213421744379</v>
      </c>
      <c r="AH123" s="84">
        <f t="shared" si="21"/>
        <v>0.16745911594895321</v>
      </c>
      <c r="AI123" s="84" t="str">
        <f t="shared" si="21"/>
        <v/>
      </c>
      <c r="AJ123" s="84" t="str">
        <f t="shared" si="21"/>
        <v/>
      </c>
      <c r="AK123" s="84" t="str">
        <f t="shared" si="21"/>
        <v/>
      </c>
      <c r="AL123" s="84" t="str">
        <f t="shared" si="21"/>
        <v/>
      </c>
      <c r="AM123" s="84" t="str">
        <f t="shared" si="21"/>
        <v/>
      </c>
      <c r="AN123" s="84" t="str">
        <f t="shared" si="20"/>
        <v/>
      </c>
      <c r="AO123" s="84" t="str">
        <f t="shared" si="20"/>
        <v/>
      </c>
      <c r="AP123" s="84" t="str">
        <f t="shared" si="20"/>
        <v/>
      </c>
      <c r="AQ123" s="84" t="str">
        <f t="shared" si="20"/>
        <v/>
      </c>
      <c r="AR123" s="84">
        <f t="shared" si="20"/>
        <v>0.16954636602296982</v>
      </c>
      <c r="AT123" s="139">
        <f t="shared" si="23"/>
        <v>-5.9063504726229732E-3</v>
      </c>
      <c r="AU123" s="139">
        <f t="shared" si="23"/>
        <v>1.9698173150942133E-4</v>
      </c>
      <c r="AV123" s="139" t="str">
        <f t="shared" si="22"/>
        <v/>
      </c>
      <c r="AW123" s="139" t="str">
        <f t="shared" si="22"/>
        <v/>
      </c>
      <c r="AX123" s="139" t="str">
        <f t="shared" si="22"/>
        <v/>
      </c>
      <c r="AY123" s="139" t="str">
        <f t="shared" si="22"/>
        <v/>
      </c>
      <c r="AZ123" s="139" t="str">
        <f t="shared" si="22"/>
        <v/>
      </c>
      <c r="BA123" s="139" t="str">
        <f t="shared" si="22"/>
        <v/>
      </c>
      <c r="BB123" s="139" t="str">
        <f t="shared" si="22"/>
        <v/>
      </c>
      <c r="BC123" s="139" t="str">
        <f t="shared" si="22"/>
        <v/>
      </c>
      <c r="BD123" s="139" t="str">
        <f t="shared" si="22"/>
        <v/>
      </c>
      <c r="BF123" s="82">
        <f t="shared" si="16"/>
        <v>3.8248571552570109E-3</v>
      </c>
      <c r="BG123" s="82">
        <f t="shared" si="17"/>
        <v>0.97782233041242606</v>
      </c>
    </row>
    <row r="124" spans="2:59" x14ac:dyDescent="0.3">
      <c r="B124" s="83" t="s">
        <v>206</v>
      </c>
      <c r="D124" s="137">
        <v>349711</v>
      </c>
      <c r="E124" s="137">
        <v>354363</v>
      </c>
      <c r="F124" s="137">
        <v>355155</v>
      </c>
      <c r="G124" s="137"/>
      <c r="H124" s="137"/>
      <c r="I124" s="137"/>
      <c r="J124" s="137"/>
      <c r="K124" s="137"/>
      <c r="L124" s="137"/>
      <c r="M124" s="137"/>
      <c r="N124" s="137"/>
      <c r="O124" s="137"/>
      <c r="P124" s="137">
        <f t="shared" si="14"/>
        <v>1059229</v>
      </c>
      <c r="R124" s="137">
        <v>50465</v>
      </c>
      <c r="S124" s="137">
        <v>62576</v>
      </c>
      <c r="T124" s="137">
        <v>49954</v>
      </c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>
        <f t="shared" si="15"/>
        <v>162995</v>
      </c>
      <c r="AF124" s="84">
        <f t="shared" si="21"/>
        <v>0.14430486887744451</v>
      </c>
      <c r="AG124" s="84">
        <f t="shared" si="21"/>
        <v>0.17658728478989058</v>
      </c>
      <c r="AH124" s="84">
        <f t="shared" si="21"/>
        <v>0.14065408061269025</v>
      </c>
      <c r="AI124" s="84" t="str">
        <f t="shared" si="21"/>
        <v/>
      </c>
      <c r="AJ124" s="84" t="str">
        <f t="shared" si="21"/>
        <v/>
      </c>
      <c r="AK124" s="84" t="str">
        <f t="shared" si="21"/>
        <v/>
      </c>
      <c r="AL124" s="84" t="str">
        <f t="shared" si="21"/>
        <v/>
      </c>
      <c r="AM124" s="84" t="str">
        <f t="shared" si="21"/>
        <v/>
      </c>
      <c r="AN124" s="84" t="str">
        <f t="shared" si="20"/>
        <v/>
      </c>
      <c r="AO124" s="84" t="str">
        <f t="shared" si="20"/>
        <v/>
      </c>
      <c r="AP124" s="84" t="str">
        <f t="shared" si="20"/>
        <v/>
      </c>
      <c r="AQ124" s="84" t="str">
        <f t="shared" si="20"/>
        <v/>
      </c>
      <c r="AR124" s="84">
        <f t="shared" si="20"/>
        <v>0.15388079442688976</v>
      </c>
      <c r="AT124" s="139">
        <f t="shared" si="23"/>
        <v>3.2282415912446072E-2</v>
      </c>
      <c r="AU124" s="139">
        <f t="shared" si="23"/>
        <v>-3.5933204177200334E-2</v>
      </c>
      <c r="AV124" s="139" t="str">
        <f t="shared" si="22"/>
        <v/>
      </c>
      <c r="AW124" s="139" t="str">
        <f t="shared" si="22"/>
        <v/>
      </c>
      <c r="AX124" s="139" t="str">
        <f t="shared" si="22"/>
        <v/>
      </c>
      <c r="AY124" s="139" t="str">
        <f t="shared" si="22"/>
        <v/>
      </c>
      <c r="AZ124" s="139" t="str">
        <f t="shared" si="22"/>
        <v/>
      </c>
      <c r="BA124" s="139" t="str">
        <f t="shared" si="22"/>
        <v/>
      </c>
      <c r="BB124" s="139" t="str">
        <f t="shared" si="22"/>
        <v/>
      </c>
      <c r="BC124" s="139" t="str">
        <f t="shared" si="22"/>
        <v/>
      </c>
      <c r="BD124" s="139" t="str">
        <f t="shared" si="22"/>
        <v/>
      </c>
      <c r="BF124" s="82">
        <f t="shared" si="16"/>
        <v>2.1078390066461296E-4</v>
      </c>
      <c r="BG124" s="82">
        <f t="shared" si="17"/>
        <v>0.9780331143130907</v>
      </c>
    </row>
    <row r="125" spans="2:59" x14ac:dyDescent="0.3">
      <c r="B125" s="83" t="s">
        <v>207</v>
      </c>
      <c r="D125" s="137">
        <v>645788</v>
      </c>
      <c r="E125" s="137">
        <v>610496</v>
      </c>
      <c r="F125" s="137">
        <v>703574</v>
      </c>
      <c r="G125" s="137"/>
      <c r="H125" s="137"/>
      <c r="I125" s="137"/>
      <c r="J125" s="137"/>
      <c r="K125" s="137"/>
      <c r="L125" s="137"/>
      <c r="M125" s="137"/>
      <c r="N125" s="137"/>
      <c r="O125" s="137"/>
      <c r="P125" s="137">
        <f t="shared" si="14"/>
        <v>1959858</v>
      </c>
      <c r="R125" s="137">
        <v>112236</v>
      </c>
      <c r="S125" s="137">
        <v>109647</v>
      </c>
      <c r="T125" s="137">
        <v>122053</v>
      </c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>
        <f t="shared" si="15"/>
        <v>343936</v>
      </c>
      <c r="AF125" s="84">
        <f t="shared" si="21"/>
        <v>0.17379697361982571</v>
      </c>
      <c r="AG125" s="84">
        <f t="shared" si="21"/>
        <v>0.17960314236293112</v>
      </c>
      <c r="AH125" s="84">
        <f t="shared" si="21"/>
        <v>0.17347571115476126</v>
      </c>
      <c r="AI125" s="84" t="str">
        <f t="shared" si="21"/>
        <v/>
      </c>
      <c r="AJ125" s="84" t="str">
        <f t="shared" si="21"/>
        <v/>
      </c>
      <c r="AK125" s="84" t="str">
        <f t="shared" si="21"/>
        <v/>
      </c>
      <c r="AL125" s="84" t="str">
        <f t="shared" si="21"/>
        <v/>
      </c>
      <c r="AM125" s="84" t="str">
        <f t="shared" si="21"/>
        <v/>
      </c>
      <c r="AN125" s="84" t="str">
        <f t="shared" si="20"/>
        <v/>
      </c>
      <c r="AO125" s="84" t="str">
        <f t="shared" si="20"/>
        <v/>
      </c>
      <c r="AP125" s="84" t="str">
        <f t="shared" si="20"/>
        <v/>
      </c>
      <c r="AQ125" s="84" t="str">
        <f t="shared" si="20"/>
        <v/>
      </c>
      <c r="AR125" s="84">
        <f t="shared" si="20"/>
        <v>0.17549026511104376</v>
      </c>
      <c r="AT125" s="139">
        <f t="shared" si="23"/>
        <v>5.806168743105411E-3</v>
      </c>
      <c r="AU125" s="139">
        <f t="shared" si="23"/>
        <v>-6.127431208169859E-3</v>
      </c>
      <c r="AV125" s="139" t="str">
        <f t="shared" si="22"/>
        <v/>
      </c>
      <c r="AW125" s="139" t="str">
        <f t="shared" si="22"/>
        <v/>
      </c>
      <c r="AX125" s="139" t="str">
        <f t="shared" si="22"/>
        <v/>
      </c>
      <c r="AY125" s="139" t="str">
        <f t="shared" si="22"/>
        <v/>
      </c>
      <c r="AZ125" s="139" t="str">
        <f t="shared" si="22"/>
        <v/>
      </c>
      <c r="BA125" s="139" t="str">
        <f t="shared" si="22"/>
        <v/>
      </c>
      <c r="BB125" s="139" t="str">
        <f t="shared" si="22"/>
        <v/>
      </c>
      <c r="BC125" s="139" t="str">
        <f t="shared" si="22"/>
        <v/>
      </c>
      <c r="BD125" s="139" t="str">
        <f t="shared" si="22"/>
        <v/>
      </c>
      <c r="BF125" s="82">
        <f t="shared" si="16"/>
        <v>4.4477543273710435E-4</v>
      </c>
      <c r="BG125" s="82">
        <f t="shared" si="17"/>
        <v>0.97847788974582783</v>
      </c>
    </row>
    <row r="126" spans="2:59" x14ac:dyDescent="0.3">
      <c r="B126" s="83" t="s">
        <v>208</v>
      </c>
      <c r="D126" s="137">
        <v>218867</v>
      </c>
      <c r="E126" s="137">
        <v>182725</v>
      </c>
      <c r="F126" s="137">
        <v>187957</v>
      </c>
      <c r="G126" s="137"/>
      <c r="H126" s="137"/>
      <c r="I126" s="137"/>
      <c r="J126" s="137"/>
      <c r="K126" s="137"/>
      <c r="L126" s="137"/>
      <c r="M126" s="137"/>
      <c r="N126" s="137"/>
      <c r="O126" s="137"/>
      <c r="P126" s="137">
        <f t="shared" si="14"/>
        <v>589549</v>
      </c>
      <c r="R126" s="137">
        <v>76265</v>
      </c>
      <c r="S126" s="137">
        <v>30282</v>
      </c>
      <c r="T126" s="137">
        <v>21197</v>
      </c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>
        <f t="shared" si="15"/>
        <v>127744</v>
      </c>
      <c r="AF126" s="84">
        <f t="shared" si="21"/>
        <v>0.34845362708859717</v>
      </c>
      <c r="AG126" s="84">
        <f t="shared" si="21"/>
        <v>0.16572444930907101</v>
      </c>
      <c r="AH126" s="84">
        <f t="shared" si="21"/>
        <v>0.11277579446362732</v>
      </c>
      <c r="AI126" s="84" t="str">
        <f t="shared" si="21"/>
        <v/>
      </c>
      <c r="AJ126" s="84" t="str">
        <f t="shared" si="21"/>
        <v/>
      </c>
      <c r="AK126" s="84" t="str">
        <f t="shared" si="21"/>
        <v/>
      </c>
      <c r="AL126" s="84" t="str">
        <f t="shared" si="21"/>
        <v/>
      </c>
      <c r="AM126" s="84" t="str">
        <f t="shared" si="21"/>
        <v/>
      </c>
      <c r="AN126" s="84" t="str">
        <f t="shared" si="20"/>
        <v/>
      </c>
      <c r="AO126" s="84" t="str">
        <f t="shared" si="20"/>
        <v/>
      </c>
      <c r="AP126" s="84" t="str">
        <f t="shared" si="20"/>
        <v/>
      </c>
      <c r="AQ126" s="84" t="str">
        <f t="shared" si="20"/>
        <v/>
      </c>
      <c r="AR126" s="84">
        <f t="shared" si="20"/>
        <v>0.21668088657600978</v>
      </c>
      <c r="AT126" s="139">
        <f t="shared" si="23"/>
        <v>-0.18272917777952616</v>
      </c>
      <c r="AU126" s="139">
        <f t="shared" si="23"/>
        <v>-5.2948654845443699E-2</v>
      </c>
      <c r="AV126" s="139" t="str">
        <f t="shared" si="22"/>
        <v/>
      </c>
      <c r="AW126" s="139" t="str">
        <f t="shared" si="22"/>
        <v/>
      </c>
      <c r="AX126" s="139" t="str">
        <f t="shared" si="22"/>
        <v/>
      </c>
      <c r="AY126" s="139" t="str">
        <f t="shared" si="22"/>
        <v/>
      </c>
      <c r="AZ126" s="139" t="str">
        <f t="shared" si="22"/>
        <v/>
      </c>
      <c r="BA126" s="139" t="str">
        <f t="shared" si="22"/>
        <v/>
      </c>
      <c r="BB126" s="139" t="str">
        <f t="shared" si="22"/>
        <v/>
      </c>
      <c r="BC126" s="139" t="str">
        <f t="shared" si="22"/>
        <v/>
      </c>
      <c r="BD126" s="139" t="str">
        <f t="shared" si="22"/>
        <v/>
      </c>
      <c r="BF126" s="82">
        <f t="shared" si="16"/>
        <v>1.6519757419859702E-4</v>
      </c>
      <c r="BG126" s="82">
        <f t="shared" si="17"/>
        <v>0.97864308732002647</v>
      </c>
    </row>
    <row r="127" spans="2:59" x14ac:dyDescent="0.3">
      <c r="B127" s="83" t="s">
        <v>209</v>
      </c>
      <c r="D127" s="137">
        <v>200213</v>
      </c>
      <c r="E127" s="137">
        <v>187036</v>
      </c>
      <c r="F127" s="137">
        <v>221307</v>
      </c>
      <c r="G127" s="137"/>
      <c r="H127" s="137"/>
      <c r="I127" s="137"/>
      <c r="J127" s="137"/>
      <c r="K127" s="137"/>
      <c r="L127" s="137"/>
      <c r="M127" s="137"/>
      <c r="N127" s="137"/>
      <c r="O127" s="137"/>
      <c r="P127" s="137">
        <f t="shared" si="14"/>
        <v>608556</v>
      </c>
      <c r="R127" s="137">
        <v>41799</v>
      </c>
      <c r="S127" s="137">
        <v>35556</v>
      </c>
      <c r="T127" s="137">
        <v>53624</v>
      </c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>
        <f t="shared" si="15"/>
        <v>130979</v>
      </c>
      <c r="AF127" s="84">
        <f t="shared" si="21"/>
        <v>0.20877265712016702</v>
      </c>
      <c r="AG127" s="84">
        <f t="shared" si="21"/>
        <v>0.1901024401719455</v>
      </c>
      <c r="AH127" s="84">
        <f t="shared" si="21"/>
        <v>0.24230593700154085</v>
      </c>
      <c r="AI127" s="84" t="str">
        <f t="shared" si="21"/>
        <v/>
      </c>
      <c r="AJ127" s="84" t="str">
        <f t="shared" si="21"/>
        <v/>
      </c>
      <c r="AK127" s="84" t="str">
        <f t="shared" si="21"/>
        <v/>
      </c>
      <c r="AL127" s="84" t="str">
        <f t="shared" si="21"/>
        <v/>
      </c>
      <c r="AM127" s="84" t="str">
        <f t="shared" si="21"/>
        <v/>
      </c>
      <c r="AN127" s="84" t="str">
        <f t="shared" si="20"/>
        <v/>
      </c>
      <c r="AO127" s="84" t="str">
        <f t="shared" si="20"/>
        <v/>
      </c>
      <c r="AP127" s="84" t="str">
        <f t="shared" si="20"/>
        <v/>
      </c>
      <c r="AQ127" s="84" t="str">
        <f t="shared" si="20"/>
        <v/>
      </c>
      <c r="AR127" s="84">
        <f t="shared" si="20"/>
        <v>0.21522916543424106</v>
      </c>
      <c r="AT127" s="139">
        <f t="shared" si="23"/>
        <v>-1.8670216948221519E-2</v>
      </c>
      <c r="AU127" s="139">
        <f t="shared" si="23"/>
        <v>5.2203496829595353E-2</v>
      </c>
      <c r="AV127" s="139" t="str">
        <f t="shared" si="22"/>
        <v/>
      </c>
      <c r="AW127" s="139" t="str">
        <f t="shared" si="22"/>
        <v/>
      </c>
      <c r="AX127" s="139" t="str">
        <f t="shared" si="22"/>
        <v/>
      </c>
      <c r="AY127" s="139" t="str">
        <f t="shared" si="22"/>
        <v/>
      </c>
      <c r="AZ127" s="139" t="str">
        <f t="shared" si="22"/>
        <v/>
      </c>
      <c r="BA127" s="139" t="str">
        <f t="shared" si="22"/>
        <v/>
      </c>
      <c r="BB127" s="139" t="str">
        <f t="shared" si="22"/>
        <v/>
      </c>
      <c r="BC127" s="139" t="str">
        <f t="shared" si="22"/>
        <v/>
      </c>
      <c r="BD127" s="139" t="str">
        <f t="shared" si="22"/>
        <v/>
      </c>
      <c r="BF127" s="82">
        <f t="shared" si="16"/>
        <v>1.6938105172030027E-4</v>
      </c>
      <c r="BG127" s="82">
        <f t="shared" si="17"/>
        <v>0.97881246837174674</v>
      </c>
    </row>
    <row r="128" spans="2:59" x14ac:dyDescent="0.3">
      <c r="B128" s="83" t="s">
        <v>210</v>
      </c>
      <c r="D128" s="137">
        <v>559167</v>
      </c>
      <c r="E128" s="137">
        <v>423395</v>
      </c>
      <c r="F128" s="137">
        <v>372826</v>
      </c>
      <c r="G128" s="137"/>
      <c r="H128" s="137"/>
      <c r="I128" s="137"/>
      <c r="J128" s="137"/>
      <c r="K128" s="137"/>
      <c r="L128" s="137"/>
      <c r="M128" s="137"/>
      <c r="N128" s="137"/>
      <c r="O128" s="137"/>
      <c r="P128" s="137">
        <f t="shared" si="14"/>
        <v>1355388</v>
      </c>
      <c r="R128" s="137">
        <v>78416</v>
      </c>
      <c r="S128" s="137">
        <v>66042</v>
      </c>
      <c r="T128" s="137">
        <v>63212</v>
      </c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>
        <f t="shared" si="15"/>
        <v>207670</v>
      </c>
      <c r="AF128" s="84">
        <f t="shared" si="21"/>
        <v>0.14023717422523146</v>
      </c>
      <c r="AG128" s="84">
        <f t="shared" si="21"/>
        <v>0.15598200262166534</v>
      </c>
      <c r="AH128" s="84">
        <f t="shared" si="21"/>
        <v>0.16954826111912796</v>
      </c>
      <c r="AI128" s="84" t="str">
        <f t="shared" si="21"/>
        <v/>
      </c>
      <c r="AJ128" s="84" t="str">
        <f t="shared" si="21"/>
        <v/>
      </c>
      <c r="AK128" s="84" t="str">
        <f t="shared" si="21"/>
        <v/>
      </c>
      <c r="AL128" s="84" t="str">
        <f t="shared" si="21"/>
        <v/>
      </c>
      <c r="AM128" s="84" t="str">
        <f t="shared" si="21"/>
        <v/>
      </c>
      <c r="AN128" s="84" t="str">
        <f t="shared" si="20"/>
        <v/>
      </c>
      <c r="AO128" s="84" t="str">
        <f t="shared" si="20"/>
        <v/>
      </c>
      <c r="AP128" s="84" t="str">
        <f t="shared" si="20"/>
        <v/>
      </c>
      <c r="AQ128" s="84" t="str">
        <f t="shared" si="20"/>
        <v/>
      </c>
      <c r="AR128" s="84">
        <f t="shared" si="20"/>
        <v>0.15321811909209762</v>
      </c>
      <c r="AT128" s="139">
        <f t="shared" si="23"/>
        <v>1.5744828396433874E-2</v>
      </c>
      <c r="AU128" s="139">
        <f t="shared" si="23"/>
        <v>1.3566258497462624E-2</v>
      </c>
      <c r="AV128" s="139" t="str">
        <f t="shared" si="22"/>
        <v/>
      </c>
      <c r="AW128" s="139" t="str">
        <f t="shared" si="22"/>
        <v/>
      </c>
      <c r="AX128" s="139" t="str">
        <f t="shared" si="22"/>
        <v/>
      </c>
      <c r="AY128" s="139" t="str">
        <f t="shared" si="22"/>
        <v/>
      </c>
      <c r="AZ128" s="139" t="str">
        <f t="shared" si="22"/>
        <v/>
      </c>
      <c r="BA128" s="139" t="str">
        <f t="shared" si="22"/>
        <v/>
      </c>
      <c r="BB128" s="139" t="str">
        <f t="shared" si="22"/>
        <v/>
      </c>
      <c r="BC128" s="139" t="str">
        <f t="shared" si="22"/>
        <v/>
      </c>
      <c r="BD128" s="139" t="str">
        <f t="shared" si="22"/>
        <v/>
      </c>
      <c r="BF128" s="82">
        <f t="shared" si="16"/>
        <v>2.6855727262198336E-4</v>
      </c>
      <c r="BG128" s="82">
        <f t="shared" si="17"/>
        <v>0.97908102564436872</v>
      </c>
    </row>
    <row r="129" spans="2:59" x14ac:dyDescent="0.3">
      <c r="B129" s="83" t="s">
        <v>211</v>
      </c>
      <c r="D129" s="137">
        <v>55321</v>
      </c>
      <c r="E129" s="137">
        <v>47764</v>
      </c>
      <c r="F129" s="137">
        <v>43151</v>
      </c>
      <c r="G129" s="137"/>
      <c r="H129" s="137"/>
      <c r="I129" s="137"/>
      <c r="J129" s="137"/>
      <c r="K129" s="137"/>
      <c r="L129" s="137"/>
      <c r="M129" s="137"/>
      <c r="N129" s="137"/>
      <c r="O129" s="137"/>
      <c r="P129" s="137">
        <f t="shared" si="14"/>
        <v>146236</v>
      </c>
      <c r="R129" s="137">
        <v>12923</v>
      </c>
      <c r="S129" s="137">
        <v>7560</v>
      </c>
      <c r="T129" s="137">
        <v>7338</v>
      </c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>
        <f t="shared" si="15"/>
        <v>27821</v>
      </c>
      <c r="AF129" s="84">
        <f t="shared" si="21"/>
        <v>0.23360026029898232</v>
      </c>
      <c r="AG129" s="84">
        <f t="shared" si="21"/>
        <v>0.15827820115568211</v>
      </c>
      <c r="AH129" s="84">
        <f t="shared" si="21"/>
        <v>0.17005399643113717</v>
      </c>
      <c r="AI129" s="84" t="str">
        <f t="shared" si="21"/>
        <v/>
      </c>
      <c r="AJ129" s="84" t="str">
        <f t="shared" si="21"/>
        <v/>
      </c>
      <c r="AK129" s="84" t="str">
        <f t="shared" si="21"/>
        <v/>
      </c>
      <c r="AL129" s="84" t="str">
        <f t="shared" si="21"/>
        <v/>
      </c>
      <c r="AM129" s="84" t="str">
        <f t="shared" si="21"/>
        <v/>
      </c>
      <c r="AN129" s="84" t="str">
        <f t="shared" si="20"/>
        <v/>
      </c>
      <c r="AO129" s="84" t="str">
        <f t="shared" si="20"/>
        <v/>
      </c>
      <c r="AP129" s="84" t="str">
        <f t="shared" si="20"/>
        <v/>
      </c>
      <c r="AQ129" s="84" t="str">
        <f t="shared" si="20"/>
        <v/>
      </c>
      <c r="AR129" s="84">
        <f t="shared" si="20"/>
        <v>0.19024727153368529</v>
      </c>
      <c r="AT129" s="139">
        <f t="shared" si="23"/>
        <v>-7.5322059143300202E-2</v>
      </c>
      <c r="AU129" s="139">
        <f t="shared" si="23"/>
        <v>1.1775795275455053E-2</v>
      </c>
      <c r="AV129" s="139" t="str">
        <f t="shared" si="22"/>
        <v/>
      </c>
      <c r="AW129" s="139" t="str">
        <f t="shared" si="22"/>
        <v/>
      </c>
      <c r="AX129" s="139" t="str">
        <f t="shared" si="22"/>
        <v/>
      </c>
      <c r="AY129" s="139" t="str">
        <f t="shared" si="22"/>
        <v/>
      </c>
      <c r="AZ129" s="139" t="str">
        <f t="shared" si="22"/>
        <v/>
      </c>
      <c r="BA129" s="139" t="str">
        <f t="shared" si="22"/>
        <v/>
      </c>
      <c r="BB129" s="139" t="str">
        <f t="shared" si="22"/>
        <v/>
      </c>
      <c r="BC129" s="139" t="str">
        <f t="shared" si="22"/>
        <v/>
      </c>
      <c r="BD129" s="139" t="str">
        <f t="shared" si="22"/>
        <v/>
      </c>
      <c r="BF129" s="82">
        <f t="shared" si="16"/>
        <v>3.5977906686648041E-5</v>
      </c>
      <c r="BG129" s="82">
        <f t="shared" si="17"/>
        <v>0.97911700355105535</v>
      </c>
    </row>
    <row r="130" spans="2:59" x14ac:dyDescent="0.3">
      <c r="B130" s="83" t="s">
        <v>212</v>
      </c>
      <c r="D130" s="137">
        <v>88598</v>
      </c>
      <c r="E130" s="137">
        <v>144259</v>
      </c>
      <c r="F130" s="137">
        <v>153701</v>
      </c>
      <c r="G130" s="137"/>
      <c r="H130" s="137"/>
      <c r="I130" s="137"/>
      <c r="J130" s="137"/>
      <c r="K130" s="137"/>
      <c r="L130" s="137"/>
      <c r="M130" s="137"/>
      <c r="N130" s="137"/>
      <c r="O130" s="137"/>
      <c r="P130" s="137">
        <f t="shared" si="14"/>
        <v>386558</v>
      </c>
      <c r="R130" s="137">
        <v>13852</v>
      </c>
      <c r="S130" s="137">
        <v>52737</v>
      </c>
      <c r="T130" s="137">
        <v>31049</v>
      </c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>
        <f t="shared" si="15"/>
        <v>97638</v>
      </c>
      <c r="AF130" s="84">
        <f t="shared" si="21"/>
        <v>0.15634664439377863</v>
      </c>
      <c r="AG130" s="84">
        <f t="shared" si="21"/>
        <v>0.36557164544326526</v>
      </c>
      <c r="AH130" s="84">
        <f t="shared" si="21"/>
        <v>0.20200909558168131</v>
      </c>
      <c r="AI130" s="84" t="str">
        <f t="shared" si="21"/>
        <v/>
      </c>
      <c r="AJ130" s="84" t="str">
        <f t="shared" si="21"/>
        <v/>
      </c>
      <c r="AK130" s="84" t="str">
        <f t="shared" si="21"/>
        <v/>
      </c>
      <c r="AL130" s="84" t="str">
        <f t="shared" si="21"/>
        <v/>
      </c>
      <c r="AM130" s="84" t="str">
        <f t="shared" si="21"/>
        <v/>
      </c>
      <c r="AN130" s="84" t="str">
        <f t="shared" si="20"/>
        <v/>
      </c>
      <c r="AO130" s="84" t="str">
        <f t="shared" si="20"/>
        <v/>
      </c>
      <c r="AP130" s="84" t="str">
        <f t="shared" si="20"/>
        <v/>
      </c>
      <c r="AQ130" s="84" t="str">
        <f t="shared" si="20"/>
        <v/>
      </c>
      <c r="AR130" s="84">
        <f t="shared" si="20"/>
        <v>0.25258305351331495</v>
      </c>
      <c r="AT130" s="139">
        <f t="shared" si="23"/>
        <v>0.20922500104948663</v>
      </c>
      <c r="AU130" s="139">
        <f t="shared" si="23"/>
        <v>-0.16356254986158394</v>
      </c>
      <c r="AV130" s="139" t="str">
        <f t="shared" si="22"/>
        <v/>
      </c>
      <c r="AW130" s="139" t="str">
        <f t="shared" si="22"/>
        <v/>
      </c>
      <c r="AX130" s="139" t="str">
        <f t="shared" si="22"/>
        <v/>
      </c>
      <c r="AY130" s="139" t="str">
        <f t="shared" si="22"/>
        <v/>
      </c>
      <c r="AZ130" s="139" t="str">
        <f t="shared" si="22"/>
        <v/>
      </c>
      <c r="BA130" s="139" t="str">
        <f t="shared" si="22"/>
        <v/>
      </c>
      <c r="BB130" s="139" t="str">
        <f t="shared" si="22"/>
        <v/>
      </c>
      <c r="BC130" s="139" t="str">
        <f t="shared" si="22"/>
        <v/>
      </c>
      <c r="BD130" s="139" t="str">
        <f t="shared" si="22"/>
        <v/>
      </c>
      <c r="BF130" s="82">
        <f t="shared" si="16"/>
        <v>1.2626472280187419E-4</v>
      </c>
      <c r="BG130" s="82">
        <f t="shared" si="17"/>
        <v>0.97924326827385721</v>
      </c>
    </row>
    <row r="131" spans="2:59" x14ac:dyDescent="0.3">
      <c r="B131" s="83" t="s">
        <v>213</v>
      </c>
      <c r="D131" s="137">
        <v>2869438</v>
      </c>
      <c r="E131" s="137">
        <v>10355945</v>
      </c>
      <c r="F131" s="137">
        <v>10106850</v>
      </c>
      <c r="G131" s="137"/>
      <c r="H131" s="137"/>
      <c r="I131" s="137"/>
      <c r="J131" s="137"/>
      <c r="K131" s="137"/>
      <c r="L131" s="137"/>
      <c r="M131" s="137"/>
      <c r="N131" s="137"/>
      <c r="O131" s="137"/>
      <c r="P131" s="137">
        <f t="shared" si="14"/>
        <v>23332233</v>
      </c>
      <c r="R131" s="137">
        <v>678689</v>
      </c>
      <c r="S131" s="137">
        <v>4555506</v>
      </c>
      <c r="T131" s="137">
        <v>4283781</v>
      </c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>
        <f t="shared" si="15"/>
        <v>9517976</v>
      </c>
      <c r="AF131" s="84">
        <f t="shared" si="21"/>
        <v>0.23652331920048456</v>
      </c>
      <c r="AG131" s="84">
        <f t="shared" si="21"/>
        <v>0.43989283450230759</v>
      </c>
      <c r="AH131" s="84">
        <f t="shared" si="21"/>
        <v>0.42384927054423482</v>
      </c>
      <c r="AI131" s="84" t="str">
        <f t="shared" si="21"/>
        <v/>
      </c>
      <c r="AJ131" s="84" t="str">
        <f t="shared" si="21"/>
        <v/>
      </c>
      <c r="AK131" s="84" t="str">
        <f t="shared" si="21"/>
        <v/>
      </c>
      <c r="AL131" s="84" t="str">
        <f t="shared" si="21"/>
        <v/>
      </c>
      <c r="AM131" s="84" t="str">
        <f t="shared" si="21"/>
        <v/>
      </c>
      <c r="AN131" s="84" t="str">
        <f t="shared" si="20"/>
        <v/>
      </c>
      <c r="AO131" s="84" t="str">
        <f t="shared" si="20"/>
        <v/>
      </c>
      <c r="AP131" s="84" t="str">
        <f t="shared" si="20"/>
        <v/>
      </c>
      <c r="AQ131" s="84" t="str">
        <f t="shared" si="20"/>
        <v/>
      </c>
      <c r="AR131" s="84">
        <f t="shared" si="20"/>
        <v>0.40793249407375626</v>
      </c>
      <c r="AT131" s="139">
        <f t="shared" si="23"/>
        <v>0.20336951530182304</v>
      </c>
      <c r="AU131" s="139">
        <f t="shared" si="23"/>
        <v>-1.6043563958072771E-2</v>
      </c>
      <c r="AV131" s="139" t="str">
        <f t="shared" si="22"/>
        <v/>
      </c>
      <c r="AW131" s="139" t="str">
        <f t="shared" si="22"/>
        <v/>
      </c>
      <c r="AX131" s="139" t="str">
        <f t="shared" si="22"/>
        <v/>
      </c>
      <c r="AY131" s="139" t="str">
        <f t="shared" si="22"/>
        <v/>
      </c>
      <c r="AZ131" s="139" t="str">
        <f t="shared" si="22"/>
        <v/>
      </c>
      <c r="BA131" s="139" t="str">
        <f t="shared" si="22"/>
        <v/>
      </c>
      <c r="BB131" s="139" t="str">
        <f t="shared" si="22"/>
        <v/>
      </c>
      <c r="BC131" s="139" t="str">
        <f t="shared" si="22"/>
        <v/>
      </c>
      <c r="BD131" s="139" t="str">
        <f t="shared" si="22"/>
        <v/>
      </c>
      <c r="BF131" s="82">
        <f t="shared" si="16"/>
        <v>1.2308574543465569E-2</v>
      </c>
      <c r="BG131" s="82">
        <f t="shared" si="17"/>
        <v>0.99155184281732278</v>
      </c>
    </row>
    <row r="132" spans="2:59" x14ac:dyDescent="0.3">
      <c r="B132" s="83" t="s">
        <v>214</v>
      </c>
      <c r="D132" s="137">
        <v>275029</v>
      </c>
      <c r="E132" s="137">
        <v>149955</v>
      </c>
      <c r="F132" s="137">
        <v>190541</v>
      </c>
      <c r="G132" s="137"/>
      <c r="H132" s="137"/>
      <c r="I132" s="137"/>
      <c r="J132" s="137"/>
      <c r="K132" s="137"/>
      <c r="L132" s="137"/>
      <c r="M132" s="137"/>
      <c r="N132" s="137"/>
      <c r="O132" s="137"/>
      <c r="P132" s="137">
        <f t="shared" si="14"/>
        <v>615525</v>
      </c>
      <c r="R132" s="137">
        <v>75962</v>
      </c>
      <c r="S132" s="137">
        <v>59534</v>
      </c>
      <c r="T132" s="137">
        <v>27414</v>
      </c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>
        <f t="shared" si="15"/>
        <v>162910</v>
      </c>
      <c r="AF132" s="84">
        <f t="shared" si="21"/>
        <v>0.27619632838718827</v>
      </c>
      <c r="AG132" s="84">
        <f t="shared" si="21"/>
        <v>0.39701243706445266</v>
      </c>
      <c r="AH132" s="84">
        <f t="shared" si="21"/>
        <v>0.14387454668549027</v>
      </c>
      <c r="AI132" s="84" t="str">
        <f t="shared" si="21"/>
        <v/>
      </c>
      <c r="AJ132" s="84" t="str">
        <f t="shared" si="21"/>
        <v/>
      </c>
      <c r="AK132" s="84" t="str">
        <f t="shared" si="21"/>
        <v/>
      </c>
      <c r="AL132" s="84" t="str">
        <f t="shared" si="21"/>
        <v/>
      </c>
      <c r="AM132" s="84" t="str">
        <f t="shared" si="21"/>
        <v/>
      </c>
      <c r="AN132" s="84" t="str">
        <f t="shared" si="20"/>
        <v/>
      </c>
      <c r="AO132" s="84" t="str">
        <f t="shared" si="20"/>
        <v/>
      </c>
      <c r="AP132" s="84" t="str">
        <f t="shared" si="20"/>
        <v/>
      </c>
      <c r="AQ132" s="84" t="str">
        <f t="shared" si="20"/>
        <v/>
      </c>
      <c r="AR132" s="84">
        <f t="shared" si="20"/>
        <v>0.26466837252751718</v>
      </c>
      <c r="AT132" s="139">
        <f t="shared" si="23"/>
        <v>0.12081610867726439</v>
      </c>
      <c r="AU132" s="139">
        <f t="shared" si="23"/>
        <v>-0.25313789037896239</v>
      </c>
      <c r="AV132" s="139" t="str">
        <f t="shared" si="22"/>
        <v/>
      </c>
      <c r="AW132" s="139" t="str">
        <f t="shared" si="22"/>
        <v/>
      </c>
      <c r="AX132" s="139" t="str">
        <f t="shared" si="22"/>
        <v/>
      </c>
      <c r="AY132" s="139" t="str">
        <f t="shared" si="22"/>
        <v/>
      </c>
      <c r="AZ132" s="139" t="str">
        <f t="shared" si="22"/>
        <v/>
      </c>
      <c r="BA132" s="139" t="str">
        <f t="shared" si="22"/>
        <v/>
      </c>
      <c r="BB132" s="139" t="str">
        <f t="shared" si="22"/>
        <v/>
      </c>
      <c r="BC132" s="139" t="str">
        <f t="shared" si="22"/>
        <v/>
      </c>
      <c r="BD132" s="139" t="str">
        <f t="shared" si="22"/>
        <v/>
      </c>
      <c r="BF132" s="82">
        <f t="shared" si="16"/>
        <v>2.1067397930778307E-4</v>
      </c>
      <c r="BG132" s="82">
        <f t="shared" si="17"/>
        <v>0.99176251679663052</v>
      </c>
    </row>
    <row r="133" spans="2:59" x14ac:dyDescent="0.3">
      <c r="B133" s="83" t="s">
        <v>215</v>
      </c>
      <c r="D133" s="137">
        <v>154241</v>
      </c>
      <c r="E133" s="137">
        <v>168558</v>
      </c>
      <c r="F133" s="137">
        <v>134682</v>
      </c>
      <c r="G133" s="137"/>
      <c r="H133" s="137"/>
      <c r="I133" s="137"/>
      <c r="J133" s="137"/>
      <c r="K133" s="137"/>
      <c r="L133" s="137"/>
      <c r="M133" s="137"/>
      <c r="N133" s="137"/>
      <c r="O133" s="137"/>
      <c r="P133" s="137">
        <f t="shared" ref="P133:P196" si="24">+SUM(D133:O133)</f>
        <v>457481</v>
      </c>
      <c r="R133" s="137">
        <v>17987</v>
      </c>
      <c r="S133" s="137">
        <v>31752</v>
      </c>
      <c r="T133" s="137">
        <v>22074</v>
      </c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>
        <f t="shared" ref="AD133:AD196" si="25">+SUM(R133:AC133)</f>
        <v>71813</v>
      </c>
      <c r="AF133" s="84">
        <f t="shared" si="21"/>
        <v>0.1166162045111222</v>
      </c>
      <c r="AG133" s="84">
        <f t="shared" si="21"/>
        <v>0.18837432812444382</v>
      </c>
      <c r="AH133" s="84">
        <f t="shared" si="21"/>
        <v>0.16389718002405668</v>
      </c>
      <c r="AI133" s="84" t="str">
        <f t="shared" si="21"/>
        <v/>
      </c>
      <c r="AJ133" s="84" t="str">
        <f t="shared" si="21"/>
        <v/>
      </c>
      <c r="AK133" s="84" t="str">
        <f t="shared" si="21"/>
        <v/>
      </c>
      <c r="AL133" s="84" t="str">
        <f t="shared" si="21"/>
        <v/>
      </c>
      <c r="AM133" s="84" t="str">
        <f t="shared" si="21"/>
        <v/>
      </c>
      <c r="AN133" s="84" t="str">
        <f t="shared" si="20"/>
        <v/>
      </c>
      <c r="AO133" s="84" t="str">
        <f t="shared" si="20"/>
        <v/>
      </c>
      <c r="AP133" s="84" t="str">
        <f t="shared" si="20"/>
        <v/>
      </c>
      <c r="AQ133" s="84" t="str">
        <f t="shared" si="20"/>
        <v/>
      </c>
      <c r="AR133" s="84">
        <f t="shared" si="20"/>
        <v>0.15697482518399672</v>
      </c>
      <c r="AT133" s="139">
        <f t="shared" si="23"/>
        <v>7.1758123613321623E-2</v>
      </c>
      <c r="AU133" s="139">
        <f t="shared" si="23"/>
        <v>-2.4477148100387147E-2</v>
      </c>
      <c r="AV133" s="139" t="str">
        <f t="shared" si="22"/>
        <v/>
      </c>
      <c r="AW133" s="139" t="str">
        <f t="shared" si="22"/>
        <v/>
      </c>
      <c r="AX133" s="139" t="str">
        <f t="shared" si="22"/>
        <v/>
      </c>
      <c r="AY133" s="139" t="str">
        <f t="shared" si="22"/>
        <v/>
      </c>
      <c r="AZ133" s="139" t="str">
        <f t="shared" si="22"/>
        <v/>
      </c>
      <c r="BA133" s="139" t="str">
        <f t="shared" si="22"/>
        <v/>
      </c>
      <c r="BB133" s="139" t="str">
        <f t="shared" si="22"/>
        <v/>
      </c>
      <c r="BC133" s="139" t="str">
        <f t="shared" si="22"/>
        <v/>
      </c>
      <c r="BD133" s="139" t="str">
        <f t="shared" si="22"/>
        <v/>
      </c>
      <c r="BF133" s="82">
        <f t="shared" ref="BF133:BF196" si="26">+AD133/$AD$236</f>
        <v>9.2868028212079217E-5</v>
      </c>
      <c r="BG133" s="82">
        <f t="shared" si="17"/>
        <v>0.99185538482484259</v>
      </c>
    </row>
    <row r="134" spans="2:59" x14ac:dyDescent="0.3">
      <c r="B134" s="83" t="s">
        <v>216</v>
      </c>
      <c r="D134" s="137">
        <v>77152</v>
      </c>
      <c r="E134" s="137">
        <v>82250</v>
      </c>
      <c r="F134" s="137">
        <v>81318</v>
      </c>
      <c r="G134" s="137"/>
      <c r="H134" s="137"/>
      <c r="I134" s="137"/>
      <c r="J134" s="137"/>
      <c r="K134" s="137"/>
      <c r="L134" s="137"/>
      <c r="M134" s="137"/>
      <c r="N134" s="137"/>
      <c r="O134" s="137"/>
      <c r="P134" s="137">
        <f t="shared" si="24"/>
        <v>240720</v>
      </c>
      <c r="R134" s="137">
        <v>14436</v>
      </c>
      <c r="S134" s="137">
        <v>21364</v>
      </c>
      <c r="T134" s="137">
        <v>12011</v>
      </c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>
        <f t="shared" si="25"/>
        <v>47811</v>
      </c>
      <c r="AF134" s="84">
        <f t="shared" si="21"/>
        <v>0.18711115719618415</v>
      </c>
      <c r="AG134" s="84">
        <f t="shared" si="21"/>
        <v>0.25974468085106384</v>
      </c>
      <c r="AH134" s="84">
        <f t="shared" si="21"/>
        <v>0.14770407535846922</v>
      </c>
      <c r="AI134" s="84" t="str">
        <f t="shared" si="21"/>
        <v/>
      </c>
      <c r="AJ134" s="84" t="str">
        <f t="shared" si="21"/>
        <v/>
      </c>
      <c r="AK134" s="84" t="str">
        <f t="shared" si="21"/>
        <v/>
      </c>
      <c r="AL134" s="84" t="str">
        <f t="shared" si="21"/>
        <v/>
      </c>
      <c r="AM134" s="84" t="str">
        <f t="shared" si="21"/>
        <v/>
      </c>
      <c r="AN134" s="84" t="str">
        <f t="shared" si="20"/>
        <v/>
      </c>
      <c r="AO134" s="84" t="str">
        <f t="shared" si="20"/>
        <v/>
      </c>
      <c r="AP134" s="84" t="str">
        <f t="shared" si="20"/>
        <v/>
      </c>
      <c r="AQ134" s="84" t="str">
        <f t="shared" si="20"/>
        <v/>
      </c>
      <c r="AR134" s="84">
        <f t="shared" si="20"/>
        <v>0.19861665004985044</v>
      </c>
      <c r="AT134" s="139">
        <f t="shared" si="23"/>
        <v>7.2633523654879684E-2</v>
      </c>
      <c r="AU134" s="139">
        <f t="shared" si="23"/>
        <v>-0.11204060549259462</v>
      </c>
      <c r="AV134" s="139" t="str">
        <f t="shared" si="22"/>
        <v/>
      </c>
      <c r="AW134" s="139" t="str">
        <f t="shared" si="22"/>
        <v/>
      </c>
      <c r="AX134" s="139" t="str">
        <f t="shared" si="22"/>
        <v/>
      </c>
      <c r="AY134" s="139" t="str">
        <f t="shared" si="22"/>
        <v/>
      </c>
      <c r="AZ134" s="139" t="str">
        <f t="shared" si="22"/>
        <v/>
      </c>
      <c r="BA134" s="139" t="str">
        <f t="shared" si="22"/>
        <v/>
      </c>
      <c r="BB134" s="139" t="str">
        <f t="shared" si="22"/>
        <v/>
      </c>
      <c r="BC134" s="139" t="str">
        <f t="shared" si="22"/>
        <v/>
      </c>
      <c r="BD134" s="139" t="str">
        <f t="shared" si="22"/>
        <v/>
      </c>
      <c r="BF134" s="82">
        <f t="shared" si="26"/>
        <v>6.1828823428177618E-5</v>
      </c>
      <c r="BG134" s="82">
        <f t="shared" ref="BG134:BG197" si="27">+BF134+BG133</f>
        <v>0.99191721364827079</v>
      </c>
    </row>
    <row r="135" spans="2:59" x14ac:dyDescent="0.3">
      <c r="B135" s="83" t="s">
        <v>217</v>
      </c>
      <c r="D135" s="137">
        <v>117886</v>
      </c>
      <c r="E135" s="137">
        <v>103095</v>
      </c>
      <c r="F135" s="137">
        <v>85844</v>
      </c>
      <c r="G135" s="137"/>
      <c r="H135" s="137"/>
      <c r="I135" s="137"/>
      <c r="J135" s="137"/>
      <c r="K135" s="137"/>
      <c r="L135" s="137"/>
      <c r="M135" s="137"/>
      <c r="N135" s="137"/>
      <c r="O135" s="137"/>
      <c r="P135" s="137">
        <f t="shared" si="24"/>
        <v>306825</v>
      </c>
      <c r="R135" s="137">
        <v>14885</v>
      </c>
      <c r="S135" s="137">
        <v>10661</v>
      </c>
      <c r="T135" s="137">
        <v>12337</v>
      </c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>
        <f t="shared" si="25"/>
        <v>37883</v>
      </c>
      <c r="AF135" s="84">
        <f t="shared" si="21"/>
        <v>0.12626605364504692</v>
      </c>
      <c r="AG135" s="84">
        <f t="shared" si="21"/>
        <v>0.10340947669625103</v>
      </c>
      <c r="AH135" s="84">
        <f t="shared" si="21"/>
        <v>0.14371417920879737</v>
      </c>
      <c r="AI135" s="84" t="str">
        <f t="shared" si="21"/>
        <v/>
      </c>
      <c r="AJ135" s="84" t="str">
        <f t="shared" si="21"/>
        <v/>
      </c>
      <c r="AK135" s="84" t="str">
        <f t="shared" si="21"/>
        <v/>
      </c>
      <c r="AL135" s="84" t="str">
        <f t="shared" si="21"/>
        <v/>
      </c>
      <c r="AM135" s="84" t="str">
        <f t="shared" si="21"/>
        <v/>
      </c>
      <c r="AN135" s="84" t="str">
        <f t="shared" si="20"/>
        <v/>
      </c>
      <c r="AO135" s="84" t="str">
        <f t="shared" si="20"/>
        <v/>
      </c>
      <c r="AP135" s="84" t="str">
        <f t="shared" si="20"/>
        <v/>
      </c>
      <c r="AQ135" s="84" t="str">
        <f t="shared" si="20"/>
        <v/>
      </c>
      <c r="AR135" s="84">
        <f t="shared" si="20"/>
        <v>0.12346777479018985</v>
      </c>
      <c r="AT135" s="139">
        <f t="shared" si="23"/>
        <v>-2.2856576948795893E-2</v>
      </c>
      <c r="AU135" s="139">
        <f t="shared" si="23"/>
        <v>4.0304702512546337E-2</v>
      </c>
      <c r="AV135" s="139" t="str">
        <f t="shared" si="22"/>
        <v/>
      </c>
      <c r="AW135" s="139" t="str">
        <f t="shared" si="22"/>
        <v/>
      </c>
      <c r="AX135" s="139" t="str">
        <f t="shared" si="22"/>
        <v/>
      </c>
      <c r="AY135" s="139" t="str">
        <f t="shared" si="22"/>
        <v/>
      </c>
      <c r="AZ135" s="139" t="str">
        <f t="shared" si="22"/>
        <v/>
      </c>
      <c r="BA135" s="139" t="str">
        <f t="shared" si="22"/>
        <v/>
      </c>
      <c r="BB135" s="139" t="str">
        <f t="shared" si="22"/>
        <v/>
      </c>
      <c r="BC135" s="139" t="str">
        <f t="shared" si="22"/>
        <v/>
      </c>
      <c r="BD135" s="139" t="str">
        <f t="shared" si="22"/>
        <v/>
      </c>
      <c r="BF135" s="82">
        <f t="shared" si="26"/>
        <v>4.8990008950443472E-5</v>
      </c>
      <c r="BG135" s="82">
        <f t="shared" si="27"/>
        <v>0.99196620365722121</v>
      </c>
    </row>
    <row r="136" spans="2:59" x14ac:dyDescent="0.3">
      <c r="B136" s="83" t="s">
        <v>218</v>
      </c>
      <c r="D136" s="137">
        <v>50147</v>
      </c>
      <c r="E136" s="137">
        <v>62222</v>
      </c>
      <c r="F136" s="137">
        <v>42504</v>
      </c>
      <c r="G136" s="137"/>
      <c r="H136" s="137"/>
      <c r="I136" s="137"/>
      <c r="J136" s="137"/>
      <c r="K136" s="137"/>
      <c r="L136" s="137"/>
      <c r="M136" s="137"/>
      <c r="N136" s="137"/>
      <c r="O136" s="137"/>
      <c r="P136" s="137">
        <f t="shared" si="24"/>
        <v>154873</v>
      </c>
      <c r="R136" s="137">
        <v>9616</v>
      </c>
      <c r="S136" s="137">
        <v>10694</v>
      </c>
      <c r="T136" s="137">
        <v>3056</v>
      </c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>
        <f t="shared" si="25"/>
        <v>23366</v>
      </c>
      <c r="AF136" s="84">
        <f t="shared" si="21"/>
        <v>0.19175623666420724</v>
      </c>
      <c r="AG136" s="84">
        <f t="shared" si="21"/>
        <v>0.17186847095882485</v>
      </c>
      <c r="AH136" s="84">
        <f t="shared" si="21"/>
        <v>7.1899115377376241E-2</v>
      </c>
      <c r="AI136" s="84" t="str">
        <f t="shared" si="21"/>
        <v/>
      </c>
      <c r="AJ136" s="84" t="str">
        <f t="shared" si="21"/>
        <v/>
      </c>
      <c r="AK136" s="84" t="str">
        <f t="shared" si="21"/>
        <v/>
      </c>
      <c r="AL136" s="84" t="str">
        <f t="shared" si="21"/>
        <v/>
      </c>
      <c r="AM136" s="84" t="str">
        <f t="shared" si="21"/>
        <v/>
      </c>
      <c r="AN136" s="84" t="str">
        <f t="shared" si="20"/>
        <v/>
      </c>
      <c r="AO136" s="84" t="str">
        <f t="shared" si="20"/>
        <v/>
      </c>
      <c r="AP136" s="84" t="str">
        <f t="shared" si="20"/>
        <v/>
      </c>
      <c r="AQ136" s="84" t="str">
        <f t="shared" si="20"/>
        <v/>
      </c>
      <c r="AR136" s="84">
        <f t="shared" si="20"/>
        <v>0.15087200480393612</v>
      </c>
      <c r="AT136" s="139">
        <f t="shared" si="23"/>
        <v>-1.9887765705382393E-2</v>
      </c>
      <c r="AU136" s="139">
        <f t="shared" si="23"/>
        <v>-9.9969355581448607E-2</v>
      </c>
      <c r="AV136" s="139" t="str">
        <f t="shared" si="22"/>
        <v/>
      </c>
      <c r="AW136" s="139" t="str">
        <f t="shared" si="22"/>
        <v/>
      </c>
      <c r="AX136" s="139" t="str">
        <f t="shared" si="22"/>
        <v/>
      </c>
      <c r="AY136" s="139" t="str">
        <f t="shared" si="22"/>
        <v/>
      </c>
      <c r="AZ136" s="139" t="str">
        <f t="shared" si="22"/>
        <v/>
      </c>
      <c r="BA136" s="139" t="str">
        <f t="shared" si="22"/>
        <v/>
      </c>
      <c r="BB136" s="139" t="str">
        <f t="shared" si="22"/>
        <v/>
      </c>
      <c r="BC136" s="139" t="str">
        <f t="shared" si="22"/>
        <v/>
      </c>
      <c r="BD136" s="139" t="str">
        <f t="shared" si="22"/>
        <v/>
      </c>
      <c r="BF136" s="82">
        <f t="shared" si="26"/>
        <v>3.0216734396327168E-5</v>
      </c>
      <c r="BG136" s="82">
        <f t="shared" si="27"/>
        <v>0.99199642039161751</v>
      </c>
    </row>
    <row r="137" spans="2:59" x14ac:dyDescent="0.3">
      <c r="B137" s="83" t="s">
        <v>219</v>
      </c>
      <c r="D137" s="137">
        <v>70883</v>
      </c>
      <c r="E137" s="137">
        <v>67008</v>
      </c>
      <c r="F137" s="137">
        <v>88325</v>
      </c>
      <c r="G137" s="137"/>
      <c r="H137" s="137"/>
      <c r="I137" s="137"/>
      <c r="J137" s="137"/>
      <c r="K137" s="137"/>
      <c r="L137" s="137"/>
      <c r="M137" s="137"/>
      <c r="N137" s="137"/>
      <c r="O137" s="137"/>
      <c r="P137" s="137">
        <f t="shared" si="24"/>
        <v>226216</v>
      </c>
      <c r="R137" s="137">
        <v>11577</v>
      </c>
      <c r="S137" s="137">
        <v>10461</v>
      </c>
      <c r="T137" s="137">
        <v>16803</v>
      </c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>
        <f t="shared" si="25"/>
        <v>38841</v>
      </c>
      <c r="AF137" s="84">
        <f t="shared" si="21"/>
        <v>0.16332548001636499</v>
      </c>
      <c r="AG137" s="84">
        <f t="shared" si="21"/>
        <v>0.1561156876790831</v>
      </c>
      <c r="AH137" s="84">
        <f t="shared" si="21"/>
        <v>0.1902405887347863</v>
      </c>
      <c r="AI137" s="84" t="str">
        <f t="shared" si="21"/>
        <v/>
      </c>
      <c r="AJ137" s="84" t="str">
        <f t="shared" si="21"/>
        <v/>
      </c>
      <c r="AK137" s="84" t="str">
        <f t="shared" si="21"/>
        <v/>
      </c>
      <c r="AL137" s="84" t="str">
        <f t="shared" si="21"/>
        <v/>
      </c>
      <c r="AM137" s="84" t="str">
        <f t="shared" si="21"/>
        <v/>
      </c>
      <c r="AN137" s="84" t="str">
        <f t="shared" si="20"/>
        <v/>
      </c>
      <c r="AO137" s="84" t="str">
        <f t="shared" si="20"/>
        <v/>
      </c>
      <c r="AP137" s="84" t="str">
        <f t="shared" si="20"/>
        <v/>
      </c>
      <c r="AQ137" s="84" t="str">
        <f t="shared" si="20"/>
        <v/>
      </c>
      <c r="AR137" s="84">
        <f t="shared" si="20"/>
        <v>0.17169873041694664</v>
      </c>
      <c r="AT137" s="139">
        <f t="shared" si="23"/>
        <v>-7.2097923372818895E-3</v>
      </c>
      <c r="AU137" s="139">
        <f t="shared" si="23"/>
        <v>3.4124901055703205E-2</v>
      </c>
      <c r="AV137" s="139" t="str">
        <f t="shared" si="22"/>
        <v/>
      </c>
      <c r="AW137" s="139" t="str">
        <f t="shared" si="22"/>
        <v/>
      </c>
      <c r="AX137" s="139" t="str">
        <f t="shared" si="22"/>
        <v/>
      </c>
      <c r="AY137" s="139" t="str">
        <f t="shared" si="22"/>
        <v/>
      </c>
      <c r="AZ137" s="139" t="str">
        <f t="shared" si="22"/>
        <v/>
      </c>
      <c r="BA137" s="139" t="str">
        <f t="shared" si="22"/>
        <v/>
      </c>
      <c r="BB137" s="139" t="str">
        <f t="shared" si="22"/>
        <v/>
      </c>
      <c r="BC137" s="139" t="str">
        <f t="shared" si="22"/>
        <v/>
      </c>
      <c r="BD137" s="139" t="str">
        <f t="shared" si="22"/>
        <v/>
      </c>
      <c r="BF137" s="82">
        <f t="shared" si="26"/>
        <v>5.0228887301538282E-5</v>
      </c>
      <c r="BG137" s="82">
        <f t="shared" si="27"/>
        <v>0.99204664927891906</v>
      </c>
    </row>
    <row r="138" spans="2:59" x14ac:dyDescent="0.3">
      <c r="B138" s="83" t="s">
        <v>220</v>
      </c>
      <c r="D138" s="137">
        <v>183118</v>
      </c>
      <c r="E138" s="137">
        <v>202829</v>
      </c>
      <c r="F138" s="137">
        <v>274832</v>
      </c>
      <c r="G138" s="137"/>
      <c r="H138" s="137"/>
      <c r="I138" s="137"/>
      <c r="J138" s="137"/>
      <c r="K138" s="137"/>
      <c r="L138" s="137"/>
      <c r="M138" s="137"/>
      <c r="N138" s="137"/>
      <c r="O138" s="137"/>
      <c r="P138" s="137">
        <f t="shared" si="24"/>
        <v>660779</v>
      </c>
      <c r="R138" s="137">
        <v>40247</v>
      </c>
      <c r="S138" s="137">
        <v>38025</v>
      </c>
      <c r="T138" s="137">
        <v>59970</v>
      </c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>
        <f t="shared" si="25"/>
        <v>138242</v>
      </c>
      <c r="AF138" s="84">
        <f t="shared" si="21"/>
        <v>0.21978724101399097</v>
      </c>
      <c r="AG138" s="84">
        <f t="shared" si="21"/>
        <v>0.18747319170335602</v>
      </c>
      <c r="AH138" s="84">
        <f t="shared" si="21"/>
        <v>0.21820603132095243</v>
      </c>
      <c r="AI138" s="84" t="str">
        <f t="shared" si="21"/>
        <v/>
      </c>
      <c r="AJ138" s="84" t="str">
        <f t="shared" si="21"/>
        <v/>
      </c>
      <c r="AK138" s="84" t="str">
        <f t="shared" si="21"/>
        <v/>
      </c>
      <c r="AL138" s="84" t="str">
        <f t="shared" si="21"/>
        <v/>
      </c>
      <c r="AM138" s="84" t="str">
        <f t="shared" si="21"/>
        <v/>
      </c>
      <c r="AN138" s="84" t="str">
        <f t="shared" si="20"/>
        <v/>
      </c>
      <c r="AO138" s="84" t="str">
        <f t="shared" si="20"/>
        <v/>
      </c>
      <c r="AP138" s="84" t="str">
        <f t="shared" si="20"/>
        <v/>
      </c>
      <c r="AQ138" s="84" t="str">
        <f t="shared" si="20"/>
        <v/>
      </c>
      <c r="AR138" s="84">
        <f t="shared" si="20"/>
        <v>0.20921064380072613</v>
      </c>
      <c r="AT138" s="139">
        <f t="shared" si="23"/>
        <v>-3.2314049310634946E-2</v>
      </c>
      <c r="AU138" s="139">
        <f t="shared" si="23"/>
        <v>3.0732839617596402E-2</v>
      </c>
      <c r="AV138" s="139" t="str">
        <f t="shared" si="22"/>
        <v/>
      </c>
      <c r="AW138" s="139" t="str">
        <f t="shared" si="22"/>
        <v/>
      </c>
      <c r="AX138" s="139" t="str">
        <f t="shared" si="22"/>
        <v/>
      </c>
      <c r="AY138" s="139" t="str">
        <f t="shared" si="22"/>
        <v/>
      </c>
      <c r="AZ138" s="139" t="str">
        <f t="shared" si="22"/>
        <v/>
      </c>
      <c r="BA138" s="139" t="str">
        <f t="shared" si="22"/>
        <v/>
      </c>
      <c r="BB138" s="139" t="str">
        <f t="shared" si="22"/>
        <v/>
      </c>
      <c r="BC138" s="139" t="str">
        <f t="shared" si="22"/>
        <v/>
      </c>
      <c r="BD138" s="139" t="str">
        <f t="shared" si="22"/>
        <v/>
      </c>
      <c r="BF138" s="82">
        <f t="shared" si="26"/>
        <v>1.7877350836330825E-4</v>
      </c>
      <c r="BG138" s="82">
        <f t="shared" si="27"/>
        <v>0.99222542278728232</v>
      </c>
    </row>
    <row r="139" spans="2:59" x14ac:dyDescent="0.3">
      <c r="B139" s="83" t="s">
        <v>221</v>
      </c>
      <c r="D139" s="137">
        <v>218467</v>
      </c>
      <c r="E139" s="137">
        <v>376697</v>
      </c>
      <c r="F139" s="137">
        <v>164068</v>
      </c>
      <c r="G139" s="137"/>
      <c r="H139" s="137"/>
      <c r="I139" s="137"/>
      <c r="J139" s="137"/>
      <c r="K139" s="137"/>
      <c r="L139" s="137"/>
      <c r="M139" s="137"/>
      <c r="N139" s="137"/>
      <c r="O139" s="137"/>
      <c r="P139" s="137">
        <f t="shared" si="24"/>
        <v>759232</v>
      </c>
      <c r="R139" s="137">
        <v>43824</v>
      </c>
      <c r="S139" s="137">
        <v>53081</v>
      </c>
      <c r="T139" s="137">
        <v>37570</v>
      </c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>
        <f t="shared" si="25"/>
        <v>134475</v>
      </c>
      <c r="AF139" s="84">
        <f t="shared" si="21"/>
        <v>0.20059780195635954</v>
      </c>
      <c r="AG139" s="84">
        <f t="shared" si="21"/>
        <v>0.14091166109631878</v>
      </c>
      <c r="AH139" s="84">
        <f t="shared" si="21"/>
        <v>0.22899041860691907</v>
      </c>
      <c r="AI139" s="84" t="str">
        <f t="shared" si="21"/>
        <v/>
      </c>
      <c r="AJ139" s="84" t="str">
        <f t="shared" si="21"/>
        <v/>
      </c>
      <c r="AK139" s="84" t="str">
        <f t="shared" si="21"/>
        <v/>
      </c>
      <c r="AL139" s="84" t="str">
        <f t="shared" si="21"/>
        <v/>
      </c>
      <c r="AM139" s="84" t="str">
        <f t="shared" si="21"/>
        <v/>
      </c>
      <c r="AN139" s="84" t="str">
        <f t="shared" si="20"/>
        <v/>
      </c>
      <c r="AO139" s="84" t="str">
        <f t="shared" si="20"/>
        <v/>
      </c>
      <c r="AP139" s="84" t="str">
        <f t="shared" si="20"/>
        <v/>
      </c>
      <c r="AQ139" s="84" t="str">
        <f t="shared" si="20"/>
        <v/>
      </c>
      <c r="AR139" s="84">
        <f t="shared" si="20"/>
        <v>0.17711977366602039</v>
      </c>
      <c r="AT139" s="139">
        <f t="shared" si="23"/>
        <v>-5.9686140860040759E-2</v>
      </c>
      <c r="AU139" s="139">
        <f t="shared" si="23"/>
        <v>8.8078757510600292E-2</v>
      </c>
      <c r="AV139" s="139" t="str">
        <f t="shared" si="22"/>
        <v/>
      </c>
      <c r="AW139" s="139" t="str">
        <f t="shared" si="22"/>
        <v/>
      </c>
      <c r="AX139" s="139" t="str">
        <f t="shared" si="22"/>
        <v/>
      </c>
      <c r="AY139" s="139" t="str">
        <f t="shared" si="22"/>
        <v/>
      </c>
      <c r="AZ139" s="139" t="str">
        <f t="shared" si="22"/>
        <v/>
      </c>
      <c r="BA139" s="139" t="str">
        <f t="shared" si="22"/>
        <v/>
      </c>
      <c r="BB139" s="139" t="str">
        <f t="shared" si="22"/>
        <v/>
      </c>
      <c r="BC139" s="139" t="str">
        <f t="shared" si="22"/>
        <v/>
      </c>
      <c r="BD139" s="139" t="str">
        <f t="shared" si="22"/>
        <v/>
      </c>
      <c r="BF139" s="82">
        <f t="shared" si="26"/>
        <v>1.7390205246709304E-4</v>
      </c>
      <c r="BG139" s="82">
        <f t="shared" si="27"/>
        <v>0.99239932483974946</v>
      </c>
    </row>
    <row r="140" spans="2:59" x14ac:dyDescent="0.3">
      <c r="B140" s="83" t="s">
        <v>222</v>
      </c>
      <c r="D140" s="137">
        <v>55256</v>
      </c>
      <c r="E140" s="137">
        <v>71679</v>
      </c>
      <c r="F140" s="137">
        <v>65428</v>
      </c>
      <c r="G140" s="137"/>
      <c r="H140" s="137"/>
      <c r="I140" s="137"/>
      <c r="J140" s="137"/>
      <c r="K140" s="137"/>
      <c r="L140" s="137"/>
      <c r="M140" s="137"/>
      <c r="N140" s="137"/>
      <c r="O140" s="137"/>
      <c r="P140" s="137">
        <f t="shared" si="24"/>
        <v>192363</v>
      </c>
      <c r="R140" s="137">
        <v>8556</v>
      </c>
      <c r="S140" s="137">
        <v>9232</v>
      </c>
      <c r="T140" s="137">
        <v>8549</v>
      </c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>
        <f t="shared" si="25"/>
        <v>26337</v>
      </c>
      <c r="AF140" s="84">
        <f t="shared" si="21"/>
        <v>0.15484291298682495</v>
      </c>
      <c r="AG140" s="84">
        <f t="shared" si="21"/>
        <v>0.12879643968247326</v>
      </c>
      <c r="AH140" s="84">
        <f t="shared" si="21"/>
        <v>0.13066271321146911</v>
      </c>
      <c r="AI140" s="84" t="str">
        <f t="shared" si="21"/>
        <v/>
      </c>
      <c r="AJ140" s="84" t="str">
        <f t="shared" si="21"/>
        <v/>
      </c>
      <c r="AK140" s="84" t="str">
        <f t="shared" si="21"/>
        <v/>
      </c>
      <c r="AL140" s="84" t="str">
        <f t="shared" si="21"/>
        <v/>
      </c>
      <c r="AM140" s="84" t="str">
        <f t="shared" ref="AM140:AR171" si="28">+IFERROR(Y140/K140,"")</f>
        <v/>
      </c>
      <c r="AN140" s="84" t="str">
        <f t="shared" si="28"/>
        <v/>
      </c>
      <c r="AO140" s="84" t="str">
        <f t="shared" si="28"/>
        <v/>
      </c>
      <c r="AP140" s="84" t="str">
        <f t="shared" si="28"/>
        <v/>
      </c>
      <c r="AQ140" s="84" t="str">
        <f t="shared" si="28"/>
        <v/>
      </c>
      <c r="AR140" s="84">
        <f t="shared" si="28"/>
        <v>0.136913023814351</v>
      </c>
      <c r="AT140" s="139">
        <f t="shared" si="23"/>
        <v>-2.6046473304351697E-2</v>
      </c>
      <c r="AU140" s="139">
        <f t="shared" si="23"/>
        <v>1.8662735289958488E-3</v>
      </c>
      <c r="AV140" s="139" t="str">
        <f t="shared" si="22"/>
        <v/>
      </c>
      <c r="AW140" s="139" t="str">
        <f t="shared" si="22"/>
        <v/>
      </c>
      <c r="AX140" s="139" t="str">
        <f t="shared" si="22"/>
        <v/>
      </c>
      <c r="AY140" s="139" t="str">
        <f t="shared" si="22"/>
        <v/>
      </c>
      <c r="AZ140" s="139" t="str">
        <f t="shared" si="22"/>
        <v/>
      </c>
      <c r="BA140" s="139" t="str">
        <f t="shared" si="22"/>
        <v/>
      </c>
      <c r="BB140" s="139" t="str">
        <f t="shared" si="22"/>
        <v/>
      </c>
      <c r="BC140" s="139" t="str">
        <f t="shared" si="22"/>
        <v/>
      </c>
      <c r="BD140" s="139" t="str">
        <f t="shared" si="22"/>
        <v/>
      </c>
      <c r="BF140" s="82">
        <f t="shared" si="26"/>
        <v>3.4058809115641042E-5</v>
      </c>
      <c r="BG140" s="82">
        <f t="shared" si="27"/>
        <v>0.99243338364886513</v>
      </c>
    </row>
    <row r="141" spans="2:59" x14ac:dyDescent="0.3">
      <c r="B141" s="83" t="s">
        <v>223</v>
      </c>
      <c r="D141" s="137">
        <v>114275</v>
      </c>
      <c r="E141" s="137">
        <v>102218</v>
      </c>
      <c r="F141" s="137">
        <v>106726</v>
      </c>
      <c r="G141" s="137"/>
      <c r="H141" s="137"/>
      <c r="I141" s="137"/>
      <c r="J141" s="137"/>
      <c r="K141" s="137"/>
      <c r="L141" s="137"/>
      <c r="M141" s="137"/>
      <c r="N141" s="137"/>
      <c r="O141" s="137"/>
      <c r="P141" s="137">
        <f t="shared" si="24"/>
        <v>323219</v>
      </c>
      <c r="R141" s="137">
        <v>27200</v>
      </c>
      <c r="S141" s="137">
        <v>12322</v>
      </c>
      <c r="T141" s="137">
        <v>16869</v>
      </c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>
        <f t="shared" si="25"/>
        <v>56391</v>
      </c>
      <c r="AF141" s="84">
        <f t="shared" ref="AF141:AR172" si="29">+IFERROR(R141/D141,"")</f>
        <v>0.238022314591993</v>
      </c>
      <c r="AG141" s="84">
        <f t="shared" si="29"/>
        <v>0.12054628343344616</v>
      </c>
      <c r="AH141" s="84">
        <f t="shared" si="29"/>
        <v>0.15805895470644454</v>
      </c>
      <c r="AI141" s="84" t="str">
        <f t="shared" si="29"/>
        <v/>
      </c>
      <c r="AJ141" s="84" t="str">
        <f t="shared" si="29"/>
        <v/>
      </c>
      <c r="AK141" s="84" t="str">
        <f t="shared" si="29"/>
        <v/>
      </c>
      <c r="AL141" s="84" t="str">
        <f t="shared" si="29"/>
        <v/>
      </c>
      <c r="AM141" s="84" t="str">
        <f t="shared" si="28"/>
        <v/>
      </c>
      <c r="AN141" s="84" t="str">
        <f t="shared" si="28"/>
        <v/>
      </c>
      <c r="AO141" s="84" t="str">
        <f t="shared" si="28"/>
        <v/>
      </c>
      <c r="AP141" s="84" t="str">
        <f t="shared" si="28"/>
        <v/>
      </c>
      <c r="AQ141" s="84" t="str">
        <f t="shared" si="28"/>
        <v/>
      </c>
      <c r="AR141" s="84">
        <f t="shared" si="28"/>
        <v>0.17446684755537267</v>
      </c>
      <c r="AT141" s="139">
        <f t="shared" si="23"/>
        <v>-0.11747603115854684</v>
      </c>
      <c r="AU141" s="139">
        <f t="shared" si="23"/>
        <v>3.7512671272998385E-2</v>
      </c>
      <c r="AV141" s="139" t="str">
        <f t="shared" si="22"/>
        <v/>
      </c>
      <c r="AW141" s="139" t="str">
        <f t="shared" si="22"/>
        <v/>
      </c>
      <c r="AX141" s="139" t="str">
        <f t="shared" si="22"/>
        <v/>
      </c>
      <c r="AY141" s="139" t="str">
        <f t="shared" si="22"/>
        <v/>
      </c>
      <c r="AZ141" s="139" t="str">
        <f t="shared" si="22"/>
        <v/>
      </c>
      <c r="BA141" s="139" t="str">
        <f t="shared" si="22"/>
        <v/>
      </c>
      <c r="BB141" s="139" t="str">
        <f t="shared" si="22"/>
        <v/>
      </c>
      <c r="BC141" s="139" t="str">
        <f t="shared" si="22"/>
        <v/>
      </c>
      <c r="BD141" s="139" t="str">
        <f t="shared" si="22"/>
        <v/>
      </c>
      <c r="BF141" s="82">
        <f t="shared" si="26"/>
        <v>7.2924414505832634E-5</v>
      </c>
      <c r="BG141" s="82">
        <f t="shared" si="27"/>
        <v>0.99250630806337092</v>
      </c>
    </row>
    <row r="142" spans="2:59" x14ac:dyDescent="0.3">
      <c r="B142" s="83" t="s">
        <v>224</v>
      </c>
      <c r="D142" s="137">
        <v>182716</v>
      </c>
      <c r="E142" s="137">
        <v>174205</v>
      </c>
      <c r="F142" s="137">
        <v>183942</v>
      </c>
      <c r="G142" s="137"/>
      <c r="H142" s="137"/>
      <c r="I142" s="137"/>
      <c r="J142" s="137"/>
      <c r="K142" s="137"/>
      <c r="L142" s="137"/>
      <c r="M142" s="137"/>
      <c r="N142" s="137"/>
      <c r="O142" s="137"/>
      <c r="P142" s="137">
        <f t="shared" si="24"/>
        <v>540863</v>
      </c>
      <c r="R142" s="137">
        <v>49229</v>
      </c>
      <c r="S142" s="137">
        <v>43932</v>
      </c>
      <c r="T142" s="137">
        <v>32630</v>
      </c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>
        <f t="shared" si="25"/>
        <v>125791</v>
      </c>
      <c r="AF142" s="84">
        <f t="shared" si="29"/>
        <v>0.26942905930515115</v>
      </c>
      <c r="AG142" s="84">
        <f t="shared" si="29"/>
        <v>0.25218564335122412</v>
      </c>
      <c r="AH142" s="84">
        <f t="shared" si="29"/>
        <v>0.17739287384066715</v>
      </c>
      <c r="AI142" s="84" t="str">
        <f t="shared" si="29"/>
        <v/>
      </c>
      <c r="AJ142" s="84" t="str">
        <f t="shared" si="29"/>
        <v/>
      </c>
      <c r="AK142" s="84" t="str">
        <f t="shared" si="29"/>
        <v/>
      </c>
      <c r="AL142" s="84" t="str">
        <f t="shared" si="29"/>
        <v/>
      </c>
      <c r="AM142" s="84" t="str">
        <f t="shared" si="28"/>
        <v/>
      </c>
      <c r="AN142" s="84" t="str">
        <f t="shared" si="28"/>
        <v/>
      </c>
      <c r="AO142" s="84" t="str">
        <f t="shared" si="28"/>
        <v/>
      </c>
      <c r="AP142" s="84" t="str">
        <f t="shared" si="28"/>
        <v/>
      </c>
      <c r="AQ142" s="84" t="str">
        <f t="shared" si="28"/>
        <v/>
      </c>
      <c r="AR142" s="84">
        <f t="shared" si="28"/>
        <v>0.23257460761782559</v>
      </c>
      <c r="AT142" s="139">
        <f t="shared" si="23"/>
        <v>-1.7243415953927033E-2</v>
      </c>
      <c r="AU142" s="139">
        <f t="shared" si="23"/>
        <v>-7.4792769510556967E-2</v>
      </c>
      <c r="AV142" s="139" t="str">
        <f t="shared" si="22"/>
        <v/>
      </c>
      <c r="AW142" s="139" t="str">
        <f t="shared" si="22"/>
        <v/>
      </c>
      <c r="AX142" s="139" t="str">
        <f t="shared" si="22"/>
        <v/>
      </c>
      <c r="AY142" s="139" t="str">
        <f t="shared" si="22"/>
        <v/>
      </c>
      <c r="AZ142" s="139" t="str">
        <f t="shared" si="22"/>
        <v/>
      </c>
      <c r="BA142" s="139" t="str">
        <f t="shared" si="22"/>
        <v/>
      </c>
      <c r="BB142" s="139" t="str">
        <f t="shared" si="22"/>
        <v/>
      </c>
      <c r="BC142" s="139" t="str">
        <f t="shared" si="22"/>
        <v/>
      </c>
      <c r="BD142" s="139" t="str">
        <f t="shared" si="22"/>
        <v/>
      </c>
      <c r="BF142" s="82">
        <f t="shared" si="26"/>
        <v>1.6267196937637553E-4</v>
      </c>
      <c r="BG142" s="82">
        <f t="shared" si="27"/>
        <v>0.99266898003274728</v>
      </c>
    </row>
    <row r="143" spans="2:59" x14ac:dyDescent="0.3">
      <c r="B143" s="83" t="s">
        <v>225</v>
      </c>
      <c r="D143" s="137">
        <v>18712</v>
      </c>
      <c r="E143" s="137">
        <v>59059</v>
      </c>
      <c r="F143" s="137">
        <v>12484</v>
      </c>
      <c r="G143" s="137"/>
      <c r="H143" s="137"/>
      <c r="I143" s="137"/>
      <c r="J143" s="137"/>
      <c r="K143" s="137"/>
      <c r="L143" s="137"/>
      <c r="M143" s="137"/>
      <c r="N143" s="137"/>
      <c r="O143" s="137"/>
      <c r="P143" s="137">
        <f t="shared" si="24"/>
        <v>90255</v>
      </c>
      <c r="R143" s="137">
        <v>2357</v>
      </c>
      <c r="S143" s="137">
        <v>4904</v>
      </c>
      <c r="T143" s="137">
        <v>2008</v>
      </c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>
        <f t="shared" si="25"/>
        <v>9269</v>
      </c>
      <c r="AF143" s="84">
        <f t="shared" si="29"/>
        <v>0.12596194955109022</v>
      </c>
      <c r="AG143" s="84">
        <f t="shared" si="29"/>
        <v>8.3035608459337273E-2</v>
      </c>
      <c r="AH143" s="84">
        <f t="shared" si="29"/>
        <v>0.16084588272989425</v>
      </c>
      <c r="AI143" s="84" t="str">
        <f t="shared" si="29"/>
        <v/>
      </c>
      <c r="AJ143" s="84" t="str">
        <f t="shared" si="29"/>
        <v/>
      </c>
      <c r="AK143" s="84" t="str">
        <f t="shared" si="29"/>
        <v/>
      </c>
      <c r="AL143" s="84" t="str">
        <f t="shared" si="29"/>
        <v/>
      </c>
      <c r="AM143" s="84" t="str">
        <f t="shared" si="28"/>
        <v/>
      </c>
      <c r="AN143" s="84" t="str">
        <f t="shared" si="28"/>
        <v/>
      </c>
      <c r="AO143" s="84" t="str">
        <f t="shared" si="28"/>
        <v/>
      </c>
      <c r="AP143" s="84" t="str">
        <f t="shared" si="28"/>
        <v/>
      </c>
      <c r="AQ143" s="84" t="str">
        <f t="shared" si="28"/>
        <v/>
      </c>
      <c r="AR143" s="84">
        <f t="shared" si="28"/>
        <v>0.10269791147304859</v>
      </c>
      <c r="AT143" s="139">
        <f t="shared" si="23"/>
        <v>-4.2926341091752945E-2</v>
      </c>
      <c r="AU143" s="139">
        <f t="shared" si="23"/>
        <v>7.7810274270556978E-2</v>
      </c>
      <c r="AV143" s="139" t="str">
        <f t="shared" si="22"/>
        <v/>
      </c>
      <c r="AW143" s="139" t="str">
        <f t="shared" si="22"/>
        <v/>
      </c>
      <c r="AX143" s="139" t="str">
        <f t="shared" si="22"/>
        <v/>
      </c>
      <c r="AY143" s="139" t="str">
        <f t="shared" si="22"/>
        <v/>
      </c>
      <c r="AZ143" s="139" t="str">
        <f t="shared" si="22"/>
        <v/>
      </c>
      <c r="BA143" s="139" t="str">
        <f t="shared" si="22"/>
        <v/>
      </c>
      <c r="BB143" s="139" t="str">
        <f t="shared" si="22"/>
        <v/>
      </c>
      <c r="BC143" s="139" t="str">
        <f t="shared" si="22"/>
        <v/>
      </c>
      <c r="BD143" s="139" t="str">
        <f t="shared" si="22"/>
        <v/>
      </c>
      <c r="BF143" s="82">
        <f t="shared" si="26"/>
        <v>1.1986600664193979E-5</v>
      </c>
      <c r="BG143" s="82">
        <f t="shared" si="27"/>
        <v>0.99268096663341143</v>
      </c>
    </row>
    <row r="144" spans="2:59" x14ac:dyDescent="0.3">
      <c r="B144" s="83" t="s">
        <v>226</v>
      </c>
      <c r="D144" s="137">
        <v>42267</v>
      </c>
      <c r="E144" s="137">
        <v>60719</v>
      </c>
      <c r="F144" s="137">
        <v>72582</v>
      </c>
      <c r="G144" s="137"/>
      <c r="H144" s="137"/>
      <c r="I144" s="137"/>
      <c r="J144" s="137"/>
      <c r="K144" s="137"/>
      <c r="L144" s="137"/>
      <c r="M144" s="137"/>
      <c r="N144" s="137"/>
      <c r="O144" s="137"/>
      <c r="P144" s="137">
        <f t="shared" si="24"/>
        <v>175568</v>
      </c>
      <c r="R144" s="137">
        <v>9729</v>
      </c>
      <c r="S144" s="137">
        <v>7466</v>
      </c>
      <c r="T144" s="137">
        <v>8225</v>
      </c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>
        <f t="shared" si="25"/>
        <v>25420</v>
      </c>
      <c r="AF144" s="84">
        <f t="shared" si="29"/>
        <v>0.23017957271630349</v>
      </c>
      <c r="AG144" s="84">
        <f t="shared" si="29"/>
        <v>0.1229598642928902</v>
      </c>
      <c r="AH144" s="84">
        <f t="shared" si="29"/>
        <v>0.11332010691355984</v>
      </c>
      <c r="AI144" s="84" t="str">
        <f t="shared" si="29"/>
        <v/>
      </c>
      <c r="AJ144" s="84" t="str">
        <f t="shared" si="29"/>
        <v/>
      </c>
      <c r="AK144" s="84" t="str">
        <f t="shared" si="29"/>
        <v/>
      </c>
      <c r="AL144" s="84" t="str">
        <f t="shared" si="29"/>
        <v/>
      </c>
      <c r="AM144" s="84" t="str">
        <f t="shared" si="28"/>
        <v/>
      </c>
      <c r="AN144" s="84" t="str">
        <f t="shared" si="28"/>
        <v/>
      </c>
      <c r="AO144" s="84" t="str">
        <f t="shared" si="28"/>
        <v/>
      </c>
      <c r="AP144" s="84" t="str">
        <f t="shared" si="28"/>
        <v/>
      </c>
      <c r="AQ144" s="84" t="str">
        <f t="shared" si="28"/>
        <v/>
      </c>
      <c r="AR144" s="84">
        <f t="shared" si="28"/>
        <v>0.14478720495762326</v>
      </c>
      <c r="AT144" s="139">
        <f t="shared" si="23"/>
        <v>-0.10721970842341329</v>
      </c>
      <c r="AU144" s="139">
        <f t="shared" si="23"/>
        <v>-9.6397573793303576E-3</v>
      </c>
      <c r="AV144" s="139" t="str">
        <f t="shared" si="22"/>
        <v/>
      </c>
      <c r="AW144" s="139" t="str">
        <f t="shared" si="22"/>
        <v/>
      </c>
      <c r="AX144" s="139" t="str">
        <f t="shared" si="22"/>
        <v/>
      </c>
      <c r="AY144" s="139" t="str">
        <f t="shared" ref="AY144:BD175" si="30">+IFERROR(AL144-AK144,"")</f>
        <v/>
      </c>
      <c r="AZ144" s="139" t="str">
        <f t="shared" si="30"/>
        <v/>
      </c>
      <c r="BA144" s="139" t="str">
        <f t="shared" si="30"/>
        <v/>
      </c>
      <c r="BB144" s="139" t="str">
        <f t="shared" si="30"/>
        <v/>
      </c>
      <c r="BC144" s="139" t="str">
        <f t="shared" si="30"/>
        <v/>
      </c>
      <c r="BD144" s="139" t="str">
        <f t="shared" si="30"/>
        <v/>
      </c>
      <c r="BF144" s="82">
        <f t="shared" si="26"/>
        <v>3.2872951654311249E-5</v>
      </c>
      <c r="BG144" s="82">
        <f t="shared" si="27"/>
        <v>0.99271383958506576</v>
      </c>
    </row>
    <row r="145" spans="2:59" x14ac:dyDescent="0.3">
      <c r="B145" s="83" t="s">
        <v>227</v>
      </c>
      <c r="D145" s="137">
        <v>119583</v>
      </c>
      <c r="E145" s="137">
        <v>132721</v>
      </c>
      <c r="F145" s="137">
        <v>144831</v>
      </c>
      <c r="G145" s="137"/>
      <c r="H145" s="137"/>
      <c r="I145" s="137"/>
      <c r="J145" s="137"/>
      <c r="K145" s="137"/>
      <c r="L145" s="137"/>
      <c r="M145" s="137"/>
      <c r="N145" s="137"/>
      <c r="O145" s="137"/>
      <c r="P145" s="137">
        <f t="shared" si="24"/>
        <v>397135</v>
      </c>
      <c r="R145" s="137">
        <v>14079</v>
      </c>
      <c r="S145" s="137">
        <v>41381</v>
      </c>
      <c r="T145" s="137">
        <v>29466</v>
      </c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>
        <f t="shared" si="25"/>
        <v>84926</v>
      </c>
      <c r="AF145" s="84">
        <f t="shared" si="29"/>
        <v>0.11773412608815634</v>
      </c>
      <c r="AG145" s="84">
        <f t="shared" si="29"/>
        <v>0.31178939278637141</v>
      </c>
      <c r="AH145" s="84">
        <f t="shared" si="29"/>
        <v>0.20345091865691736</v>
      </c>
      <c r="AI145" s="84" t="str">
        <f t="shared" si="29"/>
        <v/>
      </c>
      <c r="AJ145" s="84" t="str">
        <f t="shared" si="29"/>
        <v/>
      </c>
      <c r="AK145" s="84" t="str">
        <f t="shared" si="29"/>
        <v/>
      </c>
      <c r="AL145" s="84" t="str">
        <f t="shared" si="29"/>
        <v/>
      </c>
      <c r="AM145" s="84" t="str">
        <f t="shared" si="28"/>
        <v/>
      </c>
      <c r="AN145" s="84" t="str">
        <f t="shared" si="28"/>
        <v/>
      </c>
      <c r="AO145" s="84" t="str">
        <f t="shared" si="28"/>
        <v/>
      </c>
      <c r="AP145" s="84" t="str">
        <f t="shared" si="28"/>
        <v/>
      </c>
      <c r="AQ145" s="84" t="str">
        <f t="shared" si="28"/>
        <v/>
      </c>
      <c r="AR145" s="84">
        <f t="shared" si="28"/>
        <v>0.21384667682274289</v>
      </c>
      <c r="AT145" s="139">
        <f t="shared" si="23"/>
        <v>0.19405526669821507</v>
      </c>
      <c r="AU145" s="139">
        <f t="shared" si="23"/>
        <v>-0.10833847412945405</v>
      </c>
      <c r="AV145" s="139" t="str">
        <f t="shared" si="23"/>
        <v/>
      </c>
      <c r="AW145" s="139" t="str">
        <f t="shared" si="23"/>
        <v/>
      </c>
      <c r="AX145" s="139" t="str">
        <f t="shared" si="23"/>
        <v/>
      </c>
      <c r="AY145" s="139" t="str">
        <f t="shared" si="30"/>
        <v/>
      </c>
      <c r="AZ145" s="139" t="str">
        <f t="shared" si="30"/>
        <v/>
      </c>
      <c r="BA145" s="139" t="str">
        <f t="shared" si="30"/>
        <v/>
      </c>
      <c r="BB145" s="139" t="str">
        <f t="shared" si="30"/>
        <v/>
      </c>
      <c r="BC145" s="139" t="str">
        <f t="shared" si="30"/>
        <v/>
      </c>
      <c r="BD145" s="139" t="str">
        <f t="shared" si="30"/>
        <v/>
      </c>
      <c r="BF145" s="82">
        <f t="shared" si="26"/>
        <v>1.0982566058985197E-4</v>
      </c>
      <c r="BG145" s="82">
        <f t="shared" si="27"/>
        <v>0.99282366524565557</v>
      </c>
    </row>
    <row r="146" spans="2:59" x14ac:dyDescent="0.3">
      <c r="B146" s="83" t="s">
        <v>228</v>
      </c>
      <c r="D146" s="137">
        <v>43633</v>
      </c>
      <c r="E146" s="137">
        <v>46244</v>
      </c>
      <c r="F146" s="137">
        <v>44635</v>
      </c>
      <c r="G146" s="137"/>
      <c r="H146" s="137"/>
      <c r="I146" s="137"/>
      <c r="J146" s="137"/>
      <c r="K146" s="137"/>
      <c r="L146" s="137"/>
      <c r="M146" s="137"/>
      <c r="N146" s="137"/>
      <c r="O146" s="137"/>
      <c r="P146" s="137">
        <f t="shared" si="24"/>
        <v>134512</v>
      </c>
      <c r="R146" s="137">
        <v>5199</v>
      </c>
      <c r="S146" s="137">
        <v>4877</v>
      </c>
      <c r="T146" s="137">
        <v>7032</v>
      </c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>
        <f t="shared" si="25"/>
        <v>17108</v>
      </c>
      <c r="AF146" s="84">
        <f t="shared" si="29"/>
        <v>0.11915293470538355</v>
      </c>
      <c r="AG146" s="84">
        <f t="shared" si="29"/>
        <v>0.10546233024824841</v>
      </c>
      <c r="AH146" s="84">
        <f t="shared" si="29"/>
        <v>0.15754452783689929</v>
      </c>
      <c r="AI146" s="84" t="str">
        <f t="shared" si="29"/>
        <v/>
      </c>
      <c r="AJ146" s="84" t="str">
        <f t="shared" si="29"/>
        <v/>
      </c>
      <c r="AK146" s="84" t="str">
        <f t="shared" si="29"/>
        <v/>
      </c>
      <c r="AL146" s="84" t="str">
        <f t="shared" si="29"/>
        <v/>
      </c>
      <c r="AM146" s="84" t="str">
        <f t="shared" si="28"/>
        <v/>
      </c>
      <c r="AN146" s="84" t="str">
        <f t="shared" si="28"/>
        <v/>
      </c>
      <c r="AO146" s="84" t="str">
        <f t="shared" si="28"/>
        <v/>
      </c>
      <c r="AP146" s="84" t="str">
        <f t="shared" si="28"/>
        <v/>
      </c>
      <c r="AQ146" s="84" t="str">
        <f t="shared" si="28"/>
        <v/>
      </c>
      <c r="AR146" s="84">
        <f t="shared" si="28"/>
        <v>0.1271856786011657</v>
      </c>
      <c r="AT146" s="139">
        <f t="shared" si="23"/>
        <v>-1.369060445713513E-2</v>
      </c>
      <c r="AU146" s="139">
        <f t="shared" si="23"/>
        <v>5.2082197588650875E-2</v>
      </c>
      <c r="AV146" s="139" t="str">
        <f t="shared" si="23"/>
        <v/>
      </c>
      <c r="AW146" s="139" t="str">
        <f t="shared" si="23"/>
        <v/>
      </c>
      <c r="AX146" s="139" t="str">
        <f t="shared" si="23"/>
        <v/>
      </c>
      <c r="AY146" s="139" t="str">
        <f t="shared" si="30"/>
        <v/>
      </c>
      <c r="AZ146" s="139" t="str">
        <f t="shared" si="30"/>
        <v/>
      </c>
      <c r="BA146" s="139" t="str">
        <f t="shared" si="30"/>
        <v/>
      </c>
      <c r="BB146" s="139" t="str">
        <f t="shared" si="30"/>
        <v/>
      </c>
      <c r="BC146" s="139" t="str">
        <f t="shared" si="30"/>
        <v/>
      </c>
      <c r="BD146" s="139" t="str">
        <f t="shared" si="30"/>
        <v/>
      </c>
      <c r="BF146" s="82">
        <f t="shared" si="26"/>
        <v>2.2123936148778788E-5</v>
      </c>
      <c r="BG146" s="82">
        <f t="shared" si="27"/>
        <v>0.99284578918180433</v>
      </c>
    </row>
    <row r="147" spans="2:59" x14ac:dyDescent="0.3">
      <c r="B147" s="83" t="s">
        <v>229</v>
      </c>
      <c r="D147" s="137">
        <v>35692</v>
      </c>
      <c r="E147" s="137">
        <v>44627</v>
      </c>
      <c r="F147" s="137">
        <v>56521</v>
      </c>
      <c r="G147" s="137"/>
      <c r="H147" s="137"/>
      <c r="I147" s="137"/>
      <c r="J147" s="137"/>
      <c r="K147" s="137"/>
      <c r="L147" s="137"/>
      <c r="M147" s="137"/>
      <c r="N147" s="137"/>
      <c r="O147" s="137"/>
      <c r="P147" s="137">
        <f t="shared" si="24"/>
        <v>136840</v>
      </c>
      <c r="R147" s="137">
        <v>4453</v>
      </c>
      <c r="S147" s="137">
        <v>6000</v>
      </c>
      <c r="T147" s="137">
        <v>7296</v>
      </c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>
        <f t="shared" si="25"/>
        <v>17749</v>
      </c>
      <c r="AF147" s="84">
        <f t="shared" si="29"/>
        <v>0.12476185139527064</v>
      </c>
      <c r="AG147" s="84">
        <f t="shared" si="29"/>
        <v>0.13444775584287538</v>
      </c>
      <c r="AH147" s="84">
        <f t="shared" si="29"/>
        <v>0.12908476495461862</v>
      </c>
      <c r="AI147" s="84" t="str">
        <f t="shared" si="29"/>
        <v/>
      </c>
      <c r="AJ147" s="84" t="str">
        <f t="shared" si="29"/>
        <v/>
      </c>
      <c r="AK147" s="84" t="str">
        <f t="shared" si="29"/>
        <v/>
      </c>
      <c r="AL147" s="84" t="str">
        <f t="shared" si="29"/>
        <v/>
      </c>
      <c r="AM147" s="84" t="str">
        <f t="shared" si="28"/>
        <v/>
      </c>
      <c r="AN147" s="84" t="str">
        <f t="shared" si="28"/>
        <v/>
      </c>
      <c r="AO147" s="84" t="str">
        <f t="shared" si="28"/>
        <v/>
      </c>
      <c r="AP147" s="84" t="str">
        <f t="shared" si="28"/>
        <v/>
      </c>
      <c r="AQ147" s="84" t="str">
        <f t="shared" si="28"/>
        <v/>
      </c>
      <c r="AR147" s="84">
        <f t="shared" si="28"/>
        <v>0.1297062262496346</v>
      </c>
      <c r="AT147" s="139">
        <f t="shared" si="23"/>
        <v>9.6859044476047401E-3</v>
      </c>
      <c r="AU147" s="139">
        <f t="shared" si="23"/>
        <v>-5.3629908882567578E-3</v>
      </c>
      <c r="AV147" s="139" t="str">
        <f t="shared" si="23"/>
        <v/>
      </c>
      <c r="AW147" s="139" t="str">
        <f t="shared" si="23"/>
        <v/>
      </c>
      <c r="AX147" s="139" t="str">
        <f t="shared" si="23"/>
        <v/>
      </c>
      <c r="AY147" s="139" t="str">
        <f t="shared" si="30"/>
        <v/>
      </c>
      <c r="AZ147" s="139" t="str">
        <f t="shared" si="30"/>
        <v/>
      </c>
      <c r="BA147" s="139" t="str">
        <f t="shared" si="30"/>
        <v/>
      </c>
      <c r="BB147" s="139" t="str">
        <f t="shared" si="30"/>
        <v/>
      </c>
      <c r="BC147" s="139" t="str">
        <f t="shared" si="30"/>
        <v/>
      </c>
      <c r="BD147" s="139" t="str">
        <f t="shared" si="30"/>
        <v/>
      </c>
      <c r="BF147" s="82">
        <f t="shared" si="26"/>
        <v>2.2952872498519681E-5</v>
      </c>
      <c r="BG147" s="82">
        <f t="shared" si="27"/>
        <v>0.99286874205430287</v>
      </c>
    </row>
    <row r="148" spans="2:59" x14ac:dyDescent="0.3">
      <c r="B148" s="83" t="s">
        <v>230</v>
      </c>
      <c r="D148" s="137">
        <v>48129</v>
      </c>
      <c r="E148" s="137">
        <v>37595</v>
      </c>
      <c r="F148" s="137">
        <v>23080</v>
      </c>
      <c r="G148" s="137"/>
      <c r="H148" s="137"/>
      <c r="I148" s="137"/>
      <c r="J148" s="137"/>
      <c r="K148" s="137"/>
      <c r="L148" s="137"/>
      <c r="M148" s="137"/>
      <c r="N148" s="137"/>
      <c r="O148" s="137"/>
      <c r="P148" s="137">
        <f t="shared" si="24"/>
        <v>108804</v>
      </c>
      <c r="R148" s="137">
        <v>4041</v>
      </c>
      <c r="S148" s="137">
        <v>7428</v>
      </c>
      <c r="T148" s="137">
        <v>3759</v>
      </c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>
        <f t="shared" si="25"/>
        <v>15228</v>
      </c>
      <c r="AF148" s="84">
        <f t="shared" si="29"/>
        <v>8.396185252134887E-2</v>
      </c>
      <c r="AG148" s="84">
        <f t="shared" si="29"/>
        <v>0.19757946535443544</v>
      </c>
      <c r="AH148" s="84">
        <f t="shared" si="29"/>
        <v>0.16286828422876951</v>
      </c>
      <c r="AI148" s="84" t="str">
        <f t="shared" si="29"/>
        <v/>
      </c>
      <c r="AJ148" s="84" t="str">
        <f t="shared" si="29"/>
        <v/>
      </c>
      <c r="AK148" s="84" t="str">
        <f t="shared" si="29"/>
        <v/>
      </c>
      <c r="AL148" s="84" t="str">
        <f t="shared" si="29"/>
        <v/>
      </c>
      <c r="AM148" s="84" t="str">
        <f t="shared" si="28"/>
        <v/>
      </c>
      <c r="AN148" s="84" t="str">
        <f t="shared" si="28"/>
        <v/>
      </c>
      <c r="AO148" s="84" t="str">
        <f t="shared" si="28"/>
        <v/>
      </c>
      <c r="AP148" s="84" t="str">
        <f t="shared" si="28"/>
        <v/>
      </c>
      <c r="AQ148" s="84" t="str">
        <f t="shared" si="28"/>
        <v/>
      </c>
      <c r="AR148" s="84">
        <f t="shared" si="28"/>
        <v>0.13995808977611118</v>
      </c>
      <c r="AT148" s="139">
        <f t="shared" si="23"/>
        <v>0.11361761283308656</v>
      </c>
      <c r="AU148" s="139">
        <f t="shared" si="23"/>
        <v>-3.471118112566593E-2</v>
      </c>
      <c r="AV148" s="139" t="str">
        <f t="shared" si="23"/>
        <v/>
      </c>
      <c r="AW148" s="139" t="str">
        <f t="shared" si="23"/>
        <v/>
      </c>
      <c r="AX148" s="139" t="str">
        <f t="shared" si="23"/>
        <v/>
      </c>
      <c r="AY148" s="139" t="str">
        <f t="shared" si="30"/>
        <v/>
      </c>
      <c r="AZ148" s="139" t="str">
        <f t="shared" si="30"/>
        <v/>
      </c>
      <c r="BA148" s="139" t="str">
        <f t="shared" si="30"/>
        <v/>
      </c>
      <c r="BB148" s="139" t="str">
        <f t="shared" si="30"/>
        <v/>
      </c>
      <c r="BC148" s="139" t="str">
        <f t="shared" si="30"/>
        <v/>
      </c>
      <c r="BD148" s="139" t="str">
        <f t="shared" si="30"/>
        <v/>
      </c>
      <c r="BF148" s="82">
        <f t="shared" si="26"/>
        <v>1.9692734374187713E-5</v>
      </c>
      <c r="BG148" s="82">
        <f t="shared" si="27"/>
        <v>0.99288843478867705</v>
      </c>
    </row>
    <row r="149" spans="2:59" x14ac:dyDescent="0.3">
      <c r="B149" s="83" t="s">
        <v>231</v>
      </c>
      <c r="D149" s="137">
        <v>91061</v>
      </c>
      <c r="E149" s="137">
        <v>93111</v>
      </c>
      <c r="F149" s="137">
        <v>84064</v>
      </c>
      <c r="G149" s="137"/>
      <c r="H149" s="137"/>
      <c r="I149" s="137"/>
      <c r="J149" s="137"/>
      <c r="K149" s="137"/>
      <c r="L149" s="137"/>
      <c r="M149" s="137"/>
      <c r="N149" s="137"/>
      <c r="O149" s="137"/>
      <c r="P149" s="137">
        <f t="shared" si="24"/>
        <v>268236</v>
      </c>
      <c r="R149" s="137">
        <v>25257</v>
      </c>
      <c r="S149" s="137">
        <v>23606</v>
      </c>
      <c r="T149" s="137">
        <v>19291</v>
      </c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>
        <f t="shared" si="25"/>
        <v>68154</v>
      </c>
      <c r="AF149" s="84">
        <f t="shared" si="29"/>
        <v>0.27736352554880794</v>
      </c>
      <c r="AG149" s="84">
        <f t="shared" si="29"/>
        <v>0.25352536220210287</v>
      </c>
      <c r="AH149" s="84">
        <f t="shared" si="29"/>
        <v>0.22947992006090598</v>
      </c>
      <c r="AI149" s="84" t="str">
        <f t="shared" si="29"/>
        <v/>
      </c>
      <c r="AJ149" s="84" t="str">
        <f t="shared" si="29"/>
        <v/>
      </c>
      <c r="AK149" s="84" t="str">
        <f t="shared" si="29"/>
        <v/>
      </c>
      <c r="AL149" s="84" t="str">
        <f t="shared" si="29"/>
        <v/>
      </c>
      <c r="AM149" s="84" t="str">
        <f t="shared" si="28"/>
        <v/>
      </c>
      <c r="AN149" s="84" t="str">
        <f t="shared" si="28"/>
        <v/>
      </c>
      <c r="AO149" s="84" t="str">
        <f t="shared" si="28"/>
        <v/>
      </c>
      <c r="AP149" s="84" t="str">
        <f t="shared" si="28"/>
        <v/>
      </c>
      <c r="AQ149" s="84" t="str">
        <f t="shared" si="28"/>
        <v/>
      </c>
      <c r="AR149" s="84">
        <f t="shared" si="28"/>
        <v>0.25408222609940501</v>
      </c>
      <c r="AT149" s="139">
        <f t="shared" ref="AT149:BD180" si="31">+IFERROR(AG149-AF149,"")</f>
        <v>-2.3838163346705077E-2</v>
      </c>
      <c r="AU149" s="139">
        <f t="shared" si="31"/>
        <v>-2.4045442141196888E-2</v>
      </c>
      <c r="AV149" s="139" t="str">
        <f t="shared" si="31"/>
        <v/>
      </c>
      <c r="AW149" s="139" t="str">
        <f t="shared" si="31"/>
        <v/>
      </c>
      <c r="AX149" s="139" t="str">
        <f t="shared" si="31"/>
        <v/>
      </c>
      <c r="AY149" s="139" t="str">
        <f t="shared" si="30"/>
        <v/>
      </c>
      <c r="AZ149" s="139" t="str">
        <f t="shared" si="30"/>
        <v/>
      </c>
      <c r="BA149" s="139" t="str">
        <f t="shared" si="30"/>
        <v/>
      </c>
      <c r="BB149" s="139" t="str">
        <f t="shared" si="30"/>
        <v/>
      </c>
      <c r="BC149" s="139" t="str">
        <f t="shared" si="30"/>
        <v/>
      </c>
      <c r="BD149" s="139" t="str">
        <f t="shared" si="30"/>
        <v/>
      </c>
      <c r="BF149" s="82">
        <f t="shared" si="26"/>
        <v>8.8136237098659673E-5</v>
      </c>
      <c r="BG149" s="82">
        <f t="shared" si="27"/>
        <v>0.99297657102577574</v>
      </c>
    </row>
    <row r="150" spans="2:59" x14ac:dyDescent="0.3">
      <c r="B150" s="83" t="s">
        <v>232</v>
      </c>
      <c r="D150" s="137">
        <v>553694</v>
      </c>
      <c r="E150" s="137">
        <v>2840972</v>
      </c>
      <c r="F150" s="137">
        <v>1983535</v>
      </c>
      <c r="G150" s="137"/>
      <c r="H150" s="137"/>
      <c r="I150" s="137"/>
      <c r="J150" s="137"/>
      <c r="K150" s="137"/>
      <c r="L150" s="137"/>
      <c r="M150" s="137"/>
      <c r="N150" s="137"/>
      <c r="O150" s="137"/>
      <c r="P150" s="137">
        <f t="shared" si="24"/>
        <v>5378201</v>
      </c>
      <c r="R150" s="137">
        <v>70804</v>
      </c>
      <c r="S150" s="137">
        <v>443877</v>
      </c>
      <c r="T150" s="137">
        <v>290169</v>
      </c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>
        <f t="shared" si="25"/>
        <v>804850</v>
      </c>
      <c r="AF150" s="84">
        <f t="shared" si="29"/>
        <v>0.12787568584813994</v>
      </c>
      <c r="AG150" s="84">
        <f t="shared" si="29"/>
        <v>0.15624124419388857</v>
      </c>
      <c r="AH150" s="84">
        <f t="shared" si="29"/>
        <v>0.14628882273315066</v>
      </c>
      <c r="AI150" s="84" t="str">
        <f t="shared" si="29"/>
        <v/>
      </c>
      <c r="AJ150" s="84" t="str">
        <f t="shared" si="29"/>
        <v/>
      </c>
      <c r="AK150" s="84" t="str">
        <f t="shared" si="29"/>
        <v/>
      </c>
      <c r="AL150" s="84" t="str">
        <f t="shared" si="29"/>
        <v/>
      </c>
      <c r="AM150" s="84" t="str">
        <f t="shared" si="28"/>
        <v/>
      </c>
      <c r="AN150" s="84" t="str">
        <f t="shared" si="28"/>
        <v/>
      </c>
      <c r="AO150" s="84" t="str">
        <f t="shared" si="28"/>
        <v/>
      </c>
      <c r="AP150" s="84" t="str">
        <f t="shared" si="28"/>
        <v/>
      </c>
      <c r="AQ150" s="84" t="str">
        <f t="shared" si="28"/>
        <v/>
      </c>
      <c r="AR150" s="84">
        <f t="shared" si="28"/>
        <v>0.14965041284250999</v>
      </c>
      <c r="AT150" s="139">
        <f t="shared" si="31"/>
        <v>2.8365558345748637E-2</v>
      </c>
      <c r="AU150" s="139">
        <f t="shared" si="31"/>
        <v>-9.9524214607379091E-3</v>
      </c>
      <c r="AV150" s="139" t="str">
        <f t="shared" si="31"/>
        <v/>
      </c>
      <c r="AW150" s="139" t="str">
        <f t="shared" si="31"/>
        <v/>
      </c>
      <c r="AX150" s="139" t="str">
        <f t="shared" si="31"/>
        <v/>
      </c>
      <c r="AY150" s="139" t="str">
        <f t="shared" si="30"/>
        <v/>
      </c>
      <c r="AZ150" s="139" t="str">
        <f t="shared" si="30"/>
        <v/>
      </c>
      <c r="BA150" s="139" t="str">
        <f t="shared" si="30"/>
        <v/>
      </c>
      <c r="BB150" s="139" t="str">
        <f t="shared" si="30"/>
        <v/>
      </c>
      <c r="BC150" s="139" t="str">
        <f t="shared" si="30"/>
        <v/>
      </c>
      <c r="BD150" s="139" t="str">
        <f t="shared" si="30"/>
        <v/>
      </c>
      <c r="BF150" s="82">
        <f t="shared" si="26"/>
        <v>1.040825929935972E-3</v>
      </c>
      <c r="BG150" s="82">
        <f t="shared" si="27"/>
        <v>0.99401739695571167</v>
      </c>
    </row>
    <row r="151" spans="2:59" x14ac:dyDescent="0.3">
      <c r="B151" s="83" t="s">
        <v>233</v>
      </c>
      <c r="D151" s="137">
        <v>435117</v>
      </c>
      <c r="E151" s="137">
        <v>258387</v>
      </c>
      <c r="F151" s="137">
        <v>231784</v>
      </c>
      <c r="G151" s="137"/>
      <c r="H151" s="137"/>
      <c r="I151" s="137"/>
      <c r="J151" s="137"/>
      <c r="K151" s="137"/>
      <c r="L151" s="137"/>
      <c r="M151" s="137"/>
      <c r="N151" s="137"/>
      <c r="O151" s="137"/>
      <c r="P151" s="137">
        <f t="shared" si="24"/>
        <v>925288</v>
      </c>
      <c r="R151" s="137">
        <v>66489</v>
      </c>
      <c r="S151" s="137">
        <v>28305</v>
      </c>
      <c r="T151" s="137">
        <v>25929</v>
      </c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>
        <f t="shared" si="25"/>
        <v>120723</v>
      </c>
      <c r="AF151" s="84">
        <f t="shared" si="29"/>
        <v>0.15280717600093768</v>
      </c>
      <c r="AG151" s="84">
        <f t="shared" si="29"/>
        <v>0.10954498484830894</v>
      </c>
      <c r="AH151" s="84">
        <f t="shared" si="29"/>
        <v>0.11186708314637767</v>
      </c>
      <c r="AI151" s="84" t="str">
        <f t="shared" si="29"/>
        <v/>
      </c>
      <c r="AJ151" s="84" t="str">
        <f t="shared" si="29"/>
        <v/>
      </c>
      <c r="AK151" s="84" t="str">
        <f t="shared" si="29"/>
        <v/>
      </c>
      <c r="AL151" s="84" t="str">
        <f t="shared" si="29"/>
        <v/>
      </c>
      <c r="AM151" s="84" t="str">
        <f t="shared" si="28"/>
        <v/>
      </c>
      <c r="AN151" s="84" t="str">
        <f t="shared" si="28"/>
        <v/>
      </c>
      <c r="AO151" s="84" t="str">
        <f t="shared" si="28"/>
        <v/>
      </c>
      <c r="AP151" s="84" t="str">
        <f t="shared" si="28"/>
        <v/>
      </c>
      <c r="AQ151" s="84" t="str">
        <f t="shared" si="28"/>
        <v/>
      </c>
      <c r="AR151" s="84">
        <f t="shared" si="28"/>
        <v>0.13047072911353005</v>
      </c>
      <c r="AT151" s="139">
        <f t="shared" si="31"/>
        <v>-4.3262191152628748E-2</v>
      </c>
      <c r="AU151" s="139">
        <f t="shared" si="31"/>
        <v>2.322098298068731E-3</v>
      </c>
      <c r="AV151" s="139" t="str">
        <f t="shared" si="31"/>
        <v/>
      </c>
      <c r="AW151" s="139" t="str">
        <f t="shared" si="31"/>
        <v/>
      </c>
      <c r="AX151" s="139" t="str">
        <f t="shared" si="31"/>
        <v/>
      </c>
      <c r="AY151" s="139" t="str">
        <f t="shared" si="30"/>
        <v/>
      </c>
      <c r="AZ151" s="139" t="str">
        <f t="shared" si="30"/>
        <v/>
      </c>
      <c r="BA151" s="139" t="str">
        <f t="shared" si="30"/>
        <v/>
      </c>
      <c r="BB151" s="139" t="str">
        <f t="shared" si="30"/>
        <v/>
      </c>
      <c r="BC151" s="139" t="str">
        <f t="shared" si="30"/>
        <v/>
      </c>
      <c r="BD151" s="139" t="str">
        <f t="shared" si="30"/>
        <v/>
      </c>
      <c r="BF151" s="82">
        <f t="shared" si="26"/>
        <v>1.5611807012444598E-4</v>
      </c>
      <c r="BG151" s="82">
        <f t="shared" si="27"/>
        <v>0.99417351502583617</v>
      </c>
    </row>
    <row r="152" spans="2:59" x14ac:dyDescent="0.3">
      <c r="B152" s="83" t="s">
        <v>234</v>
      </c>
      <c r="D152" s="137">
        <v>8500528</v>
      </c>
      <c r="E152" s="137">
        <v>3665044</v>
      </c>
      <c r="F152" s="137">
        <v>3177919</v>
      </c>
      <c r="G152" s="137"/>
      <c r="H152" s="137"/>
      <c r="I152" s="137"/>
      <c r="J152" s="137"/>
      <c r="K152" s="137"/>
      <c r="L152" s="137"/>
      <c r="M152" s="137"/>
      <c r="N152" s="137"/>
      <c r="O152" s="137"/>
      <c r="P152" s="137">
        <f t="shared" si="24"/>
        <v>15343491</v>
      </c>
      <c r="R152" s="137">
        <v>799883</v>
      </c>
      <c r="S152" s="137">
        <v>315386</v>
      </c>
      <c r="T152" s="137">
        <v>313818</v>
      </c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>
        <f t="shared" si="25"/>
        <v>1429087</v>
      </c>
      <c r="AF152" s="84">
        <f t="shared" si="29"/>
        <v>9.4098037204277188E-2</v>
      </c>
      <c r="AG152" s="84">
        <f t="shared" si="29"/>
        <v>8.6052445755085069E-2</v>
      </c>
      <c r="AH152" s="84">
        <f t="shared" si="29"/>
        <v>9.8749527599665057E-2</v>
      </c>
      <c r="AI152" s="84" t="str">
        <f t="shared" si="29"/>
        <v/>
      </c>
      <c r="AJ152" s="84" t="str">
        <f t="shared" si="29"/>
        <v/>
      </c>
      <c r="AK152" s="84" t="str">
        <f t="shared" si="29"/>
        <v/>
      </c>
      <c r="AL152" s="84" t="str">
        <f t="shared" si="29"/>
        <v/>
      </c>
      <c r="AM152" s="84" t="str">
        <f t="shared" si="28"/>
        <v/>
      </c>
      <c r="AN152" s="84" t="str">
        <f t="shared" si="28"/>
        <v/>
      </c>
      <c r="AO152" s="84" t="str">
        <f t="shared" si="28"/>
        <v/>
      </c>
      <c r="AP152" s="84" t="str">
        <f t="shared" si="28"/>
        <v/>
      </c>
      <c r="AQ152" s="84" t="str">
        <f t="shared" si="28"/>
        <v/>
      </c>
      <c r="AR152" s="84">
        <f t="shared" si="28"/>
        <v>9.3139625134853604E-2</v>
      </c>
      <c r="AT152" s="139">
        <f t="shared" si="31"/>
        <v>-8.0455914491921188E-3</v>
      </c>
      <c r="AU152" s="139">
        <f t="shared" si="31"/>
        <v>1.2697081844579988E-2</v>
      </c>
      <c r="AV152" s="139" t="str">
        <f t="shared" si="31"/>
        <v/>
      </c>
      <c r="AW152" s="139" t="str">
        <f t="shared" si="31"/>
        <v/>
      </c>
      <c r="AX152" s="139" t="str">
        <f t="shared" si="31"/>
        <v/>
      </c>
      <c r="AY152" s="139" t="str">
        <f t="shared" si="30"/>
        <v/>
      </c>
      <c r="AZ152" s="139" t="str">
        <f t="shared" si="30"/>
        <v/>
      </c>
      <c r="BA152" s="139" t="str">
        <f t="shared" si="30"/>
        <v/>
      </c>
      <c r="BB152" s="139" t="str">
        <f t="shared" si="30"/>
        <v/>
      </c>
      <c r="BC152" s="139" t="str">
        <f t="shared" si="30"/>
        <v/>
      </c>
      <c r="BD152" s="139" t="str">
        <f t="shared" si="30"/>
        <v/>
      </c>
      <c r="BF152" s="82">
        <f t="shared" si="26"/>
        <v>1.8480844949175727E-3</v>
      </c>
      <c r="BG152" s="82">
        <f t="shared" si="27"/>
        <v>0.99602159952075375</v>
      </c>
    </row>
    <row r="153" spans="2:59" x14ac:dyDescent="0.3">
      <c r="B153" s="83" t="s">
        <v>235</v>
      </c>
      <c r="D153" s="137">
        <v>51213</v>
      </c>
      <c r="E153" s="137">
        <v>51161</v>
      </c>
      <c r="F153" s="137">
        <v>50206</v>
      </c>
      <c r="G153" s="137"/>
      <c r="H153" s="137"/>
      <c r="I153" s="137"/>
      <c r="J153" s="137"/>
      <c r="K153" s="137"/>
      <c r="L153" s="137"/>
      <c r="M153" s="137"/>
      <c r="N153" s="137"/>
      <c r="O153" s="137"/>
      <c r="P153" s="137">
        <f t="shared" si="24"/>
        <v>152580</v>
      </c>
      <c r="R153" s="137">
        <v>10187</v>
      </c>
      <c r="S153" s="137">
        <v>7345</v>
      </c>
      <c r="T153" s="137">
        <v>7549</v>
      </c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>
        <f t="shared" si="25"/>
        <v>25081</v>
      </c>
      <c r="AF153" s="84">
        <f t="shared" si="29"/>
        <v>0.1989143381563275</v>
      </c>
      <c r="AG153" s="84">
        <f t="shared" si="29"/>
        <v>0.14356638845995973</v>
      </c>
      <c r="AH153" s="84">
        <f t="shared" si="29"/>
        <v>0.15036051467952039</v>
      </c>
      <c r="AI153" s="84" t="str">
        <f t="shared" si="29"/>
        <v/>
      </c>
      <c r="AJ153" s="84" t="str">
        <f t="shared" si="29"/>
        <v/>
      </c>
      <c r="AK153" s="84" t="str">
        <f t="shared" si="29"/>
        <v/>
      </c>
      <c r="AL153" s="84" t="str">
        <f t="shared" si="29"/>
        <v/>
      </c>
      <c r="AM153" s="84" t="str">
        <f t="shared" si="28"/>
        <v/>
      </c>
      <c r="AN153" s="84" t="str">
        <f t="shared" si="28"/>
        <v/>
      </c>
      <c r="AO153" s="84" t="str">
        <f t="shared" si="28"/>
        <v/>
      </c>
      <c r="AP153" s="84" t="str">
        <f t="shared" si="28"/>
        <v/>
      </c>
      <c r="AQ153" s="84" t="str">
        <f t="shared" si="28"/>
        <v/>
      </c>
      <c r="AR153" s="84">
        <f t="shared" si="28"/>
        <v>0.16437934198453272</v>
      </c>
      <c r="AT153" s="139">
        <f t="shared" si="31"/>
        <v>-5.5347949696367776E-2</v>
      </c>
      <c r="AU153" s="139">
        <f t="shared" si="31"/>
        <v>6.7941262195606589E-3</v>
      </c>
      <c r="AV153" s="139" t="str">
        <f t="shared" si="31"/>
        <v/>
      </c>
      <c r="AW153" s="139" t="str">
        <f t="shared" si="31"/>
        <v/>
      </c>
      <c r="AX153" s="139" t="str">
        <f t="shared" si="31"/>
        <v/>
      </c>
      <c r="AY153" s="139" t="str">
        <f t="shared" si="30"/>
        <v/>
      </c>
      <c r="AZ153" s="139" t="str">
        <f t="shared" si="30"/>
        <v/>
      </c>
      <c r="BA153" s="139" t="str">
        <f t="shared" si="30"/>
        <v/>
      </c>
      <c r="BB153" s="139" t="str">
        <f t="shared" si="30"/>
        <v/>
      </c>
      <c r="BC153" s="139" t="str">
        <f t="shared" si="30"/>
        <v/>
      </c>
      <c r="BD153" s="139" t="str">
        <f t="shared" si="30"/>
        <v/>
      </c>
      <c r="BF153" s="82">
        <f t="shared" si="26"/>
        <v>3.2434559419424875E-5</v>
      </c>
      <c r="BG153" s="82">
        <f t="shared" si="27"/>
        <v>0.99605403408017312</v>
      </c>
    </row>
    <row r="154" spans="2:59" x14ac:dyDescent="0.3">
      <c r="B154" s="83" t="s">
        <v>236</v>
      </c>
      <c r="D154" s="137">
        <v>30013</v>
      </c>
      <c r="E154" s="137">
        <v>26551</v>
      </c>
      <c r="F154" s="137">
        <v>18013</v>
      </c>
      <c r="G154" s="137"/>
      <c r="H154" s="137"/>
      <c r="I154" s="137"/>
      <c r="J154" s="137"/>
      <c r="K154" s="137"/>
      <c r="L154" s="137"/>
      <c r="M154" s="137"/>
      <c r="N154" s="137"/>
      <c r="O154" s="137"/>
      <c r="P154" s="137">
        <f t="shared" si="24"/>
        <v>74577</v>
      </c>
      <c r="R154" s="137">
        <v>11804</v>
      </c>
      <c r="S154" s="137">
        <v>304</v>
      </c>
      <c r="T154" s="137">
        <v>2749</v>
      </c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>
        <f t="shared" si="25"/>
        <v>14857</v>
      </c>
      <c r="AF154" s="84">
        <f t="shared" si="29"/>
        <v>0.3932962382967381</v>
      </c>
      <c r="AG154" s="84">
        <f t="shared" si="29"/>
        <v>1.1449662912884637E-2</v>
      </c>
      <c r="AH154" s="84">
        <f t="shared" si="29"/>
        <v>0.15261200244268028</v>
      </c>
      <c r="AI154" s="84" t="str">
        <f t="shared" si="29"/>
        <v/>
      </c>
      <c r="AJ154" s="84" t="str">
        <f t="shared" si="29"/>
        <v/>
      </c>
      <c r="AK154" s="84" t="str">
        <f t="shared" si="29"/>
        <v/>
      </c>
      <c r="AL154" s="84" t="str">
        <f t="shared" si="29"/>
        <v/>
      </c>
      <c r="AM154" s="84" t="str">
        <f t="shared" si="28"/>
        <v/>
      </c>
      <c r="AN154" s="84" t="str">
        <f t="shared" si="28"/>
        <v/>
      </c>
      <c r="AO154" s="84" t="str">
        <f t="shared" si="28"/>
        <v/>
      </c>
      <c r="AP154" s="84" t="str">
        <f t="shared" si="28"/>
        <v/>
      </c>
      <c r="AQ154" s="84" t="str">
        <f t="shared" si="28"/>
        <v/>
      </c>
      <c r="AR154" s="84">
        <f t="shared" si="28"/>
        <v>0.19921691674376818</v>
      </c>
      <c r="AT154" s="139">
        <f t="shared" si="31"/>
        <v>-0.38184657538385347</v>
      </c>
      <c r="AU154" s="139">
        <f t="shared" si="31"/>
        <v>0.14116233952979565</v>
      </c>
      <c r="AV154" s="139" t="str">
        <f t="shared" si="31"/>
        <v/>
      </c>
      <c r="AW154" s="139" t="str">
        <f t="shared" si="31"/>
        <v/>
      </c>
      <c r="AX154" s="139" t="str">
        <f t="shared" si="31"/>
        <v/>
      </c>
      <c r="AY154" s="139" t="str">
        <f t="shared" si="30"/>
        <v/>
      </c>
      <c r="AZ154" s="139" t="str">
        <f t="shared" si="30"/>
        <v/>
      </c>
      <c r="BA154" s="139" t="str">
        <f t="shared" si="30"/>
        <v/>
      </c>
      <c r="BB154" s="139" t="str">
        <f t="shared" si="30"/>
        <v/>
      </c>
      <c r="BC154" s="139" t="str">
        <f t="shared" si="30"/>
        <v/>
      </c>
      <c r="BD154" s="139" t="str">
        <f t="shared" si="30"/>
        <v/>
      </c>
      <c r="BF154" s="82">
        <f t="shared" si="26"/>
        <v>1.9212959981435963E-5</v>
      </c>
      <c r="BG154" s="82">
        <f t="shared" si="27"/>
        <v>0.99607324704015454</v>
      </c>
    </row>
    <row r="155" spans="2:59" x14ac:dyDescent="0.3">
      <c r="B155" s="83" t="s">
        <v>237</v>
      </c>
      <c r="D155" s="137">
        <v>46186</v>
      </c>
      <c r="E155" s="137">
        <v>40411</v>
      </c>
      <c r="F155" s="137">
        <v>53013</v>
      </c>
      <c r="G155" s="137"/>
      <c r="H155" s="137"/>
      <c r="I155" s="137"/>
      <c r="J155" s="137"/>
      <c r="K155" s="137"/>
      <c r="L155" s="137"/>
      <c r="M155" s="137"/>
      <c r="N155" s="137"/>
      <c r="O155" s="137"/>
      <c r="P155" s="137">
        <f t="shared" si="24"/>
        <v>139610</v>
      </c>
      <c r="R155" s="137">
        <v>26387</v>
      </c>
      <c r="S155" s="137">
        <v>26196</v>
      </c>
      <c r="T155" s="137">
        <v>26282</v>
      </c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>
        <f t="shared" si="25"/>
        <v>78865</v>
      </c>
      <c r="AF155" s="84">
        <f t="shared" si="29"/>
        <v>0.57132031351491797</v>
      </c>
      <c r="AG155" s="84">
        <f t="shared" si="29"/>
        <v>0.64823934077355172</v>
      </c>
      <c r="AH155" s="84">
        <f t="shared" si="29"/>
        <v>0.49576518967045818</v>
      </c>
      <c r="AI155" s="84" t="str">
        <f t="shared" si="29"/>
        <v/>
      </c>
      <c r="AJ155" s="84" t="str">
        <f t="shared" si="29"/>
        <v/>
      </c>
      <c r="AK155" s="84" t="str">
        <f t="shared" si="29"/>
        <v/>
      </c>
      <c r="AL155" s="84" t="str">
        <f t="shared" si="29"/>
        <v/>
      </c>
      <c r="AM155" s="84" t="str">
        <f t="shared" si="28"/>
        <v/>
      </c>
      <c r="AN155" s="84" t="str">
        <f t="shared" si="28"/>
        <v/>
      </c>
      <c r="AO155" s="84" t="str">
        <f t="shared" si="28"/>
        <v/>
      </c>
      <c r="AP155" s="84" t="str">
        <f t="shared" si="28"/>
        <v/>
      </c>
      <c r="AQ155" s="84" t="str">
        <f t="shared" si="28"/>
        <v/>
      </c>
      <c r="AR155" s="84">
        <f t="shared" si="28"/>
        <v>0.56489506482343677</v>
      </c>
      <c r="AT155" s="139">
        <f t="shared" si="31"/>
        <v>7.6919027258633754E-2</v>
      </c>
      <c r="AU155" s="139">
        <f t="shared" si="31"/>
        <v>-0.15247415110309354</v>
      </c>
      <c r="AV155" s="139" t="str">
        <f t="shared" si="31"/>
        <v/>
      </c>
      <c r="AW155" s="139" t="str">
        <f t="shared" si="31"/>
        <v/>
      </c>
      <c r="AX155" s="139" t="str">
        <f t="shared" si="31"/>
        <v/>
      </c>
      <c r="AY155" s="139" t="str">
        <f t="shared" si="30"/>
        <v/>
      </c>
      <c r="AZ155" s="139" t="str">
        <f t="shared" si="30"/>
        <v/>
      </c>
      <c r="BA155" s="139" t="str">
        <f t="shared" si="30"/>
        <v/>
      </c>
      <c r="BB155" s="139" t="str">
        <f t="shared" si="30"/>
        <v/>
      </c>
      <c r="BC155" s="139" t="str">
        <f t="shared" si="30"/>
        <v/>
      </c>
      <c r="BD155" s="139" t="str">
        <f t="shared" si="30"/>
        <v/>
      </c>
      <c r="BF155" s="82">
        <f t="shared" si="26"/>
        <v>1.0198762125166233E-4</v>
      </c>
      <c r="BG155" s="82">
        <f t="shared" si="27"/>
        <v>0.99617523466140623</v>
      </c>
    </row>
    <row r="156" spans="2:59" x14ac:dyDescent="0.3">
      <c r="B156" s="83" t="s">
        <v>238</v>
      </c>
      <c r="D156" s="137">
        <v>534996</v>
      </c>
      <c r="E156" s="137">
        <v>544457</v>
      </c>
      <c r="F156" s="137">
        <v>630391</v>
      </c>
      <c r="G156" s="137"/>
      <c r="H156" s="137"/>
      <c r="I156" s="137"/>
      <c r="J156" s="137"/>
      <c r="K156" s="137"/>
      <c r="L156" s="137"/>
      <c r="M156" s="137"/>
      <c r="N156" s="137"/>
      <c r="O156" s="137"/>
      <c r="P156" s="137">
        <f t="shared" si="24"/>
        <v>1709844</v>
      </c>
      <c r="R156" s="137">
        <v>90160</v>
      </c>
      <c r="S156" s="137">
        <v>82474</v>
      </c>
      <c r="T156" s="137">
        <v>104999</v>
      </c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>
        <f t="shared" si="25"/>
        <v>277633</v>
      </c>
      <c r="AF156" s="84">
        <f t="shared" si="29"/>
        <v>0.16852462448317371</v>
      </c>
      <c r="AG156" s="84">
        <f t="shared" si="29"/>
        <v>0.15147936384324198</v>
      </c>
      <c r="AH156" s="84">
        <f t="shared" si="29"/>
        <v>0.16656170535429599</v>
      </c>
      <c r="AI156" s="84" t="str">
        <f t="shared" si="29"/>
        <v/>
      </c>
      <c r="AJ156" s="84" t="str">
        <f t="shared" si="29"/>
        <v/>
      </c>
      <c r="AK156" s="84" t="str">
        <f t="shared" si="29"/>
        <v/>
      </c>
      <c r="AL156" s="84" t="str">
        <f t="shared" si="29"/>
        <v/>
      </c>
      <c r="AM156" s="84" t="str">
        <f t="shared" si="28"/>
        <v/>
      </c>
      <c r="AN156" s="84" t="str">
        <f t="shared" si="28"/>
        <v/>
      </c>
      <c r="AO156" s="84" t="str">
        <f t="shared" si="28"/>
        <v/>
      </c>
      <c r="AP156" s="84" t="str">
        <f t="shared" si="28"/>
        <v/>
      </c>
      <c r="AQ156" s="84" t="str">
        <f t="shared" si="28"/>
        <v/>
      </c>
      <c r="AR156" s="84">
        <f t="shared" si="28"/>
        <v>0.16237329253428967</v>
      </c>
      <c r="AT156" s="139">
        <f t="shared" si="31"/>
        <v>-1.7045260639931725E-2</v>
      </c>
      <c r="AU156" s="139">
        <f t="shared" si="31"/>
        <v>1.5082341511054004E-2</v>
      </c>
      <c r="AV156" s="139" t="str">
        <f t="shared" si="31"/>
        <v/>
      </c>
      <c r="AW156" s="139" t="str">
        <f t="shared" si="31"/>
        <v/>
      </c>
      <c r="AX156" s="139" t="str">
        <f t="shared" si="31"/>
        <v/>
      </c>
      <c r="AY156" s="139" t="str">
        <f t="shared" si="30"/>
        <v/>
      </c>
      <c r="AZ156" s="139" t="str">
        <f t="shared" si="30"/>
        <v/>
      </c>
      <c r="BA156" s="139" t="str">
        <f t="shared" si="30"/>
        <v/>
      </c>
      <c r="BB156" s="139" t="str">
        <f t="shared" si="30"/>
        <v/>
      </c>
      <c r="BC156" s="139" t="str">
        <f t="shared" si="30"/>
        <v/>
      </c>
      <c r="BD156" s="139" t="str">
        <f t="shared" si="30"/>
        <v/>
      </c>
      <c r="BF156" s="82">
        <f t="shared" si="26"/>
        <v>3.5903289483247029E-4</v>
      </c>
      <c r="BG156" s="82">
        <f t="shared" si="27"/>
        <v>0.99653426755623875</v>
      </c>
    </row>
    <row r="157" spans="2:59" x14ac:dyDescent="0.3">
      <c r="B157" s="83" t="s">
        <v>239</v>
      </c>
      <c r="D157" s="137">
        <v>1369902</v>
      </c>
      <c r="E157" s="137">
        <v>1494672</v>
      </c>
      <c r="F157" s="137">
        <v>1492920</v>
      </c>
      <c r="G157" s="137"/>
      <c r="H157" s="137"/>
      <c r="I157" s="137"/>
      <c r="J157" s="137"/>
      <c r="K157" s="137"/>
      <c r="L157" s="137"/>
      <c r="M157" s="137"/>
      <c r="N157" s="137"/>
      <c r="O157" s="137"/>
      <c r="P157" s="137">
        <f t="shared" si="24"/>
        <v>4357494</v>
      </c>
      <c r="R157" s="137">
        <v>211210</v>
      </c>
      <c r="S157" s="137">
        <v>270710</v>
      </c>
      <c r="T157" s="137">
        <v>177347</v>
      </c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>
        <f t="shared" si="25"/>
        <v>659267</v>
      </c>
      <c r="AF157" s="84">
        <f t="shared" si="29"/>
        <v>0.15417891206816253</v>
      </c>
      <c r="AG157" s="84">
        <f t="shared" si="29"/>
        <v>0.18111665970861834</v>
      </c>
      <c r="AH157" s="84">
        <f t="shared" si="29"/>
        <v>0.11879203172306621</v>
      </c>
      <c r="AI157" s="84" t="str">
        <f t="shared" si="29"/>
        <v/>
      </c>
      <c r="AJ157" s="84" t="str">
        <f t="shared" si="29"/>
        <v/>
      </c>
      <c r="AK157" s="84" t="str">
        <f t="shared" si="29"/>
        <v/>
      </c>
      <c r="AL157" s="84" t="str">
        <f t="shared" si="29"/>
        <v/>
      </c>
      <c r="AM157" s="84" t="str">
        <f t="shared" si="28"/>
        <v/>
      </c>
      <c r="AN157" s="84" t="str">
        <f t="shared" si="28"/>
        <v/>
      </c>
      <c r="AO157" s="84" t="str">
        <f t="shared" si="28"/>
        <v/>
      </c>
      <c r="AP157" s="84" t="str">
        <f t="shared" si="28"/>
        <v/>
      </c>
      <c r="AQ157" s="84" t="str">
        <f t="shared" si="28"/>
        <v/>
      </c>
      <c r="AR157" s="84">
        <f t="shared" si="28"/>
        <v>0.15129498744002862</v>
      </c>
      <c r="AT157" s="139">
        <f t="shared" si="31"/>
        <v>2.6937747640455811E-2</v>
      </c>
      <c r="AU157" s="139">
        <f t="shared" si="31"/>
        <v>-6.2324627985552133E-2</v>
      </c>
      <c r="AV157" s="139" t="str">
        <f t="shared" si="31"/>
        <v/>
      </c>
      <c r="AW157" s="139" t="str">
        <f t="shared" si="31"/>
        <v/>
      </c>
      <c r="AX157" s="139" t="str">
        <f t="shared" si="31"/>
        <v/>
      </c>
      <c r="AY157" s="139" t="str">
        <f t="shared" si="30"/>
        <v/>
      </c>
      <c r="AZ157" s="139" t="str">
        <f t="shared" si="30"/>
        <v/>
      </c>
      <c r="BA157" s="139" t="str">
        <f t="shared" si="30"/>
        <v/>
      </c>
      <c r="BB157" s="139" t="str">
        <f t="shared" si="30"/>
        <v/>
      </c>
      <c r="BC157" s="139" t="str">
        <f t="shared" si="30"/>
        <v/>
      </c>
      <c r="BD157" s="139" t="str">
        <f t="shared" si="30"/>
        <v/>
      </c>
      <c r="BF157" s="82">
        <f t="shared" si="26"/>
        <v>8.5255909591985888E-4</v>
      </c>
      <c r="BG157" s="82">
        <f t="shared" si="27"/>
        <v>0.99738682665215861</v>
      </c>
    </row>
    <row r="158" spans="2:59" x14ac:dyDescent="0.3">
      <c r="B158" s="83" t="s">
        <v>240</v>
      </c>
      <c r="D158" s="137">
        <v>51492</v>
      </c>
      <c r="E158" s="137">
        <v>108340</v>
      </c>
      <c r="F158" s="137">
        <v>145719</v>
      </c>
      <c r="G158" s="137"/>
      <c r="H158" s="137"/>
      <c r="I158" s="137"/>
      <c r="J158" s="137"/>
      <c r="K158" s="137"/>
      <c r="L158" s="137"/>
      <c r="M158" s="137"/>
      <c r="N158" s="137"/>
      <c r="O158" s="137"/>
      <c r="P158" s="137">
        <f t="shared" si="24"/>
        <v>305551</v>
      </c>
      <c r="R158" s="137">
        <v>5997</v>
      </c>
      <c r="S158" s="137">
        <v>18892</v>
      </c>
      <c r="T158" s="137">
        <v>13483</v>
      </c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>
        <f t="shared" si="25"/>
        <v>38372</v>
      </c>
      <c r="AF158" s="84">
        <f t="shared" si="29"/>
        <v>0.11646469354462829</v>
      </c>
      <c r="AG158" s="84">
        <f t="shared" si="29"/>
        <v>0.17437696141775891</v>
      </c>
      <c r="AH158" s="84">
        <f t="shared" si="29"/>
        <v>9.2527398623377874E-2</v>
      </c>
      <c r="AI158" s="84" t="str">
        <f t="shared" si="29"/>
        <v/>
      </c>
      <c r="AJ158" s="84" t="str">
        <f t="shared" si="29"/>
        <v/>
      </c>
      <c r="AK158" s="84" t="str">
        <f t="shared" si="29"/>
        <v/>
      </c>
      <c r="AL158" s="84" t="str">
        <f t="shared" si="29"/>
        <v/>
      </c>
      <c r="AM158" s="84" t="str">
        <f t="shared" si="28"/>
        <v/>
      </c>
      <c r="AN158" s="84" t="str">
        <f t="shared" si="28"/>
        <v/>
      </c>
      <c r="AO158" s="84" t="str">
        <f t="shared" si="28"/>
        <v/>
      </c>
      <c r="AP158" s="84" t="str">
        <f t="shared" si="28"/>
        <v/>
      </c>
      <c r="AQ158" s="84" t="str">
        <f t="shared" si="28"/>
        <v/>
      </c>
      <c r="AR158" s="84">
        <f t="shared" si="28"/>
        <v>0.12558296323690643</v>
      </c>
      <c r="AT158" s="139">
        <f t="shared" si="31"/>
        <v>5.7912267873130613E-2</v>
      </c>
      <c r="AU158" s="139">
        <f t="shared" si="31"/>
        <v>-8.1849562794381034E-2</v>
      </c>
      <c r="AV158" s="139" t="str">
        <f t="shared" si="31"/>
        <v/>
      </c>
      <c r="AW158" s="139" t="str">
        <f t="shared" si="31"/>
        <v/>
      </c>
      <c r="AX158" s="139" t="str">
        <f t="shared" si="31"/>
        <v/>
      </c>
      <c r="AY158" s="139" t="str">
        <f t="shared" si="30"/>
        <v/>
      </c>
      <c r="AZ158" s="139" t="str">
        <f t="shared" si="30"/>
        <v/>
      </c>
      <c r="BA158" s="139" t="str">
        <f t="shared" si="30"/>
        <v/>
      </c>
      <c r="BB158" s="139" t="str">
        <f t="shared" si="30"/>
        <v/>
      </c>
      <c r="BC158" s="139" t="str">
        <f t="shared" si="30"/>
        <v/>
      </c>
      <c r="BD158" s="139" t="str">
        <f t="shared" si="30"/>
        <v/>
      </c>
      <c r="BF158" s="82">
        <f t="shared" si="26"/>
        <v>4.9622380050323806E-5</v>
      </c>
      <c r="BG158" s="82">
        <f t="shared" si="27"/>
        <v>0.99743644903220896</v>
      </c>
    </row>
    <row r="159" spans="2:59" x14ac:dyDescent="0.3">
      <c r="B159" s="83" t="s">
        <v>241</v>
      </c>
      <c r="D159" s="137">
        <v>499281</v>
      </c>
      <c r="E159" s="137">
        <v>453599</v>
      </c>
      <c r="F159" s="137">
        <v>476564</v>
      </c>
      <c r="G159" s="137"/>
      <c r="H159" s="137"/>
      <c r="I159" s="137"/>
      <c r="J159" s="137"/>
      <c r="K159" s="137"/>
      <c r="L159" s="137"/>
      <c r="M159" s="137"/>
      <c r="N159" s="137"/>
      <c r="O159" s="137"/>
      <c r="P159" s="137">
        <f t="shared" si="24"/>
        <v>1429444</v>
      </c>
      <c r="R159" s="137">
        <v>81673</v>
      </c>
      <c r="S159" s="137">
        <v>73605</v>
      </c>
      <c r="T159" s="137">
        <v>84846</v>
      </c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>
        <f t="shared" si="25"/>
        <v>240124</v>
      </c>
      <c r="AF159" s="84">
        <f t="shared" si="29"/>
        <v>0.16358122980846457</v>
      </c>
      <c r="AG159" s="84">
        <f t="shared" si="29"/>
        <v>0.16226887625413636</v>
      </c>
      <c r="AH159" s="84">
        <f t="shared" si="29"/>
        <v>0.17803694781813145</v>
      </c>
      <c r="AI159" s="84" t="str">
        <f t="shared" si="29"/>
        <v/>
      </c>
      <c r="AJ159" s="84" t="str">
        <f t="shared" si="29"/>
        <v/>
      </c>
      <c r="AK159" s="84" t="str">
        <f t="shared" si="29"/>
        <v/>
      </c>
      <c r="AL159" s="84" t="str">
        <f t="shared" si="29"/>
        <v/>
      </c>
      <c r="AM159" s="84" t="str">
        <f t="shared" si="28"/>
        <v/>
      </c>
      <c r="AN159" s="84" t="str">
        <f t="shared" si="28"/>
        <v/>
      </c>
      <c r="AO159" s="84" t="str">
        <f t="shared" si="28"/>
        <v/>
      </c>
      <c r="AP159" s="84" t="str">
        <f t="shared" si="28"/>
        <v/>
      </c>
      <c r="AQ159" s="84" t="str">
        <f t="shared" si="28"/>
        <v/>
      </c>
      <c r="AR159" s="84">
        <f t="shared" si="28"/>
        <v>0.16798419525353914</v>
      </c>
      <c r="AT159" s="139">
        <f t="shared" si="31"/>
        <v>-1.3123535543282105E-3</v>
      </c>
      <c r="AU159" s="139">
        <f t="shared" si="31"/>
        <v>1.5768071563995095E-2</v>
      </c>
      <c r="AV159" s="139" t="str">
        <f t="shared" si="31"/>
        <v/>
      </c>
      <c r="AW159" s="139" t="str">
        <f t="shared" si="31"/>
        <v/>
      </c>
      <c r="AX159" s="139" t="str">
        <f t="shared" si="31"/>
        <v/>
      </c>
      <c r="AY159" s="139" t="str">
        <f t="shared" si="30"/>
        <v/>
      </c>
      <c r="AZ159" s="139" t="str">
        <f t="shared" si="30"/>
        <v/>
      </c>
      <c r="BA159" s="139" t="str">
        <f t="shared" si="30"/>
        <v/>
      </c>
      <c r="BB159" s="139" t="str">
        <f t="shared" si="30"/>
        <v/>
      </c>
      <c r="BC159" s="139" t="str">
        <f t="shared" si="30"/>
        <v/>
      </c>
      <c r="BD159" s="139" t="str">
        <f t="shared" si="30"/>
        <v/>
      </c>
      <c r="BF159" s="82">
        <f t="shared" si="26"/>
        <v>3.1052653985207845E-4</v>
      </c>
      <c r="BG159" s="82">
        <f t="shared" si="27"/>
        <v>0.99774697557206105</v>
      </c>
    </row>
    <row r="160" spans="2:59" x14ac:dyDescent="0.3">
      <c r="B160" s="83" t="s">
        <v>242</v>
      </c>
      <c r="D160" s="137">
        <v>12093</v>
      </c>
      <c r="E160" s="137">
        <v>14059</v>
      </c>
      <c r="F160" s="137">
        <v>18273</v>
      </c>
      <c r="G160" s="137"/>
      <c r="H160" s="137"/>
      <c r="I160" s="137"/>
      <c r="J160" s="137"/>
      <c r="K160" s="137"/>
      <c r="L160" s="137"/>
      <c r="M160" s="137"/>
      <c r="N160" s="137"/>
      <c r="O160" s="137"/>
      <c r="P160" s="137">
        <f t="shared" si="24"/>
        <v>44425</v>
      </c>
      <c r="R160" s="137">
        <v>530</v>
      </c>
      <c r="S160" s="137">
        <v>2064</v>
      </c>
      <c r="T160" s="137">
        <v>1574</v>
      </c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>
        <f t="shared" si="25"/>
        <v>4168</v>
      </c>
      <c r="AF160" s="84">
        <f t="shared" si="29"/>
        <v>4.3827007359629536E-2</v>
      </c>
      <c r="AG160" s="84">
        <f t="shared" si="29"/>
        <v>0.14680987267942244</v>
      </c>
      <c r="AH160" s="84">
        <f t="shared" si="29"/>
        <v>8.613801784052974E-2</v>
      </c>
      <c r="AI160" s="84" t="str">
        <f t="shared" si="29"/>
        <v/>
      </c>
      <c r="AJ160" s="84" t="str">
        <f t="shared" si="29"/>
        <v/>
      </c>
      <c r="AK160" s="84" t="str">
        <f t="shared" si="29"/>
        <v/>
      </c>
      <c r="AL160" s="84" t="str">
        <f t="shared" si="29"/>
        <v/>
      </c>
      <c r="AM160" s="84" t="str">
        <f t="shared" si="28"/>
        <v/>
      </c>
      <c r="AN160" s="84" t="str">
        <f t="shared" si="28"/>
        <v/>
      </c>
      <c r="AO160" s="84" t="str">
        <f t="shared" si="28"/>
        <v/>
      </c>
      <c r="AP160" s="84" t="str">
        <f t="shared" si="28"/>
        <v/>
      </c>
      <c r="AQ160" s="84" t="str">
        <f t="shared" si="28"/>
        <v/>
      </c>
      <c r="AR160" s="84">
        <f t="shared" si="28"/>
        <v>9.3821046707934716E-2</v>
      </c>
      <c r="AT160" s="139">
        <f t="shared" si="31"/>
        <v>0.10298286531979291</v>
      </c>
      <c r="AU160" s="139">
        <f t="shared" si="31"/>
        <v>-6.0671854838892703E-2</v>
      </c>
      <c r="AV160" s="139" t="str">
        <f t="shared" si="31"/>
        <v/>
      </c>
      <c r="AW160" s="139" t="str">
        <f t="shared" si="31"/>
        <v/>
      </c>
      <c r="AX160" s="139" t="str">
        <f t="shared" si="31"/>
        <v/>
      </c>
      <c r="AY160" s="139" t="str">
        <f t="shared" si="30"/>
        <v/>
      </c>
      <c r="AZ160" s="139" t="str">
        <f t="shared" si="30"/>
        <v/>
      </c>
      <c r="BA160" s="139" t="str">
        <f t="shared" si="30"/>
        <v/>
      </c>
      <c r="BB160" s="139" t="str">
        <f t="shared" si="30"/>
        <v/>
      </c>
      <c r="BC160" s="139" t="str">
        <f t="shared" si="30"/>
        <v/>
      </c>
      <c r="BD160" s="139" t="str">
        <f t="shared" si="30"/>
        <v/>
      </c>
      <c r="BF160" s="82">
        <f t="shared" si="26"/>
        <v>5.3900260619657468E-6</v>
      </c>
      <c r="BG160" s="82">
        <f t="shared" si="27"/>
        <v>0.99775236559812297</v>
      </c>
    </row>
    <row r="161" spans="2:59" x14ac:dyDescent="0.3">
      <c r="B161" s="83" t="s">
        <v>243</v>
      </c>
      <c r="D161" s="137">
        <v>3754</v>
      </c>
      <c r="E161" s="137">
        <v>11254</v>
      </c>
      <c r="F161" s="137">
        <v>2209</v>
      </c>
      <c r="G161" s="137"/>
      <c r="H161" s="137"/>
      <c r="I161" s="137"/>
      <c r="J161" s="137"/>
      <c r="K161" s="137"/>
      <c r="L161" s="137"/>
      <c r="M161" s="137"/>
      <c r="N161" s="137"/>
      <c r="O161" s="137"/>
      <c r="P161" s="137">
        <f t="shared" si="24"/>
        <v>17217</v>
      </c>
      <c r="R161" s="137">
        <v>73</v>
      </c>
      <c r="S161" s="137">
        <v>290</v>
      </c>
      <c r="T161" s="137">
        <v>476</v>
      </c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>
        <f t="shared" si="25"/>
        <v>839</v>
      </c>
      <c r="AF161" s="84">
        <f t="shared" si="29"/>
        <v>1.9445924347362812E-2</v>
      </c>
      <c r="AG161" s="84">
        <f t="shared" si="29"/>
        <v>2.5768615603341035E-2</v>
      </c>
      <c r="AH161" s="84">
        <f t="shared" si="29"/>
        <v>0.21548211860570393</v>
      </c>
      <c r="AI161" s="84" t="str">
        <f t="shared" si="29"/>
        <v/>
      </c>
      <c r="AJ161" s="84" t="str">
        <f t="shared" si="29"/>
        <v/>
      </c>
      <c r="AK161" s="84" t="str">
        <f t="shared" si="29"/>
        <v/>
      </c>
      <c r="AL161" s="84" t="str">
        <f t="shared" si="29"/>
        <v/>
      </c>
      <c r="AM161" s="84" t="str">
        <f t="shared" si="28"/>
        <v/>
      </c>
      <c r="AN161" s="84" t="str">
        <f t="shared" si="28"/>
        <v/>
      </c>
      <c r="AO161" s="84" t="str">
        <f t="shared" si="28"/>
        <v/>
      </c>
      <c r="AP161" s="84" t="str">
        <f t="shared" si="28"/>
        <v/>
      </c>
      <c r="AQ161" s="84" t="str">
        <f t="shared" si="28"/>
        <v/>
      </c>
      <c r="AR161" s="84">
        <f t="shared" si="28"/>
        <v>4.8730905500377536E-2</v>
      </c>
      <c r="AT161" s="139">
        <f t="shared" si="31"/>
        <v>6.3226912559782231E-3</v>
      </c>
      <c r="AU161" s="139">
        <f t="shared" si="31"/>
        <v>0.18971350300236289</v>
      </c>
      <c r="AV161" s="139" t="str">
        <f t="shared" si="31"/>
        <v/>
      </c>
      <c r="AW161" s="139" t="str">
        <f t="shared" si="31"/>
        <v/>
      </c>
      <c r="AX161" s="139" t="str">
        <f t="shared" si="31"/>
        <v/>
      </c>
      <c r="AY161" s="139" t="str">
        <f t="shared" si="30"/>
        <v/>
      </c>
      <c r="AZ161" s="139" t="str">
        <f t="shared" si="30"/>
        <v/>
      </c>
      <c r="BA161" s="139" t="str">
        <f t="shared" si="30"/>
        <v/>
      </c>
      <c r="BB161" s="139" t="str">
        <f t="shared" si="30"/>
        <v/>
      </c>
      <c r="BC161" s="139" t="str">
        <f t="shared" si="30"/>
        <v/>
      </c>
      <c r="BD161" s="139" t="str">
        <f t="shared" si="30"/>
        <v/>
      </c>
      <c r="BF161" s="82">
        <f t="shared" si="26"/>
        <v>1.0849884515329323E-6</v>
      </c>
      <c r="BG161" s="82">
        <f t="shared" si="27"/>
        <v>0.9977534505865745</v>
      </c>
    </row>
    <row r="162" spans="2:59" x14ac:dyDescent="0.3">
      <c r="B162" s="83" t="s">
        <v>244</v>
      </c>
      <c r="D162" s="137"/>
      <c r="E162" s="137">
        <v>47113</v>
      </c>
      <c r="F162" s="137">
        <v>152506</v>
      </c>
      <c r="G162" s="137"/>
      <c r="H162" s="137"/>
      <c r="I162" s="137"/>
      <c r="J162" s="137"/>
      <c r="K162" s="137"/>
      <c r="L162" s="137"/>
      <c r="M162" s="137"/>
      <c r="N162" s="137"/>
      <c r="O162" s="137"/>
      <c r="P162" s="137">
        <f t="shared" si="24"/>
        <v>199619</v>
      </c>
      <c r="R162" s="137"/>
      <c r="S162" s="137">
        <v>10439</v>
      </c>
      <c r="T162" s="137">
        <v>18879</v>
      </c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>
        <f t="shared" si="25"/>
        <v>29318</v>
      </c>
      <c r="AF162" s="84" t="str">
        <f t="shared" si="29"/>
        <v/>
      </c>
      <c r="AG162" s="84">
        <f t="shared" si="29"/>
        <v>0.22157366332010273</v>
      </c>
      <c r="AH162" s="84">
        <f t="shared" si="29"/>
        <v>0.12379185081242705</v>
      </c>
      <c r="AI162" s="84" t="str">
        <f t="shared" si="29"/>
        <v/>
      </c>
      <c r="AJ162" s="84" t="str">
        <f t="shared" si="29"/>
        <v/>
      </c>
      <c r="AK162" s="84" t="str">
        <f t="shared" si="29"/>
        <v/>
      </c>
      <c r="AL162" s="84" t="str">
        <f t="shared" si="29"/>
        <v/>
      </c>
      <c r="AM162" s="84" t="str">
        <f t="shared" si="28"/>
        <v/>
      </c>
      <c r="AN162" s="84" t="str">
        <f t="shared" si="28"/>
        <v/>
      </c>
      <c r="AO162" s="84" t="str">
        <f t="shared" si="28"/>
        <v/>
      </c>
      <c r="AP162" s="84" t="str">
        <f t="shared" si="28"/>
        <v/>
      </c>
      <c r="AQ162" s="84" t="str">
        <f t="shared" si="28"/>
        <v/>
      </c>
      <c r="AR162" s="84">
        <f t="shared" si="28"/>
        <v>0.14686978694412856</v>
      </c>
      <c r="AT162" s="139" t="str">
        <f t="shared" si="31"/>
        <v/>
      </c>
      <c r="AU162" s="139">
        <f t="shared" si="31"/>
        <v>-9.7781812507675675E-2</v>
      </c>
      <c r="AV162" s="139" t="str">
        <f t="shared" si="31"/>
        <v/>
      </c>
      <c r="AW162" s="139" t="str">
        <f t="shared" si="31"/>
        <v/>
      </c>
      <c r="AX162" s="139" t="str">
        <f t="shared" si="31"/>
        <v/>
      </c>
      <c r="AY162" s="139" t="str">
        <f t="shared" si="30"/>
        <v/>
      </c>
      <c r="AZ162" s="139" t="str">
        <f t="shared" si="30"/>
        <v/>
      </c>
      <c r="BA162" s="139" t="str">
        <f t="shared" si="30"/>
        <v/>
      </c>
      <c r="BB162" s="139" t="str">
        <f t="shared" si="30"/>
        <v/>
      </c>
      <c r="BC162" s="139" t="str">
        <f t="shared" si="30"/>
        <v/>
      </c>
      <c r="BD162" s="139" t="str">
        <f t="shared" si="30"/>
        <v/>
      </c>
      <c r="BF162" s="82">
        <f t="shared" si="26"/>
        <v>3.7913815759287853E-5</v>
      </c>
      <c r="BG162" s="82">
        <f t="shared" si="27"/>
        <v>0.99779136440233374</v>
      </c>
    </row>
    <row r="163" spans="2:59" x14ac:dyDescent="0.3">
      <c r="B163" s="83" t="s">
        <v>245</v>
      </c>
      <c r="D163" s="137">
        <v>28105</v>
      </c>
      <c r="E163" s="137">
        <v>41110</v>
      </c>
      <c r="F163" s="137">
        <v>34818</v>
      </c>
      <c r="G163" s="137"/>
      <c r="H163" s="137"/>
      <c r="I163" s="137"/>
      <c r="J163" s="137"/>
      <c r="K163" s="137"/>
      <c r="L163" s="137"/>
      <c r="M163" s="137"/>
      <c r="N163" s="137"/>
      <c r="O163" s="137"/>
      <c r="P163" s="137">
        <f t="shared" si="24"/>
        <v>104033</v>
      </c>
      <c r="R163" s="137">
        <v>26178</v>
      </c>
      <c r="S163" s="137">
        <v>35032</v>
      </c>
      <c r="T163" s="137">
        <v>28144</v>
      </c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>
        <f t="shared" si="25"/>
        <v>89354</v>
      </c>
      <c r="AF163" s="84">
        <f t="shared" si="29"/>
        <v>0.93143568760007112</v>
      </c>
      <c r="AG163" s="84">
        <f t="shared" si="29"/>
        <v>0.85215276088542935</v>
      </c>
      <c r="AH163" s="84">
        <f t="shared" si="29"/>
        <v>0.8083175369061979</v>
      </c>
      <c r="AI163" s="84" t="str">
        <f t="shared" si="29"/>
        <v/>
      </c>
      <c r="AJ163" s="84" t="str">
        <f t="shared" si="29"/>
        <v/>
      </c>
      <c r="AK163" s="84" t="str">
        <f t="shared" si="29"/>
        <v/>
      </c>
      <c r="AL163" s="84" t="str">
        <f t="shared" si="29"/>
        <v/>
      </c>
      <c r="AM163" s="84" t="str">
        <f t="shared" si="28"/>
        <v/>
      </c>
      <c r="AN163" s="84" t="str">
        <f t="shared" si="28"/>
        <v/>
      </c>
      <c r="AO163" s="84" t="str">
        <f t="shared" si="28"/>
        <v/>
      </c>
      <c r="AP163" s="84" t="str">
        <f t="shared" si="28"/>
        <v/>
      </c>
      <c r="AQ163" s="84" t="str">
        <f t="shared" si="28"/>
        <v/>
      </c>
      <c r="AR163" s="84">
        <f t="shared" si="28"/>
        <v>0.85890054117443504</v>
      </c>
      <c r="AT163" s="139">
        <f t="shared" si="31"/>
        <v>-7.9282926714641766E-2</v>
      </c>
      <c r="AU163" s="139">
        <f t="shared" si="31"/>
        <v>-4.3835223979231452E-2</v>
      </c>
      <c r="AV163" s="139" t="str">
        <f t="shared" si="31"/>
        <v/>
      </c>
      <c r="AW163" s="139" t="str">
        <f t="shared" si="31"/>
        <v/>
      </c>
      <c r="AX163" s="139" t="str">
        <f t="shared" si="31"/>
        <v/>
      </c>
      <c r="AY163" s="139" t="str">
        <f t="shared" si="30"/>
        <v/>
      </c>
      <c r="AZ163" s="139" t="str">
        <f t="shared" si="30"/>
        <v/>
      </c>
      <c r="BA163" s="139" t="str">
        <f t="shared" si="30"/>
        <v/>
      </c>
      <c r="BB163" s="139" t="str">
        <f t="shared" si="30"/>
        <v/>
      </c>
      <c r="BC163" s="139" t="str">
        <f t="shared" si="30"/>
        <v/>
      </c>
      <c r="BD163" s="139" t="str">
        <f t="shared" si="30"/>
        <v/>
      </c>
      <c r="BF163" s="82">
        <f t="shared" si="26"/>
        <v>1.1555191668447393E-4</v>
      </c>
      <c r="BG163" s="82">
        <f t="shared" si="27"/>
        <v>0.99790691631901818</v>
      </c>
    </row>
    <row r="164" spans="2:59" x14ac:dyDescent="0.3">
      <c r="B164" s="83" t="s">
        <v>246</v>
      </c>
      <c r="D164" s="137">
        <v>10273</v>
      </c>
      <c r="E164" s="137">
        <v>15138</v>
      </c>
      <c r="F164" s="137">
        <v>30100</v>
      </c>
      <c r="G164" s="137"/>
      <c r="H164" s="137"/>
      <c r="I164" s="137"/>
      <c r="J164" s="137"/>
      <c r="K164" s="137"/>
      <c r="L164" s="137"/>
      <c r="M164" s="137"/>
      <c r="N164" s="137"/>
      <c r="O164" s="137"/>
      <c r="P164" s="137">
        <f t="shared" si="24"/>
        <v>55511</v>
      </c>
      <c r="R164" s="137">
        <v>722</v>
      </c>
      <c r="S164" s="137">
        <v>10682</v>
      </c>
      <c r="T164" s="137">
        <v>9246</v>
      </c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>
        <f t="shared" si="25"/>
        <v>20650</v>
      </c>
      <c r="AF164" s="84">
        <f t="shared" si="29"/>
        <v>7.0281319964956679E-2</v>
      </c>
      <c r="AG164" s="84">
        <f t="shared" si="29"/>
        <v>0.70564143215748443</v>
      </c>
      <c r="AH164" s="84">
        <f t="shared" si="29"/>
        <v>0.30717607973421929</v>
      </c>
      <c r="AI164" s="84" t="str">
        <f t="shared" si="29"/>
        <v/>
      </c>
      <c r="AJ164" s="84" t="str">
        <f t="shared" si="29"/>
        <v/>
      </c>
      <c r="AK164" s="84" t="str">
        <f t="shared" si="29"/>
        <v/>
      </c>
      <c r="AL164" s="84" t="str">
        <f t="shared" si="29"/>
        <v/>
      </c>
      <c r="AM164" s="84" t="str">
        <f t="shared" si="28"/>
        <v/>
      </c>
      <c r="AN164" s="84" t="str">
        <f t="shared" si="28"/>
        <v/>
      </c>
      <c r="AO164" s="84" t="str">
        <f t="shared" si="28"/>
        <v/>
      </c>
      <c r="AP164" s="84" t="str">
        <f t="shared" si="28"/>
        <v/>
      </c>
      <c r="AQ164" s="84" t="str">
        <f t="shared" si="28"/>
        <v/>
      </c>
      <c r="AR164" s="84">
        <f t="shared" si="28"/>
        <v>0.37199834267082199</v>
      </c>
      <c r="AT164" s="139">
        <f t="shared" si="31"/>
        <v>0.63536011219252775</v>
      </c>
      <c r="AU164" s="139">
        <f t="shared" si="31"/>
        <v>-0.39846535242326514</v>
      </c>
      <c r="AV164" s="139" t="str">
        <f t="shared" si="31"/>
        <v/>
      </c>
      <c r="AW164" s="139" t="str">
        <f t="shared" si="31"/>
        <v/>
      </c>
      <c r="AX164" s="139" t="str">
        <f t="shared" si="31"/>
        <v/>
      </c>
      <c r="AY164" s="139" t="str">
        <f t="shared" si="30"/>
        <v/>
      </c>
      <c r="AZ164" s="139" t="str">
        <f t="shared" si="30"/>
        <v/>
      </c>
      <c r="BA164" s="139" t="str">
        <f t="shared" si="30"/>
        <v/>
      </c>
      <c r="BB164" s="139" t="str">
        <f t="shared" si="30"/>
        <v/>
      </c>
      <c r="BC164" s="139" t="str">
        <f t="shared" si="30"/>
        <v/>
      </c>
      <c r="BD164" s="139" t="str">
        <f t="shared" si="30"/>
        <v/>
      </c>
      <c r="BF164" s="82">
        <f t="shared" si="26"/>
        <v>2.670442374750304E-5</v>
      </c>
      <c r="BG164" s="82">
        <f t="shared" si="27"/>
        <v>0.9979336207427657</v>
      </c>
    </row>
    <row r="165" spans="2:59" x14ac:dyDescent="0.3">
      <c r="B165" s="83" t="s">
        <v>247</v>
      </c>
      <c r="D165" s="137">
        <v>20485</v>
      </c>
      <c r="E165" s="137">
        <v>11632</v>
      </c>
      <c r="F165" s="137">
        <v>15011</v>
      </c>
      <c r="G165" s="137"/>
      <c r="H165" s="137"/>
      <c r="I165" s="137"/>
      <c r="J165" s="137"/>
      <c r="K165" s="137"/>
      <c r="L165" s="137"/>
      <c r="M165" s="137"/>
      <c r="N165" s="137"/>
      <c r="O165" s="137"/>
      <c r="P165" s="137">
        <f t="shared" si="24"/>
        <v>47128</v>
      </c>
      <c r="R165" s="137">
        <v>3667</v>
      </c>
      <c r="S165" s="137">
        <v>2227</v>
      </c>
      <c r="T165" s="137">
        <v>2320</v>
      </c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>
        <f t="shared" si="25"/>
        <v>8214</v>
      </c>
      <c r="AF165" s="84">
        <f t="shared" si="29"/>
        <v>0.17900903099829144</v>
      </c>
      <c r="AG165" s="84">
        <f t="shared" si="29"/>
        <v>0.19145460797799174</v>
      </c>
      <c r="AH165" s="84">
        <f t="shared" si="29"/>
        <v>0.15455332755978948</v>
      </c>
      <c r="AI165" s="84" t="str">
        <f t="shared" si="29"/>
        <v/>
      </c>
      <c r="AJ165" s="84" t="str">
        <f t="shared" si="29"/>
        <v/>
      </c>
      <c r="AK165" s="84" t="str">
        <f t="shared" si="29"/>
        <v/>
      </c>
      <c r="AL165" s="84" t="str">
        <f t="shared" si="29"/>
        <v/>
      </c>
      <c r="AM165" s="84" t="str">
        <f t="shared" si="28"/>
        <v/>
      </c>
      <c r="AN165" s="84" t="str">
        <f t="shared" si="28"/>
        <v/>
      </c>
      <c r="AO165" s="84" t="str">
        <f t="shared" si="28"/>
        <v/>
      </c>
      <c r="AP165" s="84" t="str">
        <f t="shared" si="28"/>
        <v/>
      </c>
      <c r="AQ165" s="84" t="str">
        <f t="shared" si="28"/>
        <v/>
      </c>
      <c r="AR165" s="84">
        <f t="shared" si="28"/>
        <v>0.17429129180105246</v>
      </c>
      <c r="AT165" s="139">
        <f t="shared" si="31"/>
        <v>1.2445576979700307E-2</v>
      </c>
      <c r="AU165" s="139">
        <f t="shared" si="31"/>
        <v>-3.6901280418202259E-2</v>
      </c>
      <c r="AV165" s="139" t="str">
        <f t="shared" si="31"/>
        <v/>
      </c>
      <c r="AW165" s="139" t="str">
        <f t="shared" si="31"/>
        <v/>
      </c>
      <c r="AX165" s="139" t="str">
        <f t="shared" si="31"/>
        <v/>
      </c>
      <c r="AY165" s="139" t="str">
        <f t="shared" si="30"/>
        <v/>
      </c>
      <c r="AZ165" s="139" t="str">
        <f t="shared" si="30"/>
        <v/>
      </c>
      <c r="BA165" s="139" t="str">
        <f t="shared" si="30"/>
        <v/>
      </c>
      <c r="BB165" s="139" t="str">
        <f t="shared" si="30"/>
        <v/>
      </c>
      <c r="BC165" s="139" t="str">
        <f t="shared" si="30"/>
        <v/>
      </c>
      <c r="BD165" s="139" t="str">
        <f t="shared" si="30"/>
        <v/>
      </c>
      <c r="BF165" s="82">
        <f t="shared" si="26"/>
        <v>1.0622282647069731E-5</v>
      </c>
      <c r="BG165" s="82">
        <f t="shared" si="27"/>
        <v>0.99794424302541274</v>
      </c>
    </row>
    <row r="166" spans="2:59" x14ac:dyDescent="0.3">
      <c r="B166" s="83" t="s">
        <v>248</v>
      </c>
      <c r="D166" s="137">
        <v>604120</v>
      </c>
      <c r="E166" s="137">
        <v>928624</v>
      </c>
      <c r="F166" s="137">
        <v>569833</v>
      </c>
      <c r="G166" s="137"/>
      <c r="H166" s="137"/>
      <c r="I166" s="137"/>
      <c r="J166" s="137"/>
      <c r="K166" s="137"/>
      <c r="L166" s="137"/>
      <c r="M166" s="137"/>
      <c r="N166" s="137"/>
      <c r="O166" s="137"/>
      <c r="P166" s="137">
        <f t="shared" si="24"/>
        <v>2102577</v>
      </c>
      <c r="R166" s="137">
        <v>75391</v>
      </c>
      <c r="S166" s="137">
        <v>183240</v>
      </c>
      <c r="T166" s="137">
        <v>102374</v>
      </c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>
        <f t="shared" si="25"/>
        <v>361005</v>
      </c>
      <c r="AF166" s="84">
        <f t="shared" si="29"/>
        <v>0.12479474276633781</v>
      </c>
      <c r="AG166" s="84">
        <f t="shared" si="29"/>
        <v>0.19732421302917005</v>
      </c>
      <c r="AH166" s="84">
        <f t="shared" si="29"/>
        <v>0.17965614487051471</v>
      </c>
      <c r="AI166" s="84" t="str">
        <f t="shared" si="29"/>
        <v/>
      </c>
      <c r="AJ166" s="84" t="str">
        <f t="shared" si="29"/>
        <v/>
      </c>
      <c r="AK166" s="84" t="str">
        <f t="shared" si="29"/>
        <v/>
      </c>
      <c r="AL166" s="84" t="str">
        <f t="shared" si="29"/>
        <v/>
      </c>
      <c r="AM166" s="84" t="str">
        <f t="shared" si="28"/>
        <v/>
      </c>
      <c r="AN166" s="84" t="str">
        <f t="shared" si="28"/>
        <v/>
      </c>
      <c r="AO166" s="84" t="str">
        <f t="shared" si="28"/>
        <v/>
      </c>
      <c r="AP166" s="84" t="str">
        <f t="shared" si="28"/>
        <v/>
      </c>
      <c r="AQ166" s="84" t="str">
        <f t="shared" si="28"/>
        <v/>
      </c>
      <c r="AR166" s="84">
        <f t="shared" si="28"/>
        <v>0.17169644678886908</v>
      </c>
      <c r="AT166" s="139">
        <f t="shared" si="31"/>
        <v>7.2529470262832241E-2</v>
      </c>
      <c r="AU166" s="139">
        <f t="shared" si="31"/>
        <v>-1.7668068158655348E-2</v>
      </c>
      <c r="AV166" s="139" t="str">
        <f t="shared" si="31"/>
        <v/>
      </c>
      <c r="AW166" s="139" t="str">
        <f t="shared" si="31"/>
        <v/>
      </c>
      <c r="AX166" s="139" t="str">
        <f t="shared" si="31"/>
        <v/>
      </c>
      <c r="AY166" s="139" t="str">
        <f t="shared" si="30"/>
        <v/>
      </c>
      <c r="AZ166" s="139" t="str">
        <f t="shared" si="30"/>
        <v/>
      </c>
      <c r="BA166" s="139" t="str">
        <f t="shared" si="30"/>
        <v/>
      </c>
      <c r="BB166" s="139" t="str">
        <f t="shared" si="30"/>
        <v/>
      </c>
      <c r="BC166" s="139" t="str">
        <f t="shared" si="30"/>
        <v/>
      </c>
      <c r="BD166" s="139" t="str">
        <f t="shared" si="30"/>
        <v/>
      </c>
      <c r="BF166" s="82">
        <f t="shared" si="26"/>
        <v>4.6684893438098471E-4</v>
      </c>
      <c r="BG166" s="82">
        <f t="shared" si="27"/>
        <v>0.99841109195979372</v>
      </c>
    </row>
    <row r="167" spans="2:59" x14ac:dyDescent="0.3">
      <c r="B167" s="83" t="s">
        <v>249</v>
      </c>
      <c r="D167" s="137">
        <v>66569</v>
      </c>
      <c r="E167" s="137">
        <v>52818</v>
      </c>
      <c r="F167" s="137">
        <v>66799</v>
      </c>
      <c r="G167" s="137"/>
      <c r="H167" s="137"/>
      <c r="I167" s="137"/>
      <c r="J167" s="137"/>
      <c r="K167" s="137"/>
      <c r="L167" s="137"/>
      <c r="M167" s="137"/>
      <c r="N167" s="137"/>
      <c r="O167" s="137"/>
      <c r="P167" s="137">
        <f t="shared" si="24"/>
        <v>186186</v>
      </c>
      <c r="R167" s="137">
        <v>7360</v>
      </c>
      <c r="S167" s="137">
        <v>17443</v>
      </c>
      <c r="T167" s="137">
        <v>6761</v>
      </c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>
        <f t="shared" si="25"/>
        <v>31564</v>
      </c>
      <c r="AF167" s="84">
        <f t="shared" si="29"/>
        <v>0.11056197329087113</v>
      </c>
      <c r="AG167" s="84">
        <f t="shared" si="29"/>
        <v>0.3302472641902382</v>
      </c>
      <c r="AH167" s="84">
        <f t="shared" si="29"/>
        <v>0.1012140900312879</v>
      </c>
      <c r="AI167" s="84" t="str">
        <f t="shared" si="29"/>
        <v/>
      </c>
      <c r="AJ167" s="84" t="str">
        <f t="shared" si="29"/>
        <v/>
      </c>
      <c r="AK167" s="84" t="str">
        <f t="shared" si="29"/>
        <v/>
      </c>
      <c r="AL167" s="84" t="str">
        <f t="shared" si="29"/>
        <v/>
      </c>
      <c r="AM167" s="84" t="str">
        <f t="shared" si="28"/>
        <v/>
      </c>
      <c r="AN167" s="84" t="str">
        <f t="shared" si="28"/>
        <v/>
      </c>
      <c r="AO167" s="84" t="str">
        <f t="shared" si="28"/>
        <v/>
      </c>
      <c r="AP167" s="84" t="str">
        <f t="shared" si="28"/>
        <v/>
      </c>
      <c r="AQ167" s="84" t="str">
        <f t="shared" si="28"/>
        <v/>
      </c>
      <c r="AR167" s="84">
        <f t="shared" si="28"/>
        <v>0.16952939533584696</v>
      </c>
      <c r="AT167" s="139">
        <f t="shared" si="31"/>
        <v>0.21968529089936706</v>
      </c>
      <c r="AU167" s="139">
        <f t="shared" si="31"/>
        <v>-0.2290331741589503</v>
      </c>
      <c r="AV167" s="139" t="str">
        <f t="shared" si="31"/>
        <v/>
      </c>
      <c r="AW167" s="139" t="str">
        <f t="shared" si="31"/>
        <v/>
      </c>
      <c r="AX167" s="139" t="str">
        <f t="shared" si="31"/>
        <v/>
      </c>
      <c r="AY167" s="139" t="str">
        <f t="shared" si="30"/>
        <v/>
      </c>
      <c r="AZ167" s="139" t="str">
        <f t="shared" si="30"/>
        <v/>
      </c>
      <c r="BA167" s="139" t="str">
        <f t="shared" si="30"/>
        <v/>
      </c>
      <c r="BB167" s="139" t="str">
        <f t="shared" si="30"/>
        <v/>
      </c>
      <c r="BC167" s="139" t="str">
        <f t="shared" si="30"/>
        <v/>
      </c>
      <c r="BD167" s="139" t="str">
        <f t="shared" si="30"/>
        <v/>
      </c>
      <c r="BF167" s="82">
        <f t="shared" si="26"/>
        <v>4.081832596446421E-5</v>
      </c>
      <c r="BG167" s="82">
        <f t="shared" si="27"/>
        <v>0.99845191028575819</v>
      </c>
    </row>
    <row r="168" spans="2:59" x14ac:dyDescent="0.3">
      <c r="B168" s="83" t="s">
        <v>250</v>
      </c>
      <c r="D168" s="137">
        <v>16079</v>
      </c>
      <c r="E168" s="137">
        <v>12304</v>
      </c>
      <c r="F168" s="137">
        <v>4501</v>
      </c>
      <c r="G168" s="137"/>
      <c r="H168" s="137"/>
      <c r="I168" s="137"/>
      <c r="J168" s="137"/>
      <c r="K168" s="137"/>
      <c r="L168" s="137"/>
      <c r="M168" s="137"/>
      <c r="N168" s="137"/>
      <c r="O168" s="137"/>
      <c r="P168" s="137">
        <f t="shared" si="24"/>
        <v>32884</v>
      </c>
      <c r="R168" s="137">
        <v>10210</v>
      </c>
      <c r="S168" s="137">
        <v>8407</v>
      </c>
      <c r="T168" s="137">
        <v>4297</v>
      </c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>
        <f t="shared" si="25"/>
        <v>22914</v>
      </c>
      <c r="AF168" s="84">
        <f t="shared" si="29"/>
        <v>0.63498973816779647</v>
      </c>
      <c r="AG168" s="84">
        <f t="shared" si="29"/>
        <v>0.68327373211963593</v>
      </c>
      <c r="AH168" s="84">
        <f t="shared" si="29"/>
        <v>0.95467673850255497</v>
      </c>
      <c r="AI168" s="84" t="str">
        <f t="shared" si="29"/>
        <v/>
      </c>
      <c r="AJ168" s="84" t="str">
        <f t="shared" si="29"/>
        <v/>
      </c>
      <c r="AK168" s="84" t="str">
        <f t="shared" si="29"/>
        <v/>
      </c>
      <c r="AL168" s="84" t="str">
        <f t="shared" si="29"/>
        <v/>
      </c>
      <c r="AM168" s="84" t="str">
        <f t="shared" si="28"/>
        <v/>
      </c>
      <c r="AN168" s="84" t="str">
        <f t="shared" si="28"/>
        <v/>
      </c>
      <c r="AO168" s="84" t="str">
        <f t="shared" si="28"/>
        <v/>
      </c>
      <c r="AP168" s="84" t="str">
        <f t="shared" si="28"/>
        <v/>
      </c>
      <c r="AQ168" s="84" t="str">
        <f t="shared" si="28"/>
        <v/>
      </c>
      <c r="AR168" s="84">
        <f t="shared" si="28"/>
        <v>0.69681303977618292</v>
      </c>
      <c r="AT168" s="139">
        <f t="shared" si="31"/>
        <v>4.8283993951839466E-2</v>
      </c>
      <c r="AU168" s="139">
        <f t="shared" si="31"/>
        <v>0.27140300638291903</v>
      </c>
      <c r="AV168" s="139" t="str">
        <f t="shared" si="31"/>
        <v/>
      </c>
      <c r="AW168" s="139" t="str">
        <f t="shared" si="31"/>
        <v/>
      </c>
      <c r="AX168" s="139" t="str">
        <f t="shared" si="31"/>
        <v/>
      </c>
      <c r="AY168" s="139" t="str">
        <f t="shared" si="30"/>
        <v/>
      </c>
      <c r="AZ168" s="139" t="str">
        <f t="shared" si="30"/>
        <v/>
      </c>
      <c r="BA168" s="139" t="str">
        <f t="shared" si="30"/>
        <v/>
      </c>
      <c r="BB168" s="139" t="str">
        <f t="shared" si="30"/>
        <v/>
      </c>
      <c r="BC168" s="139" t="str">
        <f t="shared" si="30"/>
        <v/>
      </c>
      <c r="BD168" s="139" t="str">
        <f t="shared" si="30"/>
        <v/>
      </c>
      <c r="BF168" s="82">
        <f t="shared" si="26"/>
        <v>2.9632211416478674E-5</v>
      </c>
      <c r="BG168" s="82">
        <f t="shared" si="27"/>
        <v>0.99848154249717469</v>
      </c>
    </row>
    <row r="169" spans="2:59" x14ac:dyDescent="0.3">
      <c r="B169" s="83" t="s">
        <v>251</v>
      </c>
      <c r="D169" s="137">
        <v>2751</v>
      </c>
      <c r="E169" s="137"/>
      <c r="F169" s="137">
        <v>5961</v>
      </c>
      <c r="G169" s="137"/>
      <c r="H169" s="137"/>
      <c r="I169" s="137"/>
      <c r="J169" s="137"/>
      <c r="K169" s="137"/>
      <c r="L169" s="137"/>
      <c r="M169" s="137"/>
      <c r="N169" s="137"/>
      <c r="O169" s="137"/>
      <c r="P169" s="137">
        <f t="shared" si="24"/>
        <v>8712</v>
      </c>
      <c r="R169" s="137">
        <v>1365</v>
      </c>
      <c r="S169" s="137"/>
      <c r="T169" s="137">
        <v>527</v>
      </c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>
        <f t="shared" si="25"/>
        <v>1892</v>
      </c>
      <c r="AF169" s="84">
        <f t="shared" si="29"/>
        <v>0.49618320610687022</v>
      </c>
      <c r="AG169" s="84" t="str">
        <f t="shared" si="29"/>
        <v/>
      </c>
      <c r="AH169" s="84">
        <f t="shared" si="29"/>
        <v>8.840798523737628E-2</v>
      </c>
      <c r="AI169" s="84" t="str">
        <f t="shared" si="29"/>
        <v/>
      </c>
      <c r="AJ169" s="84" t="str">
        <f t="shared" si="29"/>
        <v/>
      </c>
      <c r="AK169" s="84" t="str">
        <f t="shared" si="29"/>
        <v/>
      </c>
      <c r="AL169" s="84" t="str">
        <f t="shared" si="29"/>
        <v/>
      </c>
      <c r="AM169" s="84" t="str">
        <f t="shared" si="28"/>
        <v/>
      </c>
      <c r="AN169" s="84" t="str">
        <f t="shared" si="28"/>
        <v/>
      </c>
      <c r="AO169" s="84" t="str">
        <f t="shared" si="28"/>
        <v/>
      </c>
      <c r="AP169" s="84" t="str">
        <f t="shared" si="28"/>
        <v/>
      </c>
      <c r="AQ169" s="84" t="str">
        <f t="shared" si="28"/>
        <v/>
      </c>
      <c r="AR169" s="84">
        <f t="shared" si="28"/>
        <v>0.21717171717171718</v>
      </c>
      <c r="AT169" s="139" t="str">
        <f t="shared" si="31"/>
        <v/>
      </c>
      <c r="AU169" s="139" t="str">
        <f t="shared" si="31"/>
        <v/>
      </c>
      <c r="AV169" s="139" t="str">
        <f t="shared" si="31"/>
        <v/>
      </c>
      <c r="AW169" s="139" t="str">
        <f t="shared" si="31"/>
        <v/>
      </c>
      <c r="AX169" s="139" t="str">
        <f t="shared" si="31"/>
        <v/>
      </c>
      <c r="AY169" s="139" t="str">
        <f t="shared" si="30"/>
        <v/>
      </c>
      <c r="AZ169" s="139" t="str">
        <f t="shared" si="30"/>
        <v/>
      </c>
      <c r="BA169" s="139" t="str">
        <f t="shared" si="30"/>
        <v/>
      </c>
      <c r="BB169" s="139" t="str">
        <f t="shared" si="30"/>
        <v/>
      </c>
      <c r="BC169" s="139" t="str">
        <f t="shared" si="30"/>
        <v/>
      </c>
      <c r="BD169" s="139" t="str">
        <f t="shared" si="30"/>
        <v/>
      </c>
      <c r="BF169" s="82">
        <f t="shared" si="26"/>
        <v>2.4467200837905934E-6</v>
      </c>
      <c r="BG169" s="82">
        <f t="shared" si="27"/>
        <v>0.99848398921725845</v>
      </c>
    </row>
    <row r="170" spans="2:59" x14ac:dyDescent="0.3">
      <c r="B170" s="83" t="s">
        <v>252</v>
      </c>
      <c r="D170" s="137">
        <v>26949</v>
      </c>
      <c r="E170" s="137">
        <v>17669</v>
      </c>
      <c r="F170" s="137">
        <v>401862</v>
      </c>
      <c r="G170" s="137"/>
      <c r="H170" s="137"/>
      <c r="I170" s="137"/>
      <c r="J170" s="137"/>
      <c r="K170" s="137"/>
      <c r="L170" s="137"/>
      <c r="M170" s="137"/>
      <c r="N170" s="137"/>
      <c r="O170" s="137"/>
      <c r="P170" s="137">
        <f t="shared" si="24"/>
        <v>446480</v>
      </c>
      <c r="R170" s="137">
        <v>9223</v>
      </c>
      <c r="S170" s="137">
        <v>3267</v>
      </c>
      <c r="T170" s="137">
        <v>71157</v>
      </c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>
        <f t="shared" si="25"/>
        <v>83647</v>
      </c>
      <c r="AF170" s="84">
        <f t="shared" si="29"/>
        <v>0.34223904412037554</v>
      </c>
      <c r="AG170" s="84">
        <f t="shared" si="29"/>
        <v>0.18490010753296734</v>
      </c>
      <c r="AH170" s="84">
        <f t="shared" si="29"/>
        <v>0.17706824730877763</v>
      </c>
      <c r="AI170" s="84" t="str">
        <f t="shared" si="29"/>
        <v/>
      </c>
      <c r="AJ170" s="84" t="str">
        <f t="shared" si="29"/>
        <v/>
      </c>
      <c r="AK170" s="84" t="str">
        <f t="shared" si="29"/>
        <v/>
      </c>
      <c r="AL170" s="84" t="str">
        <f t="shared" si="29"/>
        <v/>
      </c>
      <c r="AM170" s="84" t="str">
        <f t="shared" si="28"/>
        <v/>
      </c>
      <c r="AN170" s="84" t="str">
        <f t="shared" si="28"/>
        <v/>
      </c>
      <c r="AO170" s="84" t="str">
        <f t="shared" si="28"/>
        <v/>
      </c>
      <c r="AP170" s="84" t="str">
        <f t="shared" si="28"/>
        <v/>
      </c>
      <c r="AQ170" s="84" t="str">
        <f t="shared" si="28"/>
        <v/>
      </c>
      <c r="AR170" s="84">
        <f t="shared" si="28"/>
        <v>0.18734769754524278</v>
      </c>
      <c r="AT170" s="139">
        <f t="shared" si="31"/>
        <v>-0.15733893658740819</v>
      </c>
      <c r="AU170" s="139">
        <f t="shared" si="31"/>
        <v>-7.8318602241897184E-3</v>
      </c>
      <c r="AV170" s="139" t="str">
        <f t="shared" si="31"/>
        <v/>
      </c>
      <c r="AW170" s="139" t="str">
        <f t="shared" si="31"/>
        <v/>
      </c>
      <c r="AX170" s="139" t="str">
        <f t="shared" si="31"/>
        <v/>
      </c>
      <c r="AY170" s="139" t="str">
        <f t="shared" si="30"/>
        <v/>
      </c>
      <c r="AZ170" s="139" t="str">
        <f t="shared" si="30"/>
        <v/>
      </c>
      <c r="BA170" s="139" t="str">
        <f t="shared" si="30"/>
        <v/>
      </c>
      <c r="BB170" s="139" t="str">
        <f t="shared" si="30"/>
        <v/>
      </c>
      <c r="BC170" s="139" t="str">
        <f t="shared" si="30"/>
        <v/>
      </c>
      <c r="BD170" s="139" t="str">
        <f t="shared" si="30"/>
        <v/>
      </c>
      <c r="BF170" s="82">
        <f t="shared" si="26"/>
        <v>1.0817166746767006E-4</v>
      </c>
      <c r="BG170" s="82">
        <f t="shared" si="27"/>
        <v>0.99859216088472613</v>
      </c>
    </row>
    <row r="171" spans="2:59" x14ac:dyDescent="0.3">
      <c r="B171" s="83" t="s">
        <v>253</v>
      </c>
      <c r="D171" s="137">
        <v>122</v>
      </c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>
        <f t="shared" si="24"/>
        <v>122</v>
      </c>
      <c r="R171" s="137">
        <v>122</v>
      </c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>
        <f t="shared" si="25"/>
        <v>122</v>
      </c>
      <c r="AF171" s="84">
        <f t="shared" si="29"/>
        <v>1</v>
      </c>
      <c r="AG171" s="84" t="str">
        <f t="shared" si="29"/>
        <v/>
      </c>
      <c r="AH171" s="84" t="str">
        <f t="shared" si="29"/>
        <v/>
      </c>
      <c r="AI171" s="84" t="str">
        <f t="shared" si="29"/>
        <v/>
      </c>
      <c r="AJ171" s="84" t="str">
        <f t="shared" si="29"/>
        <v/>
      </c>
      <c r="AK171" s="84" t="str">
        <f t="shared" si="29"/>
        <v/>
      </c>
      <c r="AL171" s="84" t="str">
        <f t="shared" si="29"/>
        <v/>
      </c>
      <c r="AM171" s="84" t="str">
        <f t="shared" si="28"/>
        <v/>
      </c>
      <c r="AN171" s="84" t="str">
        <f t="shared" si="28"/>
        <v/>
      </c>
      <c r="AO171" s="84" t="str">
        <f t="shared" si="28"/>
        <v/>
      </c>
      <c r="AP171" s="84" t="str">
        <f t="shared" si="28"/>
        <v/>
      </c>
      <c r="AQ171" s="84" t="str">
        <f t="shared" si="28"/>
        <v/>
      </c>
      <c r="AR171" s="84">
        <f t="shared" si="28"/>
        <v>1</v>
      </c>
      <c r="AT171" s="139" t="str">
        <f t="shared" si="31"/>
        <v/>
      </c>
      <c r="AU171" s="139" t="str">
        <f t="shared" si="31"/>
        <v/>
      </c>
      <c r="AV171" s="139" t="str">
        <f t="shared" si="31"/>
        <v/>
      </c>
      <c r="AW171" s="139" t="str">
        <f t="shared" si="31"/>
        <v/>
      </c>
      <c r="AX171" s="139" t="str">
        <f t="shared" si="31"/>
        <v/>
      </c>
      <c r="AY171" s="139" t="str">
        <f t="shared" si="30"/>
        <v/>
      </c>
      <c r="AZ171" s="139" t="str">
        <f t="shared" si="30"/>
        <v/>
      </c>
      <c r="BA171" s="139" t="str">
        <f t="shared" si="30"/>
        <v/>
      </c>
      <c r="BB171" s="139" t="str">
        <f t="shared" si="30"/>
        <v/>
      </c>
      <c r="BC171" s="139" t="str">
        <f t="shared" si="30"/>
        <v/>
      </c>
      <c r="BD171" s="139" t="str">
        <f t="shared" si="30"/>
        <v/>
      </c>
      <c r="BF171" s="82">
        <f t="shared" si="26"/>
        <v>1.5776947686176131E-7</v>
      </c>
      <c r="BG171" s="82">
        <f t="shared" si="27"/>
        <v>0.99859231865420295</v>
      </c>
    </row>
    <row r="172" spans="2:59" x14ac:dyDescent="0.3">
      <c r="B172" s="83" t="s">
        <v>254</v>
      </c>
      <c r="D172" s="137">
        <v>2615</v>
      </c>
      <c r="E172" s="137">
        <v>8190</v>
      </c>
      <c r="F172" s="137">
        <v>3516</v>
      </c>
      <c r="G172" s="137"/>
      <c r="H172" s="137"/>
      <c r="I172" s="137"/>
      <c r="J172" s="137"/>
      <c r="K172" s="137"/>
      <c r="L172" s="137"/>
      <c r="M172" s="137"/>
      <c r="N172" s="137"/>
      <c r="O172" s="137"/>
      <c r="P172" s="137">
        <f t="shared" si="24"/>
        <v>14321</v>
      </c>
      <c r="R172" s="137">
        <v>555</v>
      </c>
      <c r="S172" s="137">
        <v>600</v>
      </c>
      <c r="T172" s="137">
        <v>930</v>
      </c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>
        <f t="shared" si="25"/>
        <v>2085</v>
      </c>
      <c r="AF172" s="84">
        <f t="shared" si="29"/>
        <v>0.21223709369024857</v>
      </c>
      <c r="AG172" s="84">
        <f t="shared" si="29"/>
        <v>7.3260073260073263E-2</v>
      </c>
      <c r="AH172" s="84">
        <f t="shared" si="29"/>
        <v>0.26450511945392491</v>
      </c>
      <c r="AI172" s="84" t="str">
        <f t="shared" si="29"/>
        <v/>
      </c>
      <c r="AJ172" s="84" t="str">
        <f t="shared" si="29"/>
        <v/>
      </c>
      <c r="AK172" s="84" t="str">
        <f t="shared" si="29"/>
        <v/>
      </c>
      <c r="AL172" s="84" t="str">
        <f t="shared" si="29"/>
        <v/>
      </c>
      <c r="AM172" s="84" t="str">
        <f t="shared" si="29"/>
        <v/>
      </c>
      <c r="AN172" s="84" t="str">
        <f t="shared" si="29"/>
        <v/>
      </c>
      <c r="AO172" s="84" t="str">
        <f t="shared" si="29"/>
        <v/>
      </c>
      <c r="AP172" s="84" t="str">
        <f t="shared" si="29"/>
        <v/>
      </c>
      <c r="AQ172" s="84" t="str">
        <f t="shared" si="29"/>
        <v/>
      </c>
      <c r="AR172" s="84">
        <f t="shared" si="29"/>
        <v>0.14559039173242092</v>
      </c>
      <c r="AT172" s="139">
        <f t="shared" si="31"/>
        <v>-0.13897702043017529</v>
      </c>
      <c r="AU172" s="139">
        <f t="shared" si="31"/>
        <v>0.19124504619385163</v>
      </c>
      <c r="AV172" s="139" t="str">
        <f t="shared" si="31"/>
        <v/>
      </c>
      <c r="AW172" s="139" t="str">
        <f t="shared" si="31"/>
        <v/>
      </c>
      <c r="AX172" s="139" t="str">
        <f t="shared" si="31"/>
        <v/>
      </c>
      <c r="AY172" s="139" t="str">
        <f t="shared" si="30"/>
        <v/>
      </c>
      <c r="AZ172" s="139" t="str">
        <f t="shared" si="30"/>
        <v/>
      </c>
      <c r="BA172" s="139" t="str">
        <f t="shared" si="30"/>
        <v/>
      </c>
      <c r="BB172" s="139" t="str">
        <f t="shared" si="30"/>
        <v/>
      </c>
      <c r="BC172" s="139" t="str">
        <f t="shared" si="30"/>
        <v/>
      </c>
      <c r="BD172" s="139" t="str">
        <f t="shared" si="30"/>
        <v/>
      </c>
      <c r="BF172" s="82">
        <f t="shared" si="26"/>
        <v>2.6963062234161665E-6</v>
      </c>
      <c r="BG172" s="82">
        <f t="shared" si="27"/>
        <v>0.99859501496042635</v>
      </c>
    </row>
    <row r="173" spans="2:59" x14ac:dyDescent="0.3">
      <c r="B173" s="83" t="s">
        <v>255</v>
      </c>
      <c r="D173" s="137">
        <v>1582</v>
      </c>
      <c r="E173" s="137"/>
      <c r="F173" s="137">
        <v>6294</v>
      </c>
      <c r="G173" s="137"/>
      <c r="H173" s="137"/>
      <c r="I173" s="137"/>
      <c r="J173" s="137"/>
      <c r="K173" s="137"/>
      <c r="L173" s="137"/>
      <c r="M173" s="137"/>
      <c r="N173" s="137"/>
      <c r="O173" s="137"/>
      <c r="P173" s="137">
        <f t="shared" si="24"/>
        <v>7876</v>
      </c>
      <c r="R173" s="137">
        <v>316</v>
      </c>
      <c r="S173" s="137"/>
      <c r="T173" s="137">
        <v>1423</v>
      </c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>
        <f t="shared" si="25"/>
        <v>1739</v>
      </c>
      <c r="AF173" s="84">
        <f t="shared" ref="AF173:AR192" si="32">+IFERROR(R173/D173,"")</f>
        <v>0.19974715549936789</v>
      </c>
      <c r="AG173" s="84" t="str">
        <f t="shared" si="32"/>
        <v/>
      </c>
      <c r="AH173" s="84">
        <f t="shared" si="32"/>
        <v>0.22608833809977757</v>
      </c>
      <c r="AI173" s="84" t="str">
        <f t="shared" si="32"/>
        <v/>
      </c>
      <c r="AJ173" s="84" t="str">
        <f t="shared" si="32"/>
        <v/>
      </c>
      <c r="AK173" s="84" t="str">
        <f t="shared" si="32"/>
        <v/>
      </c>
      <c r="AL173" s="84" t="str">
        <f t="shared" si="32"/>
        <v/>
      </c>
      <c r="AM173" s="84" t="str">
        <f t="shared" si="32"/>
        <v/>
      </c>
      <c r="AN173" s="84" t="str">
        <f t="shared" si="32"/>
        <v/>
      </c>
      <c r="AO173" s="84" t="str">
        <f t="shared" si="32"/>
        <v/>
      </c>
      <c r="AP173" s="84" t="str">
        <f t="shared" si="32"/>
        <v/>
      </c>
      <c r="AQ173" s="84" t="str">
        <f t="shared" si="32"/>
        <v/>
      </c>
      <c r="AR173" s="84">
        <f t="shared" si="32"/>
        <v>0.22079735906551548</v>
      </c>
      <c r="AT173" s="139" t="str">
        <f t="shared" si="31"/>
        <v/>
      </c>
      <c r="AU173" s="139" t="str">
        <f t="shared" si="31"/>
        <v/>
      </c>
      <c r="AV173" s="139" t="str">
        <f t="shared" si="31"/>
        <v/>
      </c>
      <c r="AW173" s="139" t="str">
        <f t="shared" si="31"/>
        <v/>
      </c>
      <c r="AX173" s="139" t="str">
        <f t="shared" si="31"/>
        <v/>
      </c>
      <c r="AY173" s="139" t="str">
        <f t="shared" si="30"/>
        <v/>
      </c>
      <c r="AZ173" s="139" t="str">
        <f t="shared" si="30"/>
        <v/>
      </c>
      <c r="BA173" s="139" t="str">
        <f t="shared" si="30"/>
        <v/>
      </c>
      <c r="BB173" s="139" t="str">
        <f t="shared" si="30"/>
        <v/>
      </c>
      <c r="BC173" s="139" t="str">
        <f t="shared" si="30"/>
        <v/>
      </c>
      <c r="BD173" s="139" t="str">
        <f t="shared" si="30"/>
        <v/>
      </c>
      <c r="BF173" s="82">
        <f t="shared" si="26"/>
        <v>2.2488616414967449E-6</v>
      </c>
      <c r="BG173" s="82">
        <f t="shared" si="27"/>
        <v>0.99859726382206782</v>
      </c>
    </row>
    <row r="174" spans="2:59" x14ac:dyDescent="0.3">
      <c r="B174" s="83" t="s">
        <v>256</v>
      </c>
      <c r="D174" s="137">
        <v>35301</v>
      </c>
      <c r="E174" s="137">
        <v>45147</v>
      </c>
      <c r="F174" s="137">
        <v>47347</v>
      </c>
      <c r="G174" s="137"/>
      <c r="H174" s="137"/>
      <c r="I174" s="137"/>
      <c r="J174" s="137"/>
      <c r="K174" s="137"/>
      <c r="L174" s="137"/>
      <c r="M174" s="137"/>
      <c r="N174" s="137"/>
      <c r="O174" s="137"/>
      <c r="P174" s="137">
        <f t="shared" si="24"/>
        <v>127795</v>
      </c>
      <c r="R174" s="137">
        <v>8892</v>
      </c>
      <c r="S174" s="137">
        <v>10856</v>
      </c>
      <c r="T174" s="137">
        <v>8997</v>
      </c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>
        <f t="shared" si="25"/>
        <v>28745</v>
      </c>
      <c r="AF174" s="84">
        <f t="shared" si="32"/>
        <v>0.25189088127815074</v>
      </c>
      <c r="AG174" s="84">
        <f t="shared" si="32"/>
        <v>0.2404589452233814</v>
      </c>
      <c r="AH174" s="84">
        <f t="shared" si="32"/>
        <v>0.19002259910870806</v>
      </c>
      <c r="AI174" s="84" t="str">
        <f t="shared" si="32"/>
        <v/>
      </c>
      <c r="AJ174" s="84" t="str">
        <f t="shared" si="32"/>
        <v/>
      </c>
      <c r="AK174" s="84" t="str">
        <f t="shared" si="32"/>
        <v/>
      </c>
      <c r="AL174" s="84" t="str">
        <f t="shared" si="32"/>
        <v/>
      </c>
      <c r="AM174" s="84" t="str">
        <f t="shared" si="32"/>
        <v/>
      </c>
      <c r="AN174" s="84" t="str">
        <f t="shared" si="32"/>
        <v/>
      </c>
      <c r="AO174" s="84" t="str">
        <f t="shared" si="32"/>
        <v/>
      </c>
      <c r="AP174" s="84" t="str">
        <f t="shared" si="32"/>
        <v/>
      </c>
      <c r="AQ174" s="84" t="str">
        <f t="shared" si="32"/>
        <v/>
      </c>
      <c r="AR174" s="84">
        <f t="shared" si="32"/>
        <v>0.22493055283853045</v>
      </c>
      <c r="AT174" s="139">
        <f t="shared" si="31"/>
        <v>-1.1431936054769332E-2</v>
      </c>
      <c r="AU174" s="139">
        <f t="shared" si="31"/>
        <v>-5.0436346114673347E-2</v>
      </c>
      <c r="AV174" s="139" t="str">
        <f t="shared" si="31"/>
        <v/>
      </c>
      <c r="AW174" s="139" t="str">
        <f t="shared" si="31"/>
        <v/>
      </c>
      <c r="AX174" s="139" t="str">
        <f t="shared" si="31"/>
        <v/>
      </c>
      <c r="AY174" s="139" t="str">
        <f t="shared" si="30"/>
        <v/>
      </c>
      <c r="AZ174" s="139" t="str">
        <f t="shared" si="30"/>
        <v/>
      </c>
      <c r="BA174" s="139" t="str">
        <f t="shared" si="30"/>
        <v/>
      </c>
      <c r="BB174" s="139" t="str">
        <f t="shared" si="30"/>
        <v/>
      </c>
      <c r="BC174" s="139" t="str">
        <f t="shared" si="30"/>
        <v/>
      </c>
      <c r="BD174" s="139" t="str">
        <f t="shared" si="30"/>
        <v/>
      </c>
      <c r="BF174" s="82">
        <f t="shared" si="26"/>
        <v>3.7172816495010887E-5</v>
      </c>
      <c r="BG174" s="82">
        <f t="shared" si="27"/>
        <v>0.99863443663856277</v>
      </c>
    </row>
    <row r="175" spans="2:59" x14ac:dyDescent="0.3">
      <c r="B175" s="83" t="s">
        <v>257</v>
      </c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>
        <f t="shared" si="24"/>
        <v>0</v>
      </c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>
        <f t="shared" si="25"/>
        <v>0</v>
      </c>
      <c r="AF175" s="84" t="str">
        <f t="shared" si="32"/>
        <v/>
      </c>
      <c r="AG175" s="84" t="str">
        <f t="shared" si="32"/>
        <v/>
      </c>
      <c r="AH175" s="84" t="str">
        <f t="shared" si="32"/>
        <v/>
      </c>
      <c r="AI175" s="84" t="str">
        <f t="shared" si="32"/>
        <v/>
      </c>
      <c r="AJ175" s="84" t="str">
        <f t="shared" si="32"/>
        <v/>
      </c>
      <c r="AK175" s="84" t="str">
        <f t="shared" si="32"/>
        <v/>
      </c>
      <c r="AL175" s="84" t="str">
        <f t="shared" si="32"/>
        <v/>
      </c>
      <c r="AM175" s="84" t="str">
        <f t="shared" si="32"/>
        <v/>
      </c>
      <c r="AN175" s="84" t="str">
        <f t="shared" si="32"/>
        <v/>
      </c>
      <c r="AO175" s="84" t="str">
        <f t="shared" si="32"/>
        <v/>
      </c>
      <c r="AP175" s="84" t="str">
        <f t="shared" si="32"/>
        <v/>
      </c>
      <c r="AQ175" s="84" t="str">
        <f t="shared" si="32"/>
        <v/>
      </c>
      <c r="AR175" s="84" t="str">
        <f t="shared" si="32"/>
        <v/>
      </c>
      <c r="AT175" s="139" t="str">
        <f t="shared" si="31"/>
        <v/>
      </c>
      <c r="AU175" s="139" t="str">
        <f t="shared" si="31"/>
        <v/>
      </c>
      <c r="AV175" s="139" t="str">
        <f t="shared" si="31"/>
        <v/>
      </c>
      <c r="AW175" s="139" t="str">
        <f t="shared" si="31"/>
        <v/>
      </c>
      <c r="AX175" s="139" t="str">
        <f t="shared" si="31"/>
        <v/>
      </c>
      <c r="AY175" s="139" t="str">
        <f t="shared" si="30"/>
        <v/>
      </c>
      <c r="AZ175" s="139" t="str">
        <f t="shared" si="30"/>
        <v/>
      </c>
      <c r="BA175" s="139" t="str">
        <f t="shared" si="30"/>
        <v/>
      </c>
      <c r="BB175" s="139" t="str">
        <f t="shared" si="30"/>
        <v/>
      </c>
      <c r="BC175" s="139" t="str">
        <f t="shared" si="30"/>
        <v/>
      </c>
      <c r="BD175" s="139" t="str">
        <f t="shared" si="30"/>
        <v/>
      </c>
      <c r="BF175" s="82">
        <f t="shared" si="26"/>
        <v>0</v>
      </c>
      <c r="BG175" s="82">
        <f t="shared" si="27"/>
        <v>0.99863443663856277</v>
      </c>
    </row>
    <row r="176" spans="2:59" x14ac:dyDescent="0.3">
      <c r="B176" s="83" t="s">
        <v>258</v>
      </c>
      <c r="D176" s="137">
        <v>200962</v>
      </c>
      <c r="E176" s="137"/>
      <c r="F176" s="137">
        <v>22528</v>
      </c>
      <c r="G176" s="137"/>
      <c r="H176" s="137"/>
      <c r="I176" s="137"/>
      <c r="J176" s="137"/>
      <c r="K176" s="137"/>
      <c r="L176" s="137"/>
      <c r="M176" s="137"/>
      <c r="N176" s="137"/>
      <c r="O176" s="137"/>
      <c r="P176" s="137">
        <f t="shared" si="24"/>
        <v>223490</v>
      </c>
      <c r="R176" s="137">
        <v>40319</v>
      </c>
      <c r="S176" s="137"/>
      <c r="T176" s="137">
        <v>9883</v>
      </c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>
        <f t="shared" si="25"/>
        <v>50202</v>
      </c>
      <c r="AF176" s="84">
        <f t="shared" si="32"/>
        <v>0.20062996984504533</v>
      </c>
      <c r="AG176" s="84" t="str">
        <f t="shared" si="32"/>
        <v/>
      </c>
      <c r="AH176" s="84">
        <f t="shared" si="32"/>
        <v>0.43869850852272729</v>
      </c>
      <c r="AI176" s="84" t="str">
        <f t="shared" si="32"/>
        <v/>
      </c>
      <c r="AJ176" s="84" t="str">
        <f t="shared" si="32"/>
        <v/>
      </c>
      <c r="AK176" s="84" t="str">
        <f t="shared" si="32"/>
        <v/>
      </c>
      <c r="AL176" s="84" t="str">
        <f t="shared" si="32"/>
        <v/>
      </c>
      <c r="AM176" s="84" t="str">
        <f t="shared" si="32"/>
        <v/>
      </c>
      <c r="AN176" s="84" t="str">
        <f t="shared" si="32"/>
        <v/>
      </c>
      <c r="AO176" s="84" t="str">
        <f t="shared" si="32"/>
        <v/>
      </c>
      <c r="AP176" s="84" t="str">
        <f t="shared" si="32"/>
        <v/>
      </c>
      <c r="AQ176" s="84" t="str">
        <f t="shared" si="32"/>
        <v/>
      </c>
      <c r="AR176" s="84">
        <f t="shared" si="32"/>
        <v>0.22462750011186183</v>
      </c>
      <c r="AT176" s="139" t="str">
        <f t="shared" si="31"/>
        <v/>
      </c>
      <c r="AU176" s="139" t="str">
        <f t="shared" si="31"/>
        <v/>
      </c>
      <c r="AV176" s="139" t="str">
        <f t="shared" si="31"/>
        <v/>
      </c>
      <c r="AW176" s="139" t="str">
        <f t="shared" si="31"/>
        <v/>
      </c>
      <c r="AX176" s="139" t="str">
        <f t="shared" si="31"/>
        <v/>
      </c>
      <c r="AY176" s="139" t="str">
        <f t="shared" si="31"/>
        <v/>
      </c>
      <c r="AZ176" s="139" t="str">
        <f t="shared" si="31"/>
        <v/>
      </c>
      <c r="BA176" s="139" t="str">
        <f t="shared" si="31"/>
        <v/>
      </c>
      <c r="BB176" s="139" t="str">
        <f t="shared" si="31"/>
        <v/>
      </c>
      <c r="BC176" s="139" t="str">
        <f t="shared" si="31"/>
        <v/>
      </c>
      <c r="BD176" s="139" t="str">
        <f t="shared" si="31"/>
        <v/>
      </c>
      <c r="BF176" s="82">
        <f t="shared" si="26"/>
        <v>6.4920846536181481E-5</v>
      </c>
      <c r="BG176" s="82">
        <f t="shared" si="27"/>
        <v>0.99869935748509897</v>
      </c>
    </row>
    <row r="177" spans="2:59" x14ac:dyDescent="0.3">
      <c r="B177" s="83" t="s">
        <v>259</v>
      </c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>
        <f t="shared" si="24"/>
        <v>0</v>
      </c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>
        <f t="shared" si="25"/>
        <v>0</v>
      </c>
      <c r="AF177" s="84" t="str">
        <f t="shared" si="32"/>
        <v/>
      </c>
      <c r="AG177" s="84" t="str">
        <f t="shared" si="32"/>
        <v/>
      </c>
      <c r="AH177" s="84" t="str">
        <f t="shared" si="32"/>
        <v/>
      </c>
      <c r="AI177" s="84" t="str">
        <f t="shared" si="32"/>
        <v/>
      </c>
      <c r="AJ177" s="84" t="str">
        <f t="shared" si="32"/>
        <v/>
      </c>
      <c r="AK177" s="84" t="str">
        <f t="shared" si="32"/>
        <v/>
      </c>
      <c r="AL177" s="84" t="str">
        <f t="shared" si="32"/>
        <v/>
      </c>
      <c r="AM177" s="84" t="str">
        <f t="shared" si="32"/>
        <v/>
      </c>
      <c r="AN177" s="84" t="str">
        <f t="shared" si="32"/>
        <v/>
      </c>
      <c r="AO177" s="84" t="str">
        <f t="shared" si="32"/>
        <v/>
      </c>
      <c r="AP177" s="84" t="str">
        <f t="shared" si="32"/>
        <v/>
      </c>
      <c r="AQ177" s="84" t="str">
        <f t="shared" si="32"/>
        <v/>
      </c>
      <c r="AR177" s="84" t="str">
        <f t="shared" si="32"/>
        <v/>
      </c>
      <c r="AT177" s="139" t="str">
        <f t="shared" si="31"/>
        <v/>
      </c>
      <c r="AU177" s="139" t="str">
        <f t="shared" si="31"/>
        <v/>
      </c>
      <c r="AV177" s="139" t="str">
        <f t="shared" si="31"/>
        <v/>
      </c>
      <c r="AW177" s="139" t="str">
        <f t="shared" si="31"/>
        <v/>
      </c>
      <c r="AX177" s="139" t="str">
        <f t="shared" si="31"/>
        <v/>
      </c>
      <c r="AY177" s="139" t="str">
        <f t="shared" si="31"/>
        <v/>
      </c>
      <c r="AZ177" s="139" t="str">
        <f t="shared" si="31"/>
        <v/>
      </c>
      <c r="BA177" s="139" t="str">
        <f t="shared" si="31"/>
        <v/>
      </c>
      <c r="BB177" s="139" t="str">
        <f t="shared" si="31"/>
        <v/>
      </c>
      <c r="BC177" s="139" t="str">
        <f t="shared" si="31"/>
        <v/>
      </c>
      <c r="BD177" s="139" t="str">
        <f t="shared" si="31"/>
        <v/>
      </c>
      <c r="BF177" s="82">
        <f t="shared" si="26"/>
        <v>0</v>
      </c>
      <c r="BG177" s="82">
        <f t="shared" si="27"/>
        <v>0.99869935748509897</v>
      </c>
    </row>
    <row r="178" spans="2:59" x14ac:dyDescent="0.3">
      <c r="B178" s="83" t="s">
        <v>260</v>
      </c>
      <c r="D178" s="137">
        <v>16352</v>
      </c>
      <c r="E178" s="137">
        <v>480</v>
      </c>
      <c r="F178" s="137">
        <v>13725</v>
      </c>
      <c r="G178" s="137"/>
      <c r="H178" s="137"/>
      <c r="I178" s="137"/>
      <c r="J178" s="137"/>
      <c r="K178" s="137"/>
      <c r="L178" s="137"/>
      <c r="M178" s="137"/>
      <c r="N178" s="137"/>
      <c r="O178" s="137"/>
      <c r="P178" s="137">
        <f t="shared" si="24"/>
        <v>30557</v>
      </c>
      <c r="R178" s="137">
        <v>1813</v>
      </c>
      <c r="S178" s="137">
        <v>200</v>
      </c>
      <c r="T178" s="137">
        <v>580</v>
      </c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>
        <f t="shared" si="25"/>
        <v>2593</v>
      </c>
      <c r="AF178" s="84">
        <f t="shared" si="32"/>
        <v>0.11087328767123288</v>
      </c>
      <c r="AG178" s="84">
        <f t="shared" si="32"/>
        <v>0.41666666666666669</v>
      </c>
      <c r="AH178" s="84">
        <f t="shared" si="32"/>
        <v>4.2258652094717672E-2</v>
      </c>
      <c r="AI178" s="84" t="str">
        <f t="shared" si="32"/>
        <v/>
      </c>
      <c r="AJ178" s="84" t="str">
        <f t="shared" si="32"/>
        <v/>
      </c>
      <c r="AK178" s="84" t="str">
        <f t="shared" si="32"/>
        <v/>
      </c>
      <c r="AL178" s="84" t="str">
        <f t="shared" si="32"/>
        <v/>
      </c>
      <c r="AM178" s="84" t="str">
        <f t="shared" si="32"/>
        <v/>
      </c>
      <c r="AN178" s="84" t="str">
        <f t="shared" si="32"/>
        <v/>
      </c>
      <c r="AO178" s="84" t="str">
        <f t="shared" si="32"/>
        <v/>
      </c>
      <c r="AP178" s="84" t="str">
        <f t="shared" si="32"/>
        <v/>
      </c>
      <c r="AQ178" s="84" t="str">
        <f t="shared" si="32"/>
        <v/>
      </c>
      <c r="AR178" s="84">
        <f t="shared" si="32"/>
        <v>8.4857806721864062E-2</v>
      </c>
      <c r="AT178" s="139">
        <f t="shared" si="31"/>
        <v>0.3057933789954338</v>
      </c>
      <c r="AU178" s="139">
        <f t="shared" si="31"/>
        <v>-0.374408014571949</v>
      </c>
      <c r="AV178" s="139" t="str">
        <f t="shared" si="31"/>
        <v/>
      </c>
      <c r="AW178" s="139" t="str">
        <f t="shared" si="31"/>
        <v/>
      </c>
      <c r="AX178" s="139" t="str">
        <f t="shared" si="31"/>
        <v/>
      </c>
      <c r="AY178" s="139" t="str">
        <f t="shared" si="31"/>
        <v/>
      </c>
      <c r="AZ178" s="139" t="str">
        <f t="shared" si="31"/>
        <v/>
      </c>
      <c r="BA178" s="139" t="str">
        <f t="shared" si="31"/>
        <v/>
      </c>
      <c r="BB178" s="139" t="str">
        <f t="shared" si="31"/>
        <v/>
      </c>
      <c r="BC178" s="139" t="str">
        <f t="shared" si="31"/>
        <v/>
      </c>
      <c r="BD178" s="139" t="str">
        <f t="shared" si="31"/>
        <v/>
      </c>
      <c r="BF178" s="82">
        <f t="shared" si="26"/>
        <v>3.3532479795290742E-6</v>
      </c>
      <c r="BG178" s="82">
        <f t="shared" si="27"/>
        <v>0.99870271073307848</v>
      </c>
    </row>
    <row r="179" spans="2:59" x14ac:dyDescent="0.3">
      <c r="B179" s="83" t="s">
        <v>261</v>
      </c>
      <c r="D179" s="137">
        <v>3309</v>
      </c>
      <c r="E179" s="137">
        <v>1631</v>
      </c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>
        <f t="shared" si="24"/>
        <v>4940</v>
      </c>
      <c r="R179" s="137">
        <v>45</v>
      </c>
      <c r="S179" s="137">
        <v>215</v>
      </c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>
        <f t="shared" si="25"/>
        <v>260</v>
      </c>
      <c r="AF179" s="84">
        <f t="shared" si="32"/>
        <v>1.3599274705349048E-2</v>
      </c>
      <c r="AG179" s="84">
        <f t="shared" si="32"/>
        <v>0.13182096873083998</v>
      </c>
      <c r="AH179" s="84" t="str">
        <f t="shared" si="32"/>
        <v/>
      </c>
      <c r="AI179" s="84" t="str">
        <f t="shared" si="32"/>
        <v/>
      </c>
      <c r="AJ179" s="84" t="str">
        <f t="shared" si="32"/>
        <v/>
      </c>
      <c r="AK179" s="84" t="str">
        <f t="shared" si="32"/>
        <v/>
      </c>
      <c r="AL179" s="84" t="str">
        <f t="shared" si="32"/>
        <v/>
      </c>
      <c r="AM179" s="84" t="str">
        <f t="shared" si="32"/>
        <v/>
      </c>
      <c r="AN179" s="84" t="str">
        <f t="shared" si="32"/>
        <v/>
      </c>
      <c r="AO179" s="84" t="str">
        <f t="shared" si="32"/>
        <v/>
      </c>
      <c r="AP179" s="84" t="str">
        <f t="shared" si="32"/>
        <v/>
      </c>
      <c r="AQ179" s="84" t="str">
        <f t="shared" si="32"/>
        <v/>
      </c>
      <c r="AR179" s="84">
        <f t="shared" si="32"/>
        <v>5.2631578947368418E-2</v>
      </c>
      <c r="AT179" s="139">
        <f t="shared" si="31"/>
        <v>0.11822169402549093</v>
      </c>
      <c r="AU179" s="139" t="str">
        <f t="shared" si="31"/>
        <v/>
      </c>
      <c r="AV179" s="139" t="str">
        <f t="shared" si="31"/>
        <v/>
      </c>
      <c r="AW179" s="139" t="str">
        <f t="shared" si="31"/>
        <v/>
      </c>
      <c r="AX179" s="139" t="str">
        <f t="shared" si="31"/>
        <v/>
      </c>
      <c r="AY179" s="139" t="str">
        <f t="shared" si="31"/>
        <v/>
      </c>
      <c r="AZ179" s="139" t="str">
        <f t="shared" si="31"/>
        <v/>
      </c>
      <c r="BA179" s="139" t="str">
        <f t="shared" si="31"/>
        <v/>
      </c>
      <c r="BB179" s="139" t="str">
        <f t="shared" si="31"/>
        <v/>
      </c>
      <c r="BC179" s="139" t="str">
        <f t="shared" si="31"/>
        <v/>
      </c>
      <c r="BD179" s="139" t="str">
        <f t="shared" si="31"/>
        <v/>
      </c>
      <c r="BF179" s="82">
        <f t="shared" si="26"/>
        <v>3.3623003265621262E-7</v>
      </c>
      <c r="BG179" s="82">
        <f t="shared" si="27"/>
        <v>0.99870304696311119</v>
      </c>
    </row>
    <row r="180" spans="2:59" x14ac:dyDescent="0.3">
      <c r="B180" s="83" t="s">
        <v>262</v>
      </c>
      <c r="D180" s="137">
        <v>5514</v>
      </c>
      <c r="E180" s="137">
        <v>847</v>
      </c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>
        <f t="shared" si="24"/>
        <v>6361</v>
      </c>
      <c r="R180" s="137">
        <v>1787</v>
      </c>
      <c r="S180" s="137">
        <v>847</v>
      </c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>
        <f t="shared" si="25"/>
        <v>2634</v>
      </c>
      <c r="AF180" s="84">
        <f t="shared" si="32"/>
        <v>0.32408414943779468</v>
      </c>
      <c r="AG180" s="84">
        <f t="shared" si="32"/>
        <v>1</v>
      </c>
      <c r="AH180" s="84" t="str">
        <f t="shared" si="32"/>
        <v/>
      </c>
      <c r="AI180" s="84" t="str">
        <f t="shared" si="32"/>
        <v/>
      </c>
      <c r="AJ180" s="84" t="str">
        <f t="shared" si="32"/>
        <v/>
      </c>
      <c r="AK180" s="84" t="str">
        <f t="shared" si="32"/>
        <v/>
      </c>
      <c r="AL180" s="84" t="str">
        <f t="shared" si="32"/>
        <v/>
      </c>
      <c r="AM180" s="84" t="str">
        <f t="shared" si="32"/>
        <v/>
      </c>
      <c r="AN180" s="84" t="str">
        <f t="shared" si="32"/>
        <v/>
      </c>
      <c r="AO180" s="84" t="str">
        <f t="shared" si="32"/>
        <v/>
      </c>
      <c r="AP180" s="84" t="str">
        <f t="shared" si="32"/>
        <v/>
      </c>
      <c r="AQ180" s="84" t="str">
        <f t="shared" si="32"/>
        <v/>
      </c>
      <c r="AR180" s="84">
        <f t="shared" si="32"/>
        <v>0.41408583556044648</v>
      </c>
      <c r="AT180" s="139">
        <f t="shared" si="31"/>
        <v>0.67591585056220538</v>
      </c>
      <c r="AU180" s="139" t="str">
        <f t="shared" si="31"/>
        <v/>
      </c>
      <c r="AV180" s="139" t="str">
        <f t="shared" si="31"/>
        <v/>
      </c>
      <c r="AW180" s="139" t="str">
        <f t="shared" si="31"/>
        <v/>
      </c>
      <c r="AX180" s="139" t="str">
        <f t="shared" si="31"/>
        <v/>
      </c>
      <c r="AY180" s="139" t="str">
        <f t="shared" si="31"/>
        <v/>
      </c>
      <c r="AZ180" s="139" t="str">
        <f t="shared" si="31"/>
        <v/>
      </c>
      <c r="BA180" s="139" t="str">
        <f t="shared" si="31"/>
        <v/>
      </c>
      <c r="BB180" s="139" t="str">
        <f t="shared" si="31"/>
        <v/>
      </c>
      <c r="BC180" s="139" t="str">
        <f t="shared" si="31"/>
        <v/>
      </c>
      <c r="BD180" s="139" t="str">
        <f t="shared" si="31"/>
        <v/>
      </c>
      <c r="BF180" s="82">
        <f t="shared" si="26"/>
        <v>3.4062688692940923E-6</v>
      </c>
      <c r="BG180" s="82">
        <f t="shared" si="27"/>
        <v>0.99870645323198048</v>
      </c>
    </row>
    <row r="181" spans="2:59" x14ac:dyDescent="0.3">
      <c r="B181" s="83" t="s">
        <v>263</v>
      </c>
      <c r="D181" s="137">
        <v>184279</v>
      </c>
      <c r="E181" s="137">
        <v>302653</v>
      </c>
      <c r="F181" s="137">
        <v>213788</v>
      </c>
      <c r="G181" s="137"/>
      <c r="H181" s="137"/>
      <c r="I181" s="137"/>
      <c r="J181" s="137"/>
      <c r="K181" s="137"/>
      <c r="L181" s="137"/>
      <c r="M181" s="137"/>
      <c r="N181" s="137"/>
      <c r="O181" s="137"/>
      <c r="P181" s="137">
        <f t="shared" si="24"/>
        <v>700720</v>
      </c>
      <c r="R181" s="137">
        <v>17886</v>
      </c>
      <c r="S181" s="137">
        <v>42048</v>
      </c>
      <c r="T181" s="137">
        <v>28840</v>
      </c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>
        <f t="shared" si="25"/>
        <v>88774</v>
      </c>
      <c r="AF181" s="84">
        <f t="shared" si="32"/>
        <v>9.7059350224388025E-2</v>
      </c>
      <c r="AG181" s="84">
        <f t="shared" si="32"/>
        <v>0.13893138346555295</v>
      </c>
      <c r="AH181" s="84">
        <f t="shared" si="32"/>
        <v>0.13489999438696279</v>
      </c>
      <c r="AI181" s="84" t="str">
        <f t="shared" si="32"/>
        <v/>
      </c>
      <c r="AJ181" s="84" t="str">
        <f t="shared" si="32"/>
        <v/>
      </c>
      <c r="AK181" s="84" t="str">
        <f t="shared" si="32"/>
        <v/>
      </c>
      <c r="AL181" s="84" t="str">
        <f t="shared" si="32"/>
        <v/>
      </c>
      <c r="AM181" s="84" t="str">
        <f t="shared" si="32"/>
        <v/>
      </c>
      <c r="AN181" s="84" t="str">
        <f t="shared" si="32"/>
        <v/>
      </c>
      <c r="AO181" s="84" t="str">
        <f t="shared" si="32"/>
        <v/>
      </c>
      <c r="AP181" s="84" t="str">
        <f t="shared" si="32"/>
        <v/>
      </c>
      <c r="AQ181" s="84" t="str">
        <f t="shared" si="32"/>
        <v/>
      </c>
      <c r="AR181" s="84">
        <f t="shared" si="32"/>
        <v>0.12668969060395022</v>
      </c>
      <c r="AT181" s="139">
        <f t="shared" ref="AT181:BD204" si="33">+IFERROR(AG181-AF181,"")</f>
        <v>4.1872033241164924E-2</v>
      </c>
      <c r="AU181" s="139">
        <f t="shared" si="33"/>
        <v>-4.0313890785901585E-3</v>
      </c>
      <c r="AV181" s="139" t="str">
        <f t="shared" si="33"/>
        <v/>
      </c>
      <c r="AW181" s="139" t="str">
        <f t="shared" si="33"/>
        <v/>
      </c>
      <c r="AX181" s="139" t="str">
        <f t="shared" si="33"/>
        <v/>
      </c>
      <c r="AY181" s="139" t="str">
        <f t="shared" si="33"/>
        <v/>
      </c>
      <c r="AZ181" s="139" t="str">
        <f t="shared" si="33"/>
        <v/>
      </c>
      <c r="BA181" s="139" t="str">
        <f t="shared" si="33"/>
        <v/>
      </c>
      <c r="BB181" s="139" t="str">
        <f t="shared" si="33"/>
        <v/>
      </c>
      <c r="BC181" s="139" t="str">
        <f t="shared" si="33"/>
        <v/>
      </c>
      <c r="BD181" s="139" t="str">
        <f t="shared" si="33"/>
        <v/>
      </c>
      <c r="BF181" s="82">
        <f t="shared" si="26"/>
        <v>1.1480186507316391E-4</v>
      </c>
      <c r="BG181" s="82">
        <f t="shared" si="27"/>
        <v>0.99882125509705366</v>
      </c>
    </row>
    <row r="182" spans="2:59" x14ac:dyDescent="0.3">
      <c r="B182" s="83" t="s">
        <v>264</v>
      </c>
      <c r="D182" s="137">
        <v>615</v>
      </c>
      <c r="E182" s="137">
        <v>508</v>
      </c>
      <c r="F182" s="137">
        <v>1351</v>
      </c>
      <c r="G182" s="137"/>
      <c r="H182" s="137"/>
      <c r="I182" s="137"/>
      <c r="J182" s="137"/>
      <c r="K182" s="137"/>
      <c r="L182" s="137"/>
      <c r="M182" s="137"/>
      <c r="N182" s="137"/>
      <c r="O182" s="137"/>
      <c r="P182" s="137">
        <f t="shared" si="24"/>
        <v>2474</v>
      </c>
      <c r="R182" s="137">
        <v>149</v>
      </c>
      <c r="S182" s="137">
        <v>86</v>
      </c>
      <c r="T182" s="137">
        <v>293</v>
      </c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>
        <f t="shared" si="25"/>
        <v>528</v>
      </c>
      <c r="AF182" s="84">
        <f t="shared" si="32"/>
        <v>0.24227642276422764</v>
      </c>
      <c r="AG182" s="84">
        <f t="shared" si="32"/>
        <v>0.16929133858267717</v>
      </c>
      <c r="AH182" s="84">
        <f t="shared" si="32"/>
        <v>0.21687638786084382</v>
      </c>
      <c r="AI182" s="84" t="str">
        <f t="shared" si="32"/>
        <v/>
      </c>
      <c r="AJ182" s="84" t="str">
        <f t="shared" si="32"/>
        <v/>
      </c>
      <c r="AK182" s="84" t="str">
        <f t="shared" si="32"/>
        <v/>
      </c>
      <c r="AL182" s="84" t="str">
        <f t="shared" si="32"/>
        <v/>
      </c>
      <c r="AM182" s="84" t="str">
        <f t="shared" si="32"/>
        <v/>
      </c>
      <c r="AN182" s="84" t="str">
        <f t="shared" si="32"/>
        <v/>
      </c>
      <c r="AO182" s="84" t="str">
        <f t="shared" si="32"/>
        <v/>
      </c>
      <c r="AP182" s="84" t="str">
        <f t="shared" si="32"/>
        <v/>
      </c>
      <c r="AQ182" s="84" t="str">
        <f t="shared" si="32"/>
        <v/>
      </c>
      <c r="AR182" s="84">
        <f t="shared" si="32"/>
        <v>0.21341956345998384</v>
      </c>
      <c r="AT182" s="139">
        <f t="shared" si="33"/>
        <v>-7.2985084181550475E-2</v>
      </c>
      <c r="AU182" s="139">
        <f t="shared" si="33"/>
        <v>4.7585049278166647E-2</v>
      </c>
      <c r="AV182" s="139" t="str">
        <f t="shared" si="33"/>
        <v/>
      </c>
      <c r="AW182" s="139" t="str">
        <f t="shared" si="33"/>
        <v/>
      </c>
      <c r="AX182" s="139" t="str">
        <f t="shared" si="33"/>
        <v/>
      </c>
      <c r="AY182" s="139" t="str">
        <f t="shared" si="33"/>
        <v/>
      </c>
      <c r="AZ182" s="139" t="str">
        <f t="shared" si="33"/>
        <v/>
      </c>
      <c r="BA182" s="139" t="str">
        <f t="shared" si="33"/>
        <v/>
      </c>
      <c r="BB182" s="139" t="str">
        <f t="shared" si="33"/>
        <v/>
      </c>
      <c r="BC182" s="139" t="str">
        <f t="shared" si="33"/>
        <v/>
      </c>
      <c r="BD182" s="139" t="str">
        <f t="shared" si="33"/>
        <v/>
      </c>
      <c r="BF182" s="82">
        <f t="shared" si="26"/>
        <v>6.8280560477877019E-7</v>
      </c>
      <c r="BG182" s="82">
        <f t="shared" si="27"/>
        <v>0.99882193790265839</v>
      </c>
    </row>
    <row r="183" spans="2:59" x14ac:dyDescent="0.3">
      <c r="B183" s="83" t="s">
        <v>265</v>
      </c>
      <c r="D183" s="137">
        <v>17593</v>
      </c>
      <c r="E183" s="137">
        <v>8880</v>
      </c>
      <c r="F183" s="137">
        <v>5685</v>
      </c>
      <c r="G183" s="137"/>
      <c r="H183" s="137"/>
      <c r="I183" s="137"/>
      <c r="J183" s="137"/>
      <c r="K183" s="137"/>
      <c r="L183" s="137"/>
      <c r="M183" s="137"/>
      <c r="N183" s="137"/>
      <c r="O183" s="137"/>
      <c r="P183" s="137">
        <f t="shared" si="24"/>
        <v>32158</v>
      </c>
      <c r="R183" s="137">
        <v>1577</v>
      </c>
      <c r="S183" s="137">
        <v>1572</v>
      </c>
      <c r="T183" s="137">
        <v>1318</v>
      </c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>
        <f t="shared" si="25"/>
        <v>4467</v>
      </c>
      <c r="AF183" s="84">
        <f t="shared" si="32"/>
        <v>8.963792417438754E-2</v>
      </c>
      <c r="AG183" s="84">
        <f t="shared" si="32"/>
        <v>0.17702702702702702</v>
      </c>
      <c r="AH183" s="84">
        <f t="shared" si="32"/>
        <v>0.23183817062445031</v>
      </c>
      <c r="AI183" s="84" t="str">
        <f t="shared" si="32"/>
        <v/>
      </c>
      <c r="AJ183" s="84" t="str">
        <f t="shared" si="32"/>
        <v/>
      </c>
      <c r="AK183" s="84" t="str">
        <f t="shared" si="32"/>
        <v/>
      </c>
      <c r="AL183" s="84" t="str">
        <f t="shared" si="32"/>
        <v/>
      </c>
      <c r="AM183" s="84" t="str">
        <f t="shared" si="32"/>
        <v/>
      </c>
      <c r="AN183" s="84" t="str">
        <f t="shared" si="32"/>
        <v/>
      </c>
      <c r="AO183" s="84" t="str">
        <f t="shared" si="32"/>
        <v/>
      </c>
      <c r="AP183" s="84" t="str">
        <f t="shared" si="32"/>
        <v/>
      </c>
      <c r="AQ183" s="84" t="str">
        <f t="shared" si="32"/>
        <v/>
      </c>
      <c r="AR183" s="84">
        <f t="shared" si="32"/>
        <v>0.13890789228185832</v>
      </c>
      <c r="AT183" s="139">
        <f t="shared" si="33"/>
        <v>8.7389102852639483E-2</v>
      </c>
      <c r="AU183" s="139">
        <f t="shared" si="33"/>
        <v>5.4811143597423284E-2</v>
      </c>
      <c r="AV183" s="139" t="str">
        <f t="shared" si="33"/>
        <v/>
      </c>
      <c r="AW183" s="139" t="str">
        <f t="shared" si="33"/>
        <v/>
      </c>
      <c r="AX183" s="139" t="str">
        <f t="shared" si="33"/>
        <v/>
      </c>
      <c r="AY183" s="139" t="str">
        <f t="shared" si="33"/>
        <v/>
      </c>
      <c r="AZ183" s="139" t="str">
        <f t="shared" si="33"/>
        <v/>
      </c>
      <c r="BA183" s="139" t="str">
        <f t="shared" si="33"/>
        <v/>
      </c>
      <c r="BB183" s="139" t="str">
        <f t="shared" si="33"/>
        <v/>
      </c>
      <c r="BC183" s="139" t="str">
        <f t="shared" si="33"/>
        <v/>
      </c>
      <c r="BD183" s="139" t="str">
        <f t="shared" si="33"/>
        <v/>
      </c>
      <c r="BF183" s="82">
        <f t="shared" si="26"/>
        <v>5.7766905995203912E-6</v>
      </c>
      <c r="BG183" s="82">
        <f t="shared" si="27"/>
        <v>0.99882771459325792</v>
      </c>
    </row>
    <row r="184" spans="2:59" x14ac:dyDescent="0.3">
      <c r="B184" s="83" t="s">
        <v>266</v>
      </c>
      <c r="D184" s="137">
        <v>154571</v>
      </c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>
        <f t="shared" si="24"/>
        <v>154571</v>
      </c>
      <c r="R184" s="137">
        <v>26372</v>
      </c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>
        <f t="shared" si="25"/>
        <v>26372</v>
      </c>
      <c r="AF184" s="84">
        <f t="shared" si="32"/>
        <v>0.17061415142555847</v>
      </c>
      <c r="AG184" s="84" t="str">
        <f t="shared" si="32"/>
        <v/>
      </c>
      <c r="AH184" s="84" t="str">
        <f t="shared" si="32"/>
        <v/>
      </c>
      <c r="AI184" s="84" t="str">
        <f t="shared" si="32"/>
        <v/>
      </c>
      <c r="AJ184" s="84" t="str">
        <f t="shared" si="32"/>
        <v/>
      </c>
      <c r="AK184" s="84" t="str">
        <f t="shared" si="32"/>
        <v/>
      </c>
      <c r="AL184" s="84" t="str">
        <f t="shared" si="32"/>
        <v/>
      </c>
      <c r="AM184" s="84" t="str">
        <f t="shared" si="32"/>
        <v/>
      </c>
      <c r="AN184" s="84" t="str">
        <f t="shared" si="32"/>
        <v/>
      </c>
      <c r="AO184" s="84" t="str">
        <f t="shared" si="32"/>
        <v/>
      </c>
      <c r="AP184" s="84" t="str">
        <f t="shared" si="32"/>
        <v/>
      </c>
      <c r="AQ184" s="84" t="str">
        <f t="shared" si="32"/>
        <v/>
      </c>
      <c r="AR184" s="84">
        <f t="shared" si="32"/>
        <v>0.17061415142555847</v>
      </c>
      <c r="AT184" s="139" t="str">
        <f t="shared" si="33"/>
        <v/>
      </c>
      <c r="AU184" s="139" t="str">
        <f t="shared" si="33"/>
        <v/>
      </c>
      <c r="AV184" s="139" t="str">
        <f t="shared" si="33"/>
        <v/>
      </c>
      <c r="AW184" s="139" t="str">
        <f t="shared" si="33"/>
        <v/>
      </c>
      <c r="AX184" s="139" t="str">
        <f t="shared" si="33"/>
        <v/>
      </c>
      <c r="AY184" s="139" t="str">
        <f t="shared" si="33"/>
        <v/>
      </c>
      <c r="AZ184" s="139" t="str">
        <f t="shared" si="33"/>
        <v/>
      </c>
      <c r="BA184" s="139" t="str">
        <f t="shared" si="33"/>
        <v/>
      </c>
      <c r="BB184" s="139" t="str">
        <f t="shared" si="33"/>
        <v/>
      </c>
      <c r="BC184" s="139" t="str">
        <f t="shared" si="33"/>
        <v/>
      </c>
      <c r="BD184" s="139" t="str">
        <f t="shared" si="33"/>
        <v/>
      </c>
      <c r="BF184" s="82">
        <f t="shared" si="26"/>
        <v>3.4104070850806305E-5</v>
      </c>
      <c r="BG184" s="82">
        <f t="shared" si="27"/>
        <v>0.99886181866410872</v>
      </c>
    </row>
    <row r="185" spans="2:59" x14ac:dyDescent="0.3">
      <c r="B185" s="83" t="s">
        <v>267</v>
      </c>
      <c r="D185" s="137">
        <v>4623</v>
      </c>
      <c r="E185" s="137">
        <v>14718</v>
      </c>
      <c r="F185" s="137">
        <v>42134</v>
      </c>
      <c r="G185" s="137"/>
      <c r="H185" s="137"/>
      <c r="I185" s="137"/>
      <c r="J185" s="137"/>
      <c r="K185" s="137"/>
      <c r="L185" s="137"/>
      <c r="M185" s="137"/>
      <c r="N185" s="137"/>
      <c r="O185" s="137"/>
      <c r="P185" s="137">
        <f t="shared" si="24"/>
        <v>61475</v>
      </c>
      <c r="R185" s="137">
        <v>198</v>
      </c>
      <c r="S185" s="137">
        <v>3237</v>
      </c>
      <c r="T185" s="137">
        <v>16170</v>
      </c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>
        <f t="shared" si="25"/>
        <v>19605</v>
      </c>
      <c r="AF185" s="84">
        <f t="shared" si="32"/>
        <v>4.2829331602855292E-2</v>
      </c>
      <c r="AG185" s="84">
        <f t="shared" si="32"/>
        <v>0.21993477374643294</v>
      </c>
      <c r="AH185" s="84">
        <f t="shared" si="32"/>
        <v>0.38377557317131056</v>
      </c>
      <c r="AI185" s="84" t="str">
        <f t="shared" si="32"/>
        <v/>
      </c>
      <c r="AJ185" s="84" t="str">
        <f t="shared" si="32"/>
        <v/>
      </c>
      <c r="AK185" s="84" t="str">
        <f t="shared" si="32"/>
        <v/>
      </c>
      <c r="AL185" s="84" t="str">
        <f t="shared" si="32"/>
        <v/>
      </c>
      <c r="AM185" s="84" t="str">
        <f t="shared" si="32"/>
        <v/>
      </c>
      <c r="AN185" s="84" t="str">
        <f t="shared" si="32"/>
        <v/>
      </c>
      <c r="AO185" s="84" t="str">
        <f t="shared" si="32"/>
        <v/>
      </c>
      <c r="AP185" s="84" t="str">
        <f t="shared" si="32"/>
        <v/>
      </c>
      <c r="AQ185" s="84" t="str">
        <f t="shared" si="32"/>
        <v/>
      </c>
      <c r="AR185" s="84">
        <f t="shared" si="32"/>
        <v>0.31891012606750713</v>
      </c>
      <c r="AT185" s="139">
        <f t="shared" si="33"/>
        <v>0.17710544214357765</v>
      </c>
      <c r="AU185" s="139">
        <f t="shared" si="33"/>
        <v>0.16384079942487761</v>
      </c>
      <c r="AV185" s="139" t="str">
        <f t="shared" si="33"/>
        <v/>
      </c>
      <c r="AW185" s="139" t="str">
        <f t="shared" si="33"/>
        <v/>
      </c>
      <c r="AX185" s="139" t="str">
        <f t="shared" si="33"/>
        <v/>
      </c>
      <c r="AY185" s="139" t="str">
        <f t="shared" si="33"/>
        <v/>
      </c>
      <c r="AZ185" s="139" t="str">
        <f t="shared" si="33"/>
        <v/>
      </c>
      <c r="BA185" s="139" t="str">
        <f t="shared" si="33"/>
        <v/>
      </c>
      <c r="BB185" s="139" t="str">
        <f t="shared" si="33"/>
        <v/>
      </c>
      <c r="BC185" s="139" t="str">
        <f t="shared" si="33"/>
        <v/>
      </c>
      <c r="BD185" s="139" t="str">
        <f t="shared" si="33"/>
        <v/>
      </c>
      <c r="BF185" s="82">
        <f t="shared" si="26"/>
        <v>2.5353037654711722E-5</v>
      </c>
      <c r="BG185" s="82">
        <f t="shared" si="27"/>
        <v>0.99888717170176344</v>
      </c>
    </row>
    <row r="186" spans="2:59" x14ac:dyDescent="0.3">
      <c r="B186" s="83" t="s">
        <v>268</v>
      </c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>
        <f t="shared" si="24"/>
        <v>0</v>
      </c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>
        <f t="shared" si="25"/>
        <v>0</v>
      </c>
      <c r="AF186" s="84" t="str">
        <f t="shared" si="32"/>
        <v/>
      </c>
      <c r="AG186" s="84" t="str">
        <f t="shared" si="32"/>
        <v/>
      </c>
      <c r="AH186" s="84" t="str">
        <f t="shared" si="32"/>
        <v/>
      </c>
      <c r="AI186" s="84" t="str">
        <f t="shared" si="32"/>
        <v/>
      </c>
      <c r="AJ186" s="84" t="str">
        <f t="shared" si="32"/>
        <v/>
      </c>
      <c r="AK186" s="84" t="str">
        <f t="shared" si="32"/>
        <v/>
      </c>
      <c r="AL186" s="84" t="str">
        <f t="shared" si="32"/>
        <v/>
      </c>
      <c r="AM186" s="84" t="str">
        <f t="shared" si="32"/>
        <v/>
      </c>
      <c r="AN186" s="84" t="str">
        <f t="shared" si="32"/>
        <v/>
      </c>
      <c r="AO186" s="84" t="str">
        <f t="shared" si="32"/>
        <v/>
      </c>
      <c r="AP186" s="84" t="str">
        <f t="shared" si="32"/>
        <v/>
      </c>
      <c r="AQ186" s="84" t="str">
        <f t="shared" si="32"/>
        <v/>
      </c>
      <c r="AR186" s="84" t="str">
        <f t="shared" si="32"/>
        <v/>
      </c>
      <c r="AT186" s="139" t="str">
        <f t="shared" si="33"/>
        <v/>
      </c>
      <c r="AU186" s="139" t="str">
        <f t="shared" si="33"/>
        <v/>
      </c>
      <c r="AV186" s="139" t="str">
        <f t="shared" si="33"/>
        <v/>
      </c>
      <c r="AW186" s="139" t="str">
        <f t="shared" si="33"/>
        <v/>
      </c>
      <c r="AX186" s="139" t="str">
        <f t="shared" si="33"/>
        <v/>
      </c>
      <c r="AY186" s="139" t="str">
        <f t="shared" si="33"/>
        <v/>
      </c>
      <c r="AZ186" s="139" t="str">
        <f t="shared" si="33"/>
        <v/>
      </c>
      <c r="BA186" s="139" t="str">
        <f t="shared" si="33"/>
        <v/>
      </c>
      <c r="BB186" s="139" t="str">
        <f t="shared" si="33"/>
        <v/>
      </c>
      <c r="BC186" s="139" t="str">
        <f t="shared" si="33"/>
        <v/>
      </c>
      <c r="BD186" s="139" t="str">
        <f t="shared" si="33"/>
        <v/>
      </c>
      <c r="BF186" s="82">
        <f t="shared" si="26"/>
        <v>0</v>
      </c>
      <c r="BG186" s="82">
        <f t="shared" si="27"/>
        <v>0.99888717170176344</v>
      </c>
    </row>
    <row r="187" spans="2:59" x14ac:dyDescent="0.3">
      <c r="B187" s="83" t="s">
        <v>269</v>
      </c>
      <c r="D187" s="137">
        <v>741</v>
      </c>
      <c r="E187" s="137">
        <v>567</v>
      </c>
      <c r="F187" s="137">
        <v>182</v>
      </c>
      <c r="G187" s="137"/>
      <c r="H187" s="137"/>
      <c r="I187" s="137"/>
      <c r="J187" s="137"/>
      <c r="K187" s="137"/>
      <c r="L187" s="137"/>
      <c r="M187" s="137"/>
      <c r="N187" s="137"/>
      <c r="O187" s="137"/>
      <c r="P187" s="137">
        <f t="shared" si="24"/>
        <v>1490</v>
      </c>
      <c r="R187" s="137">
        <v>244</v>
      </c>
      <c r="S187" s="137">
        <v>35</v>
      </c>
      <c r="T187" s="137">
        <v>79</v>
      </c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>
        <f t="shared" si="25"/>
        <v>358</v>
      </c>
      <c r="AF187" s="84">
        <f t="shared" si="32"/>
        <v>0.32928475033738192</v>
      </c>
      <c r="AG187" s="84">
        <f t="shared" si="32"/>
        <v>6.1728395061728392E-2</v>
      </c>
      <c r="AH187" s="84">
        <f t="shared" si="32"/>
        <v>0.43406593406593408</v>
      </c>
      <c r="AI187" s="84" t="str">
        <f t="shared" si="32"/>
        <v/>
      </c>
      <c r="AJ187" s="84" t="str">
        <f t="shared" si="32"/>
        <v/>
      </c>
      <c r="AK187" s="84" t="str">
        <f t="shared" si="32"/>
        <v/>
      </c>
      <c r="AL187" s="84" t="str">
        <f t="shared" si="32"/>
        <v/>
      </c>
      <c r="AM187" s="84" t="str">
        <f t="shared" si="32"/>
        <v/>
      </c>
      <c r="AN187" s="84" t="str">
        <f t="shared" si="32"/>
        <v/>
      </c>
      <c r="AO187" s="84" t="str">
        <f t="shared" si="32"/>
        <v/>
      </c>
      <c r="AP187" s="84" t="str">
        <f t="shared" si="32"/>
        <v/>
      </c>
      <c r="AQ187" s="84" t="str">
        <f t="shared" si="32"/>
        <v/>
      </c>
      <c r="AR187" s="84">
        <f t="shared" si="32"/>
        <v>0.24026845637583893</v>
      </c>
      <c r="AT187" s="139">
        <f t="shared" si="33"/>
        <v>-0.26755635527565352</v>
      </c>
      <c r="AU187" s="139">
        <f t="shared" si="33"/>
        <v>0.37233753900420569</v>
      </c>
      <c r="AV187" s="139" t="str">
        <f t="shared" si="33"/>
        <v/>
      </c>
      <c r="AW187" s="139" t="str">
        <f t="shared" si="33"/>
        <v/>
      </c>
      <c r="AX187" s="139" t="str">
        <f t="shared" si="33"/>
        <v/>
      </c>
      <c r="AY187" s="139" t="str">
        <f t="shared" si="33"/>
        <v/>
      </c>
      <c r="AZ187" s="139" t="str">
        <f t="shared" si="33"/>
        <v/>
      </c>
      <c r="BA187" s="139" t="str">
        <f t="shared" si="33"/>
        <v/>
      </c>
      <c r="BB187" s="139" t="str">
        <f t="shared" si="33"/>
        <v/>
      </c>
      <c r="BC187" s="139" t="str">
        <f t="shared" si="33"/>
        <v/>
      </c>
      <c r="BD187" s="139" t="str">
        <f t="shared" si="33"/>
        <v/>
      </c>
      <c r="BF187" s="82">
        <f t="shared" si="26"/>
        <v>4.629628911189389E-7</v>
      </c>
      <c r="BG187" s="82">
        <f t="shared" si="27"/>
        <v>0.99888763466465458</v>
      </c>
    </row>
    <row r="188" spans="2:59" x14ac:dyDescent="0.3">
      <c r="B188" s="83" t="s">
        <v>270</v>
      </c>
      <c r="D188" s="137"/>
      <c r="E188" s="137">
        <v>21012</v>
      </c>
      <c r="F188" s="137">
        <v>18881</v>
      </c>
      <c r="G188" s="137"/>
      <c r="H188" s="137"/>
      <c r="I188" s="137"/>
      <c r="J188" s="137"/>
      <c r="K188" s="137"/>
      <c r="L188" s="137"/>
      <c r="M188" s="137"/>
      <c r="N188" s="137"/>
      <c r="O188" s="137"/>
      <c r="P188" s="137">
        <f t="shared" si="24"/>
        <v>39893</v>
      </c>
      <c r="R188" s="137"/>
      <c r="S188" s="137">
        <v>1570</v>
      </c>
      <c r="T188" s="137">
        <v>2400</v>
      </c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>
        <f t="shared" si="25"/>
        <v>3970</v>
      </c>
      <c r="AF188" s="84" t="str">
        <f t="shared" si="32"/>
        <v/>
      </c>
      <c r="AG188" s="84">
        <f t="shared" si="32"/>
        <v>7.4719208071578141E-2</v>
      </c>
      <c r="AH188" s="84">
        <f t="shared" si="32"/>
        <v>0.12711191144536835</v>
      </c>
      <c r="AI188" s="84" t="str">
        <f t="shared" si="32"/>
        <v/>
      </c>
      <c r="AJ188" s="84" t="str">
        <f t="shared" si="32"/>
        <v/>
      </c>
      <c r="AK188" s="84" t="str">
        <f t="shared" si="32"/>
        <v/>
      </c>
      <c r="AL188" s="84" t="str">
        <f t="shared" si="32"/>
        <v/>
      </c>
      <c r="AM188" s="84" t="str">
        <f t="shared" si="32"/>
        <v/>
      </c>
      <c r="AN188" s="84" t="str">
        <f t="shared" si="32"/>
        <v/>
      </c>
      <c r="AO188" s="84" t="str">
        <f t="shared" si="32"/>
        <v/>
      </c>
      <c r="AP188" s="84" t="str">
        <f t="shared" si="32"/>
        <v/>
      </c>
      <c r="AQ188" s="84" t="str">
        <f t="shared" si="32"/>
        <v/>
      </c>
      <c r="AR188" s="84">
        <f t="shared" si="32"/>
        <v>9.9516205850650491E-2</v>
      </c>
      <c r="AT188" s="139" t="str">
        <f t="shared" si="33"/>
        <v/>
      </c>
      <c r="AU188" s="139">
        <f t="shared" si="33"/>
        <v>5.2392703373790206E-2</v>
      </c>
      <c r="AV188" s="139" t="str">
        <f t="shared" si="33"/>
        <v/>
      </c>
      <c r="AW188" s="139" t="str">
        <f t="shared" si="33"/>
        <v/>
      </c>
      <c r="AX188" s="139" t="str">
        <f t="shared" si="33"/>
        <v/>
      </c>
      <c r="AY188" s="139" t="str">
        <f t="shared" si="33"/>
        <v/>
      </c>
      <c r="AZ188" s="139" t="str">
        <f t="shared" si="33"/>
        <v/>
      </c>
      <c r="BA188" s="139" t="str">
        <f t="shared" si="33"/>
        <v/>
      </c>
      <c r="BB188" s="139" t="str">
        <f t="shared" si="33"/>
        <v/>
      </c>
      <c r="BC188" s="139" t="str">
        <f t="shared" si="33"/>
        <v/>
      </c>
      <c r="BD188" s="139" t="str">
        <f t="shared" si="33"/>
        <v/>
      </c>
      <c r="BF188" s="82">
        <f t="shared" si="26"/>
        <v>5.1339739601737077E-6</v>
      </c>
      <c r="BG188" s="82">
        <f t="shared" si="27"/>
        <v>0.99889276863861476</v>
      </c>
    </row>
    <row r="189" spans="2:59" x14ac:dyDescent="0.3">
      <c r="B189" s="83" t="s">
        <v>271</v>
      </c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>
        <f t="shared" si="24"/>
        <v>0</v>
      </c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>
        <f t="shared" si="25"/>
        <v>0</v>
      </c>
      <c r="AF189" s="84" t="str">
        <f t="shared" si="32"/>
        <v/>
      </c>
      <c r="AG189" s="84" t="str">
        <f t="shared" si="32"/>
        <v/>
      </c>
      <c r="AH189" s="84" t="str">
        <f t="shared" si="32"/>
        <v/>
      </c>
      <c r="AI189" s="84" t="str">
        <f t="shared" si="32"/>
        <v/>
      </c>
      <c r="AJ189" s="84" t="str">
        <f t="shared" si="32"/>
        <v/>
      </c>
      <c r="AK189" s="84" t="str">
        <f t="shared" si="32"/>
        <v/>
      </c>
      <c r="AL189" s="84" t="str">
        <f t="shared" si="32"/>
        <v/>
      </c>
      <c r="AM189" s="84" t="str">
        <f t="shared" si="32"/>
        <v/>
      </c>
      <c r="AN189" s="84" t="str">
        <f t="shared" si="32"/>
        <v/>
      </c>
      <c r="AO189" s="84" t="str">
        <f t="shared" si="32"/>
        <v/>
      </c>
      <c r="AP189" s="84" t="str">
        <f t="shared" si="32"/>
        <v/>
      </c>
      <c r="AQ189" s="84" t="str">
        <f t="shared" si="32"/>
        <v/>
      </c>
      <c r="AR189" s="84" t="str">
        <f t="shared" si="32"/>
        <v/>
      </c>
      <c r="AT189" s="139" t="str">
        <f t="shared" si="33"/>
        <v/>
      </c>
      <c r="AU189" s="139" t="str">
        <f t="shared" si="33"/>
        <v/>
      </c>
      <c r="AV189" s="139" t="str">
        <f t="shared" si="33"/>
        <v/>
      </c>
      <c r="AW189" s="139" t="str">
        <f t="shared" si="33"/>
        <v/>
      </c>
      <c r="AX189" s="139" t="str">
        <f t="shared" si="33"/>
        <v/>
      </c>
      <c r="AY189" s="139" t="str">
        <f t="shared" si="33"/>
        <v/>
      </c>
      <c r="AZ189" s="139" t="str">
        <f t="shared" si="33"/>
        <v/>
      </c>
      <c r="BA189" s="139" t="str">
        <f t="shared" si="33"/>
        <v/>
      </c>
      <c r="BB189" s="139" t="str">
        <f t="shared" si="33"/>
        <v/>
      </c>
      <c r="BC189" s="139" t="str">
        <f t="shared" si="33"/>
        <v/>
      </c>
      <c r="BD189" s="139" t="str">
        <f t="shared" si="33"/>
        <v/>
      </c>
      <c r="BF189" s="82">
        <f t="shared" si="26"/>
        <v>0</v>
      </c>
      <c r="BG189" s="82">
        <f t="shared" si="27"/>
        <v>0.99889276863861476</v>
      </c>
    </row>
    <row r="190" spans="2:59" x14ac:dyDescent="0.3">
      <c r="B190" s="83" t="s">
        <v>272</v>
      </c>
      <c r="D190" s="137">
        <v>32077</v>
      </c>
      <c r="E190" s="137">
        <v>40822</v>
      </c>
      <c r="F190" s="137">
        <v>55046</v>
      </c>
      <c r="G190" s="137"/>
      <c r="H190" s="137"/>
      <c r="I190" s="137"/>
      <c r="J190" s="137"/>
      <c r="K190" s="137"/>
      <c r="L190" s="137"/>
      <c r="M190" s="137"/>
      <c r="N190" s="137"/>
      <c r="O190" s="137"/>
      <c r="P190" s="137">
        <f t="shared" si="24"/>
        <v>127945</v>
      </c>
      <c r="R190" s="137">
        <v>-44</v>
      </c>
      <c r="S190" s="137">
        <v>5967</v>
      </c>
      <c r="T190" s="137">
        <v>7248</v>
      </c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>
        <f t="shared" si="25"/>
        <v>13171</v>
      </c>
      <c r="AF190" s="84">
        <f t="shared" si="32"/>
        <v>-1.3716993484428094E-3</v>
      </c>
      <c r="AG190" s="84">
        <f t="shared" si="32"/>
        <v>0.14617118220567341</v>
      </c>
      <c r="AH190" s="84">
        <f t="shared" si="32"/>
        <v>0.1316716927660502</v>
      </c>
      <c r="AI190" s="84" t="str">
        <f t="shared" si="32"/>
        <v/>
      </c>
      <c r="AJ190" s="84" t="str">
        <f t="shared" si="32"/>
        <v/>
      </c>
      <c r="AK190" s="84" t="str">
        <f t="shared" si="32"/>
        <v/>
      </c>
      <c r="AL190" s="84" t="str">
        <f t="shared" si="32"/>
        <v/>
      </c>
      <c r="AM190" s="84" t="str">
        <f t="shared" si="32"/>
        <v/>
      </c>
      <c r="AN190" s="84" t="str">
        <f t="shared" si="32"/>
        <v/>
      </c>
      <c r="AO190" s="84" t="str">
        <f t="shared" si="32"/>
        <v/>
      </c>
      <c r="AP190" s="84" t="str">
        <f t="shared" si="32"/>
        <v/>
      </c>
      <c r="AQ190" s="84" t="str">
        <f t="shared" si="32"/>
        <v/>
      </c>
      <c r="AR190" s="84">
        <f t="shared" si="32"/>
        <v>0.1029426706788073</v>
      </c>
      <c r="AT190" s="139">
        <f t="shared" si="33"/>
        <v>0.14754288155411621</v>
      </c>
      <c r="AU190" s="139">
        <f t="shared" si="33"/>
        <v>-1.4499489439623203E-2</v>
      </c>
      <c r="AV190" s="139" t="str">
        <f t="shared" si="33"/>
        <v/>
      </c>
      <c r="AW190" s="139" t="str">
        <f t="shared" si="33"/>
        <v/>
      </c>
      <c r="AX190" s="139" t="str">
        <f t="shared" si="33"/>
        <v/>
      </c>
      <c r="AY190" s="139" t="str">
        <f t="shared" si="33"/>
        <v/>
      </c>
      <c r="AZ190" s="139" t="str">
        <f t="shared" si="33"/>
        <v/>
      </c>
      <c r="BA190" s="139" t="str">
        <f t="shared" si="33"/>
        <v/>
      </c>
      <c r="BB190" s="139" t="str">
        <f t="shared" si="33"/>
        <v/>
      </c>
      <c r="BC190" s="139" t="str">
        <f t="shared" si="33"/>
        <v/>
      </c>
      <c r="BD190" s="139" t="str">
        <f t="shared" si="33"/>
        <v/>
      </c>
      <c r="BF190" s="82">
        <f t="shared" si="26"/>
        <v>1.7032637538903755E-5</v>
      </c>
      <c r="BG190" s="82">
        <f t="shared" si="27"/>
        <v>0.9989098012761537</v>
      </c>
    </row>
    <row r="191" spans="2:59" x14ac:dyDescent="0.3">
      <c r="B191" s="83" t="s">
        <v>273</v>
      </c>
      <c r="D191" s="137"/>
      <c r="E191" s="137"/>
      <c r="F191" s="137">
        <v>540</v>
      </c>
      <c r="G191" s="137"/>
      <c r="H191" s="137"/>
      <c r="I191" s="137"/>
      <c r="J191" s="137"/>
      <c r="K191" s="137"/>
      <c r="L191" s="137"/>
      <c r="M191" s="137"/>
      <c r="N191" s="137"/>
      <c r="O191" s="137"/>
      <c r="P191" s="137">
        <f t="shared" si="24"/>
        <v>540</v>
      </c>
      <c r="R191" s="137"/>
      <c r="S191" s="137"/>
      <c r="T191" s="137">
        <v>382</v>
      </c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>
        <f t="shared" si="25"/>
        <v>382</v>
      </c>
      <c r="AF191" s="84" t="str">
        <f t="shared" si="32"/>
        <v/>
      </c>
      <c r="AG191" s="84" t="str">
        <f t="shared" si="32"/>
        <v/>
      </c>
      <c r="AH191" s="84">
        <f t="shared" si="32"/>
        <v>0.70740740740740737</v>
      </c>
      <c r="AI191" s="84" t="str">
        <f t="shared" si="32"/>
        <v/>
      </c>
      <c r="AJ191" s="84" t="str">
        <f t="shared" si="32"/>
        <v/>
      </c>
      <c r="AK191" s="84" t="str">
        <f t="shared" si="32"/>
        <v/>
      </c>
      <c r="AL191" s="84" t="str">
        <f t="shared" si="32"/>
        <v/>
      </c>
      <c r="AM191" s="84" t="str">
        <f t="shared" si="32"/>
        <v/>
      </c>
      <c r="AN191" s="84" t="str">
        <f t="shared" si="32"/>
        <v/>
      </c>
      <c r="AO191" s="84" t="str">
        <f t="shared" si="32"/>
        <v/>
      </c>
      <c r="AP191" s="84" t="str">
        <f t="shared" si="32"/>
        <v/>
      </c>
      <c r="AQ191" s="84" t="str">
        <f t="shared" si="32"/>
        <v/>
      </c>
      <c r="AR191" s="84">
        <f t="shared" si="32"/>
        <v>0.70740740740740737</v>
      </c>
      <c r="AT191" s="139" t="str">
        <f t="shared" si="33"/>
        <v/>
      </c>
      <c r="AU191" s="139" t="str">
        <f t="shared" si="33"/>
        <v/>
      </c>
      <c r="AV191" s="139" t="str">
        <f t="shared" si="33"/>
        <v/>
      </c>
      <c r="AW191" s="139" t="str">
        <f t="shared" si="33"/>
        <v/>
      </c>
      <c r="AX191" s="139" t="str">
        <f t="shared" si="33"/>
        <v/>
      </c>
      <c r="AY191" s="139" t="str">
        <f t="shared" si="33"/>
        <v/>
      </c>
      <c r="AZ191" s="139" t="str">
        <f t="shared" si="33"/>
        <v/>
      </c>
      <c r="BA191" s="139" t="str">
        <f t="shared" si="33"/>
        <v/>
      </c>
      <c r="BB191" s="139" t="str">
        <f t="shared" si="33"/>
        <v/>
      </c>
      <c r="BC191" s="139" t="str">
        <f t="shared" si="33"/>
        <v/>
      </c>
      <c r="BD191" s="139" t="str">
        <f t="shared" si="33"/>
        <v/>
      </c>
      <c r="BF191" s="82">
        <f t="shared" si="26"/>
        <v>4.9399950951797385E-7</v>
      </c>
      <c r="BG191" s="82">
        <f t="shared" si="27"/>
        <v>0.99891029527566322</v>
      </c>
    </row>
    <row r="192" spans="2:59" x14ac:dyDescent="0.3">
      <c r="B192" s="83" t="s">
        <v>274</v>
      </c>
      <c r="D192" s="137">
        <v>22023</v>
      </c>
      <c r="E192" s="137">
        <v>5907</v>
      </c>
      <c r="F192" s="137">
        <v>3874</v>
      </c>
      <c r="G192" s="137"/>
      <c r="H192" s="137"/>
      <c r="I192" s="137"/>
      <c r="J192" s="137"/>
      <c r="K192" s="137"/>
      <c r="L192" s="137"/>
      <c r="M192" s="137"/>
      <c r="N192" s="137"/>
      <c r="O192" s="137"/>
      <c r="P192" s="137">
        <f t="shared" si="24"/>
        <v>31804</v>
      </c>
      <c r="R192" s="137">
        <v>46</v>
      </c>
      <c r="S192" s="137">
        <v>2450</v>
      </c>
      <c r="T192" s="137">
        <v>1225</v>
      </c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>
        <f t="shared" si="25"/>
        <v>3721</v>
      </c>
      <c r="AF192" s="84">
        <f t="shared" si="32"/>
        <v>2.0887254234209689E-3</v>
      </c>
      <c r="AG192" s="84">
        <f t="shared" si="32"/>
        <v>0.41476214660572203</v>
      </c>
      <c r="AH192" s="84">
        <f t="shared" si="32"/>
        <v>0.31621063500258129</v>
      </c>
      <c r="AI192" s="84" t="str">
        <f t="shared" si="32"/>
        <v/>
      </c>
      <c r="AJ192" s="84" t="str">
        <f t="shared" si="32"/>
        <v/>
      </c>
      <c r="AK192" s="84" t="str">
        <f t="shared" si="32"/>
        <v/>
      </c>
      <c r="AL192" s="84" t="str">
        <f t="shared" si="32"/>
        <v/>
      </c>
      <c r="AM192" s="84" t="str">
        <f t="shared" si="32"/>
        <v/>
      </c>
      <c r="AN192" s="84" t="str">
        <f t="shared" ref="AN192:AR223" si="34">+IFERROR(Z192/L192,"")</f>
        <v/>
      </c>
      <c r="AO192" s="84" t="str">
        <f t="shared" si="34"/>
        <v/>
      </c>
      <c r="AP192" s="84" t="str">
        <f t="shared" si="34"/>
        <v/>
      </c>
      <c r="AQ192" s="84" t="str">
        <f t="shared" si="34"/>
        <v/>
      </c>
      <c r="AR192" s="84">
        <f t="shared" si="34"/>
        <v>0.116997861904163</v>
      </c>
      <c r="AT192" s="139">
        <f t="shared" si="33"/>
        <v>0.41267342118230105</v>
      </c>
      <c r="AU192" s="139">
        <f t="shared" si="33"/>
        <v>-9.855151160314074E-2</v>
      </c>
      <c r="AV192" s="139" t="str">
        <f t="shared" si="33"/>
        <v/>
      </c>
      <c r="AW192" s="139" t="str">
        <f t="shared" si="33"/>
        <v/>
      </c>
      <c r="AX192" s="139" t="str">
        <f t="shared" si="33"/>
        <v/>
      </c>
      <c r="AY192" s="139" t="str">
        <f t="shared" si="33"/>
        <v/>
      </c>
      <c r="AZ192" s="139" t="str">
        <f t="shared" si="33"/>
        <v/>
      </c>
      <c r="BA192" s="139" t="str">
        <f t="shared" si="33"/>
        <v/>
      </c>
      <c r="BB192" s="139" t="str">
        <f t="shared" si="33"/>
        <v/>
      </c>
      <c r="BC192" s="139" t="str">
        <f t="shared" si="33"/>
        <v/>
      </c>
      <c r="BD192" s="139" t="str">
        <f t="shared" si="33"/>
        <v/>
      </c>
      <c r="BF192" s="82">
        <f t="shared" si="26"/>
        <v>4.8119690442837194E-6</v>
      </c>
      <c r="BG192" s="82">
        <f t="shared" si="27"/>
        <v>0.99891510724470756</v>
      </c>
    </row>
    <row r="193" spans="2:59" x14ac:dyDescent="0.3">
      <c r="B193" s="83" t="s">
        <v>275</v>
      </c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>
        <f t="shared" si="24"/>
        <v>0</v>
      </c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>
        <f t="shared" si="25"/>
        <v>0</v>
      </c>
      <c r="AF193" s="84" t="str">
        <f t="shared" ref="AF193:AM224" si="35">+IFERROR(R193/D193,"")</f>
        <v/>
      </c>
      <c r="AG193" s="84" t="str">
        <f t="shared" si="35"/>
        <v/>
      </c>
      <c r="AH193" s="84" t="str">
        <f t="shared" si="35"/>
        <v/>
      </c>
      <c r="AI193" s="84" t="str">
        <f t="shared" si="35"/>
        <v/>
      </c>
      <c r="AJ193" s="84" t="str">
        <f t="shared" si="35"/>
        <v/>
      </c>
      <c r="AK193" s="84" t="str">
        <f t="shared" si="35"/>
        <v/>
      </c>
      <c r="AL193" s="84" t="str">
        <f t="shared" si="35"/>
        <v/>
      </c>
      <c r="AM193" s="84" t="str">
        <f t="shared" si="35"/>
        <v/>
      </c>
      <c r="AN193" s="84" t="str">
        <f t="shared" si="34"/>
        <v/>
      </c>
      <c r="AO193" s="84" t="str">
        <f t="shared" si="34"/>
        <v/>
      </c>
      <c r="AP193" s="84" t="str">
        <f t="shared" si="34"/>
        <v/>
      </c>
      <c r="AQ193" s="84" t="str">
        <f t="shared" si="34"/>
        <v/>
      </c>
      <c r="AR193" s="84" t="str">
        <f t="shared" si="34"/>
        <v/>
      </c>
      <c r="AT193" s="139" t="str">
        <f t="shared" si="33"/>
        <v/>
      </c>
      <c r="AU193" s="139" t="str">
        <f t="shared" si="33"/>
        <v/>
      </c>
      <c r="AV193" s="139" t="str">
        <f t="shared" si="33"/>
        <v/>
      </c>
      <c r="AW193" s="139" t="str">
        <f t="shared" si="33"/>
        <v/>
      </c>
      <c r="AX193" s="139" t="str">
        <f t="shared" si="33"/>
        <v/>
      </c>
      <c r="AY193" s="139" t="str">
        <f t="shared" si="33"/>
        <v/>
      </c>
      <c r="AZ193" s="139" t="str">
        <f t="shared" si="33"/>
        <v/>
      </c>
      <c r="BA193" s="139" t="str">
        <f t="shared" si="33"/>
        <v/>
      </c>
      <c r="BB193" s="139" t="str">
        <f t="shared" si="33"/>
        <v/>
      </c>
      <c r="BC193" s="139" t="str">
        <f t="shared" si="33"/>
        <v/>
      </c>
      <c r="BD193" s="139" t="str">
        <f t="shared" si="33"/>
        <v/>
      </c>
      <c r="BF193" s="82">
        <f t="shared" si="26"/>
        <v>0</v>
      </c>
      <c r="BG193" s="82">
        <f t="shared" si="27"/>
        <v>0.99891510724470756</v>
      </c>
    </row>
    <row r="194" spans="2:59" x14ac:dyDescent="0.3">
      <c r="B194" s="83" t="s">
        <v>276</v>
      </c>
      <c r="D194" s="137">
        <v>36693</v>
      </c>
      <c r="E194" s="137">
        <v>40306</v>
      </c>
      <c r="F194" s="137">
        <v>31106</v>
      </c>
      <c r="G194" s="137"/>
      <c r="H194" s="137"/>
      <c r="I194" s="137"/>
      <c r="J194" s="137"/>
      <c r="K194" s="137"/>
      <c r="L194" s="137"/>
      <c r="M194" s="137"/>
      <c r="N194" s="137"/>
      <c r="O194" s="137"/>
      <c r="P194" s="137">
        <f t="shared" si="24"/>
        <v>108105</v>
      </c>
      <c r="R194" s="137">
        <v>8643</v>
      </c>
      <c r="S194" s="137">
        <v>7424</v>
      </c>
      <c r="T194" s="137">
        <v>6142</v>
      </c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>
        <f t="shared" si="25"/>
        <v>22209</v>
      </c>
      <c r="AF194" s="84">
        <f t="shared" si="35"/>
        <v>0.23554901479846294</v>
      </c>
      <c r="AG194" s="84">
        <f t="shared" si="35"/>
        <v>0.18419093931424602</v>
      </c>
      <c r="AH194" s="84">
        <f t="shared" si="35"/>
        <v>0.19745386742107632</v>
      </c>
      <c r="AI194" s="84" t="str">
        <f t="shared" si="35"/>
        <v/>
      </c>
      <c r="AJ194" s="84" t="str">
        <f t="shared" si="35"/>
        <v/>
      </c>
      <c r="AK194" s="84" t="str">
        <f t="shared" si="35"/>
        <v/>
      </c>
      <c r="AL194" s="84" t="str">
        <f t="shared" si="35"/>
        <v/>
      </c>
      <c r="AM194" s="84" t="str">
        <f t="shared" si="35"/>
        <v/>
      </c>
      <c r="AN194" s="84" t="str">
        <f t="shared" si="34"/>
        <v/>
      </c>
      <c r="AO194" s="84" t="str">
        <f t="shared" si="34"/>
        <v/>
      </c>
      <c r="AP194" s="84" t="str">
        <f t="shared" si="34"/>
        <v/>
      </c>
      <c r="AQ194" s="84" t="str">
        <f t="shared" si="34"/>
        <v/>
      </c>
      <c r="AR194" s="84">
        <f t="shared" si="34"/>
        <v>0.20543915637574581</v>
      </c>
      <c r="AT194" s="139">
        <f t="shared" si="33"/>
        <v>-5.135807548421692E-2</v>
      </c>
      <c r="AU194" s="139">
        <f t="shared" si="33"/>
        <v>1.3262928106830302E-2</v>
      </c>
      <c r="AV194" s="139" t="str">
        <f t="shared" si="33"/>
        <v/>
      </c>
      <c r="AW194" s="139" t="str">
        <f t="shared" si="33"/>
        <v/>
      </c>
      <c r="AX194" s="139" t="str">
        <f t="shared" si="33"/>
        <v/>
      </c>
      <c r="AY194" s="139" t="str">
        <f t="shared" si="33"/>
        <v/>
      </c>
      <c r="AZ194" s="139" t="str">
        <f t="shared" si="33"/>
        <v/>
      </c>
      <c r="BA194" s="139" t="str">
        <f t="shared" si="33"/>
        <v/>
      </c>
      <c r="BB194" s="139" t="str">
        <f t="shared" si="33"/>
        <v/>
      </c>
      <c r="BC194" s="139" t="str">
        <f t="shared" si="33"/>
        <v/>
      </c>
      <c r="BD194" s="139" t="str">
        <f t="shared" si="33"/>
        <v/>
      </c>
      <c r="BF194" s="82">
        <f t="shared" si="26"/>
        <v>2.8720510751007022E-5</v>
      </c>
      <c r="BG194" s="82">
        <f t="shared" si="27"/>
        <v>0.99894382775545854</v>
      </c>
    </row>
    <row r="195" spans="2:59" x14ac:dyDescent="0.3">
      <c r="B195" s="83" t="s">
        <v>277</v>
      </c>
      <c r="D195" s="137">
        <v>29738</v>
      </c>
      <c r="E195" s="137">
        <v>22869</v>
      </c>
      <c r="F195" s="137">
        <v>21369</v>
      </c>
      <c r="G195" s="137"/>
      <c r="H195" s="137"/>
      <c r="I195" s="137"/>
      <c r="J195" s="137"/>
      <c r="K195" s="137"/>
      <c r="L195" s="137"/>
      <c r="M195" s="137"/>
      <c r="N195" s="137"/>
      <c r="O195" s="137"/>
      <c r="P195" s="137">
        <f t="shared" si="24"/>
        <v>73976</v>
      </c>
      <c r="R195" s="137">
        <v>23080</v>
      </c>
      <c r="S195" s="137">
        <v>18565</v>
      </c>
      <c r="T195" s="137">
        <v>9967</v>
      </c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>
        <f t="shared" si="25"/>
        <v>51612</v>
      </c>
      <c r="AF195" s="84">
        <f t="shared" si="35"/>
        <v>0.77611137265451613</v>
      </c>
      <c r="AG195" s="84">
        <f t="shared" si="35"/>
        <v>0.81179762997944815</v>
      </c>
      <c r="AH195" s="84">
        <f t="shared" si="35"/>
        <v>0.4664233235060134</v>
      </c>
      <c r="AI195" s="84" t="str">
        <f t="shared" si="35"/>
        <v/>
      </c>
      <c r="AJ195" s="84" t="str">
        <f t="shared" si="35"/>
        <v/>
      </c>
      <c r="AK195" s="84" t="str">
        <f t="shared" si="35"/>
        <v/>
      </c>
      <c r="AL195" s="84" t="str">
        <f t="shared" si="35"/>
        <v/>
      </c>
      <c r="AM195" s="84" t="str">
        <f t="shared" si="35"/>
        <v/>
      </c>
      <c r="AN195" s="84" t="str">
        <f t="shared" si="34"/>
        <v/>
      </c>
      <c r="AO195" s="84" t="str">
        <f t="shared" si="34"/>
        <v/>
      </c>
      <c r="AP195" s="84" t="str">
        <f t="shared" si="34"/>
        <v/>
      </c>
      <c r="AQ195" s="84" t="str">
        <f t="shared" si="34"/>
        <v/>
      </c>
      <c r="AR195" s="84">
        <f t="shared" si="34"/>
        <v>0.69768573591435057</v>
      </c>
      <c r="AT195" s="139">
        <f t="shared" si="33"/>
        <v>3.5686257324932025E-2</v>
      </c>
      <c r="AU195" s="139">
        <f t="shared" si="33"/>
        <v>-0.34537430647343476</v>
      </c>
      <c r="AV195" s="139" t="str">
        <f t="shared" si="33"/>
        <v/>
      </c>
      <c r="AW195" s="139" t="str">
        <f t="shared" si="33"/>
        <v/>
      </c>
      <c r="AX195" s="139" t="str">
        <f t="shared" si="33"/>
        <v/>
      </c>
      <c r="AY195" s="139" t="str">
        <f t="shared" si="33"/>
        <v/>
      </c>
      <c r="AZ195" s="139" t="str">
        <f t="shared" si="33"/>
        <v/>
      </c>
      <c r="BA195" s="139" t="str">
        <f t="shared" si="33"/>
        <v/>
      </c>
      <c r="BB195" s="139" t="str">
        <f t="shared" si="33"/>
        <v/>
      </c>
      <c r="BC195" s="139" t="str">
        <f t="shared" si="33"/>
        <v/>
      </c>
      <c r="BD195" s="139" t="str">
        <f t="shared" si="33"/>
        <v/>
      </c>
      <c r="BF195" s="82">
        <f t="shared" si="26"/>
        <v>6.6744247867124785E-5</v>
      </c>
      <c r="BG195" s="82">
        <f t="shared" si="27"/>
        <v>0.99901057200332566</v>
      </c>
    </row>
    <row r="196" spans="2:59" x14ac:dyDescent="0.3">
      <c r="B196" s="83" t="s">
        <v>278</v>
      </c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>
        <f t="shared" si="24"/>
        <v>0</v>
      </c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>
        <f t="shared" si="25"/>
        <v>0</v>
      </c>
      <c r="AF196" s="84" t="str">
        <f t="shared" si="35"/>
        <v/>
      </c>
      <c r="AG196" s="84" t="str">
        <f t="shared" si="35"/>
        <v/>
      </c>
      <c r="AH196" s="84" t="str">
        <f t="shared" si="35"/>
        <v/>
      </c>
      <c r="AI196" s="84" t="str">
        <f t="shared" si="35"/>
        <v/>
      </c>
      <c r="AJ196" s="84" t="str">
        <f t="shared" si="35"/>
        <v/>
      </c>
      <c r="AK196" s="84" t="str">
        <f t="shared" si="35"/>
        <v/>
      </c>
      <c r="AL196" s="84" t="str">
        <f t="shared" si="35"/>
        <v/>
      </c>
      <c r="AM196" s="84" t="str">
        <f t="shared" si="35"/>
        <v/>
      </c>
      <c r="AN196" s="84" t="str">
        <f t="shared" si="34"/>
        <v/>
      </c>
      <c r="AO196" s="84" t="str">
        <f t="shared" si="34"/>
        <v/>
      </c>
      <c r="AP196" s="84" t="str">
        <f t="shared" si="34"/>
        <v/>
      </c>
      <c r="AQ196" s="84" t="str">
        <f t="shared" si="34"/>
        <v/>
      </c>
      <c r="AR196" s="84" t="str">
        <f t="shared" si="34"/>
        <v/>
      </c>
      <c r="AT196" s="139" t="str">
        <f t="shared" si="33"/>
        <v/>
      </c>
      <c r="AU196" s="139" t="str">
        <f t="shared" si="33"/>
        <v/>
      </c>
      <c r="AV196" s="139" t="str">
        <f t="shared" si="33"/>
        <v/>
      </c>
      <c r="AW196" s="139" t="str">
        <f t="shared" si="33"/>
        <v/>
      </c>
      <c r="AX196" s="139" t="str">
        <f t="shared" si="33"/>
        <v/>
      </c>
      <c r="AY196" s="139" t="str">
        <f t="shared" si="33"/>
        <v/>
      </c>
      <c r="AZ196" s="139" t="str">
        <f t="shared" si="33"/>
        <v/>
      </c>
      <c r="BA196" s="139" t="str">
        <f t="shared" si="33"/>
        <v/>
      </c>
      <c r="BB196" s="139" t="str">
        <f t="shared" si="33"/>
        <v/>
      </c>
      <c r="BC196" s="139" t="str">
        <f t="shared" si="33"/>
        <v/>
      </c>
      <c r="BD196" s="139" t="str">
        <f t="shared" si="33"/>
        <v/>
      </c>
      <c r="BF196" s="82">
        <f t="shared" si="26"/>
        <v>0</v>
      </c>
      <c r="BG196" s="82">
        <f t="shared" si="27"/>
        <v>0.99901057200332566</v>
      </c>
    </row>
    <row r="197" spans="2:59" x14ac:dyDescent="0.3">
      <c r="B197" s="83" t="s">
        <v>279</v>
      </c>
      <c r="D197" s="137">
        <v>7671</v>
      </c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>
        <f t="shared" ref="P197:P235" si="36">+SUM(D197:O197)</f>
        <v>7671</v>
      </c>
      <c r="R197" s="137">
        <v>2841</v>
      </c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>
        <f t="shared" ref="AD197:AD235" si="37">+SUM(R197:AC197)</f>
        <v>2841</v>
      </c>
      <c r="AF197" s="84">
        <f t="shared" si="35"/>
        <v>0.37035588580367618</v>
      </c>
      <c r="AG197" s="84" t="str">
        <f t="shared" si="35"/>
        <v/>
      </c>
      <c r="AH197" s="84" t="str">
        <f t="shared" si="35"/>
        <v/>
      </c>
      <c r="AI197" s="84" t="str">
        <f t="shared" si="35"/>
        <v/>
      </c>
      <c r="AJ197" s="84" t="str">
        <f t="shared" si="35"/>
        <v/>
      </c>
      <c r="AK197" s="84" t="str">
        <f t="shared" si="35"/>
        <v/>
      </c>
      <c r="AL197" s="84" t="str">
        <f t="shared" si="35"/>
        <v/>
      </c>
      <c r="AM197" s="84" t="str">
        <f t="shared" si="35"/>
        <v/>
      </c>
      <c r="AN197" s="84" t="str">
        <f t="shared" si="34"/>
        <v/>
      </c>
      <c r="AO197" s="84" t="str">
        <f t="shared" si="34"/>
        <v/>
      </c>
      <c r="AP197" s="84" t="str">
        <f t="shared" si="34"/>
        <v/>
      </c>
      <c r="AQ197" s="84" t="str">
        <f t="shared" si="34"/>
        <v/>
      </c>
      <c r="AR197" s="84">
        <f t="shared" si="34"/>
        <v>0.37035588580367618</v>
      </c>
      <c r="AT197" s="139" t="str">
        <f t="shared" si="33"/>
        <v/>
      </c>
      <c r="AU197" s="139" t="str">
        <f t="shared" si="33"/>
        <v/>
      </c>
      <c r="AV197" s="139" t="str">
        <f t="shared" si="33"/>
        <v/>
      </c>
      <c r="AW197" s="139" t="str">
        <f t="shared" si="33"/>
        <v/>
      </c>
      <c r="AX197" s="139" t="str">
        <f t="shared" si="33"/>
        <v/>
      </c>
      <c r="AY197" s="139" t="str">
        <f t="shared" si="33"/>
        <v/>
      </c>
      <c r="AZ197" s="139" t="str">
        <f t="shared" si="33"/>
        <v/>
      </c>
      <c r="BA197" s="139" t="str">
        <f t="shared" si="33"/>
        <v/>
      </c>
      <c r="BB197" s="139" t="str">
        <f t="shared" si="33"/>
        <v/>
      </c>
      <c r="BC197" s="139" t="str">
        <f t="shared" si="33"/>
        <v/>
      </c>
      <c r="BD197" s="139" t="str">
        <f t="shared" si="33"/>
        <v/>
      </c>
      <c r="BF197" s="82">
        <f t="shared" ref="BF197:BF235" si="38">+AD197/$AD$236</f>
        <v>3.6739597029857694E-6</v>
      </c>
      <c r="BG197" s="82">
        <f t="shared" si="27"/>
        <v>0.99901424596302868</v>
      </c>
    </row>
    <row r="198" spans="2:59" x14ac:dyDescent="0.3">
      <c r="B198" s="83" t="s">
        <v>280</v>
      </c>
      <c r="D198" s="137">
        <v>262899</v>
      </c>
      <c r="E198" s="137">
        <v>282473</v>
      </c>
      <c r="F198" s="137">
        <v>332801</v>
      </c>
      <c r="G198" s="137"/>
      <c r="H198" s="137"/>
      <c r="I198" s="137"/>
      <c r="J198" s="137"/>
      <c r="K198" s="137"/>
      <c r="L198" s="137"/>
      <c r="M198" s="137"/>
      <c r="N198" s="137"/>
      <c r="O198" s="137"/>
      <c r="P198" s="137">
        <f t="shared" si="36"/>
        <v>878173</v>
      </c>
      <c r="R198" s="137">
        <v>23941</v>
      </c>
      <c r="S198" s="137">
        <v>67483</v>
      </c>
      <c r="T198" s="137">
        <v>48263</v>
      </c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>
        <f t="shared" si="37"/>
        <v>139687</v>
      </c>
      <c r="AF198" s="84">
        <f t="shared" si="35"/>
        <v>9.1065390130810692E-2</v>
      </c>
      <c r="AG198" s="84">
        <f t="shared" si="35"/>
        <v>0.23890070909432051</v>
      </c>
      <c r="AH198" s="84">
        <f t="shared" si="35"/>
        <v>0.14502059789483807</v>
      </c>
      <c r="AI198" s="84" t="str">
        <f t="shared" si="35"/>
        <v/>
      </c>
      <c r="AJ198" s="84" t="str">
        <f t="shared" si="35"/>
        <v/>
      </c>
      <c r="AK198" s="84" t="str">
        <f t="shared" si="35"/>
        <v/>
      </c>
      <c r="AL198" s="84" t="str">
        <f t="shared" si="35"/>
        <v/>
      </c>
      <c r="AM198" s="84" t="str">
        <f t="shared" si="35"/>
        <v/>
      </c>
      <c r="AN198" s="84" t="str">
        <f t="shared" si="34"/>
        <v/>
      </c>
      <c r="AO198" s="84" t="str">
        <f t="shared" si="34"/>
        <v/>
      </c>
      <c r="AP198" s="84" t="str">
        <f t="shared" si="34"/>
        <v/>
      </c>
      <c r="AQ198" s="84" t="str">
        <f t="shared" si="34"/>
        <v/>
      </c>
      <c r="AR198" s="84">
        <f t="shared" si="34"/>
        <v>0.1590654688768614</v>
      </c>
      <c r="AT198" s="139">
        <f t="shared" si="33"/>
        <v>0.14783531896350982</v>
      </c>
      <c r="AU198" s="139">
        <f t="shared" si="33"/>
        <v>-9.3880111199482447E-2</v>
      </c>
      <c r="AV198" s="139" t="str">
        <f t="shared" si="33"/>
        <v/>
      </c>
      <c r="AW198" s="139" t="str">
        <f t="shared" si="33"/>
        <v/>
      </c>
      <c r="AX198" s="139" t="str">
        <f t="shared" si="33"/>
        <v/>
      </c>
      <c r="AY198" s="139" t="str">
        <f t="shared" si="33"/>
        <v/>
      </c>
      <c r="AZ198" s="139" t="str">
        <f t="shared" si="33"/>
        <v/>
      </c>
      <c r="BA198" s="139" t="str">
        <f t="shared" si="33"/>
        <v/>
      </c>
      <c r="BB198" s="139" t="str">
        <f t="shared" si="33"/>
        <v/>
      </c>
      <c r="BC198" s="139" t="str">
        <f t="shared" si="33"/>
        <v/>
      </c>
      <c r="BD198" s="139" t="str">
        <f t="shared" si="33"/>
        <v/>
      </c>
      <c r="BF198" s="82">
        <f t="shared" si="38"/>
        <v>1.8064217142941681E-4</v>
      </c>
      <c r="BG198" s="82">
        <f t="shared" ref="BG198:BG235" si="39">+BF198+BG197</f>
        <v>0.99919488813445811</v>
      </c>
    </row>
    <row r="199" spans="2:59" x14ac:dyDescent="0.3">
      <c r="B199" s="83" t="s">
        <v>281</v>
      </c>
      <c r="D199" s="137"/>
      <c r="E199" s="137">
        <v>4914</v>
      </c>
      <c r="F199" s="137">
        <v>1125</v>
      </c>
      <c r="G199" s="137"/>
      <c r="H199" s="137"/>
      <c r="I199" s="137"/>
      <c r="J199" s="137"/>
      <c r="K199" s="137"/>
      <c r="L199" s="137"/>
      <c r="M199" s="137"/>
      <c r="N199" s="137"/>
      <c r="O199" s="137"/>
      <c r="P199" s="137">
        <f t="shared" si="36"/>
        <v>6039</v>
      </c>
      <c r="R199" s="137"/>
      <c r="S199" s="137">
        <v>461</v>
      </c>
      <c r="T199" s="137">
        <v>475</v>
      </c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>
        <f t="shared" si="37"/>
        <v>936</v>
      </c>
      <c r="AF199" s="84" t="str">
        <f t="shared" si="35"/>
        <v/>
      </c>
      <c r="AG199" s="84">
        <f t="shared" si="35"/>
        <v>9.3813593813593818E-2</v>
      </c>
      <c r="AH199" s="84">
        <f t="shared" si="35"/>
        <v>0.42222222222222222</v>
      </c>
      <c r="AI199" s="84" t="str">
        <f t="shared" si="35"/>
        <v/>
      </c>
      <c r="AJ199" s="84" t="str">
        <f t="shared" si="35"/>
        <v/>
      </c>
      <c r="AK199" s="84" t="str">
        <f t="shared" si="35"/>
        <v/>
      </c>
      <c r="AL199" s="84" t="str">
        <f t="shared" si="35"/>
        <v/>
      </c>
      <c r="AM199" s="84" t="str">
        <f t="shared" si="35"/>
        <v/>
      </c>
      <c r="AN199" s="84" t="str">
        <f t="shared" si="34"/>
        <v/>
      </c>
      <c r="AO199" s="84" t="str">
        <f t="shared" si="34"/>
        <v/>
      </c>
      <c r="AP199" s="84" t="str">
        <f t="shared" si="34"/>
        <v/>
      </c>
      <c r="AQ199" s="84" t="str">
        <f t="shared" si="34"/>
        <v/>
      </c>
      <c r="AR199" s="84">
        <f t="shared" si="34"/>
        <v>0.15499254843517138</v>
      </c>
      <c r="AT199" s="139" t="str">
        <f t="shared" si="33"/>
        <v/>
      </c>
      <c r="AU199" s="139">
        <f t="shared" si="33"/>
        <v>0.32840862840862839</v>
      </c>
      <c r="AV199" s="139" t="str">
        <f t="shared" si="33"/>
        <v/>
      </c>
      <c r="AW199" s="139" t="str">
        <f t="shared" si="33"/>
        <v/>
      </c>
      <c r="AX199" s="139" t="str">
        <f t="shared" si="33"/>
        <v/>
      </c>
      <c r="AY199" s="139" t="str">
        <f t="shared" si="33"/>
        <v/>
      </c>
      <c r="AZ199" s="139" t="str">
        <f t="shared" si="33"/>
        <v/>
      </c>
      <c r="BA199" s="139" t="str">
        <f t="shared" si="33"/>
        <v/>
      </c>
      <c r="BB199" s="139" t="str">
        <f t="shared" si="33"/>
        <v/>
      </c>
      <c r="BC199" s="139" t="str">
        <f t="shared" si="33"/>
        <v/>
      </c>
      <c r="BD199" s="139" t="str">
        <f t="shared" si="33"/>
        <v/>
      </c>
      <c r="BF199" s="82">
        <f t="shared" si="38"/>
        <v>1.2104281175623654E-6</v>
      </c>
      <c r="BG199" s="82">
        <f t="shared" si="39"/>
        <v>0.99919609856257563</v>
      </c>
    </row>
    <row r="200" spans="2:59" x14ac:dyDescent="0.3">
      <c r="B200" s="83" t="s">
        <v>282</v>
      </c>
      <c r="D200" s="137">
        <v>98688</v>
      </c>
      <c r="E200" s="137">
        <v>54361</v>
      </c>
      <c r="F200" s="137">
        <v>61523</v>
      </c>
      <c r="G200" s="137"/>
      <c r="H200" s="137"/>
      <c r="I200" s="137"/>
      <c r="J200" s="137"/>
      <c r="K200" s="137"/>
      <c r="L200" s="137"/>
      <c r="M200" s="137"/>
      <c r="N200" s="137"/>
      <c r="O200" s="137"/>
      <c r="P200" s="137">
        <f t="shared" si="36"/>
        <v>214572</v>
      </c>
      <c r="R200" s="137">
        <v>7376</v>
      </c>
      <c r="S200" s="137">
        <v>5901</v>
      </c>
      <c r="T200" s="137">
        <v>4993</v>
      </c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>
        <f t="shared" si="37"/>
        <v>18270</v>
      </c>
      <c r="AF200" s="84">
        <f t="shared" si="35"/>
        <v>7.4740596627756159E-2</v>
      </c>
      <c r="AG200" s="84">
        <f t="shared" si="35"/>
        <v>0.10855208697411747</v>
      </c>
      <c r="AH200" s="84">
        <f t="shared" si="35"/>
        <v>8.1156640605952249E-2</v>
      </c>
      <c r="AI200" s="84" t="str">
        <f t="shared" si="35"/>
        <v/>
      </c>
      <c r="AJ200" s="84" t="str">
        <f t="shared" si="35"/>
        <v/>
      </c>
      <c r="AK200" s="84" t="str">
        <f t="shared" si="35"/>
        <v/>
      </c>
      <c r="AL200" s="84" t="str">
        <f t="shared" si="35"/>
        <v/>
      </c>
      <c r="AM200" s="84" t="str">
        <f t="shared" si="35"/>
        <v/>
      </c>
      <c r="AN200" s="84" t="str">
        <f t="shared" si="34"/>
        <v/>
      </c>
      <c r="AO200" s="84" t="str">
        <f t="shared" si="34"/>
        <v/>
      </c>
      <c r="AP200" s="84" t="str">
        <f t="shared" si="34"/>
        <v/>
      </c>
      <c r="AQ200" s="84" t="str">
        <f t="shared" si="34"/>
        <v/>
      </c>
      <c r="AR200" s="84">
        <f t="shared" si="34"/>
        <v>8.5146244617191433E-2</v>
      </c>
      <c r="AT200" s="139">
        <f t="shared" si="33"/>
        <v>3.3811490346361314E-2</v>
      </c>
      <c r="AU200" s="139">
        <f t="shared" si="33"/>
        <v>-2.7395446368165224E-2</v>
      </c>
      <c r="AV200" s="139" t="str">
        <f t="shared" si="33"/>
        <v/>
      </c>
      <c r="AW200" s="139" t="str">
        <f t="shared" si="33"/>
        <v/>
      </c>
      <c r="AX200" s="139" t="str">
        <f t="shared" si="33"/>
        <v/>
      </c>
      <c r="AY200" s="139" t="str">
        <f t="shared" si="33"/>
        <v/>
      </c>
      <c r="AZ200" s="139" t="str">
        <f t="shared" si="33"/>
        <v/>
      </c>
      <c r="BA200" s="139" t="str">
        <f t="shared" si="33"/>
        <v/>
      </c>
      <c r="BB200" s="139" t="str">
        <f t="shared" si="33"/>
        <v/>
      </c>
      <c r="BC200" s="139" t="str">
        <f t="shared" si="33"/>
        <v/>
      </c>
      <c r="BD200" s="139" t="str">
        <f t="shared" si="33"/>
        <v/>
      </c>
      <c r="BF200" s="82">
        <f t="shared" si="38"/>
        <v>2.3626625756265402E-5</v>
      </c>
      <c r="BG200" s="82">
        <f t="shared" si="39"/>
        <v>0.99921972518833191</v>
      </c>
    </row>
    <row r="201" spans="2:59" x14ac:dyDescent="0.3">
      <c r="B201" s="83" t="s">
        <v>283</v>
      </c>
      <c r="D201" s="137">
        <v>212737</v>
      </c>
      <c r="E201" s="137">
        <v>239832</v>
      </c>
      <c r="F201" s="137">
        <v>243570</v>
      </c>
      <c r="G201" s="137"/>
      <c r="H201" s="137"/>
      <c r="I201" s="137"/>
      <c r="J201" s="137"/>
      <c r="K201" s="137"/>
      <c r="L201" s="137"/>
      <c r="M201" s="137"/>
      <c r="N201" s="137"/>
      <c r="O201" s="137"/>
      <c r="P201" s="137">
        <f t="shared" si="36"/>
        <v>696139</v>
      </c>
      <c r="R201" s="137">
        <v>41297</v>
      </c>
      <c r="S201" s="137">
        <v>43573</v>
      </c>
      <c r="T201" s="137">
        <v>46038</v>
      </c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>
        <f t="shared" si="37"/>
        <v>130908</v>
      </c>
      <c r="AF201" s="84">
        <f t="shared" si="35"/>
        <v>0.19412232004775851</v>
      </c>
      <c r="AG201" s="84">
        <f t="shared" si="35"/>
        <v>0.18168134360719171</v>
      </c>
      <c r="AH201" s="84">
        <f t="shared" si="35"/>
        <v>0.18901342529868209</v>
      </c>
      <c r="AI201" s="84" t="str">
        <f t="shared" si="35"/>
        <v/>
      </c>
      <c r="AJ201" s="84" t="str">
        <f t="shared" si="35"/>
        <v/>
      </c>
      <c r="AK201" s="84" t="str">
        <f t="shared" si="35"/>
        <v/>
      </c>
      <c r="AL201" s="84" t="str">
        <f t="shared" si="35"/>
        <v/>
      </c>
      <c r="AM201" s="84" t="str">
        <f t="shared" si="35"/>
        <v/>
      </c>
      <c r="AN201" s="84" t="str">
        <f t="shared" si="34"/>
        <v/>
      </c>
      <c r="AO201" s="84" t="str">
        <f t="shared" si="34"/>
        <v/>
      </c>
      <c r="AP201" s="84" t="str">
        <f t="shared" si="34"/>
        <v/>
      </c>
      <c r="AQ201" s="84" t="str">
        <f t="shared" si="34"/>
        <v/>
      </c>
      <c r="AR201" s="84">
        <f t="shared" si="34"/>
        <v>0.18804865120327979</v>
      </c>
      <c r="AT201" s="139">
        <f t="shared" si="33"/>
        <v>-1.2440976440566798E-2</v>
      </c>
      <c r="AU201" s="139">
        <f t="shared" si="33"/>
        <v>7.332081691490383E-3</v>
      </c>
      <c r="AV201" s="139" t="str">
        <f t="shared" si="33"/>
        <v/>
      </c>
      <c r="AW201" s="139" t="str">
        <f t="shared" si="33"/>
        <v/>
      </c>
      <c r="AX201" s="139" t="str">
        <f t="shared" si="33"/>
        <v/>
      </c>
      <c r="AY201" s="139" t="str">
        <f t="shared" si="33"/>
        <v/>
      </c>
      <c r="AZ201" s="139" t="str">
        <f t="shared" si="33"/>
        <v/>
      </c>
      <c r="BA201" s="139" t="str">
        <f t="shared" si="33"/>
        <v/>
      </c>
      <c r="BB201" s="139" t="str">
        <f t="shared" si="33"/>
        <v/>
      </c>
      <c r="BC201" s="139" t="str">
        <f t="shared" si="33"/>
        <v/>
      </c>
      <c r="BD201" s="139" t="str">
        <f t="shared" si="33"/>
        <v/>
      </c>
      <c r="BF201" s="82">
        <f t="shared" si="38"/>
        <v>1.6928923505753646E-4</v>
      </c>
      <c r="BG201" s="82">
        <f t="shared" si="39"/>
        <v>0.99938901442338945</v>
      </c>
    </row>
    <row r="202" spans="2:59" x14ac:dyDescent="0.3">
      <c r="B202" s="83" t="s">
        <v>284</v>
      </c>
      <c r="D202" s="137">
        <v>1951</v>
      </c>
      <c r="E202" s="137">
        <v>2391</v>
      </c>
      <c r="F202" s="137">
        <v>4657</v>
      </c>
      <c r="G202" s="137"/>
      <c r="H202" s="137"/>
      <c r="I202" s="137"/>
      <c r="J202" s="137"/>
      <c r="K202" s="137"/>
      <c r="L202" s="137"/>
      <c r="M202" s="137"/>
      <c r="N202" s="137"/>
      <c r="O202" s="137"/>
      <c r="P202" s="137">
        <f t="shared" si="36"/>
        <v>8999</v>
      </c>
      <c r="R202" s="137">
        <v>256</v>
      </c>
      <c r="S202" s="137">
        <v>442</v>
      </c>
      <c r="T202" s="137">
        <v>876</v>
      </c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>
        <f t="shared" si="37"/>
        <v>1574</v>
      </c>
      <c r="AF202" s="84">
        <f t="shared" si="35"/>
        <v>0.13121476166068682</v>
      </c>
      <c r="AG202" s="84">
        <f t="shared" si="35"/>
        <v>0.18485989125888749</v>
      </c>
      <c r="AH202" s="84">
        <f t="shared" si="35"/>
        <v>0.18810392956839167</v>
      </c>
      <c r="AI202" s="84" t="str">
        <f t="shared" si="35"/>
        <v/>
      </c>
      <c r="AJ202" s="84" t="str">
        <f t="shared" si="35"/>
        <v/>
      </c>
      <c r="AK202" s="84" t="str">
        <f t="shared" si="35"/>
        <v/>
      </c>
      <c r="AL202" s="84" t="str">
        <f t="shared" si="35"/>
        <v/>
      </c>
      <c r="AM202" s="84" t="str">
        <f t="shared" si="35"/>
        <v/>
      </c>
      <c r="AN202" s="84" t="str">
        <f t="shared" si="34"/>
        <v/>
      </c>
      <c r="AO202" s="84" t="str">
        <f t="shared" si="34"/>
        <v/>
      </c>
      <c r="AP202" s="84" t="str">
        <f t="shared" si="34"/>
        <v/>
      </c>
      <c r="AQ202" s="84" t="str">
        <f t="shared" si="34"/>
        <v/>
      </c>
      <c r="AR202" s="84">
        <f t="shared" si="34"/>
        <v>0.17490832314701635</v>
      </c>
      <c r="AT202" s="139">
        <f t="shared" si="33"/>
        <v>5.3645129598200669E-2</v>
      </c>
      <c r="AU202" s="139">
        <f t="shared" si="33"/>
        <v>3.2440383095041769E-3</v>
      </c>
      <c r="AV202" s="139" t="str">
        <f t="shared" si="33"/>
        <v/>
      </c>
      <c r="AW202" s="139" t="str">
        <f t="shared" si="33"/>
        <v/>
      </c>
      <c r="AX202" s="139" t="str">
        <f t="shared" si="33"/>
        <v/>
      </c>
      <c r="AY202" s="139" t="str">
        <f t="shared" si="33"/>
        <v/>
      </c>
      <c r="AZ202" s="139" t="str">
        <f t="shared" si="33"/>
        <v/>
      </c>
      <c r="BA202" s="139" t="str">
        <f t="shared" si="33"/>
        <v/>
      </c>
      <c r="BB202" s="139" t="str">
        <f t="shared" si="33"/>
        <v/>
      </c>
      <c r="BC202" s="139" t="str">
        <f t="shared" si="33"/>
        <v/>
      </c>
      <c r="BD202" s="139" t="str">
        <f t="shared" si="33"/>
        <v/>
      </c>
      <c r="BF202" s="82">
        <f t="shared" si="38"/>
        <v>2.0354848900033795E-6</v>
      </c>
      <c r="BG202" s="82">
        <f t="shared" si="39"/>
        <v>0.99939104990827943</v>
      </c>
    </row>
    <row r="203" spans="2:59" x14ac:dyDescent="0.3">
      <c r="B203" s="83" t="s">
        <v>285</v>
      </c>
      <c r="D203" s="137">
        <v>43778</v>
      </c>
      <c r="E203" s="137">
        <v>61429</v>
      </c>
      <c r="F203" s="137">
        <v>52956</v>
      </c>
      <c r="G203" s="137"/>
      <c r="H203" s="137"/>
      <c r="I203" s="137"/>
      <c r="J203" s="137"/>
      <c r="K203" s="137"/>
      <c r="L203" s="137"/>
      <c r="M203" s="137"/>
      <c r="N203" s="137"/>
      <c r="O203" s="137"/>
      <c r="P203" s="137">
        <f t="shared" si="36"/>
        <v>158163</v>
      </c>
      <c r="R203" s="137">
        <v>7888</v>
      </c>
      <c r="S203" s="137">
        <v>7422</v>
      </c>
      <c r="T203" s="137">
        <v>3046</v>
      </c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>
        <f t="shared" si="37"/>
        <v>18356</v>
      </c>
      <c r="AF203" s="84">
        <f t="shared" si="35"/>
        <v>0.18018182648819042</v>
      </c>
      <c r="AG203" s="84">
        <f t="shared" si="35"/>
        <v>0.12082241286688697</v>
      </c>
      <c r="AH203" s="84">
        <f t="shared" si="35"/>
        <v>5.7519450109524889E-2</v>
      </c>
      <c r="AI203" s="84" t="str">
        <f t="shared" si="35"/>
        <v/>
      </c>
      <c r="AJ203" s="84" t="str">
        <f t="shared" si="35"/>
        <v/>
      </c>
      <c r="AK203" s="84" t="str">
        <f t="shared" si="35"/>
        <v/>
      </c>
      <c r="AL203" s="84" t="str">
        <f t="shared" si="35"/>
        <v/>
      </c>
      <c r="AM203" s="84" t="str">
        <f t="shared" si="35"/>
        <v/>
      </c>
      <c r="AN203" s="84" t="str">
        <f t="shared" si="34"/>
        <v/>
      </c>
      <c r="AO203" s="84" t="str">
        <f t="shared" si="34"/>
        <v/>
      </c>
      <c r="AP203" s="84" t="str">
        <f t="shared" si="34"/>
        <v/>
      </c>
      <c r="AQ203" s="84" t="str">
        <f t="shared" si="34"/>
        <v/>
      </c>
      <c r="AR203" s="84">
        <f t="shared" si="34"/>
        <v>0.11605748499965225</v>
      </c>
      <c r="AT203" s="139">
        <f t="shared" si="33"/>
        <v>-5.9359413621303453E-2</v>
      </c>
      <c r="AU203" s="139">
        <f t="shared" si="33"/>
        <v>-6.330296275736208E-2</v>
      </c>
      <c r="AV203" s="139" t="str">
        <f t="shared" si="33"/>
        <v/>
      </c>
      <c r="AW203" s="139" t="str">
        <f t="shared" si="33"/>
        <v/>
      </c>
      <c r="AX203" s="139" t="str">
        <f t="shared" si="33"/>
        <v/>
      </c>
      <c r="AY203" s="139" t="str">
        <f t="shared" si="33"/>
        <v/>
      </c>
      <c r="AZ203" s="139" t="str">
        <f t="shared" si="33"/>
        <v/>
      </c>
      <c r="BA203" s="139" t="str">
        <f t="shared" si="33"/>
        <v/>
      </c>
      <c r="BB203" s="139" t="str">
        <f t="shared" si="33"/>
        <v/>
      </c>
      <c r="BC203" s="139" t="str">
        <f t="shared" si="33"/>
        <v/>
      </c>
      <c r="BD203" s="139" t="str">
        <f t="shared" si="33"/>
        <v/>
      </c>
      <c r="BF203" s="82">
        <f t="shared" si="38"/>
        <v>2.373784030552861E-5</v>
      </c>
      <c r="BG203" s="82">
        <f t="shared" si="39"/>
        <v>0.99941478774858494</v>
      </c>
    </row>
    <row r="204" spans="2:59" x14ac:dyDescent="0.3">
      <c r="B204" s="83" t="s">
        <v>297</v>
      </c>
      <c r="D204" s="137">
        <v>60844</v>
      </c>
      <c r="E204" s="137">
        <v>98467</v>
      </c>
      <c r="F204" s="137">
        <v>103859</v>
      </c>
      <c r="G204" s="137"/>
      <c r="H204" s="137"/>
      <c r="I204" s="137"/>
      <c r="J204" s="137"/>
      <c r="K204" s="137"/>
      <c r="L204" s="137"/>
      <c r="M204" s="137"/>
      <c r="N204" s="137"/>
      <c r="O204" s="137"/>
      <c r="P204" s="137">
        <f t="shared" si="36"/>
        <v>263170</v>
      </c>
      <c r="R204" s="137">
        <v>55122</v>
      </c>
      <c r="S204" s="137">
        <v>93272</v>
      </c>
      <c r="T204" s="137">
        <v>101692</v>
      </c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>
        <f t="shared" si="37"/>
        <v>250086</v>
      </c>
      <c r="AF204" s="84">
        <f t="shared" si="35"/>
        <v>0.90595621589639075</v>
      </c>
      <c r="AG204" s="84">
        <f t="shared" si="35"/>
        <v>0.94724120771425957</v>
      </c>
      <c r="AH204" s="84">
        <f t="shared" si="35"/>
        <v>0.97913517364888936</v>
      </c>
      <c r="AI204" s="84" t="str">
        <f t="shared" si="35"/>
        <v/>
      </c>
      <c r="AJ204" s="84" t="str">
        <f t="shared" si="35"/>
        <v/>
      </c>
      <c r="AK204" s="84" t="str">
        <f t="shared" si="35"/>
        <v/>
      </c>
      <c r="AL204" s="84" t="str">
        <f t="shared" si="35"/>
        <v/>
      </c>
      <c r="AM204" s="84" t="str">
        <f t="shared" si="35"/>
        <v/>
      </c>
      <c r="AN204" s="84" t="str">
        <f t="shared" si="34"/>
        <v/>
      </c>
      <c r="AO204" s="84" t="str">
        <f t="shared" si="34"/>
        <v/>
      </c>
      <c r="AP204" s="84" t="str">
        <f t="shared" si="34"/>
        <v/>
      </c>
      <c r="AQ204" s="84" t="str">
        <f t="shared" si="34"/>
        <v/>
      </c>
      <c r="AR204" s="84">
        <f t="shared" si="34"/>
        <v>0.95028308697799901</v>
      </c>
      <c r="AT204" s="139">
        <f t="shared" si="33"/>
        <v>4.1284991817868821E-2</v>
      </c>
      <c r="AU204" s="139">
        <f t="shared" si="33"/>
        <v>3.1893965934629787E-2</v>
      </c>
      <c r="AV204" s="139" t="str">
        <f t="shared" ref="AV204:BD204" si="40">+IFERROR(AI204-AH204,"")</f>
        <v/>
      </c>
      <c r="AW204" s="139" t="str">
        <f t="shared" si="40"/>
        <v/>
      </c>
      <c r="AX204" s="139" t="str">
        <f t="shared" si="40"/>
        <v/>
      </c>
      <c r="AY204" s="139" t="str">
        <f t="shared" si="40"/>
        <v/>
      </c>
      <c r="AZ204" s="139" t="str">
        <f t="shared" si="40"/>
        <v/>
      </c>
      <c r="BA204" s="139" t="str">
        <f t="shared" si="40"/>
        <v/>
      </c>
      <c r="BB204" s="139" t="str">
        <f t="shared" si="40"/>
        <v/>
      </c>
      <c r="BC204" s="139" t="str">
        <f t="shared" si="40"/>
        <v/>
      </c>
      <c r="BD204" s="139" t="str">
        <f t="shared" si="40"/>
        <v/>
      </c>
      <c r="BF204" s="82">
        <f t="shared" si="38"/>
        <v>3.2340932287254454E-4</v>
      </c>
      <c r="BG204" s="82">
        <f t="shared" si="39"/>
        <v>0.9997381970714575</v>
      </c>
    </row>
    <row r="205" spans="2:59" x14ac:dyDescent="0.3">
      <c r="B205" s="83" t="s">
        <v>299</v>
      </c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>
        <f t="shared" si="36"/>
        <v>0</v>
      </c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>
        <f t="shared" si="37"/>
        <v>0</v>
      </c>
      <c r="AF205" s="84" t="str">
        <f t="shared" si="35"/>
        <v/>
      </c>
      <c r="AG205" s="84" t="str">
        <f t="shared" si="35"/>
        <v/>
      </c>
      <c r="AH205" s="84" t="str">
        <f t="shared" si="35"/>
        <v/>
      </c>
      <c r="AI205" s="84" t="str">
        <f t="shared" si="35"/>
        <v/>
      </c>
      <c r="AJ205" s="84" t="str">
        <f t="shared" si="35"/>
        <v/>
      </c>
      <c r="AK205" s="84" t="str">
        <f t="shared" si="35"/>
        <v/>
      </c>
      <c r="AL205" s="84" t="str">
        <f t="shared" si="35"/>
        <v/>
      </c>
      <c r="AM205" s="84" t="str">
        <f t="shared" si="35"/>
        <v/>
      </c>
      <c r="AN205" s="84" t="str">
        <f t="shared" si="34"/>
        <v/>
      </c>
      <c r="AO205" s="84" t="str">
        <f t="shared" si="34"/>
        <v/>
      </c>
      <c r="AP205" s="84" t="str">
        <f t="shared" si="34"/>
        <v/>
      </c>
      <c r="AQ205" s="84" t="str">
        <f t="shared" si="34"/>
        <v/>
      </c>
      <c r="AR205" s="84" t="str">
        <f t="shared" si="34"/>
        <v/>
      </c>
      <c r="AT205" s="139"/>
      <c r="AU205" s="139"/>
      <c r="AV205" s="139"/>
      <c r="AW205" s="139"/>
      <c r="AX205" s="139"/>
      <c r="AY205" s="139"/>
      <c r="AZ205" s="139"/>
      <c r="BA205" s="139"/>
      <c r="BB205" s="139"/>
      <c r="BC205" s="139"/>
      <c r="BD205" s="139"/>
      <c r="BF205" s="82">
        <f t="shared" si="38"/>
        <v>0</v>
      </c>
      <c r="BG205" s="82">
        <f t="shared" si="39"/>
        <v>0.9997381970714575</v>
      </c>
    </row>
    <row r="206" spans="2:59" x14ac:dyDescent="0.3">
      <c r="B206" s="83" t="s">
        <v>293</v>
      </c>
      <c r="D206" s="137"/>
      <c r="E206" s="137">
        <v>7760</v>
      </c>
      <c r="F206" s="137">
        <v>13450</v>
      </c>
      <c r="G206" s="137"/>
      <c r="H206" s="137"/>
      <c r="I206" s="137"/>
      <c r="J206" s="137"/>
      <c r="K206" s="137"/>
      <c r="L206" s="137"/>
      <c r="M206" s="137"/>
      <c r="N206" s="137"/>
      <c r="O206" s="137"/>
      <c r="P206" s="137">
        <f t="shared" si="36"/>
        <v>21210</v>
      </c>
      <c r="R206" s="137"/>
      <c r="S206" s="137">
        <v>6260</v>
      </c>
      <c r="T206" s="137">
        <v>10450</v>
      </c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>
        <f t="shared" si="37"/>
        <v>16710</v>
      </c>
      <c r="AF206" s="84" t="str">
        <f t="shared" si="35"/>
        <v/>
      </c>
      <c r="AG206" s="84">
        <f t="shared" si="35"/>
        <v>0.80670103092783507</v>
      </c>
      <c r="AH206" s="84">
        <f t="shared" si="35"/>
        <v>0.77695167286245348</v>
      </c>
      <c r="AI206" s="84" t="str">
        <f t="shared" si="35"/>
        <v/>
      </c>
      <c r="AJ206" s="84" t="str">
        <f t="shared" si="35"/>
        <v/>
      </c>
      <c r="AK206" s="84" t="str">
        <f t="shared" si="35"/>
        <v/>
      </c>
      <c r="AL206" s="84" t="str">
        <f t="shared" si="35"/>
        <v/>
      </c>
      <c r="AM206" s="84" t="str">
        <f t="shared" si="35"/>
        <v/>
      </c>
      <c r="AN206" s="84" t="str">
        <f t="shared" si="34"/>
        <v/>
      </c>
      <c r="AO206" s="84" t="str">
        <f t="shared" si="34"/>
        <v/>
      </c>
      <c r="AP206" s="84" t="str">
        <f t="shared" si="34"/>
        <v/>
      </c>
      <c r="AQ206" s="84" t="str">
        <f t="shared" si="34"/>
        <v/>
      </c>
      <c r="AR206" s="84">
        <f t="shared" si="34"/>
        <v>0.78783592644978784</v>
      </c>
      <c r="AT206" s="139"/>
      <c r="AU206" s="139"/>
      <c r="AV206" s="139"/>
      <c r="AW206" s="139"/>
      <c r="AX206" s="139"/>
      <c r="AY206" s="139"/>
      <c r="AZ206" s="139"/>
      <c r="BA206" s="139"/>
      <c r="BB206" s="139"/>
      <c r="BC206" s="139"/>
      <c r="BD206" s="139"/>
      <c r="BF206" s="82">
        <f t="shared" si="38"/>
        <v>2.1609245560328127E-5</v>
      </c>
      <c r="BG206" s="82">
        <f t="shared" si="39"/>
        <v>0.99975980631701789</v>
      </c>
    </row>
    <row r="207" spans="2:59" x14ac:dyDescent="0.3">
      <c r="B207" s="83" t="s">
        <v>301</v>
      </c>
      <c r="D207" s="137"/>
      <c r="E207" s="137"/>
      <c r="F207" s="137">
        <v>1406</v>
      </c>
      <c r="G207" s="137"/>
      <c r="H207" s="137"/>
      <c r="I207" s="137"/>
      <c r="J207" s="137"/>
      <c r="K207" s="137"/>
      <c r="L207" s="137"/>
      <c r="M207" s="137"/>
      <c r="N207" s="137"/>
      <c r="O207" s="137"/>
      <c r="P207" s="137">
        <f t="shared" si="36"/>
        <v>1406</v>
      </c>
      <c r="R207" s="137"/>
      <c r="S207" s="137"/>
      <c r="T207" s="137">
        <v>6</v>
      </c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>
        <f t="shared" si="37"/>
        <v>6</v>
      </c>
      <c r="AF207" s="84" t="str">
        <f t="shared" si="35"/>
        <v/>
      </c>
      <c r="AG207" s="84" t="str">
        <f t="shared" si="35"/>
        <v/>
      </c>
      <c r="AH207" s="84">
        <f t="shared" si="35"/>
        <v>4.2674253200568994E-3</v>
      </c>
      <c r="AI207" s="84" t="str">
        <f t="shared" si="35"/>
        <v/>
      </c>
      <c r="AJ207" s="84" t="str">
        <f t="shared" si="35"/>
        <v/>
      </c>
      <c r="AK207" s="84" t="str">
        <f t="shared" si="35"/>
        <v/>
      </c>
      <c r="AL207" s="84" t="str">
        <f t="shared" si="35"/>
        <v/>
      </c>
      <c r="AM207" s="84" t="str">
        <f t="shared" si="35"/>
        <v/>
      </c>
      <c r="AN207" s="84" t="str">
        <f t="shared" si="34"/>
        <v/>
      </c>
      <c r="AO207" s="84" t="str">
        <f t="shared" si="34"/>
        <v/>
      </c>
      <c r="AP207" s="84" t="str">
        <f t="shared" si="34"/>
        <v/>
      </c>
      <c r="AQ207" s="84" t="str">
        <f t="shared" si="34"/>
        <v/>
      </c>
      <c r="AR207" s="84">
        <f t="shared" si="34"/>
        <v>4.2674253200568994E-3</v>
      </c>
      <c r="AT207" s="139"/>
      <c r="AU207" s="139"/>
      <c r="AV207" s="139"/>
      <c r="AW207" s="139"/>
      <c r="AX207" s="139"/>
      <c r="AY207" s="139"/>
      <c r="AZ207" s="139"/>
      <c r="BA207" s="139"/>
      <c r="BB207" s="139"/>
      <c r="BC207" s="139"/>
      <c r="BD207" s="139"/>
      <c r="BF207" s="82">
        <f t="shared" si="38"/>
        <v>7.7591545997587526E-9</v>
      </c>
      <c r="BG207" s="82">
        <f t="shared" si="39"/>
        <v>0.99975981407617254</v>
      </c>
    </row>
    <row r="208" spans="2:59" x14ac:dyDescent="0.3">
      <c r="B208" s="83" t="s">
        <v>456</v>
      </c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>
        <f t="shared" si="36"/>
        <v>0</v>
      </c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>
        <f t="shared" si="37"/>
        <v>0</v>
      </c>
      <c r="AF208" s="84" t="str">
        <f t="shared" si="35"/>
        <v/>
      </c>
      <c r="AG208" s="84" t="str">
        <f t="shared" si="35"/>
        <v/>
      </c>
      <c r="AH208" s="84" t="str">
        <f t="shared" si="35"/>
        <v/>
      </c>
      <c r="AI208" s="84" t="str">
        <f t="shared" si="35"/>
        <v/>
      </c>
      <c r="AJ208" s="84" t="str">
        <f t="shared" si="35"/>
        <v/>
      </c>
      <c r="AK208" s="84" t="str">
        <f t="shared" si="35"/>
        <v/>
      </c>
      <c r="AL208" s="84" t="str">
        <f t="shared" si="35"/>
        <v/>
      </c>
      <c r="AM208" s="84" t="str">
        <f t="shared" si="35"/>
        <v/>
      </c>
      <c r="AN208" s="84" t="str">
        <f t="shared" si="34"/>
        <v/>
      </c>
      <c r="AO208" s="84" t="str">
        <f t="shared" si="34"/>
        <v/>
      </c>
      <c r="AP208" s="84" t="str">
        <f t="shared" si="34"/>
        <v/>
      </c>
      <c r="AQ208" s="84" t="str">
        <f t="shared" si="34"/>
        <v/>
      </c>
      <c r="AR208" s="84" t="str">
        <f t="shared" si="34"/>
        <v/>
      </c>
      <c r="AT208" s="139"/>
      <c r="AU208" s="139"/>
      <c r="AV208" s="139"/>
      <c r="AW208" s="139"/>
      <c r="AX208" s="139"/>
      <c r="AY208" s="139"/>
      <c r="AZ208" s="139"/>
      <c r="BA208" s="139"/>
      <c r="BB208" s="139"/>
      <c r="BC208" s="139"/>
      <c r="BD208" s="139"/>
      <c r="BF208" s="82">
        <f t="shared" si="38"/>
        <v>0</v>
      </c>
      <c r="BG208" s="82">
        <f t="shared" si="39"/>
        <v>0.99975981407617254</v>
      </c>
    </row>
    <row r="209" spans="2:59" x14ac:dyDescent="0.3">
      <c r="B209" s="83" t="s">
        <v>303</v>
      </c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>
        <f t="shared" si="36"/>
        <v>0</v>
      </c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>
        <f t="shared" si="37"/>
        <v>0</v>
      </c>
      <c r="AF209" s="84" t="str">
        <f t="shared" si="35"/>
        <v/>
      </c>
      <c r="AG209" s="84" t="str">
        <f t="shared" si="35"/>
        <v/>
      </c>
      <c r="AH209" s="84" t="str">
        <f t="shared" si="35"/>
        <v/>
      </c>
      <c r="AI209" s="84" t="str">
        <f t="shared" si="35"/>
        <v/>
      </c>
      <c r="AJ209" s="84" t="str">
        <f t="shared" si="35"/>
        <v/>
      </c>
      <c r="AK209" s="84" t="str">
        <f t="shared" si="35"/>
        <v/>
      </c>
      <c r="AL209" s="84" t="str">
        <f t="shared" si="35"/>
        <v/>
      </c>
      <c r="AM209" s="84" t="str">
        <f t="shared" si="35"/>
        <v/>
      </c>
      <c r="AN209" s="84" t="str">
        <f t="shared" si="34"/>
        <v/>
      </c>
      <c r="AO209" s="84" t="str">
        <f t="shared" si="34"/>
        <v/>
      </c>
      <c r="AP209" s="84" t="str">
        <f t="shared" si="34"/>
        <v/>
      </c>
      <c r="AQ209" s="84" t="str">
        <f t="shared" si="34"/>
        <v/>
      </c>
      <c r="AR209" s="84" t="str">
        <f t="shared" si="34"/>
        <v/>
      </c>
      <c r="AT209" s="139"/>
      <c r="AU209" s="139"/>
      <c r="AV209" s="139"/>
      <c r="AW209" s="139"/>
      <c r="AX209" s="139"/>
      <c r="AY209" s="139"/>
      <c r="AZ209" s="139"/>
      <c r="BA209" s="139"/>
      <c r="BB209" s="139"/>
      <c r="BC209" s="139"/>
      <c r="BD209" s="139"/>
      <c r="BF209" s="82">
        <f t="shared" si="38"/>
        <v>0</v>
      </c>
      <c r="BG209" s="82">
        <f t="shared" si="39"/>
        <v>0.99975981407617254</v>
      </c>
    </row>
    <row r="210" spans="2:59" x14ac:dyDescent="0.3">
      <c r="B210" s="83" t="s">
        <v>457</v>
      </c>
      <c r="D210" s="137"/>
      <c r="E210" s="137"/>
      <c r="F210" s="137">
        <v>23350</v>
      </c>
      <c r="G210" s="137"/>
      <c r="H210" s="137"/>
      <c r="I210" s="137"/>
      <c r="J210" s="137"/>
      <c r="K210" s="137"/>
      <c r="L210" s="137"/>
      <c r="M210" s="137"/>
      <c r="N210" s="137"/>
      <c r="O210" s="137"/>
      <c r="P210" s="137">
        <f t="shared" si="36"/>
        <v>23350</v>
      </c>
      <c r="R210" s="137"/>
      <c r="S210" s="137"/>
      <c r="T210" s="137">
        <v>10200</v>
      </c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>
        <f t="shared" si="37"/>
        <v>10200</v>
      </c>
      <c r="AF210" s="84" t="str">
        <f t="shared" si="35"/>
        <v/>
      </c>
      <c r="AG210" s="84" t="str">
        <f t="shared" si="35"/>
        <v/>
      </c>
      <c r="AH210" s="84">
        <f t="shared" si="35"/>
        <v>0.43683083511777304</v>
      </c>
      <c r="AI210" s="84" t="str">
        <f t="shared" si="35"/>
        <v/>
      </c>
      <c r="AJ210" s="84" t="str">
        <f t="shared" si="35"/>
        <v/>
      </c>
      <c r="AK210" s="84" t="str">
        <f t="shared" si="35"/>
        <v/>
      </c>
      <c r="AL210" s="84" t="str">
        <f t="shared" si="35"/>
        <v/>
      </c>
      <c r="AM210" s="84" t="str">
        <f t="shared" si="35"/>
        <v/>
      </c>
      <c r="AN210" s="84" t="str">
        <f t="shared" si="34"/>
        <v/>
      </c>
      <c r="AO210" s="84" t="str">
        <f t="shared" si="34"/>
        <v/>
      </c>
      <c r="AP210" s="84" t="str">
        <f t="shared" si="34"/>
        <v/>
      </c>
      <c r="AQ210" s="84" t="str">
        <f t="shared" si="34"/>
        <v/>
      </c>
      <c r="AR210" s="84">
        <f t="shared" si="34"/>
        <v>0.43683083511777304</v>
      </c>
      <c r="AT210" s="139"/>
      <c r="AU210" s="139"/>
      <c r="AV210" s="139"/>
      <c r="AW210" s="139"/>
      <c r="AX210" s="139"/>
      <c r="AY210" s="139"/>
      <c r="AZ210" s="139"/>
      <c r="BA210" s="139"/>
      <c r="BB210" s="139"/>
      <c r="BC210" s="139"/>
      <c r="BD210" s="139"/>
      <c r="BF210" s="82">
        <f t="shared" si="38"/>
        <v>1.3190562819589879E-5</v>
      </c>
      <c r="BG210" s="82">
        <f t="shared" si="39"/>
        <v>0.9997730046389921</v>
      </c>
    </row>
    <row r="211" spans="2:59" x14ac:dyDescent="0.3">
      <c r="B211" s="83" t="s">
        <v>291</v>
      </c>
      <c r="D211" s="137">
        <v>4701</v>
      </c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>
        <f t="shared" si="36"/>
        <v>4701</v>
      </c>
      <c r="R211" s="137">
        <v>864</v>
      </c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>
        <f t="shared" si="37"/>
        <v>864</v>
      </c>
      <c r="AF211" s="84">
        <f t="shared" si="35"/>
        <v>0.18379068283343969</v>
      </c>
      <c r="AG211" s="84" t="str">
        <f t="shared" si="35"/>
        <v/>
      </c>
      <c r="AH211" s="84" t="str">
        <f t="shared" si="35"/>
        <v/>
      </c>
      <c r="AI211" s="84" t="str">
        <f t="shared" si="35"/>
        <v/>
      </c>
      <c r="AJ211" s="84" t="str">
        <f t="shared" si="35"/>
        <v/>
      </c>
      <c r="AK211" s="84" t="str">
        <f t="shared" si="35"/>
        <v/>
      </c>
      <c r="AL211" s="84" t="str">
        <f t="shared" si="35"/>
        <v/>
      </c>
      <c r="AM211" s="84" t="str">
        <f t="shared" si="35"/>
        <v/>
      </c>
      <c r="AN211" s="84" t="str">
        <f t="shared" si="34"/>
        <v/>
      </c>
      <c r="AO211" s="84" t="str">
        <f t="shared" si="34"/>
        <v/>
      </c>
      <c r="AP211" s="84" t="str">
        <f t="shared" si="34"/>
        <v/>
      </c>
      <c r="AQ211" s="84" t="str">
        <f t="shared" si="34"/>
        <v/>
      </c>
      <c r="AR211" s="84">
        <f t="shared" si="34"/>
        <v>0.18379068283343969</v>
      </c>
      <c r="AT211" s="139"/>
      <c r="AU211" s="139"/>
      <c r="AV211" s="139"/>
      <c r="AW211" s="139"/>
      <c r="AX211" s="139"/>
      <c r="AY211" s="139"/>
      <c r="AZ211" s="139"/>
      <c r="BA211" s="139"/>
      <c r="BB211" s="139"/>
      <c r="BC211" s="139"/>
      <c r="BD211" s="139"/>
      <c r="BF211" s="82">
        <f t="shared" si="38"/>
        <v>1.1173182623652604E-6</v>
      </c>
      <c r="BG211" s="82">
        <f t="shared" si="39"/>
        <v>0.99977412195725446</v>
      </c>
    </row>
    <row r="212" spans="2:59" x14ac:dyDescent="0.3">
      <c r="B212" s="83" t="s">
        <v>458</v>
      </c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>
        <f t="shared" si="36"/>
        <v>0</v>
      </c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>
        <f t="shared" si="37"/>
        <v>0</v>
      </c>
      <c r="AF212" s="84" t="str">
        <f t="shared" si="35"/>
        <v/>
      </c>
      <c r="AG212" s="84" t="str">
        <f t="shared" si="35"/>
        <v/>
      </c>
      <c r="AH212" s="84" t="str">
        <f t="shared" si="35"/>
        <v/>
      </c>
      <c r="AI212" s="84" t="str">
        <f t="shared" si="35"/>
        <v/>
      </c>
      <c r="AJ212" s="84" t="str">
        <f t="shared" si="35"/>
        <v/>
      </c>
      <c r="AK212" s="84" t="str">
        <f t="shared" si="35"/>
        <v/>
      </c>
      <c r="AL212" s="84" t="str">
        <f t="shared" si="35"/>
        <v/>
      </c>
      <c r="AM212" s="84" t="str">
        <f t="shared" si="35"/>
        <v/>
      </c>
      <c r="AN212" s="84" t="str">
        <f t="shared" si="34"/>
        <v/>
      </c>
      <c r="AO212" s="84" t="str">
        <f t="shared" si="34"/>
        <v/>
      </c>
      <c r="AP212" s="84" t="str">
        <f t="shared" si="34"/>
        <v/>
      </c>
      <c r="AQ212" s="84" t="str">
        <f t="shared" si="34"/>
        <v/>
      </c>
      <c r="AR212" s="84" t="str">
        <f t="shared" si="34"/>
        <v/>
      </c>
      <c r="AT212" s="139"/>
      <c r="AU212" s="139"/>
      <c r="AV212" s="139"/>
      <c r="AW212" s="139"/>
      <c r="AX212" s="139"/>
      <c r="AY212" s="139"/>
      <c r="AZ212" s="139"/>
      <c r="BA212" s="139"/>
      <c r="BB212" s="139"/>
      <c r="BC212" s="139"/>
      <c r="BD212" s="139"/>
      <c r="BF212" s="82">
        <f t="shared" si="38"/>
        <v>0</v>
      </c>
      <c r="BG212" s="82">
        <f t="shared" si="39"/>
        <v>0.99977412195725446</v>
      </c>
    </row>
    <row r="213" spans="2:59" x14ac:dyDescent="0.3">
      <c r="B213" s="83" t="s">
        <v>298</v>
      </c>
      <c r="D213" s="137"/>
      <c r="E213" s="137"/>
      <c r="F213" s="137">
        <v>6250</v>
      </c>
      <c r="G213" s="137"/>
      <c r="H213" s="137"/>
      <c r="I213" s="137"/>
      <c r="J213" s="137"/>
      <c r="K213" s="137"/>
      <c r="L213" s="137"/>
      <c r="M213" s="137"/>
      <c r="N213" s="137"/>
      <c r="O213" s="137"/>
      <c r="P213" s="137">
        <f t="shared" si="36"/>
        <v>6250</v>
      </c>
      <c r="R213" s="137"/>
      <c r="S213" s="137"/>
      <c r="T213" s="137">
        <v>2550</v>
      </c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>
        <f t="shared" si="37"/>
        <v>2550</v>
      </c>
      <c r="AF213" s="84" t="str">
        <f t="shared" si="35"/>
        <v/>
      </c>
      <c r="AG213" s="84" t="str">
        <f t="shared" si="35"/>
        <v/>
      </c>
      <c r="AH213" s="84">
        <f t="shared" si="35"/>
        <v>0.40799999999999997</v>
      </c>
      <c r="AI213" s="84" t="str">
        <f t="shared" si="35"/>
        <v/>
      </c>
      <c r="AJ213" s="84" t="str">
        <f t="shared" si="35"/>
        <v/>
      </c>
      <c r="AK213" s="84" t="str">
        <f t="shared" si="35"/>
        <v/>
      </c>
      <c r="AL213" s="84" t="str">
        <f t="shared" si="35"/>
        <v/>
      </c>
      <c r="AM213" s="84" t="str">
        <f t="shared" si="35"/>
        <v/>
      </c>
      <c r="AN213" s="84" t="str">
        <f t="shared" si="34"/>
        <v/>
      </c>
      <c r="AO213" s="84" t="str">
        <f t="shared" si="34"/>
        <v/>
      </c>
      <c r="AP213" s="84" t="str">
        <f t="shared" si="34"/>
        <v/>
      </c>
      <c r="AQ213" s="84" t="str">
        <f t="shared" si="34"/>
        <v/>
      </c>
      <c r="AR213" s="84">
        <f t="shared" si="34"/>
        <v>0.40799999999999997</v>
      </c>
      <c r="AT213" s="139"/>
      <c r="AU213" s="139"/>
      <c r="AV213" s="139"/>
      <c r="AW213" s="139"/>
      <c r="AX213" s="139"/>
      <c r="AY213" s="139"/>
      <c r="AZ213" s="139"/>
      <c r="BA213" s="139"/>
      <c r="BB213" s="139"/>
      <c r="BC213" s="139"/>
      <c r="BD213" s="139"/>
      <c r="BF213" s="82">
        <f t="shared" si="38"/>
        <v>3.2976407048974698E-6</v>
      </c>
      <c r="BG213" s="82">
        <f t="shared" si="39"/>
        <v>0.9997774195979594</v>
      </c>
    </row>
    <row r="214" spans="2:59" x14ac:dyDescent="0.3">
      <c r="B214" s="83" t="s">
        <v>304</v>
      </c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>
        <f t="shared" si="36"/>
        <v>0</v>
      </c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>
        <f t="shared" si="37"/>
        <v>0</v>
      </c>
      <c r="AF214" s="84" t="str">
        <f t="shared" si="35"/>
        <v/>
      </c>
      <c r="AG214" s="84" t="str">
        <f t="shared" si="35"/>
        <v/>
      </c>
      <c r="AH214" s="84" t="str">
        <f t="shared" si="35"/>
        <v/>
      </c>
      <c r="AI214" s="84" t="str">
        <f t="shared" si="35"/>
        <v/>
      </c>
      <c r="AJ214" s="84" t="str">
        <f t="shared" si="35"/>
        <v/>
      </c>
      <c r="AK214" s="84" t="str">
        <f t="shared" si="35"/>
        <v/>
      </c>
      <c r="AL214" s="84" t="str">
        <f t="shared" si="35"/>
        <v/>
      </c>
      <c r="AM214" s="84" t="str">
        <f t="shared" si="35"/>
        <v/>
      </c>
      <c r="AN214" s="84" t="str">
        <f t="shared" si="34"/>
        <v/>
      </c>
      <c r="AO214" s="84" t="str">
        <f t="shared" si="34"/>
        <v/>
      </c>
      <c r="AP214" s="84" t="str">
        <f t="shared" si="34"/>
        <v/>
      </c>
      <c r="AQ214" s="84" t="str">
        <f t="shared" si="34"/>
        <v/>
      </c>
      <c r="AR214" s="84" t="str">
        <f t="shared" si="34"/>
        <v/>
      </c>
      <c r="AT214" s="139"/>
      <c r="AU214" s="139"/>
      <c r="AV214" s="139"/>
      <c r="AW214" s="139"/>
      <c r="AX214" s="139"/>
      <c r="AY214" s="139"/>
      <c r="AZ214" s="139"/>
      <c r="BA214" s="139"/>
      <c r="BB214" s="139"/>
      <c r="BC214" s="139"/>
      <c r="BD214" s="139"/>
      <c r="BF214" s="82">
        <f t="shared" si="38"/>
        <v>0</v>
      </c>
      <c r="BG214" s="82">
        <f t="shared" si="39"/>
        <v>0.9997774195979594</v>
      </c>
    </row>
    <row r="215" spans="2:59" x14ac:dyDescent="0.3">
      <c r="B215" s="83" t="s">
        <v>294</v>
      </c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>
        <f t="shared" si="36"/>
        <v>0</v>
      </c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>
        <f t="shared" si="37"/>
        <v>0</v>
      </c>
      <c r="AF215" s="84" t="str">
        <f t="shared" si="35"/>
        <v/>
      </c>
      <c r="AG215" s="84" t="str">
        <f t="shared" si="35"/>
        <v/>
      </c>
      <c r="AH215" s="84" t="str">
        <f t="shared" si="35"/>
        <v/>
      </c>
      <c r="AI215" s="84" t="str">
        <f t="shared" si="35"/>
        <v/>
      </c>
      <c r="AJ215" s="84" t="str">
        <f t="shared" si="35"/>
        <v/>
      </c>
      <c r="AK215" s="84" t="str">
        <f t="shared" si="35"/>
        <v/>
      </c>
      <c r="AL215" s="84" t="str">
        <f t="shared" si="35"/>
        <v/>
      </c>
      <c r="AM215" s="84" t="str">
        <f t="shared" si="35"/>
        <v/>
      </c>
      <c r="AN215" s="84" t="str">
        <f t="shared" si="34"/>
        <v/>
      </c>
      <c r="AO215" s="84" t="str">
        <f t="shared" si="34"/>
        <v/>
      </c>
      <c r="AP215" s="84" t="str">
        <f t="shared" si="34"/>
        <v/>
      </c>
      <c r="AQ215" s="84" t="str">
        <f t="shared" si="34"/>
        <v/>
      </c>
      <c r="AR215" s="84" t="str">
        <f t="shared" si="34"/>
        <v/>
      </c>
      <c r="AT215" s="139"/>
      <c r="AU215" s="139"/>
      <c r="AV215" s="139"/>
      <c r="AW215" s="139"/>
      <c r="AX215" s="139"/>
      <c r="AY215" s="139"/>
      <c r="AZ215" s="139"/>
      <c r="BA215" s="139"/>
      <c r="BB215" s="139"/>
      <c r="BC215" s="139"/>
      <c r="BD215" s="139"/>
      <c r="BF215" s="82">
        <f t="shared" si="38"/>
        <v>0</v>
      </c>
      <c r="BG215" s="82">
        <f t="shared" si="39"/>
        <v>0.9997774195979594</v>
      </c>
    </row>
    <row r="216" spans="2:59" x14ac:dyDescent="0.3">
      <c r="B216" s="83" t="s">
        <v>459</v>
      </c>
      <c r="D216" s="137">
        <v>96133</v>
      </c>
      <c r="E216" s="137">
        <v>87875</v>
      </c>
      <c r="F216" s="137">
        <v>144741</v>
      </c>
      <c r="G216" s="137"/>
      <c r="H216" s="137"/>
      <c r="I216" s="137"/>
      <c r="J216" s="137"/>
      <c r="K216" s="137"/>
      <c r="L216" s="137"/>
      <c r="M216" s="137"/>
      <c r="N216" s="137"/>
      <c r="O216" s="137"/>
      <c r="P216" s="137">
        <f t="shared" si="36"/>
        <v>328749</v>
      </c>
      <c r="R216" s="137">
        <v>12996</v>
      </c>
      <c r="S216" s="137">
        <v>21848</v>
      </c>
      <c r="T216" s="137">
        <v>58779</v>
      </c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>
        <f t="shared" si="37"/>
        <v>93623</v>
      </c>
      <c r="AF216" s="84">
        <f t="shared" si="35"/>
        <v>0.13518770869524513</v>
      </c>
      <c r="AG216" s="84">
        <f t="shared" si="35"/>
        <v>0.24862588904694169</v>
      </c>
      <c r="AH216" s="84">
        <f t="shared" si="35"/>
        <v>0.4060977884635314</v>
      </c>
      <c r="AI216" s="84" t="str">
        <f t="shared" si="35"/>
        <v/>
      </c>
      <c r="AJ216" s="84" t="str">
        <f t="shared" si="35"/>
        <v/>
      </c>
      <c r="AK216" s="84" t="str">
        <f t="shared" si="35"/>
        <v/>
      </c>
      <c r="AL216" s="84" t="str">
        <f t="shared" si="35"/>
        <v/>
      </c>
      <c r="AM216" s="84" t="str">
        <f t="shared" si="35"/>
        <v/>
      </c>
      <c r="AN216" s="84" t="str">
        <f t="shared" si="34"/>
        <v/>
      </c>
      <c r="AO216" s="84" t="str">
        <f t="shared" si="34"/>
        <v/>
      </c>
      <c r="AP216" s="84" t="str">
        <f t="shared" si="34"/>
        <v/>
      </c>
      <c r="AQ216" s="84" t="str">
        <f t="shared" si="34"/>
        <v/>
      </c>
      <c r="AR216" s="84">
        <f t="shared" si="34"/>
        <v>0.28478565714268333</v>
      </c>
      <c r="AT216" s="139"/>
      <c r="AU216" s="139"/>
      <c r="AV216" s="139"/>
      <c r="AW216" s="139"/>
      <c r="AX216" s="139"/>
      <c r="AY216" s="139"/>
      <c r="AZ216" s="139"/>
      <c r="BA216" s="139"/>
      <c r="BB216" s="139"/>
      <c r="BC216" s="139"/>
      <c r="BD216" s="139"/>
      <c r="BF216" s="82">
        <f t="shared" si="38"/>
        <v>1.2107255518220228E-4</v>
      </c>
      <c r="BG216" s="82">
        <f t="shared" si="39"/>
        <v>0.99989849215314164</v>
      </c>
    </row>
    <row r="217" spans="2:59" x14ac:dyDescent="0.3">
      <c r="B217" s="83" t="s">
        <v>302</v>
      </c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>
        <f t="shared" si="36"/>
        <v>0</v>
      </c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>
        <f t="shared" si="37"/>
        <v>0</v>
      </c>
      <c r="AF217" s="84" t="str">
        <f t="shared" si="35"/>
        <v/>
      </c>
      <c r="AG217" s="84" t="str">
        <f t="shared" si="35"/>
        <v/>
      </c>
      <c r="AH217" s="84" t="str">
        <f t="shared" si="35"/>
        <v/>
      </c>
      <c r="AI217" s="84" t="str">
        <f t="shared" si="35"/>
        <v/>
      </c>
      <c r="AJ217" s="84" t="str">
        <f t="shared" si="35"/>
        <v/>
      </c>
      <c r="AK217" s="84" t="str">
        <f t="shared" si="35"/>
        <v/>
      </c>
      <c r="AL217" s="84" t="str">
        <f t="shared" si="35"/>
        <v/>
      </c>
      <c r="AM217" s="84" t="str">
        <f t="shared" si="35"/>
        <v/>
      </c>
      <c r="AN217" s="84" t="str">
        <f t="shared" si="34"/>
        <v/>
      </c>
      <c r="AO217" s="84" t="str">
        <f t="shared" si="34"/>
        <v/>
      </c>
      <c r="AP217" s="84" t="str">
        <f t="shared" si="34"/>
        <v/>
      </c>
      <c r="AQ217" s="84" t="str">
        <f t="shared" si="34"/>
        <v/>
      </c>
      <c r="AR217" s="84" t="str">
        <f t="shared" si="34"/>
        <v/>
      </c>
      <c r="AT217" s="139"/>
      <c r="AU217" s="139"/>
      <c r="AV217" s="139"/>
      <c r="AW217" s="139"/>
      <c r="AX217" s="139"/>
      <c r="AY217" s="139"/>
      <c r="AZ217" s="139"/>
      <c r="BA217" s="139"/>
      <c r="BB217" s="139"/>
      <c r="BC217" s="139"/>
      <c r="BD217" s="139"/>
      <c r="BF217" s="82">
        <f t="shared" si="38"/>
        <v>0</v>
      </c>
      <c r="BG217" s="82">
        <f t="shared" si="39"/>
        <v>0.99989849215314164</v>
      </c>
    </row>
    <row r="218" spans="2:59" x14ac:dyDescent="0.3">
      <c r="B218" s="83" t="s">
        <v>296</v>
      </c>
      <c r="D218" s="137">
        <v>2291</v>
      </c>
      <c r="E218" s="137">
        <v>1892</v>
      </c>
      <c r="F218" s="137">
        <v>2588</v>
      </c>
      <c r="G218" s="137"/>
      <c r="H218" s="137"/>
      <c r="I218" s="137"/>
      <c r="J218" s="137"/>
      <c r="K218" s="137"/>
      <c r="L218" s="137"/>
      <c r="M218" s="137"/>
      <c r="N218" s="137"/>
      <c r="O218" s="137"/>
      <c r="P218" s="137">
        <f t="shared" si="36"/>
        <v>6771</v>
      </c>
      <c r="R218" s="137">
        <v>340</v>
      </c>
      <c r="S218" s="137">
        <v>510</v>
      </c>
      <c r="T218" s="137">
        <v>408</v>
      </c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>
        <f t="shared" si="37"/>
        <v>1258</v>
      </c>
      <c r="AF218" s="84">
        <f t="shared" si="35"/>
        <v>0.14840680925360106</v>
      </c>
      <c r="AG218" s="84">
        <f t="shared" si="35"/>
        <v>0.26955602536997886</v>
      </c>
      <c r="AH218" s="84">
        <f t="shared" si="35"/>
        <v>0.15765069551777433</v>
      </c>
      <c r="AI218" s="84" t="str">
        <f t="shared" si="35"/>
        <v/>
      </c>
      <c r="AJ218" s="84" t="str">
        <f t="shared" si="35"/>
        <v/>
      </c>
      <c r="AK218" s="84" t="str">
        <f t="shared" si="35"/>
        <v/>
      </c>
      <c r="AL218" s="84" t="str">
        <f t="shared" si="35"/>
        <v/>
      </c>
      <c r="AM218" s="84" t="str">
        <f t="shared" si="35"/>
        <v/>
      </c>
      <c r="AN218" s="84" t="str">
        <f t="shared" si="34"/>
        <v/>
      </c>
      <c r="AO218" s="84" t="str">
        <f t="shared" si="34"/>
        <v/>
      </c>
      <c r="AP218" s="84" t="str">
        <f t="shared" si="34"/>
        <v/>
      </c>
      <c r="AQ218" s="84" t="str">
        <f t="shared" si="34"/>
        <v/>
      </c>
      <c r="AR218" s="84">
        <f t="shared" si="34"/>
        <v>0.18579234972677597</v>
      </c>
      <c r="AT218" s="139"/>
      <c r="AU218" s="139"/>
      <c r="AV218" s="139"/>
      <c r="AW218" s="139"/>
      <c r="AX218" s="139"/>
      <c r="AY218" s="139"/>
      <c r="AZ218" s="139"/>
      <c r="BA218" s="139"/>
      <c r="BB218" s="139"/>
      <c r="BC218" s="139"/>
      <c r="BD218" s="139"/>
      <c r="BF218" s="82">
        <f t="shared" si="38"/>
        <v>1.6268360810827517E-6</v>
      </c>
      <c r="BG218" s="82">
        <f t="shared" si="39"/>
        <v>0.99990011898922271</v>
      </c>
    </row>
    <row r="219" spans="2:59" x14ac:dyDescent="0.3">
      <c r="B219" s="83" t="s">
        <v>460</v>
      </c>
      <c r="D219" s="137">
        <v>92357</v>
      </c>
      <c r="E219" s="137">
        <v>76269</v>
      </c>
      <c r="F219" s="137">
        <v>82748</v>
      </c>
      <c r="G219" s="137"/>
      <c r="H219" s="137"/>
      <c r="I219" s="137"/>
      <c r="J219" s="137"/>
      <c r="K219" s="137"/>
      <c r="L219" s="137"/>
      <c r="M219" s="137"/>
      <c r="N219" s="137"/>
      <c r="O219" s="137"/>
      <c r="P219" s="137">
        <f t="shared" si="36"/>
        <v>251374</v>
      </c>
      <c r="R219" s="137">
        <v>8530</v>
      </c>
      <c r="S219" s="137">
        <v>8171</v>
      </c>
      <c r="T219" s="137">
        <v>7684</v>
      </c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>
        <f t="shared" si="37"/>
        <v>24385</v>
      </c>
      <c r="AF219" s="84">
        <f t="shared" si="35"/>
        <v>9.2358998235109416E-2</v>
      </c>
      <c r="AG219" s="84">
        <f t="shared" si="35"/>
        <v>0.10713396006241067</v>
      </c>
      <c r="AH219" s="84">
        <f t="shared" si="35"/>
        <v>9.2860250398801178E-2</v>
      </c>
      <c r="AI219" s="84" t="str">
        <f t="shared" si="35"/>
        <v/>
      </c>
      <c r="AJ219" s="84" t="str">
        <f t="shared" si="35"/>
        <v/>
      </c>
      <c r="AK219" s="84" t="str">
        <f t="shared" si="35"/>
        <v/>
      </c>
      <c r="AL219" s="84" t="str">
        <f t="shared" si="35"/>
        <v/>
      </c>
      <c r="AM219" s="84" t="str">
        <f t="shared" si="35"/>
        <v/>
      </c>
      <c r="AN219" s="84" t="str">
        <f t="shared" si="34"/>
        <v/>
      </c>
      <c r="AO219" s="84" t="str">
        <f t="shared" si="34"/>
        <v/>
      </c>
      <c r="AP219" s="84" t="str">
        <f t="shared" si="34"/>
        <v/>
      </c>
      <c r="AQ219" s="84" t="str">
        <f t="shared" si="34"/>
        <v/>
      </c>
      <c r="AR219" s="84">
        <f t="shared" si="34"/>
        <v>9.7006850350473794E-2</v>
      </c>
      <c r="AT219" s="139"/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F219" s="82">
        <f t="shared" si="38"/>
        <v>3.153449748585286E-5</v>
      </c>
      <c r="BG219" s="82">
        <f t="shared" si="39"/>
        <v>0.99993165348670854</v>
      </c>
    </row>
    <row r="220" spans="2:59" x14ac:dyDescent="0.3">
      <c r="B220" s="83" t="s">
        <v>306</v>
      </c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>
        <f t="shared" si="36"/>
        <v>0</v>
      </c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>
        <f t="shared" si="37"/>
        <v>0</v>
      </c>
      <c r="AF220" s="84" t="str">
        <f t="shared" si="35"/>
        <v/>
      </c>
      <c r="AG220" s="84" t="str">
        <f t="shared" si="35"/>
        <v/>
      </c>
      <c r="AH220" s="84" t="str">
        <f t="shared" si="35"/>
        <v/>
      </c>
      <c r="AI220" s="84" t="str">
        <f t="shared" si="35"/>
        <v/>
      </c>
      <c r="AJ220" s="84" t="str">
        <f t="shared" si="35"/>
        <v/>
      </c>
      <c r="AK220" s="84" t="str">
        <f t="shared" si="35"/>
        <v/>
      </c>
      <c r="AL220" s="84" t="str">
        <f t="shared" si="35"/>
        <v/>
      </c>
      <c r="AM220" s="84" t="str">
        <f t="shared" si="35"/>
        <v/>
      </c>
      <c r="AN220" s="84" t="str">
        <f t="shared" si="34"/>
        <v/>
      </c>
      <c r="AO220" s="84" t="str">
        <f t="shared" si="34"/>
        <v/>
      </c>
      <c r="AP220" s="84" t="str">
        <f t="shared" si="34"/>
        <v/>
      </c>
      <c r="AQ220" s="84" t="str">
        <f t="shared" si="34"/>
        <v/>
      </c>
      <c r="AR220" s="84" t="str">
        <f t="shared" si="34"/>
        <v/>
      </c>
      <c r="AT220" s="139"/>
      <c r="AU220" s="139"/>
      <c r="AV220" s="139"/>
      <c r="AW220" s="139"/>
      <c r="AX220" s="139"/>
      <c r="AY220" s="139"/>
      <c r="AZ220" s="139"/>
      <c r="BA220" s="139"/>
      <c r="BB220" s="139"/>
      <c r="BC220" s="139"/>
      <c r="BD220" s="139"/>
      <c r="BF220" s="82">
        <f t="shared" si="38"/>
        <v>0</v>
      </c>
      <c r="BG220" s="82">
        <f t="shared" si="39"/>
        <v>0.99993165348670854</v>
      </c>
    </row>
    <row r="221" spans="2:59" x14ac:dyDescent="0.3">
      <c r="B221" s="83" t="s">
        <v>300</v>
      </c>
      <c r="D221" s="137">
        <v>5290</v>
      </c>
      <c r="E221" s="137">
        <v>13442</v>
      </c>
      <c r="F221" s="137">
        <v>16121</v>
      </c>
      <c r="G221" s="137"/>
      <c r="H221" s="137"/>
      <c r="I221" s="137"/>
      <c r="J221" s="137"/>
      <c r="K221" s="137"/>
      <c r="L221" s="137"/>
      <c r="M221" s="137"/>
      <c r="N221" s="137"/>
      <c r="O221" s="137"/>
      <c r="P221" s="137">
        <f t="shared" si="36"/>
        <v>34853</v>
      </c>
      <c r="R221" s="137">
        <v>572</v>
      </c>
      <c r="S221" s="137">
        <v>390</v>
      </c>
      <c r="T221" s="137">
        <v>5570</v>
      </c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>
        <f t="shared" si="37"/>
        <v>6532</v>
      </c>
      <c r="AF221" s="84">
        <f t="shared" si="35"/>
        <v>0.10812854442344046</v>
      </c>
      <c r="AG221" s="84">
        <f t="shared" si="35"/>
        <v>2.9013539651837523E-2</v>
      </c>
      <c r="AH221" s="84">
        <f t="shared" si="35"/>
        <v>0.34551206500837417</v>
      </c>
      <c r="AI221" s="84" t="str">
        <f t="shared" si="35"/>
        <v/>
      </c>
      <c r="AJ221" s="84" t="str">
        <f t="shared" si="35"/>
        <v/>
      </c>
      <c r="AK221" s="84" t="str">
        <f t="shared" si="35"/>
        <v/>
      </c>
      <c r="AL221" s="84" t="str">
        <f t="shared" si="35"/>
        <v/>
      </c>
      <c r="AM221" s="84" t="str">
        <f t="shared" si="35"/>
        <v/>
      </c>
      <c r="AN221" s="84" t="str">
        <f t="shared" si="34"/>
        <v/>
      </c>
      <c r="AO221" s="84" t="str">
        <f t="shared" si="34"/>
        <v/>
      </c>
      <c r="AP221" s="84" t="str">
        <f t="shared" si="34"/>
        <v/>
      </c>
      <c r="AQ221" s="84" t="str">
        <f t="shared" si="34"/>
        <v/>
      </c>
      <c r="AR221" s="84">
        <f t="shared" si="34"/>
        <v>0.18741571744182711</v>
      </c>
      <c r="AT221" s="139"/>
      <c r="AU221" s="139"/>
      <c r="AV221" s="139"/>
      <c r="AW221" s="139"/>
      <c r="AX221" s="139"/>
      <c r="AY221" s="139"/>
      <c r="AZ221" s="139"/>
      <c r="BA221" s="139"/>
      <c r="BB221" s="139"/>
      <c r="BC221" s="139"/>
      <c r="BD221" s="139"/>
      <c r="BF221" s="82">
        <f t="shared" si="38"/>
        <v>8.4471329742706943E-6</v>
      </c>
      <c r="BG221" s="82">
        <f t="shared" si="39"/>
        <v>0.99994010061968286</v>
      </c>
    </row>
    <row r="222" spans="2:59" x14ac:dyDescent="0.3">
      <c r="B222" s="83" t="s">
        <v>295</v>
      </c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>
        <f t="shared" si="36"/>
        <v>0</v>
      </c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>
        <f t="shared" si="37"/>
        <v>0</v>
      </c>
      <c r="AF222" s="84" t="str">
        <f t="shared" si="35"/>
        <v/>
      </c>
      <c r="AG222" s="84" t="str">
        <f t="shared" si="35"/>
        <v/>
      </c>
      <c r="AH222" s="84" t="str">
        <f t="shared" si="35"/>
        <v/>
      </c>
      <c r="AI222" s="84" t="str">
        <f t="shared" si="35"/>
        <v/>
      </c>
      <c r="AJ222" s="84" t="str">
        <f t="shared" si="35"/>
        <v/>
      </c>
      <c r="AK222" s="84" t="str">
        <f t="shared" si="35"/>
        <v/>
      </c>
      <c r="AL222" s="84" t="str">
        <f t="shared" si="35"/>
        <v/>
      </c>
      <c r="AM222" s="84" t="str">
        <f t="shared" si="35"/>
        <v/>
      </c>
      <c r="AN222" s="84" t="str">
        <f t="shared" si="34"/>
        <v/>
      </c>
      <c r="AO222" s="84" t="str">
        <f t="shared" si="34"/>
        <v/>
      </c>
      <c r="AP222" s="84" t="str">
        <f t="shared" si="34"/>
        <v/>
      </c>
      <c r="AQ222" s="84" t="str">
        <f t="shared" si="34"/>
        <v/>
      </c>
      <c r="AR222" s="84" t="str">
        <f t="shared" si="34"/>
        <v/>
      </c>
      <c r="AT222" s="139"/>
      <c r="AU222" s="139"/>
      <c r="AV222" s="139"/>
      <c r="AW222" s="139"/>
      <c r="AX222" s="139"/>
      <c r="AY222" s="139"/>
      <c r="AZ222" s="139"/>
      <c r="BA222" s="139"/>
      <c r="BB222" s="139"/>
      <c r="BC222" s="139"/>
      <c r="BD222" s="139"/>
      <c r="BF222" s="82">
        <f t="shared" si="38"/>
        <v>0</v>
      </c>
      <c r="BG222" s="82">
        <f t="shared" si="39"/>
        <v>0.99994010061968286</v>
      </c>
    </row>
    <row r="223" spans="2:59" x14ac:dyDescent="0.3">
      <c r="B223" s="83" t="s">
        <v>305</v>
      </c>
      <c r="D223" s="137">
        <v>62448</v>
      </c>
      <c r="E223" s="137">
        <v>48014</v>
      </c>
      <c r="F223" s="137">
        <v>166246</v>
      </c>
      <c r="G223" s="137"/>
      <c r="H223" s="137"/>
      <c r="I223" s="137"/>
      <c r="J223" s="137"/>
      <c r="K223" s="137"/>
      <c r="L223" s="137"/>
      <c r="M223" s="137"/>
      <c r="N223" s="137"/>
      <c r="O223" s="137"/>
      <c r="P223" s="137">
        <f t="shared" si="36"/>
        <v>276708</v>
      </c>
      <c r="R223" s="137">
        <v>8155</v>
      </c>
      <c r="S223" s="137">
        <v>6734</v>
      </c>
      <c r="T223" s="137">
        <v>6712</v>
      </c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>
        <f t="shared" si="37"/>
        <v>21601</v>
      </c>
      <c r="AF223" s="84">
        <f t="shared" si="35"/>
        <v>0.13058864975659748</v>
      </c>
      <c r="AG223" s="84">
        <f t="shared" si="35"/>
        <v>0.14025076019494315</v>
      </c>
      <c r="AH223" s="84">
        <f t="shared" si="35"/>
        <v>4.0373903733022146E-2</v>
      </c>
      <c r="AI223" s="84" t="str">
        <f t="shared" si="35"/>
        <v/>
      </c>
      <c r="AJ223" s="84" t="str">
        <f t="shared" si="35"/>
        <v/>
      </c>
      <c r="AK223" s="84" t="str">
        <f t="shared" si="35"/>
        <v/>
      </c>
      <c r="AL223" s="84" t="str">
        <f t="shared" si="35"/>
        <v/>
      </c>
      <c r="AM223" s="84" t="str">
        <f t="shared" si="35"/>
        <v/>
      </c>
      <c r="AN223" s="84" t="str">
        <f t="shared" si="34"/>
        <v/>
      </c>
      <c r="AO223" s="84" t="str">
        <f t="shared" si="34"/>
        <v/>
      </c>
      <c r="AP223" s="84" t="str">
        <f t="shared" si="34"/>
        <v/>
      </c>
      <c r="AQ223" s="84" t="str">
        <f t="shared" si="34"/>
        <v/>
      </c>
      <c r="AR223" s="84">
        <f t="shared" si="34"/>
        <v>7.806424100495829E-2</v>
      </c>
      <c r="AT223" s="139"/>
      <c r="AU223" s="139"/>
      <c r="AV223" s="139"/>
      <c r="AW223" s="139"/>
      <c r="AX223" s="139"/>
      <c r="AY223" s="139"/>
      <c r="AZ223" s="139"/>
      <c r="BA223" s="139"/>
      <c r="BB223" s="139"/>
      <c r="BC223" s="139"/>
      <c r="BD223" s="139"/>
      <c r="BF223" s="82">
        <f t="shared" si="38"/>
        <v>2.7934249751564801E-5</v>
      </c>
      <c r="BG223" s="82">
        <f t="shared" si="39"/>
        <v>0.99996803486943442</v>
      </c>
    </row>
    <row r="224" spans="2:59" x14ac:dyDescent="0.3">
      <c r="B224" s="83" t="s">
        <v>292</v>
      </c>
      <c r="D224" s="137">
        <v>2110</v>
      </c>
      <c r="E224" s="137"/>
      <c r="F224" s="137">
        <v>8000</v>
      </c>
      <c r="G224" s="137"/>
      <c r="H224" s="137"/>
      <c r="I224" s="137"/>
      <c r="J224" s="137"/>
      <c r="K224" s="137"/>
      <c r="L224" s="137"/>
      <c r="M224" s="137"/>
      <c r="N224" s="137"/>
      <c r="O224" s="137"/>
      <c r="P224" s="137">
        <f t="shared" si="36"/>
        <v>10110</v>
      </c>
      <c r="R224" s="137">
        <v>2110</v>
      </c>
      <c r="S224" s="137"/>
      <c r="T224" s="137">
        <v>8000</v>
      </c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>
        <f t="shared" si="37"/>
        <v>10110</v>
      </c>
      <c r="AF224" s="84">
        <f t="shared" si="35"/>
        <v>1</v>
      </c>
      <c r="AG224" s="84" t="str">
        <f t="shared" si="35"/>
        <v/>
      </c>
      <c r="AH224" s="84">
        <f t="shared" si="35"/>
        <v>1</v>
      </c>
      <c r="AI224" s="84" t="str">
        <f t="shared" si="35"/>
        <v/>
      </c>
      <c r="AJ224" s="84" t="str">
        <f t="shared" si="35"/>
        <v/>
      </c>
      <c r="AK224" s="84" t="str">
        <f t="shared" si="35"/>
        <v/>
      </c>
      <c r="AL224" s="84" t="str">
        <f t="shared" si="35"/>
        <v/>
      </c>
      <c r="AM224" s="84" t="str">
        <f t="shared" ref="AM224:AR235" si="41">+IFERROR(Y224/K224,"")</f>
        <v/>
      </c>
      <c r="AN224" s="84" t="str">
        <f t="shared" si="41"/>
        <v/>
      </c>
      <c r="AO224" s="84" t="str">
        <f t="shared" si="41"/>
        <v/>
      </c>
      <c r="AP224" s="84" t="str">
        <f t="shared" si="41"/>
        <v/>
      </c>
      <c r="AQ224" s="84" t="str">
        <f t="shared" si="41"/>
        <v/>
      </c>
      <c r="AR224" s="84">
        <f t="shared" si="41"/>
        <v>1</v>
      </c>
      <c r="AT224" s="139"/>
      <c r="AU224" s="139"/>
      <c r="AV224" s="139"/>
      <c r="AW224" s="139"/>
      <c r="AX224" s="139"/>
      <c r="AY224" s="139"/>
      <c r="AZ224" s="139"/>
      <c r="BA224" s="139"/>
      <c r="BB224" s="139"/>
      <c r="BC224" s="139"/>
      <c r="BD224" s="139"/>
      <c r="BF224" s="82">
        <f t="shared" si="38"/>
        <v>1.3074175500593498E-5</v>
      </c>
      <c r="BG224" s="82">
        <f t="shared" si="39"/>
        <v>0.99998110904493498</v>
      </c>
    </row>
    <row r="225" spans="2:59" x14ac:dyDescent="0.3">
      <c r="B225" s="83" t="s">
        <v>461</v>
      </c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>
        <f t="shared" si="36"/>
        <v>0</v>
      </c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>
        <f t="shared" si="37"/>
        <v>0</v>
      </c>
      <c r="AF225" s="84" t="str">
        <f t="shared" ref="AF225:AR236" si="42">+IFERROR(R225/D225,"")</f>
        <v/>
      </c>
      <c r="AG225" s="84" t="str">
        <f t="shared" si="42"/>
        <v/>
      </c>
      <c r="AH225" s="84" t="str">
        <f t="shared" si="42"/>
        <v/>
      </c>
      <c r="AI225" s="84" t="str">
        <f t="shared" si="42"/>
        <v/>
      </c>
      <c r="AJ225" s="84" t="str">
        <f t="shared" si="42"/>
        <v/>
      </c>
      <c r="AK225" s="84" t="str">
        <f t="shared" si="42"/>
        <v/>
      </c>
      <c r="AL225" s="84" t="str">
        <f t="shared" si="42"/>
        <v/>
      </c>
      <c r="AM225" s="84" t="str">
        <f t="shared" si="41"/>
        <v/>
      </c>
      <c r="AN225" s="84" t="str">
        <f t="shared" si="41"/>
        <v/>
      </c>
      <c r="AO225" s="84" t="str">
        <f t="shared" si="41"/>
        <v/>
      </c>
      <c r="AP225" s="84" t="str">
        <f t="shared" si="41"/>
        <v/>
      </c>
      <c r="AQ225" s="84" t="str">
        <f t="shared" si="41"/>
        <v/>
      </c>
      <c r="AR225" s="84" t="str">
        <f t="shared" si="41"/>
        <v/>
      </c>
      <c r="AT225" s="139"/>
      <c r="AU225" s="139"/>
      <c r="AV225" s="139"/>
      <c r="AW225" s="139"/>
      <c r="AX225" s="139"/>
      <c r="AY225" s="139"/>
      <c r="AZ225" s="139"/>
      <c r="BA225" s="139"/>
      <c r="BB225" s="139"/>
      <c r="BC225" s="139"/>
      <c r="BD225" s="139"/>
      <c r="BF225" s="82">
        <f t="shared" si="38"/>
        <v>0</v>
      </c>
      <c r="BG225" s="82">
        <f t="shared" si="39"/>
        <v>0.99998110904493498</v>
      </c>
    </row>
    <row r="226" spans="2:59" x14ac:dyDescent="0.3">
      <c r="B226" s="83" t="s">
        <v>462</v>
      </c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>
        <f t="shared" si="36"/>
        <v>0</v>
      </c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>
        <f t="shared" si="37"/>
        <v>0</v>
      </c>
      <c r="AF226" s="84" t="str">
        <f t="shared" si="42"/>
        <v/>
      </c>
      <c r="AG226" s="84" t="str">
        <f t="shared" si="42"/>
        <v/>
      </c>
      <c r="AH226" s="84" t="str">
        <f t="shared" si="42"/>
        <v/>
      </c>
      <c r="AI226" s="84" t="str">
        <f t="shared" si="42"/>
        <v/>
      </c>
      <c r="AJ226" s="84" t="str">
        <f t="shared" si="42"/>
        <v/>
      </c>
      <c r="AK226" s="84" t="str">
        <f t="shared" si="42"/>
        <v/>
      </c>
      <c r="AL226" s="84" t="str">
        <f t="shared" si="42"/>
        <v/>
      </c>
      <c r="AM226" s="84" t="str">
        <f t="shared" si="41"/>
        <v/>
      </c>
      <c r="AN226" s="84" t="str">
        <f t="shared" si="41"/>
        <v/>
      </c>
      <c r="AO226" s="84" t="str">
        <f t="shared" si="41"/>
        <v/>
      </c>
      <c r="AP226" s="84" t="str">
        <f t="shared" si="41"/>
        <v/>
      </c>
      <c r="AQ226" s="84" t="str">
        <f t="shared" si="41"/>
        <v/>
      </c>
      <c r="AR226" s="84" t="str">
        <f t="shared" si="41"/>
        <v/>
      </c>
      <c r="AT226" s="139"/>
      <c r="AU226" s="139"/>
      <c r="AV226" s="139"/>
      <c r="AW226" s="139"/>
      <c r="AX226" s="139"/>
      <c r="AY226" s="139"/>
      <c r="AZ226" s="139"/>
      <c r="BA226" s="139"/>
      <c r="BB226" s="139"/>
      <c r="BC226" s="139"/>
      <c r="BD226" s="139"/>
      <c r="BF226" s="82">
        <f t="shared" si="38"/>
        <v>0</v>
      </c>
      <c r="BG226" s="82">
        <f t="shared" si="39"/>
        <v>0.99998110904493498</v>
      </c>
    </row>
    <row r="227" spans="2:59" x14ac:dyDescent="0.3">
      <c r="B227" s="83" t="s">
        <v>463</v>
      </c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>
        <f t="shared" si="36"/>
        <v>0</v>
      </c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>
        <f t="shared" si="37"/>
        <v>0</v>
      </c>
      <c r="AF227" s="84" t="str">
        <f t="shared" si="42"/>
        <v/>
      </c>
      <c r="AG227" s="84" t="str">
        <f t="shared" si="42"/>
        <v/>
      </c>
      <c r="AH227" s="84" t="str">
        <f t="shared" si="42"/>
        <v/>
      </c>
      <c r="AI227" s="84" t="str">
        <f t="shared" si="42"/>
        <v/>
      </c>
      <c r="AJ227" s="84" t="str">
        <f t="shared" si="42"/>
        <v/>
      </c>
      <c r="AK227" s="84" t="str">
        <f t="shared" si="42"/>
        <v/>
      </c>
      <c r="AL227" s="84" t="str">
        <f t="shared" si="42"/>
        <v/>
      </c>
      <c r="AM227" s="84" t="str">
        <f t="shared" si="41"/>
        <v/>
      </c>
      <c r="AN227" s="84" t="str">
        <f t="shared" si="41"/>
        <v/>
      </c>
      <c r="AO227" s="84" t="str">
        <f t="shared" si="41"/>
        <v/>
      </c>
      <c r="AP227" s="84" t="str">
        <f t="shared" si="41"/>
        <v/>
      </c>
      <c r="AQ227" s="84" t="str">
        <f t="shared" si="41"/>
        <v/>
      </c>
      <c r="AR227" s="84" t="str">
        <f t="shared" si="41"/>
        <v/>
      </c>
      <c r="AT227" s="139"/>
      <c r="AU227" s="139"/>
      <c r="AV227" s="139"/>
      <c r="AW227" s="139"/>
      <c r="AX227" s="139"/>
      <c r="AY227" s="139"/>
      <c r="AZ227" s="139"/>
      <c r="BA227" s="139"/>
      <c r="BB227" s="139"/>
      <c r="BC227" s="139"/>
      <c r="BD227" s="139"/>
      <c r="BF227" s="82">
        <f t="shared" si="38"/>
        <v>0</v>
      </c>
      <c r="BG227" s="82">
        <f t="shared" si="39"/>
        <v>0.99998110904493498</v>
      </c>
    </row>
    <row r="228" spans="2:59" x14ac:dyDescent="0.3">
      <c r="B228" s="83" t="s">
        <v>464</v>
      </c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>
        <f t="shared" si="36"/>
        <v>0</v>
      </c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>
        <f t="shared" si="37"/>
        <v>0</v>
      </c>
      <c r="AF228" s="84" t="str">
        <f t="shared" si="42"/>
        <v/>
      </c>
      <c r="AG228" s="84" t="str">
        <f t="shared" si="42"/>
        <v/>
      </c>
      <c r="AH228" s="84" t="str">
        <f t="shared" si="42"/>
        <v/>
      </c>
      <c r="AI228" s="84" t="str">
        <f t="shared" si="42"/>
        <v/>
      </c>
      <c r="AJ228" s="84" t="str">
        <f t="shared" si="42"/>
        <v/>
      </c>
      <c r="AK228" s="84" t="str">
        <f t="shared" si="42"/>
        <v/>
      </c>
      <c r="AL228" s="84" t="str">
        <f t="shared" si="42"/>
        <v/>
      </c>
      <c r="AM228" s="84" t="str">
        <f t="shared" si="41"/>
        <v/>
      </c>
      <c r="AN228" s="84" t="str">
        <f t="shared" si="41"/>
        <v/>
      </c>
      <c r="AO228" s="84" t="str">
        <f t="shared" si="41"/>
        <v/>
      </c>
      <c r="AP228" s="84" t="str">
        <f t="shared" si="41"/>
        <v/>
      </c>
      <c r="AQ228" s="84" t="str">
        <f t="shared" si="41"/>
        <v/>
      </c>
      <c r="AR228" s="84" t="str">
        <f t="shared" si="41"/>
        <v/>
      </c>
      <c r="AT228" s="139"/>
      <c r="AU228" s="139"/>
      <c r="AV228" s="139"/>
      <c r="AW228" s="139"/>
      <c r="AX228" s="139"/>
      <c r="AY228" s="139"/>
      <c r="AZ228" s="139"/>
      <c r="BA228" s="139"/>
      <c r="BB228" s="139"/>
      <c r="BC228" s="139"/>
      <c r="BD228" s="139"/>
      <c r="BF228" s="82">
        <f t="shared" si="38"/>
        <v>0</v>
      </c>
      <c r="BG228" s="82">
        <f t="shared" si="39"/>
        <v>0.99998110904493498</v>
      </c>
    </row>
    <row r="229" spans="2:59" x14ac:dyDescent="0.3">
      <c r="B229" s="83" t="s">
        <v>465</v>
      </c>
      <c r="D229" s="137">
        <v>9717</v>
      </c>
      <c r="E229" s="137">
        <v>7685</v>
      </c>
      <c r="F229" s="137">
        <v>5070</v>
      </c>
      <c r="G229" s="137"/>
      <c r="H229" s="137"/>
      <c r="I229" s="137"/>
      <c r="J229" s="137"/>
      <c r="K229" s="137"/>
      <c r="L229" s="137"/>
      <c r="M229" s="137"/>
      <c r="N229" s="137"/>
      <c r="O229" s="137"/>
      <c r="P229" s="137">
        <f t="shared" si="36"/>
        <v>22472</v>
      </c>
      <c r="R229" s="137">
        <v>2000</v>
      </c>
      <c r="S229" s="137">
        <v>1900</v>
      </c>
      <c r="T229" s="137">
        <v>1000</v>
      </c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>
        <f t="shared" si="37"/>
        <v>4900</v>
      </c>
      <c r="AF229" s="84">
        <f t="shared" si="42"/>
        <v>0.20582484305855717</v>
      </c>
      <c r="AG229" s="84">
        <f t="shared" si="42"/>
        <v>0.24723487312947301</v>
      </c>
      <c r="AH229" s="84">
        <f t="shared" si="42"/>
        <v>0.19723865877712032</v>
      </c>
      <c r="AI229" s="84" t="str">
        <f t="shared" si="42"/>
        <v/>
      </c>
      <c r="AJ229" s="84" t="str">
        <f t="shared" si="42"/>
        <v/>
      </c>
      <c r="AK229" s="84" t="str">
        <f t="shared" si="42"/>
        <v/>
      </c>
      <c r="AL229" s="84" t="str">
        <f t="shared" si="42"/>
        <v/>
      </c>
      <c r="AM229" s="84" t="str">
        <f t="shared" si="41"/>
        <v/>
      </c>
      <c r="AN229" s="84" t="str">
        <f t="shared" si="41"/>
        <v/>
      </c>
      <c r="AO229" s="84" t="str">
        <f t="shared" si="41"/>
        <v/>
      </c>
      <c r="AP229" s="84" t="str">
        <f t="shared" si="41"/>
        <v/>
      </c>
      <c r="AQ229" s="84" t="str">
        <f t="shared" si="41"/>
        <v/>
      </c>
      <c r="AR229" s="84">
        <f t="shared" si="41"/>
        <v>0.21804912780348878</v>
      </c>
      <c r="AT229" s="139"/>
      <c r="AU229" s="139"/>
      <c r="AV229" s="139"/>
      <c r="AW229" s="139"/>
      <c r="AX229" s="139"/>
      <c r="AY229" s="139"/>
      <c r="AZ229" s="139"/>
      <c r="BA229" s="139"/>
      <c r="BB229" s="139"/>
      <c r="BC229" s="139"/>
      <c r="BD229" s="139"/>
      <c r="BF229" s="82">
        <f t="shared" si="38"/>
        <v>6.3366429231363143E-6</v>
      </c>
      <c r="BG229" s="82">
        <f t="shared" si="39"/>
        <v>0.99998744568785813</v>
      </c>
    </row>
    <row r="230" spans="2:59" x14ac:dyDescent="0.3">
      <c r="B230" s="83" t="s">
        <v>466</v>
      </c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>
        <f t="shared" si="36"/>
        <v>0</v>
      </c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>
        <f t="shared" si="37"/>
        <v>0</v>
      </c>
      <c r="AF230" s="84" t="str">
        <f t="shared" si="42"/>
        <v/>
      </c>
      <c r="AG230" s="84" t="str">
        <f t="shared" si="42"/>
        <v/>
      </c>
      <c r="AH230" s="84" t="str">
        <f t="shared" si="42"/>
        <v/>
      </c>
      <c r="AI230" s="84" t="str">
        <f t="shared" si="42"/>
        <v/>
      </c>
      <c r="AJ230" s="84" t="str">
        <f t="shared" si="42"/>
        <v/>
      </c>
      <c r="AK230" s="84" t="str">
        <f t="shared" si="42"/>
        <v/>
      </c>
      <c r="AL230" s="84" t="str">
        <f t="shared" si="42"/>
        <v/>
      </c>
      <c r="AM230" s="84" t="str">
        <f t="shared" si="41"/>
        <v/>
      </c>
      <c r="AN230" s="84" t="str">
        <f t="shared" si="41"/>
        <v/>
      </c>
      <c r="AO230" s="84" t="str">
        <f t="shared" si="41"/>
        <v/>
      </c>
      <c r="AP230" s="84" t="str">
        <f t="shared" si="41"/>
        <v/>
      </c>
      <c r="AQ230" s="84" t="str">
        <f t="shared" si="41"/>
        <v/>
      </c>
      <c r="AR230" s="84" t="str">
        <f t="shared" si="41"/>
        <v/>
      </c>
      <c r="AT230" s="139"/>
      <c r="AU230" s="139"/>
      <c r="AV230" s="139"/>
      <c r="AW230" s="139"/>
      <c r="AX230" s="139"/>
      <c r="AY230" s="139"/>
      <c r="AZ230" s="139"/>
      <c r="BA230" s="139"/>
      <c r="BB230" s="139"/>
      <c r="BC230" s="139"/>
      <c r="BD230" s="139"/>
      <c r="BF230" s="82">
        <f t="shared" si="38"/>
        <v>0</v>
      </c>
      <c r="BG230" s="82">
        <f t="shared" si="39"/>
        <v>0.99998744568785813</v>
      </c>
    </row>
    <row r="231" spans="2:59" x14ac:dyDescent="0.3">
      <c r="B231" s="83" t="s">
        <v>467</v>
      </c>
      <c r="D231" s="137">
        <v>428</v>
      </c>
      <c r="E231" s="137"/>
      <c r="F231" s="137">
        <v>31503</v>
      </c>
      <c r="G231" s="137"/>
      <c r="H231" s="137"/>
      <c r="I231" s="137"/>
      <c r="J231" s="137"/>
      <c r="K231" s="137"/>
      <c r="L231" s="137"/>
      <c r="M231" s="137"/>
      <c r="N231" s="137"/>
      <c r="O231" s="137"/>
      <c r="P231" s="137">
        <f t="shared" si="36"/>
        <v>31931</v>
      </c>
      <c r="R231" s="137">
        <v>98</v>
      </c>
      <c r="S231" s="137"/>
      <c r="T231" s="137">
        <v>3382</v>
      </c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>
        <f t="shared" si="37"/>
        <v>3480</v>
      </c>
      <c r="AF231" s="84">
        <f t="shared" si="42"/>
        <v>0.22897196261682243</v>
      </c>
      <c r="AG231" s="84" t="str">
        <f t="shared" si="42"/>
        <v/>
      </c>
      <c r="AH231" s="84">
        <f t="shared" si="42"/>
        <v>0.10735485509316572</v>
      </c>
      <c r="AI231" s="84" t="str">
        <f t="shared" si="42"/>
        <v/>
      </c>
      <c r="AJ231" s="84" t="str">
        <f t="shared" si="42"/>
        <v/>
      </c>
      <c r="AK231" s="84" t="str">
        <f t="shared" si="42"/>
        <v/>
      </c>
      <c r="AL231" s="84" t="str">
        <f t="shared" si="42"/>
        <v/>
      </c>
      <c r="AM231" s="84" t="str">
        <f t="shared" si="41"/>
        <v/>
      </c>
      <c r="AN231" s="84" t="str">
        <f t="shared" si="41"/>
        <v/>
      </c>
      <c r="AO231" s="84" t="str">
        <f t="shared" si="41"/>
        <v/>
      </c>
      <c r="AP231" s="84" t="str">
        <f t="shared" si="41"/>
        <v/>
      </c>
      <c r="AQ231" s="84" t="str">
        <f t="shared" si="41"/>
        <v/>
      </c>
      <c r="AR231" s="84">
        <f t="shared" si="41"/>
        <v>0.10898499890388651</v>
      </c>
      <c r="AT231" s="139"/>
      <c r="AU231" s="139"/>
      <c r="AV231" s="139"/>
      <c r="AW231" s="139"/>
      <c r="AX231" s="139"/>
      <c r="AY231" s="139"/>
      <c r="AZ231" s="139"/>
      <c r="BA231" s="139"/>
      <c r="BB231" s="139"/>
      <c r="BC231" s="139"/>
      <c r="BD231" s="139"/>
      <c r="BF231" s="82">
        <f t="shared" si="38"/>
        <v>4.5003096678600768E-6</v>
      </c>
      <c r="BG231" s="82">
        <f t="shared" si="39"/>
        <v>0.99999194599752594</v>
      </c>
    </row>
    <row r="232" spans="2:59" x14ac:dyDescent="0.3">
      <c r="B232" s="83" t="s">
        <v>468</v>
      </c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>
        <f t="shared" si="36"/>
        <v>0</v>
      </c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>
        <f t="shared" si="37"/>
        <v>0</v>
      </c>
      <c r="AF232" s="84" t="str">
        <f t="shared" si="42"/>
        <v/>
      </c>
      <c r="AG232" s="84" t="str">
        <f t="shared" si="42"/>
        <v/>
      </c>
      <c r="AH232" s="84" t="str">
        <f t="shared" si="42"/>
        <v/>
      </c>
      <c r="AI232" s="84" t="str">
        <f t="shared" si="42"/>
        <v/>
      </c>
      <c r="AJ232" s="84" t="str">
        <f t="shared" si="42"/>
        <v/>
      </c>
      <c r="AK232" s="84" t="str">
        <f t="shared" si="42"/>
        <v/>
      </c>
      <c r="AL232" s="84" t="str">
        <f t="shared" si="42"/>
        <v/>
      </c>
      <c r="AM232" s="84" t="str">
        <f t="shared" si="41"/>
        <v/>
      </c>
      <c r="AN232" s="84" t="str">
        <f t="shared" si="41"/>
        <v/>
      </c>
      <c r="AO232" s="84" t="str">
        <f t="shared" si="41"/>
        <v/>
      </c>
      <c r="AP232" s="84" t="str">
        <f t="shared" si="41"/>
        <v/>
      </c>
      <c r="AQ232" s="84" t="str">
        <f t="shared" si="41"/>
        <v/>
      </c>
      <c r="AR232" s="84" t="str">
        <f t="shared" si="41"/>
        <v/>
      </c>
      <c r="AT232" s="139"/>
      <c r="AU232" s="139"/>
      <c r="AV232" s="139"/>
      <c r="AW232" s="139"/>
      <c r="AX232" s="139"/>
      <c r="AY232" s="139"/>
      <c r="AZ232" s="139"/>
      <c r="BA232" s="139"/>
      <c r="BB232" s="139"/>
      <c r="BC232" s="139"/>
      <c r="BD232" s="139"/>
      <c r="BF232" s="82">
        <f t="shared" si="38"/>
        <v>0</v>
      </c>
      <c r="BG232" s="82">
        <f t="shared" si="39"/>
        <v>0.99999194599752594</v>
      </c>
    </row>
    <row r="233" spans="2:59" x14ac:dyDescent="0.3">
      <c r="B233" s="83" t="s">
        <v>469</v>
      </c>
      <c r="D233" s="137"/>
      <c r="E233" s="137">
        <v>717</v>
      </c>
      <c r="F233" s="137">
        <v>6464</v>
      </c>
      <c r="G233" s="137"/>
      <c r="H233" s="137"/>
      <c r="I233" s="137"/>
      <c r="J233" s="137"/>
      <c r="K233" s="137"/>
      <c r="L233" s="137"/>
      <c r="M233" s="137"/>
      <c r="N233" s="137"/>
      <c r="O233" s="137"/>
      <c r="P233" s="137">
        <f t="shared" si="36"/>
        <v>7181</v>
      </c>
      <c r="R233" s="137"/>
      <c r="S233" s="137">
        <v>214</v>
      </c>
      <c r="T233" s="137">
        <v>6014</v>
      </c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>
        <f t="shared" si="37"/>
        <v>6228</v>
      </c>
      <c r="AF233" s="84" t="str">
        <f t="shared" si="42"/>
        <v/>
      </c>
      <c r="AG233" s="84">
        <f t="shared" si="42"/>
        <v>0.29846582984658299</v>
      </c>
      <c r="AH233" s="84">
        <f t="shared" si="42"/>
        <v>0.9303836633663366</v>
      </c>
      <c r="AI233" s="84" t="str">
        <f t="shared" si="42"/>
        <v/>
      </c>
      <c r="AJ233" s="84" t="str">
        <f t="shared" si="42"/>
        <v/>
      </c>
      <c r="AK233" s="84" t="str">
        <f t="shared" si="42"/>
        <v/>
      </c>
      <c r="AL233" s="84" t="str">
        <f t="shared" si="42"/>
        <v/>
      </c>
      <c r="AM233" s="84" t="str">
        <f t="shared" si="41"/>
        <v/>
      </c>
      <c r="AN233" s="84" t="str">
        <f t="shared" si="41"/>
        <v/>
      </c>
      <c r="AO233" s="84" t="str">
        <f t="shared" si="41"/>
        <v/>
      </c>
      <c r="AP233" s="84" t="str">
        <f t="shared" si="41"/>
        <v/>
      </c>
      <c r="AQ233" s="84" t="str">
        <f t="shared" si="41"/>
        <v/>
      </c>
      <c r="AR233" s="84">
        <f t="shared" si="41"/>
        <v>0.86728867845703939</v>
      </c>
      <c r="AT233" s="139"/>
      <c r="AU233" s="139"/>
      <c r="AV233" s="139"/>
      <c r="AW233" s="139"/>
      <c r="AX233" s="139"/>
      <c r="AY233" s="139"/>
      <c r="AZ233" s="139"/>
      <c r="BA233" s="139"/>
      <c r="BB233" s="139"/>
      <c r="BC233" s="139"/>
      <c r="BD233" s="139"/>
      <c r="BF233" s="82">
        <f t="shared" si="38"/>
        <v>8.0540024745495852E-6</v>
      </c>
      <c r="BG233" s="82">
        <f t="shared" si="39"/>
        <v>1.0000000000000004</v>
      </c>
    </row>
    <row r="234" spans="2:59" x14ac:dyDescent="0.3">
      <c r="B234" s="83" t="s">
        <v>470</v>
      </c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>
        <f t="shared" si="36"/>
        <v>0</v>
      </c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>
        <f t="shared" si="37"/>
        <v>0</v>
      </c>
      <c r="AF234" s="84" t="str">
        <f t="shared" si="42"/>
        <v/>
      </c>
      <c r="AG234" s="84" t="str">
        <f t="shared" si="42"/>
        <v/>
      </c>
      <c r="AH234" s="84" t="str">
        <f t="shared" si="42"/>
        <v/>
      </c>
      <c r="AI234" s="84" t="str">
        <f t="shared" si="42"/>
        <v/>
      </c>
      <c r="AJ234" s="84" t="str">
        <f t="shared" si="42"/>
        <v/>
      </c>
      <c r="AK234" s="84" t="str">
        <f t="shared" si="42"/>
        <v/>
      </c>
      <c r="AL234" s="84" t="str">
        <f t="shared" si="42"/>
        <v/>
      </c>
      <c r="AM234" s="84" t="str">
        <f t="shared" si="41"/>
        <v/>
      </c>
      <c r="AN234" s="84" t="str">
        <f t="shared" si="41"/>
        <v/>
      </c>
      <c r="AO234" s="84" t="str">
        <f t="shared" si="41"/>
        <v/>
      </c>
      <c r="AP234" s="84" t="str">
        <f t="shared" si="41"/>
        <v/>
      </c>
      <c r="AQ234" s="84" t="str">
        <f t="shared" si="41"/>
        <v/>
      </c>
      <c r="AR234" s="84" t="str">
        <f t="shared" si="41"/>
        <v/>
      </c>
      <c r="AT234" s="139"/>
      <c r="AU234" s="139"/>
      <c r="AV234" s="139"/>
      <c r="AW234" s="139"/>
      <c r="AX234" s="139"/>
      <c r="AY234" s="139"/>
      <c r="AZ234" s="139"/>
      <c r="BA234" s="139"/>
      <c r="BB234" s="139"/>
      <c r="BC234" s="139"/>
      <c r="BD234" s="139"/>
      <c r="BF234" s="82">
        <f t="shared" si="38"/>
        <v>0</v>
      </c>
      <c r="BG234" s="82">
        <f t="shared" si="39"/>
        <v>1.0000000000000004</v>
      </c>
    </row>
    <row r="235" spans="2:59" x14ac:dyDescent="0.3">
      <c r="B235" s="83" t="s">
        <v>471</v>
      </c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>
        <f t="shared" si="36"/>
        <v>0</v>
      </c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>
        <f t="shared" si="37"/>
        <v>0</v>
      </c>
      <c r="AF235" s="84" t="str">
        <f t="shared" si="42"/>
        <v/>
      </c>
      <c r="AG235" s="84" t="str">
        <f t="shared" si="42"/>
        <v/>
      </c>
      <c r="AH235" s="84" t="str">
        <f t="shared" si="42"/>
        <v/>
      </c>
      <c r="AI235" s="84" t="str">
        <f t="shared" si="42"/>
        <v/>
      </c>
      <c r="AJ235" s="84" t="str">
        <f t="shared" si="42"/>
        <v/>
      </c>
      <c r="AK235" s="84" t="str">
        <f t="shared" si="42"/>
        <v/>
      </c>
      <c r="AL235" s="84" t="str">
        <f t="shared" si="42"/>
        <v/>
      </c>
      <c r="AM235" s="84" t="str">
        <f t="shared" si="41"/>
        <v/>
      </c>
      <c r="AN235" s="84" t="str">
        <f t="shared" si="41"/>
        <v/>
      </c>
      <c r="AO235" s="84" t="str">
        <f t="shared" si="41"/>
        <v/>
      </c>
      <c r="AP235" s="84" t="str">
        <f t="shared" si="41"/>
        <v/>
      </c>
      <c r="AQ235" s="84" t="str">
        <f t="shared" si="41"/>
        <v/>
      </c>
      <c r="AR235" s="84" t="str">
        <f t="shared" si="41"/>
        <v/>
      </c>
      <c r="AT235" s="139"/>
      <c r="AU235" s="139"/>
      <c r="AV235" s="139"/>
      <c r="AW235" s="139"/>
      <c r="AX235" s="139"/>
      <c r="AY235" s="139"/>
      <c r="AZ235" s="139"/>
      <c r="BA235" s="139"/>
      <c r="BB235" s="139"/>
      <c r="BC235" s="139"/>
      <c r="BD235" s="139"/>
      <c r="BF235" s="82">
        <f t="shared" si="38"/>
        <v>0</v>
      </c>
      <c r="BG235" s="82">
        <f t="shared" si="39"/>
        <v>1.0000000000000004</v>
      </c>
    </row>
    <row r="236" spans="2:59" s="86" customFormat="1" ht="15.6" customHeight="1" x14ac:dyDescent="0.3">
      <c r="B236" s="85" t="s">
        <v>287</v>
      </c>
      <c r="D236" s="140">
        <f>+SUM(D5:D235)</f>
        <v>1770211334</v>
      </c>
      <c r="E236" s="140">
        <f>+SUM(E5:E235)</f>
        <v>1728699037</v>
      </c>
      <c r="F236" s="140">
        <f t="shared" ref="F236:O236" si="43">+SUM(F5:F204)</f>
        <v>1843502653</v>
      </c>
      <c r="G236" s="140">
        <f t="shared" si="43"/>
        <v>0</v>
      </c>
      <c r="H236" s="140">
        <f t="shared" si="43"/>
        <v>0</v>
      </c>
      <c r="I236" s="140">
        <f t="shared" si="43"/>
        <v>0</v>
      </c>
      <c r="J236" s="140">
        <f t="shared" si="43"/>
        <v>0</v>
      </c>
      <c r="K236" s="140">
        <f t="shared" si="43"/>
        <v>0</v>
      </c>
      <c r="L236" s="140">
        <f t="shared" si="43"/>
        <v>0</v>
      </c>
      <c r="M236" s="140">
        <f t="shared" si="43"/>
        <v>0</v>
      </c>
      <c r="N236" s="140">
        <f t="shared" si="43"/>
        <v>0</v>
      </c>
      <c r="O236" s="140">
        <f t="shared" si="43"/>
        <v>0</v>
      </c>
      <c r="P236" s="140">
        <f>+SUM(P5:P235)</f>
        <v>5342920961</v>
      </c>
      <c r="R236" s="140">
        <f>+SUM(R5:R235)</f>
        <v>256028690</v>
      </c>
      <c r="S236" s="140">
        <f>+SUM(S5:S235)</f>
        <v>250316708</v>
      </c>
      <c r="T236" s="140">
        <f t="shared" ref="T236:AC236" si="44">+SUM(T5:T204)</f>
        <v>266813967</v>
      </c>
      <c r="U236" s="140">
        <f t="shared" si="44"/>
        <v>0</v>
      </c>
      <c r="V236" s="140">
        <f t="shared" si="44"/>
        <v>0</v>
      </c>
      <c r="W236" s="140">
        <f t="shared" si="44"/>
        <v>0</v>
      </c>
      <c r="X236" s="140">
        <f t="shared" si="44"/>
        <v>0</v>
      </c>
      <c r="Y236" s="140">
        <f t="shared" si="44"/>
        <v>0</v>
      </c>
      <c r="Z236" s="140">
        <f t="shared" si="44"/>
        <v>0</v>
      </c>
      <c r="AA236" s="140">
        <f t="shared" si="44"/>
        <v>0</v>
      </c>
      <c r="AB236" s="140">
        <f t="shared" si="44"/>
        <v>0</v>
      </c>
      <c r="AC236" s="140">
        <f t="shared" si="44"/>
        <v>0</v>
      </c>
      <c r="AD236" s="140">
        <f>+SUM(AD5:AD235)</f>
        <v>773280120</v>
      </c>
      <c r="AF236" s="87">
        <f t="shared" si="42"/>
        <v>0.14463170870196224</v>
      </c>
      <c r="AG236" s="87">
        <f t="shared" si="42"/>
        <v>0.14480062905247051</v>
      </c>
      <c r="AH236" s="87">
        <f t="shared" si="42"/>
        <v>0.14473207649894279</v>
      </c>
      <c r="AI236" s="87" t="str">
        <f t="shared" si="42"/>
        <v/>
      </c>
      <c r="AJ236" s="87" t="str">
        <f t="shared" si="42"/>
        <v/>
      </c>
      <c r="AK236" s="87" t="str">
        <f t="shared" si="42"/>
        <v/>
      </c>
      <c r="AL236" s="87" t="str">
        <f t="shared" si="42"/>
        <v/>
      </c>
      <c r="AM236" s="87" t="str">
        <f t="shared" si="42"/>
        <v/>
      </c>
      <c r="AN236" s="87" t="str">
        <f t="shared" si="42"/>
        <v/>
      </c>
      <c r="AO236" s="245" t="str">
        <f t="shared" si="42"/>
        <v/>
      </c>
      <c r="AP236" s="245" t="str">
        <f t="shared" si="42"/>
        <v/>
      </c>
      <c r="AQ236" s="245" t="str">
        <f t="shared" si="42"/>
        <v/>
      </c>
      <c r="AR236" s="245">
        <f t="shared" si="42"/>
        <v>0.14472984452595575</v>
      </c>
      <c r="AS236" s="244"/>
      <c r="AT236" s="246">
        <f t="shared" ref="AT236:BD236" si="45">+IFERROR(AG236-AF236,"")</f>
        <v>1.6892035050827814E-4</v>
      </c>
      <c r="AU236" s="246">
        <f t="shared" si="45"/>
        <v>-6.8552553527723159E-5</v>
      </c>
      <c r="AV236" s="246" t="str">
        <f t="shared" si="45"/>
        <v/>
      </c>
      <c r="AW236" s="246" t="str">
        <f t="shared" si="45"/>
        <v/>
      </c>
      <c r="AX236" s="246" t="str">
        <f t="shared" si="45"/>
        <v/>
      </c>
      <c r="AY236" s="246" t="str">
        <f t="shared" si="45"/>
        <v/>
      </c>
      <c r="AZ236" s="246" t="str">
        <f t="shared" si="45"/>
        <v/>
      </c>
      <c r="BA236" s="246" t="str">
        <f t="shared" si="45"/>
        <v/>
      </c>
      <c r="BB236" s="246" t="str">
        <f t="shared" si="45"/>
        <v/>
      </c>
      <c r="BC236" s="246" t="str">
        <f t="shared" si="45"/>
        <v/>
      </c>
      <c r="BD236" s="246" t="str">
        <f t="shared" si="45"/>
        <v/>
      </c>
      <c r="BE236" s="244"/>
      <c r="BF236" s="247">
        <f>+AD236/$AD$236</f>
        <v>1</v>
      </c>
      <c r="BG236" s="88"/>
    </row>
    <row r="238" spans="2:59" x14ac:dyDescent="0.3">
      <c r="R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spans="2:59" x14ac:dyDescent="0.3"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spans="2:59" x14ac:dyDescent="0.3">
      <c r="E240" s="219"/>
      <c r="S240" s="219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BG242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546875" defaultRowHeight="14.4" outlineLevelCol="1" x14ac:dyDescent="0.3"/>
  <cols>
    <col min="1" max="1" width="0.88671875" style="155" customWidth="1"/>
    <col min="2" max="2" width="48.109375" style="155" customWidth="1"/>
    <col min="3" max="3" width="0.5546875" style="155" customWidth="1"/>
    <col min="4" max="4" width="18.21875" style="155" hidden="1" customWidth="1" outlineLevel="1"/>
    <col min="5" max="5" width="18.21875" style="155" bestFit="1" customWidth="1" outlineLevel="1"/>
    <col min="6" max="6" width="18.21875" style="155" customWidth="1" outlineLevel="1"/>
    <col min="7" max="14" width="18.21875" style="155" hidden="1" customWidth="1" outlineLevel="1"/>
    <col min="15" max="15" width="16.33203125" style="155" hidden="1" customWidth="1" outlineLevel="1"/>
    <col min="16" max="16" width="19.33203125" style="155" bestFit="1" customWidth="1" outlineLevel="1"/>
    <col min="17" max="17" width="0.6640625" style="155" customWidth="1"/>
    <col min="18" max="18" width="16.33203125" style="155" hidden="1" customWidth="1" outlineLevel="1"/>
    <col min="19" max="20" width="16.33203125" style="155" customWidth="1" outlineLevel="1"/>
    <col min="21" max="29" width="16.33203125" style="155" hidden="1" customWidth="1" outlineLevel="1"/>
    <col min="30" max="30" width="16.33203125" style="155" bestFit="1" customWidth="1" outlineLevel="1"/>
    <col min="31" max="31" width="0.6640625" style="155" customWidth="1"/>
    <col min="32" max="32" width="8.5546875" style="155" hidden="1" customWidth="1"/>
    <col min="33" max="33" width="8.5546875" style="155" bestFit="1" customWidth="1"/>
    <col min="34" max="34" width="8.5546875" style="155" customWidth="1"/>
    <col min="35" max="35" width="8.5546875" style="155" hidden="1" customWidth="1"/>
    <col min="36" max="38" width="8.33203125" style="155" hidden="1" customWidth="1"/>
    <col min="39" max="41" width="8.5546875" style="155" hidden="1" customWidth="1"/>
    <col min="42" max="42" width="8.33203125" style="155" hidden="1" customWidth="1"/>
    <col min="43" max="43" width="8.5546875" style="155" hidden="1" customWidth="1"/>
    <col min="44" max="44" width="8.5546875" style="155" bestFit="1" customWidth="1"/>
    <col min="45" max="45" width="0.6640625" style="155" customWidth="1"/>
    <col min="46" max="46" width="8.5546875" style="155" customWidth="1"/>
    <col min="47" max="47" width="9.109375" style="155" customWidth="1"/>
    <col min="48" max="48" width="8.5546875" style="155" hidden="1" customWidth="1"/>
    <col min="49" max="49" width="9.33203125" style="155" hidden="1" customWidth="1"/>
    <col min="50" max="50" width="9.44140625" style="155" hidden="1" customWidth="1"/>
    <col min="51" max="51" width="8.6640625" style="155" hidden="1" customWidth="1"/>
    <col min="52" max="52" width="9.77734375" style="155" hidden="1" customWidth="1"/>
    <col min="53" max="53" width="9.6640625" style="155" hidden="1" customWidth="1"/>
    <col min="54" max="54" width="9.44140625" style="155" hidden="1" customWidth="1"/>
    <col min="55" max="55" width="10.109375" style="155" hidden="1" customWidth="1"/>
    <col min="56" max="56" width="9" style="155" hidden="1" customWidth="1"/>
    <col min="57" max="57" width="0.6640625" style="155" customWidth="1"/>
    <col min="58" max="58" width="6.44140625" style="155" bestFit="1" customWidth="1"/>
    <col min="59" max="59" width="9.109375" style="155" bestFit="1" customWidth="1"/>
    <col min="60" max="60" width="11.5546875" style="155" customWidth="1"/>
    <col min="61" max="16384" width="11.5546875" style="155"/>
  </cols>
  <sheetData>
    <row r="1" spans="2:59" ht="22.95" customHeight="1" x14ac:dyDescent="0.3">
      <c r="J1" s="224"/>
      <c r="K1" s="224"/>
      <c r="L1" s="224"/>
      <c r="M1" s="224"/>
    </row>
    <row r="2" spans="2:59" x14ac:dyDescent="0.3">
      <c r="D2" s="256" t="s">
        <v>288</v>
      </c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258" t="s">
        <v>289</v>
      </c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F2" s="256" t="s">
        <v>73</v>
      </c>
      <c r="AG2" s="257"/>
      <c r="AH2" s="257"/>
      <c r="AI2" s="257"/>
      <c r="AJ2" s="257"/>
      <c r="AK2" s="257"/>
      <c r="AL2" s="257"/>
      <c r="AM2" s="257"/>
      <c r="AN2" s="257"/>
      <c r="AO2" s="257"/>
      <c r="AP2" s="257"/>
      <c r="AQ2" s="257"/>
      <c r="AR2" s="257"/>
      <c r="AT2" s="259" t="s">
        <v>455</v>
      </c>
      <c r="AU2" s="257"/>
      <c r="AV2" s="257"/>
      <c r="AW2" s="257"/>
      <c r="AX2" s="257"/>
      <c r="AY2" s="257"/>
      <c r="AZ2" s="257"/>
      <c r="BA2" s="257"/>
      <c r="BB2" s="257"/>
      <c r="BC2" s="257"/>
      <c r="BD2" s="257"/>
    </row>
    <row r="3" spans="2:59" ht="4.95" customHeight="1" x14ac:dyDescent="0.3"/>
    <row r="4" spans="2:59" ht="17.399999999999999" customHeight="1" x14ac:dyDescent="0.3">
      <c r="B4" s="1" t="s">
        <v>74</v>
      </c>
      <c r="D4" s="6" t="s">
        <v>19</v>
      </c>
      <c r="E4" s="6" t="s">
        <v>20</v>
      </c>
      <c r="F4" s="234" t="s">
        <v>21</v>
      </c>
      <c r="G4" s="234" t="s">
        <v>22</v>
      </c>
      <c r="H4" s="234" t="s">
        <v>23</v>
      </c>
      <c r="I4" s="234" t="s">
        <v>24</v>
      </c>
      <c r="J4" s="234" t="s">
        <v>25</v>
      </c>
      <c r="K4" s="234" t="s">
        <v>26</v>
      </c>
      <c r="L4" s="234" t="s">
        <v>27</v>
      </c>
      <c r="M4" s="234" t="s">
        <v>28</v>
      </c>
      <c r="N4" s="234" t="s">
        <v>29</v>
      </c>
      <c r="O4" s="234" t="s">
        <v>30</v>
      </c>
      <c r="P4" s="234" t="s">
        <v>44</v>
      </c>
      <c r="R4" s="5" t="s">
        <v>19</v>
      </c>
      <c r="S4" s="5" t="s">
        <v>20</v>
      </c>
      <c r="T4" s="233" t="s">
        <v>21</v>
      </c>
      <c r="U4" s="233" t="s">
        <v>22</v>
      </c>
      <c r="V4" s="233" t="s">
        <v>23</v>
      </c>
      <c r="W4" s="233" t="s">
        <v>24</v>
      </c>
      <c r="X4" s="233" t="s">
        <v>25</v>
      </c>
      <c r="Y4" s="233" t="s">
        <v>26</v>
      </c>
      <c r="Z4" s="233" t="s">
        <v>27</v>
      </c>
      <c r="AA4" s="233" t="s">
        <v>28</v>
      </c>
      <c r="AB4" s="233" t="s">
        <v>29</v>
      </c>
      <c r="AC4" s="233" t="s">
        <v>30</v>
      </c>
      <c r="AD4" s="233" t="s">
        <v>44</v>
      </c>
      <c r="AF4" s="4" t="s">
        <v>19</v>
      </c>
      <c r="AG4" s="4" t="s">
        <v>20</v>
      </c>
      <c r="AH4" s="232" t="s">
        <v>21</v>
      </c>
      <c r="AI4" s="232" t="s">
        <v>22</v>
      </c>
      <c r="AJ4" s="232" t="s">
        <v>23</v>
      </c>
      <c r="AK4" s="232" t="s">
        <v>24</v>
      </c>
      <c r="AL4" s="232" t="s">
        <v>25</v>
      </c>
      <c r="AM4" s="232" t="s">
        <v>26</v>
      </c>
      <c r="AN4" s="232" t="s">
        <v>27</v>
      </c>
      <c r="AO4" s="232" t="s">
        <v>28</v>
      </c>
      <c r="AP4" s="232" t="s">
        <v>29</v>
      </c>
      <c r="AQ4" s="232" t="s">
        <v>30</v>
      </c>
      <c r="AR4" s="232" t="s">
        <v>44</v>
      </c>
      <c r="AT4" s="231" t="s">
        <v>75</v>
      </c>
      <c r="AU4" s="231" t="s">
        <v>76</v>
      </c>
      <c r="AV4" s="231" t="s">
        <v>77</v>
      </c>
      <c r="AW4" s="23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290</v>
      </c>
      <c r="BF4" s="231" t="s">
        <v>85</v>
      </c>
      <c r="BG4" s="231" t="s">
        <v>86</v>
      </c>
    </row>
    <row r="5" spans="2:59" x14ac:dyDescent="0.3">
      <c r="B5" s="3" t="s">
        <v>100</v>
      </c>
      <c r="D5" s="141">
        <v>456590839</v>
      </c>
      <c r="E5" s="141">
        <v>450253497</v>
      </c>
      <c r="F5" s="141">
        <v>515937939</v>
      </c>
      <c r="G5" s="141"/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1422782275</v>
      </c>
      <c r="R5" s="141">
        <v>95002792</v>
      </c>
      <c r="S5" s="141">
        <v>93701433</v>
      </c>
      <c r="T5" s="141">
        <v>102543800</v>
      </c>
      <c r="U5" s="141"/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291248025</v>
      </c>
      <c r="AF5" s="2">
        <f t="shared" ref="AF5:AR24" si="2">+IFERROR(R5/D5,"")</f>
        <v>0.20806986011386006</v>
      </c>
      <c r="AG5" s="2">
        <f t="shared" si="2"/>
        <v>0.20810817378282351</v>
      </c>
      <c r="AH5" s="2">
        <f t="shared" si="2"/>
        <v>0.19875219914773509</v>
      </c>
      <c r="AI5" s="2" t="str">
        <f t="shared" si="2"/>
        <v/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0.20470315811321166</v>
      </c>
      <c r="AT5" s="142">
        <f t="shared" ref="AT5:BD28" si="3">+IFERROR(AG5-AF5,"")</f>
        <v>3.831366896345223E-5</v>
      </c>
      <c r="AU5" s="142">
        <f t="shared" si="3"/>
        <v>-9.3559746350884154E-3</v>
      </c>
      <c r="AV5" s="142" t="str">
        <f t="shared" si="3"/>
        <v/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68" si="4">+AD5/$AD$237</f>
        <v>0.22896913365556776</v>
      </c>
      <c r="BG5" s="9">
        <f>+BF5</f>
        <v>0.22896913365556776</v>
      </c>
    </row>
    <row r="6" spans="2:59" x14ac:dyDescent="0.3">
      <c r="B6" s="3" t="s">
        <v>87</v>
      </c>
      <c r="D6" s="141">
        <v>229861859</v>
      </c>
      <c r="E6" s="141">
        <v>212321066</v>
      </c>
      <c r="F6" s="141">
        <v>203762449</v>
      </c>
      <c r="G6" s="141"/>
      <c r="H6" s="141"/>
      <c r="I6" s="141"/>
      <c r="J6" s="141"/>
      <c r="K6" s="141"/>
      <c r="L6" s="141"/>
      <c r="M6" s="141"/>
      <c r="N6" s="141"/>
      <c r="O6" s="141"/>
      <c r="P6" s="141">
        <f t="shared" si="0"/>
        <v>645945374</v>
      </c>
      <c r="R6" s="141">
        <v>26359246</v>
      </c>
      <c r="S6" s="141">
        <v>23915527</v>
      </c>
      <c r="T6" s="141">
        <v>22427093</v>
      </c>
      <c r="U6" s="141"/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72701866</v>
      </c>
      <c r="AF6" s="2">
        <f t="shared" si="2"/>
        <v>0.11467429226699154</v>
      </c>
      <c r="AG6" s="2">
        <f t="shared" si="2"/>
        <v>0.11263850286056871</v>
      </c>
      <c r="AH6" s="2">
        <f t="shared" si="2"/>
        <v>0.11006489718819584</v>
      </c>
      <c r="AI6" s="2" t="str">
        <f t="shared" si="2"/>
        <v/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0.11255110559859818</v>
      </c>
      <c r="AT6" s="142">
        <f t="shared" si="3"/>
        <v>-2.0357894064228221E-3</v>
      </c>
      <c r="AU6" s="142">
        <f t="shared" si="3"/>
        <v>-2.5736056723728723E-3</v>
      </c>
      <c r="AV6" s="142" t="str">
        <f t="shared" si="3"/>
        <v/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5.7155694955058248E-2</v>
      </c>
      <c r="BG6" s="9">
        <f t="shared" ref="BG6:BG69" si="5">+BF6+BG5</f>
        <v>0.28612482861062599</v>
      </c>
    </row>
    <row r="7" spans="2:59" x14ac:dyDescent="0.3">
      <c r="B7" s="3" t="s">
        <v>88</v>
      </c>
      <c r="D7" s="141">
        <v>338459161</v>
      </c>
      <c r="E7" s="141">
        <v>337340779</v>
      </c>
      <c r="F7" s="141">
        <v>392026937</v>
      </c>
      <c r="G7" s="141"/>
      <c r="H7" s="141"/>
      <c r="I7" s="141"/>
      <c r="J7" s="141"/>
      <c r="K7" s="141"/>
      <c r="L7" s="141"/>
      <c r="M7" s="141"/>
      <c r="N7" s="141"/>
      <c r="O7" s="141"/>
      <c r="P7" s="141">
        <f t="shared" si="0"/>
        <v>1067826877</v>
      </c>
      <c r="R7" s="141">
        <v>41887467</v>
      </c>
      <c r="S7" s="141">
        <v>41305766</v>
      </c>
      <c r="T7" s="141">
        <v>48608473</v>
      </c>
      <c r="U7" s="141"/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131801706</v>
      </c>
      <c r="AF7" s="2">
        <f t="shared" si="2"/>
        <v>0.12375929455193561</v>
      </c>
      <c r="AG7" s="2">
        <f t="shared" si="2"/>
        <v>0.12244522029754369</v>
      </c>
      <c r="AH7" s="2">
        <f t="shared" si="2"/>
        <v>0.12399268624747589</v>
      </c>
      <c r="AI7" s="2" t="str">
        <f t="shared" si="2"/>
        <v/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0.12342984507965329</v>
      </c>
      <c r="AT7" s="142">
        <f t="shared" si="3"/>
        <v>-1.3140742543919226E-3</v>
      </c>
      <c r="AU7" s="142">
        <f t="shared" si="3"/>
        <v>1.5474659499322002E-3</v>
      </c>
      <c r="AV7" s="142" t="str">
        <f t="shared" si="3"/>
        <v/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0.10361794706469116</v>
      </c>
      <c r="BG7" s="9">
        <f t="shared" si="5"/>
        <v>0.38974277567531712</v>
      </c>
    </row>
    <row r="8" spans="2:59" x14ac:dyDescent="0.3">
      <c r="B8" s="3" t="s">
        <v>89</v>
      </c>
      <c r="D8" s="141">
        <v>352927887</v>
      </c>
      <c r="E8" s="141">
        <v>331879983</v>
      </c>
      <c r="F8" s="141">
        <v>435611799</v>
      </c>
      <c r="G8" s="141"/>
      <c r="H8" s="141"/>
      <c r="I8" s="141"/>
      <c r="J8" s="141"/>
      <c r="K8" s="141"/>
      <c r="L8" s="141"/>
      <c r="M8" s="141"/>
      <c r="N8" s="141"/>
      <c r="O8" s="141"/>
      <c r="P8" s="141">
        <f t="shared" si="0"/>
        <v>1120419669</v>
      </c>
      <c r="R8" s="141">
        <v>28840965</v>
      </c>
      <c r="S8" s="141">
        <v>27348435</v>
      </c>
      <c r="T8" s="141">
        <v>35676229</v>
      </c>
      <c r="U8" s="141"/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91865629</v>
      </c>
      <c r="AF8" s="2">
        <f t="shared" si="2"/>
        <v>8.1719144511807881E-2</v>
      </c>
      <c r="AG8" s="2">
        <f t="shared" si="2"/>
        <v>8.2404593229113185E-2</v>
      </c>
      <c r="AH8" s="2">
        <f t="shared" si="2"/>
        <v>8.189913377438153E-2</v>
      </c>
      <c r="AI8" s="2" t="str">
        <f t="shared" si="2"/>
        <v/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8.1992160207248199E-2</v>
      </c>
      <c r="AT8" s="142">
        <f t="shared" si="3"/>
        <v>6.8544871730530366E-4</v>
      </c>
      <c r="AU8" s="142">
        <f t="shared" si="3"/>
        <v>-5.0545945473165488E-4</v>
      </c>
      <c r="AV8" s="142" t="str">
        <f t="shared" si="3"/>
        <v/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7.2221583253152713E-2</v>
      </c>
      <c r="BG8" s="9">
        <f t="shared" si="5"/>
        <v>0.46196435892846982</v>
      </c>
    </row>
    <row r="9" spans="2:59" x14ac:dyDescent="0.3">
      <c r="B9" s="3" t="s">
        <v>90</v>
      </c>
      <c r="D9" s="141">
        <v>247077093</v>
      </c>
      <c r="E9" s="141">
        <v>222092065</v>
      </c>
      <c r="F9" s="141">
        <v>229081084</v>
      </c>
      <c r="G9" s="141"/>
      <c r="H9" s="141"/>
      <c r="I9" s="141"/>
      <c r="J9" s="141"/>
      <c r="K9" s="141"/>
      <c r="L9" s="141"/>
      <c r="M9" s="141"/>
      <c r="N9" s="141"/>
      <c r="O9" s="141"/>
      <c r="P9" s="141">
        <f t="shared" si="0"/>
        <v>698250242</v>
      </c>
      <c r="R9" s="141">
        <v>26591545</v>
      </c>
      <c r="S9" s="141">
        <v>23478885</v>
      </c>
      <c r="T9" s="141">
        <v>24165735</v>
      </c>
      <c r="U9" s="141"/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74236165</v>
      </c>
      <c r="AF9" s="2">
        <f t="shared" si="2"/>
        <v>0.1076244854475441</v>
      </c>
      <c r="AG9" s="2">
        <f t="shared" si="2"/>
        <v>0.10571690168219203</v>
      </c>
      <c r="AH9" s="2">
        <f t="shared" si="2"/>
        <v>0.10548987536657545</v>
      </c>
      <c r="AI9" s="2" t="str">
        <f t="shared" si="2"/>
        <v/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0.10631742108297042</v>
      </c>
      <c r="AT9" s="142">
        <f t="shared" si="3"/>
        <v>-1.9075837653520777E-3</v>
      </c>
      <c r="AU9" s="142">
        <f t="shared" si="3"/>
        <v>-2.2702631561657971E-4</v>
      </c>
      <c r="AV9" s="142" t="str">
        <f t="shared" si="3"/>
        <v/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5.8361907813664252E-2</v>
      </c>
      <c r="BG9" s="9">
        <f t="shared" si="5"/>
        <v>0.52032626674213411</v>
      </c>
    </row>
    <row r="10" spans="2:59" x14ac:dyDescent="0.3">
      <c r="B10" s="3" t="s">
        <v>91</v>
      </c>
      <c r="D10" s="141">
        <v>313825395</v>
      </c>
      <c r="E10" s="141">
        <v>303628607</v>
      </c>
      <c r="F10" s="141">
        <v>317403343</v>
      </c>
      <c r="G10" s="141"/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934857345</v>
      </c>
      <c r="R10" s="141">
        <v>34488189</v>
      </c>
      <c r="S10" s="141">
        <v>32682831</v>
      </c>
      <c r="T10" s="141">
        <v>34107684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101278704</v>
      </c>
      <c r="AF10" s="2">
        <f t="shared" si="2"/>
        <v>0.10989610640018473</v>
      </c>
      <c r="AG10" s="2">
        <f t="shared" si="2"/>
        <v>0.10764081593932287</v>
      </c>
      <c r="AH10" s="2">
        <f t="shared" si="2"/>
        <v>0.10745849012686674</v>
      </c>
      <c r="AI10" s="2" t="str">
        <f t="shared" si="2"/>
        <v/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0.10833599857954798</v>
      </c>
      <c r="AT10" s="142">
        <f t="shared" si="3"/>
        <v>-2.2552904608618557E-3</v>
      </c>
      <c r="AU10" s="142">
        <f t="shared" si="3"/>
        <v>-1.8232581245612722E-4</v>
      </c>
      <c r="AV10" s="142" t="str">
        <f t="shared" si="3"/>
        <v/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7.9621817564732619E-2</v>
      </c>
      <c r="BG10" s="9">
        <f t="shared" si="5"/>
        <v>0.59994808430686675</v>
      </c>
    </row>
    <row r="11" spans="2:59" x14ac:dyDescent="0.3">
      <c r="B11" s="3" t="s">
        <v>93</v>
      </c>
      <c r="D11" s="141">
        <v>154034974</v>
      </c>
      <c r="E11" s="141">
        <v>145274365</v>
      </c>
      <c r="F11" s="141">
        <v>147220175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446529514</v>
      </c>
      <c r="R11" s="141">
        <v>16847137</v>
      </c>
      <c r="S11" s="141">
        <v>15694798</v>
      </c>
      <c r="T11" s="141">
        <v>15675721</v>
      </c>
      <c r="U11" s="141"/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48217656</v>
      </c>
      <c r="AF11" s="2">
        <f t="shared" si="2"/>
        <v>0.10937215466404403</v>
      </c>
      <c r="AG11" s="2">
        <f t="shared" si="2"/>
        <v>0.10803556429243384</v>
      </c>
      <c r="AH11" s="2">
        <f t="shared" si="2"/>
        <v>0.10647807611966227</v>
      </c>
      <c r="AI11" s="2" t="str">
        <f t="shared" si="2"/>
        <v/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0.107983133226889</v>
      </c>
      <c r="AT11" s="142">
        <f t="shared" si="3"/>
        <v>-1.3365903716101857E-3</v>
      </c>
      <c r="AU11" s="142">
        <f t="shared" si="3"/>
        <v>-1.5574881727715706E-3</v>
      </c>
      <c r="AV11" s="142" t="str">
        <f t="shared" si="3"/>
        <v/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3.7907055064913105E-2</v>
      </c>
      <c r="BG11" s="9">
        <f t="shared" si="5"/>
        <v>0.63785513937177984</v>
      </c>
    </row>
    <row r="12" spans="2:59" x14ac:dyDescent="0.3">
      <c r="B12" s="3" t="s">
        <v>92</v>
      </c>
      <c r="D12" s="141">
        <v>72257989</v>
      </c>
      <c r="E12" s="141">
        <v>63426048</v>
      </c>
      <c r="F12" s="141">
        <v>63112042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198796079</v>
      </c>
      <c r="R12" s="141">
        <v>8935085</v>
      </c>
      <c r="S12" s="141">
        <v>7638159</v>
      </c>
      <c r="T12" s="141">
        <v>8093680</v>
      </c>
      <c r="U12" s="141"/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24666924</v>
      </c>
      <c r="AF12" s="2">
        <f t="shared" si="2"/>
        <v>0.12365532342728221</v>
      </c>
      <c r="AG12" s="2">
        <f t="shared" si="2"/>
        <v>0.12042621668624222</v>
      </c>
      <c r="AH12" s="2">
        <f t="shared" si="2"/>
        <v>0.12824303799265441</v>
      </c>
      <c r="AI12" s="2" t="str">
        <f t="shared" si="2"/>
        <v/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0.12408154186984745</v>
      </c>
      <c r="AT12" s="142">
        <f t="shared" si="3"/>
        <v>-3.2291067410399887E-3</v>
      </c>
      <c r="AU12" s="142">
        <f t="shared" si="3"/>
        <v>7.8168213064121889E-3</v>
      </c>
      <c r="AV12" s="142" t="str">
        <f t="shared" si="3"/>
        <v/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1.9392283323561531E-2</v>
      </c>
      <c r="BG12" s="9">
        <f t="shared" si="5"/>
        <v>0.65724742269534142</v>
      </c>
    </row>
    <row r="13" spans="2:59" x14ac:dyDescent="0.3">
      <c r="B13" s="3" t="s">
        <v>94</v>
      </c>
      <c r="D13" s="141">
        <v>57550755</v>
      </c>
      <c r="E13" s="141">
        <v>52209821</v>
      </c>
      <c r="F13" s="141">
        <v>49989312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159749888</v>
      </c>
      <c r="R13" s="141">
        <v>6858970</v>
      </c>
      <c r="S13" s="141">
        <v>6569200</v>
      </c>
      <c r="T13" s="141">
        <v>5755757</v>
      </c>
      <c r="U13" s="141"/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19183927</v>
      </c>
      <c r="AF13" s="2">
        <f t="shared" si="2"/>
        <v>0.11918123402551366</v>
      </c>
      <c r="AG13" s="2">
        <f t="shared" si="2"/>
        <v>0.12582307072073662</v>
      </c>
      <c r="AH13" s="2">
        <f t="shared" si="2"/>
        <v>0.11513975227344597</v>
      </c>
      <c r="AI13" s="2" t="str">
        <f t="shared" si="2"/>
        <v/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0.120087264161337</v>
      </c>
      <c r="AT13" s="143">
        <f t="shared" si="3"/>
        <v>6.6418366952229607E-3</v>
      </c>
      <c r="AU13" s="143">
        <f t="shared" si="3"/>
        <v>-1.0683318447290646E-2</v>
      </c>
      <c r="AV13" s="143" t="str">
        <f t="shared" si="3"/>
        <v/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1.5081740538160405E-2</v>
      </c>
      <c r="BG13" s="9">
        <f t="shared" si="5"/>
        <v>0.67232916323350178</v>
      </c>
    </row>
    <row r="14" spans="2:59" x14ac:dyDescent="0.3">
      <c r="B14" s="3" t="s">
        <v>95</v>
      </c>
      <c r="D14" s="141">
        <v>49195189</v>
      </c>
      <c r="E14" s="141">
        <v>39878010</v>
      </c>
      <c r="F14" s="141">
        <v>45250956</v>
      </c>
      <c r="G14" s="141"/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134324155</v>
      </c>
      <c r="R14" s="141">
        <v>6021384</v>
      </c>
      <c r="S14" s="141">
        <v>4732111</v>
      </c>
      <c r="T14" s="141">
        <v>5711188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16464683</v>
      </c>
      <c r="AF14" s="2">
        <f t="shared" si="2"/>
        <v>0.122397822274857</v>
      </c>
      <c r="AG14" s="2">
        <f t="shared" si="2"/>
        <v>0.11866467258521676</v>
      </c>
      <c r="AH14" s="2">
        <f t="shared" si="2"/>
        <v>0.12621143296950454</v>
      </c>
      <c r="AI14" s="2" t="str">
        <f t="shared" si="2"/>
        <v/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0.12257425330537162</v>
      </c>
      <c r="AT14" s="143">
        <f t="shared" si="3"/>
        <v>-3.7331496896402389E-3</v>
      </c>
      <c r="AU14" s="143">
        <f t="shared" si="3"/>
        <v>7.5467603842877817E-3</v>
      </c>
      <c r="AV14" s="143" t="str">
        <f t="shared" si="3"/>
        <v/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1.2943964864391972E-2</v>
      </c>
      <c r="BG14" s="9">
        <f t="shared" si="5"/>
        <v>0.68527312809789376</v>
      </c>
    </row>
    <row r="15" spans="2:59" x14ac:dyDescent="0.3">
      <c r="B15" s="3" t="s">
        <v>103</v>
      </c>
      <c r="D15" s="141">
        <v>72377139</v>
      </c>
      <c r="E15" s="141">
        <v>66316836</v>
      </c>
      <c r="F15" s="141">
        <v>63107791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201801766</v>
      </c>
      <c r="R15" s="141">
        <v>7996127</v>
      </c>
      <c r="S15" s="141">
        <v>7464730</v>
      </c>
      <c r="T15" s="141">
        <v>7052368</v>
      </c>
      <c r="U15" s="141"/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22513225</v>
      </c>
      <c r="AF15" s="2">
        <f t="shared" si="2"/>
        <v>0.1104786277888105</v>
      </c>
      <c r="AG15" s="2">
        <f t="shared" si="2"/>
        <v>0.11256161255944117</v>
      </c>
      <c r="AH15" s="2">
        <f t="shared" si="2"/>
        <v>0.11175114654227082</v>
      </c>
      <c r="AI15" s="2" t="str">
        <f t="shared" si="2"/>
        <v/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0.11156109010463268</v>
      </c>
      <c r="AT15" s="143">
        <f t="shared" si="3"/>
        <v>2.0829847706306664E-3</v>
      </c>
      <c r="AU15" s="143">
        <f t="shared" si="3"/>
        <v>-8.1046601717034428E-4</v>
      </c>
      <c r="AV15" s="143" t="str">
        <f t="shared" si="3"/>
        <v/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1.7699119587310057E-2</v>
      </c>
      <c r="BG15" s="9">
        <f t="shared" si="5"/>
        <v>0.70297224768520383</v>
      </c>
    </row>
    <row r="16" spans="2:59" x14ac:dyDescent="0.3">
      <c r="B16" s="3" t="s">
        <v>96</v>
      </c>
      <c r="D16" s="141">
        <v>64343504</v>
      </c>
      <c r="E16" s="141">
        <v>62128206</v>
      </c>
      <c r="F16" s="141">
        <v>62411362</v>
      </c>
      <c r="G16" s="141"/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188883072</v>
      </c>
      <c r="R16" s="141">
        <v>7936862</v>
      </c>
      <c r="S16" s="141">
        <v>7103942</v>
      </c>
      <c r="T16" s="141">
        <v>6888622</v>
      </c>
      <c r="U16" s="141"/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21929426</v>
      </c>
      <c r="AF16" s="2">
        <f t="shared" si="2"/>
        <v>0.12335141088990118</v>
      </c>
      <c r="AG16" s="2">
        <f t="shared" si="2"/>
        <v>0.1143432662452864</v>
      </c>
      <c r="AH16" s="2">
        <f t="shared" si="2"/>
        <v>0.11037448597901132</v>
      </c>
      <c r="AI16" s="2" t="str">
        <f t="shared" si="2"/>
        <v/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0.11610053652664014</v>
      </c>
      <c r="AT16" s="143">
        <f t="shared" si="3"/>
        <v>-9.0081446446147739E-3</v>
      </c>
      <c r="AU16" s="143">
        <f t="shared" si="3"/>
        <v>-3.9687802662750765E-3</v>
      </c>
      <c r="AV16" s="143" t="str">
        <f t="shared" si="3"/>
        <v/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1.724015698573023E-2</v>
      </c>
      <c r="BG16" s="9">
        <f t="shared" si="5"/>
        <v>0.72021240467093406</v>
      </c>
    </row>
    <row r="17" spans="2:59" x14ac:dyDescent="0.3">
      <c r="B17" s="3" t="s">
        <v>98</v>
      </c>
      <c r="D17" s="141">
        <v>55419720</v>
      </c>
      <c r="E17" s="141">
        <v>46816626</v>
      </c>
      <c r="F17" s="141">
        <v>47888795</v>
      </c>
      <c r="G17" s="141"/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150125141</v>
      </c>
      <c r="R17" s="141">
        <v>6170128</v>
      </c>
      <c r="S17" s="141">
        <v>5125334</v>
      </c>
      <c r="T17" s="141">
        <v>5057815</v>
      </c>
      <c r="U17" s="141"/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16353277</v>
      </c>
      <c r="AF17" s="2">
        <f t="shared" si="2"/>
        <v>0.11133452135810142</v>
      </c>
      <c r="AG17" s="2">
        <f t="shared" si="2"/>
        <v>0.1094767914287544</v>
      </c>
      <c r="AH17" s="2">
        <f t="shared" si="2"/>
        <v>0.10561583351596131</v>
      </c>
      <c r="AI17" s="2" t="str">
        <f t="shared" si="2"/>
        <v/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0.10893096846450256</v>
      </c>
      <c r="AT17" s="143">
        <f t="shared" si="3"/>
        <v>-1.8577299293470184E-3</v>
      </c>
      <c r="AU17" s="143">
        <f t="shared" si="3"/>
        <v>-3.8609579127930893E-3</v>
      </c>
      <c r="AV17" s="143" t="str">
        <f t="shared" si="3"/>
        <v/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1.2856381316644199E-2</v>
      </c>
      <c r="BG17" s="9">
        <f t="shared" si="5"/>
        <v>0.7330687859875783</v>
      </c>
    </row>
    <row r="18" spans="2:59" x14ac:dyDescent="0.3">
      <c r="B18" s="3" t="s">
        <v>97</v>
      </c>
      <c r="D18" s="141">
        <v>26576456</v>
      </c>
      <c r="E18" s="141">
        <v>25034617</v>
      </c>
      <c r="F18" s="141">
        <v>20374340</v>
      </c>
      <c r="G18" s="141"/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71985413</v>
      </c>
      <c r="R18" s="141">
        <v>3754805</v>
      </c>
      <c r="S18" s="141">
        <v>3608612</v>
      </c>
      <c r="T18" s="141">
        <v>2638793</v>
      </c>
      <c r="U18" s="141"/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10002210</v>
      </c>
      <c r="AF18" s="2">
        <f t="shared" si="2"/>
        <v>0.14128313421473504</v>
      </c>
      <c r="AG18" s="2">
        <f t="shared" si="2"/>
        <v>0.14414488546000123</v>
      </c>
      <c r="AH18" s="2">
        <f t="shared" si="2"/>
        <v>0.1295155082324139</v>
      </c>
      <c r="AI18" s="2" t="str">
        <f t="shared" si="2"/>
        <v/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0.13894773375822683</v>
      </c>
      <c r="AT18" s="143">
        <f t="shared" si="3"/>
        <v>2.861751245266192E-3</v>
      </c>
      <c r="AU18" s="143">
        <f t="shared" si="3"/>
        <v>-1.4629377227587337E-2</v>
      </c>
      <c r="AV18" s="143" t="str">
        <f t="shared" si="3"/>
        <v/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7.8633918919829814E-3</v>
      </c>
      <c r="BG18" s="9">
        <f t="shared" si="5"/>
        <v>0.74093217787956123</v>
      </c>
    </row>
    <row r="19" spans="2:59" x14ac:dyDescent="0.3">
      <c r="B19" s="3" t="s">
        <v>99</v>
      </c>
      <c r="D19" s="141">
        <v>52236244</v>
      </c>
      <c r="E19" s="141">
        <v>57366295</v>
      </c>
      <c r="F19" s="141">
        <v>67597319</v>
      </c>
      <c r="G19" s="141"/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177199858</v>
      </c>
      <c r="R19" s="141">
        <v>5622177</v>
      </c>
      <c r="S19" s="141">
        <v>6088469</v>
      </c>
      <c r="T19" s="141">
        <v>6866857</v>
      </c>
      <c r="U19" s="141"/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18577503</v>
      </c>
      <c r="AF19" s="2">
        <f t="shared" si="2"/>
        <v>0.10762980967774023</v>
      </c>
      <c r="AG19" s="2">
        <f t="shared" si="2"/>
        <v>0.10613320940458155</v>
      </c>
      <c r="AH19" s="2">
        <f t="shared" si="2"/>
        <v>0.10158475367935819</v>
      </c>
      <c r="AI19" s="2" t="str">
        <f t="shared" si="2"/>
        <v/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0.10483926572898269</v>
      </c>
      <c r="AT19" s="143">
        <f t="shared" si="3"/>
        <v>-1.4966002731586769E-3</v>
      </c>
      <c r="AU19" s="143">
        <f t="shared" si="3"/>
        <v>-4.5484557252233604E-3</v>
      </c>
      <c r="AV19" s="143" t="str">
        <f t="shared" si="3"/>
        <v/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1.4604990943350471E-2</v>
      </c>
      <c r="BG19" s="9">
        <f t="shared" si="5"/>
        <v>0.75553716882291166</v>
      </c>
    </row>
    <row r="20" spans="2:59" x14ac:dyDescent="0.3">
      <c r="B20" s="3" t="s">
        <v>106</v>
      </c>
      <c r="D20" s="141">
        <v>26938169</v>
      </c>
      <c r="E20" s="141">
        <v>24178004</v>
      </c>
      <c r="F20" s="141">
        <v>25078643</v>
      </c>
      <c r="G20" s="141"/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76194816</v>
      </c>
      <c r="R20" s="141">
        <v>3101953</v>
      </c>
      <c r="S20" s="141">
        <v>2834368</v>
      </c>
      <c r="T20" s="141">
        <v>2890852</v>
      </c>
      <c r="U20" s="141"/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8827173</v>
      </c>
      <c r="AF20" s="2">
        <f t="shared" si="2"/>
        <v>0.11515084785458135</v>
      </c>
      <c r="AG20" s="2">
        <f t="shared" si="2"/>
        <v>0.11722919724887133</v>
      </c>
      <c r="AH20" s="2">
        <f t="shared" si="2"/>
        <v>0.11527146823693769</v>
      </c>
      <c r="AI20" s="2" t="str">
        <f t="shared" si="2"/>
        <v/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0.11585004680633391</v>
      </c>
      <c r="AT20" s="143">
        <f t="shared" si="3"/>
        <v>2.0783493942899828E-3</v>
      </c>
      <c r="AU20" s="143">
        <f t="shared" si="3"/>
        <v>-1.9577290119336399E-3</v>
      </c>
      <c r="AV20" s="143" t="str">
        <f t="shared" si="3"/>
        <v/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6.9396184040658102E-3</v>
      </c>
      <c r="BG20" s="9">
        <f t="shared" si="5"/>
        <v>0.76247678722697743</v>
      </c>
    </row>
    <row r="21" spans="2:59" x14ac:dyDescent="0.3">
      <c r="B21" s="3" t="s">
        <v>101</v>
      </c>
      <c r="D21" s="141">
        <v>36780760</v>
      </c>
      <c r="E21" s="141">
        <v>31907945</v>
      </c>
      <c r="F21" s="141">
        <v>33611821</v>
      </c>
      <c r="G21" s="141"/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102300526</v>
      </c>
      <c r="R21" s="141">
        <v>4646038</v>
      </c>
      <c r="S21" s="141">
        <v>4091600</v>
      </c>
      <c r="T21" s="141">
        <v>4279951</v>
      </c>
      <c r="U21" s="141"/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13017589</v>
      </c>
      <c r="AF21" s="2">
        <f t="shared" si="2"/>
        <v>0.12631707447045684</v>
      </c>
      <c r="AG21" s="2">
        <f t="shared" si="2"/>
        <v>0.12823138563138428</v>
      </c>
      <c r="AH21" s="2">
        <f t="shared" si="2"/>
        <v>0.12733469573100487</v>
      </c>
      <c r="AI21" s="2" t="str">
        <f t="shared" si="2"/>
        <v/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0.12724850505656246</v>
      </c>
      <c r="AT21" s="143">
        <f t="shared" si="3"/>
        <v>1.9143111609274399E-3</v>
      </c>
      <c r="AU21" s="143">
        <f t="shared" si="3"/>
        <v>-8.9668990037941598E-4</v>
      </c>
      <c r="AV21" s="143" t="str">
        <f t="shared" si="3"/>
        <v/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1.023397867029055E-2</v>
      </c>
      <c r="BG21" s="9">
        <f t="shared" si="5"/>
        <v>0.77271076589726795</v>
      </c>
    </row>
    <row r="22" spans="2:59" x14ac:dyDescent="0.3">
      <c r="B22" s="3" t="s">
        <v>116</v>
      </c>
      <c r="D22" s="141">
        <v>28641304</v>
      </c>
      <c r="E22" s="141">
        <v>25547377</v>
      </c>
      <c r="F22" s="141">
        <v>25170790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79359471</v>
      </c>
      <c r="R22" s="141">
        <v>3057251</v>
      </c>
      <c r="S22" s="141">
        <v>2780900</v>
      </c>
      <c r="T22" s="141">
        <v>2661440</v>
      </c>
      <c r="U22" s="141"/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8499591</v>
      </c>
      <c r="AF22" s="2">
        <f t="shared" si="2"/>
        <v>0.10674273070807111</v>
      </c>
      <c r="AG22" s="2">
        <f t="shared" si="2"/>
        <v>0.10885266225178421</v>
      </c>
      <c r="AH22" s="2">
        <f t="shared" si="2"/>
        <v>0.10573525900458428</v>
      </c>
      <c r="AI22" s="2" t="str">
        <f t="shared" si="2"/>
        <v/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0.10710241503499941</v>
      </c>
      <c r="AT22" s="143">
        <f t="shared" si="3"/>
        <v>2.1099315437130978E-3</v>
      </c>
      <c r="AU22" s="143">
        <f t="shared" si="3"/>
        <v>-3.1174032471999319E-3</v>
      </c>
      <c r="AV22" s="143" t="str">
        <f t="shared" si="3"/>
        <v/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6.6820847547263574E-3</v>
      </c>
      <c r="BG22" s="9">
        <f t="shared" si="5"/>
        <v>0.77939285065199426</v>
      </c>
    </row>
    <row r="23" spans="2:59" x14ac:dyDescent="0.3">
      <c r="B23" s="3" t="s">
        <v>104</v>
      </c>
      <c r="D23" s="141">
        <v>22248417</v>
      </c>
      <c r="E23" s="141">
        <v>20226779</v>
      </c>
      <c r="F23" s="141">
        <v>19983435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62458631</v>
      </c>
      <c r="R23" s="141">
        <v>2672173</v>
      </c>
      <c r="S23" s="141">
        <v>2596110</v>
      </c>
      <c r="T23" s="141">
        <v>2756089</v>
      </c>
      <c r="U23" s="141"/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8024372</v>
      </c>
      <c r="AF23" s="2">
        <f t="shared" si="2"/>
        <v>0.12010620800572014</v>
      </c>
      <c r="AG23" s="2">
        <f t="shared" si="2"/>
        <v>0.12835014413318108</v>
      </c>
      <c r="AH23" s="2">
        <f t="shared" si="2"/>
        <v>0.13791868114766054</v>
      </c>
      <c r="AI23" s="2" t="str">
        <f t="shared" si="2"/>
        <v/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0.12847499010985367</v>
      </c>
      <c r="AT23" s="143">
        <f t="shared" si="3"/>
        <v>8.243936127460938E-3</v>
      </c>
      <c r="AU23" s="143">
        <f t="shared" si="3"/>
        <v>9.5685370144794613E-3</v>
      </c>
      <c r="AV23" s="143" t="str">
        <f t="shared" si="3"/>
        <v/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6.3084839973421127E-3</v>
      </c>
      <c r="BG23" s="9">
        <f t="shared" si="5"/>
        <v>0.78570133464933634</v>
      </c>
    </row>
    <row r="24" spans="2:59" x14ac:dyDescent="0.3">
      <c r="B24" s="3" t="s">
        <v>126</v>
      </c>
      <c r="D24" s="141">
        <v>12497425</v>
      </c>
      <c r="E24" s="141">
        <v>11128566</v>
      </c>
      <c r="F24" s="141">
        <v>9318840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32944831</v>
      </c>
      <c r="R24" s="141">
        <v>2161136</v>
      </c>
      <c r="S24" s="141">
        <v>1834963</v>
      </c>
      <c r="T24" s="141">
        <v>1621117</v>
      </c>
      <c r="U24" s="141"/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5617216</v>
      </c>
      <c r="AF24" s="2">
        <f t="shared" si="2"/>
        <v>0.17292650285958908</v>
      </c>
      <c r="AG24" s="2">
        <f t="shared" si="2"/>
        <v>0.16488764140860557</v>
      </c>
      <c r="AH24" s="2">
        <f t="shared" si="2"/>
        <v>0.17396124410334332</v>
      </c>
      <c r="AI24" s="2" t="str">
        <f t="shared" si="2"/>
        <v/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55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0.17050371270685832</v>
      </c>
      <c r="AT24" s="143">
        <f t="shared" si="3"/>
        <v>-8.0388614509835088E-3</v>
      </c>
      <c r="AU24" s="143">
        <f t="shared" si="3"/>
        <v>9.0736026947377535E-3</v>
      </c>
      <c r="AV24" s="143" t="str">
        <f t="shared" si="3"/>
        <v/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4.4160611254829753E-3</v>
      </c>
      <c r="BG24" s="9">
        <f t="shared" si="5"/>
        <v>0.79011739577481932</v>
      </c>
    </row>
    <row r="25" spans="2:59" x14ac:dyDescent="0.3">
      <c r="B25" s="3" t="s">
        <v>119</v>
      </c>
      <c r="D25" s="141">
        <v>67606300</v>
      </c>
      <c r="E25" s="141">
        <v>65505007</v>
      </c>
      <c r="F25" s="141">
        <v>66660112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199771419</v>
      </c>
      <c r="R25" s="141">
        <v>7738430</v>
      </c>
      <c r="S25" s="141">
        <v>7385861</v>
      </c>
      <c r="T25" s="141">
        <v>7378325</v>
      </c>
      <c r="U25" s="141"/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22502616</v>
      </c>
      <c r="AF25" s="2">
        <f t="shared" ref="AF25:AM56" si="7">+IFERROR(R25/D25,"")</f>
        <v>0.11446314914438448</v>
      </c>
      <c r="AG25" s="2">
        <f t="shared" si="7"/>
        <v>0.11275261752128353</v>
      </c>
      <c r="AH25" s="2">
        <f t="shared" si="7"/>
        <v>0.11068575762368957</v>
      </c>
      <c r="AI25" s="2" t="str">
        <f t="shared" si="7"/>
        <v/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0.11264181889802766</v>
      </c>
      <c r="AT25" s="143">
        <f t="shared" si="3"/>
        <v>-1.7105316231009471E-3</v>
      </c>
      <c r="AU25" s="143">
        <f t="shared" si="3"/>
        <v>-2.0668598975939617E-3</v>
      </c>
      <c r="AV25" s="143" t="str">
        <f t="shared" si="3"/>
        <v/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1.7690779158086714E-2</v>
      </c>
      <c r="BG25" s="9">
        <f t="shared" si="5"/>
        <v>0.80780817493290602</v>
      </c>
    </row>
    <row r="26" spans="2:59" x14ac:dyDescent="0.3">
      <c r="B26" s="3" t="s">
        <v>102</v>
      </c>
      <c r="D26" s="141">
        <v>8178101</v>
      </c>
      <c r="E26" s="141">
        <v>7487729</v>
      </c>
      <c r="F26" s="141">
        <v>6816725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22482555</v>
      </c>
      <c r="R26" s="141">
        <v>856869</v>
      </c>
      <c r="S26" s="141">
        <v>795944</v>
      </c>
      <c r="T26" s="141">
        <v>782318</v>
      </c>
      <c r="U26" s="141"/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2435131</v>
      </c>
      <c r="AF26" s="2">
        <f t="shared" si="7"/>
        <v>0.10477603541457851</v>
      </c>
      <c r="AG26" s="2">
        <f t="shared" si="7"/>
        <v>0.10629978729198132</v>
      </c>
      <c r="AH26" s="2">
        <f t="shared" si="7"/>
        <v>0.11476449468036337</v>
      </c>
      <c r="AI26" s="2" t="str">
        <f t="shared" si="7"/>
        <v/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0.10831202236578538</v>
      </c>
      <c r="AT26" s="143">
        <f t="shared" si="3"/>
        <v>1.5237518774028069E-3</v>
      </c>
      <c r="AU26" s="143">
        <f t="shared" si="3"/>
        <v>8.4647073883820506E-3</v>
      </c>
      <c r="AV26" s="143" t="str">
        <f t="shared" si="3"/>
        <v/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1.9144158502287403E-3</v>
      </c>
      <c r="BG26" s="9">
        <f t="shared" si="5"/>
        <v>0.8097225907831348</v>
      </c>
    </row>
    <row r="27" spans="2:59" x14ac:dyDescent="0.3">
      <c r="B27" s="3" t="s">
        <v>113</v>
      </c>
      <c r="D27" s="141">
        <v>19358396</v>
      </c>
      <c r="E27" s="141">
        <v>21917490</v>
      </c>
      <c r="F27" s="141">
        <v>18940962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60216848</v>
      </c>
      <c r="R27" s="141">
        <v>2381328</v>
      </c>
      <c r="S27" s="141">
        <v>2524748</v>
      </c>
      <c r="T27" s="141">
        <v>2215325</v>
      </c>
      <c r="U27" s="141"/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7121401</v>
      </c>
      <c r="AF27" s="2">
        <f t="shared" si="7"/>
        <v>0.12301267109113792</v>
      </c>
      <c r="AG27" s="2">
        <f t="shared" si="7"/>
        <v>0.11519329996272383</v>
      </c>
      <c r="AH27" s="2">
        <f t="shared" si="7"/>
        <v>0.11695947650388613</v>
      </c>
      <c r="AI27" s="2" t="str">
        <f t="shared" si="7"/>
        <v/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0.11826259986241724</v>
      </c>
      <c r="AT27" s="143">
        <f t="shared" si="3"/>
        <v>-7.8193711284140904E-3</v>
      </c>
      <c r="AU27" s="143">
        <f t="shared" si="3"/>
        <v>1.7661765411623037E-3</v>
      </c>
      <c r="AV27" s="143" t="str">
        <f t="shared" si="3"/>
        <v/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5.5985993978290294E-3</v>
      </c>
      <c r="BG27" s="9">
        <f t="shared" si="5"/>
        <v>0.81532119018096383</v>
      </c>
    </row>
    <row r="28" spans="2:59" x14ac:dyDescent="0.3">
      <c r="B28" s="3" t="s">
        <v>110</v>
      </c>
      <c r="D28" s="141">
        <v>14962013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14962013</v>
      </c>
      <c r="R28" s="141">
        <v>1780020</v>
      </c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1780020</v>
      </c>
      <c r="AF28" s="2">
        <f t="shared" si="7"/>
        <v>0.11896928575052033</v>
      </c>
      <c r="AG28" s="2" t="str">
        <f t="shared" si="7"/>
        <v/>
      </c>
      <c r="AH28" s="2" t="str">
        <f t="shared" si="7"/>
        <v/>
      </c>
      <c r="AI28" s="2" t="str">
        <f t="shared" si="7"/>
        <v/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0.11896928575052033</v>
      </c>
      <c r="AT28" s="143" t="str">
        <f t="shared" si="3"/>
        <v/>
      </c>
      <c r="AU28" s="143" t="str">
        <f t="shared" si="3"/>
        <v/>
      </c>
      <c r="AV28" s="143" t="str">
        <f t="shared" ref="AV28:BD56" si="8">+IFERROR(AI28-AH28,"")</f>
        <v/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1.3993902183185062E-3</v>
      </c>
      <c r="BG28" s="9">
        <f t="shared" si="5"/>
        <v>0.8167205803992823</v>
      </c>
    </row>
    <row r="29" spans="2:59" x14ac:dyDescent="0.3">
      <c r="B29" s="3" t="s">
        <v>105</v>
      </c>
      <c r="D29" s="141">
        <v>17818213</v>
      </c>
      <c r="E29" s="141">
        <v>17828135</v>
      </c>
      <c r="F29" s="141">
        <v>20073061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55719409</v>
      </c>
      <c r="R29" s="141">
        <v>1437341</v>
      </c>
      <c r="S29" s="141">
        <v>1432740</v>
      </c>
      <c r="T29" s="141">
        <v>1572337</v>
      </c>
      <c r="U29" s="141"/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4442418</v>
      </c>
      <c r="AF29" s="2">
        <f t="shared" si="7"/>
        <v>8.0666955771602905E-2</v>
      </c>
      <c r="AG29" s="2">
        <f t="shared" si="7"/>
        <v>8.0363986474188132E-2</v>
      </c>
      <c r="AH29" s="2">
        <f t="shared" si="7"/>
        <v>7.8330704021673622E-2</v>
      </c>
      <c r="AI29" s="2" t="str">
        <f t="shared" si="7"/>
        <v/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7.9728376157040717E-2</v>
      </c>
      <c r="AT29" s="143">
        <f t="shared" ref="AT29:AU45" si="9">+IFERROR(AG29-AF29,"")</f>
        <v>-3.0296929741477352E-4</v>
      </c>
      <c r="AU29" s="143">
        <f t="shared" si="9"/>
        <v>-2.0332824525145093E-3</v>
      </c>
      <c r="AV29" s="143" t="str">
        <f t="shared" si="8"/>
        <v/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3.4924755311075504E-3</v>
      </c>
      <c r="BG29" s="9">
        <f t="shared" si="5"/>
        <v>0.82021305593038984</v>
      </c>
    </row>
    <row r="30" spans="2:59" x14ac:dyDescent="0.3">
      <c r="B30" s="3" t="s">
        <v>111</v>
      </c>
      <c r="D30" s="141">
        <v>1386395</v>
      </c>
      <c r="E30" s="141">
        <v>1346597</v>
      </c>
      <c r="F30" s="141">
        <v>1197789</v>
      </c>
      <c r="G30" s="141"/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3930781</v>
      </c>
      <c r="R30" s="141">
        <v>117773</v>
      </c>
      <c r="S30" s="141">
        <v>111252</v>
      </c>
      <c r="T30" s="141">
        <v>125202</v>
      </c>
      <c r="U30" s="141"/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354227</v>
      </c>
      <c r="AF30" s="2">
        <f t="shared" si="7"/>
        <v>8.4949094594253441E-2</v>
      </c>
      <c r="AG30" s="2">
        <f t="shared" si="7"/>
        <v>8.2617145292912433E-2</v>
      </c>
      <c r="AH30" s="2">
        <f t="shared" si="7"/>
        <v>0.10452759208842292</v>
      </c>
      <c r="AI30" s="2" t="str">
        <f t="shared" si="7"/>
        <v/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9.0116188106129549E-2</v>
      </c>
      <c r="AT30" s="143">
        <f t="shared" si="9"/>
        <v>-2.3319493013410075E-3</v>
      </c>
      <c r="AU30" s="143">
        <f t="shared" si="9"/>
        <v>2.1910446795510491E-2</v>
      </c>
      <c r="AV30" s="143" t="str">
        <f t="shared" si="8"/>
        <v/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2.7848102766503158E-4</v>
      </c>
      <c r="BG30" s="9">
        <f t="shared" si="5"/>
        <v>0.82049153695805488</v>
      </c>
    </row>
    <row r="31" spans="2:59" x14ac:dyDescent="0.3">
      <c r="B31" s="3" t="s">
        <v>112</v>
      </c>
      <c r="D31" s="141">
        <v>7052280</v>
      </c>
      <c r="E31" s="141">
        <v>6727339</v>
      </c>
      <c r="F31" s="141">
        <v>6670358</v>
      </c>
      <c r="G31" s="141"/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20449977</v>
      </c>
      <c r="R31" s="141">
        <v>994482</v>
      </c>
      <c r="S31" s="141">
        <v>901855</v>
      </c>
      <c r="T31" s="141">
        <v>887739</v>
      </c>
      <c r="U31" s="141"/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2784076</v>
      </c>
      <c r="AF31" s="2">
        <f t="shared" si="7"/>
        <v>0.14101567152750599</v>
      </c>
      <c r="AG31" s="2">
        <f t="shared" si="7"/>
        <v>0.13405820637253452</v>
      </c>
      <c r="AH31" s="2">
        <f t="shared" si="7"/>
        <v>0.13308715963970749</v>
      </c>
      <c r="AI31" s="2" t="str">
        <f t="shared" si="7"/>
        <v/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0.13614078881360112</v>
      </c>
      <c r="AT31" s="143">
        <f t="shared" si="9"/>
        <v>-6.9574651549714761E-3</v>
      </c>
      <c r="AU31" s="143">
        <f t="shared" si="9"/>
        <v>-9.7104673282702447E-4</v>
      </c>
      <c r="AV31" s="143" t="str">
        <f t="shared" si="8"/>
        <v/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2.1887443520046479E-3</v>
      </c>
      <c r="BG31" s="9">
        <f t="shared" si="5"/>
        <v>0.82268028131005955</v>
      </c>
    </row>
    <row r="32" spans="2:59" x14ac:dyDescent="0.3">
      <c r="B32" s="3" t="s">
        <v>118</v>
      </c>
      <c r="D32" s="141">
        <v>6782256</v>
      </c>
      <c r="E32" s="141">
        <v>5988928</v>
      </c>
      <c r="F32" s="141">
        <v>5885225</v>
      </c>
      <c r="G32" s="141"/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18656409</v>
      </c>
      <c r="R32" s="141">
        <v>853252</v>
      </c>
      <c r="S32" s="141">
        <v>682310</v>
      </c>
      <c r="T32" s="141">
        <v>671897</v>
      </c>
      <c r="U32" s="141"/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2207459</v>
      </c>
      <c r="AF32" s="2">
        <f t="shared" si="7"/>
        <v>0.12580651629782186</v>
      </c>
      <c r="AG32" s="2">
        <f t="shared" si="7"/>
        <v>0.11392856952028811</v>
      </c>
      <c r="AH32" s="2">
        <f t="shared" si="7"/>
        <v>0.11416674808524738</v>
      </c>
      <c r="AI32" s="2" t="str">
        <f t="shared" si="7"/>
        <v/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0.11832175205850172</v>
      </c>
      <c r="AT32" s="143">
        <f t="shared" si="9"/>
        <v>-1.1877946777533746E-2</v>
      </c>
      <c r="AU32" s="143">
        <f t="shared" si="9"/>
        <v>2.3817856495926548E-4</v>
      </c>
      <c r="AV32" s="143" t="str">
        <f t="shared" si="8"/>
        <v/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1.7354279906625495E-3</v>
      </c>
      <c r="BG32" s="9">
        <f t="shared" si="5"/>
        <v>0.82441570930072205</v>
      </c>
    </row>
    <row r="33" spans="2:59" x14ac:dyDescent="0.3">
      <c r="B33" s="3" t="s">
        <v>124</v>
      </c>
      <c r="D33" s="141">
        <v>3736418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3736418</v>
      </c>
      <c r="R33" s="141">
        <v>449523</v>
      </c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449523</v>
      </c>
      <c r="AF33" s="2">
        <f t="shared" si="7"/>
        <v>0.12030854149616023</v>
      </c>
      <c r="AG33" s="2" t="str">
        <f t="shared" si="7"/>
        <v/>
      </c>
      <c r="AH33" s="2" t="str">
        <f t="shared" si="7"/>
        <v/>
      </c>
      <c r="AI33" s="2" t="str">
        <f t="shared" si="7"/>
        <v/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0.12030854149616023</v>
      </c>
      <c r="AT33" s="143" t="str">
        <f t="shared" si="9"/>
        <v/>
      </c>
      <c r="AU33" s="143" t="str">
        <f t="shared" si="9"/>
        <v/>
      </c>
      <c r="AV33" s="143" t="str">
        <f t="shared" si="8"/>
        <v/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3.5339945006752162E-4</v>
      </c>
      <c r="BG33" s="9">
        <f t="shared" si="5"/>
        <v>0.82476910875078957</v>
      </c>
    </row>
    <row r="34" spans="2:59" x14ac:dyDescent="0.3">
      <c r="B34" s="3" t="s">
        <v>125</v>
      </c>
      <c r="D34" s="141">
        <v>35127775</v>
      </c>
      <c r="E34" s="141">
        <v>15324416</v>
      </c>
      <c r="F34" s="141">
        <v>17800822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68253013</v>
      </c>
      <c r="R34" s="141">
        <v>6153532</v>
      </c>
      <c r="S34" s="141">
        <v>3909788</v>
      </c>
      <c r="T34" s="141">
        <v>3042049</v>
      </c>
      <c r="U34" s="141"/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13105369</v>
      </c>
      <c r="AF34" s="2">
        <f t="shared" si="7"/>
        <v>0.17517568362926489</v>
      </c>
      <c r="AG34" s="2">
        <f t="shared" si="7"/>
        <v>0.25513455129383072</v>
      </c>
      <c r="AH34" s="2">
        <f t="shared" si="7"/>
        <v>0.17089373737909408</v>
      </c>
      <c r="AI34" s="2" t="str">
        <f t="shared" si="7"/>
        <v/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0.19201158196488702</v>
      </c>
      <c r="AT34" s="143">
        <f t="shared" si="9"/>
        <v>7.9958867664565836E-2</v>
      </c>
      <c r="AU34" s="143">
        <f t="shared" si="9"/>
        <v>-8.4240813914736645E-2</v>
      </c>
      <c r="AV34" s="143" t="str">
        <f t="shared" si="8"/>
        <v/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1.0302988273196135E-2</v>
      </c>
      <c r="BG34" s="9">
        <f t="shared" si="5"/>
        <v>0.83507209702398566</v>
      </c>
    </row>
    <row r="35" spans="2:59" x14ac:dyDescent="0.3">
      <c r="B35" s="3" t="s">
        <v>108</v>
      </c>
      <c r="D35" s="141">
        <v>12624659</v>
      </c>
      <c r="E35" s="141">
        <v>11817624</v>
      </c>
      <c r="F35" s="141">
        <v>11976871</v>
      </c>
      <c r="G35" s="141"/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36419154</v>
      </c>
      <c r="R35" s="141">
        <v>1216141</v>
      </c>
      <c r="S35" s="141">
        <v>1077901</v>
      </c>
      <c r="T35" s="141">
        <v>1043414</v>
      </c>
      <c r="U35" s="141"/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3337456</v>
      </c>
      <c r="AF35" s="2">
        <f t="shared" si="7"/>
        <v>9.6330601880019101E-2</v>
      </c>
      <c r="AG35" s="2">
        <f t="shared" si="7"/>
        <v>9.1211312866274985E-2</v>
      </c>
      <c r="AH35" s="2">
        <f t="shared" si="7"/>
        <v>8.7119081436211512E-2</v>
      </c>
      <c r="AI35" s="2" t="str">
        <f t="shared" si="7"/>
        <v/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9.1640129806420001E-2</v>
      </c>
      <c r="AT35" s="143">
        <f t="shared" si="9"/>
        <v>-5.119289013744116E-3</v>
      </c>
      <c r="AU35" s="143">
        <f t="shared" si="9"/>
        <v>-4.0922314300634727E-3</v>
      </c>
      <c r="AV35" s="143" t="str">
        <f t="shared" si="8"/>
        <v/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2.6237925868632982E-3</v>
      </c>
      <c r="BG35" s="9">
        <f t="shared" si="5"/>
        <v>0.83769588961084895</v>
      </c>
    </row>
    <row r="36" spans="2:59" x14ac:dyDescent="0.3">
      <c r="B36" s="3" t="s">
        <v>120</v>
      </c>
      <c r="D36" s="141">
        <v>7510377</v>
      </c>
      <c r="E36" s="141">
        <v>6963525</v>
      </c>
      <c r="F36" s="141">
        <v>6685140</v>
      </c>
      <c r="G36" s="141"/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21159042</v>
      </c>
      <c r="R36" s="141">
        <v>949309</v>
      </c>
      <c r="S36" s="141">
        <v>912910</v>
      </c>
      <c r="T36" s="141">
        <v>858863</v>
      </c>
      <c r="U36" s="141"/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2721082</v>
      </c>
      <c r="AF36" s="2">
        <f t="shared" si="7"/>
        <v>0.12639964678204568</v>
      </c>
      <c r="AG36" s="2">
        <f t="shared" si="7"/>
        <v>0.13109883284686993</v>
      </c>
      <c r="AH36" s="2">
        <f t="shared" si="7"/>
        <v>0.12847345006985642</v>
      </c>
      <c r="AI36" s="2" t="str">
        <f t="shared" si="7"/>
        <v/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0.12860137996795884</v>
      </c>
      <c r="AT36" s="143">
        <f t="shared" si="9"/>
        <v>4.6991860648242512E-3</v>
      </c>
      <c r="AU36" s="143">
        <f t="shared" si="9"/>
        <v>-2.6253827770135185E-3</v>
      </c>
      <c r="AV36" s="143" t="str">
        <f t="shared" si="8"/>
        <v/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2.1392206458593485E-3</v>
      </c>
      <c r="BG36" s="9">
        <f t="shared" si="5"/>
        <v>0.83983511025670832</v>
      </c>
    </row>
    <row r="37" spans="2:59" x14ac:dyDescent="0.3">
      <c r="B37" s="3" t="s">
        <v>109</v>
      </c>
      <c r="D37" s="141">
        <v>15997835</v>
      </c>
      <c r="E37" s="141">
        <v>14358346</v>
      </c>
      <c r="F37" s="141">
        <v>13112795</v>
      </c>
      <c r="G37" s="141"/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43468976</v>
      </c>
      <c r="R37" s="141">
        <v>1675354</v>
      </c>
      <c r="S37" s="141">
        <v>1474112</v>
      </c>
      <c r="T37" s="141">
        <v>1208629</v>
      </c>
      <c r="U37" s="141"/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4358095</v>
      </c>
      <c r="AF37" s="2">
        <f t="shared" si="7"/>
        <v>0.10472379543857029</v>
      </c>
      <c r="AG37" s="2">
        <f t="shared" si="7"/>
        <v>0.10266586416011983</v>
      </c>
      <c r="AH37" s="2">
        <f t="shared" si="7"/>
        <v>9.2171729978238817E-2</v>
      </c>
      <c r="AI37" s="2" t="str">
        <f t="shared" si="7"/>
        <v/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0.10025759520997228</v>
      </c>
      <c r="AT37" s="143">
        <f t="shared" si="9"/>
        <v>-2.0579312784504561E-3</v>
      </c>
      <c r="AU37" s="143">
        <f t="shared" si="9"/>
        <v>-1.0494134181881012E-2</v>
      </c>
      <c r="AV37" s="143" t="str">
        <f t="shared" si="8"/>
        <v/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si="4"/>
        <v>3.4261837021509816E-3</v>
      </c>
      <c r="BG37" s="9">
        <f t="shared" si="5"/>
        <v>0.84326129395885929</v>
      </c>
    </row>
    <row r="38" spans="2:59" x14ac:dyDescent="0.3">
      <c r="B38" s="3" t="s">
        <v>130</v>
      </c>
      <c r="D38" s="141">
        <v>16475048</v>
      </c>
      <c r="E38" s="141">
        <v>17999997</v>
      </c>
      <c r="F38" s="141">
        <v>17126817</v>
      </c>
      <c r="G38" s="141"/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51601862</v>
      </c>
      <c r="R38" s="141">
        <v>1881566</v>
      </c>
      <c r="S38" s="141">
        <v>2319936</v>
      </c>
      <c r="T38" s="141">
        <v>1920830</v>
      </c>
      <c r="U38" s="141"/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6122332</v>
      </c>
      <c r="AF38" s="2">
        <f t="shared" si="7"/>
        <v>0.1142070117185698</v>
      </c>
      <c r="AG38" s="2">
        <f t="shared" si="7"/>
        <v>0.12888535481422581</v>
      </c>
      <c r="AH38" s="2">
        <f t="shared" si="7"/>
        <v>0.11215335575781536</v>
      </c>
      <c r="AI38" s="2" t="str">
        <f t="shared" si="7"/>
        <v/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0.11864556360388701</v>
      </c>
      <c r="AT38" s="143">
        <f t="shared" si="9"/>
        <v>1.4678343095656007E-2</v>
      </c>
      <c r="AU38" s="143">
        <f t="shared" si="9"/>
        <v>-1.6731999056410443E-2</v>
      </c>
      <c r="AV38" s="143" t="str">
        <f t="shared" si="8"/>
        <v/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4"/>
        <v>4.8131658712252537E-3</v>
      </c>
      <c r="BG38" s="9">
        <f t="shared" si="5"/>
        <v>0.84807445983008456</v>
      </c>
    </row>
    <row r="39" spans="2:59" x14ac:dyDescent="0.3">
      <c r="B39" s="3" t="s">
        <v>153</v>
      </c>
      <c r="D39" s="141">
        <v>5278984</v>
      </c>
      <c r="E39" s="141">
        <v>5158166</v>
      </c>
      <c r="F39" s="141">
        <v>5432670</v>
      </c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15869820</v>
      </c>
      <c r="R39" s="141">
        <v>459124</v>
      </c>
      <c r="S39" s="141">
        <v>514427</v>
      </c>
      <c r="T39" s="141">
        <v>517428</v>
      </c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1490979</v>
      </c>
      <c r="AF39" s="2">
        <f t="shared" si="7"/>
        <v>8.697203855893483E-2</v>
      </c>
      <c r="AG39" s="2">
        <f t="shared" si="7"/>
        <v>9.9730601923241707E-2</v>
      </c>
      <c r="AH39" s="2">
        <f t="shared" si="7"/>
        <v>9.5243775160280306E-2</v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9.395059301239711E-2</v>
      </c>
      <c r="AT39" s="143">
        <f t="shared" si="9"/>
        <v>1.2758563364306877E-2</v>
      </c>
      <c r="AU39" s="143">
        <f t="shared" si="9"/>
        <v>-4.4868267629614017E-3</v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4"/>
        <v>1.1721561714577971E-3</v>
      </c>
      <c r="BG39" s="9">
        <f t="shared" si="5"/>
        <v>0.84924661600154239</v>
      </c>
    </row>
    <row r="40" spans="2:59" x14ac:dyDescent="0.3">
      <c r="B40" s="3" t="s">
        <v>107</v>
      </c>
      <c r="D40" s="141">
        <v>5578643</v>
      </c>
      <c r="E40" s="141">
        <v>5093001</v>
      </c>
      <c r="F40" s="141">
        <v>4894159</v>
      </c>
      <c r="G40" s="141"/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15565803</v>
      </c>
      <c r="R40" s="141">
        <v>466159</v>
      </c>
      <c r="S40" s="141">
        <v>417583</v>
      </c>
      <c r="T40" s="141">
        <v>415858</v>
      </c>
      <c r="U40" s="141"/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1299600</v>
      </c>
      <c r="AF40" s="2">
        <f t="shared" si="7"/>
        <v>8.3561360710839541E-2</v>
      </c>
      <c r="AG40" s="2">
        <f t="shared" si="7"/>
        <v>8.1991540940204014E-2</v>
      </c>
      <c r="AH40" s="2">
        <f t="shared" si="7"/>
        <v>8.4970267619012788E-2</v>
      </c>
      <c r="AI40" s="2" t="str">
        <f t="shared" si="7"/>
        <v/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8.3490713585415419E-2</v>
      </c>
      <c r="AT40" s="143">
        <f t="shared" si="9"/>
        <v>-1.5698197706355277E-3</v>
      </c>
      <c r="AU40" s="143">
        <f t="shared" si="9"/>
        <v>2.9787266788087741E-3</v>
      </c>
      <c r="AV40" s="143" t="str">
        <f t="shared" si="8"/>
        <v/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4"/>
        <v>1.0217006144463156E-3</v>
      </c>
      <c r="BG40" s="9">
        <f t="shared" si="5"/>
        <v>0.85026831661598867</v>
      </c>
    </row>
    <row r="41" spans="2:59" x14ac:dyDescent="0.3">
      <c r="B41" s="3" t="s">
        <v>129</v>
      </c>
      <c r="D41" s="141">
        <v>10207779</v>
      </c>
      <c r="E41" s="141">
        <v>9325983</v>
      </c>
      <c r="F41" s="141">
        <v>8583813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28117575</v>
      </c>
      <c r="R41" s="141">
        <v>1045267</v>
      </c>
      <c r="S41" s="141">
        <v>986529</v>
      </c>
      <c r="T41" s="141">
        <v>921707</v>
      </c>
      <c r="U41" s="141"/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2953503</v>
      </c>
      <c r="AF41" s="2">
        <f t="shared" si="7"/>
        <v>0.10239906251888878</v>
      </c>
      <c r="AG41" s="2">
        <f t="shared" si="7"/>
        <v>0.10578284348148607</v>
      </c>
      <c r="AH41" s="2">
        <f t="shared" si="7"/>
        <v>0.10737733918481215</v>
      </c>
      <c r="AI41" s="2" t="str">
        <f t="shared" si="7"/>
        <v/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0.10504117086910944</v>
      </c>
      <c r="AT41" s="143">
        <f t="shared" si="9"/>
        <v>3.3837809625972964E-3</v>
      </c>
      <c r="AU41" s="143">
        <f t="shared" si="9"/>
        <v>1.5944957033260793E-3</v>
      </c>
      <c r="AV41" s="143" t="str">
        <f t="shared" si="8"/>
        <v/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4"/>
        <v>2.321942005131607E-3</v>
      </c>
      <c r="BG41" s="9">
        <f t="shared" si="5"/>
        <v>0.85259025862112026</v>
      </c>
    </row>
    <row r="42" spans="2:59" x14ac:dyDescent="0.3">
      <c r="B42" s="3" t="s">
        <v>166</v>
      </c>
      <c r="D42" s="141">
        <v>59119437</v>
      </c>
      <c r="E42" s="141">
        <v>56338941</v>
      </c>
      <c r="F42" s="141">
        <v>52721393</v>
      </c>
      <c r="G42" s="141"/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168179771</v>
      </c>
      <c r="R42" s="141">
        <v>10444285</v>
      </c>
      <c r="S42" s="141">
        <v>11407377</v>
      </c>
      <c r="T42" s="141">
        <v>8524301</v>
      </c>
      <c r="U42" s="141"/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30375963</v>
      </c>
      <c r="AF42" s="2">
        <f t="shared" si="7"/>
        <v>0.17666414854390444</v>
      </c>
      <c r="AG42" s="2">
        <f t="shared" si="7"/>
        <v>0.20247766105507733</v>
      </c>
      <c r="AH42" s="2">
        <f t="shared" si="7"/>
        <v>0.16168580750512415</v>
      </c>
      <c r="AI42" s="2" t="str">
        <f t="shared" si="7"/>
        <v/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0.18061603259050699</v>
      </c>
      <c r="AT42" s="143">
        <f t="shared" si="9"/>
        <v>2.5813512511172892E-2</v>
      </c>
      <c r="AU42" s="143">
        <f t="shared" si="9"/>
        <v>-4.0791853549953183E-2</v>
      </c>
      <c r="AV42" s="143" t="str">
        <f t="shared" si="8"/>
        <v/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4"/>
        <v>2.3880532518850837E-2</v>
      </c>
      <c r="BG42" s="9">
        <f t="shared" si="5"/>
        <v>0.87647079113997106</v>
      </c>
    </row>
    <row r="43" spans="2:59" x14ac:dyDescent="0.3">
      <c r="B43" s="3" t="s">
        <v>122</v>
      </c>
      <c r="D43" s="141">
        <v>9476729</v>
      </c>
      <c r="E43" s="141">
        <v>8701845</v>
      </c>
      <c r="F43" s="141">
        <v>8121853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26300427</v>
      </c>
      <c r="R43" s="141">
        <v>976917</v>
      </c>
      <c r="S43" s="141">
        <v>905202</v>
      </c>
      <c r="T43" s="141">
        <v>810922</v>
      </c>
      <c r="U43" s="141"/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2693041</v>
      </c>
      <c r="AF43" s="2">
        <f t="shared" si="7"/>
        <v>0.10308588543578696</v>
      </c>
      <c r="AG43" s="2">
        <f t="shared" si="7"/>
        <v>0.10402414660339272</v>
      </c>
      <c r="AH43" s="2">
        <f t="shared" si="7"/>
        <v>9.9844456677558674E-2</v>
      </c>
      <c r="AI43" s="2" t="str">
        <f t="shared" si="7"/>
        <v/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0.10239533373355497</v>
      </c>
      <c r="AT43" s="143">
        <f t="shared" si="9"/>
        <v>9.3826116760575839E-4</v>
      </c>
      <c r="AU43" s="143">
        <f t="shared" si="9"/>
        <v>-4.1796899258340486E-3</v>
      </c>
      <c r="AV43" s="143" t="str">
        <f t="shared" si="8"/>
        <v/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4"/>
        <v>2.1171757805702679E-3</v>
      </c>
      <c r="BG43" s="9">
        <f t="shared" si="5"/>
        <v>0.87858796692054131</v>
      </c>
    </row>
    <row r="44" spans="2:59" x14ac:dyDescent="0.3">
      <c r="B44" s="3" t="s">
        <v>128</v>
      </c>
      <c r="D44" s="141">
        <v>1281976</v>
      </c>
      <c r="E44" s="141">
        <v>1480520</v>
      </c>
      <c r="F44" s="141">
        <v>1236590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3999086</v>
      </c>
      <c r="R44" s="141">
        <v>184234</v>
      </c>
      <c r="S44" s="141">
        <v>194460</v>
      </c>
      <c r="T44" s="141">
        <v>158007</v>
      </c>
      <c r="U44" s="141"/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536701</v>
      </c>
      <c r="AF44" s="2">
        <f t="shared" si="7"/>
        <v>0.14371095870749531</v>
      </c>
      <c r="AG44" s="2">
        <f t="shared" si="7"/>
        <v>0.13134574338745847</v>
      </c>
      <c r="AH44" s="2">
        <f t="shared" si="7"/>
        <v>0.12777638505891201</v>
      </c>
      <c r="AI44" s="2" t="str">
        <f t="shared" si="7"/>
        <v/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0.13420591605181784</v>
      </c>
      <c r="AT44" s="143">
        <f t="shared" si="9"/>
        <v>-1.2365215320036843E-2</v>
      </c>
      <c r="AU44" s="143">
        <f t="shared" si="9"/>
        <v>-3.5693583285464625E-3</v>
      </c>
      <c r="AV44" s="143" t="str">
        <f t="shared" si="8"/>
        <v/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4"/>
        <v>4.219357813742321E-4</v>
      </c>
      <c r="BG44" s="9">
        <f t="shared" si="5"/>
        <v>0.87900990270191559</v>
      </c>
    </row>
    <row r="45" spans="2:59" x14ac:dyDescent="0.3">
      <c r="B45" s="3" t="s">
        <v>133</v>
      </c>
      <c r="D45" s="141">
        <v>11160201</v>
      </c>
      <c r="E45" s="141">
        <v>11380026</v>
      </c>
      <c r="F45" s="141">
        <v>11468410</v>
      </c>
      <c r="G45" s="141"/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34008637</v>
      </c>
      <c r="R45" s="141">
        <v>995678</v>
      </c>
      <c r="S45" s="141">
        <v>961819</v>
      </c>
      <c r="T45" s="141">
        <v>970617</v>
      </c>
      <c r="U45" s="141"/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2928114</v>
      </c>
      <c r="AF45" s="2">
        <f t="shared" si="7"/>
        <v>8.9216851918706486E-2</v>
      </c>
      <c r="AG45" s="2">
        <f t="shared" si="7"/>
        <v>8.4518172454087534E-2</v>
      </c>
      <c r="AH45" s="2">
        <f t="shared" si="7"/>
        <v>8.4633964080461019E-2</v>
      </c>
      <c r="AI45" s="2" t="str">
        <f t="shared" si="7"/>
        <v/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8.6099128289087265E-2</v>
      </c>
      <c r="AT45" s="143">
        <f t="shared" si="9"/>
        <v>-4.6986794646189517E-3</v>
      </c>
      <c r="AU45" s="143">
        <f t="shared" si="9"/>
        <v>1.1579162637348483E-4</v>
      </c>
      <c r="AV45" s="143" t="str">
        <f t="shared" si="8"/>
        <v/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4"/>
        <v>2.3019820506070014E-3</v>
      </c>
      <c r="BG45" s="9">
        <f t="shared" si="5"/>
        <v>0.88131188475252265</v>
      </c>
    </row>
    <row r="46" spans="2:59" x14ac:dyDescent="0.3">
      <c r="B46" s="3" t="s">
        <v>127</v>
      </c>
      <c r="D46" s="141">
        <v>2980259</v>
      </c>
      <c r="E46" s="141">
        <v>3028404</v>
      </c>
      <c r="F46" s="141">
        <v>3011778</v>
      </c>
      <c r="G46" s="141"/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9020441</v>
      </c>
      <c r="R46" s="141">
        <v>372815</v>
      </c>
      <c r="S46" s="141">
        <v>382637</v>
      </c>
      <c r="T46" s="141">
        <v>358405</v>
      </c>
      <c r="U46" s="141"/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1113857</v>
      </c>
      <c r="AF46" s="2">
        <f t="shared" si="7"/>
        <v>0.12509483236188532</v>
      </c>
      <c r="AG46" s="2">
        <f t="shared" si="7"/>
        <v>0.12634939063612385</v>
      </c>
      <c r="AH46" s="2">
        <f t="shared" si="7"/>
        <v>0.11900113487780307</v>
      </c>
      <c r="AI46" s="2" t="str">
        <f t="shared" si="7"/>
        <v/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0.12348143510943645</v>
      </c>
      <c r="AT46" s="2" t="str">
        <f t="shared" ref="AT46:AU77" si="10">+IFERROR(AM46-AL46,"")</f>
        <v/>
      </c>
      <c r="AU46" s="2" t="str">
        <f t="shared" si="10"/>
        <v/>
      </c>
      <c r="AV46" s="143" t="str">
        <f t="shared" si="8"/>
        <v/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4"/>
        <v>8.7567588589206654E-4</v>
      </c>
      <c r="BG46" s="9">
        <f t="shared" si="5"/>
        <v>0.88218756063841475</v>
      </c>
    </row>
    <row r="47" spans="2:59" x14ac:dyDescent="0.3">
      <c r="B47" s="3" t="s">
        <v>132</v>
      </c>
      <c r="D47" s="141">
        <v>2863563</v>
      </c>
      <c r="E47" s="141">
        <v>4501186</v>
      </c>
      <c r="F47" s="141">
        <v>11962682</v>
      </c>
      <c r="G47" s="141"/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19327431</v>
      </c>
      <c r="R47" s="141">
        <v>218068</v>
      </c>
      <c r="S47" s="141">
        <v>354704</v>
      </c>
      <c r="T47" s="141">
        <v>1240419</v>
      </c>
      <c r="U47" s="141"/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1813191</v>
      </c>
      <c r="AF47" s="2">
        <f t="shared" si="7"/>
        <v>7.6152681117894042E-2</v>
      </c>
      <c r="AG47" s="2">
        <f t="shared" si="7"/>
        <v>7.8802342316002943E-2</v>
      </c>
      <c r="AH47" s="2">
        <f t="shared" si="7"/>
        <v>0.10369071082889272</v>
      </c>
      <c r="AI47" s="2" t="str">
        <f t="shared" si="7"/>
        <v/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9.3814382263219573E-2</v>
      </c>
      <c r="AT47" s="2" t="str">
        <f t="shared" si="10"/>
        <v/>
      </c>
      <c r="AU47" s="2" t="str">
        <f t="shared" si="10"/>
        <v/>
      </c>
      <c r="AV47" s="143" t="str">
        <f t="shared" si="8"/>
        <v/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4"/>
        <v>1.4254681123488221E-3</v>
      </c>
      <c r="BG47" s="9">
        <f t="shared" si="5"/>
        <v>0.88361302875076353</v>
      </c>
    </row>
    <row r="48" spans="2:59" x14ac:dyDescent="0.3">
      <c r="B48" s="3" t="s">
        <v>131</v>
      </c>
      <c r="D48" s="141">
        <v>3453511</v>
      </c>
      <c r="E48" s="141">
        <v>3182667</v>
      </c>
      <c r="F48" s="141">
        <v>3120677</v>
      </c>
      <c r="G48" s="141"/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9756855</v>
      </c>
      <c r="R48" s="141">
        <v>399103</v>
      </c>
      <c r="S48" s="141">
        <v>377928</v>
      </c>
      <c r="T48" s="141">
        <v>336838</v>
      </c>
      <c r="U48" s="141"/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1113869</v>
      </c>
      <c r="AF48" s="2">
        <f t="shared" si="7"/>
        <v>0.11556442125130049</v>
      </c>
      <c r="AG48" s="2">
        <f t="shared" si="7"/>
        <v>0.11874569347028766</v>
      </c>
      <c r="AH48" s="2">
        <f t="shared" si="7"/>
        <v>0.10793747638733518</v>
      </c>
      <c r="AI48" s="2" t="str">
        <f t="shared" si="7"/>
        <v/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0.11416270919266505</v>
      </c>
      <c r="AT48" s="2" t="str">
        <f t="shared" si="10"/>
        <v/>
      </c>
      <c r="AU48" s="2" t="str">
        <f t="shared" si="10"/>
        <v/>
      </c>
      <c r="AV48" s="143" t="str">
        <f t="shared" si="8"/>
        <v/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4"/>
        <v>8.7568531987742616E-4</v>
      </c>
      <c r="BG48" s="9">
        <f t="shared" si="5"/>
        <v>0.884488714070641</v>
      </c>
    </row>
    <row r="49" spans="2:59" x14ac:dyDescent="0.3">
      <c r="B49" s="3" t="s">
        <v>142</v>
      </c>
      <c r="D49" s="141">
        <v>15133532</v>
      </c>
      <c r="E49" s="141">
        <v>14211360</v>
      </c>
      <c r="F49" s="141">
        <v>12360794</v>
      </c>
      <c r="G49" s="141"/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41705686</v>
      </c>
      <c r="R49" s="141">
        <v>1426250</v>
      </c>
      <c r="S49" s="141">
        <v>1516965</v>
      </c>
      <c r="T49" s="141">
        <v>1225922</v>
      </c>
      <c r="U49" s="141"/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4169137</v>
      </c>
      <c r="AF49" s="2">
        <f t="shared" si="7"/>
        <v>9.4244357496980874E-2</v>
      </c>
      <c r="AG49" s="2">
        <f t="shared" si="7"/>
        <v>0.10674312662546019</v>
      </c>
      <c r="AH49" s="2">
        <f t="shared" si="7"/>
        <v>9.9178256671861045E-2</v>
      </c>
      <c r="AI49" s="2" t="str">
        <f t="shared" si="7"/>
        <v/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9.9965673745301784E-2</v>
      </c>
      <c r="AT49" s="2" t="str">
        <f t="shared" si="10"/>
        <v/>
      </c>
      <c r="AU49" s="2" t="str">
        <f t="shared" si="10"/>
        <v/>
      </c>
      <c r="AV49" s="143" t="str">
        <f t="shared" si="8"/>
        <v/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4"/>
        <v>3.2776314516858025E-3</v>
      </c>
      <c r="BG49" s="9">
        <f t="shared" si="5"/>
        <v>0.88776634552232681</v>
      </c>
    </row>
    <row r="50" spans="2:59" x14ac:dyDescent="0.3">
      <c r="B50" s="3" t="s">
        <v>114</v>
      </c>
      <c r="D50" s="141">
        <v>2175485</v>
      </c>
      <c r="E50" s="141">
        <v>2066154</v>
      </c>
      <c r="F50" s="141">
        <v>2185227</v>
      </c>
      <c r="G50" s="141"/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6426866</v>
      </c>
      <c r="R50" s="141">
        <v>240751</v>
      </c>
      <c r="S50" s="141">
        <v>234621</v>
      </c>
      <c r="T50" s="141">
        <v>231595</v>
      </c>
      <c r="U50" s="141"/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706967</v>
      </c>
      <c r="AF50" s="2">
        <f t="shared" si="7"/>
        <v>0.11066543782191098</v>
      </c>
      <c r="AG50" s="2">
        <f t="shared" si="7"/>
        <v>0.11355445915454511</v>
      </c>
      <c r="AH50" s="2">
        <f t="shared" si="7"/>
        <v>0.10598212451154961</v>
      </c>
      <c r="AI50" s="2" t="str">
        <f t="shared" si="7"/>
        <v/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0.11000182670682725</v>
      </c>
      <c r="AT50" s="2" t="str">
        <f t="shared" si="10"/>
        <v/>
      </c>
      <c r="AU50" s="2" t="str">
        <f t="shared" si="10"/>
        <v/>
      </c>
      <c r="AV50" s="143" t="str">
        <f t="shared" si="8"/>
        <v/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4"/>
        <v>5.5579302731091748E-4</v>
      </c>
      <c r="BG50" s="9">
        <f t="shared" si="5"/>
        <v>0.88832213854963771</v>
      </c>
    </row>
    <row r="51" spans="2:59" x14ac:dyDescent="0.3">
      <c r="B51" s="3" t="s">
        <v>138</v>
      </c>
      <c r="D51" s="141">
        <v>44594304</v>
      </c>
      <c r="E51" s="141">
        <v>64433440</v>
      </c>
      <c r="F51" s="141">
        <v>47357465</v>
      </c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156385209</v>
      </c>
      <c r="R51" s="141">
        <v>4589705</v>
      </c>
      <c r="S51" s="141">
        <v>7451069</v>
      </c>
      <c r="T51" s="141">
        <v>5646369</v>
      </c>
      <c r="U51" s="141"/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17687143</v>
      </c>
      <c r="AF51" s="2">
        <f t="shared" si="7"/>
        <v>0.10292132824855837</v>
      </c>
      <c r="AG51" s="2">
        <f t="shared" si="7"/>
        <v>0.11563978269668669</v>
      </c>
      <c r="AH51" s="2">
        <f t="shared" si="7"/>
        <v>0.11922870026932396</v>
      </c>
      <c r="AI51" s="2" t="str">
        <f t="shared" si="7"/>
        <v/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0.11309984565100399</v>
      </c>
      <c r="AT51" s="2" t="str">
        <f t="shared" si="10"/>
        <v/>
      </c>
      <c r="AU51" s="2" t="str">
        <f t="shared" si="10"/>
        <v/>
      </c>
      <c r="AV51" s="143" t="str">
        <f t="shared" si="8"/>
        <v/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4"/>
        <v>1.3905020676284895E-2</v>
      </c>
      <c r="BG51" s="9">
        <f t="shared" si="5"/>
        <v>0.90222715922592256</v>
      </c>
    </row>
    <row r="52" spans="2:59" x14ac:dyDescent="0.3">
      <c r="B52" s="3" t="s">
        <v>160</v>
      </c>
      <c r="D52" s="141">
        <v>18200655</v>
      </c>
      <c r="E52" s="141">
        <v>31966565</v>
      </c>
      <c r="F52" s="141">
        <v>33003420</v>
      </c>
      <c r="G52" s="141"/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83170640</v>
      </c>
      <c r="R52" s="141">
        <v>3189914</v>
      </c>
      <c r="S52" s="141">
        <v>5676856</v>
      </c>
      <c r="T52" s="141">
        <v>5635327</v>
      </c>
      <c r="U52" s="141"/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14502097</v>
      </c>
      <c r="AF52" s="2">
        <f t="shared" si="7"/>
        <v>0.17526369243304704</v>
      </c>
      <c r="AG52" s="2">
        <f t="shared" si="7"/>
        <v>0.1775873009815099</v>
      </c>
      <c r="AH52" s="2">
        <f t="shared" si="7"/>
        <v>0.17074978896126522</v>
      </c>
      <c r="AI52" s="2" t="str">
        <f t="shared" si="7"/>
        <v/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0.17436558141190209</v>
      </c>
      <c r="AT52" s="2" t="str">
        <f t="shared" si="10"/>
        <v/>
      </c>
      <c r="AU52" s="2" t="str">
        <f t="shared" si="10"/>
        <v/>
      </c>
      <c r="AV52" s="143" t="str">
        <f t="shared" si="8"/>
        <v/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4"/>
        <v>1.1401047565143175E-2</v>
      </c>
      <c r="BG52" s="9">
        <f t="shared" si="5"/>
        <v>0.91362820679106571</v>
      </c>
    </row>
    <row r="53" spans="2:59" x14ac:dyDescent="0.3">
      <c r="B53" s="3" t="s">
        <v>141</v>
      </c>
      <c r="D53" s="141">
        <v>7099598</v>
      </c>
      <c r="E53" s="141">
        <v>6648618</v>
      </c>
      <c r="F53" s="141">
        <v>6143473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19891689</v>
      </c>
      <c r="R53" s="141">
        <v>715915</v>
      </c>
      <c r="S53" s="141">
        <v>640915</v>
      </c>
      <c r="T53" s="141">
        <v>578148</v>
      </c>
      <c r="U53" s="141"/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1934978</v>
      </c>
      <c r="AF53" s="2">
        <f t="shared" si="7"/>
        <v>0.10083880805645616</v>
      </c>
      <c r="AG53" s="2">
        <f t="shared" si="7"/>
        <v>9.639822892516911E-2</v>
      </c>
      <c r="AH53" s="2">
        <f t="shared" si="7"/>
        <v>9.410768143686804E-2</v>
      </c>
      <c r="AI53" s="2" t="str">
        <f t="shared" si="7"/>
        <v/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9.7275701424851355E-2</v>
      </c>
      <c r="AT53" s="2" t="str">
        <f t="shared" si="10"/>
        <v/>
      </c>
      <c r="AU53" s="2" t="str">
        <f t="shared" si="10"/>
        <v/>
      </c>
      <c r="AV53" s="143" t="str">
        <f t="shared" si="8"/>
        <v/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4"/>
        <v>1.5212128435981092E-3</v>
      </c>
      <c r="BG53" s="9">
        <f t="shared" si="5"/>
        <v>0.91514941963466379</v>
      </c>
    </row>
    <row r="54" spans="2:59" x14ac:dyDescent="0.3">
      <c r="B54" s="3" t="s">
        <v>115</v>
      </c>
      <c r="D54" s="141">
        <v>1429200</v>
      </c>
      <c r="E54" s="141">
        <v>1267793</v>
      </c>
      <c r="F54" s="141">
        <v>1184827</v>
      </c>
      <c r="G54" s="141"/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3881820</v>
      </c>
      <c r="R54" s="141">
        <v>145532</v>
      </c>
      <c r="S54" s="141">
        <v>146621</v>
      </c>
      <c r="T54" s="141">
        <v>141498</v>
      </c>
      <c r="U54" s="141"/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433651</v>
      </c>
      <c r="AF54" s="2">
        <f t="shared" si="7"/>
        <v>0.10182759585782256</v>
      </c>
      <c r="AG54" s="2">
        <f t="shared" si="7"/>
        <v>0.11565058333655415</v>
      </c>
      <c r="AH54" s="2">
        <f t="shared" si="7"/>
        <v>0.11942502998328026</v>
      </c>
      <c r="AI54" s="2" t="str">
        <f t="shared" si="7"/>
        <v/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0.11171332004059951</v>
      </c>
      <c r="AT54" s="2" t="str">
        <f t="shared" si="10"/>
        <v/>
      </c>
      <c r="AU54" s="2" t="str">
        <f t="shared" si="10"/>
        <v/>
      </c>
      <c r="AV54" s="143" t="str">
        <f t="shared" si="8"/>
        <v/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4"/>
        <v>3.409214320985374E-4</v>
      </c>
      <c r="BG54" s="9">
        <f t="shared" si="5"/>
        <v>0.9154903410667623</v>
      </c>
    </row>
    <row r="55" spans="2:59" x14ac:dyDescent="0.3">
      <c r="B55" s="3" t="s">
        <v>139</v>
      </c>
      <c r="D55" s="141">
        <v>5911946</v>
      </c>
      <c r="E55" s="141">
        <v>5948043</v>
      </c>
      <c r="F55" s="141">
        <v>7248598</v>
      </c>
      <c r="G55" s="141"/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19108587</v>
      </c>
      <c r="R55" s="141">
        <v>495108</v>
      </c>
      <c r="S55" s="141">
        <v>489005</v>
      </c>
      <c r="T55" s="141">
        <v>582889</v>
      </c>
      <c r="U55" s="141"/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1567002</v>
      </c>
      <c r="AF55" s="2">
        <f t="shared" si="7"/>
        <v>8.3747043697625118E-2</v>
      </c>
      <c r="AG55" s="2">
        <f t="shared" si="7"/>
        <v>8.2212754682506495E-2</v>
      </c>
      <c r="AH55" s="2">
        <f t="shared" si="7"/>
        <v>8.0414033168896934E-2</v>
      </c>
      <c r="AI55" s="2" t="str">
        <f t="shared" si="7"/>
        <v/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8.2005121571783413E-2</v>
      </c>
      <c r="AT55" s="2" t="str">
        <f t="shared" si="10"/>
        <v/>
      </c>
      <c r="AU55" s="2" t="str">
        <f t="shared" si="10"/>
        <v/>
      </c>
      <c r="AV55" s="143" t="str">
        <f t="shared" si="8"/>
        <v/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4"/>
        <v>1.2319228272072986E-3</v>
      </c>
      <c r="BG55" s="9">
        <f t="shared" si="5"/>
        <v>0.9167222638939696</v>
      </c>
    </row>
    <row r="56" spans="2:59" x14ac:dyDescent="0.3">
      <c r="B56" s="3" t="s">
        <v>123</v>
      </c>
      <c r="D56" s="141">
        <v>3019706</v>
      </c>
      <c r="E56" s="141">
        <v>2555019</v>
      </c>
      <c r="F56" s="141">
        <v>2247994</v>
      </c>
      <c r="G56" s="141"/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7822719</v>
      </c>
      <c r="R56" s="141">
        <v>324884</v>
      </c>
      <c r="S56" s="141">
        <v>284863</v>
      </c>
      <c r="T56" s="141">
        <v>251141</v>
      </c>
      <c r="U56" s="141"/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860888</v>
      </c>
      <c r="AF56" s="2">
        <f t="shared" si="7"/>
        <v>0.1075879572382212</v>
      </c>
      <c r="AG56" s="2">
        <f t="shared" si="7"/>
        <v>0.11149153881047461</v>
      </c>
      <c r="AH56" s="2">
        <f t="shared" si="7"/>
        <v>0.11171782486963933</v>
      </c>
      <c r="AI56" s="2" t="str">
        <f t="shared" si="7"/>
        <v/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87" si="11">+IFERROR(Y56/K56,"")</f>
        <v/>
      </c>
      <c r="AN56" s="2" t="str">
        <f t="shared" si="11"/>
        <v/>
      </c>
      <c r="AO56" s="2" t="str">
        <f t="shared" si="11"/>
        <v/>
      </c>
      <c r="AP56" s="2" t="str">
        <f t="shared" si="11"/>
        <v/>
      </c>
      <c r="AQ56" s="2" t="str">
        <f t="shared" si="11"/>
        <v/>
      </c>
      <c r="AR56" s="2">
        <f t="shared" si="11"/>
        <v>0.11004971545059972</v>
      </c>
      <c r="AT56" s="2" t="str">
        <f t="shared" si="10"/>
        <v/>
      </c>
      <c r="AU56" s="2" t="str">
        <f t="shared" si="10"/>
        <v/>
      </c>
      <c r="AV56" s="143" t="str">
        <f t="shared" si="8"/>
        <v/>
      </c>
      <c r="AW56" s="143" t="str">
        <f t="shared" si="8"/>
        <v/>
      </c>
      <c r="AX56" s="143" t="str">
        <f t="shared" si="8"/>
        <v/>
      </c>
      <c r="AY56" s="143" t="str">
        <f t="shared" ref="AY56:BD87" si="12">+IFERROR(AL56-AK56,"")</f>
        <v/>
      </c>
      <c r="AZ56" s="143" t="str">
        <f t="shared" si="12"/>
        <v/>
      </c>
      <c r="BA56" s="143" t="str">
        <f t="shared" si="12"/>
        <v/>
      </c>
      <c r="BB56" s="143" t="str">
        <f t="shared" si="12"/>
        <v/>
      </c>
      <c r="BC56" s="143" t="str">
        <f t="shared" si="12"/>
        <v/>
      </c>
      <c r="BD56" s="143" t="str">
        <f t="shared" si="12"/>
        <v/>
      </c>
      <c r="BF56" s="9">
        <f t="shared" si="4"/>
        <v>6.7680039902236048E-4</v>
      </c>
      <c r="BG56" s="9">
        <f t="shared" si="5"/>
        <v>0.91739906429299201</v>
      </c>
    </row>
    <row r="57" spans="2:59" x14ac:dyDescent="0.3">
      <c r="B57" s="3" t="s">
        <v>158</v>
      </c>
      <c r="D57" s="141">
        <v>12994735</v>
      </c>
      <c r="E57" s="141">
        <v>12006717</v>
      </c>
      <c r="F57" s="141">
        <v>12115120</v>
      </c>
      <c r="G57" s="141"/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37116572</v>
      </c>
      <c r="R57" s="141">
        <v>1194717</v>
      </c>
      <c r="S57" s="141">
        <v>1131193</v>
      </c>
      <c r="T57" s="141">
        <v>1107314</v>
      </c>
      <c r="U57" s="141"/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3433224</v>
      </c>
      <c r="AF57" s="2">
        <f t="shared" ref="AF57:AR88" si="13">+IFERROR(R57/D57,"")</f>
        <v>9.1938542802142559E-2</v>
      </c>
      <c r="AG57" s="2">
        <f t="shared" si="13"/>
        <v>9.4213347412119397E-2</v>
      </c>
      <c r="AH57" s="2">
        <f t="shared" si="13"/>
        <v>9.1399342309444728E-2</v>
      </c>
      <c r="AI57" s="2" t="str">
        <f t="shared" si="13"/>
        <v/>
      </c>
      <c r="AJ57" s="2" t="str">
        <f t="shared" si="13"/>
        <v/>
      </c>
      <c r="AK57" s="2" t="str">
        <f t="shared" si="13"/>
        <v/>
      </c>
      <c r="AL57" s="2" t="str">
        <f t="shared" si="13"/>
        <v/>
      </c>
      <c r="AM57" s="2" t="str">
        <f t="shared" si="11"/>
        <v/>
      </c>
      <c r="AN57" s="2" t="str">
        <f t="shared" si="11"/>
        <v/>
      </c>
      <c r="AO57" s="2" t="str">
        <f t="shared" si="11"/>
        <v/>
      </c>
      <c r="AP57" s="2" t="str">
        <f t="shared" si="11"/>
        <v/>
      </c>
      <c r="AQ57" s="2" t="str">
        <f t="shared" si="11"/>
        <v/>
      </c>
      <c r="AR57" s="2">
        <f t="shared" si="11"/>
        <v>9.2498412838340788E-2</v>
      </c>
      <c r="AT57" s="2" t="str">
        <f t="shared" si="10"/>
        <v/>
      </c>
      <c r="AU57" s="2" t="str">
        <f t="shared" si="10"/>
        <v/>
      </c>
      <c r="AV57" s="143" t="str">
        <f t="shared" ref="AV57:BD88" si="14">+IFERROR(AI57-AH57,"")</f>
        <v/>
      </c>
      <c r="AW57" s="143" t="str">
        <f t="shared" si="14"/>
        <v/>
      </c>
      <c r="AX57" s="143" t="str">
        <f t="shared" si="14"/>
        <v/>
      </c>
      <c r="AY57" s="143" t="str">
        <f t="shared" si="12"/>
        <v/>
      </c>
      <c r="AZ57" s="143" t="str">
        <f t="shared" si="12"/>
        <v/>
      </c>
      <c r="BA57" s="143" t="str">
        <f t="shared" si="12"/>
        <v/>
      </c>
      <c r="BB57" s="143" t="str">
        <f t="shared" si="12"/>
        <v/>
      </c>
      <c r="BC57" s="143" t="str">
        <f t="shared" si="12"/>
        <v/>
      </c>
      <c r="BD57" s="143" t="str">
        <f t="shared" si="12"/>
        <v/>
      </c>
      <c r="BF57" s="9">
        <f t="shared" si="4"/>
        <v>2.6990820793566001E-3</v>
      </c>
      <c r="BG57" s="9">
        <f t="shared" si="5"/>
        <v>0.92009814637234866</v>
      </c>
    </row>
    <row r="58" spans="2:59" x14ac:dyDescent="0.3">
      <c r="B58" s="3" t="s">
        <v>156</v>
      </c>
      <c r="D58" s="141">
        <v>9613454</v>
      </c>
      <c r="E58" s="141">
        <v>7949526</v>
      </c>
      <c r="F58" s="141">
        <v>6750548</v>
      </c>
      <c r="G58" s="141"/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24313528</v>
      </c>
      <c r="R58" s="141">
        <v>1094971</v>
      </c>
      <c r="S58" s="141">
        <v>924914</v>
      </c>
      <c r="T58" s="141">
        <v>739607</v>
      </c>
      <c r="U58" s="141"/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2759492</v>
      </c>
      <c r="AF58" s="2">
        <f t="shared" si="13"/>
        <v>0.11389985326813859</v>
      </c>
      <c r="AG58" s="2">
        <f t="shared" si="13"/>
        <v>0.1163483206420106</v>
      </c>
      <c r="AH58" s="2">
        <f t="shared" si="13"/>
        <v>0.10956251255453631</v>
      </c>
      <c r="AI58" s="2" t="str">
        <f t="shared" si="13"/>
        <v/>
      </c>
      <c r="AJ58" s="2" t="str">
        <f t="shared" si="13"/>
        <v/>
      </c>
      <c r="AK58" s="2" t="str">
        <f t="shared" si="13"/>
        <v/>
      </c>
      <c r="AL58" s="2" t="str">
        <f t="shared" si="13"/>
        <v/>
      </c>
      <c r="AM58" s="2" t="str">
        <f t="shared" si="11"/>
        <v/>
      </c>
      <c r="AN58" s="2" t="str">
        <f t="shared" si="11"/>
        <v/>
      </c>
      <c r="AO58" s="2" t="str">
        <f t="shared" si="11"/>
        <v/>
      </c>
      <c r="AP58" s="2" t="str">
        <f t="shared" si="11"/>
        <v/>
      </c>
      <c r="AQ58" s="2" t="str">
        <f t="shared" si="11"/>
        <v/>
      </c>
      <c r="AR58" s="2">
        <f t="shared" si="11"/>
        <v>0.11349615736556208</v>
      </c>
      <c r="AT58" s="2" t="str">
        <f t="shared" si="10"/>
        <v/>
      </c>
      <c r="AU58" s="2" t="str">
        <f t="shared" si="10"/>
        <v/>
      </c>
      <c r="AV58" s="143" t="str">
        <f t="shared" si="14"/>
        <v/>
      </c>
      <c r="AW58" s="143" t="str">
        <f t="shared" si="14"/>
        <v/>
      </c>
      <c r="AX58" s="143" t="str">
        <f t="shared" si="14"/>
        <v/>
      </c>
      <c r="AY58" s="143" t="str">
        <f t="shared" si="12"/>
        <v/>
      </c>
      <c r="AZ58" s="143" t="str">
        <f t="shared" si="12"/>
        <v/>
      </c>
      <c r="BA58" s="143" t="str">
        <f t="shared" si="12"/>
        <v/>
      </c>
      <c r="BB58" s="143" t="str">
        <f t="shared" si="12"/>
        <v/>
      </c>
      <c r="BC58" s="143" t="str">
        <f t="shared" si="12"/>
        <v/>
      </c>
      <c r="BD58" s="143" t="str">
        <f t="shared" si="12"/>
        <v/>
      </c>
      <c r="BF58" s="9">
        <f t="shared" si="4"/>
        <v>2.1694172606645831E-3</v>
      </c>
      <c r="BG58" s="9">
        <f t="shared" si="5"/>
        <v>0.92226756363301321</v>
      </c>
    </row>
    <row r="59" spans="2:59" x14ac:dyDescent="0.3">
      <c r="B59" s="3" t="s">
        <v>137</v>
      </c>
      <c r="D59" s="141">
        <v>4460173</v>
      </c>
      <c r="E59" s="141">
        <v>5104276</v>
      </c>
      <c r="F59" s="141">
        <v>5588879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15153328</v>
      </c>
      <c r="R59" s="141">
        <v>410507</v>
      </c>
      <c r="S59" s="141">
        <v>484141</v>
      </c>
      <c r="T59" s="141">
        <v>472388</v>
      </c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1367036</v>
      </c>
      <c r="AF59" s="2">
        <f t="shared" si="13"/>
        <v>9.203835815337208E-2</v>
      </c>
      <c r="AG59" s="2">
        <f t="shared" si="13"/>
        <v>9.4850082558231574E-2</v>
      </c>
      <c r="AH59" s="2">
        <f t="shared" si="13"/>
        <v>8.4522853330694758E-2</v>
      </c>
      <c r="AI59" s="2" t="str">
        <f t="shared" si="13"/>
        <v/>
      </c>
      <c r="AJ59" s="2" t="str">
        <f t="shared" si="13"/>
        <v/>
      </c>
      <c r="AK59" s="2" t="str">
        <f t="shared" si="13"/>
        <v/>
      </c>
      <c r="AL59" s="2" t="str">
        <f t="shared" si="13"/>
        <v/>
      </c>
      <c r="AM59" s="2" t="str">
        <f t="shared" si="11"/>
        <v/>
      </c>
      <c r="AN59" s="2" t="str">
        <f t="shared" si="11"/>
        <v/>
      </c>
      <c r="AO59" s="2" t="str">
        <f t="shared" si="11"/>
        <v/>
      </c>
      <c r="AP59" s="2" t="str">
        <f t="shared" si="11"/>
        <v/>
      </c>
      <c r="AQ59" s="2" t="str">
        <f t="shared" si="11"/>
        <v/>
      </c>
      <c r="AR59" s="2">
        <f t="shared" si="11"/>
        <v>9.0213582125325875E-2</v>
      </c>
      <c r="AT59" s="2" t="str">
        <f t="shared" si="10"/>
        <v/>
      </c>
      <c r="AU59" s="2" t="str">
        <f t="shared" si="10"/>
        <v/>
      </c>
      <c r="AV59" s="143" t="str">
        <f t="shared" si="14"/>
        <v/>
      </c>
      <c r="AW59" s="143" t="str">
        <f t="shared" si="14"/>
        <v/>
      </c>
      <c r="AX59" s="143" t="str">
        <f t="shared" si="14"/>
        <v/>
      </c>
      <c r="AY59" s="143" t="str">
        <f t="shared" si="12"/>
        <v/>
      </c>
      <c r="AZ59" s="143" t="str">
        <f t="shared" si="12"/>
        <v/>
      </c>
      <c r="BA59" s="143" t="str">
        <f t="shared" si="12"/>
        <v/>
      </c>
      <c r="BB59" s="143" t="str">
        <f t="shared" si="12"/>
        <v/>
      </c>
      <c r="BC59" s="143" t="str">
        <f t="shared" si="12"/>
        <v/>
      </c>
      <c r="BD59" s="143" t="str">
        <f t="shared" si="12"/>
        <v/>
      </c>
      <c r="BF59" s="9">
        <f t="shared" si="4"/>
        <v>1.0747164675055658E-3</v>
      </c>
      <c r="BG59" s="9">
        <f t="shared" si="5"/>
        <v>0.92334228010051878</v>
      </c>
    </row>
    <row r="60" spans="2:59" x14ac:dyDescent="0.3">
      <c r="B60" s="3" t="s">
        <v>143</v>
      </c>
      <c r="D60" s="141">
        <v>3160605</v>
      </c>
      <c r="E60" s="141">
        <v>2445668</v>
      </c>
      <c r="F60" s="141">
        <v>2204118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7810391</v>
      </c>
      <c r="R60" s="141">
        <v>458948</v>
      </c>
      <c r="S60" s="141">
        <v>352212</v>
      </c>
      <c r="T60" s="141">
        <v>314068</v>
      </c>
      <c r="U60" s="141"/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1125228</v>
      </c>
      <c r="AF60" s="2">
        <f t="shared" si="13"/>
        <v>0.1452089077882241</v>
      </c>
      <c r="AG60" s="2">
        <f t="shared" si="13"/>
        <v>0.14401464139858722</v>
      </c>
      <c r="AH60" s="2">
        <f t="shared" si="13"/>
        <v>0.14249146370566368</v>
      </c>
      <c r="AI60" s="2" t="str">
        <f t="shared" si="13"/>
        <v/>
      </c>
      <c r="AJ60" s="2" t="str">
        <f t="shared" si="13"/>
        <v/>
      </c>
      <c r="AK60" s="2" t="str">
        <f t="shared" si="13"/>
        <v/>
      </c>
      <c r="AL60" s="2" t="str">
        <f t="shared" si="13"/>
        <v/>
      </c>
      <c r="AM60" s="2" t="str">
        <f t="shared" si="11"/>
        <v/>
      </c>
      <c r="AN60" s="2" t="str">
        <f t="shared" si="11"/>
        <v/>
      </c>
      <c r="AO60" s="2" t="str">
        <f t="shared" si="11"/>
        <v/>
      </c>
      <c r="AP60" s="2" t="str">
        <f t="shared" si="11"/>
        <v/>
      </c>
      <c r="AQ60" s="2" t="str">
        <f t="shared" si="11"/>
        <v/>
      </c>
      <c r="AR60" s="2">
        <f t="shared" si="11"/>
        <v>0.14406807546510797</v>
      </c>
      <c r="AT60" s="2" t="str">
        <f t="shared" si="10"/>
        <v/>
      </c>
      <c r="AU60" s="2" t="str">
        <f t="shared" si="10"/>
        <v/>
      </c>
      <c r="AV60" s="143" t="str">
        <f t="shared" si="14"/>
        <v/>
      </c>
      <c r="AW60" s="143" t="str">
        <f t="shared" si="14"/>
        <v/>
      </c>
      <c r="AX60" s="143" t="str">
        <f t="shared" si="14"/>
        <v/>
      </c>
      <c r="AY60" s="143" t="str">
        <f t="shared" si="12"/>
        <v/>
      </c>
      <c r="AZ60" s="143" t="str">
        <f t="shared" si="12"/>
        <v/>
      </c>
      <c r="BA60" s="143" t="str">
        <f t="shared" si="12"/>
        <v/>
      </c>
      <c r="BB60" s="143" t="str">
        <f t="shared" si="12"/>
        <v/>
      </c>
      <c r="BC60" s="143" t="str">
        <f t="shared" si="12"/>
        <v/>
      </c>
      <c r="BD60" s="143" t="str">
        <f t="shared" si="12"/>
        <v/>
      </c>
      <c r="BF60" s="9">
        <f t="shared" si="4"/>
        <v>8.8461537318574853E-4</v>
      </c>
      <c r="BG60" s="9">
        <f t="shared" si="5"/>
        <v>0.92422689547370451</v>
      </c>
    </row>
    <row r="61" spans="2:59" x14ac:dyDescent="0.3">
      <c r="B61" s="3" t="s">
        <v>144</v>
      </c>
      <c r="D61" s="141">
        <v>14861391</v>
      </c>
      <c r="E61" s="141">
        <v>38396548</v>
      </c>
      <c r="F61" s="141">
        <v>47183252</v>
      </c>
      <c r="G61" s="141"/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100441191</v>
      </c>
      <c r="R61" s="141">
        <v>1783923</v>
      </c>
      <c r="S61" s="141">
        <v>5145387</v>
      </c>
      <c r="T61" s="141">
        <v>4899314</v>
      </c>
      <c r="U61" s="141"/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11828624</v>
      </c>
      <c r="AF61" s="2">
        <f t="shared" si="13"/>
        <v>0.12003741776257687</v>
      </c>
      <c r="AG61" s="2">
        <f t="shared" si="13"/>
        <v>0.13400649975096721</v>
      </c>
      <c r="AH61" s="2">
        <f t="shared" si="13"/>
        <v>0.10383586955812202</v>
      </c>
      <c r="AI61" s="2" t="str">
        <f t="shared" si="13"/>
        <v/>
      </c>
      <c r="AJ61" s="2" t="str">
        <f t="shared" si="13"/>
        <v/>
      </c>
      <c r="AK61" s="2" t="str">
        <f t="shared" si="13"/>
        <v/>
      </c>
      <c r="AL61" s="2" t="str">
        <f t="shared" si="13"/>
        <v/>
      </c>
      <c r="AM61" s="2" t="str">
        <f t="shared" si="11"/>
        <v/>
      </c>
      <c r="AN61" s="2" t="str">
        <f t="shared" si="11"/>
        <v/>
      </c>
      <c r="AO61" s="2" t="str">
        <f t="shared" si="11"/>
        <v/>
      </c>
      <c r="AP61" s="2" t="str">
        <f t="shared" si="11"/>
        <v/>
      </c>
      <c r="AQ61" s="2" t="str">
        <f t="shared" si="11"/>
        <v/>
      </c>
      <c r="AR61" s="2">
        <f t="shared" si="11"/>
        <v>0.11776666407709163</v>
      </c>
      <c r="AT61" s="2" t="str">
        <f t="shared" si="10"/>
        <v/>
      </c>
      <c r="AU61" s="2" t="str">
        <f t="shared" si="10"/>
        <v/>
      </c>
      <c r="AV61" s="143" t="str">
        <f t="shared" si="14"/>
        <v/>
      </c>
      <c r="AW61" s="143" t="str">
        <f t="shared" si="14"/>
        <v/>
      </c>
      <c r="AX61" s="143" t="str">
        <f t="shared" si="14"/>
        <v/>
      </c>
      <c r="AY61" s="143" t="str">
        <f t="shared" si="12"/>
        <v/>
      </c>
      <c r="AZ61" s="143" t="str">
        <f t="shared" si="12"/>
        <v/>
      </c>
      <c r="BA61" s="143" t="str">
        <f t="shared" si="12"/>
        <v/>
      </c>
      <c r="BB61" s="143" t="str">
        <f t="shared" si="12"/>
        <v/>
      </c>
      <c r="BC61" s="143" t="str">
        <f t="shared" si="12"/>
        <v/>
      </c>
      <c r="BD61" s="143" t="str">
        <f t="shared" si="12"/>
        <v/>
      </c>
      <c r="BF61" s="9">
        <f t="shared" si="4"/>
        <v>9.2992554700326528E-3</v>
      </c>
      <c r="BG61" s="9">
        <f t="shared" si="5"/>
        <v>0.93352615094373714</v>
      </c>
    </row>
    <row r="62" spans="2:59" x14ac:dyDescent="0.3">
      <c r="B62" s="3" t="s">
        <v>140</v>
      </c>
      <c r="D62" s="141">
        <v>691192</v>
      </c>
      <c r="E62" s="141">
        <v>691709</v>
      </c>
      <c r="F62" s="141">
        <v>744640</v>
      </c>
      <c r="G62" s="141"/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2127541</v>
      </c>
      <c r="R62" s="141">
        <v>77158</v>
      </c>
      <c r="S62" s="141">
        <v>80198</v>
      </c>
      <c r="T62" s="141">
        <v>79479</v>
      </c>
      <c r="U62" s="141"/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236835</v>
      </c>
      <c r="AF62" s="2">
        <f t="shared" si="13"/>
        <v>0.11163034294378407</v>
      </c>
      <c r="AG62" s="2">
        <f t="shared" si="13"/>
        <v>0.11594181946454361</v>
      </c>
      <c r="AH62" s="2">
        <f t="shared" si="13"/>
        <v>0.10673479802320585</v>
      </c>
      <c r="AI62" s="2" t="str">
        <f t="shared" si="13"/>
        <v/>
      </c>
      <c r="AJ62" s="2" t="str">
        <f t="shared" si="13"/>
        <v/>
      </c>
      <c r="AK62" s="2" t="str">
        <f t="shared" si="13"/>
        <v/>
      </c>
      <c r="AL62" s="2" t="str">
        <f t="shared" si="13"/>
        <v/>
      </c>
      <c r="AM62" s="2" t="str">
        <f t="shared" si="11"/>
        <v/>
      </c>
      <c r="AN62" s="2" t="str">
        <f t="shared" si="11"/>
        <v/>
      </c>
      <c r="AO62" s="2" t="str">
        <f t="shared" si="11"/>
        <v/>
      </c>
      <c r="AP62" s="2" t="str">
        <f t="shared" si="11"/>
        <v/>
      </c>
      <c r="AQ62" s="2" t="str">
        <f t="shared" si="11"/>
        <v/>
      </c>
      <c r="AR62" s="2">
        <f t="shared" si="11"/>
        <v>0.11131865378857564</v>
      </c>
      <c r="AT62" s="2" t="str">
        <f t="shared" si="10"/>
        <v/>
      </c>
      <c r="AU62" s="2" t="str">
        <f t="shared" si="10"/>
        <v/>
      </c>
      <c r="AV62" s="143" t="str">
        <f t="shared" si="14"/>
        <v/>
      </c>
      <c r="AW62" s="143" t="str">
        <f t="shared" si="14"/>
        <v/>
      </c>
      <c r="AX62" s="143" t="str">
        <f t="shared" si="14"/>
        <v/>
      </c>
      <c r="AY62" s="143" t="str">
        <f t="shared" si="12"/>
        <v/>
      </c>
      <c r="AZ62" s="143" t="str">
        <f t="shared" si="12"/>
        <v/>
      </c>
      <c r="BA62" s="143" t="str">
        <f t="shared" si="12"/>
        <v/>
      </c>
      <c r="BB62" s="143" t="str">
        <f t="shared" si="12"/>
        <v/>
      </c>
      <c r="BC62" s="143" t="str">
        <f t="shared" si="12"/>
        <v/>
      </c>
      <c r="BD62" s="143" t="str">
        <f t="shared" si="12"/>
        <v/>
      </c>
      <c r="BF62" s="9">
        <f t="shared" si="4"/>
        <v>1.8619149355370357E-4</v>
      </c>
      <c r="BG62" s="9">
        <f t="shared" si="5"/>
        <v>0.93371234243729084</v>
      </c>
    </row>
    <row r="63" spans="2:59" x14ac:dyDescent="0.3">
      <c r="B63" s="3" t="s">
        <v>151</v>
      </c>
      <c r="D63" s="141">
        <v>145160</v>
      </c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145160</v>
      </c>
      <c r="R63" s="141">
        <v>21088</v>
      </c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21088</v>
      </c>
      <c r="AF63" s="2">
        <f t="shared" si="13"/>
        <v>0.14527418021493524</v>
      </c>
      <c r="AG63" s="2" t="str">
        <f t="shared" si="13"/>
        <v/>
      </c>
      <c r="AH63" s="2" t="str">
        <f t="shared" si="13"/>
        <v/>
      </c>
      <c r="AI63" s="2" t="str">
        <f t="shared" si="13"/>
        <v/>
      </c>
      <c r="AJ63" s="2" t="str">
        <f t="shared" si="13"/>
        <v/>
      </c>
      <c r="AK63" s="2" t="str">
        <f t="shared" si="13"/>
        <v/>
      </c>
      <c r="AL63" s="2" t="str">
        <f t="shared" si="13"/>
        <v/>
      </c>
      <c r="AM63" s="2" t="str">
        <f t="shared" si="11"/>
        <v/>
      </c>
      <c r="AN63" s="2" t="str">
        <f t="shared" si="11"/>
        <v/>
      </c>
      <c r="AO63" s="2" t="str">
        <f t="shared" si="11"/>
        <v/>
      </c>
      <c r="AP63" s="2" t="str">
        <f t="shared" si="11"/>
        <v/>
      </c>
      <c r="AQ63" s="2" t="str">
        <f t="shared" si="11"/>
        <v/>
      </c>
      <c r="AR63" s="2">
        <f t="shared" si="11"/>
        <v>0.14527418021493524</v>
      </c>
      <c r="AT63" s="2" t="str">
        <f t="shared" si="10"/>
        <v/>
      </c>
      <c r="AU63" s="2" t="str">
        <f t="shared" si="10"/>
        <v/>
      </c>
      <c r="AV63" s="143" t="str">
        <f t="shared" si="14"/>
        <v/>
      </c>
      <c r="AW63" s="143" t="str">
        <f t="shared" si="14"/>
        <v/>
      </c>
      <c r="AX63" s="143" t="str">
        <f t="shared" si="14"/>
        <v/>
      </c>
      <c r="AY63" s="143" t="str">
        <f t="shared" si="12"/>
        <v/>
      </c>
      <c r="AZ63" s="143" t="str">
        <f t="shared" si="12"/>
        <v/>
      </c>
      <c r="BA63" s="143" t="str">
        <f t="shared" si="12"/>
        <v/>
      </c>
      <c r="BB63" s="143" t="str">
        <f t="shared" si="12"/>
        <v/>
      </c>
      <c r="BC63" s="143" t="str">
        <f t="shared" si="12"/>
        <v/>
      </c>
      <c r="BD63" s="143" t="str">
        <f t="shared" si="12"/>
        <v/>
      </c>
      <c r="BF63" s="9">
        <f t="shared" si="4"/>
        <v>1.6578656938630274E-5</v>
      </c>
      <c r="BG63" s="9">
        <f t="shared" si="5"/>
        <v>0.93372892109422945</v>
      </c>
    </row>
    <row r="64" spans="2:59" x14ac:dyDescent="0.3">
      <c r="B64" s="3" t="s">
        <v>184</v>
      </c>
      <c r="D64" s="141">
        <v>1149771</v>
      </c>
      <c r="E64" s="141">
        <v>752949</v>
      </c>
      <c r="F64" s="141">
        <v>652481</v>
      </c>
      <c r="G64" s="141"/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2555201</v>
      </c>
      <c r="R64" s="141">
        <v>158291</v>
      </c>
      <c r="S64" s="141">
        <v>98337</v>
      </c>
      <c r="T64" s="141">
        <v>64257</v>
      </c>
      <c r="U64" s="141"/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320885</v>
      </c>
      <c r="AF64" s="2">
        <f t="shared" si="13"/>
        <v>0.1376717624640037</v>
      </c>
      <c r="AG64" s="2">
        <f t="shared" si="13"/>
        <v>0.13060247108369891</v>
      </c>
      <c r="AH64" s="2">
        <f t="shared" si="13"/>
        <v>9.8481028566349063E-2</v>
      </c>
      <c r="AI64" s="2" t="str">
        <f t="shared" si="13"/>
        <v/>
      </c>
      <c r="AJ64" s="2" t="str">
        <f t="shared" si="13"/>
        <v/>
      </c>
      <c r="AK64" s="2" t="str">
        <f t="shared" si="13"/>
        <v/>
      </c>
      <c r="AL64" s="2" t="str">
        <f t="shared" si="13"/>
        <v/>
      </c>
      <c r="AM64" s="2" t="str">
        <f t="shared" si="11"/>
        <v/>
      </c>
      <c r="AN64" s="2" t="str">
        <f t="shared" si="11"/>
        <v/>
      </c>
      <c r="AO64" s="2" t="str">
        <f t="shared" si="11"/>
        <v/>
      </c>
      <c r="AP64" s="2" t="str">
        <f t="shared" si="11"/>
        <v/>
      </c>
      <c r="AQ64" s="2" t="str">
        <f t="shared" si="11"/>
        <v/>
      </c>
      <c r="AR64" s="2">
        <f t="shared" si="11"/>
        <v>0.12558111866737684</v>
      </c>
      <c r="AT64" s="2" t="str">
        <f t="shared" si="10"/>
        <v/>
      </c>
      <c r="AU64" s="2" t="str">
        <f t="shared" si="10"/>
        <v/>
      </c>
      <c r="AV64" s="143" t="str">
        <f t="shared" si="14"/>
        <v/>
      </c>
      <c r="AW64" s="143" t="str">
        <f t="shared" si="14"/>
        <v/>
      </c>
      <c r="AX64" s="143" t="str">
        <f t="shared" si="14"/>
        <v/>
      </c>
      <c r="AY64" s="143" t="str">
        <f t="shared" si="12"/>
        <v/>
      </c>
      <c r="AZ64" s="143" t="str">
        <f t="shared" si="12"/>
        <v/>
      </c>
      <c r="BA64" s="143" t="str">
        <f t="shared" si="12"/>
        <v/>
      </c>
      <c r="BB64" s="143" t="str">
        <f t="shared" si="12"/>
        <v/>
      </c>
      <c r="BC64" s="143" t="str">
        <f t="shared" si="12"/>
        <v/>
      </c>
      <c r="BD64" s="143" t="str">
        <f t="shared" si="12"/>
        <v/>
      </c>
      <c r="BF64" s="9">
        <f t="shared" si="4"/>
        <v>2.5226869934334099E-4</v>
      </c>
      <c r="BG64" s="9">
        <f t="shared" si="5"/>
        <v>0.93398118979357281</v>
      </c>
    </row>
    <row r="65" spans="2:59" x14ac:dyDescent="0.3">
      <c r="B65" s="3" t="s">
        <v>136</v>
      </c>
      <c r="D65" s="141">
        <v>3481239</v>
      </c>
      <c r="E65" s="141">
        <v>3272180</v>
      </c>
      <c r="F65" s="141">
        <v>2647522</v>
      </c>
      <c r="G65" s="141"/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9400941</v>
      </c>
      <c r="R65" s="141">
        <v>462725</v>
      </c>
      <c r="S65" s="141">
        <v>417007</v>
      </c>
      <c r="T65" s="141">
        <v>304029</v>
      </c>
      <c r="U65" s="141"/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1183761</v>
      </c>
      <c r="AF65" s="2">
        <f t="shared" si="13"/>
        <v>0.13291963005125473</v>
      </c>
      <c r="AG65" s="2">
        <f t="shared" si="13"/>
        <v>0.12744011637501604</v>
      </c>
      <c r="AH65" s="2">
        <f t="shared" si="13"/>
        <v>0.11483530637328038</v>
      </c>
      <c r="AI65" s="2" t="str">
        <f t="shared" si="13"/>
        <v/>
      </c>
      <c r="AJ65" s="2" t="str">
        <f t="shared" si="13"/>
        <v/>
      </c>
      <c r="AK65" s="2" t="str">
        <f t="shared" si="13"/>
        <v/>
      </c>
      <c r="AL65" s="2" t="str">
        <f t="shared" si="13"/>
        <v/>
      </c>
      <c r="AM65" s="2" t="str">
        <f t="shared" si="11"/>
        <v/>
      </c>
      <c r="AN65" s="2" t="str">
        <f t="shared" si="11"/>
        <v/>
      </c>
      <c r="AO65" s="2" t="str">
        <f t="shared" si="11"/>
        <v/>
      </c>
      <c r="AP65" s="2" t="str">
        <f t="shared" si="11"/>
        <v/>
      </c>
      <c r="AQ65" s="2" t="str">
        <f t="shared" si="11"/>
        <v/>
      </c>
      <c r="AR65" s="2">
        <f t="shared" si="11"/>
        <v>0.12591941593931927</v>
      </c>
      <c r="AT65" s="2" t="str">
        <f t="shared" si="10"/>
        <v/>
      </c>
      <c r="AU65" s="2" t="str">
        <f t="shared" si="10"/>
        <v/>
      </c>
      <c r="AV65" s="143" t="str">
        <f t="shared" si="14"/>
        <v/>
      </c>
      <c r="AW65" s="143" t="str">
        <f t="shared" si="14"/>
        <v/>
      </c>
      <c r="AX65" s="143" t="str">
        <f t="shared" si="14"/>
        <v/>
      </c>
      <c r="AY65" s="143" t="str">
        <f t="shared" si="12"/>
        <v/>
      </c>
      <c r="AZ65" s="143" t="str">
        <f t="shared" si="12"/>
        <v/>
      </c>
      <c r="BA65" s="143" t="str">
        <f t="shared" si="12"/>
        <v/>
      </c>
      <c r="BB65" s="143" t="str">
        <f t="shared" si="12"/>
        <v/>
      </c>
      <c r="BC65" s="143" t="str">
        <f t="shared" si="12"/>
        <v/>
      </c>
      <c r="BD65" s="143" t="str">
        <f t="shared" si="12"/>
        <v/>
      </c>
      <c r="BF65" s="9">
        <f t="shared" si="4"/>
        <v>9.3063199527361105E-4</v>
      </c>
      <c r="BG65" s="9">
        <f t="shared" si="5"/>
        <v>0.93491182178884646</v>
      </c>
    </row>
    <row r="66" spans="2:59" x14ac:dyDescent="0.3">
      <c r="B66" s="3" t="s">
        <v>165</v>
      </c>
      <c r="D66" s="141">
        <v>1947636</v>
      </c>
      <c r="E66" s="141">
        <v>2315963</v>
      </c>
      <c r="F66" s="141">
        <v>2845032</v>
      </c>
      <c r="G66" s="141"/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7108631</v>
      </c>
      <c r="R66" s="141">
        <v>491532</v>
      </c>
      <c r="S66" s="141">
        <v>485125</v>
      </c>
      <c r="T66" s="141">
        <v>441416</v>
      </c>
      <c r="U66" s="141"/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1418073</v>
      </c>
      <c r="AF66" s="2">
        <f t="shared" si="13"/>
        <v>0.25237364682106922</v>
      </c>
      <c r="AG66" s="2">
        <f t="shared" si="13"/>
        <v>0.20947009947913675</v>
      </c>
      <c r="AH66" s="2">
        <f t="shared" si="13"/>
        <v>0.15515326365397647</v>
      </c>
      <c r="AI66" s="2" t="str">
        <f t="shared" si="13"/>
        <v/>
      </c>
      <c r="AJ66" s="2" t="str">
        <f t="shared" si="13"/>
        <v/>
      </c>
      <c r="AK66" s="2" t="str">
        <f t="shared" si="13"/>
        <v/>
      </c>
      <c r="AL66" s="2" t="str">
        <f t="shared" si="13"/>
        <v/>
      </c>
      <c r="AM66" s="2" t="str">
        <f t="shared" si="11"/>
        <v/>
      </c>
      <c r="AN66" s="2" t="str">
        <f t="shared" si="11"/>
        <v/>
      </c>
      <c r="AO66" s="2" t="str">
        <f t="shared" si="11"/>
        <v/>
      </c>
      <c r="AP66" s="2" t="str">
        <f t="shared" si="11"/>
        <v/>
      </c>
      <c r="AQ66" s="2" t="str">
        <f t="shared" si="11"/>
        <v/>
      </c>
      <c r="AR66" s="2">
        <f t="shared" si="11"/>
        <v>0.19948608951568875</v>
      </c>
      <c r="AT66" s="2" t="str">
        <f t="shared" si="10"/>
        <v/>
      </c>
      <c r="AU66" s="2" t="str">
        <f t="shared" si="10"/>
        <v/>
      </c>
      <c r="AV66" s="143" t="str">
        <f t="shared" si="14"/>
        <v/>
      </c>
      <c r="AW66" s="143" t="str">
        <f t="shared" si="14"/>
        <v/>
      </c>
      <c r="AX66" s="143" t="str">
        <f t="shared" si="14"/>
        <v/>
      </c>
      <c r="AY66" s="143" t="str">
        <f t="shared" si="12"/>
        <v/>
      </c>
      <c r="AZ66" s="143" t="str">
        <f t="shared" si="12"/>
        <v/>
      </c>
      <c r="BA66" s="143" t="str">
        <f t="shared" si="12"/>
        <v/>
      </c>
      <c r="BB66" s="143" t="str">
        <f t="shared" si="12"/>
        <v/>
      </c>
      <c r="BC66" s="143" t="str">
        <f t="shared" si="12"/>
        <v/>
      </c>
      <c r="BD66" s="143" t="str">
        <f t="shared" si="12"/>
        <v/>
      </c>
      <c r="BF66" s="9">
        <f t="shared" si="4"/>
        <v>1.1148399934054556E-3</v>
      </c>
      <c r="BG66" s="9">
        <f t="shared" si="5"/>
        <v>0.93602666178225191</v>
      </c>
    </row>
    <row r="67" spans="2:59" x14ac:dyDescent="0.3">
      <c r="B67" s="3" t="s">
        <v>146</v>
      </c>
      <c r="D67" s="141">
        <v>1685794</v>
      </c>
      <c r="E67" s="141">
        <v>1524825</v>
      </c>
      <c r="F67" s="141">
        <v>1442695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4653314</v>
      </c>
      <c r="R67" s="141">
        <v>180587</v>
      </c>
      <c r="S67" s="141">
        <v>151516</v>
      </c>
      <c r="T67" s="141">
        <v>161523</v>
      </c>
      <c r="U67" s="141"/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493626</v>
      </c>
      <c r="AF67" s="2">
        <f t="shared" si="13"/>
        <v>0.10712281571769741</v>
      </c>
      <c r="AG67" s="2">
        <f t="shared" si="13"/>
        <v>9.9366156772088599E-2</v>
      </c>
      <c r="AH67" s="2">
        <f t="shared" si="13"/>
        <v>0.11195921521873993</v>
      </c>
      <c r="AI67" s="2" t="str">
        <f t="shared" si="13"/>
        <v/>
      </c>
      <c r="AJ67" s="2" t="str">
        <f t="shared" si="13"/>
        <v/>
      </c>
      <c r="AK67" s="2" t="str">
        <f t="shared" si="13"/>
        <v/>
      </c>
      <c r="AL67" s="2" t="str">
        <f t="shared" si="13"/>
        <v/>
      </c>
      <c r="AM67" s="2" t="str">
        <f t="shared" si="11"/>
        <v/>
      </c>
      <c r="AN67" s="2" t="str">
        <f t="shared" si="11"/>
        <v/>
      </c>
      <c r="AO67" s="2" t="str">
        <f t="shared" si="11"/>
        <v/>
      </c>
      <c r="AP67" s="2" t="str">
        <f t="shared" si="11"/>
        <v/>
      </c>
      <c r="AQ67" s="2" t="str">
        <f t="shared" si="11"/>
        <v/>
      </c>
      <c r="AR67" s="2">
        <f t="shared" si="11"/>
        <v>0.10608052669559802</v>
      </c>
      <c r="AT67" s="2" t="str">
        <f t="shared" si="10"/>
        <v/>
      </c>
      <c r="AU67" s="2" t="str">
        <f t="shared" si="10"/>
        <v/>
      </c>
      <c r="AV67" s="143" t="str">
        <f t="shared" si="14"/>
        <v/>
      </c>
      <c r="AW67" s="143" t="str">
        <f t="shared" si="14"/>
        <v/>
      </c>
      <c r="AX67" s="143" t="str">
        <f t="shared" si="14"/>
        <v/>
      </c>
      <c r="AY67" s="143" t="str">
        <f t="shared" si="12"/>
        <v/>
      </c>
      <c r="AZ67" s="143" t="str">
        <f t="shared" si="12"/>
        <v/>
      </c>
      <c r="BA67" s="143" t="str">
        <f t="shared" si="12"/>
        <v/>
      </c>
      <c r="BB67" s="143" t="str">
        <f t="shared" si="12"/>
        <v/>
      </c>
      <c r="BC67" s="143" t="str">
        <f t="shared" si="12"/>
        <v/>
      </c>
      <c r="BD67" s="143" t="str">
        <f t="shared" si="12"/>
        <v/>
      </c>
      <c r="BF67" s="9">
        <f t="shared" si="4"/>
        <v>3.8807170476044703E-4</v>
      </c>
      <c r="BG67" s="9">
        <f t="shared" si="5"/>
        <v>0.93641473348701232</v>
      </c>
    </row>
    <row r="68" spans="2:59" x14ac:dyDescent="0.3">
      <c r="B68" s="3" t="s">
        <v>145</v>
      </c>
      <c r="D68" s="141">
        <v>11020173</v>
      </c>
      <c r="E68" s="141">
        <v>9004367</v>
      </c>
      <c r="F68" s="141">
        <v>2597463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22622003</v>
      </c>
      <c r="R68" s="141">
        <v>1316794</v>
      </c>
      <c r="S68" s="141">
        <v>994496</v>
      </c>
      <c r="T68" s="141">
        <v>258613</v>
      </c>
      <c r="U68" s="141"/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2569903</v>
      </c>
      <c r="AF68" s="2">
        <f t="shared" si="13"/>
        <v>0.11948941273426469</v>
      </c>
      <c r="AG68" s="2">
        <f t="shared" si="13"/>
        <v>0.11044596471911906</v>
      </c>
      <c r="AH68" s="2">
        <f t="shared" si="13"/>
        <v>9.956368964639728E-2</v>
      </c>
      <c r="AI68" s="2" t="str">
        <f t="shared" si="13"/>
        <v/>
      </c>
      <c r="AJ68" s="2" t="str">
        <f t="shared" si="13"/>
        <v/>
      </c>
      <c r="AK68" s="2" t="str">
        <f t="shared" si="13"/>
        <v/>
      </c>
      <c r="AL68" s="2" t="str">
        <f t="shared" si="13"/>
        <v/>
      </c>
      <c r="AM68" s="2" t="str">
        <f t="shared" si="11"/>
        <v/>
      </c>
      <c r="AN68" s="2" t="str">
        <f t="shared" si="11"/>
        <v/>
      </c>
      <c r="AO68" s="2" t="str">
        <f t="shared" si="11"/>
        <v/>
      </c>
      <c r="AP68" s="2" t="str">
        <f t="shared" si="11"/>
        <v/>
      </c>
      <c r="AQ68" s="2" t="str">
        <f t="shared" si="11"/>
        <v/>
      </c>
      <c r="AR68" s="2">
        <f t="shared" si="11"/>
        <v>0.11360192110309596</v>
      </c>
      <c r="AT68" s="2" t="str">
        <f t="shared" si="10"/>
        <v/>
      </c>
      <c r="AU68" s="2" t="str">
        <f t="shared" si="10"/>
        <v/>
      </c>
      <c r="AV68" s="143" t="str">
        <f t="shared" si="14"/>
        <v/>
      </c>
      <c r="AW68" s="143" t="str">
        <f t="shared" si="14"/>
        <v/>
      </c>
      <c r="AX68" s="143" t="str">
        <f t="shared" si="14"/>
        <v/>
      </c>
      <c r="AY68" s="143" t="str">
        <f t="shared" si="12"/>
        <v/>
      </c>
      <c r="AZ68" s="143" t="str">
        <f t="shared" si="12"/>
        <v/>
      </c>
      <c r="BA68" s="143" t="str">
        <f t="shared" si="12"/>
        <v/>
      </c>
      <c r="BB68" s="143" t="str">
        <f t="shared" si="12"/>
        <v/>
      </c>
      <c r="BC68" s="143" t="str">
        <f t="shared" si="12"/>
        <v/>
      </c>
      <c r="BD68" s="143" t="str">
        <f t="shared" si="12"/>
        <v/>
      </c>
      <c r="BF68" s="9">
        <f t="shared" si="4"/>
        <v>2.0203689398025776E-3</v>
      </c>
      <c r="BG68" s="9">
        <f t="shared" si="5"/>
        <v>0.93843510242681494</v>
      </c>
    </row>
    <row r="69" spans="2:59" x14ac:dyDescent="0.3">
      <c r="B69" s="3" t="s">
        <v>121</v>
      </c>
      <c r="D69" s="141">
        <v>2474277</v>
      </c>
      <c r="E69" s="141">
        <v>2255095</v>
      </c>
      <c r="F69" s="141">
        <v>2123852</v>
      </c>
      <c r="G69" s="141"/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5">+SUM(D69:O69)</f>
        <v>6853224</v>
      </c>
      <c r="R69" s="141">
        <v>412683</v>
      </c>
      <c r="S69" s="141">
        <v>366076</v>
      </c>
      <c r="T69" s="141">
        <v>348388</v>
      </c>
      <c r="U69" s="141"/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6">+SUM(R69:AC69)</f>
        <v>1127147</v>
      </c>
      <c r="AF69" s="2">
        <f t="shared" si="13"/>
        <v>0.16678932876149274</v>
      </c>
      <c r="AG69" s="2">
        <f t="shared" si="13"/>
        <v>0.16233285072247511</v>
      </c>
      <c r="AH69" s="2">
        <f t="shared" si="13"/>
        <v>0.16403591210686996</v>
      </c>
      <c r="AI69" s="2" t="str">
        <f t="shared" si="13"/>
        <v/>
      </c>
      <c r="AJ69" s="2" t="str">
        <f t="shared" si="13"/>
        <v/>
      </c>
      <c r="AK69" s="2" t="str">
        <f t="shared" si="13"/>
        <v/>
      </c>
      <c r="AL69" s="2" t="str">
        <f t="shared" si="13"/>
        <v/>
      </c>
      <c r="AM69" s="2" t="str">
        <f t="shared" si="11"/>
        <v/>
      </c>
      <c r="AN69" s="2" t="str">
        <f t="shared" si="11"/>
        <v/>
      </c>
      <c r="AO69" s="2" t="str">
        <f t="shared" si="11"/>
        <v/>
      </c>
      <c r="AP69" s="2" t="str">
        <f t="shared" si="11"/>
        <v/>
      </c>
      <c r="AQ69" s="2" t="str">
        <f t="shared" si="11"/>
        <v/>
      </c>
      <c r="AR69" s="2">
        <f t="shared" si="11"/>
        <v>0.16446959854223356</v>
      </c>
      <c r="AT69" s="2" t="str">
        <f t="shared" si="10"/>
        <v/>
      </c>
      <c r="AU69" s="2" t="str">
        <f t="shared" si="10"/>
        <v/>
      </c>
      <c r="AV69" s="143" t="str">
        <f t="shared" si="14"/>
        <v/>
      </c>
      <c r="AW69" s="143" t="str">
        <f t="shared" si="14"/>
        <v/>
      </c>
      <c r="AX69" s="143" t="str">
        <f t="shared" si="14"/>
        <v/>
      </c>
      <c r="AY69" s="143" t="str">
        <f t="shared" si="12"/>
        <v/>
      </c>
      <c r="AZ69" s="143" t="str">
        <f t="shared" si="12"/>
        <v/>
      </c>
      <c r="BA69" s="143" t="str">
        <f t="shared" si="12"/>
        <v/>
      </c>
      <c r="BB69" s="143" t="str">
        <f t="shared" si="12"/>
        <v/>
      </c>
      <c r="BC69" s="143" t="str">
        <f t="shared" si="12"/>
        <v/>
      </c>
      <c r="BD69" s="143" t="str">
        <f t="shared" si="12"/>
        <v/>
      </c>
      <c r="BF69" s="9">
        <f t="shared" ref="BF69:BF132" si="17">+AD69/$AD$237</f>
        <v>8.8612402467784024E-4</v>
      </c>
      <c r="BG69" s="9">
        <f t="shared" si="5"/>
        <v>0.93932122645149274</v>
      </c>
    </row>
    <row r="70" spans="2:59" x14ac:dyDescent="0.3">
      <c r="B70" s="3" t="s">
        <v>117</v>
      </c>
      <c r="D70" s="141">
        <v>2979775</v>
      </c>
      <c r="E70" s="141">
        <v>2721414</v>
      </c>
      <c r="F70" s="141">
        <v>2889211</v>
      </c>
      <c r="G70" s="141"/>
      <c r="H70" s="141"/>
      <c r="I70" s="141"/>
      <c r="J70" s="141"/>
      <c r="K70" s="141"/>
      <c r="L70" s="141"/>
      <c r="M70" s="141"/>
      <c r="N70" s="141"/>
      <c r="O70" s="141"/>
      <c r="P70" s="141">
        <f t="shared" si="15"/>
        <v>8590400</v>
      </c>
      <c r="R70" s="141">
        <v>313554</v>
      </c>
      <c r="S70" s="141">
        <v>289265</v>
      </c>
      <c r="T70" s="141">
        <v>299759</v>
      </c>
      <c r="U70" s="141"/>
      <c r="V70" s="141"/>
      <c r="W70" s="141"/>
      <c r="X70" s="141"/>
      <c r="Y70" s="141"/>
      <c r="Z70" s="141"/>
      <c r="AA70" s="141"/>
      <c r="AB70" s="141"/>
      <c r="AC70" s="141"/>
      <c r="AD70" s="141">
        <f t="shared" si="16"/>
        <v>902578</v>
      </c>
      <c r="AF70" s="2">
        <f t="shared" si="13"/>
        <v>0.10522740810967271</v>
      </c>
      <c r="AG70" s="2">
        <f t="shared" si="13"/>
        <v>0.10629217017329962</v>
      </c>
      <c r="AH70" s="2">
        <f t="shared" si="13"/>
        <v>0.10375116251461039</v>
      </c>
      <c r="AI70" s="2" t="str">
        <f t="shared" si="13"/>
        <v/>
      </c>
      <c r="AJ70" s="2" t="str">
        <f t="shared" si="13"/>
        <v/>
      </c>
      <c r="AK70" s="2" t="str">
        <f t="shared" si="13"/>
        <v/>
      </c>
      <c r="AL70" s="2" t="str">
        <f t="shared" si="13"/>
        <v/>
      </c>
      <c r="AM70" s="2" t="str">
        <f t="shared" si="11"/>
        <v/>
      </c>
      <c r="AN70" s="2" t="str">
        <f t="shared" si="11"/>
        <v/>
      </c>
      <c r="AO70" s="2" t="str">
        <f t="shared" si="11"/>
        <v/>
      </c>
      <c r="AP70" s="2" t="str">
        <f t="shared" si="11"/>
        <v/>
      </c>
      <c r="AQ70" s="2" t="str">
        <f t="shared" si="11"/>
        <v/>
      </c>
      <c r="AR70" s="2">
        <f t="shared" si="11"/>
        <v>0.10506821568262247</v>
      </c>
      <c r="AT70" s="2" t="str">
        <f t="shared" si="10"/>
        <v/>
      </c>
      <c r="AU70" s="2" t="str">
        <f t="shared" si="10"/>
        <v/>
      </c>
      <c r="AV70" s="143" t="str">
        <f t="shared" si="14"/>
        <v/>
      </c>
      <c r="AW70" s="143" t="str">
        <f t="shared" si="14"/>
        <v/>
      </c>
      <c r="AX70" s="143" t="str">
        <f t="shared" si="14"/>
        <v/>
      </c>
      <c r="AY70" s="143" t="str">
        <f t="shared" si="12"/>
        <v/>
      </c>
      <c r="AZ70" s="143" t="str">
        <f t="shared" si="12"/>
        <v/>
      </c>
      <c r="BA70" s="143" t="str">
        <f t="shared" si="12"/>
        <v/>
      </c>
      <c r="BB70" s="143" t="str">
        <f t="shared" si="12"/>
        <v/>
      </c>
      <c r="BC70" s="143" t="str">
        <f t="shared" si="12"/>
        <v/>
      </c>
      <c r="BD70" s="143" t="str">
        <f t="shared" si="12"/>
        <v/>
      </c>
      <c r="BF70" s="9">
        <f t="shared" si="17"/>
        <v>7.0957563649255663E-4</v>
      </c>
      <c r="BG70" s="9">
        <f t="shared" ref="BG70:BG133" si="18">+BF70+BG69</f>
        <v>0.94003080208798528</v>
      </c>
    </row>
    <row r="71" spans="2:59" x14ac:dyDescent="0.3">
      <c r="B71" s="3" t="s">
        <v>134</v>
      </c>
      <c r="D71" s="141">
        <v>3890940</v>
      </c>
      <c r="E71" s="141">
        <v>3593240</v>
      </c>
      <c r="F71" s="141">
        <v>3798435</v>
      </c>
      <c r="G71" s="141"/>
      <c r="H71" s="141"/>
      <c r="I71" s="141"/>
      <c r="J71" s="141"/>
      <c r="K71" s="141"/>
      <c r="L71" s="141"/>
      <c r="M71" s="141"/>
      <c r="N71" s="141"/>
      <c r="O71" s="141"/>
      <c r="P71" s="141">
        <f t="shared" si="15"/>
        <v>11282615</v>
      </c>
      <c r="R71" s="141">
        <v>364708</v>
      </c>
      <c r="S71" s="141">
        <v>367543</v>
      </c>
      <c r="T71" s="141">
        <v>354651</v>
      </c>
      <c r="U71" s="141"/>
      <c r="V71" s="141"/>
      <c r="W71" s="141"/>
      <c r="X71" s="141"/>
      <c r="Y71" s="141"/>
      <c r="Z71" s="141"/>
      <c r="AA71" s="141"/>
      <c r="AB71" s="141"/>
      <c r="AC71" s="141"/>
      <c r="AD71" s="141">
        <f t="shared" si="16"/>
        <v>1086902</v>
      </c>
      <c r="AF71" s="2">
        <f t="shared" si="13"/>
        <v>9.3732619881057022E-2</v>
      </c>
      <c r="AG71" s="2">
        <f t="shared" si="13"/>
        <v>0.10228735069185471</v>
      </c>
      <c r="AH71" s="2">
        <f t="shared" si="13"/>
        <v>9.3367663261316833E-2</v>
      </c>
      <c r="AI71" s="2" t="str">
        <f t="shared" si="13"/>
        <v/>
      </c>
      <c r="AJ71" s="2" t="str">
        <f t="shared" si="13"/>
        <v/>
      </c>
      <c r="AK71" s="2" t="str">
        <f t="shared" si="13"/>
        <v/>
      </c>
      <c r="AL71" s="2" t="str">
        <f t="shared" si="13"/>
        <v/>
      </c>
      <c r="AM71" s="2" t="str">
        <f t="shared" si="11"/>
        <v/>
      </c>
      <c r="AN71" s="2" t="str">
        <f t="shared" si="11"/>
        <v/>
      </c>
      <c r="AO71" s="2" t="str">
        <f t="shared" si="11"/>
        <v/>
      </c>
      <c r="AP71" s="2" t="str">
        <f t="shared" si="11"/>
        <v/>
      </c>
      <c r="AQ71" s="2" t="str">
        <f t="shared" si="11"/>
        <v/>
      </c>
      <c r="AR71" s="2">
        <f t="shared" si="11"/>
        <v>9.6334227481838203E-2</v>
      </c>
      <c r="AT71" s="2" t="str">
        <f t="shared" si="10"/>
        <v/>
      </c>
      <c r="AU71" s="2" t="str">
        <f t="shared" si="10"/>
        <v/>
      </c>
      <c r="AV71" s="143" t="str">
        <f t="shared" si="14"/>
        <v/>
      </c>
      <c r="AW71" s="143" t="str">
        <f t="shared" si="14"/>
        <v/>
      </c>
      <c r="AX71" s="143" t="str">
        <f t="shared" si="14"/>
        <v/>
      </c>
      <c r="AY71" s="143" t="str">
        <f t="shared" si="12"/>
        <v/>
      </c>
      <c r="AZ71" s="143" t="str">
        <f t="shared" si="12"/>
        <v/>
      </c>
      <c r="BA71" s="143" t="str">
        <f t="shared" si="12"/>
        <v/>
      </c>
      <c r="BB71" s="143" t="str">
        <f t="shared" si="12"/>
        <v/>
      </c>
      <c r="BC71" s="143" t="str">
        <f t="shared" si="12"/>
        <v/>
      </c>
      <c r="BD71" s="143" t="str">
        <f t="shared" si="12"/>
        <v/>
      </c>
      <c r="BF71" s="9">
        <f t="shared" si="17"/>
        <v>8.5448479627803112E-4</v>
      </c>
      <c r="BG71" s="9">
        <f t="shared" si="18"/>
        <v>0.94088528688426332</v>
      </c>
    </row>
    <row r="72" spans="2:59" x14ac:dyDescent="0.3">
      <c r="B72" s="3" t="s">
        <v>152</v>
      </c>
      <c r="D72" s="141">
        <v>2849040</v>
      </c>
      <c r="E72" s="141">
        <v>2752581</v>
      </c>
      <c r="F72" s="141">
        <v>2803982</v>
      </c>
      <c r="G72" s="141"/>
      <c r="H72" s="141"/>
      <c r="I72" s="141"/>
      <c r="J72" s="141"/>
      <c r="K72" s="141"/>
      <c r="L72" s="141"/>
      <c r="M72" s="141"/>
      <c r="N72" s="141"/>
      <c r="O72" s="141"/>
      <c r="P72" s="141">
        <f t="shared" si="15"/>
        <v>8405603</v>
      </c>
      <c r="R72" s="141">
        <v>233828</v>
      </c>
      <c r="S72" s="141">
        <v>283092</v>
      </c>
      <c r="T72" s="141">
        <v>247305</v>
      </c>
      <c r="U72" s="141"/>
      <c r="V72" s="141"/>
      <c r="W72" s="141"/>
      <c r="X72" s="141"/>
      <c r="Y72" s="141"/>
      <c r="Z72" s="141"/>
      <c r="AA72" s="141"/>
      <c r="AB72" s="141"/>
      <c r="AC72" s="141"/>
      <c r="AD72" s="141">
        <f t="shared" si="16"/>
        <v>764225</v>
      </c>
      <c r="AF72" s="2">
        <f t="shared" si="13"/>
        <v>8.207255777384663E-2</v>
      </c>
      <c r="AG72" s="2">
        <f t="shared" si="13"/>
        <v>0.10284601979015331</v>
      </c>
      <c r="AH72" s="2">
        <f t="shared" si="13"/>
        <v>8.819778443656201E-2</v>
      </c>
      <c r="AI72" s="2" t="str">
        <f t="shared" si="13"/>
        <v/>
      </c>
      <c r="AJ72" s="2" t="str">
        <f t="shared" si="13"/>
        <v/>
      </c>
      <c r="AK72" s="2" t="str">
        <f t="shared" si="13"/>
        <v/>
      </c>
      <c r="AL72" s="2" t="str">
        <f t="shared" si="13"/>
        <v/>
      </c>
      <c r="AM72" s="2" t="str">
        <f t="shared" si="11"/>
        <v/>
      </c>
      <c r="AN72" s="2" t="str">
        <f t="shared" si="11"/>
        <v/>
      </c>
      <c r="AO72" s="2" t="str">
        <f t="shared" si="11"/>
        <v/>
      </c>
      <c r="AP72" s="2" t="str">
        <f t="shared" si="11"/>
        <v/>
      </c>
      <c r="AQ72" s="2" t="str">
        <f t="shared" si="11"/>
        <v/>
      </c>
      <c r="AR72" s="2">
        <f t="shared" si="11"/>
        <v>9.0918521847867431E-2</v>
      </c>
      <c r="AT72" s="2" t="str">
        <f t="shared" si="10"/>
        <v/>
      </c>
      <c r="AU72" s="2" t="str">
        <f t="shared" si="10"/>
        <v/>
      </c>
      <c r="AV72" s="143" t="str">
        <f t="shared" si="14"/>
        <v/>
      </c>
      <c r="AW72" s="143" t="str">
        <f t="shared" si="14"/>
        <v/>
      </c>
      <c r="AX72" s="143" t="str">
        <f t="shared" si="14"/>
        <v/>
      </c>
      <c r="AY72" s="143" t="str">
        <f t="shared" si="12"/>
        <v/>
      </c>
      <c r="AZ72" s="143" t="str">
        <f t="shared" si="12"/>
        <v/>
      </c>
      <c r="BA72" s="143" t="str">
        <f t="shared" si="12"/>
        <v/>
      </c>
      <c r="BB72" s="143" t="str">
        <f t="shared" si="12"/>
        <v/>
      </c>
      <c r="BC72" s="143" t="str">
        <f t="shared" si="12"/>
        <v/>
      </c>
      <c r="BD72" s="143" t="str">
        <f t="shared" si="12"/>
        <v/>
      </c>
      <c r="BF72" s="9">
        <f t="shared" si="17"/>
        <v>6.0080728845432094E-4</v>
      </c>
      <c r="BG72" s="9">
        <f t="shared" si="18"/>
        <v>0.94148609417271767</v>
      </c>
    </row>
    <row r="73" spans="2:59" x14ac:dyDescent="0.3">
      <c r="B73" s="3" t="s">
        <v>135</v>
      </c>
      <c r="D73" s="141">
        <v>28536949</v>
      </c>
      <c r="E73" s="141">
        <v>28471618</v>
      </c>
      <c r="F73" s="141">
        <v>30744814</v>
      </c>
      <c r="G73" s="141"/>
      <c r="H73" s="141"/>
      <c r="I73" s="141"/>
      <c r="J73" s="141"/>
      <c r="K73" s="141"/>
      <c r="L73" s="141"/>
      <c r="M73" s="141"/>
      <c r="N73" s="141"/>
      <c r="O73" s="141"/>
      <c r="P73" s="141">
        <f t="shared" si="15"/>
        <v>87753381</v>
      </c>
      <c r="R73" s="141">
        <v>4156992</v>
      </c>
      <c r="S73" s="141">
        <v>4206555</v>
      </c>
      <c r="T73" s="141">
        <v>4827291</v>
      </c>
      <c r="U73" s="141"/>
      <c r="V73" s="141"/>
      <c r="W73" s="141"/>
      <c r="X73" s="141"/>
      <c r="Y73" s="141"/>
      <c r="Z73" s="141"/>
      <c r="AA73" s="141"/>
      <c r="AB73" s="141"/>
      <c r="AC73" s="141"/>
      <c r="AD73" s="141">
        <f t="shared" si="16"/>
        <v>13190838</v>
      </c>
      <c r="AF73" s="2">
        <f t="shared" si="13"/>
        <v>0.14567051299001865</v>
      </c>
      <c r="AG73" s="2">
        <f t="shared" si="13"/>
        <v>0.14774555488908286</v>
      </c>
      <c r="AH73" s="2">
        <f t="shared" si="13"/>
        <v>0.15701155323301028</v>
      </c>
      <c r="AI73" s="2" t="str">
        <f t="shared" si="13"/>
        <v/>
      </c>
      <c r="AJ73" s="2" t="str">
        <f t="shared" si="13"/>
        <v/>
      </c>
      <c r="AK73" s="2" t="str">
        <f t="shared" si="13"/>
        <v/>
      </c>
      <c r="AL73" s="2" t="str">
        <f t="shared" si="13"/>
        <v/>
      </c>
      <c r="AM73" s="2" t="str">
        <f t="shared" si="11"/>
        <v/>
      </c>
      <c r="AN73" s="2" t="str">
        <f t="shared" si="11"/>
        <v/>
      </c>
      <c r="AO73" s="2" t="str">
        <f t="shared" si="11"/>
        <v/>
      </c>
      <c r="AP73" s="2" t="str">
        <f t="shared" si="11"/>
        <v/>
      </c>
      <c r="AQ73" s="2" t="str">
        <f t="shared" si="11"/>
        <v/>
      </c>
      <c r="AR73" s="2">
        <f t="shared" si="11"/>
        <v>0.15031714846405747</v>
      </c>
      <c r="AT73" s="2" t="str">
        <f t="shared" si="10"/>
        <v/>
      </c>
      <c r="AU73" s="2" t="str">
        <f t="shared" si="10"/>
        <v/>
      </c>
      <c r="AV73" s="143" t="str">
        <f t="shared" si="14"/>
        <v/>
      </c>
      <c r="AW73" s="143" t="str">
        <f t="shared" si="14"/>
        <v/>
      </c>
      <c r="AX73" s="143" t="str">
        <f t="shared" si="14"/>
        <v/>
      </c>
      <c r="AY73" s="143" t="str">
        <f t="shared" si="12"/>
        <v/>
      </c>
      <c r="AZ73" s="143" t="str">
        <f t="shared" si="12"/>
        <v/>
      </c>
      <c r="BA73" s="143" t="str">
        <f t="shared" si="12"/>
        <v/>
      </c>
      <c r="BB73" s="143" t="str">
        <f t="shared" si="12"/>
        <v/>
      </c>
      <c r="BC73" s="143" t="str">
        <f t="shared" si="12"/>
        <v/>
      </c>
      <c r="BD73" s="143" t="str">
        <f t="shared" si="12"/>
        <v/>
      </c>
      <c r="BF73" s="9">
        <f t="shared" si="17"/>
        <v>1.0370181047754546E-2</v>
      </c>
      <c r="BG73" s="9">
        <f t="shared" si="18"/>
        <v>0.95185627522047223</v>
      </c>
    </row>
    <row r="74" spans="2:59" x14ac:dyDescent="0.3">
      <c r="B74" s="3" t="s">
        <v>149</v>
      </c>
      <c r="D74" s="141">
        <v>1285668</v>
      </c>
      <c r="E74" s="141">
        <v>1205950</v>
      </c>
      <c r="F74" s="141">
        <v>1116129</v>
      </c>
      <c r="G74" s="141"/>
      <c r="H74" s="141"/>
      <c r="I74" s="141"/>
      <c r="J74" s="141"/>
      <c r="K74" s="141"/>
      <c r="L74" s="141"/>
      <c r="M74" s="141"/>
      <c r="N74" s="141"/>
      <c r="O74" s="141"/>
      <c r="P74" s="141">
        <f t="shared" si="15"/>
        <v>3607747</v>
      </c>
      <c r="R74" s="141">
        <v>141679</v>
      </c>
      <c r="S74" s="141">
        <v>130563</v>
      </c>
      <c r="T74" s="141">
        <v>133264</v>
      </c>
      <c r="U74" s="141"/>
      <c r="V74" s="141"/>
      <c r="W74" s="141"/>
      <c r="X74" s="141"/>
      <c r="Y74" s="141"/>
      <c r="Z74" s="141"/>
      <c r="AA74" s="141"/>
      <c r="AB74" s="141"/>
      <c r="AC74" s="141"/>
      <c r="AD74" s="141">
        <f t="shared" si="16"/>
        <v>405506</v>
      </c>
      <c r="AF74" s="2">
        <f t="shared" si="13"/>
        <v>0.11019874493259535</v>
      </c>
      <c r="AG74" s="2">
        <f t="shared" si="13"/>
        <v>0.10826568265682657</v>
      </c>
      <c r="AH74" s="2">
        <f t="shared" si="13"/>
        <v>0.11939838495371055</v>
      </c>
      <c r="AI74" s="2" t="str">
        <f t="shared" si="13"/>
        <v/>
      </c>
      <c r="AJ74" s="2" t="str">
        <f t="shared" si="13"/>
        <v/>
      </c>
      <c r="AK74" s="2" t="str">
        <f t="shared" si="13"/>
        <v/>
      </c>
      <c r="AL74" s="2" t="str">
        <f t="shared" si="13"/>
        <v/>
      </c>
      <c r="AM74" s="2" t="str">
        <f t="shared" si="11"/>
        <v/>
      </c>
      <c r="AN74" s="2" t="str">
        <f t="shared" si="11"/>
        <v/>
      </c>
      <c r="AO74" s="2" t="str">
        <f t="shared" si="11"/>
        <v/>
      </c>
      <c r="AP74" s="2" t="str">
        <f t="shared" si="11"/>
        <v/>
      </c>
      <c r="AQ74" s="2" t="str">
        <f t="shared" si="11"/>
        <v/>
      </c>
      <c r="AR74" s="2">
        <f t="shared" si="11"/>
        <v>0.11239867984090902</v>
      </c>
      <c r="AT74" s="2" t="str">
        <f t="shared" si="10"/>
        <v/>
      </c>
      <c r="AU74" s="2" t="str">
        <f t="shared" si="10"/>
        <v/>
      </c>
      <c r="AV74" s="143" t="str">
        <f t="shared" si="14"/>
        <v/>
      </c>
      <c r="AW74" s="143" t="str">
        <f t="shared" si="14"/>
        <v/>
      </c>
      <c r="AX74" s="143" t="str">
        <f t="shared" si="14"/>
        <v/>
      </c>
      <c r="AY74" s="143" t="str">
        <f t="shared" si="12"/>
        <v/>
      </c>
      <c r="AZ74" s="143" t="str">
        <f t="shared" si="12"/>
        <v/>
      </c>
      <c r="BA74" s="143" t="str">
        <f t="shared" si="12"/>
        <v/>
      </c>
      <c r="BB74" s="143" t="str">
        <f t="shared" si="12"/>
        <v/>
      </c>
      <c r="BC74" s="143" t="str">
        <f t="shared" si="12"/>
        <v/>
      </c>
      <c r="BD74" s="143" t="str">
        <f t="shared" si="12"/>
        <v/>
      </c>
      <c r="BF74" s="9">
        <f t="shared" si="17"/>
        <v>3.1879480560300679E-4</v>
      </c>
      <c r="BG74" s="9">
        <f t="shared" si="18"/>
        <v>0.95217507002607527</v>
      </c>
    </row>
    <row r="75" spans="2:59" x14ac:dyDescent="0.3">
      <c r="B75" s="3" t="s">
        <v>150</v>
      </c>
      <c r="D75" s="141">
        <v>2460118</v>
      </c>
      <c r="E75" s="141">
        <v>1804572</v>
      </c>
      <c r="F75" s="141">
        <v>1807160</v>
      </c>
      <c r="G75" s="141"/>
      <c r="H75" s="141"/>
      <c r="I75" s="141"/>
      <c r="J75" s="141"/>
      <c r="K75" s="141"/>
      <c r="L75" s="141"/>
      <c r="M75" s="141"/>
      <c r="N75" s="141"/>
      <c r="O75" s="141"/>
      <c r="P75" s="141">
        <f t="shared" si="15"/>
        <v>6071850</v>
      </c>
      <c r="R75" s="141">
        <v>286847</v>
      </c>
      <c r="S75" s="141">
        <v>206921</v>
      </c>
      <c r="T75" s="141">
        <v>196682</v>
      </c>
      <c r="U75" s="141"/>
      <c r="V75" s="141"/>
      <c r="W75" s="141"/>
      <c r="X75" s="141"/>
      <c r="Y75" s="141"/>
      <c r="Z75" s="141"/>
      <c r="AA75" s="141"/>
      <c r="AB75" s="141"/>
      <c r="AC75" s="141"/>
      <c r="AD75" s="141">
        <f t="shared" si="16"/>
        <v>690450</v>
      </c>
      <c r="AF75" s="2">
        <f t="shared" si="13"/>
        <v>0.11659887859037656</v>
      </c>
      <c r="AG75" s="2">
        <f t="shared" si="13"/>
        <v>0.11466486236071489</v>
      </c>
      <c r="AH75" s="2">
        <f t="shared" si="13"/>
        <v>0.10883485690254321</v>
      </c>
      <c r="AI75" s="2" t="str">
        <f t="shared" si="13"/>
        <v/>
      </c>
      <c r="AJ75" s="2" t="str">
        <f t="shared" si="13"/>
        <v/>
      </c>
      <c r="AK75" s="2" t="str">
        <f t="shared" si="13"/>
        <v/>
      </c>
      <c r="AL75" s="2" t="str">
        <f t="shared" si="13"/>
        <v/>
      </c>
      <c r="AM75" s="2" t="str">
        <f t="shared" si="11"/>
        <v/>
      </c>
      <c r="AN75" s="2" t="str">
        <f t="shared" si="11"/>
        <v/>
      </c>
      <c r="AO75" s="2" t="str">
        <f t="shared" si="11"/>
        <v/>
      </c>
      <c r="AP75" s="2" t="str">
        <f t="shared" si="11"/>
        <v/>
      </c>
      <c r="AQ75" s="2" t="str">
        <f t="shared" si="11"/>
        <v/>
      </c>
      <c r="AR75" s="2">
        <f t="shared" si="11"/>
        <v>0.1137132834309148</v>
      </c>
      <c r="AT75" s="2" t="str">
        <f t="shared" si="10"/>
        <v/>
      </c>
      <c r="AU75" s="2" t="str">
        <f t="shared" si="10"/>
        <v/>
      </c>
      <c r="AV75" s="143" t="str">
        <f t="shared" si="14"/>
        <v/>
      </c>
      <c r="AW75" s="143" t="str">
        <f t="shared" si="14"/>
        <v/>
      </c>
      <c r="AX75" s="143" t="str">
        <f t="shared" si="14"/>
        <v/>
      </c>
      <c r="AY75" s="143" t="str">
        <f t="shared" si="12"/>
        <v/>
      </c>
      <c r="AZ75" s="143" t="str">
        <f t="shared" si="12"/>
        <v/>
      </c>
      <c r="BA75" s="143" t="str">
        <f t="shared" si="12"/>
        <v/>
      </c>
      <c r="BB75" s="143" t="str">
        <f t="shared" si="12"/>
        <v/>
      </c>
      <c r="BC75" s="143" t="str">
        <f t="shared" si="12"/>
        <v/>
      </c>
      <c r="BD75" s="143" t="str">
        <f t="shared" si="12"/>
        <v/>
      </c>
      <c r="BF75" s="9">
        <f t="shared" si="17"/>
        <v>5.4280793262885389E-4</v>
      </c>
      <c r="BG75" s="9">
        <f t="shared" si="18"/>
        <v>0.95271787795870411</v>
      </c>
    </row>
    <row r="76" spans="2:59" x14ac:dyDescent="0.3">
      <c r="B76" s="3" t="s">
        <v>175</v>
      </c>
      <c r="D76" s="141">
        <v>10694331</v>
      </c>
      <c r="E76" s="141">
        <v>8967499</v>
      </c>
      <c r="F76" s="141">
        <v>7137003</v>
      </c>
      <c r="G76" s="141"/>
      <c r="H76" s="141"/>
      <c r="I76" s="141"/>
      <c r="J76" s="141"/>
      <c r="K76" s="141"/>
      <c r="L76" s="141"/>
      <c r="M76" s="141"/>
      <c r="N76" s="141"/>
      <c r="O76" s="141"/>
      <c r="P76" s="141">
        <f t="shared" si="15"/>
        <v>26798833</v>
      </c>
      <c r="R76" s="141">
        <v>1039167</v>
      </c>
      <c r="S76" s="141">
        <v>838195</v>
      </c>
      <c r="T76" s="141">
        <v>681848</v>
      </c>
      <c r="U76" s="141"/>
      <c r="V76" s="141"/>
      <c r="W76" s="141"/>
      <c r="X76" s="141"/>
      <c r="Y76" s="141"/>
      <c r="Z76" s="141"/>
      <c r="AA76" s="141"/>
      <c r="AB76" s="141"/>
      <c r="AC76" s="141"/>
      <c r="AD76" s="141">
        <f t="shared" si="16"/>
        <v>2559210</v>
      </c>
      <c r="AF76" s="2">
        <f t="shared" si="13"/>
        <v>9.7169893095697152E-2</v>
      </c>
      <c r="AG76" s="2">
        <f t="shared" si="13"/>
        <v>9.3470319874025071E-2</v>
      </c>
      <c r="AH76" s="2">
        <f t="shared" si="13"/>
        <v>9.5537020231040951E-2</v>
      </c>
      <c r="AI76" s="2" t="str">
        <f t="shared" si="13"/>
        <v/>
      </c>
      <c r="AJ76" s="2" t="str">
        <f t="shared" si="13"/>
        <v/>
      </c>
      <c r="AK76" s="2" t="str">
        <f t="shared" si="13"/>
        <v/>
      </c>
      <c r="AL76" s="2" t="str">
        <f t="shared" si="13"/>
        <v/>
      </c>
      <c r="AM76" s="2" t="str">
        <f t="shared" si="11"/>
        <v/>
      </c>
      <c r="AN76" s="2" t="str">
        <f t="shared" si="11"/>
        <v/>
      </c>
      <c r="AO76" s="2" t="str">
        <f t="shared" si="11"/>
        <v/>
      </c>
      <c r="AP76" s="2" t="str">
        <f t="shared" si="11"/>
        <v/>
      </c>
      <c r="AQ76" s="2" t="str">
        <f t="shared" si="11"/>
        <v/>
      </c>
      <c r="AR76" s="2">
        <f t="shared" si="11"/>
        <v>9.5497068846244162E-2</v>
      </c>
      <c r="AT76" s="2" t="str">
        <f t="shared" si="10"/>
        <v/>
      </c>
      <c r="AU76" s="2" t="str">
        <f t="shared" si="10"/>
        <v/>
      </c>
      <c r="AV76" s="143" t="str">
        <f t="shared" si="14"/>
        <v/>
      </c>
      <c r="AW76" s="143" t="str">
        <f t="shared" si="14"/>
        <v/>
      </c>
      <c r="AX76" s="143" t="str">
        <f t="shared" si="14"/>
        <v/>
      </c>
      <c r="AY76" s="143" t="str">
        <f t="shared" si="12"/>
        <v/>
      </c>
      <c r="AZ76" s="143" t="str">
        <f t="shared" si="12"/>
        <v/>
      </c>
      <c r="BA76" s="143" t="str">
        <f t="shared" si="12"/>
        <v/>
      </c>
      <c r="BB76" s="143" t="str">
        <f t="shared" si="12"/>
        <v/>
      </c>
      <c r="BC76" s="143" t="str">
        <f t="shared" si="12"/>
        <v/>
      </c>
      <c r="BD76" s="143" t="str">
        <f t="shared" si="12"/>
        <v/>
      </c>
      <c r="BF76" s="9">
        <f t="shared" si="17"/>
        <v>2.0119624726817136E-3</v>
      </c>
      <c r="BG76" s="9">
        <f t="shared" si="18"/>
        <v>0.95472984043138587</v>
      </c>
    </row>
    <row r="77" spans="2:59" x14ac:dyDescent="0.3">
      <c r="B77" s="3" t="s">
        <v>192</v>
      </c>
      <c r="D77" s="141">
        <v>8839</v>
      </c>
      <c r="E77" s="141">
        <v>1231</v>
      </c>
      <c r="F77" s="141">
        <v>13422</v>
      </c>
      <c r="G77" s="141"/>
      <c r="H77" s="141"/>
      <c r="I77" s="141"/>
      <c r="J77" s="141"/>
      <c r="K77" s="141"/>
      <c r="L77" s="141"/>
      <c r="M77" s="141"/>
      <c r="N77" s="141"/>
      <c r="O77" s="141"/>
      <c r="P77" s="141">
        <f t="shared" si="15"/>
        <v>23492</v>
      </c>
      <c r="R77" s="141">
        <v>6392</v>
      </c>
      <c r="S77" s="141">
        <v>1231</v>
      </c>
      <c r="T77" s="141">
        <v>12645</v>
      </c>
      <c r="U77" s="141"/>
      <c r="V77" s="141"/>
      <c r="W77" s="141"/>
      <c r="X77" s="141"/>
      <c r="Y77" s="141"/>
      <c r="Z77" s="141"/>
      <c r="AA77" s="141"/>
      <c r="AB77" s="141"/>
      <c r="AC77" s="141"/>
      <c r="AD77" s="141">
        <f t="shared" si="16"/>
        <v>20268</v>
      </c>
      <c r="AF77" s="2">
        <f t="shared" si="13"/>
        <v>0.72315872836293693</v>
      </c>
      <c r="AG77" s="2">
        <f t="shared" si="13"/>
        <v>1</v>
      </c>
      <c r="AH77" s="2">
        <f t="shared" si="13"/>
        <v>0.94210996870809116</v>
      </c>
      <c r="AI77" s="2" t="str">
        <f t="shared" si="13"/>
        <v/>
      </c>
      <c r="AJ77" s="2" t="str">
        <f t="shared" si="13"/>
        <v/>
      </c>
      <c r="AK77" s="2" t="str">
        <f t="shared" si="13"/>
        <v/>
      </c>
      <c r="AL77" s="2" t="str">
        <f t="shared" si="13"/>
        <v/>
      </c>
      <c r="AM77" s="2" t="str">
        <f t="shared" si="11"/>
        <v/>
      </c>
      <c r="AN77" s="2" t="str">
        <f t="shared" si="11"/>
        <v/>
      </c>
      <c r="AO77" s="2" t="str">
        <f t="shared" si="11"/>
        <v/>
      </c>
      <c r="AP77" s="2" t="str">
        <f t="shared" si="11"/>
        <v/>
      </c>
      <c r="AQ77" s="2" t="str">
        <f t="shared" si="11"/>
        <v/>
      </c>
      <c r="AR77" s="2">
        <f t="shared" si="11"/>
        <v>0.8627617912480845</v>
      </c>
      <c r="AT77" s="2" t="str">
        <f t="shared" si="10"/>
        <v/>
      </c>
      <c r="AU77" s="2" t="str">
        <f t="shared" si="10"/>
        <v/>
      </c>
      <c r="AV77" s="143" t="str">
        <f t="shared" si="14"/>
        <v/>
      </c>
      <c r="AW77" s="143" t="str">
        <f t="shared" si="14"/>
        <v/>
      </c>
      <c r="AX77" s="143" t="str">
        <f t="shared" si="14"/>
        <v/>
      </c>
      <c r="AY77" s="143" t="str">
        <f t="shared" si="12"/>
        <v/>
      </c>
      <c r="AZ77" s="143" t="str">
        <f t="shared" si="12"/>
        <v/>
      </c>
      <c r="BA77" s="143" t="str">
        <f t="shared" si="12"/>
        <v/>
      </c>
      <c r="BB77" s="143" t="str">
        <f t="shared" si="12"/>
        <v/>
      </c>
      <c r="BC77" s="143" t="str">
        <f t="shared" si="12"/>
        <v/>
      </c>
      <c r="BD77" s="143" t="str">
        <f t="shared" si="12"/>
        <v/>
      </c>
      <c r="BF77" s="9">
        <f t="shared" si="17"/>
        <v>1.5934001272389909E-5</v>
      </c>
      <c r="BG77" s="9">
        <f t="shared" si="18"/>
        <v>0.95474577443265829</v>
      </c>
    </row>
    <row r="78" spans="2:59" x14ac:dyDescent="0.3">
      <c r="B78" s="3" t="s">
        <v>147</v>
      </c>
      <c r="D78" s="141">
        <v>1676016</v>
      </c>
      <c r="E78" s="141">
        <v>1401453</v>
      </c>
      <c r="F78" s="141">
        <v>1833447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>
        <f t="shared" si="15"/>
        <v>4910916</v>
      </c>
      <c r="R78" s="141">
        <v>202738</v>
      </c>
      <c r="S78" s="141">
        <v>201296</v>
      </c>
      <c r="T78" s="141">
        <v>243060</v>
      </c>
      <c r="U78" s="141"/>
      <c r="V78" s="141"/>
      <c r="W78" s="141"/>
      <c r="X78" s="141"/>
      <c r="Y78" s="141"/>
      <c r="Z78" s="141"/>
      <c r="AA78" s="141"/>
      <c r="AB78" s="141"/>
      <c r="AC78" s="141"/>
      <c r="AD78" s="141">
        <f t="shared" si="16"/>
        <v>647094</v>
      </c>
      <c r="AF78" s="2">
        <f t="shared" si="13"/>
        <v>0.12096423900487824</v>
      </c>
      <c r="AG78" s="2">
        <f t="shared" si="13"/>
        <v>0.14363378579231698</v>
      </c>
      <c r="AH78" s="2">
        <f t="shared" si="13"/>
        <v>0.13256996248050804</v>
      </c>
      <c r="AI78" s="2" t="str">
        <f t="shared" si="13"/>
        <v/>
      </c>
      <c r="AJ78" s="2" t="str">
        <f t="shared" si="13"/>
        <v/>
      </c>
      <c r="AK78" s="2" t="str">
        <f t="shared" si="13"/>
        <v/>
      </c>
      <c r="AL78" s="2" t="str">
        <f t="shared" si="13"/>
        <v/>
      </c>
      <c r="AM78" s="2" t="str">
        <f t="shared" si="11"/>
        <v/>
      </c>
      <c r="AN78" s="2" t="str">
        <f t="shared" si="11"/>
        <v/>
      </c>
      <c r="AO78" s="2" t="str">
        <f t="shared" si="11"/>
        <v/>
      </c>
      <c r="AP78" s="2" t="str">
        <f t="shared" si="11"/>
        <v/>
      </c>
      <c r="AQ78" s="2" t="str">
        <f t="shared" si="11"/>
        <v/>
      </c>
      <c r="AR78" s="2">
        <f t="shared" si="11"/>
        <v>0.13176645660402256</v>
      </c>
      <c r="AT78" s="2" t="str">
        <f t="shared" ref="AT78:AU109" si="19">+IFERROR(AM78-AL78,"")</f>
        <v/>
      </c>
      <c r="AU78" s="2" t="str">
        <f t="shared" si="19"/>
        <v/>
      </c>
      <c r="AV78" s="143" t="str">
        <f t="shared" si="14"/>
        <v/>
      </c>
      <c r="AW78" s="143" t="str">
        <f t="shared" si="14"/>
        <v/>
      </c>
      <c r="AX78" s="143" t="str">
        <f t="shared" si="14"/>
        <v/>
      </c>
      <c r="AY78" s="143" t="str">
        <f t="shared" si="12"/>
        <v/>
      </c>
      <c r="AZ78" s="143" t="str">
        <f t="shared" si="12"/>
        <v/>
      </c>
      <c r="BA78" s="143" t="str">
        <f t="shared" si="12"/>
        <v/>
      </c>
      <c r="BB78" s="143" t="str">
        <f t="shared" si="12"/>
        <v/>
      </c>
      <c r="BC78" s="143" t="str">
        <f t="shared" si="12"/>
        <v/>
      </c>
      <c r="BD78" s="143" t="str">
        <f t="shared" si="12"/>
        <v/>
      </c>
      <c r="BF78" s="9">
        <f t="shared" si="17"/>
        <v>5.0872294352456455E-4</v>
      </c>
      <c r="BG78" s="9">
        <f t="shared" si="18"/>
        <v>0.95525449737618284</v>
      </c>
    </row>
    <row r="79" spans="2:59" x14ac:dyDescent="0.3">
      <c r="B79" s="3" t="s">
        <v>179</v>
      </c>
      <c r="D79" s="141">
        <v>6305905</v>
      </c>
      <c r="E79" s="141">
        <v>5125822</v>
      </c>
      <c r="F79" s="141">
        <v>4276648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>
        <f t="shared" si="15"/>
        <v>15708375</v>
      </c>
      <c r="R79" s="141">
        <v>731570</v>
      </c>
      <c r="S79" s="141">
        <v>586746</v>
      </c>
      <c r="T79" s="141">
        <v>476440</v>
      </c>
      <c r="U79" s="141"/>
      <c r="V79" s="141"/>
      <c r="W79" s="141"/>
      <c r="X79" s="141"/>
      <c r="Y79" s="141"/>
      <c r="Z79" s="141"/>
      <c r="AA79" s="141"/>
      <c r="AB79" s="141"/>
      <c r="AC79" s="141"/>
      <c r="AD79" s="141">
        <f t="shared" si="16"/>
        <v>1794756</v>
      </c>
      <c r="AF79" s="2">
        <f t="shared" si="13"/>
        <v>0.11601348260083208</v>
      </c>
      <c r="AG79" s="2">
        <f t="shared" si="13"/>
        <v>0.11446866473318816</v>
      </c>
      <c r="AH79" s="2">
        <f t="shared" si="13"/>
        <v>0.11140500691195535</v>
      </c>
      <c r="AI79" s="2" t="str">
        <f t="shared" si="13"/>
        <v/>
      </c>
      <c r="AJ79" s="2" t="str">
        <f t="shared" si="13"/>
        <v/>
      </c>
      <c r="AK79" s="2" t="str">
        <f t="shared" si="13"/>
        <v/>
      </c>
      <c r="AL79" s="2" t="str">
        <f t="shared" si="13"/>
        <v/>
      </c>
      <c r="AM79" s="2" t="str">
        <f t="shared" si="11"/>
        <v/>
      </c>
      <c r="AN79" s="2" t="str">
        <f t="shared" si="11"/>
        <v/>
      </c>
      <c r="AO79" s="2" t="str">
        <f t="shared" si="11"/>
        <v/>
      </c>
      <c r="AP79" s="2" t="str">
        <f t="shared" si="11"/>
        <v/>
      </c>
      <c r="AQ79" s="2" t="str">
        <f t="shared" si="11"/>
        <v/>
      </c>
      <c r="AR79" s="2">
        <f t="shared" si="11"/>
        <v>0.11425472080975912</v>
      </c>
      <c r="AT79" s="2" t="str">
        <f t="shared" si="19"/>
        <v/>
      </c>
      <c r="AU79" s="2" t="str">
        <f t="shared" si="19"/>
        <v/>
      </c>
      <c r="AV79" s="143" t="str">
        <f t="shared" si="14"/>
        <v/>
      </c>
      <c r="AW79" s="143" t="str">
        <f t="shared" si="14"/>
        <v/>
      </c>
      <c r="AX79" s="143" t="str">
        <f t="shared" si="14"/>
        <v/>
      </c>
      <c r="AY79" s="143" t="str">
        <f t="shared" si="12"/>
        <v/>
      </c>
      <c r="AZ79" s="143" t="str">
        <f t="shared" si="12"/>
        <v/>
      </c>
      <c r="BA79" s="143" t="str">
        <f t="shared" si="12"/>
        <v/>
      </c>
      <c r="BB79" s="143" t="str">
        <f t="shared" si="12"/>
        <v/>
      </c>
      <c r="BC79" s="143" t="str">
        <f t="shared" si="12"/>
        <v/>
      </c>
      <c r="BD79" s="143" t="str">
        <f t="shared" si="12"/>
        <v/>
      </c>
      <c r="BF79" s="9">
        <f t="shared" si="17"/>
        <v>1.4109751523401135E-3</v>
      </c>
      <c r="BG79" s="9">
        <f t="shared" si="18"/>
        <v>0.95666547252852296</v>
      </c>
    </row>
    <row r="80" spans="2:59" x14ac:dyDescent="0.3">
      <c r="B80" s="3" t="s">
        <v>177</v>
      </c>
      <c r="D80" s="141">
        <v>10938470</v>
      </c>
      <c r="E80" s="141">
        <v>10189183</v>
      </c>
      <c r="F80" s="141">
        <v>10196770</v>
      </c>
      <c r="G80" s="141"/>
      <c r="H80" s="141"/>
      <c r="I80" s="141"/>
      <c r="J80" s="141"/>
      <c r="K80" s="141"/>
      <c r="L80" s="141"/>
      <c r="M80" s="141"/>
      <c r="N80" s="141"/>
      <c r="O80" s="141"/>
      <c r="P80" s="141">
        <f t="shared" si="15"/>
        <v>31324423</v>
      </c>
      <c r="R80" s="141">
        <v>1451120</v>
      </c>
      <c r="S80" s="141">
        <v>1332920</v>
      </c>
      <c r="T80" s="141">
        <v>1306181</v>
      </c>
      <c r="U80" s="141"/>
      <c r="V80" s="141"/>
      <c r="W80" s="141"/>
      <c r="X80" s="141"/>
      <c r="Y80" s="141"/>
      <c r="Z80" s="141"/>
      <c r="AA80" s="141"/>
      <c r="AB80" s="141"/>
      <c r="AC80" s="141"/>
      <c r="AD80" s="141">
        <f t="shared" si="16"/>
        <v>4090221</v>
      </c>
      <c r="AF80" s="2">
        <f t="shared" si="13"/>
        <v>0.13266206334158251</v>
      </c>
      <c r="AG80" s="2">
        <f t="shared" si="13"/>
        <v>0.13081716169000007</v>
      </c>
      <c r="AH80" s="2">
        <f t="shared" si="13"/>
        <v>0.1280975250005639</v>
      </c>
      <c r="AI80" s="2" t="str">
        <f t="shared" si="13"/>
        <v/>
      </c>
      <c r="AJ80" s="2" t="str">
        <f t="shared" si="13"/>
        <v/>
      </c>
      <c r="AK80" s="2" t="str">
        <f t="shared" si="13"/>
        <v/>
      </c>
      <c r="AL80" s="2" t="str">
        <f t="shared" si="13"/>
        <v/>
      </c>
      <c r="AM80" s="2" t="str">
        <f t="shared" si="11"/>
        <v/>
      </c>
      <c r="AN80" s="2" t="str">
        <f t="shared" si="11"/>
        <v/>
      </c>
      <c r="AO80" s="2" t="str">
        <f t="shared" si="11"/>
        <v/>
      </c>
      <c r="AP80" s="2" t="str">
        <f t="shared" si="11"/>
        <v/>
      </c>
      <c r="AQ80" s="2" t="str">
        <f t="shared" si="11"/>
        <v/>
      </c>
      <c r="AR80" s="2">
        <f t="shared" si="11"/>
        <v>0.130576100316357</v>
      </c>
      <c r="AT80" s="2" t="str">
        <f t="shared" si="19"/>
        <v/>
      </c>
      <c r="AU80" s="2" t="str">
        <f t="shared" si="19"/>
        <v/>
      </c>
      <c r="AV80" s="143" t="str">
        <f t="shared" si="14"/>
        <v/>
      </c>
      <c r="AW80" s="143" t="str">
        <f t="shared" si="14"/>
        <v/>
      </c>
      <c r="AX80" s="143" t="str">
        <f t="shared" si="14"/>
        <v/>
      </c>
      <c r="AY80" s="143" t="str">
        <f t="shared" si="12"/>
        <v/>
      </c>
      <c r="AZ80" s="143" t="str">
        <f t="shared" si="12"/>
        <v/>
      </c>
      <c r="BA80" s="143" t="str">
        <f t="shared" si="12"/>
        <v/>
      </c>
      <c r="BB80" s="143" t="str">
        <f t="shared" si="12"/>
        <v/>
      </c>
      <c r="BC80" s="143" t="str">
        <f t="shared" si="12"/>
        <v/>
      </c>
      <c r="BD80" s="143" t="str">
        <f t="shared" si="12"/>
        <v/>
      </c>
      <c r="BF80" s="9">
        <f t="shared" si="17"/>
        <v>3.2155904192991869E-3</v>
      </c>
      <c r="BG80" s="9">
        <f t="shared" si="18"/>
        <v>0.95988106294782216</v>
      </c>
    </row>
    <row r="81" spans="2:59" x14ac:dyDescent="0.3">
      <c r="B81" s="3" t="s">
        <v>198</v>
      </c>
      <c r="D81" s="141">
        <v>67282</v>
      </c>
      <c r="E81" s="141">
        <v>9934</v>
      </c>
      <c r="F81" s="141">
        <v>7784</v>
      </c>
      <c r="G81" s="141"/>
      <c r="H81" s="141"/>
      <c r="I81" s="141"/>
      <c r="J81" s="141"/>
      <c r="K81" s="141"/>
      <c r="L81" s="141"/>
      <c r="M81" s="141"/>
      <c r="N81" s="141"/>
      <c r="O81" s="141"/>
      <c r="P81" s="141">
        <f t="shared" si="15"/>
        <v>85000</v>
      </c>
      <c r="R81" s="141">
        <v>27188</v>
      </c>
      <c r="S81" s="141">
        <v>1176</v>
      </c>
      <c r="T81" s="141">
        <v>2877</v>
      </c>
      <c r="U81" s="141"/>
      <c r="V81" s="141"/>
      <c r="W81" s="141"/>
      <c r="X81" s="141"/>
      <c r="Y81" s="141"/>
      <c r="Z81" s="141"/>
      <c r="AA81" s="141"/>
      <c r="AB81" s="141"/>
      <c r="AC81" s="141"/>
      <c r="AD81" s="141">
        <f t="shared" si="16"/>
        <v>31241</v>
      </c>
      <c r="AF81" s="2">
        <f t="shared" si="13"/>
        <v>0.40409024702000534</v>
      </c>
      <c r="AG81" s="2">
        <f t="shared" si="13"/>
        <v>0.11838131669015502</v>
      </c>
      <c r="AH81" s="2">
        <f t="shared" si="13"/>
        <v>0.36960431654676257</v>
      </c>
      <c r="AI81" s="2" t="str">
        <f t="shared" si="13"/>
        <v/>
      </c>
      <c r="AJ81" s="2" t="str">
        <f t="shared" si="13"/>
        <v/>
      </c>
      <c r="AK81" s="2" t="str">
        <f t="shared" si="13"/>
        <v/>
      </c>
      <c r="AL81" s="2" t="str">
        <f t="shared" si="13"/>
        <v/>
      </c>
      <c r="AM81" s="2" t="str">
        <f t="shared" si="11"/>
        <v/>
      </c>
      <c r="AN81" s="2" t="str">
        <f t="shared" si="11"/>
        <v/>
      </c>
      <c r="AO81" s="2" t="str">
        <f t="shared" si="11"/>
        <v/>
      </c>
      <c r="AP81" s="2" t="str">
        <f t="shared" si="11"/>
        <v/>
      </c>
      <c r="AQ81" s="2" t="str">
        <f t="shared" si="11"/>
        <v/>
      </c>
      <c r="AR81" s="2">
        <f t="shared" si="11"/>
        <v>0.36754117647058826</v>
      </c>
      <c r="AT81" s="2" t="str">
        <f t="shared" si="19"/>
        <v/>
      </c>
      <c r="AU81" s="2" t="str">
        <f t="shared" si="19"/>
        <v/>
      </c>
      <c r="AV81" s="143" t="str">
        <f t="shared" si="14"/>
        <v/>
      </c>
      <c r="AW81" s="143" t="str">
        <f t="shared" si="14"/>
        <v/>
      </c>
      <c r="AX81" s="143" t="str">
        <f t="shared" si="14"/>
        <v/>
      </c>
      <c r="AY81" s="143" t="str">
        <f t="shared" si="12"/>
        <v/>
      </c>
      <c r="AZ81" s="143" t="str">
        <f t="shared" si="12"/>
        <v/>
      </c>
      <c r="BA81" s="143" t="str">
        <f t="shared" si="12"/>
        <v/>
      </c>
      <c r="BB81" s="143" t="str">
        <f t="shared" si="12"/>
        <v/>
      </c>
      <c r="BC81" s="143" t="str">
        <f t="shared" si="12"/>
        <v/>
      </c>
      <c r="BD81" s="143" t="str">
        <f t="shared" si="12"/>
        <v/>
      </c>
      <c r="BF81" s="9">
        <f t="shared" si="17"/>
        <v>2.4560594718311285E-5</v>
      </c>
      <c r="BG81" s="9">
        <f t="shared" si="18"/>
        <v>0.9599056235425405</v>
      </c>
    </row>
    <row r="82" spans="2:59" x14ac:dyDescent="0.3">
      <c r="B82" s="3" t="s">
        <v>170</v>
      </c>
      <c r="D82" s="141">
        <v>1283706</v>
      </c>
      <c r="E82" s="141">
        <v>1173417</v>
      </c>
      <c r="F82" s="141">
        <v>1199513</v>
      </c>
      <c r="G82" s="141"/>
      <c r="H82" s="141"/>
      <c r="I82" s="141"/>
      <c r="J82" s="141"/>
      <c r="K82" s="141"/>
      <c r="L82" s="141"/>
      <c r="M82" s="141"/>
      <c r="N82" s="141"/>
      <c r="O82" s="141"/>
      <c r="P82" s="141">
        <f t="shared" si="15"/>
        <v>3656636</v>
      </c>
      <c r="R82" s="141">
        <v>206746</v>
      </c>
      <c r="S82" s="141">
        <v>154301</v>
      </c>
      <c r="T82" s="141">
        <v>147982</v>
      </c>
      <c r="U82" s="141"/>
      <c r="V82" s="141"/>
      <c r="W82" s="141"/>
      <c r="X82" s="141"/>
      <c r="Y82" s="141"/>
      <c r="Z82" s="141"/>
      <c r="AA82" s="141"/>
      <c r="AB82" s="141"/>
      <c r="AC82" s="141"/>
      <c r="AD82" s="141">
        <f t="shared" si="16"/>
        <v>509029</v>
      </c>
      <c r="AF82" s="2">
        <f t="shared" si="13"/>
        <v>0.16105401080932863</v>
      </c>
      <c r="AG82" s="2">
        <f t="shared" si="13"/>
        <v>0.1314971574470116</v>
      </c>
      <c r="AH82" s="2">
        <f t="shared" si="13"/>
        <v>0.12336840034247232</v>
      </c>
      <c r="AI82" s="2" t="str">
        <f t="shared" si="13"/>
        <v/>
      </c>
      <c r="AJ82" s="2" t="str">
        <f t="shared" si="13"/>
        <v/>
      </c>
      <c r="AK82" s="2" t="str">
        <f t="shared" si="13"/>
        <v/>
      </c>
      <c r="AL82" s="2" t="str">
        <f t="shared" si="13"/>
        <v/>
      </c>
      <c r="AM82" s="2" t="str">
        <f t="shared" si="11"/>
        <v/>
      </c>
      <c r="AN82" s="2" t="str">
        <f t="shared" si="11"/>
        <v/>
      </c>
      <c r="AO82" s="2" t="str">
        <f t="shared" si="11"/>
        <v/>
      </c>
      <c r="AP82" s="2" t="str">
        <f t="shared" si="11"/>
        <v/>
      </c>
      <c r="AQ82" s="2" t="str">
        <f t="shared" si="11"/>
        <v/>
      </c>
      <c r="AR82" s="2">
        <f t="shared" si="11"/>
        <v>0.13920691039523758</v>
      </c>
      <c r="AT82" s="2" t="str">
        <f t="shared" si="19"/>
        <v/>
      </c>
      <c r="AU82" s="2" t="str">
        <f t="shared" si="19"/>
        <v/>
      </c>
      <c r="AV82" s="143" t="str">
        <f t="shared" si="14"/>
        <v/>
      </c>
      <c r="AW82" s="143" t="str">
        <f t="shared" si="14"/>
        <v/>
      </c>
      <c r="AX82" s="143" t="str">
        <f t="shared" si="14"/>
        <v/>
      </c>
      <c r="AY82" s="143" t="str">
        <f t="shared" si="12"/>
        <v/>
      </c>
      <c r="AZ82" s="143" t="str">
        <f t="shared" si="12"/>
        <v/>
      </c>
      <c r="BA82" s="143" t="str">
        <f t="shared" si="12"/>
        <v/>
      </c>
      <c r="BB82" s="143" t="str">
        <f t="shared" si="12"/>
        <v/>
      </c>
      <c r="BC82" s="143" t="str">
        <f t="shared" si="12"/>
        <v/>
      </c>
      <c r="BD82" s="143" t="str">
        <f t="shared" si="12"/>
        <v/>
      </c>
      <c r="BF82" s="9">
        <f t="shared" si="17"/>
        <v>4.0018101113495965E-4</v>
      </c>
      <c r="BG82" s="9">
        <f t="shared" si="18"/>
        <v>0.96030580455367542</v>
      </c>
    </row>
    <row r="83" spans="2:59" x14ac:dyDescent="0.3">
      <c r="B83" s="3" t="s">
        <v>148</v>
      </c>
      <c r="D83" s="141">
        <v>5500895</v>
      </c>
      <c r="E83" s="141">
        <v>5578458</v>
      </c>
      <c r="F83" s="141">
        <v>5835029</v>
      </c>
      <c r="G83" s="141"/>
      <c r="H83" s="141"/>
      <c r="I83" s="141"/>
      <c r="J83" s="141"/>
      <c r="K83" s="141"/>
      <c r="L83" s="141"/>
      <c r="M83" s="141"/>
      <c r="N83" s="141"/>
      <c r="O83" s="141"/>
      <c r="P83" s="141">
        <f t="shared" si="15"/>
        <v>16914382</v>
      </c>
      <c r="R83" s="141">
        <v>814880</v>
      </c>
      <c r="S83" s="141">
        <v>784535</v>
      </c>
      <c r="T83" s="141">
        <v>783418</v>
      </c>
      <c r="U83" s="141"/>
      <c r="V83" s="141"/>
      <c r="W83" s="141"/>
      <c r="X83" s="141"/>
      <c r="Y83" s="141"/>
      <c r="Z83" s="141"/>
      <c r="AA83" s="141"/>
      <c r="AB83" s="141"/>
      <c r="AC83" s="141"/>
      <c r="AD83" s="141">
        <f t="shared" si="16"/>
        <v>2382833</v>
      </c>
      <c r="AF83" s="2">
        <f t="shared" si="13"/>
        <v>0.1481358942499357</v>
      </c>
      <c r="AG83" s="2">
        <f t="shared" si="13"/>
        <v>0.14063653432543546</v>
      </c>
      <c r="AH83" s="2">
        <f t="shared" si="13"/>
        <v>0.13426120075838527</v>
      </c>
      <c r="AI83" s="2" t="str">
        <f t="shared" si="13"/>
        <v/>
      </c>
      <c r="AJ83" s="2" t="str">
        <f t="shared" si="13"/>
        <v/>
      </c>
      <c r="AK83" s="2" t="str">
        <f t="shared" si="13"/>
        <v/>
      </c>
      <c r="AL83" s="2" t="str">
        <f t="shared" si="13"/>
        <v/>
      </c>
      <c r="AM83" s="2" t="str">
        <f t="shared" si="11"/>
        <v/>
      </c>
      <c r="AN83" s="2" t="str">
        <f t="shared" si="11"/>
        <v/>
      </c>
      <c r="AO83" s="2" t="str">
        <f t="shared" si="11"/>
        <v/>
      </c>
      <c r="AP83" s="2" t="str">
        <f t="shared" si="11"/>
        <v/>
      </c>
      <c r="AQ83" s="2" t="str">
        <f t="shared" si="11"/>
        <v/>
      </c>
      <c r="AR83" s="2">
        <f t="shared" si="11"/>
        <v>0.1408761490665163</v>
      </c>
      <c r="AT83" s="2" t="str">
        <f t="shared" si="19"/>
        <v/>
      </c>
      <c r="AU83" s="2" t="str">
        <f t="shared" si="19"/>
        <v/>
      </c>
      <c r="AV83" s="143" t="str">
        <f t="shared" si="14"/>
        <v/>
      </c>
      <c r="AW83" s="143" t="str">
        <f t="shared" si="14"/>
        <v/>
      </c>
      <c r="AX83" s="143" t="str">
        <f t="shared" si="14"/>
        <v/>
      </c>
      <c r="AY83" s="143" t="str">
        <f t="shared" si="12"/>
        <v/>
      </c>
      <c r="AZ83" s="143" t="str">
        <f t="shared" si="12"/>
        <v/>
      </c>
      <c r="BA83" s="143" t="str">
        <f t="shared" si="12"/>
        <v/>
      </c>
      <c r="BB83" s="143" t="str">
        <f t="shared" si="12"/>
        <v/>
      </c>
      <c r="BC83" s="143" t="str">
        <f t="shared" si="12"/>
        <v/>
      </c>
      <c r="BD83" s="143" t="str">
        <f t="shared" si="12"/>
        <v/>
      </c>
      <c r="BF83" s="9">
        <f t="shared" si="17"/>
        <v>1.8733009697006443E-3</v>
      </c>
      <c r="BG83" s="9">
        <f t="shared" si="18"/>
        <v>0.96217910552337604</v>
      </c>
    </row>
    <row r="84" spans="2:59" x14ac:dyDescent="0.3">
      <c r="B84" s="3" t="s">
        <v>161</v>
      </c>
      <c r="D84" s="141">
        <v>3826124</v>
      </c>
      <c r="E84" s="141">
        <v>4499058</v>
      </c>
      <c r="F84" s="141">
        <v>6327195</v>
      </c>
      <c r="G84" s="141"/>
      <c r="H84" s="141"/>
      <c r="I84" s="141"/>
      <c r="J84" s="141"/>
      <c r="K84" s="141"/>
      <c r="L84" s="141"/>
      <c r="M84" s="141"/>
      <c r="N84" s="141"/>
      <c r="O84" s="141"/>
      <c r="P84" s="141">
        <f t="shared" si="15"/>
        <v>14652377</v>
      </c>
      <c r="R84" s="141">
        <v>469349</v>
      </c>
      <c r="S84" s="141">
        <v>597810</v>
      </c>
      <c r="T84" s="141">
        <v>692847</v>
      </c>
      <c r="U84" s="141"/>
      <c r="V84" s="141"/>
      <c r="W84" s="141"/>
      <c r="X84" s="141"/>
      <c r="Y84" s="141"/>
      <c r="Z84" s="141"/>
      <c r="AA84" s="141"/>
      <c r="AB84" s="141"/>
      <c r="AC84" s="141"/>
      <c r="AD84" s="141">
        <f t="shared" si="16"/>
        <v>1760006</v>
      </c>
      <c r="AF84" s="2">
        <f t="shared" si="13"/>
        <v>0.12266957369912737</v>
      </c>
      <c r="AG84" s="2">
        <f t="shared" si="13"/>
        <v>0.13287448172484106</v>
      </c>
      <c r="AH84" s="2">
        <f t="shared" si="13"/>
        <v>0.10950302622252041</v>
      </c>
      <c r="AI84" s="2" t="str">
        <f t="shared" si="13"/>
        <v/>
      </c>
      <c r="AJ84" s="2" t="str">
        <f t="shared" si="13"/>
        <v/>
      </c>
      <c r="AK84" s="2" t="str">
        <f t="shared" si="13"/>
        <v/>
      </c>
      <c r="AL84" s="2" t="str">
        <f t="shared" si="13"/>
        <v/>
      </c>
      <c r="AM84" s="2" t="str">
        <f t="shared" si="11"/>
        <v/>
      </c>
      <c r="AN84" s="2" t="str">
        <f t="shared" si="11"/>
        <v/>
      </c>
      <c r="AO84" s="2" t="str">
        <f t="shared" si="11"/>
        <v/>
      </c>
      <c r="AP84" s="2" t="str">
        <f t="shared" si="11"/>
        <v/>
      </c>
      <c r="AQ84" s="2" t="str">
        <f t="shared" si="11"/>
        <v/>
      </c>
      <c r="AR84" s="2">
        <f t="shared" si="11"/>
        <v>0.12011743896570502</v>
      </c>
      <c r="AT84" s="2" t="str">
        <f t="shared" si="19"/>
        <v/>
      </c>
      <c r="AU84" s="2" t="str">
        <f t="shared" si="19"/>
        <v/>
      </c>
      <c r="AV84" s="143" t="str">
        <f t="shared" si="14"/>
        <v/>
      </c>
      <c r="AW84" s="143" t="str">
        <f t="shared" si="14"/>
        <v/>
      </c>
      <c r="AX84" s="143" t="str">
        <f t="shared" si="14"/>
        <v/>
      </c>
      <c r="AY84" s="143" t="str">
        <f t="shared" si="12"/>
        <v/>
      </c>
      <c r="AZ84" s="143" t="str">
        <f t="shared" si="12"/>
        <v/>
      </c>
      <c r="BA84" s="143" t="str">
        <f t="shared" si="12"/>
        <v/>
      </c>
      <c r="BB84" s="143" t="str">
        <f t="shared" si="12"/>
        <v/>
      </c>
      <c r="BC84" s="143" t="str">
        <f t="shared" si="12"/>
        <v/>
      </c>
      <c r="BD84" s="143" t="str">
        <f t="shared" si="12"/>
        <v/>
      </c>
      <c r="BF84" s="9">
        <f t="shared" si="17"/>
        <v>1.3836559030695615E-3</v>
      </c>
      <c r="BG84" s="9">
        <f t="shared" si="18"/>
        <v>0.96356276142644559</v>
      </c>
    </row>
    <row r="85" spans="2:59" x14ac:dyDescent="0.3">
      <c r="B85" s="3" t="s">
        <v>154</v>
      </c>
      <c r="D85" s="141">
        <v>1207659</v>
      </c>
      <c r="E85" s="141">
        <v>1124095</v>
      </c>
      <c r="F85" s="141">
        <v>1167535</v>
      </c>
      <c r="G85" s="141"/>
      <c r="H85" s="141"/>
      <c r="I85" s="141"/>
      <c r="J85" s="141"/>
      <c r="K85" s="141"/>
      <c r="L85" s="141"/>
      <c r="M85" s="141"/>
      <c r="N85" s="141"/>
      <c r="O85" s="141"/>
      <c r="P85" s="141">
        <f t="shared" si="15"/>
        <v>3499289</v>
      </c>
      <c r="R85" s="141">
        <v>113666</v>
      </c>
      <c r="S85" s="141">
        <v>113690</v>
      </c>
      <c r="T85" s="141">
        <v>104304</v>
      </c>
      <c r="U85" s="141"/>
      <c r="V85" s="141"/>
      <c r="W85" s="141"/>
      <c r="X85" s="141"/>
      <c r="Y85" s="141"/>
      <c r="Z85" s="141"/>
      <c r="AA85" s="141"/>
      <c r="AB85" s="141"/>
      <c r="AC85" s="141"/>
      <c r="AD85" s="141">
        <f t="shared" si="16"/>
        <v>331660</v>
      </c>
      <c r="AF85" s="2">
        <f t="shared" si="13"/>
        <v>9.412093976859362E-2</v>
      </c>
      <c r="AG85" s="2">
        <f t="shared" si="13"/>
        <v>0.10113913859593718</v>
      </c>
      <c r="AH85" s="2">
        <f t="shared" si="13"/>
        <v>8.9336936365933359E-2</v>
      </c>
      <c r="AI85" s="2" t="str">
        <f t="shared" si="13"/>
        <v/>
      </c>
      <c r="AJ85" s="2" t="str">
        <f t="shared" si="13"/>
        <v/>
      </c>
      <c r="AK85" s="2" t="str">
        <f t="shared" si="13"/>
        <v/>
      </c>
      <c r="AL85" s="2" t="str">
        <f t="shared" si="13"/>
        <v/>
      </c>
      <c r="AM85" s="2" t="str">
        <f t="shared" si="11"/>
        <v/>
      </c>
      <c r="AN85" s="2" t="str">
        <f t="shared" si="11"/>
        <v/>
      </c>
      <c r="AO85" s="2" t="str">
        <f t="shared" si="11"/>
        <v/>
      </c>
      <c r="AP85" s="2" t="str">
        <f t="shared" si="11"/>
        <v/>
      </c>
      <c r="AQ85" s="2" t="str">
        <f t="shared" si="11"/>
        <v/>
      </c>
      <c r="AR85" s="2">
        <f t="shared" si="11"/>
        <v>9.4779253728400251E-2</v>
      </c>
      <c r="AT85" s="2" t="str">
        <f t="shared" si="19"/>
        <v/>
      </c>
      <c r="AU85" s="2" t="str">
        <f t="shared" si="19"/>
        <v/>
      </c>
      <c r="AV85" s="143" t="str">
        <f t="shared" si="14"/>
        <v/>
      </c>
      <c r="AW85" s="143" t="str">
        <f t="shared" si="14"/>
        <v/>
      </c>
      <c r="AX85" s="143" t="str">
        <f t="shared" si="14"/>
        <v/>
      </c>
      <c r="AY85" s="143" t="str">
        <f t="shared" si="12"/>
        <v/>
      </c>
      <c r="AZ85" s="143" t="str">
        <f t="shared" si="12"/>
        <v/>
      </c>
      <c r="BA85" s="143" t="str">
        <f t="shared" si="12"/>
        <v/>
      </c>
      <c r="BB85" s="143" t="str">
        <f t="shared" si="12"/>
        <v/>
      </c>
      <c r="BC85" s="143" t="str">
        <f t="shared" si="12"/>
        <v/>
      </c>
      <c r="BD85" s="143" t="str">
        <f t="shared" si="12"/>
        <v/>
      </c>
      <c r="BF85" s="9">
        <f t="shared" si="17"/>
        <v>2.6073963203082873E-4</v>
      </c>
      <c r="BG85" s="9">
        <f t="shared" si="18"/>
        <v>0.96382350105847647</v>
      </c>
    </row>
    <row r="86" spans="2:59" x14ac:dyDescent="0.3">
      <c r="B86" s="3" t="s">
        <v>163</v>
      </c>
      <c r="D86" s="141">
        <v>1106299</v>
      </c>
      <c r="E86" s="141">
        <v>877384</v>
      </c>
      <c r="F86" s="141">
        <v>602352</v>
      </c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5"/>
        <v>2586035</v>
      </c>
      <c r="R86" s="141">
        <v>116708</v>
      </c>
      <c r="S86" s="141">
        <v>80689</v>
      </c>
      <c r="T86" s="141">
        <v>62593</v>
      </c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6"/>
        <v>259990</v>
      </c>
      <c r="AF86" s="2">
        <f t="shared" si="13"/>
        <v>0.10549408432982403</v>
      </c>
      <c r="AG86" s="2">
        <f t="shared" si="13"/>
        <v>9.1965433607177696E-2</v>
      </c>
      <c r="AH86" s="2">
        <f t="shared" si="13"/>
        <v>0.10391432252237894</v>
      </c>
      <c r="AI86" s="2" t="str">
        <f t="shared" si="13"/>
        <v/>
      </c>
      <c r="AJ86" s="2" t="str">
        <f t="shared" si="13"/>
        <v/>
      </c>
      <c r="AK86" s="2" t="str">
        <f t="shared" si="13"/>
        <v/>
      </c>
      <c r="AL86" s="2" t="str">
        <f t="shared" si="13"/>
        <v/>
      </c>
      <c r="AM86" s="2" t="str">
        <f t="shared" si="11"/>
        <v/>
      </c>
      <c r="AN86" s="2" t="str">
        <f t="shared" si="11"/>
        <v/>
      </c>
      <c r="AO86" s="2" t="str">
        <f t="shared" si="11"/>
        <v/>
      </c>
      <c r="AP86" s="2" t="str">
        <f t="shared" si="11"/>
        <v/>
      </c>
      <c r="AQ86" s="2" t="str">
        <f t="shared" si="11"/>
        <v/>
      </c>
      <c r="AR86" s="2">
        <f t="shared" si="11"/>
        <v>0.10053614896936816</v>
      </c>
      <c r="AT86" s="2" t="str">
        <f t="shared" si="19"/>
        <v/>
      </c>
      <c r="AU86" s="2" t="str">
        <f t="shared" si="19"/>
        <v/>
      </c>
      <c r="AV86" s="143" t="str">
        <f t="shared" si="14"/>
        <v/>
      </c>
      <c r="AW86" s="143" t="str">
        <f t="shared" si="14"/>
        <v/>
      </c>
      <c r="AX86" s="143" t="str">
        <f t="shared" si="14"/>
        <v/>
      </c>
      <c r="AY86" s="143" t="str">
        <f t="shared" si="12"/>
        <v/>
      </c>
      <c r="AZ86" s="143" t="str">
        <f t="shared" si="12"/>
        <v/>
      </c>
      <c r="BA86" s="143" t="str">
        <f t="shared" si="12"/>
        <v/>
      </c>
      <c r="BB86" s="143" t="str">
        <f t="shared" si="12"/>
        <v/>
      </c>
      <c r="BC86" s="143" t="str">
        <f t="shared" si="12"/>
        <v/>
      </c>
      <c r="BD86" s="143" t="str">
        <f t="shared" si="12"/>
        <v/>
      </c>
      <c r="BF86" s="9">
        <f t="shared" si="17"/>
        <v>2.0439515447052753E-4</v>
      </c>
      <c r="BG86" s="9">
        <f t="shared" si="18"/>
        <v>0.96402789621294704</v>
      </c>
    </row>
    <row r="87" spans="2:59" x14ac:dyDescent="0.3">
      <c r="B87" s="3" t="s">
        <v>167</v>
      </c>
      <c r="D87" s="141">
        <v>3811622</v>
      </c>
      <c r="E87" s="141">
        <v>2451553</v>
      </c>
      <c r="F87" s="141">
        <v>2302598</v>
      </c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5"/>
        <v>8565773</v>
      </c>
      <c r="R87" s="141">
        <v>453579</v>
      </c>
      <c r="S87" s="141">
        <v>294949</v>
      </c>
      <c r="T87" s="141">
        <v>267785</v>
      </c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6"/>
        <v>1016313</v>
      </c>
      <c r="AF87" s="2">
        <f t="shared" si="13"/>
        <v>0.11899894585559638</v>
      </c>
      <c r="AG87" s="2">
        <f t="shared" si="13"/>
        <v>0.12031108444320804</v>
      </c>
      <c r="AH87" s="2">
        <f t="shared" si="13"/>
        <v>0.11629689594101966</v>
      </c>
      <c r="AI87" s="2" t="str">
        <f t="shared" si="13"/>
        <v/>
      </c>
      <c r="AJ87" s="2" t="str">
        <f t="shared" si="13"/>
        <v/>
      </c>
      <c r="AK87" s="2" t="str">
        <f t="shared" si="13"/>
        <v/>
      </c>
      <c r="AL87" s="2" t="str">
        <f t="shared" si="13"/>
        <v/>
      </c>
      <c r="AM87" s="2" t="str">
        <f t="shared" si="11"/>
        <v/>
      </c>
      <c r="AN87" s="2" t="str">
        <f t="shared" si="11"/>
        <v/>
      </c>
      <c r="AO87" s="2" t="str">
        <f t="shared" si="11"/>
        <v/>
      </c>
      <c r="AP87" s="2" t="str">
        <f t="shared" si="11"/>
        <v/>
      </c>
      <c r="AQ87" s="2" t="str">
        <f t="shared" si="11"/>
        <v/>
      </c>
      <c r="AR87" s="2">
        <f t="shared" si="11"/>
        <v>0.11864813601761336</v>
      </c>
      <c r="AT87" s="2" t="str">
        <f t="shared" si="19"/>
        <v/>
      </c>
      <c r="AU87" s="2" t="str">
        <f t="shared" si="19"/>
        <v/>
      </c>
      <c r="AV87" s="143" t="str">
        <f t="shared" si="14"/>
        <v/>
      </c>
      <c r="AW87" s="143" t="str">
        <f t="shared" si="14"/>
        <v/>
      </c>
      <c r="AX87" s="143" t="str">
        <f t="shared" si="14"/>
        <v/>
      </c>
      <c r="AY87" s="143" t="str">
        <f t="shared" si="12"/>
        <v/>
      </c>
      <c r="AZ87" s="143" t="str">
        <f t="shared" si="12"/>
        <v/>
      </c>
      <c r="BA87" s="143" t="str">
        <f t="shared" si="12"/>
        <v/>
      </c>
      <c r="BB87" s="143" t="str">
        <f t="shared" si="12"/>
        <v/>
      </c>
      <c r="BC87" s="143" t="str">
        <f t="shared" si="12"/>
        <v/>
      </c>
      <c r="BD87" s="143" t="str">
        <f t="shared" si="12"/>
        <v/>
      </c>
      <c r="BF87" s="9">
        <f t="shared" si="17"/>
        <v>7.9899016356554194E-4</v>
      </c>
      <c r="BG87" s="9">
        <f t="shared" si="18"/>
        <v>0.96482688637651259</v>
      </c>
    </row>
    <row r="88" spans="2:59" x14ac:dyDescent="0.3">
      <c r="B88" s="3" t="s">
        <v>204</v>
      </c>
      <c r="D88" s="141">
        <v>36880724</v>
      </c>
      <c r="E88" s="141">
        <v>33524150</v>
      </c>
      <c r="F88" s="141">
        <v>33175194</v>
      </c>
      <c r="G88" s="141"/>
      <c r="H88" s="141"/>
      <c r="I88" s="141"/>
      <c r="J88" s="141"/>
      <c r="K88" s="141"/>
      <c r="L88" s="141"/>
      <c r="M88" s="141"/>
      <c r="N88" s="141"/>
      <c r="O88" s="141"/>
      <c r="P88" s="141">
        <f t="shared" si="15"/>
        <v>103580068</v>
      </c>
      <c r="R88" s="141">
        <v>2691624</v>
      </c>
      <c r="S88" s="141">
        <v>2423381</v>
      </c>
      <c r="T88" s="141">
        <v>2305891</v>
      </c>
      <c r="U88" s="141"/>
      <c r="V88" s="141"/>
      <c r="W88" s="141"/>
      <c r="X88" s="141"/>
      <c r="Y88" s="141"/>
      <c r="Z88" s="141"/>
      <c r="AA88" s="141"/>
      <c r="AB88" s="141"/>
      <c r="AC88" s="141"/>
      <c r="AD88" s="141">
        <f t="shared" si="16"/>
        <v>7420896</v>
      </c>
      <c r="AF88" s="2">
        <f t="shared" si="13"/>
        <v>7.2981864455806233E-2</v>
      </c>
      <c r="AG88" s="2">
        <f t="shared" si="13"/>
        <v>7.2287619522046043E-2</v>
      </c>
      <c r="AH88" s="2">
        <f t="shared" si="13"/>
        <v>6.9506481258255787E-2</v>
      </c>
      <c r="AI88" s="2" t="str">
        <f t="shared" si="13"/>
        <v/>
      </c>
      <c r="AJ88" s="2" t="str">
        <f t="shared" si="13"/>
        <v/>
      </c>
      <c r="AK88" s="2" t="str">
        <f t="shared" si="13"/>
        <v/>
      </c>
      <c r="AL88" s="2" t="str">
        <f t="shared" si="13"/>
        <v/>
      </c>
      <c r="AM88" s="2" t="str">
        <f t="shared" si="13"/>
        <v/>
      </c>
      <c r="AN88" s="2" t="str">
        <f t="shared" si="13"/>
        <v/>
      </c>
      <c r="AO88" s="2" t="str">
        <f t="shared" si="13"/>
        <v/>
      </c>
      <c r="AP88" s="2" t="str">
        <f t="shared" si="13"/>
        <v/>
      </c>
      <c r="AQ88" s="2" t="str">
        <f t="shared" si="13"/>
        <v/>
      </c>
      <c r="AR88" s="2">
        <f t="shared" si="13"/>
        <v>7.164405414369876E-2</v>
      </c>
      <c r="AT88" s="2" t="str">
        <f t="shared" si="19"/>
        <v/>
      </c>
      <c r="AU88" s="2" t="str">
        <f t="shared" si="19"/>
        <v/>
      </c>
      <c r="AV88" s="143" t="str">
        <f t="shared" si="14"/>
        <v/>
      </c>
      <c r="AW88" s="143" t="str">
        <f t="shared" si="14"/>
        <v/>
      </c>
      <c r="AX88" s="143" t="str">
        <f t="shared" si="14"/>
        <v/>
      </c>
      <c r="AY88" s="143" t="str">
        <f t="shared" si="14"/>
        <v/>
      </c>
      <c r="AZ88" s="143" t="str">
        <f t="shared" si="14"/>
        <v/>
      </c>
      <c r="BA88" s="143" t="str">
        <f t="shared" si="14"/>
        <v/>
      </c>
      <c r="BB88" s="143" t="str">
        <f t="shared" si="14"/>
        <v/>
      </c>
      <c r="BC88" s="143" t="str">
        <f t="shared" si="14"/>
        <v/>
      </c>
      <c r="BD88" s="143" t="str">
        <f t="shared" si="14"/>
        <v/>
      </c>
      <c r="BF88" s="9">
        <f t="shared" si="17"/>
        <v>5.8340520182688562E-3</v>
      </c>
      <c r="BG88" s="9">
        <f t="shared" si="18"/>
        <v>0.9706609383947814</v>
      </c>
    </row>
    <row r="89" spans="2:59" x14ac:dyDescent="0.3">
      <c r="B89" s="3" t="s">
        <v>164</v>
      </c>
      <c r="D89" s="141">
        <v>1147838</v>
      </c>
      <c r="E89" s="141">
        <v>1012059</v>
      </c>
      <c r="F89" s="141">
        <v>938063</v>
      </c>
      <c r="G89" s="141"/>
      <c r="H89" s="141"/>
      <c r="I89" s="141"/>
      <c r="J89" s="141"/>
      <c r="K89" s="141"/>
      <c r="L89" s="141"/>
      <c r="M89" s="141"/>
      <c r="N89" s="141"/>
      <c r="O89" s="141"/>
      <c r="P89" s="141">
        <f t="shared" si="15"/>
        <v>3097960</v>
      </c>
      <c r="R89" s="141">
        <v>107962</v>
      </c>
      <c r="S89" s="141">
        <v>101851</v>
      </c>
      <c r="T89" s="141">
        <v>87850</v>
      </c>
      <c r="U89" s="141"/>
      <c r="V89" s="141"/>
      <c r="W89" s="141"/>
      <c r="X89" s="141"/>
      <c r="Y89" s="141"/>
      <c r="Z89" s="141"/>
      <c r="AA89" s="141"/>
      <c r="AB89" s="141"/>
      <c r="AC89" s="141"/>
      <c r="AD89" s="141">
        <f t="shared" si="16"/>
        <v>297663</v>
      </c>
      <c r="AF89" s="2">
        <f t="shared" ref="AF89:AR108" si="20">+IFERROR(R89/D89,"")</f>
        <v>9.405682683444877E-2</v>
      </c>
      <c r="AG89" s="2">
        <f t="shared" si="20"/>
        <v>0.10063741343143039</v>
      </c>
      <c r="AH89" s="2">
        <f t="shared" si="20"/>
        <v>9.365042646389421E-2</v>
      </c>
      <c r="AI89" s="2" t="str">
        <f t="shared" si="20"/>
        <v/>
      </c>
      <c r="AJ89" s="2" t="str">
        <f t="shared" si="20"/>
        <v/>
      </c>
      <c r="AK89" s="2" t="str">
        <f t="shared" si="20"/>
        <v/>
      </c>
      <c r="AL89" s="2" t="str">
        <f t="shared" si="20"/>
        <v/>
      </c>
      <c r="AM89" s="2" t="str">
        <f t="shared" si="20"/>
        <v/>
      </c>
      <c r="AN89" s="2" t="str">
        <f t="shared" si="20"/>
        <v/>
      </c>
      <c r="AO89" s="2" t="str">
        <f t="shared" si="20"/>
        <v/>
      </c>
      <c r="AP89" s="2" t="str">
        <f t="shared" si="20"/>
        <v/>
      </c>
      <c r="AQ89" s="2" t="str">
        <f t="shared" si="20"/>
        <v/>
      </c>
      <c r="AR89" s="2">
        <f t="shared" si="20"/>
        <v>9.6083551756639851E-2</v>
      </c>
      <c r="AT89" s="2" t="str">
        <f t="shared" si="19"/>
        <v/>
      </c>
      <c r="AU89" s="2" t="str">
        <f t="shared" si="19"/>
        <v/>
      </c>
      <c r="AV89" s="143" t="str">
        <f t="shared" ref="AV89:BD117" si="21">+IFERROR(AI89-AH89,"")</f>
        <v/>
      </c>
      <c r="AW89" s="143" t="str">
        <f t="shared" si="21"/>
        <v/>
      </c>
      <c r="AX89" s="143" t="str">
        <f t="shared" si="21"/>
        <v/>
      </c>
      <c r="AY89" s="143" t="str">
        <f t="shared" si="21"/>
        <v/>
      </c>
      <c r="AZ89" s="143" t="str">
        <f t="shared" si="21"/>
        <v/>
      </c>
      <c r="BA89" s="143" t="str">
        <f t="shared" si="21"/>
        <v/>
      </c>
      <c r="BB89" s="143" t="str">
        <f t="shared" si="21"/>
        <v/>
      </c>
      <c r="BC89" s="143" t="str">
        <f t="shared" si="21"/>
        <v/>
      </c>
      <c r="BD89" s="143" t="str">
        <f t="shared" si="21"/>
        <v/>
      </c>
      <c r="BF89" s="9">
        <f t="shared" si="17"/>
        <v>2.340123653415925E-4</v>
      </c>
      <c r="BG89" s="9">
        <f t="shared" si="18"/>
        <v>0.970894950760123</v>
      </c>
    </row>
    <row r="90" spans="2:59" x14ac:dyDescent="0.3">
      <c r="B90" s="3" t="s">
        <v>180</v>
      </c>
      <c r="D90" s="141">
        <v>916077</v>
      </c>
      <c r="E90" s="141">
        <v>875433</v>
      </c>
      <c r="F90" s="141">
        <v>865193</v>
      </c>
      <c r="G90" s="141"/>
      <c r="H90" s="141"/>
      <c r="I90" s="141"/>
      <c r="J90" s="141"/>
      <c r="K90" s="141"/>
      <c r="L90" s="141"/>
      <c r="M90" s="141"/>
      <c r="N90" s="141"/>
      <c r="O90" s="141"/>
      <c r="P90" s="141">
        <f t="shared" si="15"/>
        <v>2656703</v>
      </c>
      <c r="R90" s="141">
        <v>102262</v>
      </c>
      <c r="S90" s="141">
        <v>101945</v>
      </c>
      <c r="T90" s="141">
        <v>99148</v>
      </c>
      <c r="U90" s="141"/>
      <c r="V90" s="141"/>
      <c r="W90" s="141"/>
      <c r="X90" s="141"/>
      <c r="Y90" s="141"/>
      <c r="Z90" s="141"/>
      <c r="AA90" s="141"/>
      <c r="AB90" s="141"/>
      <c r="AC90" s="141"/>
      <c r="AD90" s="141">
        <f t="shared" si="16"/>
        <v>303355</v>
      </c>
      <c r="AF90" s="2">
        <f t="shared" si="20"/>
        <v>0.11163035421694902</v>
      </c>
      <c r="AG90" s="2">
        <f t="shared" si="20"/>
        <v>0.11645094484672157</v>
      </c>
      <c r="AH90" s="2">
        <f t="shared" si="20"/>
        <v>0.1145963964109742</v>
      </c>
      <c r="AI90" s="2" t="str">
        <f t="shared" si="20"/>
        <v/>
      </c>
      <c r="AJ90" s="2" t="str">
        <f t="shared" si="20"/>
        <v/>
      </c>
      <c r="AK90" s="2" t="str">
        <f t="shared" si="20"/>
        <v/>
      </c>
      <c r="AL90" s="2" t="str">
        <f t="shared" si="20"/>
        <v/>
      </c>
      <c r="AM90" s="2" t="str">
        <f t="shared" si="20"/>
        <v/>
      </c>
      <c r="AN90" s="2" t="str">
        <f t="shared" si="20"/>
        <v/>
      </c>
      <c r="AO90" s="2" t="str">
        <f t="shared" si="20"/>
        <v/>
      </c>
      <c r="AP90" s="2" t="str">
        <f t="shared" si="20"/>
        <v/>
      </c>
      <c r="AQ90" s="2" t="str">
        <f t="shared" si="20"/>
        <v/>
      </c>
      <c r="AR90" s="2">
        <f t="shared" si="20"/>
        <v>0.11418476209045572</v>
      </c>
      <c r="AT90" s="2" t="str">
        <f t="shared" si="19"/>
        <v/>
      </c>
      <c r="AU90" s="2" t="str">
        <f t="shared" si="19"/>
        <v/>
      </c>
      <c r="AV90" s="143" t="str">
        <f t="shared" si="21"/>
        <v/>
      </c>
      <c r="AW90" s="143" t="str">
        <f t="shared" si="21"/>
        <v/>
      </c>
      <c r="AX90" s="143" t="str">
        <f t="shared" si="21"/>
        <v/>
      </c>
      <c r="AY90" s="143" t="str">
        <f t="shared" si="21"/>
        <v/>
      </c>
      <c r="AZ90" s="143" t="str">
        <f t="shared" si="21"/>
        <v/>
      </c>
      <c r="BA90" s="143" t="str">
        <f t="shared" si="21"/>
        <v/>
      </c>
      <c r="BB90" s="143" t="str">
        <f t="shared" si="21"/>
        <v/>
      </c>
      <c r="BC90" s="143" t="str">
        <f t="shared" si="21"/>
        <v/>
      </c>
      <c r="BD90" s="143" t="str">
        <f t="shared" si="21"/>
        <v/>
      </c>
      <c r="BF90" s="9">
        <f t="shared" si="17"/>
        <v>2.3848721906383661E-4</v>
      </c>
      <c r="BG90" s="9">
        <f t="shared" si="18"/>
        <v>0.97113343797918683</v>
      </c>
    </row>
    <row r="91" spans="2:59" x14ac:dyDescent="0.3">
      <c r="B91" s="3" t="s">
        <v>169</v>
      </c>
      <c r="D91" s="141">
        <v>923532</v>
      </c>
      <c r="E91" s="141">
        <v>874472</v>
      </c>
      <c r="F91" s="141">
        <v>824783</v>
      </c>
      <c r="G91" s="141"/>
      <c r="H91" s="141"/>
      <c r="I91" s="141"/>
      <c r="J91" s="141"/>
      <c r="K91" s="141"/>
      <c r="L91" s="141"/>
      <c r="M91" s="141"/>
      <c r="N91" s="141"/>
      <c r="O91" s="141"/>
      <c r="P91" s="141">
        <f t="shared" si="15"/>
        <v>2622787</v>
      </c>
      <c r="R91" s="141">
        <v>122868</v>
      </c>
      <c r="S91" s="141">
        <v>106267</v>
      </c>
      <c r="T91" s="141">
        <v>94560</v>
      </c>
      <c r="U91" s="141"/>
      <c r="V91" s="141"/>
      <c r="W91" s="141"/>
      <c r="X91" s="141"/>
      <c r="Y91" s="141"/>
      <c r="Z91" s="141"/>
      <c r="AA91" s="141"/>
      <c r="AB91" s="141"/>
      <c r="AC91" s="141"/>
      <c r="AD91" s="141">
        <f t="shared" si="16"/>
        <v>323695</v>
      </c>
      <c r="AF91" s="2">
        <f t="shared" si="20"/>
        <v>0.1330414105845818</v>
      </c>
      <c r="AG91" s="2">
        <f t="shared" si="20"/>
        <v>0.12152132944222342</v>
      </c>
      <c r="AH91" s="2">
        <f t="shared" si="20"/>
        <v>0.11464833780521665</v>
      </c>
      <c r="AI91" s="2" t="str">
        <f t="shared" si="20"/>
        <v/>
      </c>
      <c r="AJ91" s="2" t="str">
        <f t="shared" si="20"/>
        <v/>
      </c>
      <c r="AK91" s="2" t="str">
        <f t="shared" si="20"/>
        <v/>
      </c>
      <c r="AL91" s="2" t="str">
        <f t="shared" si="20"/>
        <v/>
      </c>
      <c r="AM91" s="2" t="str">
        <f t="shared" si="20"/>
        <v/>
      </c>
      <c r="AN91" s="2" t="str">
        <f t="shared" si="20"/>
        <v/>
      </c>
      <c r="AO91" s="2" t="str">
        <f t="shared" si="20"/>
        <v/>
      </c>
      <c r="AP91" s="2" t="str">
        <f t="shared" si="20"/>
        <v/>
      </c>
      <c r="AQ91" s="2" t="str">
        <f t="shared" si="20"/>
        <v/>
      </c>
      <c r="AR91" s="2">
        <f t="shared" si="20"/>
        <v>0.12341642687721115</v>
      </c>
      <c r="AT91" s="2" t="str">
        <f t="shared" si="19"/>
        <v/>
      </c>
      <c r="AU91" s="2" t="str">
        <f t="shared" si="19"/>
        <v/>
      </c>
      <c r="AV91" s="143" t="str">
        <f t="shared" si="21"/>
        <v/>
      </c>
      <c r="AW91" s="143" t="str">
        <f t="shared" si="21"/>
        <v/>
      </c>
      <c r="AX91" s="143" t="str">
        <f t="shared" si="21"/>
        <v/>
      </c>
      <c r="AY91" s="143" t="str">
        <f t="shared" si="21"/>
        <v/>
      </c>
      <c r="AZ91" s="143" t="str">
        <f t="shared" si="21"/>
        <v/>
      </c>
      <c r="BA91" s="143" t="str">
        <f t="shared" si="21"/>
        <v/>
      </c>
      <c r="BB91" s="143" t="str">
        <f t="shared" si="21"/>
        <v/>
      </c>
      <c r="BC91" s="143" t="str">
        <f t="shared" si="21"/>
        <v/>
      </c>
      <c r="BD91" s="143" t="str">
        <f t="shared" si="21"/>
        <v/>
      </c>
      <c r="BF91" s="9">
        <f t="shared" si="17"/>
        <v>2.544778242483842E-4</v>
      </c>
      <c r="BG91" s="9">
        <f t="shared" si="18"/>
        <v>0.9713879158034352</v>
      </c>
    </row>
    <row r="92" spans="2:59" x14ac:dyDescent="0.3">
      <c r="B92" s="3" t="s">
        <v>171</v>
      </c>
      <c r="D92" s="141">
        <v>101053</v>
      </c>
      <c r="E92" s="141">
        <v>106052</v>
      </c>
      <c r="F92" s="141">
        <v>89744</v>
      </c>
      <c r="G92" s="141"/>
      <c r="H92" s="141"/>
      <c r="I92" s="141"/>
      <c r="J92" s="141"/>
      <c r="K92" s="141"/>
      <c r="L92" s="141"/>
      <c r="M92" s="141"/>
      <c r="N92" s="141"/>
      <c r="O92" s="141"/>
      <c r="P92" s="141">
        <f t="shared" si="15"/>
        <v>296849</v>
      </c>
      <c r="R92" s="141">
        <v>13561</v>
      </c>
      <c r="S92" s="141">
        <v>15087</v>
      </c>
      <c r="T92" s="141">
        <v>14077</v>
      </c>
      <c r="U92" s="141"/>
      <c r="V92" s="141"/>
      <c r="W92" s="141"/>
      <c r="X92" s="141"/>
      <c r="Y92" s="141"/>
      <c r="Z92" s="141"/>
      <c r="AA92" s="141"/>
      <c r="AB92" s="141"/>
      <c r="AC92" s="141"/>
      <c r="AD92" s="141">
        <f t="shared" si="16"/>
        <v>42725</v>
      </c>
      <c r="AF92" s="2">
        <f t="shared" si="20"/>
        <v>0.13419690657377811</v>
      </c>
      <c r="AG92" s="2">
        <f t="shared" si="20"/>
        <v>0.14226040055821673</v>
      </c>
      <c r="AH92" s="2">
        <f t="shared" si="20"/>
        <v>0.15685728293813514</v>
      </c>
      <c r="AI92" s="2" t="str">
        <f t="shared" si="20"/>
        <v/>
      </c>
      <c r="AJ92" s="2" t="str">
        <f t="shared" si="20"/>
        <v/>
      </c>
      <c r="AK92" s="2" t="str">
        <f t="shared" si="20"/>
        <v/>
      </c>
      <c r="AL92" s="2" t="str">
        <f t="shared" si="20"/>
        <v/>
      </c>
      <c r="AM92" s="2" t="str">
        <f t="shared" si="20"/>
        <v/>
      </c>
      <c r="AN92" s="2" t="str">
        <f t="shared" si="20"/>
        <v/>
      </c>
      <c r="AO92" s="2" t="str">
        <f t="shared" si="20"/>
        <v/>
      </c>
      <c r="AP92" s="2" t="str">
        <f t="shared" si="20"/>
        <v/>
      </c>
      <c r="AQ92" s="2" t="str">
        <f t="shared" si="20"/>
        <v/>
      </c>
      <c r="AR92" s="2">
        <f t="shared" si="20"/>
        <v>0.14392839457097717</v>
      </c>
      <c r="AT92" s="2" t="str">
        <f t="shared" si="19"/>
        <v/>
      </c>
      <c r="AU92" s="2" t="str">
        <f t="shared" si="19"/>
        <v/>
      </c>
      <c r="AV92" s="143" t="str">
        <f t="shared" si="21"/>
        <v/>
      </c>
      <c r="AW92" s="143" t="str">
        <f t="shared" si="21"/>
        <v/>
      </c>
      <c r="AX92" s="143" t="str">
        <f t="shared" si="21"/>
        <v/>
      </c>
      <c r="AY92" s="143" t="str">
        <f t="shared" si="21"/>
        <v/>
      </c>
      <c r="AZ92" s="143" t="str">
        <f t="shared" si="21"/>
        <v/>
      </c>
      <c r="BA92" s="143" t="str">
        <f t="shared" si="21"/>
        <v/>
      </c>
      <c r="BB92" s="143" t="str">
        <f t="shared" si="21"/>
        <v/>
      </c>
      <c r="BC92" s="143" t="str">
        <f t="shared" si="21"/>
        <v/>
      </c>
      <c r="BD92" s="143" t="str">
        <f t="shared" si="21"/>
        <v/>
      </c>
      <c r="BF92" s="9">
        <f t="shared" si="17"/>
        <v>3.358891870746294E-5</v>
      </c>
      <c r="BG92" s="9">
        <f t="shared" si="18"/>
        <v>0.97142150472214261</v>
      </c>
    </row>
    <row r="93" spans="2:59" x14ac:dyDescent="0.3">
      <c r="B93" s="3" t="s">
        <v>172</v>
      </c>
      <c r="D93" s="141">
        <v>944630</v>
      </c>
      <c r="E93" s="141">
        <v>840438</v>
      </c>
      <c r="F93" s="141">
        <v>629167</v>
      </c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15"/>
        <v>2414235</v>
      </c>
      <c r="R93" s="141">
        <v>128242</v>
      </c>
      <c r="S93" s="141">
        <v>98455</v>
      </c>
      <c r="T93" s="141">
        <v>67912</v>
      </c>
      <c r="U93" s="141"/>
      <c r="V93" s="141"/>
      <c r="W93" s="141"/>
      <c r="X93" s="141"/>
      <c r="Y93" s="141"/>
      <c r="Z93" s="141"/>
      <c r="AA93" s="141"/>
      <c r="AB93" s="141"/>
      <c r="AC93" s="141"/>
      <c r="AD93" s="141">
        <f t="shared" si="16"/>
        <v>294609</v>
      </c>
      <c r="AF93" s="2">
        <f t="shared" si="20"/>
        <v>0.13575897441326235</v>
      </c>
      <c r="AG93" s="2">
        <f t="shared" si="20"/>
        <v>0.11714724941042647</v>
      </c>
      <c r="AH93" s="2">
        <f t="shared" si="20"/>
        <v>0.10793954546249247</v>
      </c>
      <c r="AI93" s="2" t="str">
        <f t="shared" si="20"/>
        <v/>
      </c>
      <c r="AJ93" s="2" t="str">
        <f t="shared" si="20"/>
        <v/>
      </c>
      <c r="AK93" s="2" t="str">
        <f t="shared" si="20"/>
        <v/>
      </c>
      <c r="AL93" s="2" t="str">
        <f t="shared" si="20"/>
        <v/>
      </c>
      <c r="AM93" s="2" t="str">
        <f t="shared" si="20"/>
        <v/>
      </c>
      <c r="AN93" s="2" t="str">
        <f t="shared" si="20"/>
        <v/>
      </c>
      <c r="AO93" s="2" t="str">
        <f t="shared" si="20"/>
        <v/>
      </c>
      <c r="AP93" s="2" t="str">
        <f t="shared" si="20"/>
        <v/>
      </c>
      <c r="AQ93" s="2" t="str">
        <f t="shared" si="20"/>
        <v/>
      </c>
      <c r="AR93" s="2">
        <f t="shared" si="20"/>
        <v>0.12202995980093073</v>
      </c>
      <c r="AT93" s="2" t="str">
        <f t="shared" si="19"/>
        <v/>
      </c>
      <c r="AU93" s="2" t="str">
        <f t="shared" si="19"/>
        <v/>
      </c>
      <c r="AV93" s="143" t="str">
        <f t="shared" si="21"/>
        <v/>
      </c>
      <c r="AW93" s="143" t="str">
        <f t="shared" si="21"/>
        <v/>
      </c>
      <c r="AX93" s="143" t="str">
        <f t="shared" si="21"/>
        <v/>
      </c>
      <c r="AY93" s="143" t="str">
        <f t="shared" si="21"/>
        <v/>
      </c>
      <c r="AZ93" s="143" t="str">
        <f t="shared" si="21"/>
        <v/>
      </c>
      <c r="BA93" s="143" t="str">
        <f t="shared" si="21"/>
        <v/>
      </c>
      <c r="BB93" s="143" t="str">
        <f t="shared" si="21"/>
        <v/>
      </c>
      <c r="BC93" s="143" t="str">
        <f t="shared" si="21"/>
        <v/>
      </c>
      <c r="BD93" s="143" t="str">
        <f t="shared" si="21"/>
        <v/>
      </c>
      <c r="BF93" s="9">
        <f t="shared" si="17"/>
        <v>2.3161141606757045E-4</v>
      </c>
      <c r="BG93" s="9">
        <f t="shared" si="18"/>
        <v>0.97165311613821015</v>
      </c>
    </row>
    <row r="94" spans="2:59" x14ac:dyDescent="0.3">
      <c r="B94" s="3" t="s">
        <v>183</v>
      </c>
      <c r="D94" s="141">
        <v>1054541</v>
      </c>
      <c r="E94" s="141">
        <v>1042680</v>
      </c>
      <c r="F94" s="141">
        <v>786925</v>
      </c>
      <c r="G94" s="141"/>
      <c r="H94" s="141"/>
      <c r="I94" s="141"/>
      <c r="J94" s="141"/>
      <c r="K94" s="141"/>
      <c r="L94" s="141"/>
      <c r="M94" s="141"/>
      <c r="N94" s="141"/>
      <c r="O94" s="141"/>
      <c r="P94" s="141">
        <f t="shared" si="15"/>
        <v>2884146</v>
      </c>
      <c r="R94" s="141">
        <v>91292</v>
      </c>
      <c r="S94" s="141">
        <v>154453</v>
      </c>
      <c r="T94" s="141">
        <v>107685</v>
      </c>
      <c r="U94" s="141"/>
      <c r="V94" s="141"/>
      <c r="W94" s="141"/>
      <c r="X94" s="141"/>
      <c r="Y94" s="141"/>
      <c r="Z94" s="141"/>
      <c r="AA94" s="141"/>
      <c r="AB94" s="141"/>
      <c r="AC94" s="141"/>
      <c r="AD94" s="141">
        <f t="shared" si="16"/>
        <v>353430</v>
      </c>
      <c r="AF94" s="2">
        <f t="shared" si="20"/>
        <v>8.6570365685165393E-2</v>
      </c>
      <c r="AG94" s="2">
        <f t="shared" si="20"/>
        <v>0.1481307783787931</v>
      </c>
      <c r="AH94" s="2">
        <f t="shared" si="20"/>
        <v>0.13684277408901738</v>
      </c>
      <c r="AI94" s="2" t="str">
        <f t="shared" si="20"/>
        <v/>
      </c>
      <c r="AJ94" s="2" t="str">
        <f t="shared" si="20"/>
        <v/>
      </c>
      <c r="AK94" s="2" t="str">
        <f t="shared" si="20"/>
        <v/>
      </c>
      <c r="AL94" s="2" t="str">
        <f t="shared" si="20"/>
        <v/>
      </c>
      <c r="AM94" s="2" t="str">
        <f t="shared" si="20"/>
        <v/>
      </c>
      <c r="AN94" s="2" t="str">
        <f t="shared" si="20"/>
        <v/>
      </c>
      <c r="AO94" s="2" t="str">
        <f t="shared" si="20"/>
        <v/>
      </c>
      <c r="AP94" s="2" t="str">
        <f t="shared" si="20"/>
        <v/>
      </c>
      <c r="AQ94" s="2" t="str">
        <f t="shared" si="20"/>
        <v/>
      </c>
      <c r="AR94" s="2">
        <f t="shared" si="20"/>
        <v>0.12254234008957937</v>
      </c>
      <c r="AT94" s="2" t="str">
        <f t="shared" si="19"/>
        <v/>
      </c>
      <c r="AU94" s="2" t="str">
        <f t="shared" si="19"/>
        <v/>
      </c>
      <c r="AV94" s="143" t="str">
        <f t="shared" si="21"/>
        <v/>
      </c>
      <c r="AW94" s="143" t="str">
        <f t="shared" si="21"/>
        <v/>
      </c>
      <c r="AX94" s="143" t="str">
        <f t="shared" si="21"/>
        <v/>
      </c>
      <c r="AY94" s="143" t="str">
        <f t="shared" si="21"/>
        <v/>
      </c>
      <c r="AZ94" s="143" t="str">
        <f t="shared" si="21"/>
        <v/>
      </c>
      <c r="BA94" s="143" t="str">
        <f t="shared" si="21"/>
        <v/>
      </c>
      <c r="BB94" s="143" t="str">
        <f t="shared" si="21"/>
        <v/>
      </c>
      <c r="BC94" s="143" t="str">
        <f t="shared" si="21"/>
        <v/>
      </c>
      <c r="BD94" s="143" t="str">
        <f t="shared" si="21"/>
        <v/>
      </c>
      <c r="BF94" s="9">
        <f t="shared" si="17"/>
        <v>2.7785445380406378E-4</v>
      </c>
      <c r="BG94" s="9">
        <f t="shared" si="18"/>
        <v>0.97193097059201417</v>
      </c>
    </row>
    <row r="95" spans="2:59" x14ac:dyDescent="0.3">
      <c r="B95" s="3" t="s">
        <v>196</v>
      </c>
      <c r="D95" s="141">
        <v>2100231</v>
      </c>
      <c r="E95" s="141">
        <v>1435649</v>
      </c>
      <c r="F95" s="141">
        <v>937475</v>
      </c>
      <c r="G95" s="141"/>
      <c r="H95" s="141"/>
      <c r="I95" s="141"/>
      <c r="J95" s="141"/>
      <c r="K95" s="141"/>
      <c r="L95" s="141"/>
      <c r="M95" s="141"/>
      <c r="N95" s="141"/>
      <c r="O95" s="141"/>
      <c r="P95" s="141">
        <f t="shared" si="15"/>
        <v>4473355</v>
      </c>
      <c r="R95" s="141">
        <v>230953</v>
      </c>
      <c r="S95" s="141">
        <v>134680</v>
      </c>
      <c r="T95" s="141">
        <v>97597</v>
      </c>
      <c r="U95" s="141"/>
      <c r="V95" s="141"/>
      <c r="W95" s="141"/>
      <c r="X95" s="141"/>
      <c r="Y95" s="141"/>
      <c r="Z95" s="141"/>
      <c r="AA95" s="141"/>
      <c r="AB95" s="141"/>
      <c r="AC95" s="141"/>
      <c r="AD95" s="141">
        <f t="shared" si="16"/>
        <v>463230</v>
      </c>
      <c r="AF95" s="2">
        <f t="shared" si="20"/>
        <v>0.10996552284010663</v>
      </c>
      <c r="AG95" s="2">
        <f t="shared" si="20"/>
        <v>9.3811231018166699E-2</v>
      </c>
      <c r="AH95" s="2">
        <f t="shared" si="20"/>
        <v>0.10410624283314222</v>
      </c>
      <c r="AI95" s="2" t="str">
        <f t="shared" si="20"/>
        <v/>
      </c>
      <c r="AJ95" s="2" t="str">
        <f t="shared" si="20"/>
        <v/>
      </c>
      <c r="AK95" s="2" t="str">
        <f t="shared" si="20"/>
        <v/>
      </c>
      <c r="AL95" s="2" t="str">
        <f t="shared" si="20"/>
        <v/>
      </c>
      <c r="AM95" s="2" t="str">
        <f t="shared" si="20"/>
        <v/>
      </c>
      <c r="AN95" s="2" t="str">
        <f t="shared" si="20"/>
        <v/>
      </c>
      <c r="AO95" s="2" t="str">
        <f t="shared" si="20"/>
        <v/>
      </c>
      <c r="AP95" s="2" t="str">
        <f t="shared" si="20"/>
        <v/>
      </c>
      <c r="AQ95" s="2" t="str">
        <f t="shared" si="20"/>
        <v/>
      </c>
      <c r="AR95" s="2">
        <f t="shared" si="20"/>
        <v>0.10355314970531067</v>
      </c>
      <c r="AT95" s="2" t="str">
        <f t="shared" si="19"/>
        <v/>
      </c>
      <c r="AU95" s="2" t="str">
        <f t="shared" si="19"/>
        <v/>
      </c>
      <c r="AV95" s="143" t="str">
        <f t="shared" si="21"/>
        <v/>
      </c>
      <c r="AW95" s="143" t="str">
        <f t="shared" si="21"/>
        <v/>
      </c>
      <c r="AX95" s="143" t="str">
        <f t="shared" si="21"/>
        <v/>
      </c>
      <c r="AY95" s="143" t="str">
        <f t="shared" si="21"/>
        <v/>
      </c>
      <c r="AZ95" s="143" t="str">
        <f t="shared" si="21"/>
        <v/>
      </c>
      <c r="BA95" s="143" t="str">
        <f t="shared" si="21"/>
        <v/>
      </c>
      <c r="BB95" s="143" t="str">
        <f t="shared" si="21"/>
        <v/>
      </c>
      <c r="BC95" s="143" t="str">
        <f t="shared" si="21"/>
        <v/>
      </c>
      <c r="BD95" s="143" t="str">
        <f t="shared" si="21"/>
        <v/>
      </c>
      <c r="BF95" s="9">
        <f t="shared" si="17"/>
        <v>3.64175419844542E-4</v>
      </c>
      <c r="BG95" s="9">
        <f t="shared" si="18"/>
        <v>0.97229514601185874</v>
      </c>
    </row>
    <row r="96" spans="2:59" x14ac:dyDescent="0.3">
      <c r="B96" s="3" t="s">
        <v>191</v>
      </c>
      <c r="D96" s="141">
        <v>1440046</v>
      </c>
      <c r="E96" s="141">
        <v>1086687</v>
      </c>
      <c r="F96" s="141">
        <v>1068051</v>
      </c>
      <c r="G96" s="141"/>
      <c r="H96" s="141"/>
      <c r="I96" s="141"/>
      <c r="J96" s="141"/>
      <c r="K96" s="141"/>
      <c r="L96" s="141"/>
      <c r="M96" s="141"/>
      <c r="N96" s="141"/>
      <c r="O96" s="141"/>
      <c r="P96" s="141">
        <f t="shared" si="15"/>
        <v>3594784</v>
      </c>
      <c r="R96" s="141">
        <v>180494</v>
      </c>
      <c r="S96" s="141">
        <v>127945</v>
      </c>
      <c r="T96" s="141">
        <v>125789</v>
      </c>
      <c r="U96" s="141"/>
      <c r="V96" s="141"/>
      <c r="W96" s="141"/>
      <c r="X96" s="141"/>
      <c r="Y96" s="141"/>
      <c r="Z96" s="141"/>
      <c r="AA96" s="141"/>
      <c r="AB96" s="141"/>
      <c r="AC96" s="141"/>
      <c r="AD96" s="141">
        <f t="shared" si="16"/>
        <v>434228</v>
      </c>
      <c r="AF96" s="2">
        <f t="shared" si="20"/>
        <v>0.1253390516691828</v>
      </c>
      <c r="AG96" s="2">
        <f t="shared" si="20"/>
        <v>0.11773859446188277</v>
      </c>
      <c r="AH96" s="2">
        <f t="shared" si="20"/>
        <v>0.11777433849132672</v>
      </c>
      <c r="AI96" s="2" t="str">
        <f t="shared" si="20"/>
        <v/>
      </c>
      <c r="AJ96" s="2" t="str">
        <f t="shared" si="20"/>
        <v/>
      </c>
      <c r="AK96" s="2" t="str">
        <f t="shared" si="20"/>
        <v/>
      </c>
      <c r="AL96" s="2" t="str">
        <f t="shared" si="20"/>
        <v/>
      </c>
      <c r="AM96" s="2" t="str">
        <f t="shared" si="20"/>
        <v/>
      </c>
      <c r="AN96" s="2" t="str">
        <f t="shared" si="20"/>
        <v/>
      </c>
      <c r="AO96" s="2" t="str">
        <f t="shared" si="20"/>
        <v/>
      </c>
      <c r="AP96" s="2" t="str">
        <f t="shared" si="20"/>
        <v/>
      </c>
      <c r="AQ96" s="2" t="str">
        <f t="shared" si="20"/>
        <v/>
      </c>
      <c r="AR96" s="2">
        <f t="shared" si="20"/>
        <v>0.12079390583690147</v>
      </c>
      <c r="AT96" s="2" t="str">
        <f t="shared" si="19"/>
        <v/>
      </c>
      <c r="AU96" s="2" t="str">
        <f t="shared" si="19"/>
        <v/>
      </c>
      <c r="AV96" s="143" t="str">
        <f t="shared" si="21"/>
        <v/>
      </c>
      <c r="AW96" s="143" t="str">
        <f t="shared" si="21"/>
        <v/>
      </c>
      <c r="AX96" s="143" t="str">
        <f t="shared" si="21"/>
        <v/>
      </c>
      <c r="AY96" s="143" t="str">
        <f t="shared" si="21"/>
        <v/>
      </c>
      <c r="AZ96" s="143" t="str">
        <f t="shared" si="21"/>
        <v/>
      </c>
      <c r="BA96" s="143" t="str">
        <f t="shared" si="21"/>
        <v/>
      </c>
      <c r="BB96" s="143" t="str">
        <f t="shared" si="21"/>
        <v/>
      </c>
      <c r="BC96" s="143" t="str">
        <f t="shared" si="21"/>
        <v/>
      </c>
      <c r="BD96" s="143" t="str">
        <f t="shared" si="21"/>
        <v/>
      </c>
      <c r="BF96" s="9">
        <f t="shared" si="17"/>
        <v>3.4137504956124556E-4</v>
      </c>
      <c r="BG96" s="9">
        <f t="shared" si="18"/>
        <v>0.97263652106141996</v>
      </c>
    </row>
    <row r="97" spans="2:59" x14ac:dyDescent="0.3">
      <c r="B97" s="3" t="s">
        <v>155</v>
      </c>
      <c r="D97" s="141">
        <v>654628</v>
      </c>
      <c r="E97" s="141">
        <v>580085</v>
      </c>
      <c r="F97" s="141">
        <v>589822</v>
      </c>
      <c r="G97" s="141"/>
      <c r="H97" s="141"/>
      <c r="I97" s="141"/>
      <c r="J97" s="141"/>
      <c r="K97" s="141"/>
      <c r="L97" s="141"/>
      <c r="M97" s="141"/>
      <c r="N97" s="141"/>
      <c r="O97" s="141"/>
      <c r="P97" s="141">
        <f t="shared" si="15"/>
        <v>1824535</v>
      </c>
      <c r="R97" s="141">
        <v>81292</v>
      </c>
      <c r="S97" s="141">
        <v>53458</v>
      </c>
      <c r="T97" s="141">
        <v>61147</v>
      </c>
      <c r="U97" s="141"/>
      <c r="V97" s="141"/>
      <c r="W97" s="141"/>
      <c r="X97" s="141"/>
      <c r="Y97" s="141"/>
      <c r="Z97" s="141"/>
      <c r="AA97" s="141"/>
      <c r="AB97" s="141"/>
      <c r="AC97" s="141"/>
      <c r="AD97" s="141">
        <f t="shared" si="16"/>
        <v>195897</v>
      </c>
      <c r="AF97" s="2">
        <f t="shared" si="20"/>
        <v>0.12418045057651063</v>
      </c>
      <c r="AG97" s="2">
        <f t="shared" si="20"/>
        <v>9.2155459975693216E-2</v>
      </c>
      <c r="AH97" s="2">
        <f t="shared" si="20"/>
        <v>0.1036702598411046</v>
      </c>
      <c r="AI97" s="2" t="str">
        <f t="shared" si="20"/>
        <v/>
      </c>
      <c r="AJ97" s="2" t="str">
        <f t="shared" si="20"/>
        <v/>
      </c>
      <c r="AK97" s="2" t="str">
        <f t="shared" si="20"/>
        <v/>
      </c>
      <c r="AL97" s="2" t="str">
        <f t="shared" si="20"/>
        <v/>
      </c>
      <c r="AM97" s="2" t="str">
        <f t="shared" si="20"/>
        <v/>
      </c>
      <c r="AN97" s="2" t="str">
        <f t="shared" si="20"/>
        <v/>
      </c>
      <c r="AO97" s="2" t="str">
        <f t="shared" si="20"/>
        <v/>
      </c>
      <c r="AP97" s="2" t="str">
        <f t="shared" si="20"/>
        <v/>
      </c>
      <c r="AQ97" s="2" t="str">
        <f t="shared" si="20"/>
        <v/>
      </c>
      <c r="AR97" s="2">
        <f t="shared" si="20"/>
        <v>0.10736817874143274</v>
      </c>
      <c r="AT97" s="2" t="str">
        <f t="shared" si="19"/>
        <v/>
      </c>
      <c r="AU97" s="2" t="str">
        <f t="shared" si="19"/>
        <v/>
      </c>
      <c r="AV97" s="143" t="str">
        <f t="shared" si="21"/>
        <v/>
      </c>
      <c r="AW97" s="143" t="str">
        <f t="shared" si="21"/>
        <v/>
      </c>
      <c r="AX97" s="143" t="str">
        <f t="shared" si="21"/>
        <v/>
      </c>
      <c r="AY97" s="143" t="str">
        <f t="shared" si="21"/>
        <v/>
      </c>
      <c r="AZ97" s="143" t="str">
        <f t="shared" si="21"/>
        <v/>
      </c>
      <c r="BA97" s="143" t="str">
        <f t="shared" si="21"/>
        <v/>
      </c>
      <c r="BB97" s="143" t="str">
        <f t="shared" si="21"/>
        <v/>
      </c>
      <c r="BC97" s="143" t="str">
        <f t="shared" si="21"/>
        <v/>
      </c>
      <c r="BD97" s="143" t="str">
        <f t="shared" si="21"/>
        <v/>
      </c>
      <c r="BF97" s="9">
        <f t="shared" si="17"/>
        <v>1.5400745249937665E-4</v>
      </c>
      <c r="BG97" s="9">
        <f t="shared" si="18"/>
        <v>0.97279052851391934</v>
      </c>
    </row>
    <row r="98" spans="2:59" x14ac:dyDescent="0.3">
      <c r="B98" s="3" t="s">
        <v>174</v>
      </c>
      <c r="D98" s="141">
        <v>870786</v>
      </c>
      <c r="E98" s="141">
        <v>887763</v>
      </c>
      <c r="F98" s="141">
        <v>1028667</v>
      </c>
      <c r="G98" s="141"/>
      <c r="H98" s="141"/>
      <c r="I98" s="141"/>
      <c r="J98" s="141"/>
      <c r="K98" s="141"/>
      <c r="L98" s="141"/>
      <c r="M98" s="141"/>
      <c r="N98" s="141"/>
      <c r="O98" s="141"/>
      <c r="P98" s="141">
        <f t="shared" si="15"/>
        <v>2787216</v>
      </c>
      <c r="R98" s="141">
        <v>124245</v>
      </c>
      <c r="S98" s="141">
        <v>111842</v>
      </c>
      <c r="T98" s="141">
        <v>131022</v>
      </c>
      <c r="U98" s="141"/>
      <c r="V98" s="141"/>
      <c r="W98" s="141"/>
      <c r="X98" s="141"/>
      <c r="Y98" s="141"/>
      <c r="Z98" s="141"/>
      <c r="AA98" s="141"/>
      <c r="AB98" s="141"/>
      <c r="AC98" s="141"/>
      <c r="AD98" s="141">
        <f t="shared" si="16"/>
        <v>367109</v>
      </c>
      <c r="AF98" s="2">
        <f t="shared" si="20"/>
        <v>0.14268143952704798</v>
      </c>
      <c r="AG98" s="2">
        <f t="shared" si="20"/>
        <v>0.12598182172494235</v>
      </c>
      <c r="AH98" s="2">
        <f t="shared" si="20"/>
        <v>0.12737066514236386</v>
      </c>
      <c r="AI98" s="2" t="str">
        <f t="shared" si="20"/>
        <v/>
      </c>
      <c r="AJ98" s="2" t="str">
        <f t="shared" si="20"/>
        <v/>
      </c>
      <c r="AK98" s="2" t="str">
        <f t="shared" si="20"/>
        <v/>
      </c>
      <c r="AL98" s="2" t="str">
        <f t="shared" si="20"/>
        <v/>
      </c>
      <c r="AM98" s="2" t="str">
        <f t="shared" si="20"/>
        <v/>
      </c>
      <c r="AN98" s="2" t="str">
        <f t="shared" si="20"/>
        <v/>
      </c>
      <c r="AO98" s="2" t="str">
        <f t="shared" si="20"/>
        <v/>
      </c>
      <c r="AP98" s="2" t="str">
        <f t="shared" si="20"/>
        <v/>
      </c>
      <c r="AQ98" s="2" t="str">
        <f t="shared" si="20"/>
        <v/>
      </c>
      <c r="AR98" s="2">
        <f t="shared" si="20"/>
        <v>0.13171171520255337</v>
      </c>
      <c r="AT98" s="2" t="str">
        <f t="shared" si="19"/>
        <v/>
      </c>
      <c r="AU98" s="2" t="str">
        <f t="shared" si="19"/>
        <v/>
      </c>
      <c r="AV98" s="143" t="str">
        <f t="shared" si="21"/>
        <v/>
      </c>
      <c r="AW98" s="143" t="str">
        <f t="shared" si="21"/>
        <v/>
      </c>
      <c r="AX98" s="143" t="str">
        <f t="shared" si="21"/>
        <v/>
      </c>
      <c r="AY98" s="143" t="str">
        <f t="shared" si="21"/>
        <v/>
      </c>
      <c r="AZ98" s="143" t="str">
        <f t="shared" si="21"/>
        <v/>
      </c>
      <c r="BA98" s="143" t="str">
        <f t="shared" si="21"/>
        <v/>
      </c>
      <c r="BB98" s="143" t="str">
        <f t="shared" si="21"/>
        <v/>
      </c>
      <c r="BC98" s="143" t="str">
        <f t="shared" si="21"/>
        <v/>
      </c>
      <c r="BD98" s="143" t="str">
        <f t="shared" si="21"/>
        <v/>
      </c>
      <c r="BF98" s="9">
        <f t="shared" si="17"/>
        <v>2.8860841094857837E-4</v>
      </c>
      <c r="BG98" s="9">
        <f t="shared" si="18"/>
        <v>0.97307913692486792</v>
      </c>
    </row>
    <row r="99" spans="2:59" x14ac:dyDescent="0.3">
      <c r="B99" s="3" t="s">
        <v>205</v>
      </c>
      <c r="D99" s="141">
        <v>9489365</v>
      </c>
      <c r="E99" s="141">
        <v>7143600</v>
      </c>
      <c r="F99" s="141">
        <v>7504646</v>
      </c>
      <c r="G99" s="141"/>
      <c r="H99" s="141"/>
      <c r="I99" s="141"/>
      <c r="J99" s="141"/>
      <c r="K99" s="141"/>
      <c r="L99" s="141"/>
      <c r="M99" s="141"/>
      <c r="N99" s="141"/>
      <c r="O99" s="141"/>
      <c r="P99" s="141">
        <f t="shared" si="15"/>
        <v>24137611</v>
      </c>
      <c r="R99" s="141">
        <v>1919493</v>
      </c>
      <c r="S99" s="141">
        <v>1415468</v>
      </c>
      <c r="T99" s="141">
        <v>1428462</v>
      </c>
      <c r="U99" s="141"/>
      <c r="V99" s="141"/>
      <c r="W99" s="141"/>
      <c r="X99" s="141"/>
      <c r="Y99" s="141"/>
      <c r="Z99" s="141"/>
      <c r="AA99" s="141"/>
      <c r="AB99" s="141"/>
      <c r="AC99" s="141"/>
      <c r="AD99" s="141">
        <f t="shared" si="16"/>
        <v>4763423</v>
      </c>
      <c r="AF99" s="2">
        <f t="shared" si="20"/>
        <v>0.20227834001537512</v>
      </c>
      <c r="AG99" s="2">
        <f t="shared" si="20"/>
        <v>0.19814491292905537</v>
      </c>
      <c r="AH99" s="2">
        <f t="shared" si="20"/>
        <v>0.19034368842980734</v>
      </c>
      <c r="AI99" s="2" t="str">
        <f t="shared" si="20"/>
        <v/>
      </c>
      <c r="AJ99" s="2" t="str">
        <f t="shared" si="20"/>
        <v/>
      </c>
      <c r="AK99" s="2" t="str">
        <f t="shared" si="20"/>
        <v/>
      </c>
      <c r="AL99" s="2" t="str">
        <f t="shared" si="20"/>
        <v/>
      </c>
      <c r="AM99" s="2" t="str">
        <f t="shared" si="20"/>
        <v/>
      </c>
      <c r="AN99" s="2" t="str">
        <f t="shared" si="20"/>
        <v/>
      </c>
      <c r="AO99" s="2" t="str">
        <f t="shared" si="20"/>
        <v/>
      </c>
      <c r="AP99" s="2" t="str">
        <f t="shared" si="20"/>
        <v/>
      </c>
      <c r="AQ99" s="2" t="str">
        <f t="shared" si="20"/>
        <v/>
      </c>
      <c r="AR99" s="2">
        <f t="shared" si="20"/>
        <v>0.19734442650517484</v>
      </c>
      <c r="AT99" s="2" t="str">
        <f t="shared" si="19"/>
        <v/>
      </c>
      <c r="AU99" s="2" t="str">
        <f t="shared" si="19"/>
        <v/>
      </c>
      <c r="AV99" s="143" t="str">
        <f t="shared" si="21"/>
        <v/>
      </c>
      <c r="AW99" s="143" t="str">
        <f t="shared" si="21"/>
        <v/>
      </c>
      <c r="AX99" s="143" t="str">
        <f t="shared" si="21"/>
        <v/>
      </c>
      <c r="AY99" s="143" t="str">
        <f t="shared" si="21"/>
        <v/>
      </c>
      <c r="AZ99" s="143" t="str">
        <f t="shared" si="21"/>
        <v/>
      </c>
      <c r="BA99" s="143" t="str">
        <f t="shared" si="21"/>
        <v/>
      </c>
      <c r="BB99" s="143" t="str">
        <f t="shared" si="21"/>
        <v/>
      </c>
      <c r="BC99" s="143" t="str">
        <f t="shared" si="21"/>
        <v/>
      </c>
      <c r="BD99" s="143" t="str">
        <f t="shared" si="21"/>
        <v/>
      </c>
      <c r="BF99" s="9">
        <f t="shared" si="17"/>
        <v>3.7448385703044876E-3</v>
      </c>
      <c r="BG99" s="9">
        <f t="shared" si="18"/>
        <v>0.97682397549517241</v>
      </c>
    </row>
    <row r="100" spans="2:59" x14ac:dyDescent="0.3">
      <c r="B100" s="3" t="s">
        <v>182</v>
      </c>
      <c r="D100" s="141">
        <v>4674230</v>
      </c>
      <c r="E100" s="141">
        <v>3563872</v>
      </c>
      <c r="F100" s="141">
        <v>4291215</v>
      </c>
      <c r="G100" s="141"/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5"/>
        <v>12529317</v>
      </c>
      <c r="R100" s="141">
        <v>579754</v>
      </c>
      <c r="S100" s="141">
        <v>516934</v>
      </c>
      <c r="T100" s="141">
        <v>560988</v>
      </c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6"/>
        <v>1657676</v>
      </c>
      <c r="AF100" s="2">
        <f t="shared" si="20"/>
        <v>0.12403197959877883</v>
      </c>
      <c r="AG100" s="2">
        <f t="shared" si="20"/>
        <v>0.14504841924738038</v>
      </c>
      <c r="AH100" s="2">
        <f t="shared" si="20"/>
        <v>0.13072940880380032</v>
      </c>
      <c r="AI100" s="2" t="str">
        <f t="shared" si="20"/>
        <v/>
      </c>
      <c r="AJ100" s="2" t="str">
        <f t="shared" si="20"/>
        <v/>
      </c>
      <c r="AK100" s="2" t="str">
        <f t="shared" si="20"/>
        <v/>
      </c>
      <c r="AL100" s="2" t="str">
        <f t="shared" si="20"/>
        <v/>
      </c>
      <c r="AM100" s="2" t="str">
        <f t="shared" si="20"/>
        <v/>
      </c>
      <c r="AN100" s="2" t="str">
        <f t="shared" si="20"/>
        <v/>
      </c>
      <c r="AO100" s="2" t="str">
        <f t="shared" si="20"/>
        <v/>
      </c>
      <c r="AP100" s="2" t="str">
        <f t="shared" si="20"/>
        <v/>
      </c>
      <c r="AQ100" s="2" t="str">
        <f t="shared" si="20"/>
        <v/>
      </c>
      <c r="AR100" s="2">
        <f t="shared" si="20"/>
        <v>0.1323037800065239</v>
      </c>
      <c r="AT100" s="2" t="str">
        <f t="shared" si="19"/>
        <v/>
      </c>
      <c r="AU100" s="2" t="str">
        <f t="shared" si="19"/>
        <v/>
      </c>
      <c r="AV100" s="143" t="str">
        <f t="shared" si="21"/>
        <v/>
      </c>
      <c r="AW100" s="143" t="str">
        <f t="shared" si="21"/>
        <v/>
      </c>
      <c r="AX100" s="143" t="str">
        <f t="shared" si="21"/>
        <v/>
      </c>
      <c r="AY100" s="143" t="str">
        <f t="shared" si="21"/>
        <v/>
      </c>
      <c r="AZ100" s="143" t="str">
        <f t="shared" si="21"/>
        <v/>
      </c>
      <c r="BA100" s="143" t="str">
        <f t="shared" si="21"/>
        <v/>
      </c>
      <c r="BB100" s="143" t="str">
        <f t="shared" si="21"/>
        <v/>
      </c>
      <c r="BC100" s="143" t="str">
        <f t="shared" si="21"/>
        <v/>
      </c>
      <c r="BD100" s="143" t="str">
        <f t="shared" si="21"/>
        <v/>
      </c>
      <c r="BF100" s="9">
        <f t="shared" si="17"/>
        <v>1.3032075929154438E-3</v>
      </c>
      <c r="BG100" s="9">
        <f t="shared" si="18"/>
        <v>0.97812718308808788</v>
      </c>
    </row>
    <row r="101" spans="2:59" x14ac:dyDescent="0.3">
      <c r="B101" s="3" t="s">
        <v>176</v>
      </c>
      <c r="D101" s="141">
        <v>955783</v>
      </c>
      <c r="E101" s="141">
        <v>1057565</v>
      </c>
      <c r="F101" s="141">
        <v>1277972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5"/>
        <v>3291320</v>
      </c>
      <c r="R101" s="141">
        <v>81136</v>
      </c>
      <c r="S101" s="141">
        <v>90401</v>
      </c>
      <c r="T101" s="141">
        <v>95425</v>
      </c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6"/>
        <v>266962</v>
      </c>
      <c r="AF101" s="2">
        <f t="shared" si="20"/>
        <v>8.4889561751987641E-2</v>
      </c>
      <c r="AG101" s="2">
        <f t="shared" si="20"/>
        <v>8.5480325086401313E-2</v>
      </c>
      <c r="AH101" s="2">
        <f t="shared" si="20"/>
        <v>7.4669085081676287E-2</v>
      </c>
      <c r="AI101" s="2" t="str">
        <f t="shared" si="20"/>
        <v/>
      </c>
      <c r="AJ101" s="2" t="str">
        <f t="shared" si="20"/>
        <v/>
      </c>
      <c r="AK101" s="2" t="str">
        <f t="shared" si="20"/>
        <v/>
      </c>
      <c r="AL101" s="2" t="str">
        <f t="shared" si="20"/>
        <v/>
      </c>
      <c r="AM101" s="2" t="str">
        <f t="shared" si="20"/>
        <v/>
      </c>
      <c r="AN101" s="2" t="str">
        <f t="shared" si="20"/>
        <v/>
      </c>
      <c r="AO101" s="2" t="str">
        <f t="shared" si="20"/>
        <v/>
      </c>
      <c r="AP101" s="2" t="str">
        <f t="shared" si="20"/>
        <v/>
      </c>
      <c r="AQ101" s="2" t="str">
        <f t="shared" si="20"/>
        <v/>
      </c>
      <c r="AR101" s="2">
        <f t="shared" si="20"/>
        <v>8.111092206166523E-2</v>
      </c>
      <c r="AT101" s="2" t="str">
        <f t="shared" si="19"/>
        <v/>
      </c>
      <c r="AU101" s="2" t="str">
        <f t="shared" si="19"/>
        <v/>
      </c>
      <c r="AV101" s="143" t="str">
        <f t="shared" si="21"/>
        <v/>
      </c>
      <c r="AW101" s="143" t="str">
        <f t="shared" si="21"/>
        <v/>
      </c>
      <c r="AX101" s="143" t="str">
        <f t="shared" si="21"/>
        <v/>
      </c>
      <c r="AY101" s="143" t="str">
        <f t="shared" si="21"/>
        <v/>
      </c>
      <c r="AZ101" s="143" t="str">
        <f t="shared" si="21"/>
        <v/>
      </c>
      <c r="BA101" s="143" t="str">
        <f t="shared" si="21"/>
        <v/>
      </c>
      <c r="BB101" s="143" t="str">
        <f t="shared" si="21"/>
        <v/>
      </c>
      <c r="BC101" s="143" t="str">
        <f t="shared" si="21"/>
        <v/>
      </c>
      <c r="BD101" s="143" t="str">
        <f t="shared" si="21"/>
        <v/>
      </c>
      <c r="BF101" s="9">
        <f t="shared" si="17"/>
        <v>2.0987629996446389E-4</v>
      </c>
      <c r="BG101" s="9">
        <f t="shared" si="18"/>
        <v>0.97833705938805238</v>
      </c>
    </row>
    <row r="102" spans="2:59" x14ac:dyDescent="0.3">
      <c r="B102" s="3" t="s">
        <v>157</v>
      </c>
      <c r="D102" s="141">
        <v>430769</v>
      </c>
      <c r="E102" s="141">
        <v>496043</v>
      </c>
      <c r="F102" s="141">
        <v>449802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5"/>
        <v>1376614</v>
      </c>
      <c r="R102" s="141">
        <v>40474</v>
      </c>
      <c r="S102" s="141">
        <v>36011</v>
      </c>
      <c r="T102" s="141">
        <v>30659</v>
      </c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6"/>
        <v>107144</v>
      </c>
      <c r="AF102" s="2">
        <f t="shared" si="20"/>
        <v>9.3957550334401965E-2</v>
      </c>
      <c r="AG102" s="2">
        <f t="shared" si="20"/>
        <v>7.2596528929951637E-2</v>
      </c>
      <c r="AH102" s="2">
        <f t="shared" si="20"/>
        <v>6.8161101995989348E-2</v>
      </c>
      <c r="AI102" s="2" t="str">
        <f t="shared" si="20"/>
        <v/>
      </c>
      <c r="AJ102" s="2" t="str">
        <f t="shared" si="20"/>
        <v/>
      </c>
      <c r="AK102" s="2" t="str">
        <f t="shared" si="20"/>
        <v/>
      </c>
      <c r="AL102" s="2" t="str">
        <f t="shared" si="20"/>
        <v/>
      </c>
      <c r="AM102" s="2" t="str">
        <f t="shared" si="20"/>
        <v/>
      </c>
      <c r="AN102" s="2" t="str">
        <f t="shared" si="20"/>
        <v/>
      </c>
      <c r="AO102" s="2" t="str">
        <f t="shared" si="20"/>
        <v/>
      </c>
      <c r="AP102" s="2" t="str">
        <f t="shared" si="20"/>
        <v/>
      </c>
      <c r="AQ102" s="2" t="str">
        <f t="shared" si="20"/>
        <v/>
      </c>
      <c r="AR102" s="2">
        <f t="shared" si="20"/>
        <v>7.7831549003569631E-2</v>
      </c>
      <c r="AT102" s="2" t="str">
        <f t="shared" si="19"/>
        <v/>
      </c>
      <c r="AU102" s="2" t="str">
        <f t="shared" si="19"/>
        <v/>
      </c>
      <c r="AV102" s="143" t="str">
        <f t="shared" si="21"/>
        <v/>
      </c>
      <c r="AW102" s="143" t="str">
        <f t="shared" si="21"/>
        <v/>
      </c>
      <c r="AX102" s="143" t="str">
        <f t="shared" si="21"/>
        <v/>
      </c>
      <c r="AY102" s="143" t="str">
        <f t="shared" si="21"/>
        <v/>
      </c>
      <c r="AZ102" s="143" t="str">
        <f t="shared" si="21"/>
        <v/>
      </c>
      <c r="BA102" s="143" t="str">
        <f t="shared" si="21"/>
        <v/>
      </c>
      <c r="BB102" s="143" t="str">
        <f t="shared" si="21"/>
        <v/>
      </c>
      <c r="BC102" s="143" t="str">
        <f t="shared" si="21"/>
        <v/>
      </c>
      <c r="BD102" s="143" t="str">
        <f t="shared" si="21"/>
        <v/>
      </c>
      <c r="BF102" s="9">
        <f t="shared" si="17"/>
        <v>8.4232910614216711E-5</v>
      </c>
      <c r="BG102" s="9">
        <f t="shared" si="18"/>
        <v>0.97842129229866659</v>
      </c>
    </row>
    <row r="103" spans="2:59" x14ac:dyDescent="0.3">
      <c r="B103" s="3" t="s">
        <v>224</v>
      </c>
      <c r="D103" s="141">
        <v>426550</v>
      </c>
      <c r="E103" s="141">
        <v>363714</v>
      </c>
      <c r="F103" s="141">
        <v>393124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5"/>
        <v>1183388</v>
      </c>
      <c r="R103" s="141">
        <v>56195</v>
      </c>
      <c r="S103" s="141">
        <v>61540</v>
      </c>
      <c r="T103" s="141">
        <v>69951</v>
      </c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6"/>
        <v>187686</v>
      </c>
      <c r="AF103" s="2">
        <f t="shared" si="20"/>
        <v>0.13174305474153089</v>
      </c>
      <c r="AG103" s="2">
        <f t="shared" si="20"/>
        <v>0.16919887603996547</v>
      </c>
      <c r="AH103" s="2">
        <f t="shared" si="20"/>
        <v>0.17793622368514769</v>
      </c>
      <c r="AI103" s="2" t="str">
        <f t="shared" si="20"/>
        <v/>
      </c>
      <c r="AJ103" s="2" t="str">
        <f t="shared" si="20"/>
        <v/>
      </c>
      <c r="AK103" s="2" t="str">
        <f t="shared" si="20"/>
        <v/>
      </c>
      <c r="AL103" s="2" t="str">
        <f t="shared" si="20"/>
        <v/>
      </c>
      <c r="AM103" s="2" t="str">
        <f t="shared" si="20"/>
        <v/>
      </c>
      <c r="AN103" s="2" t="str">
        <f t="shared" si="20"/>
        <v/>
      </c>
      <c r="AO103" s="2" t="str">
        <f t="shared" si="20"/>
        <v/>
      </c>
      <c r="AP103" s="2" t="str">
        <f t="shared" si="20"/>
        <v/>
      </c>
      <c r="AQ103" s="2" t="str">
        <f t="shared" si="20"/>
        <v/>
      </c>
      <c r="AR103" s="2">
        <f t="shared" si="20"/>
        <v>0.15860056042481419</v>
      </c>
      <c r="AT103" s="2" t="str">
        <f t="shared" si="19"/>
        <v/>
      </c>
      <c r="AU103" s="2" t="str">
        <f t="shared" si="19"/>
        <v/>
      </c>
      <c r="AV103" s="143" t="str">
        <f t="shared" si="21"/>
        <v/>
      </c>
      <c r="AW103" s="143" t="str">
        <f t="shared" si="21"/>
        <v/>
      </c>
      <c r="AX103" s="143" t="str">
        <f t="shared" si="21"/>
        <v/>
      </c>
      <c r="AY103" s="143" t="str">
        <f t="shared" si="21"/>
        <v/>
      </c>
      <c r="AZ103" s="143" t="str">
        <f t="shared" si="21"/>
        <v/>
      </c>
      <c r="BA103" s="143" t="str">
        <f t="shared" si="21"/>
        <v/>
      </c>
      <c r="BB103" s="143" t="str">
        <f t="shared" si="21"/>
        <v/>
      </c>
      <c r="BC103" s="143" t="str">
        <f t="shared" si="21"/>
        <v/>
      </c>
      <c r="BD103" s="143" t="str">
        <f t="shared" si="21"/>
        <v/>
      </c>
      <c r="BF103" s="9">
        <f t="shared" si="17"/>
        <v>1.4755224801706E-4</v>
      </c>
      <c r="BG103" s="9">
        <f t="shared" si="18"/>
        <v>0.97856884454668369</v>
      </c>
    </row>
    <row r="104" spans="2:59" x14ac:dyDescent="0.3">
      <c r="B104" s="3" t="s">
        <v>193</v>
      </c>
      <c r="D104" s="141">
        <v>418533</v>
      </c>
      <c r="E104" s="141">
        <v>943454</v>
      </c>
      <c r="F104" s="141">
        <v>637413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5"/>
        <v>1999400</v>
      </c>
      <c r="R104" s="141">
        <v>51616</v>
      </c>
      <c r="S104" s="141">
        <v>128617</v>
      </c>
      <c r="T104" s="141">
        <v>77193</v>
      </c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6"/>
        <v>257426</v>
      </c>
      <c r="AF104" s="2">
        <f t="shared" si="20"/>
        <v>0.12332599818891223</v>
      </c>
      <c r="AG104" s="2">
        <f t="shared" si="20"/>
        <v>0.1363256714158825</v>
      </c>
      <c r="AH104" s="2">
        <f t="shared" si="20"/>
        <v>0.12110358590113475</v>
      </c>
      <c r="AI104" s="2" t="str">
        <f t="shared" si="20"/>
        <v/>
      </c>
      <c r="AJ104" s="2" t="str">
        <f t="shared" si="20"/>
        <v/>
      </c>
      <c r="AK104" s="2" t="str">
        <f t="shared" si="20"/>
        <v/>
      </c>
      <c r="AL104" s="2" t="str">
        <f t="shared" si="20"/>
        <v/>
      </c>
      <c r="AM104" s="2" t="str">
        <f t="shared" si="20"/>
        <v/>
      </c>
      <c r="AN104" s="2" t="str">
        <f t="shared" si="20"/>
        <v/>
      </c>
      <c r="AO104" s="2" t="str">
        <f t="shared" si="20"/>
        <v/>
      </c>
      <c r="AP104" s="2" t="str">
        <f t="shared" si="20"/>
        <v/>
      </c>
      <c r="AQ104" s="2" t="str">
        <f t="shared" si="20"/>
        <v/>
      </c>
      <c r="AR104" s="2">
        <f t="shared" si="20"/>
        <v>0.12875162548764629</v>
      </c>
      <c r="AT104" s="2" t="str">
        <f t="shared" si="19"/>
        <v/>
      </c>
      <c r="AU104" s="2" t="str">
        <f t="shared" si="19"/>
        <v/>
      </c>
      <c r="AV104" s="143" t="str">
        <f t="shared" si="21"/>
        <v/>
      </c>
      <c r="AW104" s="143" t="str">
        <f t="shared" si="21"/>
        <v/>
      </c>
      <c r="AX104" s="143" t="str">
        <f t="shared" si="21"/>
        <v/>
      </c>
      <c r="AY104" s="143" t="str">
        <f t="shared" si="21"/>
        <v/>
      </c>
      <c r="AZ104" s="143" t="str">
        <f t="shared" si="21"/>
        <v/>
      </c>
      <c r="BA104" s="143" t="str">
        <f t="shared" si="21"/>
        <v/>
      </c>
      <c r="BB104" s="143" t="str">
        <f t="shared" si="21"/>
        <v/>
      </c>
      <c r="BC104" s="143" t="str">
        <f t="shared" si="21"/>
        <v/>
      </c>
      <c r="BD104" s="143" t="str">
        <f t="shared" si="21"/>
        <v/>
      </c>
      <c r="BF104" s="9">
        <f t="shared" si="17"/>
        <v>2.0237942626535644E-4</v>
      </c>
      <c r="BG104" s="9">
        <f t="shared" si="18"/>
        <v>0.97877122397294902</v>
      </c>
    </row>
    <row r="105" spans="2:59" x14ac:dyDescent="0.3">
      <c r="B105" s="3" t="s">
        <v>199</v>
      </c>
      <c r="D105" s="141">
        <v>1416424</v>
      </c>
      <c r="E105" s="141">
        <v>1128727</v>
      </c>
      <c r="F105" s="141">
        <v>889140</v>
      </c>
      <c r="G105" s="141"/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5"/>
        <v>3434291</v>
      </c>
      <c r="R105" s="141">
        <v>189920</v>
      </c>
      <c r="S105" s="141">
        <v>150358</v>
      </c>
      <c r="T105" s="141">
        <v>122473</v>
      </c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6"/>
        <v>462751</v>
      </c>
      <c r="AF105" s="2">
        <f t="shared" si="20"/>
        <v>0.13408414429577584</v>
      </c>
      <c r="AG105" s="2">
        <f t="shared" si="20"/>
        <v>0.13321024481561972</v>
      </c>
      <c r="AH105" s="2">
        <f t="shared" si="20"/>
        <v>0.13774321254245675</v>
      </c>
      <c r="AI105" s="2" t="str">
        <f t="shared" si="20"/>
        <v/>
      </c>
      <c r="AJ105" s="2" t="str">
        <f t="shared" si="20"/>
        <v/>
      </c>
      <c r="AK105" s="2" t="str">
        <f t="shared" si="20"/>
        <v/>
      </c>
      <c r="AL105" s="2" t="str">
        <f t="shared" si="20"/>
        <v/>
      </c>
      <c r="AM105" s="2" t="str">
        <f t="shared" si="20"/>
        <v/>
      </c>
      <c r="AN105" s="2" t="str">
        <f t="shared" si="20"/>
        <v/>
      </c>
      <c r="AO105" s="2" t="str">
        <f t="shared" si="20"/>
        <v/>
      </c>
      <c r="AP105" s="2" t="str">
        <f t="shared" si="20"/>
        <v/>
      </c>
      <c r="AQ105" s="2" t="str">
        <f t="shared" si="20"/>
        <v/>
      </c>
      <c r="AR105" s="2">
        <f t="shared" si="20"/>
        <v>0.13474426016898394</v>
      </c>
      <c r="AT105" s="2" t="str">
        <f t="shared" si="19"/>
        <v/>
      </c>
      <c r="AU105" s="2" t="str">
        <f t="shared" si="19"/>
        <v/>
      </c>
      <c r="AV105" s="143" t="str">
        <f t="shared" si="21"/>
        <v/>
      </c>
      <c r="AW105" s="143" t="str">
        <f t="shared" si="21"/>
        <v/>
      </c>
      <c r="AX105" s="143" t="str">
        <f t="shared" si="21"/>
        <v/>
      </c>
      <c r="AY105" s="143" t="str">
        <f t="shared" si="21"/>
        <v/>
      </c>
      <c r="AZ105" s="143" t="str">
        <f t="shared" si="21"/>
        <v/>
      </c>
      <c r="BA105" s="143" t="str">
        <f t="shared" si="21"/>
        <v/>
      </c>
      <c r="BB105" s="143" t="str">
        <f t="shared" si="21"/>
        <v/>
      </c>
      <c r="BC105" s="143" t="str">
        <f t="shared" si="21"/>
        <v/>
      </c>
      <c r="BD105" s="143" t="str">
        <f t="shared" si="21"/>
        <v/>
      </c>
      <c r="BF105" s="9">
        <f t="shared" si="17"/>
        <v>3.6379884659560403E-4</v>
      </c>
      <c r="BG105" s="9">
        <f t="shared" si="18"/>
        <v>0.97913502281954468</v>
      </c>
    </row>
    <row r="106" spans="2:59" x14ac:dyDescent="0.3">
      <c r="B106" s="3" t="s">
        <v>181</v>
      </c>
      <c r="D106" s="141">
        <v>25630188</v>
      </c>
      <c r="E106" s="141">
        <v>23300279</v>
      </c>
      <c r="F106" s="141">
        <v>22761004</v>
      </c>
      <c r="G106" s="141"/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5"/>
        <v>71691471</v>
      </c>
      <c r="R106" s="141">
        <v>2464679</v>
      </c>
      <c r="S106" s="141">
        <v>2312130</v>
      </c>
      <c r="T106" s="141">
        <v>2223890</v>
      </c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6"/>
        <v>7000699</v>
      </c>
      <c r="AF106" s="2">
        <f t="shared" si="20"/>
        <v>9.6163126076172362E-2</v>
      </c>
      <c r="AG106" s="2">
        <f t="shared" si="20"/>
        <v>9.9231858983319474E-2</v>
      </c>
      <c r="AH106" s="2">
        <f t="shared" si="20"/>
        <v>9.7706146881745642E-2</v>
      </c>
      <c r="AI106" s="2" t="str">
        <f t="shared" si="20"/>
        <v/>
      </c>
      <c r="AJ106" s="2" t="str">
        <f t="shared" si="20"/>
        <v/>
      </c>
      <c r="AK106" s="2" t="str">
        <f t="shared" si="20"/>
        <v/>
      </c>
      <c r="AL106" s="2" t="str">
        <f t="shared" si="20"/>
        <v/>
      </c>
      <c r="AM106" s="2" t="str">
        <f t="shared" si="20"/>
        <v/>
      </c>
      <c r="AN106" s="2" t="str">
        <f t="shared" si="20"/>
        <v/>
      </c>
      <c r="AO106" s="2" t="str">
        <f t="shared" si="20"/>
        <v/>
      </c>
      <c r="AP106" s="2" t="str">
        <f t="shared" si="20"/>
        <v/>
      </c>
      <c r="AQ106" s="2" t="str">
        <f t="shared" si="20"/>
        <v/>
      </c>
      <c r="AR106" s="2">
        <f t="shared" si="20"/>
        <v>9.7650374617086602E-2</v>
      </c>
      <c r="AT106" s="2" t="str">
        <f t="shared" si="19"/>
        <v/>
      </c>
      <c r="AU106" s="2" t="str">
        <f t="shared" si="19"/>
        <v/>
      </c>
      <c r="AV106" s="143" t="str">
        <f t="shared" si="21"/>
        <v/>
      </c>
      <c r="AW106" s="143" t="str">
        <f t="shared" si="21"/>
        <v/>
      </c>
      <c r="AX106" s="143" t="str">
        <f t="shared" si="21"/>
        <v/>
      </c>
      <c r="AY106" s="143" t="str">
        <f t="shared" si="21"/>
        <v/>
      </c>
      <c r="AZ106" s="143" t="str">
        <f t="shared" si="21"/>
        <v/>
      </c>
      <c r="BA106" s="143" t="str">
        <f t="shared" si="21"/>
        <v/>
      </c>
      <c r="BB106" s="143" t="str">
        <f t="shared" si="21"/>
        <v/>
      </c>
      <c r="BC106" s="143" t="str">
        <f t="shared" si="21"/>
        <v/>
      </c>
      <c r="BD106" s="143" t="str">
        <f t="shared" si="21"/>
        <v/>
      </c>
      <c r="BF106" s="9">
        <f t="shared" si="17"/>
        <v>5.5037076560893409E-3</v>
      </c>
      <c r="BG106" s="9">
        <f t="shared" si="18"/>
        <v>0.98463873047563399</v>
      </c>
    </row>
    <row r="107" spans="2:59" x14ac:dyDescent="0.3">
      <c r="B107" s="3" t="s">
        <v>168</v>
      </c>
      <c r="D107" s="141">
        <v>399935</v>
      </c>
      <c r="E107" s="141">
        <v>348679</v>
      </c>
      <c r="F107" s="141">
        <v>312893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5"/>
        <v>1061507</v>
      </c>
      <c r="R107" s="141">
        <v>47593</v>
      </c>
      <c r="S107" s="141">
        <v>39603</v>
      </c>
      <c r="T107" s="141">
        <v>37188</v>
      </c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6"/>
        <v>124384</v>
      </c>
      <c r="AF107" s="2">
        <f t="shared" si="20"/>
        <v>0.11900183779864228</v>
      </c>
      <c r="AG107" s="2">
        <f t="shared" si="20"/>
        <v>0.11358011236696217</v>
      </c>
      <c r="AH107" s="2">
        <f t="shared" si="20"/>
        <v>0.11885213155935095</v>
      </c>
      <c r="AI107" s="2" t="str">
        <f t="shared" si="20"/>
        <v/>
      </c>
      <c r="AJ107" s="2" t="str">
        <f t="shared" si="20"/>
        <v/>
      </c>
      <c r="AK107" s="2" t="str">
        <f t="shared" si="20"/>
        <v/>
      </c>
      <c r="AL107" s="2" t="str">
        <f t="shared" si="20"/>
        <v/>
      </c>
      <c r="AM107" s="2" t="str">
        <f t="shared" si="20"/>
        <v/>
      </c>
      <c r="AN107" s="2" t="str">
        <f t="shared" si="20"/>
        <v/>
      </c>
      <c r="AO107" s="2" t="str">
        <f t="shared" si="20"/>
        <v/>
      </c>
      <c r="AP107" s="2" t="str">
        <f t="shared" si="20"/>
        <v/>
      </c>
      <c r="AQ107" s="2" t="str">
        <f t="shared" si="20"/>
        <v/>
      </c>
      <c r="AR107" s="2">
        <f t="shared" si="20"/>
        <v>0.11717680618215424</v>
      </c>
      <c r="AT107" s="2" t="str">
        <f t="shared" si="19"/>
        <v/>
      </c>
      <c r="AU107" s="2" t="str">
        <f t="shared" si="19"/>
        <v/>
      </c>
      <c r="AV107" s="143" t="str">
        <f t="shared" si="21"/>
        <v/>
      </c>
      <c r="AW107" s="143" t="str">
        <f t="shared" si="21"/>
        <v/>
      </c>
      <c r="AX107" s="143" t="str">
        <f t="shared" si="21"/>
        <v/>
      </c>
      <c r="AY107" s="143" t="str">
        <f t="shared" si="21"/>
        <v/>
      </c>
      <c r="AZ107" s="143" t="str">
        <f t="shared" si="21"/>
        <v/>
      </c>
      <c r="BA107" s="143" t="str">
        <f t="shared" si="21"/>
        <v/>
      </c>
      <c r="BB107" s="143" t="str">
        <f t="shared" si="21"/>
        <v/>
      </c>
      <c r="BC107" s="143" t="str">
        <f t="shared" si="21"/>
        <v/>
      </c>
      <c r="BD107" s="143" t="str">
        <f t="shared" si="21"/>
        <v/>
      </c>
      <c r="BF107" s="9">
        <f t="shared" si="17"/>
        <v>9.7786402914197071E-5</v>
      </c>
      <c r="BG107" s="9">
        <f t="shared" si="18"/>
        <v>0.98473651687854824</v>
      </c>
    </row>
    <row r="108" spans="2:59" x14ac:dyDescent="0.3">
      <c r="B108" s="3" t="s">
        <v>188</v>
      </c>
      <c r="D108" s="141">
        <v>900933</v>
      </c>
      <c r="E108" s="141">
        <v>1016092</v>
      </c>
      <c r="F108" s="141">
        <v>715912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5"/>
        <v>2632937</v>
      </c>
      <c r="R108" s="141">
        <v>114354</v>
      </c>
      <c r="S108" s="141">
        <v>128838</v>
      </c>
      <c r="T108" s="141">
        <v>115101</v>
      </c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6"/>
        <v>358293</v>
      </c>
      <c r="AF108" s="2">
        <f t="shared" si="20"/>
        <v>0.12692841754048304</v>
      </c>
      <c r="AG108" s="2">
        <f t="shared" si="20"/>
        <v>0.1267975734480736</v>
      </c>
      <c r="AH108" s="2">
        <f t="shared" si="20"/>
        <v>0.16077534669065471</v>
      </c>
      <c r="AI108" s="2" t="str">
        <f t="shared" si="20"/>
        <v/>
      </c>
      <c r="AJ108" s="2" t="str">
        <f t="shared" si="20"/>
        <v/>
      </c>
      <c r="AK108" s="2" t="str">
        <f t="shared" si="20"/>
        <v/>
      </c>
      <c r="AL108" s="2" t="str">
        <f t="shared" si="20"/>
        <v/>
      </c>
      <c r="AM108" s="2" t="str">
        <f t="shared" si="20"/>
        <v/>
      </c>
      <c r="AN108" s="2" t="str">
        <f t="shared" ref="AN108:AR139" si="22">+IFERROR(Z108/L108,"")</f>
        <v/>
      </c>
      <c r="AO108" s="2" t="str">
        <f t="shared" si="22"/>
        <v/>
      </c>
      <c r="AP108" s="2" t="str">
        <f t="shared" si="22"/>
        <v/>
      </c>
      <c r="AQ108" s="2" t="str">
        <f t="shared" si="22"/>
        <v/>
      </c>
      <c r="AR108" s="2">
        <f t="shared" si="22"/>
        <v>0.13608111398031933</v>
      </c>
      <c r="AT108" s="2" t="str">
        <f t="shared" si="19"/>
        <v/>
      </c>
      <c r="AU108" s="2" t="str">
        <f t="shared" si="19"/>
        <v/>
      </c>
      <c r="AV108" s="143" t="str">
        <f t="shared" si="21"/>
        <v/>
      </c>
      <c r="AW108" s="143" t="str">
        <f t="shared" si="21"/>
        <v/>
      </c>
      <c r="AX108" s="143" t="str">
        <f t="shared" si="21"/>
        <v/>
      </c>
      <c r="AY108" s="143" t="str">
        <f t="shared" si="21"/>
        <v/>
      </c>
      <c r="AZ108" s="143" t="str">
        <f t="shared" si="21"/>
        <v/>
      </c>
      <c r="BA108" s="143" t="str">
        <f t="shared" si="21"/>
        <v/>
      </c>
      <c r="BB108" s="143" t="str">
        <f t="shared" si="21"/>
        <v/>
      </c>
      <c r="BC108" s="143" t="str">
        <f t="shared" si="21"/>
        <v/>
      </c>
      <c r="BD108" s="143" t="str">
        <f t="shared" si="21"/>
        <v/>
      </c>
      <c r="BF108" s="9">
        <f t="shared" si="17"/>
        <v>2.8167757637104782E-4</v>
      </c>
      <c r="BG108" s="9">
        <f t="shared" si="18"/>
        <v>0.98501819445491934</v>
      </c>
    </row>
    <row r="109" spans="2:59" x14ac:dyDescent="0.3">
      <c r="B109" s="3" t="s">
        <v>173</v>
      </c>
      <c r="D109" s="141">
        <v>258585</v>
      </c>
      <c r="E109" s="141">
        <v>227187</v>
      </c>
      <c r="F109" s="141">
        <v>225319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5"/>
        <v>711091</v>
      </c>
      <c r="R109" s="141">
        <v>16488</v>
      </c>
      <c r="S109" s="141">
        <v>14560</v>
      </c>
      <c r="T109" s="141">
        <v>13276</v>
      </c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6"/>
        <v>44324</v>
      </c>
      <c r="AF109" s="2">
        <f t="shared" ref="AF109:AM140" si="23">+IFERROR(R109/D109,"")</f>
        <v>6.3762399211091128E-2</v>
      </c>
      <c r="AG109" s="2">
        <f t="shared" si="23"/>
        <v>6.4088174059255154E-2</v>
      </c>
      <c r="AH109" s="2">
        <f t="shared" si="23"/>
        <v>5.8920907690873825E-2</v>
      </c>
      <c r="AI109" s="2" t="str">
        <f t="shared" si="23"/>
        <v/>
      </c>
      <c r="AJ109" s="2" t="str">
        <f t="shared" si="23"/>
        <v/>
      </c>
      <c r="AK109" s="2" t="str">
        <f t="shared" si="23"/>
        <v/>
      </c>
      <c r="AL109" s="2" t="str">
        <f t="shared" si="23"/>
        <v/>
      </c>
      <c r="AM109" s="2" t="str">
        <f t="shared" si="23"/>
        <v/>
      </c>
      <c r="AN109" s="2" t="str">
        <f t="shared" si="22"/>
        <v/>
      </c>
      <c r="AO109" s="2" t="str">
        <f t="shared" si="22"/>
        <v/>
      </c>
      <c r="AP109" s="2" t="str">
        <f t="shared" si="22"/>
        <v/>
      </c>
      <c r="AQ109" s="2" t="str">
        <f t="shared" si="22"/>
        <v/>
      </c>
      <c r="AR109" s="2">
        <f t="shared" si="22"/>
        <v>6.2332387837843541E-2</v>
      </c>
      <c r="AT109" s="2" t="str">
        <f t="shared" si="19"/>
        <v/>
      </c>
      <c r="AU109" s="2" t="str">
        <f t="shared" si="19"/>
        <v/>
      </c>
      <c r="AV109" s="143" t="str">
        <f t="shared" si="21"/>
        <v/>
      </c>
      <c r="AW109" s="143" t="str">
        <f t="shared" si="21"/>
        <v/>
      </c>
      <c r="AX109" s="143" t="str">
        <f t="shared" si="21"/>
        <v/>
      </c>
      <c r="AY109" s="143" t="str">
        <f t="shared" si="21"/>
        <v/>
      </c>
      <c r="AZ109" s="143" t="str">
        <f t="shared" si="21"/>
        <v/>
      </c>
      <c r="BA109" s="143" t="str">
        <f t="shared" si="21"/>
        <v/>
      </c>
      <c r="BB109" s="143" t="str">
        <f t="shared" si="21"/>
        <v/>
      </c>
      <c r="BC109" s="143" t="str">
        <f t="shared" si="21"/>
        <v/>
      </c>
      <c r="BD109" s="143" t="str">
        <f t="shared" si="21"/>
        <v/>
      </c>
      <c r="BF109" s="9">
        <f t="shared" si="17"/>
        <v>3.4845997256631647E-5</v>
      </c>
      <c r="BG109" s="9">
        <f t="shared" si="18"/>
        <v>0.98505304045217601</v>
      </c>
    </row>
    <row r="110" spans="2:59" x14ac:dyDescent="0.3">
      <c r="B110" s="3" t="s">
        <v>162</v>
      </c>
      <c r="D110" s="141">
        <v>575232</v>
      </c>
      <c r="E110" s="141">
        <v>480447</v>
      </c>
      <c r="F110" s="141">
        <v>486284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5"/>
        <v>1541963</v>
      </c>
      <c r="R110" s="141">
        <v>54956</v>
      </c>
      <c r="S110" s="141">
        <v>50196</v>
      </c>
      <c r="T110" s="141">
        <v>36536</v>
      </c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6"/>
        <v>141688</v>
      </c>
      <c r="AF110" s="2">
        <f t="shared" si="23"/>
        <v>9.5537105028927455E-2</v>
      </c>
      <c r="AG110" s="2">
        <f t="shared" si="23"/>
        <v>0.10447770513709108</v>
      </c>
      <c r="AH110" s="2">
        <f t="shared" si="23"/>
        <v>7.513304982273733E-2</v>
      </c>
      <c r="AI110" s="2" t="str">
        <f t="shared" si="23"/>
        <v/>
      </c>
      <c r="AJ110" s="2" t="str">
        <f t="shared" si="23"/>
        <v/>
      </c>
      <c r="AK110" s="2" t="str">
        <f t="shared" si="23"/>
        <v/>
      </c>
      <c r="AL110" s="2" t="str">
        <f t="shared" si="23"/>
        <v/>
      </c>
      <c r="AM110" s="2" t="str">
        <f t="shared" si="23"/>
        <v/>
      </c>
      <c r="AN110" s="2" t="str">
        <f t="shared" si="22"/>
        <v/>
      </c>
      <c r="AO110" s="2" t="str">
        <f t="shared" si="22"/>
        <v/>
      </c>
      <c r="AP110" s="2" t="str">
        <f t="shared" si="22"/>
        <v/>
      </c>
      <c r="AQ110" s="2" t="str">
        <f t="shared" si="22"/>
        <v/>
      </c>
      <c r="AR110" s="2">
        <f t="shared" si="22"/>
        <v>9.18880673531077E-2</v>
      </c>
      <c r="AT110" s="2" t="str">
        <f t="shared" ref="AT110:AU141" si="24">+IFERROR(AM110-AL110,"")</f>
        <v/>
      </c>
      <c r="AU110" s="2" t="str">
        <f t="shared" si="24"/>
        <v/>
      </c>
      <c r="AV110" s="143" t="str">
        <f t="shared" si="21"/>
        <v/>
      </c>
      <c r="AW110" s="143" t="str">
        <f t="shared" si="21"/>
        <v/>
      </c>
      <c r="AX110" s="143" t="str">
        <f t="shared" si="21"/>
        <v/>
      </c>
      <c r="AY110" s="143" t="str">
        <f t="shared" si="21"/>
        <v/>
      </c>
      <c r="AZ110" s="143" t="str">
        <f t="shared" si="21"/>
        <v/>
      </c>
      <c r="BA110" s="143" t="str">
        <f t="shared" si="21"/>
        <v/>
      </c>
      <c r="BB110" s="143" t="str">
        <f t="shared" si="21"/>
        <v/>
      </c>
      <c r="BC110" s="143" t="str">
        <f t="shared" si="21"/>
        <v/>
      </c>
      <c r="BD110" s="143" t="str">
        <f t="shared" si="21"/>
        <v/>
      </c>
      <c r="BF110" s="9">
        <f t="shared" si="17"/>
        <v>1.1139020980276205E-4</v>
      </c>
      <c r="BG110" s="9">
        <f t="shared" si="18"/>
        <v>0.98516443066197878</v>
      </c>
    </row>
    <row r="111" spans="2:59" x14ac:dyDescent="0.3">
      <c r="B111" s="3" t="s">
        <v>190</v>
      </c>
      <c r="D111" s="141">
        <v>529163</v>
      </c>
      <c r="E111" s="141">
        <v>438417</v>
      </c>
      <c r="F111" s="141">
        <v>396557</v>
      </c>
      <c r="G111" s="141"/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5"/>
        <v>1364137</v>
      </c>
      <c r="R111" s="141">
        <v>45712</v>
      </c>
      <c r="S111" s="141">
        <v>51050</v>
      </c>
      <c r="T111" s="141">
        <v>36760</v>
      </c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6"/>
        <v>133522</v>
      </c>
      <c r="AF111" s="2">
        <f t="shared" si="23"/>
        <v>8.6385480466321343E-2</v>
      </c>
      <c r="AG111" s="2">
        <f t="shared" si="23"/>
        <v>0.11644165258190262</v>
      </c>
      <c r="AH111" s="2">
        <f t="shared" si="23"/>
        <v>9.2697897149716185E-2</v>
      </c>
      <c r="AI111" s="2" t="str">
        <f t="shared" si="23"/>
        <v/>
      </c>
      <c r="AJ111" s="2" t="str">
        <f t="shared" si="23"/>
        <v/>
      </c>
      <c r="AK111" s="2" t="str">
        <f t="shared" si="23"/>
        <v/>
      </c>
      <c r="AL111" s="2" t="str">
        <f t="shared" si="23"/>
        <v/>
      </c>
      <c r="AM111" s="2" t="str">
        <f t="shared" si="23"/>
        <v/>
      </c>
      <c r="AN111" s="2" t="str">
        <f t="shared" si="22"/>
        <v/>
      </c>
      <c r="AO111" s="2" t="str">
        <f t="shared" si="22"/>
        <v/>
      </c>
      <c r="AP111" s="2" t="str">
        <f t="shared" si="22"/>
        <v/>
      </c>
      <c r="AQ111" s="2" t="str">
        <f t="shared" si="22"/>
        <v/>
      </c>
      <c r="AR111" s="2">
        <f t="shared" si="22"/>
        <v>9.7880198249882533E-2</v>
      </c>
      <c r="AT111" s="2" t="str">
        <f t="shared" si="24"/>
        <v/>
      </c>
      <c r="AU111" s="2" t="str">
        <f t="shared" si="24"/>
        <v/>
      </c>
      <c r="AV111" s="143" t="str">
        <f t="shared" si="21"/>
        <v/>
      </c>
      <c r="AW111" s="143" t="str">
        <f t="shared" si="21"/>
        <v/>
      </c>
      <c r="AX111" s="143" t="str">
        <f t="shared" si="21"/>
        <v/>
      </c>
      <c r="AY111" s="143" t="str">
        <f t="shared" si="21"/>
        <v/>
      </c>
      <c r="AZ111" s="143" t="str">
        <f t="shared" si="21"/>
        <v/>
      </c>
      <c r="BA111" s="143" t="str">
        <f t="shared" si="21"/>
        <v/>
      </c>
      <c r="BB111" s="143" t="str">
        <f t="shared" si="21"/>
        <v/>
      </c>
      <c r="BC111" s="143" t="str">
        <f t="shared" si="21"/>
        <v/>
      </c>
      <c r="BD111" s="143" t="str">
        <f t="shared" si="21"/>
        <v/>
      </c>
      <c r="BF111" s="9">
        <f t="shared" si="17"/>
        <v>1.0497038276554397E-4</v>
      </c>
      <c r="BG111" s="9">
        <f t="shared" si="18"/>
        <v>0.98526940104474436</v>
      </c>
    </row>
    <row r="112" spans="2:59" x14ac:dyDescent="0.3">
      <c r="B112" s="3" t="s">
        <v>186</v>
      </c>
      <c r="D112" s="141">
        <v>528193</v>
      </c>
      <c r="E112" s="141">
        <v>485467</v>
      </c>
      <c r="F112" s="141">
        <v>529224</v>
      </c>
      <c r="G112" s="141"/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5"/>
        <v>1542884</v>
      </c>
      <c r="R112" s="141">
        <v>50417</v>
      </c>
      <c r="S112" s="141">
        <v>34669</v>
      </c>
      <c r="T112" s="141">
        <v>44355</v>
      </c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6"/>
        <v>129441</v>
      </c>
      <c r="AF112" s="2">
        <f t="shared" si="23"/>
        <v>9.5451851879899963E-2</v>
      </c>
      <c r="AG112" s="2">
        <f t="shared" si="23"/>
        <v>7.1413710921648638E-2</v>
      </c>
      <c r="AH112" s="2">
        <f t="shared" si="23"/>
        <v>8.3811391773615712E-2</v>
      </c>
      <c r="AI112" s="2" t="str">
        <f t="shared" si="23"/>
        <v/>
      </c>
      <c r="AJ112" s="2" t="str">
        <f t="shared" si="23"/>
        <v/>
      </c>
      <c r="AK112" s="2" t="str">
        <f t="shared" si="23"/>
        <v/>
      </c>
      <c r="AL112" s="2" t="str">
        <f t="shared" si="23"/>
        <v/>
      </c>
      <c r="AM112" s="2" t="str">
        <f t="shared" si="23"/>
        <v/>
      </c>
      <c r="AN112" s="2" t="str">
        <f t="shared" si="22"/>
        <v/>
      </c>
      <c r="AO112" s="2" t="str">
        <f t="shared" si="22"/>
        <v/>
      </c>
      <c r="AP112" s="2" t="str">
        <f t="shared" si="22"/>
        <v/>
      </c>
      <c r="AQ112" s="2" t="str">
        <f t="shared" si="22"/>
        <v/>
      </c>
      <c r="AR112" s="2">
        <f t="shared" si="22"/>
        <v>8.3895484041574098E-2</v>
      </c>
      <c r="AT112" s="2" t="str">
        <f t="shared" si="24"/>
        <v/>
      </c>
      <c r="AU112" s="2" t="str">
        <f t="shared" si="24"/>
        <v/>
      </c>
      <c r="AV112" s="143" t="str">
        <f t="shared" si="21"/>
        <v/>
      </c>
      <c r="AW112" s="143" t="str">
        <f t="shared" si="21"/>
        <v/>
      </c>
      <c r="AX112" s="143" t="str">
        <f t="shared" si="21"/>
        <v/>
      </c>
      <c r="AY112" s="143" t="str">
        <f t="shared" si="21"/>
        <v/>
      </c>
      <c r="AZ112" s="143" t="str">
        <f t="shared" si="21"/>
        <v/>
      </c>
      <c r="BA112" s="143" t="str">
        <f t="shared" si="21"/>
        <v/>
      </c>
      <c r="BB112" s="143" t="str">
        <f t="shared" si="21"/>
        <v/>
      </c>
      <c r="BC112" s="143" t="str">
        <f t="shared" si="21"/>
        <v/>
      </c>
      <c r="BD112" s="143" t="str">
        <f t="shared" si="21"/>
        <v/>
      </c>
      <c r="BF112" s="9">
        <f t="shared" si="17"/>
        <v>1.0176204157782821E-4</v>
      </c>
      <c r="BG112" s="9">
        <f t="shared" si="18"/>
        <v>0.98537116308632222</v>
      </c>
    </row>
    <row r="113" spans="2:59" x14ac:dyDescent="0.3">
      <c r="B113" s="3" t="s">
        <v>207</v>
      </c>
      <c r="D113" s="141">
        <v>590548</v>
      </c>
      <c r="E113" s="141">
        <v>545238</v>
      </c>
      <c r="F113" s="141">
        <v>529559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5"/>
        <v>1665345</v>
      </c>
      <c r="R113" s="141">
        <v>83793</v>
      </c>
      <c r="S113" s="141">
        <v>64199</v>
      </c>
      <c r="T113" s="141">
        <v>71202</v>
      </c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6"/>
        <v>219194</v>
      </c>
      <c r="AF113" s="2">
        <f t="shared" si="23"/>
        <v>0.14189024431544939</v>
      </c>
      <c r="AG113" s="2">
        <f t="shared" si="23"/>
        <v>0.11774491139649107</v>
      </c>
      <c r="AH113" s="2">
        <f t="shared" si="23"/>
        <v>0.13445527316125305</v>
      </c>
      <c r="AI113" s="2" t="str">
        <f t="shared" si="23"/>
        <v/>
      </c>
      <c r="AJ113" s="2" t="str">
        <f t="shared" si="23"/>
        <v/>
      </c>
      <c r="AK113" s="2" t="str">
        <f t="shared" si="23"/>
        <v/>
      </c>
      <c r="AL113" s="2" t="str">
        <f t="shared" si="23"/>
        <v/>
      </c>
      <c r="AM113" s="2" t="str">
        <f t="shared" si="23"/>
        <v/>
      </c>
      <c r="AN113" s="2" t="str">
        <f t="shared" si="22"/>
        <v/>
      </c>
      <c r="AO113" s="2" t="str">
        <f t="shared" si="22"/>
        <v/>
      </c>
      <c r="AP113" s="2" t="str">
        <f t="shared" si="22"/>
        <v/>
      </c>
      <c r="AQ113" s="2" t="str">
        <f t="shared" si="22"/>
        <v/>
      </c>
      <c r="AR113" s="2">
        <f t="shared" si="22"/>
        <v>0.13162077527479291</v>
      </c>
      <c r="AT113" s="2" t="str">
        <f t="shared" si="24"/>
        <v/>
      </c>
      <c r="AU113" s="2" t="str">
        <f t="shared" si="24"/>
        <v/>
      </c>
      <c r="AV113" s="143" t="str">
        <f t="shared" si="21"/>
        <v/>
      </c>
      <c r="AW113" s="143" t="str">
        <f t="shared" si="21"/>
        <v/>
      </c>
      <c r="AX113" s="143" t="str">
        <f t="shared" si="21"/>
        <v/>
      </c>
      <c r="AY113" s="143" t="str">
        <f t="shared" si="21"/>
        <v/>
      </c>
      <c r="AZ113" s="143" t="str">
        <f t="shared" si="21"/>
        <v/>
      </c>
      <c r="BA113" s="143" t="str">
        <f t="shared" si="21"/>
        <v/>
      </c>
      <c r="BB113" s="143" t="str">
        <f t="shared" si="21"/>
        <v/>
      </c>
      <c r="BC113" s="143" t="str">
        <f t="shared" si="21"/>
        <v/>
      </c>
      <c r="BD113" s="143" t="str">
        <f t="shared" si="21"/>
        <v/>
      </c>
      <c r="BF113" s="9">
        <f t="shared" si="17"/>
        <v>1.7232274890962272E-4</v>
      </c>
      <c r="BG113" s="9">
        <f t="shared" si="18"/>
        <v>0.98554348583523188</v>
      </c>
    </row>
    <row r="114" spans="2:59" x14ac:dyDescent="0.3">
      <c r="B114" s="3" t="s">
        <v>189</v>
      </c>
      <c r="D114" s="141">
        <v>71942</v>
      </c>
      <c r="E114" s="141">
        <v>63606</v>
      </c>
      <c r="F114" s="141">
        <v>54322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5"/>
        <v>189870</v>
      </c>
      <c r="R114" s="141">
        <v>9955</v>
      </c>
      <c r="S114" s="141">
        <v>8799</v>
      </c>
      <c r="T114" s="141">
        <v>7297</v>
      </c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6"/>
        <v>26051</v>
      </c>
      <c r="AF114" s="2">
        <f t="shared" si="23"/>
        <v>0.13837535792721914</v>
      </c>
      <c r="AG114" s="2">
        <f t="shared" si="23"/>
        <v>0.13833600603716631</v>
      </c>
      <c r="AH114" s="2">
        <f t="shared" si="23"/>
        <v>0.13432863296638561</v>
      </c>
      <c r="AI114" s="2" t="str">
        <f t="shared" si="23"/>
        <v/>
      </c>
      <c r="AJ114" s="2" t="str">
        <f t="shared" si="23"/>
        <v/>
      </c>
      <c r="AK114" s="2" t="str">
        <f t="shared" si="23"/>
        <v/>
      </c>
      <c r="AL114" s="2" t="str">
        <f t="shared" si="23"/>
        <v/>
      </c>
      <c r="AM114" s="2" t="str">
        <f t="shared" si="23"/>
        <v/>
      </c>
      <c r="AN114" s="2" t="str">
        <f t="shared" si="22"/>
        <v/>
      </c>
      <c r="AO114" s="2" t="str">
        <f t="shared" si="22"/>
        <v/>
      </c>
      <c r="AP114" s="2" t="str">
        <f t="shared" si="22"/>
        <v/>
      </c>
      <c r="AQ114" s="2" t="str">
        <f t="shared" si="22"/>
        <v/>
      </c>
      <c r="AR114" s="2">
        <f t="shared" si="22"/>
        <v>0.13720440301258757</v>
      </c>
      <c r="AT114" s="2" t="str">
        <f t="shared" si="24"/>
        <v/>
      </c>
      <c r="AU114" s="2" t="str">
        <f t="shared" si="24"/>
        <v/>
      </c>
      <c r="AV114" s="143" t="str">
        <f t="shared" si="21"/>
        <v/>
      </c>
      <c r="AW114" s="143" t="str">
        <f t="shared" si="21"/>
        <v/>
      </c>
      <c r="AX114" s="143" t="str">
        <f t="shared" si="21"/>
        <v/>
      </c>
      <c r="AY114" s="143" t="str">
        <f t="shared" si="21"/>
        <v/>
      </c>
      <c r="AZ114" s="143" t="str">
        <f t="shared" si="21"/>
        <v/>
      </c>
      <c r="BA114" s="143" t="str">
        <f t="shared" si="21"/>
        <v/>
      </c>
      <c r="BB114" s="143" t="str">
        <f t="shared" si="21"/>
        <v/>
      </c>
      <c r="BC114" s="143" t="str">
        <f t="shared" si="21"/>
        <v/>
      </c>
      <c r="BD114" s="143" t="str">
        <f t="shared" si="21"/>
        <v/>
      </c>
      <c r="BF114" s="9">
        <f t="shared" si="17"/>
        <v>2.0480396050277752E-5</v>
      </c>
      <c r="BG114" s="9">
        <f t="shared" si="18"/>
        <v>0.98556396623128217</v>
      </c>
    </row>
    <row r="115" spans="2:59" x14ac:dyDescent="0.3">
      <c r="B115" s="3" t="s">
        <v>178</v>
      </c>
      <c r="D115" s="141">
        <v>451279</v>
      </c>
      <c r="E115" s="141">
        <v>412123</v>
      </c>
      <c r="F115" s="141">
        <v>315506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5"/>
        <v>1178908</v>
      </c>
      <c r="R115" s="141">
        <v>47851</v>
      </c>
      <c r="S115" s="141">
        <v>34055</v>
      </c>
      <c r="T115" s="141">
        <v>36089</v>
      </c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6"/>
        <v>117995</v>
      </c>
      <c r="AF115" s="2">
        <f t="shared" si="23"/>
        <v>0.106034182844759</v>
      </c>
      <c r="AG115" s="2">
        <f t="shared" si="23"/>
        <v>8.2633097400533331E-2</v>
      </c>
      <c r="AH115" s="2">
        <f t="shared" si="23"/>
        <v>0.11438451249738515</v>
      </c>
      <c r="AI115" s="2" t="str">
        <f t="shared" si="23"/>
        <v/>
      </c>
      <c r="AJ115" s="2" t="str">
        <f t="shared" si="23"/>
        <v/>
      </c>
      <c r="AK115" s="2" t="str">
        <f t="shared" si="23"/>
        <v/>
      </c>
      <c r="AL115" s="2" t="str">
        <f t="shared" si="23"/>
        <v/>
      </c>
      <c r="AM115" s="2" t="str">
        <f t="shared" si="23"/>
        <v/>
      </c>
      <c r="AN115" s="2" t="str">
        <f t="shared" si="22"/>
        <v/>
      </c>
      <c r="AO115" s="2" t="str">
        <f t="shared" si="22"/>
        <v/>
      </c>
      <c r="AP115" s="2" t="str">
        <f t="shared" si="22"/>
        <v/>
      </c>
      <c r="AQ115" s="2" t="str">
        <f t="shared" si="22"/>
        <v/>
      </c>
      <c r="AR115" s="2">
        <f t="shared" si="22"/>
        <v>0.10008838688006189</v>
      </c>
      <c r="AT115" s="2" t="str">
        <f t="shared" si="24"/>
        <v/>
      </c>
      <c r="AU115" s="2" t="str">
        <f t="shared" si="24"/>
        <v/>
      </c>
      <c r="AV115" s="143" t="str">
        <f t="shared" si="21"/>
        <v/>
      </c>
      <c r="AW115" s="143" t="str">
        <f t="shared" si="21"/>
        <v/>
      </c>
      <c r="AX115" s="143" t="str">
        <f t="shared" si="21"/>
        <v/>
      </c>
      <c r="AY115" s="143" t="str">
        <f t="shared" si="21"/>
        <v/>
      </c>
      <c r="AZ115" s="143" t="str">
        <f t="shared" si="21"/>
        <v/>
      </c>
      <c r="BA115" s="143" t="str">
        <f t="shared" si="21"/>
        <v/>
      </c>
      <c r="BB115" s="143" t="str">
        <f t="shared" si="21"/>
        <v/>
      </c>
      <c r="BC115" s="143" t="str">
        <f t="shared" si="21"/>
        <v/>
      </c>
      <c r="BD115" s="143" t="str">
        <f t="shared" si="21"/>
        <v/>
      </c>
      <c r="BF115" s="9">
        <f t="shared" si="17"/>
        <v>9.2763591875648664E-5</v>
      </c>
      <c r="BG115" s="9">
        <f t="shared" si="18"/>
        <v>0.98565672982315777</v>
      </c>
    </row>
    <row r="116" spans="2:59" x14ac:dyDescent="0.3">
      <c r="B116" s="3" t="s">
        <v>197</v>
      </c>
      <c r="D116" s="141">
        <v>207279</v>
      </c>
      <c r="E116" s="141">
        <v>210377</v>
      </c>
      <c r="F116" s="141">
        <v>347367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5"/>
        <v>765023</v>
      </c>
      <c r="R116" s="141">
        <v>22067</v>
      </c>
      <c r="S116" s="141">
        <v>23000</v>
      </c>
      <c r="T116" s="141">
        <v>39504</v>
      </c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6"/>
        <v>84571</v>
      </c>
      <c r="AF116" s="2">
        <f t="shared" si="23"/>
        <v>0.10646037466410008</v>
      </c>
      <c r="AG116" s="2">
        <f t="shared" si="23"/>
        <v>0.10932754055814087</v>
      </c>
      <c r="AH116" s="2">
        <f t="shared" si="23"/>
        <v>0.11372410159859744</v>
      </c>
      <c r="AI116" s="2" t="str">
        <f t="shared" si="23"/>
        <v/>
      </c>
      <c r="AJ116" s="2" t="str">
        <f t="shared" si="23"/>
        <v/>
      </c>
      <c r="AK116" s="2" t="str">
        <f t="shared" si="23"/>
        <v/>
      </c>
      <c r="AL116" s="2" t="str">
        <f t="shared" si="23"/>
        <v/>
      </c>
      <c r="AM116" s="2" t="str">
        <f t="shared" si="23"/>
        <v/>
      </c>
      <c r="AN116" s="2" t="str">
        <f t="shared" si="22"/>
        <v/>
      </c>
      <c r="AO116" s="2" t="str">
        <f t="shared" si="22"/>
        <v/>
      </c>
      <c r="AP116" s="2" t="str">
        <f t="shared" si="22"/>
        <v/>
      </c>
      <c r="AQ116" s="2" t="str">
        <f t="shared" si="22"/>
        <v/>
      </c>
      <c r="AR116" s="2">
        <f t="shared" si="22"/>
        <v>0.11054700316199643</v>
      </c>
      <c r="AT116" s="2" t="str">
        <f t="shared" si="24"/>
        <v/>
      </c>
      <c r="AU116" s="2" t="str">
        <f t="shared" si="24"/>
        <v/>
      </c>
      <c r="AV116" s="143" t="str">
        <f t="shared" si="21"/>
        <v/>
      </c>
      <c r="AW116" s="143" t="str">
        <f t="shared" si="21"/>
        <v/>
      </c>
      <c r="AX116" s="143" t="str">
        <f t="shared" si="21"/>
        <v/>
      </c>
      <c r="AY116" s="143" t="str">
        <f t="shared" si="21"/>
        <v/>
      </c>
      <c r="AZ116" s="143" t="str">
        <f t="shared" si="21"/>
        <v/>
      </c>
      <c r="BA116" s="143" t="str">
        <f t="shared" si="21"/>
        <v/>
      </c>
      <c r="BB116" s="143" t="str">
        <f t="shared" si="21"/>
        <v/>
      </c>
      <c r="BC116" s="143" t="str">
        <f t="shared" si="21"/>
        <v/>
      </c>
      <c r="BD116" s="143" t="str">
        <f t="shared" si="21"/>
        <v/>
      </c>
      <c r="BF116" s="9">
        <f t="shared" si="17"/>
        <v>6.6486797987334062E-5</v>
      </c>
      <c r="BG116" s="9">
        <f t="shared" si="18"/>
        <v>0.98572321662114515</v>
      </c>
    </row>
    <row r="117" spans="2:59" x14ac:dyDescent="0.3">
      <c r="B117" s="3" t="s">
        <v>159</v>
      </c>
      <c r="D117" s="141">
        <v>403227</v>
      </c>
      <c r="E117" s="141">
        <v>298598</v>
      </c>
      <c r="F117" s="141">
        <v>303167</v>
      </c>
      <c r="G117" s="141"/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5"/>
        <v>1004992</v>
      </c>
      <c r="R117" s="141">
        <v>59303</v>
      </c>
      <c r="S117" s="141">
        <v>36225</v>
      </c>
      <c r="T117" s="141">
        <v>22851</v>
      </c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6"/>
        <v>118379</v>
      </c>
      <c r="AF117" s="2">
        <f t="shared" si="23"/>
        <v>0.14707100466982617</v>
      </c>
      <c r="AG117" s="2">
        <f t="shared" si="23"/>
        <v>0.12131695456767962</v>
      </c>
      <c r="AH117" s="2">
        <f t="shared" si="23"/>
        <v>7.5374298653877236E-2</v>
      </c>
      <c r="AI117" s="2" t="str">
        <f t="shared" si="23"/>
        <v/>
      </c>
      <c r="AJ117" s="2" t="str">
        <f t="shared" si="23"/>
        <v/>
      </c>
      <c r="AK117" s="2" t="str">
        <f t="shared" si="23"/>
        <v/>
      </c>
      <c r="AL117" s="2" t="str">
        <f t="shared" si="23"/>
        <v/>
      </c>
      <c r="AM117" s="2" t="str">
        <f t="shared" si="23"/>
        <v/>
      </c>
      <c r="AN117" s="2" t="str">
        <f t="shared" si="22"/>
        <v/>
      </c>
      <c r="AO117" s="2" t="str">
        <f t="shared" si="22"/>
        <v/>
      </c>
      <c r="AP117" s="2" t="str">
        <f t="shared" si="22"/>
        <v/>
      </c>
      <c r="AQ117" s="2" t="str">
        <f t="shared" si="22"/>
        <v/>
      </c>
      <c r="AR117" s="2">
        <f t="shared" si="22"/>
        <v>0.1177909873909444</v>
      </c>
      <c r="AT117" s="2" t="str">
        <f t="shared" si="24"/>
        <v/>
      </c>
      <c r="AU117" s="2" t="str">
        <f t="shared" si="24"/>
        <v/>
      </c>
      <c r="AV117" s="143" t="str">
        <f t="shared" si="21"/>
        <v/>
      </c>
      <c r="AW117" s="143" t="str">
        <f t="shared" si="21"/>
        <v/>
      </c>
      <c r="AX117" s="143" t="str">
        <f t="shared" si="21"/>
        <v/>
      </c>
      <c r="AY117" s="143" t="str">
        <f t="shared" ref="AY117:BD148" si="25">+IFERROR(AL117-AK117,"")</f>
        <v/>
      </c>
      <c r="AZ117" s="143" t="str">
        <f t="shared" si="25"/>
        <v/>
      </c>
      <c r="BA117" s="143" t="str">
        <f t="shared" si="25"/>
        <v/>
      </c>
      <c r="BB117" s="143" t="str">
        <f t="shared" si="25"/>
        <v/>
      </c>
      <c r="BC117" s="143" t="str">
        <f t="shared" si="25"/>
        <v/>
      </c>
      <c r="BD117" s="143" t="str">
        <f t="shared" si="25"/>
        <v/>
      </c>
      <c r="BF117" s="9">
        <f t="shared" si="17"/>
        <v>9.3065479407156352E-5</v>
      </c>
      <c r="BG117" s="9">
        <f t="shared" si="18"/>
        <v>0.98581628210055228</v>
      </c>
    </row>
    <row r="118" spans="2:59" x14ac:dyDescent="0.3">
      <c r="B118" s="3" t="s">
        <v>206</v>
      </c>
      <c r="D118" s="141">
        <v>343390</v>
      </c>
      <c r="E118" s="141">
        <v>305365</v>
      </c>
      <c r="F118" s="141">
        <v>297331</v>
      </c>
      <c r="G118" s="141"/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5"/>
        <v>946086</v>
      </c>
      <c r="R118" s="141">
        <v>47243</v>
      </c>
      <c r="S118" s="141">
        <v>37283</v>
      </c>
      <c r="T118" s="141">
        <v>37345</v>
      </c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6"/>
        <v>121871</v>
      </c>
      <c r="AF118" s="2">
        <f t="shared" si="23"/>
        <v>0.13757826378170593</v>
      </c>
      <c r="AG118" s="2">
        <f t="shared" si="23"/>
        <v>0.12209323268874953</v>
      </c>
      <c r="AH118" s="2">
        <f t="shared" si="23"/>
        <v>0.125600761440953</v>
      </c>
      <c r="AI118" s="2" t="str">
        <f t="shared" si="23"/>
        <v/>
      </c>
      <c r="AJ118" s="2" t="str">
        <f t="shared" si="23"/>
        <v/>
      </c>
      <c r="AK118" s="2" t="str">
        <f t="shared" si="23"/>
        <v/>
      </c>
      <c r="AL118" s="2" t="str">
        <f t="shared" si="23"/>
        <v/>
      </c>
      <c r="AM118" s="2" t="str">
        <f t="shared" si="23"/>
        <v/>
      </c>
      <c r="AN118" s="2" t="str">
        <f t="shared" si="22"/>
        <v/>
      </c>
      <c r="AO118" s="2" t="str">
        <f t="shared" si="22"/>
        <v/>
      </c>
      <c r="AP118" s="2" t="str">
        <f t="shared" si="22"/>
        <v/>
      </c>
      <c r="AQ118" s="2" t="str">
        <f t="shared" si="22"/>
        <v/>
      </c>
      <c r="AR118" s="2">
        <f t="shared" si="22"/>
        <v>0.12881598501616132</v>
      </c>
      <c r="AT118" s="2" t="str">
        <f t="shared" si="24"/>
        <v/>
      </c>
      <c r="AU118" s="2" t="str">
        <f t="shared" si="24"/>
        <v/>
      </c>
      <c r="AV118" s="143" t="str">
        <f t="shared" ref="AV118:BD149" si="26">+IFERROR(AI118-AH118,"")</f>
        <v/>
      </c>
      <c r="AW118" s="143" t="str">
        <f t="shared" si="26"/>
        <v/>
      </c>
      <c r="AX118" s="143" t="str">
        <f t="shared" si="26"/>
        <v/>
      </c>
      <c r="AY118" s="143" t="str">
        <f t="shared" si="25"/>
        <v/>
      </c>
      <c r="AZ118" s="143" t="str">
        <f t="shared" si="25"/>
        <v/>
      </c>
      <c r="BA118" s="143" t="str">
        <f t="shared" si="25"/>
        <v/>
      </c>
      <c r="BB118" s="143" t="str">
        <f t="shared" si="25"/>
        <v/>
      </c>
      <c r="BC118" s="143" t="str">
        <f t="shared" si="25"/>
        <v/>
      </c>
      <c r="BD118" s="143" t="str">
        <f t="shared" si="25"/>
        <v/>
      </c>
      <c r="BF118" s="9">
        <f t="shared" si="17"/>
        <v>9.5810769146804345E-5</v>
      </c>
      <c r="BG118" s="9">
        <f t="shared" si="18"/>
        <v>0.98591209286969905</v>
      </c>
    </row>
    <row r="119" spans="2:59" x14ac:dyDescent="0.3">
      <c r="B119" s="3" t="s">
        <v>201</v>
      </c>
      <c r="D119" s="141">
        <v>69103</v>
      </c>
      <c r="E119" s="141">
        <v>74871</v>
      </c>
      <c r="F119" s="141">
        <v>57774</v>
      </c>
      <c r="G119" s="141"/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5"/>
        <v>201748</v>
      </c>
      <c r="R119" s="141">
        <v>9690</v>
      </c>
      <c r="S119" s="141">
        <v>7254</v>
      </c>
      <c r="T119" s="141">
        <v>11882</v>
      </c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6"/>
        <v>28826</v>
      </c>
      <c r="AF119" s="2">
        <f t="shared" si="23"/>
        <v>0.14022546054440474</v>
      </c>
      <c r="AG119" s="2">
        <f t="shared" si="23"/>
        <v>9.6886645029450658E-2</v>
      </c>
      <c r="AH119" s="2">
        <f t="shared" si="23"/>
        <v>0.20566344722539551</v>
      </c>
      <c r="AI119" s="2" t="str">
        <f t="shared" si="23"/>
        <v/>
      </c>
      <c r="AJ119" s="2" t="str">
        <f t="shared" si="23"/>
        <v/>
      </c>
      <c r="AK119" s="2" t="str">
        <f t="shared" si="23"/>
        <v/>
      </c>
      <c r="AL119" s="2" t="str">
        <f t="shared" si="23"/>
        <v/>
      </c>
      <c r="AM119" s="2" t="str">
        <f t="shared" si="23"/>
        <v/>
      </c>
      <c r="AN119" s="2" t="str">
        <f t="shared" si="22"/>
        <v/>
      </c>
      <c r="AO119" s="2" t="str">
        <f t="shared" si="22"/>
        <v/>
      </c>
      <c r="AP119" s="2" t="str">
        <f t="shared" si="22"/>
        <v/>
      </c>
      <c r="AQ119" s="2" t="str">
        <f t="shared" si="22"/>
        <v/>
      </c>
      <c r="AR119" s="2">
        <f t="shared" si="22"/>
        <v>0.14288121815333982</v>
      </c>
      <c r="AT119" s="2" t="str">
        <f t="shared" si="24"/>
        <v/>
      </c>
      <c r="AU119" s="2" t="str">
        <f t="shared" si="24"/>
        <v/>
      </c>
      <c r="AV119" s="143" t="str">
        <f t="shared" si="26"/>
        <v/>
      </c>
      <c r="AW119" s="143" t="str">
        <f t="shared" si="26"/>
        <v/>
      </c>
      <c r="AX119" s="143" t="str">
        <f t="shared" si="26"/>
        <v/>
      </c>
      <c r="AY119" s="143" t="str">
        <f t="shared" si="25"/>
        <v/>
      </c>
      <c r="AZ119" s="143" t="str">
        <f t="shared" si="25"/>
        <v/>
      </c>
      <c r="BA119" s="143" t="str">
        <f t="shared" si="25"/>
        <v/>
      </c>
      <c r="BB119" s="143" t="str">
        <f t="shared" si="25"/>
        <v/>
      </c>
      <c r="BC119" s="143" t="str">
        <f t="shared" si="25"/>
        <v/>
      </c>
      <c r="BD119" s="143" t="str">
        <f t="shared" si="25"/>
        <v/>
      </c>
      <c r="BF119" s="9">
        <f t="shared" si="17"/>
        <v>2.2662005164688746E-5</v>
      </c>
      <c r="BG119" s="9">
        <f t="shared" si="18"/>
        <v>0.98593475487486371</v>
      </c>
    </row>
    <row r="120" spans="2:59" x14ac:dyDescent="0.3">
      <c r="B120" s="3" t="s">
        <v>195</v>
      </c>
      <c r="D120" s="141">
        <v>532962</v>
      </c>
      <c r="E120" s="141">
        <v>428724</v>
      </c>
      <c r="F120" s="141">
        <v>486857</v>
      </c>
      <c r="G120" s="141"/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5"/>
        <v>1448543</v>
      </c>
      <c r="R120" s="141">
        <v>77364</v>
      </c>
      <c r="S120" s="141">
        <v>55643</v>
      </c>
      <c r="T120" s="141">
        <v>66154</v>
      </c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6"/>
        <v>199161</v>
      </c>
      <c r="AF120" s="2">
        <f t="shared" si="23"/>
        <v>0.14515856665203147</v>
      </c>
      <c r="AG120" s="2">
        <f t="shared" si="23"/>
        <v>0.12978746233007715</v>
      </c>
      <c r="AH120" s="2">
        <f t="shared" si="23"/>
        <v>0.13587973470649492</v>
      </c>
      <c r="AI120" s="2" t="str">
        <f t="shared" si="23"/>
        <v/>
      </c>
      <c r="AJ120" s="2" t="str">
        <f t="shared" si="23"/>
        <v/>
      </c>
      <c r="AK120" s="2" t="str">
        <f t="shared" si="23"/>
        <v/>
      </c>
      <c r="AL120" s="2" t="str">
        <f t="shared" si="23"/>
        <v/>
      </c>
      <c r="AM120" s="2" t="str">
        <f t="shared" si="23"/>
        <v/>
      </c>
      <c r="AN120" s="2" t="str">
        <f t="shared" si="22"/>
        <v/>
      </c>
      <c r="AO120" s="2" t="str">
        <f t="shared" si="22"/>
        <v/>
      </c>
      <c r="AP120" s="2" t="str">
        <f t="shared" si="22"/>
        <v/>
      </c>
      <c r="AQ120" s="2" t="str">
        <f t="shared" si="22"/>
        <v/>
      </c>
      <c r="AR120" s="2">
        <f t="shared" si="22"/>
        <v>0.13749056810878241</v>
      </c>
      <c r="AT120" s="2" t="str">
        <f t="shared" si="24"/>
        <v/>
      </c>
      <c r="AU120" s="2" t="str">
        <f t="shared" si="24"/>
        <v/>
      </c>
      <c r="AV120" s="143" t="str">
        <f t="shared" si="26"/>
        <v/>
      </c>
      <c r="AW120" s="143" t="str">
        <f t="shared" si="26"/>
        <v/>
      </c>
      <c r="AX120" s="143" t="str">
        <f t="shared" si="26"/>
        <v/>
      </c>
      <c r="AY120" s="143" t="str">
        <f t="shared" si="25"/>
        <v/>
      </c>
      <c r="AZ120" s="143" t="str">
        <f t="shared" si="25"/>
        <v/>
      </c>
      <c r="BA120" s="143" t="str">
        <f t="shared" si="25"/>
        <v/>
      </c>
      <c r="BB120" s="143" t="str">
        <f t="shared" si="25"/>
        <v/>
      </c>
      <c r="BC120" s="143" t="str">
        <f t="shared" si="25"/>
        <v/>
      </c>
      <c r="BD120" s="143" t="str">
        <f t="shared" si="25"/>
        <v/>
      </c>
      <c r="BF120" s="9">
        <f t="shared" si="17"/>
        <v>1.5657349651719194E-4</v>
      </c>
      <c r="BG120" s="9">
        <f t="shared" si="18"/>
        <v>0.98609132837138092</v>
      </c>
    </row>
    <row r="121" spans="2:59" x14ac:dyDescent="0.3">
      <c r="B121" s="3" t="s">
        <v>214</v>
      </c>
      <c r="D121" s="141">
        <v>189535</v>
      </c>
      <c r="E121" s="141">
        <v>173066</v>
      </c>
      <c r="F121" s="141">
        <v>168514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5"/>
        <v>531115</v>
      </c>
      <c r="R121" s="141">
        <v>24611</v>
      </c>
      <c r="S121" s="141">
        <v>20784</v>
      </c>
      <c r="T121" s="141">
        <v>17087</v>
      </c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6"/>
        <v>62482</v>
      </c>
      <c r="AF121" s="2">
        <f t="shared" si="23"/>
        <v>0.12984936819057166</v>
      </c>
      <c r="AG121" s="2">
        <f t="shared" si="23"/>
        <v>0.1200929125304797</v>
      </c>
      <c r="AH121" s="2">
        <f t="shared" si="23"/>
        <v>0.10139810342167416</v>
      </c>
      <c r="AI121" s="2" t="str">
        <f t="shared" si="23"/>
        <v/>
      </c>
      <c r="AJ121" s="2" t="str">
        <f t="shared" si="23"/>
        <v/>
      </c>
      <c r="AK121" s="2" t="str">
        <f t="shared" si="23"/>
        <v/>
      </c>
      <c r="AL121" s="2" t="str">
        <f t="shared" si="23"/>
        <v/>
      </c>
      <c r="AM121" s="2" t="str">
        <f t="shared" si="23"/>
        <v/>
      </c>
      <c r="AN121" s="2" t="str">
        <f t="shared" si="22"/>
        <v/>
      </c>
      <c r="AO121" s="2" t="str">
        <f t="shared" si="22"/>
        <v/>
      </c>
      <c r="AP121" s="2" t="str">
        <f t="shared" si="22"/>
        <v/>
      </c>
      <c r="AQ121" s="2" t="str">
        <f t="shared" si="22"/>
        <v/>
      </c>
      <c r="AR121" s="2">
        <f t="shared" si="22"/>
        <v>0.117643071651149</v>
      </c>
      <c r="AT121" s="2" t="str">
        <f t="shared" si="24"/>
        <v/>
      </c>
      <c r="AU121" s="2" t="str">
        <f t="shared" si="24"/>
        <v/>
      </c>
      <c r="AV121" s="143" t="str">
        <f t="shared" si="26"/>
        <v/>
      </c>
      <c r="AW121" s="143" t="str">
        <f t="shared" si="26"/>
        <v/>
      </c>
      <c r="AX121" s="143" t="str">
        <f t="shared" si="26"/>
        <v/>
      </c>
      <c r="AY121" s="143" t="str">
        <f t="shared" si="25"/>
        <v/>
      </c>
      <c r="AZ121" s="143" t="str">
        <f t="shared" si="25"/>
        <v/>
      </c>
      <c r="BA121" s="143" t="str">
        <f t="shared" si="25"/>
        <v/>
      </c>
      <c r="BB121" s="143" t="str">
        <f t="shared" si="25"/>
        <v/>
      </c>
      <c r="BC121" s="143" t="str">
        <f t="shared" si="25"/>
        <v/>
      </c>
      <c r="BD121" s="143" t="str">
        <f t="shared" si="25"/>
        <v/>
      </c>
      <c r="BF121" s="9">
        <f t="shared" si="17"/>
        <v>4.912118943662257E-5</v>
      </c>
      <c r="BG121" s="9">
        <f t="shared" si="18"/>
        <v>0.98614044956081759</v>
      </c>
    </row>
    <row r="122" spans="2:59" x14ac:dyDescent="0.3">
      <c r="B122" s="3" t="s">
        <v>185</v>
      </c>
      <c r="D122" s="141">
        <v>207876</v>
      </c>
      <c r="E122" s="141">
        <v>188416</v>
      </c>
      <c r="F122" s="141">
        <v>243827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5"/>
        <v>640119</v>
      </c>
      <c r="R122" s="141">
        <v>24572</v>
      </c>
      <c r="S122" s="141">
        <v>26072</v>
      </c>
      <c r="T122" s="141">
        <v>30560</v>
      </c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6"/>
        <v>81204</v>
      </c>
      <c r="AF122" s="2">
        <f t="shared" si="23"/>
        <v>0.11820508379995767</v>
      </c>
      <c r="AG122" s="2">
        <f t="shared" si="23"/>
        <v>0.13837466032608695</v>
      </c>
      <c r="AH122" s="2">
        <f t="shared" si="23"/>
        <v>0.12533476604313715</v>
      </c>
      <c r="AI122" s="2" t="str">
        <f t="shared" si="23"/>
        <v/>
      </c>
      <c r="AJ122" s="2" t="str">
        <f t="shared" si="23"/>
        <v/>
      </c>
      <c r="AK122" s="2" t="str">
        <f t="shared" si="23"/>
        <v/>
      </c>
      <c r="AL122" s="2" t="str">
        <f t="shared" si="23"/>
        <v/>
      </c>
      <c r="AM122" s="2" t="str">
        <f t="shared" si="23"/>
        <v/>
      </c>
      <c r="AN122" s="2" t="str">
        <f t="shared" si="22"/>
        <v/>
      </c>
      <c r="AO122" s="2" t="str">
        <f t="shared" si="22"/>
        <v/>
      </c>
      <c r="AP122" s="2" t="str">
        <f t="shared" si="22"/>
        <v/>
      </c>
      <c r="AQ122" s="2" t="str">
        <f t="shared" si="22"/>
        <v/>
      </c>
      <c r="AR122" s="2">
        <f t="shared" si="22"/>
        <v>0.12685766240339688</v>
      </c>
      <c r="AT122" s="2" t="str">
        <f t="shared" si="24"/>
        <v/>
      </c>
      <c r="AU122" s="2" t="str">
        <f t="shared" si="24"/>
        <v/>
      </c>
      <c r="AV122" s="143" t="str">
        <f t="shared" si="26"/>
        <v/>
      </c>
      <c r="AW122" s="143" t="str">
        <f t="shared" si="26"/>
        <v/>
      </c>
      <c r="AX122" s="143" t="str">
        <f t="shared" si="26"/>
        <v/>
      </c>
      <c r="AY122" s="143" t="str">
        <f t="shared" si="25"/>
        <v/>
      </c>
      <c r="AZ122" s="143" t="str">
        <f t="shared" si="25"/>
        <v/>
      </c>
      <c r="BA122" s="143" t="str">
        <f t="shared" si="25"/>
        <v/>
      </c>
      <c r="BB122" s="143" t="str">
        <f t="shared" si="25"/>
        <v/>
      </c>
      <c r="BC122" s="143" t="str">
        <f t="shared" si="25"/>
        <v/>
      </c>
      <c r="BD122" s="143" t="str">
        <f t="shared" si="25"/>
        <v/>
      </c>
      <c r="BF122" s="9">
        <f t="shared" si="17"/>
        <v>6.3839778928515394E-5</v>
      </c>
      <c r="BG122" s="9">
        <f t="shared" si="18"/>
        <v>0.98620428933974613</v>
      </c>
    </row>
    <row r="123" spans="2:59" x14ac:dyDescent="0.3">
      <c r="B123" s="3" t="s">
        <v>187</v>
      </c>
      <c r="D123" s="141">
        <v>306058</v>
      </c>
      <c r="E123" s="141">
        <v>277810</v>
      </c>
      <c r="F123" s="141">
        <v>251020</v>
      </c>
      <c r="G123" s="141"/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5"/>
        <v>834888</v>
      </c>
      <c r="R123" s="141">
        <v>44714</v>
      </c>
      <c r="S123" s="141">
        <v>34868</v>
      </c>
      <c r="T123" s="141">
        <v>30556</v>
      </c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6"/>
        <v>110138</v>
      </c>
      <c r="AF123" s="2">
        <f t="shared" si="23"/>
        <v>0.14609649151468024</v>
      </c>
      <c r="AG123" s="2">
        <f t="shared" si="23"/>
        <v>0.1255102408120658</v>
      </c>
      <c r="AH123" s="2">
        <f t="shared" si="23"/>
        <v>0.12172735240219902</v>
      </c>
      <c r="AI123" s="2" t="str">
        <f t="shared" si="23"/>
        <v/>
      </c>
      <c r="AJ123" s="2" t="str">
        <f t="shared" si="23"/>
        <v/>
      </c>
      <c r="AK123" s="2" t="str">
        <f t="shared" si="23"/>
        <v/>
      </c>
      <c r="AL123" s="2" t="str">
        <f t="shared" si="23"/>
        <v/>
      </c>
      <c r="AM123" s="2" t="str">
        <f t="shared" si="23"/>
        <v/>
      </c>
      <c r="AN123" s="2" t="str">
        <f t="shared" si="22"/>
        <v/>
      </c>
      <c r="AO123" s="2" t="str">
        <f t="shared" si="22"/>
        <v/>
      </c>
      <c r="AP123" s="2" t="str">
        <f t="shared" si="22"/>
        <v/>
      </c>
      <c r="AQ123" s="2" t="str">
        <f t="shared" si="22"/>
        <v/>
      </c>
      <c r="AR123" s="2">
        <f t="shared" si="22"/>
        <v>0.1319194909975949</v>
      </c>
      <c r="AT123" s="2" t="str">
        <f t="shared" si="24"/>
        <v/>
      </c>
      <c r="AU123" s="2" t="str">
        <f t="shared" si="24"/>
        <v/>
      </c>
      <c r="AV123" s="143" t="str">
        <f t="shared" si="26"/>
        <v/>
      </c>
      <c r="AW123" s="143" t="str">
        <f t="shared" si="26"/>
        <v/>
      </c>
      <c r="AX123" s="143" t="str">
        <f t="shared" si="26"/>
        <v/>
      </c>
      <c r="AY123" s="143" t="str">
        <f t="shared" si="25"/>
        <v/>
      </c>
      <c r="AZ123" s="143" t="str">
        <f t="shared" si="25"/>
        <v/>
      </c>
      <c r="BA123" s="143" t="str">
        <f t="shared" si="25"/>
        <v/>
      </c>
      <c r="BB123" s="143" t="str">
        <f t="shared" si="25"/>
        <v/>
      </c>
      <c r="BC123" s="143" t="str">
        <f t="shared" si="25"/>
        <v/>
      </c>
      <c r="BD123" s="143" t="str">
        <f t="shared" si="25"/>
        <v/>
      </c>
      <c r="BF123" s="9">
        <f t="shared" si="17"/>
        <v>8.658668996144067E-5</v>
      </c>
      <c r="BG123" s="9">
        <f t="shared" si="18"/>
        <v>0.98629087602970755</v>
      </c>
    </row>
    <row r="124" spans="2:59" x14ac:dyDescent="0.3">
      <c r="B124" s="3" t="s">
        <v>200</v>
      </c>
      <c r="D124" s="141">
        <v>70609</v>
      </c>
      <c r="E124" s="141">
        <v>64173</v>
      </c>
      <c r="F124" s="141">
        <v>51290</v>
      </c>
      <c r="G124" s="141"/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5"/>
        <v>186072</v>
      </c>
      <c r="R124" s="141">
        <v>4872</v>
      </c>
      <c r="S124" s="141">
        <v>3354</v>
      </c>
      <c r="T124" s="141">
        <v>3160</v>
      </c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6"/>
        <v>11386</v>
      </c>
      <c r="AF124" s="2">
        <f t="shared" si="23"/>
        <v>6.8999702587488845E-2</v>
      </c>
      <c r="AG124" s="2">
        <f t="shared" si="23"/>
        <v>5.2264971249590952E-2</v>
      </c>
      <c r="AH124" s="2">
        <f t="shared" si="23"/>
        <v>6.161045038019107E-2</v>
      </c>
      <c r="AI124" s="2" t="str">
        <f t="shared" si="23"/>
        <v/>
      </c>
      <c r="AJ124" s="2" t="str">
        <f t="shared" si="23"/>
        <v/>
      </c>
      <c r="AK124" s="2" t="str">
        <f t="shared" si="23"/>
        <v/>
      </c>
      <c r="AL124" s="2" t="str">
        <f t="shared" si="23"/>
        <v/>
      </c>
      <c r="AM124" s="2" t="str">
        <f t="shared" si="23"/>
        <v/>
      </c>
      <c r="AN124" s="2" t="str">
        <f t="shared" si="22"/>
        <v/>
      </c>
      <c r="AO124" s="2" t="str">
        <f t="shared" si="22"/>
        <v/>
      </c>
      <c r="AP124" s="2" t="str">
        <f t="shared" si="22"/>
        <v/>
      </c>
      <c r="AQ124" s="2" t="str">
        <f t="shared" si="22"/>
        <v/>
      </c>
      <c r="AR124" s="2">
        <f t="shared" si="22"/>
        <v>6.1191366782750764E-2</v>
      </c>
      <c r="AT124" s="2" t="str">
        <f t="shared" si="24"/>
        <v/>
      </c>
      <c r="AU124" s="2" t="str">
        <f t="shared" si="24"/>
        <v/>
      </c>
      <c r="AV124" s="143" t="str">
        <f t="shared" si="26"/>
        <v/>
      </c>
      <c r="AW124" s="143" t="str">
        <f t="shared" si="26"/>
        <v/>
      </c>
      <c r="AX124" s="143" t="str">
        <f t="shared" si="26"/>
        <v/>
      </c>
      <c r="AY124" s="143" t="str">
        <f t="shared" si="25"/>
        <v/>
      </c>
      <c r="AZ124" s="143" t="str">
        <f t="shared" si="25"/>
        <v/>
      </c>
      <c r="BA124" s="143" t="str">
        <f t="shared" si="25"/>
        <v/>
      </c>
      <c r="BB124" s="143" t="str">
        <f t="shared" si="25"/>
        <v/>
      </c>
      <c r="BC124" s="143" t="str">
        <f t="shared" si="25"/>
        <v/>
      </c>
      <c r="BD124" s="143" t="str">
        <f t="shared" si="25"/>
        <v/>
      </c>
      <c r="BF124" s="9">
        <f t="shared" si="17"/>
        <v>8.9512797753814623E-6</v>
      </c>
      <c r="BG124" s="9">
        <f t="shared" si="18"/>
        <v>0.98629982730948296</v>
      </c>
    </row>
    <row r="125" spans="2:59" x14ac:dyDescent="0.3">
      <c r="B125" s="3" t="s">
        <v>203</v>
      </c>
      <c r="D125" s="141">
        <v>142180</v>
      </c>
      <c r="E125" s="141">
        <v>142735</v>
      </c>
      <c r="F125" s="141">
        <v>151804</v>
      </c>
      <c r="G125" s="141"/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5"/>
        <v>436719</v>
      </c>
      <c r="R125" s="141">
        <v>23506</v>
      </c>
      <c r="S125" s="141">
        <v>17921</v>
      </c>
      <c r="T125" s="141">
        <v>16715</v>
      </c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6"/>
        <v>58142</v>
      </c>
      <c r="AF125" s="2">
        <f t="shared" si="23"/>
        <v>0.16532564355042903</v>
      </c>
      <c r="AG125" s="2">
        <f t="shared" si="23"/>
        <v>0.12555434896836795</v>
      </c>
      <c r="AH125" s="2">
        <f t="shared" si="23"/>
        <v>0.1101090880345709</v>
      </c>
      <c r="AI125" s="2" t="str">
        <f t="shared" si="23"/>
        <v/>
      </c>
      <c r="AJ125" s="2" t="str">
        <f t="shared" si="23"/>
        <v/>
      </c>
      <c r="AK125" s="2" t="str">
        <f t="shared" si="23"/>
        <v/>
      </c>
      <c r="AL125" s="2" t="str">
        <f t="shared" si="23"/>
        <v/>
      </c>
      <c r="AM125" s="2" t="str">
        <f t="shared" si="23"/>
        <v/>
      </c>
      <c r="AN125" s="2" t="str">
        <f t="shared" si="22"/>
        <v/>
      </c>
      <c r="AO125" s="2" t="str">
        <f t="shared" si="22"/>
        <v/>
      </c>
      <c r="AP125" s="2" t="str">
        <f t="shared" si="22"/>
        <v/>
      </c>
      <c r="AQ125" s="2" t="str">
        <f t="shared" si="22"/>
        <v/>
      </c>
      <c r="AR125" s="2">
        <f t="shared" si="22"/>
        <v>0.13313366260684789</v>
      </c>
      <c r="AT125" s="2" t="str">
        <f t="shared" si="24"/>
        <v/>
      </c>
      <c r="AU125" s="2" t="str">
        <f t="shared" si="24"/>
        <v/>
      </c>
      <c r="AV125" s="143" t="str">
        <f t="shared" si="26"/>
        <v/>
      </c>
      <c r="AW125" s="143" t="str">
        <f t="shared" si="26"/>
        <v/>
      </c>
      <c r="AX125" s="143" t="str">
        <f t="shared" si="26"/>
        <v/>
      </c>
      <c r="AY125" s="143" t="str">
        <f t="shared" si="25"/>
        <v/>
      </c>
      <c r="AZ125" s="143" t="str">
        <f t="shared" si="25"/>
        <v/>
      </c>
      <c r="BA125" s="143" t="str">
        <f t="shared" si="25"/>
        <v/>
      </c>
      <c r="BB125" s="143" t="str">
        <f t="shared" si="25"/>
        <v/>
      </c>
      <c r="BC125" s="143" t="str">
        <f t="shared" si="25"/>
        <v/>
      </c>
      <c r="BD125" s="143" t="str">
        <f t="shared" si="25"/>
        <v/>
      </c>
      <c r="BF125" s="9">
        <f t="shared" si="17"/>
        <v>4.5709231398228438E-5</v>
      </c>
      <c r="BG125" s="9">
        <f t="shared" si="18"/>
        <v>0.9863455365408812</v>
      </c>
    </row>
    <row r="126" spans="2:59" x14ac:dyDescent="0.3">
      <c r="B126" s="3" t="s">
        <v>213</v>
      </c>
      <c r="D126" s="141">
        <v>2632636</v>
      </c>
      <c r="E126" s="141">
        <v>7927632</v>
      </c>
      <c r="F126" s="141">
        <v>7414356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5"/>
        <v>17974624</v>
      </c>
      <c r="R126" s="141">
        <v>948103</v>
      </c>
      <c r="S126" s="141">
        <v>4468480</v>
      </c>
      <c r="T126" s="141">
        <v>4412006</v>
      </c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6"/>
        <v>9828589</v>
      </c>
      <c r="AF126" s="2">
        <f t="shared" si="23"/>
        <v>0.36013448118159896</v>
      </c>
      <c r="AG126" s="2">
        <f t="shared" si="23"/>
        <v>0.56365885802973703</v>
      </c>
      <c r="AH126" s="2">
        <f t="shared" si="23"/>
        <v>0.59506260557221691</v>
      </c>
      <c r="AI126" s="2" t="str">
        <f t="shared" si="23"/>
        <v/>
      </c>
      <c r="AJ126" s="2" t="str">
        <f t="shared" si="23"/>
        <v/>
      </c>
      <c r="AK126" s="2" t="str">
        <f t="shared" si="23"/>
        <v/>
      </c>
      <c r="AL126" s="2" t="str">
        <f t="shared" si="23"/>
        <v/>
      </c>
      <c r="AM126" s="2" t="str">
        <f t="shared" si="23"/>
        <v/>
      </c>
      <c r="AN126" s="2" t="str">
        <f t="shared" si="22"/>
        <v/>
      </c>
      <c r="AO126" s="2" t="str">
        <f t="shared" si="22"/>
        <v/>
      </c>
      <c r="AP126" s="2" t="str">
        <f t="shared" si="22"/>
        <v/>
      </c>
      <c r="AQ126" s="2" t="str">
        <f t="shared" si="22"/>
        <v/>
      </c>
      <c r="AR126" s="2">
        <f t="shared" si="22"/>
        <v>0.54680359377753884</v>
      </c>
      <c r="AT126" s="2" t="str">
        <f t="shared" si="24"/>
        <v/>
      </c>
      <c r="AU126" s="2" t="str">
        <f t="shared" si="24"/>
        <v/>
      </c>
      <c r="AV126" s="143" t="str">
        <f t="shared" si="26"/>
        <v/>
      </c>
      <c r="AW126" s="143" t="str">
        <f t="shared" si="26"/>
        <v/>
      </c>
      <c r="AX126" s="143" t="str">
        <f t="shared" si="26"/>
        <v/>
      </c>
      <c r="AY126" s="143" t="str">
        <f t="shared" si="25"/>
        <v/>
      </c>
      <c r="AZ126" s="143" t="str">
        <f t="shared" si="25"/>
        <v/>
      </c>
      <c r="BA126" s="143" t="str">
        <f t="shared" si="25"/>
        <v/>
      </c>
      <c r="BB126" s="143" t="str">
        <f t="shared" si="25"/>
        <v/>
      </c>
      <c r="BC126" s="143" t="str">
        <f t="shared" si="25"/>
        <v/>
      </c>
      <c r="BD126" s="143" t="str">
        <f t="shared" si="25"/>
        <v/>
      </c>
      <c r="BF126" s="9">
        <f t="shared" si="17"/>
        <v>7.7268970609728361E-3</v>
      </c>
      <c r="BG126" s="9">
        <f t="shared" si="18"/>
        <v>0.99407243360185404</v>
      </c>
    </row>
    <row r="127" spans="2:59" x14ac:dyDescent="0.3">
      <c r="B127" s="3" t="s">
        <v>215</v>
      </c>
      <c r="D127" s="141">
        <v>64497</v>
      </c>
      <c r="E127" s="141">
        <v>50882</v>
      </c>
      <c r="F127" s="141">
        <v>65808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5"/>
        <v>181187</v>
      </c>
      <c r="R127" s="141">
        <v>13170</v>
      </c>
      <c r="S127" s="141">
        <v>2591</v>
      </c>
      <c r="T127" s="141">
        <v>2120</v>
      </c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6"/>
        <v>17881</v>
      </c>
      <c r="AF127" s="2">
        <f t="shared" si="23"/>
        <v>0.20419554397878972</v>
      </c>
      <c r="AG127" s="2">
        <f t="shared" si="23"/>
        <v>5.0921740497621951E-2</v>
      </c>
      <c r="AH127" s="2">
        <f t="shared" si="23"/>
        <v>3.2214928276197423E-2</v>
      </c>
      <c r="AI127" s="2" t="str">
        <f t="shared" si="23"/>
        <v/>
      </c>
      <c r="AJ127" s="2" t="str">
        <f t="shared" si="23"/>
        <v/>
      </c>
      <c r="AK127" s="2" t="str">
        <f t="shared" si="23"/>
        <v/>
      </c>
      <c r="AL127" s="2" t="str">
        <f t="shared" si="23"/>
        <v/>
      </c>
      <c r="AM127" s="2" t="str">
        <f t="shared" si="23"/>
        <v/>
      </c>
      <c r="AN127" s="2" t="str">
        <f t="shared" si="22"/>
        <v/>
      </c>
      <c r="AO127" s="2" t="str">
        <f t="shared" si="22"/>
        <v/>
      </c>
      <c r="AP127" s="2" t="str">
        <f t="shared" si="22"/>
        <v/>
      </c>
      <c r="AQ127" s="2" t="str">
        <f t="shared" si="22"/>
        <v/>
      </c>
      <c r="AR127" s="2">
        <f t="shared" si="22"/>
        <v>9.8688095724306937E-2</v>
      </c>
      <c r="AT127" s="2" t="str">
        <f t="shared" si="24"/>
        <v/>
      </c>
      <c r="AU127" s="2" t="str">
        <f t="shared" si="24"/>
        <v/>
      </c>
      <c r="AV127" s="143" t="str">
        <f t="shared" si="26"/>
        <v/>
      </c>
      <c r="AW127" s="143" t="str">
        <f t="shared" si="26"/>
        <v/>
      </c>
      <c r="AX127" s="143" t="str">
        <f t="shared" si="26"/>
        <v/>
      </c>
      <c r="AY127" s="143" t="str">
        <f t="shared" si="25"/>
        <v/>
      </c>
      <c r="AZ127" s="143" t="str">
        <f t="shared" si="25"/>
        <v/>
      </c>
      <c r="BA127" s="143" t="str">
        <f t="shared" si="25"/>
        <v/>
      </c>
      <c r="BB127" s="143" t="str">
        <f t="shared" si="25"/>
        <v/>
      </c>
      <c r="BC127" s="143" t="str">
        <f t="shared" si="25"/>
        <v/>
      </c>
      <c r="BD127" s="143" t="str">
        <f t="shared" si="25"/>
        <v/>
      </c>
      <c r="BF127" s="9">
        <f t="shared" si="17"/>
        <v>1.4057424351273136E-5</v>
      </c>
      <c r="BG127" s="9">
        <f t="shared" si="18"/>
        <v>0.99408649102620528</v>
      </c>
    </row>
    <row r="128" spans="2:59" x14ac:dyDescent="0.3">
      <c r="B128" s="3" t="s">
        <v>216</v>
      </c>
      <c r="D128" s="141">
        <v>112531</v>
      </c>
      <c r="E128" s="141">
        <v>104152</v>
      </c>
      <c r="F128" s="141">
        <v>108461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5"/>
        <v>325144</v>
      </c>
      <c r="R128" s="141">
        <v>9806</v>
      </c>
      <c r="S128" s="141">
        <v>9369</v>
      </c>
      <c r="T128" s="141">
        <v>7002</v>
      </c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6"/>
        <v>26177</v>
      </c>
      <c r="AF128" s="2">
        <f t="shared" si="23"/>
        <v>8.7140432414179209E-2</v>
      </c>
      <c r="AG128" s="2">
        <f t="shared" si="23"/>
        <v>8.9955065673246792E-2</v>
      </c>
      <c r="AH128" s="2">
        <f t="shared" si="23"/>
        <v>6.4557767308064645E-2</v>
      </c>
      <c r="AI128" s="2" t="str">
        <f t="shared" si="23"/>
        <v/>
      </c>
      <c r="AJ128" s="2" t="str">
        <f t="shared" si="23"/>
        <v/>
      </c>
      <c r="AK128" s="2" t="str">
        <f t="shared" si="23"/>
        <v/>
      </c>
      <c r="AL128" s="2" t="str">
        <f t="shared" si="23"/>
        <v/>
      </c>
      <c r="AM128" s="2" t="str">
        <f t="shared" si="23"/>
        <v/>
      </c>
      <c r="AN128" s="2" t="str">
        <f t="shared" si="22"/>
        <v/>
      </c>
      <c r="AO128" s="2" t="str">
        <f t="shared" si="22"/>
        <v/>
      </c>
      <c r="AP128" s="2" t="str">
        <f t="shared" si="22"/>
        <v/>
      </c>
      <c r="AQ128" s="2" t="str">
        <f t="shared" si="22"/>
        <v/>
      </c>
      <c r="AR128" s="2">
        <f t="shared" si="22"/>
        <v>8.0508943729547519E-2</v>
      </c>
      <c r="AT128" s="2" t="str">
        <f t="shared" si="24"/>
        <v/>
      </c>
      <c r="AU128" s="2" t="str">
        <f t="shared" si="24"/>
        <v/>
      </c>
      <c r="AV128" s="143" t="str">
        <f t="shared" si="26"/>
        <v/>
      </c>
      <c r="AW128" s="143" t="str">
        <f t="shared" si="26"/>
        <v/>
      </c>
      <c r="AX128" s="143" t="str">
        <f t="shared" si="26"/>
        <v/>
      </c>
      <c r="AY128" s="143" t="str">
        <f t="shared" si="25"/>
        <v/>
      </c>
      <c r="AZ128" s="143" t="str">
        <f t="shared" si="25"/>
        <v/>
      </c>
      <c r="BA128" s="143" t="str">
        <f t="shared" si="25"/>
        <v/>
      </c>
      <c r="BB128" s="143" t="str">
        <f t="shared" si="25"/>
        <v/>
      </c>
      <c r="BC128" s="143" t="str">
        <f t="shared" si="25"/>
        <v/>
      </c>
      <c r="BD128" s="143" t="str">
        <f t="shared" si="25"/>
        <v/>
      </c>
      <c r="BF128" s="9">
        <f t="shared" si="17"/>
        <v>2.0579452896553709E-5</v>
      </c>
      <c r="BG128" s="9">
        <f t="shared" si="18"/>
        <v>0.99410707047910185</v>
      </c>
    </row>
    <row r="129" spans="2:59" x14ac:dyDescent="0.3">
      <c r="B129" s="3" t="s">
        <v>222</v>
      </c>
      <c r="D129" s="141">
        <v>205523</v>
      </c>
      <c r="E129" s="141">
        <v>215324</v>
      </c>
      <c r="F129" s="141">
        <v>270432</v>
      </c>
      <c r="G129" s="141"/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5"/>
        <v>691279</v>
      </c>
      <c r="R129" s="141">
        <v>18222</v>
      </c>
      <c r="S129" s="141">
        <v>21613</v>
      </c>
      <c r="T129" s="141">
        <v>21723</v>
      </c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6"/>
        <v>61558</v>
      </c>
      <c r="AF129" s="2">
        <f t="shared" si="23"/>
        <v>8.8661609649528281E-2</v>
      </c>
      <c r="AG129" s="2">
        <f t="shared" si="23"/>
        <v>0.100374319629953</v>
      </c>
      <c r="AH129" s="2">
        <f t="shared" si="23"/>
        <v>8.0327032303869367E-2</v>
      </c>
      <c r="AI129" s="2" t="str">
        <f t="shared" si="23"/>
        <v/>
      </c>
      <c r="AJ129" s="2" t="str">
        <f t="shared" si="23"/>
        <v/>
      </c>
      <c r="AK129" s="2" t="str">
        <f t="shared" si="23"/>
        <v/>
      </c>
      <c r="AL129" s="2" t="str">
        <f t="shared" si="23"/>
        <v/>
      </c>
      <c r="AM129" s="2" t="str">
        <f t="shared" si="23"/>
        <v/>
      </c>
      <c r="AN129" s="2" t="str">
        <f t="shared" si="22"/>
        <v/>
      </c>
      <c r="AO129" s="2" t="str">
        <f t="shared" si="22"/>
        <v/>
      </c>
      <c r="AP129" s="2" t="str">
        <f t="shared" si="22"/>
        <v/>
      </c>
      <c r="AQ129" s="2" t="str">
        <f t="shared" si="22"/>
        <v/>
      </c>
      <c r="AR129" s="2">
        <f t="shared" si="22"/>
        <v>8.9049428667730399E-2</v>
      </c>
      <c r="AT129" s="2" t="str">
        <f t="shared" si="24"/>
        <v/>
      </c>
      <c r="AU129" s="2" t="str">
        <f t="shared" si="24"/>
        <v/>
      </c>
      <c r="AV129" s="143" t="str">
        <f t="shared" si="26"/>
        <v/>
      </c>
      <c r="AW129" s="143" t="str">
        <f t="shared" si="26"/>
        <v/>
      </c>
      <c r="AX129" s="143" t="str">
        <f t="shared" si="26"/>
        <v/>
      </c>
      <c r="AY129" s="143" t="str">
        <f t="shared" si="25"/>
        <v/>
      </c>
      <c r="AZ129" s="143" t="str">
        <f t="shared" si="25"/>
        <v/>
      </c>
      <c r="BA129" s="143" t="str">
        <f t="shared" si="25"/>
        <v/>
      </c>
      <c r="BB129" s="143" t="str">
        <f t="shared" si="25"/>
        <v/>
      </c>
      <c r="BC129" s="143" t="str">
        <f t="shared" si="25"/>
        <v/>
      </c>
      <c r="BD129" s="143" t="str">
        <f t="shared" si="25"/>
        <v/>
      </c>
      <c r="BF129" s="9">
        <f t="shared" si="17"/>
        <v>4.8394772563932205E-5</v>
      </c>
      <c r="BG129" s="9">
        <f t="shared" si="18"/>
        <v>0.99415546525166576</v>
      </c>
    </row>
    <row r="130" spans="2:59" x14ac:dyDescent="0.3">
      <c r="B130" s="3" t="s">
        <v>217</v>
      </c>
      <c r="D130" s="141">
        <v>171170</v>
      </c>
      <c r="E130" s="141">
        <v>126937</v>
      </c>
      <c r="F130" s="141">
        <v>85625</v>
      </c>
      <c r="G130" s="141"/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5"/>
        <v>383732</v>
      </c>
      <c r="R130" s="141">
        <v>18973</v>
      </c>
      <c r="S130" s="141">
        <v>12665</v>
      </c>
      <c r="T130" s="141">
        <v>9743</v>
      </c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6"/>
        <v>41381</v>
      </c>
      <c r="AF130" s="2">
        <f t="shared" si="23"/>
        <v>0.11084302155751592</v>
      </c>
      <c r="AG130" s="2">
        <f t="shared" si="23"/>
        <v>9.9773903589969834E-2</v>
      </c>
      <c r="AH130" s="2">
        <f t="shared" si="23"/>
        <v>0.11378686131386861</v>
      </c>
      <c r="AI130" s="2" t="str">
        <f t="shared" si="23"/>
        <v/>
      </c>
      <c r="AJ130" s="2" t="str">
        <f t="shared" si="23"/>
        <v/>
      </c>
      <c r="AK130" s="2" t="str">
        <f t="shared" si="23"/>
        <v/>
      </c>
      <c r="AL130" s="2" t="str">
        <f t="shared" si="23"/>
        <v/>
      </c>
      <c r="AM130" s="2" t="str">
        <f t="shared" si="23"/>
        <v/>
      </c>
      <c r="AN130" s="2" t="str">
        <f t="shared" si="22"/>
        <v/>
      </c>
      <c r="AO130" s="2" t="str">
        <f t="shared" si="22"/>
        <v/>
      </c>
      <c r="AP130" s="2" t="str">
        <f t="shared" si="22"/>
        <v/>
      </c>
      <c r="AQ130" s="2" t="str">
        <f t="shared" si="22"/>
        <v/>
      </c>
      <c r="AR130" s="2">
        <f t="shared" si="22"/>
        <v>0.10783828296832164</v>
      </c>
      <c r="AT130" s="2" t="str">
        <f t="shared" si="24"/>
        <v/>
      </c>
      <c r="AU130" s="2" t="str">
        <f t="shared" si="24"/>
        <v/>
      </c>
      <c r="AV130" s="143" t="str">
        <f t="shared" si="26"/>
        <v/>
      </c>
      <c r="AW130" s="143" t="str">
        <f t="shared" si="26"/>
        <v/>
      </c>
      <c r="AX130" s="143" t="str">
        <f t="shared" si="26"/>
        <v/>
      </c>
      <c r="AY130" s="143" t="str">
        <f t="shared" si="25"/>
        <v/>
      </c>
      <c r="AZ130" s="143" t="str">
        <f t="shared" si="25"/>
        <v/>
      </c>
      <c r="BA130" s="143" t="str">
        <f t="shared" si="25"/>
        <v/>
      </c>
      <c r="BB130" s="143" t="str">
        <f t="shared" si="25"/>
        <v/>
      </c>
      <c r="BC130" s="143" t="str">
        <f t="shared" si="25"/>
        <v/>
      </c>
      <c r="BD130" s="143" t="str">
        <f t="shared" si="25"/>
        <v/>
      </c>
      <c r="BF130" s="9">
        <f t="shared" si="17"/>
        <v>3.2532312347186045E-5</v>
      </c>
      <c r="BG130" s="9">
        <f t="shared" si="18"/>
        <v>0.99418799756401299</v>
      </c>
    </row>
    <row r="131" spans="2:59" x14ac:dyDescent="0.3">
      <c r="B131" s="3" t="s">
        <v>211</v>
      </c>
      <c r="D131" s="141">
        <v>32716</v>
      </c>
      <c r="E131" s="141">
        <v>33746</v>
      </c>
      <c r="F131" s="141">
        <v>22158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5"/>
        <v>88620</v>
      </c>
      <c r="R131" s="141">
        <v>2880</v>
      </c>
      <c r="S131" s="141">
        <v>6096</v>
      </c>
      <c r="T131" s="141">
        <v>3403</v>
      </c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6"/>
        <v>12379</v>
      </c>
      <c r="AF131" s="2">
        <f t="shared" si="23"/>
        <v>8.8030321555202351E-2</v>
      </c>
      <c r="AG131" s="2">
        <f t="shared" si="23"/>
        <v>0.18064363183784746</v>
      </c>
      <c r="AH131" s="2">
        <f t="shared" si="23"/>
        <v>0.15357884285585341</v>
      </c>
      <c r="AI131" s="2" t="str">
        <f t="shared" si="23"/>
        <v/>
      </c>
      <c r="AJ131" s="2" t="str">
        <f t="shared" si="23"/>
        <v/>
      </c>
      <c r="AK131" s="2" t="str">
        <f t="shared" si="23"/>
        <v/>
      </c>
      <c r="AL131" s="2" t="str">
        <f t="shared" si="23"/>
        <v/>
      </c>
      <c r="AM131" s="2" t="str">
        <f t="shared" si="23"/>
        <v/>
      </c>
      <c r="AN131" s="2" t="str">
        <f t="shared" si="22"/>
        <v/>
      </c>
      <c r="AO131" s="2" t="str">
        <f t="shared" si="22"/>
        <v/>
      </c>
      <c r="AP131" s="2" t="str">
        <f t="shared" si="22"/>
        <v/>
      </c>
      <c r="AQ131" s="2" t="str">
        <f t="shared" si="22"/>
        <v/>
      </c>
      <c r="AR131" s="2">
        <f t="shared" si="22"/>
        <v>0.13968630106070865</v>
      </c>
      <c r="AT131" s="2" t="str">
        <f t="shared" si="24"/>
        <v/>
      </c>
      <c r="AU131" s="2" t="str">
        <f t="shared" si="24"/>
        <v/>
      </c>
      <c r="AV131" s="143" t="str">
        <f t="shared" si="26"/>
        <v/>
      </c>
      <c r="AW131" s="143" t="str">
        <f t="shared" si="26"/>
        <v/>
      </c>
      <c r="AX131" s="143" t="str">
        <f t="shared" si="26"/>
        <v/>
      </c>
      <c r="AY131" s="143" t="str">
        <f t="shared" si="25"/>
        <v/>
      </c>
      <c r="AZ131" s="143" t="str">
        <f t="shared" si="25"/>
        <v/>
      </c>
      <c r="BA131" s="143" t="str">
        <f t="shared" si="25"/>
        <v/>
      </c>
      <c r="BB131" s="143" t="str">
        <f t="shared" si="25"/>
        <v/>
      </c>
      <c r="BC131" s="143" t="str">
        <f t="shared" si="25"/>
        <v/>
      </c>
      <c r="BD131" s="143" t="str">
        <f t="shared" si="25"/>
        <v/>
      </c>
      <c r="BF131" s="9">
        <f t="shared" si="17"/>
        <v>9.7319420638896122E-6</v>
      </c>
      <c r="BG131" s="9">
        <f t="shared" si="18"/>
        <v>0.99419772950607688</v>
      </c>
    </row>
    <row r="132" spans="2:59" x14ac:dyDescent="0.3">
      <c r="B132" s="3" t="s">
        <v>212</v>
      </c>
      <c r="D132" s="141">
        <v>32143</v>
      </c>
      <c r="E132" s="141">
        <v>53113</v>
      </c>
      <c r="F132" s="141">
        <v>238545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5"/>
        <v>323801</v>
      </c>
      <c r="R132" s="141">
        <v>6044</v>
      </c>
      <c r="S132" s="141">
        <v>6997</v>
      </c>
      <c r="T132" s="141">
        <v>21780</v>
      </c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6"/>
        <v>34821</v>
      </c>
      <c r="AF132" s="2">
        <f t="shared" si="23"/>
        <v>0.18803471984568956</v>
      </c>
      <c r="AG132" s="2">
        <f t="shared" si="23"/>
        <v>0.13173799258185379</v>
      </c>
      <c r="AH132" s="2">
        <f t="shared" si="23"/>
        <v>9.130352763629504E-2</v>
      </c>
      <c r="AI132" s="2" t="str">
        <f t="shared" si="23"/>
        <v/>
      </c>
      <c r="AJ132" s="2" t="str">
        <f t="shared" si="23"/>
        <v/>
      </c>
      <c r="AK132" s="2" t="str">
        <f t="shared" si="23"/>
        <v/>
      </c>
      <c r="AL132" s="2" t="str">
        <f t="shared" si="23"/>
        <v/>
      </c>
      <c r="AM132" s="2" t="str">
        <f t="shared" si="23"/>
        <v/>
      </c>
      <c r="AN132" s="2" t="str">
        <f t="shared" si="22"/>
        <v/>
      </c>
      <c r="AO132" s="2" t="str">
        <f t="shared" si="22"/>
        <v/>
      </c>
      <c r="AP132" s="2" t="str">
        <f t="shared" si="22"/>
        <v/>
      </c>
      <c r="AQ132" s="2" t="str">
        <f t="shared" si="22"/>
        <v/>
      </c>
      <c r="AR132" s="2">
        <f t="shared" si="22"/>
        <v>0.1075382719633355</v>
      </c>
      <c r="AT132" s="2" t="str">
        <f t="shared" si="24"/>
        <v/>
      </c>
      <c r="AU132" s="2" t="str">
        <f t="shared" si="24"/>
        <v/>
      </c>
      <c r="AV132" s="143" t="str">
        <f t="shared" si="26"/>
        <v/>
      </c>
      <c r="AW132" s="143" t="str">
        <f t="shared" si="26"/>
        <v/>
      </c>
      <c r="AX132" s="143" t="str">
        <f t="shared" si="26"/>
        <v/>
      </c>
      <c r="AY132" s="143" t="str">
        <f t="shared" si="25"/>
        <v/>
      </c>
      <c r="AZ132" s="143" t="str">
        <f t="shared" si="25"/>
        <v/>
      </c>
      <c r="BA132" s="143" t="str">
        <f t="shared" si="25"/>
        <v/>
      </c>
      <c r="BB132" s="143" t="str">
        <f t="shared" si="25"/>
        <v/>
      </c>
      <c r="BC132" s="143" t="str">
        <f t="shared" si="25"/>
        <v/>
      </c>
      <c r="BD132" s="143" t="str">
        <f t="shared" si="25"/>
        <v/>
      </c>
      <c r="BF132" s="9">
        <f t="shared" si="17"/>
        <v>2.7375067017263122E-5</v>
      </c>
      <c r="BG132" s="9">
        <f t="shared" si="18"/>
        <v>0.9942251045730941</v>
      </c>
    </row>
    <row r="133" spans="2:59" x14ac:dyDescent="0.3">
      <c r="B133" s="3" t="s">
        <v>209</v>
      </c>
      <c r="D133" s="141">
        <v>293672</v>
      </c>
      <c r="E133" s="141">
        <v>229441</v>
      </c>
      <c r="F133" s="141">
        <v>216199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6" si="27">+SUM(D133:O133)</f>
        <v>739312</v>
      </c>
      <c r="R133" s="141">
        <v>24949</v>
      </c>
      <c r="S133" s="141">
        <v>27478</v>
      </c>
      <c r="T133" s="141">
        <v>21464</v>
      </c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6" si="28">+SUM(R133:AC133)</f>
        <v>73891</v>
      </c>
      <c r="AF133" s="2">
        <f t="shared" si="23"/>
        <v>8.4955324307390556E-2</v>
      </c>
      <c r="AG133" s="2">
        <f t="shared" si="23"/>
        <v>0.1197606356318182</v>
      </c>
      <c r="AH133" s="2">
        <f t="shared" si="23"/>
        <v>9.9278905082817226E-2</v>
      </c>
      <c r="AI133" s="2" t="str">
        <f t="shared" si="23"/>
        <v/>
      </c>
      <c r="AJ133" s="2" t="str">
        <f t="shared" si="23"/>
        <v/>
      </c>
      <c r="AK133" s="2" t="str">
        <f t="shared" si="23"/>
        <v/>
      </c>
      <c r="AL133" s="2" t="str">
        <f t="shared" si="23"/>
        <v/>
      </c>
      <c r="AM133" s="2" t="str">
        <f t="shared" si="23"/>
        <v/>
      </c>
      <c r="AN133" s="2" t="str">
        <f t="shared" si="22"/>
        <v/>
      </c>
      <c r="AO133" s="2" t="str">
        <f t="shared" si="22"/>
        <v/>
      </c>
      <c r="AP133" s="2" t="str">
        <f t="shared" si="22"/>
        <v/>
      </c>
      <c r="AQ133" s="2" t="str">
        <f t="shared" si="22"/>
        <v/>
      </c>
      <c r="AR133" s="2">
        <f t="shared" si="22"/>
        <v>9.9945625121734799E-2</v>
      </c>
      <c r="AT133" s="2" t="str">
        <f t="shared" si="24"/>
        <v/>
      </c>
      <c r="AU133" s="2" t="str">
        <f t="shared" si="24"/>
        <v/>
      </c>
      <c r="AV133" s="143" t="str">
        <f t="shared" si="26"/>
        <v/>
      </c>
      <c r="AW133" s="143" t="str">
        <f t="shared" si="26"/>
        <v/>
      </c>
      <c r="AX133" s="143" t="str">
        <f t="shared" si="26"/>
        <v/>
      </c>
      <c r="AY133" s="143" t="str">
        <f t="shared" si="25"/>
        <v/>
      </c>
      <c r="AZ133" s="143" t="str">
        <f t="shared" si="25"/>
        <v/>
      </c>
      <c r="BA133" s="143" t="str">
        <f t="shared" si="25"/>
        <v/>
      </c>
      <c r="BB133" s="143" t="str">
        <f t="shared" si="25"/>
        <v/>
      </c>
      <c r="BC133" s="143" t="str">
        <f t="shared" si="25"/>
        <v/>
      </c>
      <c r="BD133" s="143" t="str">
        <f t="shared" si="25"/>
        <v/>
      </c>
      <c r="BF133" s="9">
        <f t="shared" ref="BF133:BF196" si="29">+AD133/$AD$237</f>
        <v>5.8090551017276628E-5</v>
      </c>
      <c r="BG133" s="9">
        <f t="shared" si="18"/>
        <v>0.99428319512411134</v>
      </c>
    </row>
    <row r="134" spans="2:59" x14ac:dyDescent="0.3">
      <c r="B134" s="3" t="s">
        <v>225</v>
      </c>
      <c r="D134" s="141">
        <v>169760</v>
      </c>
      <c r="E134" s="141">
        <v>140063</v>
      </c>
      <c r="F134" s="141">
        <v>118060</v>
      </c>
      <c r="G134" s="141"/>
      <c r="H134" s="141"/>
      <c r="I134" s="141"/>
      <c r="J134" s="141"/>
      <c r="K134" s="141"/>
      <c r="L134" s="141"/>
      <c r="M134" s="141"/>
      <c r="N134" s="141"/>
      <c r="O134" s="141"/>
      <c r="P134" s="141">
        <f t="shared" si="27"/>
        <v>427883</v>
      </c>
      <c r="R134" s="141">
        <v>9884</v>
      </c>
      <c r="S134" s="141">
        <v>11133</v>
      </c>
      <c r="T134" s="141">
        <v>4208</v>
      </c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28"/>
        <v>25225</v>
      </c>
      <c r="AF134" s="2">
        <f t="shared" si="23"/>
        <v>5.8223374175306312E-2</v>
      </c>
      <c r="AG134" s="2">
        <f t="shared" si="23"/>
        <v>7.9485660024417579E-2</v>
      </c>
      <c r="AH134" s="2">
        <f t="shared" si="23"/>
        <v>3.5642893444011517E-2</v>
      </c>
      <c r="AI134" s="2" t="str">
        <f t="shared" si="23"/>
        <v/>
      </c>
      <c r="AJ134" s="2" t="str">
        <f t="shared" si="23"/>
        <v/>
      </c>
      <c r="AK134" s="2" t="str">
        <f t="shared" si="23"/>
        <v/>
      </c>
      <c r="AL134" s="2" t="str">
        <f t="shared" si="23"/>
        <v/>
      </c>
      <c r="AM134" s="2" t="str">
        <f t="shared" si="23"/>
        <v/>
      </c>
      <c r="AN134" s="2" t="str">
        <f t="shared" si="22"/>
        <v/>
      </c>
      <c r="AO134" s="2" t="str">
        <f t="shared" si="22"/>
        <v/>
      </c>
      <c r="AP134" s="2" t="str">
        <f t="shared" si="22"/>
        <v/>
      </c>
      <c r="AQ134" s="2" t="str">
        <f t="shared" si="22"/>
        <v/>
      </c>
      <c r="AR134" s="2">
        <f t="shared" si="22"/>
        <v>5.8953031553017995E-2</v>
      </c>
      <c r="AT134" s="2" t="str">
        <f t="shared" si="24"/>
        <v/>
      </c>
      <c r="AU134" s="2" t="str">
        <f t="shared" si="24"/>
        <v/>
      </c>
      <c r="AV134" s="143" t="str">
        <f t="shared" si="26"/>
        <v/>
      </c>
      <c r="AW134" s="143" t="str">
        <f t="shared" si="26"/>
        <v/>
      </c>
      <c r="AX134" s="143" t="str">
        <f t="shared" si="26"/>
        <v/>
      </c>
      <c r="AY134" s="143" t="str">
        <f t="shared" si="25"/>
        <v/>
      </c>
      <c r="AZ134" s="143" t="str">
        <f t="shared" si="25"/>
        <v/>
      </c>
      <c r="BA134" s="143" t="str">
        <f t="shared" si="25"/>
        <v/>
      </c>
      <c r="BB134" s="143" t="str">
        <f t="shared" si="25"/>
        <v/>
      </c>
      <c r="BC134" s="143" t="str">
        <f t="shared" si="25"/>
        <v/>
      </c>
      <c r="BD134" s="143" t="str">
        <f t="shared" si="25"/>
        <v/>
      </c>
      <c r="BF134" s="9">
        <f t="shared" si="29"/>
        <v>1.983102339135758E-5</v>
      </c>
      <c r="BG134" s="9">
        <f t="shared" ref="BG134:BG197" si="30">+BF134+BG133</f>
        <v>0.99430302614750266</v>
      </c>
    </row>
    <row r="135" spans="2:59" x14ac:dyDescent="0.3">
      <c r="B135" s="3" t="s">
        <v>194</v>
      </c>
      <c r="D135" s="141">
        <v>250417</v>
      </c>
      <c r="E135" s="141">
        <v>231571</v>
      </c>
      <c r="F135" s="141">
        <v>314923</v>
      </c>
      <c r="G135" s="141"/>
      <c r="H135" s="141"/>
      <c r="I135" s="141"/>
      <c r="J135" s="141"/>
      <c r="K135" s="141"/>
      <c r="L135" s="141"/>
      <c r="M135" s="141"/>
      <c r="N135" s="141"/>
      <c r="O135" s="141"/>
      <c r="P135" s="141">
        <f t="shared" si="27"/>
        <v>796911</v>
      </c>
      <c r="R135" s="141">
        <v>15910</v>
      </c>
      <c r="S135" s="141">
        <v>13061</v>
      </c>
      <c r="T135" s="141">
        <v>18767</v>
      </c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28"/>
        <v>47738</v>
      </c>
      <c r="AF135" s="2">
        <f t="shared" si="23"/>
        <v>6.3534025245889858E-2</v>
      </c>
      <c r="AG135" s="2">
        <f t="shared" si="23"/>
        <v>5.6401708331354099E-2</v>
      </c>
      <c r="AH135" s="2">
        <f t="shared" si="23"/>
        <v>5.9592344795394429E-2</v>
      </c>
      <c r="AI135" s="2" t="str">
        <f t="shared" si="23"/>
        <v/>
      </c>
      <c r="AJ135" s="2" t="str">
        <f t="shared" si="23"/>
        <v/>
      </c>
      <c r="AK135" s="2" t="str">
        <f t="shared" si="23"/>
        <v/>
      </c>
      <c r="AL135" s="2" t="str">
        <f t="shared" si="23"/>
        <v/>
      </c>
      <c r="AM135" s="2" t="str">
        <f t="shared" si="23"/>
        <v/>
      </c>
      <c r="AN135" s="2" t="str">
        <f t="shared" si="22"/>
        <v/>
      </c>
      <c r="AO135" s="2" t="str">
        <f t="shared" si="22"/>
        <v/>
      </c>
      <c r="AP135" s="2" t="str">
        <f t="shared" si="22"/>
        <v/>
      </c>
      <c r="AQ135" s="2" t="str">
        <f t="shared" si="22"/>
        <v/>
      </c>
      <c r="AR135" s="2">
        <f t="shared" si="22"/>
        <v>5.990380356150185E-2</v>
      </c>
      <c r="AT135" s="2" t="str">
        <f t="shared" si="24"/>
        <v/>
      </c>
      <c r="AU135" s="2" t="str">
        <f t="shared" si="24"/>
        <v/>
      </c>
      <c r="AV135" s="143" t="str">
        <f t="shared" si="26"/>
        <v/>
      </c>
      <c r="AW135" s="143" t="str">
        <f t="shared" si="26"/>
        <v/>
      </c>
      <c r="AX135" s="143" t="str">
        <f t="shared" si="26"/>
        <v/>
      </c>
      <c r="AY135" s="143" t="str">
        <f t="shared" si="25"/>
        <v/>
      </c>
      <c r="AZ135" s="143" t="str">
        <f t="shared" si="25"/>
        <v/>
      </c>
      <c r="BA135" s="143" t="str">
        <f t="shared" si="25"/>
        <v/>
      </c>
      <c r="BB135" s="143" t="str">
        <f t="shared" si="25"/>
        <v/>
      </c>
      <c r="BC135" s="143" t="str">
        <f t="shared" si="25"/>
        <v/>
      </c>
      <c r="BD135" s="143" t="str">
        <f t="shared" si="25"/>
        <v/>
      </c>
      <c r="BF135" s="9">
        <f t="shared" si="29"/>
        <v>3.7529966091442148E-5</v>
      </c>
      <c r="BG135" s="9">
        <f t="shared" si="30"/>
        <v>0.99434055611359407</v>
      </c>
    </row>
    <row r="136" spans="2:59" x14ac:dyDescent="0.3">
      <c r="B136" s="3" t="s">
        <v>234</v>
      </c>
      <c r="D136" s="141">
        <v>13138014</v>
      </c>
      <c r="E136" s="141">
        <v>5076233</v>
      </c>
      <c r="F136" s="141">
        <v>4238043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41">
        <f t="shared" si="27"/>
        <v>22452290</v>
      </c>
      <c r="R136" s="141">
        <v>1210598</v>
      </c>
      <c r="S136" s="141">
        <v>554117</v>
      </c>
      <c r="T136" s="141">
        <v>432863</v>
      </c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28"/>
        <v>2197578</v>
      </c>
      <c r="AF136" s="2">
        <f t="shared" si="23"/>
        <v>9.2144672703195471E-2</v>
      </c>
      <c r="AG136" s="2">
        <f t="shared" si="23"/>
        <v>0.10915909494304142</v>
      </c>
      <c r="AH136" s="2">
        <f t="shared" si="23"/>
        <v>0.10213747241356447</v>
      </c>
      <c r="AI136" s="2" t="str">
        <f t="shared" si="23"/>
        <v/>
      </c>
      <c r="AJ136" s="2" t="str">
        <f t="shared" si="23"/>
        <v/>
      </c>
      <c r="AK136" s="2" t="str">
        <f t="shared" si="23"/>
        <v/>
      </c>
      <c r="AL136" s="2" t="str">
        <f t="shared" si="23"/>
        <v/>
      </c>
      <c r="AM136" s="2" t="str">
        <f t="shared" si="23"/>
        <v/>
      </c>
      <c r="AN136" s="2" t="str">
        <f t="shared" si="22"/>
        <v/>
      </c>
      <c r="AO136" s="2" t="str">
        <f t="shared" si="22"/>
        <v/>
      </c>
      <c r="AP136" s="2" t="str">
        <f t="shared" si="22"/>
        <v/>
      </c>
      <c r="AQ136" s="2" t="str">
        <f t="shared" si="22"/>
        <v/>
      </c>
      <c r="AR136" s="2">
        <f t="shared" si="22"/>
        <v>9.7877677510846334E-2</v>
      </c>
      <c r="AT136" s="2" t="str">
        <f t="shared" si="24"/>
        <v/>
      </c>
      <c r="AU136" s="2" t="str">
        <f t="shared" si="24"/>
        <v/>
      </c>
      <c r="AV136" s="143" t="str">
        <f t="shared" si="26"/>
        <v/>
      </c>
      <c r="AW136" s="143" t="str">
        <f t="shared" si="26"/>
        <v/>
      </c>
      <c r="AX136" s="143" t="str">
        <f t="shared" si="26"/>
        <v/>
      </c>
      <c r="AY136" s="143" t="str">
        <f t="shared" si="25"/>
        <v/>
      </c>
      <c r="AZ136" s="143" t="str">
        <f t="shared" si="25"/>
        <v/>
      </c>
      <c r="BA136" s="143" t="str">
        <f t="shared" si="25"/>
        <v/>
      </c>
      <c r="BB136" s="143" t="str">
        <f t="shared" si="25"/>
        <v/>
      </c>
      <c r="BC136" s="143" t="str">
        <f t="shared" si="25"/>
        <v/>
      </c>
      <c r="BD136" s="143" t="str">
        <f t="shared" si="25"/>
        <v/>
      </c>
      <c r="BF136" s="9">
        <f t="shared" si="29"/>
        <v>1.7276598898843532E-3</v>
      </c>
      <c r="BG136" s="9">
        <f t="shared" si="30"/>
        <v>0.99606821600347839</v>
      </c>
    </row>
    <row r="137" spans="2:59" x14ac:dyDescent="0.3">
      <c r="B137" s="3" t="s">
        <v>202</v>
      </c>
      <c r="D137" s="141">
        <v>125897</v>
      </c>
      <c r="E137" s="141">
        <v>158407</v>
      </c>
      <c r="F137" s="141">
        <v>160635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41">
        <f t="shared" si="27"/>
        <v>444939</v>
      </c>
      <c r="R137" s="141">
        <v>10611</v>
      </c>
      <c r="S137" s="141">
        <v>15551</v>
      </c>
      <c r="T137" s="141">
        <v>14276</v>
      </c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28"/>
        <v>40438</v>
      </c>
      <c r="AF137" s="2">
        <f t="shared" si="23"/>
        <v>8.4283183872530726E-2</v>
      </c>
      <c r="AG137" s="2">
        <f t="shared" si="23"/>
        <v>9.8171166678240232E-2</v>
      </c>
      <c r="AH137" s="2">
        <f t="shared" si="23"/>
        <v>8.8872288106577019E-2</v>
      </c>
      <c r="AI137" s="2" t="str">
        <f t="shared" si="23"/>
        <v/>
      </c>
      <c r="AJ137" s="2" t="str">
        <f t="shared" si="23"/>
        <v/>
      </c>
      <c r="AK137" s="2" t="str">
        <f t="shared" si="23"/>
        <v/>
      </c>
      <c r="AL137" s="2" t="str">
        <f t="shared" si="23"/>
        <v/>
      </c>
      <c r="AM137" s="2" t="str">
        <f t="shared" si="23"/>
        <v/>
      </c>
      <c r="AN137" s="2" t="str">
        <f t="shared" si="22"/>
        <v/>
      </c>
      <c r="AO137" s="2" t="str">
        <f t="shared" si="22"/>
        <v/>
      </c>
      <c r="AP137" s="2" t="str">
        <f t="shared" si="22"/>
        <v/>
      </c>
      <c r="AQ137" s="2" t="str">
        <f t="shared" si="22"/>
        <v/>
      </c>
      <c r="AR137" s="2">
        <f t="shared" si="22"/>
        <v>9.0884368419041711E-2</v>
      </c>
      <c r="AT137" s="2" t="str">
        <f t="shared" si="24"/>
        <v/>
      </c>
      <c r="AU137" s="2" t="str">
        <f t="shared" si="24"/>
        <v/>
      </c>
      <c r="AV137" s="143" t="str">
        <f t="shared" si="26"/>
        <v/>
      </c>
      <c r="AW137" s="143" t="str">
        <f t="shared" si="26"/>
        <v/>
      </c>
      <c r="AX137" s="143" t="str">
        <f t="shared" si="26"/>
        <v/>
      </c>
      <c r="AY137" s="143" t="str">
        <f t="shared" si="25"/>
        <v/>
      </c>
      <c r="AZ137" s="143" t="str">
        <f t="shared" si="25"/>
        <v/>
      </c>
      <c r="BA137" s="143" t="str">
        <f t="shared" si="25"/>
        <v/>
      </c>
      <c r="BB137" s="143" t="str">
        <f t="shared" si="25"/>
        <v/>
      </c>
      <c r="BC137" s="143" t="str">
        <f t="shared" si="25"/>
        <v/>
      </c>
      <c r="BD137" s="143" t="str">
        <f t="shared" si="25"/>
        <v/>
      </c>
      <c r="BF137" s="9">
        <f t="shared" si="29"/>
        <v>3.1790958331009626E-5</v>
      </c>
      <c r="BG137" s="9">
        <f t="shared" si="30"/>
        <v>0.99610000696180945</v>
      </c>
    </row>
    <row r="138" spans="2:59" x14ac:dyDescent="0.3">
      <c r="B138" s="3" t="s">
        <v>221</v>
      </c>
      <c r="D138" s="141">
        <v>216772</v>
      </c>
      <c r="E138" s="141">
        <v>253168</v>
      </c>
      <c r="F138" s="141">
        <v>165643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>
        <f t="shared" si="27"/>
        <v>635583</v>
      </c>
      <c r="R138" s="141">
        <v>30175</v>
      </c>
      <c r="S138" s="141">
        <v>32666</v>
      </c>
      <c r="T138" s="141">
        <v>19199</v>
      </c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28"/>
        <v>82040</v>
      </c>
      <c r="AF138" s="2">
        <f t="shared" si="23"/>
        <v>0.13920155739671175</v>
      </c>
      <c r="AG138" s="2">
        <f t="shared" si="23"/>
        <v>0.1290289452063452</v>
      </c>
      <c r="AH138" s="2">
        <f t="shared" si="23"/>
        <v>0.11590589400095386</v>
      </c>
      <c r="AI138" s="2" t="str">
        <f t="shared" si="23"/>
        <v/>
      </c>
      <c r="AJ138" s="2" t="str">
        <f t="shared" si="23"/>
        <v/>
      </c>
      <c r="AK138" s="2" t="str">
        <f t="shared" si="23"/>
        <v/>
      </c>
      <c r="AL138" s="2" t="str">
        <f t="shared" si="23"/>
        <v/>
      </c>
      <c r="AM138" s="2" t="str">
        <f t="shared" si="23"/>
        <v/>
      </c>
      <c r="AN138" s="2" t="str">
        <f t="shared" si="22"/>
        <v/>
      </c>
      <c r="AO138" s="2" t="str">
        <f t="shared" si="22"/>
        <v/>
      </c>
      <c r="AP138" s="2" t="str">
        <f t="shared" si="22"/>
        <v/>
      </c>
      <c r="AQ138" s="2" t="str">
        <f t="shared" si="22"/>
        <v/>
      </c>
      <c r="AR138" s="2">
        <f t="shared" si="22"/>
        <v>0.12907834224640999</v>
      </c>
      <c r="AT138" s="2" t="str">
        <f t="shared" si="24"/>
        <v/>
      </c>
      <c r="AU138" s="2" t="str">
        <f t="shared" si="24"/>
        <v/>
      </c>
      <c r="AV138" s="143" t="str">
        <f t="shared" si="26"/>
        <v/>
      </c>
      <c r="AW138" s="143" t="str">
        <f t="shared" si="26"/>
        <v/>
      </c>
      <c r="AX138" s="143" t="str">
        <f t="shared" si="26"/>
        <v/>
      </c>
      <c r="AY138" s="143" t="str">
        <f t="shared" si="25"/>
        <v/>
      </c>
      <c r="AZ138" s="143" t="str">
        <f t="shared" si="25"/>
        <v/>
      </c>
      <c r="BA138" s="143" t="str">
        <f t="shared" si="25"/>
        <v/>
      </c>
      <c r="BB138" s="143" t="str">
        <f t="shared" si="25"/>
        <v/>
      </c>
      <c r="BC138" s="143" t="str">
        <f t="shared" si="25"/>
        <v/>
      </c>
      <c r="BD138" s="143" t="str">
        <f t="shared" si="25"/>
        <v/>
      </c>
      <c r="BF138" s="9">
        <f t="shared" si="29"/>
        <v>6.4497013241901908E-5</v>
      </c>
      <c r="BG138" s="9">
        <f t="shared" si="30"/>
        <v>0.9961645039750513</v>
      </c>
    </row>
    <row r="139" spans="2:59" x14ac:dyDescent="0.3">
      <c r="B139" s="3" t="s">
        <v>218</v>
      </c>
      <c r="D139" s="141">
        <v>18360</v>
      </c>
      <c r="E139" s="141">
        <v>25503</v>
      </c>
      <c r="F139" s="141">
        <v>28645</v>
      </c>
      <c r="G139" s="141"/>
      <c r="H139" s="141"/>
      <c r="I139" s="141"/>
      <c r="J139" s="141"/>
      <c r="K139" s="141"/>
      <c r="L139" s="141"/>
      <c r="M139" s="141"/>
      <c r="N139" s="141"/>
      <c r="O139" s="141"/>
      <c r="P139" s="141">
        <f t="shared" si="27"/>
        <v>72508</v>
      </c>
      <c r="R139" s="141">
        <v>3125</v>
      </c>
      <c r="S139" s="141">
        <v>1794</v>
      </c>
      <c r="T139" s="141">
        <v>2880</v>
      </c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28"/>
        <v>7799</v>
      </c>
      <c r="AF139" s="2">
        <f t="shared" si="23"/>
        <v>0.17020697167755991</v>
      </c>
      <c r="AG139" s="2">
        <f t="shared" si="23"/>
        <v>7.0344665333490181E-2</v>
      </c>
      <c r="AH139" s="2">
        <f t="shared" si="23"/>
        <v>0.10054110665037529</v>
      </c>
      <c r="AI139" s="2" t="str">
        <f t="shared" si="23"/>
        <v/>
      </c>
      <c r="AJ139" s="2" t="str">
        <f t="shared" si="23"/>
        <v/>
      </c>
      <c r="AK139" s="2" t="str">
        <f t="shared" si="23"/>
        <v/>
      </c>
      <c r="AL139" s="2" t="str">
        <f t="shared" si="23"/>
        <v/>
      </c>
      <c r="AM139" s="2" t="str">
        <f t="shared" si="23"/>
        <v/>
      </c>
      <c r="AN139" s="2" t="str">
        <f t="shared" si="22"/>
        <v/>
      </c>
      <c r="AO139" s="2" t="str">
        <f t="shared" si="22"/>
        <v/>
      </c>
      <c r="AP139" s="2" t="str">
        <f t="shared" si="22"/>
        <v/>
      </c>
      <c r="AQ139" s="2" t="str">
        <f t="shared" si="22"/>
        <v/>
      </c>
      <c r="AR139" s="2">
        <f t="shared" si="22"/>
        <v>0.10756054504330556</v>
      </c>
      <c r="AT139" s="2" t="str">
        <f t="shared" si="24"/>
        <v/>
      </c>
      <c r="AU139" s="2" t="str">
        <f t="shared" si="24"/>
        <v/>
      </c>
      <c r="AV139" s="143" t="str">
        <f t="shared" si="26"/>
        <v/>
      </c>
      <c r="AW139" s="143" t="str">
        <f t="shared" si="26"/>
        <v/>
      </c>
      <c r="AX139" s="143" t="str">
        <f t="shared" si="26"/>
        <v/>
      </c>
      <c r="AY139" s="143" t="str">
        <f t="shared" si="25"/>
        <v/>
      </c>
      <c r="AZ139" s="143" t="str">
        <f t="shared" si="25"/>
        <v/>
      </c>
      <c r="BA139" s="143" t="str">
        <f t="shared" si="25"/>
        <v/>
      </c>
      <c r="BB139" s="143" t="str">
        <f t="shared" si="25"/>
        <v/>
      </c>
      <c r="BC139" s="143" t="str">
        <f t="shared" si="25"/>
        <v/>
      </c>
      <c r="BD139" s="143" t="str">
        <f t="shared" si="25"/>
        <v/>
      </c>
      <c r="BF139" s="9">
        <f t="shared" si="29"/>
        <v>6.1313043183031817E-6</v>
      </c>
      <c r="BG139" s="9">
        <f t="shared" si="30"/>
        <v>0.99617063527936955</v>
      </c>
    </row>
    <row r="140" spans="2:59" x14ac:dyDescent="0.3">
      <c r="B140" s="3" t="s">
        <v>230</v>
      </c>
      <c r="D140" s="141">
        <v>9908</v>
      </c>
      <c r="E140" s="141">
        <v>10256</v>
      </c>
      <c r="F140" s="141">
        <v>16401</v>
      </c>
      <c r="G140" s="141"/>
      <c r="H140" s="141"/>
      <c r="I140" s="141"/>
      <c r="J140" s="141"/>
      <c r="K140" s="141"/>
      <c r="L140" s="141"/>
      <c r="M140" s="141"/>
      <c r="N140" s="141"/>
      <c r="O140" s="141"/>
      <c r="P140" s="141">
        <f t="shared" si="27"/>
        <v>36565</v>
      </c>
      <c r="R140" s="141">
        <v>825</v>
      </c>
      <c r="S140" s="141">
        <v>922</v>
      </c>
      <c r="T140" s="141">
        <v>1151</v>
      </c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28"/>
        <v>2898</v>
      </c>
      <c r="AF140" s="2">
        <f t="shared" si="23"/>
        <v>8.3266047638272098E-2</v>
      </c>
      <c r="AG140" s="2">
        <f t="shared" si="23"/>
        <v>8.9898595943837756E-2</v>
      </c>
      <c r="AH140" s="2">
        <f t="shared" si="23"/>
        <v>7.017864764343637E-2</v>
      </c>
      <c r="AI140" s="2" t="str">
        <f t="shared" si="23"/>
        <v/>
      </c>
      <c r="AJ140" s="2" t="str">
        <f t="shared" si="23"/>
        <v/>
      </c>
      <c r="AK140" s="2" t="str">
        <f t="shared" si="23"/>
        <v/>
      </c>
      <c r="AL140" s="2" t="str">
        <f t="shared" si="23"/>
        <v/>
      </c>
      <c r="AM140" s="2" t="str">
        <f t="shared" ref="AM140:AR171" si="31">+IFERROR(Y140/K140,"")</f>
        <v/>
      </c>
      <c r="AN140" s="2" t="str">
        <f t="shared" si="31"/>
        <v/>
      </c>
      <c r="AO140" s="2" t="str">
        <f t="shared" si="31"/>
        <v/>
      </c>
      <c r="AP140" s="2" t="str">
        <f t="shared" si="31"/>
        <v/>
      </c>
      <c r="AQ140" s="2" t="str">
        <f t="shared" si="31"/>
        <v/>
      </c>
      <c r="AR140" s="2">
        <f t="shared" si="31"/>
        <v>7.9256119239710099E-2</v>
      </c>
      <c r="AT140" s="2" t="str">
        <f t="shared" si="24"/>
        <v/>
      </c>
      <c r="AU140" s="2" t="str">
        <f t="shared" si="24"/>
        <v/>
      </c>
      <c r="AV140" s="143" t="str">
        <f t="shared" si="26"/>
        <v/>
      </c>
      <c r="AW140" s="143" t="str">
        <f t="shared" si="26"/>
        <v/>
      </c>
      <c r="AX140" s="143" t="str">
        <f t="shared" si="26"/>
        <v/>
      </c>
      <c r="AY140" s="143" t="str">
        <f t="shared" si="25"/>
        <v/>
      </c>
      <c r="AZ140" s="143" t="str">
        <f t="shared" si="25"/>
        <v/>
      </c>
      <c r="BA140" s="143" t="str">
        <f t="shared" si="25"/>
        <v/>
      </c>
      <c r="BB140" s="143" t="str">
        <f t="shared" si="25"/>
        <v/>
      </c>
      <c r="BC140" s="143" t="str">
        <f t="shared" si="25"/>
        <v/>
      </c>
      <c r="BD140" s="143" t="str">
        <f t="shared" si="25"/>
        <v/>
      </c>
      <c r="BF140" s="9">
        <f t="shared" si="29"/>
        <v>2.278307464347047E-6</v>
      </c>
      <c r="BG140" s="9">
        <f t="shared" si="30"/>
        <v>0.99617291358683391</v>
      </c>
    </row>
    <row r="141" spans="2:59" x14ac:dyDescent="0.3">
      <c r="B141" s="3" t="s">
        <v>232</v>
      </c>
      <c r="D141" s="141">
        <v>789583</v>
      </c>
      <c r="E141" s="141">
        <v>6050326</v>
      </c>
      <c r="F141" s="141">
        <v>5254670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27"/>
        <v>12094579</v>
      </c>
      <c r="R141" s="141">
        <v>86886</v>
      </c>
      <c r="S141" s="141">
        <v>681301</v>
      </c>
      <c r="T141" s="141">
        <v>545128</v>
      </c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28"/>
        <v>1313315</v>
      </c>
      <c r="AF141" s="2">
        <f t="shared" ref="AF141:AR172" si="32">+IFERROR(R141/D141,"")</f>
        <v>0.11004036307772584</v>
      </c>
      <c r="AG141" s="2">
        <f t="shared" si="32"/>
        <v>0.1126056678598806</v>
      </c>
      <c r="AH141" s="2">
        <f t="shared" si="32"/>
        <v>0.10374162411721383</v>
      </c>
      <c r="AI141" s="2" t="str">
        <f t="shared" si="32"/>
        <v/>
      </c>
      <c r="AJ141" s="2" t="str">
        <f t="shared" si="32"/>
        <v/>
      </c>
      <c r="AK141" s="2" t="str">
        <f t="shared" si="32"/>
        <v/>
      </c>
      <c r="AL141" s="2" t="str">
        <f t="shared" si="32"/>
        <v/>
      </c>
      <c r="AM141" s="2" t="str">
        <f t="shared" si="31"/>
        <v/>
      </c>
      <c r="AN141" s="2" t="str">
        <f t="shared" si="31"/>
        <v/>
      </c>
      <c r="AO141" s="2" t="str">
        <f t="shared" si="31"/>
        <v/>
      </c>
      <c r="AP141" s="2" t="str">
        <f t="shared" si="31"/>
        <v/>
      </c>
      <c r="AQ141" s="2" t="str">
        <f t="shared" si="31"/>
        <v/>
      </c>
      <c r="AR141" s="2">
        <f t="shared" si="31"/>
        <v>0.10858707855808789</v>
      </c>
      <c r="AT141" s="2" t="str">
        <f t="shared" si="24"/>
        <v/>
      </c>
      <c r="AU141" s="2" t="str">
        <f t="shared" si="24"/>
        <v/>
      </c>
      <c r="AV141" s="143" t="str">
        <f t="shared" si="26"/>
        <v/>
      </c>
      <c r="AW141" s="143" t="str">
        <f t="shared" si="26"/>
        <v/>
      </c>
      <c r="AX141" s="143" t="str">
        <f t="shared" si="26"/>
        <v/>
      </c>
      <c r="AY141" s="143" t="str">
        <f t="shared" si="25"/>
        <v/>
      </c>
      <c r="AZ141" s="143" t="str">
        <f t="shared" si="25"/>
        <v/>
      </c>
      <c r="BA141" s="143" t="str">
        <f t="shared" si="25"/>
        <v/>
      </c>
      <c r="BB141" s="143" t="str">
        <f t="shared" si="25"/>
        <v/>
      </c>
      <c r="BC141" s="143" t="str">
        <f t="shared" si="25"/>
        <v/>
      </c>
      <c r="BD141" s="143" t="str">
        <f t="shared" si="25"/>
        <v/>
      </c>
      <c r="BF141" s="9">
        <f t="shared" si="29"/>
        <v>1.032482873546909E-3</v>
      </c>
      <c r="BG141" s="9">
        <f t="shared" si="30"/>
        <v>0.99720539646038087</v>
      </c>
    </row>
    <row r="142" spans="2:59" x14ac:dyDescent="0.3">
      <c r="B142" s="3" t="s">
        <v>208</v>
      </c>
      <c r="D142" s="141">
        <v>79570</v>
      </c>
      <c r="E142" s="141">
        <v>71965</v>
      </c>
      <c r="F142" s="141">
        <v>68433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41">
        <f t="shared" si="27"/>
        <v>219968</v>
      </c>
      <c r="R142" s="141">
        <v>20435</v>
      </c>
      <c r="S142" s="141">
        <v>10361</v>
      </c>
      <c r="T142" s="141">
        <v>5224</v>
      </c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28"/>
        <v>36020</v>
      </c>
      <c r="AF142" s="2">
        <f t="shared" si="32"/>
        <v>0.25681789619203216</v>
      </c>
      <c r="AG142" s="2">
        <f t="shared" si="32"/>
        <v>0.14397276453831723</v>
      </c>
      <c r="AH142" s="2">
        <f t="shared" si="32"/>
        <v>7.6337439539403501E-2</v>
      </c>
      <c r="AI142" s="2" t="str">
        <f t="shared" si="32"/>
        <v/>
      </c>
      <c r="AJ142" s="2" t="str">
        <f t="shared" si="32"/>
        <v/>
      </c>
      <c r="AK142" s="2" t="str">
        <f t="shared" si="32"/>
        <v/>
      </c>
      <c r="AL142" s="2" t="str">
        <f t="shared" si="32"/>
        <v/>
      </c>
      <c r="AM142" s="2" t="str">
        <f t="shared" si="31"/>
        <v/>
      </c>
      <c r="AN142" s="2" t="str">
        <f t="shared" si="31"/>
        <v/>
      </c>
      <c r="AO142" s="2" t="str">
        <f t="shared" si="31"/>
        <v/>
      </c>
      <c r="AP142" s="2" t="str">
        <f t="shared" si="31"/>
        <v/>
      </c>
      <c r="AQ142" s="2" t="str">
        <f t="shared" si="31"/>
        <v/>
      </c>
      <c r="AR142" s="2">
        <f t="shared" si="31"/>
        <v>0.16375109106779168</v>
      </c>
      <c r="AT142" s="2" t="str">
        <f t="shared" ref="AT142:AU173" si="33">+IFERROR(AM142-AL142,"")</f>
        <v/>
      </c>
      <c r="AU142" s="2" t="str">
        <f t="shared" si="33"/>
        <v/>
      </c>
      <c r="AV142" s="143" t="str">
        <f t="shared" si="26"/>
        <v/>
      </c>
      <c r="AW142" s="143" t="str">
        <f t="shared" si="26"/>
        <v/>
      </c>
      <c r="AX142" s="143" t="str">
        <f t="shared" si="26"/>
        <v/>
      </c>
      <c r="AY142" s="143" t="str">
        <f t="shared" si="25"/>
        <v/>
      </c>
      <c r="AZ142" s="143" t="str">
        <f t="shared" si="25"/>
        <v/>
      </c>
      <c r="BA142" s="143" t="str">
        <f t="shared" si="25"/>
        <v/>
      </c>
      <c r="BB142" s="143" t="str">
        <f t="shared" si="25"/>
        <v/>
      </c>
      <c r="BC142" s="143" t="str">
        <f t="shared" si="25"/>
        <v/>
      </c>
      <c r="BD142" s="143" t="str">
        <f t="shared" si="25"/>
        <v/>
      </c>
      <c r="BF142" s="9">
        <f t="shared" si="29"/>
        <v>2.8317679387778E-5</v>
      </c>
      <c r="BG142" s="9">
        <f t="shared" si="30"/>
        <v>0.99723371413976869</v>
      </c>
    </row>
    <row r="143" spans="2:59" x14ac:dyDescent="0.3">
      <c r="B143" s="3" t="s">
        <v>229</v>
      </c>
      <c r="D143" s="141">
        <v>114143</v>
      </c>
      <c r="E143" s="141">
        <v>127983</v>
      </c>
      <c r="F143" s="141">
        <v>165089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27"/>
        <v>407215</v>
      </c>
      <c r="R143" s="141">
        <v>12311</v>
      </c>
      <c r="S143" s="141">
        <v>12093</v>
      </c>
      <c r="T143" s="141">
        <v>14970</v>
      </c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28"/>
        <v>39374</v>
      </c>
      <c r="AF143" s="2">
        <f t="shared" si="32"/>
        <v>0.10785593509895482</v>
      </c>
      <c r="AG143" s="2">
        <f t="shared" si="32"/>
        <v>9.4489111835165604E-2</v>
      </c>
      <c r="AH143" s="2">
        <f t="shared" si="32"/>
        <v>9.0678361368716265E-2</v>
      </c>
      <c r="AI143" s="2" t="str">
        <f t="shared" si="32"/>
        <v/>
      </c>
      <c r="AJ143" s="2" t="str">
        <f t="shared" si="32"/>
        <v/>
      </c>
      <c r="AK143" s="2" t="str">
        <f t="shared" si="32"/>
        <v/>
      </c>
      <c r="AL143" s="2" t="str">
        <f t="shared" si="32"/>
        <v/>
      </c>
      <c r="AM143" s="2" t="str">
        <f t="shared" si="31"/>
        <v/>
      </c>
      <c r="AN143" s="2" t="str">
        <f t="shared" si="31"/>
        <v/>
      </c>
      <c r="AO143" s="2" t="str">
        <f t="shared" si="31"/>
        <v/>
      </c>
      <c r="AP143" s="2" t="str">
        <f t="shared" si="31"/>
        <v/>
      </c>
      <c r="AQ143" s="2" t="str">
        <f t="shared" si="31"/>
        <v/>
      </c>
      <c r="AR143" s="2">
        <f t="shared" si="31"/>
        <v>9.669093721989612E-2</v>
      </c>
      <c r="AT143" s="2" t="str">
        <f t="shared" si="33"/>
        <v/>
      </c>
      <c r="AU143" s="2" t="str">
        <f t="shared" si="33"/>
        <v/>
      </c>
      <c r="AV143" s="143" t="str">
        <f t="shared" si="26"/>
        <v/>
      </c>
      <c r="AW143" s="143" t="str">
        <f t="shared" si="26"/>
        <v/>
      </c>
      <c r="AX143" s="143" t="str">
        <f t="shared" si="26"/>
        <v/>
      </c>
      <c r="AY143" s="143" t="str">
        <f t="shared" si="25"/>
        <v/>
      </c>
      <c r="AZ143" s="143" t="str">
        <f t="shared" si="25"/>
        <v/>
      </c>
      <c r="BA143" s="143" t="str">
        <f t="shared" si="25"/>
        <v/>
      </c>
      <c r="BB143" s="143" t="str">
        <f t="shared" si="25"/>
        <v/>
      </c>
      <c r="BC143" s="143" t="str">
        <f t="shared" si="25"/>
        <v/>
      </c>
      <c r="BD143" s="143" t="str">
        <f t="shared" si="25"/>
        <v/>
      </c>
      <c r="BF143" s="9">
        <f t="shared" si="29"/>
        <v>3.095447829579042E-5</v>
      </c>
      <c r="BG143" s="9">
        <f t="shared" si="30"/>
        <v>0.99726466861806451</v>
      </c>
    </row>
    <row r="144" spans="2:59" x14ac:dyDescent="0.3">
      <c r="B144" s="3" t="s">
        <v>226</v>
      </c>
      <c r="D144" s="141">
        <v>93522</v>
      </c>
      <c r="E144" s="141">
        <v>83991</v>
      </c>
      <c r="F144" s="141">
        <v>83039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27"/>
        <v>260552</v>
      </c>
      <c r="R144" s="141">
        <v>10456</v>
      </c>
      <c r="S144" s="141">
        <v>7558</v>
      </c>
      <c r="T144" s="141">
        <v>10653</v>
      </c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28"/>
        <v>28667</v>
      </c>
      <c r="AF144" s="2">
        <f t="shared" si="32"/>
        <v>0.11180257051816685</v>
      </c>
      <c r="AG144" s="2">
        <f t="shared" si="32"/>
        <v>8.9985831815313541E-2</v>
      </c>
      <c r="AH144" s="2">
        <f t="shared" si="32"/>
        <v>0.12828911716181554</v>
      </c>
      <c r="AI144" s="2" t="str">
        <f t="shared" si="32"/>
        <v/>
      </c>
      <c r="AJ144" s="2" t="str">
        <f t="shared" si="32"/>
        <v/>
      </c>
      <c r="AK144" s="2" t="str">
        <f t="shared" si="32"/>
        <v/>
      </c>
      <c r="AL144" s="2" t="str">
        <f t="shared" si="32"/>
        <v/>
      </c>
      <c r="AM144" s="2" t="str">
        <f t="shared" si="31"/>
        <v/>
      </c>
      <c r="AN144" s="2" t="str">
        <f t="shared" si="31"/>
        <v/>
      </c>
      <c r="AO144" s="2" t="str">
        <f t="shared" si="31"/>
        <v/>
      </c>
      <c r="AP144" s="2" t="str">
        <f t="shared" si="31"/>
        <v/>
      </c>
      <c r="AQ144" s="2" t="str">
        <f t="shared" si="31"/>
        <v/>
      </c>
      <c r="AR144" s="2">
        <f t="shared" si="31"/>
        <v>0.11002410267432221</v>
      </c>
      <c r="AT144" s="2" t="str">
        <f t="shared" si="33"/>
        <v/>
      </c>
      <c r="AU144" s="2" t="str">
        <f t="shared" si="33"/>
        <v/>
      </c>
      <c r="AV144" s="143" t="str">
        <f t="shared" si="26"/>
        <v/>
      </c>
      <c r="AW144" s="143" t="str">
        <f t="shared" si="26"/>
        <v/>
      </c>
      <c r="AX144" s="143" t="str">
        <f t="shared" si="26"/>
        <v/>
      </c>
      <c r="AY144" s="143" t="str">
        <f t="shared" si="25"/>
        <v/>
      </c>
      <c r="AZ144" s="143" t="str">
        <f t="shared" si="25"/>
        <v/>
      </c>
      <c r="BA144" s="143" t="str">
        <f t="shared" si="25"/>
        <v/>
      </c>
      <c r="BB144" s="143" t="str">
        <f t="shared" si="25"/>
        <v/>
      </c>
      <c r="BC144" s="143" t="str">
        <f t="shared" si="25"/>
        <v/>
      </c>
      <c r="BD144" s="143" t="str">
        <f t="shared" si="25"/>
        <v/>
      </c>
      <c r="BF144" s="9">
        <f t="shared" si="29"/>
        <v>2.2537004858673845E-5</v>
      </c>
      <c r="BG144" s="9">
        <f t="shared" si="30"/>
        <v>0.99728720562292317</v>
      </c>
    </row>
    <row r="145" spans="2:59" x14ac:dyDescent="0.3">
      <c r="B145" s="3" t="s">
        <v>210</v>
      </c>
      <c r="D145" s="141">
        <v>354308</v>
      </c>
      <c r="E145" s="141">
        <v>279118</v>
      </c>
      <c r="F145" s="141">
        <v>184240</v>
      </c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27"/>
        <v>817666</v>
      </c>
      <c r="R145" s="141">
        <v>36824</v>
      </c>
      <c r="S145" s="141">
        <v>38029</v>
      </c>
      <c r="T145" s="141">
        <v>32011</v>
      </c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28"/>
        <v>106864</v>
      </c>
      <c r="AF145" s="2">
        <f t="shared" si="32"/>
        <v>0.10393217200853495</v>
      </c>
      <c r="AG145" s="2">
        <f t="shared" si="32"/>
        <v>0.13624703530406496</v>
      </c>
      <c r="AH145" s="2">
        <f t="shared" si="32"/>
        <v>0.17374620060790275</v>
      </c>
      <c r="AI145" s="2" t="str">
        <f t="shared" si="32"/>
        <v/>
      </c>
      <c r="AJ145" s="2" t="str">
        <f t="shared" si="32"/>
        <v/>
      </c>
      <c r="AK145" s="2" t="str">
        <f t="shared" si="32"/>
        <v/>
      </c>
      <c r="AL145" s="2" t="str">
        <f t="shared" si="32"/>
        <v/>
      </c>
      <c r="AM145" s="2" t="str">
        <f t="shared" si="31"/>
        <v/>
      </c>
      <c r="AN145" s="2" t="str">
        <f t="shared" si="31"/>
        <v/>
      </c>
      <c r="AO145" s="2" t="str">
        <f t="shared" si="31"/>
        <v/>
      </c>
      <c r="AP145" s="2" t="str">
        <f t="shared" si="31"/>
        <v/>
      </c>
      <c r="AQ145" s="2" t="str">
        <f t="shared" si="31"/>
        <v/>
      </c>
      <c r="AR145" s="2">
        <f t="shared" si="31"/>
        <v>0.13069395083077931</v>
      </c>
      <c r="AT145" s="2" t="str">
        <f t="shared" si="33"/>
        <v/>
      </c>
      <c r="AU145" s="2" t="str">
        <f t="shared" si="33"/>
        <v/>
      </c>
      <c r="AV145" s="143" t="str">
        <f t="shared" si="26"/>
        <v/>
      </c>
      <c r="AW145" s="143" t="str">
        <f t="shared" si="26"/>
        <v/>
      </c>
      <c r="AX145" s="143" t="str">
        <f t="shared" si="26"/>
        <v/>
      </c>
      <c r="AY145" s="143" t="str">
        <f t="shared" si="25"/>
        <v/>
      </c>
      <c r="AZ145" s="143" t="str">
        <f t="shared" si="25"/>
        <v/>
      </c>
      <c r="BA145" s="143" t="str">
        <f t="shared" si="25"/>
        <v/>
      </c>
      <c r="BB145" s="143" t="str">
        <f t="shared" si="25"/>
        <v/>
      </c>
      <c r="BC145" s="143" t="str">
        <f t="shared" si="25"/>
        <v/>
      </c>
      <c r="BD145" s="143" t="str">
        <f t="shared" si="25"/>
        <v/>
      </c>
      <c r="BF145" s="9">
        <f t="shared" si="29"/>
        <v>8.4012784289159016E-5</v>
      </c>
      <c r="BG145" s="9">
        <f t="shared" si="30"/>
        <v>0.99737121840721232</v>
      </c>
    </row>
    <row r="146" spans="2:59" x14ac:dyDescent="0.3">
      <c r="B146" s="3" t="s">
        <v>241</v>
      </c>
      <c r="D146" s="141">
        <v>642095</v>
      </c>
      <c r="E146" s="141">
        <v>541694</v>
      </c>
      <c r="F146" s="141">
        <v>539869</v>
      </c>
      <c r="G146" s="141"/>
      <c r="H146" s="141"/>
      <c r="I146" s="141"/>
      <c r="J146" s="141"/>
      <c r="K146" s="141"/>
      <c r="L146" s="141"/>
      <c r="M146" s="141"/>
      <c r="N146" s="141"/>
      <c r="O146" s="141"/>
      <c r="P146" s="141">
        <f t="shared" si="27"/>
        <v>1723658</v>
      </c>
      <c r="R146" s="141">
        <v>114783</v>
      </c>
      <c r="S146" s="141">
        <v>93983</v>
      </c>
      <c r="T146" s="141">
        <v>98514</v>
      </c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28"/>
        <v>307280</v>
      </c>
      <c r="AF146" s="2">
        <f t="shared" si="32"/>
        <v>0.17876326711779408</v>
      </c>
      <c r="AG146" s="2">
        <f t="shared" si="32"/>
        <v>0.17349832193083181</v>
      </c>
      <c r="AH146" s="2">
        <f t="shared" si="32"/>
        <v>0.18247760104766156</v>
      </c>
      <c r="AI146" s="2" t="str">
        <f t="shared" si="32"/>
        <v/>
      </c>
      <c r="AJ146" s="2" t="str">
        <f t="shared" si="32"/>
        <v/>
      </c>
      <c r="AK146" s="2" t="str">
        <f t="shared" si="32"/>
        <v/>
      </c>
      <c r="AL146" s="2" t="str">
        <f t="shared" si="32"/>
        <v/>
      </c>
      <c r="AM146" s="2" t="str">
        <f t="shared" si="31"/>
        <v/>
      </c>
      <c r="AN146" s="2" t="str">
        <f t="shared" si="31"/>
        <v/>
      </c>
      <c r="AO146" s="2" t="str">
        <f t="shared" si="31"/>
        <v/>
      </c>
      <c r="AP146" s="2" t="str">
        <f t="shared" si="31"/>
        <v/>
      </c>
      <c r="AQ146" s="2" t="str">
        <f t="shared" si="31"/>
        <v/>
      </c>
      <c r="AR146" s="2">
        <f t="shared" si="31"/>
        <v>0.17827202380054513</v>
      </c>
      <c r="AT146" s="2" t="str">
        <f t="shared" si="33"/>
        <v/>
      </c>
      <c r="AU146" s="2" t="str">
        <f t="shared" si="33"/>
        <v/>
      </c>
      <c r="AV146" s="143" t="str">
        <f t="shared" si="26"/>
        <v/>
      </c>
      <c r="AW146" s="143" t="str">
        <f t="shared" si="26"/>
        <v/>
      </c>
      <c r="AX146" s="143" t="str">
        <f t="shared" si="26"/>
        <v/>
      </c>
      <c r="AY146" s="143" t="str">
        <f t="shared" si="25"/>
        <v/>
      </c>
      <c r="AZ146" s="143" t="str">
        <f t="shared" si="25"/>
        <v/>
      </c>
      <c r="BA146" s="143" t="str">
        <f t="shared" si="25"/>
        <v/>
      </c>
      <c r="BB146" s="143" t="str">
        <f t="shared" si="25"/>
        <v/>
      </c>
      <c r="BC146" s="143" t="str">
        <f t="shared" si="25"/>
        <v/>
      </c>
      <c r="BD146" s="143" t="str">
        <f t="shared" si="25"/>
        <v/>
      </c>
      <c r="BF146" s="9">
        <f t="shared" si="29"/>
        <v>2.4157291844187738E-4</v>
      </c>
      <c r="BG146" s="9">
        <f t="shared" si="30"/>
        <v>0.99761279132565417</v>
      </c>
    </row>
    <row r="147" spans="2:59" x14ac:dyDescent="0.3">
      <c r="B147" s="3" t="s">
        <v>219</v>
      </c>
      <c r="D147" s="141">
        <v>45340</v>
      </c>
      <c r="E147" s="141">
        <v>26215</v>
      </c>
      <c r="F147" s="141">
        <v>22633</v>
      </c>
      <c r="G147" s="141"/>
      <c r="H147" s="141"/>
      <c r="I147" s="141"/>
      <c r="J147" s="141"/>
      <c r="K147" s="141"/>
      <c r="L147" s="141"/>
      <c r="M147" s="141"/>
      <c r="N147" s="141"/>
      <c r="O147" s="141"/>
      <c r="P147" s="141">
        <f t="shared" si="27"/>
        <v>94188</v>
      </c>
      <c r="R147" s="141">
        <v>8304</v>
      </c>
      <c r="S147" s="141">
        <v>2798</v>
      </c>
      <c r="T147" s="141">
        <v>1885</v>
      </c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28"/>
        <v>12987</v>
      </c>
      <c r="AF147" s="2">
        <f t="shared" si="32"/>
        <v>0.1831495368328187</v>
      </c>
      <c r="AG147" s="2">
        <f t="shared" si="32"/>
        <v>0.10673278657257296</v>
      </c>
      <c r="AH147" s="2">
        <f t="shared" si="32"/>
        <v>8.3285468121769096E-2</v>
      </c>
      <c r="AI147" s="2" t="str">
        <f t="shared" si="32"/>
        <v/>
      </c>
      <c r="AJ147" s="2" t="str">
        <f t="shared" si="32"/>
        <v/>
      </c>
      <c r="AK147" s="2" t="str">
        <f t="shared" si="32"/>
        <v/>
      </c>
      <c r="AL147" s="2" t="str">
        <f t="shared" si="32"/>
        <v/>
      </c>
      <c r="AM147" s="2" t="str">
        <f t="shared" si="31"/>
        <v/>
      </c>
      <c r="AN147" s="2" t="str">
        <f t="shared" si="31"/>
        <v/>
      </c>
      <c r="AO147" s="2" t="str">
        <f t="shared" si="31"/>
        <v/>
      </c>
      <c r="AP147" s="2" t="str">
        <f t="shared" si="31"/>
        <v/>
      </c>
      <c r="AQ147" s="2" t="str">
        <f t="shared" si="31"/>
        <v/>
      </c>
      <c r="AR147" s="2">
        <f t="shared" si="31"/>
        <v>0.13788380685437635</v>
      </c>
      <c r="AT147" s="2" t="str">
        <f t="shared" si="33"/>
        <v/>
      </c>
      <c r="AU147" s="2" t="str">
        <f t="shared" si="33"/>
        <v/>
      </c>
      <c r="AV147" s="143" t="str">
        <f t="shared" si="26"/>
        <v/>
      </c>
      <c r="AW147" s="143" t="str">
        <f t="shared" si="26"/>
        <v/>
      </c>
      <c r="AX147" s="143" t="str">
        <f t="shared" si="26"/>
        <v/>
      </c>
      <c r="AY147" s="143" t="str">
        <f t="shared" si="25"/>
        <v/>
      </c>
      <c r="AZ147" s="143" t="str">
        <f t="shared" si="25"/>
        <v/>
      </c>
      <c r="BA147" s="143" t="str">
        <f t="shared" si="25"/>
        <v/>
      </c>
      <c r="BB147" s="143" t="str">
        <f t="shared" si="25"/>
        <v/>
      </c>
      <c r="BC147" s="143" t="str">
        <f t="shared" si="25"/>
        <v/>
      </c>
      <c r="BD147" s="143" t="str">
        <f t="shared" si="25"/>
        <v/>
      </c>
      <c r="BF147" s="9">
        <f t="shared" si="29"/>
        <v>1.0209930655443445E-5</v>
      </c>
      <c r="BG147" s="9">
        <f t="shared" si="30"/>
        <v>0.99762300125630965</v>
      </c>
    </row>
    <row r="148" spans="2:59" x14ac:dyDescent="0.3">
      <c r="B148" s="3" t="s">
        <v>220</v>
      </c>
      <c r="D148" s="141">
        <v>870504</v>
      </c>
      <c r="E148" s="141">
        <v>889278</v>
      </c>
      <c r="F148" s="141">
        <v>650166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27"/>
        <v>2409948</v>
      </c>
      <c r="R148" s="141">
        <v>103961</v>
      </c>
      <c r="S148" s="141">
        <v>108731</v>
      </c>
      <c r="T148" s="141">
        <v>68223</v>
      </c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28"/>
        <v>280915</v>
      </c>
      <c r="AF148" s="2">
        <f t="shared" si="32"/>
        <v>0.11942621745563489</v>
      </c>
      <c r="AG148" s="2">
        <f t="shared" si="32"/>
        <v>0.12226885181012012</v>
      </c>
      <c r="AH148" s="2">
        <f t="shared" si="32"/>
        <v>0.10493166360590987</v>
      </c>
      <c r="AI148" s="2" t="str">
        <f t="shared" si="32"/>
        <v/>
      </c>
      <c r="AJ148" s="2" t="str">
        <f t="shared" si="32"/>
        <v/>
      </c>
      <c r="AK148" s="2" t="str">
        <f t="shared" si="32"/>
        <v/>
      </c>
      <c r="AL148" s="2" t="str">
        <f t="shared" si="32"/>
        <v/>
      </c>
      <c r="AM148" s="2" t="str">
        <f t="shared" si="31"/>
        <v/>
      </c>
      <c r="AN148" s="2" t="str">
        <f t="shared" si="31"/>
        <v/>
      </c>
      <c r="AO148" s="2" t="str">
        <f t="shared" si="31"/>
        <v/>
      </c>
      <c r="AP148" s="2" t="str">
        <f t="shared" si="31"/>
        <v/>
      </c>
      <c r="AQ148" s="2" t="str">
        <f t="shared" si="31"/>
        <v/>
      </c>
      <c r="AR148" s="2">
        <f t="shared" si="31"/>
        <v>0.11656475575406607</v>
      </c>
      <c r="AT148" s="2" t="str">
        <f t="shared" si="33"/>
        <v/>
      </c>
      <c r="AU148" s="2" t="str">
        <f t="shared" si="33"/>
        <v/>
      </c>
      <c r="AV148" s="143" t="str">
        <f t="shared" si="26"/>
        <v/>
      </c>
      <c r="AW148" s="143" t="str">
        <f t="shared" si="26"/>
        <v/>
      </c>
      <c r="AX148" s="143" t="str">
        <f t="shared" si="26"/>
        <v/>
      </c>
      <c r="AY148" s="143" t="str">
        <f t="shared" si="25"/>
        <v/>
      </c>
      <c r="AZ148" s="143" t="str">
        <f t="shared" si="25"/>
        <v/>
      </c>
      <c r="BA148" s="143" t="str">
        <f t="shared" si="25"/>
        <v/>
      </c>
      <c r="BB148" s="143" t="str">
        <f t="shared" si="25"/>
        <v/>
      </c>
      <c r="BC148" s="143" t="str">
        <f t="shared" si="25"/>
        <v/>
      </c>
      <c r="BD148" s="143" t="str">
        <f t="shared" si="25"/>
        <v/>
      </c>
      <c r="BF148" s="9">
        <f t="shared" si="29"/>
        <v>2.2084566644135637E-4</v>
      </c>
      <c r="BG148" s="9">
        <f t="shared" si="30"/>
        <v>0.99784384692275097</v>
      </c>
    </row>
    <row r="149" spans="2:59" x14ac:dyDescent="0.3">
      <c r="B149" s="3" t="s">
        <v>236</v>
      </c>
      <c r="D149" s="141">
        <v>735</v>
      </c>
      <c r="E149" s="141"/>
      <c r="F149" s="141">
        <v>19078</v>
      </c>
      <c r="G149" s="141"/>
      <c r="H149" s="141"/>
      <c r="I149" s="141"/>
      <c r="J149" s="141"/>
      <c r="K149" s="141"/>
      <c r="L149" s="141"/>
      <c r="M149" s="141"/>
      <c r="N149" s="141"/>
      <c r="O149" s="141"/>
      <c r="P149" s="141">
        <f t="shared" si="27"/>
        <v>19813</v>
      </c>
      <c r="R149" s="141">
        <v>27</v>
      </c>
      <c r="S149" s="141"/>
      <c r="T149" s="141">
        <v>1883</v>
      </c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28"/>
        <v>1910</v>
      </c>
      <c r="AF149" s="2">
        <f t="shared" si="32"/>
        <v>3.6734693877551024E-2</v>
      </c>
      <c r="AG149" s="2" t="str">
        <f t="shared" si="32"/>
        <v/>
      </c>
      <c r="AH149" s="2">
        <f t="shared" si="32"/>
        <v>9.8700073382954182E-2</v>
      </c>
      <c r="AI149" s="2" t="str">
        <f t="shared" si="32"/>
        <v/>
      </c>
      <c r="AJ149" s="2" t="str">
        <f t="shared" si="32"/>
        <v/>
      </c>
      <c r="AK149" s="2" t="str">
        <f t="shared" si="32"/>
        <v/>
      </c>
      <c r="AL149" s="2" t="str">
        <f t="shared" si="32"/>
        <v/>
      </c>
      <c r="AM149" s="2" t="str">
        <f t="shared" si="31"/>
        <v/>
      </c>
      <c r="AN149" s="2" t="str">
        <f t="shared" si="31"/>
        <v/>
      </c>
      <c r="AO149" s="2" t="str">
        <f t="shared" si="31"/>
        <v/>
      </c>
      <c r="AP149" s="2" t="str">
        <f t="shared" si="31"/>
        <v/>
      </c>
      <c r="AQ149" s="2" t="str">
        <f t="shared" si="31"/>
        <v/>
      </c>
      <c r="AR149" s="2">
        <f t="shared" si="31"/>
        <v>9.6401352647251803E-2</v>
      </c>
      <c r="AT149" s="2" t="str">
        <f t="shared" si="33"/>
        <v/>
      </c>
      <c r="AU149" s="2" t="str">
        <f t="shared" si="33"/>
        <v/>
      </c>
      <c r="AV149" s="143" t="str">
        <f t="shared" si="26"/>
        <v/>
      </c>
      <c r="AW149" s="143" t="str">
        <f t="shared" si="26"/>
        <v/>
      </c>
      <c r="AX149" s="143" t="str">
        <f t="shared" si="26"/>
        <v/>
      </c>
      <c r="AY149" s="143" t="str">
        <f t="shared" si="26"/>
        <v/>
      </c>
      <c r="AZ149" s="143" t="str">
        <f t="shared" si="26"/>
        <v/>
      </c>
      <c r="BA149" s="143" t="str">
        <f t="shared" si="26"/>
        <v/>
      </c>
      <c r="BB149" s="143" t="str">
        <f t="shared" si="26"/>
        <v/>
      </c>
      <c r="BC149" s="143" t="str">
        <f t="shared" si="26"/>
        <v/>
      </c>
      <c r="BD149" s="143" t="str">
        <f t="shared" si="26"/>
        <v/>
      </c>
      <c r="BF149" s="9">
        <f t="shared" si="29"/>
        <v>1.5015760030720705E-6</v>
      </c>
      <c r="BG149" s="9">
        <f t="shared" si="30"/>
        <v>0.99784534849875406</v>
      </c>
    </row>
    <row r="150" spans="2:59" x14ac:dyDescent="0.3">
      <c r="B150" s="3" t="s">
        <v>231</v>
      </c>
      <c r="D150" s="141">
        <v>63586</v>
      </c>
      <c r="E150" s="141">
        <v>54992</v>
      </c>
      <c r="F150" s="141">
        <v>50398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>
        <f t="shared" si="27"/>
        <v>168976</v>
      </c>
      <c r="R150" s="141">
        <v>8424</v>
      </c>
      <c r="S150" s="141">
        <v>5957</v>
      </c>
      <c r="T150" s="141">
        <v>2743</v>
      </c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28"/>
        <v>17124</v>
      </c>
      <c r="AF150" s="2">
        <f t="shared" si="32"/>
        <v>0.13248199289151699</v>
      </c>
      <c r="AG150" s="2">
        <f t="shared" si="32"/>
        <v>0.10832484725050917</v>
      </c>
      <c r="AH150" s="2">
        <f t="shared" si="32"/>
        <v>5.4426762966784399E-2</v>
      </c>
      <c r="AI150" s="2" t="str">
        <f t="shared" si="32"/>
        <v/>
      </c>
      <c r="AJ150" s="2" t="str">
        <f t="shared" si="32"/>
        <v/>
      </c>
      <c r="AK150" s="2" t="str">
        <f t="shared" si="32"/>
        <v/>
      </c>
      <c r="AL150" s="2" t="str">
        <f t="shared" si="32"/>
        <v/>
      </c>
      <c r="AM150" s="2" t="str">
        <f t="shared" si="31"/>
        <v/>
      </c>
      <c r="AN150" s="2" t="str">
        <f t="shared" si="31"/>
        <v/>
      </c>
      <c r="AO150" s="2" t="str">
        <f t="shared" si="31"/>
        <v/>
      </c>
      <c r="AP150" s="2" t="str">
        <f t="shared" si="31"/>
        <v/>
      </c>
      <c r="AQ150" s="2" t="str">
        <f t="shared" si="31"/>
        <v/>
      </c>
      <c r="AR150" s="2">
        <f t="shared" si="31"/>
        <v>0.10133983524287472</v>
      </c>
      <c r="AT150" s="2" t="str">
        <f t="shared" si="33"/>
        <v/>
      </c>
      <c r="AU150" s="2" t="str">
        <f t="shared" si="33"/>
        <v/>
      </c>
      <c r="AV150" s="143" t="str">
        <f t="shared" ref="AV150:BD178" si="34">+IFERROR(AI150-AH150,"")</f>
        <v/>
      </c>
      <c r="AW150" s="143" t="str">
        <f t="shared" si="34"/>
        <v/>
      </c>
      <c r="AX150" s="143" t="str">
        <f t="shared" si="34"/>
        <v/>
      </c>
      <c r="AY150" s="143" t="str">
        <f t="shared" si="34"/>
        <v/>
      </c>
      <c r="AZ150" s="143" t="str">
        <f t="shared" si="34"/>
        <v/>
      </c>
      <c r="BA150" s="143" t="str">
        <f t="shared" si="34"/>
        <v/>
      </c>
      <c r="BB150" s="143" t="str">
        <f t="shared" si="34"/>
        <v/>
      </c>
      <c r="BC150" s="143" t="str">
        <f t="shared" si="34"/>
        <v/>
      </c>
      <c r="BD150" s="143" t="str">
        <f t="shared" si="34"/>
        <v/>
      </c>
      <c r="BF150" s="9">
        <f t="shared" si="29"/>
        <v>1.3462297108170751E-5</v>
      </c>
      <c r="BG150" s="9">
        <f t="shared" si="30"/>
        <v>0.99785881079586225</v>
      </c>
    </row>
    <row r="151" spans="2:59" x14ac:dyDescent="0.3">
      <c r="B151" s="3" t="s">
        <v>228</v>
      </c>
      <c r="D151" s="141">
        <v>32522</v>
      </c>
      <c r="E151" s="141">
        <v>22138</v>
      </c>
      <c r="F151" s="141">
        <v>21687</v>
      </c>
      <c r="G151" s="141"/>
      <c r="H151" s="141"/>
      <c r="I151" s="141"/>
      <c r="J151" s="141"/>
      <c r="K151" s="141"/>
      <c r="L151" s="141"/>
      <c r="M151" s="141"/>
      <c r="N151" s="141"/>
      <c r="O151" s="141"/>
      <c r="P151" s="141">
        <f t="shared" si="27"/>
        <v>76347</v>
      </c>
      <c r="R151" s="141">
        <v>3287</v>
      </c>
      <c r="S151" s="141">
        <v>3451</v>
      </c>
      <c r="T151" s="141">
        <v>3910</v>
      </c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28"/>
        <v>10648</v>
      </c>
      <c r="AF151" s="2">
        <f t="shared" si="32"/>
        <v>0.10107004489268803</v>
      </c>
      <c r="AG151" s="2">
        <f t="shared" si="32"/>
        <v>0.15588580720932332</v>
      </c>
      <c r="AH151" s="2">
        <f t="shared" si="32"/>
        <v>0.18029234103379904</v>
      </c>
      <c r="AI151" s="2" t="str">
        <f t="shared" si="32"/>
        <v/>
      </c>
      <c r="AJ151" s="2" t="str">
        <f t="shared" si="32"/>
        <v/>
      </c>
      <c r="AK151" s="2" t="str">
        <f t="shared" si="32"/>
        <v/>
      </c>
      <c r="AL151" s="2" t="str">
        <f t="shared" si="32"/>
        <v/>
      </c>
      <c r="AM151" s="2" t="str">
        <f t="shared" si="31"/>
        <v/>
      </c>
      <c r="AN151" s="2" t="str">
        <f t="shared" si="31"/>
        <v/>
      </c>
      <c r="AO151" s="2" t="str">
        <f t="shared" si="31"/>
        <v/>
      </c>
      <c r="AP151" s="2" t="str">
        <f t="shared" si="31"/>
        <v/>
      </c>
      <c r="AQ151" s="2" t="str">
        <f t="shared" si="31"/>
        <v/>
      </c>
      <c r="AR151" s="2">
        <f t="shared" si="31"/>
        <v>0.13946847944254523</v>
      </c>
      <c r="AT151" s="2" t="str">
        <f t="shared" si="33"/>
        <v/>
      </c>
      <c r="AU151" s="2" t="str">
        <f t="shared" si="33"/>
        <v/>
      </c>
      <c r="AV151" s="143" t="str">
        <f t="shared" si="34"/>
        <v/>
      </c>
      <c r="AW151" s="143" t="str">
        <f t="shared" si="34"/>
        <v/>
      </c>
      <c r="AX151" s="143" t="str">
        <f t="shared" si="34"/>
        <v/>
      </c>
      <c r="AY151" s="143" t="str">
        <f t="shared" si="34"/>
        <v/>
      </c>
      <c r="AZ151" s="143" t="str">
        <f t="shared" si="34"/>
        <v/>
      </c>
      <c r="BA151" s="143" t="str">
        <f t="shared" si="34"/>
        <v/>
      </c>
      <c r="BB151" s="143" t="str">
        <f t="shared" si="34"/>
        <v/>
      </c>
      <c r="BC151" s="143" t="str">
        <f t="shared" si="34"/>
        <v/>
      </c>
      <c r="BD151" s="143" t="str">
        <f t="shared" si="34"/>
        <v/>
      </c>
      <c r="BF151" s="9">
        <f t="shared" si="29"/>
        <v>8.3710896757651335E-6</v>
      </c>
      <c r="BG151" s="9">
        <f t="shared" si="30"/>
        <v>0.99786718188553802</v>
      </c>
    </row>
    <row r="152" spans="2:59" x14ac:dyDescent="0.3">
      <c r="B152" s="3" t="s">
        <v>233</v>
      </c>
      <c r="D152" s="141">
        <v>165432</v>
      </c>
      <c r="E152" s="141">
        <v>110337</v>
      </c>
      <c r="F152" s="141">
        <v>96391</v>
      </c>
      <c r="G152" s="141"/>
      <c r="H152" s="141"/>
      <c r="I152" s="141"/>
      <c r="J152" s="141"/>
      <c r="K152" s="141"/>
      <c r="L152" s="141"/>
      <c r="M152" s="141"/>
      <c r="N152" s="141"/>
      <c r="O152" s="141"/>
      <c r="P152" s="141">
        <f t="shared" si="27"/>
        <v>372160</v>
      </c>
      <c r="R152" s="141">
        <v>16766</v>
      </c>
      <c r="S152" s="141">
        <v>13324</v>
      </c>
      <c r="T152" s="141">
        <v>8327</v>
      </c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28"/>
        <v>38417</v>
      </c>
      <c r="AF152" s="2">
        <f t="shared" si="32"/>
        <v>0.10134677692344891</v>
      </c>
      <c r="AG152" s="2">
        <f t="shared" si="32"/>
        <v>0.12075731622211951</v>
      </c>
      <c r="AH152" s="2">
        <f t="shared" si="32"/>
        <v>8.6387733294602198E-2</v>
      </c>
      <c r="AI152" s="2" t="str">
        <f t="shared" si="32"/>
        <v/>
      </c>
      <c r="AJ152" s="2" t="str">
        <f t="shared" si="32"/>
        <v/>
      </c>
      <c r="AK152" s="2" t="str">
        <f t="shared" si="32"/>
        <v/>
      </c>
      <c r="AL152" s="2" t="str">
        <f t="shared" si="32"/>
        <v/>
      </c>
      <c r="AM152" s="2" t="str">
        <f t="shared" si="31"/>
        <v/>
      </c>
      <c r="AN152" s="2" t="str">
        <f t="shared" si="31"/>
        <v/>
      </c>
      <c r="AO152" s="2" t="str">
        <f t="shared" si="31"/>
        <v/>
      </c>
      <c r="AP152" s="2" t="str">
        <f t="shared" si="31"/>
        <v/>
      </c>
      <c r="AQ152" s="2" t="str">
        <f t="shared" si="31"/>
        <v/>
      </c>
      <c r="AR152" s="2">
        <f t="shared" si="31"/>
        <v>0.10322710662080825</v>
      </c>
      <c r="AT152" s="2" t="str">
        <f t="shared" si="33"/>
        <v/>
      </c>
      <c r="AU152" s="2" t="str">
        <f t="shared" si="33"/>
        <v/>
      </c>
      <c r="AV152" s="143" t="str">
        <f t="shared" si="34"/>
        <v/>
      </c>
      <c r="AW152" s="143" t="str">
        <f t="shared" si="34"/>
        <v/>
      </c>
      <c r="AX152" s="143" t="str">
        <f t="shared" si="34"/>
        <v/>
      </c>
      <c r="AY152" s="143" t="str">
        <f t="shared" si="34"/>
        <v/>
      </c>
      <c r="AZ152" s="143" t="str">
        <f t="shared" si="34"/>
        <v/>
      </c>
      <c r="BA152" s="143" t="str">
        <f t="shared" si="34"/>
        <v/>
      </c>
      <c r="BB152" s="143" t="str">
        <f t="shared" si="34"/>
        <v/>
      </c>
      <c r="BC152" s="143" t="str">
        <f t="shared" si="34"/>
        <v/>
      </c>
      <c r="BD152" s="143" t="str">
        <f t="shared" si="34"/>
        <v/>
      </c>
      <c r="BF152" s="9">
        <f t="shared" si="29"/>
        <v>3.0202117963361115E-5</v>
      </c>
      <c r="BG152" s="9">
        <f t="shared" si="30"/>
        <v>0.99789738400350136</v>
      </c>
    </row>
    <row r="153" spans="2:59" x14ac:dyDescent="0.3">
      <c r="B153" s="3" t="s">
        <v>243</v>
      </c>
      <c r="D153" s="141">
        <v>16797</v>
      </c>
      <c r="E153" s="141">
        <v>17402</v>
      </c>
      <c r="F153" s="141">
        <v>32458</v>
      </c>
      <c r="G153" s="141"/>
      <c r="H153" s="141"/>
      <c r="I153" s="141"/>
      <c r="J153" s="141"/>
      <c r="K153" s="141"/>
      <c r="L153" s="141"/>
      <c r="M153" s="141"/>
      <c r="N153" s="141"/>
      <c r="O153" s="141"/>
      <c r="P153" s="141">
        <f t="shared" si="27"/>
        <v>66657</v>
      </c>
      <c r="R153" s="141">
        <v>1291</v>
      </c>
      <c r="S153" s="141">
        <v>1180</v>
      </c>
      <c r="T153" s="141">
        <v>3287</v>
      </c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28"/>
        <v>5758</v>
      </c>
      <c r="AF153" s="2">
        <f t="shared" si="32"/>
        <v>7.685896291004346E-2</v>
      </c>
      <c r="AG153" s="2">
        <f t="shared" si="32"/>
        <v>6.7808297896793476E-2</v>
      </c>
      <c r="AH153" s="2">
        <f t="shared" si="32"/>
        <v>0.1012693326760737</v>
      </c>
      <c r="AI153" s="2" t="str">
        <f t="shared" si="32"/>
        <v/>
      </c>
      <c r="AJ153" s="2" t="str">
        <f t="shared" si="32"/>
        <v/>
      </c>
      <c r="AK153" s="2" t="str">
        <f t="shared" si="32"/>
        <v/>
      </c>
      <c r="AL153" s="2" t="str">
        <f t="shared" si="32"/>
        <v/>
      </c>
      <c r="AM153" s="2" t="str">
        <f t="shared" si="31"/>
        <v/>
      </c>
      <c r="AN153" s="2" t="str">
        <f t="shared" si="31"/>
        <v/>
      </c>
      <c r="AO153" s="2" t="str">
        <f t="shared" si="31"/>
        <v/>
      </c>
      <c r="AP153" s="2" t="str">
        <f t="shared" si="31"/>
        <v/>
      </c>
      <c r="AQ153" s="2" t="str">
        <f t="shared" si="31"/>
        <v/>
      </c>
      <c r="AR153" s="2">
        <f t="shared" si="31"/>
        <v>8.63825254661926E-2</v>
      </c>
      <c r="AT153" s="2" t="str">
        <f t="shared" si="33"/>
        <v/>
      </c>
      <c r="AU153" s="2" t="str">
        <f t="shared" si="33"/>
        <v/>
      </c>
      <c r="AV153" s="143" t="str">
        <f t="shared" si="34"/>
        <v/>
      </c>
      <c r="AW153" s="143" t="str">
        <f t="shared" si="34"/>
        <v/>
      </c>
      <c r="AX153" s="143" t="str">
        <f t="shared" si="34"/>
        <v/>
      </c>
      <c r="AY153" s="143" t="str">
        <f t="shared" si="34"/>
        <v/>
      </c>
      <c r="AZ153" s="143" t="str">
        <f t="shared" si="34"/>
        <v/>
      </c>
      <c r="BA153" s="143" t="str">
        <f t="shared" si="34"/>
        <v/>
      </c>
      <c r="BB153" s="143" t="str">
        <f t="shared" si="34"/>
        <v/>
      </c>
      <c r="BC153" s="143" t="str">
        <f t="shared" si="34"/>
        <v/>
      </c>
      <c r="BD153" s="143" t="str">
        <f t="shared" si="34"/>
        <v/>
      </c>
      <c r="BF153" s="9">
        <f t="shared" si="29"/>
        <v>4.5267406417219801E-6</v>
      </c>
      <c r="BG153" s="9">
        <f t="shared" si="30"/>
        <v>0.99790191074414314</v>
      </c>
    </row>
    <row r="154" spans="2:59" x14ac:dyDescent="0.3">
      <c r="B154" s="3" t="s">
        <v>227</v>
      </c>
      <c r="D154" s="141">
        <v>97079</v>
      </c>
      <c r="E154" s="141">
        <v>144024</v>
      </c>
      <c r="F154" s="141">
        <v>186387</v>
      </c>
      <c r="G154" s="141"/>
      <c r="H154" s="141"/>
      <c r="I154" s="141"/>
      <c r="J154" s="141"/>
      <c r="K154" s="141"/>
      <c r="L154" s="141"/>
      <c r="M154" s="141"/>
      <c r="N154" s="141"/>
      <c r="O154" s="141"/>
      <c r="P154" s="141">
        <f t="shared" si="27"/>
        <v>427490</v>
      </c>
      <c r="R154" s="141">
        <v>9068</v>
      </c>
      <c r="S154" s="141">
        <v>13982</v>
      </c>
      <c r="T154" s="141">
        <v>12222</v>
      </c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28"/>
        <v>35272</v>
      </c>
      <c r="AF154" s="2">
        <f t="shared" si="32"/>
        <v>9.3408461150197256E-2</v>
      </c>
      <c r="AG154" s="2">
        <f t="shared" si="32"/>
        <v>9.7081042048547464E-2</v>
      </c>
      <c r="AH154" s="2">
        <f t="shared" si="32"/>
        <v>6.5573242769077236E-2</v>
      </c>
      <c r="AI154" s="2" t="str">
        <f t="shared" si="32"/>
        <v/>
      </c>
      <c r="AJ154" s="2" t="str">
        <f t="shared" si="32"/>
        <v/>
      </c>
      <c r="AK154" s="2" t="str">
        <f t="shared" si="32"/>
        <v/>
      </c>
      <c r="AL154" s="2" t="str">
        <f t="shared" si="32"/>
        <v/>
      </c>
      <c r="AM154" s="2" t="str">
        <f t="shared" si="31"/>
        <v/>
      </c>
      <c r="AN154" s="2" t="str">
        <f t="shared" si="31"/>
        <v/>
      </c>
      <c r="AO154" s="2" t="str">
        <f t="shared" si="31"/>
        <v/>
      </c>
      <c r="AP154" s="2" t="str">
        <f t="shared" si="31"/>
        <v/>
      </c>
      <c r="AQ154" s="2" t="str">
        <f t="shared" si="31"/>
        <v/>
      </c>
      <c r="AR154" s="2">
        <f t="shared" si="31"/>
        <v>8.2509532386722498E-2</v>
      </c>
      <c r="AT154" s="2" t="str">
        <f t="shared" si="33"/>
        <v/>
      </c>
      <c r="AU154" s="2" t="str">
        <f t="shared" si="33"/>
        <v/>
      </c>
      <c r="AV154" s="143" t="str">
        <f t="shared" si="34"/>
        <v/>
      </c>
      <c r="AW154" s="143" t="str">
        <f t="shared" si="34"/>
        <v/>
      </c>
      <c r="AX154" s="143" t="str">
        <f t="shared" si="34"/>
        <v/>
      </c>
      <c r="AY154" s="143" t="str">
        <f t="shared" si="34"/>
        <v/>
      </c>
      <c r="AZ154" s="143" t="str">
        <f t="shared" si="34"/>
        <v/>
      </c>
      <c r="BA154" s="143" t="str">
        <f t="shared" si="34"/>
        <v/>
      </c>
      <c r="BB154" s="143" t="str">
        <f t="shared" si="34"/>
        <v/>
      </c>
      <c r="BC154" s="143" t="str">
        <f t="shared" si="34"/>
        <v/>
      </c>
      <c r="BD154" s="143" t="str">
        <f t="shared" si="34"/>
        <v/>
      </c>
      <c r="BF154" s="9">
        <f t="shared" si="29"/>
        <v>2.7729627633695323E-5</v>
      </c>
      <c r="BG154" s="9">
        <f t="shared" si="30"/>
        <v>0.99792964037177678</v>
      </c>
    </row>
    <row r="155" spans="2:59" x14ac:dyDescent="0.3">
      <c r="B155" s="3" t="s">
        <v>248</v>
      </c>
      <c r="D155" s="141">
        <v>657159</v>
      </c>
      <c r="E155" s="141">
        <v>635487</v>
      </c>
      <c r="F155" s="141">
        <v>359607</v>
      </c>
      <c r="G155" s="141"/>
      <c r="H155" s="141"/>
      <c r="I155" s="141"/>
      <c r="J155" s="141"/>
      <c r="K155" s="141"/>
      <c r="L155" s="141"/>
      <c r="M155" s="141"/>
      <c r="N155" s="141"/>
      <c r="O155" s="141"/>
      <c r="P155" s="141">
        <f t="shared" si="27"/>
        <v>1652253</v>
      </c>
      <c r="R155" s="141">
        <v>206454</v>
      </c>
      <c r="S155" s="141">
        <v>97685</v>
      </c>
      <c r="T155" s="141">
        <v>77617</v>
      </c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28"/>
        <v>381756</v>
      </c>
      <c r="AF155" s="2">
        <f t="shared" si="32"/>
        <v>0.31416141299137651</v>
      </c>
      <c r="AG155" s="2">
        <f t="shared" si="32"/>
        <v>0.15371675581089778</v>
      </c>
      <c r="AH155" s="2">
        <f t="shared" si="32"/>
        <v>0.2158384013659356</v>
      </c>
      <c r="AI155" s="2" t="str">
        <f t="shared" si="32"/>
        <v/>
      </c>
      <c r="AJ155" s="2" t="str">
        <f t="shared" si="32"/>
        <v/>
      </c>
      <c r="AK155" s="2" t="str">
        <f t="shared" si="32"/>
        <v/>
      </c>
      <c r="AL155" s="2" t="str">
        <f t="shared" si="32"/>
        <v/>
      </c>
      <c r="AM155" s="2" t="str">
        <f t="shared" si="31"/>
        <v/>
      </c>
      <c r="AN155" s="2" t="str">
        <f t="shared" si="31"/>
        <v/>
      </c>
      <c r="AO155" s="2" t="str">
        <f t="shared" si="31"/>
        <v/>
      </c>
      <c r="AP155" s="2" t="str">
        <f t="shared" si="31"/>
        <v/>
      </c>
      <c r="AQ155" s="2" t="str">
        <f t="shared" si="31"/>
        <v/>
      </c>
      <c r="AR155" s="2">
        <f t="shared" si="31"/>
        <v>0.23105178202127641</v>
      </c>
      <c r="AT155" s="2" t="str">
        <f t="shared" si="33"/>
        <v/>
      </c>
      <c r="AU155" s="2" t="str">
        <f t="shared" si="33"/>
        <v/>
      </c>
      <c r="AV155" s="143" t="str">
        <f t="shared" si="34"/>
        <v/>
      </c>
      <c r="AW155" s="143" t="str">
        <f t="shared" si="34"/>
        <v/>
      </c>
      <c r="AX155" s="143" t="str">
        <f t="shared" si="34"/>
        <v/>
      </c>
      <c r="AY155" s="143" t="str">
        <f t="shared" si="34"/>
        <v/>
      </c>
      <c r="AZ155" s="143" t="str">
        <f t="shared" si="34"/>
        <v/>
      </c>
      <c r="BA155" s="143" t="str">
        <f t="shared" si="34"/>
        <v/>
      </c>
      <c r="BB155" s="143" t="str">
        <f t="shared" si="34"/>
        <v/>
      </c>
      <c r="BC155" s="143" t="str">
        <f t="shared" si="34"/>
        <v/>
      </c>
      <c r="BD155" s="143" t="str">
        <f t="shared" si="34"/>
        <v/>
      </c>
      <c r="BF155" s="9">
        <f t="shared" si="29"/>
        <v>3.0012337624543527E-4</v>
      </c>
      <c r="BG155" s="9">
        <f t="shared" si="30"/>
        <v>0.99822976374802219</v>
      </c>
    </row>
    <row r="156" spans="2:59" x14ac:dyDescent="0.3">
      <c r="B156" s="3" t="s">
        <v>245</v>
      </c>
      <c r="D156" s="141">
        <v>20237</v>
      </c>
      <c r="E156" s="141">
        <v>23023</v>
      </c>
      <c r="F156" s="141">
        <v>13727</v>
      </c>
      <c r="G156" s="141"/>
      <c r="H156" s="141"/>
      <c r="I156" s="141"/>
      <c r="J156" s="141"/>
      <c r="K156" s="141"/>
      <c r="L156" s="141"/>
      <c r="M156" s="141"/>
      <c r="N156" s="141"/>
      <c r="O156" s="141"/>
      <c r="P156" s="141">
        <f t="shared" si="27"/>
        <v>56987</v>
      </c>
      <c r="R156" s="141">
        <v>953</v>
      </c>
      <c r="S156" s="141">
        <v>673</v>
      </c>
      <c r="T156" s="141">
        <v>212</v>
      </c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28"/>
        <v>1838</v>
      </c>
      <c r="AF156" s="2">
        <f t="shared" si="32"/>
        <v>4.7091960270791128E-2</v>
      </c>
      <c r="AG156" s="2">
        <f t="shared" si="32"/>
        <v>2.92316379272901E-2</v>
      </c>
      <c r="AH156" s="2">
        <f t="shared" si="32"/>
        <v>1.5444015444015444E-2</v>
      </c>
      <c r="AI156" s="2" t="str">
        <f t="shared" si="32"/>
        <v/>
      </c>
      <c r="AJ156" s="2" t="str">
        <f t="shared" si="32"/>
        <v/>
      </c>
      <c r="AK156" s="2" t="str">
        <f t="shared" si="32"/>
        <v/>
      </c>
      <c r="AL156" s="2" t="str">
        <f t="shared" si="32"/>
        <v/>
      </c>
      <c r="AM156" s="2" t="str">
        <f t="shared" si="31"/>
        <v/>
      </c>
      <c r="AN156" s="2" t="str">
        <f t="shared" si="31"/>
        <v/>
      </c>
      <c r="AO156" s="2" t="str">
        <f t="shared" si="31"/>
        <v/>
      </c>
      <c r="AP156" s="2" t="str">
        <f t="shared" si="31"/>
        <v/>
      </c>
      <c r="AQ156" s="2" t="str">
        <f t="shared" si="31"/>
        <v/>
      </c>
      <c r="AR156" s="2">
        <f t="shared" si="31"/>
        <v>3.2252969975608475E-2</v>
      </c>
      <c r="AT156" s="2" t="str">
        <f t="shared" si="33"/>
        <v/>
      </c>
      <c r="AU156" s="2" t="str">
        <f t="shared" si="33"/>
        <v/>
      </c>
      <c r="AV156" s="143" t="str">
        <f t="shared" si="34"/>
        <v/>
      </c>
      <c r="AW156" s="143" t="str">
        <f t="shared" si="34"/>
        <v/>
      </c>
      <c r="AX156" s="143" t="str">
        <f t="shared" si="34"/>
        <v/>
      </c>
      <c r="AY156" s="143" t="str">
        <f t="shared" si="34"/>
        <v/>
      </c>
      <c r="AZ156" s="143" t="str">
        <f t="shared" si="34"/>
        <v/>
      </c>
      <c r="BA156" s="143" t="str">
        <f t="shared" si="34"/>
        <v/>
      </c>
      <c r="BB156" s="143" t="str">
        <f t="shared" si="34"/>
        <v/>
      </c>
      <c r="BC156" s="143" t="str">
        <f t="shared" si="34"/>
        <v/>
      </c>
      <c r="BD156" s="143" t="str">
        <f t="shared" si="34"/>
        <v/>
      </c>
      <c r="BF156" s="9">
        <f t="shared" si="29"/>
        <v>1.4449720909143798E-6</v>
      </c>
      <c r="BG156" s="9">
        <f t="shared" si="30"/>
        <v>0.99823120872011306</v>
      </c>
    </row>
    <row r="157" spans="2:59" x14ac:dyDescent="0.3">
      <c r="B157" s="3" t="s">
        <v>235</v>
      </c>
      <c r="D157" s="141">
        <v>88050</v>
      </c>
      <c r="E157" s="141">
        <v>51960</v>
      </c>
      <c r="F157" s="141">
        <v>34218</v>
      </c>
      <c r="G157" s="141"/>
      <c r="H157" s="141"/>
      <c r="I157" s="141"/>
      <c r="J157" s="141"/>
      <c r="K157" s="141"/>
      <c r="L157" s="141"/>
      <c r="M157" s="141"/>
      <c r="N157" s="141"/>
      <c r="O157" s="141"/>
      <c r="P157" s="141">
        <f t="shared" si="27"/>
        <v>174228</v>
      </c>
      <c r="R157" s="141">
        <v>7908</v>
      </c>
      <c r="S157" s="141">
        <v>4598</v>
      </c>
      <c r="T157" s="141">
        <v>3079</v>
      </c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28"/>
        <v>15585</v>
      </c>
      <c r="AF157" s="2">
        <f t="shared" si="32"/>
        <v>8.9812606473594542E-2</v>
      </c>
      <c r="AG157" s="2">
        <f t="shared" si="32"/>
        <v>8.8491147036181675E-2</v>
      </c>
      <c r="AH157" s="2">
        <f t="shared" si="32"/>
        <v>8.9981880881407447E-2</v>
      </c>
      <c r="AI157" s="2" t="str">
        <f t="shared" si="32"/>
        <v/>
      </c>
      <c r="AJ157" s="2" t="str">
        <f t="shared" si="32"/>
        <v/>
      </c>
      <c r="AK157" s="2" t="str">
        <f t="shared" si="32"/>
        <v/>
      </c>
      <c r="AL157" s="2" t="str">
        <f t="shared" si="32"/>
        <v/>
      </c>
      <c r="AM157" s="2" t="str">
        <f t="shared" si="31"/>
        <v/>
      </c>
      <c r="AN157" s="2" t="str">
        <f t="shared" si="31"/>
        <v/>
      </c>
      <c r="AO157" s="2" t="str">
        <f t="shared" si="31"/>
        <v/>
      </c>
      <c r="AP157" s="2" t="str">
        <f t="shared" si="31"/>
        <v/>
      </c>
      <c r="AQ157" s="2" t="str">
        <f t="shared" si="31"/>
        <v/>
      </c>
      <c r="AR157" s="2">
        <f t="shared" si="31"/>
        <v>8.9451752875542398E-2</v>
      </c>
      <c r="AT157" s="2" t="str">
        <f t="shared" si="33"/>
        <v/>
      </c>
      <c r="AU157" s="2" t="str">
        <f t="shared" si="33"/>
        <v/>
      </c>
      <c r="AV157" s="143" t="str">
        <f t="shared" si="34"/>
        <v/>
      </c>
      <c r="AW157" s="143" t="str">
        <f t="shared" si="34"/>
        <v/>
      </c>
      <c r="AX157" s="143" t="str">
        <f t="shared" si="34"/>
        <v/>
      </c>
      <c r="AY157" s="143" t="str">
        <f t="shared" si="34"/>
        <v/>
      </c>
      <c r="AZ157" s="143" t="str">
        <f t="shared" si="34"/>
        <v/>
      </c>
      <c r="BA157" s="143" t="str">
        <f t="shared" si="34"/>
        <v/>
      </c>
      <c r="BB157" s="143" t="str">
        <f t="shared" si="34"/>
        <v/>
      </c>
      <c r="BC157" s="143" t="str">
        <f t="shared" si="34"/>
        <v/>
      </c>
      <c r="BD157" s="143" t="str">
        <f t="shared" si="34"/>
        <v/>
      </c>
      <c r="BF157" s="9">
        <f t="shared" si="29"/>
        <v>1.2252388485800114E-5</v>
      </c>
      <c r="BG157" s="9">
        <f t="shared" si="30"/>
        <v>0.99824346110859885</v>
      </c>
    </row>
    <row r="158" spans="2:59" x14ac:dyDescent="0.3">
      <c r="B158" s="3" t="s">
        <v>223</v>
      </c>
      <c r="D158" s="141">
        <v>27028</v>
      </c>
      <c r="E158" s="141">
        <v>21018</v>
      </c>
      <c r="F158" s="141">
        <v>31227</v>
      </c>
      <c r="G158" s="141"/>
      <c r="H158" s="141"/>
      <c r="I158" s="141"/>
      <c r="J158" s="141"/>
      <c r="K158" s="141"/>
      <c r="L158" s="141"/>
      <c r="M158" s="141"/>
      <c r="N158" s="141"/>
      <c r="O158" s="141"/>
      <c r="P158" s="141">
        <f t="shared" si="27"/>
        <v>79273</v>
      </c>
      <c r="R158" s="141">
        <v>1752</v>
      </c>
      <c r="S158" s="141">
        <v>3417</v>
      </c>
      <c r="T158" s="141">
        <v>4122</v>
      </c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28"/>
        <v>9291</v>
      </c>
      <c r="AF158" s="2">
        <f t="shared" si="32"/>
        <v>6.4821666420008875E-2</v>
      </c>
      <c r="AG158" s="2">
        <f t="shared" si="32"/>
        <v>0.16257493576934057</v>
      </c>
      <c r="AH158" s="2">
        <f t="shared" si="32"/>
        <v>0.13200115284849651</v>
      </c>
      <c r="AI158" s="2" t="str">
        <f t="shared" si="32"/>
        <v/>
      </c>
      <c r="AJ158" s="2" t="str">
        <f t="shared" si="32"/>
        <v/>
      </c>
      <c r="AK158" s="2" t="str">
        <f t="shared" si="32"/>
        <v/>
      </c>
      <c r="AL158" s="2" t="str">
        <f t="shared" si="32"/>
        <v/>
      </c>
      <c r="AM158" s="2" t="str">
        <f t="shared" si="31"/>
        <v/>
      </c>
      <c r="AN158" s="2" t="str">
        <f t="shared" si="31"/>
        <v/>
      </c>
      <c r="AO158" s="2" t="str">
        <f t="shared" si="31"/>
        <v/>
      </c>
      <c r="AP158" s="2" t="str">
        <f t="shared" si="31"/>
        <v/>
      </c>
      <c r="AQ158" s="2" t="str">
        <f t="shared" si="31"/>
        <v/>
      </c>
      <c r="AR158" s="2">
        <f t="shared" si="31"/>
        <v>0.11720257843149622</v>
      </c>
      <c r="AT158" s="2" t="str">
        <f t="shared" si="33"/>
        <v/>
      </c>
      <c r="AU158" s="2" t="str">
        <f t="shared" si="33"/>
        <v/>
      </c>
      <c r="AV158" s="143" t="str">
        <f t="shared" si="34"/>
        <v/>
      </c>
      <c r="AW158" s="143" t="str">
        <f t="shared" si="34"/>
        <v/>
      </c>
      <c r="AX158" s="143" t="str">
        <f t="shared" si="34"/>
        <v/>
      </c>
      <c r="AY158" s="143" t="str">
        <f t="shared" si="34"/>
        <v/>
      </c>
      <c r="AZ158" s="143" t="str">
        <f t="shared" si="34"/>
        <v/>
      </c>
      <c r="BA158" s="143" t="str">
        <f t="shared" si="34"/>
        <v/>
      </c>
      <c r="BB158" s="143" t="str">
        <f t="shared" si="34"/>
        <v/>
      </c>
      <c r="BC158" s="143" t="str">
        <f t="shared" si="34"/>
        <v/>
      </c>
      <c r="BD158" s="143" t="str">
        <f t="shared" si="34"/>
        <v/>
      </c>
      <c r="BF158" s="9">
        <f t="shared" si="29"/>
        <v>7.3042631646819931E-6</v>
      </c>
      <c r="BG158" s="9">
        <f t="shared" si="30"/>
        <v>0.99825076537176349</v>
      </c>
    </row>
    <row r="159" spans="2:59" x14ac:dyDescent="0.3">
      <c r="B159" s="3" t="s">
        <v>240</v>
      </c>
      <c r="D159" s="141">
        <v>279525</v>
      </c>
      <c r="E159" s="141">
        <v>275814</v>
      </c>
      <c r="F159" s="141">
        <v>162053</v>
      </c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27"/>
        <v>717392</v>
      </c>
      <c r="R159" s="141">
        <v>21093</v>
      </c>
      <c r="S159" s="141">
        <v>32674</v>
      </c>
      <c r="T159" s="141">
        <v>14649</v>
      </c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28"/>
        <v>68416</v>
      </c>
      <c r="AF159" s="2">
        <f t="shared" si="32"/>
        <v>7.5460155621143013E-2</v>
      </c>
      <c r="AG159" s="2">
        <f t="shared" si="32"/>
        <v>0.11846389233323906</v>
      </c>
      <c r="AH159" s="2">
        <f t="shared" si="32"/>
        <v>9.0396351810827322E-2</v>
      </c>
      <c r="AI159" s="2" t="str">
        <f t="shared" si="32"/>
        <v/>
      </c>
      <c r="AJ159" s="2" t="str">
        <f t="shared" si="32"/>
        <v/>
      </c>
      <c r="AK159" s="2" t="str">
        <f t="shared" si="32"/>
        <v/>
      </c>
      <c r="AL159" s="2" t="str">
        <f t="shared" si="32"/>
        <v/>
      </c>
      <c r="AM159" s="2" t="str">
        <f t="shared" si="31"/>
        <v/>
      </c>
      <c r="AN159" s="2" t="str">
        <f t="shared" si="31"/>
        <v/>
      </c>
      <c r="AO159" s="2" t="str">
        <f t="shared" si="31"/>
        <v/>
      </c>
      <c r="AP159" s="2" t="str">
        <f t="shared" si="31"/>
        <v/>
      </c>
      <c r="AQ159" s="2" t="str">
        <f t="shared" si="31"/>
        <v/>
      </c>
      <c r="AR159" s="2">
        <f t="shared" si="31"/>
        <v>9.536766509802172E-2</v>
      </c>
      <c r="AT159" s="2" t="str">
        <f t="shared" si="33"/>
        <v/>
      </c>
      <c r="AU159" s="2" t="str">
        <f t="shared" si="33"/>
        <v/>
      </c>
      <c r="AV159" s="143" t="str">
        <f t="shared" si="34"/>
        <v/>
      </c>
      <c r="AW159" s="143" t="str">
        <f t="shared" si="34"/>
        <v/>
      </c>
      <c r="AX159" s="143" t="str">
        <f t="shared" si="34"/>
        <v/>
      </c>
      <c r="AY159" s="143" t="str">
        <f t="shared" si="34"/>
        <v/>
      </c>
      <c r="AZ159" s="143" t="str">
        <f t="shared" si="34"/>
        <v/>
      </c>
      <c r="BA159" s="143" t="str">
        <f t="shared" si="34"/>
        <v/>
      </c>
      <c r="BB159" s="143" t="str">
        <f t="shared" si="34"/>
        <v/>
      </c>
      <c r="BC159" s="143" t="str">
        <f t="shared" si="34"/>
        <v/>
      </c>
      <c r="BD159" s="143" t="str">
        <f t="shared" si="34"/>
        <v/>
      </c>
      <c r="BF159" s="9">
        <f t="shared" si="29"/>
        <v>5.3786295196952233E-5</v>
      </c>
      <c r="BG159" s="9">
        <f t="shared" si="30"/>
        <v>0.99830455166696042</v>
      </c>
    </row>
    <row r="160" spans="2:59" x14ac:dyDescent="0.3">
      <c r="B160" s="3" t="s">
        <v>250</v>
      </c>
      <c r="D160" s="141">
        <v>1782</v>
      </c>
      <c r="E160" s="141">
        <v>1310</v>
      </c>
      <c r="F160" s="141">
        <v>286</v>
      </c>
      <c r="G160" s="141"/>
      <c r="H160" s="141"/>
      <c r="I160" s="141"/>
      <c r="J160" s="141"/>
      <c r="K160" s="141"/>
      <c r="L160" s="141"/>
      <c r="M160" s="141"/>
      <c r="N160" s="141"/>
      <c r="O160" s="141"/>
      <c r="P160" s="141">
        <f t="shared" si="27"/>
        <v>3378</v>
      </c>
      <c r="R160" s="141">
        <v>770</v>
      </c>
      <c r="S160" s="141">
        <v>117</v>
      </c>
      <c r="T160" s="141">
        <v>60</v>
      </c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28"/>
        <v>947</v>
      </c>
      <c r="AF160" s="2">
        <f t="shared" si="32"/>
        <v>0.43209876543209874</v>
      </c>
      <c r="AG160" s="2">
        <f t="shared" si="32"/>
        <v>8.9312977099236635E-2</v>
      </c>
      <c r="AH160" s="2">
        <f t="shared" si="32"/>
        <v>0.20979020979020979</v>
      </c>
      <c r="AI160" s="2" t="str">
        <f t="shared" si="32"/>
        <v/>
      </c>
      <c r="AJ160" s="2" t="str">
        <f t="shared" si="32"/>
        <v/>
      </c>
      <c r="AK160" s="2" t="str">
        <f t="shared" si="32"/>
        <v/>
      </c>
      <c r="AL160" s="2" t="str">
        <f t="shared" si="32"/>
        <v/>
      </c>
      <c r="AM160" s="2" t="str">
        <f t="shared" si="31"/>
        <v/>
      </c>
      <c r="AN160" s="2" t="str">
        <f t="shared" si="31"/>
        <v/>
      </c>
      <c r="AO160" s="2" t="str">
        <f t="shared" si="31"/>
        <v/>
      </c>
      <c r="AP160" s="2" t="str">
        <f t="shared" si="31"/>
        <v/>
      </c>
      <c r="AQ160" s="2" t="str">
        <f t="shared" si="31"/>
        <v/>
      </c>
      <c r="AR160" s="2">
        <f t="shared" si="31"/>
        <v>0.28034339846062761</v>
      </c>
      <c r="AT160" s="2" t="str">
        <f t="shared" si="33"/>
        <v/>
      </c>
      <c r="AU160" s="2" t="str">
        <f t="shared" si="33"/>
        <v/>
      </c>
      <c r="AV160" s="143" t="str">
        <f t="shared" si="34"/>
        <v/>
      </c>
      <c r="AW160" s="143" t="str">
        <f t="shared" si="34"/>
        <v/>
      </c>
      <c r="AX160" s="143" t="str">
        <f t="shared" si="34"/>
        <v/>
      </c>
      <c r="AY160" s="143" t="str">
        <f t="shared" si="34"/>
        <v/>
      </c>
      <c r="AZ160" s="143" t="str">
        <f t="shared" si="34"/>
        <v/>
      </c>
      <c r="BA160" s="143" t="str">
        <f t="shared" si="34"/>
        <v/>
      </c>
      <c r="BB160" s="143" t="str">
        <f t="shared" si="34"/>
        <v/>
      </c>
      <c r="BC160" s="143" t="str">
        <f t="shared" si="34"/>
        <v/>
      </c>
      <c r="BD160" s="143" t="str">
        <f t="shared" si="34"/>
        <v/>
      </c>
      <c r="BF160" s="9">
        <f t="shared" si="29"/>
        <v>7.4449867796295851E-7</v>
      </c>
      <c r="BG160" s="9">
        <f t="shared" si="30"/>
        <v>0.99830529616563835</v>
      </c>
    </row>
    <row r="161" spans="2:59" x14ac:dyDescent="0.3">
      <c r="B161" s="3" t="s">
        <v>238</v>
      </c>
      <c r="D161" s="141">
        <v>1357358</v>
      </c>
      <c r="E161" s="141">
        <v>1356979</v>
      </c>
      <c r="F161" s="141">
        <v>1475036</v>
      </c>
      <c r="G161" s="141"/>
      <c r="H161" s="141"/>
      <c r="I161" s="141"/>
      <c r="J161" s="141"/>
      <c r="K161" s="141"/>
      <c r="L161" s="141"/>
      <c r="M161" s="141"/>
      <c r="N161" s="141"/>
      <c r="O161" s="141"/>
      <c r="P161" s="141">
        <f t="shared" si="27"/>
        <v>4189373</v>
      </c>
      <c r="R161" s="141">
        <v>88437</v>
      </c>
      <c r="S161" s="141">
        <v>75325</v>
      </c>
      <c r="T161" s="141">
        <v>93761</v>
      </c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28"/>
        <v>257523</v>
      </c>
      <c r="AF161" s="2">
        <f t="shared" si="32"/>
        <v>6.5153776674981845E-2</v>
      </c>
      <c r="AG161" s="2">
        <f t="shared" si="32"/>
        <v>5.5509333600593673E-2</v>
      </c>
      <c r="AH161" s="2">
        <f t="shared" si="32"/>
        <v>6.3565228238497223E-2</v>
      </c>
      <c r="AI161" s="2" t="str">
        <f t="shared" si="32"/>
        <v/>
      </c>
      <c r="AJ161" s="2" t="str">
        <f t="shared" si="32"/>
        <v/>
      </c>
      <c r="AK161" s="2" t="str">
        <f t="shared" si="32"/>
        <v/>
      </c>
      <c r="AL161" s="2" t="str">
        <f t="shared" si="32"/>
        <v/>
      </c>
      <c r="AM161" s="2" t="str">
        <f t="shared" si="31"/>
        <v/>
      </c>
      <c r="AN161" s="2" t="str">
        <f t="shared" si="31"/>
        <v/>
      </c>
      <c r="AO161" s="2" t="str">
        <f t="shared" si="31"/>
        <v/>
      </c>
      <c r="AP161" s="2" t="str">
        <f t="shared" si="31"/>
        <v/>
      </c>
      <c r="AQ161" s="2" t="str">
        <f t="shared" si="31"/>
        <v/>
      </c>
      <c r="AR161" s="2">
        <f t="shared" si="31"/>
        <v>6.1470535089618424E-2</v>
      </c>
      <c r="AT161" s="2" t="str">
        <f t="shared" si="33"/>
        <v/>
      </c>
      <c r="AU161" s="2" t="str">
        <f t="shared" si="33"/>
        <v/>
      </c>
      <c r="AV161" s="143" t="str">
        <f t="shared" si="34"/>
        <v/>
      </c>
      <c r="AW161" s="143" t="str">
        <f t="shared" si="34"/>
        <v/>
      </c>
      <c r="AX161" s="143" t="str">
        <f t="shared" si="34"/>
        <v/>
      </c>
      <c r="AY161" s="143" t="str">
        <f t="shared" si="34"/>
        <v/>
      </c>
      <c r="AZ161" s="143" t="str">
        <f t="shared" si="34"/>
        <v/>
      </c>
      <c r="BA161" s="143" t="str">
        <f t="shared" si="34"/>
        <v/>
      </c>
      <c r="BB161" s="143" t="str">
        <f t="shared" si="34"/>
        <v/>
      </c>
      <c r="BC161" s="143" t="str">
        <f t="shared" si="34"/>
        <v/>
      </c>
      <c r="BD161" s="143" t="str">
        <f t="shared" si="34"/>
        <v/>
      </c>
      <c r="BF161" s="9">
        <f t="shared" si="29"/>
        <v>2.0245568431368001E-4</v>
      </c>
      <c r="BG161" s="9">
        <f t="shared" si="30"/>
        <v>0.998507751849952</v>
      </c>
    </row>
    <row r="162" spans="2:59" x14ac:dyDescent="0.3">
      <c r="B162" s="3" t="s">
        <v>246</v>
      </c>
      <c r="D162" s="141">
        <v>14901</v>
      </c>
      <c r="E162" s="141">
        <v>13596</v>
      </c>
      <c r="F162" s="141">
        <v>7310</v>
      </c>
      <c r="G162" s="141"/>
      <c r="H162" s="141"/>
      <c r="I162" s="141"/>
      <c r="J162" s="141"/>
      <c r="K162" s="141"/>
      <c r="L162" s="141"/>
      <c r="M162" s="141"/>
      <c r="N162" s="141"/>
      <c r="O162" s="141"/>
      <c r="P162" s="141">
        <f t="shared" si="27"/>
        <v>35807</v>
      </c>
      <c r="R162" s="141">
        <v>1315</v>
      </c>
      <c r="S162" s="141">
        <v>1189</v>
      </c>
      <c r="T162" s="141">
        <v>2782</v>
      </c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28"/>
        <v>5286</v>
      </c>
      <c r="AF162" s="2">
        <f t="shared" si="32"/>
        <v>8.8249110797933031E-2</v>
      </c>
      <c r="AG162" s="2">
        <f t="shared" si="32"/>
        <v>8.7452191821123862E-2</v>
      </c>
      <c r="AH162" s="2">
        <f t="shared" si="32"/>
        <v>0.38057455540355678</v>
      </c>
      <c r="AI162" s="2" t="str">
        <f t="shared" si="32"/>
        <v/>
      </c>
      <c r="AJ162" s="2" t="str">
        <f t="shared" si="32"/>
        <v/>
      </c>
      <c r="AK162" s="2" t="str">
        <f t="shared" si="32"/>
        <v/>
      </c>
      <c r="AL162" s="2" t="str">
        <f t="shared" si="32"/>
        <v/>
      </c>
      <c r="AM162" s="2" t="str">
        <f t="shared" si="31"/>
        <v/>
      </c>
      <c r="AN162" s="2" t="str">
        <f t="shared" si="31"/>
        <v/>
      </c>
      <c r="AO162" s="2" t="str">
        <f t="shared" si="31"/>
        <v/>
      </c>
      <c r="AP162" s="2" t="str">
        <f t="shared" si="31"/>
        <v/>
      </c>
      <c r="AQ162" s="2" t="str">
        <f t="shared" si="31"/>
        <v/>
      </c>
      <c r="AR162" s="2">
        <f t="shared" si="31"/>
        <v>0.14762476610718575</v>
      </c>
      <c r="AT162" s="2" t="str">
        <f t="shared" si="33"/>
        <v/>
      </c>
      <c r="AU162" s="2" t="str">
        <f t="shared" si="33"/>
        <v/>
      </c>
      <c r="AV162" s="143" t="str">
        <f t="shared" si="34"/>
        <v/>
      </c>
      <c r="AW162" s="143" t="str">
        <f t="shared" si="34"/>
        <v/>
      </c>
      <c r="AX162" s="143" t="str">
        <f t="shared" si="34"/>
        <v/>
      </c>
      <c r="AY162" s="143" t="str">
        <f t="shared" si="34"/>
        <v/>
      </c>
      <c r="AZ162" s="143" t="str">
        <f t="shared" si="34"/>
        <v/>
      </c>
      <c r="BA162" s="143" t="str">
        <f t="shared" si="34"/>
        <v/>
      </c>
      <c r="BB162" s="143" t="str">
        <f t="shared" si="34"/>
        <v/>
      </c>
      <c r="BC162" s="143" t="str">
        <f t="shared" si="34"/>
        <v/>
      </c>
      <c r="BD162" s="143" t="str">
        <f t="shared" si="34"/>
        <v/>
      </c>
      <c r="BF162" s="9">
        <f t="shared" si="29"/>
        <v>4.1556705509104528E-6</v>
      </c>
      <c r="BG162" s="9">
        <f t="shared" si="30"/>
        <v>0.99851190752050289</v>
      </c>
    </row>
    <row r="163" spans="2:59" x14ac:dyDescent="0.3">
      <c r="B163" s="3" t="s">
        <v>244</v>
      </c>
      <c r="D163" s="141"/>
      <c r="E163" s="141">
        <v>159095</v>
      </c>
      <c r="F163" s="141">
        <v>394781</v>
      </c>
      <c r="G163" s="141"/>
      <c r="H163" s="141"/>
      <c r="I163" s="141"/>
      <c r="J163" s="141"/>
      <c r="K163" s="141"/>
      <c r="L163" s="141"/>
      <c r="M163" s="141"/>
      <c r="N163" s="141"/>
      <c r="O163" s="141"/>
      <c r="P163" s="141">
        <f t="shared" si="27"/>
        <v>553876</v>
      </c>
      <c r="R163" s="141"/>
      <c r="S163" s="141">
        <v>10290</v>
      </c>
      <c r="T163" s="141">
        <v>31114</v>
      </c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28"/>
        <v>41404</v>
      </c>
      <c r="AF163" s="2" t="str">
        <f t="shared" si="32"/>
        <v/>
      </c>
      <c r="AG163" s="2">
        <f t="shared" si="32"/>
        <v>6.4678336842766901E-2</v>
      </c>
      <c r="AH163" s="2">
        <f t="shared" si="32"/>
        <v>7.8813316750299539E-2</v>
      </c>
      <c r="AI163" s="2" t="str">
        <f t="shared" si="32"/>
        <v/>
      </c>
      <c r="AJ163" s="2" t="str">
        <f t="shared" si="32"/>
        <v/>
      </c>
      <c r="AK163" s="2" t="str">
        <f t="shared" si="32"/>
        <v/>
      </c>
      <c r="AL163" s="2" t="str">
        <f t="shared" si="32"/>
        <v/>
      </c>
      <c r="AM163" s="2" t="str">
        <f t="shared" si="31"/>
        <v/>
      </c>
      <c r="AN163" s="2" t="str">
        <f t="shared" si="31"/>
        <v/>
      </c>
      <c r="AO163" s="2" t="str">
        <f t="shared" si="31"/>
        <v/>
      </c>
      <c r="AP163" s="2" t="str">
        <f t="shared" si="31"/>
        <v/>
      </c>
      <c r="AQ163" s="2" t="str">
        <f t="shared" si="31"/>
        <v/>
      </c>
      <c r="AR163" s="2">
        <f t="shared" si="31"/>
        <v>7.4753193855664452E-2</v>
      </c>
      <c r="AT163" s="2" t="str">
        <f t="shared" si="33"/>
        <v/>
      </c>
      <c r="AU163" s="2" t="str">
        <f t="shared" si="33"/>
        <v/>
      </c>
      <c r="AV163" s="143" t="str">
        <f t="shared" si="34"/>
        <v/>
      </c>
      <c r="AW163" s="143" t="str">
        <f t="shared" si="34"/>
        <v/>
      </c>
      <c r="AX163" s="143" t="str">
        <f t="shared" si="34"/>
        <v/>
      </c>
      <c r="AY163" s="143" t="str">
        <f t="shared" si="34"/>
        <v/>
      </c>
      <c r="AZ163" s="143" t="str">
        <f t="shared" si="34"/>
        <v/>
      </c>
      <c r="BA163" s="143" t="str">
        <f t="shared" si="34"/>
        <v/>
      </c>
      <c r="BB163" s="143" t="str">
        <f t="shared" si="34"/>
        <v/>
      </c>
      <c r="BC163" s="143" t="str">
        <f t="shared" si="34"/>
        <v/>
      </c>
      <c r="BD163" s="143" t="str">
        <f t="shared" si="34"/>
        <v/>
      </c>
      <c r="BF163" s="9">
        <f t="shared" si="29"/>
        <v>3.2550394152458642E-5</v>
      </c>
      <c r="BG163" s="9">
        <f t="shared" si="30"/>
        <v>0.9985444579146554</v>
      </c>
    </row>
    <row r="164" spans="2:59" x14ac:dyDescent="0.3">
      <c r="B164" s="3" t="s">
        <v>247</v>
      </c>
      <c r="D164" s="141">
        <v>70580</v>
      </c>
      <c r="E164" s="141">
        <v>57543</v>
      </c>
      <c r="F164" s="141">
        <v>24530</v>
      </c>
      <c r="G164" s="141"/>
      <c r="H164" s="141"/>
      <c r="I164" s="141"/>
      <c r="J164" s="141"/>
      <c r="K164" s="141"/>
      <c r="L164" s="141"/>
      <c r="M164" s="141"/>
      <c r="N164" s="141"/>
      <c r="O164" s="141"/>
      <c r="P164" s="141">
        <f t="shared" si="27"/>
        <v>152653</v>
      </c>
      <c r="R164" s="141">
        <v>4132</v>
      </c>
      <c r="S164" s="141">
        <v>4573</v>
      </c>
      <c r="T164" s="141">
        <v>2631</v>
      </c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28"/>
        <v>11336</v>
      </c>
      <c r="AF164" s="2">
        <f t="shared" si="32"/>
        <v>5.8543496741286484E-2</v>
      </c>
      <c r="AG164" s="2">
        <f t="shared" si="32"/>
        <v>7.9471004292442179E-2</v>
      </c>
      <c r="AH164" s="2">
        <f t="shared" si="32"/>
        <v>0.10725642070933551</v>
      </c>
      <c r="AI164" s="2" t="str">
        <f t="shared" si="32"/>
        <v/>
      </c>
      <c r="AJ164" s="2" t="str">
        <f t="shared" si="32"/>
        <v/>
      </c>
      <c r="AK164" s="2" t="str">
        <f t="shared" si="32"/>
        <v/>
      </c>
      <c r="AL164" s="2" t="str">
        <f t="shared" si="32"/>
        <v/>
      </c>
      <c r="AM164" s="2" t="str">
        <f t="shared" si="31"/>
        <v/>
      </c>
      <c r="AN164" s="2" t="str">
        <f t="shared" si="31"/>
        <v/>
      </c>
      <c r="AO164" s="2" t="str">
        <f t="shared" si="31"/>
        <v/>
      </c>
      <c r="AP164" s="2" t="str">
        <f t="shared" si="31"/>
        <v/>
      </c>
      <c r="AQ164" s="2" t="str">
        <f t="shared" si="31"/>
        <v/>
      </c>
      <c r="AR164" s="2">
        <f t="shared" si="31"/>
        <v>7.4259922831519859E-2</v>
      </c>
      <c r="AT164" s="2" t="str">
        <f t="shared" si="33"/>
        <v/>
      </c>
      <c r="AU164" s="2" t="str">
        <f t="shared" si="33"/>
        <v/>
      </c>
      <c r="AV164" s="143" t="str">
        <f t="shared" si="34"/>
        <v/>
      </c>
      <c r="AW164" s="143" t="str">
        <f t="shared" si="34"/>
        <v/>
      </c>
      <c r="AX164" s="143" t="str">
        <f t="shared" si="34"/>
        <v/>
      </c>
      <c r="AY164" s="143" t="str">
        <f t="shared" si="34"/>
        <v/>
      </c>
      <c r="AZ164" s="143" t="str">
        <f t="shared" si="34"/>
        <v/>
      </c>
      <c r="BA164" s="143" t="str">
        <f t="shared" si="34"/>
        <v/>
      </c>
      <c r="BB164" s="143" t="str">
        <f t="shared" si="34"/>
        <v/>
      </c>
      <c r="BC164" s="143" t="str">
        <f t="shared" si="34"/>
        <v/>
      </c>
      <c r="BD164" s="143" t="str">
        <f t="shared" si="34"/>
        <v/>
      </c>
      <c r="BF164" s="9">
        <f t="shared" si="29"/>
        <v>8.9119715030497327E-6</v>
      </c>
      <c r="BG164" s="9">
        <f t="shared" si="30"/>
        <v>0.9985533698861585</v>
      </c>
    </row>
    <row r="165" spans="2:59" x14ac:dyDescent="0.3">
      <c r="B165" s="3" t="s">
        <v>242</v>
      </c>
      <c r="D165" s="141">
        <v>10521</v>
      </c>
      <c r="E165" s="141">
        <v>22830</v>
      </c>
      <c r="F165" s="141">
        <v>14705</v>
      </c>
      <c r="G165" s="141"/>
      <c r="H165" s="141"/>
      <c r="I165" s="141"/>
      <c r="J165" s="141"/>
      <c r="K165" s="141"/>
      <c r="L165" s="141"/>
      <c r="M165" s="141"/>
      <c r="N165" s="141"/>
      <c r="O165" s="141"/>
      <c r="P165" s="141">
        <f t="shared" si="27"/>
        <v>48056</v>
      </c>
      <c r="R165" s="141">
        <v>846</v>
      </c>
      <c r="S165" s="141">
        <v>2820</v>
      </c>
      <c r="T165" s="141">
        <v>1504</v>
      </c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28"/>
        <v>5170</v>
      </c>
      <c r="AF165" s="2">
        <f t="shared" si="32"/>
        <v>8.0410607356715139E-2</v>
      </c>
      <c r="AG165" s="2">
        <f t="shared" si="32"/>
        <v>0.12352168199737187</v>
      </c>
      <c r="AH165" s="2">
        <f t="shared" si="32"/>
        <v>0.10227813668820129</v>
      </c>
      <c r="AI165" s="2" t="str">
        <f t="shared" si="32"/>
        <v/>
      </c>
      <c r="AJ165" s="2" t="str">
        <f t="shared" si="32"/>
        <v/>
      </c>
      <c r="AK165" s="2" t="str">
        <f t="shared" si="32"/>
        <v/>
      </c>
      <c r="AL165" s="2" t="str">
        <f t="shared" si="32"/>
        <v/>
      </c>
      <c r="AM165" s="2" t="str">
        <f t="shared" si="31"/>
        <v/>
      </c>
      <c r="AN165" s="2" t="str">
        <f t="shared" si="31"/>
        <v/>
      </c>
      <c r="AO165" s="2" t="str">
        <f t="shared" si="31"/>
        <v/>
      </c>
      <c r="AP165" s="2" t="str">
        <f t="shared" si="31"/>
        <v/>
      </c>
      <c r="AQ165" s="2" t="str">
        <f t="shared" si="31"/>
        <v/>
      </c>
      <c r="AR165" s="2">
        <f t="shared" si="31"/>
        <v>0.10758282004328283</v>
      </c>
      <c r="AT165" s="2" t="str">
        <f t="shared" si="33"/>
        <v/>
      </c>
      <c r="AU165" s="2" t="str">
        <f t="shared" si="33"/>
        <v/>
      </c>
      <c r="AV165" s="143" t="str">
        <f t="shared" si="34"/>
        <v/>
      </c>
      <c r="AW165" s="143" t="str">
        <f t="shared" si="34"/>
        <v/>
      </c>
      <c r="AX165" s="143" t="str">
        <f t="shared" si="34"/>
        <v/>
      </c>
      <c r="AY165" s="143" t="str">
        <f t="shared" si="34"/>
        <v/>
      </c>
      <c r="AZ165" s="143" t="str">
        <f t="shared" si="34"/>
        <v/>
      </c>
      <c r="BA165" s="143" t="str">
        <f t="shared" si="34"/>
        <v/>
      </c>
      <c r="BB165" s="143" t="str">
        <f t="shared" si="34"/>
        <v/>
      </c>
      <c r="BC165" s="143" t="str">
        <f t="shared" si="34"/>
        <v/>
      </c>
      <c r="BD165" s="143" t="str">
        <f t="shared" si="34"/>
        <v/>
      </c>
      <c r="BF165" s="9">
        <f t="shared" si="29"/>
        <v>4.06447535910084E-6</v>
      </c>
      <c r="BG165" s="9">
        <f t="shared" si="30"/>
        <v>0.99855743436151756</v>
      </c>
    </row>
    <row r="166" spans="2:59" x14ac:dyDescent="0.3">
      <c r="B166" s="3" t="s">
        <v>237</v>
      </c>
      <c r="D166" s="141">
        <v>110875</v>
      </c>
      <c r="E166" s="141">
        <v>117610</v>
      </c>
      <c r="F166" s="141">
        <v>117130</v>
      </c>
      <c r="G166" s="141"/>
      <c r="H166" s="141"/>
      <c r="I166" s="141"/>
      <c r="J166" s="141"/>
      <c r="K166" s="141"/>
      <c r="L166" s="141"/>
      <c r="M166" s="141"/>
      <c r="N166" s="141"/>
      <c r="O166" s="141"/>
      <c r="P166" s="141">
        <f t="shared" si="27"/>
        <v>345615</v>
      </c>
      <c r="R166" s="141">
        <v>6446</v>
      </c>
      <c r="S166" s="141">
        <v>10216</v>
      </c>
      <c r="T166" s="141">
        <v>7446</v>
      </c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28"/>
        <v>24108</v>
      </c>
      <c r="AF166" s="2">
        <f t="shared" si="32"/>
        <v>5.8137542277339346E-2</v>
      </c>
      <c r="AG166" s="2">
        <f t="shared" si="32"/>
        <v>8.6863361959017088E-2</v>
      </c>
      <c r="AH166" s="2">
        <f t="shared" si="32"/>
        <v>6.357039187227867E-2</v>
      </c>
      <c r="AI166" s="2" t="str">
        <f t="shared" si="32"/>
        <v/>
      </c>
      <c r="AJ166" s="2" t="str">
        <f t="shared" si="32"/>
        <v/>
      </c>
      <c r="AK166" s="2" t="str">
        <f t="shared" si="32"/>
        <v/>
      </c>
      <c r="AL166" s="2" t="str">
        <f t="shared" si="32"/>
        <v/>
      </c>
      <c r="AM166" s="2" t="str">
        <f t="shared" si="31"/>
        <v/>
      </c>
      <c r="AN166" s="2" t="str">
        <f t="shared" si="31"/>
        <v/>
      </c>
      <c r="AO166" s="2" t="str">
        <f t="shared" si="31"/>
        <v/>
      </c>
      <c r="AP166" s="2" t="str">
        <f t="shared" si="31"/>
        <v/>
      </c>
      <c r="AQ166" s="2" t="str">
        <f t="shared" si="31"/>
        <v/>
      </c>
      <c r="AR166" s="2">
        <f t="shared" si="31"/>
        <v>6.9753916930688775E-2</v>
      </c>
      <c r="AT166" s="2" t="str">
        <f t="shared" si="33"/>
        <v/>
      </c>
      <c r="AU166" s="2" t="str">
        <f t="shared" si="33"/>
        <v/>
      </c>
      <c r="AV166" s="143" t="str">
        <f t="shared" si="34"/>
        <v/>
      </c>
      <c r="AW166" s="143" t="str">
        <f t="shared" si="34"/>
        <v/>
      </c>
      <c r="AX166" s="143" t="str">
        <f t="shared" si="34"/>
        <v/>
      </c>
      <c r="AY166" s="143" t="str">
        <f t="shared" si="34"/>
        <v/>
      </c>
      <c r="AZ166" s="143" t="str">
        <f t="shared" si="34"/>
        <v/>
      </c>
      <c r="BA166" s="143" t="str">
        <f t="shared" si="34"/>
        <v/>
      </c>
      <c r="BB166" s="143" t="str">
        <f t="shared" si="34"/>
        <v/>
      </c>
      <c r="BC166" s="143" t="str">
        <f t="shared" si="34"/>
        <v/>
      </c>
      <c r="BD166" s="143" t="str">
        <f t="shared" si="34"/>
        <v/>
      </c>
      <c r="BF166" s="9">
        <f t="shared" si="29"/>
        <v>1.8952876587466742E-5</v>
      </c>
      <c r="BG166" s="9">
        <f t="shared" si="30"/>
        <v>0.99857638723810505</v>
      </c>
    </row>
    <row r="167" spans="2:59" x14ac:dyDescent="0.3">
      <c r="B167" s="3" t="s">
        <v>260</v>
      </c>
      <c r="D167" s="141">
        <v>31437</v>
      </c>
      <c r="E167" s="141"/>
      <c r="F167" s="141">
        <v>874</v>
      </c>
      <c r="G167" s="141"/>
      <c r="H167" s="141"/>
      <c r="I167" s="141"/>
      <c r="J167" s="141"/>
      <c r="K167" s="141"/>
      <c r="L167" s="141"/>
      <c r="M167" s="141"/>
      <c r="N167" s="141"/>
      <c r="O167" s="141"/>
      <c r="P167" s="141">
        <f t="shared" si="27"/>
        <v>32311</v>
      </c>
      <c r="R167" s="141">
        <v>1472</v>
      </c>
      <c r="S167" s="141"/>
      <c r="T167" s="141">
        <v>200</v>
      </c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28"/>
        <v>1672</v>
      </c>
      <c r="AF167" s="2">
        <f t="shared" si="32"/>
        <v>4.6823806342844422E-2</v>
      </c>
      <c r="AG167" s="2" t="str">
        <f t="shared" si="32"/>
        <v/>
      </c>
      <c r="AH167" s="2">
        <f t="shared" si="32"/>
        <v>0.2288329519450801</v>
      </c>
      <c r="AI167" s="2" t="str">
        <f t="shared" si="32"/>
        <v/>
      </c>
      <c r="AJ167" s="2" t="str">
        <f t="shared" si="32"/>
        <v/>
      </c>
      <c r="AK167" s="2" t="str">
        <f t="shared" si="32"/>
        <v/>
      </c>
      <c r="AL167" s="2" t="str">
        <f t="shared" si="32"/>
        <v/>
      </c>
      <c r="AM167" s="2" t="str">
        <f t="shared" si="31"/>
        <v/>
      </c>
      <c r="AN167" s="2" t="str">
        <f t="shared" si="31"/>
        <v/>
      </c>
      <c r="AO167" s="2" t="str">
        <f t="shared" si="31"/>
        <v/>
      </c>
      <c r="AP167" s="2" t="str">
        <f t="shared" si="31"/>
        <v/>
      </c>
      <c r="AQ167" s="2" t="str">
        <f t="shared" si="31"/>
        <v/>
      </c>
      <c r="AR167" s="2">
        <f t="shared" si="31"/>
        <v>5.1747083036736717E-2</v>
      </c>
      <c r="AT167" s="2" t="str">
        <f t="shared" si="33"/>
        <v/>
      </c>
      <c r="AU167" s="2" t="str">
        <f t="shared" si="33"/>
        <v/>
      </c>
      <c r="AV167" s="143" t="str">
        <f t="shared" si="34"/>
        <v/>
      </c>
      <c r="AW167" s="143" t="str">
        <f t="shared" si="34"/>
        <v/>
      </c>
      <c r="AX167" s="143" t="str">
        <f t="shared" si="34"/>
        <v/>
      </c>
      <c r="AY167" s="143" t="str">
        <f t="shared" si="34"/>
        <v/>
      </c>
      <c r="AZ167" s="143" t="str">
        <f t="shared" si="34"/>
        <v/>
      </c>
      <c r="BA167" s="143" t="str">
        <f t="shared" si="34"/>
        <v/>
      </c>
      <c r="BB167" s="143" t="str">
        <f t="shared" si="34"/>
        <v/>
      </c>
      <c r="BC167" s="143" t="str">
        <f t="shared" si="34"/>
        <v/>
      </c>
      <c r="BD167" s="143" t="str">
        <f t="shared" si="34"/>
        <v/>
      </c>
      <c r="BF167" s="9">
        <f t="shared" si="29"/>
        <v>1.3144686267730376E-6</v>
      </c>
      <c r="BG167" s="9">
        <f t="shared" si="30"/>
        <v>0.99857770170673177</v>
      </c>
    </row>
    <row r="168" spans="2:59" x14ac:dyDescent="0.3">
      <c r="B168" s="3" t="s">
        <v>255</v>
      </c>
      <c r="D168" s="141">
        <v>869</v>
      </c>
      <c r="E168" s="141">
        <v>1</v>
      </c>
      <c r="F168" s="141">
        <v>8149</v>
      </c>
      <c r="G168" s="141"/>
      <c r="H168" s="141"/>
      <c r="I168" s="141"/>
      <c r="J168" s="141"/>
      <c r="K168" s="141"/>
      <c r="L168" s="141"/>
      <c r="M168" s="141"/>
      <c r="N168" s="141"/>
      <c r="O168" s="141"/>
      <c r="P168" s="141">
        <f t="shared" si="27"/>
        <v>9019</v>
      </c>
      <c r="R168" s="141">
        <v>174</v>
      </c>
      <c r="S168" s="141">
        <v>1</v>
      </c>
      <c r="T168" s="141">
        <v>2134</v>
      </c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28"/>
        <v>2309</v>
      </c>
      <c r="AF168" s="2">
        <f t="shared" si="32"/>
        <v>0.2002301495972382</v>
      </c>
      <c r="AG168" s="2">
        <f t="shared" si="32"/>
        <v>1</v>
      </c>
      <c r="AH168" s="2">
        <f t="shared" si="32"/>
        <v>0.26187262240765741</v>
      </c>
      <c r="AI168" s="2" t="str">
        <f t="shared" si="32"/>
        <v/>
      </c>
      <c r="AJ168" s="2" t="str">
        <f t="shared" si="32"/>
        <v/>
      </c>
      <c r="AK168" s="2" t="str">
        <f t="shared" si="32"/>
        <v/>
      </c>
      <c r="AL168" s="2" t="str">
        <f t="shared" si="32"/>
        <v/>
      </c>
      <c r="AM168" s="2" t="str">
        <f t="shared" si="31"/>
        <v/>
      </c>
      <c r="AN168" s="2" t="str">
        <f t="shared" si="31"/>
        <v/>
      </c>
      <c r="AO168" s="2" t="str">
        <f t="shared" si="31"/>
        <v/>
      </c>
      <c r="AP168" s="2" t="str">
        <f t="shared" si="31"/>
        <v/>
      </c>
      <c r="AQ168" s="2" t="str">
        <f t="shared" si="31"/>
        <v/>
      </c>
      <c r="AR168" s="2">
        <f t="shared" si="31"/>
        <v>0.25601507927708173</v>
      </c>
      <c r="AT168" s="2" t="str">
        <f t="shared" si="33"/>
        <v/>
      </c>
      <c r="AU168" s="2" t="str">
        <f t="shared" si="33"/>
        <v/>
      </c>
      <c r="AV168" s="143" t="str">
        <f t="shared" si="34"/>
        <v/>
      </c>
      <c r="AW168" s="143" t="str">
        <f t="shared" si="34"/>
        <v/>
      </c>
      <c r="AX168" s="143" t="str">
        <f t="shared" si="34"/>
        <v/>
      </c>
      <c r="AY168" s="143" t="str">
        <f t="shared" si="34"/>
        <v/>
      </c>
      <c r="AZ168" s="143" t="str">
        <f t="shared" si="34"/>
        <v/>
      </c>
      <c r="BA168" s="143" t="str">
        <f t="shared" si="34"/>
        <v/>
      </c>
      <c r="BB168" s="143" t="str">
        <f t="shared" si="34"/>
        <v/>
      </c>
      <c r="BC168" s="143" t="str">
        <f t="shared" si="34"/>
        <v/>
      </c>
      <c r="BD168" s="143" t="str">
        <f t="shared" si="34"/>
        <v/>
      </c>
      <c r="BF168" s="9">
        <f t="shared" si="29"/>
        <v>1.8152560162792726E-6</v>
      </c>
      <c r="BG168" s="9">
        <f t="shared" si="30"/>
        <v>0.99857951696274805</v>
      </c>
    </row>
    <row r="169" spans="2:59" x14ac:dyDescent="0.3">
      <c r="B169" s="3" t="s">
        <v>256</v>
      </c>
      <c r="D169" s="141">
        <v>9505</v>
      </c>
      <c r="E169" s="141">
        <v>28028</v>
      </c>
      <c r="F169" s="141">
        <v>40900</v>
      </c>
      <c r="G169" s="141"/>
      <c r="H169" s="141"/>
      <c r="I169" s="141"/>
      <c r="J169" s="141"/>
      <c r="K169" s="141"/>
      <c r="L169" s="141"/>
      <c r="M169" s="141"/>
      <c r="N169" s="141"/>
      <c r="O169" s="141"/>
      <c r="P169" s="141">
        <f t="shared" si="27"/>
        <v>78433</v>
      </c>
      <c r="R169" s="141">
        <v>1925</v>
      </c>
      <c r="S169" s="141">
        <v>1880</v>
      </c>
      <c r="T169" s="141">
        <v>3817</v>
      </c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28"/>
        <v>7622</v>
      </c>
      <c r="AF169" s="2">
        <f t="shared" si="32"/>
        <v>0.20252498684902684</v>
      </c>
      <c r="AG169" s="2">
        <f t="shared" si="32"/>
        <v>6.7075781361495654E-2</v>
      </c>
      <c r="AH169" s="2">
        <f t="shared" si="32"/>
        <v>9.3325183374083132E-2</v>
      </c>
      <c r="AI169" s="2" t="str">
        <f t="shared" si="32"/>
        <v/>
      </c>
      <c r="AJ169" s="2" t="str">
        <f t="shared" si="32"/>
        <v/>
      </c>
      <c r="AK169" s="2" t="str">
        <f t="shared" si="32"/>
        <v/>
      </c>
      <c r="AL169" s="2" t="str">
        <f t="shared" si="32"/>
        <v/>
      </c>
      <c r="AM169" s="2" t="str">
        <f t="shared" si="31"/>
        <v/>
      </c>
      <c r="AN169" s="2" t="str">
        <f t="shared" si="31"/>
        <v/>
      </c>
      <c r="AO169" s="2" t="str">
        <f t="shared" si="31"/>
        <v/>
      </c>
      <c r="AP169" s="2" t="str">
        <f t="shared" si="31"/>
        <v/>
      </c>
      <c r="AQ169" s="2" t="str">
        <f t="shared" si="31"/>
        <v/>
      </c>
      <c r="AR169" s="2">
        <f t="shared" si="31"/>
        <v>9.717848354646641E-2</v>
      </c>
      <c r="AT169" s="2" t="str">
        <f t="shared" si="33"/>
        <v/>
      </c>
      <c r="AU169" s="2" t="str">
        <f t="shared" si="33"/>
        <v/>
      </c>
      <c r="AV169" s="143" t="str">
        <f t="shared" si="34"/>
        <v/>
      </c>
      <c r="AW169" s="143" t="str">
        <f t="shared" si="34"/>
        <v/>
      </c>
      <c r="AX169" s="143" t="str">
        <f t="shared" si="34"/>
        <v/>
      </c>
      <c r="AY169" s="143" t="str">
        <f t="shared" si="34"/>
        <v/>
      </c>
      <c r="AZ169" s="143" t="str">
        <f t="shared" si="34"/>
        <v/>
      </c>
      <c r="BA169" s="143" t="str">
        <f t="shared" si="34"/>
        <v/>
      </c>
      <c r="BB169" s="143" t="str">
        <f t="shared" si="34"/>
        <v/>
      </c>
      <c r="BC169" s="143" t="str">
        <f t="shared" si="34"/>
        <v/>
      </c>
      <c r="BD169" s="143" t="str">
        <f t="shared" si="34"/>
        <v/>
      </c>
      <c r="BF169" s="9">
        <f t="shared" si="29"/>
        <v>5.9921530342488588E-6</v>
      </c>
      <c r="BG169" s="9">
        <f t="shared" si="30"/>
        <v>0.99858550911578225</v>
      </c>
    </row>
    <row r="170" spans="2:59" x14ac:dyDescent="0.3">
      <c r="B170" s="3" t="s">
        <v>253</v>
      </c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>
        <f t="shared" si="27"/>
        <v>0</v>
      </c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28"/>
        <v>0</v>
      </c>
      <c r="AF170" s="2" t="str">
        <f t="shared" si="32"/>
        <v/>
      </c>
      <c r="AG170" s="2" t="str">
        <f t="shared" si="32"/>
        <v/>
      </c>
      <c r="AH170" s="2" t="str">
        <f t="shared" si="32"/>
        <v/>
      </c>
      <c r="AI170" s="2" t="str">
        <f t="shared" si="32"/>
        <v/>
      </c>
      <c r="AJ170" s="2" t="str">
        <f t="shared" si="32"/>
        <v/>
      </c>
      <c r="AK170" s="2" t="str">
        <f t="shared" si="32"/>
        <v/>
      </c>
      <c r="AL170" s="2" t="str">
        <f t="shared" si="32"/>
        <v/>
      </c>
      <c r="AM170" s="2" t="str">
        <f t="shared" si="31"/>
        <v/>
      </c>
      <c r="AN170" s="2" t="str">
        <f t="shared" si="31"/>
        <v/>
      </c>
      <c r="AO170" s="2" t="str">
        <f t="shared" si="31"/>
        <v/>
      </c>
      <c r="AP170" s="2" t="str">
        <f t="shared" si="31"/>
        <v/>
      </c>
      <c r="AQ170" s="2" t="str">
        <f t="shared" si="31"/>
        <v/>
      </c>
      <c r="AR170" s="2" t="str">
        <f t="shared" si="31"/>
        <v/>
      </c>
      <c r="AT170" s="2" t="str">
        <f t="shared" si="33"/>
        <v/>
      </c>
      <c r="AU170" s="2" t="str">
        <f t="shared" si="33"/>
        <v/>
      </c>
      <c r="AV170" s="143" t="str">
        <f t="shared" si="34"/>
        <v/>
      </c>
      <c r="AW170" s="143" t="str">
        <f t="shared" si="34"/>
        <v/>
      </c>
      <c r="AX170" s="143" t="str">
        <f t="shared" si="34"/>
        <v/>
      </c>
      <c r="AY170" s="143" t="str">
        <f t="shared" si="34"/>
        <v/>
      </c>
      <c r="AZ170" s="143" t="str">
        <f t="shared" si="34"/>
        <v/>
      </c>
      <c r="BA170" s="143" t="str">
        <f t="shared" si="34"/>
        <v/>
      </c>
      <c r="BB170" s="143" t="str">
        <f t="shared" si="34"/>
        <v/>
      </c>
      <c r="BC170" s="143" t="str">
        <f t="shared" si="34"/>
        <v/>
      </c>
      <c r="BD170" s="143" t="str">
        <f t="shared" si="34"/>
        <v/>
      </c>
      <c r="BF170" s="9">
        <f t="shared" si="29"/>
        <v>0</v>
      </c>
      <c r="BG170" s="9">
        <f t="shared" si="30"/>
        <v>0.99858550911578225</v>
      </c>
    </row>
    <row r="171" spans="2:59" x14ac:dyDescent="0.3">
      <c r="B171" s="3" t="s">
        <v>264</v>
      </c>
      <c r="D171" s="141">
        <v>4624</v>
      </c>
      <c r="E171" s="141">
        <v>1929</v>
      </c>
      <c r="F171" s="141">
        <v>9629</v>
      </c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27"/>
        <v>16182</v>
      </c>
      <c r="R171" s="141">
        <v>749</v>
      </c>
      <c r="S171" s="141">
        <v>272</v>
      </c>
      <c r="T171" s="141">
        <v>1859</v>
      </c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28"/>
        <v>2880</v>
      </c>
      <c r="AF171" s="2">
        <f t="shared" si="32"/>
        <v>0.16198096885813149</v>
      </c>
      <c r="AG171" s="2">
        <f t="shared" si="32"/>
        <v>0.1410057024364956</v>
      </c>
      <c r="AH171" s="2">
        <f t="shared" si="32"/>
        <v>0.19306262332537127</v>
      </c>
      <c r="AI171" s="2" t="str">
        <f t="shared" si="32"/>
        <v/>
      </c>
      <c r="AJ171" s="2" t="str">
        <f t="shared" si="32"/>
        <v/>
      </c>
      <c r="AK171" s="2" t="str">
        <f t="shared" si="32"/>
        <v/>
      </c>
      <c r="AL171" s="2" t="str">
        <f t="shared" si="32"/>
        <v/>
      </c>
      <c r="AM171" s="2" t="str">
        <f t="shared" si="31"/>
        <v/>
      </c>
      <c r="AN171" s="2" t="str">
        <f t="shared" si="31"/>
        <v/>
      </c>
      <c r="AO171" s="2" t="str">
        <f t="shared" si="31"/>
        <v/>
      </c>
      <c r="AP171" s="2" t="str">
        <f t="shared" si="31"/>
        <v/>
      </c>
      <c r="AQ171" s="2" t="str">
        <f t="shared" si="31"/>
        <v/>
      </c>
      <c r="AR171" s="2">
        <f t="shared" si="31"/>
        <v>0.17797552836484984</v>
      </c>
      <c r="AT171" s="2" t="str">
        <f t="shared" si="33"/>
        <v/>
      </c>
      <c r="AU171" s="2" t="str">
        <f t="shared" si="33"/>
        <v/>
      </c>
      <c r="AV171" s="143" t="str">
        <f t="shared" si="34"/>
        <v/>
      </c>
      <c r="AW171" s="143" t="str">
        <f t="shared" si="34"/>
        <v/>
      </c>
      <c r="AX171" s="143" t="str">
        <f t="shared" si="34"/>
        <v/>
      </c>
      <c r="AY171" s="143" t="str">
        <f t="shared" si="34"/>
        <v/>
      </c>
      <c r="AZ171" s="143" t="str">
        <f t="shared" si="34"/>
        <v/>
      </c>
      <c r="BA171" s="143" t="str">
        <f t="shared" si="34"/>
        <v/>
      </c>
      <c r="BB171" s="143" t="str">
        <f t="shared" si="34"/>
        <v/>
      </c>
      <c r="BC171" s="143" t="str">
        <f t="shared" si="34"/>
        <v/>
      </c>
      <c r="BD171" s="143" t="str">
        <f t="shared" si="34"/>
        <v/>
      </c>
      <c r="BF171" s="9">
        <f t="shared" si="29"/>
        <v>2.2641564863076243E-6</v>
      </c>
      <c r="BG171" s="9">
        <f t="shared" si="30"/>
        <v>0.99858777327226855</v>
      </c>
    </row>
    <row r="172" spans="2:59" x14ac:dyDescent="0.3">
      <c r="B172" s="3" t="s">
        <v>239</v>
      </c>
      <c r="D172" s="141">
        <v>2133672</v>
      </c>
      <c r="E172" s="141">
        <v>2071100</v>
      </c>
      <c r="F172" s="141">
        <v>2195471</v>
      </c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27"/>
        <v>6400243</v>
      </c>
      <c r="R172" s="141">
        <v>213490</v>
      </c>
      <c r="S172" s="141">
        <v>181939</v>
      </c>
      <c r="T172" s="141">
        <v>216122</v>
      </c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28"/>
        <v>611551</v>
      </c>
      <c r="AF172" s="2">
        <f t="shared" si="32"/>
        <v>0.10005755336340356</v>
      </c>
      <c r="AG172" s="2">
        <f t="shared" si="32"/>
        <v>8.7846554970788471E-2</v>
      </c>
      <c r="AH172" s="2">
        <f t="shared" si="32"/>
        <v>9.8439924735967813E-2</v>
      </c>
      <c r="AI172" s="2" t="str">
        <f t="shared" si="32"/>
        <v/>
      </c>
      <c r="AJ172" s="2" t="str">
        <f t="shared" si="32"/>
        <v/>
      </c>
      <c r="AK172" s="2" t="str">
        <f t="shared" si="32"/>
        <v/>
      </c>
      <c r="AL172" s="2" t="str">
        <f t="shared" si="32"/>
        <v/>
      </c>
      <c r="AM172" s="2" t="str">
        <f t="shared" si="32"/>
        <v/>
      </c>
      <c r="AN172" s="2" t="str">
        <f t="shared" si="32"/>
        <v/>
      </c>
      <c r="AO172" s="2" t="str">
        <f t="shared" si="32"/>
        <v/>
      </c>
      <c r="AP172" s="2" t="str">
        <f t="shared" si="32"/>
        <v/>
      </c>
      <c r="AQ172" s="2" t="str">
        <f t="shared" si="32"/>
        <v/>
      </c>
      <c r="AR172" s="2">
        <f t="shared" si="32"/>
        <v>9.5551215789775476E-2</v>
      </c>
      <c r="AT172" s="2" t="str">
        <f t="shared" si="33"/>
        <v/>
      </c>
      <c r="AU172" s="2" t="str">
        <f t="shared" si="33"/>
        <v/>
      </c>
      <c r="AV172" s="143" t="str">
        <f t="shared" si="34"/>
        <v/>
      </c>
      <c r="AW172" s="143" t="str">
        <f t="shared" si="34"/>
        <v/>
      </c>
      <c r="AX172" s="143" t="str">
        <f t="shared" si="34"/>
        <v/>
      </c>
      <c r="AY172" s="143" t="str">
        <f t="shared" si="34"/>
        <v/>
      </c>
      <c r="AZ172" s="143" t="str">
        <f t="shared" si="34"/>
        <v/>
      </c>
      <c r="BA172" s="143" t="str">
        <f t="shared" si="34"/>
        <v/>
      </c>
      <c r="BB172" s="143" t="str">
        <f t="shared" si="34"/>
        <v/>
      </c>
      <c r="BC172" s="143" t="str">
        <f t="shared" si="34"/>
        <v/>
      </c>
      <c r="BD172" s="143" t="str">
        <f t="shared" si="34"/>
        <v/>
      </c>
      <c r="BF172" s="9">
        <f t="shared" si="29"/>
        <v>4.8078026505483126E-4</v>
      </c>
      <c r="BG172" s="9">
        <f t="shared" si="30"/>
        <v>0.99906855353732338</v>
      </c>
    </row>
    <row r="173" spans="2:59" x14ac:dyDescent="0.3">
      <c r="B173" s="3" t="s">
        <v>262</v>
      </c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>
        <f t="shared" si="27"/>
        <v>0</v>
      </c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28"/>
        <v>0</v>
      </c>
      <c r="AF173" s="2" t="str">
        <f t="shared" ref="AF173:AR192" si="35">+IFERROR(R173/D173,"")</f>
        <v/>
      </c>
      <c r="AG173" s="2" t="str">
        <f t="shared" si="35"/>
        <v/>
      </c>
      <c r="AH173" s="2" t="str">
        <f t="shared" si="35"/>
        <v/>
      </c>
      <c r="AI173" s="2" t="str">
        <f t="shared" si="35"/>
        <v/>
      </c>
      <c r="AJ173" s="2" t="str">
        <f t="shared" si="35"/>
        <v/>
      </c>
      <c r="AK173" s="2" t="str">
        <f t="shared" si="35"/>
        <v/>
      </c>
      <c r="AL173" s="2" t="str">
        <f t="shared" si="35"/>
        <v/>
      </c>
      <c r="AM173" s="2" t="str">
        <f t="shared" si="35"/>
        <v/>
      </c>
      <c r="AN173" s="2" t="str">
        <f t="shared" si="35"/>
        <v/>
      </c>
      <c r="AO173" s="2" t="str">
        <f t="shared" si="35"/>
        <v/>
      </c>
      <c r="AP173" s="2" t="str">
        <f t="shared" si="35"/>
        <v/>
      </c>
      <c r="AQ173" s="2" t="str">
        <f t="shared" si="35"/>
        <v/>
      </c>
      <c r="AR173" s="2" t="str">
        <f t="shared" si="35"/>
        <v/>
      </c>
      <c r="AT173" s="2" t="str">
        <f t="shared" si="33"/>
        <v/>
      </c>
      <c r="AU173" s="2" t="str">
        <f t="shared" si="33"/>
        <v/>
      </c>
      <c r="AV173" s="143" t="str">
        <f t="shared" si="34"/>
        <v/>
      </c>
      <c r="AW173" s="143" t="str">
        <f t="shared" si="34"/>
        <v/>
      </c>
      <c r="AX173" s="143" t="str">
        <f t="shared" si="34"/>
        <v/>
      </c>
      <c r="AY173" s="143" t="str">
        <f t="shared" si="34"/>
        <v/>
      </c>
      <c r="AZ173" s="143" t="str">
        <f t="shared" si="34"/>
        <v/>
      </c>
      <c r="BA173" s="143" t="str">
        <f t="shared" si="34"/>
        <v/>
      </c>
      <c r="BB173" s="143" t="str">
        <f t="shared" si="34"/>
        <v/>
      </c>
      <c r="BC173" s="143" t="str">
        <f t="shared" si="34"/>
        <v/>
      </c>
      <c r="BD173" s="143" t="str">
        <f t="shared" si="34"/>
        <v/>
      </c>
      <c r="BF173" s="9">
        <f t="shared" si="29"/>
        <v>0</v>
      </c>
      <c r="BG173" s="9">
        <f t="shared" si="30"/>
        <v>0.99906855353732338</v>
      </c>
    </row>
    <row r="174" spans="2:59" x14ac:dyDescent="0.3">
      <c r="B174" s="3" t="s">
        <v>261</v>
      </c>
      <c r="D174" s="141">
        <v>17309</v>
      </c>
      <c r="E174" s="141">
        <v>8178</v>
      </c>
      <c r="F174" s="141">
        <v>26730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27"/>
        <v>52217</v>
      </c>
      <c r="R174" s="141">
        <v>1305</v>
      </c>
      <c r="S174" s="141">
        <v>540</v>
      </c>
      <c r="T174" s="141">
        <v>1035</v>
      </c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28"/>
        <v>2880</v>
      </c>
      <c r="AF174" s="2">
        <f t="shared" si="35"/>
        <v>7.5394303541510194E-2</v>
      </c>
      <c r="AG174" s="2">
        <f t="shared" si="35"/>
        <v>6.6030814380044017E-2</v>
      </c>
      <c r="AH174" s="2">
        <f t="shared" si="35"/>
        <v>3.8720538720538718E-2</v>
      </c>
      <c r="AI174" s="2" t="str">
        <f t="shared" si="35"/>
        <v/>
      </c>
      <c r="AJ174" s="2" t="str">
        <f t="shared" si="35"/>
        <v/>
      </c>
      <c r="AK174" s="2" t="str">
        <f t="shared" si="35"/>
        <v/>
      </c>
      <c r="AL174" s="2" t="str">
        <f t="shared" si="35"/>
        <v/>
      </c>
      <c r="AM174" s="2" t="str">
        <f t="shared" si="35"/>
        <v/>
      </c>
      <c r="AN174" s="2" t="str">
        <f t="shared" si="35"/>
        <v/>
      </c>
      <c r="AO174" s="2" t="str">
        <f t="shared" si="35"/>
        <v/>
      </c>
      <c r="AP174" s="2" t="str">
        <f t="shared" si="35"/>
        <v/>
      </c>
      <c r="AQ174" s="2" t="str">
        <f t="shared" si="35"/>
        <v/>
      </c>
      <c r="AR174" s="2">
        <f t="shared" si="35"/>
        <v>5.51544516153743E-2</v>
      </c>
      <c r="AT174" s="2" t="str">
        <f t="shared" ref="AT174:AU204" si="36">+IFERROR(AM174-AL174,"")</f>
        <v/>
      </c>
      <c r="AU174" s="2" t="str">
        <f t="shared" si="36"/>
        <v/>
      </c>
      <c r="AV174" s="143" t="str">
        <f t="shared" si="34"/>
        <v/>
      </c>
      <c r="AW174" s="143" t="str">
        <f t="shared" si="34"/>
        <v/>
      </c>
      <c r="AX174" s="143" t="str">
        <f t="shared" si="34"/>
        <v/>
      </c>
      <c r="AY174" s="143" t="str">
        <f t="shared" si="34"/>
        <v/>
      </c>
      <c r="AZ174" s="143" t="str">
        <f t="shared" si="34"/>
        <v/>
      </c>
      <c r="BA174" s="143" t="str">
        <f t="shared" si="34"/>
        <v/>
      </c>
      <c r="BB174" s="143" t="str">
        <f t="shared" si="34"/>
        <v/>
      </c>
      <c r="BC174" s="143" t="str">
        <f t="shared" si="34"/>
        <v/>
      </c>
      <c r="BD174" s="143" t="str">
        <f t="shared" si="34"/>
        <v/>
      </c>
      <c r="BF174" s="9">
        <f t="shared" si="29"/>
        <v>2.2641564863076243E-6</v>
      </c>
      <c r="BG174" s="9">
        <f t="shared" si="30"/>
        <v>0.99907081769380968</v>
      </c>
    </row>
    <row r="175" spans="2:59" x14ac:dyDescent="0.3">
      <c r="B175" s="3" t="s">
        <v>254</v>
      </c>
      <c r="D175" s="141">
        <v>2424</v>
      </c>
      <c r="E175" s="141">
        <v>3969</v>
      </c>
      <c r="F175" s="141">
        <v>4230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27"/>
        <v>10623</v>
      </c>
      <c r="R175" s="141">
        <v>221</v>
      </c>
      <c r="S175" s="141">
        <v>989</v>
      </c>
      <c r="T175" s="141">
        <v>994</v>
      </c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28"/>
        <v>2204</v>
      </c>
      <c r="AF175" s="2">
        <f t="shared" si="35"/>
        <v>9.1171617161716165E-2</v>
      </c>
      <c r="AG175" s="2">
        <f t="shared" si="35"/>
        <v>0.2491811539430587</v>
      </c>
      <c r="AH175" s="2">
        <f t="shared" si="35"/>
        <v>0.23498817966903074</v>
      </c>
      <c r="AI175" s="2" t="str">
        <f t="shared" si="35"/>
        <v/>
      </c>
      <c r="AJ175" s="2" t="str">
        <f t="shared" si="35"/>
        <v/>
      </c>
      <c r="AK175" s="2" t="str">
        <f t="shared" si="35"/>
        <v/>
      </c>
      <c r="AL175" s="2" t="str">
        <f t="shared" si="35"/>
        <v/>
      </c>
      <c r="AM175" s="2" t="str">
        <f t="shared" si="35"/>
        <v/>
      </c>
      <c r="AN175" s="2" t="str">
        <f t="shared" si="35"/>
        <v/>
      </c>
      <c r="AO175" s="2" t="str">
        <f t="shared" si="35"/>
        <v/>
      </c>
      <c r="AP175" s="2" t="str">
        <f t="shared" si="35"/>
        <v/>
      </c>
      <c r="AQ175" s="2" t="str">
        <f t="shared" si="35"/>
        <v/>
      </c>
      <c r="AR175" s="2">
        <f t="shared" si="35"/>
        <v>0.20747434811258589</v>
      </c>
      <c r="AT175" s="2" t="str">
        <f t="shared" si="36"/>
        <v/>
      </c>
      <c r="AU175" s="2" t="str">
        <f t="shared" si="36"/>
        <v/>
      </c>
      <c r="AV175" s="143" t="str">
        <f t="shared" si="34"/>
        <v/>
      </c>
      <c r="AW175" s="143" t="str">
        <f t="shared" si="34"/>
        <v/>
      </c>
      <c r="AX175" s="143" t="str">
        <f t="shared" si="34"/>
        <v/>
      </c>
      <c r="AY175" s="143" t="str">
        <f t="shared" si="34"/>
        <v/>
      </c>
      <c r="AZ175" s="143" t="str">
        <f t="shared" si="34"/>
        <v/>
      </c>
      <c r="BA175" s="143" t="str">
        <f t="shared" si="34"/>
        <v/>
      </c>
      <c r="BB175" s="143" t="str">
        <f t="shared" si="34"/>
        <v/>
      </c>
      <c r="BC175" s="143" t="str">
        <f t="shared" si="34"/>
        <v/>
      </c>
      <c r="BD175" s="143" t="str">
        <f t="shared" si="34"/>
        <v/>
      </c>
      <c r="BF175" s="9">
        <f t="shared" si="29"/>
        <v>1.7327086443826403E-6</v>
      </c>
      <c r="BG175" s="9">
        <f t="shared" si="30"/>
        <v>0.99907255040245402</v>
      </c>
    </row>
    <row r="176" spans="2:59" x14ac:dyDescent="0.3">
      <c r="B176" s="3" t="s">
        <v>269</v>
      </c>
      <c r="D176" s="141">
        <v>24513</v>
      </c>
      <c r="E176" s="141">
        <v>7910</v>
      </c>
      <c r="F176" s="141">
        <v>2311</v>
      </c>
      <c r="G176" s="141"/>
      <c r="H176" s="141"/>
      <c r="I176" s="141"/>
      <c r="J176" s="141"/>
      <c r="K176" s="141"/>
      <c r="L176" s="141"/>
      <c r="M176" s="141"/>
      <c r="N176" s="141"/>
      <c r="O176" s="141"/>
      <c r="P176" s="141">
        <f t="shared" si="27"/>
        <v>34734</v>
      </c>
      <c r="R176" s="141">
        <v>491</v>
      </c>
      <c r="S176" s="141">
        <v>383</v>
      </c>
      <c r="T176" s="141">
        <v>291</v>
      </c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28"/>
        <v>1165</v>
      </c>
      <c r="AF176" s="2">
        <f t="shared" si="35"/>
        <v>2.0030188063476524E-2</v>
      </c>
      <c r="AG176" s="2">
        <f t="shared" si="35"/>
        <v>4.8419721871049308E-2</v>
      </c>
      <c r="AH176" s="2">
        <f t="shared" si="35"/>
        <v>0.12591951536131546</v>
      </c>
      <c r="AI176" s="2" t="str">
        <f t="shared" si="35"/>
        <v/>
      </c>
      <c r="AJ176" s="2" t="str">
        <f t="shared" si="35"/>
        <v/>
      </c>
      <c r="AK176" s="2" t="str">
        <f t="shared" si="35"/>
        <v/>
      </c>
      <c r="AL176" s="2" t="str">
        <f t="shared" si="35"/>
        <v/>
      </c>
      <c r="AM176" s="2" t="str">
        <f t="shared" si="35"/>
        <v/>
      </c>
      <c r="AN176" s="2" t="str">
        <f t="shared" si="35"/>
        <v/>
      </c>
      <c r="AO176" s="2" t="str">
        <f t="shared" si="35"/>
        <v/>
      </c>
      <c r="AP176" s="2" t="str">
        <f t="shared" si="35"/>
        <v/>
      </c>
      <c r="AQ176" s="2" t="str">
        <f t="shared" si="35"/>
        <v/>
      </c>
      <c r="AR176" s="2">
        <f t="shared" si="35"/>
        <v>3.3540623020671387E-2</v>
      </c>
      <c r="AT176" s="2" t="str">
        <f t="shared" si="36"/>
        <v/>
      </c>
      <c r="AU176" s="2" t="str">
        <f t="shared" si="36"/>
        <v/>
      </c>
      <c r="AV176" s="143" t="str">
        <f t="shared" si="34"/>
        <v/>
      </c>
      <c r="AW176" s="143" t="str">
        <f t="shared" si="34"/>
        <v/>
      </c>
      <c r="AX176" s="143" t="str">
        <f t="shared" si="34"/>
        <v/>
      </c>
      <c r="AY176" s="143" t="str">
        <f t="shared" si="34"/>
        <v/>
      </c>
      <c r="AZ176" s="143" t="str">
        <f t="shared" si="34"/>
        <v/>
      </c>
      <c r="BA176" s="143" t="str">
        <f t="shared" si="34"/>
        <v/>
      </c>
      <c r="BB176" s="143" t="str">
        <f t="shared" si="34"/>
        <v/>
      </c>
      <c r="BC176" s="143" t="str">
        <f t="shared" si="34"/>
        <v/>
      </c>
      <c r="BD176" s="143" t="str">
        <f t="shared" si="34"/>
        <v/>
      </c>
      <c r="BF176" s="9">
        <f t="shared" si="29"/>
        <v>9.1588274532929949E-7</v>
      </c>
      <c r="BG176" s="9">
        <f t="shared" si="30"/>
        <v>0.99907346628519933</v>
      </c>
    </row>
    <row r="177" spans="2:59" x14ac:dyDescent="0.3">
      <c r="B177" s="3" t="s">
        <v>265</v>
      </c>
      <c r="D177" s="141">
        <v>67315</v>
      </c>
      <c r="E177" s="141">
        <v>63351</v>
      </c>
      <c r="F177" s="141">
        <v>40545</v>
      </c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27"/>
        <v>171211</v>
      </c>
      <c r="R177" s="141">
        <v>8325</v>
      </c>
      <c r="S177" s="141">
        <v>9033</v>
      </c>
      <c r="T177" s="141">
        <v>5279</v>
      </c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28"/>
        <v>22637</v>
      </c>
      <c r="AF177" s="2">
        <f t="shared" si="35"/>
        <v>0.12367228700883905</v>
      </c>
      <c r="AG177" s="2">
        <f t="shared" si="35"/>
        <v>0.14258654164890847</v>
      </c>
      <c r="AH177" s="2">
        <f t="shared" si="35"/>
        <v>0.1302010112220989</v>
      </c>
      <c r="AI177" s="2" t="str">
        <f t="shared" si="35"/>
        <v/>
      </c>
      <c r="AJ177" s="2" t="str">
        <f t="shared" si="35"/>
        <v/>
      </c>
      <c r="AK177" s="2" t="str">
        <f t="shared" si="35"/>
        <v/>
      </c>
      <c r="AL177" s="2" t="str">
        <f t="shared" si="35"/>
        <v/>
      </c>
      <c r="AM177" s="2" t="str">
        <f t="shared" si="35"/>
        <v/>
      </c>
      <c r="AN177" s="2" t="str">
        <f t="shared" si="35"/>
        <v/>
      </c>
      <c r="AO177" s="2" t="str">
        <f t="shared" si="35"/>
        <v/>
      </c>
      <c r="AP177" s="2" t="str">
        <f t="shared" si="35"/>
        <v/>
      </c>
      <c r="AQ177" s="2" t="str">
        <f t="shared" si="35"/>
        <v/>
      </c>
      <c r="AR177" s="2">
        <f t="shared" si="35"/>
        <v>0.13221697204034788</v>
      </c>
      <c r="AT177" s="2" t="str">
        <f t="shared" si="36"/>
        <v/>
      </c>
      <c r="AU177" s="2" t="str">
        <f t="shared" si="36"/>
        <v/>
      </c>
      <c r="AV177" s="143" t="str">
        <f t="shared" si="34"/>
        <v/>
      </c>
      <c r="AW177" s="143" t="str">
        <f t="shared" si="34"/>
        <v/>
      </c>
      <c r="AX177" s="143" t="str">
        <f t="shared" si="34"/>
        <v/>
      </c>
      <c r="AY177" s="143" t="str">
        <f t="shared" si="34"/>
        <v/>
      </c>
      <c r="AZ177" s="143" t="str">
        <f t="shared" si="34"/>
        <v/>
      </c>
      <c r="BA177" s="143" t="str">
        <f t="shared" si="34"/>
        <v/>
      </c>
      <c r="BB177" s="143" t="str">
        <f t="shared" si="34"/>
        <v/>
      </c>
      <c r="BC177" s="143" t="str">
        <f t="shared" si="34"/>
        <v/>
      </c>
      <c r="BD177" s="143" t="str">
        <f t="shared" si="34"/>
        <v/>
      </c>
      <c r="BF177" s="9">
        <f t="shared" si="29"/>
        <v>1.7796427215467257E-5</v>
      </c>
      <c r="BG177" s="9">
        <f t="shared" si="30"/>
        <v>0.99909126271241477</v>
      </c>
    </row>
    <row r="178" spans="2:59" x14ac:dyDescent="0.3">
      <c r="B178" s="3" t="s">
        <v>251</v>
      </c>
      <c r="D178" s="141">
        <v>88510</v>
      </c>
      <c r="E178" s="141">
        <v>134490</v>
      </c>
      <c r="F178" s="141">
        <v>63212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27"/>
        <v>286212</v>
      </c>
      <c r="R178" s="141">
        <v>4407</v>
      </c>
      <c r="S178" s="141">
        <v>8304</v>
      </c>
      <c r="T178" s="141">
        <v>3118</v>
      </c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28"/>
        <v>15829</v>
      </c>
      <c r="AF178" s="2">
        <f t="shared" si="35"/>
        <v>4.9790984069596658E-2</v>
      </c>
      <c r="AG178" s="2">
        <f t="shared" si="35"/>
        <v>6.1744367610974793E-2</v>
      </c>
      <c r="AH178" s="2">
        <f t="shared" si="35"/>
        <v>4.9326077327089796E-2</v>
      </c>
      <c r="AI178" s="2" t="str">
        <f t="shared" si="35"/>
        <v/>
      </c>
      <c r="AJ178" s="2" t="str">
        <f t="shared" si="35"/>
        <v/>
      </c>
      <c r="AK178" s="2" t="str">
        <f t="shared" si="35"/>
        <v/>
      </c>
      <c r="AL178" s="2" t="str">
        <f t="shared" si="35"/>
        <v/>
      </c>
      <c r="AM178" s="2" t="str">
        <f t="shared" si="35"/>
        <v/>
      </c>
      <c r="AN178" s="2" t="str">
        <f t="shared" si="35"/>
        <v/>
      </c>
      <c r="AO178" s="2" t="str">
        <f t="shared" si="35"/>
        <v/>
      </c>
      <c r="AP178" s="2" t="str">
        <f t="shared" si="35"/>
        <v/>
      </c>
      <c r="AQ178" s="2" t="str">
        <f t="shared" si="35"/>
        <v/>
      </c>
      <c r="AR178" s="2">
        <f t="shared" si="35"/>
        <v>5.5305158414042738E-2</v>
      </c>
      <c r="AT178" s="2" t="str">
        <f t="shared" si="36"/>
        <v/>
      </c>
      <c r="AU178" s="2" t="str">
        <f t="shared" si="36"/>
        <v/>
      </c>
      <c r="AV178" s="143" t="str">
        <f t="shared" si="34"/>
        <v/>
      </c>
      <c r="AW178" s="143" t="str">
        <f t="shared" si="34"/>
        <v/>
      </c>
      <c r="AX178" s="143" t="str">
        <f t="shared" si="34"/>
        <v/>
      </c>
      <c r="AY178" s="143" t="str">
        <f t="shared" ref="AY178:BD204" si="37">+IFERROR(AL178-AK178,"")</f>
        <v/>
      </c>
      <c r="AZ178" s="143" t="str">
        <f t="shared" si="37"/>
        <v/>
      </c>
      <c r="BA178" s="143" t="str">
        <f t="shared" si="37"/>
        <v/>
      </c>
      <c r="BB178" s="143" t="str">
        <f t="shared" si="37"/>
        <v/>
      </c>
      <c r="BC178" s="143" t="str">
        <f t="shared" si="37"/>
        <v/>
      </c>
      <c r="BD178" s="143" t="str">
        <f t="shared" si="37"/>
        <v/>
      </c>
      <c r="BF178" s="9">
        <f t="shared" si="29"/>
        <v>1.2444212854778955E-5</v>
      </c>
      <c r="BG178" s="9">
        <f t="shared" si="30"/>
        <v>0.99910370692526951</v>
      </c>
    </row>
    <row r="179" spans="2:59" x14ac:dyDescent="0.3">
      <c r="B179" s="3" t="s">
        <v>257</v>
      </c>
      <c r="D179" s="141"/>
      <c r="E179" s="141"/>
      <c r="F179" s="141">
        <v>5265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27"/>
        <v>5265</v>
      </c>
      <c r="R179" s="141"/>
      <c r="S179" s="141"/>
      <c r="T179" s="141">
        <v>590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28"/>
        <v>590</v>
      </c>
      <c r="AF179" s="2" t="str">
        <f t="shared" si="35"/>
        <v/>
      </c>
      <c r="AG179" s="2" t="str">
        <f t="shared" si="35"/>
        <v/>
      </c>
      <c r="AH179" s="2">
        <f t="shared" si="35"/>
        <v>0.1120607787274454</v>
      </c>
      <c r="AI179" s="2" t="str">
        <f t="shared" si="35"/>
        <v/>
      </c>
      <c r="AJ179" s="2" t="str">
        <f t="shared" si="35"/>
        <v/>
      </c>
      <c r="AK179" s="2" t="str">
        <f t="shared" si="35"/>
        <v/>
      </c>
      <c r="AL179" s="2" t="str">
        <f t="shared" si="35"/>
        <v/>
      </c>
      <c r="AM179" s="2" t="str">
        <f t="shared" si="35"/>
        <v/>
      </c>
      <c r="AN179" s="2" t="str">
        <f t="shared" si="35"/>
        <v/>
      </c>
      <c r="AO179" s="2" t="str">
        <f t="shared" si="35"/>
        <v/>
      </c>
      <c r="AP179" s="2" t="str">
        <f t="shared" si="35"/>
        <v/>
      </c>
      <c r="AQ179" s="2" t="str">
        <f t="shared" si="35"/>
        <v/>
      </c>
      <c r="AR179" s="2">
        <f t="shared" si="35"/>
        <v>0.1120607787274454</v>
      </c>
      <c r="AT179" s="2" t="str">
        <f t="shared" si="36"/>
        <v/>
      </c>
      <c r="AU179" s="2" t="str">
        <f t="shared" si="36"/>
        <v/>
      </c>
      <c r="AV179" s="143" t="str">
        <f t="shared" ref="AV179:AX204" si="38">+IFERROR(AI179-AH179,"")</f>
        <v/>
      </c>
      <c r="AW179" s="143" t="str">
        <f t="shared" si="38"/>
        <v/>
      </c>
      <c r="AX179" s="143" t="str">
        <f t="shared" si="38"/>
        <v/>
      </c>
      <c r="AY179" s="143" t="str">
        <f t="shared" si="37"/>
        <v/>
      </c>
      <c r="AZ179" s="143" t="str">
        <f t="shared" si="37"/>
        <v/>
      </c>
      <c r="BA179" s="143" t="str">
        <f t="shared" si="37"/>
        <v/>
      </c>
      <c r="BB179" s="143" t="str">
        <f t="shared" si="37"/>
        <v/>
      </c>
      <c r="BC179" s="143" t="str">
        <f t="shared" si="37"/>
        <v/>
      </c>
      <c r="BD179" s="143" t="str">
        <f t="shared" si="37"/>
        <v/>
      </c>
      <c r="BF179" s="9">
        <f t="shared" si="29"/>
        <v>4.6383761351440917E-7</v>
      </c>
      <c r="BG179" s="9">
        <f t="shared" si="30"/>
        <v>0.99910417076288305</v>
      </c>
    </row>
    <row r="180" spans="2:59" x14ac:dyDescent="0.3">
      <c r="B180" s="3" t="s">
        <v>274</v>
      </c>
      <c r="D180" s="141">
        <v>12529</v>
      </c>
      <c r="E180" s="141"/>
      <c r="F180" s="141">
        <v>27176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27"/>
        <v>39705</v>
      </c>
      <c r="R180" s="141">
        <v>1345</v>
      </c>
      <c r="S180" s="141"/>
      <c r="T180" s="141">
        <v>14658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28"/>
        <v>16003</v>
      </c>
      <c r="AF180" s="2">
        <f t="shared" si="35"/>
        <v>0.10735094580573071</v>
      </c>
      <c r="AG180" s="2" t="str">
        <f t="shared" si="35"/>
        <v/>
      </c>
      <c r="AH180" s="2">
        <f t="shared" si="35"/>
        <v>0.53937297615543123</v>
      </c>
      <c r="AI180" s="2" t="str">
        <f t="shared" si="35"/>
        <v/>
      </c>
      <c r="AJ180" s="2" t="str">
        <f t="shared" si="35"/>
        <v/>
      </c>
      <c r="AK180" s="2" t="str">
        <f t="shared" si="35"/>
        <v/>
      </c>
      <c r="AL180" s="2" t="str">
        <f t="shared" si="35"/>
        <v/>
      </c>
      <c r="AM180" s="2" t="str">
        <f t="shared" si="35"/>
        <v/>
      </c>
      <c r="AN180" s="2" t="str">
        <f t="shared" si="35"/>
        <v/>
      </c>
      <c r="AO180" s="2" t="str">
        <f t="shared" si="35"/>
        <v/>
      </c>
      <c r="AP180" s="2" t="str">
        <f t="shared" si="35"/>
        <v/>
      </c>
      <c r="AQ180" s="2" t="str">
        <f t="shared" si="35"/>
        <v/>
      </c>
      <c r="AR180" s="2">
        <f t="shared" si="35"/>
        <v>0.40304747512907696</v>
      </c>
      <c r="AT180" s="2" t="str">
        <f t="shared" si="36"/>
        <v/>
      </c>
      <c r="AU180" s="2" t="str">
        <f t="shared" si="36"/>
        <v/>
      </c>
      <c r="AV180" s="143" t="str">
        <f t="shared" si="38"/>
        <v/>
      </c>
      <c r="AW180" s="143" t="str">
        <f t="shared" si="38"/>
        <v/>
      </c>
      <c r="AX180" s="143" t="str">
        <f t="shared" si="38"/>
        <v/>
      </c>
      <c r="AY180" s="143" t="str">
        <f t="shared" si="37"/>
        <v/>
      </c>
      <c r="AZ180" s="143" t="str">
        <f t="shared" si="37"/>
        <v/>
      </c>
      <c r="BA180" s="143" t="str">
        <f t="shared" si="37"/>
        <v/>
      </c>
      <c r="BB180" s="143" t="str">
        <f t="shared" si="37"/>
        <v/>
      </c>
      <c r="BC180" s="143" t="str">
        <f t="shared" si="37"/>
        <v/>
      </c>
      <c r="BD180" s="143" t="str">
        <f t="shared" si="37"/>
        <v/>
      </c>
      <c r="BF180" s="9">
        <f t="shared" si="29"/>
        <v>1.2581005642493373E-5</v>
      </c>
      <c r="BG180" s="9">
        <f t="shared" si="30"/>
        <v>0.99911675176852555</v>
      </c>
    </row>
    <row r="181" spans="2:59" x14ac:dyDescent="0.3">
      <c r="B181" s="3" t="s">
        <v>277</v>
      </c>
      <c r="D181" s="141">
        <v>521809</v>
      </c>
      <c r="E181" s="141">
        <v>474618</v>
      </c>
      <c r="F181" s="141">
        <v>459899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27"/>
        <v>1456326</v>
      </c>
      <c r="R181" s="141">
        <v>41021</v>
      </c>
      <c r="S181" s="141">
        <v>48455</v>
      </c>
      <c r="T181" s="141">
        <v>36201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28"/>
        <v>125677</v>
      </c>
      <c r="AF181" s="2">
        <f t="shared" si="35"/>
        <v>7.8613055734952822E-2</v>
      </c>
      <c r="AG181" s="2">
        <f t="shared" si="35"/>
        <v>0.10209263028372291</v>
      </c>
      <c r="AH181" s="2">
        <f t="shared" si="35"/>
        <v>7.8715109187017143E-2</v>
      </c>
      <c r="AI181" s="2" t="str">
        <f t="shared" si="35"/>
        <v/>
      </c>
      <c r="AJ181" s="2" t="str">
        <f t="shared" si="35"/>
        <v/>
      </c>
      <c r="AK181" s="2" t="str">
        <f t="shared" si="35"/>
        <v/>
      </c>
      <c r="AL181" s="2" t="str">
        <f t="shared" si="35"/>
        <v/>
      </c>
      <c r="AM181" s="2" t="str">
        <f t="shared" si="35"/>
        <v/>
      </c>
      <c r="AN181" s="2" t="str">
        <f t="shared" si="35"/>
        <v/>
      </c>
      <c r="AO181" s="2" t="str">
        <f t="shared" si="35"/>
        <v/>
      </c>
      <c r="AP181" s="2" t="str">
        <f t="shared" si="35"/>
        <v/>
      </c>
      <c r="AQ181" s="2" t="str">
        <f t="shared" si="35"/>
        <v/>
      </c>
      <c r="AR181" s="2">
        <f t="shared" si="35"/>
        <v>8.6297298819083088E-2</v>
      </c>
      <c r="AT181" s="2" t="str">
        <f t="shared" si="36"/>
        <v/>
      </c>
      <c r="AU181" s="2" t="str">
        <f t="shared" si="36"/>
        <v/>
      </c>
      <c r="AV181" s="143" t="str">
        <f t="shared" si="38"/>
        <v/>
      </c>
      <c r="AW181" s="143" t="str">
        <f t="shared" si="38"/>
        <v/>
      </c>
      <c r="AX181" s="143" t="str">
        <f t="shared" si="38"/>
        <v/>
      </c>
      <c r="AY181" s="143" t="str">
        <f t="shared" si="37"/>
        <v/>
      </c>
      <c r="AZ181" s="143" t="str">
        <f t="shared" si="37"/>
        <v/>
      </c>
      <c r="BA181" s="143" t="str">
        <f t="shared" si="37"/>
        <v/>
      </c>
      <c r="BB181" s="143" t="str">
        <f t="shared" si="37"/>
        <v/>
      </c>
      <c r="BC181" s="143" t="str">
        <f t="shared" si="37"/>
        <v/>
      </c>
      <c r="BD181" s="143" t="str">
        <f t="shared" si="37"/>
        <v/>
      </c>
      <c r="BF181" s="9">
        <f t="shared" si="29"/>
        <v>9.8802914836695595E-5</v>
      </c>
      <c r="BG181" s="9">
        <f t="shared" si="30"/>
        <v>0.99921555468336221</v>
      </c>
    </row>
    <row r="182" spans="2:59" x14ac:dyDescent="0.3">
      <c r="B182" s="3" t="s">
        <v>271</v>
      </c>
      <c r="D182" s="141">
        <v>10</v>
      </c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27"/>
        <v>10</v>
      </c>
      <c r="R182" s="141">
        <v>10</v>
      </c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28"/>
        <v>10</v>
      </c>
      <c r="AF182" s="2">
        <f t="shared" si="35"/>
        <v>1</v>
      </c>
      <c r="AG182" s="2" t="str">
        <f t="shared" si="35"/>
        <v/>
      </c>
      <c r="AH182" s="2" t="str">
        <f t="shared" si="35"/>
        <v/>
      </c>
      <c r="AI182" s="2" t="str">
        <f t="shared" si="35"/>
        <v/>
      </c>
      <c r="AJ182" s="2" t="str">
        <f t="shared" si="35"/>
        <v/>
      </c>
      <c r="AK182" s="2" t="str">
        <f t="shared" si="35"/>
        <v/>
      </c>
      <c r="AL182" s="2" t="str">
        <f t="shared" si="35"/>
        <v/>
      </c>
      <c r="AM182" s="2" t="str">
        <f t="shared" si="35"/>
        <v/>
      </c>
      <c r="AN182" s="2" t="str">
        <f t="shared" si="35"/>
        <v/>
      </c>
      <c r="AO182" s="2" t="str">
        <f t="shared" si="35"/>
        <v/>
      </c>
      <c r="AP182" s="2" t="str">
        <f t="shared" si="35"/>
        <v/>
      </c>
      <c r="AQ182" s="2" t="str">
        <f t="shared" si="35"/>
        <v/>
      </c>
      <c r="AR182" s="2">
        <f t="shared" si="35"/>
        <v>1</v>
      </c>
      <c r="AT182" s="2" t="str">
        <f t="shared" si="36"/>
        <v/>
      </c>
      <c r="AU182" s="2" t="str">
        <f t="shared" si="36"/>
        <v/>
      </c>
      <c r="AV182" s="143" t="str">
        <f t="shared" si="38"/>
        <v/>
      </c>
      <c r="AW182" s="143" t="str">
        <f t="shared" si="38"/>
        <v/>
      </c>
      <c r="AX182" s="143" t="str">
        <f t="shared" si="38"/>
        <v/>
      </c>
      <c r="AY182" s="143" t="str">
        <f t="shared" si="37"/>
        <v/>
      </c>
      <c r="AZ182" s="143" t="str">
        <f t="shared" si="37"/>
        <v/>
      </c>
      <c r="BA182" s="143" t="str">
        <f t="shared" si="37"/>
        <v/>
      </c>
      <c r="BB182" s="143" t="str">
        <f t="shared" si="37"/>
        <v/>
      </c>
      <c r="BC182" s="143" t="str">
        <f t="shared" si="37"/>
        <v/>
      </c>
      <c r="BD182" s="143" t="str">
        <f t="shared" si="37"/>
        <v/>
      </c>
      <c r="BF182" s="9">
        <f t="shared" si="29"/>
        <v>7.8616544663459188E-9</v>
      </c>
      <c r="BG182" s="9">
        <f t="shared" si="30"/>
        <v>0.99921556254501664</v>
      </c>
    </row>
    <row r="183" spans="2:59" x14ac:dyDescent="0.3">
      <c r="B183" s="3" t="s">
        <v>279</v>
      </c>
      <c r="D183" s="141">
        <v>969</v>
      </c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27"/>
        <v>969</v>
      </c>
      <c r="R183" s="141">
        <v>0</v>
      </c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28"/>
        <v>0</v>
      </c>
      <c r="AF183" s="2">
        <f t="shared" si="35"/>
        <v>0</v>
      </c>
      <c r="AG183" s="2" t="str">
        <f t="shared" si="35"/>
        <v/>
      </c>
      <c r="AH183" s="2" t="str">
        <f t="shared" si="35"/>
        <v/>
      </c>
      <c r="AI183" s="2" t="str">
        <f t="shared" si="35"/>
        <v/>
      </c>
      <c r="AJ183" s="2" t="str">
        <f t="shared" si="35"/>
        <v/>
      </c>
      <c r="AK183" s="2" t="str">
        <f t="shared" si="35"/>
        <v/>
      </c>
      <c r="AL183" s="2" t="str">
        <f t="shared" si="35"/>
        <v/>
      </c>
      <c r="AM183" s="2" t="str">
        <f t="shared" si="35"/>
        <v/>
      </c>
      <c r="AN183" s="2" t="str">
        <f t="shared" si="35"/>
        <v/>
      </c>
      <c r="AO183" s="2" t="str">
        <f t="shared" si="35"/>
        <v/>
      </c>
      <c r="AP183" s="2" t="str">
        <f t="shared" si="35"/>
        <v/>
      </c>
      <c r="AQ183" s="2" t="str">
        <f t="shared" si="35"/>
        <v/>
      </c>
      <c r="AR183" s="2">
        <f t="shared" si="35"/>
        <v>0</v>
      </c>
      <c r="AT183" s="2" t="str">
        <f t="shared" si="36"/>
        <v/>
      </c>
      <c r="AU183" s="2" t="str">
        <f t="shared" si="36"/>
        <v/>
      </c>
      <c r="AV183" s="143" t="str">
        <f t="shared" si="38"/>
        <v/>
      </c>
      <c r="AW183" s="143" t="str">
        <f t="shared" si="38"/>
        <v/>
      </c>
      <c r="AX183" s="143" t="str">
        <f t="shared" si="38"/>
        <v/>
      </c>
      <c r="AY183" s="143" t="str">
        <f t="shared" si="37"/>
        <v/>
      </c>
      <c r="AZ183" s="143" t="str">
        <f t="shared" si="37"/>
        <v/>
      </c>
      <c r="BA183" s="143" t="str">
        <f t="shared" si="37"/>
        <v/>
      </c>
      <c r="BB183" s="143" t="str">
        <f t="shared" si="37"/>
        <v/>
      </c>
      <c r="BC183" s="143" t="str">
        <f t="shared" si="37"/>
        <v/>
      </c>
      <c r="BD183" s="143" t="str">
        <f t="shared" si="37"/>
        <v/>
      </c>
      <c r="BF183" s="9">
        <f t="shared" si="29"/>
        <v>0</v>
      </c>
      <c r="BG183" s="9">
        <f t="shared" si="30"/>
        <v>0.99921556254501664</v>
      </c>
    </row>
    <row r="184" spans="2:59" x14ac:dyDescent="0.3">
      <c r="B184" s="3" t="s">
        <v>267</v>
      </c>
      <c r="D184" s="141">
        <v>44895</v>
      </c>
      <c r="E184" s="141">
        <v>59231</v>
      </c>
      <c r="F184" s="141">
        <v>59975</v>
      </c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27"/>
        <v>164101</v>
      </c>
      <c r="R184" s="141">
        <v>4303</v>
      </c>
      <c r="S184" s="141">
        <v>3924</v>
      </c>
      <c r="T184" s="141">
        <v>4122</v>
      </c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28"/>
        <v>12349</v>
      </c>
      <c r="AF184" s="2">
        <f t="shared" si="35"/>
        <v>9.5845862568214729E-2</v>
      </c>
      <c r="AG184" s="2">
        <f t="shared" si="35"/>
        <v>6.6249092536003112E-2</v>
      </c>
      <c r="AH184" s="2">
        <f t="shared" si="35"/>
        <v>6.8728636932055026E-2</v>
      </c>
      <c r="AI184" s="2" t="str">
        <f t="shared" si="35"/>
        <v/>
      </c>
      <c r="AJ184" s="2" t="str">
        <f t="shared" si="35"/>
        <v/>
      </c>
      <c r="AK184" s="2" t="str">
        <f t="shared" si="35"/>
        <v/>
      </c>
      <c r="AL184" s="2" t="str">
        <f t="shared" si="35"/>
        <v/>
      </c>
      <c r="AM184" s="2" t="str">
        <f t="shared" si="35"/>
        <v/>
      </c>
      <c r="AN184" s="2" t="str">
        <f t="shared" si="35"/>
        <v/>
      </c>
      <c r="AO184" s="2" t="str">
        <f t="shared" si="35"/>
        <v/>
      </c>
      <c r="AP184" s="2" t="str">
        <f t="shared" si="35"/>
        <v/>
      </c>
      <c r="AQ184" s="2" t="str">
        <f t="shared" si="35"/>
        <v/>
      </c>
      <c r="AR184" s="2">
        <f t="shared" si="35"/>
        <v>7.5252435999780626E-2</v>
      </c>
      <c r="AT184" s="2" t="str">
        <f t="shared" si="36"/>
        <v/>
      </c>
      <c r="AU184" s="2" t="str">
        <f t="shared" si="36"/>
        <v/>
      </c>
      <c r="AV184" s="143" t="str">
        <f t="shared" si="38"/>
        <v/>
      </c>
      <c r="AW184" s="143" t="str">
        <f t="shared" si="38"/>
        <v/>
      </c>
      <c r="AX184" s="143" t="str">
        <f t="shared" si="38"/>
        <v/>
      </c>
      <c r="AY184" s="143" t="str">
        <f t="shared" si="37"/>
        <v/>
      </c>
      <c r="AZ184" s="143" t="str">
        <f t="shared" si="37"/>
        <v/>
      </c>
      <c r="BA184" s="143" t="str">
        <f t="shared" si="37"/>
        <v/>
      </c>
      <c r="BB184" s="143" t="str">
        <f t="shared" si="37"/>
        <v/>
      </c>
      <c r="BC184" s="143" t="str">
        <f t="shared" si="37"/>
        <v/>
      </c>
      <c r="BD184" s="143" t="str">
        <f t="shared" si="37"/>
        <v/>
      </c>
      <c r="BF184" s="9">
        <f t="shared" si="29"/>
        <v>9.7083571004905751E-6</v>
      </c>
      <c r="BG184" s="9">
        <f t="shared" si="30"/>
        <v>0.9992252709021171</v>
      </c>
    </row>
    <row r="185" spans="2:59" x14ac:dyDescent="0.3">
      <c r="B185" s="3" t="s">
        <v>266</v>
      </c>
      <c r="D185" s="141">
        <v>933027</v>
      </c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27"/>
        <v>933027</v>
      </c>
      <c r="R185" s="141">
        <v>264520</v>
      </c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28"/>
        <v>264520</v>
      </c>
      <c r="AF185" s="2">
        <f t="shared" si="35"/>
        <v>0.28350733687235202</v>
      </c>
      <c r="AG185" s="2" t="str">
        <f t="shared" si="35"/>
        <v/>
      </c>
      <c r="AH185" s="2" t="str">
        <f t="shared" si="35"/>
        <v/>
      </c>
      <c r="AI185" s="2" t="str">
        <f t="shared" si="35"/>
        <v/>
      </c>
      <c r="AJ185" s="2" t="str">
        <f t="shared" si="35"/>
        <v/>
      </c>
      <c r="AK185" s="2" t="str">
        <f t="shared" si="35"/>
        <v/>
      </c>
      <c r="AL185" s="2" t="str">
        <f t="shared" si="35"/>
        <v/>
      </c>
      <c r="AM185" s="2" t="str">
        <f t="shared" si="35"/>
        <v/>
      </c>
      <c r="AN185" s="2" t="str">
        <f t="shared" si="35"/>
        <v/>
      </c>
      <c r="AO185" s="2" t="str">
        <f t="shared" si="35"/>
        <v/>
      </c>
      <c r="AP185" s="2" t="str">
        <f t="shared" si="35"/>
        <v/>
      </c>
      <c r="AQ185" s="2" t="str">
        <f t="shared" si="35"/>
        <v/>
      </c>
      <c r="AR185" s="2">
        <f t="shared" si="35"/>
        <v>0.28350733687235202</v>
      </c>
      <c r="AT185" s="2" t="str">
        <f t="shared" si="36"/>
        <v/>
      </c>
      <c r="AU185" s="2" t="str">
        <f t="shared" si="36"/>
        <v/>
      </c>
      <c r="AV185" s="143" t="str">
        <f t="shared" si="38"/>
        <v/>
      </c>
      <c r="AW185" s="143" t="str">
        <f t="shared" si="38"/>
        <v/>
      </c>
      <c r="AX185" s="143" t="str">
        <f t="shared" si="38"/>
        <v/>
      </c>
      <c r="AY185" s="143" t="str">
        <f t="shared" si="37"/>
        <v/>
      </c>
      <c r="AZ185" s="143" t="str">
        <f t="shared" si="37"/>
        <v/>
      </c>
      <c r="BA185" s="143" t="str">
        <f t="shared" si="37"/>
        <v/>
      </c>
      <c r="BB185" s="143" t="str">
        <f t="shared" si="37"/>
        <v/>
      </c>
      <c r="BC185" s="143" t="str">
        <f t="shared" si="37"/>
        <v/>
      </c>
      <c r="BD185" s="143" t="str">
        <f t="shared" si="37"/>
        <v/>
      </c>
      <c r="BF185" s="9">
        <f t="shared" si="29"/>
        <v>2.0795648394378224E-4</v>
      </c>
      <c r="BG185" s="9">
        <f t="shared" si="30"/>
        <v>0.99943322738606089</v>
      </c>
    </row>
    <row r="186" spans="2:59" x14ac:dyDescent="0.3">
      <c r="B186" s="3" t="s">
        <v>258</v>
      </c>
      <c r="D186" s="141">
        <v>760343</v>
      </c>
      <c r="E186" s="141">
        <v>1559</v>
      </c>
      <c r="F186" s="141">
        <v>4722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27"/>
        <v>766624</v>
      </c>
      <c r="R186" s="141">
        <v>116614</v>
      </c>
      <c r="S186" s="141">
        <v>45</v>
      </c>
      <c r="T186" s="141">
        <v>531</v>
      </c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28"/>
        <v>117190</v>
      </c>
      <c r="AF186" s="2">
        <f t="shared" si="35"/>
        <v>0.15337025526637321</v>
      </c>
      <c r="AG186" s="2">
        <f t="shared" si="35"/>
        <v>2.8864656831302116E-2</v>
      </c>
      <c r="AH186" s="2">
        <f t="shared" si="35"/>
        <v>0.11245235069885642</v>
      </c>
      <c r="AI186" s="2" t="str">
        <f t="shared" si="35"/>
        <v/>
      </c>
      <c r="AJ186" s="2" t="str">
        <f t="shared" si="35"/>
        <v/>
      </c>
      <c r="AK186" s="2" t="str">
        <f t="shared" si="35"/>
        <v/>
      </c>
      <c r="AL186" s="2" t="str">
        <f t="shared" si="35"/>
        <v/>
      </c>
      <c r="AM186" s="2" t="str">
        <f t="shared" si="35"/>
        <v/>
      </c>
      <c r="AN186" s="2" t="str">
        <f t="shared" si="35"/>
        <v/>
      </c>
      <c r="AO186" s="2" t="str">
        <f t="shared" si="35"/>
        <v/>
      </c>
      <c r="AP186" s="2" t="str">
        <f t="shared" si="35"/>
        <v/>
      </c>
      <c r="AQ186" s="2" t="str">
        <f t="shared" si="35"/>
        <v/>
      </c>
      <c r="AR186" s="2">
        <f t="shared" si="35"/>
        <v>0.15286502901031013</v>
      </c>
      <c r="AT186" s="2" t="str">
        <f t="shared" si="36"/>
        <v/>
      </c>
      <c r="AU186" s="2" t="str">
        <f t="shared" si="36"/>
        <v/>
      </c>
      <c r="AV186" s="143" t="str">
        <f t="shared" si="38"/>
        <v/>
      </c>
      <c r="AW186" s="143" t="str">
        <f t="shared" si="38"/>
        <v/>
      </c>
      <c r="AX186" s="143" t="str">
        <f t="shared" si="38"/>
        <v/>
      </c>
      <c r="AY186" s="143" t="str">
        <f t="shared" si="37"/>
        <v/>
      </c>
      <c r="AZ186" s="143" t="str">
        <f t="shared" si="37"/>
        <v/>
      </c>
      <c r="BA186" s="143" t="str">
        <f t="shared" si="37"/>
        <v/>
      </c>
      <c r="BB186" s="143" t="str">
        <f t="shared" si="37"/>
        <v/>
      </c>
      <c r="BC186" s="143" t="str">
        <f t="shared" si="37"/>
        <v/>
      </c>
      <c r="BD186" s="143" t="str">
        <f t="shared" si="37"/>
        <v/>
      </c>
      <c r="BF186" s="9">
        <f t="shared" si="29"/>
        <v>9.2130728691107821E-5</v>
      </c>
      <c r="BG186" s="9">
        <f t="shared" si="30"/>
        <v>0.99952535811475196</v>
      </c>
    </row>
    <row r="187" spans="2:59" x14ac:dyDescent="0.3">
      <c r="B187" s="3" t="s">
        <v>276</v>
      </c>
      <c r="D187" s="141">
        <v>144667</v>
      </c>
      <c r="E187" s="141">
        <v>131269</v>
      </c>
      <c r="F187" s="141">
        <v>130171</v>
      </c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27"/>
        <v>406107</v>
      </c>
      <c r="R187" s="141">
        <v>14992</v>
      </c>
      <c r="S187" s="141">
        <v>15139</v>
      </c>
      <c r="T187" s="141">
        <v>13547</v>
      </c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28"/>
        <v>43678</v>
      </c>
      <c r="AF187" s="2">
        <f t="shared" si="35"/>
        <v>0.10363109762419902</v>
      </c>
      <c r="AG187" s="2">
        <f t="shared" si="35"/>
        <v>0.11532806679414027</v>
      </c>
      <c r="AH187" s="2">
        <f t="shared" si="35"/>
        <v>0.10407079917954076</v>
      </c>
      <c r="AI187" s="2" t="str">
        <f t="shared" si="35"/>
        <v/>
      </c>
      <c r="AJ187" s="2" t="str">
        <f t="shared" si="35"/>
        <v/>
      </c>
      <c r="AK187" s="2" t="str">
        <f t="shared" si="35"/>
        <v/>
      </c>
      <c r="AL187" s="2" t="str">
        <f t="shared" si="35"/>
        <v/>
      </c>
      <c r="AM187" s="2" t="str">
        <f t="shared" si="35"/>
        <v/>
      </c>
      <c r="AN187" s="2" t="str">
        <f t="shared" si="35"/>
        <v/>
      </c>
      <c r="AO187" s="2" t="str">
        <f t="shared" si="35"/>
        <v/>
      </c>
      <c r="AP187" s="2" t="str">
        <f t="shared" si="35"/>
        <v/>
      </c>
      <c r="AQ187" s="2" t="str">
        <f t="shared" si="35"/>
        <v/>
      </c>
      <c r="AR187" s="2">
        <f t="shared" si="35"/>
        <v>0.10755293555639277</v>
      </c>
      <c r="AT187" s="2" t="str">
        <f t="shared" si="36"/>
        <v/>
      </c>
      <c r="AU187" s="2" t="str">
        <f t="shared" si="36"/>
        <v/>
      </c>
      <c r="AV187" s="143" t="str">
        <f t="shared" si="38"/>
        <v/>
      </c>
      <c r="AW187" s="143" t="str">
        <f t="shared" si="38"/>
        <v/>
      </c>
      <c r="AX187" s="143" t="str">
        <f t="shared" si="38"/>
        <v/>
      </c>
      <c r="AY187" s="143" t="str">
        <f t="shared" si="37"/>
        <v/>
      </c>
      <c r="AZ187" s="143" t="str">
        <f t="shared" si="37"/>
        <v/>
      </c>
      <c r="BA187" s="143" t="str">
        <f t="shared" si="37"/>
        <v/>
      </c>
      <c r="BB187" s="143" t="str">
        <f t="shared" si="37"/>
        <v/>
      </c>
      <c r="BC187" s="143" t="str">
        <f t="shared" si="37"/>
        <v/>
      </c>
      <c r="BD187" s="143" t="str">
        <f t="shared" si="37"/>
        <v/>
      </c>
      <c r="BF187" s="9">
        <f t="shared" si="29"/>
        <v>3.4338134378105705E-5</v>
      </c>
      <c r="BG187" s="9">
        <f t="shared" si="30"/>
        <v>0.9995596962491301</v>
      </c>
    </row>
    <row r="188" spans="2:59" x14ac:dyDescent="0.3">
      <c r="B188" s="3" t="s">
        <v>273</v>
      </c>
      <c r="D188" s="141">
        <v>150</v>
      </c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27"/>
        <v>150</v>
      </c>
      <c r="R188" s="141">
        <v>70</v>
      </c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28"/>
        <v>70</v>
      </c>
      <c r="AF188" s="2">
        <f t="shared" si="35"/>
        <v>0.46666666666666667</v>
      </c>
      <c r="AG188" s="2" t="str">
        <f t="shared" si="35"/>
        <v/>
      </c>
      <c r="AH188" s="2" t="str">
        <f t="shared" si="35"/>
        <v/>
      </c>
      <c r="AI188" s="2" t="str">
        <f t="shared" si="35"/>
        <v/>
      </c>
      <c r="AJ188" s="2" t="str">
        <f t="shared" si="35"/>
        <v/>
      </c>
      <c r="AK188" s="2" t="str">
        <f t="shared" si="35"/>
        <v/>
      </c>
      <c r="AL188" s="2" t="str">
        <f t="shared" si="35"/>
        <v/>
      </c>
      <c r="AM188" s="2" t="str">
        <f t="shared" si="35"/>
        <v/>
      </c>
      <c r="AN188" s="2" t="str">
        <f t="shared" si="35"/>
        <v/>
      </c>
      <c r="AO188" s="2" t="str">
        <f t="shared" si="35"/>
        <v/>
      </c>
      <c r="AP188" s="2" t="str">
        <f t="shared" si="35"/>
        <v/>
      </c>
      <c r="AQ188" s="2" t="str">
        <f t="shared" si="35"/>
        <v/>
      </c>
      <c r="AR188" s="2">
        <f t="shared" si="35"/>
        <v>0.46666666666666667</v>
      </c>
      <c r="AT188" s="2" t="str">
        <f t="shared" si="36"/>
        <v/>
      </c>
      <c r="AU188" s="2" t="str">
        <f t="shared" si="36"/>
        <v/>
      </c>
      <c r="AV188" s="143" t="str">
        <f t="shared" si="38"/>
        <v/>
      </c>
      <c r="AW188" s="143" t="str">
        <f t="shared" si="38"/>
        <v/>
      </c>
      <c r="AX188" s="143" t="str">
        <f t="shared" si="38"/>
        <v/>
      </c>
      <c r="AY188" s="143" t="str">
        <f t="shared" si="37"/>
        <v/>
      </c>
      <c r="AZ188" s="143" t="str">
        <f t="shared" si="37"/>
        <v/>
      </c>
      <c r="BA188" s="143" t="str">
        <f t="shared" si="37"/>
        <v/>
      </c>
      <c r="BB188" s="143" t="str">
        <f t="shared" si="37"/>
        <v/>
      </c>
      <c r="BC188" s="143" t="str">
        <f t="shared" si="37"/>
        <v/>
      </c>
      <c r="BD188" s="143" t="str">
        <f t="shared" si="37"/>
        <v/>
      </c>
      <c r="BF188" s="9">
        <f t="shared" si="29"/>
        <v>5.5031581264421427E-8</v>
      </c>
      <c r="BG188" s="9">
        <f t="shared" si="30"/>
        <v>0.99955975128071139</v>
      </c>
    </row>
    <row r="189" spans="2:59" x14ac:dyDescent="0.3">
      <c r="B189" s="3" t="s">
        <v>278</v>
      </c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27"/>
        <v>0</v>
      </c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28"/>
        <v>0</v>
      </c>
      <c r="AF189" s="2" t="str">
        <f t="shared" si="35"/>
        <v/>
      </c>
      <c r="AG189" s="2" t="str">
        <f t="shared" si="35"/>
        <v/>
      </c>
      <c r="AH189" s="2" t="str">
        <f t="shared" si="35"/>
        <v/>
      </c>
      <c r="AI189" s="2" t="str">
        <f t="shared" si="35"/>
        <v/>
      </c>
      <c r="AJ189" s="2" t="str">
        <f t="shared" si="35"/>
        <v/>
      </c>
      <c r="AK189" s="2" t="str">
        <f t="shared" si="35"/>
        <v/>
      </c>
      <c r="AL189" s="2" t="str">
        <f t="shared" si="35"/>
        <v/>
      </c>
      <c r="AM189" s="2" t="str">
        <f t="shared" si="35"/>
        <v/>
      </c>
      <c r="AN189" s="2" t="str">
        <f t="shared" si="35"/>
        <v/>
      </c>
      <c r="AO189" s="2" t="str">
        <f t="shared" si="35"/>
        <v/>
      </c>
      <c r="AP189" s="2" t="str">
        <f t="shared" si="35"/>
        <v/>
      </c>
      <c r="AQ189" s="2" t="str">
        <f t="shared" si="35"/>
        <v/>
      </c>
      <c r="AR189" s="2" t="str">
        <f t="shared" si="35"/>
        <v/>
      </c>
      <c r="AT189" s="2" t="str">
        <f t="shared" si="36"/>
        <v/>
      </c>
      <c r="AU189" s="2" t="str">
        <f t="shared" si="36"/>
        <v/>
      </c>
      <c r="AV189" s="143" t="str">
        <f t="shared" si="38"/>
        <v/>
      </c>
      <c r="AW189" s="143" t="str">
        <f t="shared" si="38"/>
        <v/>
      </c>
      <c r="AX189" s="143" t="str">
        <f t="shared" si="38"/>
        <v/>
      </c>
      <c r="AY189" s="143" t="str">
        <f t="shared" si="37"/>
        <v/>
      </c>
      <c r="AZ189" s="143" t="str">
        <f t="shared" si="37"/>
        <v/>
      </c>
      <c r="BA189" s="143" t="str">
        <f t="shared" si="37"/>
        <v/>
      </c>
      <c r="BB189" s="143" t="str">
        <f t="shared" si="37"/>
        <v/>
      </c>
      <c r="BC189" s="143" t="str">
        <f t="shared" si="37"/>
        <v/>
      </c>
      <c r="BD189" s="143" t="str">
        <f t="shared" si="37"/>
        <v/>
      </c>
      <c r="BF189" s="9">
        <f t="shared" si="29"/>
        <v>0</v>
      </c>
      <c r="BG189" s="9">
        <f t="shared" si="30"/>
        <v>0.99955975128071139</v>
      </c>
    </row>
    <row r="190" spans="2:59" x14ac:dyDescent="0.3">
      <c r="B190" s="3" t="s">
        <v>272</v>
      </c>
      <c r="D190" s="141">
        <v>145518</v>
      </c>
      <c r="E190" s="141">
        <v>132885</v>
      </c>
      <c r="F190" s="141">
        <v>156697</v>
      </c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27"/>
        <v>435100</v>
      </c>
      <c r="R190" s="141">
        <v>9982</v>
      </c>
      <c r="S190" s="141">
        <v>11709</v>
      </c>
      <c r="T190" s="141">
        <v>13439</v>
      </c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28"/>
        <v>35130</v>
      </c>
      <c r="AF190" s="2">
        <f t="shared" si="35"/>
        <v>6.859632485328275E-2</v>
      </c>
      <c r="AG190" s="2">
        <f t="shared" si="35"/>
        <v>8.8113782593972234E-2</v>
      </c>
      <c r="AH190" s="2">
        <f t="shared" si="35"/>
        <v>8.5764245646055767E-2</v>
      </c>
      <c r="AI190" s="2" t="str">
        <f t="shared" si="35"/>
        <v/>
      </c>
      <c r="AJ190" s="2" t="str">
        <f t="shared" si="35"/>
        <v/>
      </c>
      <c r="AK190" s="2" t="str">
        <f t="shared" si="35"/>
        <v/>
      </c>
      <c r="AL190" s="2" t="str">
        <f t="shared" si="35"/>
        <v/>
      </c>
      <c r="AM190" s="2" t="str">
        <f t="shared" si="35"/>
        <v/>
      </c>
      <c r="AN190" s="2" t="str">
        <f t="shared" si="35"/>
        <v/>
      </c>
      <c r="AO190" s="2" t="str">
        <f t="shared" si="35"/>
        <v/>
      </c>
      <c r="AP190" s="2" t="str">
        <f t="shared" si="35"/>
        <v/>
      </c>
      <c r="AQ190" s="2" t="str">
        <f t="shared" si="35"/>
        <v/>
      </c>
      <c r="AR190" s="2">
        <f t="shared" si="35"/>
        <v>8.0740059756377838E-2</v>
      </c>
      <c r="AT190" s="2" t="str">
        <f t="shared" si="36"/>
        <v/>
      </c>
      <c r="AU190" s="2" t="str">
        <f t="shared" si="36"/>
        <v/>
      </c>
      <c r="AV190" s="143" t="str">
        <f t="shared" si="38"/>
        <v/>
      </c>
      <c r="AW190" s="143" t="str">
        <f t="shared" si="38"/>
        <v/>
      </c>
      <c r="AX190" s="143" t="str">
        <f t="shared" si="38"/>
        <v/>
      </c>
      <c r="AY190" s="143" t="str">
        <f t="shared" si="37"/>
        <v/>
      </c>
      <c r="AZ190" s="143" t="str">
        <f t="shared" si="37"/>
        <v/>
      </c>
      <c r="BA190" s="143" t="str">
        <f t="shared" si="37"/>
        <v/>
      </c>
      <c r="BB190" s="143" t="str">
        <f t="shared" si="37"/>
        <v/>
      </c>
      <c r="BC190" s="143" t="str">
        <f t="shared" si="37"/>
        <v/>
      </c>
      <c r="BD190" s="143" t="str">
        <f t="shared" si="37"/>
        <v/>
      </c>
      <c r="BF190" s="9">
        <f t="shared" si="29"/>
        <v>2.761799214027321E-5</v>
      </c>
      <c r="BG190" s="9">
        <f t="shared" si="30"/>
        <v>0.99958736927285163</v>
      </c>
    </row>
    <row r="191" spans="2:59" x14ac:dyDescent="0.3">
      <c r="B191" s="3" t="s">
        <v>281</v>
      </c>
      <c r="D191" s="141"/>
      <c r="E191" s="141">
        <v>432</v>
      </c>
      <c r="F191" s="141">
        <v>2124</v>
      </c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27"/>
        <v>2556</v>
      </c>
      <c r="R191" s="141"/>
      <c r="S191" s="141">
        <v>17</v>
      </c>
      <c r="T191" s="141">
        <v>34</v>
      </c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28"/>
        <v>51</v>
      </c>
      <c r="AF191" s="2" t="str">
        <f t="shared" si="35"/>
        <v/>
      </c>
      <c r="AG191" s="2">
        <f t="shared" si="35"/>
        <v>3.9351851851851853E-2</v>
      </c>
      <c r="AH191" s="2">
        <f t="shared" si="35"/>
        <v>1.60075329566855E-2</v>
      </c>
      <c r="AI191" s="2" t="str">
        <f t="shared" si="35"/>
        <v/>
      </c>
      <c r="AJ191" s="2" t="str">
        <f t="shared" si="35"/>
        <v/>
      </c>
      <c r="AK191" s="2" t="str">
        <f t="shared" si="35"/>
        <v/>
      </c>
      <c r="AL191" s="2" t="str">
        <f t="shared" si="35"/>
        <v/>
      </c>
      <c r="AM191" s="2" t="str">
        <f t="shared" si="35"/>
        <v/>
      </c>
      <c r="AN191" s="2" t="str">
        <f t="shared" si="35"/>
        <v/>
      </c>
      <c r="AO191" s="2" t="str">
        <f t="shared" si="35"/>
        <v/>
      </c>
      <c r="AP191" s="2" t="str">
        <f t="shared" si="35"/>
        <v/>
      </c>
      <c r="AQ191" s="2" t="str">
        <f t="shared" si="35"/>
        <v/>
      </c>
      <c r="AR191" s="2">
        <f t="shared" si="35"/>
        <v>1.9953051643192488E-2</v>
      </c>
      <c r="AT191" s="2" t="str">
        <f t="shared" si="36"/>
        <v/>
      </c>
      <c r="AU191" s="2" t="str">
        <f t="shared" si="36"/>
        <v/>
      </c>
      <c r="AV191" s="143" t="str">
        <f t="shared" si="38"/>
        <v/>
      </c>
      <c r="AW191" s="143" t="str">
        <f t="shared" si="38"/>
        <v/>
      </c>
      <c r="AX191" s="143" t="str">
        <f t="shared" si="38"/>
        <v/>
      </c>
      <c r="AY191" s="143" t="str">
        <f t="shared" si="37"/>
        <v/>
      </c>
      <c r="AZ191" s="143" t="str">
        <f t="shared" si="37"/>
        <v/>
      </c>
      <c r="BA191" s="143" t="str">
        <f t="shared" si="37"/>
        <v/>
      </c>
      <c r="BB191" s="143" t="str">
        <f t="shared" si="37"/>
        <v/>
      </c>
      <c r="BC191" s="143" t="str">
        <f t="shared" si="37"/>
        <v/>
      </c>
      <c r="BD191" s="143" t="str">
        <f t="shared" si="37"/>
        <v/>
      </c>
      <c r="BF191" s="9">
        <f t="shared" si="29"/>
        <v>4.0094437778364183E-8</v>
      </c>
      <c r="BG191" s="9">
        <f t="shared" si="30"/>
        <v>0.9995874093672894</v>
      </c>
    </row>
    <row r="192" spans="2:59" x14ac:dyDescent="0.3">
      <c r="B192" s="3" t="s">
        <v>275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27"/>
        <v>0</v>
      </c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28"/>
        <v>0</v>
      </c>
      <c r="AF192" s="2" t="str">
        <f t="shared" si="35"/>
        <v/>
      </c>
      <c r="AG192" s="2" t="str">
        <f t="shared" si="35"/>
        <v/>
      </c>
      <c r="AH192" s="2" t="str">
        <f t="shared" si="35"/>
        <v/>
      </c>
      <c r="AI192" s="2" t="str">
        <f t="shared" si="35"/>
        <v/>
      </c>
      <c r="AJ192" s="2" t="str">
        <f t="shared" si="35"/>
        <v/>
      </c>
      <c r="AK192" s="2" t="str">
        <f t="shared" si="35"/>
        <v/>
      </c>
      <c r="AL192" s="2" t="str">
        <f t="shared" si="35"/>
        <v/>
      </c>
      <c r="AM192" s="2" t="str">
        <f t="shared" si="35"/>
        <v/>
      </c>
      <c r="AN192" s="2" t="str">
        <f t="shared" ref="AN192:AR223" si="39">+IFERROR(Z192/L192,"")</f>
        <v/>
      </c>
      <c r="AO192" s="2" t="str">
        <f t="shared" si="39"/>
        <v/>
      </c>
      <c r="AP192" s="2" t="str">
        <f t="shared" si="39"/>
        <v/>
      </c>
      <c r="AQ192" s="2" t="str">
        <f t="shared" si="39"/>
        <v/>
      </c>
      <c r="AR192" s="2" t="str">
        <f t="shared" si="39"/>
        <v/>
      </c>
      <c r="AT192" s="2" t="str">
        <f t="shared" si="36"/>
        <v/>
      </c>
      <c r="AU192" s="2" t="str">
        <f t="shared" si="36"/>
        <v/>
      </c>
      <c r="AV192" s="143" t="str">
        <f t="shared" si="38"/>
        <v/>
      </c>
      <c r="AW192" s="143" t="str">
        <f t="shared" si="38"/>
        <v/>
      </c>
      <c r="AX192" s="143" t="str">
        <f t="shared" si="38"/>
        <v/>
      </c>
      <c r="AY192" s="143" t="str">
        <f t="shared" si="37"/>
        <v/>
      </c>
      <c r="AZ192" s="143" t="str">
        <f t="shared" si="37"/>
        <v/>
      </c>
      <c r="BA192" s="143" t="str">
        <f t="shared" si="37"/>
        <v/>
      </c>
      <c r="BB192" s="143" t="str">
        <f t="shared" si="37"/>
        <v/>
      </c>
      <c r="BC192" s="143" t="str">
        <f t="shared" si="37"/>
        <v/>
      </c>
      <c r="BD192" s="143" t="str">
        <f t="shared" si="37"/>
        <v/>
      </c>
      <c r="BF192" s="9">
        <f t="shared" si="29"/>
        <v>0</v>
      </c>
      <c r="BG192" s="9">
        <f t="shared" si="30"/>
        <v>0.9995874093672894</v>
      </c>
    </row>
    <row r="193" spans="2:59" x14ac:dyDescent="0.3">
      <c r="B193" s="3" t="s">
        <v>252</v>
      </c>
      <c r="D193" s="141">
        <v>417370</v>
      </c>
      <c r="E193" s="141">
        <v>333688</v>
      </c>
      <c r="F193" s="141">
        <v>1254025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27"/>
        <v>2005083</v>
      </c>
      <c r="R193" s="141">
        <v>26797</v>
      </c>
      <c r="S193" s="141">
        <v>21737</v>
      </c>
      <c r="T193" s="141">
        <v>139451</v>
      </c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28"/>
        <v>187985</v>
      </c>
      <c r="AF193" s="2">
        <f t="shared" ref="AF193:AM224" si="40">+IFERROR(R193/D193,"")</f>
        <v>6.4204422934087263E-2</v>
      </c>
      <c r="AG193" s="2">
        <f t="shared" si="40"/>
        <v>6.5141689242645823E-2</v>
      </c>
      <c r="AH193" s="2">
        <f t="shared" si="40"/>
        <v>0.11120272721835689</v>
      </c>
      <c r="AI193" s="2" t="str">
        <f t="shared" si="40"/>
        <v/>
      </c>
      <c r="AJ193" s="2" t="str">
        <f t="shared" si="40"/>
        <v/>
      </c>
      <c r="AK193" s="2" t="str">
        <f t="shared" si="40"/>
        <v/>
      </c>
      <c r="AL193" s="2" t="str">
        <f t="shared" si="40"/>
        <v/>
      </c>
      <c r="AM193" s="2" t="str">
        <f t="shared" si="40"/>
        <v/>
      </c>
      <c r="AN193" s="2" t="str">
        <f t="shared" si="39"/>
        <v/>
      </c>
      <c r="AO193" s="2" t="str">
        <f t="shared" si="39"/>
        <v/>
      </c>
      <c r="AP193" s="2" t="str">
        <f t="shared" si="39"/>
        <v/>
      </c>
      <c r="AQ193" s="2" t="str">
        <f t="shared" si="39"/>
        <v/>
      </c>
      <c r="AR193" s="2">
        <f t="shared" si="39"/>
        <v>9.3754223640617376E-2</v>
      </c>
      <c r="AT193" s="2" t="str">
        <f t="shared" si="36"/>
        <v/>
      </c>
      <c r="AU193" s="2" t="str">
        <f t="shared" si="36"/>
        <v/>
      </c>
      <c r="AV193" s="143" t="str">
        <f t="shared" si="38"/>
        <v/>
      </c>
      <c r="AW193" s="143" t="str">
        <f t="shared" si="38"/>
        <v/>
      </c>
      <c r="AX193" s="143" t="str">
        <f t="shared" si="38"/>
        <v/>
      </c>
      <c r="AY193" s="143" t="str">
        <f t="shared" si="37"/>
        <v/>
      </c>
      <c r="AZ193" s="143" t="str">
        <f t="shared" si="37"/>
        <v/>
      </c>
      <c r="BA193" s="143" t="str">
        <f t="shared" si="37"/>
        <v/>
      </c>
      <c r="BB193" s="143" t="str">
        <f t="shared" si="37"/>
        <v/>
      </c>
      <c r="BC193" s="143" t="str">
        <f t="shared" si="37"/>
        <v/>
      </c>
      <c r="BD193" s="143" t="str">
        <f t="shared" si="37"/>
        <v/>
      </c>
      <c r="BF193" s="9">
        <f t="shared" si="29"/>
        <v>1.4778731148560375E-4</v>
      </c>
      <c r="BG193" s="9">
        <f t="shared" si="30"/>
        <v>0.99973519667877497</v>
      </c>
    </row>
    <row r="194" spans="2:59" x14ac:dyDescent="0.3">
      <c r="B194" s="3" t="s">
        <v>259</v>
      </c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>
        <f t="shared" si="27"/>
        <v>0</v>
      </c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28"/>
        <v>0</v>
      </c>
      <c r="AF194" s="2" t="str">
        <f t="shared" si="40"/>
        <v/>
      </c>
      <c r="AG194" s="2" t="str">
        <f t="shared" si="40"/>
        <v/>
      </c>
      <c r="AH194" s="2" t="str">
        <f t="shared" si="40"/>
        <v/>
      </c>
      <c r="AI194" s="2" t="str">
        <f t="shared" si="40"/>
        <v/>
      </c>
      <c r="AJ194" s="2" t="str">
        <f t="shared" si="40"/>
        <v/>
      </c>
      <c r="AK194" s="2" t="str">
        <f t="shared" si="40"/>
        <v/>
      </c>
      <c r="AL194" s="2" t="str">
        <f t="shared" si="40"/>
        <v/>
      </c>
      <c r="AM194" s="2" t="str">
        <f t="shared" si="40"/>
        <v/>
      </c>
      <c r="AN194" s="2" t="str">
        <f t="shared" si="39"/>
        <v/>
      </c>
      <c r="AO194" s="2" t="str">
        <f t="shared" si="39"/>
        <v/>
      </c>
      <c r="AP194" s="2" t="str">
        <f t="shared" si="39"/>
        <v/>
      </c>
      <c r="AQ194" s="2" t="str">
        <f t="shared" si="39"/>
        <v/>
      </c>
      <c r="AR194" s="2" t="str">
        <f t="shared" si="39"/>
        <v/>
      </c>
      <c r="AT194" s="2" t="str">
        <f t="shared" si="36"/>
        <v/>
      </c>
      <c r="AU194" s="2" t="str">
        <f t="shared" si="36"/>
        <v/>
      </c>
      <c r="AV194" s="143" t="str">
        <f t="shared" si="38"/>
        <v/>
      </c>
      <c r="AW194" s="143" t="str">
        <f t="shared" si="38"/>
        <v/>
      </c>
      <c r="AX194" s="143" t="str">
        <f t="shared" si="38"/>
        <v/>
      </c>
      <c r="AY194" s="143" t="str">
        <f t="shared" si="37"/>
        <v/>
      </c>
      <c r="AZ194" s="143" t="str">
        <f t="shared" si="37"/>
        <v/>
      </c>
      <c r="BA194" s="143" t="str">
        <f t="shared" si="37"/>
        <v/>
      </c>
      <c r="BB194" s="143" t="str">
        <f t="shared" si="37"/>
        <v/>
      </c>
      <c r="BC194" s="143" t="str">
        <f t="shared" si="37"/>
        <v/>
      </c>
      <c r="BD194" s="143" t="str">
        <f t="shared" si="37"/>
        <v/>
      </c>
      <c r="BF194" s="9">
        <f t="shared" si="29"/>
        <v>0</v>
      </c>
      <c r="BG194" s="9">
        <f t="shared" si="30"/>
        <v>0.99973519667877497</v>
      </c>
    </row>
    <row r="195" spans="2:59" x14ac:dyDescent="0.3">
      <c r="B195" s="3" t="s">
        <v>249</v>
      </c>
      <c r="D195" s="141">
        <v>308106</v>
      </c>
      <c r="E195" s="141">
        <v>345907</v>
      </c>
      <c r="F195" s="141">
        <v>365101</v>
      </c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27"/>
        <v>1019114</v>
      </c>
      <c r="R195" s="141">
        <v>35165</v>
      </c>
      <c r="S195" s="141">
        <v>48626</v>
      </c>
      <c r="T195" s="141">
        <v>45426</v>
      </c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28"/>
        <v>129217</v>
      </c>
      <c r="AF195" s="2">
        <f t="shared" si="40"/>
        <v>0.11413279845248064</v>
      </c>
      <c r="AG195" s="2">
        <f t="shared" si="40"/>
        <v>0.14057535696010778</v>
      </c>
      <c r="AH195" s="2">
        <f t="shared" si="40"/>
        <v>0.12442036587136163</v>
      </c>
      <c r="AI195" s="2" t="str">
        <f t="shared" si="40"/>
        <v/>
      </c>
      <c r="AJ195" s="2" t="str">
        <f t="shared" si="40"/>
        <v/>
      </c>
      <c r="AK195" s="2" t="str">
        <f t="shared" si="40"/>
        <v/>
      </c>
      <c r="AL195" s="2" t="str">
        <f t="shared" si="40"/>
        <v/>
      </c>
      <c r="AM195" s="2" t="str">
        <f t="shared" si="40"/>
        <v/>
      </c>
      <c r="AN195" s="2" t="str">
        <f t="shared" si="39"/>
        <v/>
      </c>
      <c r="AO195" s="2" t="str">
        <f t="shared" si="39"/>
        <v/>
      </c>
      <c r="AP195" s="2" t="str">
        <f t="shared" si="39"/>
        <v/>
      </c>
      <c r="AQ195" s="2" t="str">
        <f t="shared" si="39"/>
        <v/>
      </c>
      <c r="AR195" s="2">
        <f t="shared" si="39"/>
        <v>0.12679346962165175</v>
      </c>
      <c r="AT195" s="2" t="str">
        <f t="shared" si="36"/>
        <v/>
      </c>
      <c r="AU195" s="2" t="str">
        <f t="shared" si="36"/>
        <v/>
      </c>
      <c r="AV195" s="143" t="str">
        <f t="shared" si="38"/>
        <v/>
      </c>
      <c r="AW195" s="143" t="str">
        <f t="shared" si="38"/>
        <v/>
      </c>
      <c r="AX195" s="143" t="str">
        <f t="shared" si="38"/>
        <v/>
      </c>
      <c r="AY195" s="143" t="str">
        <f t="shared" si="37"/>
        <v/>
      </c>
      <c r="AZ195" s="143" t="str">
        <f t="shared" si="37"/>
        <v/>
      </c>
      <c r="BA195" s="143" t="str">
        <f t="shared" si="37"/>
        <v/>
      </c>
      <c r="BB195" s="143" t="str">
        <f t="shared" si="37"/>
        <v/>
      </c>
      <c r="BC195" s="143" t="str">
        <f t="shared" si="37"/>
        <v/>
      </c>
      <c r="BD195" s="143" t="str">
        <f t="shared" si="37"/>
        <v/>
      </c>
      <c r="BF195" s="9">
        <f t="shared" si="29"/>
        <v>1.0158594051778205E-4</v>
      </c>
      <c r="BG195" s="9">
        <f t="shared" si="30"/>
        <v>0.99983678261929276</v>
      </c>
    </row>
    <row r="196" spans="2:59" x14ac:dyDescent="0.3">
      <c r="B196" s="3" t="s">
        <v>268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si="27"/>
        <v>0</v>
      </c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>
        <f t="shared" si="28"/>
        <v>0</v>
      </c>
      <c r="AF196" s="2" t="str">
        <f t="shared" si="40"/>
        <v/>
      </c>
      <c r="AG196" s="2" t="str">
        <f t="shared" si="40"/>
        <v/>
      </c>
      <c r="AH196" s="2" t="str">
        <f t="shared" si="40"/>
        <v/>
      </c>
      <c r="AI196" s="2" t="str">
        <f t="shared" si="40"/>
        <v/>
      </c>
      <c r="AJ196" s="2" t="str">
        <f t="shared" si="40"/>
        <v/>
      </c>
      <c r="AK196" s="2" t="str">
        <f t="shared" si="40"/>
        <v/>
      </c>
      <c r="AL196" s="2" t="str">
        <f t="shared" si="40"/>
        <v/>
      </c>
      <c r="AM196" s="2" t="str">
        <f t="shared" si="40"/>
        <v/>
      </c>
      <c r="AN196" s="2" t="str">
        <f t="shared" si="39"/>
        <v/>
      </c>
      <c r="AO196" s="2" t="str">
        <f t="shared" si="39"/>
        <v/>
      </c>
      <c r="AP196" s="2" t="str">
        <f t="shared" si="39"/>
        <v/>
      </c>
      <c r="AQ196" s="2" t="str">
        <f t="shared" si="39"/>
        <v/>
      </c>
      <c r="AR196" s="2" t="str">
        <f t="shared" si="39"/>
        <v/>
      </c>
      <c r="AT196" s="2" t="str">
        <f t="shared" si="36"/>
        <v/>
      </c>
      <c r="AU196" s="2" t="str">
        <f t="shared" si="36"/>
        <v/>
      </c>
      <c r="AV196" s="143" t="str">
        <f t="shared" si="38"/>
        <v/>
      </c>
      <c r="AW196" s="143" t="str">
        <f t="shared" si="38"/>
        <v/>
      </c>
      <c r="AX196" s="143" t="str">
        <f t="shared" si="38"/>
        <v/>
      </c>
      <c r="AY196" s="143" t="str">
        <f t="shared" si="37"/>
        <v/>
      </c>
      <c r="AZ196" s="143" t="str">
        <f t="shared" si="37"/>
        <v/>
      </c>
      <c r="BA196" s="143" t="str">
        <f t="shared" si="37"/>
        <v/>
      </c>
      <c r="BB196" s="143" t="str">
        <f t="shared" si="37"/>
        <v/>
      </c>
      <c r="BC196" s="143" t="str">
        <f t="shared" si="37"/>
        <v/>
      </c>
      <c r="BD196" s="143" t="str">
        <f t="shared" si="37"/>
        <v/>
      </c>
      <c r="BF196" s="9">
        <f t="shared" si="29"/>
        <v>0</v>
      </c>
      <c r="BG196" s="9">
        <f t="shared" si="30"/>
        <v>0.99983678261929276</v>
      </c>
    </row>
    <row r="197" spans="2:59" x14ac:dyDescent="0.3">
      <c r="B197" s="3" t="s">
        <v>263</v>
      </c>
      <c r="D197" s="141">
        <v>382840</v>
      </c>
      <c r="E197" s="141">
        <v>427795</v>
      </c>
      <c r="F197" s="141">
        <v>434363</v>
      </c>
      <c r="G197" s="141"/>
      <c r="H197" s="141"/>
      <c r="I197" s="141"/>
      <c r="J197" s="141"/>
      <c r="K197" s="141"/>
      <c r="L197" s="141"/>
      <c r="M197" s="141"/>
      <c r="N197" s="141"/>
      <c r="O197" s="141"/>
      <c r="P197" s="141">
        <f t="shared" ref="P197:P236" si="41">+SUM(D197:O197)</f>
        <v>1244998</v>
      </c>
      <c r="R197" s="141">
        <v>14866</v>
      </c>
      <c r="S197" s="141">
        <v>43926</v>
      </c>
      <c r="T197" s="141">
        <v>25614</v>
      </c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>
        <f t="shared" ref="AD197:AD236" si="42">+SUM(R197:AC197)</f>
        <v>84406</v>
      </c>
      <c r="AF197" s="2">
        <f t="shared" si="40"/>
        <v>3.8830843172082331E-2</v>
      </c>
      <c r="AG197" s="2">
        <f t="shared" si="40"/>
        <v>0.10268002197314134</v>
      </c>
      <c r="AH197" s="2">
        <f t="shared" si="40"/>
        <v>5.8969111089112104E-2</v>
      </c>
      <c r="AI197" s="2" t="str">
        <f t="shared" si="40"/>
        <v/>
      </c>
      <c r="AJ197" s="2" t="str">
        <f t="shared" si="40"/>
        <v/>
      </c>
      <c r="AK197" s="2" t="str">
        <f t="shared" si="40"/>
        <v/>
      </c>
      <c r="AL197" s="2" t="str">
        <f t="shared" si="40"/>
        <v/>
      </c>
      <c r="AM197" s="2" t="str">
        <f t="shared" si="40"/>
        <v/>
      </c>
      <c r="AN197" s="2" t="str">
        <f t="shared" si="39"/>
        <v/>
      </c>
      <c r="AO197" s="2" t="str">
        <f t="shared" si="39"/>
        <v/>
      </c>
      <c r="AP197" s="2" t="str">
        <f t="shared" si="39"/>
        <v/>
      </c>
      <c r="AQ197" s="2" t="str">
        <f t="shared" si="39"/>
        <v/>
      </c>
      <c r="AR197" s="2">
        <f t="shared" si="39"/>
        <v>6.7796092845129066E-2</v>
      </c>
      <c r="AT197" s="2" t="str">
        <f t="shared" si="36"/>
        <v/>
      </c>
      <c r="AU197" s="2" t="str">
        <f t="shared" si="36"/>
        <v/>
      </c>
      <c r="AV197" s="143" t="str">
        <f t="shared" si="38"/>
        <v/>
      </c>
      <c r="AW197" s="143" t="str">
        <f t="shared" si="38"/>
        <v/>
      </c>
      <c r="AX197" s="143" t="str">
        <f t="shared" si="38"/>
        <v/>
      </c>
      <c r="AY197" s="143" t="str">
        <f t="shared" si="37"/>
        <v/>
      </c>
      <c r="AZ197" s="143" t="str">
        <f t="shared" si="37"/>
        <v/>
      </c>
      <c r="BA197" s="143" t="str">
        <f t="shared" si="37"/>
        <v/>
      </c>
      <c r="BB197" s="143" t="str">
        <f t="shared" si="37"/>
        <v/>
      </c>
      <c r="BC197" s="143" t="str">
        <f t="shared" si="37"/>
        <v/>
      </c>
      <c r="BD197" s="143" t="str">
        <f t="shared" si="37"/>
        <v/>
      </c>
      <c r="BF197" s="9">
        <f t="shared" ref="BF197:BF236" si="43">+AD197/$AD$237</f>
        <v>6.6357080688639352E-5</v>
      </c>
      <c r="BG197" s="9">
        <f t="shared" si="30"/>
        <v>0.99990313969998135</v>
      </c>
    </row>
    <row r="198" spans="2:59" x14ac:dyDescent="0.3">
      <c r="B198" s="3" t="s">
        <v>280</v>
      </c>
      <c r="D198" s="141">
        <v>171800</v>
      </c>
      <c r="E198" s="141">
        <v>209331</v>
      </c>
      <c r="F198" s="141">
        <v>206858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1"/>
        <v>587989</v>
      </c>
      <c r="R198" s="141">
        <v>10985</v>
      </c>
      <c r="S198" s="141">
        <v>17698</v>
      </c>
      <c r="T198" s="141">
        <v>28591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2"/>
        <v>57274</v>
      </c>
      <c r="AF198" s="2">
        <f t="shared" si="40"/>
        <v>6.3940628637951108E-2</v>
      </c>
      <c r="AG198" s="2">
        <f t="shared" si="40"/>
        <v>8.4545528373723908E-2</v>
      </c>
      <c r="AH198" s="2">
        <f t="shared" si="40"/>
        <v>0.13821558750447166</v>
      </c>
      <c r="AI198" s="2" t="str">
        <f t="shared" si="40"/>
        <v/>
      </c>
      <c r="AJ198" s="2" t="str">
        <f t="shared" si="40"/>
        <v/>
      </c>
      <c r="AK198" s="2" t="str">
        <f t="shared" si="40"/>
        <v/>
      </c>
      <c r="AL198" s="2" t="str">
        <f t="shared" si="40"/>
        <v/>
      </c>
      <c r="AM198" s="2" t="str">
        <f t="shared" si="40"/>
        <v/>
      </c>
      <c r="AN198" s="2" t="str">
        <f t="shared" si="39"/>
        <v/>
      </c>
      <c r="AO198" s="2" t="str">
        <f t="shared" si="39"/>
        <v/>
      </c>
      <c r="AP198" s="2" t="str">
        <f t="shared" si="39"/>
        <v/>
      </c>
      <c r="AQ198" s="2" t="str">
        <f t="shared" si="39"/>
        <v/>
      </c>
      <c r="AR198" s="2">
        <f t="shared" si="39"/>
        <v>9.7406584136778065E-2</v>
      </c>
      <c r="AT198" s="2" t="str">
        <f t="shared" si="36"/>
        <v/>
      </c>
      <c r="AU198" s="2" t="str">
        <f t="shared" si="36"/>
        <v/>
      </c>
      <c r="AV198" s="143" t="str">
        <f t="shared" si="38"/>
        <v/>
      </c>
      <c r="AW198" s="143" t="str">
        <f t="shared" si="38"/>
        <v/>
      </c>
      <c r="AX198" s="143" t="str">
        <f t="shared" si="38"/>
        <v/>
      </c>
      <c r="AY198" s="143" t="str">
        <f t="shared" si="37"/>
        <v/>
      </c>
      <c r="AZ198" s="143" t="str">
        <f t="shared" si="37"/>
        <v/>
      </c>
      <c r="BA198" s="143" t="str">
        <f t="shared" si="37"/>
        <v/>
      </c>
      <c r="BB198" s="143" t="str">
        <f t="shared" si="37"/>
        <v/>
      </c>
      <c r="BC198" s="143" t="str">
        <f t="shared" si="37"/>
        <v/>
      </c>
      <c r="BD198" s="143" t="str">
        <f t="shared" si="37"/>
        <v/>
      </c>
      <c r="BF198" s="9">
        <f t="shared" si="43"/>
        <v>4.5026839790549613E-5</v>
      </c>
      <c r="BG198" s="9">
        <f t="shared" ref="BG198:BG236" si="44">+BF198+BG197</f>
        <v>0.99994816653977192</v>
      </c>
    </row>
    <row r="199" spans="2:59" x14ac:dyDescent="0.3">
      <c r="B199" s="3" t="s">
        <v>270</v>
      </c>
      <c r="D199" s="141">
        <v>132</v>
      </c>
      <c r="E199" s="141"/>
      <c r="F199" s="141">
        <v>2783</v>
      </c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1"/>
        <v>2915</v>
      </c>
      <c r="R199" s="141">
        <v>1</v>
      </c>
      <c r="S199" s="141"/>
      <c r="T199" s="141">
        <v>1220</v>
      </c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2"/>
        <v>1221</v>
      </c>
      <c r="AF199" s="2">
        <f t="shared" si="40"/>
        <v>7.575757575757576E-3</v>
      </c>
      <c r="AG199" s="2" t="str">
        <f t="shared" si="40"/>
        <v/>
      </c>
      <c r="AH199" s="2">
        <f t="shared" si="40"/>
        <v>0.43837585339561624</v>
      </c>
      <c r="AI199" s="2" t="str">
        <f t="shared" si="40"/>
        <v/>
      </c>
      <c r="AJ199" s="2" t="str">
        <f t="shared" si="40"/>
        <v/>
      </c>
      <c r="AK199" s="2" t="str">
        <f t="shared" si="40"/>
        <v/>
      </c>
      <c r="AL199" s="2" t="str">
        <f t="shared" si="40"/>
        <v/>
      </c>
      <c r="AM199" s="2" t="str">
        <f t="shared" si="40"/>
        <v/>
      </c>
      <c r="AN199" s="2" t="str">
        <f t="shared" si="39"/>
        <v/>
      </c>
      <c r="AO199" s="2" t="str">
        <f t="shared" si="39"/>
        <v/>
      </c>
      <c r="AP199" s="2" t="str">
        <f t="shared" si="39"/>
        <v/>
      </c>
      <c r="AQ199" s="2" t="str">
        <f t="shared" si="39"/>
        <v/>
      </c>
      <c r="AR199" s="2">
        <f t="shared" si="39"/>
        <v>0.4188679245283019</v>
      </c>
      <c r="AT199" s="2" t="str">
        <f t="shared" si="36"/>
        <v/>
      </c>
      <c r="AU199" s="2" t="str">
        <f t="shared" si="36"/>
        <v/>
      </c>
      <c r="AV199" s="143" t="str">
        <f t="shared" si="38"/>
        <v/>
      </c>
      <c r="AW199" s="143" t="str">
        <f t="shared" si="38"/>
        <v/>
      </c>
      <c r="AX199" s="143" t="str">
        <f t="shared" si="38"/>
        <v/>
      </c>
      <c r="AY199" s="143" t="str">
        <f t="shared" si="37"/>
        <v/>
      </c>
      <c r="AZ199" s="143" t="str">
        <f t="shared" si="37"/>
        <v/>
      </c>
      <c r="BA199" s="143" t="str">
        <f t="shared" si="37"/>
        <v/>
      </c>
      <c r="BB199" s="143" t="str">
        <f t="shared" si="37"/>
        <v/>
      </c>
      <c r="BC199" s="143" t="str">
        <f t="shared" si="37"/>
        <v/>
      </c>
      <c r="BD199" s="143" t="str">
        <f t="shared" si="37"/>
        <v/>
      </c>
      <c r="BF199" s="9">
        <f t="shared" si="43"/>
        <v>9.5990801034083669E-7</v>
      </c>
      <c r="BG199" s="9">
        <f t="shared" si="44"/>
        <v>0.99994912644778222</v>
      </c>
    </row>
    <row r="200" spans="2:59" x14ac:dyDescent="0.3">
      <c r="B200" s="3" t="s">
        <v>282</v>
      </c>
      <c r="D200" s="141">
        <v>46313</v>
      </c>
      <c r="E200" s="141">
        <v>50166</v>
      </c>
      <c r="F200" s="141">
        <v>42430</v>
      </c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1"/>
        <v>138909</v>
      </c>
      <c r="R200" s="141">
        <v>12161</v>
      </c>
      <c r="S200" s="141">
        <v>403</v>
      </c>
      <c r="T200" s="141">
        <v>2681</v>
      </c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2"/>
        <v>15245</v>
      </c>
      <c r="AF200" s="2">
        <f t="shared" si="40"/>
        <v>0.26258286010407444</v>
      </c>
      <c r="AG200" s="2">
        <f t="shared" si="40"/>
        <v>8.03332934656939E-3</v>
      </c>
      <c r="AH200" s="2">
        <f t="shared" si="40"/>
        <v>6.318642469950507E-2</v>
      </c>
      <c r="AI200" s="2" t="str">
        <f t="shared" si="40"/>
        <v/>
      </c>
      <c r="AJ200" s="2" t="str">
        <f t="shared" si="40"/>
        <v/>
      </c>
      <c r="AK200" s="2" t="str">
        <f t="shared" si="40"/>
        <v/>
      </c>
      <c r="AL200" s="2" t="str">
        <f t="shared" si="40"/>
        <v/>
      </c>
      <c r="AM200" s="2" t="str">
        <f t="shared" si="40"/>
        <v/>
      </c>
      <c r="AN200" s="2" t="str">
        <f t="shared" si="39"/>
        <v/>
      </c>
      <c r="AO200" s="2" t="str">
        <f t="shared" si="39"/>
        <v/>
      </c>
      <c r="AP200" s="2" t="str">
        <f t="shared" si="39"/>
        <v/>
      </c>
      <c r="AQ200" s="2" t="str">
        <f t="shared" si="39"/>
        <v/>
      </c>
      <c r="AR200" s="2">
        <f t="shared" si="39"/>
        <v>0.10974810847389298</v>
      </c>
      <c r="AT200" s="2" t="str">
        <f t="shared" si="36"/>
        <v/>
      </c>
      <c r="AU200" s="2" t="str">
        <f t="shared" si="36"/>
        <v/>
      </c>
      <c r="AV200" s="143" t="str">
        <f t="shared" si="38"/>
        <v/>
      </c>
      <c r="AW200" s="143" t="str">
        <f t="shared" si="38"/>
        <v/>
      </c>
      <c r="AX200" s="143" t="str">
        <f t="shared" si="38"/>
        <v/>
      </c>
      <c r="AY200" s="143" t="str">
        <f t="shared" si="37"/>
        <v/>
      </c>
      <c r="AZ200" s="143" t="str">
        <f t="shared" si="37"/>
        <v/>
      </c>
      <c r="BA200" s="143" t="str">
        <f t="shared" si="37"/>
        <v/>
      </c>
      <c r="BB200" s="143" t="str">
        <f t="shared" si="37"/>
        <v/>
      </c>
      <c r="BC200" s="143" t="str">
        <f t="shared" si="37"/>
        <v/>
      </c>
      <c r="BD200" s="143" t="str">
        <f t="shared" si="37"/>
        <v/>
      </c>
      <c r="BF200" s="9">
        <f t="shared" si="43"/>
        <v>1.1985092233944352E-5</v>
      </c>
      <c r="BG200" s="9">
        <f t="shared" si="44"/>
        <v>0.99996111154001621</v>
      </c>
    </row>
    <row r="201" spans="2:59" x14ac:dyDescent="0.3">
      <c r="B201" s="3" t="s">
        <v>283</v>
      </c>
      <c r="D201" s="141">
        <v>8552</v>
      </c>
      <c r="E201" s="141">
        <v>11462</v>
      </c>
      <c r="F201" s="141">
        <v>61296</v>
      </c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1"/>
        <v>81310</v>
      </c>
      <c r="R201" s="141">
        <v>1055</v>
      </c>
      <c r="S201" s="141">
        <v>759</v>
      </c>
      <c r="T201" s="141">
        <v>9031</v>
      </c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2"/>
        <v>10845</v>
      </c>
      <c r="AF201" s="2">
        <f t="shared" si="40"/>
        <v>0.12336295603367634</v>
      </c>
      <c r="AG201" s="2">
        <f t="shared" si="40"/>
        <v>6.6218809980806148E-2</v>
      </c>
      <c r="AH201" s="2">
        <f t="shared" si="40"/>
        <v>0.14733424693291569</v>
      </c>
      <c r="AI201" s="2" t="str">
        <f t="shared" si="40"/>
        <v/>
      </c>
      <c r="AJ201" s="2" t="str">
        <f t="shared" si="40"/>
        <v/>
      </c>
      <c r="AK201" s="2" t="str">
        <f t="shared" si="40"/>
        <v/>
      </c>
      <c r="AL201" s="2" t="str">
        <f t="shared" si="40"/>
        <v/>
      </c>
      <c r="AM201" s="2" t="str">
        <f t="shared" si="40"/>
        <v/>
      </c>
      <c r="AN201" s="2" t="str">
        <f t="shared" si="39"/>
        <v/>
      </c>
      <c r="AO201" s="2" t="str">
        <f t="shared" si="39"/>
        <v/>
      </c>
      <c r="AP201" s="2" t="str">
        <f t="shared" si="39"/>
        <v/>
      </c>
      <c r="AQ201" s="2" t="str">
        <f t="shared" si="39"/>
        <v/>
      </c>
      <c r="AR201" s="2">
        <f t="shared" si="39"/>
        <v>0.13337842823760915</v>
      </c>
      <c r="AT201" s="2" t="str">
        <f t="shared" si="36"/>
        <v/>
      </c>
      <c r="AU201" s="2" t="str">
        <f t="shared" si="36"/>
        <v/>
      </c>
      <c r="AV201" s="143" t="str">
        <f t="shared" si="38"/>
        <v/>
      </c>
      <c r="AW201" s="143" t="str">
        <f t="shared" si="38"/>
        <v/>
      </c>
      <c r="AX201" s="143" t="str">
        <f t="shared" si="38"/>
        <v/>
      </c>
      <c r="AY201" s="143" t="str">
        <f t="shared" si="37"/>
        <v/>
      </c>
      <c r="AZ201" s="143" t="str">
        <f t="shared" si="37"/>
        <v/>
      </c>
      <c r="BA201" s="143" t="str">
        <f t="shared" si="37"/>
        <v/>
      </c>
      <c r="BB201" s="143" t="str">
        <f t="shared" si="37"/>
        <v/>
      </c>
      <c r="BC201" s="143" t="str">
        <f t="shared" si="37"/>
        <v/>
      </c>
      <c r="BD201" s="143" t="str">
        <f t="shared" si="37"/>
        <v/>
      </c>
      <c r="BF201" s="9">
        <f t="shared" si="43"/>
        <v>8.5259642687521489E-6</v>
      </c>
      <c r="BG201" s="9">
        <f t="shared" si="44"/>
        <v>0.99996963750428491</v>
      </c>
    </row>
    <row r="202" spans="2:59" x14ac:dyDescent="0.3">
      <c r="B202" s="3" t="s">
        <v>284</v>
      </c>
      <c r="D202" s="141">
        <v>20907</v>
      </c>
      <c r="E202" s="141">
        <v>20344</v>
      </c>
      <c r="F202" s="141">
        <v>23413</v>
      </c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1"/>
        <v>64664</v>
      </c>
      <c r="R202" s="141">
        <v>1846</v>
      </c>
      <c r="S202" s="141">
        <v>1965</v>
      </c>
      <c r="T202" s="141">
        <v>2083</v>
      </c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2"/>
        <v>5894</v>
      </c>
      <c r="AF202" s="2">
        <f t="shared" si="40"/>
        <v>8.8295786100349161E-2</v>
      </c>
      <c r="AG202" s="2">
        <f t="shared" si="40"/>
        <v>9.6588674793550919E-2</v>
      </c>
      <c r="AH202" s="2">
        <f t="shared" si="40"/>
        <v>8.8967667535130052E-2</v>
      </c>
      <c r="AI202" s="2" t="str">
        <f t="shared" si="40"/>
        <v/>
      </c>
      <c r="AJ202" s="2" t="str">
        <f t="shared" si="40"/>
        <v/>
      </c>
      <c r="AK202" s="2" t="str">
        <f t="shared" si="40"/>
        <v/>
      </c>
      <c r="AL202" s="2" t="str">
        <f t="shared" si="40"/>
        <v/>
      </c>
      <c r="AM202" s="2" t="str">
        <f t="shared" si="40"/>
        <v/>
      </c>
      <c r="AN202" s="2" t="str">
        <f t="shared" si="39"/>
        <v/>
      </c>
      <c r="AO202" s="2" t="str">
        <f t="shared" si="39"/>
        <v/>
      </c>
      <c r="AP202" s="2" t="str">
        <f t="shared" si="39"/>
        <v/>
      </c>
      <c r="AQ202" s="2" t="str">
        <f t="shared" si="39"/>
        <v/>
      </c>
      <c r="AR202" s="2">
        <f t="shared" si="39"/>
        <v>9.1148088580972411E-2</v>
      </c>
      <c r="AT202" s="2" t="str">
        <f t="shared" si="36"/>
        <v/>
      </c>
      <c r="AU202" s="2" t="str">
        <f t="shared" si="36"/>
        <v/>
      </c>
      <c r="AV202" s="143" t="str">
        <f t="shared" si="38"/>
        <v/>
      </c>
      <c r="AW202" s="143" t="str">
        <f t="shared" si="38"/>
        <v/>
      </c>
      <c r="AX202" s="143" t="str">
        <f t="shared" si="38"/>
        <v/>
      </c>
      <c r="AY202" s="143" t="str">
        <f t="shared" si="37"/>
        <v/>
      </c>
      <c r="AZ202" s="143" t="str">
        <f t="shared" si="37"/>
        <v/>
      </c>
      <c r="BA202" s="143" t="str">
        <f t="shared" si="37"/>
        <v/>
      </c>
      <c r="BB202" s="143" t="str">
        <f t="shared" si="37"/>
        <v/>
      </c>
      <c r="BC202" s="143" t="str">
        <f t="shared" si="37"/>
        <v/>
      </c>
      <c r="BD202" s="143" t="str">
        <f t="shared" si="37"/>
        <v/>
      </c>
      <c r="BF202" s="9">
        <f t="shared" si="43"/>
        <v>4.6336591424642846E-6</v>
      </c>
      <c r="BG202" s="9">
        <f t="shared" si="44"/>
        <v>0.99997427116342741</v>
      </c>
    </row>
    <row r="203" spans="2:59" x14ac:dyDescent="0.3">
      <c r="B203" s="3" t="s">
        <v>285</v>
      </c>
      <c r="D203" s="141">
        <v>184473</v>
      </c>
      <c r="E203" s="141">
        <v>157042</v>
      </c>
      <c r="F203" s="141">
        <v>190844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1"/>
        <v>532359</v>
      </c>
      <c r="R203" s="141">
        <v>8287</v>
      </c>
      <c r="S203" s="141">
        <v>9678</v>
      </c>
      <c r="T203" s="141">
        <v>14762</v>
      </c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2"/>
        <v>32727</v>
      </c>
      <c r="AF203" s="2">
        <f t="shared" si="40"/>
        <v>4.4922563193529677E-2</v>
      </c>
      <c r="AG203" s="2">
        <f t="shared" si="40"/>
        <v>6.1626825944651749E-2</v>
      </c>
      <c r="AH203" s="2">
        <f t="shared" si="40"/>
        <v>7.7351134958395337E-2</v>
      </c>
      <c r="AI203" s="2" t="str">
        <f t="shared" si="40"/>
        <v/>
      </c>
      <c r="AJ203" s="2" t="str">
        <f t="shared" si="40"/>
        <v/>
      </c>
      <c r="AK203" s="2" t="str">
        <f t="shared" si="40"/>
        <v/>
      </c>
      <c r="AL203" s="2" t="str">
        <f t="shared" si="40"/>
        <v/>
      </c>
      <c r="AM203" s="2" t="str">
        <f t="shared" si="40"/>
        <v/>
      </c>
      <c r="AN203" s="2" t="str">
        <f t="shared" si="39"/>
        <v/>
      </c>
      <c r="AO203" s="2" t="str">
        <f t="shared" si="39"/>
        <v/>
      </c>
      <c r="AP203" s="2" t="str">
        <f t="shared" si="39"/>
        <v/>
      </c>
      <c r="AQ203" s="2" t="str">
        <f t="shared" si="39"/>
        <v/>
      </c>
      <c r="AR203" s="2">
        <f t="shared" si="39"/>
        <v>6.1475432931536803E-2</v>
      </c>
      <c r="AT203" s="2" t="str">
        <f t="shared" si="36"/>
        <v/>
      </c>
      <c r="AU203" s="2" t="str">
        <f t="shared" si="36"/>
        <v/>
      </c>
      <c r="AV203" s="143" t="str">
        <f t="shared" si="38"/>
        <v/>
      </c>
      <c r="AW203" s="143" t="str">
        <f t="shared" si="38"/>
        <v/>
      </c>
      <c r="AX203" s="143" t="str">
        <f t="shared" si="38"/>
        <v/>
      </c>
      <c r="AY203" s="143" t="str">
        <f t="shared" si="37"/>
        <v/>
      </c>
      <c r="AZ203" s="143" t="str">
        <f t="shared" si="37"/>
        <v/>
      </c>
      <c r="BA203" s="143" t="str">
        <f t="shared" si="37"/>
        <v/>
      </c>
      <c r="BB203" s="143" t="str">
        <f t="shared" si="37"/>
        <v/>
      </c>
      <c r="BC203" s="143" t="str">
        <f t="shared" si="37"/>
        <v/>
      </c>
      <c r="BD203" s="143" t="str">
        <f t="shared" si="37"/>
        <v/>
      </c>
      <c r="BF203" s="9">
        <f t="shared" si="43"/>
        <v>2.5728836572010286E-5</v>
      </c>
      <c r="BG203" s="9">
        <f t="shared" si="44"/>
        <v>0.99999999999999944</v>
      </c>
    </row>
    <row r="204" spans="2:59" x14ac:dyDescent="0.3">
      <c r="B204" s="3" t="s">
        <v>286</v>
      </c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1"/>
        <v>0</v>
      </c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2"/>
        <v>0</v>
      </c>
      <c r="AF204" s="2" t="str">
        <f t="shared" si="40"/>
        <v/>
      </c>
      <c r="AG204" s="2" t="str">
        <f t="shared" si="40"/>
        <v/>
      </c>
      <c r="AH204" s="2" t="str">
        <f t="shared" si="40"/>
        <v/>
      </c>
      <c r="AI204" s="2" t="str">
        <f t="shared" si="40"/>
        <v/>
      </c>
      <c r="AJ204" s="2" t="str">
        <f t="shared" si="40"/>
        <v/>
      </c>
      <c r="AK204" s="2" t="str">
        <f t="shared" si="40"/>
        <v/>
      </c>
      <c r="AL204" s="2" t="str">
        <f t="shared" si="40"/>
        <v/>
      </c>
      <c r="AM204" s="2" t="str">
        <f t="shared" si="40"/>
        <v/>
      </c>
      <c r="AN204" s="2" t="str">
        <f t="shared" si="39"/>
        <v/>
      </c>
      <c r="AO204" s="2" t="str">
        <f t="shared" si="39"/>
        <v/>
      </c>
      <c r="AP204" s="2" t="str">
        <f t="shared" si="39"/>
        <v/>
      </c>
      <c r="AQ204" s="2" t="str">
        <f t="shared" si="39"/>
        <v/>
      </c>
      <c r="AR204" s="2" t="str">
        <f t="shared" si="39"/>
        <v/>
      </c>
      <c r="AT204" s="2" t="str">
        <f t="shared" si="36"/>
        <v/>
      </c>
      <c r="AU204" s="2" t="str">
        <f t="shared" si="36"/>
        <v/>
      </c>
      <c r="AV204" s="143" t="str">
        <f t="shared" si="38"/>
        <v/>
      </c>
      <c r="AW204" s="143" t="str">
        <f t="shared" si="38"/>
        <v/>
      </c>
      <c r="AX204" s="143" t="str">
        <f t="shared" si="38"/>
        <v/>
      </c>
      <c r="AY204" s="143" t="str">
        <f t="shared" si="37"/>
        <v/>
      </c>
      <c r="AZ204" s="143" t="str">
        <f t="shared" si="37"/>
        <v/>
      </c>
      <c r="BA204" s="143" t="str">
        <f t="shared" si="37"/>
        <v/>
      </c>
      <c r="BB204" s="143" t="str">
        <f t="shared" si="37"/>
        <v/>
      </c>
      <c r="BC204" s="143" t="str">
        <f t="shared" si="37"/>
        <v/>
      </c>
      <c r="BD204" s="143" t="str">
        <f t="shared" si="37"/>
        <v/>
      </c>
      <c r="BF204" s="9">
        <f t="shared" si="43"/>
        <v>0</v>
      </c>
      <c r="BG204" s="9">
        <f t="shared" si="44"/>
        <v>0.99999999999999944</v>
      </c>
    </row>
    <row r="205" spans="2:59" x14ac:dyDescent="0.3">
      <c r="B205" s="3" t="s">
        <v>297</v>
      </c>
      <c r="D205" s="141">
        <v>1912501</v>
      </c>
      <c r="E205" s="141">
        <v>1767804</v>
      </c>
      <c r="F205" s="141">
        <v>1843782</v>
      </c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1"/>
        <v>5524087</v>
      </c>
      <c r="R205" s="141">
        <v>141504</v>
      </c>
      <c r="S205" s="141">
        <v>140781</v>
      </c>
      <c r="T205" s="141">
        <v>138268</v>
      </c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2"/>
        <v>420553</v>
      </c>
      <c r="AF205" s="2">
        <f t="shared" si="40"/>
        <v>7.3988980920794284E-2</v>
      </c>
      <c r="AG205" s="2">
        <f t="shared" si="40"/>
        <v>7.963609087885308E-2</v>
      </c>
      <c r="AH205" s="2">
        <f t="shared" si="40"/>
        <v>7.4991512011723729E-2</v>
      </c>
      <c r="AI205" s="2" t="str">
        <f t="shared" si="40"/>
        <v/>
      </c>
      <c r="AJ205" s="2" t="str">
        <f t="shared" si="40"/>
        <v/>
      </c>
      <c r="AK205" s="2" t="str">
        <f t="shared" si="40"/>
        <v/>
      </c>
      <c r="AL205" s="2" t="str">
        <f t="shared" si="40"/>
        <v/>
      </c>
      <c r="AM205" s="2" t="str">
        <f t="shared" si="40"/>
        <v/>
      </c>
      <c r="AN205" s="2" t="str">
        <f t="shared" si="39"/>
        <v/>
      </c>
      <c r="AO205" s="2" t="str">
        <f t="shared" si="39"/>
        <v/>
      </c>
      <c r="AP205" s="2" t="str">
        <f t="shared" si="39"/>
        <v/>
      </c>
      <c r="AQ205" s="2" t="str">
        <f t="shared" si="39"/>
        <v/>
      </c>
      <c r="AR205" s="2">
        <f t="shared" si="39"/>
        <v>7.6130770568964612E-2</v>
      </c>
      <c r="AT205" s="2"/>
      <c r="AU205" s="2"/>
      <c r="AV205" s="143"/>
      <c r="AW205" s="143"/>
      <c r="AX205" s="143"/>
      <c r="AY205" s="143"/>
      <c r="AZ205" s="143"/>
      <c r="BA205" s="143"/>
      <c r="BB205" s="143"/>
      <c r="BC205" s="143"/>
      <c r="BD205" s="143"/>
      <c r="BF205" s="9">
        <f t="shared" si="43"/>
        <v>3.3062423707851753E-4</v>
      </c>
      <c r="BG205" s="9">
        <f t="shared" si="44"/>
        <v>1.000330624237078</v>
      </c>
    </row>
    <row r="206" spans="2:59" x14ac:dyDescent="0.3">
      <c r="B206" s="3" t="s">
        <v>299</v>
      </c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1"/>
        <v>0</v>
      </c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2"/>
        <v>0</v>
      </c>
      <c r="AF206" s="2" t="str">
        <f t="shared" si="40"/>
        <v/>
      </c>
      <c r="AG206" s="2" t="str">
        <f t="shared" si="40"/>
        <v/>
      </c>
      <c r="AH206" s="2" t="str">
        <f t="shared" si="40"/>
        <v/>
      </c>
      <c r="AI206" s="2" t="str">
        <f t="shared" si="40"/>
        <v/>
      </c>
      <c r="AJ206" s="2" t="str">
        <f t="shared" si="40"/>
        <v/>
      </c>
      <c r="AK206" s="2" t="str">
        <f t="shared" si="40"/>
        <v/>
      </c>
      <c r="AL206" s="2" t="str">
        <f t="shared" si="40"/>
        <v/>
      </c>
      <c r="AM206" s="2" t="str">
        <f t="shared" si="40"/>
        <v/>
      </c>
      <c r="AN206" s="2" t="str">
        <f t="shared" si="39"/>
        <v/>
      </c>
      <c r="AO206" s="2" t="str">
        <f t="shared" si="39"/>
        <v/>
      </c>
      <c r="AP206" s="2" t="str">
        <f t="shared" si="39"/>
        <v/>
      </c>
      <c r="AQ206" s="2" t="str">
        <f t="shared" si="39"/>
        <v/>
      </c>
      <c r="AR206" s="2" t="str">
        <f t="shared" si="39"/>
        <v/>
      </c>
      <c r="AT206" s="2"/>
      <c r="AU206" s="2"/>
      <c r="AV206" s="143"/>
      <c r="AW206" s="143"/>
      <c r="AX206" s="143"/>
      <c r="AY206" s="143"/>
      <c r="AZ206" s="143"/>
      <c r="BA206" s="143"/>
      <c r="BB206" s="143"/>
      <c r="BC206" s="143"/>
      <c r="BD206" s="143"/>
      <c r="BF206" s="9">
        <f t="shared" si="43"/>
        <v>0</v>
      </c>
      <c r="BG206" s="9">
        <f t="shared" si="44"/>
        <v>1.000330624237078</v>
      </c>
    </row>
    <row r="207" spans="2:59" x14ac:dyDescent="0.3">
      <c r="B207" s="3" t="s">
        <v>293</v>
      </c>
      <c r="D207" s="141">
        <v>15409</v>
      </c>
      <c r="E207" s="141">
        <v>13017</v>
      </c>
      <c r="F207" s="141">
        <v>12458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1"/>
        <v>40884</v>
      </c>
      <c r="R207" s="141">
        <v>5193</v>
      </c>
      <c r="S207" s="141">
        <v>627</v>
      </c>
      <c r="T207" s="141">
        <v>467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2"/>
        <v>6287</v>
      </c>
      <c r="AF207" s="2">
        <f t="shared" si="40"/>
        <v>0.33701083782205205</v>
      </c>
      <c r="AG207" s="2">
        <f t="shared" si="40"/>
        <v>4.8167780594607051E-2</v>
      </c>
      <c r="AH207" s="2">
        <f t="shared" si="40"/>
        <v>3.7485952801412745E-2</v>
      </c>
      <c r="AI207" s="2" t="str">
        <f t="shared" si="40"/>
        <v/>
      </c>
      <c r="AJ207" s="2" t="str">
        <f t="shared" si="40"/>
        <v/>
      </c>
      <c r="AK207" s="2" t="str">
        <f t="shared" si="40"/>
        <v/>
      </c>
      <c r="AL207" s="2" t="str">
        <f t="shared" si="40"/>
        <v/>
      </c>
      <c r="AM207" s="2" t="str">
        <f t="shared" si="40"/>
        <v/>
      </c>
      <c r="AN207" s="2" t="str">
        <f t="shared" si="39"/>
        <v/>
      </c>
      <c r="AO207" s="2" t="str">
        <f t="shared" si="39"/>
        <v/>
      </c>
      <c r="AP207" s="2" t="str">
        <f t="shared" si="39"/>
        <v/>
      </c>
      <c r="AQ207" s="2" t="str">
        <f t="shared" si="39"/>
        <v/>
      </c>
      <c r="AR207" s="2">
        <f t="shared" si="39"/>
        <v>0.15377653849916839</v>
      </c>
      <c r="AT207" s="2"/>
      <c r="AU207" s="2"/>
      <c r="AV207" s="143"/>
      <c r="AW207" s="143"/>
      <c r="AX207" s="143"/>
      <c r="AY207" s="143"/>
      <c r="AZ207" s="143"/>
      <c r="BA207" s="143"/>
      <c r="BB207" s="143"/>
      <c r="BC207" s="143"/>
      <c r="BD207" s="143"/>
      <c r="BF207" s="9">
        <f t="shared" si="43"/>
        <v>4.9426221629916787E-6</v>
      </c>
      <c r="BG207" s="9">
        <f t="shared" si="44"/>
        <v>1.0003355668592409</v>
      </c>
    </row>
    <row r="208" spans="2:59" x14ac:dyDescent="0.3">
      <c r="B208" s="3" t="s">
        <v>301</v>
      </c>
      <c r="D208" s="141"/>
      <c r="E208" s="141">
        <v>148</v>
      </c>
      <c r="F208" s="141">
        <v>75</v>
      </c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1"/>
        <v>223</v>
      </c>
      <c r="R208" s="141"/>
      <c r="S208" s="141">
        <v>6</v>
      </c>
      <c r="T208" s="141">
        <v>0</v>
      </c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2"/>
        <v>6</v>
      </c>
      <c r="AF208" s="2" t="str">
        <f t="shared" si="40"/>
        <v/>
      </c>
      <c r="AG208" s="2">
        <f t="shared" si="40"/>
        <v>4.0540540540540543E-2</v>
      </c>
      <c r="AH208" s="2">
        <f t="shared" si="40"/>
        <v>0</v>
      </c>
      <c r="AI208" s="2" t="str">
        <f t="shared" si="40"/>
        <v/>
      </c>
      <c r="AJ208" s="2" t="str">
        <f t="shared" si="40"/>
        <v/>
      </c>
      <c r="AK208" s="2" t="str">
        <f t="shared" si="40"/>
        <v/>
      </c>
      <c r="AL208" s="2" t="str">
        <f t="shared" si="40"/>
        <v/>
      </c>
      <c r="AM208" s="2" t="str">
        <f t="shared" si="40"/>
        <v/>
      </c>
      <c r="AN208" s="2" t="str">
        <f t="shared" si="39"/>
        <v/>
      </c>
      <c r="AO208" s="2" t="str">
        <f t="shared" si="39"/>
        <v/>
      </c>
      <c r="AP208" s="2" t="str">
        <f t="shared" si="39"/>
        <v/>
      </c>
      <c r="AQ208" s="2" t="str">
        <f t="shared" si="39"/>
        <v/>
      </c>
      <c r="AR208" s="2">
        <f t="shared" si="39"/>
        <v>2.6905829596412557E-2</v>
      </c>
      <c r="AT208" s="2"/>
      <c r="AU208" s="2"/>
      <c r="AV208" s="143"/>
      <c r="AW208" s="143"/>
      <c r="AX208" s="143"/>
      <c r="AY208" s="143"/>
      <c r="AZ208" s="143"/>
      <c r="BA208" s="143"/>
      <c r="BB208" s="143"/>
      <c r="BC208" s="143"/>
      <c r="BD208" s="143"/>
      <c r="BF208" s="9">
        <f t="shared" si="43"/>
        <v>4.7169926798075513E-9</v>
      </c>
      <c r="BG208" s="9">
        <f t="shared" si="44"/>
        <v>1.0003355715762334</v>
      </c>
    </row>
    <row r="209" spans="2:59" x14ac:dyDescent="0.3">
      <c r="B209" s="3" t="s">
        <v>456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1"/>
        <v>0</v>
      </c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2"/>
        <v>0</v>
      </c>
      <c r="AF209" s="2" t="str">
        <f t="shared" si="40"/>
        <v/>
      </c>
      <c r="AG209" s="2" t="str">
        <f t="shared" si="40"/>
        <v/>
      </c>
      <c r="AH209" s="2" t="str">
        <f t="shared" si="40"/>
        <v/>
      </c>
      <c r="AI209" s="2" t="str">
        <f t="shared" si="40"/>
        <v/>
      </c>
      <c r="AJ209" s="2" t="str">
        <f t="shared" si="40"/>
        <v/>
      </c>
      <c r="AK209" s="2" t="str">
        <f t="shared" si="40"/>
        <v/>
      </c>
      <c r="AL209" s="2" t="str">
        <f t="shared" si="40"/>
        <v/>
      </c>
      <c r="AM209" s="2" t="str">
        <f t="shared" si="40"/>
        <v/>
      </c>
      <c r="AN209" s="2" t="str">
        <f t="shared" si="39"/>
        <v/>
      </c>
      <c r="AO209" s="2" t="str">
        <f t="shared" si="39"/>
        <v/>
      </c>
      <c r="AP209" s="2" t="str">
        <f t="shared" si="39"/>
        <v/>
      </c>
      <c r="AQ209" s="2" t="str">
        <f t="shared" si="39"/>
        <v/>
      </c>
      <c r="AR209" s="2" t="str">
        <f t="shared" si="39"/>
        <v/>
      </c>
      <c r="AT209" s="2"/>
      <c r="AU209" s="2"/>
      <c r="AV209" s="143"/>
      <c r="AW209" s="143"/>
      <c r="AX209" s="143"/>
      <c r="AY209" s="143"/>
      <c r="AZ209" s="143"/>
      <c r="BA209" s="143"/>
      <c r="BB209" s="143"/>
      <c r="BC209" s="143"/>
      <c r="BD209" s="143"/>
      <c r="BF209" s="9">
        <f t="shared" si="43"/>
        <v>0</v>
      </c>
      <c r="BG209" s="9">
        <f t="shared" si="44"/>
        <v>1.0003355715762334</v>
      </c>
    </row>
    <row r="210" spans="2:59" x14ac:dyDescent="0.3">
      <c r="B210" s="3" t="s">
        <v>303</v>
      </c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1"/>
        <v>0</v>
      </c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2"/>
        <v>0</v>
      </c>
      <c r="AF210" s="2" t="str">
        <f t="shared" si="40"/>
        <v/>
      </c>
      <c r="AG210" s="2" t="str">
        <f t="shared" si="40"/>
        <v/>
      </c>
      <c r="AH210" s="2" t="str">
        <f t="shared" si="40"/>
        <v/>
      </c>
      <c r="AI210" s="2" t="str">
        <f t="shared" si="40"/>
        <v/>
      </c>
      <c r="AJ210" s="2" t="str">
        <f t="shared" si="40"/>
        <v/>
      </c>
      <c r="AK210" s="2" t="str">
        <f t="shared" si="40"/>
        <v/>
      </c>
      <c r="AL210" s="2" t="str">
        <f t="shared" si="40"/>
        <v/>
      </c>
      <c r="AM210" s="2" t="str">
        <f t="shared" si="40"/>
        <v/>
      </c>
      <c r="AN210" s="2" t="str">
        <f t="shared" si="39"/>
        <v/>
      </c>
      <c r="AO210" s="2" t="str">
        <f t="shared" si="39"/>
        <v/>
      </c>
      <c r="AP210" s="2" t="str">
        <f t="shared" si="39"/>
        <v/>
      </c>
      <c r="AQ210" s="2" t="str">
        <f t="shared" si="39"/>
        <v/>
      </c>
      <c r="AR210" s="2" t="str">
        <f t="shared" si="39"/>
        <v/>
      </c>
      <c r="AT210" s="2"/>
      <c r="AU210" s="2"/>
      <c r="AV210" s="143"/>
      <c r="AW210" s="143"/>
      <c r="AX210" s="143"/>
      <c r="AY210" s="143"/>
      <c r="AZ210" s="143"/>
      <c r="BA210" s="143"/>
      <c r="BB210" s="143"/>
      <c r="BC210" s="143"/>
      <c r="BD210" s="143"/>
      <c r="BF210" s="9">
        <f t="shared" si="43"/>
        <v>0</v>
      </c>
      <c r="BG210" s="9">
        <f t="shared" si="44"/>
        <v>1.0003355715762334</v>
      </c>
    </row>
    <row r="211" spans="2:59" x14ac:dyDescent="0.3">
      <c r="B211" s="3" t="s">
        <v>457</v>
      </c>
      <c r="D211" s="141"/>
      <c r="E211" s="141"/>
      <c r="F211" s="141">
        <v>26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1"/>
        <v>26</v>
      </c>
      <c r="R211" s="141"/>
      <c r="S211" s="141"/>
      <c r="T211" s="141">
        <v>10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2"/>
        <v>10</v>
      </c>
      <c r="AF211" s="2" t="str">
        <f t="shared" si="40"/>
        <v/>
      </c>
      <c r="AG211" s="2" t="str">
        <f t="shared" si="40"/>
        <v/>
      </c>
      <c r="AH211" s="2">
        <f t="shared" si="40"/>
        <v>0.38461538461538464</v>
      </c>
      <c r="AI211" s="2" t="str">
        <f t="shared" si="40"/>
        <v/>
      </c>
      <c r="AJ211" s="2" t="str">
        <f t="shared" si="40"/>
        <v/>
      </c>
      <c r="AK211" s="2" t="str">
        <f t="shared" si="40"/>
        <v/>
      </c>
      <c r="AL211" s="2" t="str">
        <f t="shared" si="40"/>
        <v/>
      </c>
      <c r="AM211" s="2" t="str">
        <f t="shared" si="40"/>
        <v/>
      </c>
      <c r="AN211" s="2" t="str">
        <f t="shared" si="39"/>
        <v/>
      </c>
      <c r="AO211" s="2" t="str">
        <f t="shared" si="39"/>
        <v/>
      </c>
      <c r="AP211" s="2" t="str">
        <f t="shared" si="39"/>
        <v/>
      </c>
      <c r="AQ211" s="2" t="str">
        <f t="shared" si="39"/>
        <v/>
      </c>
      <c r="AR211" s="2">
        <f t="shared" si="39"/>
        <v>0.38461538461538464</v>
      </c>
      <c r="AT211" s="2"/>
      <c r="AU211" s="2"/>
      <c r="AV211" s="143"/>
      <c r="AW211" s="143"/>
      <c r="AX211" s="143"/>
      <c r="AY211" s="143"/>
      <c r="AZ211" s="143"/>
      <c r="BA211" s="143"/>
      <c r="BB211" s="143"/>
      <c r="BC211" s="143"/>
      <c r="BD211" s="143"/>
      <c r="BF211" s="9">
        <f t="shared" si="43"/>
        <v>7.8616544663459188E-9</v>
      </c>
      <c r="BG211" s="9">
        <f t="shared" si="44"/>
        <v>1.0003355794378879</v>
      </c>
    </row>
    <row r="212" spans="2:59" x14ac:dyDescent="0.3">
      <c r="B212" s="3" t="s">
        <v>291</v>
      </c>
      <c r="D212" s="141"/>
      <c r="E212" s="141"/>
      <c r="F212" s="141">
        <v>3604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1"/>
        <v>3604</v>
      </c>
      <c r="R212" s="141"/>
      <c r="S212" s="141"/>
      <c r="T212" s="141">
        <v>150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2"/>
        <v>150</v>
      </c>
      <c r="AF212" s="2" t="str">
        <f t="shared" si="40"/>
        <v/>
      </c>
      <c r="AG212" s="2" t="str">
        <f t="shared" si="40"/>
        <v/>
      </c>
      <c r="AH212" s="2">
        <f t="shared" si="40"/>
        <v>4.1620421753607105E-2</v>
      </c>
      <c r="AI212" s="2" t="str">
        <f t="shared" si="40"/>
        <v/>
      </c>
      <c r="AJ212" s="2" t="str">
        <f t="shared" si="40"/>
        <v/>
      </c>
      <c r="AK212" s="2" t="str">
        <f t="shared" si="40"/>
        <v/>
      </c>
      <c r="AL212" s="2" t="str">
        <f t="shared" si="40"/>
        <v/>
      </c>
      <c r="AM212" s="2" t="str">
        <f t="shared" si="40"/>
        <v/>
      </c>
      <c r="AN212" s="2" t="str">
        <f t="shared" si="39"/>
        <v/>
      </c>
      <c r="AO212" s="2" t="str">
        <f t="shared" si="39"/>
        <v/>
      </c>
      <c r="AP212" s="2" t="str">
        <f t="shared" si="39"/>
        <v/>
      </c>
      <c r="AQ212" s="2" t="str">
        <f t="shared" si="39"/>
        <v/>
      </c>
      <c r="AR212" s="2">
        <f t="shared" si="39"/>
        <v>4.1620421753607105E-2</v>
      </c>
      <c r="AT212" s="2"/>
      <c r="AU212" s="2"/>
      <c r="AV212" s="143"/>
      <c r="AW212" s="143"/>
      <c r="AX212" s="143"/>
      <c r="AY212" s="143"/>
      <c r="AZ212" s="143"/>
      <c r="BA212" s="143"/>
      <c r="BB212" s="143"/>
      <c r="BC212" s="143"/>
      <c r="BD212" s="143"/>
      <c r="BF212" s="9">
        <f t="shared" si="43"/>
        <v>1.1792481699518878E-7</v>
      </c>
      <c r="BG212" s="9">
        <f t="shared" si="44"/>
        <v>1.0003356973627049</v>
      </c>
    </row>
    <row r="213" spans="2:59" x14ac:dyDescent="0.3">
      <c r="B213" s="3" t="s">
        <v>458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1"/>
        <v>0</v>
      </c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2"/>
        <v>0</v>
      </c>
      <c r="AF213" s="2" t="str">
        <f t="shared" si="40"/>
        <v/>
      </c>
      <c r="AG213" s="2" t="str">
        <f t="shared" si="40"/>
        <v/>
      </c>
      <c r="AH213" s="2" t="str">
        <f t="shared" si="40"/>
        <v/>
      </c>
      <c r="AI213" s="2" t="str">
        <f t="shared" si="40"/>
        <v/>
      </c>
      <c r="AJ213" s="2" t="str">
        <f t="shared" si="40"/>
        <v/>
      </c>
      <c r="AK213" s="2" t="str">
        <f t="shared" si="40"/>
        <v/>
      </c>
      <c r="AL213" s="2" t="str">
        <f t="shared" si="40"/>
        <v/>
      </c>
      <c r="AM213" s="2" t="str">
        <f t="shared" si="40"/>
        <v/>
      </c>
      <c r="AN213" s="2" t="str">
        <f t="shared" si="39"/>
        <v/>
      </c>
      <c r="AO213" s="2" t="str">
        <f t="shared" si="39"/>
        <v/>
      </c>
      <c r="AP213" s="2" t="str">
        <f t="shared" si="39"/>
        <v/>
      </c>
      <c r="AQ213" s="2" t="str">
        <f t="shared" si="39"/>
        <v/>
      </c>
      <c r="AR213" s="2" t="str">
        <f t="shared" si="39"/>
        <v/>
      </c>
      <c r="AT213" s="2"/>
      <c r="AU213" s="2"/>
      <c r="AV213" s="143"/>
      <c r="AW213" s="143"/>
      <c r="AX213" s="143"/>
      <c r="AY213" s="143"/>
      <c r="AZ213" s="143"/>
      <c r="BA213" s="143"/>
      <c r="BB213" s="143"/>
      <c r="BC213" s="143"/>
      <c r="BD213" s="143"/>
      <c r="BF213" s="9">
        <f t="shared" si="43"/>
        <v>0</v>
      </c>
      <c r="BG213" s="9">
        <f t="shared" si="44"/>
        <v>1.0003356973627049</v>
      </c>
    </row>
    <row r="214" spans="2:59" x14ac:dyDescent="0.3">
      <c r="B214" s="3" t="s">
        <v>298</v>
      </c>
      <c r="D214" s="141"/>
      <c r="E214" s="141"/>
      <c r="F214" s="141">
        <v>18005</v>
      </c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1"/>
        <v>18005</v>
      </c>
      <c r="R214" s="141"/>
      <c r="S214" s="141"/>
      <c r="T214" s="141">
        <v>2395</v>
      </c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2"/>
        <v>2395</v>
      </c>
      <c r="AF214" s="2" t="str">
        <f t="shared" si="40"/>
        <v/>
      </c>
      <c r="AG214" s="2" t="str">
        <f t="shared" si="40"/>
        <v/>
      </c>
      <c r="AH214" s="2">
        <f t="shared" si="40"/>
        <v>0.13301860594279366</v>
      </c>
      <c r="AI214" s="2" t="str">
        <f t="shared" si="40"/>
        <v/>
      </c>
      <c r="AJ214" s="2" t="str">
        <f t="shared" si="40"/>
        <v/>
      </c>
      <c r="AK214" s="2" t="str">
        <f t="shared" si="40"/>
        <v/>
      </c>
      <c r="AL214" s="2" t="str">
        <f t="shared" si="40"/>
        <v/>
      </c>
      <c r="AM214" s="2" t="str">
        <f t="shared" si="40"/>
        <v/>
      </c>
      <c r="AN214" s="2" t="str">
        <f t="shared" si="39"/>
        <v/>
      </c>
      <c r="AO214" s="2" t="str">
        <f t="shared" si="39"/>
        <v/>
      </c>
      <c r="AP214" s="2" t="str">
        <f t="shared" si="39"/>
        <v/>
      </c>
      <c r="AQ214" s="2" t="str">
        <f t="shared" si="39"/>
        <v/>
      </c>
      <c r="AR214" s="2">
        <f t="shared" si="39"/>
        <v>0.13301860594279366</v>
      </c>
      <c r="AT214" s="2"/>
      <c r="AU214" s="2"/>
      <c r="AV214" s="143"/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3"/>
        <v>1.8828662446898475E-6</v>
      </c>
      <c r="BG214" s="9">
        <f t="shared" si="44"/>
        <v>1.0003375802289496</v>
      </c>
    </row>
    <row r="215" spans="2:59" x14ac:dyDescent="0.3">
      <c r="B215" s="3" t="s">
        <v>304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1"/>
        <v>0</v>
      </c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2"/>
        <v>0</v>
      </c>
      <c r="AF215" s="2" t="str">
        <f t="shared" si="40"/>
        <v/>
      </c>
      <c r="AG215" s="2" t="str">
        <f t="shared" si="40"/>
        <v/>
      </c>
      <c r="AH215" s="2" t="str">
        <f t="shared" si="40"/>
        <v/>
      </c>
      <c r="AI215" s="2" t="str">
        <f t="shared" si="40"/>
        <v/>
      </c>
      <c r="AJ215" s="2" t="str">
        <f t="shared" si="40"/>
        <v/>
      </c>
      <c r="AK215" s="2" t="str">
        <f t="shared" si="40"/>
        <v/>
      </c>
      <c r="AL215" s="2" t="str">
        <f t="shared" si="40"/>
        <v/>
      </c>
      <c r="AM215" s="2" t="str">
        <f t="shared" si="40"/>
        <v/>
      </c>
      <c r="AN215" s="2" t="str">
        <f t="shared" si="39"/>
        <v/>
      </c>
      <c r="AO215" s="2" t="str">
        <f t="shared" si="39"/>
        <v/>
      </c>
      <c r="AP215" s="2" t="str">
        <f t="shared" si="39"/>
        <v/>
      </c>
      <c r="AQ215" s="2" t="str">
        <f t="shared" si="39"/>
        <v/>
      </c>
      <c r="AR215" s="2" t="str">
        <f t="shared" si="39"/>
        <v/>
      </c>
      <c r="AT215" s="2"/>
      <c r="AU215" s="2"/>
      <c r="AV215" s="143"/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3"/>
        <v>0</v>
      </c>
      <c r="BG215" s="9">
        <f t="shared" si="44"/>
        <v>1.0003375802289496</v>
      </c>
    </row>
    <row r="216" spans="2:59" x14ac:dyDescent="0.3">
      <c r="B216" s="3" t="s">
        <v>294</v>
      </c>
      <c r="D216" s="141"/>
      <c r="E216" s="141"/>
      <c r="F216" s="141">
        <v>132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1"/>
        <v>132</v>
      </c>
      <c r="R216" s="141"/>
      <c r="S216" s="141"/>
      <c r="T216" s="141">
        <v>10</v>
      </c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2"/>
        <v>10</v>
      </c>
      <c r="AF216" s="2" t="str">
        <f t="shared" si="40"/>
        <v/>
      </c>
      <c r="AG216" s="2" t="str">
        <f t="shared" si="40"/>
        <v/>
      </c>
      <c r="AH216" s="2">
        <f t="shared" si="40"/>
        <v>7.575757575757576E-2</v>
      </c>
      <c r="AI216" s="2" t="str">
        <f t="shared" si="40"/>
        <v/>
      </c>
      <c r="AJ216" s="2" t="str">
        <f t="shared" si="40"/>
        <v/>
      </c>
      <c r="AK216" s="2" t="str">
        <f t="shared" si="40"/>
        <v/>
      </c>
      <c r="AL216" s="2" t="str">
        <f t="shared" si="40"/>
        <v/>
      </c>
      <c r="AM216" s="2" t="str">
        <f t="shared" si="40"/>
        <v/>
      </c>
      <c r="AN216" s="2" t="str">
        <f t="shared" si="39"/>
        <v/>
      </c>
      <c r="AO216" s="2" t="str">
        <f t="shared" si="39"/>
        <v/>
      </c>
      <c r="AP216" s="2" t="str">
        <f t="shared" si="39"/>
        <v/>
      </c>
      <c r="AQ216" s="2" t="str">
        <f t="shared" si="39"/>
        <v/>
      </c>
      <c r="AR216" s="2">
        <f t="shared" si="39"/>
        <v>7.575757575757576E-2</v>
      </c>
      <c r="AT216" s="2"/>
      <c r="AU216" s="2"/>
      <c r="AV216" s="143"/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3"/>
        <v>7.8616544663459188E-9</v>
      </c>
      <c r="BG216" s="9">
        <f t="shared" si="44"/>
        <v>1.000337588090604</v>
      </c>
    </row>
    <row r="217" spans="2:59" x14ac:dyDescent="0.3">
      <c r="B217" s="3" t="s">
        <v>459</v>
      </c>
      <c r="D217" s="141">
        <v>1425</v>
      </c>
      <c r="E217" s="141">
        <v>28890</v>
      </c>
      <c r="F217" s="141">
        <v>65825</v>
      </c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1"/>
        <v>96140</v>
      </c>
      <c r="R217" s="141">
        <v>362</v>
      </c>
      <c r="S217" s="141">
        <v>2184</v>
      </c>
      <c r="T217" s="141">
        <v>4833</v>
      </c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2"/>
        <v>7379</v>
      </c>
      <c r="AF217" s="2">
        <f t="shared" si="40"/>
        <v>0.25403508771929822</v>
      </c>
      <c r="AG217" s="2">
        <f t="shared" si="40"/>
        <v>7.5597092419522324E-2</v>
      </c>
      <c r="AH217" s="2">
        <f t="shared" si="40"/>
        <v>7.3421952145841241E-2</v>
      </c>
      <c r="AI217" s="2" t="str">
        <f t="shared" si="40"/>
        <v/>
      </c>
      <c r="AJ217" s="2" t="str">
        <f t="shared" si="40"/>
        <v/>
      </c>
      <c r="AK217" s="2" t="str">
        <f t="shared" si="40"/>
        <v/>
      </c>
      <c r="AL217" s="2" t="str">
        <f t="shared" si="40"/>
        <v/>
      </c>
      <c r="AM217" s="2" t="str">
        <f t="shared" si="40"/>
        <v/>
      </c>
      <c r="AN217" s="2" t="str">
        <f t="shared" si="39"/>
        <v/>
      </c>
      <c r="AO217" s="2" t="str">
        <f t="shared" si="39"/>
        <v/>
      </c>
      <c r="AP217" s="2" t="str">
        <f t="shared" si="39"/>
        <v/>
      </c>
      <c r="AQ217" s="2" t="str">
        <f t="shared" si="39"/>
        <v/>
      </c>
      <c r="AR217" s="2">
        <f t="shared" si="39"/>
        <v>7.6752652381942996E-2</v>
      </c>
      <c r="AT217" s="2"/>
      <c r="AU217" s="2"/>
      <c r="AV217" s="143"/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3"/>
        <v>5.8011148307166534E-6</v>
      </c>
      <c r="BG217" s="9">
        <f t="shared" si="44"/>
        <v>1.0003433892054348</v>
      </c>
    </row>
    <row r="218" spans="2:59" x14ac:dyDescent="0.3">
      <c r="B218" s="3" t="s">
        <v>302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1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2"/>
        <v>0</v>
      </c>
      <c r="AF218" s="2" t="str">
        <f t="shared" si="40"/>
        <v/>
      </c>
      <c r="AG218" s="2" t="str">
        <f t="shared" si="40"/>
        <v/>
      </c>
      <c r="AH218" s="2" t="str">
        <f t="shared" si="40"/>
        <v/>
      </c>
      <c r="AI218" s="2" t="str">
        <f t="shared" si="40"/>
        <v/>
      </c>
      <c r="AJ218" s="2" t="str">
        <f t="shared" si="40"/>
        <v/>
      </c>
      <c r="AK218" s="2" t="str">
        <f t="shared" si="40"/>
        <v/>
      </c>
      <c r="AL218" s="2" t="str">
        <f t="shared" si="40"/>
        <v/>
      </c>
      <c r="AM218" s="2" t="str">
        <f t="shared" si="40"/>
        <v/>
      </c>
      <c r="AN218" s="2" t="str">
        <f t="shared" si="39"/>
        <v/>
      </c>
      <c r="AO218" s="2" t="str">
        <f t="shared" si="39"/>
        <v/>
      </c>
      <c r="AP218" s="2" t="str">
        <f t="shared" si="39"/>
        <v/>
      </c>
      <c r="AQ218" s="2" t="str">
        <f t="shared" si="39"/>
        <v/>
      </c>
      <c r="AR218" s="2" t="str">
        <f t="shared" si="39"/>
        <v/>
      </c>
      <c r="AT218" s="2"/>
      <c r="AU218" s="2"/>
      <c r="AV218" s="143"/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3"/>
        <v>0</v>
      </c>
      <c r="BG218" s="9">
        <f t="shared" si="44"/>
        <v>1.0003433892054348</v>
      </c>
    </row>
    <row r="219" spans="2:59" x14ac:dyDescent="0.3">
      <c r="B219" s="3" t="s">
        <v>296</v>
      </c>
      <c r="D219" s="141">
        <v>1927</v>
      </c>
      <c r="E219" s="141">
        <v>1962</v>
      </c>
      <c r="F219" s="141">
        <v>1359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1"/>
        <v>5248</v>
      </c>
      <c r="R219" s="141">
        <v>300</v>
      </c>
      <c r="S219" s="141">
        <v>150</v>
      </c>
      <c r="T219" s="141">
        <v>130</v>
      </c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2"/>
        <v>580</v>
      </c>
      <c r="AF219" s="2">
        <f t="shared" si="40"/>
        <v>0.15568240788790866</v>
      </c>
      <c r="AG219" s="2">
        <f t="shared" si="40"/>
        <v>7.64525993883792E-2</v>
      </c>
      <c r="AH219" s="2">
        <f t="shared" si="40"/>
        <v>9.5658572479764531E-2</v>
      </c>
      <c r="AI219" s="2" t="str">
        <f t="shared" si="40"/>
        <v/>
      </c>
      <c r="AJ219" s="2" t="str">
        <f t="shared" si="40"/>
        <v/>
      </c>
      <c r="AK219" s="2" t="str">
        <f t="shared" si="40"/>
        <v/>
      </c>
      <c r="AL219" s="2" t="str">
        <f t="shared" si="40"/>
        <v/>
      </c>
      <c r="AM219" s="2" t="str">
        <f t="shared" si="40"/>
        <v/>
      </c>
      <c r="AN219" s="2" t="str">
        <f t="shared" si="39"/>
        <v/>
      </c>
      <c r="AO219" s="2" t="str">
        <f t="shared" si="39"/>
        <v/>
      </c>
      <c r="AP219" s="2" t="str">
        <f t="shared" si="39"/>
        <v/>
      </c>
      <c r="AQ219" s="2" t="str">
        <f t="shared" si="39"/>
        <v/>
      </c>
      <c r="AR219" s="2">
        <f t="shared" si="39"/>
        <v>0.11051829268292683</v>
      </c>
      <c r="AT219" s="2"/>
      <c r="AU219" s="2"/>
      <c r="AV219" s="143"/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3"/>
        <v>4.5597595904806329E-7</v>
      </c>
      <c r="BG219" s="9">
        <f t="shared" si="44"/>
        <v>1.0003438451813937</v>
      </c>
    </row>
    <row r="220" spans="2:59" x14ac:dyDescent="0.3">
      <c r="B220" s="3" t="s">
        <v>460</v>
      </c>
      <c r="D220" s="141">
        <v>232731</v>
      </c>
      <c r="E220" s="141">
        <v>208734</v>
      </c>
      <c r="F220" s="141">
        <v>270696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1"/>
        <v>712161</v>
      </c>
      <c r="R220" s="141">
        <v>8693</v>
      </c>
      <c r="S220" s="141">
        <v>8283</v>
      </c>
      <c r="T220" s="141">
        <v>7704</v>
      </c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2"/>
        <v>24680</v>
      </c>
      <c r="AF220" s="2">
        <f t="shared" si="40"/>
        <v>3.7352136157194356E-2</v>
      </c>
      <c r="AG220" s="2">
        <f t="shared" si="40"/>
        <v>3.9682083417172095E-2</v>
      </c>
      <c r="AH220" s="2">
        <f t="shared" si="40"/>
        <v>2.8459969855483644E-2</v>
      </c>
      <c r="AI220" s="2" t="str">
        <f t="shared" si="40"/>
        <v/>
      </c>
      <c r="AJ220" s="2" t="str">
        <f t="shared" si="40"/>
        <v/>
      </c>
      <c r="AK220" s="2" t="str">
        <f t="shared" si="40"/>
        <v/>
      </c>
      <c r="AL220" s="2" t="str">
        <f t="shared" si="40"/>
        <v/>
      </c>
      <c r="AM220" s="2" t="str">
        <f t="shared" si="40"/>
        <v/>
      </c>
      <c r="AN220" s="2" t="str">
        <f t="shared" si="39"/>
        <v/>
      </c>
      <c r="AO220" s="2" t="str">
        <f t="shared" si="39"/>
        <v/>
      </c>
      <c r="AP220" s="2" t="str">
        <f t="shared" si="39"/>
        <v/>
      </c>
      <c r="AQ220" s="2" t="str">
        <f t="shared" si="39"/>
        <v/>
      </c>
      <c r="AR220" s="2">
        <f t="shared" si="39"/>
        <v>3.4655085015888258E-2</v>
      </c>
      <c r="AT220" s="2"/>
      <c r="AU220" s="2"/>
      <c r="AV220" s="143"/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3"/>
        <v>1.9402563222941726E-5</v>
      </c>
      <c r="BG220" s="9">
        <f t="shared" si="44"/>
        <v>1.0003632477446167</v>
      </c>
    </row>
    <row r="221" spans="2:59" x14ac:dyDescent="0.3">
      <c r="B221" s="3" t="s">
        <v>306</v>
      </c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1"/>
        <v>0</v>
      </c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2"/>
        <v>0</v>
      </c>
      <c r="AF221" s="2" t="str">
        <f t="shared" si="40"/>
        <v/>
      </c>
      <c r="AG221" s="2" t="str">
        <f t="shared" si="40"/>
        <v/>
      </c>
      <c r="AH221" s="2" t="str">
        <f t="shared" si="40"/>
        <v/>
      </c>
      <c r="AI221" s="2" t="str">
        <f t="shared" si="40"/>
        <v/>
      </c>
      <c r="AJ221" s="2" t="str">
        <f t="shared" si="40"/>
        <v/>
      </c>
      <c r="AK221" s="2" t="str">
        <f t="shared" si="40"/>
        <v/>
      </c>
      <c r="AL221" s="2" t="str">
        <f t="shared" si="40"/>
        <v/>
      </c>
      <c r="AM221" s="2" t="str">
        <f t="shared" si="40"/>
        <v/>
      </c>
      <c r="AN221" s="2" t="str">
        <f t="shared" si="39"/>
        <v/>
      </c>
      <c r="AO221" s="2" t="str">
        <f t="shared" si="39"/>
        <v/>
      </c>
      <c r="AP221" s="2" t="str">
        <f t="shared" si="39"/>
        <v/>
      </c>
      <c r="AQ221" s="2" t="str">
        <f t="shared" si="39"/>
        <v/>
      </c>
      <c r="AR221" s="2" t="str">
        <f t="shared" si="39"/>
        <v/>
      </c>
      <c r="AT221" s="2"/>
      <c r="AU221" s="2"/>
      <c r="AV221" s="143"/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3"/>
        <v>0</v>
      </c>
      <c r="BG221" s="9">
        <f t="shared" si="44"/>
        <v>1.0003632477446167</v>
      </c>
    </row>
    <row r="222" spans="2:59" x14ac:dyDescent="0.3">
      <c r="B222" s="3" t="s">
        <v>300</v>
      </c>
      <c r="D222" s="141">
        <v>14634</v>
      </c>
      <c r="E222" s="141">
        <v>4760</v>
      </c>
      <c r="F222" s="141">
        <v>6598</v>
      </c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1"/>
        <v>25992</v>
      </c>
      <c r="R222" s="141">
        <v>781</v>
      </c>
      <c r="S222" s="141">
        <v>359</v>
      </c>
      <c r="T222" s="141">
        <v>428</v>
      </c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2"/>
        <v>1568</v>
      </c>
      <c r="AF222" s="2">
        <f t="shared" si="40"/>
        <v>5.3368867022003552E-2</v>
      </c>
      <c r="AG222" s="2">
        <f t="shared" si="40"/>
        <v>7.5420168067226886E-2</v>
      </c>
      <c r="AH222" s="2">
        <f t="shared" si="40"/>
        <v>6.4868141861170056E-2</v>
      </c>
      <c r="AI222" s="2" t="str">
        <f t="shared" si="40"/>
        <v/>
      </c>
      <c r="AJ222" s="2" t="str">
        <f t="shared" si="40"/>
        <v/>
      </c>
      <c r="AK222" s="2" t="str">
        <f t="shared" si="40"/>
        <v/>
      </c>
      <c r="AL222" s="2" t="str">
        <f t="shared" si="40"/>
        <v/>
      </c>
      <c r="AM222" s="2" t="str">
        <f t="shared" si="40"/>
        <v/>
      </c>
      <c r="AN222" s="2" t="str">
        <f t="shared" si="39"/>
        <v/>
      </c>
      <c r="AO222" s="2" t="str">
        <f t="shared" si="39"/>
        <v/>
      </c>
      <c r="AP222" s="2" t="str">
        <f t="shared" si="39"/>
        <v/>
      </c>
      <c r="AQ222" s="2" t="str">
        <f t="shared" si="39"/>
        <v/>
      </c>
      <c r="AR222" s="2">
        <f t="shared" si="39"/>
        <v>6.0326254232071407E-2</v>
      </c>
      <c r="AT222" s="2"/>
      <c r="AU222" s="2"/>
      <c r="AV222" s="143"/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3"/>
        <v>1.23270742032304E-6</v>
      </c>
      <c r="BG222" s="9">
        <f t="shared" si="44"/>
        <v>1.0003644804520371</v>
      </c>
    </row>
    <row r="223" spans="2:59" x14ac:dyDescent="0.3">
      <c r="B223" s="3" t="s">
        <v>295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1"/>
        <v>0</v>
      </c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2"/>
        <v>0</v>
      </c>
      <c r="AF223" s="2" t="str">
        <f t="shared" si="40"/>
        <v/>
      </c>
      <c r="AG223" s="2" t="str">
        <f t="shared" si="40"/>
        <v/>
      </c>
      <c r="AH223" s="2" t="str">
        <f t="shared" si="40"/>
        <v/>
      </c>
      <c r="AI223" s="2" t="str">
        <f t="shared" si="40"/>
        <v/>
      </c>
      <c r="AJ223" s="2" t="str">
        <f t="shared" si="40"/>
        <v/>
      </c>
      <c r="AK223" s="2" t="str">
        <f t="shared" si="40"/>
        <v/>
      </c>
      <c r="AL223" s="2" t="str">
        <f t="shared" si="40"/>
        <v/>
      </c>
      <c r="AM223" s="2" t="str">
        <f t="shared" si="40"/>
        <v/>
      </c>
      <c r="AN223" s="2" t="str">
        <f t="shared" si="39"/>
        <v/>
      </c>
      <c r="AO223" s="2" t="str">
        <f t="shared" si="39"/>
        <v/>
      </c>
      <c r="AP223" s="2" t="str">
        <f t="shared" si="39"/>
        <v/>
      </c>
      <c r="AQ223" s="2" t="str">
        <f t="shared" si="39"/>
        <v/>
      </c>
      <c r="AR223" s="2" t="str">
        <f t="shared" si="39"/>
        <v/>
      </c>
      <c r="AT223" s="2"/>
      <c r="AU223" s="2"/>
      <c r="AV223" s="143"/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3"/>
        <v>0</v>
      </c>
      <c r="BG223" s="9">
        <f t="shared" si="44"/>
        <v>1.0003644804520371</v>
      </c>
    </row>
    <row r="224" spans="2:59" x14ac:dyDescent="0.3">
      <c r="B224" s="3" t="s">
        <v>305</v>
      </c>
      <c r="D224" s="141">
        <v>10326</v>
      </c>
      <c r="E224" s="141">
        <v>6967</v>
      </c>
      <c r="F224" s="141">
        <v>21439</v>
      </c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1"/>
        <v>38732</v>
      </c>
      <c r="R224" s="141">
        <v>1014</v>
      </c>
      <c r="S224" s="141">
        <v>99</v>
      </c>
      <c r="T224" s="141">
        <v>5021</v>
      </c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2"/>
        <v>6134</v>
      </c>
      <c r="AF224" s="2">
        <f t="shared" si="40"/>
        <v>9.8198721673445677E-2</v>
      </c>
      <c r="AG224" s="2">
        <f t="shared" si="40"/>
        <v>1.4209846418831634E-2</v>
      </c>
      <c r="AH224" s="2">
        <f t="shared" si="40"/>
        <v>0.23419935631326089</v>
      </c>
      <c r="AI224" s="2" t="str">
        <f t="shared" si="40"/>
        <v/>
      </c>
      <c r="AJ224" s="2" t="str">
        <f t="shared" si="40"/>
        <v/>
      </c>
      <c r="AK224" s="2" t="str">
        <f t="shared" si="40"/>
        <v/>
      </c>
      <c r="AL224" s="2" t="str">
        <f t="shared" si="40"/>
        <v/>
      </c>
      <c r="AM224" s="2" t="str">
        <f t="shared" ref="AM224:AR236" si="45">+IFERROR(Y224/K224,"")</f>
        <v/>
      </c>
      <c r="AN224" s="2" t="str">
        <f t="shared" si="45"/>
        <v/>
      </c>
      <c r="AO224" s="2" t="str">
        <f t="shared" si="45"/>
        <v/>
      </c>
      <c r="AP224" s="2" t="str">
        <f t="shared" si="45"/>
        <v/>
      </c>
      <c r="AQ224" s="2" t="str">
        <f t="shared" si="45"/>
        <v/>
      </c>
      <c r="AR224" s="2">
        <f t="shared" si="45"/>
        <v>0.1583703397707322</v>
      </c>
      <c r="AT224" s="2"/>
      <c r="AU224" s="2"/>
      <c r="AV224" s="143"/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3"/>
        <v>4.8223388496565862E-6</v>
      </c>
      <c r="BG224" s="9">
        <f t="shared" si="44"/>
        <v>1.0003693027908866</v>
      </c>
    </row>
    <row r="225" spans="2:59" x14ac:dyDescent="0.3">
      <c r="B225" s="3" t="s">
        <v>292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1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2"/>
        <v>0</v>
      </c>
      <c r="AF225" s="2" t="str">
        <f t="shared" ref="AF225:AR237" si="46">+IFERROR(R225/D225,"")</f>
        <v/>
      </c>
      <c r="AG225" s="2" t="str">
        <f t="shared" si="46"/>
        <v/>
      </c>
      <c r="AH225" s="2" t="str">
        <f t="shared" si="46"/>
        <v/>
      </c>
      <c r="AI225" s="2" t="str">
        <f t="shared" si="46"/>
        <v/>
      </c>
      <c r="AJ225" s="2" t="str">
        <f t="shared" si="46"/>
        <v/>
      </c>
      <c r="AK225" s="2" t="str">
        <f t="shared" si="46"/>
        <v/>
      </c>
      <c r="AL225" s="2" t="str">
        <f t="shared" si="46"/>
        <v/>
      </c>
      <c r="AM225" s="2" t="str">
        <f t="shared" si="45"/>
        <v/>
      </c>
      <c r="AN225" s="2" t="str">
        <f t="shared" si="45"/>
        <v/>
      </c>
      <c r="AO225" s="2" t="str">
        <f t="shared" si="45"/>
        <v/>
      </c>
      <c r="AP225" s="2" t="str">
        <f t="shared" si="45"/>
        <v/>
      </c>
      <c r="AQ225" s="2" t="str">
        <f t="shared" si="45"/>
        <v/>
      </c>
      <c r="AR225" s="2" t="str">
        <f t="shared" si="45"/>
        <v/>
      </c>
      <c r="AT225" s="2"/>
      <c r="AU225" s="2"/>
      <c r="AV225" s="143"/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3"/>
        <v>0</v>
      </c>
      <c r="BG225" s="9">
        <f t="shared" si="44"/>
        <v>1.0003693027908866</v>
      </c>
    </row>
    <row r="226" spans="2:59" x14ac:dyDescent="0.3">
      <c r="B226" s="3" t="s">
        <v>461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1"/>
        <v>0</v>
      </c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2"/>
        <v>0</v>
      </c>
      <c r="AF226" s="2" t="str">
        <f t="shared" si="46"/>
        <v/>
      </c>
      <c r="AG226" s="2" t="str">
        <f t="shared" si="46"/>
        <v/>
      </c>
      <c r="AH226" s="2" t="str">
        <f t="shared" si="46"/>
        <v/>
      </c>
      <c r="AI226" s="2" t="str">
        <f t="shared" si="46"/>
        <v/>
      </c>
      <c r="AJ226" s="2" t="str">
        <f t="shared" si="46"/>
        <v/>
      </c>
      <c r="AK226" s="2" t="str">
        <f t="shared" si="46"/>
        <v/>
      </c>
      <c r="AL226" s="2" t="str">
        <f t="shared" si="46"/>
        <v/>
      </c>
      <c r="AM226" s="2" t="str">
        <f t="shared" si="45"/>
        <v/>
      </c>
      <c r="AN226" s="2" t="str">
        <f t="shared" si="45"/>
        <v/>
      </c>
      <c r="AO226" s="2" t="str">
        <f t="shared" si="45"/>
        <v/>
      </c>
      <c r="AP226" s="2" t="str">
        <f t="shared" si="45"/>
        <v/>
      </c>
      <c r="AQ226" s="2" t="str">
        <f t="shared" si="45"/>
        <v/>
      </c>
      <c r="AR226" s="2" t="str">
        <f t="shared" si="45"/>
        <v/>
      </c>
      <c r="AT226" s="2"/>
      <c r="AU226" s="2"/>
      <c r="AV226" s="143"/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3"/>
        <v>0</v>
      </c>
      <c r="BG226" s="9">
        <f t="shared" si="44"/>
        <v>1.0003693027908866</v>
      </c>
    </row>
    <row r="227" spans="2:59" x14ac:dyDescent="0.3">
      <c r="B227" s="3" t="s">
        <v>462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1"/>
        <v>0</v>
      </c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2"/>
        <v>0</v>
      </c>
      <c r="AF227" s="2" t="str">
        <f t="shared" si="46"/>
        <v/>
      </c>
      <c r="AG227" s="2" t="str">
        <f t="shared" si="46"/>
        <v/>
      </c>
      <c r="AH227" s="2" t="str">
        <f t="shared" si="46"/>
        <v/>
      </c>
      <c r="AI227" s="2" t="str">
        <f t="shared" si="46"/>
        <v/>
      </c>
      <c r="AJ227" s="2" t="str">
        <f t="shared" si="46"/>
        <v/>
      </c>
      <c r="AK227" s="2" t="str">
        <f t="shared" si="46"/>
        <v/>
      </c>
      <c r="AL227" s="2" t="str">
        <f t="shared" si="46"/>
        <v/>
      </c>
      <c r="AM227" s="2" t="str">
        <f t="shared" si="45"/>
        <v/>
      </c>
      <c r="AN227" s="2" t="str">
        <f t="shared" si="45"/>
        <v/>
      </c>
      <c r="AO227" s="2" t="str">
        <f t="shared" si="45"/>
        <v/>
      </c>
      <c r="AP227" s="2" t="str">
        <f t="shared" si="45"/>
        <v/>
      </c>
      <c r="AQ227" s="2" t="str">
        <f t="shared" si="45"/>
        <v/>
      </c>
      <c r="AR227" s="2" t="str">
        <f t="shared" si="45"/>
        <v/>
      </c>
      <c r="AT227" s="2"/>
      <c r="AU227" s="2"/>
      <c r="AV227" s="143"/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3"/>
        <v>0</v>
      </c>
      <c r="BG227" s="9">
        <f t="shared" si="44"/>
        <v>1.0003693027908866</v>
      </c>
    </row>
    <row r="228" spans="2:59" x14ac:dyDescent="0.3">
      <c r="B228" s="3" t="s">
        <v>463</v>
      </c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1"/>
        <v>0</v>
      </c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2"/>
        <v>0</v>
      </c>
      <c r="AF228" s="2" t="str">
        <f t="shared" si="46"/>
        <v/>
      </c>
      <c r="AG228" s="2" t="str">
        <f t="shared" si="46"/>
        <v/>
      </c>
      <c r="AH228" s="2" t="str">
        <f t="shared" si="46"/>
        <v/>
      </c>
      <c r="AI228" s="2" t="str">
        <f t="shared" si="46"/>
        <v/>
      </c>
      <c r="AJ228" s="2" t="str">
        <f t="shared" si="46"/>
        <v/>
      </c>
      <c r="AK228" s="2" t="str">
        <f t="shared" si="46"/>
        <v/>
      </c>
      <c r="AL228" s="2" t="str">
        <f t="shared" si="46"/>
        <v/>
      </c>
      <c r="AM228" s="2" t="str">
        <f t="shared" si="45"/>
        <v/>
      </c>
      <c r="AN228" s="2" t="str">
        <f t="shared" si="45"/>
        <v/>
      </c>
      <c r="AO228" s="2" t="str">
        <f t="shared" si="45"/>
        <v/>
      </c>
      <c r="AP228" s="2" t="str">
        <f t="shared" si="45"/>
        <v/>
      </c>
      <c r="AQ228" s="2" t="str">
        <f t="shared" si="45"/>
        <v/>
      </c>
      <c r="AR228" s="2" t="str">
        <f t="shared" si="45"/>
        <v/>
      </c>
      <c r="AT228" s="2"/>
      <c r="AU228" s="2"/>
      <c r="AV228" s="143"/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3"/>
        <v>0</v>
      </c>
      <c r="BG228" s="9">
        <f t="shared" si="44"/>
        <v>1.0003693027908866</v>
      </c>
    </row>
    <row r="229" spans="2:59" x14ac:dyDescent="0.3">
      <c r="B229" s="3" t="s">
        <v>464</v>
      </c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1"/>
        <v>0</v>
      </c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2"/>
        <v>0</v>
      </c>
      <c r="AF229" s="2" t="str">
        <f t="shared" si="46"/>
        <v/>
      </c>
      <c r="AG229" s="2" t="str">
        <f t="shared" si="46"/>
        <v/>
      </c>
      <c r="AH229" s="2" t="str">
        <f t="shared" si="46"/>
        <v/>
      </c>
      <c r="AI229" s="2" t="str">
        <f t="shared" si="46"/>
        <v/>
      </c>
      <c r="AJ229" s="2" t="str">
        <f t="shared" si="46"/>
        <v/>
      </c>
      <c r="AK229" s="2" t="str">
        <f t="shared" si="46"/>
        <v/>
      </c>
      <c r="AL229" s="2" t="str">
        <f t="shared" si="46"/>
        <v/>
      </c>
      <c r="AM229" s="2" t="str">
        <f t="shared" si="45"/>
        <v/>
      </c>
      <c r="AN229" s="2" t="str">
        <f t="shared" si="45"/>
        <v/>
      </c>
      <c r="AO229" s="2" t="str">
        <f t="shared" si="45"/>
        <v/>
      </c>
      <c r="AP229" s="2" t="str">
        <f t="shared" si="45"/>
        <v/>
      </c>
      <c r="AQ229" s="2" t="str">
        <f t="shared" si="45"/>
        <v/>
      </c>
      <c r="AR229" s="2" t="str">
        <f t="shared" si="45"/>
        <v/>
      </c>
      <c r="AT229" s="2"/>
      <c r="AU229" s="2"/>
      <c r="AV229" s="143"/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3"/>
        <v>0</v>
      </c>
      <c r="BG229" s="9">
        <f t="shared" si="44"/>
        <v>1.0003693027908866</v>
      </c>
    </row>
    <row r="230" spans="2:59" x14ac:dyDescent="0.3">
      <c r="B230" s="3" t="s">
        <v>465</v>
      </c>
      <c r="D230" s="141"/>
      <c r="E230" s="141"/>
      <c r="F230" s="141">
        <v>2915</v>
      </c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1"/>
        <v>2915</v>
      </c>
      <c r="R230" s="141"/>
      <c r="S230" s="141"/>
      <c r="T230" s="141">
        <v>280</v>
      </c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2"/>
        <v>280</v>
      </c>
      <c r="AF230" s="2" t="str">
        <f t="shared" si="46"/>
        <v/>
      </c>
      <c r="AG230" s="2" t="str">
        <f t="shared" si="46"/>
        <v/>
      </c>
      <c r="AH230" s="2">
        <f t="shared" si="46"/>
        <v>9.6054888507718691E-2</v>
      </c>
      <c r="AI230" s="2" t="str">
        <f t="shared" si="46"/>
        <v/>
      </c>
      <c r="AJ230" s="2" t="str">
        <f t="shared" si="46"/>
        <v/>
      </c>
      <c r="AK230" s="2" t="str">
        <f t="shared" si="46"/>
        <v/>
      </c>
      <c r="AL230" s="2" t="str">
        <f t="shared" si="46"/>
        <v/>
      </c>
      <c r="AM230" s="2" t="str">
        <f t="shared" si="45"/>
        <v/>
      </c>
      <c r="AN230" s="2" t="str">
        <f t="shared" si="45"/>
        <v/>
      </c>
      <c r="AO230" s="2" t="str">
        <f t="shared" si="45"/>
        <v/>
      </c>
      <c r="AP230" s="2" t="str">
        <f t="shared" si="45"/>
        <v/>
      </c>
      <c r="AQ230" s="2" t="str">
        <f t="shared" si="45"/>
        <v/>
      </c>
      <c r="AR230" s="2">
        <f t="shared" si="45"/>
        <v>9.6054888507718691E-2</v>
      </c>
      <c r="AT230" s="2"/>
      <c r="AU230" s="2"/>
      <c r="AV230" s="143"/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3"/>
        <v>2.2012632505768571E-7</v>
      </c>
      <c r="BG230" s="9">
        <f t="shared" si="44"/>
        <v>1.0003695229172118</v>
      </c>
    </row>
    <row r="231" spans="2:59" x14ac:dyDescent="0.3">
      <c r="B231" s="3" t="s">
        <v>466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1"/>
        <v>0</v>
      </c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2"/>
        <v>0</v>
      </c>
      <c r="AF231" s="2" t="str">
        <f t="shared" si="46"/>
        <v/>
      </c>
      <c r="AG231" s="2" t="str">
        <f t="shared" si="46"/>
        <v/>
      </c>
      <c r="AH231" s="2" t="str">
        <f t="shared" si="46"/>
        <v/>
      </c>
      <c r="AI231" s="2" t="str">
        <f t="shared" si="46"/>
        <v/>
      </c>
      <c r="AJ231" s="2" t="str">
        <f t="shared" si="46"/>
        <v/>
      </c>
      <c r="AK231" s="2" t="str">
        <f t="shared" si="46"/>
        <v/>
      </c>
      <c r="AL231" s="2" t="str">
        <f t="shared" si="46"/>
        <v/>
      </c>
      <c r="AM231" s="2" t="str">
        <f t="shared" si="45"/>
        <v/>
      </c>
      <c r="AN231" s="2" t="str">
        <f t="shared" si="45"/>
        <v/>
      </c>
      <c r="AO231" s="2" t="str">
        <f t="shared" si="45"/>
        <v/>
      </c>
      <c r="AP231" s="2" t="str">
        <f t="shared" si="45"/>
        <v/>
      </c>
      <c r="AQ231" s="2" t="str">
        <f t="shared" si="45"/>
        <v/>
      </c>
      <c r="AR231" s="2" t="str">
        <f t="shared" si="45"/>
        <v/>
      </c>
      <c r="AT231" s="2"/>
      <c r="AU231" s="2"/>
      <c r="AV231" s="143"/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3"/>
        <v>0</v>
      </c>
      <c r="BG231" s="9">
        <f t="shared" si="44"/>
        <v>1.0003695229172118</v>
      </c>
    </row>
    <row r="232" spans="2:59" x14ac:dyDescent="0.3">
      <c r="B232" s="3" t="s">
        <v>467</v>
      </c>
      <c r="D232" s="141">
        <v>6131</v>
      </c>
      <c r="E232" s="141">
        <v>1705</v>
      </c>
      <c r="F232" s="141">
        <v>4078</v>
      </c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1"/>
        <v>11914</v>
      </c>
      <c r="R232" s="141">
        <v>257</v>
      </c>
      <c r="S232" s="141">
        <v>340</v>
      </c>
      <c r="T232" s="141">
        <v>359</v>
      </c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2"/>
        <v>956</v>
      </c>
      <c r="AF232" s="2">
        <f t="shared" si="46"/>
        <v>4.1918121024302722E-2</v>
      </c>
      <c r="AG232" s="2">
        <f t="shared" si="46"/>
        <v>0.19941348973607037</v>
      </c>
      <c r="AH232" s="2">
        <f t="shared" si="46"/>
        <v>8.8033349681216289E-2</v>
      </c>
      <c r="AI232" s="2" t="str">
        <f t="shared" si="46"/>
        <v/>
      </c>
      <c r="AJ232" s="2" t="str">
        <f t="shared" si="46"/>
        <v/>
      </c>
      <c r="AK232" s="2" t="str">
        <f t="shared" si="46"/>
        <v/>
      </c>
      <c r="AL232" s="2" t="str">
        <f t="shared" si="46"/>
        <v/>
      </c>
      <c r="AM232" s="2" t="str">
        <f t="shared" si="45"/>
        <v/>
      </c>
      <c r="AN232" s="2" t="str">
        <f t="shared" si="45"/>
        <v/>
      </c>
      <c r="AO232" s="2" t="str">
        <f t="shared" si="45"/>
        <v/>
      </c>
      <c r="AP232" s="2" t="str">
        <f t="shared" si="45"/>
        <v/>
      </c>
      <c r="AQ232" s="2" t="str">
        <f t="shared" si="45"/>
        <v/>
      </c>
      <c r="AR232" s="2">
        <f t="shared" si="45"/>
        <v>8.0241732415645459E-2</v>
      </c>
      <c r="AT232" s="2"/>
      <c r="AU232" s="2"/>
      <c r="AV232" s="143"/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3"/>
        <v>7.5157416698266984E-7</v>
      </c>
      <c r="BG232" s="9">
        <f t="shared" si="44"/>
        <v>1.0003702744913787</v>
      </c>
    </row>
    <row r="233" spans="2:59" x14ac:dyDescent="0.3">
      <c r="B233" s="3" t="s">
        <v>468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1"/>
        <v>0</v>
      </c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2"/>
        <v>0</v>
      </c>
      <c r="AF233" s="2" t="str">
        <f t="shared" si="46"/>
        <v/>
      </c>
      <c r="AG233" s="2" t="str">
        <f t="shared" si="46"/>
        <v/>
      </c>
      <c r="AH233" s="2" t="str">
        <f t="shared" si="46"/>
        <v/>
      </c>
      <c r="AI233" s="2" t="str">
        <f t="shared" si="46"/>
        <v/>
      </c>
      <c r="AJ233" s="2" t="str">
        <f t="shared" si="46"/>
        <v/>
      </c>
      <c r="AK233" s="2" t="str">
        <f t="shared" si="46"/>
        <v/>
      </c>
      <c r="AL233" s="2" t="str">
        <f t="shared" si="46"/>
        <v/>
      </c>
      <c r="AM233" s="2" t="str">
        <f t="shared" si="45"/>
        <v/>
      </c>
      <c r="AN233" s="2" t="str">
        <f t="shared" si="45"/>
        <v/>
      </c>
      <c r="AO233" s="2" t="str">
        <f t="shared" si="45"/>
        <v/>
      </c>
      <c r="AP233" s="2" t="str">
        <f t="shared" si="45"/>
        <v/>
      </c>
      <c r="AQ233" s="2" t="str">
        <f t="shared" si="45"/>
        <v/>
      </c>
      <c r="AR233" s="2" t="str">
        <f t="shared" si="45"/>
        <v/>
      </c>
      <c r="AT233" s="2"/>
      <c r="AU233" s="2"/>
      <c r="AV233" s="143"/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3"/>
        <v>0</v>
      </c>
      <c r="BG233" s="9">
        <f t="shared" si="44"/>
        <v>1.0003702744913787</v>
      </c>
    </row>
    <row r="234" spans="2:59" x14ac:dyDescent="0.3">
      <c r="B234" s="3" t="s">
        <v>469</v>
      </c>
      <c r="D234" s="141">
        <v>13500</v>
      </c>
      <c r="E234" s="141">
        <v>32657</v>
      </c>
      <c r="F234" s="141">
        <v>35434</v>
      </c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1"/>
        <v>81591</v>
      </c>
      <c r="R234" s="141">
        <v>1047</v>
      </c>
      <c r="S234" s="141">
        <v>4195</v>
      </c>
      <c r="T234" s="141">
        <v>2633</v>
      </c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2"/>
        <v>7875</v>
      </c>
      <c r="AF234" s="2">
        <f t="shared" si="46"/>
        <v>7.7555555555555558E-2</v>
      </c>
      <c r="AG234" s="2">
        <f t="shared" si="46"/>
        <v>0.12845637994916864</v>
      </c>
      <c r="AH234" s="2">
        <f t="shared" si="46"/>
        <v>7.4307162612180386E-2</v>
      </c>
      <c r="AI234" s="2" t="str">
        <f t="shared" si="46"/>
        <v/>
      </c>
      <c r="AJ234" s="2" t="str">
        <f t="shared" si="46"/>
        <v/>
      </c>
      <c r="AK234" s="2" t="str">
        <f t="shared" si="46"/>
        <v/>
      </c>
      <c r="AL234" s="2" t="str">
        <f t="shared" si="46"/>
        <v/>
      </c>
      <c r="AM234" s="2" t="str">
        <f t="shared" si="45"/>
        <v/>
      </c>
      <c r="AN234" s="2" t="str">
        <f t="shared" si="45"/>
        <v/>
      </c>
      <c r="AO234" s="2" t="str">
        <f t="shared" si="45"/>
        <v/>
      </c>
      <c r="AP234" s="2" t="str">
        <f t="shared" si="45"/>
        <v/>
      </c>
      <c r="AQ234" s="2" t="str">
        <f t="shared" si="45"/>
        <v/>
      </c>
      <c r="AR234" s="2">
        <f t="shared" si="45"/>
        <v>9.6517998308636985E-2</v>
      </c>
      <c r="AT234" s="2"/>
      <c r="AU234" s="2"/>
      <c r="AV234" s="143"/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3"/>
        <v>6.1910528922474104E-6</v>
      </c>
      <c r="BG234" s="9">
        <f t="shared" si="44"/>
        <v>1.0003764655442711</v>
      </c>
    </row>
    <row r="235" spans="2:59" x14ac:dyDescent="0.3">
      <c r="B235" s="3" t="s">
        <v>470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1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2"/>
        <v>0</v>
      </c>
      <c r="AF235" s="2" t="str">
        <f t="shared" si="46"/>
        <v/>
      </c>
      <c r="AG235" s="2" t="str">
        <f t="shared" si="46"/>
        <v/>
      </c>
      <c r="AH235" s="2" t="str">
        <f t="shared" si="46"/>
        <v/>
      </c>
      <c r="AI235" s="2" t="str">
        <f t="shared" si="46"/>
        <v/>
      </c>
      <c r="AJ235" s="2" t="str">
        <f t="shared" si="46"/>
        <v/>
      </c>
      <c r="AK235" s="2" t="str">
        <f t="shared" si="46"/>
        <v/>
      </c>
      <c r="AL235" s="2" t="str">
        <f t="shared" si="46"/>
        <v/>
      </c>
      <c r="AM235" s="2" t="str">
        <f t="shared" si="45"/>
        <v/>
      </c>
      <c r="AN235" s="2" t="str">
        <f t="shared" si="45"/>
        <v/>
      </c>
      <c r="AO235" s="2" t="str">
        <f t="shared" si="45"/>
        <v/>
      </c>
      <c r="AP235" s="2" t="str">
        <f t="shared" si="45"/>
        <v/>
      </c>
      <c r="AQ235" s="2" t="str">
        <f t="shared" si="45"/>
        <v/>
      </c>
      <c r="AR235" s="2" t="str">
        <f t="shared" si="45"/>
        <v/>
      </c>
      <c r="AT235" s="2"/>
      <c r="AU235" s="2"/>
      <c r="AV235" s="143"/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3"/>
        <v>0</v>
      </c>
      <c r="BG235" s="9">
        <f t="shared" si="44"/>
        <v>1.0003764655442711</v>
      </c>
    </row>
    <row r="236" spans="2:59" x14ac:dyDescent="0.3">
      <c r="B236" s="3" t="s">
        <v>471</v>
      </c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1"/>
        <v>0</v>
      </c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2"/>
        <v>0</v>
      </c>
      <c r="AF236" s="2" t="str">
        <f t="shared" si="46"/>
        <v/>
      </c>
      <c r="AG236" s="2" t="str">
        <f t="shared" si="46"/>
        <v/>
      </c>
      <c r="AH236" s="2" t="str">
        <f t="shared" si="46"/>
        <v/>
      </c>
      <c r="AI236" s="2" t="str">
        <f t="shared" si="46"/>
        <v/>
      </c>
      <c r="AJ236" s="2" t="str">
        <f t="shared" si="46"/>
        <v/>
      </c>
      <c r="AK236" s="2" t="str">
        <f t="shared" si="46"/>
        <v/>
      </c>
      <c r="AL236" s="2" t="str">
        <f t="shared" si="46"/>
        <v/>
      </c>
      <c r="AM236" s="2" t="str">
        <f t="shared" si="45"/>
        <v/>
      </c>
      <c r="AN236" s="2" t="str">
        <f t="shared" si="45"/>
        <v/>
      </c>
      <c r="AO236" s="2" t="str">
        <f t="shared" si="45"/>
        <v/>
      </c>
      <c r="AP236" s="2" t="str">
        <f t="shared" si="45"/>
        <v/>
      </c>
      <c r="AQ236" s="2" t="str">
        <f t="shared" si="45"/>
        <v/>
      </c>
      <c r="AR236" s="2" t="str">
        <f t="shared" si="45"/>
        <v/>
      </c>
      <c r="AT236" s="2"/>
      <c r="AU236" s="2"/>
      <c r="AV236" s="143"/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3"/>
        <v>0</v>
      </c>
      <c r="BG236" s="9">
        <f t="shared" si="44"/>
        <v>1.0003764655442711</v>
      </c>
    </row>
    <row r="237" spans="2:59" s="17" customFormat="1" x14ac:dyDescent="0.3">
      <c r="B237" s="3" t="s">
        <v>287</v>
      </c>
      <c r="D237" s="144">
        <f t="shared" ref="D237:P237" si="47">+SUM(D5:D204)</f>
        <v>3396752884</v>
      </c>
      <c r="E237" s="144">
        <f t="shared" si="47"/>
        <v>3244087595</v>
      </c>
      <c r="F237" s="144">
        <f t="shared" si="47"/>
        <v>3474480503</v>
      </c>
      <c r="G237" s="144">
        <f t="shared" si="47"/>
        <v>0</v>
      </c>
      <c r="H237" s="144">
        <f t="shared" si="47"/>
        <v>0</v>
      </c>
      <c r="I237" s="144">
        <f t="shared" si="47"/>
        <v>0</v>
      </c>
      <c r="J237" s="144">
        <f t="shared" si="47"/>
        <v>0</v>
      </c>
      <c r="K237" s="144">
        <f t="shared" si="47"/>
        <v>0</v>
      </c>
      <c r="L237" s="144">
        <f t="shared" si="47"/>
        <v>0</v>
      </c>
      <c r="M237" s="144">
        <f t="shared" si="47"/>
        <v>0</v>
      </c>
      <c r="N237" s="144">
        <f t="shared" si="47"/>
        <v>0</v>
      </c>
      <c r="O237" s="144">
        <f t="shared" si="47"/>
        <v>0</v>
      </c>
      <c r="P237" s="144">
        <f t="shared" si="47"/>
        <v>10115320982</v>
      </c>
      <c r="R237" s="144">
        <f t="shared" ref="R237:AD237" si="48">+SUM(R5:R204)</f>
        <v>427280600</v>
      </c>
      <c r="S237" s="144">
        <f t="shared" si="48"/>
        <v>413848666</v>
      </c>
      <c r="T237" s="144">
        <f t="shared" si="48"/>
        <v>430867620</v>
      </c>
      <c r="U237" s="144">
        <f t="shared" si="48"/>
        <v>0</v>
      </c>
      <c r="V237" s="144">
        <f t="shared" si="48"/>
        <v>0</v>
      </c>
      <c r="W237" s="144">
        <f t="shared" si="48"/>
        <v>0</v>
      </c>
      <c r="X237" s="144">
        <f t="shared" si="48"/>
        <v>0</v>
      </c>
      <c r="Y237" s="144">
        <f t="shared" si="48"/>
        <v>0</v>
      </c>
      <c r="Z237" s="144">
        <f t="shared" si="48"/>
        <v>0</v>
      </c>
      <c r="AA237" s="144">
        <f t="shared" si="48"/>
        <v>0</v>
      </c>
      <c r="AB237" s="144">
        <f t="shared" si="48"/>
        <v>0</v>
      </c>
      <c r="AC237" s="144">
        <f t="shared" si="48"/>
        <v>0</v>
      </c>
      <c r="AD237" s="144">
        <f t="shared" si="48"/>
        <v>1271996886</v>
      </c>
      <c r="AF237" s="7">
        <f t="shared" si="46"/>
        <v>0.12579089930640949</v>
      </c>
      <c r="AG237" s="7">
        <f t="shared" si="46"/>
        <v>0.12757012684794661</v>
      </c>
      <c r="AH237" s="7">
        <f t="shared" si="46"/>
        <v>0.12400922083976938</v>
      </c>
      <c r="AI237" s="7" t="str">
        <f t="shared" si="46"/>
        <v/>
      </c>
      <c r="AJ237" s="7" t="str">
        <f t="shared" si="46"/>
        <v/>
      </c>
      <c r="AK237" s="7" t="str">
        <f t="shared" si="46"/>
        <v/>
      </c>
      <c r="AL237" s="7" t="str">
        <f t="shared" si="46"/>
        <v/>
      </c>
      <c r="AM237" s="7" t="str">
        <f t="shared" si="46"/>
        <v/>
      </c>
      <c r="AN237" s="7" t="str">
        <f t="shared" si="46"/>
        <v/>
      </c>
      <c r="AO237" s="7" t="str">
        <f t="shared" si="46"/>
        <v/>
      </c>
      <c r="AP237" s="7" t="str">
        <f t="shared" si="46"/>
        <v/>
      </c>
      <c r="AQ237" s="7" t="str">
        <f t="shared" si="46"/>
        <v/>
      </c>
      <c r="AR237" s="7">
        <f t="shared" si="46"/>
        <v>0.1257495326409801</v>
      </c>
      <c r="AT237" s="7" t="str">
        <f>+IFERROR(AM237-AL237,"")</f>
        <v/>
      </c>
      <c r="AU237" s="7" t="str">
        <f>+IFERROR(AN237-AM237,"")</f>
        <v/>
      </c>
      <c r="AV237" s="145" t="str">
        <f t="shared" ref="AV237:BD237" si="49">+IFERROR(AI237-AH237,"")</f>
        <v/>
      </c>
      <c r="AW237" s="145" t="str">
        <f t="shared" si="49"/>
        <v/>
      </c>
      <c r="AX237" s="145" t="str">
        <f t="shared" si="49"/>
        <v/>
      </c>
      <c r="AY237" s="145" t="str">
        <f t="shared" si="49"/>
        <v/>
      </c>
      <c r="AZ237" s="145" t="str">
        <f t="shared" si="49"/>
        <v/>
      </c>
      <c r="BA237" s="145" t="str">
        <f t="shared" si="49"/>
        <v/>
      </c>
      <c r="BB237" s="145" t="str">
        <f t="shared" si="49"/>
        <v/>
      </c>
      <c r="BC237" s="145" t="str">
        <f t="shared" si="49"/>
        <v/>
      </c>
      <c r="BD237" s="145" t="str">
        <f t="shared" si="49"/>
        <v/>
      </c>
      <c r="BF237" s="10">
        <f>+AD237/$AD$237</f>
        <v>1</v>
      </c>
      <c r="BG237" s="10"/>
    </row>
    <row r="239" spans="2:59" x14ac:dyDescent="0.3">
      <c r="I239" s="243"/>
      <c r="J239" s="243"/>
      <c r="K239" s="243"/>
      <c r="L239" s="243"/>
      <c r="M239" s="243"/>
    </row>
    <row r="242" spans="11:11" x14ac:dyDescent="0.3">
      <c r="K242" s="148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9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546875" defaultRowHeight="14.4" outlineLevelCol="1" x14ac:dyDescent="0.3"/>
  <cols>
    <col min="1" max="1" width="1.33203125" style="155" customWidth="1"/>
    <col min="2" max="2" width="51.77734375" style="155" customWidth="1"/>
    <col min="3" max="3" width="1.88671875" style="155" customWidth="1"/>
    <col min="4" max="4" width="16.33203125" style="155" hidden="1" customWidth="1" outlineLevel="1"/>
    <col min="5" max="5" width="16.33203125" style="155" customWidth="1" outlineLevel="1"/>
    <col min="6" max="6" width="15.21875" style="155" bestFit="1" customWidth="1" outlineLevel="1"/>
    <col min="7" max="15" width="16.33203125" style="155" hidden="1" customWidth="1" outlineLevel="1"/>
    <col min="16" max="16" width="16.33203125" style="155" bestFit="1" customWidth="1" outlineLevel="1"/>
    <col min="17" max="17" width="1.77734375" style="155" customWidth="1"/>
    <col min="18" max="18" width="16.33203125" style="155" hidden="1" customWidth="1" outlineLevel="1"/>
    <col min="19" max="19" width="16.33203125" style="155" bestFit="1" customWidth="1" outlineLevel="1"/>
    <col min="20" max="20" width="15.21875" style="155" bestFit="1" customWidth="1" outlineLevel="1"/>
    <col min="21" max="29" width="16.33203125" style="155" hidden="1" customWidth="1" outlineLevel="1"/>
    <col min="30" max="30" width="16.33203125" style="155" bestFit="1" customWidth="1" outlineLevel="1"/>
    <col min="31" max="31" width="1.6640625" style="155" customWidth="1"/>
    <col min="32" max="32" width="8.5546875" style="155" hidden="1" customWidth="1"/>
    <col min="33" max="34" width="8.5546875" style="155" customWidth="1"/>
    <col min="35" max="43" width="8.5546875" style="155" hidden="1" customWidth="1"/>
    <col min="44" max="44" width="8.5546875" style="155" bestFit="1" customWidth="1"/>
    <col min="45" max="45" width="2.44140625" style="155" customWidth="1"/>
    <col min="46" max="46" width="9.6640625" style="155" customWidth="1"/>
    <col min="47" max="47" width="10.109375" style="155" customWidth="1"/>
    <col min="48" max="48" width="9.44140625" style="155" hidden="1" customWidth="1"/>
    <col min="49" max="49" width="10.44140625" style="155" hidden="1" customWidth="1"/>
    <col min="50" max="50" width="9.44140625" style="155" hidden="1" customWidth="1"/>
    <col min="51" max="51" width="8.6640625" style="155" hidden="1" customWidth="1"/>
    <col min="52" max="52" width="9.77734375" style="155" hidden="1" customWidth="1"/>
    <col min="53" max="53" width="9.6640625" style="155" hidden="1" customWidth="1"/>
    <col min="54" max="54" width="9.44140625" style="155" hidden="1" customWidth="1"/>
    <col min="55" max="55" width="10.109375" style="155" hidden="1" customWidth="1"/>
    <col min="56" max="56" width="9" style="155" hidden="1" customWidth="1"/>
    <col min="57" max="57" width="2.6640625" style="155" customWidth="1"/>
    <col min="58" max="58" width="6.6640625" style="155" bestFit="1" customWidth="1"/>
    <col min="59" max="59" width="10" style="155" bestFit="1" customWidth="1"/>
    <col min="60" max="79" width="11.5546875" style="155" customWidth="1"/>
    <col min="80" max="16384" width="11.5546875" style="155"/>
  </cols>
  <sheetData>
    <row r="1" spans="2:59" ht="22.95" customHeight="1" x14ac:dyDescent="0.3"/>
    <row r="2" spans="2:59" x14ac:dyDescent="0.3">
      <c r="D2" s="256" t="s">
        <v>71</v>
      </c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258" t="s">
        <v>72</v>
      </c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F2" s="256" t="s">
        <v>73</v>
      </c>
      <c r="AG2" s="257"/>
      <c r="AH2" s="257"/>
      <c r="AI2" s="257"/>
      <c r="AJ2" s="257"/>
      <c r="AK2" s="257"/>
      <c r="AL2" s="257"/>
      <c r="AM2" s="257"/>
      <c r="AN2" s="257"/>
      <c r="AO2" s="257"/>
      <c r="AP2" s="257"/>
      <c r="AQ2" s="257"/>
      <c r="AR2" s="257"/>
      <c r="AT2" s="259" t="s">
        <v>455</v>
      </c>
      <c r="AU2" s="257"/>
      <c r="AV2" s="257"/>
      <c r="AW2" s="257"/>
      <c r="AX2" s="257"/>
      <c r="AY2" s="257"/>
      <c r="AZ2" s="257"/>
      <c r="BA2" s="257"/>
      <c r="BB2" s="257"/>
      <c r="BC2" s="257"/>
      <c r="BD2" s="257"/>
    </row>
    <row r="3" spans="2:59" ht="4.95" customHeight="1" x14ac:dyDescent="0.3"/>
    <row r="4" spans="2:59" ht="17.399999999999999" customHeight="1" x14ac:dyDescent="0.3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44</v>
      </c>
      <c r="AF4" s="4" t="s">
        <v>19</v>
      </c>
      <c r="AG4" s="4" t="s">
        <v>20</v>
      </c>
      <c r="AH4" s="4" t="s">
        <v>21</v>
      </c>
      <c r="AI4" s="4" t="s">
        <v>22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44</v>
      </c>
      <c r="AT4" s="1" t="s">
        <v>75</v>
      </c>
      <c r="AU4" s="1" t="s">
        <v>76</v>
      </c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290</v>
      </c>
      <c r="BF4" s="1" t="s">
        <v>85</v>
      </c>
      <c r="BG4" s="1" t="s">
        <v>86</v>
      </c>
    </row>
    <row r="5" spans="2:59" x14ac:dyDescent="0.3">
      <c r="B5" s="3" t="s">
        <v>88</v>
      </c>
      <c r="D5" s="141">
        <v>22824513</v>
      </c>
      <c r="E5" s="141">
        <v>21450662</v>
      </c>
      <c r="F5" s="141">
        <v>23477055</v>
      </c>
      <c r="G5" s="141"/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67752230</v>
      </c>
      <c r="R5" s="141">
        <v>16617374</v>
      </c>
      <c r="S5" s="141">
        <v>15526319</v>
      </c>
      <c r="T5" s="141">
        <v>16760062</v>
      </c>
      <c r="U5" s="141"/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48903755</v>
      </c>
      <c r="AF5" s="2">
        <f t="shared" ref="AF5:AR24" si="2">+IFERROR(R5/D5,"")</f>
        <v>0.72804944403413996</v>
      </c>
      <c r="AG5" s="2">
        <f t="shared" si="2"/>
        <v>0.72381537688673669</v>
      </c>
      <c r="AH5" s="2">
        <f t="shared" si="2"/>
        <v>0.71389115883572274</v>
      </c>
      <c r="AI5" s="2" t="str">
        <f t="shared" si="2"/>
        <v/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0.72180288383127755</v>
      </c>
      <c r="AT5" s="142">
        <f t="shared" ref="AT5:BD28" si="3">+IFERROR(AG5-AF5,"")</f>
        <v>-4.2340671474032643E-3</v>
      </c>
      <c r="AU5" s="142">
        <f t="shared" si="3"/>
        <v>-9.9242180510139555E-3</v>
      </c>
      <c r="AV5" s="142" t="str">
        <f t="shared" si="3"/>
        <v/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68" si="4">+AD5/$AD$257</f>
        <v>8.6074233847345208E-2</v>
      </c>
      <c r="BG5" s="9">
        <f>+BF5</f>
        <v>8.6074233847345208E-2</v>
      </c>
    </row>
    <row r="6" spans="2:59" x14ac:dyDescent="0.3">
      <c r="B6" s="3" t="s">
        <v>87</v>
      </c>
      <c r="D6" s="141">
        <v>11594720</v>
      </c>
      <c r="E6" s="141">
        <v>10824518</v>
      </c>
      <c r="F6" s="141">
        <v>10571639</v>
      </c>
      <c r="G6" s="141"/>
      <c r="H6" s="141"/>
      <c r="I6" s="141"/>
      <c r="J6" s="141"/>
      <c r="K6" s="141"/>
      <c r="L6" s="141"/>
      <c r="M6" s="141"/>
      <c r="N6" s="141"/>
      <c r="O6" s="141"/>
      <c r="P6" s="141">
        <f t="shared" si="0"/>
        <v>32990877</v>
      </c>
      <c r="R6" s="141">
        <v>8169004</v>
      </c>
      <c r="S6" s="141">
        <v>7744745</v>
      </c>
      <c r="T6" s="141">
        <v>7465286</v>
      </c>
      <c r="U6" s="141"/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23379035</v>
      </c>
      <c r="AF6" s="2">
        <f t="shared" si="2"/>
        <v>0.7045451722853161</v>
      </c>
      <c r="AG6" s="2">
        <f t="shared" si="2"/>
        <v>0.71548174246650054</v>
      </c>
      <c r="AH6" s="2">
        <f t="shared" si="2"/>
        <v>0.70616164626885203</v>
      </c>
      <c r="AI6" s="2" t="str">
        <f t="shared" si="2"/>
        <v/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0.70865151599334564</v>
      </c>
      <c r="AT6" s="142">
        <f t="shared" si="3"/>
        <v>1.0936570181184435E-2</v>
      </c>
      <c r="AU6" s="142">
        <f t="shared" si="3"/>
        <v>-9.3200961976485086E-3</v>
      </c>
      <c r="AV6" s="142" t="str">
        <f t="shared" si="3"/>
        <v/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4.1148834597982673E-2</v>
      </c>
      <c r="BG6" s="9">
        <f t="shared" ref="BG6:BG69" si="5">+BF6+BG5</f>
        <v>0.12722306844532788</v>
      </c>
    </row>
    <row r="7" spans="2:59" x14ac:dyDescent="0.3">
      <c r="B7" s="3" t="s">
        <v>89</v>
      </c>
      <c r="D7" s="141">
        <v>11293150</v>
      </c>
      <c r="E7" s="141">
        <v>10803912</v>
      </c>
      <c r="F7" s="141">
        <v>13803852</v>
      </c>
      <c r="G7" s="141"/>
      <c r="H7" s="141"/>
      <c r="I7" s="141"/>
      <c r="J7" s="141"/>
      <c r="K7" s="141"/>
      <c r="L7" s="141"/>
      <c r="M7" s="141"/>
      <c r="N7" s="141"/>
      <c r="O7" s="141"/>
      <c r="P7" s="141">
        <f t="shared" si="0"/>
        <v>35900914</v>
      </c>
      <c r="R7" s="141">
        <v>7189303</v>
      </c>
      <c r="S7" s="141">
        <v>7015893</v>
      </c>
      <c r="T7" s="141">
        <v>8940577</v>
      </c>
      <c r="U7" s="141"/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23145773</v>
      </c>
      <c r="AF7" s="2">
        <f t="shared" si="2"/>
        <v>0.63660741245799446</v>
      </c>
      <c r="AG7" s="2">
        <f t="shared" si="2"/>
        <v>0.64938450072529286</v>
      </c>
      <c r="AH7" s="2">
        <f t="shared" si="2"/>
        <v>0.64768710936628415</v>
      </c>
      <c r="AI7" s="2" t="str">
        <f t="shared" si="2"/>
        <v/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0.64471263879242735</v>
      </c>
      <c r="AT7" s="142">
        <f t="shared" si="3"/>
        <v>1.2777088267298398E-2</v>
      </c>
      <c r="AU7" s="142">
        <f t="shared" si="3"/>
        <v>-1.6973913590087042E-3</v>
      </c>
      <c r="AV7" s="142" t="str">
        <f t="shared" si="3"/>
        <v/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4.0738276187167403E-2</v>
      </c>
      <c r="BG7" s="9">
        <f t="shared" si="5"/>
        <v>0.16796134463249529</v>
      </c>
    </row>
    <row r="8" spans="2:59" x14ac:dyDescent="0.3">
      <c r="B8" s="3" t="s">
        <v>108</v>
      </c>
      <c r="D8" s="141">
        <v>13667034</v>
      </c>
      <c r="E8" s="141">
        <v>11627261</v>
      </c>
      <c r="F8" s="141">
        <v>11123859</v>
      </c>
      <c r="G8" s="141"/>
      <c r="H8" s="141"/>
      <c r="I8" s="141"/>
      <c r="J8" s="141"/>
      <c r="K8" s="141"/>
      <c r="L8" s="141"/>
      <c r="M8" s="141"/>
      <c r="N8" s="141"/>
      <c r="O8" s="141"/>
      <c r="P8" s="141">
        <f t="shared" si="0"/>
        <v>36418154</v>
      </c>
      <c r="R8" s="141">
        <v>8386037</v>
      </c>
      <c r="S8" s="141">
        <v>7369242</v>
      </c>
      <c r="T8" s="141">
        <v>6826358</v>
      </c>
      <c r="U8" s="141"/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22581637</v>
      </c>
      <c r="AF8" s="2">
        <f t="shared" si="2"/>
        <v>0.61359597115219</v>
      </c>
      <c r="AG8" s="2">
        <f t="shared" si="2"/>
        <v>0.6337900215708584</v>
      </c>
      <c r="AH8" s="2">
        <f t="shared" si="2"/>
        <v>0.61366815239207906</v>
      </c>
      <c r="AI8" s="2" t="str">
        <f t="shared" si="2"/>
        <v/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0.62006539375938718</v>
      </c>
      <c r="AT8" s="142">
        <f t="shared" si="3"/>
        <v>2.0194050418668397E-2</v>
      </c>
      <c r="AU8" s="142">
        <f t="shared" si="3"/>
        <v>-2.0121869178779339E-2</v>
      </c>
      <c r="AV8" s="142" t="str">
        <f t="shared" si="3"/>
        <v/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3.974535500993457E-2</v>
      </c>
      <c r="BG8" s="9">
        <f t="shared" si="5"/>
        <v>0.20770669964242985</v>
      </c>
    </row>
    <row r="9" spans="2:59" x14ac:dyDescent="0.3">
      <c r="B9" s="3" t="s">
        <v>98</v>
      </c>
      <c r="D9" s="141">
        <v>10680600</v>
      </c>
      <c r="E9" s="141">
        <v>10407167</v>
      </c>
      <c r="F9" s="141">
        <v>11186404</v>
      </c>
      <c r="G9" s="141"/>
      <c r="H9" s="141"/>
      <c r="I9" s="141"/>
      <c r="J9" s="141"/>
      <c r="K9" s="141"/>
      <c r="L9" s="141"/>
      <c r="M9" s="141"/>
      <c r="N9" s="141"/>
      <c r="O9" s="141"/>
      <c r="P9" s="141">
        <f t="shared" si="0"/>
        <v>32274171</v>
      </c>
      <c r="R9" s="141">
        <v>7510774</v>
      </c>
      <c r="S9" s="141">
        <v>7455326</v>
      </c>
      <c r="T9" s="141">
        <v>7674466</v>
      </c>
      <c r="U9" s="141"/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22640566</v>
      </c>
      <c r="AF9" s="2">
        <f t="shared" si="2"/>
        <v>0.70321648596520792</v>
      </c>
      <c r="AG9" s="2">
        <f t="shared" si="2"/>
        <v>0.71636459758933435</v>
      </c>
      <c r="AH9" s="2">
        <f t="shared" si="2"/>
        <v>0.68605299790710228</v>
      </c>
      <c r="AI9" s="2" t="str">
        <f t="shared" si="2"/>
        <v/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0.7015072827122345</v>
      </c>
      <c r="AT9" s="142">
        <f t="shared" si="3"/>
        <v>1.3148111624126435E-2</v>
      </c>
      <c r="AU9" s="142">
        <f t="shared" si="3"/>
        <v>-3.0311599682232071E-2</v>
      </c>
      <c r="AV9" s="142" t="str">
        <f t="shared" si="3"/>
        <v/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3.9849074418114784E-2</v>
      </c>
      <c r="BG9" s="9">
        <f t="shared" si="5"/>
        <v>0.24755577406054463</v>
      </c>
    </row>
    <row r="10" spans="2:59" x14ac:dyDescent="0.3">
      <c r="B10" s="3" t="s">
        <v>106</v>
      </c>
      <c r="D10" s="141">
        <v>2801541</v>
      </c>
      <c r="E10" s="141">
        <v>2558501</v>
      </c>
      <c r="F10" s="141">
        <v>2800047</v>
      </c>
      <c r="G10" s="141"/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8160089</v>
      </c>
      <c r="R10" s="141">
        <v>1940989</v>
      </c>
      <c r="S10" s="141">
        <v>1730435</v>
      </c>
      <c r="T10" s="141">
        <v>1835662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5507086</v>
      </c>
      <c r="AF10" s="2">
        <f t="shared" si="2"/>
        <v>0.69282905372436099</v>
      </c>
      <c r="AG10" s="2">
        <f t="shared" si="2"/>
        <v>0.67634720486722499</v>
      </c>
      <c r="AH10" s="2">
        <f t="shared" si="2"/>
        <v>0.65558256700691098</v>
      </c>
      <c r="AI10" s="2" t="str">
        <f t="shared" si="2"/>
        <v/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0.6748806293656846</v>
      </c>
      <c r="AT10" s="142">
        <f t="shared" si="3"/>
        <v>-1.6481848857135994E-2</v>
      </c>
      <c r="AU10" s="142">
        <f t="shared" si="3"/>
        <v>-2.0764637860314017E-2</v>
      </c>
      <c r="AV10" s="142" t="str">
        <f t="shared" si="3"/>
        <v/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9.6928795791129101E-3</v>
      </c>
      <c r="BG10" s="9">
        <f t="shared" si="5"/>
        <v>0.25724865363965754</v>
      </c>
    </row>
    <row r="11" spans="2:59" x14ac:dyDescent="0.3">
      <c r="B11" s="3" t="s">
        <v>152</v>
      </c>
      <c r="D11" s="141">
        <v>11205796</v>
      </c>
      <c r="E11" s="141">
        <v>11131335</v>
      </c>
      <c r="F11" s="141">
        <v>11036604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33373735</v>
      </c>
      <c r="R11" s="141">
        <v>8407853</v>
      </c>
      <c r="S11" s="141">
        <v>8389246</v>
      </c>
      <c r="T11" s="141">
        <v>8331371</v>
      </c>
      <c r="U11" s="141"/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25128470</v>
      </c>
      <c r="AF11" s="2">
        <f t="shared" si="2"/>
        <v>0.75031287380209311</v>
      </c>
      <c r="AG11" s="2">
        <f t="shared" si="2"/>
        <v>0.75366036508648782</v>
      </c>
      <c r="AH11" s="2">
        <f t="shared" si="2"/>
        <v>0.75488537959683977</v>
      </c>
      <c r="AI11" s="2" t="str">
        <f t="shared" si="2"/>
        <v/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0.7529414972582481</v>
      </c>
      <c r="AT11" s="142">
        <f t="shared" si="3"/>
        <v>3.3474912843947102E-3</v>
      </c>
      <c r="AU11" s="142">
        <f t="shared" si="3"/>
        <v>1.2250145103519516E-3</v>
      </c>
      <c r="AV11" s="142" t="str">
        <f t="shared" si="3"/>
        <v/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4.4227969876873434E-2</v>
      </c>
      <c r="BG11" s="9">
        <f t="shared" si="5"/>
        <v>0.30147662351653098</v>
      </c>
    </row>
    <row r="12" spans="2:59" x14ac:dyDescent="0.3">
      <c r="B12" s="3" t="s">
        <v>130</v>
      </c>
      <c r="D12" s="141">
        <v>5750366</v>
      </c>
      <c r="E12" s="141">
        <v>5722766</v>
      </c>
      <c r="F12" s="141">
        <v>10029362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21502494</v>
      </c>
      <c r="R12" s="141">
        <v>4063947</v>
      </c>
      <c r="S12" s="141">
        <v>4215479</v>
      </c>
      <c r="T12" s="141">
        <v>6898725</v>
      </c>
      <c r="U12" s="141"/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15178151</v>
      </c>
      <c r="AF12" s="2">
        <f t="shared" si="2"/>
        <v>0.70672840650490765</v>
      </c>
      <c r="AG12" s="2">
        <f t="shared" si="2"/>
        <v>0.73661565054381051</v>
      </c>
      <c r="AH12" s="2">
        <f t="shared" si="2"/>
        <v>0.68785282653074042</v>
      </c>
      <c r="AI12" s="2" t="str">
        <f t="shared" si="2"/>
        <v/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0.70587862970686099</v>
      </c>
      <c r="AT12" s="142">
        <f t="shared" si="3"/>
        <v>2.988724403890286E-2</v>
      </c>
      <c r="AU12" s="142">
        <f t="shared" si="3"/>
        <v>-4.8762824013070083E-2</v>
      </c>
      <c r="AV12" s="142" t="str">
        <f t="shared" si="3"/>
        <v/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2.6714670857980464E-2</v>
      </c>
      <c r="BG12" s="9">
        <f t="shared" si="5"/>
        <v>0.32819129437451144</v>
      </c>
    </row>
    <row r="13" spans="2:59" x14ac:dyDescent="0.3">
      <c r="B13" s="3" t="s">
        <v>90</v>
      </c>
      <c r="D13" s="141">
        <v>9381784</v>
      </c>
      <c r="E13" s="141">
        <v>8582842</v>
      </c>
      <c r="F13" s="141">
        <v>9223032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27187658</v>
      </c>
      <c r="R13" s="141">
        <v>6695619</v>
      </c>
      <c r="S13" s="141">
        <v>6049443</v>
      </c>
      <c r="T13" s="141">
        <v>6544137</v>
      </c>
      <c r="U13" s="141"/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19289199</v>
      </c>
      <c r="AF13" s="2">
        <f t="shared" si="2"/>
        <v>0.71368292000753797</v>
      </c>
      <c r="AG13" s="2">
        <f t="shared" si="2"/>
        <v>0.70482982210321476</v>
      </c>
      <c r="AH13" s="2">
        <f t="shared" si="2"/>
        <v>0.70954291387040613</v>
      </c>
      <c r="AI13" s="2" t="str">
        <f t="shared" si="2"/>
        <v/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0.70948365615015463</v>
      </c>
      <c r="AT13" s="143">
        <f t="shared" si="3"/>
        <v>-8.8530979043232039E-3</v>
      </c>
      <c r="AU13" s="143">
        <f t="shared" si="3"/>
        <v>4.7130917671913686E-3</v>
      </c>
      <c r="AV13" s="143" t="str">
        <f t="shared" si="3"/>
        <v/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3.3950420074163573E-2</v>
      </c>
      <c r="BG13" s="9">
        <f t="shared" si="5"/>
        <v>0.36214171444867505</v>
      </c>
    </row>
    <row r="14" spans="2:59" x14ac:dyDescent="0.3">
      <c r="B14" s="3" t="s">
        <v>195</v>
      </c>
      <c r="D14" s="141">
        <v>14752988</v>
      </c>
      <c r="E14" s="141">
        <v>12500624</v>
      </c>
      <c r="F14" s="141">
        <v>13038731</v>
      </c>
      <c r="G14" s="141"/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40292343</v>
      </c>
      <c r="R14" s="141">
        <v>8814458</v>
      </c>
      <c r="S14" s="141">
        <v>7416840</v>
      </c>
      <c r="T14" s="141">
        <v>7518448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23749746</v>
      </c>
      <c r="AF14" s="2">
        <f t="shared" si="2"/>
        <v>0.59746933977035699</v>
      </c>
      <c r="AG14" s="2">
        <f t="shared" si="2"/>
        <v>0.59331758158632719</v>
      </c>
      <c r="AH14" s="2">
        <f t="shared" si="2"/>
        <v>0.5766242128931105</v>
      </c>
      <c r="AI14" s="2" t="str">
        <f t="shared" si="2"/>
        <v/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0.58943571487019253</v>
      </c>
      <c r="AT14" s="143">
        <f t="shared" si="3"/>
        <v>-4.1517581840297968E-3</v>
      </c>
      <c r="AU14" s="143">
        <f t="shared" si="3"/>
        <v>-1.6693368693216692E-2</v>
      </c>
      <c r="AV14" s="143" t="str">
        <f t="shared" si="3"/>
        <v/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4.1801313437363888E-2</v>
      </c>
      <c r="BG14" s="9">
        <f t="shared" si="5"/>
        <v>0.40394302788603892</v>
      </c>
    </row>
    <row r="15" spans="2:59" x14ac:dyDescent="0.3">
      <c r="B15" s="3" t="s">
        <v>138</v>
      </c>
      <c r="D15" s="141">
        <v>20267911</v>
      </c>
      <c r="E15" s="141">
        <v>23703643</v>
      </c>
      <c r="F15" s="141">
        <v>17013212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60984766</v>
      </c>
      <c r="R15" s="141">
        <v>16549859</v>
      </c>
      <c r="S15" s="141">
        <v>18517798</v>
      </c>
      <c r="T15" s="141">
        <v>13909228</v>
      </c>
      <c r="U15" s="141"/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48976885</v>
      </c>
      <c r="AF15" s="2">
        <f t="shared" si="2"/>
        <v>0.81655475001839117</v>
      </c>
      <c r="AG15" s="2">
        <f t="shared" si="2"/>
        <v>0.78122160378470096</v>
      </c>
      <c r="AH15" s="2">
        <f t="shared" si="2"/>
        <v>0.81755449823349058</v>
      </c>
      <c r="AI15" s="2" t="str">
        <f t="shared" si="2"/>
        <v/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0.80310031852872898</v>
      </c>
      <c r="AT15" s="143">
        <f t="shared" si="3"/>
        <v>-3.5333146233690216E-2</v>
      </c>
      <c r="AU15" s="143">
        <f t="shared" si="3"/>
        <v>3.6332894448789621E-2</v>
      </c>
      <c r="AV15" s="143" t="str">
        <f t="shared" si="3"/>
        <v/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8.6202948068190954E-2</v>
      </c>
      <c r="BG15" s="9">
        <f t="shared" si="5"/>
        <v>0.49014597595422987</v>
      </c>
    </row>
    <row r="16" spans="2:59" x14ac:dyDescent="0.3">
      <c r="B16" s="3" t="s">
        <v>125</v>
      </c>
      <c r="D16" s="141">
        <v>8202705</v>
      </c>
      <c r="E16" s="141">
        <v>7285586</v>
      </c>
      <c r="F16" s="141">
        <v>6468361</v>
      </c>
      <c r="G16" s="141"/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21956652</v>
      </c>
      <c r="R16" s="141">
        <v>6711119</v>
      </c>
      <c r="S16" s="141">
        <v>5976698</v>
      </c>
      <c r="T16" s="141">
        <v>5309183</v>
      </c>
      <c r="U16" s="141"/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17997000</v>
      </c>
      <c r="AF16" s="2">
        <f t="shared" si="2"/>
        <v>0.81815925356330621</v>
      </c>
      <c r="AG16" s="2">
        <f t="shared" si="2"/>
        <v>0.82034554255484737</v>
      </c>
      <c r="AH16" s="2">
        <f t="shared" si="2"/>
        <v>0.82079262428302935</v>
      </c>
      <c r="AI16" s="2" t="str">
        <f t="shared" si="2"/>
        <v/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0.81966048375681322</v>
      </c>
      <c r="AT16" s="143">
        <f t="shared" si="3"/>
        <v>2.1862889915411632E-3</v>
      </c>
      <c r="AU16" s="143">
        <f t="shared" si="3"/>
        <v>4.47081728181975E-4</v>
      </c>
      <c r="AV16" s="143" t="str">
        <f t="shared" si="3"/>
        <v/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3.1676054048419632E-2</v>
      </c>
      <c r="BG16" s="9">
        <f t="shared" si="5"/>
        <v>0.52182203000264948</v>
      </c>
    </row>
    <row r="17" spans="2:59" x14ac:dyDescent="0.3">
      <c r="B17" s="3" t="s">
        <v>135</v>
      </c>
      <c r="D17" s="141">
        <v>12897595</v>
      </c>
      <c r="E17" s="141">
        <v>11906501</v>
      </c>
      <c r="F17" s="141">
        <v>14062607</v>
      </c>
      <c r="G17" s="141"/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38866703</v>
      </c>
      <c r="R17" s="141">
        <v>9522102</v>
      </c>
      <c r="S17" s="141">
        <v>8941174</v>
      </c>
      <c r="T17" s="141">
        <v>10768122</v>
      </c>
      <c r="U17" s="141"/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29231398</v>
      </c>
      <c r="AF17" s="2">
        <f t="shared" si="2"/>
        <v>0.7382850833818243</v>
      </c>
      <c r="AG17" s="2">
        <f t="shared" si="2"/>
        <v>0.75094891437879185</v>
      </c>
      <c r="AH17" s="2">
        <f t="shared" si="2"/>
        <v>0.76572729366610326</v>
      </c>
      <c r="AI17" s="2" t="str">
        <f t="shared" si="2"/>
        <v/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0.7520935850926177</v>
      </c>
      <c r="AT17" s="143">
        <f t="shared" si="3"/>
        <v>1.2663830996967551E-2</v>
      </c>
      <c r="AU17" s="143">
        <f t="shared" si="3"/>
        <v>1.4778379287311405E-2</v>
      </c>
      <c r="AV17" s="143" t="str">
        <f t="shared" si="3"/>
        <v/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5.1449427291152164E-2</v>
      </c>
      <c r="BG17" s="9">
        <f t="shared" si="5"/>
        <v>0.57327145729380169</v>
      </c>
    </row>
    <row r="18" spans="2:59" x14ac:dyDescent="0.3">
      <c r="B18" s="3" t="s">
        <v>95</v>
      </c>
      <c r="D18" s="141">
        <v>4370504</v>
      </c>
      <c r="E18" s="141">
        <v>3451182</v>
      </c>
      <c r="F18" s="141">
        <v>4075602</v>
      </c>
      <c r="G18" s="141"/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11897288</v>
      </c>
      <c r="R18" s="141">
        <v>3254284</v>
      </c>
      <c r="S18" s="141">
        <v>2568868</v>
      </c>
      <c r="T18" s="141">
        <v>3075222</v>
      </c>
      <c r="U18" s="141"/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8898374</v>
      </c>
      <c r="AF18" s="2">
        <f t="shared" si="2"/>
        <v>0.74460153794619566</v>
      </c>
      <c r="AG18" s="2">
        <f t="shared" si="2"/>
        <v>0.74434440142536673</v>
      </c>
      <c r="AH18" s="2">
        <f t="shared" si="2"/>
        <v>0.75454423665510029</v>
      </c>
      <c r="AI18" s="2" t="str">
        <f t="shared" si="2"/>
        <v/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0.74793297430473227</v>
      </c>
      <c r="AT18" s="143">
        <f t="shared" si="3"/>
        <v>-2.5713652082892668E-4</v>
      </c>
      <c r="AU18" s="143">
        <f t="shared" si="3"/>
        <v>1.0199835229733556E-2</v>
      </c>
      <c r="AV18" s="143" t="str">
        <f t="shared" si="3"/>
        <v/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1.5661797842254375E-2</v>
      </c>
      <c r="BG18" s="9">
        <f t="shared" si="5"/>
        <v>0.5889332551360561</v>
      </c>
    </row>
    <row r="19" spans="2:59" x14ac:dyDescent="0.3">
      <c r="B19" s="3" t="s">
        <v>92</v>
      </c>
      <c r="D19" s="141">
        <v>3469449</v>
      </c>
      <c r="E19" s="141">
        <v>3137842</v>
      </c>
      <c r="F19" s="141">
        <v>3258330</v>
      </c>
      <c r="G19" s="141"/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9865621</v>
      </c>
      <c r="R19" s="141">
        <v>2293676</v>
      </c>
      <c r="S19" s="141">
        <v>2121065</v>
      </c>
      <c r="T19" s="141">
        <v>2290521</v>
      </c>
      <c r="U19" s="141"/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6705262</v>
      </c>
      <c r="AF19" s="2">
        <f t="shared" si="2"/>
        <v>0.66110670599279597</v>
      </c>
      <c r="AG19" s="2">
        <f t="shared" si="2"/>
        <v>0.67596297072956513</v>
      </c>
      <c r="AH19" s="2">
        <f t="shared" si="2"/>
        <v>0.70297391608584769</v>
      </c>
      <c r="AI19" s="2" t="str">
        <f t="shared" si="2"/>
        <v/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0.67965939498385353</v>
      </c>
      <c r="AT19" s="143">
        <f t="shared" si="3"/>
        <v>1.4856264736769154E-2</v>
      </c>
      <c r="AU19" s="143">
        <f t="shared" si="3"/>
        <v>2.7010945356282567E-2</v>
      </c>
      <c r="AV19" s="143" t="str">
        <f t="shared" si="3"/>
        <v/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1.1801758155293343E-2</v>
      </c>
      <c r="BG19" s="9">
        <f t="shared" si="5"/>
        <v>0.60073501329134948</v>
      </c>
    </row>
    <row r="20" spans="2:59" x14ac:dyDescent="0.3">
      <c r="B20" s="3" t="s">
        <v>97</v>
      </c>
      <c r="D20" s="141">
        <v>4356962</v>
      </c>
      <c r="E20" s="141">
        <v>3828941</v>
      </c>
      <c r="F20" s="141">
        <v>2864065</v>
      </c>
      <c r="G20" s="141"/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11049968</v>
      </c>
      <c r="R20" s="141">
        <v>2980589</v>
      </c>
      <c r="S20" s="141">
        <v>2663025</v>
      </c>
      <c r="T20" s="141">
        <v>2063145</v>
      </c>
      <c r="U20" s="141"/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7706759</v>
      </c>
      <c r="AF20" s="2">
        <f t="shared" si="2"/>
        <v>0.68409800223183037</v>
      </c>
      <c r="AG20" s="2">
        <f t="shared" si="2"/>
        <v>0.69549909491945683</v>
      </c>
      <c r="AH20" s="2">
        <f t="shared" si="2"/>
        <v>0.72035550869131815</v>
      </c>
      <c r="AI20" s="2" t="str">
        <f t="shared" si="2"/>
        <v/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0.69744627314757834</v>
      </c>
      <c r="AT20" s="143">
        <f t="shared" si="3"/>
        <v>1.1401092687626457E-2</v>
      </c>
      <c r="AU20" s="143">
        <f t="shared" si="3"/>
        <v>2.4856413771861319E-2</v>
      </c>
      <c r="AV20" s="143" t="str">
        <f t="shared" si="3"/>
        <v/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1.3564467112415648E-2</v>
      </c>
      <c r="BG20" s="9">
        <f t="shared" si="5"/>
        <v>0.61429948040376514</v>
      </c>
    </row>
    <row r="21" spans="2:59" x14ac:dyDescent="0.3">
      <c r="B21" s="3" t="s">
        <v>91</v>
      </c>
      <c r="D21" s="141">
        <v>20655372</v>
      </c>
      <c r="E21" s="141">
        <v>18547507</v>
      </c>
      <c r="F21" s="141">
        <v>21264957</v>
      </c>
      <c r="G21" s="141"/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60467836</v>
      </c>
      <c r="R21" s="141">
        <v>14701070</v>
      </c>
      <c r="S21" s="141">
        <v>13242779</v>
      </c>
      <c r="T21" s="141">
        <v>15311428</v>
      </c>
      <c r="U21" s="141"/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43255277</v>
      </c>
      <c r="AF21" s="2">
        <f t="shared" si="2"/>
        <v>0.71173106928309016</v>
      </c>
      <c r="AG21" s="2">
        <f t="shared" si="2"/>
        <v>0.71399239800799108</v>
      </c>
      <c r="AH21" s="2">
        <f t="shared" si="2"/>
        <v>0.72003098807112564</v>
      </c>
      <c r="AI21" s="2" t="str">
        <f t="shared" si="2"/>
        <v/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0.71534355884672307</v>
      </c>
      <c r="AT21" s="143">
        <f t="shared" si="3"/>
        <v>2.261328724900924E-3</v>
      </c>
      <c r="AU21" s="143">
        <f t="shared" si="3"/>
        <v>6.0385900631345635E-3</v>
      </c>
      <c r="AV21" s="143" t="str">
        <f t="shared" si="3"/>
        <v/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7.6132493867386922E-2</v>
      </c>
      <c r="BG21" s="9">
        <f t="shared" si="5"/>
        <v>0.6904319742711521</v>
      </c>
    </row>
    <row r="22" spans="2:59" x14ac:dyDescent="0.3">
      <c r="B22" s="3" t="s">
        <v>93</v>
      </c>
      <c r="D22" s="141">
        <v>4757910</v>
      </c>
      <c r="E22" s="141">
        <v>4606561</v>
      </c>
      <c r="F22" s="141">
        <v>4761966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14126437</v>
      </c>
      <c r="R22" s="141">
        <v>3606582</v>
      </c>
      <c r="S22" s="141">
        <v>3523830</v>
      </c>
      <c r="T22" s="141">
        <v>3610463</v>
      </c>
      <c r="U22" s="141"/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10740875</v>
      </c>
      <c r="AF22" s="2">
        <f t="shared" si="2"/>
        <v>0.75801812140204416</v>
      </c>
      <c r="AG22" s="2">
        <f t="shared" si="2"/>
        <v>0.76495893574403984</v>
      </c>
      <c r="AH22" s="2">
        <f t="shared" si="2"/>
        <v>0.7581874797090109</v>
      </c>
      <c r="AI22" s="2" t="str">
        <f t="shared" si="2"/>
        <v/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0.76033857652853298</v>
      </c>
      <c r="AT22" s="143">
        <f t="shared" si="3"/>
        <v>6.9408143419956714E-3</v>
      </c>
      <c r="AU22" s="143">
        <f t="shared" si="3"/>
        <v>-6.7714560350289332E-3</v>
      </c>
      <c r="AV22" s="143" t="str">
        <f t="shared" si="3"/>
        <v/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1.8904736179769916E-2</v>
      </c>
      <c r="BG22" s="9">
        <f t="shared" si="5"/>
        <v>0.70933671045092206</v>
      </c>
    </row>
    <row r="23" spans="2:59" x14ac:dyDescent="0.3">
      <c r="B23" s="3" t="s">
        <v>94</v>
      </c>
      <c r="D23" s="141">
        <v>5306663</v>
      </c>
      <c r="E23" s="141">
        <v>4638874</v>
      </c>
      <c r="F23" s="141">
        <v>4913180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14858717</v>
      </c>
      <c r="R23" s="141">
        <v>3578043</v>
      </c>
      <c r="S23" s="141">
        <v>3081373</v>
      </c>
      <c r="T23" s="141">
        <v>3219779</v>
      </c>
      <c r="U23" s="141"/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9879195</v>
      </c>
      <c r="AF23" s="2">
        <f t="shared" si="2"/>
        <v>0.67425480005042715</v>
      </c>
      <c r="AG23" s="2">
        <f t="shared" si="2"/>
        <v>0.66425020382101341</v>
      </c>
      <c r="AH23" s="2">
        <f t="shared" si="2"/>
        <v>0.65533503759276068</v>
      </c>
      <c r="AI23" s="2" t="str">
        <f t="shared" si="2"/>
        <v/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0.66487537248337125</v>
      </c>
      <c r="AT23" s="143">
        <f t="shared" si="3"/>
        <v>-1.0004596229413742E-2</v>
      </c>
      <c r="AU23" s="143">
        <f t="shared" si="3"/>
        <v>-8.9151662282527244E-3</v>
      </c>
      <c r="AV23" s="143" t="str">
        <f t="shared" si="3"/>
        <v/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1.7388115506744288E-2</v>
      </c>
      <c r="BG23" s="9">
        <f t="shared" si="5"/>
        <v>0.7267248259576663</v>
      </c>
    </row>
    <row r="24" spans="2:59" x14ac:dyDescent="0.3">
      <c r="B24" s="3" t="s">
        <v>101</v>
      </c>
      <c r="D24" s="141">
        <v>3771780</v>
      </c>
      <c r="E24" s="141">
        <v>3207294</v>
      </c>
      <c r="F24" s="141">
        <v>3660801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10639875</v>
      </c>
      <c r="R24" s="141">
        <v>2742359</v>
      </c>
      <c r="S24" s="141">
        <v>2558261</v>
      </c>
      <c r="T24" s="141">
        <v>2875300</v>
      </c>
      <c r="U24" s="141"/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8175920</v>
      </c>
      <c r="AF24" s="2">
        <f t="shared" si="2"/>
        <v>0.7270728939651836</v>
      </c>
      <c r="AG24" s="2">
        <f t="shared" si="2"/>
        <v>0.79763844536858797</v>
      </c>
      <c r="AH24" s="2">
        <f t="shared" si="2"/>
        <v>0.78542919978441872</v>
      </c>
      <c r="AI24" s="2" t="str">
        <f t="shared" si="2"/>
        <v/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7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0.76842256135527909</v>
      </c>
      <c r="AT24" s="143">
        <f t="shared" si="3"/>
        <v>7.056555140340437E-2</v>
      </c>
      <c r="AU24" s="143">
        <f t="shared" si="3"/>
        <v>-1.2209245584169248E-2</v>
      </c>
      <c r="AV24" s="143" t="str">
        <f t="shared" si="3"/>
        <v/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1.4390225249516865E-2</v>
      </c>
      <c r="BG24" s="9">
        <f t="shared" si="5"/>
        <v>0.74111505120718313</v>
      </c>
    </row>
    <row r="25" spans="2:59" x14ac:dyDescent="0.3">
      <c r="B25" s="3" t="s">
        <v>104</v>
      </c>
      <c r="D25" s="141">
        <v>2131307</v>
      </c>
      <c r="E25" s="141">
        <v>2138814</v>
      </c>
      <c r="F25" s="141">
        <v>2188009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6458130</v>
      </c>
      <c r="R25" s="141">
        <v>1518558</v>
      </c>
      <c r="S25" s="141">
        <v>1537913</v>
      </c>
      <c r="T25" s="141">
        <v>1505056</v>
      </c>
      <c r="U25" s="141"/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4561527</v>
      </c>
      <c r="AF25" s="2">
        <f t="shared" ref="AF25:AM56" si="7">+IFERROR(R25/D25,"")</f>
        <v>0.71250082695735528</v>
      </c>
      <c r="AG25" s="2">
        <f t="shared" si="7"/>
        <v>0.71904943580881742</v>
      </c>
      <c r="AH25" s="2">
        <f t="shared" si="7"/>
        <v>0.68786554351467477</v>
      </c>
      <c r="AI25" s="2" t="str">
        <f t="shared" si="7"/>
        <v/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0.70632319262696786</v>
      </c>
      <c r="AT25" s="143">
        <f t="shared" si="3"/>
        <v>6.5486088514621343E-3</v>
      </c>
      <c r="AU25" s="143">
        <f t="shared" si="3"/>
        <v>-3.1183892294142646E-2</v>
      </c>
      <c r="AV25" s="143" t="str">
        <f t="shared" si="3"/>
        <v/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8.0286256484594903E-3</v>
      </c>
      <c r="BG25" s="9">
        <f t="shared" si="5"/>
        <v>0.74914367685564265</v>
      </c>
    </row>
    <row r="26" spans="2:59" x14ac:dyDescent="0.3">
      <c r="B26" s="3" t="s">
        <v>121</v>
      </c>
      <c r="D26" s="141">
        <v>1095604</v>
      </c>
      <c r="E26" s="141">
        <v>978754</v>
      </c>
      <c r="F26" s="141">
        <v>1029967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3104325</v>
      </c>
      <c r="R26" s="141">
        <v>717657</v>
      </c>
      <c r="S26" s="141">
        <v>703289</v>
      </c>
      <c r="T26" s="141">
        <v>673686</v>
      </c>
      <c r="U26" s="141"/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2094632</v>
      </c>
      <c r="AF26" s="2">
        <f t="shared" si="7"/>
        <v>0.65503320542823862</v>
      </c>
      <c r="AG26" s="2">
        <f t="shared" si="7"/>
        <v>0.71855542863681787</v>
      </c>
      <c r="AH26" s="2">
        <f t="shared" si="7"/>
        <v>0.65408503379234484</v>
      </c>
      <c r="AI26" s="2" t="str">
        <f t="shared" si="7"/>
        <v/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0.67474636193053239</v>
      </c>
      <c r="AT26" s="143">
        <f t="shared" si="3"/>
        <v>6.3522223208579254E-2</v>
      </c>
      <c r="AU26" s="143">
        <f t="shared" si="3"/>
        <v>-6.4470394844473033E-2</v>
      </c>
      <c r="AV26" s="143" t="str">
        <f t="shared" si="3"/>
        <v/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3.6867075870172421E-3</v>
      </c>
      <c r="BG26" s="9">
        <f t="shared" si="5"/>
        <v>0.75283038444265993</v>
      </c>
    </row>
    <row r="27" spans="2:59" x14ac:dyDescent="0.3">
      <c r="B27" s="3" t="s">
        <v>96</v>
      </c>
      <c r="D27" s="141">
        <v>4768141</v>
      </c>
      <c r="E27" s="141">
        <v>4569043</v>
      </c>
      <c r="F27" s="141">
        <v>4819207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14156391</v>
      </c>
      <c r="R27" s="141">
        <v>3379612</v>
      </c>
      <c r="S27" s="141">
        <v>3197676</v>
      </c>
      <c r="T27" s="141">
        <v>3358079</v>
      </c>
      <c r="U27" s="141"/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9935367</v>
      </c>
      <c r="AF27" s="2">
        <f t="shared" si="7"/>
        <v>0.70879028115989018</v>
      </c>
      <c r="AG27" s="2">
        <f t="shared" si="7"/>
        <v>0.699856840918328</v>
      </c>
      <c r="AH27" s="2">
        <f t="shared" si="7"/>
        <v>0.69681152936572344</v>
      </c>
      <c r="AI27" s="2" t="str">
        <f t="shared" si="7"/>
        <v/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0.70182908906655661</v>
      </c>
      <c r="AT27" s="143">
        <f t="shared" si="3"/>
        <v>-8.9334402415621739E-3</v>
      </c>
      <c r="AU27" s="143">
        <f t="shared" si="3"/>
        <v>-3.0453115526045682E-3</v>
      </c>
      <c r="AV27" s="143" t="str">
        <f t="shared" si="3"/>
        <v/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1.7486982390558691E-2</v>
      </c>
      <c r="BG27" s="9">
        <f t="shared" si="5"/>
        <v>0.77031736683321861</v>
      </c>
    </row>
    <row r="28" spans="2:59" x14ac:dyDescent="0.3">
      <c r="B28" s="3" t="s">
        <v>102</v>
      </c>
      <c r="D28" s="141">
        <v>719724</v>
      </c>
      <c r="E28" s="141">
        <v>721628</v>
      </c>
      <c r="F28" s="141">
        <v>672395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2113747</v>
      </c>
      <c r="R28" s="141">
        <v>568336</v>
      </c>
      <c r="S28" s="141">
        <v>515702</v>
      </c>
      <c r="T28" s="141">
        <v>501458</v>
      </c>
      <c r="U28" s="141"/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1585496</v>
      </c>
      <c r="AF28" s="2">
        <f t="shared" si="7"/>
        <v>0.78965825788774591</v>
      </c>
      <c r="AG28" s="2">
        <f t="shared" si="7"/>
        <v>0.71463690433298044</v>
      </c>
      <c r="AH28" s="2">
        <f t="shared" si="7"/>
        <v>0.74577889484603543</v>
      </c>
      <c r="AI28" s="2" t="str">
        <f t="shared" si="7"/>
        <v/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0.75008787712058256</v>
      </c>
      <c r="AT28" s="143">
        <f t="shared" si="3"/>
        <v>-7.5021353554765469E-2</v>
      </c>
      <c r="AU28" s="143">
        <f t="shared" si="3"/>
        <v>3.1141990513054996E-2</v>
      </c>
      <c r="AV28" s="143" t="str">
        <f t="shared" ref="AV28:BD56" si="8">+IFERROR(AI28-AH28,"")</f>
        <v/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2.7905904867229609E-3</v>
      </c>
      <c r="BG28" s="9">
        <f t="shared" si="5"/>
        <v>0.77310795731994153</v>
      </c>
    </row>
    <row r="29" spans="2:59" x14ac:dyDescent="0.3">
      <c r="B29" s="3" t="s">
        <v>105</v>
      </c>
      <c r="D29" s="141">
        <v>3060451</v>
      </c>
      <c r="E29" s="141">
        <v>2979252</v>
      </c>
      <c r="F29" s="141">
        <v>3187565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9227268</v>
      </c>
      <c r="R29" s="141">
        <v>2849056</v>
      </c>
      <c r="S29" s="141">
        <v>2790093</v>
      </c>
      <c r="T29" s="141">
        <v>2993204</v>
      </c>
      <c r="U29" s="141"/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8632353</v>
      </c>
      <c r="AF29" s="2">
        <f t="shared" si="7"/>
        <v>0.93092684705620188</v>
      </c>
      <c r="AG29" s="2">
        <f t="shared" si="7"/>
        <v>0.93650788855726197</v>
      </c>
      <c r="AH29" s="2">
        <f t="shared" si="7"/>
        <v>0.93902524340680116</v>
      </c>
      <c r="AI29" s="2" t="str">
        <f t="shared" si="7"/>
        <v/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0.93552642017117094</v>
      </c>
      <c r="AT29" s="143">
        <f t="shared" ref="AT29:AU45" si="9">+IFERROR(AG29-AF29,"")</f>
        <v>5.5810415010600911E-3</v>
      </c>
      <c r="AU29" s="143">
        <f t="shared" si="9"/>
        <v>2.5173548495391884E-3</v>
      </c>
      <c r="AV29" s="143" t="str">
        <f t="shared" si="8"/>
        <v/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1.5193581163140376E-2</v>
      </c>
      <c r="BG29" s="9">
        <f t="shared" si="5"/>
        <v>0.78830153848308193</v>
      </c>
    </row>
    <row r="30" spans="2:59" x14ac:dyDescent="0.3">
      <c r="B30" s="3" t="s">
        <v>99</v>
      </c>
      <c r="D30" s="141">
        <v>2455741</v>
      </c>
      <c r="E30" s="141">
        <v>2471768</v>
      </c>
      <c r="F30" s="141">
        <v>2652023</v>
      </c>
      <c r="G30" s="141"/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7579532</v>
      </c>
      <c r="R30" s="141">
        <v>1669629</v>
      </c>
      <c r="S30" s="141">
        <v>1659085</v>
      </c>
      <c r="T30" s="141">
        <v>1784946</v>
      </c>
      <c r="U30" s="141"/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5113660</v>
      </c>
      <c r="AF30" s="2">
        <f t="shared" si="7"/>
        <v>0.6798880663718202</v>
      </c>
      <c r="AG30" s="2">
        <f t="shared" si="7"/>
        <v>0.67121388415093974</v>
      </c>
      <c r="AH30" s="2">
        <f t="shared" si="7"/>
        <v>0.67305072391906107</v>
      </c>
      <c r="AI30" s="2" t="str">
        <f t="shared" si="7"/>
        <v/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0.67466698471620679</v>
      </c>
      <c r="AT30" s="143">
        <f t="shared" si="9"/>
        <v>-8.6741822208804553E-3</v>
      </c>
      <c r="AU30" s="143">
        <f t="shared" si="9"/>
        <v>1.8368397681213233E-3</v>
      </c>
      <c r="AV30" s="143" t="str">
        <f t="shared" si="8"/>
        <v/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9.0004206559560762E-3</v>
      </c>
      <c r="BG30" s="9">
        <f t="shared" si="5"/>
        <v>0.79730195913903801</v>
      </c>
    </row>
    <row r="31" spans="2:59" x14ac:dyDescent="0.3">
      <c r="B31" s="3" t="s">
        <v>117</v>
      </c>
      <c r="D31" s="141">
        <v>605375</v>
      </c>
      <c r="E31" s="141">
        <v>642743</v>
      </c>
      <c r="F31" s="141">
        <v>602407</v>
      </c>
      <c r="G31" s="141"/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1850525</v>
      </c>
      <c r="R31" s="141">
        <v>498213</v>
      </c>
      <c r="S31" s="141">
        <v>515736</v>
      </c>
      <c r="T31" s="141">
        <v>502799</v>
      </c>
      <c r="U31" s="141"/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1516748</v>
      </c>
      <c r="AF31" s="2">
        <f t="shared" si="7"/>
        <v>0.8229824488953128</v>
      </c>
      <c r="AG31" s="2">
        <f t="shared" si="7"/>
        <v>0.80239847030617217</v>
      </c>
      <c r="AH31" s="2">
        <f t="shared" si="7"/>
        <v>0.83464999576698151</v>
      </c>
      <c r="AI31" s="2" t="str">
        <f t="shared" si="7"/>
        <v/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0.81963118574458604</v>
      </c>
      <c r="AT31" s="143">
        <f t="shared" si="9"/>
        <v>-2.0583978589140628E-2</v>
      </c>
      <c r="AU31" s="143">
        <f t="shared" si="9"/>
        <v>3.2251525460809338E-2</v>
      </c>
      <c r="AV31" s="143" t="str">
        <f t="shared" si="8"/>
        <v/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2.6695889106980262E-3</v>
      </c>
      <c r="BG31" s="9">
        <f t="shared" si="5"/>
        <v>0.79997154804973603</v>
      </c>
    </row>
    <row r="32" spans="2:59" x14ac:dyDescent="0.3">
      <c r="B32" s="3" t="s">
        <v>213</v>
      </c>
      <c r="D32" s="141">
        <v>700561</v>
      </c>
      <c r="E32" s="141">
        <v>3123117</v>
      </c>
      <c r="F32" s="141">
        <v>2776910</v>
      </c>
      <c r="G32" s="141"/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6600588</v>
      </c>
      <c r="R32" s="141">
        <v>567792</v>
      </c>
      <c r="S32" s="141">
        <v>2766179</v>
      </c>
      <c r="T32" s="141">
        <v>2530100</v>
      </c>
      <c r="U32" s="141"/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5864071</v>
      </c>
      <c r="AF32" s="2">
        <f t="shared" si="7"/>
        <v>0.81048188523197839</v>
      </c>
      <c r="AG32" s="2">
        <f t="shared" si="7"/>
        <v>0.88571097400449617</v>
      </c>
      <c r="AH32" s="2">
        <f t="shared" si="7"/>
        <v>0.91112063408608845</v>
      </c>
      <c r="AI32" s="2" t="str">
        <f t="shared" si="7"/>
        <v/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0.88841645623086918</v>
      </c>
      <c r="AT32" s="143">
        <f t="shared" si="9"/>
        <v>7.5229088772517771E-2</v>
      </c>
      <c r="AU32" s="143">
        <f t="shared" si="9"/>
        <v>2.5409660081592289E-2</v>
      </c>
      <c r="AV32" s="143" t="str">
        <f t="shared" si="8"/>
        <v/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1.0321199641038514E-2</v>
      </c>
      <c r="BG32" s="9">
        <f t="shared" si="5"/>
        <v>0.81029274769077453</v>
      </c>
    </row>
    <row r="33" spans="2:59" x14ac:dyDescent="0.3">
      <c r="B33" s="3" t="s">
        <v>132</v>
      </c>
      <c r="D33" s="141">
        <v>241270</v>
      </c>
      <c r="E33" s="141">
        <v>430329</v>
      </c>
      <c r="F33" s="141">
        <v>742051</v>
      </c>
      <c r="G33" s="141"/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1413650</v>
      </c>
      <c r="R33" s="141">
        <v>205258</v>
      </c>
      <c r="S33" s="141">
        <v>362292</v>
      </c>
      <c r="T33" s="141">
        <v>505860</v>
      </c>
      <c r="U33" s="141"/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1073410</v>
      </c>
      <c r="AF33" s="2">
        <f t="shared" si="7"/>
        <v>0.85073983503958217</v>
      </c>
      <c r="AG33" s="2">
        <f t="shared" si="7"/>
        <v>0.84189538701783984</v>
      </c>
      <c r="AH33" s="2">
        <f t="shared" si="7"/>
        <v>0.68170516581744378</v>
      </c>
      <c r="AI33" s="2" t="str">
        <f t="shared" si="7"/>
        <v/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0.75931807731758216</v>
      </c>
      <c r="AT33" s="143">
        <f t="shared" si="9"/>
        <v>-8.8444480217423349E-3</v>
      </c>
      <c r="AU33" s="143">
        <f t="shared" si="9"/>
        <v>-0.16019022120039605</v>
      </c>
      <c r="AV33" s="143" t="str">
        <f t="shared" si="8"/>
        <v/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1.8892811677565214E-3</v>
      </c>
      <c r="BG33" s="9">
        <f t="shared" si="5"/>
        <v>0.81218202885853108</v>
      </c>
    </row>
    <row r="34" spans="2:59" x14ac:dyDescent="0.3">
      <c r="B34" s="3" t="s">
        <v>114</v>
      </c>
      <c r="D34" s="141">
        <v>271409</v>
      </c>
      <c r="E34" s="141">
        <v>154481</v>
      </c>
      <c r="F34" s="141">
        <v>172983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598873</v>
      </c>
      <c r="R34" s="141">
        <v>235447</v>
      </c>
      <c r="S34" s="141">
        <v>109772</v>
      </c>
      <c r="T34" s="141">
        <v>135469</v>
      </c>
      <c r="U34" s="141"/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480688</v>
      </c>
      <c r="AF34" s="2">
        <f t="shared" si="7"/>
        <v>0.8674988670235696</v>
      </c>
      <c r="AG34" s="2">
        <f t="shared" si="7"/>
        <v>0.71058576782905336</v>
      </c>
      <c r="AH34" s="2">
        <f t="shared" si="7"/>
        <v>0.78313475890694462</v>
      </c>
      <c r="AI34" s="2" t="str">
        <f t="shared" si="7"/>
        <v/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0.80265431902924322</v>
      </c>
      <c r="AT34" s="143">
        <f t="shared" si="9"/>
        <v>-0.15691309919451624</v>
      </c>
      <c r="AU34" s="143">
        <f t="shared" si="9"/>
        <v>7.2548991077891256E-2</v>
      </c>
      <c r="AV34" s="143" t="str">
        <f t="shared" si="8"/>
        <v/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8.4604651155341078E-4</v>
      </c>
      <c r="BG34" s="9">
        <f t="shared" si="5"/>
        <v>0.81302807537008448</v>
      </c>
    </row>
    <row r="35" spans="2:59" x14ac:dyDescent="0.3">
      <c r="B35" s="3" t="s">
        <v>113</v>
      </c>
      <c r="D35" s="141">
        <v>2386880</v>
      </c>
      <c r="E35" s="141">
        <v>3007601</v>
      </c>
      <c r="F35" s="141">
        <v>2678628</v>
      </c>
      <c r="G35" s="141"/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8073109</v>
      </c>
      <c r="R35" s="141">
        <v>1464736</v>
      </c>
      <c r="S35" s="141">
        <v>2064421</v>
      </c>
      <c r="T35" s="141">
        <v>1872446</v>
      </c>
      <c r="U35" s="141"/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5401603</v>
      </c>
      <c r="AF35" s="2">
        <f t="shared" si="7"/>
        <v>0.61366134870626088</v>
      </c>
      <c r="AG35" s="2">
        <f t="shared" si="7"/>
        <v>0.68640122143861504</v>
      </c>
      <c r="AH35" s="2">
        <f t="shared" si="7"/>
        <v>0.69903174311625205</v>
      </c>
      <c r="AI35" s="2" t="str">
        <f t="shared" si="7"/>
        <v/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0.66908585032110923</v>
      </c>
      <c r="AT35" s="143">
        <f t="shared" si="9"/>
        <v>7.2739872732354161E-2</v>
      </c>
      <c r="AU35" s="143">
        <f t="shared" si="9"/>
        <v>1.2630521677637008E-2</v>
      </c>
      <c r="AV35" s="143" t="str">
        <f t="shared" si="8"/>
        <v/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9.5072216800636562E-3</v>
      </c>
      <c r="BG35" s="9">
        <f t="shared" si="5"/>
        <v>0.82253529705014816</v>
      </c>
    </row>
    <row r="36" spans="2:59" x14ac:dyDescent="0.3">
      <c r="B36" s="3" t="s">
        <v>107</v>
      </c>
      <c r="D36" s="141">
        <v>501324</v>
      </c>
      <c r="E36" s="141">
        <v>495292</v>
      </c>
      <c r="F36" s="141">
        <v>471314</v>
      </c>
      <c r="G36" s="141"/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1467930</v>
      </c>
      <c r="R36" s="141">
        <v>336190</v>
      </c>
      <c r="S36" s="141">
        <v>346770</v>
      </c>
      <c r="T36" s="141">
        <v>347319</v>
      </c>
      <c r="U36" s="141"/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1030279</v>
      </c>
      <c r="AF36" s="2">
        <f t="shared" si="7"/>
        <v>0.6706042399725527</v>
      </c>
      <c r="AG36" s="2">
        <f t="shared" si="7"/>
        <v>0.70013244712210176</v>
      </c>
      <c r="AH36" s="2">
        <f t="shared" si="7"/>
        <v>0.73691636573494523</v>
      </c>
      <c r="AI36" s="2" t="str">
        <f t="shared" si="7"/>
        <v/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0.70185839924247073</v>
      </c>
      <c r="AT36" s="143">
        <f t="shared" si="9"/>
        <v>2.9528207149549068E-2</v>
      </c>
      <c r="AU36" s="143">
        <f t="shared" si="9"/>
        <v>3.6783918612843469E-2</v>
      </c>
      <c r="AV36" s="143" t="str">
        <f t="shared" si="8"/>
        <v/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1.8133674106213106E-3</v>
      </c>
      <c r="BG36" s="9">
        <f t="shared" si="5"/>
        <v>0.82434866446076949</v>
      </c>
    </row>
    <row r="37" spans="2:59" x14ac:dyDescent="0.3">
      <c r="B37" s="3" t="s">
        <v>103</v>
      </c>
      <c r="D37" s="141">
        <v>2108410</v>
      </c>
      <c r="E37" s="141">
        <v>1991914</v>
      </c>
      <c r="F37" s="141">
        <v>1991147</v>
      </c>
      <c r="G37" s="141"/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6091471</v>
      </c>
      <c r="R37" s="141">
        <v>1557866</v>
      </c>
      <c r="S37" s="141">
        <v>1462826</v>
      </c>
      <c r="T37" s="141">
        <v>1460947</v>
      </c>
      <c r="U37" s="141"/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4481639</v>
      </c>
      <c r="AF37" s="2">
        <f t="shared" si="7"/>
        <v>0.73888190627060202</v>
      </c>
      <c r="AG37" s="2">
        <f t="shared" si="7"/>
        <v>0.73438210685802696</v>
      </c>
      <c r="AH37" s="2">
        <f t="shared" si="7"/>
        <v>0.73372131741152213</v>
      </c>
      <c r="AI37" s="2" t="str">
        <f t="shared" si="7"/>
        <v/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0.73572360436420037</v>
      </c>
      <c r="AT37" s="143">
        <f t="shared" si="9"/>
        <v>-4.4997994125750562E-3</v>
      </c>
      <c r="AU37" s="143">
        <f t="shared" si="9"/>
        <v>-6.6078944650482807E-4</v>
      </c>
      <c r="AV37" s="143" t="str">
        <f t="shared" si="8"/>
        <v/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si="4"/>
        <v>7.8880168466691838E-3</v>
      </c>
      <c r="BG37" s="9">
        <f t="shared" si="5"/>
        <v>0.83223668130743866</v>
      </c>
    </row>
    <row r="38" spans="2:59" x14ac:dyDescent="0.3">
      <c r="B38" s="3" t="s">
        <v>112</v>
      </c>
      <c r="D38" s="141">
        <v>1031842</v>
      </c>
      <c r="E38" s="141">
        <v>1054094</v>
      </c>
      <c r="F38" s="141">
        <v>1021703</v>
      </c>
      <c r="G38" s="141"/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3107639</v>
      </c>
      <c r="R38" s="141">
        <v>734007</v>
      </c>
      <c r="S38" s="141">
        <v>690895</v>
      </c>
      <c r="T38" s="141">
        <v>695807</v>
      </c>
      <c r="U38" s="141"/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2120709</v>
      </c>
      <c r="AF38" s="2">
        <f t="shared" si="7"/>
        <v>0.71135600217862816</v>
      </c>
      <c r="AG38" s="2">
        <f t="shared" si="7"/>
        <v>0.65543964769745389</v>
      </c>
      <c r="AH38" s="2">
        <f t="shared" si="7"/>
        <v>0.68102667800720951</v>
      </c>
      <c r="AI38" s="2" t="str">
        <f t="shared" si="7"/>
        <v/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0.68241806722080656</v>
      </c>
      <c r="AT38" s="143">
        <f t="shared" si="9"/>
        <v>-5.5916354481174269E-2</v>
      </c>
      <c r="AU38" s="143">
        <f t="shared" si="9"/>
        <v>2.5587030309755621E-2</v>
      </c>
      <c r="AV38" s="143" t="str">
        <f t="shared" si="8"/>
        <v/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4"/>
        <v>3.7326050400049975E-3</v>
      </c>
      <c r="BG38" s="9">
        <f t="shared" si="5"/>
        <v>0.83596928634744361</v>
      </c>
    </row>
    <row r="39" spans="2:59" x14ac:dyDescent="0.3">
      <c r="B39" s="3" t="s">
        <v>110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7"/>
        <v>0.75955096752940288</v>
      </c>
      <c r="AG39" s="2" t="str">
        <f t="shared" si="7"/>
        <v/>
      </c>
      <c r="AH39" s="2" t="str">
        <f t="shared" si="7"/>
        <v/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0.75955096752940288</v>
      </c>
      <c r="AT39" s="143" t="str">
        <f t="shared" si="9"/>
        <v/>
      </c>
      <c r="AU39" s="143" t="str">
        <f t="shared" si="9"/>
        <v/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4"/>
        <v>1.6881997391397657E-3</v>
      </c>
      <c r="BG39" s="9">
        <f t="shared" si="5"/>
        <v>0.83765748608658341</v>
      </c>
    </row>
    <row r="40" spans="2:59" x14ac:dyDescent="0.3">
      <c r="B40" s="3" t="s">
        <v>100</v>
      </c>
      <c r="D40" s="141">
        <v>446476</v>
      </c>
      <c r="E40" s="141">
        <v>417753</v>
      </c>
      <c r="F40" s="141">
        <v>454831</v>
      </c>
      <c r="G40" s="141"/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1319060</v>
      </c>
      <c r="R40" s="141">
        <v>332334</v>
      </c>
      <c r="S40" s="141">
        <v>246096</v>
      </c>
      <c r="T40" s="141">
        <v>259023</v>
      </c>
      <c r="U40" s="141"/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837453</v>
      </c>
      <c r="AF40" s="2">
        <f t="shared" si="7"/>
        <v>0.74434908035370317</v>
      </c>
      <c r="AG40" s="2">
        <f t="shared" si="7"/>
        <v>0.58909451278626368</v>
      </c>
      <c r="AH40" s="2">
        <f t="shared" si="7"/>
        <v>0.56949284459502536</v>
      </c>
      <c r="AI40" s="2" t="str">
        <f t="shared" si="7"/>
        <v/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0.63488620684426789</v>
      </c>
      <c r="AT40" s="143">
        <f t="shared" si="9"/>
        <v>-0.15525456756743949</v>
      </c>
      <c r="AU40" s="143">
        <f t="shared" si="9"/>
        <v>-1.9601668191238319E-2</v>
      </c>
      <c r="AV40" s="143" t="str">
        <f t="shared" si="8"/>
        <v/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4"/>
        <v>1.4739793571712598E-3</v>
      </c>
      <c r="BG40" s="9">
        <f t="shared" si="5"/>
        <v>0.83913146544375472</v>
      </c>
    </row>
    <row r="41" spans="2:59" x14ac:dyDescent="0.3">
      <c r="B41" s="3" t="s">
        <v>111</v>
      </c>
      <c r="D41" s="141">
        <v>173965</v>
      </c>
      <c r="E41" s="141">
        <v>255208</v>
      </c>
      <c r="F41" s="141">
        <v>288760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717933</v>
      </c>
      <c r="R41" s="141">
        <v>134702</v>
      </c>
      <c r="S41" s="141">
        <v>207529</v>
      </c>
      <c r="T41" s="141">
        <v>245981</v>
      </c>
      <c r="U41" s="141"/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588212</v>
      </c>
      <c r="AF41" s="2">
        <f t="shared" si="7"/>
        <v>0.77430517632857188</v>
      </c>
      <c r="AG41" s="2">
        <f t="shared" si="7"/>
        <v>0.81317591925018029</v>
      </c>
      <c r="AH41" s="2">
        <f t="shared" si="7"/>
        <v>0.85185274968832247</v>
      </c>
      <c r="AI41" s="2" t="str">
        <f t="shared" si="7"/>
        <v/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0.81931322282162822</v>
      </c>
      <c r="AT41" s="143">
        <f t="shared" si="9"/>
        <v>3.8870742921608414E-2</v>
      </c>
      <c r="AU41" s="143">
        <f t="shared" si="9"/>
        <v>3.8676830438142185E-2</v>
      </c>
      <c r="AV41" s="143" t="str">
        <f t="shared" si="8"/>
        <v/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4"/>
        <v>1.0352967218941495E-3</v>
      </c>
      <c r="BG41" s="9">
        <f t="shared" si="5"/>
        <v>0.84016676216564889</v>
      </c>
    </row>
    <row r="42" spans="2:59" x14ac:dyDescent="0.3">
      <c r="B42" s="3" t="s">
        <v>109</v>
      </c>
      <c r="D42" s="141">
        <v>1688263</v>
      </c>
      <c r="E42" s="141">
        <v>1385283</v>
      </c>
      <c r="F42" s="141">
        <v>1398319</v>
      </c>
      <c r="G42" s="141"/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4471865</v>
      </c>
      <c r="R42" s="141">
        <v>1153477</v>
      </c>
      <c r="S42" s="141">
        <v>909929</v>
      </c>
      <c r="T42" s="141">
        <v>1002096</v>
      </c>
      <c r="U42" s="141"/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3065502</v>
      </c>
      <c r="AF42" s="2">
        <f t="shared" si="7"/>
        <v>0.68323300338869009</v>
      </c>
      <c r="AG42" s="2">
        <f t="shared" si="7"/>
        <v>0.65685423122928677</v>
      </c>
      <c r="AH42" s="2">
        <f t="shared" si="7"/>
        <v>0.71664334104020611</v>
      </c>
      <c r="AI42" s="2" t="str">
        <f t="shared" si="7"/>
        <v/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0.68550861888719805</v>
      </c>
      <c r="AT42" s="143">
        <f t="shared" si="9"/>
        <v>-2.6378772159403319E-2</v>
      </c>
      <c r="AU42" s="143">
        <f t="shared" si="9"/>
        <v>5.9789109810919339E-2</v>
      </c>
      <c r="AV42" s="143" t="str">
        <f t="shared" si="8"/>
        <v/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4"/>
        <v>5.3955107538777832E-3</v>
      </c>
      <c r="BG42" s="9">
        <f t="shared" si="5"/>
        <v>0.84556227291952668</v>
      </c>
    </row>
    <row r="43" spans="2:59" x14ac:dyDescent="0.3">
      <c r="B43" s="3" t="s">
        <v>205</v>
      </c>
      <c r="D43" s="141">
        <v>2225276</v>
      </c>
      <c r="E43" s="141">
        <v>1402165</v>
      </c>
      <c r="F43" s="141">
        <v>1559346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5186787</v>
      </c>
      <c r="R43" s="141">
        <v>1634486</v>
      </c>
      <c r="S43" s="141">
        <v>1015622</v>
      </c>
      <c r="T43" s="141">
        <v>1119888</v>
      </c>
      <c r="U43" s="141"/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3769996</v>
      </c>
      <c r="AF43" s="2">
        <f t="shared" si="7"/>
        <v>0.73450933726872536</v>
      </c>
      <c r="AG43" s="2">
        <f t="shared" si="7"/>
        <v>0.72432417012263184</v>
      </c>
      <c r="AH43" s="2">
        <f t="shared" si="7"/>
        <v>0.71817800539456922</v>
      </c>
      <c r="AI43" s="2" t="str">
        <f t="shared" si="7"/>
        <v/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0.72684611880148542</v>
      </c>
      <c r="AT43" s="143">
        <f t="shared" si="9"/>
        <v>-1.0185167146093521E-2</v>
      </c>
      <c r="AU43" s="143">
        <f t="shared" si="9"/>
        <v>-6.1461647280626197E-3</v>
      </c>
      <c r="AV43" s="143" t="str">
        <f t="shared" si="8"/>
        <v/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4"/>
        <v>6.635472415309541E-3</v>
      </c>
      <c r="BG43" s="9">
        <f t="shared" si="5"/>
        <v>0.85219774533483628</v>
      </c>
    </row>
    <row r="44" spans="2:59" x14ac:dyDescent="0.3">
      <c r="B44" s="3" t="s">
        <v>116</v>
      </c>
      <c r="D44" s="141">
        <v>1128556</v>
      </c>
      <c r="E44" s="141">
        <v>931511</v>
      </c>
      <c r="F44" s="141">
        <v>1057543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3117610</v>
      </c>
      <c r="R44" s="141">
        <v>848421</v>
      </c>
      <c r="S44" s="141">
        <v>700147</v>
      </c>
      <c r="T44" s="141">
        <v>777249</v>
      </c>
      <c r="U44" s="141"/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2325817</v>
      </c>
      <c r="AF44" s="2">
        <f t="shared" si="7"/>
        <v>0.75177572047820396</v>
      </c>
      <c r="AG44" s="2">
        <f t="shared" si="7"/>
        <v>0.75162504790603657</v>
      </c>
      <c r="AH44" s="2">
        <f t="shared" si="7"/>
        <v>0.73495734925199263</v>
      </c>
      <c r="AI44" s="2" t="str">
        <f t="shared" si="7"/>
        <v/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0.74602564143686989</v>
      </c>
      <c r="AT44" s="143">
        <f t="shared" si="9"/>
        <v>-1.5067257216738739E-4</v>
      </c>
      <c r="AU44" s="143">
        <f t="shared" si="9"/>
        <v>-1.6667698654043939E-2</v>
      </c>
      <c r="AV44" s="143" t="str">
        <f t="shared" si="8"/>
        <v/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4"/>
        <v>4.0936103238724897E-3</v>
      </c>
      <c r="BG44" s="9">
        <f t="shared" si="5"/>
        <v>0.85629135565870873</v>
      </c>
    </row>
    <row r="45" spans="2:59" x14ac:dyDescent="0.3">
      <c r="B45" s="3" t="s">
        <v>115</v>
      </c>
      <c r="D45" s="141">
        <v>592889</v>
      </c>
      <c r="E45" s="141">
        <v>521809</v>
      </c>
      <c r="F45" s="141">
        <v>464733</v>
      </c>
      <c r="G45" s="141"/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1579431</v>
      </c>
      <c r="R45" s="141">
        <v>401501</v>
      </c>
      <c r="S45" s="141">
        <v>382166</v>
      </c>
      <c r="T45" s="141">
        <v>352236</v>
      </c>
      <c r="U45" s="141"/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1135903</v>
      </c>
      <c r="AF45" s="2">
        <f t="shared" si="7"/>
        <v>0.67719421341937525</v>
      </c>
      <c r="AG45" s="2">
        <f t="shared" si="7"/>
        <v>0.73238675454045443</v>
      </c>
      <c r="AH45" s="2">
        <f t="shared" si="7"/>
        <v>0.75793197384304534</v>
      </c>
      <c r="AI45" s="2" t="str">
        <f t="shared" si="7"/>
        <v/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0.71918494698407209</v>
      </c>
      <c r="AT45" s="143">
        <f t="shared" si="9"/>
        <v>5.5192541121079186E-2</v>
      </c>
      <c r="AU45" s="143">
        <f t="shared" si="9"/>
        <v>2.5545219302590905E-2</v>
      </c>
      <c r="AV45" s="143" t="str">
        <f t="shared" si="8"/>
        <v/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4"/>
        <v>1.999273480122354E-3</v>
      </c>
      <c r="BG45" s="9">
        <f t="shared" si="5"/>
        <v>0.85829062913883103</v>
      </c>
    </row>
    <row r="46" spans="2:59" x14ac:dyDescent="0.3">
      <c r="B46" s="3" t="s">
        <v>127</v>
      </c>
      <c r="D46" s="141">
        <v>804791</v>
      </c>
      <c r="E46" s="141">
        <v>573592</v>
      </c>
      <c r="F46" s="141">
        <v>559467</v>
      </c>
      <c r="G46" s="141"/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1937850</v>
      </c>
      <c r="R46" s="141">
        <v>633198</v>
      </c>
      <c r="S46" s="141">
        <v>423606</v>
      </c>
      <c r="T46" s="141">
        <v>420883</v>
      </c>
      <c r="U46" s="141"/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1477687</v>
      </c>
      <c r="AF46" s="2">
        <f t="shared" si="7"/>
        <v>0.78678563751334196</v>
      </c>
      <c r="AG46" s="2">
        <f t="shared" si="7"/>
        <v>0.73851448416295906</v>
      </c>
      <c r="AH46" s="2">
        <f t="shared" si="7"/>
        <v>0.75229280726119685</v>
      </c>
      <c r="AI46" s="2" t="str">
        <f t="shared" si="7"/>
        <v/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0.76253941223520916</v>
      </c>
      <c r="AT46" s="2" t="str">
        <f t="shared" ref="AT46:AU77" si="10">+IFERROR(AM46-AL46,"")</f>
        <v/>
      </c>
      <c r="AU46" s="2" t="str">
        <f t="shared" si="10"/>
        <v/>
      </c>
      <c r="AV46" s="143" t="str">
        <f t="shared" si="8"/>
        <v/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4"/>
        <v>2.6008386552562679E-3</v>
      </c>
      <c r="BG46" s="9">
        <f t="shared" si="5"/>
        <v>0.86089146779408732</v>
      </c>
    </row>
    <row r="47" spans="2:59" x14ac:dyDescent="0.3">
      <c r="B47" s="3" t="s">
        <v>120</v>
      </c>
      <c r="D47" s="141">
        <v>1192866</v>
      </c>
      <c r="E47" s="141">
        <v>1096341</v>
      </c>
      <c r="F47" s="141">
        <v>1136165</v>
      </c>
      <c r="G47" s="141"/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3425372</v>
      </c>
      <c r="R47" s="141">
        <v>866332</v>
      </c>
      <c r="S47" s="141">
        <v>789536</v>
      </c>
      <c r="T47" s="141">
        <v>764023</v>
      </c>
      <c r="U47" s="141"/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2419891</v>
      </c>
      <c r="AF47" s="2">
        <f t="shared" si="7"/>
        <v>0.72626095470907881</v>
      </c>
      <c r="AG47" s="2">
        <f t="shared" si="7"/>
        <v>0.72015549906461584</v>
      </c>
      <c r="AH47" s="2">
        <f t="shared" si="7"/>
        <v>0.67245778562092651</v>
      </c>
      <c r="AI47" s="2" t="str">
        <f t="shared" si="7"/>
        <v/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0.70646078732470519</v>
      </c>
      <c r="AT47" s="2" t="str">
        <f t="shared" si="10"/>
        <v/>
      </c>
      <c r="AU47" s="2" t="str">
        <f t="shared" si="10"/>
        <v/>
      </c>
      <c r="AV47" s="143" t="str">
        <f t="shared" si="8"/>
        <v/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4"/>
        <v>4.2591875372164373E-3</v>
      </c>
      <c r="BG47" s="9">
        <f t="shared" si="5"/>
        <v>0.86515065533130375</v>
      </c>
    </row>
    <row r="48" spans="2:59" x14ac:dyDescent="0.3">
      <c r="B48" s="3" t="s">
        <v>118</v>
      </c>
      <c r="D48" s="141">
        <v>690123</v>
      </c>
      <c r="E48" s="141">
        <v>668382</v>
      </c>
      <c r="F48" s="141">
        <v>659236</v>
      </c>
      <c r="G48" s="141"/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2017741</v>
      </c>
      <c r="R48" s="141">
        <v>495197</v>
      </c>
      <c r="S48" s="141">
        <v>491653</v>
      </c>
      <c r="T48" s="141">
        <v>493921</v>
      </c>
      <c r="U48" s="141"/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1480771</v>
      </c>
      <c r="AF48" s="2">
        <f t="shared" si="7"/>
        <v>0.71754890070320798</v>
      </c>
      <c r="AG48" s="2">
        <f t="shared" si="7"/>
        <v>0.7355868350733562</v>
      </c>
      <c r="AH48" s="2">
        <f t="shared" si="7"/>
        <v>0.74923244483007601</v>
      </c>
      <c r="AI48" s="2" t="str">
        <f t="shared" si="7"/>
        <v/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0.73387565599350957</v>
      </c>
      <c r="AT48" s="2" t="str">
        <f t="shared" si="10"/>
        <v/>
      </c>
      <c r="AU48" s="2" t="str">
        <f t="shared" si="10"/>
        <v/>
      </c>
      <c r="AV48" s="143" t="str">
        <f t="shared" si="8"/>
        <v/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4"/>
        <v>2.6062667238613314E-3</v>
      </c>
      <c r="BG48" s="9">
        <f t="shared" si="5"/>
        <v>0.86775692205516508</v>
      </c>
    </row>
    <row r="49" spans="2:59" x14ac:dyDescent="0.3">
      <c r="B49" s="3" t="s">
        <v>165</v>
      </c>
      <c r="D49" s="141">
        <v>1220940</v>
      </c>
      <c r="E49" s="141">
        <v>730266</v>
      </c>
      <c r="F49" s="141">
        <v>1457197</v>
      </c>
      <c r="G49" s="141"/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3408403</v>
      </c>
      <c r="R49" s="141">
        <v>940803</v>
      </c>
      <c r="S49" s="141">
        <v>559119</v>
      </c>
      <c r="T49" s="141">
        <v>1180529</v>
      </c>
      <c r="U49" s="141"/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2680451</v>
      </c>
      <c r="AF49" s="2">
        <f t="shared" si="7"/>
        <v>0.77055629269251558</v>
      </c>
      <c r="AG49" s="2">
        <f t="shared" si="7"/>
        <v>0.76563745265423833</v>
      </c>
      <c r="AH49" s="2">
        <f t="shared" si="7"/>
        <v>0.81013685864025253</v>
      </c>
      <c r="AI49" s="2" t="str">
        <f t="shared" si="7"/>
        <v/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0.78642431660810064</v>
      </c>
      <c r="AT49" s="2" t="str">
        <f t="shared" si="10"/>
        <v/>
      </c>
      <c r="AU49" s="2" t="str">
        <f t="shared" si="10"/>
        <v/>
      </c>
      <c r="AV49" s="143" t="str">
        <f t="shared" si="8"/>
        <v/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4"/>
        <v>4.7177924515275013E-3</v>
      </c>
      <c r="BG49" s="9">
        <f t="shared" si="5"/>
        <v>0.87247471450669256</v>
      </c>
    </row>
    <row r="50" spans="2:59" x14ac:dyDescent="0.3">
      <c r="B50" s="3" t="s">
        <v>119</v>
      </c>
      <c r="D50" s="141">
        <v>2944404</v>
      </c>
      <c r="E50" s="141">
        <v>2852389</v>
      </c>
      <c r="F50" s="141">
        <v>3039336</v>
      </c>
      <c r="G50" s="141"/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8836129</v>
      </c>
      <c r="R50" s="141">
        <v>2146524</v>
      </c>
      <c r="S50" s="141">
        <v>2060398</v>
      </c>
      <c r="T50" s="141">
        <v>2214627</v>
      </c>
      <c r="U50" s="141"/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6421549</v>
      </c>
      <c r="AF50" s="2">
        <f t="shared" si="7"/>
        <v>0.72901816462686508</v>
      </c>
      <c r="AG50" s="2">
        <f t="shared" si="7"/>
        <v>0.7223411673512975</v>
      </c>
      <c r="AH50" s="2">
        <f t="shared" si="7"/>
        <v>0.72865487724950451</v>
      </c>
      <c r="AI50" s="2" t="str">
        <f t="shared" si="7"/>
        <v/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0.72673780566127999</v>
      </c>
      <c r="AT50" s="2" t="str">
        <f t="shared" si="10"/>
        <v/>
      </c>
      <c r="AU50" s="2" t="str">
        <f t="shared" si="10"/>
        <v/>
      </c>
      <c r="AV50" s="143" t="str">
        <f t="shared" si="8"/>
        <v/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4"/>
        <v>1.1302402244739402E-2</v>
      </c>
      <c r="BG50" s="9">
        <f t="shared" si="5"/>
        <v>0.883777116751432</v>
      </c>
    </row>
    <row r="51" spans="2:59" x14ac:dyDescent="0.3">
      <c r="B51" s="3" t="s">
        <v>126</v>
      </c>
      <c r="D51" s="141">
        <v>1000826</v>
      </c>
      <c r="E51" s="141">
        <v>831622</v>
      </c>
      <c r="F51" s="141">
        <v>805980</v>
      </c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2638428</v>
      </c>
      <c r="R51" s="141">
        <v>646964</v>
      </c>
      <c r="S51" s="141">
        <v>560656</v>
      </c>
      <c r="T51" s="141">
        <v>543184</v>
      </c>
      <c r="U51" s="141"/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1750804</v>
      </c>
      <c r="AF51" s="2">
        <f t="shared" si="7"/>
        <v>0.646430048779708</v>
      </c>
      <c r="AG51" s="2">
        <f t="shared" si="7"/>
        <v>0.67417167895991204</v>
      </c>
      <c r="AH51" s="2">
        <f t="shared" si="7"/>
        <v>0.67394228144618973</v>
      </c>
      <c r="AI51" s="2" t="str">
        <f t="shared" si="7"/>
        <v/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0.66357846414607491</v>
      </c>
      <c r="AT51" s="2" t="str">
        <f t="shared" si="10"/>
        <v/>
      </c>
      <c r="AU51" s="2" t="str">
        <f t="shared" si="10"/>
        <v/>
      </c>
      <c r="AV51" s="143" t="str">
        <f t="shared" si="8"/>
        <v/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4"/>
        <v>3.0815448203694658E-3</v>
      </c>
      <c r="BG51" s="9">
        <f t="shared" si="5"/>
        <v>0.88685866157180149</v>
      </c>
    </row>
    <row r="52" spans="2:59" x14ac:dyDescent="0.3">
      <c r="B52" s="3" t="s">
        <v>128</v>
      </c>
      <c r="D52" s="141">
        <v>367942</v>
      </c>
      <c r="E52" s="141">
        <v>438536</v>
      </c>
      <c r="F52" s="141">
        <v>429796</v>
      </c>
      <c r="G52" s="141"/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1236274</v>
      </c>
      <c r="R52" s="141">
        <v>286454</v>
      </c>
      <c r="S52" s="141">
        <v>317130</v>
      </c>
      <c r="T52" s="141">
        <v>308468</v>
      </c>
      <c r="U52" s="141"/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912052</v>
      </c>
      <c r="AF52" s="2">
        <f t="shared" si="7"/>
        <v>0.77853031184262733</v>
      </c>
      <c r="AG52" s="2">
        <f t="shared" si="7"/>
        <v>0.72315613769451081</v>
      </c>
      <c r="AH52" s="2">
        <f t="shared" si="7"/>
        <v>0.7177079358579419</v>
      </c>
      <c r="AI52" s="2" t="str">
        <f t="shared" si="7"/>
        <v/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0.73774260398584779</v>
      </c>
      <c r="AT52" s="2" t="str">
        <f t="shared" si="10"/>
        <v/>
      </c>
      <c r="AU52" s="2" t="str">
        <f t="shared" si="10"/>
        <v/>
      </c>
      <c r="AV52" s="143" t="str">
        <f t="shared" si="8"/>
        <v/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4"/>
        <v>1.6052791269083302E-3</v>
      </c>
      <c r="BG52" s="9">
        <f t="shared" si="5"/>
        <v>0.88846394069870982</v>
      </c>
    </row>
    <row r="53" spans="2:59" x14ac:dyDescent="0.3">
      <c r="B53" s="3" t="s">
        <v>133</v>
      </c>
      <c r="D53" s="141">
        <v>903428</v>
      </c>
      <c r="E53" s="141">
        <v>836548</v>
      </c>
      <c r="F53" s="141">
        <v>656008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2395984</v>
      </c>
      <c r="R53" s="141">
        <v>643901</v>
      </c>
      <c r="S53" s="141">
        <v>607566</v>
      </c>
      <c r="T53" s="141">
        <v>453549</v>
      </c>
      <c r="U53" s="141"/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1705016</v>
      </c>
      <c r="AF53" s="2">
        <f t="shared" si="7"/>
        <v>0.71273084296701006</v>
      </c>
      <c r="AG53" s="2">
        <f t="shared" si="7"/>
        <v>0.7262775118702095</v>
      </c>
      <c r="AH53" s="2">
        <f t="shared" si="7"/>
        <v>0.69137723930195971</v>
      </c>
      <c r="AI53" s="2" t="str">
        <f t="shared" si="7"/>
        <v/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0.71161410092888766</v>
      </c>
      <c r="AT53" s="2" t="str">
        <f t="shared" si="10"/>
        <v/>
      </c>
      <c r="AU53" s="2" t="str">
        <f t="shared" si="10"/>
        <v/>
      </c>
      <c r="AV53" s="143" t="str">
        <f t="shared" si="8"/>
        <v/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4"/>
        <v>3.0009545462810604E-3</v>
      </c>
      <c r="BG53" s="9">
        <f t="shared" si="5"/>
        <v>0.89146489524499084</v>
      </c>
    </row>
    <row r="54" spans="2:59" x14ac:dyDescent="0.3">
      <c r="B54" s="3" t="s">
        <v>123</v>
      </c>
      <c r="D54" s="141">
        <v>461152</v>
      </c>
      <c r="E54" s="141">
        <v>432159</v>
      </c>
      <c r="F54" s="141">
        <v>401985</v>
      </c>
      <c r="G54" s="141"/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1295296</v>
      </c>
      <c r="R54" s="141">
        <v>337443</v>
      </c>
      <c r="S54" s="141">
        <v>311337</v>
      </c>
      <c r="T54" s="141">
        <v>278638</v>
      </c>
      <c r="U54" s="141"/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927418</v>
      </c>
      <c r="AF54" s="2">
        <f t="shared" si="7"/>
        <v>0.7317392096315315</v>
      </c>
      <c r="AG54" s="2">
        <f t="shared" si="7"/>
        <v>0.72042234455374066</v>
      </c>
      <c r="AH54" s="2">
        <f t="shared" si="7"/>
        <v>0.69315521723447393</v>
      </c>
      <c r="AI54" s="2" t="str">
        <f t="shared" si="7"/>
        <v/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0.71598924106922279</v>
      </c>
      <c r="AT54" s="2" t="str">
        <f t="shared" si="10"/>
        <v/>
      </c>
      <c r="AU54" s="2" t="str">
        <f t="shared" si="10"/>
        <v/>
      </c>
      <c r="AV54" s="143" t="str">
        <f t="shared" si="8"/>
        <v/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4"/>
        <v>1.632324425930835E-3</v>
      </c>
      <c r="BG54" s="9">
        <f t="shared" si="5"/>
        <v>0.8930972196709217</v>
      </c>
    </row>
    <row r="55" spans="2:59" x14ac:dyDescent="0.3">
      <c r="B55" s="3" t="s">
        <v>122</v>
      </c>
      <c r="D55" s="141">
        <v>673418</v>
      </c>
      <c r="E55" s="141">
        <v>637380</v>
      </c>
      <c r="F55" s="141">
        <v>558799</v>
      </c>
      <c r="G55" s="141"/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1869597</v>
      </c>
      <c r="R55" s="141">
        <v>460190</v>
      </c>
      <c r="S55" s="141">
        <v>444017</v>
      </c>
      <c r="T55" s="141">
        <v>398192</v>
      </c>
      <c r="U55" s="141"/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1302399</v>
      </c>
      <c r="AF55" s="2">
        <f t="shared" si="7"/>
        <v>0.68336456702969028</v>
      </c>
      <c r="AG55" s="2">
        <f t="shared" si="7"/>
        <v>0.69662838495089274</v>
      </c>
      <c r="AH55" s="2">
        <f t="shared" si="7"/>
        <v>0.71258538401106664</v>
      </c>
      <c r="AI55" s="2" t="str">
        <f t="shared" si="7"/>
        <v/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0.69662018071274179</v>
      </c>
      <c r="AT55" s="2" t="str">
        <f t="shared" si="10"/>
        <v/>
      </c>
      <c r="AU55" s="2" t="str">
        <f t="shared" si="10"/>
        <v/>
      </c>
      <c r="AV55" s="143" t="str">
        <f t="shared" si="8"/>
        <v/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4"/>
        <v>2.2923187818307315E-3</v>
      </c>
      <c r="BG55" s="9">
        <f t="shared" si="5"/>
        <v>0.89538953845275249</v>
      </c>
    </row>
    <row r="56" spans="2:59" x14ac:dyDescent="0.3">
      <c r="B56" s="3" t="s">
        <v>134</v>
      </c>
      <c r="D56" s="141">
        <v>719113</v>
      </c>
      <c r="E56" s="141">
        <v>640081</v>
      </c>
      <c r="F56" s="141">
        <v>653871</v>
      </c>
      <c r="G56" s="141"/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2013065</v>
      </c>
      <c r="R56" s="141">
        <v>582504</v>
      </c>
      <c r="S56" s="141">
        <v>513379</v>
      </c>
      <c r="T56" s="141">
        <v>531161</v>
      </c>
      <c r="U56" s="141"/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1627044</v>
      </c>
      <c r="AF56" s="2">
        <f t="shared" si="7"/>
        <v>0.81003124682768912</v>
      </c>
      <c r="AG56" s="2">
        <f t="shared" si="7"/>
        <v>0.8020531776447043</v>
      </c>
      <c r="AH56" s="2">
        <f t="shared" si="7"/>
        <v>0.81233301369842059</v>
      </c>
      <c r="AI56" s="2" t="str">
        <f t="shared" si="7"/>
        <v/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114" si="11">+IFERROR(Y56/K56,"")</f>
        <v/>
      </c>
      <c r="AN56" s="2" t="str">
        <f t="shared" si="6"/>
        <v/>
      </c>
      <c r="AO56" s="2" t="str">
        <f t="shared" si="6"/>
        <v/>
      </c>
      <c r="AP56" s="2" t="str">
        <f t="shared" si="6"/>
        <v/>
      </c>
      <c r="AQ56" s="2" t="str">
        <f t="shared" si="6"/>
        <v/>
      </c>
      <c r="AR56" s="2">
        <f t="shared" si="6"/>
        <v>0.80824215810219735</v>
      </c>
      <c r="AT56" s="2" t="str">
        <f t="shared" si="10"/>
        <v/>
      </c>
      <c r="AU56" s="2" t="str">
        <f t="shared" si="10"/>
        <v/>
      </c>
      <c r="AV56" s="143" t="str">
        <f t="shared" si="8"/>
        <v/>
      </c>
      <c r="AW56" s="143" t="str">
        <f t="shared" si="8"/>
        <v/>
      </c>
      <c r="AX56" s="143" t="str">
        <f t="shared" si="8"/>
        <v/>
      </c>
      <c r="AY56" s="143" t="str">
        <f t="shared" ref="AY56:BD87" si="12">+IFERROR(AL56-AK56,"")</f>
        <v/>
      </c>
      <c r="AZ56" s="143" t="str">
        <f t="shared" si="12"/>
        <v/>
      </c>
      <c r="BA56" s="143" t="str">
        <f t="shared" si="12"/>
        <v/>
      </c>
      <c r="BB56" s="143" t="str">
        <f t="shared" si="12"/>
        <v/>
      </c>
      <c r="BC56" s="143" t="str">
        <f t="shared" si="12"/>
        <v/>
      </c>
      <c r="BD56" s="143" t="str">
        <f t="shared" si="12"/>
        <v/>
      </c>
      <c r="BF56" s="9">
        <f t="shared" si="4"/>
        <v>2.8637180465164677E-3</v>
      </c>
      <c r="BG56" s="9">
        <f t="shared" si="5"/>
        <v>0.8982532564992689</v>
      </c>
    </row>
    <row r="57" spans="2:59" x14ac:dyDescent="0.3">
      <c r="B57" s="3" t="s">
        <v>150</v>
      </c>
      <c r="D57" s="141">
        <v>296021</v>
      </c>
      <c r="E57" s="141">
        <v>236147</v>
      </c>
      <c r="F57" s="141">
        <v>236951</v>
      </c>
      <c r="G57" s="141"/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769119</v>
      </c>
      <c r="R57" s="141">
        <v>202979</v>
      </c>
      <c r="S57" s="141">
        <v>175572</v>
      </c>
      <c r="T57" s="141">
        <v>158463</v>
      </c>
      <c r="U57" s="141"/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537014</v>
      </c>
      <c r="AF57" s="2">
        <f t="shared" ref="AF57:AL93" si="13">+IFERROR(R57/D57,"")</f>
        <v>0.68569121785278742</v>
      </c>
      <c r="AG57" s="2">
        <f t="shared" si="13"/>
        <v>0.74348604894408987</v>
      </c>
      <c r="AH57" s="2">
        <f t="shared" si="13"/>
        <v>0.66875851969394517</v>
      </c>
      <c r="AI57" s="2" t="str">
        <f t="shared" si="13"/>
        <v/>
      </c>
      <c r="AJ57" s="2" t="str">
        <f t="shared" si="13"/>
        <v/>
      </c>
      <c r="AK57" s="2" t="str">
        <f t="shared" si="13"/>
        <v/>
      </c>
      <c r="AL57" s="2" t="str">
        <f t="shared" si="13"/>
        <v/>
      </c>
      <c r="AM57" s="2" t="str">
        <f t="shared" si="11"/>
        <v/>
      </c>
      <c r="AN57" s="2" t="str">
        <f t="shared" si="6"/>
        <v/>
      </c>
      <c r="AO57" s="2" t="str">
        <f t="shared" si="6"/>
        <v/>
      </c>
      <c r="AP57" s="2" t="str">
        <f t="shared" si="6"/>
        <v/>
      </c>
      <c r="AQ57" s="2" t="str">
        <f t="shared" si="6"/>
        <v/>
      </c>
      <c r="AR57" s="2">
        <f t="shared" si="6"/>
        <v>0.69821965131533614</v>
      </c>
      <c r="AT57" s="2" t="str">
        <f t="shared" si="10"/>
        <v/>
      </c>
      <c r="AU57" s="2" t="str">
        <f t="shared" si="10"/>
        <v/>
      </c>
      <c r="AV57" s="143" t="str">
        <f t="shared" ref="AV57:BD88" si="14">+IFERROR(AI57-AH57,"")</f>
        <v/>
      </c>
      <c r="AW57" s="143" t="str">
        <f t="shared" si="14"/>
        <v/>
      </c>
      <c r="AX57" s="143" t="str">
        <f t="shared" si="14"/>
        <v/>
      </c>
      <c r="AY57" s="143" t="str">
        <f t="shared" si="12"/>
        <v/>
      </c>
      <c r="AZ57" s="143" t="str">
        <f t="shared" si="12"/>
        <v/>
      </c>
      <c r="BA57" s="143" t="str">
        <f t="shared" si="12"/>
        <v/>
      </c>
      <c r="BB57" s="143" t="str">
        <f t="shared" si="12"/>
        <v/>
      </c>
      <c r="BC57" s="143" t="str">
        <f t="shared" si="12"/>
        <v/>
      </c>
      <c r="BD57" s="143" t="str">
        <f t="shared" si="12"/>
        <v/>
      </c>
      <c r="BF57" s="9">
        <f t="shared" si="4"/>
        <v>9.4518444678324263E-4</v>
      </c>
      <c r="BG57" s="9">
        <f t="shared" si="5"/>
        <v>0.89919844094605217</v>
      </c>
    </row>
    <row r="58" spans="2:59" x14ac:dyDescent="0.3">
      <c r="B58" s="3" t="s">
        <v>137</v>
      </c>
      <c r="D58" s="141">
        <v>376386</v>
      </c>
      <c r="E58" s="141">
        <v>340345</v>
      </c>
      <c r="F58" s="141">
        <v>395991</v>
      </c>
      <c r="G58" s="141"/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1112722</v>
      </c>
      <c r="R58" s="141">
        <v>296882</v>
      </c>
      <c r="S58" s="141">
        <v>254764</v>
      </c>
      <c r="T58" s="141">
        <v>315249</v>
      </c>
      <c r="U58" s="141"/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866895</v>
      </c>
      <c r="AF58" s="2">
        <f t="shared" si="13"/>
        <v>0.78877003926819811</v>
      </c>
      <c r="AG58" s="2">
        <f t="shared" si="13"/>
        <v>0.7485463279907153</v>
      </c>
      <c r="AH58" s="2">
        <f t="shared" si="13"/>
        <v>0.7961014265475731</v>
      </c>
      <c r="AI58" s="2" t="str">
        <f t="shared" si="13"/>
        <v/>
      </c>
      <c r="AJ58" s="2" t="str">
        <f t="shared" si="13"/>
        <v/>
      </c>
      <c r="AK58" s="2" t="str">
        <f t="shared" si="13"/>
        <v/>
      </c>
      <c r="AL58" s="2" t="str">
        <f t="shared" si="13"/>
        <v/>
      </c>
      <c r="AM58" s="2" t="str">
        <f t="shared" si="11"/>
        <v/>
      </c>
      <c r="AN58" s="2" t="str">
        <f t="shared" si="6"/>
        <v/>
      </c>
      <c r="AO58" s="2" t="str">
        <f t="shared" si="6"/>
        <v/>
      </c>
      <c r="AP58" s="2" t="str">
        <f t="shared" si="6"/>
        <v/>
      </c>
      <c r="AQ58" s="2" t="str">
        <f t="shared" si="6"/>
        <v/>
      </c>
      <c r="AR58" s="2">
        <f t="shared" si="6"/>
        <v>0.77907599562154783</v>
      </c>
      <c r="AT58" s="2" t="str">
        <f t="shared" si="10"/>
        <v/>
      </c>
      <c r="AU58" s="2" t="str">
        <f t="shared" si="10"/>
        <v/>
      </c>
      <c r="AV58" s="143" t="str">
        <f t="shared" si="14"/>
        <v/>
      </c>
      <c r="AW58" s="143" t="str">
        <f t="shared" si="14"/>
        <v/>
      </c>
      <c r="AX58" s="143" t="str">
        <f t="shared" si="14"/>
        <v/>
      </c>
      <c r="AY58" s="143" t="str">
        <f t="shared" si="12"/>
        <v/>
      </c>
      <c r="AZ58" s="143" t="str">
        <f t="shared" si="12"/>
        <v/>
      </c>
      <c r="BA58" s="143" t="str">
        <f t="shared" si="12"/>
        <v/>
      </c>
      <c r="BB58" s="143" t="str">
        <f t="shared" si="12"/>
        <v/>
      </c>
      <c r="BC58" s="143" t="str">
        <f t="shared" si="12"/>
        <v/>
      </c>
      <c r="BD58" s="143" t="str">
        <f t="shared" si="12"/>
        <v/>
      </c>
      <c r="BF58" s="9">
        <f t="shared" si="4"/>
        <v>1.5257994595935286E-3</v>
      </c>
      <c r="BG58" s="9">
        <f t="shared" si="5"/>
        <v>0.90072424040564569</v>
      </c>
    </row>
    <row r="59" spans="2:59" x14ac:dyDescent="0.3">
      <c r="B59" s="3" t="s">
        <v>124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13"/>
        <v>0.68797179105317841</v>
      </c>
      <c r="AG59" s="2" t="str">
        <f t="shared" si="13"/>
        <v/>
      </c>
      <c r="AH59" s="2" t="str">
        <f t="shared" si="13"/>
        <v/>
      </c>
      <c r="AI59" s="2" t="str">
        <f t="shared" si="13"/>
        <v/>
      </c>
      <c r="AJ59" s="2" t="str">
        <f t="shared" si="13"/>
        <v/>
      </c>
      <c r="AK59" s="2" t="str">
        <f t="shared" si="13"/>
        <v/>
      </c>
      <c r="AL59" s="2" t="str">
        <f t="shared" si="13"/>
        <v/>
      </c>
      <c r="AM59" s="2" t="str">
        <f t="shared" si="11"/>
        <v/>
      </c>
      <c r="AN59" s="2" t="str">
        <f t="shared" si="6"/>
        <v/>
      </c>
      <c r="AO59" s="2" t="str">
        <f t="shared" si="6"/>
        <v/>
      </c>
      <c r="AP59" s="2" t="str">
        <f t="shared" si="6"/>
        <v/>
      </c>
      <c r="AQ59" s="2" t="str">
        <f t="shared" si="6"/>
        <v/>
      </c>
      <c r="AR59" s="2">
        <f t="shared" si="6"/>
        <v>0.68797179105317841</v>
      </c>
      <c r="AT59" s="2" t="str">
        <f t="shared" si="10"/>
        <v/>
      </c>
      <c r="AU59" s="2" t="str">
        <f t="shared" si="10"/>
        <v/>
      </c>
      <c r="AV59" s="143" t="str">
        <f t="shared" si="14"/>
        <v/>
      </c>
      <c r="AW59" s="143" t="str">
        <f t="shared" si="14"/>
        <v/>
      </c>
      <c r="AX59" s="143" t="str">
        <f t="shared" si="14"/>
        <v/>
      </c>
      <c r="AY59" s="143" t="str">
        <f t="shared" si="12"/>
        <v/>
      </c>
      <c r="AZ59" s="143" t="str">
        <f t="shared" si="12"/>
        <v/>
      </c>
      <c r="BA59" s="143" t="str">
        <f t="shared" si="12"/>
        <v/>
      </c>
      <c r="BB59" s="143" t="str">
        <f t="shared" si="12"/>
        <v/>
      </c>
      <c r="BC59" s="143" t="str">
        <f t="shared" si="12"/>
        <v/>
      </c>
      <c r="BD59" s="143" t="str">
        <f t="shared" si="12"/>
        <v/>
      </c>
      <c r="BF59" s="9">
        <f t="shared" si="4"/>
        <v>2.3660500470495095E-4</v>
      </c>
      <c r="BG59" s="9">
        <f t="shared" si="5"/>
        <v>0.9009608454103506</v>
      </c>
    </row>
    <row r="60" spans="2:59" x14ac:dyDescent="0.3">
      <c r="B60" s="3" t="s">
        <v>129</v>
      </c>
      <c r="D60" s="141">
        <v>715830</v>
      </c>
      <c r="E60" s="141">
        <v>688584</v>
      </c>
      <c r="F60" s="141">
        <v>687493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2091907</v>
      </c>
      <c r="R60" s="141">
        <v>483609</v>
      </c>
      <c r="S60" s="141">
        <v>441506</v>
      </c>
      <c r="T60" s="141">
        <v>471128</v>
      </c>
      <c r="U60" s="141"/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1396243</v>
      </c>
      <c r="AF60" s="2">
        <f t="shared" si="13"/>
        <v>0.67559197016051298</v>
      </c>
      <c r="AG60" s="2">
        <f t="shared" si="13"/>
        <v>0.64117958012384835</v>
      </c>
      <c r="AH60" s="2">
        <f t="shared" si="13"/>
        <v>0.68528406834687772</v>
      </c>
      <c r="AI60" s="2" t="str">
        <f t="shared" si="13"/>
        <v/>
      </c>
      <c r="AJ60" s="2" t="str">
        <f t="shared" si="13"/>
        <v/>
      </c>
      <c r="AK60" s="2" t="str">
        <f t="shared" si="13"/>
        <v/>
      </c>
      <c r="AL60" s="2" t="str">
        <f t="shared" si="13"/>
        <v/>
      </c>
      <c r="AM60" s="2" t="str">
        <f t="shared" si="11"/>
        <v/>
      </c>
      <c r="AN60" s="2" t="str">
        <f t="shared" si="6"/>
        <v/>
      </c>
      <c r="AO60" s="2" t="str">
        <f t="shared" si="6"/>
        <v/>
      </c>
      <c r="AP60" s="2" t="str">
        <f t="shared" si="6"/>
        <v/>
      </c>
      <c r="AQ60" s="2" t="str">
        <f t="shared" si="6"/>
        <v/>
      </c>
      <c r="AR60" s="2">
        <f t="shared" si="6"/>
        <v>0.66744984361159454</v>
      </c>
      <c r="AT60" s="2" t="str">
        <f t="shared" si="10"/>
        <v/>
      </c>
      <c r="AU60" s="2" t="str">
        <f t="shared" si="10"/>
        <v/>
      </c>
      <c r="AV60" s="143" t="str">
        <f t="shared" si="14"/>
        <v/>
      </c>
      <c r="AW60" s="143" t="str">
        <f t="shared" si="14"/>
        <v/>
      </c>
      <c r="AX60" s="143" t="str">
        <f t="shared" si="14"/>
        <v/>
      </c>
      <c r="AY60" s="143" t="str">
        <f t="shared" si="12"/>
        <v/>
      </c>
      <c r="AZ60" s="143" t="str">
        <f t="shared" si="12"/>
        <v/>
      </c>
      <c r="BA60" s="143" t="str">
        <f t="shared" si="12"/>
        <v/>
      </c>
      <c r="BB60" s="143" t="str">
        <f t="shared" si="12"/>
        <v/>
      </c>
      <c r="BC60" s="143" t="str">
        <f t="shared" si="12"/>
        <v/>
      </c>
      <c r="BD60" s="143" t="str">
        <f t="shared" si="12"/>
        <v/>
      </c>
      <c r="BF60" s="9">
        <f t="shared" si="4"/>
        <v>2.4574911781256635E-3</v>
      </c>
      <c r="BG60" s="9">
        <f t="shared" si="5"/>
        <v>0.90341833658847626</v>
      </c>
    </row>
    <row r="61" spans="2:59" x14ac:dyDescent="0.3">
      <c r="B61" s="3" t="s">
        <v>167</v>
      </c>
      <c r="D61" s="141">
        <v>1972122</v>
      </c>
      <c r="E61" s="141">
        <v>1771700</v>
      </c>
      <c r="F61" s="141">
        <v>1703472</v>
      </c>
      <c r="G61" s="141"/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5447294</v>
      </c>
      <c r="R61" s="141">
        <v>1421458</v>
      </c>
      <c r="S61" s="141">
        <v>1246693</v>
      </c>
      <c r="T61" s="141">
        <v>1234932</v>
      </c>
      <c r="U61" s="141"/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3903083</v>
      </c>
      <c r="AF61" s="2">
        <f t="shared" si="13"/>
        <v>0.72077589520323793</v>
      </c>
      <c r="AG61" s="2">
        <f t="shared" si="13"/>
        <v>0.70367048597392334</v>
      </c>
      <c r="AH61" s="2">
        <f t="shared" si="13"/>
        <v>0.72494998450224013</v>
      </c>
      <c r="AI61" s="2" t="str">
        <f t="shared" si="13"/>
        <v/>
      </c>
      <c r="AJ61" s="2" t="str">
        <f t="shared" si="13"/>
        <v/>
      </c>
      <c r="AK61" s="2" t="str">
        <f t="shared" si="13"/>
        <v/>
      </c>
      <c r="AL61" s="2" t="str">
        <f t="shared" si="13"/>
        <v/>
      </c>
      <c r="AM61" s="2" t="str">
        <f t="shared" si="11"/>
        <v/>
      </c>
      <c r="AN61" s="2" t="str">
        <f t="shared" si="6"/>
        <v/>
      </c>
      <c r="AO61" s="2" t="str">
        <f t="shared" si="6"/>
        <v/>
      </c>
      <c r="AP61" s="2" t="str">
        <f t="shared" si="6"/>
        <v/>
      </c>
      <c r="AQ61" s="2" t="str">
        <f t="shared" si="6"/>
        <v/>
      </c>
      <c r="AR61" s="2">
        <f t="shared" si="6"/>
        <v>0.71651777928637594</v>
      </c>
      <c r="AT61" s="2" t="str">
        <f t="shared" si="10"/>
        <v/>
      </c>
      <c r="AU61" s="2" t="str">
        <f t="shared" si="10"/>
        <v/>
      </c>
      <c r="AV61" s="143" t="str">
        <f t="shared" si="14"/>
        <v/>
      </c>
      <c r="AW61" s="143" t="str">
        <f t="shared" si="14"/>
        <v/>
      </c>
      <c r="AX61" s="143" t="str">
        <f t="shared" si="14"/>
        <v/>
      </c>
      <c r="AY61" s="143" t="str">
        <f t="shared" si="12"/>
        <v/>
      </c>
      <c r="AZ61" s="143" t="str">
        <f t="shared" si="12"/>
        <v/>
      </c>
      <c r="BA61" s="143" t="str">
        <f t="shared" si="12"/>
        <v/>
      </c>
      <c r="BB61" s="143" t="str">
        <f t="shared" si="12"/>
        <v/>
      </c>
      <c r="BC61" s="143" t="str">
        <f t="shared" si="12"/>
        <v/>
      </c>
      <c r="BD61" s="143" t="str">
        <f t="shared" si="12"/>
        <v/>
      </c>
      <c r="BF61" s="9">
        <f t="shared" si="4"/>
        <v>6.8697154005371913E-3</v>
      </c>
      <c r="BG61" s="9">
        <f t="shared" si="5"/>
        <v>0.91028805198901341</v>
      </c>
    </row>
    <row r="62" spans="2:59" x14ac:dyDescent="0.3">
      <c r="B62" s="3" t="s">
        <v>156</v>
      </c>
      <c r="D62" s="141">
        <v>1213702</v>
      </c>
      <c r="E62" s="141">
        <v>1122054</v>
      </c>
      <c r="F62" s="141">
        <v>1111084</v>
      </c>
      <c r="G62" s="141"/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3446840</v>
      </c>
      <c r="R62" s="141">
        <v>899312</v>
      </c>
      <c r="S62" s="141">
        <v>813646</v>
      </c>
      <c r="T62" s="141">
        <v>787721</v>
      </c>
      <c r="U62" s="141"/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2500679</v>
      </c>
      <c r="AF62" s="2">
        <f t="shared" si="13"/>
        <v>0.74096606910098195</v>
      </c>
      <c r="AG62" s="2">
        <f t="shared" si="13"/>
        <v>0.72513978828113446</v>
      </c>
      <c r="AH62" s="2">
        <f t="shared" si="13"/>
        <v>0.70896619877525013</v>
      </c>
      <c r="AI62" s="2" t="str">
        <f t="shared" si="13"/>
        <v/>
      </c>
      <c r="AJ62" s="2" t="str">
        <f t="shared" si="13"/>
        <v/>
      </c>
      <c r="AK62" s="2" t="str">
        <f t="shared" si="13"/>
        <v/>
      </c>
      <c r="AL62" s="2" t="str">
        <f t="shared" si="13"/>
        <v/>
      </c>
      <c r="AM62" s="2" t="str">
        <f t="shared" si="11"/>
        <v/>
      </c>
      <c r="AN62" s="2" t="str">
        <f t="shared" si="6"/>
        <v/>
      </c>
      <c r="AO62" s="2" t="str">
        <f t="shared" si="6"/>
        <v/>
      </c>
      <c r="AP62" s="2" t="str">
        <f t="shared" si="6"/>
        <v/>
      </c>
      <c r="AQ62" s="2" t="str">
        <f t="shared" si="6"/>
        <v/>
      </c>
      <c r="AR62" s="2">
        <f t="shared" si="6"/>
        <v>0.7254990077868424</v>
      </c>
      <c r="AT62" s="2" t="str">
        <f t="shared" si="10"/>
        <v/>
      </c>
      <c r="AU62" s="2" t="str">
        <f t="shared" si="10"/>
        <v/>
      </c>
      <c r="AV62" s="143" t="str">
        <f t="shared" si="14"/>
        <v/>
      </c>
      <c r="AW62" s="143" t="str">
        <f t="shared" si="14"/>
        <v/>
      </c>
      <c r="AX62" s="143" t="str">
        <f t="shared" si="14"/>
        <v/>
      </c>
      <c r="AY62" s="143" t="str">
        <f t="shared" si="12"/>
        <v/>
      </c>
      <c r="AZ62" s="143" t="str">
        <f t="shared" si="12"/>
        <v/>
      </c>
      <c r="BA62" s="143" t="str">
        <f t="shared" si="12"/>
        <v/>
      </c>
      <c r="BB62" s="143" t="str">
        <f t="shared" si="12"/>
        <v/>
      </c>
      <c r="BC62" s="143" t="str">
        <f t="shared" si="12"/>
        <v/>
      </c>
      <c r="BD62" s="143" t="str">
        <f t="shared" si="12"/>
        <v/>
      </c>
      <c r="BF62" s="9">
        <f t="shared" si="4"/>
        <v>4.4013804057202836E-3</v>
      </c>
      <c r="BG62" s="9">
        <f t="shared" si="5"/>
        <v>0.91468943239473366</v>
      </c>
    </row>
    <row r="63" spans="2:59" x14ac:dyDescent="0.3">
      <c r="B63" s="3" t="s">
        <v>164</v>
      </c>
      <c r="D63" s="141">
        <v>90007</v>
      </c>
      <c r="E63" s="141">
        <v>99280</v>
      </c>
      <c r="F63" s="141">
        <v>37477</v>
      </c>
      <c r="G63" s="141"/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226764</v>
      </c>
      <c r="R63" s="141">
        <v>80784</v>
      </c>
      <c r="S63" s="141">
        <v>78633</v>
      </c>
      <c r="T63" s="141">
        <v>23757</v>
      </c>
      <c r="U63" s="141"/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183174</v>
      </c>
      <c r="AF63" s="2">
        <f t="shared" si="13"/>
        <v>0.89753019209617024</v>
      </c>
      <c r="AG63" s="2">
        <f t="shared" si="13"/>
        <v>0.79203263497179699</v>
      </c>
      <c r="AH63" s="2">
        <f t="shared" si="13"/>
        <v>0.63390879739573602</v>
      </c>
      <c r="AI63" s="2" t="str">
        <f t="shared" si="13"/>
        <v/>
      </c>
      <c r="AJ63" s="2" t="str">
        <f t="shared" si="13"/>
        <v/>
      </c>
      <c r="AK63" s="2" t="str">
        <f t="shared" si="13"/>
        <v/>
      </c>
      <c r="AL63" s="2" t="str">
        <f t="shared" si="13"/>
        <v/>
      </c>
      <c r="AM63" s="2" t="str">
        <f t="shared" si="11"/>
        <v/>
      </c>
      <c r="AN63" s="2" t="str">
        <f t="shared" si="6"/>
        <v/>
      </c>
      <c r="AO63" s="2" t="str">
        <f t="shared" si="6"/>
        <v/>
      </c>
      <c r="AP63" s="2" t="str">
        <f t="shared" si="6"/>
        <v/>
      </c>
      <c r="AQ63" s="2" t="str">
        <f t="shared" si="6"/>
        <v/>
      </c>
      <c r="AR63" s="2">
        <f t="shared" si="6"/>
        <v>0.80777372069640685</v>
      </c>
      <c r="AT63" s="2" t="str">
        <f t="shared" si="10"/>
        <v/>
      </c>
      <c r="AU63" s="2" t="str">
        <f t="shared" si="10"/>
        <v/>
      </c>
      <c r="AV63" s="143" t="str">
        <f t="shared" si="14"/>
        <v/>
      </c>
      <c r="AW63" s="143" t="str">
        <f t="shared" si="14"/>
        <v/>
      </c>
      <c r="AX63" s="143" t="str">
        <f t="shared" si="14"/>
        <v/>
      </c>
      <c r="AY63" s="143" t="str">
        <f t="shared" si="12"/>
        <v/>
      </c>
      <c r="AZ63" s="143" t="str">
        <f t="shared" si="12"/>
        <v/>
      </c>
      <c r="BA63" s="143" t="str">
        <f t="shared" si="12"/>
        <v/>
      </c>
      <c r="BB63" s="143" t="str">
        <f t="shared" si="12"/>
        <v/>
      </c>
      <c r="BC63" s="143" t="str">
        <f t="shared" si="12"/>
        <v/>
      </c>
      <c r="BD63" s="143" t="str">
        <f t="shared" si="12"/>
        <v/>
      </c>
      <c r="BF63" s="9">
        <f t="shared" si="4"/>
        <v>3.2239981798439833E-4</v>
      </c>
      <c r="BG63" s="9">
        <f t="shared" si="5"/>
        <v>0.91501183221271809</v>
      </c>
    </row>
    <row r="64" spans="2:59" x14ac:dyDescent="0.3">
      <c r="B64" s="3" t="s">
        <v>147</v>
      </c>
      <c r="D64" s="141">
        <v>551619</v>
      </c>
      <c r="E64" s="141">
        <v>479525</v>
      </c>
      <c r="F64" s="141">
        <v>562134</v>
      </c>
      <c r="G64" s="141"/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1593278</v>
      </c>
      <c r="R64" s="141">
        <v>424303</v>
      </c>
      <c r="S64" s="141">
        <v>328899</v>
      </c>
      <c r="T64" s="141">
        <v>350376</v>
      </c>
      <c r="U64" s="141"/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1103578</v>
      </c>
      <c r="AF64" s="2">
        <f t="shared" si="13"/>
        <v>0.7691957673684191</v>
      </c>
      <c r="AG64" s="2">
        <f t="shared" si="13"/>
        <v>0.6858849903550388</v>
      </c>
      <c r="AH64" s="2">
        <f t="shared" si="13"/>
        <v>0.6232962247435665</v>
      </c>
      <c r="AI64" s="2" t="str">
        <f t="shared" si="13"/>
        <v/>
      </c>
      <c r="AJ64" s="2" t="str">
        <f t="shared" si="13"/>
        <v/>
      </c>
      <c r="AK64" s="2" t="str">
        <f t="shared" si="13"/>
        <v/>
      </c>
      <c r="AL64" s="2" t="str">
        <f t="shared" si="13"/>
        <v/>
      </c>
      <c r="AM64" s="2" t="str">
        <f t="shared" si="11"/>
        <v/>
      </c>
      <c r="AN64" s="2" t="str">
        <f t="shared" si="6"/>
        <v/>
      </c>
      <c r="AO64" s="2" t="str">
        <f t="shared" si="6"/>
        <v/>
      </c>
      <c r="AP64" s="2" t="str">
        <f t="shared" si="6"/>
        <v/>
      </c>
      <c r="AQ64" s="2" t="str">
        <f t="shared" si="6"/>
        <v/>
      </c>
      <c r="AR64" s="2">
        <f t="shared" si="6"/>
        <v>0.69264622997367686</v>
      </c>
      <c r="AT64" s="2" t="str">
        <f t="shared" si="10"/>
        <v/>
      </c>
      <c r="AU64" s="2" t="str">
        <f t="shared" si="10"/>
        <v/>
      </c>
      <c r="AV64" s="143" t="str">
        <f t="shared" si="14"/>
        <v/>
      </c>
      <c r="AW64" s="143" t="str">
        <f t="shared" si="14"/>
        <v/>
      </c>
      <c r="AX64" s="143" t="str">
        <f t="shared" si="14"/>
        <v/>
      </c>
      <c r="AY64" s="143" t="str">
        <f t="shared" si="12"/>
        <v/>
      </c>
      <c r="AZ64" s="143" t="str">
        <f t="shared" si="12"/>
        <v/>
      </c>
      <c r="BA64" s="143" t="str">
        <f t="shared" si="12"/>
        <v/>
      </c>
      <c r="BB64" s="143" t="str">
        <f t="shared" si="12"/>
        <v/>
      </c>
      <c r="BC64" s="143" t="str">
        <f t="shared" si="12"/>
        <v/>
      </c>
      <c r="BD64" s="143" t="str">
        <f t="shared" si="12"/>
        <v/>
      </c>
      <c r="BF64" s="9">
        <f t="shared" si="4"/>
        <v>1.9423790839943789E-3</v>
      </c>
      <c r="BG64" s="9">
        <f t="shared" si="5"/>
        <v>0.91695421129671251</v>
      </c>
    </row>
    <row r="65" spans="2:59" x14ac:dyDescent="0.3">
      <c r="B65" s="3" t="s">
        <v>136</v>
      </c>
      <c r="D65" s="141">
        <v>112765</v>
      </c>
      <c r="E65" s="141">
        <v>140580</v>
      </c>
      <c r="F65" s="141">
        <v>160242</v>
      </c>
      <c r="G65" s="141"/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413587</v>
      </c>
      <c r="R65" s="141">
        <v>64137</v>
      </c>
      <c r="S65" s="141">
        <v>104455</v>
      </c>
      <c r="T65" s="141">
        <v>104673</v>
      </c>
      <c r="U65" s="141"/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273265</v>
      </c>
      <c r="AF65" s="2">
        <f t="shared" si="13"/>
        <v>0.56876690462466195</v>
      </c>
      <c r="AG65" s="2">
        <f t="shared" si="13"/>
        <v>0.74302888035282399</v>
      </c>
      <c r="AH65" s="2">
        <f t="shared" si="13"/>
        <v>0.65321825738570416</v>
      </c>
      <c r="AI65" s="2" t="str">
        <f t="shared" si="13"/>
        <v/>
      </c>
      <c r="AJ65" s="2" t="str">
        <f t="shared" si="13"/>
        <v/>
      </c>
      <c r="AK65" s="2" t="str">
        <f t="shared" si="13"/>
        <v/>
      </c>
      <c r="AL65" s="2" t="str">
        <f t="shared" si="13"/>
        <v/>
      </c>
      <c r="AM65" s="2" t="str">
        <f t="shared" si="11"/>
        <v/>
      </c>
      <c r="AN65" s="2" t="str">
        <f t="shared" si="6"/>
        <v/>
      </c>
      <c r="AO65" s="2" t="str">
        <f t="shared" si="6"/>
        <v/>
      </c>
      <c r="AP65" s="2" t="str">
        <f t="shared" si="6"/>
        <v/>
      </c>
      <c r="AQ65" s="2" t="str">
        <f t="shared" si="6"/>
        <v/>
      </c>
      <c r="AR65" s="2">
        <f t="shared" si="6"/>
        <v>0.66071951004262708</v>
      </c>
      <c r="AT65" s="2" t="str">
        <f t="shared" si="10"/>
        <v/>
      </c>
      <c r="AU65" s="2" t="str">
        <f t="shared" si="10"/>
        <v/>
      </c>
      <c r="AV65" s="143" t="str">
        <f t="shared" si="14"/>
        <v/>
      </c>
      <c r="AW65" s="143" t="str">
        <f t="shared" si="14"/>
        <v/>
      </c>
      <c r="AX65" s="143" t="str">
        <f t="shared" si="14"/>
        <v/>
      </c>
      <c r="AY65" s="143" t="str">
        <f t="shared" si="12"/>
        <v/>
      </c>
      <c r="AZ65" s="143" t="str">
        <f t="shared" si="12"/>
        <v/>
      </c>
      <c r="BA65" s="143" t="str">
        <f t="shared" si="12"/>
        <v/>
      </c>
      <c r="BB65" s="143" t="str">
        <f t="shared" si="12"/>
        <v/>
      </c>
      <c r="BC65" s="143" t="str">
        <f t="shared" si="12"/>
        <v/>
      </c>
      <c r="BD65" s="143" t="str">
        <f t="shared" si="12"/>
        <v/>
      </c>
      <c r="BF65" s="9">
        <f t="shared" si="4"/>
        <v>4.8096665608386897E-4</v>
      </c>
      <c r="BG65" s="9">
        <f t="shared" si="5"/>
        <v>0.91743517795279639</v>
      </c>
    </row>
    <row r="66" spans="2:59" x14ac:dyDescent="0.3">
      <c r="B66" s="3" t="s">
        <v>141</v>
      </c>
      <c r="D66" s="141">
        <v>284167</v>
      </c>
      <c r="E66" s="141">
        <v>276448</v>
      </c>
      <c r="F66" s="141">
        <v>318923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879538</v>
      </c>
      <c r="R66" s="141">
        <v>233586</v>
      </c>
      <c r="S66" s="141">
        <v>239684</v>
      </c>
      <c r="T66" s="141">
        <v>277254</v>
      </c>
      <c r="U66" s="141"/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750524</v>
      </c>
      <c r="AF66" s="2">
        <f t="shared" si="13"/>
        <v>0.82200255483571283</v>
      </c>
      <c r="AG66" s="2">
        <f t="shared" si="13"/>
        <v>0.86701296446347953</v>
      </c>
      <c r="AH66" s="2">
        <f t="shared" si="13"/>
        <v>0.86934463804742834</v>
      </c>
      <c r="AI66" s="2" t="str">
        <f t="shared" si="13"/>
        <v/>
      </c>
      <c r="AJ66" s="2" t="str">
        <f t="shared" si="13"/>
        <v/>
      </c>
      <c r="AK66" s="2" t="str">
        <f t="shared" si="13"/>
        <v/>
      </c>
      <c r="AL66" s="2" t="str">
        <f t="shared" si="13"/>
        <v/>
      </c>
      <c r="AM66" s="2" t="str">
        <f t="shared" si="11"/>
        <v/>
      </c>
      <c r="AN66" s="2" t="str">
        <f t="shared" si="6"/>
        <v/>
      </c>
      <c r="AO66" s="2" t="str">
        <f t="shared" si="6"/>
        <v/>
      </c>
      <c r="AP66" s="2" t="str">
        <f t="shared" si="6"/>
        <v/>
      </c>
      <c r="AQ66" s="2" t="str">
        <f t="shared" si="6"/>
        <v/>
      </c>
      <c r="AR66" s="2">
        <f t="shared" si="6"/>
        <v>0.85331617280890648</v>
      </c>
      <c r="AT66" s="2" t="str">
        <f t="shared" si="10"/>
        <v/>
      </c>
      <c r="AU66" s="2" t="str">
        <f t="shared" si="10"/>
        <v/>
      </c>
      <c r="AV66" s="143" t="str">
        <f t="shared" si="14"/>
        <v/>
      </c>
      <c r="AW66" s="143" t="str">
        <f t="shared" si="14"/>
        <v/>
      </c>
      <c r="AX66" s="143" t="str">
        <f t="shared" si="14"/>
        <v/>
      </c>
      <c r="AY66" s="143" t="str">
        <f t="shared" si="12"/>
        <v/>
      </c>
      <c r="AZ66" s="143" t="str">
        <f t="shared" si="12"/>
        <v/>
      </c>
      <c r="BA66" s="143" t="str">
        <f t="shared" si="12"/>
        <v/>
      </c>
      <c r="BB66" s="143" t="str">
        <f t="shared" si="12"/>
        <v/>
      </c>
      <c r="BC66" s="143" t="str">
        <f t="shared" si="12"/>
        <v/>
      </c>
      <c r="BD66" s="143" t="str">
        <f t="shared" si="12"/>
        <v/>
      </c>
      <c r="BF66" s="9">
        <f t="shared" si="4"/>
        <v>1.3209778734586928E-3</v>
      </c>
      <c r="BG66" s="9">
        <f t="shared" si="5"/>
        <v>0.91875615582625503</v>
      </c>
    </row>
    <row r="67" spans="2:59" x14ac:dyDescent="0.3">
      <c r="B67" s="3" t="s">
        <v>142</v>
      </c>
      <c r="D67" s="141">
        <v>669910</v>
      </c>
      <c r="E67" s="141">
        <v>624545</v>
      </c>
      <c r="F67" s="141">
        <v>547186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1841641</v>
      </c>
      <c r="R67" s="141">
        <v>484936</v>
      </c>
      <c r="S67" s="141">
        <v>459180</v>
      </c>
      <c r="T67" s="141">
        <v>376679</v>
      </c>
      <c r="U67" s="141"/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1320795</v>
      </c>
      <c r="AF67" s="2">
        <f t="shared" si="13"/>
        <v>0.7238823125494469</v>
      </c>
      <c r="AG67" s="2">
        <f t="shared" si="13"/>
        <v>0.73522324252055493</v>
      </c>
      <c r="AH67" s="2">
        <f t="shared" si="13"/>
        <v>0.68839297789051623</v>
      </c>
      <c r="AI67" s="2" t="str">
        <f t="shared" si="13"/>
        <v/>
      </c>
      <c r="AJ67" s="2" t="str">
        <f t="shared" si="13"/>
        <v/>
      </c>
      <c r="AK67" s="2" t="str">
        <f t="shared" si="13"/>
        <v/>
      </c>
      <c r="AL67" s="2" t="str">
        <f t="shared" si="13"/>
        <v/>
      </c>
      <c r="AM67" s="2" t="str">
        <f t="shared" si="11"/>
        <v/>
      </c>
      <c r="AN67" s="2" t="str">
        <f t="shared" si="6"/>
        <v/>
      </c>
      <c r="AO67" s="2" t="str">
        <f t="shared" si="6"/>
        <v/>
      </c>
      <c r="AP67" s="2" t="str">
        <f t="shared" si="6"/>
        <v/>
      </c>
      <c r="AQ67" s="2" t="str">
        <f t="shared" si="6"/>
        <v/>
      </c>
      <c r="AR67" s="2">
        <f t="shared" si="6"/>
        <v>0.71718375079616492</v>
      </c>
      <c r="AT67" s="2" t="str">
        <f t="shared" si="10"/>
        <v/>
      </c>
      <c r="AU67" s="2" t="str">
        <f t="shared" si="10"/>
        <v/>
      </c>
      <c r="AV67" s="143" t="str">
        <f t="shared" si="14"/>
        <v/>
      </c>
      <c r="AW67" s="143" t="str">
        <f t="shared" si="14"/>
        <v/>
      </c>
      <c r="AX67" s="143" t="str">
        <f t="shared" si="14"/>
        <v/>
      </c>
      <c r="AY67" s="143" t="str">
        <f t="shared" si="12"/>
        <v/>
      </c>
      <c r="AZ67" s="143" t="str">
        <f t="shared" si="12"/>
        <v/>
      </c>
      <c r="BA67" s="143" t="str">
        <f t="shared" si="12"/>
        <v/>
      </c>
      <c r="BB67" s="143" t="str">
        <f t="shared" si="12"/>
        <v/>
      </c>
      <c r="BC67" s="143" t="str">
        <f t="shared" si="12"/>
        <v/>
      </c>
      <c r="BD67" s="143" t="str">
        <f t="shared" si="12"/>
        <v/>
      </c>
      <c r="BF67" s="9">
        <f t="shared" si="4"/>
        <v>2.3246971054554874E-3</v>
      </c>
      <c r="BG67" s="9">
        <f t="shared" si="5"/>
        <v>0.92108085293171049</v>
      </c>
    </row>
    <row r="68" spans="2:59" x14ac:dyDescent="0.3">
      <c r="B68" s="3" t="s">
        <v>145</v>
      </c>
      <c r="D68" s="141">
        <v>667113</v>
      </c>
      <c r="E68" s="141">
        <v>442290</v>
      </c>
      <c r="F68" s="141">
        <v>147683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1257086</v>
      </c>
      <c r="R68" s="141">
        <v>429177</v>
      </c>
      <c r="S68" s="141">
        <v>280270</v>
      </c>
      <c r="T68" s="141">
        <v>76567</v>
      </c>
      <c r="U68" s="141"/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786014</v>
      </c>
      <c r="AF68" s="2">
        <f t="shared" si="13"/>
        <v>0.6433347873598626</v>
      </c>
      <c r="AG68" s="2">
        <f t="shared" si="13"/>
        <v>0.63367926021388676</v>
      </c>
      <c r="AH68" s="2">
        <f t="shared" si="13"/>
        <v>0.51845506930384677</v>
      </c>
      <c r="AI68" s="2" t="str">
        <f t="shared" si="13"/>
        <v/>
      </c>
      <c r="AJ68" s="2" t="str">
        <f t="shared" si="13"/>
        <v/>
      </c>
      <c r="AK68" s="2" t="str">
        <f t="shared" si="13"/>
        <v/>
      </c>
      <c r="AL68" s="2" t="str">
        <f t="shared" si="13"/>
        <v/>
      </c>
      <c r="AM68" s="2" t="str">
        <f t="shared" si="11"/>
        <v/>
      </c>
      <c r="AN68" s="2" t="str">
        <f t="shared" si="6"/>
        <v/>
      </c>
      <c r="AO68" s="2" t="str">
        <f t="shared" si="6"/>
        <v/>
      </c>
      <c r="AP68" s="2" t="str">
        <f t="shared" si="6"/>
        <v/>
      </c>
      <c r="AQ68" s="2" t="str">
        <f t="shared" si="6"/>
        <v/>
      </c>
      <c r="AR68" s="2">
        <f t="shared" si="6"/>
        <v>0.62526668819794351</v>
      </c>
      <c r="AT68" s="2" t="str">
        <f t="shared" si="10"/>
        <v/>
      </c>
      <c r="AU68" s="2" t="str">
        <f t="shared" si="10"/>
        <v/>
      </c>
      <c r="AV68" s="143" t="str">
        <f t="shared" si="14"/>
        <v/>
      </c>
      <c r="AW68" s="143" t="str">
        <f t="shared" si="14"/>
        <v/>
      </c>
      <c r="AX68" s="143" t="str">
        <f t="shared" si="14"/>
        <v/>
      </c>
      <c r="AY68" s="143" t="str">
        <f t="shared" si="12"/>
        <v/>
      </c>
      <c r="AZ68" s="143" t="str">
        <f t="shared" si="12"/>
        <v/>
      </c>
      <c r="BA68" s="143" t="str">
        <f t="shared" si="12"/>
        <v/>
      </c>
      <c r="BB68" s="143" t="str">
        <f t="shared" si="12"/>
        <v/>
      </c>
      <c r="BC68" s="143" t="str">
        <f t="shared" si="12"/>
        <v/>
      </c>
      <c r="BD68" s="143" t="str">
        <f t="shared" si="12"/>
        <v/>
      </c>
      <c r="BF68" s="9">
        <f t="shared" si="4"/>
        <v>1.3834429041959496E-3</v>
      </c>
      <c r="BG68" s="9">
        <f t="shared" si="5"/>
        <v>0.92246429583590639</v>
      </c>
    </row>
    <row r="69" spans="2:59" x14ac:dyDescent="0.3">
      <c r="B69" s="3" t="s">
        <v>131</v>
      </c>
      <c r="D69" s="141">
        <v>278264</v>
      </c>
      <c r="E69" s="141">
        <v>267657</v>
      </c>
      <c r="F69" s="141">
        <v>262916</v>
      </c>
      <c r="G69" s="141"/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5">+SUM(D69:O69)</f>
        <v>808837</v>
      </c>
      <c r="R69" s="141">
        <v>204839</v>
      </c>
      <c r="S69" s="141">
        <v>197984</v>
      </c>
      <c r="T69" s="141">
        <v>189288</v>
      </c>
      <c r="U69" s="141"/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6">+SUM(R69:AC69)</f>
        <v>592111</v>
      </c>
      <c r="AF69" s="2">
        <f t="shared" si="13"/>
        <v>0.73613187476640884</v>
      </c>
      <c r="AG69" s="2">
        <f t="shared" si="13"/>
        <v>0.7396929652503017</v>
      </c>
      <c r="AH69" s="2">
        <f t="shared" si="13"/>
        <v>0.71995618372407921</v>
      </c>
      <c r="AI69" s="2" t="str">
        <f t="shared" si="13"/>
        <v/>
      </c>
      <c r="AJ69" s="2" t="str">
        <f t="shared" si="13"/>
        <v/>
      </c>
      <c r="AK69" s="2" t="str">
        <f t="shared" si="13"/>
        <v/>
      </c>
      <c r="AL69" s="2" t="str">
        <f t="shared" si="13"/>
        <v/>
      </c>
      <c r="AM69" s="2" t="str">
        <f t="shared" si="11"/>
        <v/>
      </c>
      <c r="AN69" s="2" t="str">
        <f t="shared" si="6"/>
        <v/>
      </c>
      <c r="AO69" s="2" t="str">
        <f t="shared" si="6"/>
        <v/>
      </c>
      <c r="AP69" s="2" t="str">
        <f t="shared" si="6"/>
        <v/>
      </c>
      <c r="AQ69" s="2" t="str">
        <f t="shared" si="6"/>
        <v/>
      </c>
      <c r="AR69" s="2">
        <f t="shared" si="6"/>
        <v>0.73205231709231899</v>
      </c>
      <c r="AT69" s="2" t="str">
        <f t="shared" si="10"/>
        <v/>
      </c>
      <c r="AU69" s="2" t="str">
        <f t="shared" si="10"/>
        <v/>
      </c>
      <c r="AV69" s="143" t="str">
        <f t="shared" si="14"/>
        <v/>
      </c>
      <c r="AW69" s="143" t="str">
        <f t="shared" si="14"/>
        <v/>
      </c>
      <c r="AX69" s="143" t="str">
        <f t="shared" si="14"/>
        <v/>
      </c>
      <c r="AY69" s="143" t="str">
        <f t="shared" si="12"/>
        <v/>
      </c>
      <c r="AZ69" s="143" t="str">
        <f t="shared" si="12"/>
        <v/>
      </c>
      <c r="BA69" s="143" t="str">
        <f t="shared" si="12"/>
        <v/>
      </c>
      <c r="BB69" s="143" t="str">
        <f t="shared" si="12"/>
        <v/>
      </c>
      <c r="BC69" s="143" t="str">
        <f t="shared" si="12"/>
        <v/>
      </c>
      <c r="BD69" s="143" t="str">
        <f t="shared" si="12"/>
        <v/>
      </c>
      <c r="BF69" s="9">
        <f t="shared" ref="BF69:BF132" si="17">+AD69/$AD$257</f>
        <v>1.0421592509120294E-3</v>
      </c>
      <c r="BG69" s="9">
        <f t="shared" si="5"/>
        <v>0.92350645508681839</v>
      </c>
    </row>
    <row r="70" spans="2:59" x14ac:dyDescent="0.3">
      <c r="B70" s="3" t="s">
        <v>160</v>
      </c>
      <c r="D70" s="141">
        <v>1086759</v>
      </c>
      <c r="E70" s="141">
        <v>1541359</v>
      </c>
      <c r="F70" s="141">
        <v>1604044</v>
      </c>
      <c r="G70" s="141"/>
      <c r="H70" s="141"/>
      <c r="I70" s="141"/>
      <c r="J70" s="141"/>
      <c r="K70" s="141"/>
      <c r="L70" s="141"/>
      <c r="M70" s="141"/>
      <c r="N70" s="141"/>
      <c r="O70" s="141"/>
      <c r="P70" s="141">
        <f t="shared" si="15"/>
        <v>4232162</v>
      </c>
      <c r="R70" s="141">
        <v>827781</v>
      </c>
      <c r="S70" s="141">
        <v>1186607</v>
      </c>
      <c r="T70" s="141">
        <v>1242894</v>
      </c>
      <c r="U70" s="141"/>
      <c r="V70" s="141"/>
      <c r="W70" s="141"/>
      <c r="X70" s="141"/>
      <c r="Y70" s="141"/>
      <c r="Z70" s="141"/>
      <c r="AA70" s="141"/>
      <c r="AB70" s="141"/>
      <c r="AC70" s="141"/>
      <c r="AD70" s="141">
        <f t="shared" si="16"/>
        <v>3257282</v>
      </c>
      <c r="AF70" s="2">
        <f t="shared" si="13"/>
        <v>0.76169693556713125</v>
      </c>
      <c r="AG70" s="2">
        <f t="shared" si="13"/>
        <v>0.76984466305383759</v>
      </c>
      <c r="AH70" s="2">
        <f t="shared" si="13"/>
        <v>0.7748503158267479</v>
      </c>
      <c r="AI70" s="2" t="str">
        <f t="shared" si="13"/>
        <v/>
      </c>
      <c r="AJ70" s="2" t="str">
        <f t="shared" si="13"/>
        <v/>
      </c>
      <c r="AK70" s="2" t="str">
        <f t="shared" si="13"/>
        <v/>
      </c>
      <c r="AL70" s="2" t="str">
        <f t="shared" si="13"/>
        <v/>
      </c>
      <c r="AM70" s="2" t="str">
        <f t="shared" si="11"/>
        <v/>
      </c>
      <c r="AN70" s="2" t="str">
        <f t="shared" si="6"/>
        <v/>
      </c>
      <c r="AO70" s="2" t="str">
        <f t="shared" si="6"/>
        <v/>
      </c>
      <c r="AP70" s="2" t="str">
        <f t="shared" si="6"/>
        <v/>
      </c>
      <c r="AQ70" s="2" t="str">
        <f t="shared" si="6"/>
        <v/>
      </c>
      <c r="AR70" s="2">
        <f t="shared" si="6"/>
        <v>0.76964964951719717</v>
      </c>
      <c r="AT70" s="2" t="str">
        <f t="shared" si="10"/>
        <v/>
      </c>
      <c r="AU70" s="2" t="str">
        <f t="shared" si="10"/>
        <v/>
      </c>
      <c r="AV70" s="143" t="str">
        <f t="shared" si="14"/>
        <v/>
      </c>
      <c r="AW70" s="143" t="str">
        <f t="shared" si="14"/>
        <v/>
      </c>
      <c r="AX70" s="143" t="str">
        <f t="shared" si="14"/>
        <v/>
      </c>
      <c r="AY70" s="143" t="str">
        <f t="shared" si="12"/>
        <v/>
      </c>
      <c r="AZ70" s="143" t="str">
        <f t="shared" si="12"/>
        <v/>
      </c>
      <c r="BA70" s="143" t="str">
        <f t="shared" si="12"/>
        <v/>
      </c>
      <c r="BB70" s="143" t="str">
        <f t="shared" si="12"/>
        <v/>
      </c>
      <c r="BC70" s="143" t="str">
        <f t="shared" si="12"/>
        <v/>
      </c>
      <c r="BD70" s="143" t="str">
        <f t="shared" si="12"/>
        <v/>
      </c>
      <c r="BF70" s="9">
        <f t="shared" si="17"/>
        <v>5.7330577697918758E-3</v>
      </c>
      <c r="BG70" s="9">
        <f t="shared" ref="BG70:BG133" si="18">+BF70+BG69</f>
        <v>0.92923951285661022</v>
      </c>
    </row>
    <row r="71" spans="2:59" x14ac:dyDescent="0.3">
      <c r="B71" s="3" t="s">
        <v>170</v>
      </c>
      <c r="D71" s="141">
        <v>327743</v>
      </c>
      <c r="E71" s="141">
        <v>287410</v>
      </c>
      <c r="F71" s="141">
        <v>305526</v>
      </c>
      <c r="G71" s="141"/>
      <c r="H71" s="141"/>
      <c r="I71" s="141"/>
      <c r="J71" s="141"/>
      <c r="K71" s="141"/>
      <c r="L71" s="141"/>
      <c r="M71" s="141"/>
      <c r="N71" s="141"/>
      <c r="O71" s="141"/>
      <c r="P71" s="141">
        <f t="shared" si="15"/>
        <v>920679</v>
      </c>
      <c r="R71" s="141">
        <v>242170</v>
      </c>
      <c r="S71" s="141">
        <v>209324</v>
      </c>
      <c r="T71" s="141">
        <v>235795</v>
      </c>
      <c r="U71" s="141"/>
      <c r="V71" s="141"/>
      <c r="W71" s="141"/>
      <c r="X71" s="141"/>
      <c r="Y71" s="141"/>
      <c r="Z71" s="141"/>
      <c r="AA71" s="141"/>
      <c r="AB71" s="141"/>
      <c r="AC71" s="141"/>
      <c r="AD71" s="141">
        <f t="shared" si="16"/>
        <v>687289</v>
      </c>
      <c r="AF71" s="2">
        <f t="shared" si="13"/>
        <v>0.73890212758167217</v>
      </c>
      <c r="AG71" s="2">
        <f t="shared" si="13"/>
        <v>0.72831147141713926</v>
      </c>
      <c r="AH71" s="2">
        <f t="shared" si="13"/>
        <v>0.77176737822640296</v>
      </c>
      <c r="AI71" s="2" t="str">
        <f t="shared" si="13"/>
        <v/>
      </c>
      <c r="AJ71" s="2" t="str">
        <f t="shared" si="13"/>
        <v/>
      </c>
      <c r="AK71" s="2" t="str">
        <f t="shared" si="13"/>
        <v/>
      </c>
      <c r="AL71" s="2" t="str">
        <f t="shared" si="13"/>
        <v/>
      </c>
      <c r="AM71" s="2" t="str">
        <f t="shared" si="11"/>
        <v/>
      </c>
      <c r="AN71" s="2" t="str">
        <f t="shared" si="6"/>
        <v/>
      </c>
      <c r="AO71" s="2" t="str">
        <f t="shared" si="6"/>
        <v/>
      </c>
      <c r="AP71" s="2" t="str">
        <f t="shared" si="6"/>
        <v/>
      </c>
      <c r="AQ71" s="2" t="str">
        <f t="shared" si="6"/>
        <v/>
      </c>
      <c r="AR71" s="2">
        <f t="shared" si="6"/>
        <v>0.74650230970837828</v>
      </c>
      <c r="AT71" s="2" t="str">
        <f t="shared" si="10"/>
        <v/>
      </c>
      <c r="AU71" s="2" t="str">
        <f t="shared" si="10"/>
        <v/>
      </c>
      <c r="AV71" s="143" t="str">
        <f t="shared" si="14"/>
        <v/>
      </c>
      <c r="AW71" s="143" t="str">
        <f t="shared" si="14"/>
        <v/>
      </c>
      <c r="AX71" s="143" t="str">
        <f t="shared" si="14"/>
        <v/>
      </c>
      <c r="AY71" s="143" t="str">
        <f t="shared" si="12"/>
        <v/>
      </c>
      <c r="AZ71" s="143" t="str">
        <f t="shared" si="12"/>
        <v/>
      </c>
      <c r="BA71" s="143" t="str">
        <f t="shared" si="12"/>
        <v/>
      </c>
      <c r="BB71" s="143" t="str">
        <f t="shared" si="12"/>
        <v/>
      </c>
      <c r="BC71" s="143" t="str">
        <f t="shared" si="12"/>
        <v/>
      </c>
      <c r="BD71" s="143" t="str">
        <f t="shared" si="12"/>
        <v/>
      </c>
      <c r="BF71" s="9">
        <f t="shared" si="17"/>
        <v>1.209679586091253E-3</v>
      </c>
      <c r="BG71" s="9">
        <f t="shared" si="18"/>
        <v>0.93044919244270152</v>
      </c>
    </row>
    <row r="72" spans="2:59" x14ac:dyDescent="0.3">
      <c r="B72" s="3" t="s">
        <v>144</v>
      </c>
      <c r="D72" s="141">
        <v>904707</v>
      </c>
      <c r="E72" s="141">
        <v>2157041</v>
      </c>
      <c r="F72" s="141">
        <v>1673372</v>
      </c>
      <c r="G72" s="141"/>
      <c r="H72" s="141"/>
      <c r="I72" s="141"/>
      <c r="J72" s="141"/>
      <c r="K72" s="141"/>
      <c r="L72" s="141"/>
      <c r="M72" s="141"/>
      <c r="N72" s="141"/>
      <c r="O72" s="141"/>
      <c r="P72" s="141">
        <f t="shared" si="15"/>
        <v>4735120</v>
      </c>
      <c r="R72" s="141">
        <v>659837</v>
      </c>
      <c r="S72" s="141">
        <v>1618500</v>
      </c>
      <c r="T72" s="141">
        <v>1212614</v>
      </c>
      <c r="U72" s="141"/>
      <c r="V72" s="141"/>
      <c r="W72" s="141"/>
      <c r="X72" s="141"/>
      <c r="Y72" s="141"/>
      <c r="Z72" s="141"/>
      <c r="AA72" s="141"/>
      <c r="AB72" s="141"/>
      <c r="AC72" s="141"/>
      <c r="AD72" s="141">
        <f t="shared" si="16"/>
        <v>3490951</v>
      </c>
      <c r="AF72" s="2">
        <f t="shared" si="13"/>
        <v>0.72933778560351581</v>
      </c>
      <c r="AG72" s="2">
        <f t="shared" si="13"/>
        <v>0.75033344289700565</v>
      </c>
      <c r="AH72" s="2">
        <f t="shared" si="13"/>
        <v>0.72465297614636792</v>
      </c>
      <c r="AI72" s="2" t="str">
        <f t="shared" si="13"/>
        <v/>
      </c>
      <c r="AJ72" s="2" t="str">
        <f t="shared" si="13"/>
        <v/>
      </c>
      <c r="AK72" s="2" t="str">
        <f t="shared" si="13"/>
        <v/>
      </c>
      <c r="AL72" s="2" t="str">
        <f t="shared" si="13"/>
        <v/>
      </c>
      <c r="AM72" s="2" t="str">
        <f t="shared" si="11"/>
        <v/>
      </c>
      <c r="AN72" s="2" t="str">
        <f t="shared" si="6"/>
        <v/>
      </c>
      <c r="AO72" s="2" t="str">
        <f t="shared" si="6"/>
        <v/>
      </c>
      <c r="AP72" s="2" t="str">
        <f t="shared" si="6"/>
        <v/>
      </c>
      <c r="AQ72" s="2" t="str">
        <f t="shared" si="6"/>
        <v/>
      </c>
      <c r="AR72" s="2">
        <f t="shared" si="6"/>
        <v>0.73724657453243003</v>
      </c>
      <c r="AT72" s="2" t="str">
        <f t="shared" si="10"/>
        <v/>
      </c>
      <c r="AU72" s="2" t="str">
        <f t="shared" si="10"/>
        <v/>
      </c>
      <c r="AV72" s="143" t="str">
        <f t="shared" si="14"/>
        <v/>
      </c>
      <c r="AW72" s="143" t="str">
        <f t="shared" si="14"/>
        <v/>
      </c>
      <c r="AX72" s="143" t="str">
        <f t="shared" si="14"/>
        <v/>
      </c>
      <c r="AY72" s="143" t="str">
        <f t="shared" si="12"/>
        <v/>
      </c>
      <c r="AZ72" s="143" t="str">
        <f t="shared" si="12"/>
        <v/>
      </c>
      <c r="BA72" s="143" t="str">
        <f t="shared" si="12"/>
        <v/>
      </c>
      <c r="BB72" s="143" t="str">
        <f t="shared" si="12"/>
        <v/>
      </c>
      <c r="BC72" s="143" t="str">
        <f t="shared" si="12"/>
        <v/>
      </c>
      <c r="BD72" s="143" t="str">
        <f t="shared" si="12"/>
        <v/>
      </c>
      <c r="BF72" s="9">
        <f t="shared" si="17"/>
        <v>6.1443325307764937E-3</v>
      </c>
      <c r="BG72" s="9">
        <f t="shared" si="18"/>
        <v>0.93659352497347803</v>
      </c>
    </row>
    <row r="73" spans="2:59" x14ac:dyDescent="0.3">
      <c r="B73" s="3" t="s">
        <v>146</v>
      </c>
      <c r="D73" s="141">
        <v>162178</v>
      </c>
      <c r="E73" s="141">
        <v>181545</v>
      </c>
      <c r="F73" s="141">
        <v>160727</v>
      </c>
      <c r="G73" s="141"/>
      <c r="H73" s="141"/>
      <c r="I73" s="141"/>
      <c r="J73" s="141"/>
      <c r="K73" s="141"/>
      <c r="L73" s="141"/>
      <c r="M73" s="141"/>
      <c r="N73" s="141"/>
      <c r="O73" s="141"/>
      <c r="P73" s="141">
        <f t="shared" si="15"/>
        <v>504450</v>
      </c>
      <c r="R73" s="141">
        <v>115105</v>
      </c>
      <c r="S73" s="141">
        <v>112945</v>
      </c>
      <c r="T73" s="141">
        <v>112826</v>
      </c>
      <c r="U73" s="141"/>
      <c r="V73" s="141"/>
      <c r="W73" s="141"/>
      <c r="X73" s="141"/>
      <c r="Y73" s="141"/>
      <c r="Z73" s="141"/>
      <c r="AA73" s="141"/>
      <c r="AB73" s="141"/>
      <c r="AC73" s="141"/>
      <c r="AD73" s="141">
        <f t="shared" si="16"/>
        <v>340876</v>
      </c>
      <c r="AF73" s="2">
        <f t="shared" si="13"/>
        <v>0.70974484825315398</v>
      </c>
      <c r="AG73" s="2">
        <f t="shared" si="13"/>
        <v>0.62213225371120107</v>
      </c>
      <c r="AH73" s="2">
        <f t="shared" si="13"/>
        <v>0.70197291058751798</v>
      </c>
      <c r="AI73" s="2" t="str">
        <f t="shared" si="13"/>
        <v/>
      </c>
      <c r="AJ73" s="2" t="str">
        <f t="shared" si="13"/>
        <v/>
      </c>
      <c r="AK73" s="2" t="str">
        <f t="shared" si="13"/>
        <v/>
      </c>
      <c r="AL73" s="2" t="str">
        <f t="shared" si="13"/>
        <v/>
      </c>
      <c r="AM73" s="2" t="str">
        <f t="shared" si="11"/>
        <v/>
      </c>
      <c r="AN73" s="2" t="str">
        <f t="shared" si="6"/>
        <v/>
      </c>
      <c r="AO73" s="2" t="str">
        <f t="shared" si="6"/>
        <v/>
      </c>
      <c r="AP73" s="2" t="str">
        <f t="shared" si="6"/>
        <v/>
      </c>
      <c r="AQ73" s="2" t="str">
        <f t="shared" si="6"/>
        <v/>
      </c>
      <c r="AR73" s="2">
        <f t="shared" si="6"/>
        <v>0.6757379324016255</v>
      </c>
      <c r="AT73" s="2" t="str">
        <f t="shared" si="10"/>
        <v/>
      </c>
      <c r="AU73" s="2" t="str">
        <f t="shared" si="10"/>
        <v/>
      </c>
      <c r="AV73" s="143" t="str">
        <f t="shared" si="14"/>
        <v/>
      </c>
      <c r="AW73" s="143" t="str">
        <f t="shared" si="14"/>
        <v/>
      </c>
      <c r="AX73" s="143" t="str">
        <f t="shared" si="14"/>
        <v/>
      </c>
      <c r="AY73" s="143" t="str">
        <f t="shared" si="12"/>
        <v/>
      </c>
      <c r="AZ73" s="143" t="str">
        <f t="shared" si="12"/>
        <v/>
      </c>
      <c r="BA73" s="143" t="str">
        <f t="shared" si="12"/>
        <v/>
      </c>
      <c r="BB73" s="143" t="str">
        <f t="shared" si="12"/>
        <v/>
      </c>
      <c r="BC73" s="143" t="str">
        <f t="shared" si="12"/>
        <v/>
      </c>
      <c r="BD73" s="143" t="str">
        <f t="shared" si="12"/>
        <v/>
      </c>
      <c r="BF73" s="9">
        <f t="shared" si="17"/>
        <v>5.9996702782736506E-4</v>
      </c>
      <c r="BG73" s="9">
        <f t="shared" si="18"/>
        <v>0.93719349200130542</v>
      </c>
    </row>
    <row r="74" spans="2:59" x14ac:dyDescent="0.3">
      <c r="B74" s="3" t="s">
        <v>253</v>
      </c>
      <c r="D74" s="141">
        <v>430267</v>
      </c>
      <c r="E74" s="141">
        <v>408549</v>
      </c>
      <c r="F74" s="141">
        <v>408780</v>
      </c>
      <c r="G74" s="141"/>
      <c r="H74" s="141"/>
      <c r="I74" s="141"/>
      <c r="J74" s="141"/>
      <c r="K74" s="141"/>
      <c r="L74" s="141"/>
      <c r="M74" s="141"/>
      <c r="N74" s="141"/>
      <c r="O74" s="141"/>
      <c r="P74" s="141">
        <f t="shared" si="15"/>
        <v>1247596</v>
      </c>
      <c r="R74" s="141">
        <v>257954</v>
      </c>
      <c r="S74" s="141">
        <v>253100</v>
      </c>
      <c r="T74" s="141">
        <v>263490</v>
      </c>
      <c r="U74" s="141"/>
      <c r="V74" s="141"/>
      <c r="W74" s="141"/>
      <c r="X74" s="141"/>
      <c r="Y74" s="141"/>
      <c r="Z74" s="141"/>
      <c r="AA74" s="141"/>
      <c r="AB74" s="141"/>
      <c r="AC74" s="141"/>
      <c r="AD74" s="141">
        <f t="shared" si="16"/>
        <v>774544</v>
      </c>
      <c r="AF74" s="2">
        <f t="shared" si="13"/>
        <v>0.59952076268921395</v>
      </c>
      <c r="AG74" s="2">
        <f t="shared" si="13"/>
        <v>0.61950953251629548</v>
      </c>
      <c r="AH74" s="2">
        <f t="shared" si="13"/>
        <v>0.64457654484074567</v>
      </c>
      <c r="AI74" s="2" t="str">
        <f t="shared" si="13"/>
        <v/>
      </c>
      <c r="AJ74" s="2" t="str">
        <f t="shared" si="13"/>
        <v/>
      </c>
      <c r="AK74" s="2" t="str">
        <f t="shared" si="13"/>
        <v/>
      </c>
      <c r="AL74" s="2" t="str">
        <f t="shared" si="13"/>
        <v/>
      </c>
      <c r="AM74" s="2" t="str">
        <f t="shared" si="11"/>
        <v/>
      </c>
      <c r="AN74" s="2" t="str">
        <f t="shared" si="6"/>
        <v/>
      </c>
      <c r="AO74" s="2" t="str">
        <f t="shared" si="6"/>
        <v/>
      </c>
      <c r="AP74" s="2" t="str">
        <f t="shared" si="6"/>
        <v/>
      </c>
      <c r="AQ74" s="2" t="str">
        <f t="shared" si="6"/>
        <v/>
      </c>
      <c r="AR74" s="2">
        <f t="shared" si="6"/>
        <v>0.6208291786764305</v>
      </c>
      <c r="AT74" s="2" t="str">
        <f t="shared" si="10"/>
        <v/>
      </c>
      <c r="AU74" s="2" t="str">
        <f t="shared" si="10"/>
        <v/>
      </c>
      <c r="AV74" s="143" t="str">
        <f t="shared" si="14"/>
        <v/>
      </c>
      <c r="AW74" s="143" t="str">
        <f t="shared" si="14"/>
        <v/>
      </c>
      <c r="AX74" s="143" t="str">
        <f t="shared" si="14"/>
        <v/>
      </c>
      <c r="AY74" s="143" t="str">
        <f t="shared" si="12"/>
        <v/>
      </c>
      <c r="AZ74" s="143" t="str">
        <f t="shared" si="12"/>
        <v/>
      </c>
      <c r="BA74" s="143" t="str">
        <f t="shared" si="12"/>
        <v/>
      </c>
      <c r="BB74" s="143" t="str">
        <f t="shared" si="12"/>
        <v/>
      </c>
      <c r="BC74" s="143" t="str">
        <f t="shared" si="12"/>
        <v/>
      </c>
      <c r="BD74" s="143" t="str">
        <f t="shared" si="12"/>
        <v/>
      </c>
      <c r="BF74" s="9">
        <f t="shared" si="17"/>
        <v>1.3632548539689467E-3</v>
      </c>
      <c r="BG74" s="9">
        <f t="shared" si="18"/>
        <v>0.93855674685527435</v>
      </c>
    </row>
    <row r="75" spans="2:59" x14ac:dyDescent="0.3">
      <c r="B75" s="3" t="s">
        <v>140</v>
      </c>
      <c r="D75" s="141">
        <v>86098</v>
      </c>
      <c r="E75" s="141">
        <v>83408</v>
      </c>
      <c r="F75" s="141">
        <v>117345</v>
      </c>
      <c r="G75" s="141"/>
      <c r="H75" s="141"/>
      <c r="I75" s="141"/>
      <c r="J75" s="141"/>
      <c r="K75" s="141"/>
      <c r="L75" s="141"/>
      <c r="M75" s="141"/>
      <c r="N75" s="141"/>
      <c r="O75" s="141"/>
      <c r="P75" s="141">
        <f t="shared" si="15"/>
        <v>286851</v>
      </c>
      <c r="R75" s="141">
        <v>59099</v>
      </c>
      <c r="S75" s="141">
        <v>64986</v>
      </c>
      <c r="T75" s="141">
        <v>101039</v>
      </c>
      <c r="U75" s="141"/>
      <c r="V75" s="141"/>
      <c r="W75" s="141"/>
      <c r="X75" s="141"/>
      <c r="Y75" s="141"/>
      <c r="Z75" s="141"/>
      <c r="AA75" s="141"/>
      <c r="AB75" s="141"/>
      <c r="AC75" s="141"/>
      <c r="AD75" s="141">
        <f t="shared" si="16"/>
        <v>225124</v>
      </c>
      <c r="AF75" s="2">
        <f t="shared" si="13"/>
        <v>0.68641548003437947</v>
      </c>
      <c r="AG75" s="2">
        <f t="shared" si="13"/>
        <v>0.77913389602915784</v>
      </c>
      <c r="AH75" s="2">
        <f t="shared" si="13"/>
        <v>0.86104222591503687</v>
      </c>
      <c r="AI75" s="2" t="str">
        <f t="shared" si="13"/>
        <v/>
      </c>
      <c r="AJ75" s="2" t="str">
        <f t="shared" si="13"/>
        <v/>
      </c>
      <c r="AK75" s="2" t="str">
        <f t="shared" si="13"/>
        <v/>
      </c>
      <c r="AL75" s="2" t="str">
        <f t="shared" si="13"/>
        <v/>
      </c>
      <c r="AM75" s="2" t="str">
        <f t="shared" si="11"/>
        <v/>
      </c>
      <c r="AN75" s="2" t="str">
        <f t="shared" si="11"/>
        <v/>
      </c>
      <c r="AO75" s="2" t="str">
        <f t="shared" si="11"/>
        <v/>
      </c>
      <c r="AP75" s="2" t="str">
        <f t="shared" si="11"/>
        <v/>
      </c>
      <c r="AQ75" s="2" t="str">
        <f t="shared" si="11"/>
        <v/>
      </c>
      <c r="AR75" s="2">
        <f t="shared" si="11"/>
        <v>0.78481162694221041</v>
      </c>
      <c r="AT75" s="2" t="str">
        <f t="shared" si="10"/>
        <v/>
      </c>
      <c r="AU75" s="2" t="str">
        <f t="shared" si="10"/>
        <v/>
      </c>
      <c r="AV75" s="143" t="str">
        <f t="shared" si="14"/>
        <v/>
      </c>
      <c r="AW75" s="143" t="str">
        <f t="shared" si="14"/>
        <v/>
      </c>
      <c r="AX75" s="143" t="str">
        <f t="shared" si="14"/>
        <v/>
      </c>
      <c r="AY75" s="143" t="str">
        <f t="shared" si="12"/>
        <v/>
      </c>
      <c r="AZ75" s="143" t="str">
        <f t="shared" si="12"/>
        <v/>
      </c>
      <c r="BA75" s="143" t="str">
        <f t="shared" si="12"/>
        <v/>
      </c>
      <c r="BB75" s="143" t="str">
        <f t="shared" si="12"/>
        <v/>
      </c>
      <c r="BC75" s="143" t="str">
        <f t="shared" si="12"/>
        <v/>
      </c>
      <c r="BD75" s="143" t="str">
        <f t="shared" si="12"/>
        <v/>
      </c>
      <c r="BF75" s="9">
        <f t="shared" si="17"/>
        <v>3.9623492757661944E-4</v>
      </c>
      <c r="BG75" s="9">
        <f t="shared" si="18"/>
        <v>0.93895298178285092</v>
      </c>
    </row>
    <row r="76" spans="2:59" x14ac:dyDescent="0.3">
      <c r="B76" s="3" t="s">
        <v>139</v>
      </c>
      <c r="D76" s="141">
        <v>223955</v>
      </c>
      <c r="E76" s="141">
        <v>196998</v>
      </c>
      <c r="F76" s="141">
        <v>225748</v>
      </c>
      <c r="G76" s="141"/>
      <c r="H76" s="141"/>
      <c r="I76" s="141"/>
      <c r="J76" s="141"/>
      <c r="K76" s="141"/>
      <c r="L76" s="141"/>
      <c r="M76" s="141"/>
      <c r="N76" s="141"/>
      <c r="O76" s="141"/>
      <c r="P76" s="141">
        <f t="shared" si="15"/>
        <v>646701</v>
      </c>
      <c r="R76" s="141">
        <v>160441</v>
      </c>
      <c r="S76" s="141">
        <v>138564</v>
      </c>
      <c r="T76" s="141">
        <v>165191</v>
      </c>
      <c r="U76" s="141"/>
      <c r="V76" s="141"/>
      <c r="W76" s="141"/>
      <c r="X76" s="141"/>
      <c r="Y76" s="141"/>
      <c r="Z76" s="141"/>
      <c r="AA76" s="141"/>
      <c r="AB76" s="141"/>
      <c r="AC76" s="141"/>
      <c r="AD76" s="141">
        <f t="shared" si="16"/>
        <v>464196</v>
      </c>
      <c r="AF76" s="2">
        <f t="shared" si="13"/>
        <v>0.716398383603849</v>
      </c>
      <c r="AG76" s="2">
        <f t="shared" si="13"/>
        <v>0.70337769926598237</v>
      </c>
      <c r="AH76" s="2">
        <f t="shared" si="13"/>
        <v>0.73174956145790881</v>
      </c>
      <c r="AI76" s="2" t="str">
        <f t="shared" si="13"/>
        <v/>
      </c>
      <c r="AJ76" s="2" t="str">
        <f t="shared" si="13"/>
        <v/>
      </c>
      <c r="AK76" s="2" t="str">
        <f t="shared" si="13"/>
        <v/>
      </c>
      <c r="AL76" s="2" t="str">
        <f t="shared" si="13"/>
        <v/>
      </c>
      <c r="AM76" s="2" t="str">
        <f t="shared" si="11"/>
        <v/>
      </c>
      <c r="AN76" s="2" t="str">
        <f t="shared" si="11"/>
        <v/>
      </c>
      <c r="AO76" s="2" t="str">
        <f t="shared" si="11"/>
        <v/>
      </c>
      <c r="AP76" s="2" t="str">
        <f t="shared" si="11"/>
        <v/>
      </c>
      <c r="AQ76" s="2" t="str">
        <f t="shared" si="11"/>
        <v/>
      </c>
      <c r="AR76" s="2">
        <f t="shared" si="11"/>
        <v>0.71779075647014612</v>
      </c>
      <c r="AT76" s="2" t="str">
        <f t="shared" si="10"/>
        <v/>
      </c>
      <c r="AU76" s="2" t="str">
        <f t="shared" si="10"/>
        <v/>
      </c>
      <c r="AV76" s="143" t="str">
        <f t="shared" si="14"/>
        <v/>
      </c>
      <c r="AW76" s="143" t="str">
        <f t="shared" si="14"/>
        <v/>
      </c>
      <c r="AX76" s="143" t="str">
        <f t="shared" si="14"/>
        <v/>
      </c>
      <c r="AY76" s="143" t="str">
        <f t="shared" si="12"/>
        <v/>
      </c>
      <c r="AZ76" s="143" t="str">
        <f t="shared" si="12"/>
        <v/>
      </c>
      <c r="BA76" s="143" t="str">
        <f t="shared" si="12"/>
        <v/>
      </c>
      <c r="BB76" s="143" t="str">
        <f t="shared" si="12"/>
        <v/>
      </c>
      <c r="BC76" s="143" t="str">
        <f t="shared" si="12"/>
        <v/>
      </c>
      <c r="BD76" s="143" t="str">
        <f t="shared" si="12"/>
        <v/>
      </c>
      <c r="BF76" s="9">
        <f t="shared" si="17"/>
        <v>8.1701936906485517E-4</v>
      </c>
      <c r="BG76" s="9">
        <f t="shared" si="18"/>
        <v>0.93977000115191578</v>
      </c>
    </row>
    <row r="77" spans="2:59" x14ac:dyDescent="0.3">
      <c r="B77" s="3" t="s">
        <v>148</v>
      </c>
      <c r="D77" s="141">
        <v>4795092</v>
      </c>
      <c r="E77" s="141">
        <v>4084648</v>
      </c>
      <c r="F77" s="141">
        <v>4448270</v>
      </c>
      <c r="G77" s="141"/>
      <c r="H77" s="141"/>
      <c r="I77" s="141"/>
      <c r="J77" s="141"/>
      <c r="K77" s="141"/>
      <c r="L77" s="141"/>
      <c r="M77" s="141"/>
      <c r="N77" s="141"/>
      <c r="O77" s="141"/>
      <c r="P77" s="141">
        <f t="shared" si="15"/>
        <v>13328010</v>
      </c>
      <c r="R77" s="141">
        <v>4560011</v>
      </c>
      <c r="S77" s="141">
        <v>3819127</v>
      </c>
      <c r="T77" s="141">
        <v>4269742</v>
      </c>
      <c r="U77" s="141"/>
      <c r="V77" s="141"/>
      <c r="W77" s="141"/>
      <c r="X77" s="141"/>
      <c r="Y77" s="141"/>
      <c r="Z77" s="141"/>
      <c r="AA77" s="141"/>
      <c r="AB77" s="141"/>
      <c r="AC77" s="141"/>
      <c r="AD77" s="141">
        <f t="shared" si="16"/>
        <v>12648880</v>
      </c>
      <c r="AF77" s="2">
        <f t="shared" si="13"/>
        <v>0.95097466325984992</v>
      </c>
      <c r="AG77" s="2">
        <f t="shared" si="13"/>
        <v>0.93499537781468567</v>
      </c>
      <c r="AH77" s="2">
        <f t="shared" si="13"/>
        <v>0.95986574555950965</v>
      </c>
      <c r="AI77" s="2" t="str">
        <f t="shared" si="13"/>
        <v/>
      </c>
      <c r="AJ77" s="2" t="str">
        <f t="shared" si="13"/>
        <v/>
      </c>
      <c r="AK77" s="2" t="str">
        <f t="shared" si="13"/>
        <v/>
      </c>
      <c r="AL77" s="2" t="str">
        <f t="shared" si="13"/>
        <v/>
      </c>
      <c r="AM77" s="2" t="str">
        <f t="shared" si="11"/>
        <v/>
      </c>
      <c r="AN77" s="2" t="str">
        <f t="shared" si="11"/>
        <v/>
      </c>
      <c r="AO77" s="2" t="str">
        <f t="shared" si="11"/>
        <v/>
      </c>
      <c r="AP77" s="2" t="str">
        <f t="shared" si="11"/>
        <v/>
      </c>
      <c r="AQ77" s="2" t="str">
        <f t="shared" si="11"/>
        <v/>
      </c>
      <c r="AR77" s="2">
        <f t="shared" si="11"/>
        <v>0.94904490617879189</v>
      </c>
      <c r="AT77" s="2" t="str">
        <f t="shared" si="10"/>
        <v/>
      </c>
      <c r="AU77" s="2" t="str">
        <f t="shared" si="10"/>
        <v/>
      </c>
      <c r="AV77" s="143" t="str">
        <f t="shared" si="14"/>
        <v/>
      </c>
      <c r="AW77" s="143" t="str">
        <f t="shared" si="14"/>
        <v/>
      </c>
      <c r="AX77" s="143" t="str">
        <f t="shared" si="14"/>
        <v/>
      </c>
      <c r="AY77" s="143" t="str">
        <f t="shared" si="12"/>
        <v/>
      </c>
      <c r="AZ77" s="143" t="str">
        <f t="shared" si="12"/>
        <v/>
      </c>
      <c r="BA77" s="143" t="str">
        <f t="shared" si="12"/>
        <v/>
      </c>
      <c r="BB77" s="143" t="str">
        <f t="shared" si="12"/>
        <v/>
      </c>
      <c r="BC77" s="143" t="str">
        <f t="shared" si="12"/>
        <v/>
      </c>
      <c r="BD77" s="143" t="str">
        <f t="shared" si="12"/>
        <v/>
      </c>
      <c r="BF77" s="9">
        <f t="shared" si="17"/>
        <v>2.2262966412845146E-2</v>
      </c>
      <c r="BG77" s="9">
        <f t="shared" si="18"/>
        <v>0.96203296756476098</v>
      </c>
    </row>
    <row r="78" spans="2:59" x14ac:dyDescent="0.3">
      <c r="B78" s="3" t="s">
        <v>143</v>
      </c>
      <c r="D78" s="141">
        <v>212292</v>
      </c>
      <c r="E78" s="141">
        <v>197872</v>
      </c>
      <c r="F78" s="141">
        <v>235526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>
        <f t="shared" si="15"/>
        <v>645690</v>
      </c>
      <c r="R78" s="141">
        <v>139275</v>
      </c>
      <c r="S78" s="141">
        <v>145662</v>
      </c>
      <c r="T78" s="141">
        <v>189717</v>
      </c>
      <c r="U78" s="141"/>
      <c r="V78" s="141"/>
      <c r="W78" s="141"/>
      <c r="X78" s="141"/>
      <c r="Y78" s="141"/>
      <c r="Z78" s="141"/>
      <c r="AA78" s="141"/>
      <c r="AB78" s="141"/>
      <c r="AC78" s="141"/>
      <c r="AD78" s="141">
        <f t="shared" si="16"/>
        <v>474654</v>
      </c>
      <c r="AF78" s="2">
        <f t="shared" si="13"/>
        <v>0.65605392572494492</v>
      </c>
      <c r="AG78" s="2">
        <f t="shared" si="13"/>
        <v>0.73614255680439877</v>
      </c>
      <c r="AH78" s="2">
        <f t="shared" si="13"/>
        <v>0.80550342637330907</v>
      </c>
      <c r="AI78" s="2" t="str">
        <f t="shared" si="13"/>
        <v/>
      </c>
      <c r="AJ78" s="2" t="str">
        <f t="shared" si="13"/>
        <v/>
      </c>
      <c r="AK78" s="2" t="str">
        <f t="shared" si="13"/>
        <v/>
      </c>
      <c r="AL78" s="2" t="str">
        <f t="shared" si="13"/>
        <v/>
      </c>
      <c r="AM78" s="2" t="str">
        <f t="shared" si="11"/>
        <v/>
      </c>
      <c r="AN78" s="2" t="str">
        <f t="shared" si="11"/>
        <v/>
      </c>
      <c r="AO78" s="2" t="str">
        <f t="shared" si="11"/>
        <v/>
      </c>
      <c r="AP78" s="2" t="str">
        <f t="shared" si="11"/>
        <v/>
      </c>
      <c r="AQ78" s="2" t="str">
        <f t="shared" si="11"/>
        <v/>
      </c>
      <c r="AR78" s="2">
        <f t="shared" si="11"/>
        <v>0.7351112763090647</v>
      </c>
      <c r="AT78" s="2" t="str">
        <f t="shared" ref="AT78:AU109" si="19">+IFERROR(AM78-AL78,"")</f>
        <v/>
      </c>
      <c r="AU78" s="2" t="str">
        <f t="shared" si="19"/>
        <v/>
      </c>
      <c r="AV78" s="143" t="str">
        <f t="shared" si="14"/>
        <v/>
      </c>
      <c r="AW78" s="143" t="str">
        <f t="shared" si="14"/>
        <v/>
      </c>
      <c r="AX78" s="143" t="str">
        <f t="shared" si="14"/>
        <v/>
      </c>
      <c r="AY78" s="143" t="str">
        <f t="shared" si="12"/>
        <v/>
      </c>
      <c r="AZ78" s="143" t="str">
        <f t="shared" si="12"/>
        <v/>
      </c>
      <c r="BA78" s="143" t="str">
        <f t="shared" si="12"/>
        <v/>
      </c>
      <c r="BB78" s="143" t="str">
        <f t="shared" si="12"/>
        <v/>
      </c>
      <c r="BC78" s="143" t="str">
        <f t="shared" si="12"/>
        <v/>
      </c>
      <c r="BD78" s="143" t="str">
        <f t="shared" si="12"/>
        <v/>
      </c>
      <c r="BF78" s="9">
        <f t="shared" si="17"/>
        <v>8.3542622427618888E-4</v>
      </c>
      <c r="BG78" s="9">
        <f t="shared" si="18"/>
        <v>0.96286839378903721</v>
      </c>
    </row>
    <row r="79" spans="2:59" x14ac:dyDescent="0.3">
      <c r="B79" s="3" t="s">
        <v>173</v>
      </c>
      <c r="D79" s="141">
        <v>164086</v>
      </c>
      <c r="E79" s="141">
        <v>169823</v>
      </c>
      <c r="F79" s="141">
        <v>146497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>
        <f t="shared" si="15"/>
        <v>480406</v>
      </c>
      <c r="R79" s="141">
        <v>124633</v>
      </c>
      <c r="S79" s="141">
        <v>138170</v>
      </c>
      <c r="T79" s="141">
        <v>103801</v>
      </c>
      <c r="U79" s="141"/>
      <c r="V79" s="141"/>
      <c r="W79" s="141"/>
      <c r="X79" s="141"/>
      <c r="Y79" s="141"/>
      <c r="Z79" s="141"/>
      <c r="AA79" s="141"/>
      <c r="AB79" s="141"/>
      <c r="AC79" s="141"/>
      <c r="AD79" s="141">
        <f t="shared" si="16"/>
        <v>366604</v>
      </c>
      <c r="AF79" s="2">
        <f t="shared" si="13"/>
        <v>0.75955901173774731</v>
      </c>
      <c r="AG79" s="2">
        <f t="shared" si="13"/>
        <v>0.81361181936486815</v>
      </c>
      <c r="AH79" s="2">
        <f t="shared" si="13"/>
        <v>0.70855375878004323</v>
      </c>
      <c r="AI79" s="2" t="str">
        <f t="shared" si="13"/>
        <v/>
      </c>
      <c r="AJ79" s="2" t="str">
        <f t="shared" si="13"/>
        <v/>
      </c>
      <c r="AK79" s="2" t="str">
        <f t="shared" si="13"/>
        <v/>
      </c>
      <c r="AL79" s="2" t="str">
        <f t="shared" si="13"/>
        <v/>
      </c>
      <c r="AM79" s="2" t="str">
        <f t="shared" si="11"/>
        <v/>
      </c>
      <c r="AN79" s="2" t="str">
        <f t="shared" si="11"/>
        <v/>
      </c>
      <c r="AO79" s="2" t="str">
        <f t="shared" si="11"/>
        <v/>
      </c>
      <c r="AP79" s="2" t="str">
        <f t="shared" si="11"/>
        <v/>
      </c>
      <c r="AQ79" s="2" t="str">
        <f t="shared" si="11"/>
        <v/>
      </c>
      <c r="AR79" s="2">
        <f t="shared" si="11"/>
        <v>0.76311286703330095</v>
      </c>
      <c r="AT79" s="2" t="str">
        <f t="shared" si="19"/>
        <v/>
      </c>
      <c r="AU79" s="2" t="str">
        <f t="shared" si="19"/>
        <v/>
      </c>
      <c r="AV79" s="143" t="str">
        <f t="shared" si="14"/>
        <v/>
      </c>
      <c r="AW79" s="143" t="str">
        <f t="shared" si="14"/>
        <v/>
      </c>
      <c r="AX79" s="143" t="str">
        <f t="shared" si="14"/>
        <v/>
      </c>
      <c r="AY79" s="143" t="str">
        <f t="shared" si="12"/>
        <v/>
      </c>
      <c r="AZ79" s="143" t="str">
        <f t="shared" si="12"/>
        <v/>
      </c>
      <c r="BA79" s="143" t="str">
        <f t="shared" si="12"/>
        <v/>
      </c>
      <c r="BB79" s="143" t="str">
        <f t="shared" si="12"/>
        <v/>
      </c>
      <c r="BC79" s="143" t="str">
        <f t="shared" si="12"/>
        <v/>
      </c>
      <c r="BD79" s="143" t="str">
        <f t="shared" si="12"/>
        <v/>
      </c>
      <c r="BF79" s="9">
        <f t="shared" si="17"/>
        <v>6.4525021494509253E-4</v>
      </c>
      <c r="BG79" s="9">
        <f t="shared" si="18"/>
        <v>0.96351364400398232</v>
      </c>
    </row>
    <row r="80" spans="2:59" x14ac:dyDescent="0.3">
      <c r="B80" s="3" t="s">
        <v>182</v>
      </c>
      <c r="D80" s="141">
        <v>739184</v>
      </c>
      <c r="E80" s="141">
        <v>538310</v>
      </c>
      <c r="F80" s="141">
        <v>295612</v>
      </c>
      <c r="G80" s="141"/>
      <c r="H80" s="141"/>
      <c r="I80" s="141"/>
      <c r="J80" s="141"/>
      <c r="K80" s="141"/>
      <c r="L80" s="141"/>
      <c r="M80" s="141"/>
      <c r="N80" s="141"/>
      <c r="O80" s="141"/>
      <c r="P80" s="141">
        <f t="shared" si="15"/>
        <v>1573106</v>
      </c>
      <c r="R80" s="141">
        <v>564824</v>
      </c>
      <c r="S80" s="141">
        <v>377993</v>
      </c>
      <c r="T80" s="141">
        <v>179147</v>
      </c>
      <c r="U80" s="141"/>
      <c r="V80" s="141"/>
      <c r="W80" s="141"/>
      <c r="X80" s="141"/>
      <c r="Y80" s="141"/>
      <c r="Z80" s="141"/>
      <c r="AA80" s="141"/>
      <c r="AB80" s="141"/>
      <c r="AC80" s="141"/>
      <c r="AD80" s="141">
        <f t="shared" si="16"/>
        <v>1121964</v>
      </c>
      <c r="AF80" s="2">
        <f t="shared" si="13"/>
        <v>0.7641182709582458</v>
      </c>
      <c r="AG80" s="2">
        <f t="shared" si="13"/>
        <v>0.70218461481302596</v>
      </c>
      <c r="AH80" s="2">
        <f t="shared" si="13"/>
        <v>0.60602072987564781</v>
      </c>
      <c r="AI80" s="2" t="str">
        <f t="shared" si="13"/>
        <v/>
      </c>
      <c r="AJ80" s="2" t="str">
        <f t="shared" si="13"/>
        <v/>
      </c>
      <c r="AK80" s="2" t="str">
        <f t="shared" si="13"/>
        <v/>
      </c>
      <c r="AL80" s="2" t="str">
        <f t="shared" si="13"/>
        <v/>
      </c>
      <c r="AM80" s="2" t="str">
        <f t="shared" si="11"/>
        <v/>
      </c>
      <c r="AN80" s="2" t="str">
        <f t="shared" si="11"/>
        <v/>
      </c>
      <c r="AO80" s="2" t="str">
        <f t="shared" si="11"/>
        <v/>
      </c>
      <c r="AP80" s="2" t="str">
        <f t="shared" si="11"/>
        <v/>
      </c>
      <c r="AQ80" s="2" t="str">
        <f t="shared" si="11"/>
        <v/>
      </c>
      <c r="AR80" s="2">
        <f t="shared" si="11"/>
        <v>0.71321576549831989</v>
      </c>
      <c r="AT80" s="2" t="str">
        <f t="shared" si="19"/>
        <v/>
      </c>
      <c r="AU80" s="2" t="str">
        <f t="shared" si="19"/>
        <v/>
      </c>
      <c r="AV80" s="143" t="str">
        <f t="shared" si="14"/>
        <v/>
      </c>
      <c r="AW80" s="143" t="str">
        <f t="shared" si="14"/>
        <v/>
      </c>
      <c r="AX80" s="143" t="str">
        <f t="shared" si="14"/>
        <v/>
      </c>
      <c r="AY80" s="143" t="str">
        <f t="shared" si="12"/>
        <v/>
      </c>
      <c r="AZ80" s="143" t="str">
        <f t="shared" si="12"/>
        <v/>
      </c>
      <c r="BA80" s="143" t="str">
        <f t="shared" si="12"/>
        <v/>
      </c>
      <c r="BB80" s="143" t="str">
        <f t="shared" si="12"/>
        <v/>
      </c>
      <c r="BC80" s="143" t="str">
        <f t="shared" si="12"/>
        <v/>
      </c>
      <c r="BD80" s="143" t="str">
        <f t="shared" si="12"/>
        <v/>
      </c>
      <c r="BF80" s="9">
        <f t="shared" si="17"/>
        <v>1.9747398068778732E-3</v>
      </c>
      <c r="BG80" s="9">
        <f t="shared" si="18"/>
        <v>0.96548838381086022</v>
      </c>
    </row>
    <row r="81" spans="2:59" x14ac:dyDescent="0.3">
      <c r="B81" s="3" t="s">
        <v>158</v>
      </c>
      <c r="D81" s="141">
        <v>375977</v>
      </c>
      <c r="E81" s="141">
        <v>458843</v>
      </c>
      <c r="F81" s="141">
        <v>401737</v>
      </c>
      <c r="G81" s="141"/>
      <c r="H81" s="141"/>
      <c r="I81" s="141"/>
      <c r="J81" s="141"/>
      <c r="K81" s="141"/>
      <c r="L81" s="141"/>
      <c r="M81" s="141"/>
      <c r="N81" s="141"/>
      <c r="O81" s="141"/>
      <c r="P81" s="141">
        <f t="shared" si="15"/>
        <v>1236557</v>
      </c>
      <c r="R81" s="141">
        <v>286929</v>
      </c>
      <c r="S81" s="141">
        <v>397402</v>
      </c>
      <c r="T81" s="141">
        <v>322327</v>
      </c>
      <c r="U81" s="141"/>
      <c r="V81" s="141"/>
      <c r="W81" s="141"/>
      <c r="X81" s="141"/>
      <c r="Y81" s="141"/>
      <c r="Z81" s="141"/>
      <c r="AA81" s="141"/>
      <c r="AB81" s="141"/>
      <c r="AC81" s="141"/>
      <c r="AD81" s="141">
        <f t="shared" si="16"/>
        <v>1006658</v>
      </c>
      <c r="AF81" s="2">
        <f t="shared" si="13"/>
        <v>0.76315572495126027</v>
      </c>
      <c r="AG81" s="2">
        <f t="shared" si="13"/>
        <v>0.86609581054957796</v>
      </c>
      <c r="AH81" s="2">
        <f t="shared" si="13"/>
        <v>0.80233336735227279</v>
      </c>
      <c r="AI81" s="2" t="str">
        <f t="shared" si="13"/>
        <v/>
      </c>
      <c r="AJ81" s="2" t="str">
        <f t="shared" si="13"/>
        <v/>
      </c>
      <c r="AK81" s="2" t="str">
        <f t="shared" si="13"/>
        <v/>
      </c>
      <c r="AL81" s="2" t="str">
        <f t="shared" si="13"/>
        <v/>
      </c>
      <c r="AM81" s="2" t="str">
        <f t="shared" si="11"/>
        <v/>
      </c>
      <c r="AN81" s="2" t="str">
        <f t="shared" si="11"/>
        <v/>
      </c>
      <c r="AO81" s="2" t="str">
        <f t="shared" si="11"/>
        <v/>
      </c>
      <c r="AP81" s="2" t="str">
        <f t="shared" si="11"/>
        <v/>
      </c>
      <c r="AQ81" s="2" t="str">
        <f t="shared" si="11"/>
        <v/>
      </c>
      <c r="AR81" s="2">
        <f t="shared" si="11"/>
        <v>0.81408135654078218</v>
      </c>
      <c r="AT81" s="2" t="str">
        <f t="shared" si="19"/>
        <v/>
      </c>
      <c r="AU81" s="2" t="str">
        <f t="shared" si="19"/>
        <v/>
      </c>
      <c r="AV81" s="143" t="str">
        <f t="shared" si="14"/>
        <v/>
      </c>
      <c r="AW81" s="143" t="str">
        <f t="shared" si="14"/>
        <v/>
      </c>
      <c r="AX81" s="143" t="str">
        <f t="shared" si="14"/>
        <v/>
      </c>
      <c r="AY81" s="143" t="str">
        <f t="shared" si="12"/>
        <v/>
      </c>
      <c r="AZ81" s="143" t="str">
        <f t="shared" si="12"/>
        <v/>
      </c>
      <c r="BA81" s="143" t="str">
        <f t="shared" si="12"/>
        <v/>
      </c>
      <c r="BB81" s="143" t="str">
        <f t="shared" si="12"/>
        <v/>
      </c>
      <c r="BC81" s="143" t="str">
        <f t="shared" si="12"/>
        <v/>
      </c>
      <c r="BD81" s="143" t="str">
        <f t="shared" si="12"/>
        <v/>
      </c>
      <c r="BF81" s="9">
        <f t="shared" si="17"/>
        <v>1.7717926996873928E-3</v>
      </c>
      <c r="BG81" s="9">
        <f t="shared" si="18"/>
        <v>0.96726017651054763</v>
      </c>
    </row>
    <row r="82" spans="2:59" x14ac:dyDescent="0.3">
      <c r="B82" s="3" t="s">
        <v>154</v>
      </c>
      <c r="D82" s="141">
        <v>110982</v>
      </c>
      <c r="E82" s="141">
        <v>107329</v>
      </c>
      <c r="F82" s="141">
        <v>86490</v>
      </c>
      <c r="G82" s="141"/>
      <c r="H82" s="141"/>
      <c r="I82" s="141"/>
      <c r="J82" s="141"/>
      <c r="K82" s="141"/>
      <c r="L82" s="141"/>
      <c r="M82" s="141"/>
      <c r="N82" s="141"/>
      <c r="O82" s="141"/>
      <c r="P82" s="141">
        <f t="shared" si="15"/>
        <v>304801</v>
      </c>
      <c r="R82" s="141">
        <v>78986</v>
      </c>
      <c r="S82" s="141">
        <v>87254</v>
      </c>
      <c r="T82" s="141">
        <v>68885</v>
      </c>
      <c r="U82" s="141"/>
      <c r="V82" s="141"/>
      <c r="W82" s="141"/>
      <c r="X82" s="141"/>
      <c r="Y82" s="141"/>
      <c r="Z82" s="141"/>
      <c r="AA82" s="141"/>
      <c r="AB82" s="141"/>
      <c r="AC82" s="141"/>
      <c r="AD82" s="141">
        <f t="shared" si="16"/>
        <v>235125</v>
      </c>
      <c r="AF82" s="2">
        <f t="shared" si="13"/>
        <v>0.71170099655800034</v>
      </c>
      <c r="AG82" s="2">
        <f t="shared" si="13"/>
        <v>0.81295828713581608</v>
      </c>
      <c r="AH82" s="2">
        <f t="shared" si="13"/>
        <v>0.79645045670019654</v>
      </c>
      <c r="AI82" s="2" t="str">
        <f t="shared" si="13"/>
        <v/>
      </c>
      <c r="AJ82" s="2" t="str">
        <f t="shared" si="13"/>
        <v/>
      </c>
      <c r="AK82" s="2" t="str">
        <f t="shared" si="13"/>
        <v/>
      </c>
      <c r="AL82" s="2" t="str">
        <f t="shared" si="13"/>
        <v/>
      </c>
      <c r="AM82" s="2" t="str">
        <f t="shared" si="11"/>
        <v/>
      </c>
      <c r="AN82" s="2" t="str">
        <f t="shared" si="11"/>
        <v/>
      </c>
      <c r="AO82" s="2" t="str">
        <f t="shared" si="11"/>
        <v/>
      </c>
      <c r="AP82" s="2" t="str">
        <f t="shared" si="11"/>
        <v/>
      </c>
      <c r="AQ82" s="2" t="str">
        <f t="shared" si="11"/>
        <v/>
      </c>
      <c r="AR82" s="2">
        <f t="shared" si="11"/>
        <v>0.7714049494588272</v>
      </c>
      <c r="AT82" s="2" t="str">
        <f t="shared" si="19"/>
        <v/>
      </c>
      <c r="AU82" s="2" t="str">
        <f t="shared" si="19"/>
        <v/>
      </c>
      <c r="AV82" s="143" t="str">
        <f t="shared" si="14"/>
        <v/>
      </c>
      <c r="AW82" s="143" t="str">
        <f t="shared" si="14"/>
        <v/>
      </c>
      <c r="AX82" s="143" t="str">
        <f t="shared" si="14"/>
        <v/>
      </c>
      <c r="AY82" s="143" t="str">
        <f t="shared" si="12"/>
        <v/>
      </c>
      <c r="AZ82" s="143" t="str">
        <f t="shared" si="12"/>
        <v/>
      </c>
      <c r="BA82" s="143" t="str">
        <f t="shared" si="12"/>
        <v/>
      </c>
      <c r="BB82" s="143" t="str">
        <f t="shared" si="12"/>
        <v/>
      </c>
      <c r="BC82" s="143" t="str">
        <f t="shared" si="12"/>
        <v/>
      </c>
      <c r="BD82" s="143" t="str">
        <f t="shared" si="12"/>
        <v/>
      </c>
      <c r="BF82" s="9">
        <f t="shared" si="17"/>
        <v>4.1383742891230012E-4</v>
      </c>
      <c r="BG82" s="9">
        <f t="shared" si="18"/>
        <v>0.96767401393945995</v>
      </c>
    </row>
    <row r="83" spans="2:59" x14ac:dyDescent="0.3">
      <c r="B83" s="3" t="s">
        <v>149</v>
      </c>
      <c r="D83" s="141">
        <v>104384</v>
      </c>
      <c r="E83" s="141">
        <v>113288</v>
      </c>
      <c r="F83" s="141">
        <v>107544</v>
      </c>
      <c r="G83" s="141"/>
      <c r="H83" s="141"/>
      <c r="I83" s="141"/>
      <c r="J83" s="141"/>
      <c r="K83" s="141"/>
      <c r="L83" s="141"/>
      <c r="M83" s="141"/>
      <c r="N83" s="141"/>
      <c r="O83" s="141"/>
      <c r="P83" s="141">
        <f t="shared" si="15"/>
        <v>325216</v>
      </c>
      <c r="R83" s="141">
        <v>82614</v>
      </c>
      <c r="S83" s="141">
        <v>90758</v>
      </c>
      <c r="T83" s="141">
        <v>77557</v>
      </c>
      <c r="U83" s="141"/>
      <c r="V83" s="141"/>
      <c r="W83" s="141"/>
      <c r="X83" s="141"/>
      <c r="Y83" s="141"/>
      <c r="Z83" s="141"/>
      <c r="AA83" s="141"/>
      <c r="AB83" s="141"/>
      <c r="AC83" s="141"/>
      <c r="AD83" s="141">
        <f t="shared" si="16"/>
        <v>250929</v>
      </c>
      <c r="AF83" s="2">
        <f t="shared" si="13"/>
        <v>0.79144313304721026</v>
      </c>
      <c r="AG83" s="2">
        <f t="shared" si="13"/>
        <v>0.80112633288609558</v>
      </c>
      <c r="AH83" s="2">
        <f t="shared" si="13"/>
        <v>0.72116529048575462</v>
      </c>
      <c r="AI83" s="2" t="str">
        <f t="shared" si="13"/>
        <v/>
      </c>
      <c r="AJ83" s="2" t="str">
        <f t="shared" si="13"/>
        <v/>
      </c>
      <c r="AK83" s="2" t="str">
        <f t="shared" si="13"/>
        <v/>
      </c>
      <c r="AL83" s="2" t="str">
        <f t="shared" si="13"/>
        <v/>
      </c>
      <c r="AM83" s="2" t="str">
        <f t="shared" si="11"/>
        <v/>
      </c>
      <c r="AN83" s="2" t="str">
        <f t="shared" si="11"/>
        <v/>
      </c>
      <c r="AO83" s="2" t="str">
        <f t="shared" si="11"/>
        <v/>
      </c>
      <c r="AP83" s="2" t="str">
        <f t="shared" si="11"/>
        <v/>
      </c>
      <c r="AQ83" s="2" t="str">
        <f t="shared" si="11"/>
        <v/>
      </c>
      <c r="AR83" s="2">
        <f t="shared" si="11"/>
        <v>0.77157642920397518</v>
      </c>
      <c r="AT83" s="2" t="str">
        <f t="shared" si="19"/>
        <v/>
      </c>
      <c r="AU83" s="2" t="str">
        <f t="shared" si="19"/>
        <v/>
      </c>
      <c r="AV83" s="143" t="str">
        <f t="shared" si="14"/>
        <v/>
      </c>
      <c r="AW83" s="143" t="str">
        <f t="shared" si="14"/>
        <v/>
      </c>
      <c r="AX83" s="143" t="str">
        <f t="shared" si="14"/>
        <v/>
      </c>
      <c r="AY83" s="143" t="str">
        <f t="shared" si="12"/>
        <v/>
      </c>
      <c r="AZ83" s="143" t="str">
        <f t="shared" si="12"/>
        <v/>
      </c>
      <c r="BA83" s="143" t="str">
        <f t="shared" si="12"/>
        <v/>
      </c>
      <c r="BB83" s="143" t="str">
        <f t="shared" si="12"/>
        <v/>
      </c>
      <c r="BC83" s="143" t="str">
        <f t="shared" si="12"/>
        <v/>
      </c>
      <c r="BD83" s="143" t="str">
        <f t="shared" si="12"/>
        <v/>
      </c>
      <c r="BF83" s="9">
        <f t="shared" si="17"/>
        <v>4.4165364040206083E-4</v>
      </c>
      <c r="BG83" s="9">
        <f t="shared" si="18"/>
        <v>0.968115667579862</v>
      </c>
    </row>
    <row r="84" spans="2:59" x14ac:dyDescent="0.3">
      <c r="B84" s="3" t="s">
        <v>168</v>
      </c>
      <c r="D84" s="141">
        <v>58442</v>
      </c>
      <c r="E84" s="141">
        <v>56300</v>
      </c>
      <c r="F84" s="141">
        <v>71763</v>
      </c>
      <c r="G84" s="141"/>
      <c r="H84" s="141"/>
      <c r="I84" s="141"/>
      <c r="J84" s="141"/>
      <c r="K84" s="141"/>
      <c r="L84" s="141"/>
      <c r="M84" s="141"/>
      <c r="N84" s="141"/>
      <c r="O84" s="141"/>
      <c r="P84" s="141">
        <f t="shared" si="15"/>
        <v>186505</v>
      </c>
      <c r="R84" s="141">
        <v>44832</v>
      </c>
      <c r="S84" s="141">
        <v>46563</v>
      </c>
      <c r="T84" s="141">
        <v>33672</v>
      </c>
      <c r="U84" s="141"/>
      <c r="V84" s="141"/>
      <c r="W84" s="141"/>
      <c r="X84" s="141"/>
      <c r="Y84" s="141"/>
      <c r="Z84" s="141"/>
      <c r="AA84" s="141"/>
      <c r="AB84" s="141"/>
      <c r="AC84" s="141"/>
      <c r="AD84" s="141">
        <f t="shared" si="16"/>
        <v>125067</v>
      </c>
      <c r="AF84" s="2">
        <f t="shared" si="13"/>
        <v>0.76711953731905136</v>
      </c>
      <c r="AG84" s="2">
        <f t="shared" si="13"/>
        <v>0.82705150976909414</v>
      </c>
      <c r="AH84" s="2">
        <f t="shared" si="13"/>
        <v>0.4692111533798754</v>
      </c>
      <c r="AI84" s="2" t="str">
        <f t="shared" si="13"/>
        <v/>
      </c>
      <c r="AJ84" s="2" t="str">
        <f t="shared" si="13"/>
        <v/>
      </c>
      <c r="AK84" s="2" t="str">
        <f t="shared" si="13"/>
        <v/>
      </c>
      <c r="AL84" s="2" t="str">
        <f t="shared" si="13"/>
        <v/>
      </c>
      <c r="AM84" s="2" t="str">
        <f t="shared" si="11"/>
        <v/>
      </c>
      <c r="AN84" s="2" t="str">
        <f t="shared" si="11"/>
        <v/>
      </c>
      <c r="AO84" s="2" t="str">
        <f t="shared" si="11"/>
        <v/>
      </c>
      <c r="AP84" s="2" t="str">
        <f t="shared" si="11"/>
        <v/>
      </c>
      <c r="AQ84" s="2" t="str">
        <f t="shared" si="11"/>
        <v/>
      </c>
      <c r="AR84" s="2">
        <f t="shared" si="11"/>
        <v>0.67058255810836176</v>
      </c>
      <c r="AT84" s="2" t="str">
        <f t="shared" si="19"/>
        <v/>
      </c>
      <c r="AU84" s="2" t="str">
        <f t="shared" si="19"/>
        <v/>
      </c>
      <c r="AV84" s="143" t="str">
        <f t="shared" si="14"/>
        <v/>
      </c>
      <c r="AW84" s="143" t="str">
        <f t="shared" si="14"/>
        <v/>
      </c>
      <c r="AX84" s="143" t="str">
        <f t="shared" si="14"/>
        <v/>
      </c>
      <c r="AY84" s="143" t="str">
        <f t="shared" si="12"/>
        <v/>
      </c>
      <c r="AZ84" s="143" t="str">
        <f t="shared" si="12"/>
        <v/>
      </c>
      <c r="BA84" s="143" t="str">
        <f t="shared" si="12"/>
        <v/>
      </c>
      <c r="BB84" s="143" t="str">
        <f t="shared" si="12"/>
        <v/>
      </c>
      <c r="BC84" s="143" t="str">
        <f t="shared" si="12"/>
        <v/>
      </c>
      <c r="BD84" s="143" t="str">
        <f t="shared" si="12"/>
        <v/>
      </c>
      <c r="BF84" s="9">
        <f t="shared" si="17"/>
        <v>2.2012719073588363E-4</v>
      </c>
      <c r="BG84" s="9">
        <f t="shared" si="18"/>
        <v>0.96833579477059784</v>
      </c>
    </row>
    <row r="85" spans="2:59" x14ac:dyDescent="0.3">
      <c r="B85" s="3" t="s">
        <v>157</v>
      </c>
      <c r="D85" s="141">
        <v>51664</v>
      </c>
      <c r="E85" s="141">
        <v>49193</v>
      </c>
      <c r="F85" s="141">
        <v>60285</v>
      </c>
      <c r="G85" s="141"/>
      <c r="H85" s="141"/>
      <c r="I85" s="141"/>
      <c r="J85" s="141"/>
      <c r="K85" s="141"/>
      <c r="L85" s="141"/>
      <c r="M85" s="141"/>
      <c r="N85" s="141"/>
      <c r="O85" s="141"/>
      <c r="P85" s="141">
        <f t="shared" si="15"/>
        <v>161142</v>
      </c>
      <c r="R85" s="141">
        <v>42342</v>
      </c>
      <c r="S85" s="141">
        <v>42223</v>
      </c>
      <c r="T85" s="141">
        <v>46125</v>
      </c>
      <c r="U85" s="141"/>
      <c r="V85" s="141"/>
      <c r="W85" s="141"/>
      <c r="X85" s="141"/>
      <c r="Y85" s="141"/>
      <c r="Z85" s="141"/>
      <c r="AA85" s="141"/>
      <c r="AB85" s="141"/>
      <c r="AC85" s="141"/>
      <c r="AD85" s="141">
        <f t="shared" si="16"/>
        <v>130690</v>
      </c>
      <c r="AF85" s="2">
        <f t="shared" si="13"/>
        <v>0.81956488076803968</v>
      </c>
      <c r="AG85" s="2">
        <f t="shared" si="13"/>
        <v>0.85831317463866807</v>
      </c>
      <c r="AH85" s="2">
        <f t="shared" si="13"/>
        <v>0.76511570042299082</v>
      </c>
      <c r="AI85" s="2" t="str">
        <f t="shared" si="13"/>
        <v/>
      </c>
      <c r="AJ85" s="2" t="str">
        <f t="shared" si="13"/>
        <v/>
      </c>
      <c r="AK85" s="2" t="str">
        <f t="shared" si="13"/>
        <v/>
      </c>
      <c r="AL85" s="2" t="str">
        <f t="shared" si="13"/>
        <v/>
      </c>
      <c r="AM85" s="2" t="str">
        <f t="shared" si="11"/>
        <v/>
      </c>
      <c r="AN85" s="2" t="str">
        <f t="shared" si="11"/>
        <v/>
      </c>
      <c r="AO85" s="2" t="str">
        <f t="shared" si="11"/>
        <v/>
      </c>
      <c r="AP85" s="2" t="str">
        <f t="shared" si="11"/>
        <v/>
      </c>
      <c r="AQ85" s="2" t="str">
        <f t="shared" si="11"/>
        <v/>
      </c>
      <c r="AR85" s="2">
        <f t="shared" si="11"/>
        <v>0.81102381750257535</v>
      </c>
      <c r="AT85" s="2" t="str">
        <f t="shared" si="19"/>
        <v/>
      </c>
      <c r="AU85" s="2" t="str">
        <f t="shared" si="19"/>
        <v/>
      </c>
      <c r="AV85" s="143" t="str">
        <f t="shared" si="14"/>
        <v/>
      </c>
      <c r="AW85" s="143" t="str">
        <f t="shared" si="14"/>
        <v/>
      </c>
      <c r="AX85" s="143" t="str">
        <f t="shared" si="14"/>
        <v/>
      </c>
      <c r="AY85" s="143" t="str">
        <f t="shared" si="12"/>
        <v/>
      </c>
      <c r="AZ85" s="143" t="str">
        <f t="shared" si="12"/>
        <v/>
      </c>
      <c r="BA85" s="143" t="str">
        <f t="shared" si="12"/>
        <v/>
      </c>
      <c r="BB85" s="143" t="str">
        <f t="shared" si="12"/>
        <v/>
      </c>
      <c r="BC85" s="143" t="str">
        <f t="shared" si="12"/>
        <v/>
      </c>
      <c r="BD85" s="143" t="str">
        <f t="shared" si="12"/>
        <v/>
      </c>
      <c r="BF85" s="9">
        <f t="shared" si="17"/>
        <v>2.3002408754725572E-4</v>
      </c>
      <c r="BG85" s="9">
        <f t="shared" si="18"/>
        <v>0.96856581885814508</v>
      </c>
    </row>
    <row r="86" spans="2:59" x14ac:dyDescent="0.3">
      <c r="B86" s="3" t="s">
        <v>151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5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6"/>
        <v>8540</v>
      </c>
      <c r="AF86" s="2">
        <f t="shared" si="13"/>
        <v>0.8203650336215178</v>
      </c>
      <c r="AG86" s="2" t="str">
        <f t="shared" si="13"/>
        <v/>
      </c>
      <c r="AH86" s="2" t="str">
        <f t="shared" si="13"/>
        <v/>
      </c>
      <c r="AI86" s="2" t="str">
        <f t="shared" si="13"/>
        <v/>
      </c>
      <c r="AJ86" s="2" t="str">
        <f t="shared" si="13"/>
        <v/>
      </c>
      <c r="AK86" s="2" t="str">
        <f t="shared" si="13"/>
        <v/>
      </c>
      <c r="AL86" s="2" t="str">
        <f t="shared" si="13"/>
        <v/>
      </c>
      <c r="AM86" s="2" t="str">
        <f t="shared" si="11"/>
        <v/>
      </c>
      <c r="AN86" s="2" t="str">
        <f t="shared" si="11"/>
        <v/>
      </c>
      <c r="AO86" s="2" t="str">
        <f t="shared" si="11"/>
        <v/>
      </c>
      <c r="AP86" s="2" t="str">
        <f t="shared" si="11"/>
        <v/>
      </c>
      <c r="AQ86" s="2" t="str">
        <f t="shared" si="11"/>
        <v/>
      </c>
      <c r="AR86" s="2">
        <f t="shared" si="11"/>
        <v>0.8203650336215178</v>
      </c>
      <c r="AT86" s="2" t="str">
        <f t="shared" si="19"/>
        <v/>
      </c>
      <c r="AU86" s="2" t="str">
        <f t="shared" si="19"/>
        <v/>
      </c>
      <c r="AV86" s="143" t="str">
        <f t="shared" si="14"/>
        <v/>
      </c>
      <c r="AW86" s="143" t="str">
        <f t="shared" si="14"/>
        <v/>
      </c>
      <c r="AX86" s="143" t="str">
        <f t="shared" si="14"/>
        <v/>
      </c>
      <c r="AY86" s="143" t="str">
        <f t="shared" si="12"/>
        <v/>
      </c>
      <c r="AZ86" s="143" t="str">
        <f t="shared" si="12"/>
        <v/>
      </c>
      <c r="BA86" s="143" t="str">
        <f t="shared" si="12"/>
        <v/>
      </c>
      <c r="BB86" s="143" t="str">
        <f t="shared" si="12"/>
        <v/>
      </c>
      <c r="BC86" s="143" t="str">
        <f t="shared" si="12"/>
        <v/>
      </c>
      <c r="BD86" s="143" t="str">
        <f t="shared" si="12"/>
        <v/>
      </c>
      <c r="BF86" s="9">
        <f t="shared" si="17"/>
        <v>1.503103303736754E-5</v>
      </c>
      <c r="BG86" s="9">
        <f t="shared" si="18"/>
        <v>0.96858084989118243</v>
      </c>
    </row>
    <row r="87" spans="2:59" x14ac:dyDescent="0.3">
      <c r="B87" s="3" t="s">
        <v>266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5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6"/>
        <v>138713</v>
      </c>
      <c r="AF87" s="2">
        <f t="shared" si="13"/>
        <v>0.66941259362211414</v>
      </c>
      <c r="AG87" s="2" t="str">
        <f t="shared" si="13"/>
        <v/>
      </c>
      <c r="AH87" s="2" t="str">
        <f t="shared" si="13"/>
        <v/>
      </c>
      <c r="AI87" s="2" t="str">
        <f t="shared" si="13"/>
        <v/>
      </c>
      <c r="AJ87" s="2" t="str">
        <f t="shared" si="13"/>
        <v/>
      </c>
      <c r="AK87" s="2" t="str">
        <f t="shared" si="13"/>
        <v/>
      </c>
      <c r="AL87" s="2" t="str">
        <f t="shared" si="13"/>
        <v/>
      </c>
      <c r="AM87" s="2" t="str">
        <f t="shared" si="11"/>
        <v/>
      </c>
      <c r="AN87" s="2" t="str">
        <f t="shared" si="11"/>
        <v/>
      </c>
      <c r="AO87" s="2" t="str">
        <f t="shared" si="11"/>
        <v/>
      </c>
      <c r="AP87" s="2" t="str">
        <f t="shared" si="11"/>
        <v/>
      </c>
      <c r="AQ87" s="2" t="str">
        <f t="shared" si="11"/>
        <v/>
      </c>
      <c r="AR87" s="2">
        <f t="shared" si="11"/>
        <v>0.66941259362211414</v>
      </c>
      <c r="AT87" s="2" t="str">
        <f t="shared" si="19"/>
        <v/>
      </c>
      <c r="AU87" s="2" t="str">
        <f t="shared" si="19"/>
        <v/>
      </c>
      <c r="AV87" s="143" t="str">
        <f t="shared" si="14"/>
        <v/>
      </c>
      <c r="AW87" s="143" t="str">
        <f t="shared" si="14"/>
        <v/>
      </c>
      <c r="AX87" s="143" t="str">
        <f t="shared" si="14"/>
        <v/>
      </c>
      <c r="AY87" s="143" t="str">
        <f t="shared" si="12"/>
        <v/>
      </c>
      <c r="AZ87" s="143" t="str">
        <f t="shared" si="12"/>
        <v/>
      </c>
      <c r="BA87" s="143" t="str">
        <f t="shared" si="12"/>
        <v/>
      </c>
      <c r="BB87" s="143" t="str">
        <f t="shared" si="12"/>
        <v/>
      </c>
      <c r="BC87" s="143" t="str">
        <f t="shared" si="12"/>
        <v/>
      </c>
      <c r="BD87" s="143" t="str">
        <f t="shared" si="12"/>
        <v/>
      </c>
      <c r="BF87" s="9">
        <f t="shared" si="17"/>
        <v>2.441451622614009E-4</v>
      </c>
      <c r="BG87" s="9">
        <f t="shared" si="18"/>
        <v>0.96882499505344388</v>
      </c>
    </row>
    <row r="88" spans="2:59" x14ac:dyDescent="0.3">
      <c r="B88" s="3" t="s">
        <v>184</v>
      </c>
      <c r="D88" s="141">
        <v>206597</v>
      </c>
      <c r="E88" s="141">
        <v>200828</v>
      </c>
      <c r="F88" s="141">
        <v>172285</v>
      </c>
      <c r="G88" s="141"/>
      <c r="H88" s="141"/>
      <c r="I88" s="141"/>
      <c r="J88" s="141"/>
      <c r="K88" s="141"/>
      <c r="L88" s="141"/>
      <c r="M88" s="141"/>
      <c r="N88" s="141"/>
      <c r="O88" s="141"/>
      <c r="P88" s="141">
        <f t="shared" si="15"/>
        <v>579710</v>
      </c>
      <c r="R88" s="141">
        <v>146632</v>
      </c>
      <c r="S88" s="141">
        <v>146577</v>
      </c>
      <c r="T88" s="141">
        <v>126155</v>
      </c>
      <c r="U88" s="141"/>
      <c r="V88" s="141"/>
      <c r="W88" s="141"/>
      <c r="X88" s="141"/>
      <c r="Y88" s="141"/>
      <c r="Z88" s="141"/>
      <c r="AA88" s="141"/>
      <c r="AB88" s="141"/>
      <c r="AC88" s="141"/>
      <c r="AD88" s="141">
        <f t="shared" si="16"/>
        <v>419364</v>
      </c>
      <c r="AF88" s="2">
        <f t="shared" si="13"/>
        <v>0.70974893149464902</v>
      </c>
      <c r="AG88" s="2">
        <f t="shared" si="13"/>
        <v>0.72986336566614218</v>
      </c>
      <c r="AH88" s="2">
        <f t="shared" si="13"/>
        <v>0.73224598775285143</v>
      </c>
      <c r="AI88" s="2" t="str">
        <f t="shared" si="13"/>
        <v/>
      </c>
      <c r="AJ88" s="2" t="str">
        <f t="shared" si="13"/>
        <v/>
      </c>
      <c r="AK88" s="2" t="str">
        <f t="shared" si="13"/>
        <v/>
      </c>
      <c r="AL88" s="2" t="str">
        <f t="shared" si="13"/>
        <v/>
      </c>
      <c r="AM88" s="2" t="str">
        <f t="shared" si="11"/>
        <v/>
      </c>
      <c r="AN88" s="2" t="str">
        <f t="shared" si="11"/>
        <v/>
      </c>
      <c r="AO88" s="2" t="str">
        <f t="shared" si="11"/>
        <v/>
      </c>
      <c r="AP88" s="2" t="str">
        <f t="shared" si="11"/>
        <v/>
      </c>
      <c r="AQ88" s="2" t="str">
        <f t="shared" si="11"/>
        <v/>
      </c>
      <c r="AR88" s="2">
        <f t="shared" si="11"/>
        <v>0.72340308085077021</v>
      </c>
      <c r="AT88" s="2" t="str">
        <f t="shared" si="19"/>
        <v/>
      </c>
      <c r="AU88" s="2" t="str">
        <f t="shared" si="19"/>
        <v/>
      </c>
      <c r="AV88" s="143" t="str">
        <f t="shared" si="14"/>
        <v/>
      </c>
      <c r="AW88" s="143" t="str">
        <f t="shared" si="14"/>
        <v/>
      </c>
      <c r="AX88" s="143" t="str">
        <f t="shared" si="14"/>
        <v/>
      </c>
      <c r="AY88" s="143" t="str">
        <f t="shared" si="14"/>
        <v/>
      </c>
      <c r="AZ88" s="143" t="str">
        <f t="shared" si="14"/>
        <v/>
      </c>
      <c r="BA88" s="143" t="str">
        <f t="shared" si="14"/>
        <v/>
      </c>
      <c r="BB88" s="143" t="str">
        <f t="shared" si="14"/>
        <v/>
      </c>
      <c r="BC88" s="143" t="str">
        <f t="shared" si="14"/>
        <v/>
      </c>
      <c r="BD88" s="143" t="str">
        <f t="shared" si="14"/>
        <v/>
      </c>
      <c r="BF88" s="9">
        <f t="shared" si="17"/>
        <v>7.3811172584105399E-4</v>
      </c>
      <c r="BG88" s="9">
        <f t="shared" si="18"/>
        <v>0.96956310677928492</v>
      </c>
    </row>
    <row r="89" spans="2:59" x14ac:dyDescent="0.3">
      <c r="B89" s="3" t="s">
        <v>172</v>
      </c>
      <c r="D89" s="141">
        <v>130312</v>
      </c>
      <c r="E89" s="141">
        <v>104580</v>
      </c>
      <c r="F89" s="141">
        <v>128892</v>
      </c>
      <c r="G89" s="141"/>
      <c r="H89" s="141"/>
      <c r="I89" s="141"/>
      <c r="J89" s="141"/>
      <c r="K89" s="141"/>
      <c r="L89" s="141"/>
      <c r="M89" s="141"/>
      <c r="N89" s="141"/>
      <c r="O89" s="141"/>
      <c r="P89" s="141">
        <f t="shared" si="15"/>
        <v>363784</v>
      </c>
      <c r="R89" s="141">
        <v>86980</v>
      </c>
      <c r="S89" s="141">
        <v>78492</v>
      </c>
      <c r="T89" s="141">
        <v>96704</v>
      </c>
      <c r="U89" s="141"/>
      <c r="V89" s="141"/>
      <c r="W89" s="141"/>
      <c r="X89" s="141"/>
      <c r="Y89" s="141"/>
      <c r="Z89" s="141"/>
      <c r="AA89" s="141"/>
      <c r="AB89" s="141"/>
      <c r="AC89" s="141"/>
      <c r="AD89" s="141">
        <f t="shared" si="16"/>
        <v>262176</v>
      </c>
      <c r="AF89" s="2">
        <f t="shared" si="13"/>
        <v>0.66747498311744125</v>
      </c>
      <c r="AG89" s="2">
        <f t="shared" si="13"/>
        <v>0.75054503729202526</v>
      </c>
      <c r="AH89" s="2">
        <f t="shared" si="13"/>
        <v>0.75027154516959937</v>
      </c>
      <c r="AI89" s="2" t="str">
        <f t="shared" si="13"/>
        <v/>
      </c>
      <c r="AJ89" s="2" t="str">
        <f t="shared" si="13"/>
        <v/>
      </c>
      <c r="AK89" s="2" t="str">
        <f t="shared" si="13"/>
        <v/>
      </c>
      <c r="AL89" s="2" t="str">
        <f t="shared" si="13"/>
        <v/>
      </c>
      <c r="AM89" s="2" t="str">
        <f t="shared" si="11"/>
        <v/>
      </c>
      <c r="AN89" s="2" t="str">
        <f t="shared" si="11"/>
        <v/>
      </c>
      <c r="AO89" s="2" t="str">
        <f t="shared" si="11"/>
        <v/>
      </c>
      <c r="AP89" s="2" t="str">
        <f t="shared" si="11"/>
        <v/>
      </c>
      <c r="AQ89" s="2" t="str">
        <f t="shared" si="11"/>
        <v/>
      </c>
      <c r="AR89" s="2">
        <f t="shared" si="11"/>
        <v>0.72069139929188752</v>
      </c>
      <c r="AT89" s="2" t="str">
        <f t="shared" si="19"/>
        <v/>
      </c>
      <c r="AU89" s="2" t="str">
        <f t="shared" si="19"/>
        <v/>
      </c>
      <c r="AV89" s="143" t="str">
        <f t="shared" ref="AV89:BD117" si="20">+IFERROR(AI89-AH89,"")</f>
        <v/>
      </c>
      <c r="AW89" s="143" t="str">
        <f t="shared" si="20"/>
        <v/>
      </c>
      <c r="AX89" s="143" t="str">
        <f t="shared" si="20"/>
        <v/>
      </c>
      <c r="AY89" s="143" t="str">
        <f t="shared" si="20"/>
        <v/>
      </c>
      <c r="AZ89" s="143" t="str">
        <f t="shared" si="20"/>
        <v/>
      </c>
      <c r="BA89" s="143" t="str">
        <f t="shared" si="20"/>
        <v/>
      </c>
      <c r="BB89" s="143" t="str">
        <f t="shared" si="20"/>
        <v/>
      </c>
      <c r="BC89" s="143" t="str">
        <f t="shared" si="20"/>
        <v/>
      </c>
      <c r="BD89" s="143" t="str">
        <f t="shared" si="20"/>
        <v/>
      </c>
      <c r="BF89" s="9">
        <f t="shared" si="17"/>
        <v>4.6144919409893116E-4</v>
      </c>
      <c r="BG89" s="9">
        <f t="shared" si="18"/>
        <v>0.97002455597338388</v>
      </c>
    </row>
    <row r="90" spans="2:59" x14ac:dyDescent="0.3">
      <c r="B90" s="3" t="s">
        <v>169</v>
      </c>
      <c r="D90" s="141">
        <v>134307</v>
      </c>
      <c r="E90" s="141">
        <v>116548</v>
      </c>
      <c r="F90" s="141">
        <v>112618</v>
      </c>
      <c r="G90" s="141"/>
      <c r="H90" s="141"/>
      <c r="I90" s="141"/>
      <c r="J90" s="141"/>
      <c r="K90" s="141"/>
      <c r="L90" s="141"/>
      <c r="M90" s="141"/>
      <c r="N90" s="141"/>
      <c r="O90" s="141"/>
      <c r="P90" s="141">
        <f t="shared" si="15"/>
        <v>363473</v>
      </c>
      <c r="R90" s="141">
        <v>105440</v>
      </c>
      <c r="S90" s="141">
        <v>87373</v>
      </c>
      <c r="T90" s="141">
        <v>79331</v>
      </c>
      <c r="U90" s="141"/>
      <c r="V90" s="141"/>
      <c r="W90" s="141"/>
      <c r="X90" s="141"/>
      <c r="Y90" s="141"/>
      <c r="Z90" s="141"/>
      <c r="AA90" s="141"/>
      <c r="AB90" s="141"/>
      <c r="AC90" s="141"/>
      <c r="AD90" s="141">
        <f t="shared" si="16"/>
        <v>272144</v>
      </c>
      <c r="AF90" s="2">
        <f t="shared" si="13"/>
        <v>0.78506704788283554</v>
      </c>
      <c r="AG90" s="2">
        <f t="shared" si="13"/>
        <v>0.74967395407900606</v>
      </c>
      <c r="AH90" s="2">
        <f t="shared" si="13"/>
        <v>0.70442558028023938</v>
      </c>
      <c r="AI90" s="2" t="str">
        <f t="shared" si="13"/>
        <v/>
      </c>
      <c r="AJ90" s="2" t="str">
        <f t="shared" si="13"/>
        <v/>
      </c>
      <c r="AK90" s="2" t="str">
        <f t="shared" si="13"/>
        <v/>
      </c>
      <c r="AL90" s="2" t="str">
        <f t="shared" si="13"/>
        <v/>
      </c>
      <c r="AM90" s="2" t="str">
        <f t="shared" si="11"/>
        <v/>
      </c>
      <c r="AN90" s="2" t="str">
        <f t="shared" si="11"/>
        <v/>
      </c>
      <c r="AO90" s="2" t="str">
        <f t="shared" si="11"/>
        <v/>
      </c>
      <c r="AP90" s="2" t="str">
        <f t="shared" si="11"/>
        <v/>
      </c>
      <c r="AQ90" s="2" t="str">
        <f t="shared" si="11"/>
        <v/>
      </c>
      <c r="AR90" s="2">
        <f t="shared" si="11"/>
        <v>0.74873236801633136</v>
      </c>
      <c r="AT90" s="2" t="str">
        <f t="shared" si="19"/>
        <v/>
      </c>
      <c r="AU90" s="2" t="str">
        <f t="shared" si="19"/>
        <v/>
      </c>
      <c r="AV90" s="143" t="str">
        <f t="shared" si="20"/>
        <v/>
      </c>
      <c r="AW90" s="143" t="str">
        <f t="shared" si="20"/>
        <v/>
      </c>
      <c r="AX90" s="143" t="str">
        <f t="shared" si="20"/>
        <v/>
      </c>
      <c r="AY90" s="143" t="str">
        <f t="shared" si="20"/>
        <v/>
      </c>
      <c r="AZ90" s="143" t="str">
        <f t="shared" si="20"/>
        <v/>
      </c>
      <c r="BA90" s="143" t="str">
        <f t="shared" si="20"/>
        <v/>
      </c>
      <c r="BB90" s="143" t="str">
        <f t="shared" si="20"/>
        <v/>
      </c>
      <c r="BC90" s="143" t="str">
        <f t="shared" si="20"/>
        <v/>
      </c>
      <c r="BD90" s="143" t="str">
        <f t="shared" si="20"/>
        <v/>
      </c>
      <c r="BF90" s="9">
        <f t="shared" si="17"/>
        <v>4.7899361298844872E-4</v>
      </c>
      <c r="BG90" s="9">
        <f t="shared" si="18"/>
        <v>0.9705035495863723</v>
      </c>
    </row>
    <row r="91" spans="2:59" x14ac:dyDescent="0.3">
      <c r="B91" s="3" t="s">
        <v>178</v>
      </c>
      <c r="D91" s="141">
        <v>117655</v>
      </c>
      <c r="E91" s="141">
        <v>117276</v>
      </c>
      <c r="F91" s="141">
        <v>120310</v>
      </c>
      <c r="G91" s="141"/>
      <c r="H91" s="141"/>
      <c r="I91" s="141"/>
      <c r="J91" s="141"/>
      <c r="K91" s="141"/>
      <c r="L91" s="141"/>
      <c r="M91" s="141"/>
      <c r="N91" s="141"/>
      <c r="O91" s="141"/>
      <c r="P91" s="141">
        <f t="shared" si="15"/>
        <v>355241</v>
      </c>
      <c r="R91" s="141">
        <v>86773</v>
      </c>
      <c r="S91" s="141">
        <v>78333</v>
      </c>
      <c r="T91" s="141">
        <v>87248</v>
      </c>
      <c r="U91" s="141"/>
      <c r="V91" s="141"/>
      <c r="W91" s="141"/>
      <c r="X91" s="141"/>
      <c r="Y91" s="141"/>
      <c r="Z91" s="141"/>
      <c r="AA91" s="141"/>
      <c r="AB91" s="141"/>
      <c r="AC91" s="141"/>
      <c r="AD91" s="141">
        <f t="shared" si="16"/>
        <v>252354</v>
      </c>
      <c r="AF91" s="2">
        <f t="shared" si="13"/>
        <v>0.73752071735157876</v>
      </c>
      <c r="AG91" s="2">
        <f t="shared" si="13"/>
        <v>0.66793717384631124</v>
      </c>
      <c r="AH91" s="2">
        <f t="shared" si="13"/>
        <v>0.72519325076884711</v>
      </c>
      <c r="AI91" s="2" t="str">
        <f t="shared" si="13"/>
        <v/>
      </c>
      <c r="AJ91" s="2" t="str">
        <f t="shared" si="13"/>
        <v/>
      </c>
      <c r="AK91" s="2" t="str">
        <f t="shared" si="13"/>
        <v/>
      </c>
      <c r="AL91" s="2" t="str">
        <f t="shared" si="13"/>
        <v/>
      </c>
      <c r="AM91" s="2" t="str">
        <f t="shared" si="11"/>
        <v/>
      </c>
      <c r="AN91" s="2" t="str">
        <f t="shared" si="11"/>
        <v/>
      </c>
      <c r="AO91" s="2" t="str">
        <f t="shared" si="11"/>
        <v/>
      </c>
      <c r="AP91" s="2" t="str">
        <f t="shared" si="11"/>
        <v/>
      </c>
      <c r="AQ91" s="2" t="str">
        <f t="shared" si="11"/>
        <v/>
      </c>
      <c r="AR91" s="2">
        <f t="shared" si="11"/>
        <v>0.71037408407250291</v>
      </c>
      <c r="AT91" s="2" t="str">
        <f t="shared" si="19"/>
        <v/>
      </c>
      <c r="AU91" s="2" t="str">
        <f t="shared" si="19"/>
        <v/>
      </c>
      <c r="AV91" s="143" t="str">
        <f t="shared" si="20"/>
        <v/>
      </c>
      <c r="AW91" s="143" t="str">
        <f t="shared" si="20"/>
        <v/>
      </c>
      <c r="AX91" s="143" t="str">
        <f t="shared" si="20"/>
        <v/>
      </c>
      <c r="AY91" s="143" t="str">
        <f t="shared" si="20"/>
        <v/>
      </c>
      <c r="AZ91" s="143" t="str">
        <f t="shared" si="20"/>
        <v/>
      </c>
      <c r="BA91" s="143" t="str">
        <f t="shared" si="20"/>
        <v/>
      </c>
      <c r="BB91" s="143" t="str">
        <f t="shared" si="20"/>
        <v/>
      </c>
      <c r="BC91" s="143" t="str">
        <f t="shared" si="20"/>
        <v/>
      </c>
      <c r="BD91" s="143" t="str">
        <f t="shared" si="20"/>
        <v/>
      </c>
      <c r="BF91" s="9">
        <f t="shared" si="17"/>
        <v>4.4416174603183238E-4</v>
      </c>
      <c r="BG91" s="9">
        <f t="shared" si="18"/>
        <v>0.9709477113324041</v>
      </c>
    </row>
    <row r="92" spans="2:59" x14ac:dyDescent="0.3">
      <c r="B92" s="3" t="s">
        <v>159</v>
      </c>
      <c r="D92" s="141">
        <v>85648</v>
      </c>
      <c r="E92" s="141">
        <v>76816</v>
      </c>
      <c r="F92" s="141">
        <v>111477</v>
      </c>
      <c r="G92" s="141"/>
      <c r="H92" s="141"/>
      <c r="I92" s="141"/>
      <c r="J92" s="141"/>
      <c r="K92" s="141"/>
      <c r="L92" s="141"/>
      <c r="M92" s="141"/>
      <c r="N92" s="141"/>
      <c r="O92" s="141"/>
      <c r="P92" s="141">
        <f t="shared" si="15"/>
        <v>273941</v>
      </c>
      <c r="R92" s="141">
        <v>51766</v>
      </c>
      <c r="S92" s="141">
        <v>52605</v>
      </c>
      <c r="T92" s="141">
        <v>84862</v>
      </c>
      <c r="U92" s="141"/>
      <c r="V92" s="141"/>
      <c r="W92" s="141"/>
      <c r="X92" s="141"/>
      <c r="Y92" s="141"/>
      <c r="Z92" s="141"/>
      <c r="AA92" s="141"/>
      <c r="AB92" s="141"/>
      <c r="AC92" s="141"/>
      <c r="AD92" s="141">
        <f t="shared" si="16"/>
        <v>189233</v>
      </c>
      <c r="AF92" s="2">
        <f t="shared" si="13"/>
        <v>0.60440407248271999</v>
      </c>
      <c r="AG92" s="2">
        <f t="shared" si="13"/>
        <v>0.68481826702770254</v>
      </c>
      <c r="AH92" s="2">
        <f t="shared" si="13"/>
        <v>0.76125119979906164</v>
      </c>
      <c r="AI92" s="2" t="str">
        <f t="shared" si="13"/>
        <v/>
      </c>
      <c r="AJ92" s="2" t="str">
        <f t="shared" si="13"/>
        <v/>
      </c>
      <c r="AK92" s="2" t="str">
        <f t="shared" si="13"/>
        <v/>
      </c>
      <c r="AL92" s="2" t="str">
        <f t="shared" si="13"/>
        <v/>
      </c>
      <c r="AM92" s="2" t="str">
        <f t="shared" si="11"/>
        <v/>
      </c>
      <c r="AN92" s="2" t="str">
        <f t="shared" si="11"/>
        <v/>
      </c>
      <c r="AO92" s="2" t="str">
        <f t="shared" si="11"/>
        <v/>
      </c>
      <c r="AP92" s="2" t="str">
        <f t="shared" si="11"/>
        <v/>
      </c>
      <c r="AQ92" s="2" t="str">
        <f t="shared" si="11"/>
        <v/>
      </c>
      <c r="AR92" s="2">
        <f t="shared" si="11"/>
        <v>0.69078013148816719</v>
      </c>
      <c r="AT92" s="2" t="str">
        <f t="shared" si="19"/>
        <v/>
      </c>
      <c r="AU92" s="2" t="str">
        <f t="shared" si="19"/>
        <v/>
      </c>
      <c r="AV92" s="143" t="str">
        <f t="shared" si="20"/>
        <v/>
      </c>
      <c r="AW92" s="143" t="str">
        <f t="shared" si="20"/>
        <v/>
      </c>
      <c r="AX92" s="143" t="str">
        <f t="shared" si="20"/>
        <v/>
      </c>
      <c r="AY92" s="143" t="str">
        <f t="shared" si="20"/>
        <v/>
      </c>
      <c r="AZ92" s="143" t="str">
        <f t="shared" si="20"/>
        <v/>
      </c>
      <c r="BA92" s="143" t="str">
        <f t="shared" si="20"/>
        <v/>
      </c>
      <c r="BB92" s="143" t="str">
        <f t="shared" si="20"/>
        <v/>
      </c>
      <c r="BC92" s="143" t="str">
        <f t="shared" si="20"/>
        <v/>
      </c>
      <c r="BD92" s="143" t="str">
        <f t="shared" si="20"/>
        <v/>
      </c>
      <c r="BF92" s="9">
        <f t="shared" si="17"/>
        <v>3.3306410711477424E-4</v>
      </c>
      <c r="BG92" s="9">
        <f t="shared" si="18"/>
        <v>0.97128077543951885</v>
      </c>
    </row>
    <row r="93" spans="2:59" x14ac:dyDescent="0.3">
      <c r="B93" s="3" t="s">
        <v>174</v>
      </c>
      <c r="D93" s="141">
        <v>204226</v>
      </c>
      <c r="E93" s="141">
        <v>213843</v>
      </c>
      <c r="F93" s="141">
        <v>204095</v>
      </c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15"/>
        <v>622164</v>
      </c>
      <c r="R93" s="141">
        <v>154833</v>
      </c>
      <c r="S93" s="141">
        <v>147041</v>
      </c>
      <c r="T93" s="141">
        <v>153936</v>
      </c>
      <c r="U93" s="141"/>
      <c r="V93" s="141"/>
      <c r="W93" s="141"/>
      <c r="X93" s="141"/>
      <c r="Y93" s="141"/>
      <c r="Z93" s="141"/>
      <c r="AA93" s="141"/>
      <c r="AB93" s="141"/>
      <c r="AC93" s="141"/>
      <c r="AD93" s="141">
        <f t="shared" si="16"/>
        <v>455810</v>
      </c>
      <c r="AF93" s="2">
        <f t="shared" si="13"/>
        <v>0.75814538795256237</v>
      </c>
      <c r="AG93" s="2">
        <f t="shared" si="13"/>
        <v>0.68761193960054812</v>
      </c>
      <c r="AH93" s="2">
        <f t="shared" si="13"/>
        <v>0.75423699747666528</v>
      </c>
      <c r="AI93" s="2" t="str">
        <f t="shared" ref="AI93:AN142" si="21">+IFERROR(U93/G93,"")</f>
        <v/>
      </c>
      <c r="AJ93" s="2" t="str">
        <f t="shared" si="21"/>
        <v/>
      </c>
      <c r="AK93" s="2" t="str">
        <f t="shared" si="21"/>
        <v/>
      </c>
      <c r="AL93" s="2" t="str">
        <f t="shared" si="21"/>
        <v/>
      </c>
      <c r="AM93" s="2" t="str">
        <f t="shared" si="11"/>
        <v/>
      </c>
      <c r="AN93" s="2" t="str">
        <f t="shared" si="11"/>
        <v/>
      </c>
      <c r="AO93" s="2" t="str">
        <f t="shared" si="11"/>
        <v/>
      </c>
      <c r="AP93" s="2" t="str">
        <f t="shared" si="11"/>
        <v/>
      </c>
      <c r="AQ93" s="2" t="str">
        <f t="shared" si="11"/>
        <v/>
      </c>
      <c r="AR93" s="2">
        <f t="shared" si="11"/>
        <v>0.7326203380459172</v>
      </c>
      <c r="AT93" s="2" t="str">
        <f t="shared" si="19"/>
        <v/>
      </c>
      <c r="AU93" s="2" t="str">
        <f t="shared" si="19"/>
        <v/>
      </c>
      <c r="AV93" s="143" t="str">
        <f t="shared" si="20"/>
        <v/>
      </c>
      <c r="AW93" s="143" t="str">
        <f t="shared" si="20"/>
        <v/>
      </c>
      <c r="AX93" s="143" t="str">
        <f t="shared" si="20"/>
        <v/>
      </c>
      <c r="AY93" s="143" t="str">
        <f t="shared" si="20"/>
        <v/>
      </c>
      <c r="AZ93" s="143" t="str">
        <f t="shared" si="20"/>
        <v/>
      </c>
      <c r="BA93" s="143" t="str">
        <f t="shared" si="20"/>
        <v/>
      </c>
      <c r="BB93" s="143" t="str">
        <f t="shared" si="20"/>
        <v/>
      </c>
      <c r="BC93" s="143" t="str">
        <f t="shared" si="20"/>
        <v/>
      </c>
      <c r="BD93" s="143" t="str">
        <f t="shared" si="20"/>
        <v/>
      </c>
      <c r="BF93" s="9">
        <f t="shared" si="17"/>
        <v>8.0225938744291558E-4</v>
      </c>
      <c r="BG93" s="9">
        <f t="shared" si="18"/>
        <v>0.97208303482696179</v>
      </c>
    </row>
    <row r="94" spans="2:59" x14ac:dyDescent="0.3">
      <c r="B94" s="3" t="s">
        <v>250</v>
      </c>
      <c r="D94" s="141">
        <v>-418228</v>
      </c>
      <c r="E94" s="141">
        <v>-440551</v>
      </c>
      <c r="F94" s="141">
        <v>-421540</v>
      </c>
      <c r="G94" s="141"/>
      <c r="H94" s="141"/>
      <c r="I94" s="141"/>
      <c r="J94" s="141"/>
      <c r="K94" s="141"/>
      <c r="L94" s="141"/>
      <c r="M94" s="141"/>
      <c r="N94" s="141"/>
      <c r="O94" s="141"/>
      <c r="P94" s="141">
        <f t="shared" si="15"/>
        <v>-1280319</v>
      </c>
      <c r="R94" s="141">
        <v>-360646</v>
      </c>
      <c r="S94" s="141">
        <v>-384711</v>
      </c>
      <c r="T94" s="141">
        <v>-377217</v>
      </c>
      <c r="U94" s="141"/>
      <c r="V94" s="141"/>
      <c r="W94" s="141"/>
      <c r="X94" s="141"/>
      <c r="Y94" s="141"/>
      <c r="Z94" s="141"/>
      <c r="AA94" s="141"/>
      <c r="AB94" s="141"/>
      <c r="AC94" s="141"/>
      <c r="AD94" s="141">
        <f t="shared" si="16"/>
        <v>-1122574</v>
      </c>
      <c r="AF94" s="2">
        <f t="shared" ref="AF94:AM156" si="22">+IFERROR(R94/D94,"")</f>
        <v>0.86231911780177317</v>
      </c>
      <c r="AG94" s="2">
        <f t="shared" si="22"/>
        <v>0.87324963511602516</v>
      </c>
      <c r="AH94" s="2">
        <f t="shared" si="22"/>
        <v>0.89485458082269775</v>
      </c>
      <c r="AI94" s="2" t="str">
        <f t="shared" si="21"/>
        <v/>
      </c>
      <c r="AJ94" s="2" t="str">
        <f t="shared" si="21"/>
        <v/>
      </c>
      <c r="AK94" s="2" t="str">
        <f t="shared" si="21"/>
        <v/>
      </c>
      <c r="AL94" s="2" t="str">
        <f t="shared" si="21"/>
        <v/>
      </c>
      <c r="AM94" s="2" t="str">
        <f t="shared" si="11"/>
        <v/>
      </c>
      <c r="AN94" s="2" t="str">
        <f t="shared" si="11"/>
        <v/>
      </c>
      <c r="AO94" s="2" t="str">
        <f t="shared" si="11"/>
        <v/>
      </c>
      <c r="AP94" s="2" t="str">
        <f t="shared" si="11"/>
        <v/>
      </c>
      <c r="AQ94" s="2" t="str">
        <f t="shared" si="11"/>
        <v/>
      </c>
      <c r="AR94" s="2">
        <f t="shared" si="11"/>
        <v>0.87679242438798455</v>
      </c>
      <c r="AT94" s="2" t="str">
        <f t="shared" si="19"/>
        <v/>
      </c>
      <c r="AU94" s="2" t="str">
        <f t="shared" si="19"/>
        <v/>
      </c>
      <c r="AV94" s="143" t="str">
        <f t="shared" si="20"/>
        <v/>
      </c>
      <c r="AW94" s="143" t="str">
        <f t="shared" si="20"/>
        <v/>
      </c>
      <c r="AX94" s="143" t="str">
        <f t="shared" si="20"/>
        <v/>
      </c>
      <c r="AY94" s="143" t="str">
        <f t="shared" si="20"/>
        <v/>
      </c>
      <c r="AZ94" s="143" t="str">
        <f t="shared" si="20"/>
        <v/>
      </c>
      <c r="BA94" s="143" t="str">
        <f t="shared" si="20"/>
        <v/>
      </c>
      <c r="BB94" s="143" t="str">
        <f t="shared" si="20"/>
        <v/>
      </c>
      <c r="BC94" s="143" t="str">
        <f t="shared" si="20"/>
        <v/>
      </c>
      <c r="BD94" s="143" t="str">
        <f t="shared" si="20"/>
        <v/>
      </c>
      <c r="BF94" s="9">
        <f t="shared" si="17"/>
        <v>-1.975813452094828E-3</v>
      </c>
      <c r="BG94" s="9">
        <f t="shared" si="18"/>
        <v>0.97010722137486693</v>
      </c>
    </row>
    <row r="95" spans="2:59" x14ac:dyDescent="0.3">
      <c r="B95" s="3" t="s">
        <v>220</v>
      </c>
      <c r="D95" s="141">
        <v>229686</v>
      </c>
      <c r="E95" s="141">
        <v>193734</v>
      </c>
      <c r="F95" s="141">
        <v>191952</v>
      </c>
      <c r="G95" s="141"/>
      <c r="H95" s="141"/>
      <c r="I95" s="141"/>
      <c r="J95" s="141"/>
      <c r="K95" s="141"/>
      <c r="L95" s="141"/>
      <c r="M95" s="141"/>
      <c r="N95" s="141"/>
      <c r="O95" s="141"/>
      <c r="P95" s="141">
        <f t="shared" si="15"/>
        <v>615372</v>
      </c>
      <c r="R95" s="141">
        <v>169561</v>
      </c>
      <c r="S95" s="141">
        <v>146247</v>
      </c>
      <c r="T95" s="141">
        <v>145798</v>
      </c>
      <c r="U95" s="141"/>
      <c r="V95" s="141"/>
      <c r="W95" s="141"/>
      <c r="X95" s="141"/>
      <c r="Y95" s="141"/>
      <c r="Z95" s="141"/>
      <c r="AA95" s="141"/>
      <c r="AB95" s="141"/>
      <c r="AC95" s="141"/>
      <c r="AD95" s="141">
        <f t="shared" si="16"/>
        <v>461606</v>
      </c>
      <c r="AF95" s="2">
        <f t="shared" si="22"/>
        <v>0.73822958299591612</v>
      </c>
      <c r="AG95" s="2">
        <f t="shared" si="22"/>
        <v>0.75488556474341106</v>
      </c>
      <c r="AH95" s="2">
        <f t="shared" si="22"/>
        <v>0.7595544719513212</v>
      </c>
      <c r="AI95" s="2" t="str">
        <f t="shared" si="21"/>
        <v/>
      </c>
      <c r="AJ95" s="2" t="str">
        <f t="shared" si="21"/>
        <v/>
      </c>
      <c r="AK95" s="2" t="str">
        <f t="shared" si="21"/>
        <v/>
      </c>
      <c r="AL95" s="2" t="str">
        <f t="shared" si="21"/>
        <v/>
      </c>
      <c r="AM95" s="2" t="str">
        <f t="shared" si="11"/>
        <v/>
      </c>
      <c r="AN95" s="2" t="str">
        <f t="shared" si="11"/>
        <v/>
      </c>
      <c r="AO95" s="2" t="str">
        <f t="shared" si="11"/>
        <v/>
      </c>
      <c r="AP95" s="2" t="str">
        <f t="shared" si="11"/>
        <v/>
      </c>
      <c r="AQ95" s="2" t="str">
        <f t="shared" si="11"/>
        <v/>
      </c>
      <c r="AR95" s="2">
        <f t="shared" si="11"/>
        <v>0.75012512756511507</v>
      </c>
      <c r="AT95" s="2" t="str">
        <f t="shared" si="19"/>
        <v/>
      </c>
      <c r="AU95" s="2" t="str">
        <f t="shared" si="19"/>
        <v/>
      </c>
      <c r="AV95" s="143" t="str">
        <f t="shared" si="20"/>
        <v/>
      </c>
      <c r="AW95" s="143" t="str">
        <f t="shared" si="20"/>
        <v/>
      </c>
      <c r="AX95" s="143" t="str">
        <f t="shared" si="20"/>
        <v/>
      </c>
      <c r="AY95" s="143" t="str">
        <f t="shared" si="20"/>
        <v/>
      </c>
      <c r="AZ95" s="143" t="str">
        <f t="shared" si="20"/>
        <v/>
      </c>
      <c r="BA95" s="143" t="str">
        <f t="shared" si="20"/>
        <v/>
      </c>
      <c r="BB95" s="143" t="str">
        <f t="shared" si="20"/>
        <v/>
      </c>
      <c r="BC95" s="143" t="str">
        <f t="shared" si="20"/>
        <v/>
      </c>
      <c r="BD95" s="143" t="str">
        <f t="shared" si="20"/>
        <v/>
      </c>
      <c r="BF95" s="9">
        <f t="shared" si="17"/>
        <v>8.1246077707811256E-4</v>
      </c>
      <c r="BG95" s="9">
        <f t="shared" si="18"/>
        <v>0.97091968215194502</v>
      </c>
    </row>
    <row r="96" spans="2:59" x14ac:dyDescent="0.3">
      <c r="B96" s="3" t="s">
        <v>212</v>
      </c>
      <c r="D96" s="141">
        <v>167097</v>
      </c>
      <c r="E96" s="141">
        <v>185758</v>
      </c>
      <c r="F96" s="141">
        <v>192026</v>
      </c>
      <c r="G96" s="141"/>
      <c r="H96" s="141"/>
      <c r="I96" s="141"/>
      <c r="J96" s="141"/>
      <c r="K96" s="141"/>
      <c r="L96" s="141"/>
      <c r="M96" s="141"/>
      <c r="N96" s="141"/>
      <c r="O96" s="141"/>
      <c r="P96" s="141">
        <f t="shared" si="15"/>
        <v>544881</v>
      </c>
      <c r="R96" s="141">
        <v>123239</v>
      </c>
      <c r="S96" s="141">
        <v>90521</v>
      </c>
      <c r="T96" s="141">
        <v>129657</v>
      </c>
      <c r="U96" s="141"/>
      <c r="V96" s="141"/>
      <c r="W96" s="141"/>
      <c r="X96" s="141"/>
      <c r="Y96" s="141"/>
      <c r="Z96" s="141"/>
      <c r="AA96" s="141"/>
      <c r="AB96" s="141"/>
      <c r="AC96" s="141"/>
      <c r="AD96" s="141">
        <f t="shared" si="16"/>
        <v>343417</v>
      </c>
      <c r="AF96" s="2">
        <f t="shared" si="22"/>
        <v>0.73752969831894044</v>
      </c>
      <c r="AG96" s="2">
        <f t="shared" si="22"/>
        <v>0.48730606488011285</v>
      </c>
      <c r="AH96" s="2">
        <f t="shared" si="22"/>
        <v>0.67520544092987411</v>
      </c>
      <c r="AI96" s="2" t="str">
        <f t="shared" si="21"/>
        <v/>
      </c>
      <c r="AJ96" s="2" t="str">
        <f t="shared" si="21"/>
        <v/>
      </c>
      <c r="AK96" s="2" t="str">
        <f t="shared" si="21"/>
        <v/>
      </c>
      <c r="AL96" s="2" t="str">
        <f t="shared" si="21"/>
        <v/>
      </c>
      <c r="AM96" s="2" t="str">
        <f t="shared" si="11"/>
        <v/>
      </c>
      <c r="AN96" s="2" t="str">
        <f t="shared" si="11"/>
        <v/>
      </c>
      <c r="AO96" s="2" t="str">
        <f t="shared" si="11"/>
        <v/>
      </c>
      <c r="AP96" s="2" t="str">
        <f t="shared" si="11"/>
        <v/>
      </c>
      <c r="AQ96" s="2" t="str">
        <f t="shared" si="11"/>
        <v/>
      </c>
      <c r="AR96" s="2">
        <f t="shared" si="11"/>
        <v>0.63026055230408107</v>
      </c>
      <c r="AT96" s="2" t="str">
        <f t="shared" si="19"/>
        <v/>
      </c>
      <c r="AU96" s="2" t="str">
        <f t="shared" si="19"/>
        <v/>
      </c>
      <c r="AV96" s="143" t="str">
        <f t="shared" si="20"/>
        <v/>
      </c>
      <c r="AW96" s="143" t="str">
        <f t="shared" si="20"/>
        <v/>
      </c>
      <c r="AX96" s="143" t="str">
        <f t="shared" si="20"/>
        <v/>
      </c>
      <c r="AY96" s="143" t="str">
        <f t="shared" si="20"/>
        <v/>
      </c>
      <c r="AZ96" s="143" t="str">
        <f t="shared" si="20"/>
        <v/>
      </c>
      <c r="BA96" s="143" t="str">
        <f t="shared" si="20"/>
        <v/>
      </c>
      <c r="BB96" s="143" t="str">
        <f t="shared" si="20"/>
        <v/>
      </c>
      <c r="BC96" s="143" t="str">
        <f t="shared" si="20"/>
        <v/>
      </c>
      <c r="BD96" s="143" t="str">
        <f t="shared" si="20"/>
        <v/>
      </c>
      <c r="BF96" s="9">
        <f t="shared" si="17"/>
        <v>6.0443937618192612E-4</v>
      </c>
      <c r="BG96" s="9">
        <f t="shared" si="18"/>
        <v>0.97152412152812695</v>
      </c>
    </row>
    <row r="97" spans="2:59" x14ac:dyDescent="0.3">
      <c r="B97" s="3" t="s">
        <v>202</v>
      </c>
      <c r="D97" s="141">
        <v>692078</v>
      </c>
      <c r="E97" s="141">
        <v>107948</v>
      </c>
      <c r="F97" s="141">
        <v>372171</v>
      </c>
      <c r="G97" s="141"/>
      <c r="H97" s="141"/>
      <c r="I97" s="141"/>
      <c r="J97" s="141"/>
      <c r="K97" s="141"/>
      <c r="L97" s="141"/>
      <c r="M97" s="141"/>
      <c r="N97" s="141"/>
      <c r="O97" s="141"/>
      <c r="P97" s="141">
        <f t="shared" si="15"/>
        <v>1172197</v>
      </c>
      <c r="R97" s="141">
        <v>487800</v>
      </c>
      <c r="S97" s="141">
        <v>93294</v>
      </c>
      <c r="T97" s="141">
        <v>262021</v>
      </c>
      <c r="U97" s="141"/>
      <c r="V97" s="141"/>
      <c r="W97" s="141"/>
      <c r="X97" s="141"/>
      <c r="Y97" s="141"/>
      <c r="Z97" s="141"/>
      <c r="AA97" s="141"/>
      <c r="AB97" s="141"/>
      <c r="AC97" s="141"/>
      <c r="AD97" s="141">
        <f t="shared" si="16"/>
        <v>843115</v>
      </c>
      <c r="AF97" s="2">
        <f t="shared" si="22"/>
        <v>0.70483384820786099</v>
      </c>
      <c r="AG97" s="2">
        <f t="shared" si="22"/>
        <v>0.86424945344054549</v>
      </c>
      <c r="AH97" s="2">
        <f t="shared" si="22"/>
        <v>0.70403389839616737</v>
      </c>
      <c r="AI97" s="2" t="str">
        <f t="shared" si="21"/>
        <v/>
      </c>
      <c r="AJ97" s="2" t="str">
        <f t="shared" si="21"/>
        <v/>
      </c>
      <c r="AK97" s="2" t="str">
        <f t="shared" si="21"/>
        <v/>
      </c>
      <c r="AL97" s="2" t="str">
        <f t="shared" si="21"/>
        <v/>
      </c>
      <c r="AM97" s="2" t="str">
        <f t="shared" si="11"/>
        <v/>
      </c>
      <c r="AN97" s="2" t="str">
        <f t="shared" si="11"/>
        <v/>
      </c>
      <c r="AO97" s="2" t="str">
        <f t="shared" si="11"/>
        <v/>
      </c>
      <c r="AP97" s="2" t="str">
        <f t="shared" si="11"/>
        <v/>
      </c>
      <c r="AQ97" s="2" t="str">
        <f t="shared" si="11"/>
        <v/>
      </c>
      <c r="AR97" s="2">
        <f t="shared" si="11"/>
        <v>0.71926049972828798</v>
      </c>
      <c r="AT97" s="2" t="str">
        <f t="shared" si="19"/>
        <v/>
      </c>
      <c r="AU97" s="2" t="str">
        <f t="shared" si="19"/>
        <v/>
      </c>
      <c r="AV97" s="143" t="str">
        <f t="shared" si="20"/>
        <v/>
      </c>
      <c r="AW97" s="143" t="str">
        <f t="shared" si="20"/>
        <v/>
      </c>
      <c r="AX97" s="143" t="str">
        <f t="shared" si="20"/>
        <v/>
      </c>
      <c r="AY97" s="143" t="str">
        <f t="shared" si="20"/>
        <v/>
      </c>
      <c r="AZ97" s="143" t="str">
        <f t="shared" si="20"/>
        <v/>
      </c>
      <c r="BA97" s="143" t="str">
        <f t="shared" si="20"/>
        <v/>
      </c>
      <c r="BB97" s="143" t="str">
        <f t="shared" si="20"/>
        <v/>
      </c>
      <c r="BC97" s="143" t="str">
        <f t="shared" si="20"/>
        <v/>
      </c>
      <c r="BD97" s="143" t="str">
        <f t="shared" si="20"/>
        <v/>
      </c>
      <c r="BF97" s="9">
        <f t="shared" si="17"/>
        <v>1.483944896873552E-3</v>
      </c>
      <c r="BG97" s="9">
        <f t="shared" si="18"/>
        <v>0.97300806642500048</v>
      </c>
    </row>
    <row r="98" spans="2:59" x14ac:dyDescent="0.3">
      <c r="B98" s="3" t="s">
        <v>185</v>
      </c>
      <c r="D98" s="141">
        <v>45274</v>
      </c>
      <c r="E98" s="141">
        <v>36128</v>
      </c>
      <c r="F98" s="141">
        <v>47738</v>
      </c>
      <c r="G98" s="141"/>
      <c r="H98" s="141"/>
      <c r="I98" s="141"/>
      <c r="J98" s="141"/>
      <c r="K98" s="141"/>
      <c r="L98" s="141"/>
      <c r="M98" s="141"/>
      <c r="N98" s="141"/>
      <c r="O98" s="141"/>
      <c r="P98" s="141">
        <f t="shared" si="15"/>
        <v>129140</v>
      </c>
      <c r="R98" s="141">
        <v>31970</v>
      </c>
      <c r="S98" s="141">
        <v>24329</v>
      </c>
      <c r="T98" s="141">
        <v>32781</v>
      </c>
      <c r="U98" s="141"/>
      <c r="V98" s="141"/>
      <c r="W98" s="141"/>
      <c r="X98" s="141"/>
      <c r="Y98" s="141"/>
      <c r="Z98" s="141"/>
      <c r="AA98" s="141"/>
      <c r="AB98" s="141"/>
      <c r="AC98" s="141"/>
      <c r="AD98" s="141">
        <f t="shared" si="16"/>
        <v>89080</v>
      </c>
      <c r="AF98" s="2">
        <f t="shared" si="22"/>
        <v>0.70614480717409556</v>
      </c>
      <c r="AG98" s="2">
        <f t="shared" si="22"/>
        <v>0.67341120460584591</v>
      </c>
      <c r="AH98" s="2">
        <f t="shared" si="22"/>
        <v>0.6866856592232603</v>
      </c>
      <c r="AI98" s="2" t="str">
        <f t="shared" si="21"/>
        <v/>
      </c>
      <c r="AJ98" s="2" t="str">
        <f t="shared" si="21"/>
        <v/>
      </c>
      <c r="AK98" s="2" t="str">
        <f t="shared" si="21"/>
        <v/>
      </c>
      <c r="AL98" s="2" t="str">
        <f t="shared" si="21"/>
        <v/>
      </c>
      <c r="AM98" s="2" t="str">
        <f t="shared" si="11"/>
        <v/>
      </c>
      <c r="AN98" s="2" t="str">
        <f t="shared" si="11"/>
        <v/>
      </c>
      <c r="AO98" s="2" t="str">
        <f t="shared" si="11"/>
        <v/>
      </c>
      <c r="AP98" s="2" t="str">
        <f t="shared" si="11"/>
        <v/>
      </c>
      <c r="AQ98" s="2" t="str">
        <f t="shared" si="11"/>
        <v/>
      </c>
      <c r="AR98" s="2">
        <f t="shared" si="11"/>
        <v>0.68979402199163697</v>
      </c>
      <c r="AT98" s="2" t="str">
        <f t="shared" si="19"/>
        <v/>
      </c>
      <c r="AU98" s="2" t="str">
        <f t="shared" si="19"/>
        <v/>
      </c>
      <c r="AV98" s="143" t="str">
        <f t="shared" si="20"/>
        <v/>
      </c>
      <c r="AW98" s="143" t="str">
        <f t="shared" si="20"/>
        <v/>
      </c>
      <c r="AX98" s="143" t="str">
        <f t="shared" si="20"/>
        <v/>
      </c>
      <c r="AY98" s="143" t="str">
        <f t="shared" si="20"/>
        <v/>
      </c>
      <c r="AZ98" s="143" t="str">
        <f t="shared" si="20"/>
        <v/>
      </c>
      <c r="BA98" s="143" t="str">
        <f t="shared" si="20"/>
        <v/>
      </c>
      <c r="BB98" s="143" t="str">
        <f t="shared" si="20"/>
        <v/>
      </c>
      <c r="BC98" s="143" t="str">
        <f t="shared" si="20"/>
        <v/>
      </c>
      <c r="BD98" s="143" t="str">
        <f t="shared" si="20"/>
        <v/>
      </c>
      <c r="BF98" s="9">
        <f t="shared" si="17"/>
        <v>1.5678740315792745E-4</v>
      </c>
      <c r="BG98" s="9">
        <f t="shared" si="18"/>
        <v>0.97316485382815843</v>
      </c>
    </row>
    <row r="99" spans="2:59" x14ac:dyDescent="0.3">
      <c r="B99" s="3" t="s">
        <v>161</v>
      </c>
      <c r="D99" s="141">
        <v>504227</v>
      </c>
      <c r="E99" s="141">
        <v>592690</v>
      </c>
      <c r="F99" s="141">
        <v>793598</v>
      </c>
      <c r="G99" s="141"/>
      <c r="H99" s="141"/>
      <c r="I99" s="141"/>
      <c r="J99" s="141"/>
      <c r="K99" s="141"/>
      <c r="L99" s="141"/>
      <c r="M99" s="141"/>
      <c r="N99" s="141"/>
      <c r="O99" s="141"/>
      <c r="P99" s="141">
        <f t="shared" si="15"/>
        <v>1890515</v>
      </c>
      <c r="R99" s="141">
        <v>372314</v>
      </c>
      <c r="S99" s="141">
        <v>437761</v>
      </c>
      <c r="T99" s="141">
        <v>609889</v>
      </c>
      <c r="U99" s="141"/>
      <c r="V99" s="141"/>
      <c r="W99" s="141"/>
      <c r="X99" s="141"/>
      <c r="Y99" s="141"/>
      <c r="Z99" s="141"/>
      <c r="AA99" s="141"/>
      <c r="AB99" s="141"/>
      <c r="AC99" s="141"/>
      <c r="AD99" s="141">
        <f t="shared" si="16"/>
        <v>1419964</v>
      </c>
      <c r="AF99" s="2">
        <f t="shared" si="22"/>
        <v>0.73838568739873112</v>
      </c>
      <c r="AG99" s="2">
        <f t="shared" si="22"/>
        <v>0.73860028007896206</v>
      </c>
      <c r="AH99" s="2">
        <f t="shared" si="22"/>
        <v>0.7685112613691063</v>
      </c>
      <c r="AI99" s="2" t="str">
        <f t="shared" si="21"/>
        <v/>
      </c>
      <c r="AJ99" s="2" t="str">
        <f t="shared" si="21"/>
        <v/>
      </c>
      <c r="AK99" s="2" t="str">
        <f t="shared" si="21"/>
        <v/>
      </c>
      <c r="AL99" s="2" t="str">
        <f t="shared" si="21"/>
        <v/>
      </c>
      <c r="AM99" s="2" t="str">
        <f t="shared" si="11"/>
        <v/>
      </c>
      <c r="AN99" s="2" t="str">
        <f t="shared" si="11"/>
        <v/>
      </c>
      <c r="AO99" s="2" t="str">
        <f t="shared" si="11"/>
        <v/>
      </c>
      <c r="AP99" s="2" t="str">
        <f t="shared" si="11"/>
        <v/>
      </c>
      <c r="AQ99" s="2" t="str">
        <f t="shared" si="11"/>
        <v/>
      </c>
      <c r="AR99" s="2">
        <f t="shared" si="11"/>
        <v>0.75109903915070764</v>
      </c>
      <c r="AT99" s="2" t="str">
        <f t="shared" si="19"/>
        <v/>
      </c>
      <c r="AU99" s="2" t="str">
        <f t="shared" si="19"/>
        <v/>
      </c>
      <c r="AV99" s="143" t="str">
        <f t="shared" si="20"/>
        <v/>
      </c>
      <c r="AW99" s="143" t="str">
        <f t="shared" si="20"/>
        <v/>
      </c>
      <c r="AX99" s="143" t="str">
        <f t="shared" si="20"/>
        <v/>
      </c>
      <c r="AY99" s="143" t="str">
        <f t="shared" si="20"/>
        <v/>
      </c>
      <c r="AZ99" s="143" t="str">
        <f t="shared" si="20"/>
        <v/>
      </c>
      <c r="BA99" s="143" t="str">
        <f t="shared" si="20"/>
        <v/>
      </c>
      <c r="BB99" s="143" t="str">
        <f t="shared" si="20"/>
        <v/>
      </c>
      <c r="BC99" s="143" t="str">
        <f t="shared" si="20"/>
        <v/>
      </c>
      <c r="BD99" s="143" t="str">
        <f t="shared" si="20"/>
        <v/>
      </c>
      <c r="BF99" s="9">
        <f t="shared" si="17"/>
        <v>2.499241896472197E-3</v>
      </c>
      <c r="BG99" s="9">
        <f t="shared" si="18"/>
        <v>0.97566409572463064</v>
      </c>
    </row>
    <row r="100" spans="2:59" x14ac:dyDescent="0.3">
      <c r="B100" s="3" t="s">
        <v>171</v>
      </c>
      <c r="D100" s="141">
        <v>6878</v>
      </c>
      <c r="E100" s="141">
        <v>7685</v>
      </c>
      <c r="F100" s="141">
        <v>6766</v>
      </c>
      <c r="G100" s="141"/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5"/>
        <v>21329</v>
      </c>
      <c r="R100" s="141">
        <v>5042</v>
      </c>
      <c r="S100" s="141">
        <v>6004</v>
      </c>
      <c r="T100" s="141">
        <v>4527</v>
      </c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6"/>
        <v>15573</v>
      </c>
      <c r="AF100" s="2">
        <f t="shared" si="22"/>
        <v>0.73306193660947949</v>
      </c>
      <c r="AG100" s="2">
        <f t="shared" si="22"/>
        <v>0.78126219908913463</v>
      </c>
      <c r="AH100" s="2">
        <f t="shared" si="22"/>
        <v>0.66908069760567546</v>
      </c>
      <c r="AI100" s="2" t="str">
        <f t="shared" si="21"/>
        <v/>
      </c>
      <c r="AJ100" s="2" t="str">
        <f t="shared" si="21"/>
        <v/>
      </c>
      <c r="AK100" s="2" t="str">
        <f t="shared" si="21"/>
        <v/>
      </c>
      <c r="AL100" s="2" t="str">
        <f t="shared" si="21"/>
        <v/>
      </c>
      <c r="AM100" s="2" t="str">
        <f t="shared" si="11"/>
        <v/>
      </c>
      <c r="AN100" s="2" t="str">
        <f t="shared" si="11"/>
        <v/>
      </c>
      <c r="AO100" s="2" t="str">
        <f t="shared" si="11"/>
        <v/>
      </c>
      <c r="AP100" s="2" t="str">
        <f t="shared" si="11"/>
        <v/>
      </c>
      <c r="AQ100" s="2" t="str">
        <f t="shared" si="11"/>
        <v/>
      </c>
      <c r="AR100" s="2">
        <f t="shared" si="11"/>
        <v>0.73013268320127522</v>
      </c>
      <c r="AT100" s="2" t="str">
        <f t="shared" si="19"/>
        <v/>
      </c>
      <c r="AU100" s="2" t="str">
        <f t="shared" si="19"/>
        <v/>
      </c>
      <c r="AV100" s="143" t="str">
        <f t="shared" si="20"/>
        <v/>
      </c>
      <c r="AW100" s="143" t="str">
        <f t="shared" si="20"/>
        <v/>
      </c>
      <c r="AX100" s="143" t="str">
        <f t="shared" si="20"/>
        <v/>
      </c>
      <c r="AY100" s="143" t="str">
        <f t="shared" si="20"/>
        <v/>
      </c>
      <c r="AZ100" s="143" t="str">
        <f t="shared" si="20"/>
        <v/>
      </c>
      <c r="BA100" s="143" t="str">
        <f t="shared" si="20"/>
        <v/>
      </c>
      <c r="BB100" s="143" t="str">
        <f t="shared" si="20"/>
        <v/>
      </c>
      <c r="BC100" s="143" t="str">
        <f t="shared" si="20"/>
        <v/>
      </c>
      <c r="BD100" s="143" t="str">
        <f t="shared" si="20"/>
        <v/>
      </c>
      <c r="BF100" s="9">
        <f t="shared" si="17"/>
        <v>2.740963436661882E-5</v>
      </c>
      <c r="BG100" s="9">
        <f t="shared" si="18"/>
        <v>0.97569150535899729</v>
      </c>
    </row>
    <row r="101" spans="2:59" x14ac:dyDescent="0.3">
      <c r="B101" s="3" t="s">
        <v>163</v>
      </c>
      <c r="D101" s="141">
        <v>142236</v>
      </c>
      <c r="E101" s="141">
        <v>84267</v>
      </c>
      <c r="F101" s="141">
        <v>120570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5"/>
        <v>347073</v>
      </c>
      <c r="R101" s="141">
        <v>90390</v>
      </c>
      <c r="S101" s="141">
        <v>71762</v>
      </c>
      <c r="T101" s="141">
        <v>111867</v>
      </c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6"/>
        <v>274019</v>
      </c>
      <c r="AF101" s="2">
        <f t="shared" si="22"/>
        <v>0.63549312410360248</v>
      </c>
      <c r="AG101" s="2">
        <f t="shared" si="22"/>
        <v>0.85160264397688301</v>
      </c>
      <c r="AH101" s="2">
        <f t="shared" si="22"/>
        <v>0.92781786514058229</v>
      </c>
      <c r="AI101" s="2" t="str">
        <f t="shared" si="21"/>
        <v/>
      </c>
      <c r="AJ101" s="2" t="str">
        <f t="shared" si="21"/>
        <v/>
      </c>
      <c r="AK101" s="2" t="str">
        <f t="shared" si="21"/>
        <v/>
      </c>
      <c r="AL101" s="2" t="str">
        <f t="shared" si="21"/>
        <v/>
      </c>
      <c r="AM101" s="2" t="str">
        <f t="shared" si="11"/>
        <v/>
      </c>
      <c r="AN101" s="2" t="str">
        <f t="shared" si="11"/>
        <v/>
      </c>
      <c r="AO101" s="2" t="str">
        <f t="shared" si="11"/>
        <v/>
      </c>
      <c r="AP101" s="2" t="str">
        <f t="shared" si="11"/>
        <v/>
      </c>
      <c r="AQ101" s="2" t="str">
        <f t="shared" si="11"/>
        <v/>
      </c>
      <c r="AR101" s="2">
        <f t="shared" si="11"/>
        <v>0.78951402154589956</v>
      </c>
      <c r="AT101" s="2" t="str">
        <f t="shared" si="19"/>
        <v/>
      </c>
      <c r="AU101" s="2" t="str">
        <f t="shared" si="19"/>
        <v/>
      </c>
      <c r="AV101" s="143" t="str">
        <f t="shared" si="20"/>
        <v/>
      </c>
      <c r="AW101" s="143" t="str">
        <f t="shared" si="20"/>
        <v/>
      </c>
      <c r="AX101" s="143" t="str">
        <f t="shared" si="20"/>
        <v/>
      </c>
      <c r="AY101" s="143" t="str">
        <f t="shared" si="20"/>
        <v/>
      </c>
      <c r="AZ101" s="143" t="str">
        <f t="shared" si="20"/>
        <v/>
      </c>
      <c r="BA101" s="143" t="str">
        <f t="shared" si="20"/>
        <v/>
      </c>
      <c r="BB101" s="143" t="str">
        <f t="shared" si="20"/>
        <v/>
      </c>
      <c r="BC101" s="143" t="str">
        <f t="shared" si="20"/>
        <v/>
      </c>
      <c r="BD101" s="143" t="str">
        <f t="shared" si="20"/>
        <v/>
      </c>
      <c r="BF101" s="9">
        <f t="shared" si="17"/>
        <v>4.8229375197499016E-4</v>
      </c>
      <c r="BG101" s="9">
        <f t="shared" si="18"/>
        <v>0.97617379911097224</v>
      </c>
    </row>
    <row r="102" spans="2:59" x14ac:dyDescent="0.3">
      <c r="B102" s="3" t="s">
        <v>203</v>
      </c>
      <c r="D102" s="141">
        <v>94469</v>
      </c>
      <c r="E102" s="141">
        <v>89727</v>
      </c>
      <c r="F102" s="141">
        <v>155639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5"/>
        <v>339835</v>
      </c>
      <c r="R102" s="141">
        <v>72397</v>
      </c>
      <c r="S102" s="141">
        <v>56830</v>
      </c>
      <c r="T102" s="141">
        <v>96707</v>
      </c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6"/>
        <v>225934</v>
      </c>
      <c r="AF102" s="2">
        <f t="shared" si="22"/>
        <v>0.76635721771163023</v>
      </c>
      <c r="AG102" s="2">
        <f t="shared" si="22"/>
        <v>0.63336565359367858</v>
      </c>
      <c r="AH102" s="2">
        <f t="shared" si="22"/>
        <v>0.62135454481203301</v>
      </c>
      <c r="AI102" s="2" t="str">
        <f t="shared" si="21"/>
        <v/>
      </c>
      <c r="AJ102" s="2" t="str">
        <f t="shared" si="21"/>
        <v/>
      </c>
      <c r="AK102" s="2" t="str">
        <f t="shared" si="21"/>
        <v/>
      </c>
      <c r="AL102" s="2" t="str">
        <f t="shared" si="21"/>
        <v/>
      </c>
      <c r="AM102" s="2" t="str">
        <f t="shared" si="11"/>
        <v/>
      </c>
      <c r="AN102" s="2" t="str">
        <f t="shared" si="11"/>
        <v/>
      </c>
      <c r="AO102" s="2" t="str">
        <f t="shared" si="11"/>
        <v/>
      </c>
      <c r="AP102" s="2" t="str">
        <f t="shared" si="11"/>
        <v/>
      </c>
      <c r="AQ102" s="2" t="str">
        <f t="shared" si="11"/>
        <v/>
      </c>
      <c r="AR102" s="2">
        <f t="shared" si="11"/>
        <v>0.66483440493180512</v>
      </c>
      <c r="AT102" s="2" t="str">
        <f t="shared" si="19"/>
        <v/>
      </c>
      <c r="AU102" s="2" t="str">
        <f t="shared" si="19"/>
        <v/>
      </c>
      <c r="AV102" s="143" t="str">
        <f t="shared" si="20"/>
        <v/>
      </c>
      <c r="AW102" s="143" t="str">
        <f t="shared" si="20"/>
        <v/>
      </c>
      <c r="AX102" s="143" t="str">
        <f t="shared" si="20"/>
        <v/>
      </c>
      <c r="AY102" s="143" t="str">
        <f t="shared" si="20"/>
        <v/>
      </c>
      <c r="AZ102" s="143" t="str">
        <f t="shared" si="20"/>
        <v/>
      </c>
      <c r="BA102" s="143" t="str">
        <f t="shared" si="20"/>
        <v/>
      </c>
      <c r="BB102" s="143" t="str">
        <f t="shared" si="20"/>
        <v/>
      </c>
      <c r="BC102" s="143" t="str">
        <f t="shared" si="20"/>
        <v/>
      </c>
      <c r="BD102" s="143" t="str">
        <f t="shared" si="20"/>
        <v/>
      </c>
      <c r="BF102" s="9">
        <f t="shared" si="17"/>
        <v>3.9766058761880538E-4</v>
      </c>
      <c r="BG102" s="9">
        <f t="shared" si="18"/>
        <v>0.97657145969859105</v>
      </c>
    </row>
    <row r="103" spans="2:59" x14ac:dyDescent="0.3">
      <c r="B103" s="3" t="s">
        <v>188</v>
      </c>
      <c r="D103" s="141">
        <v>146330</v>
      </c>
      <c r="E103" s="141">
        <v>170281</v>
      </c>
      <c r="F103" s="141">
        <v>101554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5"/>
        <v>418165</v>
      </c>
      <c r="R103" s="141">
        <v>116089</v>
      </c>
      <c r="S103" s="141">
        <v>113669</v>
      </c>
      <c r="T103" s="141">
        <v>88129</v>
      </c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6"/>
        <v>317887</v>
      </c>
      <c r="AF103" s="2">
        <f t="shared" si="22"/>
        <v>0.79333697806328163</v>
      </c>
      <c r="AG103" s="2">
        <f t="shared" si="22"/>
        <v>0.66753777579412854</v>
      </c>
      <c r="AH103" s="2">
        <f t="shared" si="22"/>
        <v>0.86780432085392989</v>
      </c>
      <c r="AI103" s="2" t="str">
        <f t="shared" si="21"/>
        <v/>
      </c>
      <c r="AJ103" s="2" t="str">
        <f t="shared" si="21"/>
        <v/>
      </c>
      <c r="AK103" s="2" t="str">
        <f t="shared" si="21"/>
        <v/>
      </c>
      <c r="AL103" s="2" t="str">
        <f t="shared" si="21"/>
        <v/>
      </c>
      <c r="AM103" s="2" t="str">
        <f t="shared" si="11"/>
        <v/>
      </c>
      <c r="AN103" s="2" t="str">
        <f t="shared" si="11"/>
        <v/>
      </c>
      <c r="AO103" s="2" t="str">
        <f t="shared" si="11"/>
        <v/>
      </c>
      <c r="AP103" s="2" t="str">
        <f t="shared" si="11"/>
        <v/>
      </c>
      <c r="AQ103" s="2" t="str">
        <f t="shared" si="11"/>
        <v/>
      </c>
      <c r="AR103" s="2">
        <f t="shared" si="11"/>
        <v>0.76019513828273533</v>
      </c>
      <c r="AT103" s="2" t="str">
        <f t="shared" si="19"/>
        <v/>
      </c>
      <c r="AU103" s="2" t="str">
        <f t="shared" si="19"/>
        <v/>
      </c>
      <c r="AV103" s="143" t="str">
        <f t="shared" si="20"/>
        <v/>
      </c>
      <c r="AW103" s="143" t="str">
        <f t="shared" si="20"/>
        <v/>
      </c>
      <c r="AX103" s="143" t="str">
        <f t="shared" si="20"/>
        <v/>
      </c>
      <c r="AY103" s="143" t="str">
        <f t="shared" si="20"/>
        <v/>
      </c>
      <c r="AZ103" s="143" t="str">
        <f t="shared" si="20"/>
        <v/>
      </c>
      <c r="BA103" s="143" t="str">
        <f t="shared" si="20"/>
        <v/>
      </c>
      <c r="BB103" s="143" t="str">
        <f t="shared" si="20"/>
        <v/>
      </c>
      <c r="BC103" s="143" t="str">
        <f t="shared" si="20"/>
        <v/>
      </c>
      <c r="BD103" s="143" t="str">
        <f t="shared" si="20"/>
        <v/>
      </c>
      <c r="BF103" s="9">
        <f t="shared" si="17"/>
        <v>5.5950468374117745E-4</v>
      </c>
      <c r="BG103" s="9">
        <f t="shared" si="18"/>
        <v>0.97713096438233227</v>
      </c>
    </row>
    <row r="104" spans="2:59" x14ac:dyDescent="0.3">
      <c r="B104" s="3" t="s">
        <v>155</v>
      </c>
      <c r="D104" s="141">
        <v>79721</v>
      </c>
      <c r="E104" s="141">
        <v>75368</v>
      </c>
      <c r="F104" s="141">
        <v>66087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5"/>
        <v>221176</v>
      </c>
      <c r="R104" s="141">
        <v>60187</v>
      </c>
      <c r="S104" s="141">
        <v>52371</v>
      </c>
      <c r="T104" s="141">
        <v>47159</v>
      </c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6"/>
        <v>159717</v>
      </c>
      <c r="AF104" s="2">
        <f t="shared" si="22"/>
        <v>0.75497045947742758</v>
      </c>
      <c r="AG104" s="2">
        <f t="shared" si="22"/>
        <v>0.69487050206984402</v>
      </c>
      <c r="AH104" s="2">
        <f t="shared" si="22"/>
        <v>0.71358966211206443</v>
      </c>
      <c r="AI104" s="2" t="str">
        <f t="shared" si="21"/>
        <v/>
      </c>
      <c r="AJ104" s="2" t="str">
        <f t="shared" si="21"/>
        <v/>
      </c>
      <c r="AK104" s="2" t="str">
        <f t="shared" si="21"/>
        <v/>
      </c>
      <c r="AL104" s="2" t="str">
        <f t="shared" si="21"/>
        <v/>
      </c>
      <c r="AM104" s="2" t="str">
        <f t="shared" si="11"/>
        <v/>
      </c>
      <c r="AN104" s="2" t="str">
        <f t="shared" si="11"/>
        <v/>
      </c>
      <c r="AO104" s="2" t="str">
        <f t="shared" si="11"/>
        <v/>
      </c>
      <c r="AP104" s="2" t="str">
        <f t="shared" si="11"/>
        <v/>
      </c>
      <c r="AQ104" s="2" t="str">
        <f t="shared" si="11"/>
        <v/>
      </c>
      <c r="AR104" s="2">
        <f t="shared" si="11"/>
        <v>0.72212627048142652</v>
      </c>
      <c r="AT104" s="2" t="str">
        <f t="shared" si="19"/>
        <v/>
      </c>
      <c r="AU104" s="2" t="str">
        <f t="shared" si="19"/>
        <v/>
      </c>
      <c r="AV104" s="143" t="str">
        <f t="shared" si="20"/>
        <v/>
      </c>
      <c r="AW104" s="143" t="str">
        <f t="shared" si="20"/>
        <v/>
      </c>
      <c r="AX104" s="143" t="str">
        <f t="shared" si="20"/>
        <v/>
      </c>
      <c r="AY104" s="143" t="str">
        <f t="shared" si="20"/>
        <v/>
      </c>
      <c r="AZ104" s="143" t="str">
        <f t="shared" si="20"/>
        <v/>
      </c>
      <c r="BA104" s="143" t="str">
        <f t="shared" si="20"/>
        <v/>
      </c>
      <c r="BB104" s="143" t="str">
        <f t="shared" si="20"/>
        <v/>
      </c>
      <c r="BC104" s="143" t="str">
        <f t="shared" si="20"/>
        <v/>
      </c>
      <c r="BD104" s="143" t="str">
        <f t="shared" si="20"/>
        <v/>
      </c>
      <c r="BF104" s="9">
        <f t="shared" si="17"/>
        <v>2.8111375920716994E-4</v>
      </c>
      <c r="BG104" s="9">
        <f t="shared" si="18"/>
        <v>0.97741207814153941</v>
      </c>
    </row>
    <row r="105" spans="2:59" x14ac:dyDescent="0.3">
      <c r="B105" s="3" t="s">
        <v>230</v>
      </c>
      <c r="D105" s="141">
        <v>61564</v>
      </c>
      <c r="E105" s="141">
        <v>36858</v>
      </c>
      <c r="F105" s="141">
        <v>36857</v>
      </c>
      <c r="G105" s="141"/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5"/>
        <v>135279</v>
      </c>
      <c r="R105" s="141">
        <v>50831</v>
      </c>
      <c r="S105" s="141">
        <v>24340</v>
      </c>
      <c r="T105" s="141">
        <v>18919</v>
      </c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6"/>
        <v>94090</v>
      </c>
      <c r="AF105" s="2">
        <f t="shared" si="22"/>
        <v>0.82566110064323306</v>
      </c>
      <c r="AG105" s="2">
        <f t="shared" si="22"/>
        <v>0.66037223940528511</v>
      </c>
      <c r="AH105" s="2">
        <f t="shared" si="22"/>
        <v>0.51330819111701986</v>
      </c>
      <c r="AI105" s="2" t="str">
        <f t="shared" si="21"/>
        <v/>
      </c>
      <c r="AJ105" s="2" t="str">
        <f t="shared" si="21"/>
        <v/>
      </c>
      <c r="AK105" s="2" t="str">
        <f t="shared" si="21"/>
        <v/>
      </c>
      <c r="AL105" s="2" t="str">
        <f t="shared" si="21"/>
        <v/>
      </c>
      <c r="AM105" s="2" t="str">
        <f t="shared" si="11"/>
        <v/>
      </c>
      <c r="AN105" s="2" t="str">
        <f t="shared" si="11"/>
        <v/>
      </c>
      <c r="AO105" s="2" t="str">
        <f t="shared" si="11"/>
        <v/>
      </c>
      <c r="AP105" s="2" t="str">
        <f t="shared" si="11"/>
        <v/>
      </c>
      <c r="AQ105" s="2" t="str">
        <f t="shared" si="11"/>
        <v/>
      </c>
      <c r="AR105" s="2">
        <f t="shared" si="11"/>
        <v>0.69552554350638307</v>
      </c>
      <c r="AT105" s="2" t="str">
        <f t="shared" si="19"/>
        <v/>
      </c>
      <c r="AU105" s="2" t="str">
        <f t="shared" si="19"/>
        <v/>
      </c>
      <c r="AV105" s="143" t="str">
        <f t="shared" si="20"/>
        <v/>
      </c>
      <c r="AW105" s="143" t="str">
        <f t="shared" si="20"/>
        <v/>
      </c>
      <c r="AX105" s="143" t="str">
        <f t="shared" si="20"/>
        <v/>
      </c>
      <c r="AY105" s="143" t="str">
        <f t="shared" si="20"/>
        <v/>
      </c>
      <c r="AZ105" s="143" t="str">
        <f t="shared" si="20"/>
        <v/>
      </c>
      <c r="BA105" s="143" t="str">
        <f t="shared" si="20"/>
        <v/>
      </c>
      <c r="BB105" s="143" t="str">
        <f t="shared" si="20"/>
        <v/>
      </c>
      <c r="BC105" s="143" t="str">
        <f t="shared" si="20"/>
        <v/>
      </c>
      <c r="BD105" s="143" t="str">
        <f t="shared" si="20"/>
        <v/>
      </c>
      <c r="BF105" s="9">
        <f t="shared" si="17"/>
        <v>1.6560537452996627E-4</v>
      </c>
      <c r="BG105" s="9">
        <f t="shared" si="18"/>
        <v>0.97757768351606933</v>
      </c>
    </row>
    <row r="106" spans="2:59" x14ac:dyDescent="0.3">
      <c r="B106" s="3" t="s">
        <v>193</v>
      </c>
      <c r="D106" s="141">
        <v>63183</v>
      </c>
      <c r="E106" s="141">
        <v>144139</v>
      </c>
      <c r="F106" s="141">
        <v>85839</v>
      </c>
      <c r="G106" s="141"/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5"/>
        <v>293161</v>
      </c>
      <c r="R106" s="141">
        <v>44581</v>
      </c>
      <c r="S106" s="141">
        <v>108653</v>
      </c>
      <c r="T106" s="141">
        <v>63535</v>
      </c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6"/>
        <v>216769</v>
      </c>
      <c r="AF106" s="2">
        <f t="shared" si="22"/>
        <v>0.70558536315148057</v>
      </c>
      <c r="AG106" s="2">
        <f t="shared" si="22"/>
        <v>0.75380708899048832</v>
      </c>
      <c r="AH106" s="2">
        <f t="shared" si="22"/>
        <v>0.74016472698889779</v>
      </c>
      <c r="AI106" s="2" t="str">
        <f t="shared" si="21"/>
        <v/>
      </c>
      <c r="AJ106" s="2" t="str">
        <f t="shared" si="21"/>
        <v/>
      </c>
      <c r="AK106" s="2" t="str">
        <f t="shared" si="21"/>
        <v/>
      </c>
      <c r="AL106" s="2" t="str">
        <f t="shared" si="21"/>
        <v/>
      </c>
      <c r="AM106" s="2" t="str">
        <f t="shared" si="11"/>
        <v/>
      </c>
      <c r="AN106" s="2" t="str">
        <f t="shared" si="11"/>
        <v/>
      </c>
      <c r="AO106" s="2" t="str">
        <f t="shared" si="11"/>
        <v/>
      </c>
      <c r="AP106" s="2" t="str">
        <f t="shared" si="11"/>
        <v/>
      </c>
      <c r="AQ106" s="2" t="str">
        <f t="shared" si="11"/>
        <v/>
      </c>
      <c r="AR106" s="2">
        <f t="shared" si="11"/>
        <v>0.73941963630905883</v>
      </c>
      <c r="AT106" s="2" t="str">
        <f t="shared" si="19"/>
        <v/>
      </c>
      <c r="AU106" s="2" t="str">
        <f t="shared" si="19"/>
        <v/>
      </c>
      <c r="AV106" s="143" t="str">
        <f t="shared" si="20"/>
        <v/>
      </c>
      <c r="AW106" s="143" t="str">
        <f t="shared" si="20"/>
        <v/>
      </c>
      <c r="AX106" s="143" t="str">
        <f t="shared" si="20"/>
        <v/>
      </c>
      <c r="AY106" s="143" t="str">
        <f t="shared" si="20"/>
        <v/>
      </c>
      <c r="AZ106" s="143" t="str">
        <f t="shared" si="20"/>
        <v/>
      </c>
      <c r="BA106" s="143" t="str">
        <f t="shared" si="20"/>
        <v/>
      </c>
      <c r="BB106" s="143" t="str">
        <f t="shared" si="20"/>
        <v/>
      </c>
      <c r="BC106" s="143" t="str">
        <f t="shared" si="20"/>
        <v/>
      </c>
      <c r="BD106" s="143" t="str">
        <f t="shared" si="20"/>
        <v/>
      </c>
      <c r="BF106" s="9">
        <f t="shared" si="17"/>
        <v>3.815295082525907E-4</v>
      </c>
      <c r="BG106" s="9">
        <f t="shared" si="18"/>
        <v>0.97795921302432187</v>
      </c>
    </row>
    <row r="107" spans="2:59" x14ac:dyDescent="0.3">
      <c r="B107" s="3" t="s">
        <v>222</v>
      </c>
      <c r="D107" s="141">
        <v>7095</v>
      </c>
      <c r="E107" s="141">
        <v>13100</v>
      </c>
      <c r="F107" s="141">
        <v>34624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5"/>
        <v>54819</v>
      </c>
      <c r="R107" s="141">
        <v>2701</v>
      </c>
      <c r="S107" s="141">
        <v>4805</v>
      </c>
      <c r="T107" s="141">
        <v>7939</v>
      </c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6"/>
        <v>15445</v>
      </c>
      <c r="AF107" s="2">
        <f t="shared" si="22"/>
        <v>0.38069062720225511</v>
      </c>
      <c r="AG107" s="2">
        <f t="shared" si="22"/>
        <v>0.36679389312977101</v>
      </c>
      <c r="AH107" s="2">
        <f t="shared" si="22"/>
        <v>0.22929182070240295</v>
      </c>
      <c r="AI107" s="2" t="str">
        <f t="shared" si="21"/>
        <v/>
      </c>
      <c r="AJ107" s="2" t="str">
        <f t="shared" si="21"/>
        <v/>
      </c>
      <c r="AK107" s="2" t="str">
        <f t="shared" si="21"/>
        <v/>
      </c>
      <c r="AL107" s="2" t="str">
        <f t="shared" si="21"/>
        <v/>
      </c>
      <c r="AM107" s="2" t="str">
        <f t="shared" si="11"/>
        <v/>
      </c>
      <c r="AN107" s="2" t="str">
        <f t="shared" si="11"/>
        <v/>
      </c>
      <c r="AO107" s="2" t="str">
        <f t="shared" si="11"/>
        <v/>
      </c>
      <c r="AP107" s="2" t="str">
        <f t="shared" si="11"/>
        <v/>
      </c>
      <c r="AQ107" s="2" t="str">
        <f t="shared" si="11"/>
        <v/>
      </c>
      <c r="AR107" s="2">
        <f t="shared" si="11"/>
        <v>0.28174538025137269</v>
      </c>
      <c r="AT107" s="2" t="str">
        <f t="shared" si="19"/>
        <v/>
      </c>
      <c r="AU107" s="2" t="str">
        <f t="shared" si="19"/>
        <v/>
      </c>
      <c r="AV107" s="143" t="str">
        <f t="shared" si="20"/>
        <v/>
      </c>
      <c r="AW107" s="143" t="str">
        <f t="shared" si="20"/>
        <v/>
      </c>
      <c r="AX107" s="143" t="str">
        <f t="shared" si="20"/>
        <v/>
      </c>
      <c r="AY107" s="143" t="str">
        <f t="shared" si="20"/>
        <v/>
      </c>
      <c r="AZ107" s="143" t="str">
        <f t="shared" si="20"/>
        <v/>
      </c>
      <c r="BA107" s="143" t="str">
        <f t="shared" si="20"/>
        <v/>
      </c>
      <c r="BB107" s="143" t="str">
        <f t="shared" si="20"/>
        <v/>
      </c>
      <c r="BC107" s="143" t="str">
        <f t="shared" si="20"/>
        <v/>
      </c>
      <c r="BD107" s="143" t="str">
        <f t="shared" si="20"/>
        <v/>
      </c>
      <c r="BF107" s="9">
        <f t="shared" si="17"/>
        <v>2.7184344878470921E-5</v>
      </c>
      <c r="BG107" s="9">
        <f t="shared" si="18"/>
        <v>0.97798639736920034</v>
      </c>
    </row>
    <row r="108" spans="2:59" x14ac:dyDescent="0.3">
      <c r="B108" s="3" t="s">
        <v>197</v>
      </c>
      <c r="D108" s="141">
        <v>30779</v>
      </c>
      <c r="E108" s="141">
        <v>50675</v>
      </c>
      <c r="F108" s="141">
        <v>58918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5"/>
        <v>140372</v>
      </c>
      <c r="R108" s="141">
        <v>18656</v>
      </c>
      <c r="S108" s="141">
        <v>35760</v>
      </c>
      <c r="T108" s="141">
        <v>47419</v>
      </c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6"/>
        <v>101835</v>
      </c>
      <c r="AF108" s="2">
        <f t="shared" si="22"/>
        <v>0.60612755450144584</v>
      </c>
      <c r="AG108" s="2">
        <f t="shared" si="22"/>
        <v>0.70567340897878639</v>
      </c>
      <c r="AH108" s="2">
        <f t="shared" si="22"/>
        <v>0.80483044230965073</v>
      </c>
      <c r="AI108" s="2" t="str">
        <f t="shared" si="21"/>
        <v/>
      </c>
      <c r="AJ108" s="2" t="str">
        <f t="shared" si="21"/>
        <v/>
      </c>
      <c r="AK108" s="2" t="str">
        <f t="shared" si="21"/>
        <v/>
      </c>
      <c r="AL108" s="2" t="str">
        <f t="shared" si="21"/>
        <v/>
      </c>
      <c r="AM108" s="2" t="str">
        <f t="shared" si="11"/>
        <v/>
      </c>
      <c r="AN108" s="2" t="str">
        <f t="shared" si="11"/>
        <v/>
      </c>
      <c r="AO108" s="2" t="str">
        <f t="shared" si="11"/>
        <v/>
      </c>
      <c r="AP108" s="2" t="str">
        <f t="shared" si="11"/>
        <v/>
      </c>
      <c r="AQ108" s="2" t="str">
        <f t="shared" si="11"/>
        <v/>
      </c>
      <c r="AR108" s="2">
        <f t="shared" si="11"/>
        <v>0.72546519248853047</v>
      </c>
      <c r="AT108" s="2" t="str">
        <f t="shared" si="19"/>
        <v/>
      </c>
      <c r="AU108" s="2" t="str">
        <f t="shared" si="19"/>
        <v/>
      </c>
      <c r="AV108" s="143" t="str">
        <f t="shared" si="20"/>
        <v/>
      </c>
      <c r="AW108" s="143" t="str">
        <f t="shared" si="20"/>
        <v/>
      </c>
      <c r="AX108" s="143" t="str">
        <f t="shared" si="20"/>
        <v/>
      </c>
      <c r="AY108" s="143" t="str">
        <f t="shared" si="20"/>
        <v/>
      </c>
      <c r="AZ108" s="143" t="str">
        <f t="shared" si="20"/>
        <v/>
      </c>
      <c r="BA108" s="143" t="str">
        <f t="shared" si="20"/>
        <v/>
      </c>
      <c r="BB108" s="143" t="str">
        <f t="shared" si="20"/>
        <v/>
      </c>
      <c r="BC108" s="143" t="str">
        <f t="shared" si="20"/>
        <v/>
      </c>
      <c r="BD108" s="143" t="str">
        <f t="shared" si="20"/>
        <v/>
      </c>
      <c r="BF108" s="9">
        <f t="shared" si="17"/>
        <v>1.7923714863704024E-4</v>
      </c>
      <c r="BG108" s="9">
        <f t="shared" si="18"/>
        <v>0.97816563451783733</v>
      </c>
    </row>
    <row r="109" spans="2:59" x14ac:dyDescent="0.3">
      <c r="B109" s="3" t="s">
        <v>176</v>
      </c>
      <c r="D109" s="141">
        <v>146077</v>
      </c>
      <c r="E109" s="141">
        <v>149484</v>
      </c>
      <c r="F109" s="141">
        <v>180268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5"/>
        <v>475829</v>
      </c>
      <c r="R109" s="141">
        <v>133193</v>
      </c>
      <c r="S109" s="141">
        <v>131418</v>
      </c>
      <c r="T109" s="141">
        <v>166382</v>
      </c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6"/>
        <v>430993</v>
      </c>
      <c r="AF109" s="2">
        <f t="shared" si="22"/>
        <v>0.91179994112693985</v>
      </c>
      <c r="AG109" s="2">
        <f t="shared" si="22"/>
        <v>0.87914425624147063</v>
      </c>
      <c r="AH109" s="2">
        <f t="shared" si="22"/>
        <v>0.92297024430292673</v>
      </c>
      <c r="AI109" s="2" t="str">
        <f t="shared" si="21"/>
        <v/>
      </c>
      <c r="AJ109" s="2" t="str">
        <f t="shared" si="21"/>
        <v/>
      </c>
      <c r="AK109" s="2" t="str">
        <f t="shared" si="21"/>
        <v/>
      </c>
      <c r="AL109" s="2" t="str">
        <f t="shared" si="21"/>
        <v/>
      </c>
      <c r="AM109" s="2" t="str">
        <f t="shared" si="11"/>
        <v/>
      </c>
      <c r="AN109" s="2" t="str">
        <f t="shared" si="11"/>
        <v/>
      </c>
      <c r="AO109" s="2" t="str">
        <f t="shared" si="11"/>
        <v/>
      </c>
      <c r="AP109" s="2" t="str">
        <f t="shared" si="11"/>
        <v/>
      </c>
      <c r="AQ109" s="2" t="str">
        <f t="shared" si="11"/>
        <v/>
      </c>
      <c r="AR109" s="2">
        <f t="shared" si="11"/>
        <v>0.90577287218727731</v>
      </c>
      <c r="AT109" s="2" t="str">
        <f t="shared" si="19"/>
        <v/>
      </c>
      <c r="AU109" s="2" t="str">
        <f t="shared" si="19"/>
        <v/>
      </c>
      <c r="AV109" s="143" t="str">
        <f t="shared" si="20"/>
        <v/>
      </c>
      <c r="AW109" s="143" t="str">
        <f t="shared" si="20"/>
        <v/>
      </c>
      <c r="AX109" s="143" t="str">
        <f t="shared" si="20"/>
        <v/>
      </c>
      <c r="AY109" s="143" t="str">
        <f t="shared" si="20"/>
        <v/>
      </c>
      <c r="AZ109" s="143" t="str">
        <f t="shared" si="20"/>
        <v/>
      </c>
      <c r="BA109" s="143" t="str">
        <f t="shared" si="20"/>
        <v/>
      </c>
      <c r="BB109" s="143" t="str">
        <f t="shared" si="20"/>
        <v/>
      </c>
      <c r="BC109" s="143" t="str">
        <f t="shared" si="20"/>
        <v/>
      </c>
      <c r="BD109" s="143" t="str">
        <f t="shared" si="20"/>
        <v/>
      </c>
      <c r="BF109" s="9">
        <f t="shared" si="17"/>
        <v>7.5857962785411571E-4</v>
      </c>
      <c r="BG109" s="9">
        <f t="shared" si="18"/>
        <v>0.97892421414569142</v>
      </c>
    </row>
    <row r="110" spans="2:59" x14ac:dyDescent="0.3">
      <c r="B110" s="3" t="s">
        <v>199</v>
      </c>
      <c r="D110" s="141">
        <v>318301</v>
      </c>
      <c r="E110" s="141">
        <v>226454</v>
      </c>
      <c r="F110" s="141">
        <v>206859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5"/>
        <v>751614</v>
      </c>
      <c r="R110" s="141">
        <v>245836</v>
      </c>
      <c r="S110" s="141">
        <v>156741</v>
      </c>
      <c r="T110" s="141">
        <v>148765</v>
      </c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6"/>
        <v>551342</v>
      </c>
      <c r="AF110" s="2">
        <f t="shared" si="22"/>
        <v>0.77233813277369534</v>
      </c>
      <c r="AG110" s="2">
        <f t="shared" si="22"/>
        <v>0.69215381490280592</v>
      </c>
      <c r="AH110" s="2">
        <f t="shared" si="22"/>
        <v>0.71916136112037665</v>
      </c>
      <c r="AI110" s="2" t="str">
        <f t="shared" si="21"/>
        <v/>
      </c>
      <c r="AJ110" s="2" t="str">
        <f t="shared" si="21"/>
        <v/>
      </c>
      <c r="AK110" s="2" t="str">
        <f t="shared" si="21"/>
        <v/>
      </c>
      <c r="AL110" s="2" t="str">
        <f t="shared" si="21"/>
        <v/>
      </c>
      <c r="AM110" s="2" t="str">
        <f t="shared" si="11"/>
        <v/>
      </c>
      <c r="AN110" s="2" t="str">
        <f t="shared" si="11"/>
        <v/>
      </c>
      <c r="AO110" s="2" t="str">
        <f t="shared" si="11"/>
        <v/>
      </c>
      <c r="AP110" s="2" t="str">
        <f t="shared" si="11"/>
        <v/>
      </c>
      <c r="AQ110" s="2" t="str">
        <f t="shared" si="11"/>
        <v/>
      </c>
      <c r="AR110" s="2">
        <f t="shared" si="11"/>
        <v>0.73354407980692216</v>
      </c>
      <c r="AT110" s="2" t="str">
        <f t="shared" ref="AT110:AU141" si="23">+IFERROR(AM110-AL110,"")</f>
        <v/>
      </c>
      <c r="AU110" s="2" t="str">
        <f t="shared" si="23"/>
        <v/>
      </c>
      <c r="AV110" s="143" t="str">
        <f t="shared" si="20"/>
        <v/>
      </c>
      <c r="AW110" s="143" t="str">
        <f t="shared" si="20"/>
        <v/>
      </c>
      <c r="AX110" s="143" t="str">
        <f t="shared" si="20"/>
        <v/>
      </c>
      <c r="AY110" s="143" t="str">
        <f t="shared" si="20"/>
        <v/>
      </c>
      <c r="AZ110" s="143" t="str">
        <f t="shared" si="20"/>
        <v/>
      </c>
      <c r="BA110" s="143" t="str">
        <f t="shared" si="20"/>
        <v/>
      </c>
      <c r="BB110" s="143" t="str">
        <f t="shared" si="20"/>
        <v/>
      </c>
      <c r="BC110" s="143" t="str">
        <f t="shared" si="20"/>
        <v/>
      </c>
      <c r="BD110" s="143" t="str">
        <f t="shared" si="20"/>
        <v/>
      </c>
      <c r="BF110" s="9">
        <f t="shared" si="17"/>
        <v>9.7040278886279798E-4</v>
      </c>
      <c r="BG110" s="9">
        <f t="shared" si="18"/>
        <v>0.97989461693455426</v>
      </c>
    </row>
    <row r="111" spans="2:59" x14ac:dyDescent="0.3">
      <c r="B111" s="3" t="s">
        <v>183</v>
      </c>
      <c r="D111" s="141">
        <v>88319</v>
      </c>
      <c r="E111" s="141">
        <v>74856</v>
      </c>
      <c r="F111" s="141">
        <v>81918</v>
      </c>
      <c r="G111" s="141"/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5"/>
        <v>245093</v>
      </c>
      <c r="R111" s="141">
        <v>56382</v>
      </c>
      <c r="S111" s="141">
        <v>56284</v>
      </c>
      <c r="T111" s="141">
        <v>63576</v>
      </c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6"/>
        <v>176242</v>
      </c>
      <c r="AF111" s="2">
        <f t="shared" si="22"/>
        <v>0.63839038032586415</v>
      </c>
      <c r="AG111" s="2">
        <f t="shared" si="22"/>
        <v>0.75189697552634394</v>
      </c>
      <c r="AH111" s="2">
        <f t="shared" si="22"/>
        <v>0.77609316633706882</v>
      </c>
      <c r="AI111" s="2" t="str">
        <f t="shared" si="21"/>
        <v/>
      </c>
      <c r="AJ111" s="2" t="str">
        <f t="shared" si="21"/>
        <v/>
      </c>
      <c r="AK111" s="2" t="str">
        <f t="shared" si="21"/>
        <v/>
      </c>
      <c r="AL111" s="2" t="str">
        <f t="shared" si="21"/>
        <v/>
      </c>
      <c r="AM111" s="2" t="str">
        <f t="shared" si="11"/>
        <v/>
      </c>
      <c r="AN111" s="2" t="str">
        <f t="shared" si="11"/>
        <v/>
      </c>
      <c r="AO111" s="2" t="str">
        <f t="shared" si="11"/>
        <v/>
      </c>
      <c r="AP111" s="2" t="str">
        <f t="shared" si="11"/>
        <v/>
      </c>
      <c r="AQ111" s="2" t="str">
        <f t="shared" si="11"/>
        <v/>
      </c>
      <c r="AR111" s="2">
        <f t="shared" si="11"/>
        <v>0.7190821443288874</v>
      </c>
      <c r="AT111" s="2" t="str">
        <f t="shared" si="23"/>
        <v/>
      </c>
      <c r="AU111" s="2" t="str">
        <f t="shared" si="23"/>
        <v/>
      </c>
      <c r="AV111" s="143" t="str">
        <f t="shared" si="20"/>
        <v/>
      </c>
      <c r="AW111" s="143" t="str">
        <f t="shared" si="20"/>
        <v/>
      </c>
      <c r="AX111" s="143" t="str">
        <f t="shared" si="20"/>
        <v/>
      </c>
      <c r="AY111" s="143" t="str">
        <f t="shared" si="20"/>
        <v/>
      </c>
      <c r="AZ111" s="143" t="str">
        <f t="shared" si="20"/>
        <v/>
      </c>
      <c r="BA111" s="143" t="str">
        <f t="shared" si="20"/>
        <v/>
      </c>
      <c r="BB111" s="143" t="str">
        <f t="shared" si="20"/>
        <v/>
      </c>
      <c r="BC111" s="143" t="str">
        <f t="shared" si="20"/>
        <v/>
      </c>
      <c r="BD111" s="143" t="str">
        <f t="shared" si="20"/>
        <v/>
      </c>
      <c r="BF111" s="9">
        <f t="shared" si="17"/>
        <v>3.1019898414188878E-4</v>
      </c>
      <c r="BG111" s="9">
        <f t="shared" si="18"/>
        <v>0.98020481591869613</v>
      </c>
    </row>
    <row r="112" spans="2:59" x14ac:dyDescent="0.3">
      <c r="B112" s="3" t="s">
        <v>162</v>
      </c>
      <c r="D112" s="141">
        <v>76770</v>
      </c>
      <c r="E112" s="141">
        <v>73036</v>
      </c>
      <c r="F112" s="141">
        <v>70602</v>
      </c>
      <c r="G112" s="141"/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5"/>
        <v>220408</v>
      </c>
      <c r="R112" s="141">
        <v>53416</v>
      </c>
      <c r="S112" s="141">
        <v>61623</v>
      </c>
      <c r="T112" s="141">
        <v>60952</v>
      </c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6"/>
        <v>175991</v>
      </c>
      <c r="AF112" s="2">
        <f t="shared" si="22"/>
        <v>0.69579262732838343</v>
      </c>
      <c r="AG112" s="2">
        <f t="shared" si="22"/>
        <v>0.84373459663727479</v>
      </c>
      <c r="AH112" s="2">
        <f t="shared" si="22"/>
        <v>0.8633183195943458</v>
      </c>
      <c r="AI112" s="2" t="str">
        <f t="shared" si="21"/>
        <v/>
      </c>
      <c r="AJ112" s="2" t="str">
        <f t="shared" si="21"/>
        <v/>
      </c>
      <c r="AK112" s="2" t="str">
        <f t="shared" si="21"/>
        <v/>
      </c>
      <c r="AL112" s="2" t="str">
        <f t="shared" si="21"/>
        <v/>
      </c>
      <c r="AM112" s="2" t="str">
        <f t="shared" si="11"/>
        <v/>
      </c>
      <c r="AN112" s="2" t="str">
        <f t="shared" si="11"/>
        <v/>
      </c>
      <c r="AO112" s="2" t="str">
        <f t="shared" si="11"/>
        <v/>
      </c>
      <c r="AP112" s="2" t="str">
        <f t="shared" si="11"/>
        <v/>
      </c>
      <c r="AQ112" s="2" t="str">
        <f t="shared" si="11"/>
        <v/>
      </c>
      <c r="AR112" s="2">
        <f t="shared" si="11"/>
        <v>0.79847827665057525</v>
      </c>
      <c r="AT112" s="2" t="str">
        <f t="shared" si="23"/>
        <v/>
      </c>
      <c r="AU112" s="2" t="str">
        <f t="shared" si="23"/>
        <v/>
      </c>
      <c r="AV112" s="143" t="str">
        <f t="shared" si="20"/>
        <v/>
      </c>
      <c r="AW112" s="143" t="str">
        <f t="shared" si="20"/>
        <v/>
      </c>
      <c r="AX112" s="143" t="str">
        <f t="shared" si="20"/>
        <v/>
      </c>
      <c r="AY112" s="143" t="str">
        <f t="shared" si="20"/>
        <v/>
      </c>
      <c r="AZ112" s="143" t="str">
        <f t="shared" si="20"/>
        <v/>
      </c>
      <c r="BA112" s="143" t="str">
        <f t="shared" si="20"/>
        <v/>
      </c>
      <c r="BB112" s="143" t="str">
        <f t="shared" si="20"/>
        <v/>
      </c>
      <c r="BC112" s="143" t="str">
        <f t="shared" si="20"/>
        <v/>
      </c>
      <c r="BD112" s="143" t="str">
        <f t="shared" si="20"/>
        <v/>
      </c>
      <c r="BF112" s="9">
        <f t="shared" si="17"/>
        <v>3.0975720553622375E-4</v>
      </c>
      <c r="BG112" s="9">
        <f t="shared" si="18"/>
        <v>0.9805145731242324</v>
      </c>
    </row>
    <row r="113" spans="2:59" x14ac:dyDescent="0.3">
      <c r="B113" s="3" t="s">
        <v>190</v>
      </c>
      <c r="D113" s="141">
        <v>50656</v>
      </c>
      <c r="E113" s="141">
        <v>39844</v>
      </c>
      <c r="F113" s="141">
        <v>53757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5"/>
        <v>144257</v>
      </c>
      <c r="R113" s="141">
        <v>38881</v>
      </c>
      <c r="S113" s="141">
        <v>29080</v>
      </c>
      <c r="T113" s="141">
        <v>30738</v>
      </c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6"/>
        <v>98699</v>
      </c>
      <c r="AF113" s="2">
        <f t="shared" si="22"/>
        <v>0.7675497473152243</v>
      </c>
      <c r="AG113" s="2">
        <f t="shared" si="22"/>
        <v>0.72984640096375863</v>
      </c>
      <c r="AH113" s="2">
        <f t="shared" si="22"/>
        <v>0.571795301077069</v>
      </c>
      <c r="AI113" s="2" t="str">
        <f t="shared" si="21"/>
        <v/>
      </c>
      <c r="AJ113" s="2" t="str">
        <f t="shared" si="21"/>
        <v/>
      </c>
      <c r="AK113" s="2" t="str">
        <f t="shared" si="21"/>
        <v/>
      </c>
      <c r="AL113" s="2" t="str">
        <f t="shared" si="21"/>
        <v/>
      </c>
      <c r="AM113" s="2" t="str">
        <f t="shared" si="11"/>
        <v/>
      </c>
      <c r="AN113" s="2" t="str">
        <f t="shared" si="11"/>
        <v/>
      </c>
      <c r="AO113" s="2" t="str">
        <f t="shared" si="11"/>
        <v/>
      </c>
      <c r="AP113" s="2" t="str">
        <f t="shared" si="11"/>
        <v/>
      </c>
      <c r="AQ113" s="2" t="str">
        <f t="shared" si="11"/>
        <v/>
      </c>
      <c r="AR113" s="2">
        <f t="shared" si="11"/>
        <v>0.68418863556014609</v>
      </c>
      <c r="AT113" s="2" t="str">
        <f t="shared" si="23"/>
        <v/>
      </c>
      <c r="AU113" s="2" t="str">
        <f t="shared" si="23"/>
        <v/>
      </c>
      <c r="AV113" s="143" t="str">
        <f t="shared" si="20"/>
        <v/>
      </c>
      <c r="AW113" s="143" t="str">
        <f t="shared" si="20"/>
        <v/>
      </c>
      <c r="AX113" s="143" t="str">
        <f t="shared" si="20"/>
        <v/>
      </c>
      <c r="AY113" s="143" t="str">
        <f t="shared" si="20"/>
        <v/>
      </c>
      <c r="AZ113" s="143" t="str">
        <f t="shared" si="20"/>
        <v/>
      </c>
      <c r="BA113" s="143" t="str">
        <f t="shared" si="20"/>
        <v/>
      </c>
      <c r="BB113" s="143" t="str">
        <f t="shared" si="20"/>
        <v/>
      </c>
      <c r="BC113" s="143" t="str">
        <f t="shared" si="20"/>
        <v/>
      </c>
      <c r="BD113" s="143" t="str">
        <f t="shared" si="20"/>
        <v/>
      </c>
      <c r="BF113" s="9">
        <f t="shared" si="17"/>
        <v>1.7371755617741672E-4</v>
      </c>
      <c r="BG113" s="9">
        <f t="shared" si="18"/>
        <v>0.98068829068040986</v>
      </c>
    </row>
    <row r="114" spans="2:59" x14ac:dyDescent="0.3">
      <c r="B114" s="3" t="s">
        <v>186</v>
      </c>
      <c r="D114" s="141">
        <v>112377</v>
      </c>
      <c r="E114" s="141">
        <v>113089</v>
      </c>
      <c r="F114" s="141">
        <v>53784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5"/>
        <v>279250</v>
      </c>
      <c r="R114" s="141">
        <v>107194</v>
      </c>
      <c r="S114" s="141">
        <v>106823</v>
      </c>
      <c r="T114" s="141">
        <v>45447</v>
      </c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6"/>
        <v>259464</v>
      </c>
      <c r="AF114" s="2">
        <f t="shared" si="22"/>
        <v>0.95387846267474663</v>
      </c>
      <c r="AG114" s="2">
        <f t="shared" si="22"/>
        <v>0.94459231224964413</v>
      </c>
      <c r="AH114" s="2">
        <f t="shared" si="22"/>
        <v>0.84499107541276219</v>
      </c>
      <c r="AI114" s="2" t="str">
        <f t="shared" si="21"/>
        <v/>
      </c>
      <c r="AJ114" s="2" t="str">
        <f t="shared" si="21"/>
        <v/>
      </c>
      <c r="AK114" s="2" t="str">
        <f t="shared" si="21"/>
        <v/>
      </c>
      <c r="AL114" s="2" t="str">
        <f t="shared" si="21"/>
        <v/>
      </c>
      <c r="AM114" s="2" t="str">
        <f t="shared" si="11"/>
        <v/>
      </c>
      <c r="AN114" s="2" t="str">
        <f t="shared" si="11"/>
        <v/>
      </c>
      <c r="AO114" s="2" t="str">
        <f t="shared" ref="AO114:AR177" si="24">+IFERROR(AA114/M114,"")</f>
        <v/>
      </c>
      <c r="AP114" s="2" t="str">
        <f t="shared" si="24"/>
        <v/>
      </c>
      <c r="AQ114" s="2" t="str">
        <f t="shared" si="24"/>
        <v/>
      </c>
      <c r="AR114" s="2">
        <f t="shared" si="24"/>
        <v>0.92914592658907791</v>
      </c>
      <c r="AT114" s="2" t="str">
        <f t="shared" si="23"/>
        <v/>
      </c>
      <c r="AU114" s="2" t="str">
        <f t="shared" si="23"/>
        <v/>
      </c>
      <c r="AV114" s="143" t="str">
        <f t="shared" si="20"/>
        <v/>
      </c>
      <c r="AW114" s="143" t="str">
        <f t="shared" si="20"/>
        <v/>
      </c>
      <c r="AX114" s="143" t="str">
        <f t="shared" si="20"/>
        <v/>
      </c>
      <c r="AY114" s="143" t="str">
        <f t="shared" si="20"/>
        <v/>
      </c>
      <c r="AZ114" s="143" t="str">
        <f t="shared" si="20"/>
        <v/>
      </c>
      <c r="BA114" s="143" t="str">
        <f t="shared" si="20"/>
        <v/>
      </c>
      <c r="BB114" s="143" t="str">
        <f t="shared" si="20"/>
        <v/>
      </c>
      <c r="BC114" s="143" t="str">
        <f t="shared" si="20"/>
        <v/>
      </c>
      <c r="BD114" s="143" t="str">
        <f t="shared" si="20"/>
        <v/>
      </c>
      <c r="BF114" s="9">
        <f t="shared" si="17"/>
        <v>4.5667587306879762E-4</v>
      </c>
      <c r="BG114" s="9">
        <f t="shared" si="18"/>
        <v>0.9811449665534786</v>
      </c>
    </row>
    <row r="115" spans="2:59" x14ac:dyDescent="0.3">
      <c r="B115" s="3" t="s">
        <v>153</v>
      </c>
      <c r="D115" s="141">
        <v>22587</v>
      </c>
      <c r="E115" s="141">
        <v>18873</v>
      </c>
      <c r="F115" s="141">
        <v>36875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5"/>
        <v>78335</v>
      </c>
      <c r="R115" s="141">
        <v>16048</v>
      </c>
      <c r="S115" s="141">
        <v>13601</v>
      </c>
      <c r="T115" s="141">
        <v>24667</v>
      </c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6"/>
        <v>54316</v>
      </c>
      <c r="AF115" s="2">
        <f t="shared" si="22"/>
        <v>0.71049718864833755</v>
      </c>
      <c r="AG115" s="2">
        <f t="shared" si="22"/>
        <v>0.72065914269061626</v>
      </c>
      <c r="AH115" s="2">
        <f t="shared" si="22"/>
        <v>0.66893559322033902</v>
      </c>
      <c r="AI115" s="2" t="str">
        <f t="shared" si="21"/>
        <v/>
      </c>
      <c r="AJ115" s="2" t="str">
        <f t="shared" si="21"/>
        <v/>
      </c>
      <c r="AK115" s="2" t="str">
        <f t="shared" si="21"/>
        <v/>
      </c>
      <c r="AL115" s="2" t="str">
        <f t="shared" si="21"/>
        <v/>
      </c>
      <c r="AM115" s="2" t="str">
        <f t="shared" si="21"/>
        <v/>
      </c>
      <c r="AN115" s="2" t="str">
        <f t="shared" si="21"/>
        <v/>
      </c>
      <c r="AO115" s="2" t="str">
        <f t="shared" si="24"/>
        <v/>
      </c>
      <c r="AP115" s="2" t="str">
        <f t="shared" si="24"/>
        <v/>
      </c>
      <c r="AQ115" s="2" t="str">
        <f t="shared" si="24"/>
        <v/>
      </c>
      <c r="AR115" s="2">
        <f t="shared" si="24"/>
        <v>0.69338099189378954</v>
      </c>
      <c r="AT115" s="2" t="str">
        <f t="shared" si="23"/>
        <v/>
      </c>
      <c r="AU115" s="2" t="str">
        <f t="shared" si="23"/>
        <v/>
      </c>
      <c r="AV115" s="143" t="str">
        <f t="shared" si="20"/>
        <v/>
      </c>
      <c r="AW115" s="143" t="str">
        <f t="shared" si="20"/>
        <v/>
      </c>
      <c r="AX115" s="143" t="str">
        <f t="shared" si="20"/>
        <v/>
      </c>
      <c r="AY115" s="143" t="str">
        <f t="shared" si="20"/>
        <v/>
      </c>
      <c r="AZ115" s="143" t="str">
        <f t="shared" si="20"/>
        <v/>
      </c>
      <c r="BA115" s="143" t="str">
        <f t="shared" si="20"/>
        <v/>
      </c>
      <c r="BB115" s="143" t="str">
        <f t="shared" si="20"/>
        <v/>
      </c>
      <c r="BC115" s="143" t="str">
        <f t="shared" si="20"/>
        <v/>
      </c>
      <c r="BD115" s="143" t="str">
        <f t="shared" si="20"/>
        <v/>
      </c>
      <c r="BF115" s="9">
        <f t="shared" si="17"/>
        <v>9.5600186236259412E-5</v>
      </c>
      <c r="BG115" s="9">
        <f t="shared" si="18"/>
        <v>0.98124056673971483</v>
      </c>
    </row>
    <row r="116" spans="2:59" x14ac:dyDescent="0.3">
      <c r="B116" s="3" t="s">
        <v>187</v>
      </c>
      <c r="D116" s="141">
        <v>88846</v>
      </c>
      <c r="E116" s="141">
        <v>96166</v>
      </c>
      <c r="F116" s="141">
        <v>92661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5"/>
        <v>277673</v>
      </c>
      <c r="R116" s="141">
        <v>77239</v>
      </c>
      <c r="S116" s="141">
        <v>76613</v>
      </c>
      <c r="T116" s="141">
        <v>83341</v>
      </c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6"/>
        <v>237193</v>
      </c>
      <c r="AF116" s="2">
        <f t="shared" si="22"/>
        <v>0.86935821533890101</v>
      </c>
      <c r="AG116" s="2">
        <f t="shared" si="22"/>
        <v>0.79667450034315668</v>
      </c>
      <c r="AH116" s="2">
        <f t="shared" si="22"/>
        <v>0.89941830975275472</v>
      </c>
      <c r="AI116" s="2" t="str">
        <f t="shared" si="21"/>
        <v/>
      </c>
      <c r="AJ116" s="2" t="str">
        <f t="shared" si="21"/>
        <v/>
      </c>
      <c r="AK116" s="2" t="str">
        <f t="shared" si="21"/>
        <v/>
      </c>
      <c r="AL116" s="2" t="str">
        <f t="shared" si="21"/>
        <v/>
      </c>
      <c r="AM116" s="2" t="str">
        <f t="shared" si="21"/>
        <v/>
      </c>
      <c r="AN116" s="2" t="str">
        <f t="shared" si="21"/>
        <v/>
      </c>
      <c r="AO116" s="2" t="str">
        <f t="shared" si="24"/>
        <v/>
      </c>
      <c r="AP116" s="2" t="str">
        <f t="shared" si="24"/>
        <v/>
      </c>
      <c r="AQ116" s="2" t="str">
        <f t="shared" si="24"/>
        <v/>
      </c>
      <c r="AR116" s="2">
        <f t="shared" si="24"/>
        <v>0.85421701065641964</v>
      </c>
      <c r="AT116" s="2" t="str">
        <f t="shared" si="23"/>
        <v/>
      </c>
      <c r="AU116" s="2" t="str">
        <f t="shared" si="23"/>
        <v/>
      </c>
      <c r="AV116" s="143" t="str">
        <f t="shared" si="20"/>
        <v/>
      </c>
      <c r="AW116" s="143" t="str">
        <f t="shared" si="20"/>
        <v/>
      </c>
      <c r="AX116" s="143" t="str">
        <f t="shared" si="20"/>
        <v/>
      </c>
      <c r="AY116" s="143" t="str">
        <f t="shared" si="20"/>
        <v/>
      </c>
      <c r="AZ116" s="143" t="str">
        <f t="shared" si="20"/>
        <v/>
      </c>
      <c r="BA116" s="143" t="str">
        <f t="shared" si="20"/>
        <v/>
      </c>
      <c r="BB116" s="143" t="str">
        <f t="shared" si="20"/>
        <v/>
      </c>
      <c r="BC116" s="143" t="str">
        <f t="shared" si="20"/>
        <v/>
      </c>
      <c r="BD116" s="143" t="str">
        <f t="shared" si="20"/>
        <v/>
      </c>
      <c r="BF116" s="9">
        <f t="shared" si="17"/>
        <v>4.1747726220518961E-4</v>
      </c>
      <c r="BG116" s="9">
        <f t="shared" si="18"/>
        <v>0.98165804400192003</v>
      </c>
    </row>
    <row r="117" spans="2:59" x14ac:dyDescent="0.3">
      <c r="B117" s="3" t="s">
        <v>191</v>
      </c>
      <c r="D117" s="141">
        <v>109253</v>
      </c>
      <c r="E117" s="141">
        <v>84142</v>
      </c>
      <c r="F117" s="141">
        <v>124755</v>
      </c>
      <c r="G117" s="141"/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5"/>
        <v>318150</v>
      </c>
      <c r="R117" s="141">
        <v>80566</v>
      </c>
      <c r="S117" s="141">
        <v>62774</v>
      </c>
      <c r="T117" s="141">
        <v>66371</v>
      </c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6"/>
        <v>209711</v>
      </c>
      <c r="AF117" s="2">
        <f t="shared" si="22"/>
        <v>0.73742597457278058</v>
      </c>
      <c r="AG117" s="2">
        <f t="shared" si="22"/>
        <v>0.74604834684224286</v>
      </c>
      <c r="AH117" s="2">
        <f t="shared" si="22"/>
        <v>0.53201074105246282</v>
      </c>
      <c r="AI117" s="2" t="str">
        <f t="shared" si="21"/>
        <v/>
      </c>
      <c r="AJ117" s="2" t="str">
        <f t="shared" si="21"/>
        <v/>
      </c>
      <c r="AK117" s="2" t="str">
        <f t="shared" si="21"/>
        <v/>
      </c>
      <c r="AL117" s="2" t="str">
        <f t="shared" si="21"/>
        <v/>
      </c>
      <c r="AM117" s="2" t="str">
        <f t="shared" si="21"/>
        <v/>
      </c>
      <c r="AN117" s="2" t="str">
        <f t="shared" si="21"/>
        <v/>
      </c>
      <c r="AO117" s="2" t="str">
        <f t="shared" si="24"/>
        <v/>
      </c>
      <c r="AP117" s="2" t="str">
        <f t="shared" si="24"/>
        <v/>
      </c>
      <c r="AQ117" s="2" t="str">
        <f t="shared" si="24"/>
        <v/>
      </c>
      <c r="AR117" s="2">
        <f t="shared" si="24"/>
        <v>0.65915763004871919</v>
      </c>
      <c r="AT117" s="2" t="str">
        <f t="shared" si="23"/>
        <v/>
      </c>
      <c r="AU117" s="2" t="str">
        <f t="shared" si="23"/>
        <v/>
      </c>
      <c r="AV117" s="143" t="str">
        <f t="shared" si="20"/>
        <v/>
      </c>
      <c r="AW117" s="143" t="str">
        <f t="shared" si="20"/>
        <v/>
      </c>
      <c r="AX117" s="143" t="str">
        <f t="shared" si="20"/>
        <v/>
      </c>
      <c r="AY117" s="143" t="str">
        <f t="shared" ref="AY117:BD148" si="25">+IFERROR(AL117-AK117,"")</f>
        <v/>
      </c>
      <c r="AZ117" s="143" t="str">
        <f t="shared" si="25"/>
        <v/>
      </c>
      <c r="BA117" s="143" t="str">
        <f t="shared" si="25"/>
        <v/>
      </c>
      <c r="BB117" s="143" t="str">
        <f t="shared" si="25"/>
        <v/>
      </c>
      <c r="BC117" s="143" t="str">
        <f t="shared" si="25"/>
        <v/>
      </c>
      <c r="BD117" s="143" t="str">
        <f t="shared" si="25"/>
        <v/>
      </c>
      <c r="BF117" s="9">
        <f t="shared" si="17"/>
        <v>3.6910690507018553E-4</v>
      </c>
      <c r="BG117" s="9">
        <f t="shared" si="18"/>
        <v>0.98202715090699022</v>
      </c>
    </row>
    <row r="118" spans="2:59" x14ac:dyDescent="0.3">
      <c r="B118" s="3" t="s">
        <v>200</v>
      </c>
      <c r="D118" s="141">
        <v>25700</v>
      </c>
      <c r="E118" s="141">
        <v>17218</v>
      </c>
      <c r="F118" s="141">
        <v>37091</v>
      </c>
      <c r="G118" s="141"/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5"/>
        <v>80009</v>
      </c>
      <c r="R118" s="141">
        <v>22547</v>
      </c>
      <c r="S118" s="141">
        <v>9140</v>
      </c>
      <c r="T118" s="141">
        <v>32214</v>
      </c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6"/>
        <v>63901</v>
      </c>
      <c r="AF118" s="2">
        <f t="shared" si="22"/>
        <v>0.8773151750972763</v>
      </c>
      <c r="AG118" s="2">
        <f t="shared" si="22"/>
        <v>0.5308398187942851</v>
      </c>
      <c r="AH118" s="2">
        <f t="shared" si="22"/>
        <v>0.86851257717505592</v>
      </c>
      <c r="AI118" s="2" t="str">
        <f t="shared" si="21"/>
        <v/>
      </c>
      <c r="AJ118" s="2" t="str">
        <f t="shared" si="21"/>
        <v/>
      </c>
      <c r="AK118" s="2" t="str">
        <f t="shared" si="21"/>
        <v/>
      </c>
      <c r="AL118" s="2" t="str">
        <f t="shared" si="21"/>
        <v/>
      </c>
      <c r="AM118" s="2" t="str">
        <f t="shared" si="21"/>
        <v/>
      </c>
      <c r="AN118" s="2" t="str">
        <f t="shared" si="21"/>
        <v/>
      </c>
      <c r="AO118" s="2" t="str">
        <f t="shared" si="24"/>
        <v/>
      </c>
      <c r="AP118" s="2" t="str">
        <f t="shared" si="24"/>
        <v/>
      </c>
      <c r="AQ118" s="2" t="str">
        <f t="shared" si="24"/>
        <v/>
      </c>
      <c r="AR118" s="2">
        <f t="shared" si="24"/>
        <v>0.7986726493269507</v>
      </c>
      <c r="AT118" s="2" t="str">
        <f t="shared" si="23"/>
        <v/>
      </c>
      <c r="AU118" s="2" t="str">
        <f t="shared" si="23"/>
        <v/>
      </c>
      <c r="AV118" s="143" t="str">
        <f t="shared" ref="AV118:BD149" si="26">+IFERROR(AI118-AH118,"")</f>
        <v/>
      </c>
      <c r="AW118" s="143" t="str">
        <f t="shared" si="26"/>
        <v/>
      </c>
      <c r="AX118" s="143" t="str">
        <f t="shared" si="26"/>
        <v/>
      </c>
      <c r="AY118" s="143" t="str">
        <f t="shared" si="25"/>
        <v/>
      </c>
      <c r="AZ118" s="143" t="str">
        <f t="shared" si="25"/>
        <v/>
      </c>
      <c r="BA118" s="143" t="str">
        <f t="shared" si="25"/>
        <v/>
      </c>
      <c r="BB118" s="143" t="str">
        <f t="shared" si="25"/>
        <v/>
      </c>
      <c r="BC118" s="143" t="str">
        <f t="shared" si="25"/>
        <v/>
      </c>
      <c r="BD118" s="143" t="str">
        <f t="shared" si="25"/>
        <v/>
      </c>
      <c r="BF118" s="9">
        <f t="shared" si="17"/>
        <v>1.1247049673545939E-4</v>
      </c>
      <c r="BG118" s="9">
        <f t="shared" si="18"/>
        <v>0.98213962140372568</v>
      </c>
    </row>
    <row r="119" spans="2:59" x14ac:dyDescent="0.3">
      <c r="B119" s="3" t="s">
        <v>198</v>
      </c>
      <c r="D119" s="141">
        <v>26820</v>
      </c>
      <c r="E119" s="141">
        <v>17520</v>
      </c>
      <c r="F119" s="141">
        <v>22453</v>
      </c>
      <c r="G119" s="141"/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5"/>
        <v>66793</v>
      </c>
      <c r="R119" s="141">
        <v>23215</v>
      </c>
      <c r="S119" s="141">
        <v>17169</v>
      </c>
      <c r="T119" s="141">
        <v>22422</v>
      </c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6"/>
        <v>62806</v>
      </c>
      <c r="AF119" s="2">
        <f t="shared" si="22"/>
        <v>0.86558538404175989</v>
      </c>
      <c r="AG119" s="2">
        <f t="shared" si="22"/>
        <v>0.97996575342465753</v>
      </c>
      <c r="AH119" s="2">
        <f t="shared" si="22"/>
        <v>0.99861933817307269</v>
      </c>
      <c r="AI119" s="2" t="str">
        <f t="shared" si="21"/>
        <v/>
      </c>
      <c r="AJ119" s="2" t="str">
        <f t="shared" si="21"/>
        <v/>
      </c>
      <c r="AK119" s="2" t="str">
        <f t="shared" si="21"/>
        <v/>
      </c>
      <c r="AL119" s="2" t="str">
        <f t="shared" si="21"/>
        <v/>
      </c>
      <c r="AM119" s="2" t="str">
        <f t="shared" si="21"/>
        <v/>
      </c>
      <c r="AN119" s="2" t="str">
        <f t="shared" si="21"/>
        <v/>
      </c>
      <c r="AO119" s="2" t="str">
        <f t="shared" si="24"/>
        <v/>
      </c>
      <c r="AP119" s="2" t="str">
        <f t="shared" si="24"/>
        <v/>
      </c>
      <c r="AQ119" s="2" t="str">
        <f t="shared" si="24"/>
        <v/>
      </c>
      <c r="AR119" s="2">
        <f t="shared" si="24"/>
        <v>0.94030811611995269</v>
      </c>
      <c r="AT119" s="2" t="str">
        <f t="shared" si="23"/>
        <v/>
      </c>
      <c r="AU119" s="2" t="str">
        <f t="shared" si="23"/>
        <v/>
      </c>
      <c r="AV119" s="143" t="str">
        <f t="shared" si="26"/>
        <v/>
      </c>
      <c r="AW119" s="143" t="str">
        <f t="shared" si="26"/>
        <v/>
      </c>
      <c r="AX119" s="143" t="str">
        <f t="shared" si="26"/>
        <v/>
      </c>
      <c r="AY119" s="143" t="str">
        <f t="shared" si="25"/>
        <v/>
      </c>
      <c r="AZ119" s="143" t="str">
        <f t="shared" si="25"/>
        <v/>
      </c>
      <c r="BA119" s="143" t="str">
        <f t="shared" si="25"/>
        <v/>
      </c>
      <c r="BB119" s="143" t="str">
        <f t="shared" si="25"/>
        <v/>
      </c>
      <c r="BC119" s="143" t="str">
        <f t="shared" si="25"/>
        <v/>
      </c>
      <c r="BD119" s="143" t="str">
        <f t="shared" si="25"/>
        <v/>
      </c>
      <c r="BF119" s="9">
        <f t="shared" si="17"/>
        <v>1.1054321556731918E-4</v>
      </c>
      <c r="BG119" s="9">
        <f t="shared" si="18"/>
        <v>0.98225016461929304</v>
      </c>
    </row>
    <row r="120" spans="2:59" x14ac:dyDescent="0.3">
      <c r="B120" s="3" t="s">
        <v>175</v>
      </c>
      <c r="D120" s="141">
        <v>224050</v>
      </c>
      <c r="E120" s="141">
        <v>154023</v>
      </c>
      <c r="F120" s="141">
        <v>185715</v>
      </c>
      <c r="G120" s="141"/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5"/>
        <v>563788</v>
      </c>
      <c r="R120" s="141">
        <v>164307</v>
      </c>
      <c r="S120" s="141">
        <v>107114</v>
      </c>
      <c r="T120" s="141">
        <v>128363</v>
      </c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6"/>
        <v>399784</v>
      </c>
      <c r="AF120" s="2">
        <f t="shared" si="22"/>
        <v>0.73334969872796252</v>
      </c>
      <c r="AG120" s="2">
        <f t="shared" si="22"/>
        <v>0.69544158989241867</v>
      </c>
      <c r="AH120" s="2">
        <f t="shared" si="22"/>
        <v>0.69118272622028376</v>
      </c>
      <c r="AI120" s="2" t="str">
        <f t="shared" si="21"/>
        <v/>
      </c>
      <c r="AJ120" s="2" t="str">
        <f t="shared" si="21"/>
        <v/>
      </c>
      <c r="AK120" s="2" t="str">
        <f t="shared" si="21"/>
        <v/>
      </c>
      <c r="AL120" s="2" t="str">
        <f t="shared" si="21"/>
        <v/>
      </c>
      <c r="AM120" s="2" t="str">
        <f t="shared" si="21"/>
        <v/>
      </c>
      <c r="AN120" s="2" t="str">
        <f t="shared" si="21"/>
        <v/>
      </c>
      <c r="AO120" s="2" t="str">
        <f t="shared" si="24"/>
        <v/>
      </c>
      <c r="AP120" s="2" t="str">
        <f t="shared" si="24"/>
        <v/>
      </c>
      <c r="AQ120" s="2" t="str">
        <f t="shared" si="24"/>
        <v/>
      </c>
      <c r="AR120" s="2">
        <f t="shared" si="24"/>
        <v>0.70910342185360453</v>
      </c>
      <c r="AT120" s="2" t="str">
        <f t="shared" si="23"/>
        <v/>
      </c>
      <c r="AU120" s="2" t="str">
        <f t="shared" si="23"/>
        <v/>
      </c>
      <c r="AV120" s="143" t="str">
        <f t="shared" si="26"/>
        <v/>
      </c>
      <c r="AW120" s="143" t="str">
        <f t="shared" si="26"/>
        <v/>
      </c>
      <c r="AX120" s="143" t="str">
        <f t="shared" si="26"/>
        <v/>
      </c>
      <c r="AY120" s="143" t="str">
        <f t="shared" si="25"/>
        <v/>
      </c>
      <c r="AZ120" s="143" t="str">
        <f t="shared" si="25"/>
        <v/>
      </c>
      <c r="BA120" s="143" t="str">
        <f t="shared" si="25"/>
        <v/>
      </c>
      <c r="BB120" s="143" t="str">
        <f t="shared" si="25"/>
        <v/>
      </c>
      <c r="BC120" s="143" t="str">
        <f t="shared" si="25"/>
        <v/>
      </c>
      <c r="BD120" s="143" t="str">
        <f t="shared" si="25"/>
        <v/>
      </c>
      <c r="BF120" s="9">
        <f t="shared" si="17"/>
        <v>7.0364947445093035E-4</v>
      </c>
      <c r="BG120" s="9">
        <f t="shared" si="18"/>
        <v>0.98295381409374394</v>
      </c>
    </row>
    <row r="121" spans="2:59" x14ac:dyDescent="0.3">
      <c r="B121" s="3" t="s">
        <v>179</v>
      </c>
      <c r="D121" s="141">
        <v>205590</v>
      </c>
      <c r="E121" s="141">
        <v>167870</v>
      </c>
      <c r="F121" s="141">
        <v>143896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5"/>
        <v>517356</v>
      </c>
      <c r="R121" s="141">
        <v>154646</v>
      </c>
      <c r="S121" s="141">
        <v>128029</v>
      </c>
      <c r="T121" s="141">
        <v>108969</v>
      </c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6"/>
        <v>391644</v>
      </c>
      <c r="AF121" s="2">
        <f t="shared" si="22"/>
        <v>0.75220584658786904</v>
      </c>
      <c r="AG121" s="2">
        <f t="shared" si="22"/>
        <v>0.76266754035861084</v>
      </c>
      <c r="AH121" s="2">
        <f t="shared" si="22"/>
        <v>0.75727608828598436</v>
      </c>
      <c r="AI121" s="2" t="str">
        <f t="shared" si="21"/>
        <v/>
      </c>
      <c r="AJ121" s="2" t="str">
        <f t="shared" si="21"/>
        <v/>
      </c>
      <c r="AK121" s="2" t="str">
        <f t="shared" si="21"/>
        <v/>
      </c>
      <c r="AL121" s="2" t="str">
        <f t="shared" si="21"/>
        <v/>
      </c>
      <c r="AM121" s="2" t="str">
        <f t="shared" si="21"/>
        <v/>
      </c>
      <c r="AN121" s="2" t="str">
        <f t="shared" si="21"/>
        <v/>
      </c>
      <c r="AO121" s="2" t="str">
        <f t="shared" si="24"/>
        <v/>
      </c>
      <c r="AP121" s="2" t="str">
        <f t="shared" si="24"/>
        <v/>
      </c>
      <c r="AQ121" s="2" t="str">
        <f t="shared" si="24"/>
        <v/>
      </c>
      <c r="AR121" s="2">
        <f t="shared" si="24"/>
        <v>0.75701064644074878</v>
      </c>
      <c r="AT121" s="2" t="str">
        <f t="shared" si="23"/>
        <v/>
      </c>
      <c r="AU121" s="2" t="str">
        <f t="shared" si="23"/>
        <v/>
      </c>
      <c r="AV121" s="143" t="str">
        <f t="shared" si="26"/>
        <v/>
      </c>
      <c r="AW121" s="143" t="str">
        <f t="shared" si="26"/>
        <v/>
      </c>
      <c r="AX121" s="143" t="str">
        <f t="shared" si="26"/>
        <v/>
      </c>
      <c r="AY121" s="143" t="str">
        <f t="shared" si="25"/>
        <v/>
      </c>
      <c r="AZ121" s="143" t="str">
        <f t="shared" si="25"/>
        <v/>
      </c>
      <c r="BA121" s="143" t="str">
        <f t="shared" si="25"/>
        <v/>
      </c>
      <c r="BB121" s="143" t="str">
        <f t="shared" si="25"/>
        <v/>
      </c>
      <c r="BC121" s="143" t="str">
        <f t="shared" si="25"/>
        <v/>
      </c>
      <c r="BD121" s="143" t="str">
        <f t="shared" si="25"/>
        <v/>
      </c>
      <c r="BF121" s="9">
        <f t="shared" si="17"/>
        <v>6.8932247106402494E-4</v>
      </c>
      <c r="BG121" s="9">
        <f t="shared" si="18"/>
        <v>0.98364313656480795</v>
      </c>
    </row>
    <row r="122" spans="2:59" x14ac:dyDescent="0.3">
      <c r="B122" s="3" t="s">
        <v>201</v>
      </c>
      <c r="D122" s="141">
        <v>19739</v>
      </c>
      <c r="E122" s="141">
        <v>6194</v>
      </c>
      <c r="F122" s="141">
        <v>12923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5"/>
        <v>38856</v>
      </c>
      <c r="R122" s="141">
        <v>16850</v>
      </c>
      <c r="S122" s="141">
        <v>5356</v>
      </c>
      <c r="T122" s="141">
        <v>7546</v>
      </c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6"/>
        <v>29752</v>
      </c>
      <c r="AF122" s="2">
        <f t="shared" si="22"/>
        <v>0.85364000202644508</v>
      </c>
      <c r="AG122" s="2">
        <f t="shared" si="22"/>
        <v>0.86470778172424922</v>
      </c>
      <c r="AH122" s="2">
        <f t="shared" si="22"/>
        <v>0.5839201423817999</v>
      </c>
      <c r="AI122" s="2" t="str">
        <f t="shared" si="21"/>
        <v/>
      </c>
      <c r="AJ122" s="2" t="str">
        <f t="shared" si="21"/>
        <v/>
      </c>
      <c r="AK122" s="2" t="str">
        <f t="shared" si="21"/>
        <v/>
      </c>
      <c r="AL122" s="2" t="str">
        <f t="shared" si="21"/>
        <v/>
      </c>
      <c r="AM122" s="2" t="str">
        <f t="shared" si="21"/>
        <v/>
      </c>
      <c r="AN122" s="2" t="str">
        <f t="shared" si="21"/>
        <v/>
      </c>
      <c r="AO122" s="2" t="str">
        <f t="shared" si="24"/>
        <v/>
      </c>
      <c r="AP122" s="2" t="str">
        <f t="shared" si="24"/>
        <v/>
      </c>
      <c r="AQ122" s="2" t="str">
        <f t="shared" si="24"/>
        <v/>
      </c>
      <c r="AR122" s="2">
        <f t="shared" si="24"/>
        <v>0.7656989911467984</v>
      </c>
      <c r="AT122" s="2" t="str">
        <f t="shared" si="23"/>
        <v/>
      </c>
      <c r="AU122" s="2" t="str">
        <f t="shared" si="23"/>
        <v/>
      </c>
      <c r="AV122" s="143" t="str">
        <f t="shared" si="26"/>
        <v/>
      </c>
      <c r="AW122" s="143" t="str">
        <f t="shared" si="26"/>
        <v/>
      </c>
      <c r="AX122" s="143" t="str">
        <f t="shared" si="26"/>
        <v/>
      </c>
      <c r="AY122" s="143" t="str">
        <f t="shared" si="25"/>
        <v/>
      </c>
      <c r="AZ122" s="143" t="str">
        <f t="shared" si="25"/>
        <v/>
      </c>
      <c r="BA122" s="143" t="str">
        <f t="shared" si="25"/>
        <v/>
      </c>
      <c r="BB122" s="143" t="str">
        <f t="shared" si="25"/>
        <v/>
      </c>
      <c r="BC122" s="143" t="str">
        <f t="shared" si="25"/>
        <v/>
      </c>
      <c r="BD122" s="143" t="str">
        <f t="shared" si="25"/>
        <v/>
      </c>
      <c r="BF122" s="9">
        <f t="shared" si="17"/>
        <v>5.2365725401376937E-5</v>
      </c>
      <c r="BG122" s="9">
        <f t="shared" si="18"/>
        <v>0.9836955022902093</v>
      </c>
    </row>
    <row r="123" spans="2:59" x14ac:dyDescent="0.3">
      <c r="B123" s="3" t="s">
        <v>177</v>
      </c>
      <c r="D123" s="141">
        <v>378041</v>
      </c>
      <c r="E123" s="141">
        <v>353073</v>
      </c>
      <c r="F123" s="141">
        <v>355094</v>
      </c>
      <c r="G123" s="141"/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5"/>
        <v>1086208</v>
      </c>
      <c r="R123" s="141">
        <v>275828</v>
      </c>
      <c r="S123" s="141">
        <v>263125</v>
      </c>
      <c r="T123" s="141">
        <v>259923</v>
      </c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6"/>
        <v>798876</v>
      </c>
      <c r="AF123" s="2">
        <f t="shared" si="22"/>
        <v>0.72962456453136038</v>
      </c>
      <c r="AG123" s="2">
        <f t="shared" si="22"/>
        <v>0.74524248526508685</v>
      </c>
      <c r="AH123" s="2">
        <f t="shared" si="22"/>
        <v>0.73198364376756575</v>
      </c>
      <c r="AI123" s="2" t="str">
        <f t="shared" si="21"/>
        <v/>
      </c>
      <c r="AJ123" s="2" t="str">
        <f t="shared" si="21"/>
        <v/>
      </c>
      <c r="AK123" s="2" t="str">
        <f t="shared" si="21"/>
        <v/>
      </c>
      <c r="AL123" s="2" t="str">
        <f t="shared" si="21"/>
        <v/>
      </c>
      <c r="AM123" s="2" t="str">
        <f t="shared" si="21"/>
        <v/>
      </c>
      <c r="AN123" s="2" t="str">
        <f t="shared" si="21"/>
        <v/>
      </c>
      <c r="AO123" s="2" t="str">
        <f t="shared" si="24"/>
        <v/>
      </c>
      <c r="AP123" s="2" t="str">
        <f t="shared" si="24"/>
        <v/>
      </c>
      <c r="AQ123" s="2" t="str">
        <f t="shared" si="24"/>
        <v/>
      </c>
      <c r="AR123" s="2">
        <f t="shared" si="24"/>
        <v>0.73547239571058209</v>
      </c>
      <c r="AT123" s="2" t="str">
        <f t="shared" si="23"/>
        <v/>
      </c>
      <c r="AU123" s="2" t="str">
        <f t="shared" si="23"/>
        <v/>
      </c>
      <c r="AV123" s="143" t="str">
        <f t="shared" si="26"/>
        <v/>
      </c>
      <c r="AW123" s="143" t="str">
        <f t="shared" si="26"/>
        <v/>
      </c>
      <c r="AX123" s="143" t="str">
        <f t="shared" si="26"/>
        <v/>
      </c>
      <c r="AY123" s="143" t="str">
        <f t="shared" si="25"/>
        <v/>
      </c>
      <c r="AZ123" s="143" t="str">
        <f t="shared" si="25"/>
        <v/>
      </c>
      <c r="BA123" s="143" t="str">
        <f t="shared" si="25"/>
        <v/>
      </c>
      <c r="BB123" s="143" t="str">
        <f t="shared" si="25"/>
        <v/>
      </c>
      <c r="BC123" s="143" t="str">
        <f t="shared" si="25"/>
        <v/>
      </c>
      <c r="BD123" s="143" t="str">
        <f t="shared" si="25"/>
        <v/>
      </c>
      <c r="BF123" s="9">
        <f t="shared" si="17"/>
        <v>1.4060809776065611E-3</v>
      </c>
      <c r="BG123" s="9">
        <f t="shared" si="18"/>
        <v>0.98510158326781583</v>
      </c>
    </row>
    <row r="124" spans="2:59" x14ac:dyDescent="0.3">
      <c r="B124" s="3" t="s">
        <v>194</v>
      </c>
      <c r="D124" s="141">
        <v>42487</v>
      </c>
      <c r="E124" s="141">
        <v>39513</v>
      </c>
      <c r="F124" s="141">
        <v>45224</v>
      </c>
      <c r="G124" s="141"/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5"/>
        <v>127224</v>
      </c>
      <c r="R124" s="141">
        <v>32552</v>
      </c>
      <c r="S124" s="141">
        <v>29691</v>
      </c>
      <c r="T124" s="141">
        <v>22030</v>
      </c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6"/>
        <v>84273</v>
      </c>
      <c r="AF124" s="2">
        <f t="shared" si="22"/>
        <v>0.7661637677407207</v>
      </c>
      <c r="AG124" s="2">
        <f t="shared" si="22"/>
        <v>0.75142358211221627</v>
      </c>
      <c r="AH124" s="2">
        <f t="shared" si="22"/>
        <v>0.48713072704758537</v>
      </c>
      <c r="AI124" s="2" t="str">
        <f t="shared" si="21"/>
        <v/>
      </c>
      <c r="AJ124" s="2" t="str">
        <f t="shared" si="21"/>
        <v/>
      </c>
      <c r="AK124" s="2" t="str">
        <f t="shared" si="21"/>
        <v/>
      </c>
      <c r="AL124" s="2" t="str">
        <f t="shared" si="21"/>
        <v/>
      </c>
      <c r="AM124" s="2" t="str">
        <f t="shared" si="21"/>
        <v/>
      </c>
      <c r="AN124" s="2" t="str">
        <f t="shared" si="21"/>
        <v/>
      </c>
      <c r="AO124" s="2" t="str">
        <f t="shared" si="24"/>
        <v/>
      </c>
      <c r="AP124" s="2" t="str">
        <f t="shared" si="24"/>
        <v/>
      </c>
      <c r="AQ124" s="2" t="str">
        <f t="shared" si="24"/>
        <v/>
      </c>
      <c r="AR124" s="2">
        <f t="shared" si="24"/>
        <v>0.66239860403697415</v>
      </c>
      <c r="AT124" s="2" t="str">
        <f t="shared" si="23"/>
        <v/>
      </c>
      <c r="AU124" s="2" t="str">
        <f t="shared" si="23"/>
        <v/>
      </c>
      <c r="AV124" s="143" t="str">
        <f t="shared" si="26"/>
        <v/>
      </c>
      <c r="AW124" s="143" t="str">
        <f t="shared" si="26"/>
        <v/>
      </c>
      <c r="AX124" s="143" t="str">
        <f t="shared" si="26"/>
        <v/>
      </c>
      <c r="AY124" s="143" t="str">
        <f t="shared" si="25"/>
        <v/>
      </c>
      <c r="AZ124" s="143" t="str">
        <f t="shared" si="25"/>
        <v/>
      </c>
      <c r="BA124" s="143" t="str">
        <f t="shared" si="25"/>
        <v/>
      </c>
      <c r="BB124" s="143" t="str">
        <f t="shared" si="25"/>
        <v/>
      </c>
      <c r="BC124" s="143" t="str">
        <f t="shared" si="25"/>
        <v/>
      </c>
      <c r="BD124" s="143" t="str">
        <f t="shared" si="25"/>
        <v/>
      </c>
      <c r="BF124" s="9">
        <f t="shared" si="17"/>
        <v>1.483267268334982E-4</v>
      </c>
      <c r="BG124" s="9">
        <f t="shared" si="18"/>
        <v>0.98524990999464934</v>
      </c>
    </row>
    <row r="125" spans="2:59" x14ac:dyDescent="0.3">
      <c r="B125" s="3" t="s">
        <v>180</v>
      </c>
      <c r="D125" s="141">
        <v>69177</v>
      </c>
      <c r="E125" s="141">
        <v>54847</v>
      </c>
      <c r="F125" s="141">
        <v>68461</v>
      </c>
      <c r="G125" s="141"/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5"/>
        <v>192485</v>
      </c>
      <c r="R125" s="141">
        <v>43790</v>
      </c>
      <c r="S125" s="141">
        <v>45388</v>
      </c>
      <c r="T125" s="141">
        <v>55694</v>
      </c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6"/>
        <v>144872</v>
      </c>
      <c r="AF125" s="2">
        <f t="shared" si="22"/>
        <v>0.63301386298914375</v>
      </c>
      <c r="AG125" s="2">
        <f t="shared" si="22"/>
        <v>0.82753842507338593</v>
      </c>
      <c r="AH125" s="2">
        <f t="shared" si="22"/>
        <v>0.81351426359533163</v>
      </c>
      <c r="AI125" s="2" t="str">
        <f t="shared" si="21"/>
        <v/>
      </c>
      <c r="AJ125" s="2" t="str">
        <f t="shared" si="21"/>
        <v/>
      </c>
      <c r="AK125" s="2" t="str">
        <f t="shared" si="21"/>
        <v/>
      </c>
      <c r="AL125" s="2" t="str">
        <f t="shared" si="21"/>
        <v/>
      </c>
      <c r="AM125" s="2" t="str">
        <f t="shared" si="21"/>
        <v/>
      </c>
      <c r="AN125" s="2" t="str">
        <f t="shared" si="21"/>
        <v/>
      </c>
      <c r="AO125" s="2" t="str">
        <f t="shared" si="24"/>
        <v/>
      </c>
      <c r="AP125" s="2" t="str">
        <f t="shared" si="24"/>
        <v/>
      </c>
      <c r="AQ125" s="2" t="str">
        <f t="shared" si="24"/>
        <v/>
      </c>
      <c r="AR125" s="2">
        <f t="shared" si="24"/>
        <v>0.75264046549081742</v>
      </c>
      <c r="AT125" s="2" t="str">
        <f t="shared" si="23"/>
        <v/>
      </c>
      <c r="AU125" s="2" t="str">
        <f t="shared" si="23"/>
        <v/>
      </c>
      <c r="AV125" s="143" t="str">
        <f t="shared" si="26"/>
        <v/>
      </c>
      <c r="AW125" s="143" t="str">
        <f t="shared" si="26"/>
        <v/>
      </c>
      <c r="AX125" s="143" t="str">
        <f t="shared" si="26"/>
        <v/>
      </c>
      <c r="AY125" s="143" t="str">
        <f t="shared" si="25"/>
        <v/>
      </c>
      <c r="AZ125" s="143" t="str">
        <f t="shared" si="25"/>
        <v/>
      </c>
      <c r="BA125" s="143" t="str">
        <f t="shared" si="25"/>
        <v/>
      </c>
      <c r="BB125" s="143" t="str">
        <f t="shared" si="25"/>
        <v/>
      </c>
      <c r="BC125" s="143" t="str">
        <f t="shared" si="25"/>
        <v/>
      </c>
      <c r="BD125" s="143" t="str">
        <f t="shared" si="25"/>
        <v/>
      </c>
      <c r="BF125" s="9">
        <f t="shared" si="17"/>
        <v>2.5498545880439232E-4</v>
      </c>
      <c r="BG125" s="9">
        <f t="shared" si="18"/>
        <v>0.98550489545345377</v>
      </c>
    </row>
    <row r="126" spans="2:59" x14ac:dyDescent="0.3">
      <c r="B126" s="3" t="s">
        <v>210</v>
      </c>
      <c r="D126" s="141">
        <v>63771</v>
      </c>
      <c r="E126" s="141">
        <v>41310</v>
      </c>
      <c r="F126" s="141">
        <v>33305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5"/>
        <v>138386</v>
      </c>
      <c r="R126" s="141">
        <v>48347</v>
      </c>
      <c r="S126" s="141">
        <v>26315</v>
      </c>
      <c r="T126" s="141">
        <v>23881</v>
      </c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6"/>
        <v>98543</v>
      </c>
      <c r="AF126" s="2">
        <f t="shared" si="22"/>
        <v>0.75813457527716355</v>
      </c>
      <c r="AG126" s="2">
        <f t="shared" si="22"/>
        <v>0.63701282982328733</v>
      </c>
      <c r="AH126" s="2">
        <f t="shared" si="22"/>
        <v>0.71703948356102687</v>
      </c>
      <c r="AI126" s="2" t="str">
        <f t="shared" si="21"/>
        <v/>
      </c>
      <c r="AJ126" s="2" t="str">
        <f t="shared" si="21"/>
        <v/>
      </c>
      <c r="AK126" s="2" t="str">
        <f t="shared" si="21"/>
        <v/>
      </c>
      <c r="AL126" s="2" t="str">
        <f t="shared" si="21"/>
        <v/>
      </c>
      <c r="AM126" s="2" t="str">
        <f t="shared" si="21"/>
        <v/>
      </c>
      <c r="AN126" s="2" t="str">
        <f t="shared" si="21"/>
        <v/>
      </c>
      <c r="AO126" s="2" t="str">
        <f t="shared" si="24"/>
        <v/>
      </c>
      <c r="AP126" s="2" t="str">
        <f t="shared" si="24"/>
        <v/>
      </c>
      <c r="AQ126" s="2" t="str">
        <f t="shared" si="24"/>
        <v/>
      </c>
      <c r="AR126" s="2">
        <f t="shared" si="24"/>
        <v>0.7120879279695923</v>
      </c>
      <c r="AT126" s="2" t="str">
        <f t="shared" si="23"/>
        <v/>
      </c>
      <c r="AU126" s="2" t="str">
        <f t="shared" si="23"/>
        <v/>
      </c>
      <c r="AV126" s="143" t="str">
        <f t="shared" si="26"/>
        <v/>
      </c>
      <c r="AW126" s="143" t="str">
        <f t="shared" si="26"/>
        <v/>
      </c>
      <c r="AX126" s="143" t="str">
        <f t="shared" si="26"/>
        <v/>
      </c>
      <c r="AY126" s="143" t="str">
        <f t="shared" si="25"/>
        <v/>
      </c>
      <c r="AZ126" s="143" t="str">
        <f t="shared" si="25"/>
        <v/>
      </c>
      <c r="BA126" s="143" t="str">
        <f t="shared" si="25"/>
        <v/>
      </c>
      <c r="BB126" s="143" t="str">
        <f t="shared" si="25"/>
        <v/>
      </c>
      <c r="BC126" s="143" t="str">
        <f t="shared" si="25"/>
        <v/>
      </c>
      <c r="BD126" s="143" t="str">
        <f t="shared" si="25"/>
        <v/>
      </c>
      <c r="BF126" s="9">
        <f t="shared" si="17"/>
        <v>1.7344298461373649E-4</v>
      </c>
      <c r="BG126" s="9">
        <f t="shared" si="18"/>
        <v>0.98567833843806751</v>
      </c>
    </row>
    <row r="127" spans="2:59" x14ac:dyDescent="0.3">
      <c r="B127" s="3" t="s">
        <v>189</v>
      </c>
      <c r="D127" s="141">
        <v>27292</v>
      </c>
      <c r="E127" s="141">
        <v>12525</v>
      </c>
      <c r="F127" s="141">
        <v>18273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5"/>
        <v>58090</v>
      </c>
      <c r="R127" s="141">
        <v>15298</v>
      </c>
      <c r="S127" s="141">
        <v>7030</v>
      </c>
      <c r="T127" s="141">
        <v>13749</v>
      </c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6"/>
        <v>36077</v>
      </c>
      <c r="AF127" s="2">
        <f t="shared" si="22"/>
        <v>0.56053055840539356</v>
      </c>
      <c r="AG127" s="2">
        <f t="shared" si="22"/>
        <v>0.56127744510978039</v>
      </c>
      <c r="AH127" s="2">
        <f t="shared" si="22"/>
        <v>0.75242160564767691</v>
      </c>
      <c r="AI127" s="2" t="str">
        <f t="shared" si="21"/>
        <v/>
      </c>
      <c r="AJ127" s="2" t="str">
        <f t="shared" si="21"/>
        <v/>
      </c>
      <c r="AK127" s="2" t="str">
        <f t="shared" si="21"/>
        <v/>
      </c>
      <c r="AL127" s="2" t="str">
        <f t="shared" si="21"/>
        <v/>
      </c>
      <c r="AM127" s="2" t="str">
        <f t="shared" si="21"/>
        <v/>
      </c>
      <c r="AN127" s="2" t="str">
        <f t="shared" si="21"/>
        <v/>
      </c>
      <c r="AO127" s="2" t="str">
        <f t="shared" si="24"/>
        <v/>
      </c>
      <c r="AP127" s="2" t="str">
        <f t="shared" si="24"/>
        <v/>
      </c>
      <c r="AQ127" s="2" t="str">
        <f t="shared" si="24"/>
        <v/>
      </c>
      <c r="AR127" s="2">
        <f t="shared" si="24"/>
        <v>0.62105353761404714</v>
      </c>
      <c r="AT127" s="2" t="str">
        <f t="shared" si="23"/>
        <v/>
      </c>
      <c r="AU127" s="2" t="str">
        <f t="shared" si="23"/>
        <v/>
      </c>
      <c r="AV127" s="143" t="str">
        <f t="shared" si="26"/>
        <v/>
      </c>
      <c r="AW127" s="143" t="str">
        <f t="shared" si="26"/>
        <v/>
      </c>
      <c r="AX127" s="143" t="str">
        <f t="shared" si="26"/>
        <v/>
      </c>
      <c r="AY127" s="143" t="str">
        <f t="shared" si="25"/>
        <v/>
      </c>
      <c r="AZ127" s="143" t="str">
        <f t="shared" si="25"/>
        <v/>
      </c>
      <c r="BA127" s="143" t="str">
        <f t="shared" si="25"/>
        <v/>
      </c>
      <c r="BB127" s="143" t="str">
        <f t="shared" si="25"/>
        <v/>
      </c>
      <c r="BC127" s="143" t="str">
        <f t="shared" si="25"/>
        <v/>
      </c>
      <c r="BD127" s="143" t="str">
        <f t="shared" si="25"/>
        <v/>
      </c>
      <c r="BF127" s="9">
        <f t="shared" si="17"/>
        <v>6.3498194249310153E-5</v>
      </c>
      <c r="BG127" s="9">
        <f t="shared" si="18"/>
        <v>0.98574183663231685</v>
      </c>
    </row>
    <row r="128" spans="2:59" x14ac:dyDescent="0.3">
      <c r="B128" s="3" t="s">
        <v>196</v>
      </c>
      <c r="D128" s="141">
        <v>74245</v>
      </c>
      <c r="E128" s="141">
        <v>63853</v>
      </c>
      <c r="F128" s="141">
        <v>51720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5"/>
        <v>189818</v>
      </c>
      <c r="R128" s="141">
        <v>54043</v>
      </c>
      <c r="S128" s="141">
        <v>45784</v>
      </c>
      <c r="T128" s="141">
        <v>36957</v>
      </c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6"/>
        <v>136784</v>
      </c>
      <c r="AF128" s="2">
        <f t="shared" si="22"/>
        <v>0.72790086874537008</v>
      </c>
      <c r="AG128" s="2">
        <f t="shared" si="22"/>
        <v>0.7170219096988395</v>
      </c>
      <c r="AH128" s="2">
        <f t="shared" si="22"/>
        <v>0.71455916473317871</v>
      </c>
      <c r="AI128" s="2" t="str">
        <f t="shared" si="21"/>
        <v/>
      </c>
      <c r="AJ128" s="2" t="str">
        <f t="shared" si="21"/>
        <v/>
      </c>
      <c r="AK128" s="2" t="str">
        <f t="shared" si="21"/>
        <v/>
      </c>
      <c r="AL128" s="2" t="str">
        <f t="shared" si="21"/>
        <v/>
      </c>
      <c r="AM128" s="2" t="str">
        <f t="shared" si="21"/>
        <v/>
      </c>
      <c r="AN128" s="2" t="str">
        <f t="shared" si="21"/>
        <v/>
      </c>
      <c r="AO128" s="2" t="str">
        <f t="shared" si="24"/>
        <v/>
      </c>
      <c r="AP128" s="2" t="str">
        <f t="shared" si="24"/>
        <v/>
      </c>
      <c r="AQ128" s="2" t="str">
        <f t="shared" si="24"/>
        <v/>
      </c>
      <c r="AR128" s="2">
        <f t="shared" si="24"/>
        <v>0.72060605422035839</v>
      </c>
      <c r="AT128" s="2" t="str">
        <f t="shared" si="23"/>
        <v/>
      </c>
      <c r="AU128" s="2" t="str">
        <f t="shared" si="23"/>
        <v/>
      </c>
      <c r="AV128" s="143" t="str">
        <f t="shared" si="26"/>
        <v/>
      </c>
      <c r="AW128" s="143" t="str">
        <f t="shared" si="26"/>
        <v/>
      </c>
      <c r="AX128" s="143" t="str">
        <f t="shared" si="26"/>
        <v/>
      </c>
      <c r="AY128" s="143" t="str">
        <f t="shared" si="25"/>
        <v/>
      </c>
      <c r="AZ128" s="143" t="str">
        <f t="shared" si="25"/>
        <v/>
      </c>
      <c r="BA128" s="143" t="str">
        <f t="shared" si="25"/>
        <v/>
      </c>
      <c r="BB128" s="143" t="str">
        <f t="shared" si="25"/>
        <v/>
      </c>
      <c r="BC128" s="143" t="str">
        <f t="shared" si="25"/>
        <v/>
      </c>
      <c r="BD128" s="143" t="str">
        <f t="shared" si="25"/>
        <v/>
      </c>
      <c r="BF128" s="9">
        <f t="shared" si="17"/>
        <v>2.4074997927204703E-4</v>
      </c>
      <c r="BG128" s="9">
        <f t="shared" si="18"/>
        <v>0.98598258661158888</v>
      </c>
    </row>
    <row r="129" spans="2:59" x14ac:dyDescent="0.3">
      <c r="B129" s="3" t="s">
        <v>207</v>
      </c>
      <c r="D129" s="141">
        <v>62625</v>
      </c>
      <c r="E129" s="141">
        <v>58565</v>
      </c>
      <c r="F129" s="141">
        <v>65466</v>
      </c>
      <c r="G129" s="141"/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5"/>
        <v>186656</v>
      </c>
      <c r="R129" s="141">
        <v>48546</v>
      </c>
      <c r="S129" s="141">
        <v>45757</v>
      </c>
      <c r="T129" s="141">
        <v>50056</v>
      </c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6"/>
        <v>144359</v>
      </c>
      <c r="AF129" s="2">
        <f t="shared" si="22"/>
        <v>0.77518562874251495</v>
      </c>
      <c r="AG129" s="2">
        <f t="shared" si="22"/>
        <v>0.78130282591991806</v>
      </c>
      <c r="AH129" s="2">
        <f t="shared" si="22"/>
        <v>0.7646106375828674</v>
      </c>
      <c r="AI129" s="2" t="str">
        <f t="shared" si="21"/>
        <v/>
      </c>
      <c r="AJ129" s="2" t="str">
        <f t="shared" si="21"/>
        <v/>
      </c>
      <c r="AK129" s="2" t="str">
        <f t="shared" si="21"/>
        <v/>
      </c>
      <c r="AL129" s="2" t="str">
        <f t="shared" si="21"/>
        <v/>
      </c>
      <c r="AM129" s="2" t="str">
        <f t="shared" si="21"/>
        <v/>
      </c>
      <c r="AN129" s="2" t="str">
        <f t="shared" si="21"/>
        <v/>
      </c>
      <c r="AO129" s="2" t="str">
        <f t="shared" si="24"/>
        <v/>
      </c>
      <c r="AP129" s="2" t="str">
        <f t="shared" si="24"/>
        <v/>
      </c>
      <c r="AQ129" s="2" t="str">
        <f t="shared" si="24"/>
        <v/>
      </c>
      <c r="AR129" s="2">
        <f t="shared" si="24"/>
        <v>0.77339597977027263</v>
      </c>
      <c r="AT129" s="2" t="str">
        <f t="shared" si="23"/>
        <v/>
      </c>
      <c r="AU129" s="2" t="str">
        <f t="shared" si="23"/>
        <v/>
      </c>
      <c r="AV129" s="143" t="str">
        <f t="shared" si="26"/>
        <v/>
      </c>
      <c r="AW129" s="143" t="str">
        <f t="shared" si="26"/>
        <v/>
      </c>
      <c r="AX129" s="143" t="str">
        <f t="shared" si="26"/>
        <v/>
      </c>
      <c r="AY129" s="143" t="str">
        <f t="shared" si="25"/>
        <v/>
      </c>
      <c r="AZ129" s="143" t="str">
        <f t="shared" si="25"/>
        <v/>
      </c>
      <c r="BA129" s="143" t="str">
        <f t="shared" si="25"/>
        <v/>
      </c>
      <c r="BB129" s="143" t="str">
        <f t="shared" si="25"/>
        <v/>
      </c>
      <c r="BC129" s="143" t="str">
        <f t="shared" si="25"/>
        <v/>
      </c>
      <c r="BD129" s="143" t="str">
        <f t="shared" si="25"/>
        <v/>
      </c>
      <c r="BF129" s="9">
        <f t="shared" si="17"/>
        <v>2.5408254077767458E-4</v>
      </c>
      <c r="BG129" s="9">
        <f t="shared" si="18"/>
        <v>0.98623666915236652</v>
      </c>
    </row>
    <row r="130" spans="2:59" x14ac:dyDescent="0.3">
      <c r="B130" s="3" t="s">
        <v>211</v>
      </c>
      <c r="D130" s="141">
        <v>51634</v>
      </c>
      <c r="E130" s="141">
        <v>34824</v>
      </c>
      <c r="F130" s="141">
        <v>35855</v>
      </c>
      <c r="G130" s="141"/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5"/>
        <v>122313</v>
      </c>
      <c r="R130" s="141">
        <v>39039</v>
      </c>
      <c r="S130" s="141">
        <v>27126</v>
      </c>
      <c r="T130" s="141">
        <v>25151</v>
      </c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6"/>
        <v>91316</v>
      </c>
      <c r="AF130" s="2">
        <f t="shared" si="22"/>
        <v>0.75607158074137193</v>
      </c>
      <c r="AG130" s="2">
        <f t="shared" si="22"/>
        <v>0.7789455547898001</v>
      </c>
      <c r="AH130" s="2">
        <f t="shared" si="22"/>
        <v>0.70146423093013521</v>
      </c>
      <c r="AI130" s="2" t="str">
        <f t="shared" si="21"/>
        <v/>
      </c>
      <c r="AJ130" s="2" t="str">
        <f t="shared" si="21"/>
        <v/>
      </c>
      <c r="AK130" s="2" t="str">
        <f t="shared" si="21"/>
        <v/>
      </c>
      <c r="AL130" s="2" t="str">
        <f t="shared" si="21"/>
        <v/>
      </c>
      <c r="AM130" s="2" t="str">
        <f t="shared" si="21"/>
        <v/>
      </c>
      <c r="AN130" s="2" t="str">
        <f t="shared" si="21"/>
        <v/>
      </c>
      <c r="AO130" s="2" t="str">
        <f t="shared" si="24"/>
        <v/>
      </c>
      <c r="AP130" s="2" t="str">
        <f t="shared" si="24"/>
        <v/>
      </c>
      <c r="AQ130" s="2" t="str">
        <f t="shared" si="24"/>
        <v/>
      </c>
      <c r="AR130" s="2">
        <f t="shared" si="24"/>
        <v>0.74657640643267686</v>
      </c>
      <c r="AT130" s="2" t="str">
        <f t="shared" si="23"/>
        <v/>
      </c>
      <c r="AU130" s="2" t="str">
        <f t="shared" si="23"/>
        <v/>
      </c>
      <c r="AV130" s="143" t="str">
        <f t="shared" si="26"/>
        <v/>
      </c>
      <c r="AW130" s="143" t="str">
        <f t="shared" si="26"/>
        <v/>
      </c>
      <c r="AX130" s="143" t="str">
        <f t="shared" si="26"/>
        <v/>
      </c>
      <c r="AY130" s="143" t="str">
        <f t="shared" si="25"/>
        <v/>
      </c>
      <c r="AZ130" s="143" t="str">
        <f t="shared" si="25"/>
        <v/>
      </c>
      <c r="BA130" s="143" t="str">
        <f t="shared" si="25"/>
        <v/>
      </c>
      <c r="BB130" s="143" t="str">
        <f t="shared" si="25"/>
        <v/>
      </c>
      <c r="BC130" s="143" t="str">
        <f t="shared" si="25"/>
        <v/>
      </c>
      <c r="BD130" s="143" t="str">
        <f t="shared" si="25"/>
        <v/>
      </c>
      <c r="BF130" s="9">
        <f t="shared" si="17"/>
        <v>1.6072292890401105E-4</v>
      </c>
      <c r="BG130" s="9">
        <f t="shared" si="18"/>
        <v>0.98639739208127053</v>
      </c>
    </row>
    <row r="131" spans="2:59" x14ac:dyDescent="0.3">
      <c r="B131" s="3" t="s">
        <v>240</v>
      </c>
      <c r="D131" s="141">
        <v>5890</v>
      </c>
      <c r="E131" s="141">
        <v>8256</v>
      </c>
      <c r="F131" s="141">
        <v>23749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5"/>
        <v>37895</v>
      </c>
      <c r="R131" s="141">
        <v>3395</v>
      </c>
      <c r="S131" s="141">
        <v>5902</v>
      </c>
      <c r="T131" s="141">
        <v>14710</v>
      </c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6"/>
        <v>24007</v>
      </c>
      <c r="AF131" s="2">
        <f t="shared" si="22"/>
        <v>0.57640067911714776</v>
      </c>
      <c r="AG131" s="2">
        <f t="shared" si="22"/>
        <v>0.71487403100775193</v>
      </c>
      <c r="AH131" s="2">
        <f t="shared" si="22"/>
        <v>0.61939450082108716</v>
      </c>
      <c r="AI131" s="2" t="str">
        <f t="shared" si="21"/>
        <v/>
      </c>
      <c r="AJ131" s="2" t="str">
        <f t="shared" si="21"/>
        <v/>
      </c>
      <c r="AK131" s="2" t="str">
        <f t="shared" si="21"/>
        <v/>
      </c>
      <c r="AL131" s="2" t="str">
        <f t="shared" si="21"/>
        <v/>
      </c>
      <c r="AM131" s="2" t="str">
        <f t="shared" si="21"/>
        <v/>
      </c>
      <c r="AN131" s="2" t="str">
        <f t="shared" si="21"/>
        <v/>
      </c>
      <c r="AO131" s="2" t="str">
        <f t="shared" si="24"/>
        <v/>
      </c>
      <c r="AP131" s="2" t="str">
        <f t="shared" si="24"/>
        <v/>
      </c>
      <c r="AQ131" s="2" t="str">
        <f t="shared" si="24"/>
        <v/>
      </c>
      <c r="AR131" s="2">
        <f t="shared" si="24"/>
        <v>0.63351365615516564</v>
      </c>
      <c r="AT131" s="2" t="str">
        <f t="shared" si="23"/>
        <v/>
      </c>
      <c r="AU131" s="2" t="str">
        <f t="shared" si="23"/>
        <v/>
      </c>
      <c r="AV131" s="143" t="str">
        <f t="shared" si="26"/>
        <v/>
      </c>
      <c r="AW131" s="143" t="str">
        <f t="shared" si="26"/>
        <v/>
      </c>
      <c r="AX131" s="143" t="str">
        <f t="shared" si="26"/>
        <v/>
      </c>
      <c r="AY131" s="143" t="str">
        <f t="shared" si="25"/>
        <v/>
      </c>
      <c r="AZ131" s="143" t="str">
        <f t="shared" si="25"/>
        <v/>
      </c>
      <c r="BA131" s="143" t="str">
        <f t="shared" si="25"/>
        <v/>
      </c>
      <c r="BB131" s="143" t="str">
        <f t="shared" si="25"/>
        <v/>
      </c>
      <c r="BC131" s="143" t="str">
        <f t="shared" si="25"/>
        <v/>
      </c>
      <c r="BD131" s="143" t="str">
        <f t="shared" si="25"/>
        <v/>
      </c>
      <c r="BF131" s="9">
        <f t="shared" si="17"/>
        <v>4.2254099546613884E-5</v>
      </c>
      <c r="BG131" s="9">
        <f t="shared" si="18"/>
        <v>0.98643964618081714</v>
      </c>
    </row>
    <row r="132" spans="2:59" x14ac:dyDescent="0.3">
      <c r="B132" s="3" t="s">
        <v>206</v>
      </c>
      <c r="D132" s="141">
        <v>37365</v>
      </c>
      <c r="E132" s="141">
        <v>32893</v>
      </c>
      <c r="F132" s="141">
        <v>47195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5"/>
        <v>117453</v>
      </c>
      <c r="R132" s="141">
        <v>25299</v>
      </c>
      <c r="S132" s="141">
        <v>22675</v>
      </c>
      <c r="T132" s="141">
        <v>29261</v>
      </c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6"/>
        <v>77235</v>
      </c>
      <c r="AF132" s="2">
        <f t="shared" si="22"/>
        <v>0.67707747892412684</v>
      </c>
      <c r="AG132" s="2">
        <f t="shared" si="22"/>
        <v>0.68935639801781534</v>
      </c>
      <c r="AH132" s="2">
        <f t="shared" si="22"/>
        <v>0.62000211886852419</v>
      </c>
      <c r="AI132" s="2" t="str">
        <f t="shared" si="21"/>
        <v/>
      </c>
      <c r="AJ132" s="2" t="str">
        <f t="shared" si="21"/>
        <v/>
      </c>
      <c r="AK132" s="2" t="str">
        <f t="shared" si="21"/>
        <v/>
      </c>
      <c r="AL132" s="2" t="str">
        <f t="shared" si="21"/>
        <v/>
      </c>
      <c r="AM132" s="2" t="str">
        <f t="shared" si="21"/>
        <v/>
      </c>
      <c r="AN132" s="2" t="str">
        <f t="shared" si="21"/>
        <v/>
      </c>
      <c r="AO132" s="2" t="str">
        <f t="shared" si="24"/>
        <v/>
      </c>
      <c r="AP132" s="2" t="str">
        <f t="shared" si="24"/>
        <v/>
      </c>
      <c r="AQ132" s="2" t="str">
        <f t="shared" si="24"/>
        <v/>
      </c>
      <c r="AR132" s="2">
        <f t="shared" si="24"/>
        <v>0.65758218180889372</v>
      </c>
      <c r="AT132" s="2" t="str">
        <f t="shared" si="23"/>
        <v/>
      </c>
      <c r="AU132" s="2" t="str">
        <f t="shared" si="23"/>
        <v/>
      </c>
      <c r="AV132" s="143" t="str">
        <f t="shared" si="26"/>
        <v/>
      </c>
      <c r="AW132" s="143" t="str">
        <f t="shared" si="26"/>
        <v/>
      </c>
      <c r="AX132" s="143" t="str">
        <f t="shared" si="26"/>
        <v/>
      </c>
      <c r="AY132" s="143" t="str">
        <f t="shared" si="25"/>
        <v/>
      </c>
      <c r="AZ132" s="143" t="str">
        <f t="shared" si="25"/>
        <v/>
      </c>
      <c r="BA132" s="143" t="str">
        <f t="shared" si="25"/>
        <v/>
      </c>
      <c r="BB132" s="143" t="str">
        <f t="shared" si="25"/>
        <v/>
      </c>
      <c r="BC132" s="143" t="str">
        <f t="shared" si="25"/>
        <v/>
      </c>
      <c r="BD132" s="143" t="str">
        <f t="shared" si="25"/>
        <v/>
      </c>
      <c r="BF132" s="9">
        <f t="shared" si="17"/>
        <v>1.3593932513361617E-4</v>
      </c>
      <c r="BG132" s="9">
        <f t="shared" si="18"/>
        <v>0.98657558550595081</v>
      </c>
    </row>
    <row r="133" spans="2:59" x14ac:dyDescent="0.3">
      <c r="B133" s="3" t="s">
        <v>231</v>
      </c>
      <c r="D133" s="141">
        <v>15152</v>
      </c>
      <c r="E133" s="141">
        <v>15972</v>
      </c>
      <c r="F133" s="141">
        <v>14617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6" si="27">+SUM(D133:O133)</f>
        <v>45741</v>
      </c>
      <c r="R133" s="141">
        <v>14668</v>
      </c>
      <c r="S133" s="141">
        <v>15512</v>
      </c>
      <c r="T133" s="141">
        <v>13891</v>
      </c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6" si="28">+SUM(R133:AC133)</f>
        <v>44071</v>
      </c>
      <c r="AF133" s="2">
        <f t="shared" si="22"/>
        <v>0.96805702217529044</v>
      </c>
      <c r="AG133" s="2">
        <f t="shared" si="22"/>
        <v>0.97119959929877286</v>
      </c>
      <c r="AH133" s="2">
        <f t="shared" si="22"/>
        <v>0.95033180543203122</v>
      </c>
      <c r="AI133" s="2" t="str">
        <f t="shared" si="21"/>
        <v/>
      </c>
      <c r="AJ133" s="2" t="str">
        <f t="shared" si="21"/>
        <v/>
      </c>
      <c r="AK133" s="2" t="str">
        <f t="shared" si="21"/>
        <v/>
      </c>
      <c r="AL133" s="2" t="str">
        <f t="shared" si="21"/>
        <v/>
      </c>
      <c r="AM133" s="2" t="str">
        <f t="shared" si="21"/>
        <v/>
      </c>
      <c r="AN133" s="2" t="str">
        <f t="shared" si="21"/>
        <v/>
      </c>
      <c r="AO133" s="2" t="str">
        <f t="shared" si="24"/>
        <v/>
      </c>
      <c r="AP133" s="2" t="str">
        <f t="shared" si="24"/>
        <v/>
      </c>
      <c r="AQ133" s="2" t="str">
        <f t="shared" si="24"/>
        <v/>
      </c>
      <c r="AR133" s="2">
        <f t="shared" si="24"/>
        <v>0.96349008548129689</v>
      </c>
      <c r="AT133" s="2" t="str">
        <f t="shared" si="23"/>
        <v/>
      </c>
      <c r="AU133" s="2" t="str">
        <f t="shared" si="23"/>
        <v/>
      </c>
      <c r="AV133" s="143" t="str">
        <f t="shared" si="26"/>
        <v/>
      </c>
      <c r="AW133" s="143" t="str">
        <f t="shared" si="26"/>
        <v/>
      </c>
      <c r="AX133" s="143" t="str">
        <f t="shared" si="26"/>
        <v/>
      </c>
      <c r="AY133" s="143" t="str">
        <f t="shared" si="25"/>
        <v/>
      </c>
      <c r="AZ133" s="143" t="str">
        <f t="shared" si="25"/>
        <v/>
      </c>
      <c r="BA133" s="143" t="str">
        <f t="shared" si="25"/>
        <v/>
      </c>
      <c r="BB133" s="143" t="str">
        <f t="shared" si="25"/>
        <v/>
      </c>
      <c r="BC133" s="143" t="str">
        <f t="shared" si="25"/>
        <v/>
      </c>
      <c r="BD133" s="143" t="str">
        <f t="shared" si="25"/>
        <v/>
      </c>
      <c r="BF133" s="9">
        <f t="shared" ref="BF133:BF196" si="29">+AD133/$AD$257</f>
        <v>7.756822681379683E-5</v>
      </c>
      <c r="BG133" s="9">
        <f t="shared" si="18"/>
        <v>0.98665315373276463</v>
      </c>
    </row>
    <row r="134" spans="2:59" x14ac:dyDescent="0.3">
      <c r="B134" s="3" t="s">
        <v>291</v>
      </c>
      <c r="D134" s="141">
        <v>41991</v>
      </c>
      <c r="E134" s="141">
        <v>63170</v>
      </c>
      <c r="F134" s="141">
        <v>84052</v>
      </c>
      <c r="G134" s="141"/>
      <c r="H134" s="141"/>
      <c r="I134" s="141"/>
      <c r="J134" s="141"/>
      <c r="K134" s="141"/>
      <c r="L134" s="141"/>
      <c r="M134" s="141"/>
      <c r="N134" s="141"/>
      <c r="O134" s="141"/>
      <c r="P134" s="141">
        <f t="shared" si="27"/>
        <v>189213</v>
      </c>
      <c r="R134" s="141">
        <v>23973</v>
      </c>
      <c r="S134" s="141">
        <v>47668</v>
      </c>
      <c r="T134" s="141">
        <v>66789</v>
      </c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28"/>
        <v>138430</v>
      </c>
      <c r="AF134" s="2">
        <f t="shared" si="22"/>
        <v>0.57090805172536974</v>
      </c>
      <c r="AG134" s="2">
        <f t="shared" si="22"/>
        <v>0.75459870191546619</v>
      </c>
      <c r="AH134" s="2">
        <f t="shared" si="22"/>
        <v>0.79461523818588498</v>
      </c>
      <c r="AI134" s="2" t="str">
        <f t="shared" si="21"/>
        <v/>
      </c>
      <c r="AJ134" s="2" t="str">
        <f t="shared" si="21"/>
        <v/>
      </c>
      <c r="AK134" s="2" t="str">
        <f t="shared" si="21"/>
        <v/>
      </c>
      <c r="AL134" s="2" t="str">
        <f t="shared" si="21"/>
        <v/>
      </c>
      <c r="AM134" s="2" t="str">
        <f t="shared" si="21"/>
        <v/>
      </c>
      <c r="AN134" s="2" t="str">
        <f t="shared" si="21"/>
        <v/>
      </c>
      <c r="AO134" s="2" t="str">
        <f t="shared" si="24"/>
        <v/>
      </c>
      <c r="AP134" s="2" t="str">
        <f t="shared" si="24"/>
        <v/>
      </c>
      <c r="AQ134" s="2" t="str">
        <f t="shared" si="24"/>
        <v/>
      </c>
      <c r="AR134" s="2">
        <f t="shared" si="24"/>
        <v>0.73160935030891117</v>
      </c>
      <c r="AT134" s="2" t="str">
        <f t="shared" si="23"/>
        <v/>
      </c>
      <c r="AU134" s="2" t="str">
        <f t="shared" si="23"/>
        <v/>
      </c>
      <c r="AV134" s="143" t="str">
        <f t="shared" si="26"/>
        <v/>
      </c>
      <c r="AW134" s="143" t="str">
        <f t="shared" si="26"/>
        <v/>
      </c>
      <c r="AX134" s="143" t="str">
        <f t="shared" si="26"/>
        <v/>
      </c>
      <c r="AY134" s="143" t="str">
        <f t="shared" si="25"/>
        <v/>
      </c>
      <c r="AZ134" s="143" t="str">
        <f t="shared" si="25"/>
        <v/>
      </c>
      <c r="BA134" s="143" t="str">
        <f t="shared" si="25"/>
        <v/>
      </c>
      <c r="BB134" s="143" t="str">
        <f t="shared" si="25"/>
        <v/>
      </c>
      <c r="BC134" s="143" t="str">
        <f t="shared" si="25"/>
        <v/>
      </c>
      <c r="BD134" s="143" t="str">
        <f t="shared" si="25"/>
        <v/>
      </c>
      <c r="BF134" s="9">
        <f t="shared" si="29"/>
        <v>2.4364706128369889E-4</v>
      </c>
      <c r="BG134" s="9">
        <f t="shared" ref="BG134:BG197" si="30">+BF134+BG133</f>
        <v>0.98689680079404829</v>
      </c>
    </row>
    <row r="135" spans="2:59" x14ac:dyDescent="0.3">
      <c r="B135" s="3" t="s">
        <v>208</v>
      </c>
      <c r="D135" s="141">
        <v>14178</v>
      </c>
      <c r="E135" s="141">
        <v>32159</v>
      </c>
      <c r="F135" s="141">
        <v>6209</v>
      </c>
      <c r="G135" s="141"/>
      <c r="H135" s="141"/>
      <c r="I135" s="141"/>
      <c r="J135" s="141"/>
      <c r="K135" s="141"/>
      <c r="L135" s="141"/>
      <c r="M135" s="141"/>
      <c r="N135" s="141"/>
      <c r="O135" s="141"/>
      <c r="P135" s="141">
        <f t="shared" si="27"/>
        <v>52546</v>
      </c>
      <c r="R135" s="141">
        <v>10065</v>
      </c>
      <c r="S135" s="141">
        <v>25235</v>
      </c>
      <c r="T135" s="141">
        <v>3776</v>
      </c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28"/>
        <v>39076</v>
      </c>
      <c r="AF135" s="2">
        <f t="shared" si="22"/>
        <v>0.70990266610241215</v>
      </c>
      <c r="AG135" s="2">
        <f t="shared" si="22"/>
        <v>0.78469479772380979</v>
      </c>
      <c r="AH135" s="2">
        <f t="shared" si="22"/>
        <v>0.60814946046062168</v>
      </c>
      <c r="AI135" s="2" t="str">
        <f t="shared" si="21"/>
        <v/>
      </c>
      <c r="AJ135" s="2" t="str">
        <f t="shared" si="21"/>
        <v/>
      </c>
      <c r="AK135" s="2" t="str">
        <f t="shared" si="21"/>
        <v/>
      </c>
      <c r="AL135" s="2" t="str">
        <f t="shared" si="21"/>
        <v/>
      </c>
      <c r="AM135" s="2" t="str">
        <f t="shared" si="21"/>
        <v/>
      </c>
      <c r="AN135" s="2" t="str">
        <f t="shared" si="21"/>
        <v/>
      </c>
      <c r="AO135" s="2" t="str">
        <f t="shared" si="24"/>
        <v/>
      </c>
      <c r="AP135" s="2" t="str">
        <f t="shared" si="24"/>
        <v/>
      </c>
      <c r="AQ135" s="2" t="str">
        <f t="shared" si="24"/>
        <v/>
      </c>
      <c r="AR135" s="2">
        <f t="shared" si="24"/>
        <v>0.74365318007079506</v>
      </c>
      <c r="AT135" s="2" t="str">
        <f t="shared" si="23"/>
        <v/>
      </c>
      <c r="AU135" s="2" t="str">
        <f t="shared" si="23"/>
        <v/>
      </c>
      <c r="AV135" s="143" t="str">
        <f t="shared" si="26"/>
        <v/>
      </c>
      <c r="AW135" s="143" t="str">
        <f t="shared" si="26"/>
        <v/>
      </c>
      <c r="AX135" s="143" t="str">
        <f t="shared" si="26"/>
        <v/>
      </c>
      <c r="AY135" s="143" t="str">
        <f t="shared" si="25"/>
        <v/>
      </c>
      <c r="AZ135" s="143" t="str">
        <f t="shared" si="25"/>
        <v/>
      </c>
      <c r="BA135" s="143" t="str">
        <f t="shared" si="25"/>
        <v/>
      </c>
      <c r="BB135" s="143" t="str">
        <f t="shared" si="25"/>
        <v/>
      </c>
      <c r="BC135" s="143" t="str">
        <f t="shared" si="25"/>
        <v/>
      </c>
      <c r="BD135" s="143" t="str">
        <f t="shared" si="25"/>
        <v/>
      </c>
      <c r="BF135" s="9">
        <f t="shared" si="29"/>
        <v>6.8776656553650348E-5</v>
      </c>
      <c r="BG135" s="9">
        <f t="shared" si="30"/>
        <v>0.98696557745060198</v>
      </c>
    </row>
    <row r="136" spans="2:59" x14ac:dyDescent="0.3">
      <c r="B136" s="3" t="s">
        <v>232</v>
      </c>
      <c r="D136" s="141">
        <v>58596</v>
      </c>
      <c r="E136" s="141">
        <v>213454</v>
      </c>
      <c r="F136" s="141">
        <v>194100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41">
        <f t="shared" si="27"/>
        <v>466150</v>
      </c>
      <c r="R136" s="141">
        <v>48264</v>
      </c>
      <c r="S136" s="141">
        <v>158165</v>
      </c>
      <c r="T136" s="141">
        <v>143601</v>
      </c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28"/>
        <v>350030</v>
      </c>
      <c r="AF136" s="2">
        <f t="shared" si="22"/>
        <v>0.82367397091951666</v>
      </c>
      <c r="AG136" s="2">
        <f t="shared" si="22"/>
        <v>0.74097932107151887</v>
      </c>
      <c r="AH136" s="2">
        <f t="shared" si="22"/>
        <v>0.73982998454404947</v>
      </c>
      <c r="AI136" s="2" t="str">
        <f t="shared" si="21"/>
        <v/>
      </c>
      <c r="AJ136" s="2" t="str">
        <f t="shared" si="21"/>
        <v/>
      </c>
      <c r="AK136" s="2" t="str">
        <f t="shared" si="21"/>
        <v/>
      </c>
      <c r="AL136" s="2" t="str">
        <f t="shared" si="21"/>
        <v/>
      </c>
      <c r="AM136" s="2" t="str">
        <f t="shared" si="21"/>
        <v/>
      </c>
      <c r="AN136" s="2" t="str">
        <f t="shared" si="21"/>
        <v/>
      </c>
      <c r="AO136" s="2" t="str">
        <f t="shared" si="24"/>
        <v/>
      </c>
      <c r="AP136" s="2" t="str">
        <f t="shared" si="24"/>
        <v/>
      </c>
      <c r="AQ136" s="2" t="str">
        <f t="shared" si="24"/>
        <v/>
      </c>
      <c r="AR136" s="2">
        <f t="shared" si="24"/>
        <v>0.75089563445242946</v>
      </c>
      <c r="AT136" s="2" t="str">
        <f t="shared" si="23"/>
        <v/>
      </c>
      <c r="AU136" s="2" t="str">
        <f t="shared" si="23"/>
        <v/>
      </c>
      <c r="AV136" s="143" t="str">
        <f t="shared" si="26"/>
        <v/>
      </c>
      <c r="AW136" s="143" t="str">
        <f t="shared" si="26"/>
        <v/>
      </c>
      <c r="AX136" s="143" t="str">
        <f t="shared" si="26"/>
        <v/>
      </c>
      <c r="AY136" s="143" t="str">
        <f t="shared" si="25"/>
        <v/>
      </c>
      <c r="AZ136" s="143" t="str">
        <f t="shared" si="25"/>
        <v/>
      </c>
      <c r="BA136" s="143" t="str">
        <f t="shared" si="25"/>
        <v/>
      </c>
      <c r="BB136" s="143" t="str">
        <f t="shared" si="25"/>
        <v/>
      </c>
      <c r="BC136" s="143" t="str">
        <f t="shared" si="25"/>
        <v/>
      </c>
      <c r="BD136" s="143" t="str">
        <f t="shared" si="25"/>
        <v/>
      </c>
      <c r="BF136" s="9">
        <f t="shared" si="29"/>
        <v>6.1607874637819205E-4</v>
      </c>
      <c r="BG136" s="9">
        <f t="shared" si="30"/>
        <v>0.98758165619698013</v>
      </c>
    </row>
    <row r="137" spans="2:59" x14ac:dyDescent="0.3">
      <c r="B137" s="3" t="s">
        <v>181</v>
      </c>
      <c r="D137" s="141">
        <v>1248998</v>
      </c>
      <c r="E137" s="141">
        <v>1115107</v>
      </c>
      <c r="F137" s="141">
        <v>1337228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41">
        <f t="shared" si="27"/>
        <v>3701333</v>
      </c>
      <c r="R137" s="141">
        <v>887579</v>
      </c>
      <c r="S137" s="141">
        <v>778209</v>
      </c>
      <c r="T137" s="141">
        <v>938818</v>
      </c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28"/>
        <v>2604606</v>
      </c>
      <c r="AF137" s="2">
        <f t="shared" si="22"/>
        <v>0.71063284328717902</v>
      </c>
      <c r="AG137" s="2">
        <f t="shared" si="22"/>
        <v>0.6978783201970753</v>
      </c>
      <c r="AH137" s="2">
        <f t="shared" si="22"/>
        <v>0.70206277463529032</v>
      </c>
      <c r="AI137" s="2" t="str">
        <f t="shared" si="21"/>
        <v/>
      </c>
      <c r="AJ137" s="2" t="str">
        <f t="shared" si="21"/>
        <v/>
      </c>
      <c r="AK137" s="2" t="str">
        <f t="shared" si="21"/>
        <v/>
      </c>
      <c r="AL137" s="2" t="str">
        <f t="shared" si="21"/>
        <v/>
      </c>
      <c r="AM137" s="2" t="str">
        <f t="shared" si="21"/>
        <v/>
      </c>
      <c r="AN137" s="2" t="str">
        <f t="shared" si="21"/>
        <v/>
      </c>
      <c r="AO137" s="2" t="str">
        <f t="shared" si="24"/>
        <v/>
      </c>
      <c r="AP137" s="2" t="str">
        <f t="shared" si="24"/>
        <v/>
      </c>
      <c r="AQ137" s="2" t="str">
        <f t="shared" si="24"/>
        <v/>
      </c>
      <c r="AR137" s="2">
        <f t="shared" si="24"/>
        <v>0.7036940475228789</v>
      </c>
      <c r="AT137" s="2" t="str">
        <f t="shared" si="23"/>
        <v/>
      </c>
      <c r="AU137" s="2" t="str">
        <f t="shared" si="23"/>
        <v/>
      </c>
      <c r="AV137" s="143" t="str">
        <f t="shared" si="26"/>
        <v/>
      </c>
      <c r="AW137" s="143" t="str">
        <f t="shared" si="26"/>
        <v/>
      </c>
      <c r="AX137" s="143" t="str">
        <f t="shared" si="26"/>
        <v/>
      </c>
      <c r="AY137" s="143" t="str">
        <f t="shared" si="25"/>
        <v/>
      </c>
      <c r="AZ137" s="143" t="str">
        <f t="shared" si="25"/>
        <v/>
      </c>
      <c r="BA137" s="143" t="str">
        <f t="shared" si="25"/>
        <v/>
      </c>
      <c r="BB137" s="143" t="str">
        <f t="shared" si="25"/>
        <v/>
      </c>
      <c r="BC137" s="143" t="str">
        <f t="shared" si="25"/>
        <v/>
      </c>
      <c r="BD137" s="143" t="str">
        <f t="shared" si="25"/>
        <v/>
      </c>
      <c r="BF137" s="9">
        <f t="shared" si="29"/>
        <v>4.5842996294292414E-3</v>
      </c>
      <c r="BG137" s="9">
        <f t="shared" si="30"/>
        <v>0.99216595582640932</v>
      </c>
    </row>
    <row r="138" spans="2:59" x14ac:dyDescent="0.3">
      <c r="B138" s="3" t="s">
        <v>262</v>
      </c>
      <c r="D138" s="141">
        <v>20181</v>
      </c>
      <c r="E138" s="141">
        <v>18717</v>
      </c>
      <c r="F138" s="141">
        <v>20248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>
        <f t="shared" si="27"/>
        <v>59146</v>
      </c>
      <c r="R138" s="141">
        <v>16629</v>
      </c>
      <c r="S138" s="141">
        <v>9988</v>
      </c>
      <c r="T138" s="141">
        <v>12006</v>
      </c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28"/>
        <v>38623</v>
      </c>
      <c r="AF138" s="2">
        <f t="shared" si="22"/>
        <v>0.82399286457559096</v>
      </c>
      <c r="AG138" s="2">
        <f t="shared" si="22"/>
        <v>0.53363252658011429</v>
      </c>
      <c r="AH138" s="2">
        <f t="shared" si="22"/>
        <v>0.59294745160015805</v>
      </c>
      <c r="AI138" s="2" t="str">
        <f t="shared" si="21"/>
        <v/>
      </c>
      <c r="AJ138" s="2" t="str">
        <f t="shared" si="21"/>
        <v/>
      </c>
      <c r="AK138" s="2" t="str">
        <f t="shared" si="21"/>
        <v/>
      </c>
      <c r="AL138" s="2" t="str">
        <f t="shared" si="21"/>
        <v/>
      </c>
      <c r="AM138" s="2" t="str">
        <f t="shared" si="21"/>
        <v/>
      </c>
      <c r="AN138" s="2" t="str">
        <f t="shared" si="21"/>
        <v/>
      </c>
      <c r="AO138" s="2" t="str">
        <f t="shared" si="24"/>
        <v/>
      </c>
      <c r="AP138" s="2" t="str">
        <f t="shared" si="24"/>
        <v/>
      </c>
      <c r="AQ138" s="2" t="str">
        <f t="shared" si="24"/>
        <v/>
      </c>
      <c r="AR138" s="2">
        <f t="shared" si="24"/>
        <v>0.65301119264193686</v>
      </c>
      <c r="AT138" s="2" t="str">
        <f t="shared" si="23"/>
        <v/>
      </c>
      <c r="AU138" s="2" t="str">
        <f t="shared" si="23"/>
        <v/>
      </c>
      <c r="AV138" s="143" t="str">
        <f t="shared" si="26"/>
        <v/>
      </c>
      <c r="AW138" s="143" t="str">
        <f t="shared" si="26"/>
        <v/>
      </c>
      <c r="AX138" s="143" t="str">
        <f t="shared" si="26"/>
        <v/>
      </c>
      <c r="AY138" s="143" t="str">
        <f t="shared" si="25"/>
        <v/>
      </c>
      <c r="AZ138" s="143" t="str">
        <f t="shared" si="25"/>
        <v/>
      </c>
      <c r="BA138" s="143" t="str">
        <f t="shared" si="25"/>
        <v/>
      </c>
      <c r="BB138" s="143" t="str">
        <f t="shared" si="25"/>
        <v/>
      </c>
      <c r="BC138" s="143" t="str">
        <f t="shared" si="25"/>
        <v/>
      </c>
      <c r="BD138" s="143" t="str">
        <f t="shared" si="25"/>
        <v/>
      </c>
      <c r="BF138" s="9">
        <f t="shared" si="29"/>
        <v>6.7979342974501929E-5</v>
      </c>
      <c r="BG138" s="9">
        <f t="shared" si="30"/>
        <v>0.99223393516938385</v>
      </c>
    </row>
    <row r="139" spans="2:59" x14ac:dyDescent="0.3">
      <c r="B139" s="3" t="s">
        <v>209</v>
      </c>
      <c r="D139" s="141">
        <v>22817</v>
      </c>
      <c r="E139" s="141">
        <v>34795</v>
      </c>
      <c r="F139" s="141">
        <v>28940</v>
      </c>
      <c r="G139" s="141"/>
      <c r="H139" s="141"/>
      <c r="I139" s="141"/>
      <c r="J139" s="141"/>
      <c r="K139" s="141"/>
      <c r="L139" s="141"/>
      <c r="M139" s="141"/>
      <c r="N139" s="141"/>
      <c r="O139" s="141"/>
      <c r="P139" s="141">
        <f t="shared" si="27"/>
        <v>86552</v>
      </c>
      <c r="R139" s="141">
        <v>18638</v>
      </c>
      <c r="S139" s="141">
        <v>24024</v>
      </c>
      <c r="T139" s="141">
        <v>25000</v>
      </c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28"/>
        <v>67662</v>
      </c>
      <c r="AF139" s="2">
        <f t="shared" si="22"/>
        <v>0.81684708769776926</v>
      </c>
      <c r="AG139" s="2">
        <f t="shared" si="22"/>
        <v>0.69044402931455673</v>
      </c>
      <c r="AH139" s="2">
        <f t="shared" si="22"/>
        <v>0.86385625431928126</v>
      </c>
      <c r="AI139" s="2" t="str">
        <f t="shared" si="21"/>
        <v/>
      </c>
      <c r="AJ139" s="2" t="str">
        <f t="shared" si="21"/>
        <v/>
      </c>
      <c r="AK139" s="2" t="str">
        <f t="shared" si="21"/>
        <v/>
      </c>
      <c r="AL139" s="2" t="str">
        <f t="shared" si="21"/>
        <v/>
      </c>
      <c r="AM139" s="2" t="str">
        <f t="shared" si="21"/>
        <v/>
      </c>
      <c r="AN139" s="2" t="str">
        <f t="shared" si="21"/>
        <v/>
      </c>
      <c r="AO139" s="2" t="str">
        <f t="shared" si="24"/>
        <v/>
      </c>
      <c r="AP139" s="2" t="str">
        <f t="shared" si="24"/>
        <v/>
      </c>
      <c r="AQ139" s="2" t="str">
        <f t="shared" si="24"/>
        <v/>
      </c>
      <c r="AR139" s="2">
        <f t="shared" si="24"/>
        <v>0.78174969960255103</v>
      </c>
      <c r="AT139" s="2" t="str">
        <f t="shared" si="23"/>
        <v/>
      </c>
      <c r="AU139" s="2" t="str">
        <f t="shared" si="23"/>
        <v/>
      </c>
      <c r="AV139" s="143" t="str">
        <f t="shared" si="26"/>
        <v/>
      </c>
      <c r="AW139" s="143" t="str">
        <f t="shared" si="26"/>
        <v/>
      </c>
      <c r="AX139" s="143" t="str">
        <f t="shared" si="26"/>
        <v/>
      </c>
      <c r="AY139" s="143" t="str">
        <f t="shared" si="25"/>
        <v/>
      </c>
      <c r="AZ139" s="143" t="str">
        <f t="shared" si="25"/>
        <v/>
      </c>
      <c r="BA139" s="143" t="str">
        <f t="shared" si="25"/>
        <v/>
      </c>
      <c r="BB139" s="143" t="str">
        <f t="shared" si="25"/>
        <v/>
      </c>
      <c r="BC139" s="143" t="str">
        <f t="shared" si="25"/>
        <v/>
      </c>
      <c r="BD139" s="143" t="str">
        <f t="shared" si="25"/>
        <v/>
      </c>
      <c r="BF139" s="9">
        <f t="shared" si="29"/>
        <v>1.1909013552393004E-4</v>
      </c>
      <c r="BG139" s="9">
        <f t="shared" si="30"/>
        <v>0.99235302530490777</v>
      </c>
    </row>
    <row r="140" spans="2:59" x14ac:dyDescent="0.3">
      <c r="B140" s="3" t="s">
        <v>204</v>
      </c>
      <c r="D140" s="141">
        <v>22945</v>
      </c>
      <c r="E140" s="141">
        <v>9101</v>
      </c>
      <c r="F140" s="141">
        <v>27495</v>
      </c>
      <c r="G140" s="141"/>
      <c r="H140" s="141"/>
      <c r="I140" s="141"/>
      <c r="J140" s="141"/>
      <c r="K140" s="141"/>
      <c r="L140" s="141"/>
      <c r="M140" s="141"/>
      <c r="N140" s="141"/>
      <c r="O140" s="141"/>
      <c r="P140" s="141">
        <f t="shared" si="27"/>
        <v>59541</v>
      </c>
      <c r="R140" s="141">
        <v>2405</v>
      </c>
      <c r="S140" s="141">
        <v>4276</v>
      </c>
      <c r="T140" s="141">
        <v>8671</v>
      </c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28"/>
        <v>15352</v>
      </c>
      <c r="AF140" s="2">
        <f t="shared" si="22"/>
        <v>0.10481586402266289</v>
      </c>
      <c r="AG140" s="2">
        <f t="shared" si="22"/>
        <v>0.46983847928799033</v>
      </c>
      <c r="AH140" s="2">
        <f t="shared" si="22"/>
        <v>0.31536643026004729</v>
      </c>
      <c r="AI140" s="2" t="str">
        <f t="shared" si="21"/>
        <v/>
      </c>
      <c r="AJ140" s="2" t="str">
        <f t="shared" si="21"/>
        <v/>
      </c>
      <c r="AK140" s="2" t="str">
        <f t="shared" si="21"/>
        <v/>
      </c>
      <c r="AL140" s="2" t="str">
        <f t="shared" si="21"/>
        <v/>
      </c>
      <c r="AM140" s="2" t="str">
        <f t="shared" si="21"/>
        <v/>
      </c>
      <c r="AN140" s="2" t="str">
        <f t="shared" si="21"/>
        <v/>
      </c>
      <c r="AO140" s="2" t="str">
        <f t="shared" si="24"/>
        <v/>
      </c>
      <c r="AP140" s="2" t="str">
        <f t="shared" si="24"/>
        <v/>
      </c>
      <c r="AQ140" s="2" t="str">
        <f t="shared" si="24"/>
        <v/>
      </c>
      <c r="AR140" s="2">
        <f t="shared" si="24"/>
        <v>0.25783913605750658</v>
      </c>
      <c r="AT140" s="2" t="str">
        <f t="shared" si="23"/>
        <v/>
      </c>
      <c r="AU140" s="2" t="str">
        <f t="shared" si="23"/>
        <v/>
      </c>
      <c r="AV140" s="143" t="str">
        <f t="shared" si="26"/>
        <v/>
      </c>
      <c r="AW140" s="143" t="str">
        <f t="shared" si="26"/>
        <v/>
      </c>
      <c r="AX140" s="143" t="str">
        <f t="shared" si="26"/>
        <v/>
      </c>
      <c r="AY140" s="143" t="str">
        <f t="shared" si="25"/>
        <v/>
      </c>
      <c r="AZ140" s="143" t="str">
        <f t="shared" si="25"/>
        <v/>
      </c>
      <c r="BA140" s="143" t="str">
        <f t="shared" si="25"/>
        <v/>
      </c>
      <c r="BB140" s="143" t="str">
        <f t="shared" si="25"/>
        <v/>
      </c>
      <c r="BC140" s="143" t="str">
        <f t="shared" si="25"/>
        <v/>
      </c>
      <c r="BD140" s="143" t="str">
        <f t="shared" si="25"/>
        <v/>
      </c>
      <c r="BF140" s="9">
        <f t="shared" si="29"/>
        <v>2.7020657984738464E-5</v>
      </c>
      <c r="BG140" s="9">
        <f t="shared" si="30"/>
        <v>0.99238004596289253</v>
      </c>
    </row>
    <row r="141" spans="2:59" x14ac:dyDescent="0.3">
      <c r="B141" s="3" t="s">
        <v>227</v>
      </c>
      <c r="D141" s="141">
        <v>7953</v>
      </c>
      <c r="E141" s="141">
        <v>13148</v>
      </c>
      <c r="F141" s="141">
        <v>11888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27"/>
        <v>32989</v>
      </c>
      <c r="R141" s="141">
        <v>6587</v>
      </c>
      <c r="S141" s="141">
        <v>11264</v>
      </c>
      <c r="T141" s="141">
        <v>11845</v>
      </c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28"/>
        <v>29696</v>
      </c>
      <c r="AF141" s="2">
        <f t="shared" si="22"/>
        <v>0.82824091537784483</v>
      </c>
      <c r="AG141" s="2">
        <f t="shared" si="22"/>
        <v>0.85670824459993911</v>
      </c>
      <c r="AH141" s="2">
        <f t="shared" si="22"/>
        <v>0.99638290713324362</v>
      </c>
      <c r="AI141" s="2" t="str">
        <f t="shared" si="21"/>
        <v/>
      </c>
      <c r="AJ141" s="2" t="str">
        <f t="shared" si="21"/>
        <v/>
      </c>
      <c r="AK141" s="2" t="str">
        <f t="shared" si="21"/>
        <v/>
      </c>
      <c r="AL141" s="2" t="str">
        <f t="shared" si="21"/>
        <v/>
      </c>
      <c r="AM141" s="2" t="str">
        <f t="shared" si="21"/>
        <v/>
      </c>
      <c r="AN141" s="2" t="str">
        <f t="shared" si="21"/>
        <v/>
      </c>
      <c r="AO141" s="2" t="str">
        <f t="shared" si="24"/>
        <v/>
      </c>
      <c r="AP141" s="2" t="str">
        <f t="shared" si="24"/>
        <v/>
      </c>
      <c r="AQ141" s="2" t="str">
        <f t="shared" si="24"/>
        <v/>
      </c>
      <c r="AR141" s="2">
        <f t="shared" si="24"/>
        <v>0.90017884749461941</v>
      </c>
      <c r="AT141" s="2" t="str">
        <f t="shared" si="23"/>
        <v/>
      </c>
      <c r="AU141" s="2" t="str">
        <f t="shared" si="23"/>
        <v/>
      </c>
      <c r="AV141" s="143" t="str">
        <f t="shared" si="26"/>
        <v/>
      </c>
      <c r="AW141" s="143" t="str">
        <f t="shared" si="26"/>
        <v/>
      </c>
      <c r="AX141" s="143" t="str">
        <f t="shared" si="26"/>
        <v/>
      </c>
      <c r="AY141" s="143" t="str">
        <f t="shared" si="25"/>
        <v/>
      </c>
      <c r="AZ141" s="143" t="str">
        <f t="shared" si="25"/>
        <v/>
      </c>
      <c r="BA141" s="143" t="str">
        <f t="shared" si="25"/>
        <v/>
      </c>
      <c r="BB141" s="143" t="str">
        <f t="shared" si="25"/>
        <v/>
      </c>
      <c r="BC141" s="143" t="str">
        <f t="shared" si="25"/>
        <v/>
      </c>
      <c r="BD141" s="143" t="str">
        <f t="shared" si="25"/>
        <v/>
      </c>
      <c r="BF141" s="9">
        <f t="shared" si="29"/>
        <v>5.2267161250312236E-5</v>
      </c>
      <c r="BG141" s="9">
        <f t="shared" si="30"/>
        <v>0.99243231312414282</v>
      </c>
    </row>
    <row r="142" spans="2:59" x14ac:dyDescent="0.3">
      <c r="B142" s="3" t="s">
        <v>239</v>
      </c>
      <c r="D142" s="141">
        <v>201000</v>
      </c>
      <c r="E142" s="141">
        <v>171618</v>
      </c>
      <c r="F142" s="141">
        <v>125272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41">
        <f t="shared" si="27"/>
        <v>497890</v>
      </c>
      <c r="R142" s="141">
        <v>164062</v>
      </c>
      <c r="S142" s="141">
        <v>128584</v>
      </c>
      <c r="T142" s="141">
        <v>90457</v>
      </c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28"/>
        <v>383103</v>
      </c>
      <c r="AF142" s="2">
        <f t="shared" si="22"/>
        <v>0.81622885572139303</v>
      </c>
      <c r="AG142" s="2">
        <f t="shared" si="22"/>
        <v>0.74924541714738546</v>
      </c>
      <c r="AH142" s="2">
        <f t="shared" si="22"/>
        <v>0.72208474359793096</v>
      </c>
      <c r="AI142" s="2" t="str">
        <f t="shared" si="21"/>
        <v/>
      </c>
      <c r="AJ142" s="2" t="str">
        <f t="shared" si="21"/>
        <v/>
      </c>
      <c r="AK142" s="2" t="str">
        <f t="shared" si="21"/>
        <v/>
      </c>
      <c r="AL142" s="2" t="str">
        <f t="shared" si="21"/>
        <v/>
      </c>
      <c r="AM142" s="2" t="str">
        <f t="shared" si="21"/>
        <v/>
      </c>
      <c r="AN142" s="2" t="str">
        <f t="shared" ref="AN142:AQ205" si="31">+IFERROR(Z142/L142,"")</f>
        <v/>
      </c>
      <c r="AO142" s="2" t="str">
        <f t="shared" si="24"/>
        <v/>
      </c>
      <c r="AP142" s="2" t="str">
        <f t="shared" si="24"/>
        <v/>
      </c>
      <c r="AQ142" s="2" t="str">
        <f t="shared" si="24"/>
        <v/>
      </c>
      <c r="AR142" s="2">
        <f t="shared" si="24"/>
        <v>0.76945309204844448</v>
      </c>
      <c r="AT142" s="2" t="str">
        <f t="shared" ref="AT142:AU173" si="32">+IFERROR(AM142-AL142,"")</f>
        <v/>
      </c>
      <c r="AU142" s="2" t="str">
        <f t="shared" si="32"/>
        <v/>
      </c>
      <c r="AV142" s="143" t="str">
        <f t="shared" si="26"/>
        <v/>
      </c>
      <c r="AW142" s="143" t="str">
        <f t="shared" si="26"/>
        <v/>
      </c>
      <c r="AX142" s="143" t="str">
        <f t="shared" si="26"/>
        <v/>
      </c>
      <c r="AY142" s="143" t="str">
        <f t="shared" si="25"/>
        <v/>
      </c>
      <c r="AZ142" s="143" t="str">
        <f t="shared" si="25"/>
        <v/>
      </c>
      <c r="BA142" s="143" t="str">
        <f t="shared" si="25"/>
        <v/>
      </c>
      <c r="BB142" s="143" t="str">
        <f t="shared" si="25"/>
        <v/>
      </c>
      <c r="BC142" s="143" t="str">
        <f t="shared" si="25"/>
        <v/>
      </c>
      <c r="BD142" s="143" t="str">
        <f t="shared" si="25"/>
        <v/>
      </c>
      <c r="BF142" s="9">
        <f t="shared" si="29"/>
        <v>6.7428967795253125E-4</v>
      </c>
      <c r="BG142" s="9">
        <f t="shared" si="30"/>
        <v>0.9931066028020954</v>
      </c>
    </row>
    <row r="143" spans="2:59" x14ac:dyDescent="0.3">
      <c r="B143" s="3" t="s">
        <v>214</v>
      </c>
      <c r="D143" s="141">
        <v>28211</v>
      </c>
      <c r="E143" s="141">
        <v>27824</v>
      </c>
      <c r="F143" s="141">
        <v>24640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27"/>
        <v>80675</v>
      </c>
      <c r="R143" s="141">
        <v>27762</v>
      </c>
      <c r="S143" s="141">
        <v>26699</v>
      </c>
      <c r="T143" s="141">
        <v>24444</v>
      </c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28"/>
        <v>78905</v>
      </c>
      <c r="AF143" s="2">
        <f t="shared" si="22"/>
        <v>0.9840842224664138</v>
      </c>
      <c r="AG143" s="2">
        <f t="shared" si="22"/>
        <v>0.95956728004600345</v>
      </c>
      <c r="AH143" s="2">
        <f t="shared" si="22"/>
        <v>0.99204545454545456</v>
      </c>
      <c r="AI143" s="2" t="str">
        <f t="shared" si="22"/>
        <v/>
      </c>
      <c r="AJ143" s="2" t="str">
        <f t="shared" si="22"/>
        <v/>
      </c>
      <c r="AK143" s="2" t="str">
        <f t="shared" si="22"/>
        <v/>
      </c>
      <c r="AL143" s="2" t="str">
        <f t="shared" si="22"/>
        <v/>
      </c>
      <c r="AM143" s="2" t="str">
        <f t="shared" si="22"/>
        <v/>
      </c>
      <c r="AN143" s="2" t="str">
        <f t="shared" si="31"/>
        <v/>
      </c>
      <c r="AO143" s="2" t="str">
        <f t="shared" si="24"/>
        <v/>
      </c>
      <c r="AP143" s="2" t="str">
        <f t="shared" si="24"/>
        <v/>
      </c>
      <c r="AQ143" s="2" t="str">
        <f t="shared" si="24"/>
        <v/>
      </c>
      <c r="AR143" s="2">
        <f t="shared" si="24"/>
        <v>0.97806011775643009</v>
      </c>
      <c r="AT143" s="2" t="str">
        <f t="shared" si="32"/>
        <v/>
      </c>
      <c r="AU143" s="2" t="str">
        <f t="shared" si="32"/>
        <v/>
      </c>
      <c r="AV143" s="143" t="str">
        <f t="shared" si="26"/>
        <v/>
      </c>
      <c r="AW143" s="143" t="str">
        <f t="shared" si="26"/>
        <v/>
      </c>
      <c r="AX143" s="143" t="str">
        <f t="shared" si="26"/>
        <v/>
      </c>
      <c r="AY143" s="143" t="str">
        <f t="shared" si="25"/>
        <v/>
      </c>
      <c r="AZ143" s="143" t="str">
        <f t="shared" si="25"/>
        <v/>
      </c>
      <c r="BA143" s="143" t="str">
        <f t="shared" si="25"/>
        <v/>
      </c>
      <c r="BB143" s="143" t="str">
        <f t="shared" si="25"/>
        <v/>
      </c>
      <c r="BC143" s="143" t="str">
        <f t="shared" si="25"/>
        <v/>
      </c>
      <c r="BD143" s="143" t="str">
        <f t="shared" si="25"/>
        <v/>
      </c>
      <c r="BF143" s="9">
        <f t="shared" si="29"/>
        <v>1.3887864892429575E-4</v>
      </c>
      <c r="BG143" s="9">
        <f t="shared" si="30"/>
        <v>0.99324548145101965</v>
      </c>
    </row>
    <row r="144" spans="2:59" x14ac:dyDescent="0.3">
      <c r="B144" s="3" t="s">
        <v>223</v>
      </c>
      <c r="D144" s="141">
        <v>14155</v>
      </c>
      <c r="E144" s="141">
        <v>6439</v>
      </c>
      <c r="F144" s="141">
        <v>2882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27"/>
        <v>23476</v>
      </c>
      <c r="R144" s="141">
        <v>10142</v>
      </c>
      <c r="S144" s="141">
        <v>3182</v>
      </c>
      <c r="T144" s="141">
        <v>2741</v>
      </c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28"/>
        <v>16065</v>
      </c>
      <c r="AF144" s="2">
        <f t="shared" si="22"/>
        <v>0.71649593783115506</v>
      </c>
      <c r="AG144" s="2">
        <f t="shared" si="22"/>
        <v>0.49417611430346325</v>
      </c>
      <c r="AH144" s="2">
        <f t="shared" si="22"/>
        <v>0.95107564191533656</v>
      </c>
      <c r="AI144" s="2" t="str">
        <f t="shared" si="22"/>
        <v/>
      </c>
      <c r="AJ144" s="2" t="str">
        <f t="shared" si="22"/>
        <v/>
      </c>
      <c r="AK144" s="2" t="str">
        <f t="shared" si="22"/>
        <v/>
      </c>
      <c r="AL144" s="2" t="str">
        <f t="shared" si="22"/>
        <v/>
      </c>
      <c r="AM144" s="2" t="str">
        <f t="shared" si="22"/>
        <v/>
      </c>
      <c r="AN144" s="2" t="str">
        <f t="shared" si="31"/>
        <v/>
      </c>
      <c r="AO144" s="2" t="str">
        <f t="shared" si="24"/>
        <v/>
      </c>
      <c r="AP144" s="2" t="str">
        <f t="shared" si="24"/>
        <v/>
      </c>
      <c r="AQ144" s="2" t="str">
        <f t="shared" si="24"/>
        <v/>
      </c>
      <c r="AR144" s="2">
        <f t="shared" si="24"/>
        <v>0.68431589708638607</v>
      </c>
      <c r="AT144" s="2" t="str">
        <f t="shared" si="32"/>
        <v/>
      </c>
      <c r="AU144" s="2" t="str">
        <f t="shared" si="32"/>
        <v/>
      </c>
      <c r="AV144" s="143" t="str">
        <f t="shared" si="26"/>
        <v/>
      </c>
      <c r="AW144" s="143" t="str">
        <f t="shared" si="26"/>
        <v/>
      </c>
      <c r="AX144" s="143" t="str">
        <f t="shared" si="26"/>
        <v/>
      </c>
      <c r="AY144" s="143" t="str">
        <f t="shared" si="25"/>
        <v/>
      </c>
      <c r="AZ144" s="143" t="str">
        <f t="shared" si="25"/>
        <v/>
      </c>
      <c r="BA144" s="143" t="str">
        <f t="shared" si="25"/>
        <v/>
      </c>
      <c r="BB144" s="143" t="str">
        <f t="shared" si="25"/>
        <v/>
      </c>
      <c r="BC144" s="143" t="str">
        <f t="shared" si="25"/>
        <v/>
      </c>
      <c r="BD144" s="143" t="str">
        <f t="shared" si="25"/>
        <v/>
      </c>
      <c r="BF144" s="9">
        <f t="shared" si="29"/>
        <v>2.82755908366873E-5</v>
      </c>
      <c r="BG144" s="9">
        <f t="shared" si="30"/>
        <v>0.99327375704185639</v>
      </c>
    </row>
    <row r="145" spans="2:59" x14ac:dyDescent="0.3">
      <c r="B145" s="3" t="s">
        <v>277</v>
      </c>
      <c r="D145" s="141">
        <v>32204</v>
      </c>
      <c r="E145" s="141">
        <v>52323</v>
      </c>
      <c r="F145" s="141">
        <v>104176</v>
      </c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27"/>
        <v>188703</v>
      </c>
      <c r="R145" s="141">
        <v>26009</v>
      </c>
      <c r="S145" s="141">
        <v>46544</v>
      </c>
      <c r="T145" s="141">
        <v>68153</v>
      </c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28"/>
        <v>140706</v>
      </c>
      <c r="AF145" s="2">
        <f t="shared" si="22"/>
        <v>0.8076325922245684</v>
      </c>
      <c r="AG145" s="2">
        <f t="shared" si="22"/>
        <v>0.88955144009326681</v>
      </c>
      <c r="AH145" s="2">
        <f t="shared" si="22"/>
        <v>0.65421018276762399</v>
      </c>
      <c r="AI145" s="2" t="str">
        <f t="shared" si="22"/>
        <v/>
      </c>
      <c r="AJ145" s="2" t="str">
        <f t="shared" si="22"/>
        <v/>
      </c>
      <c r="AK145" s="2" t="str">
        <f t="shared" si="22"/>
        <v/>
      </c>
      <c r="AL145" s="2" t="str">
        <f t="shared" si="22"/>
        <v/>
      </c>
      <c r="AM145" s="2" t="str">
        <f t="shared" si="22"/>
        <v/>
      </c>
      <c r="AN145" s="2" t="str">
        <f t="shared" si="31"/>
        <v/>
      </c>
      <c r="AO145" s="2" t="str">
        <f t="shared" si="24"/>
        <v/>
      </c>
      <c r="AP145" s="2" t="str">
        <f t="shared" si="24"/>
        <v/>
      </c>
      <c r="AQ145" s="2" t="str">
        <f t="shared" si="24"/>
        <v/>
      </c>
      <c r="AR145" s="2">
        <f t="shared" si="24"/>
        <v>0.7456479229265035</v>
      </c>
      <c r="AT145" s="2" t="str">
        <f t="shared" si="32"/>
        <v/>
      </c>
      <c r="AU145" s="2" t="str">
        <f t="shared" si="32"/>
        <v/>
      </c>
      <c r="AV145" s="143" t="str">
        <f t="shared" si="26"/>
        <v/>
      </c>
      <c r="AW145" s="143" t="str">
        <f t="shared" si="26"/>
        <v/>
      </c>
      <c r="AX145" s="143" t="str">
        <f t="shared" si="26"/>
        <v/>
      </c>
      <c r="AY145" s="143" t="str">
        <f t="shared" si="25"/>
        <v/>
      </c>
      <c r="AZ145" s="143" t="str">
        <f t="shared" si="25"/>
        <v/>
      </c>
      <c r="BA145" s="143" t="str">
        <f t="shared" si="25"/>
        <v/>
      </c>
      <c r="BB145" s="143" t="str">
        <f t="shared" si="25"/>
        <v/>
      </c>
      <c r="BC145" s="143" t="str">
        <f t="shared" si="25"/>
        <v/>
      </c>
      <c r="BD145" s="143" t="str">
        <f t="shared" si="25"/>
        <v/>
      </c>
      <c r="BF145" s="9">
        <f t="shared" si="29"/>
        <v>2.4765298999482869E-4</v>
      </c>
      <c r="BG145" s="9">
        <f t="shared" si="30"/>
        <v>0.99352141003185124</v>
      </c>
    </row>
    <row r="146" spans="2:59" x14ac:dyDescent="0.3">
      <c r="B146" s="3" t="s">
        <v>216</v>
      </c>
      <c r="D146" s="141">
        <v>8587</v>
      </c>
      <c r="E146" s="141">
        <v>4741</v>
      </c>
      <c r="F146" s="141">
        <v>8304</v>
      </c>
      <c r="G146" s="141"/>
      <c r="H146" s="141"/>
      <c r="I146" s="141"/>
      <c r="J146" s="141"/>
      <c r="K146" s="141"/>
      <c r="L146" s="141"/>
      <c r="M146" s="141"/>
      <c r="N146" s="141"/>
      <c r="O146" s="141"/>
      <c r="P146" s="141">
        <f t="shared" si="27"/>
        <v>21632</v>
      </c>
      <c r="R146" s="141">
        <v>7540</v>
      </c>
      <c r="S146" s="141">
        <v>3630</v>
      </c>
      <c r="T146" s="141">
        <v>6817</v>
      </c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28"/>
        <v>17987</v>
      </c>
      <c r="AF146" s="2">
        <f t="shared" si="22"/>
        <v>0.87807150343542562</v>
      </c>
      <c r="AG146" s="2">
        <f t="shared" si="22"/>
        <v>0.76566125290023201</v>
      </c>
      <c r="AH146" s="2">
        <f t="shared" si="22"/>
        <v>0.82092967244701354</v>
      </c>
      <c r="AI146" s="2" t="str">
        <f t="shared" si="22"/>
        <v/>
      </c>
      <c r="AJ146" s="2" t="str">
        <f t="shared" si="22"/>
        <v/>
      </c>
      <c r="AK146" s="2" t="str">
        <f t="shared" si="22"/>
        <v/>
      </c>
      <c r="AL146" s="2" t="str">
        <f t="shared" si="22"/>
        <v/>
      </c>
      <c r="AM146" s="2" t="str">
        <f t="shared" si="22"/>
        <v/>
      </c>
      <c r="AN146" s="2" t="str">
        <f t="shared" si="31"/>
        <v/>
      </c>
      <c r="AO146" s="2" t="str">
        <f t="shared" si="24"/>
        <v/>
      </c>
      <c r="AP146" s="2" t="str">
        <f t="shared" si="24"/>
        <v/>
      </c>
      <c r="AQ146" s="2" t="str">
        <f t="shared" si="24"/>
        <v/>
      </c>
      <c r="AR146" s="2">
        <f t="shared" si="24"/>
        <v>0.83149963017751483</v>
      </c>
      <c r="AT146" s="2" t="str">
        <f t="shared" si="32"/>
        <v/>
      </c>
      <c r="AU146" s="2" t="str">
        <f t="shared" si="32"/>
        <v/>
      </c>
      <c r="AV146" s="143" t="str">
        <f t="shared" si="26"/>
        <v/>
      </c>
      <c r="AW146" s="143" t="str">
        <f t="shared" si="26"/>
        <v/>
      </c>
      <c r="AX146" s="143" t="str">
        <f t="shared" si="26"/>
        <v/>
      </c>
      <c r="AY146" s="143" t="str">
        <f t="shared" si="25"/>
        <v/>
      </c>
      <c r="AZ146" s="143" t="str">
        <f t="shared" si="25"/>
        <v/>
      </c>
      <c r="BA146" s="143" t="str">
        <f t="shared" si="25"/>
        <v/>
      </c>
      <c r="BB146" s="143" t="str">
        <f t="shared" si="25"/>
        <v/>
      </c>
      <c r="BC146" s="143" t="str">
        <f t="shared" si="25"/>
        <v/>
      </c>
      <c r="BD146" s="143" t="str">
        <f t="shared" si="25"/>
        <v/>
      </c>
      <c r="BF146" s="9">
        <f t="shared" si="29"/>
        <v>3.1658453307158074E-5</v>
      </c>
      <c r="BG146" s="9">
        <f t="shared" si="30"/>
        <v>0.99355306848515834</v>
      </c>
    </row>
    <row r="147" spans="2:59" x14ac:dyDescent="0.3">
      <c r="B147" s="3" t="s">
        <v>218</v>
      </c>
      <c r="D147" s="141">
        <v>27738</v>
      </c>
      <c r="E147" s="141">
        <v>3075</v>
      </c>
      <c r="F147" s="141">
        <v>390</v>
      </c>
      <c r="G147" s="141"/>
      <c r="H147" s="141"/>
      <c r="I147" s="141"/>
      <c r="J147" s="141"/>
      <c r="K147" s="141"/>
      <c r="L147" s="141"/>
      <c r="M147" s="141"/>
      <c r="N147" s="141"/>
      <c r="O147" s="141"/>
      <c r="P147" s="141">
        <f t="shared" si="27"/>
        <v>31203</v>
      </c>
      <c r="R147" s="141">
        <v>27032</v>
      </c>
      <c r="S147" s="141">
        <v>2725</v>
      </c>
      <c r="T147" s="141">
        <v>390</v>
      </c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28"/>
        <v>30147</v>
      </c>
      <c r="AF147" s="2">
        <f t="shared" si="22"/>
        <v>0.97454755209459942</v>
      </c>
      <c r="AG147" s="2">
        <f t="shared" si="22"/>
        <v>0.88617886178861793</v>
      </c>
      <c r="AH147" s="2">
        <f t="shared" si="22"/>
        <v>1</v>
      </c>
      <c r="AI147" s="2" t="str">
        <f t="shared" si="22"/>
        <v/>
      </c>
      <c r="AJ147" s="2" t="str">
        <f t="shared" si="22"/>
        <v/>
      </c>
      <c r="AK147" s="2" t="str">
        <f t="shared" si="22"/>
        <v/>
      </c>
      <c r="AL147" s="2" t="str">
        <f t="shared" si="22"/>
        <v/>
      </c>
      <c r="AM147" s="2" t="str">
        <f t="shared" si="22"/>
        <v/>
      </c>
      <c r="AN147" s="2" t="str">
        <f t="shared" si="31"/>
        <v/>
      </c>
      <c r="AO147" s="2" t="str">
        <f t="shared" si="24"/>
        <v/>
      </c>
      <c r="AP147" s="2" t="str">
        <f t="shared" si="24"/>
        <v/>
      </c>
      <c r="AQ147" s="2" t="str">
        <f t="shared" si="24"/>
        <v/>
      </c>
      <c r="AR147" s="2">
        <f t="shared" si="24"/>
        <v>0.96615710027881929</v>
      </c>
      <c r="AT147" s="2" t="str">
        <f t="shared" si="32"/>
        <v/>
      </c>
      <c r="AU147" s="2" t="str">
        <f t="shared" si="32"/>
        <v/>
      </c>
      <c r="AV147" s="143" t="str">
        <f t="shared" si="26"/>
        <v/>
      </c>
      <c r="AW147" s="143" t="str">
        <f t="shared" si="26"/>
        <v/>
      </c>
      <c r="AX147" s="143" t="str">
        <f t="shared" si="26"/>
        <v/>
      </c>
      <c r="AY147" s="143" t="str">
        <f t="shared" si="25"/>
        <v/>
      </c>
      <c r="AZ147" s="143" t="str">
        <f t="shared" si="25"/>
        <v/>
      </c>
      <c r="BA147" s="143" t="str">
        <f t="shared" si="25"/>
        <v/>
      </c>
      <c r="BB147" s="143" t="str">
        <f t="shared" si="25"/>
        <v/>
      </c>
      <c r="BC147" s="143" t="str">
        <f t="shared" si="25"/>
        <v/>
      </c>
      <c r="BD147" s="143" t="str">
        <f t="shared" si="25"/>
        <v/>
      </c>
      <c r="BF147" s="9">
        <f t="shared" si="29"/>
        <v>5.3060954681208345E-5</v>
      </c>
      <c r="BG147" s="9">
        <f t="shared" si="30"/>
        <v>0.9936061294398395</v>
      </c>
    </row>
    <row r="148" spans="2:59" x14ac:dyDescent="0.3">
      <c r="B148" s="3" t="s">
        <v>215</v>
      </c>
      <c r="D148" s="141">
        <v>5150</v>
      </c>
      <c r="E148" s="141">
        <v>2128</v>
      </c>
      <c r="F148" s="141">
        <v>1946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27"/>
        <v>9224</v>
      </c>
      <c r="R148" s="141">
        <v>5040</v>
      </c>
      <c r="S148" s="141">
        <v>2128</v>
      </c>
      <c r="T148" s="141">
        <v>1946</v>
      </c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28"/>
        <v>9114</v>
      </c>
      <c r="AF148" s="2">
        <f t="shared" si="22"/>
        <v>0.97864077669902916</v>
      </c>
      <c r="AG148" s="2">
        <f t="shared" si="22"/>
        <v>1</v>
      </c>
      <c r="AH148" s="2">
        <f t="shared" si="22"/>
        <v>1</v>
      </c>
      <c r="AI148" s="2" t="str">
        <f t="shared" si="22"/>
        <v/>
      </c>
      <c r="AJ148" s="2" t="str">
        <f t="shared" si="22"/>
        <v/>
      </c>
      <c r="AK148" s="2" t="str">
        <f t="shared" si="22"/>
        <v/>
      </c>
      <c r="AL148" s="2" t="str">
        <f t="shared" si="22"/>
        <v/>
      </c>
      <c r="AM148" s="2" t="str">
        <f t="shared" si="22"/>
        <v/>
      </c>
      <c r="AN148" s="2" t="str">
        <f t="shared" si="31"/>
        <v/>
      </c>
      <c r="AO148" s="2" t="str">
        <f t="shared" si="24"/>
        <v/>
      </c>
      <c r="AP148" s="2" t="str">
        <f t="shared" si="24"/>
        <v/>
      </c>
      <c r="AQ148" s="2" t="str">
        <f t="shared" si="24"/>
        <v/>
      </c>
      <c r="AR148" s="2">
        <f t="shared" si="24"/>
        <v>0.98807458803122294</v>
      </c>
      <c r="AT148" s="2" t="str">
        <f t="shared" si="32"/>
        <v/>
      </c>
      <c r="AU148" s="2" t="str">
        <f t="shared" si="32"/>
        <v/>
      </c>
      <c r="AV148" s="143" t="str">
        <f t="shared" si="26"/>
        <v/>
      </c>
      <c r="AW148" s="143" t="str">
        <f t="shared" si="26"/>
        <v/>
      </c>
      <c r="AX148" s="143" t="str">
        <f t="shared" si="26"/>
        <v/>
      </c>
      <c r="AY148" s="143" t="str">
        <f t="shared" si="25"/>
        <v/>
      </c>
      <c r="AZ148" s="143" t="str">
        <f t="shared" si="25"/>
        <v/>
      </c>
      <c r="BA148" s="143" t="str">
        <f t="shared" si="25"/>
        <v/>
      </c>
      <c r="BB148" s="143" t="str">
        <f t="shared" si="25"/>
        <v/>
      </c>
      <c r="BC148" s="143" t="str">
        <f t="shared" si="25"/>
        <v/>
      </c>
      <c r="BD148" s="143" t="str">
        <f t="shared" si="25"/>
        <v/>
      </c>
      <c r="BF148" s="9">
        <f t="shared" si="29"/>
        <v>1.6041315585780769E-5</v>
      </c>
      <c r="BG148" s="9">
        <f t="shared" si="30"/>
        <v>0.99362217075542525</v>
      </c>
    </row>
    <row r="149" spans="2:59" x14ac:dyDescent="0.3">
      <c r="B149" s="3" t="s">
        <v>272</v>
      </c>
      <c r="D149" s="141">
        <v>118594</v>
      </c>
      <c r="E149" s="141">
        <v>178413</v>
      </c>
      <c r="F149" s="141">
        <v>226794</v>
      </c>
      <c r="G149" s="141"/>
      <c r="H149" s="141"/>
      <c r="I149" s="141"/>
      <c r="J149" s="141"/>
      <c r="K149" s="141"/>
      <c r="L149" s="141"/>
      <c r="M149" s="141"/>
      <c r="N149" s="141"/>
      <c r="O149" s="141"/>
      <c r="P149" s="141">
        <f t="shared" si="27"/>
        <v>523801</v>
      </c>
      <c r="R149" s="141">
        <v>98908</v>
      </c>
      <c r="S149" s="141">
        <v>129524</v>
      </c>
      <c r="T149" s="141">
        <v>184296</v>
      </c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28"/>
        <v>412728</v>
      </c>
      <c r="AF149" s="2">
        <f t="shared" si="22"/>
        <v>0.83400509300639158</v>
      </c>
      <c r="AG149" s="2">
        <f t="shared" si="22"/>
        <v>0.72597848811465537</v>
      </c>
      <c r="AH149" s="2">
        <f t="shared" si="22"/>
        <v>0.81261409031984977</v>
      </c>
      <c r="AI149" s="2" t="str">
        <f t="shared" si="22"/>
        <v/>
      </c>
      <c r="AJ149" s="2" t="str">
        <f t="shared" si="22"/>
        <v/>
      </c>
      <c r="AK149" s="2" t="str">
        <f t="shared" si="22"/>
        <v/>
      </c>
      <c r="AL149" s="2" t="str">
        <f t="shared" si="22"/>
        <v/>
      </c>
      <c r="AM149" s="2" t="str">
        <f t="shared" si="22"/>
        <v/>
      </c>
      <c r="AN149" s="2" t="str">
        <f t="shared" si="31"/>
        <v/>
      </c>
      <c r="AO149" s="2" t="str">
        <f t="shared" si="24"/>
        <v/>
      </c>
      <c r="AP149" s="2" t="str">
        <f t="shared" si="24"/>
        <v/>
      </c>
      <c r="AQ149" s="2" t="str">
        <f t="shared" si="24"/>
        <v/>
      </c>
      <c r="AR149" s="2">
        <f t="shared" si="24"/>
        <v>0.78794809479172434</v>
      </c>
      <c r="AT149" s="2" t="str">
        <f t="shared" si="32"/>
        <v/>
      </c>
      <c r="AU149" s="2" t="str">
        <f t="shared" si="32"/>
        <v/>
      </c>
      <c r="AV149" s="143" t="str">
        <f t="shared" si="26"/>
        <v/>
      </c>
      <c r="AW149" s="143" t="str">
        <f t="shared" si="26"/>
        <v/>
      </c>
      <c r="AX149" s="143" t="str">
        <f t="shared" si="26"/>
        <v/>
      </c>
      <c r="AY149" s="143" t="str">
        <f t="shared" si="26"/>
        <v/>
      </c>
      <c r="AZ149" s="143" t="str">
        <f t="shared" si="26"/>
        <v/>
      </c>
      <c r="BA149" s="143" t="str">
        <f t="shared" si="26"/>
        <v/>
      </c>
      <c r="BB149" s="143" t="str">
        <f t="shared" si="26"/>
        <v/>
      </c>
      <c r="BC149" s="143" t="str">
        <f t="shared" si="26"/>
        <v/>
      </c>
      <c r="BD149" s="143" t="str">
        <f t="shared" si="26"/>
        <v/>
      </c>
      <c r="BF149" s="9">
        <f t="shared" si="29"/>
        <v>7.2643187393988643E-4</v>
      </c>
      <c r="BG149" s="9">
        <f t="shared" si="30"/>
        <v>0.99434860262936509</v>
      </c>
    </row>
    <row r="150" spans="2:59" x14ac:dyDescent="0.3">
      <c r="B150" s="3" t="s">
        <v>292</v>
      </c>
      <c r="D150" s="141">
        <v>1418</v>
      </c>
      <c r="E150" s="141">
        <v>3896</v>
      </c>
      <c r="F150" s="141">
        <v>4282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>
        <f t="shared" si="27"/>
        <v>9596</v>
      </c>
      <c r="R150" s="141">
        <v>611</v>
      </c>
      <c r="S150" s="141">
        <v>1523</v>
      </c>
      <c r="T150" s="141">
        <v>1660</v>
      </c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28"/>
        <v>3794</v>
      </c>
      <c r="AF150" s="2">
        <f t="shared" si="22"/>
        <v>0.4308885754583921</v>
      </c>
      <c r="AG150" s="2">
        <f t="shared" si="22"/>
        <v>0.39091375770020537</v>
      </c>
      <c r="AH150" s="2">
        <f t="shared" si="22"/>
        <v>0.38766931340495098</v>
      </c>
      <c r="AI150" s="2" t="str">
        <f t="shared" si="22"/>
        <v/>
      </c>
      <c r="AJ150" s="2" t="str">
        <f t="shared" si="22"/>
        <v/>
      </c>
      <c r="AK150" s="2" t="str">
        <f t="shared" si="22"/>
        <v/>
      </c>
      <c r="AL150" s="2" t="str">
        <f t="shared" si="22"/>
        <v/>
      </c>
      <c r="AM150" s="2" t="str">
        <f t="shared" si="22"/>
        <v/>
      </c>
      <c r="AN150" s="2" t="str">
        <f t="shared" si="31"/>
        <v/>
      </c>
      <c r="AO150" s="2" t="str">
        <f t="shared" si="24"/>
        <v/>
      </c>
      <c r="AP150" s="2" t="str">
        <f t="shared" si="24"/>
        <v/>
      </c>
      <c r="AQ150" s="2" t="str">
        <f t="shared" si="24"/>
        <v/>
      </c>
      <c r="AR150" s="2">
        <f t="shared" si="24"/>
        <v>0.39537307211338057</v>
      </c>
      <c r="AT150" s="2" t="str">
        <f t="shared" si="32"/>
        <v/>
      </c>
      <c r="AU150" s="2" t="str">
        <f t="shared" si="32"/>
        <v/>
      </c>
      <c r="AV150" s="143" t="str">
        <f t="shared" ref="AV150:BD178" si="33">+IFERROR(AI150-AH150,"")</f>
        <v/>
      </c>
      <c r="AW150" s="143" t="str">
        <f t="shared" si="33"/>
        <v/>
      </c>
      <c r="AX150" s="143" t="str">
        <f t="shared" si="33"/>
        <v/>
      </c>
      <c r="AY150" s="143" t="str">
        <f t="shared" si="33"/>
        <v/>
      </c>
      <c r="AZ150" s="143" t="str">
        <f t="shared" si="33"/>
        <v/>
      </c>
      <c r="BA150" s="143" t="str">
        <f t="shared" si="33"/>
        <v/>
      </c>
      <c r="BB150" s="143" t="str">
        <f t="shared" si="33"/>
        <v/>
      </c>
      <c r="BC150" s="143" t="str">
        <f t="shared" si="33"/>
        <v/>
      </c>
      <c r="BD150" s="143" t="str">
        <f t="shared" si="33"/>
        <v/>
      </c>
      <c r="BF150" s="9">
        <f t="shared" si="29"/>
        <v>6.6777212346337765E-6</v>
      </c>
      <c r="BG150" s="9">
        <f t="shared" si="30"/>
        <v>0.99435528035059972</v>
      </c>
    </row>
    <row r="151" spans="2:59" x14ac:dyDescent="0.3">
      <c r="B151" s="3" t="s">
        <v>217</v>
      </c>
      <c r="D151" s="141">
        <v>12125</v>
      </c>
      <c r="E151" s="141">
        <v>9782</v>
      </c>
      <c r="F151" s="141">
        <v>13196</v>
      </c>
      <c r="G151" s="141"/>
      <c r="H151" s="141"/>
      <c r="I151" s="141"/>
      <c r="J151" s="141"/>
      <c r="K151" s="141"/>
      <c r="L151" s="141"/>
      <c r="M151" s="141"/>
      <c r="N151" s="141"/>
      <c r="O151" s="141"/>
      <c r="P151" s="141">
        <f t="shared" si="27"/>
        <v>35103</v>
      </c>
      <c r="R151" s="141">
        <v>9637</v>
      </c>
      <c r="S151" s="141">
        <v>6936</v>
      </c>
      <c r="T151" s="141">
        <v>11363</v>
      </c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28"/>
        <v>27936</v>
      </c>
      <c r="AF151" s="2">
        <f t="shared" si="22"/>
        <v>0.79480412371134024</v>
      </c>
      <c r="AG151" s="2">
        <f t="shared" si="22"/>
        <v>0.70905745246370888</v>
      </c>
      <c r="AH151" s="2">
        <f t="shared" si="22"/>
        <v>0.8610942709912095</v>
      </c>
      <c r="AI151" s="2" t="str">
        <f t="shared" si="22"/>
        <v/>
      </c>
      <c r="AJ151" s="2" t="str">
        <f t="shared" si="22"/>
        <v/>
      </c>
      <c r="AK151" s="2" t="str">
        <f t="shared" si="22"/>
        <v/>
      </c>
      <c r="AL151" s="2" t="str">
        <f t="shared" si="22"/>
        <v/>
      </c>
      <c r="AM151" s="2" t="str">
        <f t="shared" si="22"/>
        <v/>
      </c>
      <c r="AN151" s="2" t="str">
        <f t="shared" si="31"/>
        <v/>
      </c>
      <c r="AO151" s="2" t="str">
        <f t="shared" si="24"/>
        <v/>
      </c>
      <c r="AP151" s="2" t="str">
        <f t="shared" si="24"/>
        <v/>
      </c>
      <c r="AQ151" s="2" t="str">
        <f t="shared" si="24"/>
        <v/>
      </c>
      <c r="AR151" s="2">
        <f t="shared" si="24"/>
        <v>0.795829416289206</v>
      </c>
      <c r="AT151" s="2" t="str">
        <f t="shared" si="32"/>
        <v/>
      </c>
      <c r="AU151" s="2" t="str">
        <f t="shared" si="32"/>
        <v/>
      </c>
      <c r="AV151" s="143" t="str">
        <f t="shared" si="33"/>
        <v/>
      </c>
      <c r="AW151" s="143" t="str">
        <f t="shared" si="33"/>
        <v/>
      </c>
      <c r="AX151" s="143" t="str">
        <f t="shared" si="33"/>
        <v/>
      </c>
      <c r="AY151" s="143" t="str">
        <f t="shared" si="33"/>
        <v/>
      </c>
      <c r="AZ151" s="143" t="str">
        <f t="shared" si="33"/>
        <v/>
      </c>
      <c r="BA151" s="143" t="str">
        <f t="shared" si="33"/>
        <v/>
      </c>
      <c r="BB151" s="143" t="str">
        <f t="shared" si="33"/>
        <v/>
      </c>
      <c r="BC151" s="143" t="str">
        <f t="shared" si="33"/>
        <v/>
      </c>
      <c r="BD151" s="143" t="str">
        <f t="shared" si="33"/>
        <v/>
      </c>
      <c r="BF151" s="9">
        <f t="shared" si="29"/>
        <v>4.9169430788278642E-5</v>
      </c>
      <c r="BG151" s="9">
        <f t="shared" si="30"/>
        <v>0.99440444978138798</v>
      </c>
    </row>
    <row r="152" spans="2:59" x14ac:dyDescent="0.3">
      <c r="B152" s="3" t="s">
        <v>228</v>
      </c>
      <c r="D152" s="141">
        <v>4918</v>
      </c>
      <c r="E152" s="141">
        <v>6005</v>
      </c>
      <c r="F152" s="141">
        <v>10235</v>
      </c>
      <c r="G152" s="141"/>
      <c r="H152" s="141"/>
      <c r="I152" s="141"/>
      <c r="J152" s="141"/>
      <c r="K152" s="141"/>
      <c r="L152" s="141"/>
      <c r="M152" s="141"/>
      <c r="N152" s="141"/>
      <c r="O152" s="141"/>
      <c r="P152" s="141">
        <f t="shared" si="27"/>
        <v>21158</v>
      </c>
      <c r="R152" s="141">
        <v>3831</v>
      </c>
      <c r="S152" s="141">
        <v>5202</v>
      </c>
      <c r="T152" s="141">
        <v>8735</v>
      </c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28"/>
        <v>17768</v>
      </c>
      <c r="AF152" s="2">
        <f t="shared" si="22"/>
        <v>0.77897519316795449</v>
      </c>
      <c r="AG152" s="2">
        <f t="shared" si="22"/>
        <v>0.86627810158201501</v>
      </c>
      <c r="AH152" s="2">
        <f t="shared" si="22"/>
        <v>0.85344406448461163</v>
      </c>
      <c r="AI152" s="2" t="str">
        <f t="shared" si="22"/>
        <v/>
      </c>
      <c r="AJ152" s="2" t="str">
        <f t="shared" si="22"/>
        <v/>
      </c>
      <c r="AK152" s="2" t="str">
        <f t="shared" si="22"/>
        <v/>
      </c>
      <c r="AL152" s="2" t="str">
        <f t="shared" si="22"/>
        <v/>
      </c>
      <c r="AM152" s="2" t="str">
        <f t="shared" si="22"/>
        <v/>
      </c>
      <c r="AN152" s="2" t="str">
        <f t="shared" si="31"/>
        <v/>
      </c>
      <c r="AO152" s="2" t="str">
        <f t="shared" si="24"/>
        <v/>
      </c>
      <c r="AP152" s="2" t="str">
        <f t="shared" si="24"/>
        <v/>
      </c>
      <c r="AQ152" s="2" t="str">
        <f t="shared" si="24"/>
        <v/>
      </c>
      <c r="AR152" s="2">
        <f t="shared" si="24"/>
        <v>0.83977691653275355</v>
      </c>
      <c r="AT152" s="2" t="str">
        <f t="shared" si="32"/>
        <v/>
      </c>
      <c r="AU152" s="2" t="str">
        <f t="shared" si="32"/>
        <v/>
      </c>
      <c r="AV152" s="143" t="str">
        <f t="shared" si="33"/>
        <v/>
      </c>
      <c r="AW152" s="143" t="str">
        <f t="shared" si="33"/>
        <v/>
      </c>
      <c r="AX152" s="143" t="str">
        <f t="shared" si="33"/>
        <v/>
      </c>
      <c r="AY152" s="143" t="str">
        <f t="shared" si="33"/>
        <v/>
      </c>
      <c r="AZ152" s="143" t="str">
        <f t="shared" si="33"/>
        <v/>
      </c>
      <c r="BA152" s="143" t="str">
        <f t="shared" si="33"/>
        <v/>
      </c>
      <c r="BB152" s="143" t="str">
        <f t="shared" si="33"/>
        <v/>
      </c>
      <c r="BC152" s="143" t="str">
        <f t="shared" si="33"/>
        <v/>
      </c>
      <c r="BD152" s="143" t="str">
        <f t="shared" si="33"/>
        <v/>
      </c>
      <c r="BF152" s="9">
        <f t="shared" si="29"/>
        <v>3.1272997073530031E-5</v>
      </c>
      <c r="BG152" s="9">
        <f t="shared" si="30"/>
        <v>0.99443572277846148</v>
      </c>
    </row>
    <row r="153" spans="2:59" x14ac:dyDescent="0.3">
      <c r="B153" s="3" t="s">
        <v>226</v>
      </c>
      <c r="D153" s="141">
        <v>9264</v>
      </c>
      <c r="E153" s="141">
        <v>11345</v>
      </c>
      <c r="F153" s="141">
        <v>7172</v>
      </c>
      <c r="G153" s="141"/>
      <c r="H153" s="141"/>
      <c r="I153" s="141"/>
      <c r="J153" s="141"/>
      <c r="K153" s="141"/>
      <c r="L153" s="141"/>
      <c r="M153" s="141"/>
      <c r="N153" s="141"/>
      <c r="O153" s="141"/>
      <c r="P153" s="141">
        <f t="shared" si="27"/>
        <v>27781</v>
      </c>
      <c r="R153" s="141">
        <v>6866</v>
      </c>
      <c r="S153" s="141">
        <v>9958</v>
      </c>
      <c r="T153" s="141">
        <v>5683</v>
      </c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28"/>
        <v>22507</v>
      </c>
      <c r="AF153" s="2">
        <f t="shared" si="22"/>
        <v>0.74114853195164077</v>
      </c>
      <c r="AG153" s="2">
        <f t="shared" si="22"/>
        <v>0.87774349933891582</v>
      </c>
      <c r="AH153" s="2">
        <f t="shared" si="22"/>
        <v>0.79238706079196874</v>
      </c>
      <c r="AI153" s="2" t="str">
        <f t="shared" si="22"/>
        <v/>
      </c>
      <c r="AJ153" s="2" t="str">
        <f t="shared" si="22"/>
        <v/>
      </c>
      <c r="AK153" s="2" t="str">
        <f t="shared" si="22"/>
        <v/>
      </c>
      <c r="AL153" s="2" t="str">
        <f t="shared" si="22"/>
        <v/>
      </c>
      <c r="AM153" s="2" t="str">
        <f t="shared" si="22"/>
        <v/>
      </c>
      <c r="AN153" s="2" t="str">
        <f t="shared" si="31"/>
        <v/>
      </c>
      <c r="AO153" s="2" t="str">
        <f t="shared" si="24"/>
        <v/>
      </c>
      <c r="AP153" s="2" t="str">
        <f t="shared" si="24"/>
        <v/>
      </c>
      <c r="AQ153" s="2" t="str">
        <f t="shared" si="24"/>
        <v/>
      </c>
      <c r="AR153" s="2">
        <f t="shared" si="24"/>
        <v>0.81015802166948636</v>
      </c>
      <c r="AT153" s="2" t="str">
        <f t="shared" si="32"/>
        <v/>
      </c>
      <c r="AU153" s="2" t="str">
        <f t="shared" si="32"/>
        <v/>
      </c>
      <c r="AV153" s="143" t="str">
        <f t="shared" si="33"/>
        <v/>
      </c>
      <c r="AW153" s="143" t="str">
        <f t="shared" si="33"/>
        <v/>
      </c>
      <c r="AX153" s="143" t="str">
        <f t="shared" si="33"/>
        <v/>
      </c>
      <c r="AY153" s="143" t="str">
        <f t="shared" si="33"/>
        <v/>
      </c>
      <c r="AZ153" s="143" t="str">
        <f t="shared" si="33"/>
        <v/>
      </c>
      <c r="BA153" s="143" t="str">
        <f t="shared" si="33"/>
        <v/>
      </c>
      <c r="BB153" s="143" t="str">
        <f t="shared" si="33"/>
        <v/>
      </c>
      <c r="BC153" s="143" t="str">
        <f t="shared" si="33"/>
        <v/>
      </c>
      <c r="BD153" s="143" t="str">
        <f t="shared" si="33"/>
        <v/>
      </c>
      <c r="BF153" s="9">
        <f t="shared" si="29"/>
        <v>3.9613988357380708E-5</v>
      </c>
      <c r="BG153" s="9">
        <f t="shared" si="30"/>
        <v>0.99447533676681887</v>
      </c>
    </row>
    <row r="154" spans="2:59" x14ac:dyDescent="0.3">
      <c r="B154" s="3" t="s">
        <v>233</v>
      </c>
      <c r="D154" s="141">
        <v>48637</v>
      </c>
      <c r="E154" s="141">
        <v>28632</v>
      </c>
      <c r="F154" s="141">
        <v>28144</v>
      </c>
      <c r="G154" s="141"/>
      <c r="H154" s="141"/>
      <c r="I154" s="141"/>
      <c r="J154" s="141"/>
      <c r="K154" s="141"/>
      <c r="L154" s="141"/>
      <c r="M154" s="141"/>
      <c r="N154" s="141"/>
      <c r="O154" s="141"/>
      <c r="P154" s="141">
        <f t="shared" si="27"/>
        <v>105413</v>
      </c>
      <c r="R154" s="141">
        <v>28150</v>
      </c>
      <c r="S154" s="141">
        <v>19632</v>
      </c>
      <c r="T154" s="141">
        <v>17224</v>
      </c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28"/>
        <v>65006</v>
      </c>
      <c r="AF154" s="2">
        <f t="shared" si="22"/>
        <v>0.57877747393959333</v>
      </c>
      <c r="AG154" s="2">
        <f t="shared" si="22"/>
        <v>0.68566638725901086</v>
      </c>
      <c r="AH154" s="2">
        <f t="shared" si="22"/>
        <v>0.61199545196134164</v>
      </c>
      <c r="AI154" s="2" t="str">
        <f t="shared" si="22"/>
        <v/>
      </c>
      <c r="AJ154" s="2" t="str">
        <f t="shared" si="22"/>
        <v/>
      </c>
      <c r="AK154" s="2" t="str">
        <f t="shared" si="22"/>
        <v/>
      </c>
      <c r="AL154" s="2" t="str">
        <f t="shared" si="22"/>
        <v/>
      </c>
      <c r="AM154" s="2" t="str">
        <f t="shared" si="22"/>
        <v/>
      </c>
      <c r="AN154" s="2" t="str">
        <f t="shared" si="31"/>
        <v/>
      </c>
      <c r="AO154" s="2" t="str">
        <f t="shared" si="24"/>
        <v/>
      </c>
      <c r="AP154" s="2" t="str">
        <f t="shared" si="24"/>
        <v/>
      </c>
      <c r="AQ154" s="2" t="str">
        <f t="shared" si="24"/>
        <v/>
      </c>
      <c r="AR154" s="2">
        <f t="shared" si="24"/>
        <v>0.61667915721969779</v>
      </c>
      <c r="AT154" s="2" t="str">
        <f t="shared" si="32"/>
        <v/>
      </c>
      <c r="AU154" s="2" t="str">
        <f t="shared" si="32"/>
        <v/>
      </c>
      <c r="AV154" s="143" t="str">
        <f t="shared" si="33"/>
        <v/>
      </c>
      <c r="AW154" s="143" t="str">
        <f t="shared" si="33"/>
        <v/>
      </c>
      <c r="AX154" s="143" t="str">
        <f t="shared" si="33"/>
        <v/>
      </c>
      <c r="AY154" s="143" t="str">
        <f t="shared" si="33"/>
        <v/>
      </c>
      <c r="AZ154" s="143" t="str">
        <f t="shared" si="33"/>
        <v/>
      </c>
      <c r="BA154" s="143" t="str">
        <f t="shared" si="33"/>
        <v/>
      </c>
      <c r="BB154" s="143" t="str">
        <f t="shared" si="33"/>
        <v/>
      </c>
      <c r="BC154" s="143" t="str">
        <f t="shared" si="33"/>
        <v/>
      </c>
      <c r="BD154" s="143" t="str">
        <f t="shared" si="33"/>
        <v/>
      </c>
      <c r="BF154" s="9">
        <f t="shared" si="29"/>
        <v>1.1441537864486116E-4</v>
      </c>
      <c r="BG154" s="9">
        <f t="shared" si="30"/>
        <v>0.99458975214546375</v>
      </c>
    </row>
    <row r="155" spans="2:59" x14ac:dyDescent="0.3">
      <c r="B155" s="3" t="s">
        <v>280</v>
      </c>
      <c r="D155" s="141">
        <v>68888</v>
      </c>
      <c r="E155" s="141">
        <v>91902</v>
      </c>
      <c r="F155" s="141">
        <v>59828</v>
      </c>
      <c r="G155" s="141"/>
      <c r="H155" s="141"/>
      <c r="I155" s="141"/>
      <c r="J155" s="141"/>
      <c r="K155" s="141"/>
      <c r="L155" s="141"/>
      <c r="M155" s="141"/>
      <c r="N155" s="141"/>
      <c r="O155" s="141"/>
      <c r="P155" s="141">
        <f t="shared" si="27"/>
        <v>220618</v>
      </c>
      <c r="R155" s="141">
        <v>37781</v>
      </c>
      <c r="S155" s="141">
        <v>57909</v>
      </c>
      <c r="T155" s="141">
        <v>35041</v>
      </c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28"/>
        <v>130731</v>
      </c>
      <c r="AF155" s="2">
        <f t="shared" si="22"/>
        <v>0.54844094762513063</v>
      </c>
      <c r="AG155" s="2">
        <f t="shared" si="22"/>
        <v>0.63011686361559049</v>
      </c>
      <c r="AH155" s="2">
        <f t="shared" si="22"/>
        <v>0.58569566089456437</v>
      </c>
      <c r="AI155" s="2" t="str">
        <f t="shared" si="22"/>
        <v/>
      </c>
      <c r="AJ155" s="2" t="str">
        <f t="shared" si="22"/>
        <v/>
      </c>
      <c r="AK155" s="2" t="str">
        <f t="shared" si="22"/>
        <v/>
      </c>
      <c r="AL155" s="2" t="str">
        <f t="shared" si="22"/>
        <v/>
      </c>
      <c r="AM155" s="2" t="str">
        <f t="shared" si="22"/>
        <v/>
      </c>
      <c r="AN155" s="2" t="str">
        <f t="shared" si="31"/>
        <v/>
      </c>
      <c r="AO155" s="2" t="str">
        <f t="shared" si="24"/>
        <v/>
      </c>
      <c r="AP155" s="2" t="str">
        <f t="shared" si="24"/>
        <v/>
      </c>
      <c r="AQ155" s="2" t="str">
        <f t="shared" si="24"/>
        <v/>
      </c>
      <c r="AR155" s="2">
        <f t="shared" si="24"/>
        <v>0.59256724292668772</v>
      </c>
      <c r="AT155" s="2" t="str">
        <f t="shared" si="32"/>
        <v/>
      </c>
      <c r="AU155" s="2" t="str">
        <f t="shared" si="32"/>
        <v/>
      </c>
      <c r="AV155" s="143" t="str">
        <f t="shared" si="33"/>
        <v/>
      </c>
      <c r="AW155" s="143" t="str">
        <f t="shared" si="33"/>
        <v/>
      </c>
      <c r="AX155" s="143" t="str">
        <f t="shared" si="33"/>
        <v/>
      </c>
      <c r="AY155" s="143" t="str">
        <f t="shared" si="33"/>
        <v/>
      </c>
      <c r="AZ155" s="143" t="str">
        <f t="shared" si="33"/>
        <v/>
      </c>
      <c r="BA155" s="143" t="str">
        <f t="shared" si="33"/>
        <v/>
      </c>
      <c r="BB155" s="143" t="str">
        <f t="shared" si="33"/>
        <v/>
      </c>
      <c r="BC155" s="143" t="str">
        <f t="shared" si="33"/>
        <v/>
      </c>
      <c r="BD155" s="143" t="str">
        <f t="shared" si="33"/>
        <v/>
      </c>
      <c r="BF155" s="9">
        <f t="shared" si="29"/>
        <v>2.300962505864281E-4</v>
      </c>
      <c r="BG155" s="9">
        <f t="shared" si="30"/>
        <v>0.9948198483960502</v>
      </c>
    </row>
    <row r="156" spans="2:59" x14ac:dyDescent="0.3">
      <c r="B156" s="3" t="s">
        <v>219</v>
      </c>
      <c r="D156" s="141">
        <v>3180</v>
      </c>
      <c r="E156" s="141">
        <v>18910</v>
      </c>
      <c r="F156" s="141">
        <v>8590</v>
      </c>
      <c r="G156" s="141"/>
      <c r="H156" s="141"/>
      <c r="I156" s="141"/>
      <c r="J156" s="141"/>
      <c r="K156" s="141"/>
      <c r="L156" s="141"/>
      <c r="M156" s="141"/>
      <c r="N156" s="141"/>
      <c r="O156" s="141"/>
      <c r="P156" s="141">
        <f t="shared" si="27"/>
        <v>30680</v>
      </c>
      <c r="R156" s="141">
        <v>2970</v>
      </c>
      <c r="S156" s="141">
        <v>18910</v>
      </c>
      <c r="T156" s="141">
        <v>7652</v>
      </c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28"/>
        <v>29532</v>
      </c>
      <c r="AF156" s="2">
        <f t="shared" si="22"/>
        <v>0.93396226415094341</v>
      </c>
      <c r="AG156" s="2">
        <f t="shared" si="22"/>
        <v>1</v>
      </c>
      <c r="AH156" s="2">
        <f t="shared" si="22"/>
        <v>0.89080325960419093</v>
      </c>
      <c r="AI156" s="2" t="str">
        <f t="shared" si="22"/>
        <v/>
      </c>
      <c r="AJ156" s="2" t="str">
        <f t="shared" ref="AJ156:AQ212" si="34">+IFERROR(V156/H156,"")</f>
        <v/>
      </c>
      <c r="AK156" s="2" t="str">
        <f t="shared" si="34"/>
        <v/>
      </c>
      <c r="AL156" s="2" t="str">
        <f t="shared" si="34"/>
        <v/>
      </c>
      <c r="AM156" s="2" t="str">
        <f t="shared" si="34"/>
        <v/>
      </c>
      <c r="AN156" s="2" t="str">
        <f t="shared" si="31"/>
        <v/>
      </c>
      <c r="AO156" s="2" t="str">
        <f t="shared" si="24"/>
        <v/>
      </c>
      <c r="AP156" s="2" t="str">
        <f t="shared" si="24"/>
        <v/>
      </c>
      <c r="AQ156" s="2" t="str">
        <f t="shared" si="24"/>
        <v/>
      </c>
      <c r="AR156" s="2">
        <f t="shared" si="24"/>
        <v>0.96258148631029983</v>
      </c>
      <c r="AT156" s="2" t="str">
        <f t="shared" si="32"/>
        <v/>
      </c>
      <c r="AU156" s="2" t="str">
        <f t="shared" si="32"/>
        <v/>
      </c>
      <c r="AV156" s="143" t="str">
        <f t="shared" si="33"/>
        <v/>
      </c>
      <c r="AW156" s="143" t="str">
        <f t="shared" si="33"/>
        <v/>
      </c>
      <c r="AX156" s="143" t="str">
        <f t="shared" si="33"/>
        <v/>
      </c>
      <c r="AY156" s="143" t="str">
        <f t="shared" si="33"/>
        <v/>
      </c>
      <c r="AZ156" s="143" t="str">
        <f t="shared" si="33"/>
        <v/>
      </c>
      <c r="BA156" s="143" t="str">
        <f t="shared" si="33"/>
        <v/>
      </c>
      <c r="BB156" s="143" t="str">
        <f t="shared" si="33"/>
        <v/>
      </c>
      <c r="BC156" s="143" t="str">
        <f t="shared" si="33"/>
        <v/>
      </c>
      <c r="BD156" s="143" t="str">
        <f t="shared" si="33"/>
        <v/>
      </c>
      <c r="BF156" s="9">
        <f t="shared" si="29"/>
        <v>5.1978509093622743E-5</v>
      </c>
      <c r="BG156" s="9">
        <f t="shared" si="30"/>
        <v>0.99487182690514386</v>
      </c>
    </row>
    <row r="157" spans="2:59" x14ac:dyDescent="0.3">
      <c r="B157" s="3" t="s">
        <v>267</v>
      </c>
      <c r="D157" s="141">
        <v>9762</v>
      </c>
      <c r="E157" s="141">
        <v>4743</v>
      </c>
      <c r="F157" s="141">
        <v>20216</v>
      </c>
      <c r="G157" s="141"/>
      <c r="H157" s="141"/>
      <c r="I157" s="141"/>
      <c r="J157" s="141"/>
      <c r="K157" s="141"/>
      <c r="L157" s="141"/>
      <c r="M157" s="141"/>
      <c r="N157" s="141"/>
      <c r="O157" s="141"/>
      <c r="P157" s="141">
        <f t="shared" si="27"/>
        <v>34721</v>
      </c>
      <c r="R157" s="141">
        <v>4261</v>
      </c>
      <c r="S157" s="141">
        <v>267</v>
      </c>
      <c r="T157" s="141">
        <v>13163</v>
      </c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28"/>
        <v>17691</v>
      </c>
      <c r="AF157" s="2">
        <f t="shared" ref="AF157:AP215" si="35">+IFERROR(R157/D157,"")</f>
        <v>0.4364884245031756</v>
      </c>
      <c r="AG157" s="2">
        <f t="shared" si="35"/>
        <v>5.6293485135989876E-2</v>
      </c>
      <c r="AH157" s="2">
        <f t="shared" si="35"/>
        <v>0.65111792639493471</v>
      </c>
      <c r="AI157" s="2" t="str">
        <f t="shared" si="35"/>
        <v/>
      </c>
      <c r="AJ157" s="2" t="str">
        <f t="shared" si="34"/>
        <v/>
      </c>
      <c r="AK157" s="2" t="str">
        <f t="shared" si="34"/>
        <v/>
      </c>
      <c r="AL157" s="2" t="str">
        <f t="shared" si="34"/>
        <v/>
      </c>
      <c r="AM157" s="2" t="str">
        <f t="shared" si="34"/>
        <v/>
      </c>
      <c r="AN157" s="2" t="str">
        <f t="shared" si="31"/>
        <v/>
      </c>
      <c r="AO157" s="2" t="str">
        <f t="shared" si="24"/>
        <v/>
      </c>
      <c r="AP157" s="2" t="str">
        <f t="shared" si="24"/>
        <v/>
      </c>
      <c r="AQ157" s="2" t="str">
        <f t="shared" si="24"/>
        <v/>
      </c>
      <c r="AR157" s="2">
        <f t="shared" si="24"/>
        <v>0.50951873505947409</v>
      </c>
      <c r="AT157" s="2" t="str">
        <f t="shared" si="32"/>
        <v/>
      </c>
      <c r="AU157" s="2" t="str">
        <f t="shared" si="32"/>
        <v/>
      </c>
      <c r="AV157" s="143" t="str">
        <f t="shared" si="33"/>
        <v/>
      </c>
      <c r="AW157" s="143" t="str">
        <f t="shared" si="33"/>
        <v/>
      </c>
      <c r="AX157" s="143" t="str">
        <f t="shared" si="33"/>
        <v/>
      </c>
      <c r="AY157" s="143" t="str">
        <f t="shared" si="33"/>
        <v/>
      </c>
      <c r="AZ157" s="143" t="str">
        <f t="shared" si="33"/>
        <v/>
      </c>
      <c r="BA157" s="143" t="str">
        <f t="shared" si="33"/>
        <v/>
      </c>
      <c r="BB157" s="143" t="str">
        <f t="shared" si="33"/>
        <v/>
      </c>
      <c r="BC157" s="143" t="str">
        <f t="shared" si="33"/>
        <v/>
      </c>
      <c r="BD157" s="143" t="str">
        <f t="shared" si="33"/>
        <v/>
      </c>
      <c r="BF157" s="9">
        <f t="shared" si="29"/>
        <v>3.1137471365816059E-5</v>
      </c>
      <c r="BG157" s="9">
        <f t="shared" si="30"/>
        <v>0.99490296437650971</v>
      </c>
    </row>
    <row r="158" spans="2:59" x14ac:dyDescent="0.3">
      <c r="B158" s="3" t="s">
        <v>235</v>
      </c>
      <c r="D158" s="141">
        <v>3404</v>
      </c>
      <c r="E158" s="141">
        <v>2219</v>
      </c>
      <c r="F158" s="141">
        <v>10963</v>
      </c>
      <c r="G158" s="141"/>
      <c r="H158" s="141"/>
      <c r="I158" s="141"/>
      <c r="J158" s="141"/>
      <c r="K158" s="141"/>
      <c r="L158" s="141"/>
      <c r="M158" s="141"/>
      <c r="N158" s="141"/>
      <c r="O158" s="141"/>
      <c r="P158" s="141">
        <f t="shared" si="27"/>
        <v>16586</v>
      </c>
      <c r="R158" s="141">
        <v>2970</v>
      </c>
      <c r="S158" s="141">
        <v>1659</v>
      </c>
      <c r="T158" s="141">
        <v>10564</v>
      </c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28"/>
        <v>15193</v>
      </c>
      <c r="AF158" s="2">
        <f t="shared" si="35"/>
        <v>0.87250293772032905</v>
      </c>
      <c r="AG158" s="2">
        <f t="shared" si="35"/>
        <v>0.74763406940063093</v>
      </c>
      <c r="AH158" s="2">
        <f t="shared" si="35"/>
        <v>0.96360485268630847</v>
      </c>
      <c r="AI158" s="2" t="str">
        <f t="shared" si="35"/>
        <v/>
      </c>
      <c r="AJ158" s="2" t="str">
        <f t="shared" si="34"/>
        <v/>
      </c>
      <c r="AK158" s="2" t="str">
        <f t="shared" si="34"/>
        <v/>
      </c>
      <c r="AL158" s="2" t="str">
        <f t="shared" si="34"/>
        <v/>
      </c>
      <c r="AM158" s="2" t="str">
        <f t="shared" si="34"/>
        <v/>
      </c>
      <c r="AN158" s="2" t="str">
        <f t="shared" si="31"/>
        <v/>
      </c>
      <c r="AO158" s="2" t="str">
        <f t="shared" si="24"/>
        <v/>
      </c>
      <c r="AP158" s="2" t="str">
        <f t="shared" si="24"/>
        <v/>
      </c>
      <c r="AQ158" s="2" t="str">
        <f t="shared" si="24"/>
        <v/>
      </c>
      <c r="AR158" s="2">
        <f t="shared" si="24"/>
        <v>0.91601350536597126</v>
      </c>
      <c r="AT158" s="2" t="str">
        <f t="shared" si="32"/>
        <v/>
      </c>
      <c r="AU158" s="2" t="str">
        <f t="shared" si="32"/>
        <v/>
      </c>
      <c r="AV158" s="143" t="str">
        <f t="shared" si="33"/>
        <v/>
      </c>
      <c r="AW158" s="143" t="str">
        <f t="shared" si="33"/>
        <v/>
      </c>
      <c r="AX158" s="143" t="str">
        <f t="shared" si="33"/>
        <v/>
      </c>
      <c r="AY158" s="143" t="str">
        <f t="shared" si="33"/>
        <v/>
      </c>
      <c r="AZ158" s="143" t="str">
        <f t="shared" si="33"/>
        <v/>
      </c>
      <c r="BA158" s="143" t="str">
        <f t="shared" si="33"/>
        <v/>
      </c>
      <c r="BB158" s="143" t="str">
        <f t="shared" si="33"/>
        <v/>
      </c>
      <c r="BC158" s="143" t="str">
        <f t="shared" si="33"/>
        <v/>
      </c>
      <c r="BD158" s="143" t="str">
        <f t="shared" si="33"/>
        <v/>
      </c>
      <c r="BF158" s="9">
        <f t="shared" si="29"/>
        <v>2.6740806198679746E-5</v>
      </c>
      <c r="BG158" s="9">
        <f t="shared" si="30"/>
        <v>0.9949297051827084</v>
      </c>
    </row>
    <row r="159" spans="2:59" x14ac:dyDescent="0.3">
      <c r="B159" s="3" t="s">
        <v>263</v>
      </c>
      <c r="D159" s="141">
        <v>32524</v>
      </c>
      <c r="E159" s="141">
        <v>27095</v>
      </c>
      <c r="F159" s="141">
        <v>33375</v>
      </c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27"/>
        <v>92994</v>
      </c>
      <c r="R159" s="141">
        <v>17361</v>
      </c>
      <c r="S159" s="141">
        <v>17756</v>
      </c>
      <c r="T159" s="141">
        <v>15639</v>
      </c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28"/>
        <v>50756</v>
      </c>
      <c r="AF159" s="2">
        <f t="shared" si="35"/>
        <v>0.53379043168121998</v>
      </c>
      <c r="AG159" s="2">
        <f t="shared" si="35"/>
        <v>0.65532386049086544</v>
      </c>
      <c r="AH159" s="2">
        <f t="shared" si="35"/>
        <v>0.46858426966292133</v>
      </c>
      <c r="AI159" s="2" t="str">
        <f t="shared" si="35"/>
        <v/>
      </c>
      <c r="AJ159" s="2" t="str">
        <f t="shared" si="34"/>
        <v/>
      </c>
      <c r="AK159" s="2" t="str">
        <f t="shared" si="34"/>
        <v/>
      </c>
      <c r="AL159" s="2" t="str">
        <f t="shared" si="34"/>
        <v/>
      </c>
      <c r="AM159" s="2" t="str">
        <f t="shared" si="34"/>
        <v/>
      </c>
      <c r="AN159" s="2" t="str">
        <f t="shared" si="31"/>
        <v/>
      </c>
      <c r="AO159" s="2" t="str">
        <f t="shared" si="24"/>
        <v/>
      </c>
      <c r="AP159" s="2" t="str">
        <f t="shared" si="24"/>
        <v/>
      </c>
      <c r="AQ159" s="2" t="str">
        <f t="shared" si="24"/>
        <v/>
      </c>
      <c r="AR159" s="2">
        <f t="shared" si="24"/>
        <v>0.54579865367658131</v>
      </c>
      <c r="AT159" s="2" t="str">
        <f t="shared" si="32"/>
        <v/>
      </c>
      <c r="AU159" s="2" t="str">
        <f t="shared" si="32"/>
        <v/>
      </c>
      <c r="AV159" s="143" t="str">
        <f t="shared" si="33"/>
        <v/>
      </c>
      <c r="AW159" s="143" t="str">
        <f t="shared" si="33"/>
        <v/>
      </c>
      <c r="AX159" s="143" t="str">
        <f t="shared" si="33"/>
        <v/>
      </c>
      <c r="AY159" s="143" t="str">
        <f t="shared" si="33"/>
        <v/>
      </c>
      <c r="AZ159" s="143" t="str">
        <f t="shared" si="33"/>
        <v/>
      </c>
      <c r="BA159" s="143" t="str">
        <f t="shared" si="33"/>
        <v/>
      </c>
      <c r="BB159" s="143" t="str">
        <f t="shared" si="33"/>
        <v/>
      </c>
      <c r="BC159" s="143" t="str">
        <f t="shared" si="33"/>
        <v/>
      </c>
      <c r="BD159" s="143" t="str">
        <f t="shared" si="33"/>
        <v/>
      </c>
      <c r="BF159" s="9">
        <f t="shared" si="29"/>
        <v>8.9334322347146001E-5</v>
      </c>
      <c r="BG159" s="9">
        <f t="shared" si="30"/>
        <v>0.99501903950505555</v>
      </c>
    </row>
    <row r="160" spans="2:59" x14ac:dyDescent="0.3">
      <c r="B160" s="3" t="s">
        <v>229</v>
      </c>
      <c r="D160" s="141">
        <v>1641</v>
      </c>
      <c r="E160" s="141">
        <v>3454</v>
      </c>
      <c r="F160" s="141">
        <v>5099</v>
      </c>
      <c r="G160" s="141"/>
      <c r="H160" s="141"/>
      <c r="I160" s="141"/>
      <c r="J160" s="141"/>
      <c r="K160" s="141"/>
      <c r="L160" s="141"/>
      <c r="M160" s="141"/>
      <c r="N160" s="141"/>
      <c r="O160" s="141"/>
      <c r="P160" s="141">
        <f t="shared" si="27"/>
        <v>10194</v>
      </c>
      <c r="R160" s="141">
        <v>826</v>
      </c>
      <c r="S160" s="141">
        <v>2852</v>
      </c>
      <c r="T160" s="141">
        <v>3224</v>
      </c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28"/>
        <v>6902</v>
      </c>
      <c r="AF160" s="2">
        <f t="shared" si="35"/>
        <v>0.50335161486898228</v>
      </c>
      <c r="AG160" s="2">
        <f t="shared" si="35"/>
        <v>0.82570932252460916</v>
      </c>
      <c r="AH160" s="2">
        <f t="shared" si="35"/>
        <v>0.63228083938027069</v>
      </c>
      <c r="AI160" s="2" t="str">
        <f t="shared" si="35"/>
        <v/>
      </c>
      <c r="AJ160" s="2" t="str">
        <f t="shared" si="34"/>
        <v/>
      </c>
      <c r="AK160" s="2" t="str">
        <f t="shared" si="34"/>
        <v/>
      </c>
      <c r="AL160" s="2" t="str">
        <f t="shared" si="34"/>
        <v/>
      </c>
      <c r="AM160" s="2" t="str">
        <f t="shared" si="34"/>
        <v/>
      </c>
      <c r="AN160" s="2" t="str">
        <f t="shared" si="31"/>
        <v/>
      </c>
      <c r="AO160" s="2" t="str">
        <f t="shared" si="24"/>
        <v/>
      </c>
      <c r="AP160" s="2" t="str">
        <f t="shared" si="24"/>
        <v/>
      </c>
      <c r="AQ160" s="2" t="str">
        <f t="shared" si="24"/>
        <v/>
      </c>
      <c r="AR160" s="2">
        <f t="shared" si="24"/>
        <v>0.67706494016087893</v>
      </c>
      <c r="AT160" s="2" t="str">
        <f t="shared" si="32"/>
        <v/>
      </c>
      <c r="AU160" s="2" t="str">
        <f t="shared" si="32"/>
        <v/>
      </c>
      <c r="AV160" s="143" t="str">
        <f t="shared" si="33"/>
        <v/>
      </c>
      <c r="AW160" s="143" t="str">
        <f t="shared" si="33"/>
        <v/>
      </c>
      <c r="AX160" s="143" t="str">
        <f t="shared" si="33"/>
        <v/>
      </c>
      <c r="AY160" s="143" t="str">
        <f t="shared" si="33"/>
        <v/>
      </c>
      <c r="AZ160" s="143" t="str">
        <f t="shared" si="33"/>
        <v/>
      </c>
      <c r="BA160" s="143" t="str">
        <f t="shared" si="33"/>
        <v/>
      </c>
      <c r="BB160" s="143" t="str">
        <f t="shared" si="33"/>
        <v/>
      </c>
      <c r="BC160" s="143" t="str">
        <f t="shared" si="33"/>
        <v/>
      </c>
      <c r="BD160" s="143" t="str">
        <f t="shared" si="33"/>
        <v/>
      </c>
      <c r="BF160" s="9">
        <f t="shared" si="29"/>
        <v>1.2148031618724914E-5</v>
      </c>
      <c r="BG160" s="9">
        <f t="shared" si="30"/>
        <v>0.9950311875366743</v>
      </c>
    </row>
    <row r="161" spans="2:59" x14ac:dyDescent="0.3">
      <c r="B161" s="3" t="s">
        <v>221</v>
      </c>
      <c r="D161" s="141">
        <v>48258</v>
      </c>
      <c r="E161" s="141">
        <v>67220</v>
      </c>
      <c r="F161" s="141">
        <v>39654</v>
      </c>
      <c r="G161" s="141"/>
      <c r="H161" s="141"/>
      <c r="I161" s="141"/>
      <c r="J161" s="141"/>
      <c r="K161" s="141"/>
      <c r="L161" s="141"/>
      <c r="M161" s="141"/>
      <c r="N161" s="141"/>
      <c r="O161" s="141"/>
      <c r="P161" s="141">
        <f t="shared" si="27"/>
        <v>155132</v>
      </c>
      <c r="R161" s="141">
        <v>43617</v>
      </c>
      <c r="S161" s="141">
        <v>61290</v>
      </c>
      <c r="T161" s="141">
        <v>37869</v>
      </c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28"/>
        <v>142776</v>
      </c>
      <c r="AF161" s="2">
        <f t="shared" si="35"/>
        <v>0.90382941688424712</v>
      </c>
      <c r="AG161" s="2">
        <f t="shared" si="35"/>
        <v>0.91178220767628682</v>
      </c>
      <c r="AH161" s="2">
        <f t="shared" si="35"/>
        <v>0.95498562566197609</v>
      </c>
      <c r="AI161" s="2" t="str">
        <f t="shared" si="35"/>
        <v/>
      </c>
      <c r="AJ161" s="2" t="str">
        <f t="shared" si="34"/>
        <v/>
      </c>
      <c r="AK161" s="2" t="str">
        <f t="shared" si="34"/>
        <v/>
      </c>
      <c r="AL161" s="2" t="str">
        <f t="shared" si="34"/>
        <v/>
      </c>
      <c r="AM161" s="2" t="str">
        <f t="shared" si="34"/>
        <v/>
      </c>
      <c r="AN161" s="2" t="str">
        <f t="shared" si="31"/>
        <v/>
      </c>
      <c r="AO161" s="2" t="str">
        <f t="shared" si="24"/>
        <v/>
      </c>
      <c r="AP161" s="2" t="str">
        <f t="shared" si="24"/>
        <v/>
      </c>
      <c r="AQ161" s="2" t="str">
        <f t="shared" si="24"/>
        <v/>
      </c>
      <c r="AR161" s="2">
        <f t="shared" si="24"/>
        <v>0.92035170048732695</v>
      </c>
      <c r="AT161" s="2" t="str">
        <f t="shared" si="32"/>
        <v/>
      </c>
      <c r="AU161" s="2" t="str">
        <f t="shared" si="32"/>
        <v/>
      </c>
      <c r="AV161" s="143" t="str">
        <f t="shared" si="33"/>
        <v/>
      </c>
      <c r="AW161" s="143" t="str">
        <f t="shared" si="33"/>
        <v/>
      </c>
      <c r="AX161" s="143" t="str">
        <f t="shared" si="33"/>
        <v/>
      </c>
      <c r="AY161" s="143" t="str">
        <f t="shared" si="33"/>
        <v/>
      </c>
      <c r="AZ161" s="143" t="str">
        <f t="shared" si="33"/>
        <v/>
      </c>
      <c r="BA161" s="143" t="str">
        <f t="shared" si="33"/>
        <v/>
      </c>
      <c r="BB161" s="143" t="str">
        <f t="shared" si="33"/>
        <v/>
      </c>
      <c r="BC161" s="143" t="str">
        <f t="shared" si="33"/>
        <v/>
      </c>
      <c r="BD161" s="143" t="str">
        <f t="shared" si="33"/>
        <v/>
      </c>
      <c r="BF161" s="9">
        <f t="shared" si="29"/>
        <v>2.512963434359705E-4</v>
      </c>
      <c r="BG161" s="9">
        <f t="shared" si="30"/>
        <v>0.99528248388011031</v>
      </c>
    </row>
    <row r="162" spans="2:59" x14ac:dyDescent="0.3">
      <c r="B162" s="3" t="s">
        <v>237</v>
      </c>
      <c r="D162" s="141">
        <v>3453</v>
      </c>
      <c r="E162" s="141">
        <v>5892</v>
      </c>
      <c r="F162" s="141">
        <v>3627</v>
      </c>
      <c r="G162" s="141"/>
      <c r="H162" s="141"/>
      <c r="I162" s="141"/>
      <c r="J162" s="141"/>
      <c r="K162" s="141"/>
      <c r="L162" s="141"/>
      <c r="M162" s="141"/>
      <c r="N162" s="141"/>
      <c r="O162" s="141"/>
      <c r="P162" s="141">
        <f t="shared" si="27"/>
        <v>12972</v>
      </c>
      <c r="R162" s="141">
        <v>1313</v>
      </c>
      <c r="S162" s="141">
        <v>4876</v>
      </c>
      <c r="T162" s="141">
        <v>2355</v>
      </c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28"/>
        <v>8544</v>
      </c>
      <c r="AF162" s="2">
        <f t="shared" si="35"/>
        <v>0.38024905878945842</v>
      </c>
      <c r="AG162" s="2">
        <f t="shared" si="35"/>
        <v>0.82756279701289881</v>
      </c>
      <c r="AH162" s="2">
        <f t="shared" si="35"/>
        <v>0.64929693961952029</v>
      </c>
      <c r="AI162" s="2" t="str">
        <f t="shared" si="35"/>
        <v/>
      </c>
      <c r="AJ162" s="2" t="str">
        <f t="shared" si="34"/>
        <v/>
      </c>
      <c r="AK162" s="2" t="str">
        <f t="shared" si="34"/>
        <v/>
      </c>
      <c r="AL162" s="2" t="str">
        <f t="shared" si="34"/>
        <v/>
      </c>
      <c r="AM162" s="2" t="str">
        <f t="shared" si="34"/>
        <v/>
      </c>
      <c r="AN162" s="2" t="str">
        <f t="shared" si="31"/>
        <v/>
      </c>
      <c r="AO162" s="2" t="str">
        <f t="shared" si="24"/>
        <v/>
      </c>
      <c r="AP162" s="2" t="str">
        <f t="shared" si="24"/>
        <v/>
      </c>
      <c r="AQ162" s="2" t="str">
        <f t="shared" si="24"/>
        <v/>
      </c>
      <c r="AR162" s="2">
        <f t="shared" si="24"/>
        <v>0.65864939870490291</v>
      </c>
      <c r="AT162" s="2" t="str">
        <f t="shared" si="32"/>
        <v/>
      </c>
      <c r="AU162" s="2" t="str">
        <f t="shared" si="32"/>
        <v/>
      </c>
      <c r="AV162" s="143" t="str">
        <f t="shared" si="33"/>
        <v/>
      </c>
      <c r="AW162" s="143" t="str">
        <f t="shared" si="33"/>
        <v/>
      </c>
      <c r="AX162" s="143" t="str">
        <f t="shared" si="33"/>
        <v/>
      </c>
      <c r="AY162" s="143" t="str">
        <f t="shared" si="33"/>
        <v/>
      </c>
      <c r="AZ162" s="143" t="str">
        <f t="shared" si="33"/>
        <v/>
      </c>
      <c r="BA162" s="143" t="str">
        <f t="shared" si="33"/>
        <v/>
      </c>
      <c r="BB162" s="143" t="str">
        <f t="shared" si="33"/>
        <v/>
      </c>
      <c r="BC162" s="143" t="str">
        <f t="shared" si="33"/>
        <v/>
      </c>
      <c r="BD162" s="143" t="str">
        <f t="shared" si="33"/>
        <v/>
      </c>
      <c r="BF162" s="9">
        <f t="shared" si="29"/>
        <v>1.5038073333872162E-5</v>
      </c>
      <c r="BG162" s="9">
        <f t="shared" si="30"/>
        <v>0.99529752195344423</v>
      </c>
    </row>
    <row r="163" spans="2:59" x14ac:dyDescent="0.3">
      <c r="B163" s="3" t="s">
        <v>245</v>
      </c>
      <c r="D163" s="141">
        <v>1425</v>
      </c>
      <c r="E163" s="141">
        <v>1215</v>
      </c>
      <c r="F163" s="141">
        <v>2001</v>
      </c>
      <c r="G163" s="141"/>
      <c r="H163" s="141"/>
      <c r="I163" s="141"/>
      <c r="J163" s="141"/>
      <c r="K163" s="141"/>
      <c r="L163" s="141"/>
      <c r="M163" s="141"/>
      <c r="N163" s="141"/>
      <c r="O163" s="141"/>
      <c r="P163" s="141">
        <f t="shared" si="27"/>
        <v>4641</v>
      </c>
      <c r="R163" s="141">
        <v>1425</v>
      </c>
      <c r="S163" s="141">
        <v>1215</v>
      </c>
      <c r="T163" s="141">
        <v>2001</v>
      </c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28"/>
        <v>4641</v>
      </c>
      <c r="AF163" s="2">
        <f t="shared" si="35"/>
        <v>1</v>
      </c>
      <c r="AG163" s="2">
        <f t="shared" si="35"/>
        <v>1</v>
      </c>
      <c r="AH163" s="2">
        <f t="shared" si="35"/>
        <v>1</v>
      </c>
      <c r="AI163" s="2" t="str">
        <f t="shared" si="35"/>
        <v/>
      </c>
      <c r="AJ163" s="2" t="str">
        <f t="shared" si="34"/>
        <v/>
      </c>
      <c r="AK163" s="2" t="str">
        <f t="shared" si="34"/>
        <v/>
      </c>
      <c r="AL163" s="2" t="str">
        <f t="shared" si="34"/>
        <v/>
      </c>
      <c r="AM163" s="2" t="str">
        <f t="shared" si="34"/>
        <v/>
      </c>
      <c r="AN163" s="2" t="str">
        <f t="shared" si="31"/>
        <v/>
      </c>
      <c r="AO163" s="2" t="str">
        <f t="shared" si="24"/>
        <v/>
      </c>
      <c r="AP163" s="2" t="str">
        <f t="shared" si="24"/>
        <v/>
      </c>
      <c r="AQ163" s="2" t="str">
        <f t="shared" si="24"/>
        <v/>
      </c>
      <c r="AR163" s="2">
        <f t="shared" si="24"/>
        <v>1</v>
      </c>
      <c r="AT163" s="2" t="str">
        <f t="shared" si="32"/>
        <v/>
      </c>
      <c r="AU163" s="2" t="str">
        <f t="shared" si="32"/>
        <v/>
      </c>
      <c r="AV163" s="143" t="str">
        <f t="shared" si="33"/>
        <v/>
      </c>
      <c r="AW163" s="143" t="str">
        <f t="shared" si="33"/>
        <v/>
      </c>
      <c r="AX163" s="143" t="str">
        <f t="shared" si="33"/>
        <v/>
      </c>
      <c r="AY163" s="143" t="str">
        <f t="shared" si="33"/>
        <v/>
      </c>
      <c r="AZ163" s="143" t="str">
        <f t="shared" si="33"/>
        <v/>
      </c>
      <c r="BA163" s="143" t="str">
        <f t="shared" si="33"/>
        <v/>
      </c>
      <c r="BB163" s="143" t="str">
        <f t="shared" si="33"/>
        <v/>
      </c>
      <c r="BC163" s="143" t="str">
        <f t="shared" si="33"/>
        <v/>
      </c>
      <c r="BD163" s="143" t="str">
        <f t="shared" si="33"/>
        <v/>
      </c>
      <c r="BF163" s="9">
        <f t="shared" si="29"/>
        <v>8.1685040194874421E-6</v>
      </c>
      <c r="BG163" s="9">
        <f t="shared" si="30"/>
        <v>0.99530569045746375</v>
      </c>
    </row>
    <row r="164" spans="2:59" x14ac:dyDescent="0.3">
      <c r="B164" s="3" t="s">
        <v>224</v>
      </c>
      <c r="D164" s="141">
        <v>19969</v>
      </c>
      <c r="E164" s="141">
        <v>27804</v>
      </c>
      <c r="F164" s="141">
        <v>14183</v>
      </c>
      <c r="G164" s="141"/>
      <c r="H164" s="141"/>
      <c r="I164" s="141"/>
      <c r="J164" s="141"/>
      <c r="K164" s="141"/>
      <c r="L164" s="141"/>
      <c r="M164" s="141"/>
      <c r="N164" s="141"/>
      <c r="O164" s="141"/>
      <c r="P164" s="141">
        <f t="shared" si="27"/>
        <v>61956</v>
      </c>
      <c r="R164" s="141">
        <v>17359</v>
      </c>
      <c r="S164" s="141">
        <v>21715</v>
      </c>
      <c r="T164" s="141">
        <v>11340</v>
      </c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28"/>
        <v>50414</v>
      </c>
      <c r="AF164" s="2">
        <f t="shared" si="35"/>
        <v>0.86929741098702995</v>
      </c>
      <c r="AG164" s="2">
        <f t="shared" si="35"/>
        <v>0.78100273341965187</v>
      </c>
      <c r="AH164" s="2">
        <f t="shared" si="35"/>
        <v>0.79954875555242189</v>
      </c>
      <c r="AI164" s="2" t="str">
        <f t="shared" si="35"/>
        <v/>
      </c>
      <c r="AJ164" s="2" t="str">
        <f t="shared" si="34"/>
        <v/>
      </c>
      <c r="AK164" s="2" t="str">
        <f t="shared" si="34"/>
        <v/>
      </c>
      <c r="AL164" s="2" t="str">
        <f t="shared" si="34"/>
        <v/>
      </c>
      <c r="AM164" s="2" t="str">
        <f t="shared" si="34"/>
        <v/>
      </c>
      <c r="AN164" s="2" t="str">
        <f t="shared" si="31"/>
        <v/>
      </c>
      <c r="AO164" s="2" t="str">
        <f t="shared" si="24"/>
        <v/>
      </c>
      <c r="AP164" s="2" t="str">
        <f t="shared" si="24"/>
        <v/>
      </c>
      <c r="AQ164" s="2" t="str">
        <f t="shared" si="24"/>
        <v/>
      </c>
      <c r="AR164" s="2">
        <f t="shared" si="24"/>
        <v>0.81370650138808187</v>
      </c>
      <c r="AT164" s="2" t="str">
        <f t="shared" si="32"/>
        <v/>
      </c>
      <c r="AU164" s="2" t="str">
        <f t="shared" si="32"/>
        <v/>
      </c>
      <c r="AV164" s="143" t="str">
        <f t="shared" si="33"/>
        <v/>
      </c>
      <c r="AW164" s="143" t="str">
        <f t="shared" si="33"/>
        <v/>
      </c>
      <c r="AX164" s="143" t="str">
        <f t="shared" si="33"/>
        <v/>
      </c>
      <c r="AY164" s="143" t="str">
        <f t="shared" si="33"/>
        <v/>
      </c>
      <c r="AZ164" s="143" t="str">
        <f t="shared" si="33"/>
        <v/>
      </c>
      <c r="BA164" s="143" t="str">
        <f t="shared" si="33"/>
        <v/>
      </c>
      <c r="BB164" s="143" t="str">
        <f t="shared" si="33"/>
        <v/>
      </c>
      <c r="BC164" s="143" t="str">
        <f t="shared" si="33"/>
        <v/>
      </c>
      <c r="BD164" s="143" t="str">
        <f t="shared" si="33"/>
        <v/>
      </c>
      <c r="BF164" s="9">
        <f t="shared" si="29"/>
        <v>8.873237699600084E-5</v>
      </c>
      <c r="BG164" s="9">
        <f t="shared" si="30"/>
        <v>0.99539442283445978</v>
      </c>
    </row>
    <row r="165" spans="2:59" x14ac:dyDescent="0.3">
      <c r="B165" s="3" t="s">
        <v>241</v>
      </c>
      <c r="D165" s="141">
        <v>38908</v>
      </c>
      <c r="E165" s="141">
        <v>23952</v>
      </c>
      <c r="F165" s="141">
        <v>18601</v>
      </c>
      <c r="G165" s="141"/>
      <c r="H165" s="141"/>
      <c r="I165" s="141"/>
      <c r="J165" s="141"/>
      <c r="K165" s="141"/>
      <c r="L165" s="141"/>
      <c r="M165" s="141"/>
      <c r="N165" s="141"/>
      <c r="O165" s="141"/>
      <c r="P165" s="141">
        <f t="shared" si="27"/>
        <v>81461</v>
      </c>
      <c r="R165" s="141">
        <v>18107</v>
      </c>
      <c r="S165" s="141">
        <v>17089</v>
      </c>
      <c r="T165" s="141">
        <v>10766</v>
      </c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28"/>
        <v>45962</v>
      </c>
      <c r="AF165" s="2">
        <f t="shared" si="35"/>
        <v>0.46537987046365786</v>
      </c>
      <c r="AG165" s="2">
        <f t="shared" si="35"/>
        <v>0.71346860387441546</v>
      </c>
      <c r="AH165" s="2">
        <f t="shared" si="35"/>
        <v>0.57878608676952847</v>
      </c>
      <c r="AI165" s="2" t="str">
        <f t="shared" si="35"/>
        <v/>
      </c>
      <c r="AJ165" s="2" t="str">
        <f t="shared" si="34"/>
        <v/>
      </c>
      <c r="AK165" s="2" t="str">
        <f t="shared" si="34"/>
        <v/>
      </c>
      <c r="AL165" s="2" t="str">
        <f t="shared" si="34"/>
        <v/>
      </c>
      <c r="AM165" s="2" t="str">
        <f t="shared" si="34"/>
        <v/>
      </c>
      <c r="AN165" s="2" t="str">
        <f t="shared" si="31"/>
        <v/>
      </c>
      <c r="AO165" s="2" t="str">
        <f t="shared" si="24"/>
        <v/>
      </c>
      <c r="AP165" s="2" t="str">
        <f t="shared" si="24"/>
        <v/>
      </c>
      <c r="AQ165" s="2" t="str">
        <f t="shared" si="24"/>
        <v/>
      </c>
      <c r="AR165" s="2">
        <f t="shared" si="24"/>
        <v>0.56422091553013098</v>
      </c>
      <c r="AT165" s="2" t="str">
        <f t="shared" si="32"/>
        <v/>
      </c>
      <c r="AU165" s="2" t="str">
        <f t="shared" si="32"/>
        <v/>
      </c>
      <c r="AV165" s="143" t="str">
        <f t="shared" si="33"/>
        <v/>
      </c>
      <c r="AW165" s="143" t="str">
        <f t="shared" si="33"/>
        <v/>
      </c>
      <c r="AX165" s="143" t="str">
        <f t="shared" si="33"/>
        <v/>
      </c>
      <c r="AY165" s="143" t="str">
        <f t="shared" si="33"/>
        <v/>
      </c>
      <c r="AZ165" s="143" t="str">
        <f t="shared" si="33"/>
        <v/>
      </c>
      <c r="BA165" s="143" t="str">
        <f t="shared" si="33"/>
        <v/>
      </c>
      <c r="BB165" s="143" t="str">
        <f t="shared" si="33"/>
        <v/>
      </c>
      <c r="BC165" s="143" t="str">
        <f t="shared" si="33"/>
        <v/>
      </c>
      <c r="BD165" s="143" t="str">
        <f t="shared" si="33"/>
        <v/>
      </c>
      <c r="BF165" s="9">
        <f t="shared" si="29"/>
        <v>8.089652698635678E-5</v>
      </c>
      <c r="BG165" s="9">
        <f t="shared" si="30"/>
        <v>0.99547531936144618</v>
      </c>
    </row>
    <row r="166" spans="2:59" x14ac:dyDescent="0.3">
      <c r="B166" s="3" t="s">
        <v>236</v>
      </c>
      <c r="D166" s="141">
        <v>5895</v>
      </c>
      <c r="E166" s="141">
        <v>-460</v>
      </c>
      <c r="F166" s="141">
        <v>2229</v>
      </c>
      <c r="G166" s="141"/>
      <c r="H166" s="141"/>
      <c r="I166" s="141"/>
      <c r="J166" s="141"/>
      <c r="K166" s="141"/>
      <c r="L166" s="141"/>
      <c r="M166" s="141"/>
      <c r="N166" s="141"/>
      <c r="O166" s="141"/>
      <c r="P166" s="141">
        <f t="shared" si="27"/>
        <v>7664</v>
      </c>
      <c r="R166" s="141">
        <v>5895</v>
      </c>
      <c r="S166" s="141">
        <v>-460</v>
      </c>
      <c r="T166" s="141">
        <v>579</v>
      </c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28"/>
        <v>6014</v>
      </c>
      <c r="AF166" s="2">
        <f t="shared" si="35"/>
        <v>1</v>
      </c>
      <c r="AG166" s="2">
        <f t="shared" si="35"/>
        <v>1</v>
      </c>
      <c r="AH166" s="2">
        <f t="shared" si="35"/>
        <v>0.25975773889636611</v>
      </c>
      <c r="AI166" s="2" t="str">
        <f t="shared" si="35"/>
        <v/>
      </c>
      <c r="AJ166" s="2" t="str">
        <f t="shared" si="34"/>
        <v/>
      </c>
      <c r="AK166" s="2" t="str">
        <f t="shared" si="34"/>
        <v/>
      </c>
      <c r="AL166" s="2" t="str">
        <f t="shared" si="34"/>
        <v/>
      </c>
      <c r="AM166" s="2" t="str">
        <f t="shared" si="34"/>
        <v/>
      </c>
      <c r="AN166" s="2" t="str">
        <f t="shared" si="31"/>
        <v/>
      </c>
      <c r="AO166" s="2" t="str">
        <f t="shared" si="24"/>
        <v/>
      </c>
      <c r="AP166" s="2" t="str">
        <f t="shared" si="24"/>
        <v/>
      </c>
      <c r="AQ166" s="2" t="str">
        <f t="shared" si="24"/>
        <v/>
      </c>
      <c r="AR166" s="2">
        <f t="shared" si="24"/>
        <v>0.78470772442588721</v>
      </c>
      <c r="AT166" s="2" t="str">
        <f t="shared" si="32"/>
        <v/>
      </c>
      <c r="AU166" s="2" t="str">
        <f t="shared" si="32"/>
        <v/>
      </c>
      <c r="AV166" s="143" t="str">
        <f t="shared" si="33"/>
        <v/>
      </c>
      <c r="AW166" s="143" t="str">
        <f t="shared" si="33"/>
        <v/>
      </c>
      <c r="AX166" s="143" t="str">
        <f t="shared" si="33"/>
        <v/>
      </c>
      <c r="AY166" s="143" t="str">
        <f t="shared" si="33"/>
        <v/>
      </c>
      <c r="AZ166" s="143" t="str">
        <f t="shared" si="33"/>
        <v/>
      </c>
      <c r="BA166" s="143" t="str">
        <f t="shared" si="33"/>
        <v/>
      </c>
      <c r="BB166" s="143" t="str">
        <f t="shared" si="33"/>
        <v/>
      </c>
      <c r="BC166" s="143" t="str">
        <f t="shared" si="33"/>
        <v/>
      </c>
      <c r="BD166" s="143" t="str">
        <f t="shared" si="33"/>
        <v/>
      </c>
      <c r="BF166" s="9">
        <f t="shared" si="29"/>
        <v>1.0585085794698875E-5</v>
      </c>
      <c r="BG166" s="9">
        <f t="shared" si="30"/>
        <v>0.99548590444724083</v>
      </c>
    </row>
    <row r="167" spans="2:59" x14ac:dyDescent="0.3">
      <c r="B167" s="3" t="s">
        <v>256</v>
      </c>
      <c r="D167" s="141">
        <v>3491</v>
      </c>
      <c r="E167" s="141">
        <v>3225</v>
      </c>
      <c r="F167" s="141">
        <v>2800</v>
      </c>
      <c r="G167" s="141"/>
      <c r="H167" s="141"/>
      <c r="I167" s="141"/>
      <c r="J167" s="141"/>
      <c r="K167" s="141"/>
      <c r="L167" s="141"/>
      <c r="M167" s="141"/>
      <c r="N167" s="141"/>
      <c r="O167" s="141"/>
      <c r="P167" s="141">
        <f t="shared" si="27"/>
        <v>9516</v>
      </c>
      <c r="R167" s="141">
        <v>246</v>
      </c>
      <c r="S167" s="141">
        <v>2705</v>
      </c>
      <c r="T167" s="141">
        <v>420</v>
      </c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28"/>
        <v>3371</v>
      </c>
      <c r="AF167" s="2">
        <f t="shared" si="35"/>
        <v>7.0466914924090518E-2</v>
      </c>
      <c r="AG167" s="2">
        <f t="shared" si="35"/>
        <v>0.83875968992248062</v>
      </c>
      <c r="AH167" s="2">
        <f t="shared" si="35"/>
        <v>0.15</v>
      </c>
      <c r="AI167" s="2" t="str">
        <f t="shared" si="35"/>
        <v/>
      </c>
      <c r="AJ167" s="2" t="str">
        <f t="shared" si="34"/>
        <v/>
      </c>
      <c r="AK167" s="2" t="str">
        <f t="shared" si="34"/>
        <v/>
      </c>
      <c r="AL167" s="2" t="str">
        <f t="shared" si="34"/>
        <v/>
      </c>
      <c r="AM167" s="2" t="str">
        <f t="shared" si="34"/>
        <v/>
      </c>
      <c r="AN167" s="2" t="str">
        <f t="shared" si="31"/>
        <v/>
      </c>
      <c r="AO167" s="2" t="str">
        <f t="shared" si="24"/>
        <v/>
      </c>
      <c r="AP167" s="2" t="str">
        <f t="shared" si="24"/>
        <v/>
      </c>
      <c r="AQ167" s="2" t="str">
        <f t="shared" si="24"/>
        <v/>
      </c>
      <c r="AR167" s="2">
        <f t="shared" si="24"/>
        <v>0.3542454812946616</v>
      </c>
      <c r="AT167" s="2" t="str">
        <f t="shared" si="32"/>
        <v/>
      </c>
      <c r="AU167" s="2" t="str">
        <f t="shared" si="32"/>
        <v/>
      </c>
      <c r="AV167" s="143" t="str">
        <f t="shared" si="33"/>
        <v/>
      </c>
      <c r="AW167" s="143" t="str">
        <f t="shared" si="33"/>
        <v/>
      </c>
      <c r="AX167" s="143" t="str">
        <f t="shared" si="33"/>
        <v/>
      </c>
      <c r="AY167" s="143" t="str">
        <f t="shared" si="33"/>
        <v/>
      </c>
      <c r="AZ167" s="143" t="str">
        <f t="shared" si="33"/>
        <v/>
      </c>
      <c r="BA167" s="143" t="str">
        <f t="shared" si="33"/>
        <v/>
      </c>
      <c r="BB167" s="143" t="str">
        <f t="shared" si="33"/>
        <v/>
      </c>
      <c r="BC167" s="143" t="str">
        <f t="shared" si="33"/>
        <v/>
      </c>
      <c r="BD167" s="143" t="str">
        <f t="shared" si="33"/>
        <v/>
      </c>
      <c r="BF167" s="9">
        <f t="shared" si="29"/>
        <v>5.9332098792700207E-6</v>
      </c>
      <c r="BG167" s="9">
        <f t="shared" si="30"/>
        <v>0.99549183765712013</v>
      </c>
    </row>
    <row r="168" spans="2:59" x14ac:dyDescent="0.3">
      <c r="B168" s="3" t="s">
        <v>274</v>
      </c>
      <c r="D168" s="141">
        <v>12718</v>
      </c>
      <c r="E168" s="141">
        <v>25258</v>
      </c>
      <c r="F168" s="141">
        <v>22732</v>
      </c>
      <c r="G168" s="141"/>
      <c r="H168" s="141"/>
      <c r="I168" s="141"/>
      <c r="J168" s="141"/>
      <c r="K168" s="141"/>
      <c r="L168" s="141"/>
      <c r="M168" s="141"/>
      <c r="N168" s="141"/>
      <c r="O168" s="141"/>
      <c r="P168" s="141">
        <f t="shared" si="27"/>
        <v>60708</v>
      </c>
      <c r="R168" s="141">
        <v>11242</v>
      </c>
      <c r="S168" s="141">
        <v>19837</v>
      </c>
      <c r="T168" s="141">
        <v>21427</v>
      </c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28"/>
        <v>52506</v>
      </c>
      <c r="AF168" s="2">
        <f t="shared" si="35"/>
        <v>0.88394401635477271</v>
      </c>
      <c r="AG168" s="2">
        <f t="shared" si="35"/>
        <v>0.78537493071502096</v>
      </c>
      <c r="AH168" s="2">
        <f t="shared" si="35"/>
        <v>0.94259194087629772</v>
      </c>
      <c r="AI168" s="2" t="str">
        <f t="shared" si="35"/>
        <v/>
      </c>
      <c r="AJ168" s="2" t="str">
        <f t="shared" si="34"/>
        <v/>
      </c>
      <c r="AK168" s="2" t="str">
        <f t="shared" si="34"/>
        <v/>
      </c>
      <c r="AL168" s="2" t="str">
        <f t="shared" si="34"/>
        <v/>
      </c>
      <c r="AM168" s="2" t="str">
        <f t="shared" si="34"/>
        <v/>
      </c>
      <c r="AN168" s="2" t="str">
        <f t="shared" si="31"/>
        <v/>
      </c>
      <c r="AO168" s="2" t="str">
        <f t="shared" si="24"/>
        <v/>
      </c>
      <c r="AP168" s="2" t="str">
        <f t="shared" si="24"/>
        <v/>
      </c>
      <c r="AQ168" s="2" t="str">
        <f t="shared" si="24"/>
        <v/>
      </c>
      <c r="AR168" s="2">
        <f t="shared" si="24"/>
        <v>0.86489424787507407</v>
      </c>
      <c r="AT168" s="2" t="str">
        <f t="shared" si="32"/>
        <v/>
      </c>
      <c r="AU168" s="2" t="str">
        <f t="shared" si="32"/>
        <v/>
      </c>
      <c r="AV168" s="143" t="str">
        <f t="shared" si="33"/>
        <v/>
      </c>
      <c r="AW168" s="143" t="str">
        <f t="shared" si="33"/>
        <v/>
      </c>
      <c r="AX168" s="143" t="str">
        <f t="shared" si="33"/>
        <v/>
      </c>
      <c r="AY168" s="143" t="str">
        <f t="shared" si="33"/>
        <v/>
      </c>
      <c r="AZ168" s="143" t="str">
        <f t="shared" si="33"/>
        <v/>
      </c>
      <c r="BA168" s="143" t="str">
        <f t="shared" si="33"/>
        <v/>
      </c>
      <c r="BB168" s="143" t="str">
        <f t="shared" si="33"/>
        <v/>
      </c>
      <c r="BC168" s="143" t="str">
        <f t="shared" si="33"/>
        <v/>
      </c>
      <c r="BD168" s="143" t="str">
        <f t="shared" si="33"/>
        <v/>
      </c>
      <c r="BF168" s="9">
        <f t="shared" si="29"/>
        <v>9.2414452067918039E-5</v>
      </c>
      <c r="BG168" s="9">
        <f t="shared" si="30"/>
        <v>0.99558425210918799</v>
      </c>
    </row>
    <row r="169" spans="2:59" x14ac:dyDescent="0.3">
      <c r="B169" s="3" t="s">
        <v>166</v>
      </c>
      <c r="D169" s="141">
        <v>3260</v>
      </c>
      <c r="E169" s="141">
        <v>9290</v>
      </c>
      <c r="F169" s="141">
        <v>1125</v>
      </c>
      <c r="G169" s="141"/>
      <c r="H169" s="141"/>
      <c r="I169" s="141"/>
      <c r="J169" s="141"/>
      <c r="K169" s="141"/>
      <c r="L169" s="141"/>
      <c r="M169" s="141"/>
      <c r="N169" s="141"/>
      <c r="O169" s="141"/>
      <c r="P169" s="141">
        <f t="shared" si="27"/>
        <v>13675</v>
      </c>
      <c r="R169" s="141">
        <v>3260</v>
      </c>
      <c r="S169" s="141">
        <v>9290</v>
      </c>
      <c r="T169" s="141">
        <v>1125</v>
      </c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28"/>
        <v>13675</v>
      </c>
      <c r="AF169" s="2">
        <f t="shared" si="35"/>
        <v>1</v>
      </c>
      <c r="AG169" s="2">
        <f t="shared" si="35"/>
        <v>1</v>
      </c>
      <c r="AH169" s="2">
        <f t="shared" si="35"/>
        <v>1</v>
      </c>
      <c r="AI169" s="2" t="str">
        <f t="shared" si="35"/>
        <v/>
      </c>
      <c r="AJ169" s="2" t="str">
        <f t="shared" si="34"/>
        <v/>
      </c>
      <c r="AK169" s="2" t="str">
        <f t="shared" si="34"/>
        <v/>
      </c>
      <c r="AL169" s="2" t="str">
        <f t="shared" si="34"/>
        <v/>
      </c>
      <c r="AM169" s="2" t="str">
        <f t="shared" si="34"/>
        <v/>
      </c>
      <c r="AN169" s="2" t="str">
        <f t="shared" si="31"/>
        <v/>
      </c>
      <c r="AO169" s="2" t="str">
        <f t="shared" si="24"/>
        <v/>
      </c>
      <c r="AP169" s="2" t="str">
        <f t="shared" si="24"/>
        <v/>
      </c>
      <c r="AQ169" s="2" t="str">
        <f t="shared" si="24"/>
        <v/>
      </c>
      <c r="AR169" s="2">
        <f t="shared" si="24"/>
        <v>1</v>
      </c>
      <c r="AT169" s="2" t="str">
        <f t="shared" si="32"/>
        <v/>
      </c>
      <c r="AU169" s="2" t="str">
        <f t="shared" si="32"/>
        <v/>
      </c>
      <c r="AV169" s="143" t="str">
        <f t="shared" si="33"/>
        <v/>
      </c>
      <c r="AW169" s="143" t="str">
        <f t="shared" si="33"/>
        <v/>
      </c>
      <c r="AX169" s="143" t="str">
        <f t="shared" si="33"/>
        <v/>
      </c>
      <c r="AY169" s="143" t="str">
        <f t="shared" si="33"/>
        <v/>
      </c>
      <c r="AZ169" s="143" t="str">
        <f t="shared" si="33"/>
        <v/>
      </c>
      <c r="BA169" s="143" t="str">
        <f t="shared" si="33"/>
        <v/>
      </c>
      <c r="BB169" s="143" t="str">
        <f t="shared" si="33"/>
        <v/>
      </c>
      <c r="BC169" s="143" t="str">
        <f t="shared" si="33"/>
        <v/>
      </c>
      <c r="BD169" s="143" t="str">
        <f t="shared" si="33"/>
        <v/>
      </c>
      <c r="BF169" s="9">
        <f t="shared" si="29"/>
        <v>2.4069013675175775E-5</v>
      </c>
      <c r="BG169" s="9">
        <f t="shared" si="30"/>
        <v>0.99560832112286313</v>
      </c>
    </row>
    <row r="170" spans="2:59" x14ac:dyDescent="0.3">
      <c r="B170" s="3" t="s">
        <v>293</v>
      </c>
      <c r="D170" s="141">
        <v>29423</v>
      </c>
      <c r="E170" s="141">
        <v>31699</v>
      </c>
      <c r="F170" s="141">
        <v>23097</v>
      </c>
      <c r="G170" s="141"/>
      <c r="H170" s="141"/>
      <c r="I170" s="141"/>
      <c r="J170" s="141"/>
      <c r="K170" s="141"/>
      <c r="L170" s="141"/>
      <c r="M170" s="141"/>
      <c r="N170" s="141"/>
      <c r="O170" s="141"/>
      <c r="P170" s="141">
        <f t="shared" si="27"/>
        <v>84219</v>
      </c>
      <c r="R170" s="141">
        <v>11892</v>
      </c>
      <c r="S170" s="141">
        <v>27994</v>
      </c>
      <c r="T170" s="141">
        <v>15974</v>
      </c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28"/>
        <v>55860</v>
      </c>
      <c r="AF170" s="2">
        <f t="shared" si="35"/>
        <v>0.40417360568262922</v>
      </c>
      <c r="AG170" s="2">
        <f t="shared" si="35"/>
        <v>0.88311934130414205</v>
      </c>
      <c r="AH170" s="2">
        <f t="shared" si="35"/>
        <v>0.69160497034246871</v>
      </c>
      <c r="AI170" s="2" t="str">
        <f t="shared" si="35"/>
        <v/>
      </c>
      <c r="AJ170" s="2" t="str">
        <f t="shared" si="34"/>
        <v/>
      </c>
      <c r="AK170" s="2" t="str">
        <f t="shared" si="34"/>
        <v/>
      </c>
      <c r="AL170" s="2" t="str">
        <f t="shared" si="34"/>
        <v/>
      </c>
      <c r="AM170" s="2" t="str">
        <f t="shared" si="34"/>
        <v/>
      </c>
      <c r="AN170" s="2" t="str">
        <f t="shared" si="31"/>
        <v/>
      </c>
      <c r="AO170" s="2" t="str">
        <f t="shared" si="24"/>
        <v/>
      </c>
      <c r="AP170" s="2" t="str">
        <f t="shared" si="24"/>
        <v/>
      </c>
      <c r="AQ170" s="2" t="str">
        <f t="shared" si="24"/>
        <v/>
      </c>
      <c r="AR170" s="2">
        <f t="shared" si="24"/>
        <v>0.66327075837993799</v>
      </c>
      <c r="AT170" s="2" t="str">
        <f t="shared" si="32"/>
        <v/>
      </c>
      <c r="AU170" s="2" t="str">
        <f t="shared" si="32"/>
        <v/>
      </c>
      <c r="AV170" s="143" t="str">
        <f t="shared" si="33"/>
        <v/>
      </c>
      <c r="AW170" s="143" t="str">
        <f t="shared" si="33"/>
        <v/>
      </c>
      <c r="AX170" s="143" t="str">
        <f t="shared" si="33"/>
        <v/>
      </c>
      <c r="AY170" s="143" t="str">
        <f t="shared" si="33"/>
        <v/>
      </c>
      <c r="AZ170" s="143" t="str">
        <f t="shared" si="33"/>
        <v/>
      </c>
      <c r="BA170" s="143" t="str">
        <f t="shared" si="33"/>
        <v/>
      </c>
      <c r="BB170" s="143" t="str">
        <f t="shared" si="33"/>
        <v/>
      </c>
      <c r="BC170" s="143" t="str">
        <f t="shared" si="33"/>
        <v/>
      </c>
      <c r="BD170" s="143" t="str">
        <f t="shared" si="33"/>
        <v/>
      </c>
      <c r="BF170" s="9">
        <f t="shared" si="29"/>
        <v>9.8317740687043424E-5</v>
      </c>
      <c r="BG170" s="9">
        <f t="shared" si="30"/>
        <v>0.99570663886355015</v>
      </c>
    </row>
    <row r="171" spans="2:59" x14ac:dyDescent="0.3">
      <c r="B171" s="3" t="s">
        <v>248</v>
      </c>
      <c r="D171" s="141">
        <v>747096</v>
      </c>
      <c r="E171" s="141">
        <v>640752</v>
      </c>
      <c r="F171" s="141">
        <v>833708</v>
      </c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27"/>
        <v>2221556</v>
      </c>
      <c r="R171" s="141">
        <v>594889</v>
      </c>
      <c r="S171" s="141">
        <v>432575</v>
      </c>
      <c r="T171" s="141">
        <v>580606</v>
      </c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28"/>
        <v>1608070</v>
      </c>
      <c r="AF171" s="2">
        <f t="shared" si="35"/>
        <v>0.79626848490689284</v>
      </c>
      <c r="AG171" s="2">
        <f t="shared" si="35"/>
        <v>0.67510518890303894</v>
      </c>
      <c r="AH171" s="2">
        <f t="shared" si="35"/>
        <v>0.69641409222413608</v>
      </c>
      <c r="AI171" s="2" t="str">
        <f t="shared" si="35"/>
        <v/>
      </c>
      <c r="AJ171" s="2" t="str">
        <f t="shared" si="34"/>
        <v/>
      </c>
      <c r="AK171" s="2" t="str">
        <f t="shared" si="34"/>
        <v/>
      </c>
      <c r="AL171" s="2" t="str">
        <f t="shared" si="34"/>
        <v/>
      </c>
      <c r="AM171" s="2" t="str">
        <f t="shared" si="34"/>
        <v/>
      </c>
      <c r="AN171" s="2" t="str">
        <f t="shared" si="31"/>
        <v/>
      </c>
      <c r="AO171" s="2" t="str">
        <f t="shared" si="24"/>
        <v/>
      </c>
      <c r="AP171" s="2" t="str">
        <f t="shared" si="24"/>
        <v/>
      </c>
      <c r="AQ171" s="2" t="str">
        <f t="shared" si="24"/>
        <v/>
      </c>
      <c r="AR171" s="2">
        <f t="shared" si="24"/>
        <v>0.72384850978323301</v>
      </c>
      <c r="AT171" s="2" t="str">
        <f t="shared" si="32"/>
        <v/>
      </c>
      <c r="AU171" s="2" t="str">
        <f t="shared" si="32"/>
        <v/>
      </c>
      <c r="AV171" s="143" t="str">
        <f t="shared" si="33"/>
        <v/>
      </c>
      <c r="AW171" s="143" t="str">
        <f t="shared" si="33"/>
        <v/>
      </c>
      <c r="AX171" s="143" t="str">
        <f t="shared" si="33"/>
        <v/>
      </c>
      <c r="AY171" s="143" t="str">
        <f t="shared" si="33"/>
        <v/>
      </c>
      <c r="AZ171" s="143" t="str">
        <f t="shared" si="33"/>
        <v/>
      </c>
      <c r="BA171" s="143" t="str">
        <f t="shared" si="33"/>
        <v/>
      </c>
      <c r="BB171" s="143" t="str">
        <f t="shared" si="33"/>
        <v/>
      </c>
      <c r="BC171" s="143" t="str">
        <f t="shared" si="33"/>
        <v/>
      </c>
      <c r="BD171" s="143" t="str">
        <f t="shared" si="33"/>
        <v/>
      </c>
      <c r="BF171" s="9">
        <f t="shared" si="29"/>
        <v>2.830322400046794E-3</v>
      </c>
      <c r="BG171" s="9">
        <f t="shared" si="30"/>
        <v>0.99853696126359692</v>
      </c>
    </row>
    <row r="172" spans="2:59" x14ac:dyDescent="0.3">
      <c r="B172" s="3" t="s">
        <v>247</v>
      </c>
      <c r="D172" s="141">
        <v>9549</v>
      </c>
      <c r="E172" s="141">
        <v>9856</v>
      </c>
      <c r="F172" s="141">
        <v>3158</v>
      </c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27"/>
        <v>22563</v>
      </c>
      <c r="R172" s="141">
        <v>8549</v>
      </c>
      <c r="S172" s="141">
        <v>8856</v>
      </c>
      <c r="T172" s="141">
        <v>3158</v>
      </c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28"/>
        <v>20563</v>
      </c>
      <c r="AF172" s="2">
        <f t="shared" si="35"/>
        <v>0.8952769923552204</v>
      </c>
      <c r="AG172" s="2">
        <f t="shared" si="35"/>
        <v>0.89853896103896103</v>
      </c>
      <c r="AH172" s="2">
        <f t="shared" si="35"/>
        <v>1</v>
      </c>
      <c r="AI172" s="2" t="str">
        <f t="shared" si="35"/>
        <v/>
      </c>
      <c r="AJ172" s="2" t="str">
        <f t="shared" si="34"/>
        <v/>
      </c>
      <c r="AK172" s="2" t="str">
        <f t="shared" si="34"/>
        <v/>
      </c>
      <c r="AL172" s="2" t="str">
        <f t="shared" si="34"/>
        <v/>
      </c>
      <c r="AM172" s="2" t="str">
        <f t="shared" si="34"/>
        <v/>
      </c>
      <c r="AN172" s="2" t="str">
        <f t="shared" si="31"/>
        <v/>
      </c>
      <c r="AO172" s="2" t="str">
        <f t="shared" si="24"/>
        <v/>
      </c>
      <c r="AP172" s="2" t="str">
        <f t="shared" si="24"/>
        <v/>
      </c>
      <c r="AQ172" s="2" t="str">
        <f t="shared" si="24"/>
        <v/>
      </c>
      <c r="AR172" s="2">
        <f t="shared" si="24"/>
        <v>0.91135930505695162</v>
      </c>
      <c r="AT172" s="2" t="str">
        <f t="shared" si="32"/>
        <v/>
      </c>
      <c r="AU172" s="2" t="str">
        <f t="shared" si="32"/>
        <v/>
      </c>
      <c r="AV172" s="143" t="str">
        <f t="shared" si="33"/>
        <v/>
      </c>
      <c r="AW172" s="143" t="str">
        <f t="shared" si="33"/>
        <v/>
      </c>
      <c r="AX172" s="143" t="str">
        <f t="shared" si="33"/>
        <v/>
      </c>
      <c r="AY172" s="143" t="str">
        <f t="shared" si="33"/>
        <v/>
      </c>
      <c r="AZ172" s="143" t="str">
        <f t="shared" si="33"/>
        <v/>
      </c>
      <c r="BA172" s="143" t="str">
        <f t="shared" si="33"/>
        <v/>
      </c>
      <c r="BB172" s="143" t="str">
        <f t="shared" si="33"/>
        <v/>
      </c>
      <c r="BC172" s="143" t="str">
        <f t="shared" si="33"/>
        <v/>
      </c>
      <c r="BD172" s="143" t="str">
        <f t="shared" si="33"/>
        <v/>
      </c>
      <c r="BF172" s="9">
        <f t="shared" si="29"/>
        <v>3.619240425613451E-5</v>
      </c>
      <c r="BG172" s="9">
        <f t="shared" si="30"/>
        <v>0.99857315366785304</v>
      </c>
    </row>
    <row r="173" spans="2:59" x14ac:dyDescent="0.3">
      <c r="B173" s="3" t="s">
        <v>225</v>
      </c>
      <c r="D173" s="141">
        <v>6500</v>
      </c>
      <c r="E173" s="141">
        <v>17177</v>
      </c>
      <c r="F173" s="141">
        <v>10248</v>
      </c>
      <c r="G173" s="141"/>
      <c r="H173" s="141"/>
      <c r="I173" s="141"/>
      <c r="J173" s="141"/>
      <c r="K173" s="141"/>
      <c r="L173" s="141"/>
      <c r="M173" s="141"/>
      <c r="N173" s="141"/>
      <c r="O173" s="141"/>
      <c r="P173" s="141">
        <f t="shared" si="27"/>
        <v>33925</v>
      </c>
      <c r="R173" s="141">
        <v>6500</v>
      </c>
      <c r="S173" s="141">
        <v>13403</v>
      </c>
      <c r="T173" s="141">
        <v>6270</v>
      </c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28"/>
        <v>26173</v>
      </c>
      <c r="AF173" s="2">
        <f t="shared" si="35"/>
        <v>1</v>
      </c>
      <c r="AG173" s="2">
        <f t="shared" si="35"/>
        <v>0.78028759387553126</v>
      </c>
      <c r="AH173" s="2">
        <f t="shared" si="35"/>
        <v>0.61182669789227162</v>
      </c>
      <c r="AI173" s="2" t="str">
        <f t="shared" si="35"/>
        <v/>
      </c>
      <c r="AJ173" s="2" t="str">
        <f t="shared" si="34"/>
        <v/>
      </c>
      <c r="AK173" s="2" t="str">
        <f t="shared" si="34"/>
        <v/>
      </c>
      <c r="AL173" s="2" t="str">
        <f t="shared" si="34"/>
        <v/>
      </c>
      <c r="AM173" s="2" t="str">
        <f t="shared" si="34"/>
        <v/>
      </c>
      <c r="AN173" s="2" t="str">
        <f t="shared" si="31"/>
        <v/>
      </c>
      <c r="AO173" s="2" t="str">
        <f t="shared" si="24"/>
        <v/>
      </c>
      <c r="AP173" s="2" t="str">
        <f t="shared" si="24"/>
        <v/>
      </c>
      <c r="AQ173" s="2" t="str">
        <f t="shared" si="24"/>
        <v/>
      </c>
      <c r="AR173" s="2">
        <f t="shared" si="24"/>
        <v>0.77149594694178336</v>
      </c>
      <c r="AT173" s="2" t="str">
        <f t="shared" si="32"/>
        <v/>
      </c>
      <c r="AU173" s="2" t="str">
        <f t="shared" si="32"/>
        <v/>
      </c>
      <c r="AV173" s="143" t="str">
        <f t="shared" si="33"/>
        <v/>
      </c>
      <c r="AW173" s="143" t="str">
        <f t="shared" si="33"/>
        <v/>
      </c>
      <c r="AX173" s="143" t="str">
        <f t="shared" si="33"/>
        <v/>
      </c>
      <c r="AY173" s="143" t="str">
        <f t="shared" si="33"/>
        <v/>
      </c>
      <c r="AZ173" s="143" t="str">
        <f t="shared" si="33"/>
        <v/>
      </c>
      <c r="BA173" s="143" t="str">
        <f t="shared" si="33"/>
        <v/>
      </c>
      <c r="BB173" s="143" t="str">
        <f t="shared" si="33"/>
        <v/>
      </c>
      <c r="BC173" s="143" t="str">
        <f t="shared" si="33"/>
        <v/>
      </c>
      <c r="BD173" s="143" t="str">
        <f t="shared" si="33"/>
        <v/>
      </c>
      <c r="BF173" s="9">
        <f t="shared" si="29"/>
        <v>4.6066420103866586E-5</v>
      </c>
      <c r="BG173" s="9">
        <f t="shared" si="30"/>
        <v>0.99861922008795689</v>
      </c>
    </row>
    <row r="174" spans="2:59" x14ac:dyDescent="0.3">
      <c r="B174" s="3" t="s">
        <v>242</v>
      </c>
      <c r="D174" s="141">
        <v>100</v>
      </c>
      <c r="E174" s="141">
        <v>3070</v>
      </c>
      <c r="F174" s="141">
        <v>365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27"/>
        <v>3535</v>
      </c>
      <c r="R174" s="141">
        <v>75</v>
      </c>
      <c r="S174" s="141">
        <v>3070</v>
      </c>
      <c r="T174" s="141">
        <v>215</v>
      </c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28"/>
        <v>3360</v>
      </c>
      <c r="AF174" s="2">
        <f t="shared" si="35"/>
        <v>0.75</v>
      </c>
      <c r="AG174" s="2">
        <f t="shared" si="35"/>
        <v>1</v>
      </c>
      <c r="AH174" s="2">
        <f t="shared" si="35"/>
        <v>0.58904109589041098</v>
      </c>
      <c r="AI174" s="2" t="str">
        <f t="shared" si="35"/>
        <v/>
      </c>
      <c r="AJ174" s="2" t="str">
        <f t="shared" si="34"/>
        <v/>
      </c>
      <c r="AK174" s="2" t="str">
        <f t="shared" si="34"/>
        <v/>
      </c>
      <c r="AL174" s="2" t="str">
        <f t="shared" si="34"/>
        <v/>
      </c>
      <c r="AM174" s="2" t="str">
        <f t="shared" si="34"/>
        <v/>
      </c>
      <c r="AN174" s="2" t="str">
        <f t="shared" si="31"/>
        <v/>
      </c>
      <c r="AO174" s="2" t="str">
        <f t="shared" si="24"/>
        <v/>
      </c>
      <c r="AP174" s="2" t="str">
        <f t="shared" si="24"/>
        <v/>
      </c>
      <c r="AQ174" s="2" t="str">
        <f t="shared" si="24"/>
        <v/>
      </c>
      <c r="AR174" s="2">
        <f t="shared" si="24"/>
        <v>0.95049504950495045</v>
      </c>
      <c r="AT174" s="2" t="str">
        <f t="shared" ref="AT174:AU205" si="36">+IFERROR(AM174-AL174,"")</f>
        <v/>
      </c>
      <c r="AU174" s="2" t="str">
        <f t="shared" si="36"/>
        <v/>
      </c>
      <c r="AV174" s="143" t="str">
        <f t="shared" si="33"/>
        <v/>
      </c>
      <c r="AW174" s="143" t="str">
        <f t="shared" si="33"/>
        <v/>
      </c>
      <c r="AX174" s="143" t="str">
        <f t="shared" si="33"/>
        <v/>
      </c>
      <c r="AY174" s="143" t="str">
        <f t="shared" si="33"/>
        <v/>
      </c>
      <c r="AZ174" s="143" t="str">
        <f t="shared" si="33"/>
        <v/>
      </c>
      <c r="BA174" s="143" t="str">
        <f t="shared" si="33"/>
        <v/>
      </c>
      <c r="BB174" s="143" t="str">
        <f t="shared" si="33"/>
        <v/>
      </c>
      <c r="BC174" s="143" t="str">
        <f t="shared" si="33"/>
        <v/>
      </c>
      <c r="BD174" s="143" t="str">
        <f t="shared" si="33"/>
        <v/>
      </c>
      <c r="BF174" s="9">
        <f t="shared" si="29"/>
        <v>5.9138490638823108E-6</v>
      </c>
      <c r="BG174" s="9">
        <f t="shared" si="30"/>
        <v>0.99862513393702079</v>
      </c>
    </row>
    <row r="175" spans="2:59" x14ac:dyDescent="0.3">
      <c r="B175" s="3" t="s">
        <v>243</v>
      </c>
      <c r="D175" s="141">
        <v>50</v>
      </c>
      <c r="E175" s="141">
        <v>57</v>
      </c>
      <c r="F175" s="141">
        <v>1313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27"/>
        <v>1420</v>
      </c>
      <c r="R175" s="141">
        <v>15</v>
      </c>
      <c r="S175" s="141">
        <v>57</v>
      </c>
      <c r="T175" s="141">
        <v>1120</v>
      </c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28"/>
        <v>1192</v>
      </c>
      <c r="AF175" s="2">
        <f t="shared" si="35"/>
        <v>0.3</v>
      </c>
      <c r="AG175" s="2">
        <f t="shared" si="35"/>
        <v>1</v>
      </c>
      <c r="AH175" s="2">
        <f t="shared" si="35"/>
        <v>0.85300837776085303</v>
      </c>
      <c r="AI175" s="2" t="str">
        <f t="shared" si="35"/>
        <v/>
      </c>
      <c r="AJ175" s="2" t="str">
        <f t="shared" si="34"/>
        <v/>
      </c>
      <c r="AK175" s="2" t="str">
        <f t="shared" si="34"/>
        <v/>
      </c>
      <c r="AL175" s="2" t="str">
        <f t="shared" si="34"/>
        <v/>
      </c>
      <c r="AM175" s="2" t="str">
        <f t="shared" si="34"/>
        <v/>
      </c>
      <c r="AN175" s="2" t="str">
        <f t="shared" si="31"/>
        <v/>
      </c>
      <c r="AO175" s="2" t="str">
        <f t="shared" si="24"/>
        <v/>
      </c>
      <c r="AP175" s="2" t="str">
        <f t="shared" si="24"/>
        <v/>
      </c>
      <c r="AQ175" s="2" t="str">
        <f t="shared" si="24"/>
        <v/>
      </c>
      <c r="AR175" s="2">
        <f t="shared" si="24"/>
        <v>0.83943661971830985</v>
      </c>
      <c r="AT175" s="2" t="str">
        <f t="shared" si="36"/>
        <v/>
      </c>
      <c r="AU175" s="2" t="str">
        <f t="shared" si="36"/>
        <v/>
      </c>
      <c r="AV175" s="143" t="str">
        <f t="shared" si="33"/>
        <v/>
      </c>
      <c r="AW175" s="143" t="str">
        <f t="shared" si="33"/>
        <v/>
      </c>
      <c r="AX175" s="143" t="str">
        <f t="shared" si="33"/>
        <v/>
      </c>
      <c r="AY175" s="143" t="str">
        <f t="shared" si="33"/>
        <v/>
      </c>
      <c r="AZ175" s="143" t="str">
        <f t="shared" si="33"/>
        <v/>
      </c>
      <c r="BA175" s="143" t="str">
        <f t="shared" si="33"/>
        <v/>
      </c>
      <c r="BB175" s="143" t="str">
        <f t="shared" si="33"/>
        <v/>
      </c>
      <c r="BC175" s="143" t="str">
        <f t="shared" si="33"/>
        <v/>
      </c>
      <c r="BD175" s="143" t="str">
        <f t="shared" si="33"/>
        <v/>
      </c>
      <c r="BF175" s="9">
        <f t="shared" si="29"/>
        <v>2.0980083583772961E-6</v>
      </c>
      <c r="BG175" s="9">
        <f t="shared" si="30"/>
        <v>0.99862723194537917</v>
      </c>
    </row>
    <row r="176" spans="2:59" x14ac:dyDescent="0.3">
      <c r="B176" s="3" t="s">
        <v>238</v>
      </c>
      <c r="D176" s="141">
        <v>65538</v>
      </c>
      <c r="E176" s="141">
        <v>56462</v>
      </c>
      <c r="F176" s="141">
        <v>97507</v>
      </c>
      <c r="G176" s="141"/>
      <c r="H176" s="141"/>
      <c r="I176" s="141"/>
      <c r="J176" s="141"/>
      <c r="K176" s="141"/>
      <c r="L176" s="141"/>
      <c r="M176" s="141"/>
      <c r="N176" s="141"/>
      <c r="O176" s="141"/>
      <c r="P176" s="141">
        <f t="shared" si="27"/>
        <v>219507</v>
      </c>
      <c r="R176" s="141">
        <v>20936</v>
      </c>
      <c r="S176" s="141">
        <v>7774</v>
      </c>
      <c r="T176" s="141">
        <v>22360</v>
      </c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28"/>
        <v>51070</v>
      </c>
      <c r="AF176" s="2">
        <f t="shared" si="35"/>
        <v>0.31944825902529828</v>
      </c>
      <c r="AG176" s="2">
        <f t="shared" si="35"/>
        <v>0.13768552300662393</v>
      </c>
      <c r="AH176" s="2">
        <f t="shared" si="35"/>
        <v>0.229316869558083</v>
      </c>
      <c r="AI176" s="2" t="str">
        <f t="shared" si="35"/>
        <v/>
      </c>
      <c r="AJ176" s="2" t="str">
        <f t="shared" si="34"/>
        <v/>
      </c>
      <c r="AK176" s="2" t="str">
        <f t="shared" si="34"/>
        <v/>
      </c>
      <c r="AL176" s="2" t="str">
        <f t="shared" si="34"/>
        <v/>
      </c>
      <c r="AM176" s="2" t="str">
        <f t="shared" si="34"/>
        <v/>
      </c>
      <c r="AN176" s="2" t="str">
        <f t="shared" si="31"/>
        <v/>
      </c>
      <c r="AO176" s="2" t="str">
        <f t="shared" si="24"/>
        <v/>
      </c>
      <c r="AP176" s="2" t="str">
        <f t="shared" si="24"/>
        <v/>
      </c>
      <c r="AQ176" s="2" t="str">
        <f t="shared" si="24"/>
        <v/>
      </c>
      <c r="AR176" s="2">
        <f t="shared" si="24"/>
        <v>0.232657728455129</v>
      </c>
      <c r="AT176" s="2" t="str">
        <f t="shared" si="36"/>
        <v/>
      </c>
      <c r="AU176" s="2" t="str">
        <f t="shared" si="36"/>
        <v/>
      </c>
      <c r="AV176" s="143" t="str">
        <f t="shared" si="33"/>
        <v/>
      </c>
      <c r="AW176" s="143" t="str">
        <f t="shared" si="33"/>
        <v/>
      </c>
      <c r="AX176" s="143" t="str">
        <f t="shared" si="33"/>
        <v/>
      </c>
      <c r="AY176" s="143" t="str">
        <f t="shared" si="33"/>
        <v/>
      </c>
      <c r="AZ176" s="143" t="str">
        <f t="shared" si="33"/>
        <v/>
      </c>
      <c r="BA176" s="143" t="str">
        <f t="shared" si="33"/>
        <v/>
      </c>
      <c r="BB176" s="143" t="str">
        <f t="shared" si="33"/>
        <v/>
      </c>
      <c r="BC176" s="143" t="str">
        <f t="shared" si="33"/>
        <v/>
      </c>
      <c r="BD176" s="143" t="str">
        <f t="shared" si="33"/>
        <v/>
      </c>
      <c r="BF176" s="9">
        <f t="shared" si="29"/>
        <v>8.9886985622758824E-5</v>
      </c>
      <c r="BG176" s="9">
        <f t="shared" si="30"/>
        <v>0.9987171189310019</v>
      </c>
    </row>
    <row r="177" spans="2:59" x14ac:dyDescent="0.3">
      <c r="B177" s="3" t="s">
        <v>192</v>
      </c>
      <c r="D177" s="141">
        <v>5119</v>
      </c>
      <c r="E177" s="141">
        <v>4115</v>
      </c>
      <c r="F177" s="141">
        <v>6391</v>
      </c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27"/>
        <v>15625</v>
      </c>
      <c r="R177" s="141">
        <v>3323</v>
      </c>
      <c r="S177" s="141">
        <v>1840</v>
      </c>
      <c r="T177" s="141">
        <v>4226</v>
      </c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28"/>
        <v>9389</v>
      </c>
      <c r="AF177" s="2">
        <f t="shared" si="35"/>
        <v>0.64915022465325256</v>
      </c>
      <c r="AG177" s="2">
        <f t="shared" si="35"/>
        <v>0.44714459295261239</v>
      </c>
      <c r="AH177" s="2">
        <f t="shared" si="35"/>
        <v>0.66124237208574554</v>
      </c>
      <c r="AI177" s="2" t="str">
        <f t="shared" si="35"/>
        <v/>
      </c>
      <c r="AJ177" s="2" t="str">
        <f t="shared" si="34"/>
        <v/>
      </c>
      <c r="AK177" s="2" t="str">
        <f t="shared" si="34"/>
        <v/>
      </c>
      <c r="AL177" s="2" t="str">
        <f t="shared" si="34"/>
        <v/>
      </c>
      <c r="AM177" s="2" t="str">
        <f t="shared" si="34"/>
        <v/>
      </c>
      <c r="AN177" s="2" t="str">
        <f t="shared" si="31"/>
        <v/>
      </c>
      <c r="AO177" s="2" t="str">
        <f t="shared" si="24"/>
        <v/>
      </c>
      <c r="AP177" s="2" t="str">
        <f t="shared" si="24"/>
        <v/>
      </c>
      <c r="AQ177" s="2" t="str">
        <f t="shared" si="24"/>
        <v/>
      </c>
      <c r="AR177" s="2">
        <f t="shared" ref="AR177:AR240" si="37">+IFERROR(AD177/P177,"")</f>
        <v>0.60089599999999999</v>
      </c>
      <c r="AT177" s="2" t="str">
        <f t="shared" si="36"/>
        <v/>
      </c>
      <c r="AU177" s="2" t="str">
        <f t="shared" si="36"/>
        <v/>
      </c>
      <c r="AV177" s="143" t="str">
        <f t="shared" si="33"/>
        <v/>
      </c>
      <c r="AW177" s="143" t="str">
        <f t="shared" si="33"/>
        <v/>
      </c>
      <c r="AX177" s="143" t="str">
        <f t="shared" si="33"/>
        <v/>
      </c>
      <c r="AY177" s="143" t="str">
        <f t="shared" si="33"/>
        <v/>
      </c>
      <c r="AZ177" s="143" t="str">
        <f t="shared" si="33"/>
        <v/>
      </c>
      <c r="BA177" s="143" t="str">
        <f t="shared" si="33"/>
        <v/>
      </c>
      <c r="BB177" s="143" t="str">
        <f t="shared" si="33"/>
        <v/>
      </c>
      <c r="BC177" s="143" t="str">
        <f t="shared" si="33"/>
        <v/>
      </c>
      <c r="BD177" s="143" t="str">
        <f t="shared" si="33"/>
        <v/>
      </c>
      <c r="BF177" s="9">
        <f t="shared" si="29"/>
        <v>1.6525335970473517E-5</v>
      </c>
      <c r="BG177" s="9">
        <f t="shared" si="30"/>
        <v>0.99873364426697242</v>
      </c>
    </row>
    <row r="178" spans="2:59" x14ac:dyDescent="0.3">
      <c r="B178" s="3" t="s">
        <v>265</v>
      </c>
      <c r="D178" s="141">
        <v>717</v>
      </c>
      <c r="E178" s="141">
        <v>1044</v>
      </c>
      <c r="F178" s="141">
        <v>737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27"/>
        <v>2498</v>
      </c>
      <c r="R178" s="141">
        <v>553</v>
      </c>
      <c r="S178" s="141">
        <v>884</v>
      </c>
      <c r="T178" s="141">
        <v>581</v>
      </c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28"/>
        <v>2018</v>
      </c>
      <c r="AF178" s="2">
        <f t="shared" si="35"/>
        <v>0.77126917712691767</v>
      </c>
      <c r="AG178" s="2">
        <f t="shared" si="35"/>
        <v>0.84674329501915713</v>
      </c>
      <c r="AH178" s="2">
        <f t="shared" si="35"/>
        <v>0.78833107191316143</v>
      </c>
      <c r="AI178" s="2" t="str">
        <f t="shared" si="35"/>
        <v/>
      </c>
      <c r="AJ178" s="2" t="str">
        <f t="shared" si="34"/>
        <v/>
      </c>
      <c r="AK178" s="2" t="str">
        <f t="shared" si="34"/>
        <v/>
      </c>
      <c r="AL178" s="2" t="str">
        <f t="shared" si="34"/>
        <v/>
      </c>
      <c r="AM178" s="2" t="str">
        <f t="shared" si="34"/>
        <v/>
      </c>
      <c r="AN178" s="2" t="str">
        <f t="shared" si="31"/>
        <v/>
      </c>
      <c r="AO178" s="2" t="str">
        <f t="shared" si="31"/>
        <v/>
      </c>
      <c r="AP178" s="2" t="str">
        <f t="shared" si="31"/>
        <v/>
      </c>
      <c r="AQ178" s="2" t="str">
        <f t="shared" si="31"/>
        <v/>
      </c>
      <c r="AR178" s="2">
        <f t="shared" si="37"/>
        <v>0.80784627702161727</v>
      </c>
      <c r="AT178" s="2" t="str">
        <f t="shared" si="36"/>
        <v/>
      </c>
      <c r="AU178" s="2" t="str">
        <f t="shared" si="36"/>
        <v/>
      </c>
      <c r="AV178" s="143" t="str">
        <f t="shared" si="33"/>
        <v/>
      </c>
      <c r="AW178" s="143" t="str">
        <f t="shared" si="33"/>
        <v/>
      </c>
      <c r="AX178" s="143" t="str">
        <f t="shared" si="33"/>
        <v/>
      </c>
      <c r="AY178" s="143" t="str">
        <f t="shared" ref="AY178:BD209" si="38">+IFERROR(AL178-AK178,"")</f>
        <v/>
      </c>
      <c r="AZ178" s="143" t="str">
        <f t="shared" si="38"/>
        <v/>
      </c>
      <c r="BA178" s="143" t="str">
        <f t="shared" si="38"/>
        <v/>
      </c>
      <c r="BB178" s="143" t="str">
        <f t="shared" si="38"/>
        <v/>
      </c>
      <c r="BC178" s="143" t="str">
        <f t="shared" si="38"/>
        <v/>
      </c>
      <c r="BD178" s="143" t="str">
        <f t="shared" si="38"/>
        <v/>
      </c>
      <c r="BF178" s="9">
        <f t="shared" si="29"/>
        <v>3.5518295865816977E-6</v>
      </c>
      <c r="BG178" s="9">
        <f t="shared" si="30"/>
        <v>0.99873719609655898</v>
      </c>
    </row>
    <row r="179" spans="2:59" x14ac:dyDescent="0.3">
      <c r="B179" s="3" t="s">
        <v>254</v>
      </c>
      <c r="D179" s="141">
        <v>601</v>
      </c>
      <c r="E179" s="141">
        <v>3610</v>
      </c>
      <c r="F179" s="141">
        <v>1627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27"/>
        <v>5838</v>
      </c>
      <c r="R179" s="141">
        <v>345</v>
      </c>
      <c r="S179" s="141">
        <v>3314</v>
      </c>
      <c r="T179" s="141">
        <v>1535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28"/>
        <v>5194</v>
      </c>
      <c r="AF179" s="2">
        <f t="shared" si="35"/>
        <v>0.57404326123128124</v>
      </c>
      <c r="AG179" s="2">
        <f t="shared" si="35"/>
        <v>0.91800554016620495</v>
      </c>
      <c r="AH179" s="2">
        <f t="shared" si="35"/>
        <v>0.94345421020282727</v>
      </c>
      <c r="AI179" s="2" t="str">
        <f t="shared" si="35"/>
        <v/>
      </c>
      <c r="AJ179" s="2" t="str">
        <f t="shared" si="34"/>
        <v/>
      </c>
      <c r="AK179" s="2" t="str">
        <f t="shared" si="34"/>
        <v/>
      </c>
      <c r="AL179" s="2" t="str">
        <f t="shared" si="34"/>
        <v/>
      </c>
      <c r="AM179" s="2" t="str">
        <f t="shared" si="34"/>
        <v/>
      </c>
      <c r="AN179" s="2" t="str">
        <f t="shared" si="31"/>
        <v/>
      </c>
      <c r="AO179" s="2" t="str">
        <f t="shared" si="31"/>
        <v/>
      </c>
      <c r="AP179" s="2" t="str">
        <f t="shared" si="31"/>
        <v/>
      </c>
      <c r="AQ179" s="2" t="str">
        <f t="shared" si="31"/>
        <v/>
      </c>
      <c r="AR179" s="2">
        <f t="shared" si="37"/>
        <v>0.88968824940047964</v>
      </c>
      <c r="AT179" s="2" t="str">
        <f t="shared" si="36"/>
        <v/>
      </c>
      <c r="AU179" s="2" t="str">
        <f t="shared" si="36"/>
        <v/>
      </c>
      <c r="AV179" s="143" t="str">
        <f t="shared" ref="AV179:BD210" si="39">+IFERROR(AI179-AH179,"")</f>
        <v/>
      </c>
      <c r="AW179" s="143" t="str">
        <f t="shared" si="39"/>
        <v/>
      </c>
      <c r="AX179" s="143" t="str">
        <f t="shared" si="39"/>
        <v/>
      </c>
      <c r="AY179" s="143" t="str">
        <f t="shared" si="38"/>
        <v/>
      </c>
      <c r="AZ179" s="143" t="str">
        <f t="shared" si="38"/>
        <v/>
      </c>
      <c r="BA179" s="143" t="str">
        <f t="shared" si="38"/>
        <v/>
      </c>
      <c r="BB179" s="143" t="str">
        <f t="shared" si="38"/>
        <v/>
      </c>
      <c r="BC179" s="143" t="str">
        <f t="shared" si="38"/>
        <v/>
      </c>
      <c r="BD179" s="143" t="str">
        <f t="shared" si="38"/>
        <v/>
      </c>
      <c r="BF179" s="9">
        <f t="shared" si="29"/>
        <v>9.1418250112514058E-6</v>
      </c>
      <c r="BG179" s="9">
        <f t="shared" si="30"/>
        <v>0.99874633792157019</v>
      </c>
    </row>
    <row r="180" spans="2:59" x14ac:dyDescent="0.3">
      <c r="B180" s="3" t="s">
        <v>269</v>
      </c>
      <c r="D180" s="141">
        <v>234</v>
      </c>
      <c r="E180" s="141"/>
      <c r="F180" s="141">
        <v>1531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27"/>
        <v>1765</v>
      </c>
      <c r="R180" s="141">
        <v>234</v>
      </c>
      <c r="S180" s="141"/>
      <c r="T180" s="141">
        <v>1531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28"/>
        <v>1765</v>
      </c>
      <c r="AF180" s="2">
        <f t="shared" si="35"/>
        <v>1</v>
      </c>
      <c r="AG180" s="2" t="str">
        <f t="shared" si="35"/>
        <v/>
      </c>
      <c r="AH180" s="2">
        <f t="shared" si="35"/>
        <v>1</v>
      </c>
      <c r="AI180" s="2" t="str">
        <f t="shared" si="35"/>
        <v/>
      </c>
      <c r="AJ180" s="2" t="str">
        <f t="shared" si="34"/>
        <v/>
      </c>
      <c r="AK180" s="2" t="str">
        <f t="shared" si="34"/>
        <v/>
      </c>
      <c r="AL180" s="2" t="str">
        <f t="shared" si="34"/>
        <v/>
      </c>
      <c r="AM180" s="2" t="str">
        <f t="shared" si="34"/>
        <v/>
      </c>
      <c r="AN180" s="2" t="str">
        <f t="shared" si="31"/>
        <v/>
      </c>
      <c r="AO180" s="2" t="str">
        <f t="shared" si="31"/>
        <v/>
      </c>
      <c r="AP180" s="2" t="str">
        <f t="shared" si="31"/>
        <v/>
      </c>
      <c r="AQ180" s="2" t="str">
        <f t="shared" si="31"/>
        <v/>
      </c>
      <c r="AR180" s="2">
        <f t="shared" si="37"/>
        <v>1</v>
      </c>
      <c r="AT180" s="2" t="str">
        <f t="shared" si="36"/>
        <v/>
      </c>
      <c r="AU180" s="2" t="str">
        <f t="shared" si="36"/>
        <v/>
      </c>
      <c r="AV180" s="143" t="str">
        <f t="shared" si="39"/>
        <v/>
      </c>
      <c r="AW180" s="143" t="str">
        <f t="shared" si="39"/>
        <v/>
      </c>
      <c r="AX180" s="143" t="str">
        <f t="shared" si="39"/>
        <v/>
      </c>
      <c r="AY180" s="143" t="str">
        <f t="shared" si="38"/>
        <v/>
      </c>
      <c r="AZ180" s="143" t="str">
        <f t="shared" si="38"/>
        <v/>
      </c>
      <c r="BA180" s="143" t="str">
        <f t="shared" si="38"/>
        <v/>
      </c>
      <c r="BB180" s="143" t="str">
        <f t="shared" si="38"/>
        <v/>
      </c>
      <c r="BC180" s="143" t="str">
        <f t="shared" si="38"/>
        <v/>
      </c>
      <c r="BD180" s="143" t="str">
        <f t="shared" si="38"/>
        <v/>
      </c>
      <c r="BF180" s="9">
        <f t="shared" si="29"/>
        <v>3.1065308326643689E-6</v>
      </c>
      <c r="BG180" s="9">
        <f t="shared" si="30"/>
        <v>0.99874944445240288</v>
      </c>
    </row>
    <row r="181" spans="2:59" x14ac:dyDescent="0.3">
      <c r="B181" s="3" t="s">
        <v>278</v>
      </c>
      <c r="D181" s="141">
        <v>59</v>
      </c>
      <c r="E181" s="141"/>
      <c r="F181" s="141">
        <v>1580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27"/>
        <v>1639</v>
      </c>
      <c r="R181" s="141">
        <v>59</v>
      </c>
      <c r="S181" s="141"/>
      <c r="T181" s="141">
        <v>693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28"/>
        <v>752</v>
      </c>
      <c r="AF181" s="2">
        <f t="shared" si="35"/>
        <v>1</v>
      </c>
      <c r="AG181" s="2" t="str">
        <f t="shared" si="35"/>
        <v/>
      </c>
      <c r="AH181" s="2">
        <f t="shared" si="35"/>
        <v>0.43860759493670887</v>
      </c>
      <c r="AI181" s="2" t="str">
        <f t="shared" si="35"/>
        <v/>
      </c>
      <c r="AJ181" s="2" t="str">
        <f t="shared" si="34"/>
        <v/>
      </c>
      <c r="AK181" s="2" t="str">
        <f t="shared" si="34"/>
        <v/>
      </c>
      <c r="AL181" s="2" t="str">
        <f t="shared" si="34"/>
        <v/>
      </c>
      <c r="AM181" s="2" t="str">
        <f t="shared" si="34"/>
        <v/>
      </c>
      <c r="AN181" s="2" t="str">
        <f t="shared" si="31"/>
        <v/>
      </c>
      <c r="AO181" s="2" t="str">
        <f t="shared" si="31"/>
        <v/>
      </c>
      <c r="AP181" s="2" t="str">
        <f t="shared" si="31"/>
        <v/>
      </c>
      <c r="AQ181" s="2" t="str">
        <f t="shared" si="31"/>
        <v/>
      </c>
      <c r="AR181" s="2">
        <f t="shared" si="37"/>
        <v>0.45881635143380112</v>
      </c>
      <c r="AT181" s="2" t="str">
        <f t="shared" si="36"/>
        <v/>
      </c>
      <c r="AU181" s="2" t="str">
        <f t="shared" si="36"/>
        <v/>
      </c>
      <c r="AV181" s="143" t="str">
        <f t="shared" si="39"/>
        <v/>
      </c>
      <c r="AW181" s="143" t="str">
        <f t="shared" si="39"/>
        <v/>
      </c>
      <c r="AX181" s="143" t="str">
        <f t="shared" si="39"/>
        <v/>
      </c>
      <c r="AY181" s="143" t="str">
        <f t="shared" si="38"/>
        <v/>
      </c>
      <c r="AZ181" s="143" t="str">
        <f t="shared" si="38"/>
        <v/>
      </c>
      <c r="BA181" s="143" t="str">
        <f t="shared" si="38"/>
        <v/>
      </c>
      <c r="BB181" s="143" t="str">
        <f t="shared" si="38"/>
        <v/>
      </c>
      <c r="BC181" s="143" t="str">
        <f t="shared" si="38"/>
        <v/>
      </c>
      <c r="BD181" s="143" t="str">
        <f t="shared" si="38"/>
        <v/>
      </c>
      <c r="BF181" s="9">
        <f t="shared" si="29"/>
        <v>1.3235757428688983E-6</v>
      </c>
      <c r="BG181" s="9">
        <f t="shared" si="30"/>
        <v>0.99875076802814577</v>
      </c>
    </row>
    <row r="182" spans="2:59" x14ac:dyDescent="0.3">
      <c r="B182" s="3" t="s">
        <v>255</v>
      </c>
      <c r="D182" s="141">
        <v>589</v>
      </c>
      <c r="E182" s="141"/>
      <c r="F182" s="141">
        <v>1051</v>
      </c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27"/>
        <v>1640</v>
      </c>
      <c r="R182" s="141">
        <v>466</v>
      </c>
      <c r="S182" s="141"/>
      <c r="T182" s="141">
        <v>960</v>
      </c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28"/>
        <v>1426</v>
      </c>
      <c r="AF182" s="2">
        <f t="shared" si="35"/>
        <v>0.79117147707979629</v>
      </c>
      <c r="AG182" s="2" t="str">
        <f t="shared" si="35"/>
        <v/>
      </c>
      <c r="AH182" s="2">
        <f t="shared" si="35"/>
        <v>0.91341579448144627</v>
      </c>
      <c r="AI182" s="2" t="str">
        <f t="shared" si="35"/>
        <v/>
      </c>
      <c r="AJ182" s="2" t="str">
        <f t="shared" si="34"/>
        <v/>
      </c>
      <c r="AK182" s="2" t="str">
        <f t="shared" si="34"/>
        <v/>
      </c>
      <c r="AL182" s="2" t="str">
        <f t="shared" si="34"/>
        <v/>
      </c>
      <c r="AM182" s="2" t="str">
        <f t="shared" si="34"/>
        <v/>
      </c>
      <c r="AN182" s="2" t="str">
        <f t="shared" si="31"/>
        <v/>
      </c>
      <c r="AO182" s="2" t="str">
        <f t="shared" si="31"/>
        <v/>
      </c>
      <c r="AP182" s="2" t="str">
        <f t="shared" si="31"/>
        <v/>
      </c>
      <c r="AQ182" s="2" t="str">
        <f t="shared" si="31"/>
        <v/>
      </c>
      <c r="AR182" s="2">
        <f t="shared" si="37"/>
        <v>0.86951219512195121</v>
      </c>
      <c r="AT182" s="2" t="str">
        <f t="shared" si="36"/>
        <v/>
      </c>
      <c r="AU182" s="2" t="str">
        <f t="shared" si="36"/>
        <v/>
      </c>
      <c r="AV182" s="143" t="str">
        <f t="shared" si="39"/>
        <v/>
      </c>
      <c r="AW182" s="143" t="str">
        <f t="shared" si="39"/>
        <v/>
      </c>
      <c r="AX182" s="143" t="str">
        <f t="shared" si="39"/>
        <v/>
      </c>
      <c r="AY182" s="143" t="str">
        <f t="shared" si="38"/>
        <v/>
      </c>
      <c r="AZ182" s="143" t="str">
        <f t="shared" si="38"/>
        <v/>
      </c>
      <c r="BA182" s="143" t="str">
        <f t="shared" si="38"/>
        <v/>
      </c>
      <c r="BB182" s="143" t="str">
        <f t="shared" si="38"/>
        <v/>
      </c>
      <c r="BC182" s="143" t="str">
        <f t="shared" si="38"/>
        <v/>
      </c>
      <c r="BD182" s="143" t="str">
        <f t="shared" si="38"/>
        <v/>
      </c>
      <c r="BF182" s="9">
        <f t="shared" si="29"/>
        <v>2.5098657038976712E-6</v>
      </c>
      <c r="BG182" s="9">
        <f t="shared" si="30"/>
        <v>0.99875327789384971</v>
      </c>
    </row>
    <row r="183" spans="2:59" x14ac:dyDescent="0.3">
      <c r="B183" s="3" t="s">
        <v>244</v>
      </c>
      <c r="D183" s="141">
        <v>1449</v>
      </c>
      <c r="E183" s="141">
        <v>9409</v>
      </c>
      <c r="F183" s="141">
        <v>6075</v>
      </c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27"/>
        <v>16933</v>
      </c>
      <c r="R183" s="141">
        <v>1449</v>
      </c>
      <c r="S183" s="141">
        <v>8461</v>
      </c>
      <c r="T183" s="141">
        <v>4597</v>
      </c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28"/>
        <v>14507</v>
      </c>
      <c r="AF183" s="2">
        <f t="shared" si="35"/>
        <v>1</v>
      </c>
      <c r="AG183" s="2">
        <f t="shared" si="35"/>
        <v>0.89924540333723035</v>
      </c>
      <c r="AH183" s="2">
        <f t="shared" si="35"/>
        <v>0.75670781893004113</v>
      </c>
      <c r="AI183" s="2" t="str">
        <f t="shared" si="35"/>
        <v/>
      </c>
      <c r="AJ183" s="2" t="str">
        <f t="shared" si="34"/>
        <v/>
      </c>
      <c r="AK183" s="2" t="str">
        <f t="shared" si="34"/>
        <v/>
      </c>
      <c r="AL183" s="2" t="str">
        <f t="shared" si="34"/>
        <v/>
      </c>
      <c r="AM183" s="2" t="str">
        <f t="shared" si="34"/>
        <v/>
      </c>
      <c r="AN183" s="2" t="str">
        <f t="shared" si="31"/>
        <v/>
      </c>
      <c r="AO183" s="2" t="str">
        <f t="shared" si="31"/>
        <v/>
      </c>
      <c r="AP183" s="2" t="str">
        <f t="shared" si="31"/>
        <v/>
      </c>
      <c r="AQ183" s="2" t="str">
        <f t="shared" si="31"/>
        <v/>
      </c>
      <c r="AR183" s="2">
        <f t="shared" si="37"/>
        <v>0.85672946317840903</v>
      </c>
      <c r="AT183" s="2" t="str">
        <f t="shared" si="36"/>
        <v/>
      </c>
      <c r="AU183" s="2" t="str">
        <f t="shared" si="36"/>
        <v/>
      </c>
      <c r="AV183" s="143" t="str">
        <f t="shared" si="39"/>
        <v/>
      </c>
      <c r="AW183" s="143" t="str">
        <f t="shared" si="39"/>
        <v/>
      </c>
      <c r="AX183" s="143" t="str">
        <f t="shared" si="39"/>
        <v/>
      </c>
      <c r="AY183" s="143" t="str">
        <f t="shared" si="38"/>
        <v/>
      </c>
      <c r="AZ183" s="143" t="str">
        <f t="shared" si="38"/>
        <v/>
      </c>
      <c r="BA183" s="143" t="str">
        <f t="shared" si="38"/>
        <v/>
      </c>
      <c r="BB183" s="143" t="str">
        <f t="shared" si="38"/>
        <v/>
      </c>
      <c r="BC183" s="143" t="str">
        <f t="shared" si="38"/>
        <v/>
      </c>
      <c r="BD183" s="143" t="str">
        <f t="shared" si="38"/>
        <v/>
      </c>
      <c r="BF183" s="9">
        <f t="shared" si="29"/>
        <v>2.5533395348137109E-5</v>
      </c>
      <c r="BG183" s="9">
        <f t="shared" si="30"/>
        <v>0.99877881128919788</v>
      </c>
    </row>
    <row r="184" spans="2:59" x14ac:dyDescent="0.3">
      <c r="B184" s="3" t="s">
        <v>294</v>
      </c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27"/>
        <v>0</v>
      </c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28"/>
        <v>0</v>
      </c>
      <c r="AF184" s="2" t="str">
        <f t="shared" si="35"/>
        <v/>
      </c>
      <c r="AG184" s="2" t="str">
        <f t="shared" si="35"/>
        <v/>
      </c>
      <c r="AH184" s="2" t="str">
        <f t="shared" si="35"/>
        <v/>
      </c>
      <c r="AI184" s="2" t="str">
        <f t="shared" si="35"/>
        <v/>
      </c>
      <c r="AJ184" s="2" t="str">
        <f t="shared" si="34"/>
        <v/>
      </c>
      <c r="AK184" s="2" t="str">
        <f t="shared" si="34"/>
        <v/>
      </c>
      <c r="AL184" s="2" t="str">
        <f t="shared" si="34"/>
        <v/>
      </c>
      <c r="AM184" s="2" t="str">
        <f t="shared" si="34"/>
        <v/>
      </c>
      <c r="AN184" s="2" t="str">
        <f t="shared" si="31"/>
        <v/>
      </c>
      <c r="AO184" s="2" t="str">
        <f t="shared" si="31"/>
        <v/>
      </c>
      <c r="AP184" s="2" t="str">
        <f t="shared" si="31"/>
        <v/>
      </c>
      <c r="AQ184" s="2" t="str">
        <f t="shared" si="31"/>
        <v/>
      </c>
      <c r="AR184" s="2" t="str">
        <f t="shared" si="37"/>
        <v/>
      </c>
      <c r="AT184" s="2" t="str">
        <f t="shared" si="36"/>
        <v/>
      </c>
      <c r="AU184" s="2" t="str">
        <f t="shared" si="36"/>
        <v/>
      </c>
      <c r="AV184" s="143" t="str">
        <f t="shared" si="39"/>
        <v/>
      </c>
      <c r="AW184" s="143" t="str">
        <f t="shared" si="39"/>
        <v/>
      </c>
      <c r="AX184" s="143" t="str">
        <f t="shared" si="39"/>
        <v/>
      </c>
      <c r="AY184" s="143" t="str">
        <f t="shared" si="38"/>
        <v/>
      </c>
      <c r="AZ184" s="143" t="str">
        <f t="shared" si="38"/>
        <v/>
      </c>
      <c r="BA184" s="143" t="str">
        <f t="shared" si="38"/>
        <v/>
      </c>
      <c r="BB184" s="143" t="str">
        <f t="shared" si="38"/>
        <v/>
      </c>
      <c r="BC184" s="143" t="str">
        <f t="shared" si="38"/>
        <v/>
      </c>
      <c r="BD184" s="143" t="str">
        <f t="shared" si="38"/>
        <v/>
      </c>
      <c r="BF184" s="9">
        <f t="shared" si="29"/>
        <v>0</v>
      </c>
      <c r="BG184" s="9">
        <f t="shared" si="30"/>
        <v>0.99877881128919788</v>
      </c>
    </row>
    <row r="185" spans="2:59" x14ac:dyDescent="0.3">
      <c r="B185" s="3" t="s">
        <v>258</v>
      </c>
      <c r="D185" s="141">
        <v>54162</v>
      </c>
      <c r="E185" s="141">
        <v>81274</v>
      </c>
      <c r="F185" s="141">
        <v>83494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27"/>
        <v>218930</v>
      </c>
      <c r="R185" s="141">
        <v>31313</v>
      </c>
      <c r="S185" s="141">
        <v>45682</v>
      </c>
      <c r="T185" s="141">
        <v>57018</v>
      </c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28"/>
        <v>134013</v>
      </c>
      <c r="AF185" s="2">
        <f t="shared" si="35"/>
        <v>0.57813596248292165</v>
      </c>
      <c r="AG185" s="2">
        <f t="shared" si="35"/>
        <v>0.56207397199596432</v>
      </c>
      <c r="AH185" s="2">
        <f t="shared" si="35"/>
        <v>0.68289937001461187</v>
      </c>
      <c r="AI185" s="2" t="str">
        <f t="shared" si="35"/>
        <v/>
      </c>
      <c r="AJ185" s="2" t="str">
        <f t="shared" si="34"/>
        <v/>
      </c>
      <c r="AK185" s="2" t="str">
        <f t="shared" si="34"/>
        <v/>
      </c>
      <c r="AL185" s="2" t="str">
        <f t="shared" si="34"/>
        <v/>
      </c>
      <c r="AM185" s="2" t="str">
        <f t="shared" si="34"/>
        <v/>
      </c>
      <c r="AN185" s="2" t="str">
        <f t="shared" si="31"/>
        <v/>
      </c>
      <c r="AO185" s="2" t="str">
        <f t="shared" si="31"/>
        <v/>
      </c>
      <c r="AP185" s="2" t="str">
        <f t="shared" si="31"/>
        <v/>
      </c>
      <c r="AQ185" s="2" t="str">
        <f t="shared" si="31"/>
        <v/>
      </c>
      <c r="AR185" s="2">
        <f t="shared" si="37"/>
        <v>0.61212716393367739</v>
      </c>
      <c r="AT185" s="2" t="str">
        <f t="shared" si="36"/>
        <v/>
      </c>
      <c r="AU185" s="2" t="str">
        <f t="shared" si="36"/>
        <v/>
      </c>
      <c r="AV185" s="143" t="str">
        <f t="shared" si="39"/>
        <v/>
      </c>
      <c r="AW185" s="143" t="str">
        <f t="shared" si="39"/>
        <v/>
      </c>
      <c r="AX185" s="143" t="str">
        <f t="shared" si="39"/>
        <v/>
      </c>
      <c r="AY185" s="143" t="str">
        <f t="shared" si="38"/>
        <v/>
      </c>
      <c r="AZ185" s="143" t="str">
        <f t="shared" si="38"/>
        <v/>
      </c>
      <c r="BA185" s="143" t="str">
        <f t="shared" si="38"/>
        <v/>
      </c>
      <c r="BB185" s="143" t="str">
        <f t="shared" si="38"/>
        <v/>
      </c>
      <c r="BC185" s="143" t="str">
        <f t="shared" si="38"/>
        <v/>
      </c>
      <c r="BD185" s="143" t="str">
        <f t="shared" si="38"/>
        <v/>
      </c>
      <c r="BF185" s="9">
        <f t="shared" si="29"/>
        <v>2.3587281386847029E-4</v>
      </c>
      <c r="BG185" s="9">
        <f t="shared" si="30"/>
        <v>0.99901468410306637</v>
      </c>
    </row>
    <row r="186" spans="2:59" x14ac:dyDescent="0.3">
      <c r="B186" s="3" t="s">
        <v>234</v>
      </c>
      <c r="D186" s="141">
        <v>21129</v>
      </c>
      <c r="E186" s="141">
        <v>29822</v>
      </c>
      <c r="F186" s="141">
        <v>34789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27"/>
        <v>85740</v>
      </c>
      <c r="R186" s="141">
        <v>7307</v>
      </c>
      <c r="S186" s="141">
        <v>8435</v>
      </c>
      <c r="T186" s="141">
        <v>13142</v>
      </c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28"/>
        <v>28884</v>
      </c>
      <c r="AF186" s="2">
        <f t="shared" si="35"/>
        <v>0.34582800889772353</v>
      </c>
      <c r="AG186" s="2">
        <f t="shared" si="35"/>
        <v>0.28284487961907318</v>
      </c>
      <c r="AH186" s="2">
        <f t="shared" si="35"/>
        <v>0.37776308603294145</v>
      </c>
      <c r="AI186" s="2" t="str">
        <f t="shared" si="35"/>
        <v/>
      </c>
      <c r="AJ186" s="2" t="str">
        <f t="shared" si="34"/>
        <v/>
      </c>
      <c r="AK186" s="2" t="str">
        <f t="shared" si="34"/>
        <v/>
      </c>
      <c r="AL186" s="2" t="str">
        <f t="shared" si="34"/>
        <v/>
      </c>
      <c r="AM186" s="2" t="str">
        <f t="shared" si="34"/>
        <v/>
      </c>
      <c r="AN186" s="2" t="str">
        <f t="shared" si="31"/>
        <v/>
      </c>
      <c r="AO186" s="2" t="str">
        <f t="shared" si="31"/>
        <v/>
      </c>
      <c r="AP186" s="2" t="str">
        <f t="shared" si="31"/>
        <v/>
      </c>
      <c r="AQ186" s="2" t="str">
        <f t="shared" si="31"/>
        <v/>
      </c>
      <c r="AR186" s="2">
        <f t="shared" si="37"/>
        <v>0.33687893631910426</v>
      </c>
      <c r="AT186" s="2" t="str">
        <f t="shared" si="36"/>
        <v/>
      </c>
      <c r="AU186" s="2" t="str">
        <f t="shared" si="36"/>
        <v/>
      </c>
      <c r="AV186" s="143" t="str">
        <f t="shared" si="39"/>
        <v/>
      </c>
      <c r="AW186" s="143" t="str">
        <f t="shared" si="39"/>
        <v/>
      </c>
      <c r="AX186" s="143" t="str">
        <f t="shared" si="39"/>
        <v/>
      </c>
      <c r="AY186" s="143" t="str">
        <f t="shared" si="38"/>
        <v/>
      </c>
      <c r="AZ186" s="143" t="str">
        <f t="shared" si="38"/>
        <v/>
      </c>
      <c r="BA186" s="143" t="str">
        <f t="shared" si="38"/>
        <v/>
      </c>
      <c r="BB186" s="143" t="str">
        <f t="shared" si="38"/>
        <v/>
      </c>
      <c r="BC186" s="143" t="str">
        <f t="shared" si="38"/>
        <v/>
      </c>
      <c r="BD186" s="143" t="str">
        <f t="shared" si="38"/>
        <v/>
      </c>
      <c r="BF186" s="9">
        <f t="shared" si="29"/>
        <v>5.0837981059874013E-5</v>
      </c>
      <c r="BG186" s="9">
        <f t="shared" si="30"/>
        <v>0.99906552208412625</v>
      </c>
    </row>
    <row r="187" spans="2:59" x14ac:dyDescent="0.3">
      <c r="B187" s="3" t="s">
        <v>295</v>
      </c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27"/>
        <v>0</v>
      </c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28"/>
        <v>0</v>
      </c>
      <c r="AF187" s="2" t="str">
        <f t="shared" si="35"/>
        <v/>
      </c>
      <c r="AG187" s="2" t="str">
        <f t="shared" si="35"/>
        <v/>
      </c>
      <c r="AH187" s="2" t="str">
        <f t="shared" si="35"/>
        <v/>
      </c>
      <c r="AI187" s="2" t="str">
        <f t="shared" si="35"/>
        <v/>
      </c>
      <c r="AJ187" s="2" t="str">
        <f t="shared" si="34"/>
        <v/>
      </c>
      <c r="AK187" s="2" t="str">
        <f t="shared" si="34"/>
        <v/>
      </c>
      <c r="AL187" s="2" t="str">
        <f t="shared" si="34"/>
        <v/>
      </c>
      <c r="AM187" s="2" t="str">
        <f t="shared" si="34"/>
        <v/>
      </c>
      <c r="AN187" s="2" t="str">
        <f t="shared" si="31"/>
        <v/>
      </c>
      <c r="AO187" s="2" t="str">
        <f t="shared" si="31"/>
        <v/>
      </c>
      <c r="AP187" s="2" t="str">
        <f t="shared" si="31"/>
        <v/>
      </c>
      <c r="AQ187" s="2" t="str">
        <f t="shared" si="31"/>
        <v/>
      </c>
      <c r="AR187" s="2" t="str">
        <f t="shared" si="37"/>
        <v/>
      </c>
      <c r="AT187" s="2" t="str">
        <f t="shared" si="36"/>
        <v/>
      </c>
      <c r="AU187" s="2" t="str">
        <f t="shared" si="36"/>
        <v/>
      </c>
      <c r="AV187" s="143" t="str">
        <f t="shared" si="39"/>
        <v/>
      </c>
      <c r="AW187" s="143" t="str">
        <f t="shared" si="39"/>
        <v/>
      </c>
      <c r="AX187" s="143" t="str">
        <f t="shared" si="39"/>
        <v/>
      </c>
      <c r="AY187" s="143" t="str">
        <f t="shared" si="38"/>
        <v/>
      </c>
      <c r="AZ187" s="143" t="str">
        <f t="shared" si="38"/>
        <v/>
      </c>
      <c r="BA187" s="143" t="str">
        <f t="shared" si="38"/>
        <v/>
      </c>
      <c r="BB187" s="143" t="str">
        <f t="shared" si="38"/>
        <v/>
      </c>
      <c r="BC187" s="143" t="str">
        <f t="shared" si="38"/>
        <v/>
      </c>
      <c r="BD187" s="143" t="str">
        <f t="shared" si="38"/>
        <v/>
      </c>
      <c r="BF187" s="9">
        <f t="shared" si="29"/>
        <v>0</v>
      </c>
      <c r="BG187" s="9">
        <f t="shared" si="30"/>
        <v>0.99906552208412625</v>
      </c>
    </row>
    <row r="188" spans="2:59" x14ac:dyDescent="0.3">
      <c r="B188" s="3" t="s">
        <v>296</v>
      </c>
      <c r="D188" s="141">
        <v>21609</v>
      </c>
      <c r="E188" s="141">
        <v>13135</v>
      </c>
      <c r="F188" s="141">
        <v>4249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27"/>
        <v>38993</v>
      </c>
      <c r="R188" s="141">
        <v>19809</v>
      </c>
      <c r="S188" s="141">
        <v>9894</v>
      </c>
      <c r="T188" s="141">
        <v>2270</v>
      </c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28"/>
        <v>31973</v>
      </c>
      <c r="AF188" s="2">
        <f t="shared" si="35"/>
        <v>0.91670137442732191</v>
      </c>
      <c r="AG188" s="2">
        <f t="shared" si="35"/>
        <v>0.75325466311381806</v>
      </c>
      <c r="AH188" s="2">
        <f t="shared" si="35"/>
        <v>0.53424335137679457</v>
      </c>
      <c r="AI188" s="2" t="str">
        <f t="shared" si="35"/>
        <v/>
      </c>
      <c r="AJ188" s="2" t="str">
        <f t="shared" si="34"/>
        <v/>
      </c>
      <c r="AK188" s="2" t="str">
        <f t="shared" si="34"/>
        <v/>
      </c>
      <c r="AL188" s="2" t="str">
        <f t="shared" si="34"/>
        <v/>
      </c>
      <c r="AM188" s="2" t="str">
        <f t="shared" si="34"/>
        <v/>
      </c>
      <c r="AN188" s="2" t="str">
        <f t="shared" si="31"/>
        <v/>
      </c>
      <c r="AO188" s="2" t="str">
        <f t="shared" si="31"/>
        <v/>
      </c>
      <c r="AP188" s="2" t="str">
        <f t="shared" si="31"/>
        <v/>
      </c>
      <c r="AQ188" s="2" t="str">
        <f t="shared" si="31"/>
        <v/>
      </c>
      <c r="AR188" s="2">
        <f t="shared" si="37"/>
        <v>0.81996768650783469</v>
      </c>
      <c r="AT188" s="2" t="str">
        <f t="shared" si="36"/>
        <v/>
      </c>
      <c r="AU188" s="2" t="str">
        <f t="shared" si="36"/>
        <v/>
      </c>
      <c r="AV188" s="143" t="str">
        <f t="shared" si="39"/>
        <v/>
      </c>
      <c r="AW188" s="143" t="str">
        <f t="shared" si="39"/>
        <v/>
      </c>
      <c r="AX188" s="143" t="str">
        <f t="shared" si="39"/>
        <v/>
      </c>
      <c r="AY188" s="143" t="str">
        <f t="shared" si="38"/>
        <v/>
      </c>
      <c r="AZ188" s="143" t="str">
        <f t="shared" si="38"/>
        <v/>
      </c>
      <c r="BA188" s="143" t="str">
        <f t="shared" si="38"/>
        <v/>
      </c>
      <c r="BB188" s="143" t="str">
        <f t="shared" si="38"/>
        <v/>
      </c>
      <c r="BC188" s="143" t="str">
        <f t="shared" si="38"/>
        <v/>
      </c>
      <c r="BD188" s="143" t="str">
        <f t="shared" si="38"/>
        <v/>
      </c>
      <c r="BF188" s="9">
        <f t="shared" si="29"/>
        <v>5.6274850035568196E-5</v>
      </c>
      <c r="BG188" s="9">
        <f t="shared" si="30"/>
        <v>0.99912179693416181</v>
      </c>
    </row>
    <row r="189" spans="2:59" x14ac:dyDescent="0.3">
      <c r="B189" s="3" t="s">
        <v>246</v>
      </c>
      <c r="D189" s="141">
        <v>13522</v>
      </c>
      <c r="E189" s="141">
        <v>1236</v>
      </c>
      <c r="F189" s="141">
        <v>91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27"/>
        <v>14849</v>
      </c>
      <c r="R189" s="141">
        <v>13522</v>
      </c>
      <c r="S189" s="141">
        <v>1156</v>
      </c>
      <c r="T189" s="141">
        <v>91</v>
      </c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28"/>
        <v>14769</v>
      </c>
      <c r="AF189" s="2">
        <f t="shared" si="35"/>
        <v>1</v>
      </c>
      <c r="AG189" s="2">
        <f t="shared" si="35"/>
        <v>0.93527508090614886</v>
      </c>
      <c r="AH189" s="2">
        <f t="shared" si="35"/>
        <v>1</v>
      </c>
      <c r="AI189" s="2" t="str">
        <f t="shared" si="35"/>
        <v/>
      </c>
      <c r="AJ189" s="2" t="str">
        <f t="shared" si="34"/>
        <v/>
      </c>
      <c r="AK189" s="2" t="str">
        <f t="shared" si="34"/>
        <v/>
      </c>
      <c r="AL189" s="2" t="str">
        <f t="shared" si="34"/>
        <v/>
      </c>
      <c r="AM189" s="2" t="str">
        <f t="shared" si="34"/>
        <v/>
      </c>
      <c r="AN189" s="2" t="str">
        <f t="shared" si="31"/>
        <v/>
      </c>
      <c r="AO189" s="2" t="str">
        <f t="shared" si="31"/>
        <v/>
      </c>
      <c r="AP189" s="2" t="str">
        <f t="shared" si="31"/>
        <v/>
      </c>
      <c r="AQ189" s="2" t="str">
        <f t="shared" si="31"/>
        <v/>
      </c>
      <c r="AR189" s="2">
        <f t="shared" si="37"/>
        <v>0.99461243181359016</v>
      </c>
      <c r="AT189" s="2" t="str">
        <f t="shared" si="36"/>
        <v/>
      </c>
      <c r="AU189" s="2" t="str">
        <f t="shared" si="36"/>
        <v/>
      </c>
      <c r="AV189" s="143" t="str">
        <f t="shared" si="39"/>
        <v/>
      </c>
      <c r="AW189" s="143" t="str">
        <f t="shared" si="39"/>
        <v/>
      </c>
      <c r="AX189" s="143" t="str">
        <f t="shared" si="39"/>
        <v/>
      </c>
      <c r="AY189" s="143" t="str">
        <f t="shared" si="38"/>
        <v/>
      </c>
      <c r="AZ189" s="143" t="str">
        <f t="shared" si="38"/>
        <v/>
      </c>
      <c r="BA189" s="143" t="str">
        <f t="shared" si="38"/>
        <v/>
      </c>
      <c r="BB189" s="143" t="str">
        <f t="shared" si="38"/>
        <v/>
      </c>
      <c r="BC189" s="143" t="str">
        <f t="shared" si="38"/>
        <v/>
      </c>
      <c r="BD189" s="143" t="str">
        <f t="shared" si="38"/>
        <v/>
      </c>
      <c r="BF189" s="9">
        <f t="shared" si="29"/>
        <v>2.5994534769189836E-5</v>
      </c>
      <c r="BG189" s="9">
        <f t="shared" si="30"/>
        <v>0.99914779146893096</v>
      </c>
    </row>
    <row r="190" spans="2:59" x14ac:dyDescent="0.3">
      <c r="B190" s="3" t="s">
        <v>251</v>
      </c>
      <c r="D190" s="141">
        <v>5655</v>
      </c>
      <c r="E190" s="141">
        <v>4388</v>
      </c>
      <c r="F190" s="141">
        <v>21156</v>
      </c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27"/>
        <v>31199</v>
      </c>
      <c r="R190" s="141">
        <v>411</v>
      </c>
      <c r="S190" s="141">
        <v>769</v>
      </c>
      <c r="T190" s="141">
        <v>19838</v>
      </c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28"/>
        <v>21018</v>
      </c>
      <c r="AF190" s="2">
        <f t="shared" si="35"/>
        <v>7.2679045092838193E-2</v>
      </c>
      <c r="AG190" s="2">
        <f t="shared" si="35"/>
        <v>0.17525068368277119</v>
      </c>
      <c r="AH190" s="2">
        <f t="shared" si="35"/>
        <v>0.93770088863679335</v>
      </c>
      <c r="AI190" s="2" t="str">
        <f t="shared" si="35"/>
        <v/>
      </c>
      <c r="AJ190" s="2" t="str">
        <f t="shared" si="34"/>
        <v/>
      </c>
      <c r="AK190" s="2" t="str">
        <f t="shared" si="34"/>
        <v/>
      </c>
      <c r="AL190" s="2" t="str">
        <f t="shared" si="34"/>
        <v/>
      </c>
      <c r="AM190" s="2" t="str">
        <f t="shared" si="34"/>
        <v/>
      </c>
      <c r="AN190" s="2" t="str">
        <f t="shared" si="31"/>
        <v/>
      </c>
      <c r="AO190" s="2" t="str">
        <f t="shared" si="31"/>
        <v/>
      </c>
      <c r="AP190" s="2" t="str">
        <f t="shared" si="31"/>
        <v/>
      </c>
      <c r="AQ190" s="2" t="str">
        <f t="shared" si="31"/>
        <v/>
      </c>
      <c r="AR190" s="2">
        <f t="shared" si="37"/>
        <v>0.67367543831533061</v>
      </c>
      <c r="AT190" s="2" t="str">
        <f t="shared" si="36"/>
        <v/>
      </c>
      <c r="AU190" s="2" t="str">
        <f t="shared" si="36"/>
        <v/>
      </c>
      <c r="AV190" s="143" t="str">
        <f t="shared" si="39"/>
        <v/>
      </c>
      <c r="AW190" s="143" t="str">
        <f t="shared" si="39"/>
        <v/>
      </c>
      <c r="AX190" s="143" t="str">
        <f t="shared" si="39"/>
        <v/>
      </c>
      <c r="AY190" s="143" t="str">
        <f t="shared" si="38"/>
        <v/>
      </c>
      <c r="AZ190" s="143" t="str">
        <f t="shared" si="38"/>
        <v/>
      </c>
      <c r="BA190" s="143" t="str">
        <f t="shared" si="38"/>
        <v/>
      </c>
      <c r="BB190" s="143" t="str">
        <f t="shared" si="38"/>
        <v/>
      </c>
      <c r="BC190" s="143" t="str">
        <f t="shared" si="38"/>
        <v/>
      </c>
      <c r="BD190" s="143" t="str">
        <f t="shared" si="38"/>
        <v/>
      </c>
      <c r="BF190" s="9">
        <f t="shared" si="29"/>
        <v>3.6993237983535246E-5</v>
      </c>
      <c r="BG190" s="9">
        <f t="shared" si="30"/>
        <v>0.99918478470691452</v>
      </c>
    </row>
    <row r="191" spans="2:59" x14ac:dyDescent="0.3">
      <c r="B191" s="3" t="s">
        <v>285</v>
      </c>
      <c r="D191" s="141">
        <v>2801</v>
      </c>
      <c r="E191" s="141">
        <v>3269</v>
      </c>
      <c r="F191" s="141">
        <v>806</v>
      </c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27"/>
        <v>6876</v>
      </c>
      <c r="R191" s="141">
        <v>561</v>
      </c>
      <c r="S191" s="141">
        <v>1725</v>
      </c>
      <c r="T191" s="141">
        <v>693</v>
      </c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28"/>
        <v>2979</v>
      </c>
      <c r="AF191" s="2">
        <f t="shared" si="35"/>
        <v>0.2002856122813281</v>
      </c>
      <c r="AG191" s="2">
        <f t="shared" si="35"/>
        <v>0.52768430712756198</v>
      </c>
      <c r="AH191" s="2">
        <f t="shared" si="35"/>
        <v>0.85980148883374685</v>
      </c>
      <c r="AI191" s="2" t="str">
        <f t="shared" si="35"/>
        <v/>
      </c>
      <c r="AJ191" s="2" t="str">
        <f t="shared" si="34"/>
        <v/>
      </c>
      <c r="AK191" s="2" t="str">
        <f t="shared" si="34"/>
        <v/>
      </c>
      <c r="AL191" s="2" t="str">
        <f t="shared" si="34"/>
        <v/>
      </c>
      <c r="AM191" s="2" t="str">
        <f t="shared" si="34"/>
        <v/>
      </c>
      <c r="AN191" s="2" t="str">
        <f t="shared" si="31"/>
        <v/>
      </c>
      <c r="AO191" s="2" t="str">
        <f t="shared" si="31"/>
        <v/>
      </c>
      <c r="AP191" s="2" t="str">
        <f t="shared" si="31"/>
        <v/>
      </c>
      <c r="AQ191" s="2" t="str">
        <f t="shared" si="31"/>
        <v/>
      </c>
      <c r="AR191" s="2">
        <f t="shared" si="37"/>
        <v>0.43324607329842935</v>
      </c>
      <c r="AT191" s="2" t="str">
        <f t="shared" si="36"/>
        <v/>
      </c>
      <c r="AU191" s="2" t="str">
        <f t="shared" si="36"/>
        <v/>
      </c>
      <c r="AV191" s="143" t="str">
        <f t="shared" si="39"/>
        <v/>
      </c>
      <c r="AW191" s="143" t="str">
        <f t="shared" si="39"/>
        <v/>
      </c>
      <c r="AX191" s="143" t="str">
        <f t="shared" si="39"/>
        <v/>
      </c>
      <c r="AY191" s="143" t="str">
        <f t="shared" si="38"/>
        <v/>
      </c>
      <c r="AZ191" s="143" t="str">
        <f t="shared" si="38"/>
        <v/>
      </c>
      <c r="BA191" s="143" t="str">
        <f t="shared" si="38"/>
        <v/>
      </c>
      <c r="BB191" s="143" t="str">
        <f t="shared" si="38"/>
        <v/>
      </c>
      <c r="BC191" s="143" t="str">
        <f t="shared" si="38"/>
        <v/>
      </c>
      <c r="BD191" s="143" t="str">
        <f t="shared" si="38"/>
        <v/>
      </c>
      <c r="BF191" s="9">
        <f t="shared" si="29"/>
        <v>5.2432608218170847E-6</v>
      </c>
      <c r="BG191" s="9">
        <f t="shared" si="30"/>
        <v>0.99919002796773637</v>
      </c>
    </row>
    <row r="192" spans="2:59" x14ac:dyDescent="0.3">
      <c r="B192" s="3" t="s">
        <v>259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27"/>
        <v>0</v>
      </c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28"/>
        <v>0</v>
      </c>
      <c r="AF192" s="2" t="str">
        <f t="shared" si="35"/>
        <v/>
      </c>
      <c r="AG192" s="2" t="str">
        <f t="shared" si="35"/>
        <v/>
      </c>
      <c r="AH192" s="2" t="str">
        <f t="shared" si="35"/>
        <v/>
      </c>
      <c r="AI192" s="2" t="str">
        <f t="shared" si="35"/>
        <v/>
      </c>
      <c r="AJ192" s="2" t="str">
        <f t="shared" si="34"/>
        <v/>
      </c>
      <c r="AK192" s="2" t="str">
        <f t="shared" si="34"/>
        <v/>
      </c>
      <c r="AL192" s="2" t="str">
        <f t="shared" si="34"/>
        <v/>
      </c>
      <c r="AM192" s="2" t="str">
        <f t="shared" si="34"/>
        <v/>
      </c>
      <c r="AN192" s="2" t="str">
        <f t="shared" si="31"/>
        <v/>
      </c>
      <c r="AO192" s="2" t="str">
        <f t="shared" si="31"/>
        <v/>
      </c>
      <c r="AP192" s="2" t="str">
        <f t="shared" si="31"/>
        <v/>
      </c>
      <c r="AQ192" s="2" t="str">
        <f t="shared" si="31"/>
        <v/>
      </c>
      <c r="AR192" s="2" t="str">
        <f t="shared" si="37"/>
        <v/>
      </c>
      <c r="AT192" s="2" t="str">
        <f t="shared" si="36"/>
        <v/>
      </c>
      <c r="AU192" s="2" t="str">
        <f t="shared" si="36"/>
        <v/>
      </c>
      <c r="AV192" s="143" t="str">
        <f t="shared" si="39"/>
        <v/>
      </c>
      <c r="AW192" s="143" t="str">
        <f t="shared" si="39"/>
        <v/>
      </c>
      <c r="AX192" s="143" t="str">
        <f t="shared" si="39"/>
        <v/>
      </c>
      <c r="AY192" s="143" t="str">
        <f t="shared" si="38"/>
        <v/>
      </c>
      <c r="AZ192" s="143" t="str">
        <f t="shared" si="38"/>
        <v/>
      </c>
      <c r="BA192" s="143" t="str">
        <f t="shared" si="38"/>
        <v/>
      </c>
      <c r="BB192" s="143" t="str">
        <f t="shared" si="38"/>
        <v/>
      </c>
      <c r="BC192" s="143" t="str">
        <f t="shared" si="38"/>
        <v/>
      </c>
      <c r="BD192" s="143" t="str">
        <f t="shared" si="38"/>
        <v/>
      </c>
      <c r="BF192" s="9">
        <f t="shared" si="29"/>
        <v>0</v>
      </c>
      <c r="BG192" s="9">
        <f t="shared" si="30"/>
        <v>0.99919002796773637</v>
      </c>
    </row>
    <row r="193" spans="2:59" x14ac:dyDescent="0.3">
      <c r="B193" s="3" t="s">
        <v>264</v>
      </c>
      <c r="D193" s="141">
        <v>738</v>
      </c>
      <c r="E193" s="141"/>
      <c r="F193" s="141">
        <v>48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27"/>
        <v>786</v>
      </c>
      <c r="R193" s="141">
        <v>738</v>
      </c>
      <c r="S193" s="141"/>
      <c r="T193" s="141">
        <v>48</v>
      </c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28"/>
        <v>786</v>
      </c>
      <c r="AF193" s="2">
        <f t="shared" si="35"/>
        <v>1</v>
      </c>
      <c r="AG193" s="2" t="str">
        <f t="shared" si="35"/>
        <v/>
      </c>
      <c r="AH193" s="2">
        <f t="shared" si="35"/>
        <v>1</v>
      </c>
      <c r="AI193" s="2" t="str">
        <f t="shared" si="35"/>
        <v/>
      </c>
      <c r="AJ193" s="2" t="str">
        <f t="shared" si="34"/>
        <v/>
      </c>
      <c r="AK193" s="2" t="str">
        <f t="shared" si="34"/>
        <v/>
      </c>
      <c r="AL193" s="2" t="str">
        <f t="shared" si="34"/>
        <v/>
      </c>
      <c r="AM193" s="2" t="str">
        <f t="shared" si="34"/>
        <v/>
      </c>
      <c r="AN193" s="2" t="str">
        <f t="shared" si="31"/>
        <v/>
      </c>
      <c r="AO193" s="2" t="str">
        <f t="shared" si="31"/>
        <v/>
      </c>
      <c r="AP193" s="2" t="str">
        <f t="shared" si="31"/>
        <v/>
      </c>
      <c r="AQ193" s="2" t="str">
        <f t="shared" si="31"/>
        <v/>
      </c>
      <c r="AR193" s="2">
        <f t="shared" si="37"/>
        <v>1</v>
      </c>
      <c r="AT193" s="2" t="str">
        <f t="shared" si="36"/>
        <v/>
      </c>
      <c r="AU193" s="2" t="str">
        <f t="shared" si="36"/>
        <v/>
      </c>
      <c r="AV193" s="143" t="str">
        <f t="shared" si="39"/>
        <v/>
      </c>
      <c r="AW193" s="143" t="str">
        <f t="shared" si="39"/>
        <v/>
      </c>
      <c r="AX193" s="143" t="str">
        <f t="shared" si="39"/>
        <v/>
      </c>
      <c r="AY193" s="143" t="str">
        <f t="shared" si="38"/>
        <v/>
      </c>
      <c r="AZ193" s="143" t="str">
        <f t="shared" si="38"/>
        <v/>
      </c>
      <c r="BA193" s="143" t="str">
        <f t="shared" si="38"/>
        <v/>
      </c>
      <c r="BB193" s="143" t="str">
        <f t="shared" si="38"/>
        <v/>
      </c>
      <c r="BC193" s="143" t="str">
        <f t="shared" si="38"/>
        <v/>
      </c>
      <c r="BD193" s="143" t="str">
        <f t="shared" si="38"/>
        <v/>
      </c>
      <c r="BF193" s="9">
        <f t="shared" si="29"/>
        <v>1.3834182631581834E-6</v>
      </c>
      <c r="BG193" s="9">
        <f t="shared" si="30"/>
        <v>0.99919141138599954</v>
      </c>
    </row>
    <row r="194" spans="2:59" x14ac:dyDescent="0.3">
      <c r="B194" s="3" t="s">
        <v>297</v>
      </c>
      <c r="D194" s="141">
        <v>7179</v>
      </c>
      <c r="E194" s="141">
        <v>17029</v>
      </c>
      <c r="F194" s="141">
        <v>17050</v>
      </c>
      <c r="G194" s="141"/>
      <c r="H194" s="141"/>
      <c r="I194" s="141"/>
      <c r="J194" s="141"/>
      <c r="K194" s="141"/>
      <c r="L194" s="141"/>
      <c r="M194" s="141"/>
      <c r="N194" s="141"/>
      <c r="O194" s="141"/>
      <c r="P194" s="141">
        <f t="shared" si="27"/>
        <v>41258</v>
      </c>
      <c r="R194" s="141">
        <v>6780</v>
      </c>
      <c r="S194" s="141">
        <v>16016</v>
      </c>
      <c r="T194" s="141">
        <v>11693</v>
      </c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28"/>
        <v>34489</v>
      </c>
      <c r="AF194" s="2">
        <f t="shared" si="35"/>
        <v>0.94442122858336819</v>
      </c>
      <c r="AG194" s="2">
        <f t="shared" si="35"/>
        <v>0.94051324211638965</v>
      </c>
      <c r="AH194" s="2">
        <f t="shared" si="35"/>
        <v>0.68580645161290321</v>
      </c>
      <c r="AI194" s="2" t="str">
        <f t="shared" si="35"/>
        <v/>
      </c>
      <c r="AJ194" s="2" t="str">
        <f t="shared" si="34"/>
        <v/>
      </c>
      <c r="AK194" s="2" t="str">
        <f t="shared" si="34"/>
        <v/>
      </c>
      <c r="AL194" s="2" t="str">
        <f t="shared" si="34"/>
        <v/>
      </c>
      <c r="AM194" s="2" t="str">
        <f t="shared" si="34"/>
        <v/>
      </c>
      <c r="AN194" s="2" t="str">
        <f t="shared" si="31"/>
        <v/>
      </c>
      <c r="AO194" s="2" t="str">
        <f t="shared" si="31"/>
        <v/>
      </c>
      <c r="AP194" s="2" t="str">
        <f t="shared" si="31"/>
        <v/>
      </c>
      <c r="AQ194" s="2" t="str">
        <f t="shared" si="31"/>
        <v/>
      </c>
      <c r="AR194" s="2">
        <f t="shared" si="37"/>
        <v>0.83593484899898196</v>
      </c>
      <c r="AT194" s="2" t="str">
        <f t="shared" si="36"/>
        <v/>
      </c>
      <c r="AU194" s="2" t="str">
        <f t="shared" si="36"/>
        <v/>
      </c>
      <c r="AV194" s="143" t="str">
        <f t="shared" si="39"/>
        <v/>
      </c>
      <c r="AW194" s="143" t="str">
        <f t="shared" si="39"/>
        <v/>
      </c>
      <c r="AX194" s="143" t="str">
        <f t="shared" si="39"/>
        <v/>
      </c>
      <c r="AY194" s="143" t="str">
        <f t="shared" si="38"/>
        <v/>
      </c>
      <c r="AZ194" s="143" t="str">
        <f t="shared" si="38"/>
        <v/>
      </c>
      <c r="BA194" s="143" t="str">
        <f t="shared" si="38"/>
        <v/>
      </c>
      <c r="BB194" s="143" t="str">
        <f t="shared" si="38"/>
        <v/>
      </c>
      <c r="BC194" s="143" t="str">
        <f t="shared" si="38"/>
        <v/>
      </c>
      <c r="BD194" s="143" t="str">
        <f t="shared" si="38"/>
        <v/>
      </c>
      <c r="BF194" s="9">
        <f t="shared" si="29"/>
        <v>6.0703196536975305E-5</v>
      </c>
      <c r="BG194" s="9">
        <f t="shared" si="30"/>
        <v>0.99925211458253649</v>
      </c>
    </row>
    <row r="195" spans="2:59" x14ac:dyDescent="0.3">
      <c r="B195" s="3" t="s">
        <v>298</v>
      </c>
      <c r="D195" s="141">
        <v>396</v>
      </c>
      <c r="E195" s="141">
        <v>223</v>
      </c>
      <c r="F195" s="141">
        <v>312</v>
      </c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27"/>
        <v>931</v>
      </c>
      <c r="R195" s="141">
        <v>297</v>
      </c>
      <c r="S195" s="141">
        <v>198</v>
      </c>
      <c r="T195" s="141">
        <v>312</v>
      </c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28"/>
        <v>807</v>
      </c>
      <c r="AF195" s="2">
        <f t="shared" si="35"/>
        <v>0.75</v>
      </c>
      <c r="AG195" s="2">
        <f t="shared" si="35"/>
        <v>0.88789237668161436</v>
      </c>
      <c r="AH195" s="2">
        <f t="shared" si="35"/>
        <v>1</v>
      </c>
      <c r="AI195" s="2" t="str">
        <f t="shared" si="35"/>
        <v/>
      </c>
      <c r="AJ195" s="2" t="str">
        <f t="shared" si="34"/>
        <v/>
      </c>
      <c r="AK195" s="2" t="str">
        <f t="shared" si="34"/>
        <v/>
      </c>
      <c r="AL195" s="2" t="str">
        <f t="shared" si="34"/>
        <v/>
      </c>
      <c r="AM195" s="2" t="str">
        <f t="shared" si="34"/>
        <v/>
      </c>
      <c r="AN195" s="2" t="str">
        <f t="shared" si="31"/>
        <v/>
      </c>
      <c r="AO195" s="2" t="str">
        <f t="shared" si="31"/>
        <v/>
      </c>
      <c r="AP195" s="2" t="str">
        <f t="shared" si="31"/>
        <v/>
      </c>
      <c r="AQ195" s="2" t="str">
        <f t="shared" si="31"/>
        <v/>
      </c>
      <c r="AR195" s="2">
        <f t="shared" si="37"/>
        <v>0.86680988184747587</v>
      </c>
      <c r="AT195" s="2" t="str">
        <f t="shared" si="36"/>
        <v/>
      </c>
      <c r="AU195" s="2" t="str">
        <f t="shared" si="36"/>
        <v/>
      </c>
      <c r="AV195" s="143" t="str">
        <f t="shared" si="39"/>
        <v/>
      </c>
      <c r="AW195" s="143" t="str">
        <f t="shared" si="39"/>
        <v/>
      </c>
      <c r="AX195" s="143" t="str">
        <f t="shared" si="39"/>
        <v/>
      </c>
      <c r="AY195" s="143" t="str">
        <f t="shared" si="38"/>
        <v/>
      </c>
      <c r="AZ195" s="143" t="str">
        <f t="shared" si="38"/>
        <v/>
      </c>
      <c r="BA195" s="143" t="str">
        <f t="shared" si="38"/>
        <v/>
      </c>
      <c r="BB195" s="143" t="str">
        <f t="shared" si="38"/>
        <v/>
      </c>
      <c r="BC195" s="143" t="str">
        <f t="shared" si="38"/>
        <v/>
      </c>
      <c r="BD195" s="143" t="str">
        <f t="shared" si="38"/>
        <v/>
      </c>
      <c r="BF195" s="9">
        <f t="shared" si="29"/>
        <v>1.4203798198074479E-6</v>
      </c>
      <c r="BG195" s="9">
        <f t="shared" si="30"/>
        <v>0.99925353496235625</v>
      </c>
    </row>
    <row r="196" spans="2:59" x14ac:dyDescent="0.3">
      <c r="B196" s="3" t="s">
        <v>299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si="27"/>
        <v>0</v>
      </c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>
        <f t="shared" si="28"/>
        <v>0</v>
      </c>
      <c r="AF196" s="2" t="str">
        <f t="shared" si="35"/>
        <v/>
      </c>
      <c r="AG196" s="2" t="str">
        <f t="shared" si="35"/>
        <v/>
      </c>
      <c r="AH196" s="2" t="str">
        <f t="shared" si="35"/>
        <v/>
      </c>
      <c r="AI196" s="2" t="str">
        <f t="shared" si="35"/>
        <v/>
      </c>
      <c r="AJ196" s="2" t="str">
        <f t="shared" si="34"/>
        <v/>
      </c>
      <c r="AK196" s="2" t="str">
        <f t="shared" si="34"/>
        <v/>
      </c>
      <c r="AL196" s="2" t="str">
        <f t="shared" si="34"/>
        <v/>
      </c>
      <c r="AM196" s="2" t="str">
        <f t="shared" si="34"/>
        <v/>
      </c>
      <c r="AN196" s="2" t="str">
        <f t="shared" si="31"/>
        <v/>
      </c>
      <c r="AO196" s="2" t="str">
        <f t="shared" si="31"/>
        <v/>
      </c>
      <c r="AP196" s="2" t="str">
        <f t="shared" si="31"/>
        <v/>
      </c>
      <c r="AQ196" s="2" t="str">
        <f t="shared" si="31"/>
        <v/>
      </c>
      <c r="AR196" s="2" t="str">
        <f t="shared" si="37"/>
        <v/>
      </c>
      <c r="AT196" s="2" t="str">
        <f t="shared" si="36"/>
        <v/>
      </c>
      <c r="AU196" s="2" t="str">
        <f t="shared" si="36"/>
        <v/>
      </c>
      <c r="AV196" s="143" t="str">
        <f t="shared" si="39"/>
        <v/>
      </c>
      <c r="AW196" s="143" t="str">
        <f t="shared" si="39"/>
        <v/>
      </c>
      <c r="AX196" s="143" t="str">
        <f t="shared" si="39"/>
        <v/>
      </c>
      <c r="AY196" s="143" t="str">
        <f t="shared" si="38"/>
        <v/>
      </c>
      <c r="AZ196" s="143" t="str">
        <f t="shared" si="38"/>
        <v/>
      </c>
      <c r="BA196" s="143" t="str">
        <f t="shared" si="38"/>
        <v/>
      </c>
      <c r="BB196" s="143" t="str">
        <f t="shared" si="38"/>
        <v/>
      </c>
      <c r="BC196" s="143" t="str">
        <f t="shared" si="38"/>
        <v/>
      </c>
      <c r="BD196" s="143" t="str">
        <f t="shared" si="38"/>
        <v/>
      </c>
      <c r="BF196" s="9">
        <f t="shared" si="29"/>
        <v>0</v>
      </c>
      <c r="BG196" s="9">
        <f t="shared" si="30"/>
        <v>0.99925353496235625</v>
      </c>
    </row>
    <row r="197" spans="2:59" x14ac:dyDescent="0.3">
      <c r="B197" s="3" t="s">
        <v>300</v>
      </c>
      <c r="D197" s="141">
        <v>254</v>
      </c>
      <c r="E197" s="141"/>
      <c r="F197" s="141">
        <v>2430</v>
      </c>
      <c r="G197" s="141"/>
      <c r="H197" s="141"/>
      <c r="I197" s="141"/>
      <c r="J197" s="141"/>
      <c r="K197" s="141"/>
      <c r="L197" s="141"/>
      <c r="M197" s="141"/>
      <c r="N197" s="141"/>
      <c r="O197" s="141"/>
      <c r="P197" s="141">
        <f t="shared" ref="P197:P256" si="40">+SUM(D197:O197)</f>
        <v>2684</v>
      </c>
      <c r="R197" s="141">
        <v>114</v>
      </c>
      <c r="S197" s="141"/>
      <c r="T197" s="141">
        <v>2405</v>
      </c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>
        <f t="shared" ref="AD197:AD256" si="41">+SUM(R197:AC197)</f>
        <v>2519</v>
      </c>
      <c r="AF197" s="2">
        <f t="shared" si="35"/>
        <v>0.44881889763779526</v>
      </c>
      <c r="AG197" s="2" t="str">
        <f t="shared" si="35"/>
        <v/>
      </c>
      <c r="AH197" s="2">
        <f t="shared" si="35"/>
        <v>0.98971193415637859</v>
      </c>
      <c r="AI197" s="2" t="str">
        <f t="shared" si="35"/>
        <v/>
      </c>
      <c r="AJ197" s="2" t="str">
        <f t="shared" si="34"/>
        <v/>
      </c>
      <c r="AK197" s="2" t="str">
        <f t="shared" si="34"/>
        <v/>
      </c>
      <c r="AL197" s="2" t="str">
        <f t="shared" si="34"/>
        <v/>
      </c>
      <c r="AM197" s="2" t="str">
        <f t="shared" si="34"/>
        <v/>
      </c>
      <c r="AN197" s="2" t="str">
        <f t="shared" si="31"/>
        <v/>
      </c>
      <c r="AO197" s="2" t="str">
        <f t="shared" si="31"/>
        <v/>
      </c>
      <c r="AP197" s="2" t="str">
        <f t="shared" si="31"/>
        <v/>
      </c>
      <c r="AQ197" s="2" t="str">
        <f t="shared" si="31"/>
        <v/>
      </c>
      <c r="AR197" s="2">
        <f t="shared" si="37"/>
        <v>0.93852459016393441</v>
      </c>
      <c r="AT197" s="2" t="str">
        <f t="shared" si="36"/>
        <v/>
      </c>
      <c r="AU197" s="2" t="str">
        <f t="shared" si="36"/>
        <v/>
      </c>
      <c r="AV197" s="143" t="str">
        <f t="shared" si="39"/>
        <v/>
      </c>
      <c r="AW197" s="143" t="str">
        <f t="shared" si="39"/>
        <v/>
      </c>
      <c r="AX197" s="143" t="str">
        <f t="shared" si="39"/>
        <v/>
      </c>
      <c r="AY197" s="143" t="str">
        <f t="shared" si="38"/>
        <v/>
      </c>
      <c r="AZ197" s="143" t="str">
        <f t="shared" si="38"/>
        <v/>
      </c>
      <c r="BA197" s="143" t="str">
        <f t="shared" si="38"/>
        <v/>
      </c>
      <c r="BB197" s="143" t="str">
        <f t="shared" si="38"/>
        <v/>
      </c>
      <c r="BC197" s="143" t="str">
        <f t="shared" si="38"/>
        <v/>
      </c>
      <c r="BD197" s="143" t="str">
        <f t="shared" si="38"/>
        <v/>
      </c>
      <c r="BF197" s="9">
        <f t="shared" ref="BF197:BF256" si="42">+AD197/$AD$257</f>
        <v>4.433626723785578E-6</v>
      </c>
      <c r="BG197" s="9">
        <f t="shared" si="30"/>
        <v>0.99925796858908</v>
      </c>
    </row>
    <row r="198" spans="2:59" x14ac:dyDescent="0.3">
      <c r="B198" s="3" t="s">
        <v>284</v>
      </c>
      <c r="D198" s="141">
        <v>11917</v>
      </c>
      <c r="E198" s="141">
        <v>16643</v>
      </c>
      <c r="F198" s="141">
        <v>32915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0"/>
        <v>61475</v>
      </c>
      <c r="R198" s="141">
        <v>11917</v>
      </c>
      <c r="S198" s="141">
        <v>14512</v>
      </c>
      <c r="T198" s="141">
        <v>18608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1"/>
        <v>45037</v>
      </c>
      <c r="AF198" s="2">
        <f t="shared" si="35"/>
        <v>1</v>
      </c>
      <c r="AG198" s="2">
        <f t="shared" si="35"/>
        <v>0.87195818061647534</v>
      </c>
      <c r="AH198" s="2">
        <f t="shared" si="35"/>
        <v>0.56533495366854014</v>
      </c>
      <c r="AI198" s="2" t="str">
        <f t="shared" si="35"/>
        <v/>
      </c>
      <c r="AJ198" s="2" t="str">
        <f t="shared" si="34"/>
        <v/>
      </c>
      <c r="AK198" s="2" t="str">
        <f t="shared" si="34"/>
        <v/>
      </c>
      <c r="AL198" s="2" t="str">
        <f t="shared" si="34"/>
        <v/>
      </c>
      <c r="AM198" s="2" t="str">
        <f t="shared" si="34"/>
        <v/>
      </c>
      <c r="AN198" s="2" t="str">
        <f t="shared" si="31"/>
        <v/>
      </c>
      <c r="AO198" s="2" t="str">
        <f t="shared" si="31"/>
        <v/>
      </c>
      <c r="AP198" s="2" t="str">
        <f t="shared" si="31"/>
        <v/>
      </c>
      <c r="AQ198" s="2" t="str">
        <f t="shared" si="31"/>
        <v/>
      </c>
      <c r="AR198" s="2">
        <f t="shared" si="37"/>
        <v>0.73260675071167136</v>
      </c>
      <c r="AT198" s="2" t="str">
        <f t="shared" si="36"/>
        <v/>
      </c>
      <c r="AU198" s="2" t="str">
        <f t="shared" si="36"/>
        <v/>
      </c>
      <c r="AV198" s="143" t="str">
        <f t="shared" si="39"/>
        <v/>
      </c>
      <c r="AW198" s="143" t="str">
        <f t="shared" si="39"/>
        <v/>
      </c>
      <c r="AX198" s="143" t="str">
        <f t="shared" si="39"/>
        <v/>
      </c>
      <c r="AY198" s="143" t="str">
        <f t="shared" si="38"/>
        <v/>
      </c>
      <c r="AZ198" s="143" t="str">
        <f t="shared" si="38"/>
        <v/>
      </c>
      <c r="BA198" s="143" t="str">
        <f t="shared" si="38"/>
        <v/>
      </c>
      <c r="BB198" s="143" t="str">
        <f t="shared" si="38"/>
        <v/>
      </c>
      <c r="BC198" s="143" t="str">
        <f t="shared" si="38"/>
        <v/>
      </c>
      <c r="BD198" s="143" t="str">
        <f t="shared" si="38"/>
        <v/>
      </c>
      <c r="BF198" s="9">
        <f t="shared" si="42"/>
        <v>7.9268458419662989E-5</v>
      </c>
      <c r="BG198" s="9">
        <f t="shared" ref="BG198:BG213" si="43">+BF198+BG197</f>
        <v>0.99933723704749966</v>
      </c>
    </row>
    <row r="199" spans="2:59" x14ac:dyDescent="0.3">
      <c r="B199" s="3" t="s">
        <v>249</v>
      </c>
      <c r="D199" s="141">
        <v>230</v>
      </c>
      <c r="E199" s="141">
        <v>13300</v>
      </c>
      <c r="F199" s="141">
        <v>301</v>
      </c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0"/>
        <v>13831</v>
      </c>
      <c r="R199" s="141">
        <v>230</v>
      </c>
      <c r="S199" s="141">
        <v>13300</v>
      </c>
      <c r="T199" s="141">
        <v>301</v>
      </c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1"/>
        <v>13831</v>
      </c>
      <c r="AF199" s="2">
        <f t="shared" si="35"/>
        <v>1</v>
      </c>
      <c r="AG199" s="2">
        <f t="shared" si="35"/>
        <v>1</v>
      </c>
      <c r="AH199" s="2">
        <f t="shared" si="35"/>
        <v>1</v>
      </c>
      <c r="AI199" s="2" t="str">
        <f t="shared" si="35"/>
        <v/>
      </c>
      <c r="AJ199" s="2" t="str">
        <f t="shared" si="34"/>
        <v/>
      </c>
      <c r="AK199" s="2" t="str">
        <f t="shared" si="34"/>
        <v/>
      </c>
      <c r="AL199" s="2" t="str">
        <f t="shared" si="34"/>
        <v/>
      </c>
      <c r="AM199" s="2" t="str">
        <f t="shared" si="34"/>
        <v/>
      </c>
      <c r="AN199" s="2" t="str">
        <f t="shared" si="31"/>
        <v/>
      </c>
      <c r="AO199" s="2" t="str">
        <f t="shared" si="31"/>
        <v/>
      </c>
      <c r="AP199" s="2" t="str">
        <f t="shared" si="31"/>
        <v/>
      </c>
      <c r="AQ199" s="2" t="str">
        <f t="shared" si="31"/>
        <v/>
      </c>
      <c r="AR199" s="2">
        <f t="shared" si="37"/>
        <v>1</v>
      </c>
      <c r="AT199" s="2" t="str">
        <f t="shared" si="36"/>
        <v/>
      </c>
      <c r="AU199" s="2" t="str">
        <f t="shared" si="36"/>
        <v/>
      </c>
      <c r="AV199" s="143" t="str">
        <f t="shared" si="39"/>
        <v/>
      </c>
      <c r="AW199" s="143" t="str">
        <f t="shared" si="39"/>
        <v/>
      </c>
      <c r="AX199" s="143" t="str">
        <f t="shared" si="39"/>
        <v/>
      </c>
      <c r="AY199" s="143" t="str">
        <f t="shared" si="38"/>
        <v/>
      </c>
      <c r="AZ199" s="143" t="str">
        <f t="shared" si="38"/>
        <v/>
      </c>
      <c r="BA199" s="143" t="str">
        <f t="shared" si="38"/>
        <v/>
      </c>
      <c r="BB199" s="143" t="str">
        <f t="shared" si="38"/>
        <v/>
      </c>
      <c r="BC199" s="143" t="str">
        <f t="shared" si="38"/>
        <v/>
      </c>
      <c r="BD199" s="143" t="str">
        <f t="shared" si="38"/>
        <v/>
      </c>
      <c r="BF199" s="9">
        <f t="shared" si="42"/>
        <v>2.4343585238856024E-5</v>
      </c>
      <c r="BG199" s="9">
        <f t="shared" si="43"/>
        <v>0.9993615806327385</v>
      </c>
    </row>
    <row r="200" spans="2:59" x14ac:dyDescent="0.3">
      <c r="B200" s="3" t="s">
        <v>260</v>
      </c>
      <c r="D200" s="141">
        <v>2775</v>
      </c>
      <c r="E200" s="141">
        <v>2343</v>
      </c>
      <c r="F200" s="141">
        <v>4065</v>
      </c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0"/>
        <v>9183</v>
      </c>
      <c r="R200" s="141">
        <v>2775</v>
      </c>
      <c r="S200" s="141">
        <v>2343</v>
      </c>
      <c r="T200" s="141">
        <v>4065</v>
      </c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1"/>
        <v>9183</v>
      </c>
      <c r="AF200" s="2">
        <f t="shared" si="35"/>
        <v>1</v>
      </c>
      <c r="AG200" s="2">
        <f t="shared" si="35"/>
        <v>1</v>
      </c>
      <c r="AH200" s="2">
        <f t="shared" si="35"/>
        <v>1</v>
      </c>
      <c r="AI200" s="2" t="str">
        <f t="shared" si="35"/>
        <v/>
      </c>
      <c r="AJ200" s="2" t="str">
        <f t="shared" si="34"/>
        <v/>
      </c>
      <c r="AK200" s="2" t="str">
        <f t="shared" si="34"/>
        <v/>
      </c>
      <c r="AL200" s="2" t="str">
        <f t="shared" si="34"/>
        <v/>
      </c>
      <c r="AM200" s="2" t="str">
        <f t="shared" si="34"/>
        <v/>
      </c>
      <c r="AN200" s="2" t="str">
        <f t="shared" si="31"/>
        <v/>
      </c>
      <c r="AO200" s="2" t="str">
        <f t="shared" si="31"/>
        <v/>
      </c>
      <c r="AP200" s="2" t="str">
        <f t="shared" si="31"/>
        <v/>
      </c>
      <c r="AQ200" s="2" t="str">
        <f t="shared" si="31"/>
        <v/>
      </c>
      <c r="AR200" s="2">
        <f t="shared" si="37"/>
        <v>1</v>
      </c>
      <c r="AT200" s="2" t="str">
        <f t="shared" si="36"/>
        <v/>
      </c>
      <c r="AU200" s="2" t="str">
        <f t="shared" si="36"/>
        <v/>
      </c>
      <c r="AV200" s="143" t="str">
        <f t="shared" si="39"/>
        <v/>
      </c>
      <c r="AW200" s="143" t="str">
        <f t="shared" si="39"/>
        <v/>
      </c>
      <c r="AX200" s="143" t="str">
        <f t="shared" si="39"/>
        <v/>
      </c>
      <c r="AY200" s="143" t="str">
        <f t="shared" si="38"/>
        <v/>
      </c>
      <c r="AZ200" s="143" t="str">
        <f t="shared" si="38"/>
        <v/>
      </c>
      <c r="BA200" s="143" t="str">
        <f t="shared" si="38"/>
        <v/>
      </c>
      <c r="BB200" s="143" t="str">
        <f t="shared" si="38"/>
        <v/>
      </c>
      <c r="BC200" s="143" t="str">
        <f t="shared" si="38"/>
        <v/>
      </c>
      <c r="BD200" s="143" t="str">
        <f t="shared" si="38"/>
        <v/>
      </c>
      <c r="BF200" s="9">
        <f t="shared" si="42"/>
        <v>1.6162760700485495E-5</v>
      </c>
      <c r="BG200" s="9">
        <f t="shared" si="43"/>
        <v>0.99937774339343899</v>
      </c>
    </row>
    <row r="201" spans="2:59" x14ac:dyDescent="0.3">
      <c r="B201" s="3" t="s">
        <v>283</v>
      </c>
      <c r="D201" s="141">
        <v>19355</v>
      </c>
      <c r="E201" s="141">
        <v>19806</v>
      </c>
      <c r="F201" s="141">
        <v>26499</v>
      </c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0"/>
        <v>65660</v>
      </c>
      <c r="R201" s="141">
        <v>14707</v>
      </c>
      <c r="S201" s="141">
        <v>15832</v>
      </c>
      <c r="T201" s="141">
        <v>18740</v>
      </c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1"/>
        <v>49279</v>
      </c>
      <c r="AF201" s="2">
        <f t="shared" si="35"/>
        <v>0.75985533453887888</v>
      </c>
      <c r="AG201" s="2">
        <f t="shared" si="35"/>
        <v>0.79935373119256792</v>
      </c>
      <c r="AH201" s="2">
        <f t="shared" si="35"/>
        <v>0.70719649798105588</v>
      </c>
      <c r="AI201" s="2" t="str">
        <f t="shared" si="35"/>
        <v/>
      </c>
      <c r="AJ201" s="2" t="str">
        <f t="shared" si="34"/>
        <v/>
      </c>
      <c r="AK201" s="2" t="str">
        <f t="shared" si="34"/>
        <v/>
      </c>
      <c r="AL201" s="2" t="str">
        <f t="shared" si="34"/>
        <v/>
      </c>
      <c r="AM201" s="2" t="str">
        <f t="shared" si="34"/>
        <v/>
      </c>
      <c r="AN201" s="2" t="str">
        <f t="shared" si="31"/>
        <v/>
      </c>
      <c r="AO201" s="2" t="str">
        <f t="shared" si="31"/>
        <v/>
      </c>
      <c r="AP201" s="2" t="str">
        <f t="shared" si="31"/>
        <v/>
      </c>
      <c r="AQ201" s="2" t="str">
        <f t="shared" si="31"/>
        <v/>
      </c>
      <c r="AR201" s="2">
        <f t="shared" si="37"/>
        <v>0.7505178190679257</v>
      </c>
      <c r="AT201" s="2" t="str">
        <f t="shared" si="36"/>
        <v/>
      </c>
      <c r="AU201" s="2" t="str">
        <f t="shared" si="36"/>
        <v/>
      </c>
      <c r="AV201" s="143" t="str">
        <f t="shared" si="39"/>
        <v/>
      </c>
      <c r="AW201" s="143" t="str">
        <f t="shared" si="39"/>
        <v/>
      </c>
      <c r="AX201" s="143" t="str">
        <f t="shared" si="39"/>
        <v/>
      </c>
      <c r="AY201" s="143" t="str">
        <f t="shared" si="38"/>
        <v/>
      </c>
      <c r="AZ201" s="143" t="str">
        <f t="shared" si="38"/>
        <v/>
      </c>
      <c r="BA201" s="143" t="str">
        <f t="shared" si="38"/>
        <v/>
      </c>
      <c r="BB201" s="143" t="str">
        <f t="shared" si="38"/>
        <v/>
      </c>
      <c r="BC201" s="143" t="str">
        <f t="shared" si="38"/>
        <v/>
      </c>
      <c r="BD201" s="143" t="str">
        <f t="shared" si="38"/>
        <v/>
      </c>
      <c r="BF201" s="9">
        <f t="shared" si="42"/>
        <v>8.6734692862814404E-5</v>
      </c>
      <c r="BG201" s="9">
        <f t="shared" si="43"/>
        <v>0.99946447808630179</v>
      </c>
    </row>
    <row r="202" spans="2:59" x14ac:dyDescent="0.3">
      <c r="B202" s="3" t="s">
        <v>301</v>
      </c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0"/>
        <v>0</v>
      </c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1"/>
        <v>0</v>
      </c>
      <c r="AF202" s="2" t="str">
        <f t="shared" si="35"/>
        <v/>
      </c>
      <c r="AG202" s="2" t="str">
        <f t="shared" si="35"/>
        <v/>
      </c>
      <c r="AH202" s="2" t="str">
        <f t="shared" si="35"/>
        <v/>
      </c>
      <c r="AI202" s="2" t="str">
        <f t="shared" si="35"/>
        <v/>
      </c>
      <c r="AJ202" s="2" t="str">
        <f t="shared" si="34"/>
        <v/>
      </c>
      <c r="AK202" s="2" t="str">
        <f t="shared" si="34"/>
        <v/>
      </c>
      <c r="AL202" s="2" t="str">
        <f t="shared" si="34"/>
        <v/>
      </c>
      <c r="AM202" s="2" t="str">
        <f t="shared" si="34"/>
        <v/>
      </c>
      <c r="AN202" s="2" t="str">
        <f t="shared" si="31"/>
        <v/>
      </c>
      <c r="AO202" s="2" t="str">
        <f t="shared" si="31"/>
        <v/>
      </c>
      <c r="AP202" s="2" t="str">
        <f t="shared" si="31"/>
        <v/>
      </c>
      <c r="AQ202" s="2" t="str">
        <f t="shared" si="31"/>
        <v/>
      </c>
      <c r="AR202" s="2" t="str">
        <f t="shared" si="37"/>
        <v/>
      </c>
      <c r="AT202" s="2" t="str">
        <f t="shared" si="36"/>
        <v/>
      </c>
      <c r="AU202" s="2" t="str">
        <f t="shared" si="36"/>
        <v/>
      </c>
      <c r="AV202" s="143" t="str">
        <f t="shared" si="39"/>
        <v/>
      </c>
      <c r="AW202" s="143" t="str">
        <f t="shared" si="39"/>
        <v/>
      </c>
      <c r="AX202" s="143" t="str">
        <f t="shared" si="39"/>
        <v/>
      </c>
      <c r="AY202" s="143" t="str">
        <f t="shared" si="38"/>
        <v/>
      </c>
      <c r="AZ202" s="143" t="str">
        <f t="shared" si="38"/>
        <v/>
      </c>
      <c r="BA202" s="143" t="str">
        <f t="shared" si="38"/>
        <v/>
      </c>
      <c r="BB202" s="143" t="str">
        <f t="shared" si="38"/>
        <v/>
      </c>
      <c r="BC202" s="143" t="str">
        <f t="shared" si="38"/>
        <v/>
      </c>
      <c r="BD202" s="143" t="str">
        <f t="shared" si="38"/>
        <v/>
      </c>
      <c r="BF202" s="9">
        <f t="shared" si="42"/>
        <v>0</v>
      </c>
      <c r="BG202" s="9">
        <f t="shared" si="43"/>
        <v>0.99946447808630179</v>
      </c>
    </row>
    <row r="203" spans="2:59" x14ac:dyDescent="0.3">
      <c r="B203" s="3" t="s">
        <v>257</v>
      </c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0"/>
        <v>0</v>
      </c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1"/>
        <v>0</v>
      </c>
      <c r="AF203" s="2" t="str">
        <f t="shared" si="35"/>
        <v/>
      </c>
      <c r="AG203" s="2" t="str">
        <f t="shared" si="35"/>
        <v/>
      </c>
      <c r="AH203" s="2" t="str">
        <f t="shared" si="35"/>
        <v/>
      </c>
      <c r="AI203" s="2" t="str">
        <f t="shared" si="35"/>
        <v/>
      </c>
      <c r="AJ203" s="2" t="str">
        <f t="shared" si="34"/>
        <v/>
      </c>
      <c r="AK203" s="2" t="str">
        <f t="shared" si="34"/>
        <v/>
      </c>
      <c r="AL203" s="2" t="str">
        <f t="shared" si="34"/>
        <v/>
      </c>
      <c r="AM203" s="2" t="str">
        <f t="shared" si="34"/>
        <v/>
      </c>
      <c r="AN203" s="2" t="str">
        <f t="shared" si="31"/>
        <v/>
      </c>
      <c r="AO203" s="2" t="str">
        <f t="shared" si="31"/>
        <v/>
      </c>
      <c r="AP203" s="2" t="str">
        <f t="shared" si="31"/>
        <v/>
      </c>
      <c r="AQ203" s="2" t="str">
        <f t="shared" si="31"/>
        <v/>
      </c>
      <c r="AR203" s="2" t="str">
        <f t="shared" si="37"/>
        <v/>
      </c>
      <c r="AT203" s="2" t="str">
        <f t="shared" si="36"/>
        <v/>
      </c>
      <c r="AU203" s="2" t="str">
        <f t="shared" si="36"/>
        <v/>
      </c>
      <c r="AV203" s="143" t="str">
        <f t="shared" si="39"/>
        <v/>
      </c>
      <c r="AW203" s="143" t="str">
        <f t="shared" si="39"/>
        <v/>
      </c>
      <c r="AX203" s="143" t="str">
        <f t="shared" si="39"/>
        <v/>
      </c>
      <c r="AY203" s="143" t="str">
        <f t="shared" si="38"/>
        <v/>
      </c>
      <c r="AZ203" s="143" t="str">
        <f t="shared" si="38"/>
        <v/>
      </c>
      <c r="BA203" s="143" t="str">
        <f t="shared" si="38"/>
        <v/>
      </c>
      <c r="BB203" s="143" t="str">
        <f t="shared" si="38"/>
        <v/>
      </c>
      <c r="BC203" s="143" t="str">
        <f t="shared" si="38"/>
        <v/>
      </c>
      <c r="BD203" s="143" t="str">
        <f t="shared" si="38"/>
        <v/>
      </c>
      <c r="BF203" s="9">
        <f t="shared" si="42"/>
        <v>0</v>
      </c>
      <c r="BG203" s="9">
        <f t="shared" si="43"/>
        <v>0.99946447808630179</v>
      </c>
    </row>
    <row r="204" spans="2:59" x14ac:dyDescent="0.3">
      <c r="B204" s="3" t="s">
        <v>302</v>
      </c>
      <c r="D204" s="141">
        <v>742</v>
      </c>
      <c r="E204" s="141"/>
      <c r="F204" s="141">
        <v>724</v>
      </c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0"/>
        <v>1466</v>
      </c>
      <c r="R204" s="141">
        <v>555</v>
      </c>
      <c r="S204" s="141"/>
      <c r="T204" s="141">
        <v>502</v>
      </c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1"/>
        <v>1057</v>
      </c>
      <c r="AF204" s="2">
        <f t="shared" si="35"/>
        <v>0.74797843665768193</v>
      </c>
      <c r="AG204" s="2" t="str">
        <f t="shared" si="35"/>
        <v/>
      </c>
      <c r="AH204" s="2">
        <f t="shared" si="35"/>
        <v>0.6933701657458563</v>
      </c>
      <c r="AI204" s="2" t="str">
        <f t="shared" si="35"/>
        <v/>
      </c>
      <c r="AJ204" s="2" t="str">
        <f t="shared" si="34"/>
        <v/>
      </c>
      <c r="AK204" s="2" t="str">
        <f t="shared" si="34"/>
        <v/>
      </c>
      <c r="AL204" s="2" t="str">
        <f t="shared" si="34"/>
        <v/>
      </c>
      <c r="AM204" s="2" t="str">
        <f t="shared" si="34"/>
        <v/>
      </c>
      <c r="AN204" s="2" t="str">
        <f t="shared" si="31"/>
        <v/>
      </c>
      <c r="AO204" s="2" t="str">
        <f t="shared" si="31"/>
        <v/>
      </c>
      <c r="AP204" s="2" t="str">
        <f t="shared" si="31"/>
        <v/>
      </c>
      <c r="AQ204" s="2" t="str">
        <f t="shared" si="31"/>
        <v/>
      </c>
      <c r="AR204" s="2">
        <f t="shared" si="37"/>
        <v>0.72100954979536158</v>
      </c>
      <c r="AT204" s="2" t="str">
        <f t="shared" si="36"/>
        <v/>
      </c>
      <c r="AU204" s="2" t="str">
        <f t="shared" si="36"/>
        <v/>
      </c>
      <c r="AV204" s="143" t="str">
        <f t="shared" si="39"/>
        <v/>
      </c>
      <c r="AW204" s="143" t="str">
        <f t="shared" si="39"/>
        <v/>
      </c>
      <c r="AX204" s="143" t="str">
        <f t="shared" si="39"/>
        <v/>
      </c>
      <c r="AY204" s="143" t="str">
        <f t="shared" si="38"/>
        <v/>
      </c>
      <c r="AZ204" s="143" t="str">
        <f t="shared" si="38"/>
        <v/>
      </c>
      <c r="BA204" s="143" t="str">
        <f t="shared" si="38"/>
        <v/>
      </c>
      <c r="BB204" s="143" t="str">
        <f t="shared" si="38"/>
        <v/>
      </c>
      <c r="BC204" s="143" t="str">
        <f t="shared" si="38"/>
        <v/>
      </c>
      <c r="BD204" s="143" t="str">
        <f t="shared" si="38"/>
        <v/>
      </c>
      <c r="BF204" s="9">
        <f t="shared" si="42"/>
        <v>1.8603983513463103E-6</v>
      </c>
      <c r="BG204" s="9">
        <f t="shared" si="43"/>
        <v>0.99946633848465316</v>
      </c>
    </row>
    <row r="205" spans="2:59" x14ac:dyDescent="0.3">
      <c r="B205" s="3" t="s">
        <v>252</v>
      </c>
      <c r="D205" s="141">
        <v>112434</v>
      </c>
      <c r="E205" s="141">
        <v>135492</v>
      </c>
      <c r="F205" s="141">
        <v>168177</v>
      </c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0"/>
        <v>416103</v>
      </c>
      <c r="R205" s="141">
        <v>75461</v>
      </c>
      <c r="S205" s="141">
        <v>94166</v>
      </c>
      <c r="T205" s="141">
        <v>113289</v>
      </c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1"/>
        <v>282916</v>
      </c>
      <c r="AF205" s="2">
        <f t="shared" si="35"/>
        <v>0.67115819058291981</v>
      </c>
      <c r="AG205" s="2">
        <f t="shared" si="35"/>
        <v>0.69499306232102265</v>
      </c>
      <c r="AH205" s="2">
        <f t="shared" si="35"/>
        <v>0.67362956884710756</v>
      </c>
      <c r="AI205" s="2" t="str">
        <f t="shared" si="35"/>
        <v/>
      </c>
      <c r="AJ205" s="2" t="str">
        <f t="shared" si="34"/>
        <v/>
      </c>
      <c r="AK205" s="2" t="str">
        <f t="shared" si="34"/>
        <v/>
      </c>
      <c r="AL205" s="2" t="str">
        <f t="shared" si="34"/>
        <v/>
      </c>
      <c r="AM205" s="2" t="str">
        <f t="shared" si="34"/>
        <v/>
      </c>
      <c r="AN205" s="2" t="str">
        <f t="shared" si="31"/>
        <v/>
      </c>
      <c r="AO205" s="2" t="str">
        <f t="shared" si="31"/>
        <v/>
      </c>
      <c r="AP205" s="2" t="str">
        <f t="shared" si="31"/>
        <v/>
      </c>
      <c r="AQ205" s="2" t="str">
        <f t="shared" si="31"/>
        <v/>
      </c>
      <c r="AR205" s="2">
        <f t="shared" si="37"/>
        <v>0.67991819333193948</v>
      </c>
      <c r="AT205" s="2" t="str">
        <f t="shared" si="36"/>
        <v/>
      </c>
      <c r="AU205" s="2" t="str">
        <f t="shared" si="36"/>
        <v/>
      </c>
      <c r="AV205" s="143" t="str">
        <f t="shared" si="39"/>
        <v/>
      </c>
      <c r="AW205" s="143" t="str">
        <f t="shared" si="39"/>
        <v/>
      </c>
      <c r="AX205" s="143" t="str">
        <f t="shared" si="39"/>
        <v/>
      </c>
      <c r="AY205" s="143" t="str">
        <f t="shared" si="38"/>
        <v/>
      </c>
      <c r="AZ205" s="143" t="str">
        <f t="shared" si="38"/>
        <v/>
      </c>
      <c r="BA205" s="143" t="str">
        <f t="shared" si="38"/>
        <v/>
      </c>
      <c r="BB205" s="143" t="str">
        <f t="shared" si="38"/>
        <v/>
      </c>
      <c r="BC205" s="143" t="str">
        <f t="shared" si="38"/>
        <v/>
      </c>
      <c r="BD205" s="143" t="str">
        <f t="shared" si="38"/>
        <v/>
      </c>
      <c r="BF205" s="9">
        <f t="shared" si="42"/>
        <v>4.9795313147539522E-4</v>
      </c>
      <c r="BG205" s="9">
        <f t="shared" si="43"/>
        <v>0.99996429161612854</v>
      </c>
    </row>
    <row r="206" spans="2:59" x14ac:dyDescent="0.3">
      <c r="B206" s="3" t="s">
        <v>279</v>
      </c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0"/>
        <v>0</v>
      </c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1"/>
        <v>0</v>
      </c>
      <c r="AF206" s="2" t="str">
        <f t="shared" si="35"/>
        <v/>
      </c>
      <c r="AG206" s="2" t="str">
        <f t="shared" si="35"/>
        <v/>
      </c>
      <c r="AH206" s="2" t="str">
        <f t="shared" si="35"/>
        <v/>
      </c>
      <c r="AI206" s="2" t="str">
        <f t="shared" si="35"/>
        <v/>
      </c>
      <c r="AJ206" s="2" t="str">
        <f t="shared" si="34"/>
        <v/>
      </c>
      <c r="AK206" s="2" t="str">
        <f t="shared" si="34"/>
        <v/>
      </c>
      <c r="AL206" s="2" t="str">
        <f t="shared" si="34"/>
        <v/>
      </c>
      <c r="AM206" s="2" t="str">
        <f t="shared" si="34"/>
        <v/>
      </c>
      <c r="AN206" s="2" t="str">
        <f t="shared" si="34"/>
        <v/>
      </c>
      <c r="AO206" s="2" t="str">
        <f t="shared" si="34"/>
        <v/>
      </c>
      <c r="AP206" s="2" t="str">
        <f t="shared" si="34"/>
        <v/>
      </c>
      <c r="AQ206" s="2" t="str">
        <f t="shared" si="34"/>
        <v/>
      </c>
      <c r="AR206" s="2" t="str">
        <f t="shared" si="37"/>
        <v/>
      </c>
      <c r="AT206" s="2" t="str">
        <f t="shared" ref="AT206:AU212" si="44">+IFERROR(AM206-AL206,"")</f>
        <v/>
      </c>
      <c r="AU206" s="2" t="str">
        <f t="shared" si="44"/>
        <v/>
      </c>
      <c r="AV206" s="143" t="str">
        <f t="shared" si="39"/>
        <v/>
      </c>
      <c r="AW206" s="143" t="str">
        <f t="shared" si="39"/>
        <v/>
      </c>
      <c r="AX206" s="143" t="str">
        <f t="shared" si="39"/>
        <v/>
      </c>
      <c r="AY206" s="143" t="str">
        <f t="shared" si="38"/>
        <v/>
      </c>
      <c r="AZ206" s="143" t="str">
        <f t="shared" si="38"/>
        <v/>
      </c>
      <c r="BA206" s="143" t="str">
        <f t="shared" si="38"/>
        <v/>
      </c>
      <c r="BB206" s="143" t="str">
        <f t="shared" si="38"/>
        <v/>
      </c>
      <c r="BC206" s="143" t="str">
        <f t="shared" si="38"/>
        <v/>
      </c>
      <c r="BD206" s="143" t="str">
        <f t="shared" si="38"/>
        <v/>
      </c>
      <c r="BF206" s="9">
        <f t="shared" si="42"/>
        <v>0</v>
      </c>
      <c r="BG206" s="9">
        <f t="shared" si="43"/>
        <v>0.99996429161612854</v>
      </c>
    </row>
    <row r="207" spans="2:59" x14ac:dyDescent="0.3">
      <c r="B207" s="3" t="s">
        <v>261</v>
      </c>
      <c r="D207" s="141">
        <v>15</v>
      </c>
      <c r="E207" s="141"/>
      <c r="F207" s="141">
        <v>45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0"/>
        <v>60</v>
      </c>
      <c r="R207" s="141">
        <v>15</v>
      </c>
      <c r="S207" s="141"/>
      <c r="T207" s="141">
        <v>45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1"/>
        <v>60</v>
      </c>
      <c r="AF207" s="2">
        <f t="shared" si="35"/>
        <v>1</v>
      </c>
      <c r="AG207" s="2" t="str">
        <f t="shared" si="35"/>
        <v/>
      </c>
      <c r="AH207" s="2">
        <f t="shared" si="35"/>
        <v>1</v>
      </c>
      <c r="AI207" s="2" t="str">
        <f t="shared" si="35"/>
        <v/>
      </c>
      <c r="AJ207" s="2" t="str">
        <f t="shared" si="34"/>
        <v/>
      </c>
      <c r="AK207" s="2" t="str">
        <f t="shared" si="34"/>
        <v/>
      </c>
      <c r="AL207" s="2" t="str">
        <f t="shared" si="34"/>
        <v/>
      </c>
      <c r="AM207" s="2" t="str">
        <f t="shared" si="34"/>
        <v/>
      </c>
      <c r="AN207" s="2" t="str">
        <f t="shared" si="34"/>
        <v/>
      </c>
      <c r="AO207" s="2" t="str">
        <f t="shared" si="34"/>
        <v/>
      </c>
      <c r="AP207" s="2" t="str">
        <f t="shared" si="34"/>
        <v/>
      </c>
      <c r="AQ207" s="2" t="str">
        <f t="shared" si="34"/>
        <v/>
      </c>
      <c r="AR207" s="2">
        <f t="shared" si="37"/>
        <v>1</v>
      </c>
      <c r="AT207" s="2" t="str">
        <f t="shared" si="44"/>
        <v/>
      </c>
      <c r="AU207" s="2" t="str">
        <f t="shared" si="44"/>
        <v/>
      </c>
      <c r="AV207" s="143" t="str">
        <f t="shared" si="39"/>
        <v/>
      </c>
      <c r="AW207" s="143" t="str">
        <f t="shared" si="39"/>
        <v/>
      </c>
      <c r="AX207" s="143" t="str">
        <f t="shared" si="39"/>
        <v/>
      </c>
      <c r="AY207" s="143" t="str">
        <f t="shared" si="38"/>
        <v/>
      </c>
      <c r="AZ207" s="143" t="str">
        <f t="shared" si="38"/>
        <v/>
      </c>
      <c r="BA207" s="143" t="str">
        <f t="shared" si="38"/>
        <v/>
      </c>
      <c r="BB207" s="143" t="str">
        <f t="shared" si="38"/>
        <v/>
      </c>
      <c r="BC207" s="143" t="str">
        <f t="shared" si="38"/>
        <v/>
      </c>
      <c r="BD207" s="143" t="str">
        <f t="shared" si="38"/>
        <v/>
      </c>
      <c r="BF207" s="9">
        <f t="shared" si="42"/>
        <v>1.0560444756932698E-7</v>
      </c>
      <c r="BG207" s="9">
        <f t="shared" si="43"/>
        <v>0.99996439722057606</v>
      </c>
    </row>
    <row r="208" spans="2:59" x14ac:dyDescent="0.3">
      <c r="B208" s="3" t="s">
        <v>303</v>
      </c>
      <c r="D208" s="141">
        <v>2497</v>
      </c>
      <c r="E208" s="141">
        <v>877</v>
      </c>
      <c r="F208" s="141">
        <v>863</v>
      </c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0"/>
        <v>4237</v>
      </c>
      <c r="R208" s="141">
        <v>2109</v>
      </c>
      <c r="S208" s="141">
        <v>424</v>
      </c>
      <c r="T208" s="141">
        <v>863</v>
      </c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1"/>
        <v>3396</v>
      </c>
      <c r="AF208" s="2">
        <f t="shared" si="35"/>
        <v>0.84461353624349222</v>
      </c>
      <c r="AG208" s="2">
        <f t="shared" si="35"/>
        <v>0.48346636259977194</v>
      </c>
      <c r="AH208" s="2">
        <f t="shared" si="35"/>
        <v>1</v>
      </c>
      <c r="AI208" s="2" t="str">
        <f t="shared" si="35"/>
        <v/>
      </c>
      <c r="AJ208" s="2" t="str">
        <f t="shared" si="34"/>
        <v/>
      </c>
      <c r="AK208" s="2" t="str">
        <f t="shared" si="34"/>
        <v/>
      </c>
      <c r="AL208" s="2" t="str">
        <f t="shared" si="34"/>
        <v/>
      </c>
      <c r="AM208" s="2" t="str">
        <f t="shared" si="34"/>
        <v/>
      </c>
      <c r="AN208" s="2" t="str">
        <f t="shared" si="34"/>
        <v/>
      </c>
      <c r="AO208" s="2" t="str">
        <f t="shared" si="34"/>
        <v/>
      </c>
      <c r="AP208" s="2" t="str">
        <f t="shared" si="34"/>
        <v/>
      </c>
      <c r="AQ208" s="2" t="str">
        <f t="shared" si="34"/>
        <v/>
      </c>
      <c r="AR208" s="2">
        <f t="shared" si="37"/>
        <v>0.80151050271418456</v>
      </c>
      <c r="AT208" s="2" t="str">
        <f t="shared" si="44"/>
        <v/>
      </c>
      <c r="AU208" s="2" t="str">
        <f t="shared" si="44"/>
        <v/>
      </c>
      <c r="AV208" s="143" t="str">
        <f t="shared" si="39"/>
        <v/>
      </c>
      <c r="AW208" s="143" t="str">
        <f t="shared" si="39"/>
        <v/>
      </c>
      <c r="AX208" s="143" t="str">
        <f t="shared" si="39"/>
        <v/>
      </c>
      <c r="AY208" s="143" t="str">
        <f t="shared" si="38"/>
        <v/>
      </c>
      <c r="AZ208" s="143" t="str">
        <f t="shared" si="38"/>
        <v/>
      </c>
      <c r="BA208" s="143" t="str">
        <f t="shared" si="38"/>
        <v/>
      </c>
      <c r="BB208" s="143" t="str">
        <f t="shared" si="38"/>
        <v/>
      </c>
      <c r="BC208" s="143" t="str">
        <f t="shared" si="38"/>
        <v/>
      </c>
      <c r="BD208" s="143" t="str">
        <f t="shared" si="38"/>
        <v/>
      </c>
      <c r="BF208" s="9">
        <f t="shared" si="42"/>
        <v>5.9772117324239069E-6</v>
      </c>
      <c r="BG208" s="9">
        <f t="shared" si="43"/>
        <v>0.99997037443230852</v>
      </c>
    </row>
    <row r="209" spans="2:59" x14ac:dyDescent="0.3">
      <c r="B209" s="3" t="s">
        <v>268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0"/>
        <v>0</v>
      </c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1"/>
        <v>0</v>
      </c>
      <c r="AF209" s="2" t="str">
        <f t="shared" si="35"/>
        <v/>
      </c>
      <c r="AG209" s="2" t="str">
        <f t="shared" si="35"/>
        <v/>
      </c>
      <c r="AH209" s="2" t="str">
        <f t="shared" si="35"/>
        <v/>
      </c>
      <c r="AI209" s="2" t="str">
        <f t="shared" si="35"/>
        <v/>
      </c>
      <c r="AJ209" s="2" t="str">
        <f t="shared" si="34"/>
        <v/>
      </c>
      <c r="AK209" s="2" t="str">
        <f t="shared" si="34"/>
        <v/>
      </c>
      <c r="AL209" s="2" t="str">
        <f t="shared" si="34"/>
        <v/>
      </c>
      <c r="AM209" s="2" t="str">
        <f t="shared" si="34"/>
        <v/>
      </c>
      <c r="AN209" s="2" t="str">
        <f t="shared" si="34"/>
        <v/>
      </c>
      <c r="AO209" s="2" t="str">
        <f t="shared" si="34"/>
        <v/>
      </c>
      <c r="AP209" s="2" t="str">
        <f t="shared" si="34"/>
        <v/>
      </c>
      <c r="AQ209" s="2" t="str">
        <f t="shared" si="34"/>
        <v/>
      </c>
      <c r="AR209" s="2" t="str">
        <f t="shared" si="37"/>
        <v/>
      </c>
      <c r="AT209" s="2" t="str">
        <f t="shared" si="44"/>
        <v/>
      </c>
      <c r="AU209" s="2" t="str">
        <f t="shared" si="44"/>
        <v/>
      </c>
      <c r="AV209" s="143" t="str">
        <f t="shared" si="39"/>
        <v/>
      </c>
      <c r="AW209" s="143" t="str">
        <f t="shared" si="39"/>
        <v/>
      </c>
      <c r="AX209" s="143" t="str">
        <f t="shared" si="39"/>
        <v/>
      </c>
      <c r="AY209" s="143" t="str">
        <f t="shared" si="38"/>
        <v/>
      </c>
      <c r="AZ209" s="143" t="str">
        <f t="shared" si="38"/>
        <v/>
      </c>
      <c r="BA209" s="143" t="str">
        <f t="shared" si="38"/>
        <v/>
      </c>
      <c r="BB209" s="143" t="str">
        <f t="shared" si="38"/>
        <v/>
      </c>
      <c r="BC209" s="143" t="str">
        <f t="shared" si="38"/>
        <v/>
      </c>
      <c r="BD209" s="143" t="str">
        <f t="shared" si="38"/>
        <v/>
      </c>
      <c r="BF209" s="9">
        <f t="shared" si="42"/>
        <v>0</v>
      </c>
      <c r="BG209" s="9">
        <f t="shared" si="43"/>
        <v>0.99997037443230852</v>
      </c>
    </row>
    <row r="210" spans="2:59" x14ac:dyDescent="0.3">
      <c r="B210" s="3" t="s">
        <v>304</v>
      </c>
      <c r="D210" s="141">
        <v>735</v>
      </c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0"/>
        <v>735</v>
      </c>
      <c r="R210" s="141">
        <v>735</v>
      </c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1"/>
        <v>735</v>
      </c>
      <c r="AF210" s="2">
        <f t="shared" si="35"/>
        <v>1</v>
      </c>
      <c r="AG210" s="2" t="str">
        <f t="shared" si="35"/>
        <v/>
      </c>
      <c r="AH210" s="2" t="str">
        <f t="shared" si="35"/>
        <v/>
      </c>
      <c r="AI210" s="2" t="str">
        <f t="shared" si="35"/>
        <v/>
      </c>
      <c r="AJ210" s="2" t="str">
        <f t="shared" si="34"/>
        <v/>
      </c>
      <c r="AK210" s="2" t="str">
        <f t="shared" si="34"/>
        <v/>
      </c>
      <c r="AL210" s="2" t="str">
        <f t="shared" si="34"/>
        <v/>
      </c>
      <c r="AM210" s="2" t="str">
        <f t="shared" si="34"/>
        <v/>
      </c>
      <c r="AN210" s="2" t="str">
        <f t="shared" si="34"/>
        <v/>
      </c>
      <c r="AO210" s="2" t="str">
        <f t="shared" si="34"/>
        <v/>
      </c>
      <c r="AP210" s="2" t="str">
        <f t="shared" si="34"/>
        <v/>
      </c>
      <c r="AQ210" s="2" t="str">
        <f t="shared" si="34"/>
        <v/>
      </c>
      <c r="AR210" s="2">
        <f t="shared" si="37"/>
        <v>1</v>
      </c>
      <c r="AT210" s="2" t="str">
        <f t="shared" si="44"/>
        <v/>
      </c>
      <c r="AU210" s="2" t="str">
        <f t="shared" si="44"/>
        <v/>
      </c>
      <c r="AV210" s="143" t="str">
        <f t="shared" si="39"/>
        <v/>
      </c>
      <c r="AW210" s="143" t="str">
        <f t="shared" si="39"/>
        <v/>
      </c>
      <c r="AX210" s="143" t="str">
        <f t="shared" si="39"/>
        <v/>
      </c>
      <c r="AY210" s="143" t="str">
        <f t="shared" si="39"/>
        <v/>
      </c>
      <c r="AZ210" s="143" t="str">
        <f t="shared" si="39"/>
        <v/>
      </c>
      <c r="BA210" s="143" t="str">
        <f t="shared" si="39"/>
        <v/>
      </c>
      <c r="BB210" s="143" t="str">
        <f t="shared" si="39"/>
        <v/>
      </c>
      <c r="BC210" s="143" t="str">
        <f t="shared" si="39"/>
        <v/>
      </c>
      <c r="BD210" s="143" t="str">
        <f t="shared" si="39"/>
        <v/>
      </c>
      <c r="BF210" s="9">
        <f t="shared" si="42"/>
        <v>1.2936544827242556E-6</v>
      </c>
      <c r="BG210" s="9">
        <f t="shared" si="43"/>
        <v>0.99997166808679128</v>
      </c>
    </row>
    <row r="211" spans="2:59" x14ac:dyDescent="0.3">
      <c r="B211" s="3" t="s">
        <v>305</v>
      </c>
      <c r="D211" s="141">
        <v>1257</v>
      </c>
      <c r="E211" s="141">
        <v>1242</v>
      </c>
      <c r="F211" s="141">
        <v>17662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0"/>
        <v>20161</v>
      </c>
      <c r="R211" s="141">
        <v>1257</v>
      </c>
      <c r="S211" s="141">
        <v>920</v>
      </c>
      <c r="T211" s="141">
        <v>11319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1"/>
        <v>13496</v>
      </c>
      <c r="AF211" s="2">
        <f t="shared" si="35"/>
        <v>1</v>
      </c>
      <c r="AG211" s="2">
        <f t="shared" si="35"/>
        <v>0.7407407407407407</v>
      </c>
      <c r="AH211" s="2">
        <f t="shared" si="35"/>
        <v>0.64086739893556788</v>
      </c>
      <c r="AI211" s="2" t="str">
        <f t="shared" si="35"/>
        <v/>
      </c>
      <c r="AJ211" s="2" t="str">
        <f t="shared" si="34"/>
        <v/>
      </c>
      <c r="AK211" s="2" t="str">
        <f t="shared" si="34"/>
        <v/>
      </c>
      <c r="AL211" s="2" t="str">
        <f t="shared" si="34"/>
        <v/>
      </c>
      <c r="AM211" s="2" t="str">
        <f t="shared" si="34"/>
        <v/>
      </c>
      <c r="AN211" s="2" t="str">
        <f t="shared" si="34"/>
        <v/>
      </c>
      <c r="AO211" s="2" t="str">
        <f t="shared" si="34"/>
        <v/>
      </c>
      <c r="AP211" s="2" t="str">
        <f t="shared" si="34"/>
        <v/>
      </c>
      <c r="AQ211" s="2" t="str">
        <f t="shared" si="34"/>
        <v/>
      </c>
      <c r="AR211" s="2">
        <f t="shared" si="37"/>
        <v>0.66941123952184911</v>
      </c>
      <c r="AT211" s="2" t="str">
        <f t="shared" si="44"/>
        <v/>
      </c>
      <c r="AU211" s="2" t="str">
        <f t="shared" si="44"/>
        <v/>
      </c>
      <c r="AV211" s="143" t="str">
        <f t="shared" ref="AV211:BD212" si="45">+IFERROR(AI211-AH211,"")</f>
        <v/>
      </c>
      <c r="AW211" s="143" t="str">
        <f t="shared" si="45"/>
        <v/>
      </c>
      <c r="AX211" s="143" t="str">
        <f t="shared" si="45"/>
        <v/>
      </c>
      <c r="AY211" s="143" t="str">
        <f t="shared" si="45"/>
        <v/>
      </c>
      <c r="AZ211" s="143" t="str">
        <f t="shared" si="45"/>
        <v/>
      </c>
      <c r="BA211" s="143" t="str">
        <f t="shared" si="45"/>
        <v/>
      </c>
      <c r="BB211" s="143" t="str">
        <f t="shared" si="45"/>
        <v/>
      </c>
      <c r="BC211" s="143" t="str">
        <f t="shared" si="45"/>
        <v/>
      </c>
      <c r="BD211" s="143" t="str">
        <f t="shared" si="45"/>
        <v/>
      </c>
      <c r="BF211" s="9">
        <f t="shared" si="42"/>
        <v>2.3753960406593948E-5</v>
      </c>
      <c r="BG211" s="9">
        <f t="shared" si="43"/>
        <v>0.99999542204719782</v>
      </c>
    </row>
    <row r="212" spans="2:59" x14ac:dyDescent="0.3">
      <c r="B212" s="3" t="s">
        <v>281</v>
      </c>
      <c r="D212" s="141"/>
      <c r="E212" s="141"/>
      <c r="F212" s="141">
        <v>2642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0"/>
        <v>2642</v>
      </c>
      <c r="R212" s="141"/>
      <c r="S212" s="141"/>
      <c r="T212" s="141">
        <v>2642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1"/>
        <v>2642</v>
      </c>
      <c r="AF212" s="2" t="str">
        <f t="shared" si="35"/>
        <v/>
      </c>
      <c r="AG212" s="2" t="str">
        <f t="shared" si="35"/>
        <v/>
      </c>
      <c r="AH212" s="2">
        <f t="shared" si="35"/>
        <v>1</v>
      </c>
      <c r="AI212" s="2" t="str">
        <f t="shared" si="35"/>
        <v/>
      </c>
      <c r="AJ212" s="2" t="str">
        <f t="shared" si="34"/>
        <v/>
      </c>
      <c r="AK212" s="2" t="str">
        <f t="shared" si="34"/>
        <v/>
      </c>
      <c r="AL212" s="2" t="str">
        <f t="shared" si="34"/>
        <v/>
      </c>
      <c r="AM212" s="2" t="str">
        <f t="shared" si="34"/>
        <v/>
      </c>
      <c r="AN212" s="2" t="str">
        <f t="shared" si="34"/>
        <v/>
      </c>
      <c r="AO212" s="2" t="str">
        <f t="shared" si="34"/>
        <v/>
      </c>
      <c r="AP212" s="2" t="str">
        <f t="shared" si="34"/>
        <v/>
      </c>
      <c r="AQ212" s="2" t="str">
        <f t="shared" ref="AQ212:AR256" si="46">+IFERROR(AC212/O212,"")</f>
        <v/>
      </c>
      <c r="AR212" s="2">
        <f t="shared" si="37"/>
        <v>1</v>
      </c>
      <c r="AT212" s="2" t="str">
        <f t="shared" si="44"/>
        <v/>
      </c>
      <c r="AU212" s="2" t="str">
        <f t="shared" si="44"/>
        <v/>
      </c>
      <c r="AV212" s="143" t="str">
        <f t="shared" si="45"/>
        <v/>
      </c>
      <c r="AW212" s="143" t="str">
        <f t="shared" si="45"/>
        <v/>
      </c>
      <c r="AX212" s="143" t="str">
        <f t="shared" si="45"/>
        <v/>
      </c>
      <c r="AY212" s="143" t="str">
        <f t="shared" si="45"/>
        <v/>
      </c>
      <c r="AZ212" s="143" t="str">
        <f t="shared" si="45"/>
        <v/>
      </c>
      <c r="BA212" s="143" t="str">
        <f t="shared" si="45"/>
        <v/>
      </c>
      <c r="BB212" s="143" t="str">
        <f t="shared" si="45"/>
        <v/>
      </c>
      <c r="BC212" s="143" t="str">
        <f t="shared" si="45"/>
        <v/>
      </c>
      <c r="BD212" s="143" t="str">
        <f t="shared" si="45"/>
        <v/>
      </c>
      <c r="BF212" s="9">
        <f t="shared" si="42"/>
        <v>4.6501158413026982E-6</v>
      </c>
      <c r="BG212" s="9">
        <f t="shared" si="43"/>
        <v>1.0000000721630391</v>
      </c>
    </row>
    <row r="213" spans="2:59" x14ac:dyDescent="0.3">
      <c r="B213" s="3" t="s">
        <v>275</v>
      </c>
      <c r="D213" s="141"/>
      <c r="E213" s="141"/>
      <c r="F213" s="141">
        <v>-16</v>
      </c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0"/>
        <v>-16</v>
      </c>
      <c r="R213" s="141"/>
      <c r="S213" s="141"/>
      <c r="T213" s="141">
        <v>-41</v>
      </c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1"/>
        <v>-41</v>
      </c>
      <c r="AF213" s="2" t="str">
        <f t="shared" si="35"/>
        <v/>
      </c>
      <c r="AG213" s="2" t="str">
        <f t="shared" si="35"/>
        <v/>
      </c>
      <c r="AH213" s="2">
        <f t="shared" si="35"/>
        <v>2.5625</v>
      </c>
      <c r="AI213" s="2" t="str">
        <f t="shared" si="35"/>
        <v/>
      </c>
      <c r="AJ213" s="2" t="str">
        <f t="shared" si="35"/>
        <v/>
      </c>
      <c r="AK213" s="2" t="str">
        <f t="shared" si="35"/>
        <v/>
      </c>
      <c r="AL213" s="2" t="str">
        <f t="shared" si="35"/>
        <v/>
      </c>
      <c r="AM213" s="2" t="str">
        <f t="shared" si="35"/>
        <v/>
      </c>
      <c r="AN213" s="2" t="str">
        <f t="shared" si="35"/>
        <v/>
      </c>
      <c r="AO213" s="2" t="str">
        <f t="shared" si="35"/>
        <v/>
      </c>
      <c r="AP213" s="2" t="str">
        <f t="shared" si="35"/>
        <v/>
      </c>
      <c r="AQ213" s="2" t="str">
        <f t="shared" si="46"/>
        <v/>
      </c>
      <c r="AR213" s="2">
        <f t="shared" si="37"/>
        <v>2.5625</v>
      </c>
      <c r="AT213" s="2"/>
      <c r="AU213" s="2"/>
      <c r="AV213" s="143"/>
      <c r="AW213" s="143"/>
      <c r="AX213" s="143"/>
      <c r="AY213" s="143"/>
      <c r="AZ213" s="143"/>
      <c r="BA213" s="143"/>
      <c r="BB213" s="143"/>
      <c r="BC213" s="143"/>
      <c r="BD213" s="143" t="str">
        <f>+IFERROR(AQ213-AP213,"")</f>
        <v/>
      </c>
      <c r="BF213" s="9">
        <f t="shared" si="42"/>
        <v>-7.2163039172373433E-8</v>
      </c>
      <c r="BG213" s="9">
        <f t="shared" si="43"/>
        <v>0.99999999999999989</v>
      </c>
    </row>
    <row r="214" spans="2:59" x14ac:dyDescent="0.3">
      <c r="B214" s="3" t="s">
        <v>306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0"/>
        <v>0</v>
      </c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1"/>
        <v>0</v>
      </c>
      <c r="AF214" s="2" t="str">
        <f t="shared" si="35"/>
        <v/>
      </c>
      <c r="AG214" s="2" t="str">
        <f t="shared" si="35"/>
        <v/>
      </c>
      <c r="AH214" s="2" t="str">
        <f t="shared" si="35"/>
        <v/>
      </c>
      <c r="AI214" s="2" t="str">
        <f t="shared" si="35"/>
        <v/>
      </c>
      <c r="AJ214" s="2" t="str">
        <f t="shared" si="35"/>
        <v/>
      </c>
      <c r="AK214" s="2" t="str">
        <f t="shared" si="35"/>
        <v/>
      </c>
      <c r="AL214" s="2" t="str">
        <f t="shared" si="35"/>
        <v/>
      </c>
      <c r="AM214" s="2" t="str">
        <f t="shared" si="35"/>
        <v/>
      </c>
      <c r="AN214" s="2" t="str">
        <f t="shared" si="35"/>
        <v/>
      </c>
      <c r="AO214" s="2" t="str">
        <f t="shared" si="35"/>
        <v/>
      </c>
      <c r="AP214" s="2" t="str">
        <f t="shared" si="35"/>
        <v/>
      </c>
      <c r="AQ214" s="2" t="str">
        <f t="shared" si="46"/>
        <v/>
      </c>
      <c r="AR214" s="2" t="str">
        <f t="shared" si="37"/>
        <v/>
      </c>
      <c r="AT214" s="2" t="str">
        <f>+IFERROR(AM214-AL214,"")</f>
        <v/>
      </c>
      <c r="AU214" s="2" t="str">
        <f>+IFERROR(AN214-AM214,"")</f>
        <v/>
      </c>
      <c r="AV214" s="143" t="str">
        <f t="shared" ref="AV214:BC214" si="47">+IFERROR(AI214-AH214,"")</f>
        <v/>
      </c>
      <c r="AW214" s="143" t="str">
        <f t="shared" si="47"/>
        <v/>
      </c>
      <c r="AX214" s="143" t="str">
        <f t="shared" si="47"/>
        <v/>
      </c>
      <c r="AY214" s="143" t="str">
        <f t="shared" si="47"/>
        <v/>
      </c>
      <c r="AZ214" s="143" t="str">
        <f t="shared" si="47"/>
        <v/>
      </c>
      <c r="BA214" s="143" t="str">
        <f t="shared" si="47"/>
        <v/>
      </c>
      <c r="BB214" s="143" t="str">
        <f t="shared" si="47"/>
        <v/>
      </c>
      <c r="BC214" s="143" t="str">
        <f t="shared" si="47"/>
        <v/>
      </c>
      <c r="BD214" s="143" t="str">
        <f>+IFERROR(AQ214-AP214,"")</f>
        <v/>
      </c>
      <c r="BF214" s="9">
        <f t="shared" si="42"/>
        <v>0</v>
      </c>
      <c r="BG214" s="9">
        <f>+BF214+BG212</f>
        <v>1.0000000721630391</v>
      </c>
    </row>
    <row r="215" spans="2:59" x14ac:dyDescent="0.3">
      <c r="B215" s="3" t="s">
        <v>297</v>
      </c>
      <c r="D215" s="141">
        <v>7179</v>
      </c>
      <c r="E215" s="141">
        <v>17029</v>
      </c>
      <c r="F215" s="141">
        <v>17050</v>
      </c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0"/>
        <v>41258</v>
      </c>
      <c r="R215" s="141">
        <v>6780</v>
      </c>
      <c r="S215" s="141">
        <v>16016</v>
      </c>
      <c r="T215" s="141">
        <v>11693</v>
      </c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1"/>
        <v>34489</v>
      </c>
      <c r="AF215" s="2">
        <f t="shared" si="35"/>
        <v>0.94442122858336819</v>
      </c>
      <c r="AG215" s="2">
        <f t="shared" si="35"/>
        <v>0.94051324211638965</v>
      </c>
      <c r="AH215" s="2">
        <f t="shared" si="35"/>
        <v>0.68580645161290321</v>
      </c>
      <c r="AI215" s="2" t="str">
        <f t="shared" si="35"/>
        <v/>
      </c>
      <c r="AJ215" s="2" t="str">
        <f t="shared" si="35"/>
        <v/>
      </c>
      <c r="AK215" s="2" t="str">
        <f t="shared" si="35"/>
        <v/>
      </c>
      <c r="AL215" s="2" t="str">
        <f t="shared" si="35"/>
        <v/>
      </c>
      <c r="AM215" s="2" t="str">
        <f t="shared" si="35"/>
        <v/>
      </c>
      <c r="AN215" s="2" t="str">
        <f t="shared" si="35"/>
        <v/>
      </c>
      <c r="AO215" s="2" t="str">
        <f t="shared" ref="AO215:AP256" si="48">+IFERROR(AA215/M215,"")</f>
        <v/>
      </c>
      <c r="AP215" s="2" t="str">
        <f t="shared" si="48"/>
        <v/>
      </c>
      <c r="AQ215" s="2" t="str">
        <f t="shared" si="46"/>
        <v/>
      </c>
      <c r="AR215" s="2">
        <f t="shared" si="37"/>
        <v>0.83593484899898196</v>
      </c>
      <c r="AT215" s="2"/>
      <c r="AU215" s="2"/>
      <c r="AV215" s="143"/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2"/>
        <v>6.0703196536975305E-5</v>
      </c>
      <c r="BG215" s="9">
        <f t="shared" ref="BG215:BG256" si="49">+BF215+BG213</f>
        <v>1.0000607031965369</v>
      </c>
    </row>
    <row r="216" spans="2:59" x14ac:dyDescent="0.3">
      <c r="B216" s="3" t="s">
        <v>299</v>
      </c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0"/>
        <v>0</v>
      </c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1"/>
        <v>0</v>
      </c>
      <c r="AF216" s="2" t="str">
        <f t="shared" ref="AF216:AN244" si="50">+IFERROR(R216/D216,"")</f>
        <v/>
      </c>
      <c r="AG216" s="2" t="str">
        <f t="shared" si="50"/>
        <v/>
      </c>
      <c r="AH216" s="2" t="str">
        <f t="shared" si="50"/>
        <v/>
      </c>
      <c r="AI216" s="2" t="str">
        <f t="shared" si="50"/>
        <v/>
      </c>
      <c r="AJ216" s="2" t="str">
        <f t="shared" si="50"/>
        <v/>
      </c>
      <c r="AK216" s="2" t="str">
        <f t="shared" si="50"/>
        <v/>
      </c>
      <c r="AL216" s="2" t="str">
        <f t="shared" si="50"/>
        <v/>
      </c>
      <c r="AM216" s="2" t="str">
        <f t="shared" si="50"/>
        <v/>
      </c>
      <c r="AN216" s="2" t="str">
        <f t="shared" si="50"/>
        <v/>
      </c>
      <c r="AO216" s="2" t="str">
        <f t="shared" si="48"/>
        <v/>
      </c>
      <c r="AP216" s="2" t="str">
        <f t="shared" si="48"/>
        <v/>
      </c>
      <c r="AQ216" s="2" t="str">
        <f t="shared" si="46"/>
        <v/>
      </c>
      <c r="AR216" s="2" t="str">
        <f t="shared" si="37"/>
        <v/>
      </c>
      <c r="AT216" s="2"/>
      <c r="AU216" s="2"/>
      <c r="AV216" s="143"/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2"/>
        <v>0</v>
      </c>
      <c r="BG216" s="9">
        <f t="shared" si="49"/>
        <v>1.0000000721630391</v>
      </c>
    </row>
    <row r="217" spans="2:59" x14ac:dyDescent="0.3">
      <c r="B217" s="3" t="s">
        <v>293</v>
      </c>
      <c r="D217" s="141">
        <v>29423</v>
      </c>
      <c r="E217" s="141">
        <v>31699</v>
      </c>
      <c r="F217" s="141">
        <v>23097</v>
      </c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0"/>
        <v>84219</v>
      </c>
      <c r="R217" s="141">
        <v>11892</v>
      </c>
      <c r="S217" s="141">
        <v>27994</v>
      </c>
      <c r="T217" s="141">
        <v>15974</v>
      </c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1"/>
        <v>55860</v>
      </c>
      <c r="AF217" s="2">
        <f t="shared" si="50"/>
        <v>0.40417360568262922</v>
      </c>
      <c r="AG217" s="2">
        <f t="shared" si="50"/>
        <v>0.88311934130414205</v>
      </c>
      <c r="AH217" s="2">
        <f t="shared" si="50"/>
        <v>0.69160497034246871</v>
      </c>
      <c r="AI217" s="2" t="str">
        <f t="shared" si="50"/>
        <v/>
      </c>
      <c r="AJ217" s="2" t="str">
        <f t="shared" si="50"/>
        <v/>
      </c>
      <c r="AK217" s="2" t="str">
        <f t="shared" si="50"/>
        <v/>
      </c>
      <c r="AL217" s="2" t="str">
        <f t="shared" si="50"/>
        <v/>
      </c>
      <c r="AM217" s="2" t="str">
        <f t="shared" si="50"/>
        <v/>
      </c>
      <c r="AN217" s="2" t="str">
        <f t="shared" si="50"/>
        <v/>
      </c>
      <c r="AO217" s="2" t="str">
        <f t="shared" si="48"/>
        <v/>
      </c>
      <c r="AP217" s="2" t="str">
        <f t="shared" si="48"/>
        <v/>
      </c>
      <c r="AQ217" s="2" t="str">
        <f t="shared" si="46"/>
        <v/>
      </c>
      <c r="AR217" s="2">
        <f t="shared" si="37"/>
        <v>0.66327075837993799</v>
      </c>
      <c r="AT217" s="2"/>
      <c r="AU217" s="2"/>
      <c r="AV217" s="143"/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2"/>
        <v>9.8317740687043424E-5</v>
      </c>
      <c r="BG217" s="9">
        <f t="shared" si="49"/>
        <v>1.000159020937224</v>
      </c>
    </row>
    <row r="218" spans="2:59" x14ac:dyDescent="0.3">
      <c r="B218" s="3" t="s">
        <v>301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0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1"/>
        <v>0</v>
      </c>
      <c r="AF218" s="2" t="str">
        <f t="shared" si="50"/>
        <v/>
      </c>
      <c r="AG218" s="2" t="str">
        <f t="shared" si="50"/>
        <v/>
      </c>
      <c r="AH218" s="2" t="str">
        <f t="shared" si="50"/>
        <v/>
      </c>
      <c r="AI218" s="2" t="str">
        <f t="shared" si="50"/>
        <v/>
      </c>
      <c r="AJ218" s="2" t="str">
        <f t="shared" si="50"/>
        <v/>
      </c>
      <c r="AK218" s="2" t="str">
        <f t="shared" si="50"/>
        <v/>
      </c>
      <c r="AL218" s="2" t="str">
        <f t="shared" si="50"/>
        <v/>
      </c>
      <c r="AM218" s="2" t="str">
        <f t="shared" si="50"/>
        <v/>
      </c>
      <c r="AN218" s="2" t="str">
        <f t="shared" si="50"/>
        <v/>
      </c>
      <c r="AO218" s="2" t="str">
        <f t="shared" si="48"/>
        <v/>
      </c>
      <c r="AP218" s="2" t="str">
        <f t="shared" si="48"/>
        <v/>
      </c>
      <c r="AQ218" s="2" t="str">
        <f t="shared" si="46"/>
        <v/>
      </c>
      <c r="AR218" s="2" t="str">
        <f t="shared" si="37"/>
        <v/>
      </c>
      <c r="AT218" s="2"/>
      <c r="AU218" s="2"/>
      <c r="AV218" s="143"/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2"/>
        <v>0</v>
      </c>
      <c r="BG218" s="9">
        <f t="shared" si="49"/>
        <v>1.0000000721630391</v>
      </c>
    </row>
    <row r="219" spans="2:59" x14ac:dyDescent="0.3">
      <c r="B219" s="3" t="s">
        <v>456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0"/>
        <v>0</v>
      </c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1"/>
        <v>0</v>
      </c>
      <c r="AF219" s="2" t="str">
        <f t="shared" si="50"/>
        <v/>
      </c>
      <c r="AG219" s="2" t="str">
        <f t="shared" si="50"/>
        <v/>
      </c>
      <c r="AH219" s="2" t="str">
        <f t="shared" si="50"/>
        <v/>
      </c>
      <c r="AI219" s="2" t="str">
        <f t="shared" si="50"/>
        <v/>
      </c>
      <c r="AJ219" s="2" t="str">
        <f t="shared" si="50"/>
        <v/>
      </c>
      <c r="AK219" s="2" t="str">
        <f t="shared" si="50"/>
        <v/>
      </c>
      <c r="AL219" s="2" t="str">
        <f t="shared" si="50"/>
        <v/>
      </c>
      <c r="AM219" s="2" t="str">
        <f t="shared" si="50"/>
        <v/>
      </c>
      <c r="AN219" s="2" t="str">
        <f t="shared" si="50"/>
        <v/>
      </c>
      <c r="AO219" s="2" t="str">
        <f t="shared" si="48"/>
        <v/>
      </c>
      <c r="AP219" s="2" t="str">
        <f t="shared" si="48"/>
        <v/>
      </c>
      <c r="AQ219" s="2" t="str">
        <f t="shared" si="46"/>
        <v/>
      </c>
      <c r="AR219" s="2" t="str">
        <f t="shared" si="37"/>
        <v/>
      </c>
      <c r="AT219" s="2"/>
      <c r="AU219" s="2"/>
      <c r="AV219" s="143"/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2"/>
        <v>0</v>
      </c>
      <c r="BG219" s="9">
        <f t="shared" si="49"/>
        <v>1.000159020937224</v>
      </c>
    </row>
    <row r="220" spans="2:59" x14ac:dyDescent="0.3">
      <c r="B220" s="3" t="s">
        <v>303</v>
      </c>
      <c r="D220" s="141">
        <v>2497</v>
      </c>
      <c r="E220" s="141">
        <v>877</v>
      </c>
      <c r="F220" s="141">
        <v>863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0"/>
        <v>4237</v>
      </c>
      <c r="R220" s="141">
        <v>2109</v>
      </c>
      <c r="S220" s="141">
        <v>424</v>
      </c>
      <c r="T220" s="141">
        <v>863</v>
      </c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1"/>
        <v>3396</v>
      </c>
      <c r="AF220" s="2">
        <f t="shared" si="50"/>
        <v>0.84461353624349222</v>
      </c>
      <c r="AG220" s="2">
        <f t="shared" si="50"/>
        <v>0.48346636259977194</v>
      </c>
      <c r="AH220" s="2">
        <f t="shared" si="50"/>
        <v>1</v>
      </c>
      <c r="AI220" s="2" t="str">
        <f t="shared" si="50"/>
        <v/>
      </c>
      <c r="AJ220" s="2" t="str">
        <f t="shared" si="50"/>
        <v/>
      </c>
      <c r="AK220" s="2" t="str">
        <f t="shared" si="50"/>
        <v/>
      </c>
      <c r="AL220" s="2" t="str">
        <f t="shared" si="50"/>
        <v/>
      </c>
      <c r="AM220" s="2" t="str">
        <f t="shared" si="50"/>
        <v/>
      </c>
      <c r="AN220" s="2" t="str">
        <f t="shared" si="50"/>
        <v/>
      </c>
      <c r="AO220" s="2" t="str">
        <f t="shared" si="48"/>
        <v/>
      </c>
      <c r="AP220" s="2" t="str">
        <f t="shared" si="48"/>
        <v/>
      </c>
      <c r="AQ220" s="2" t="str">
        <f t="shared" si="46"/>
        <v/>
      </c>
      <c r="AR220" s="2">
        <f t="shared" si="37"/>
        <v>0.80151050271418456</v>
      </c>
      <c r="AT220" s="2"/>
      <c r="AU220" s="2"/>
      <c r="AV220" s="143"/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2"/>
        <v>5.9772117324239069E-6</v>
      </c>
      <c r="BG220" s="9">
        <f t="shared" si="49"/>
        <v>1.0000060493747716</v>
      </c>
    </row>
    <row r="221" spans="2:59" x14ac:dyDescent="0.3">
      <c r="B221" s="3" t="s">
        <v>457</v>
      </c>
      <c r="D221" s="141">
        <v>799</v>
      </c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0"/>
        <v>799</v>
      </c>
      <c r="R221" s="141">
        <v>799</v>
      </c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1"/>
        <v>799</v>
      </c>
      <c r="AF221" s="2">
        <f t="shared" si="50"/>
        <v>1</v>
      </c>
      <c r="AG221" s="2" t="str">
        <f t="shared" si="50"/>
        <v/>
      </c>
      <c r="AH221" s="2" t="str">
        <f t="shared" si="50"/>
        <v/>
      </c>
      <c r="AI221" s="2" t="str">
        <f t="shared" si="50"/>
        <v/>
      </c>
      <c r="AJ221" s="2" t="str">
        <f t="shared" si="50"/>
        <v/>
      </c>
      <c r="AK221" s="2" t="str">
        <f t="shared" si="50"/>
        <v/>
      </c>
      <c r="AL221" s="2" t="str">
        <f t="shared" si="50"/>
        <v/>
      </c>
      <c r="AM221" s="2" t="str">
        <f t="shared" si="50"/>
        <v/>
      </c>
      <c r="AN221" s="2" t="str">
        <f t="shared" si="50"/>
        <v/>
      </c>
      <c r="AO221" s="2" t="str">
        <f t="shared" si="48"/>
        <v/>
      </c>
      <c r="AP221" s="2" t="str">
        <f t="shared" si="48"/>
        <v/>
      </c>
      <c r="AQ221" s="2" t="str">
        <f t="shared" si="46"/>
        <v/>
      </c>
      <c r="AR221" s="2">
        <f t="shared" si="37"/>
        <v>1</v>
      </c>
      <c r="AT221" s="2"/>
      <c r="AU221" s="2"/>
      <c r="AV221" s="143"/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2"/>
        <v>1.4062992267982044E-6</v>
      </c>
      <c r="BG221" s="9">
        <f t="shared" si="49"/>
        <v>1.0001604272364508</v>
      </c>
    </row>
    <row r="222" spans="2:59" x14ac:dyDescent="0.3">
      <c r="B222" s="3" t="s">
        <v>291</v>
      </c>
      <c r="D222" s="141">
        <v>41991</v>
      </c>
      <c r="E222" s="141">
        <v>63170</v>
      </c>
      <c r="F222" s="141">
        <v>84052</v>
      </c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0"/>
        <v>189213</v>
      </c>
      <c r="R222" s="141">
        <v>23973</v>
      </c>
      <c r="S222" s="141">
        <v>47668</v>
      </c>
      <c r="T222" s="141">
        <v>66789</v>
      </c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1"/>
        <v>138430</v>
      </c>
      <c r="AF222" s="2">
        <f t="shared" si="50"/>
        <v>0.57090805172536974</v>
      </c>
      <c r="AG222" s="2">
        <f t="shared" si="50"/>
        <v>0.75459870191546619</v>
      </c>
      <c r="AH222" s="2">
        <f t="shared" si="50"/>
        <v>0.79461523818588498</v>
      </c>
      <c r="AI222" s="2" t="str">
        <f t="shared" si="50"/>
        <v/>
      </c>
      <c r="AJ222" s="2" t="str">
        <f t="shared" si="50"/>
        <v/>
      </c>
      <c r="AK222" s="2" t="str">
        <f t="shared" si="50"/>
        <v/>
      </c>
      <c r="AL222" s="2" t="str">
        <f t="shared" si="50"/>
        <v/>
      </c>
      <c r="AM222" s="2" t="str">
        <f t="shared" si="50"/>
        <v/>
      </c>
      <c r="AN222" s="2" t="str">
        <f t="shared" si="50"/>
        <v/>
      </c>
      <c r="AO222" s="2" t="str">
        <f t="shared" si="48"/>
        <v/>
      </c>
      <c r="AP222" s="2" t="str">
        <f t="shared" si="48"/>
        <v/>
      </c>
      <c r="AQ222" s="2" t="str">
        <f t="shared" si="46"/>
        <v/>
      </c>
      <c r="AR222" s="2">
        <f t="shared" si="37"/>
        <v>0.73160935030891117</v>
      </c>
      <c r="AT222" s="2"/>
      <c r="AU222" s="2"/>
      <c r="AV222" s="143"/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2"/>
        <v>2.4364706128369889E-4</v>
      </c>
      <c r="BG222" s="9">
        <f t="shared" si="49"/>
        <v>1.0002496964360552</v>
      </c>
    </row>
    <row r="223" spans="2:59" x14ac:dyDescent="0.3">
      <c r="B223" s="3" t="s">
        <v>458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0"/>
        <v>0</v>
      </c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1"/>
        <v>0</v>
      </c>
      <c r="AF223" s="2" t="str">
        <f t="shared" si="50"/>
        <v/>
      </c>
      <c r="AG223" s="2" t="str">
        <f t="shared" si="50"/>
        <v/>
      </c>
      <c r="AH223" s="2" t="str">
        <f t="shared" si="50"/>
        <v/>
      </c>
      <c r="AI223" s="2" t="str">
        <f t="shared" si="50"/>
        <v/>
      </c>
      <c r="AJ223" s="2" t="str">
        <f t="shared" si="50"/>
        <v/>
      </c>
      <c r="AK223" s="2" t="str">
        <f t="shared" si="50"/>
        <v/>
      </c>
      <c r="AL223" s="2" t="str">
        <f t="shared" si="50"/>
        <v/>
      </c>
      <c r="AM223" s="2" t="str">
        <f t="shared" si="50"/>
        <v/>
      </c>
      <c r="AN223" s="2" t="str">
        <f t="shared" si="50"/>
        <v/>
      </c>
      <c r="AO223" s="2" t="str">
        <f t="shared" si="48"/>
        <v/>
      </c>
      <c r="AP223" s="2" t="str">
        <f t="shared" si="48"/>
        <v/>
      </c>
      <c r="AQ223" s="2" t="str">
        <f t="shared" si="46"/>
        <v/>
      </c>
      <c r="AR223" s="2" t="str">
        <f t="shared" si="37"/>
        <v/>
      </c>
      <c r="AT223" s="2"/>
      <c r="AU223" s="2"/>
      <c r="AV223" s="143"/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2"/>
        <v>0</v>
      </c>
      <c r="BG223" s="9">
        <f t="shared" si="49"/>
        <v>1.0001604272364508</v>
      </c>
    </row>
    <row r="224" spans="2:59" x14ac:dyDescent="0.3">
      <c r="B224" s="3" t="s">
        <v>298</v>
      </c>
      <c r="D224" s="141">
        <v>396</v>
      </c>
      <c r="E224" s="141">
        <v>223</v>
      </c>
      <c r="F224" s="141">
        <v>312</v>
      </c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0"/>
        <v>931</v>
      </c>
      <c r="R224" s="141">
        <v>297</v>
      </c>
      <c r="S224" s="141">
        <v>198</v>
      </c>
      <c r="T224" s="141">
        <v>312</v>
      </c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1"/>
        <v>807</v>
      </c>
      <c r="AF224" s="2">
        <f t="shared" si="50"/>
        <v>0.75</v>
      </c>
      <c r="AG224" s="2">
        <f t="shared" si="50"/>
        <v>0.88789237668161436</v>
      </c>
      <c r="AH224" s="2">
        <f t="shared" si="50"/>
        <v>1</v>
      </c>
      <c r="AI224" s="2" t="str">
        <f t="shared" si="50"/>
        <v/>
      </c>
      <c r="AJ224" s="2" t="str">
        <f t="shared" si="50"/>
        <v/>
      </c>
      <c r="AK224" s="2" t="str">
        <f t="shared" si="50"/>
        <v/>
      </c>
      <c r="AL224" s="2" t="str">
        <f t="shared" si="50"/>
        <v/>
      </c>
      <c r="AM224" s="2" t="str">
        <f t="shared" si="50"/>
        <v/>
      </c>
      <c r="AN224" s="2" t="str">
        <f t="shared" si="50"/>
        <v/>
      </c>
      <c r="AO224" s="2" t="str">
        <f t="shared" si="48"/>
        <v/>
      </c>
      <c r="AP224" s="2" t="str">
        <f t="shared" si="48"/>
        <v/>
      </c>
      <c r="AQ224" s="2" t="str">
        <f t="shared" si="46"/>
        <v/>
      </c>
      <c r="AR224" s="2">
        <f t="shared" si="37"/>
        <v>0.86680988184747587</v>
      </c>
      <c r="AT224" s="2"/>
      <c r="AU224" s="2"/>
      <c r="AV224" s="143"/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2"/>
        <v>1.4203798198074479E-6</v>
      </c>
      <c r="BG224" s="9">
        <f t="shared" si="49"/>
        <v>1.000251116815875</v>
      </c>
    </row>
    <row r="225" spans="2:59" x14ac:dyDescent="0.3">
      <c r="B225" s="3" t="s">
        <v>304</v>
      </c>
      <c r="D225" s="141">
        <v>735</v>
      </c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0"/>
        <v>735</v>
      </c>
      <c r="R225" s="141">
        <v>735</v>
      </c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1"/>
        <v>735</v>
      </c>
      <c r="AF225" s="2">
        <f t="shared" si="50"/>
        <v>1</v>
      </c>
      <c r="AG225" s="2" t="str">
        <f t="shared" si="50"/>
        <v/>
      </c>
      <c r="AH225" s="2" t="str">
        <f t="shared" si="50"/>
        <v/>
      </c>
      <c r="AI225" s="2" t="str">
        <f t="shared" si="50"/>
        <v/>
      </c>
      <c r="AJ225" s="2" t="str">
        <f t="shared" si="50"/>
        <v/>
      </c>
      <c r="AK225" s="2" t="str">
        <f t="shared" si="50"/>
        <v/>
      </c>
      <c r="AL225" s="2" t="str">
        <f t="shared" si="50"/>
        <v/>
      </c>
      <c r="AM225" s="2" t="str">
        <f t="shared" si="50"/>
        <v/>
      </c>
      <c r="AN225" s="2" t="str">
        <f t="shared" si="50"/>
        <v/>
      </c>
      <c r="AO225" s="2" t="str">
        <f t="shared" si="48"/>
        <v/>
      </c>
      <c r="AP225" s="2" t="str">
        <f t="shared" si="48"/>
        <v/>
      </c>
      <c r="AQ225" s="2" t="str">
        <f t="shared" si="46"/>
        <v/>
      </c>
      <c r="AR225" s="2">
        <f t="shared" si="37"/>
        <v>1</v>
      </c>
      <c r="AT225" s="2"/>
      <c r="AU225" s="2"/>
      <c r="AV225" s="143"/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2"/>
        <v>1.2936544827242556E-6</v>
      </c>
      <c r="BG225" s="9">
        <f t="shared" si="49"/>
        <v>1.0001617208909335</v>
      </c>
    </row>
    <row r="226" spans="2:59" x14ac:dyDescent="0.3">
      <c r="B226" s="3" t="s">
        <v>294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0"/>
        <v>0</v>
      </c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1"/>
        <v>0</v>
      </c>
      <c r="AF226" s="2" t="str">
        <f t="shared" si="50"/>
        <v/>
      </c>
      <c r="AG226" s="2" t="str">
        <f t="shared" si="50"/>
        <v/>
      </c>
      <c r="AH226" s="2" t="str">
        <f t="shared" si="50"/>
        <v/>
      </c>
      <c r="AI226" s="2" t="str">
        <f t="shared" si="50"/>
        <v/>
      </c>
      <c r="AJ226" s="2" t="str">
        <f t="shared" si="50"/>
        <v/>
      </c>
      <c r="AK226" s="2" t="str">
        <f t="shared" si="50"/>
        <v/>
      </c>
      <c r="AL226" s="2" t="str">
        <f t="shared" si="50"/>
        <v/>
      </c>
      <c r="AM226" s="2" t="str">
        <f t="shared" si="50"/>
        <v/>
      </c>
      <c r="AN226" s="2" t="str">
        <f t="shared" si="50"/>
        <v/>
      </c>
      <c r="AO226" s="2" t="str">
        <f t="shared" si="48"/>
        <v/>
      </c>
      <c r="AP226" s="2" t="str">
        <f t="shared" si="48"/>
        <v/>
      </c>
      <c r="AQ226" s="2" t="str">
        <f t="shared" si="46"/>
        <v/>
      </c>
      <c r="AR226" s="2" t="str">
        <f t="shared" si="37"/>
        <v/>
      </c>
      <c r="AT226" s="2"/>
      <c r="AU226" s="2"/>
      <c r="AV226" s="143"/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2"/>
        <v>0</v>
      </c>
      <c r="BG226" s="9">
        <f t="shared" si="49"/>
        <v>1.000251116815875</v>
      </c>
    </row>
    <row r="227" spans="2:59" x14ac:dyDescent="0.3">
      <c r="B227" s="3" t="s">
        <v>459</v>
      </c>
      <c r="D227" s="141">
        <v>16112</v>
      </c>
      <c r="E227" s="141">
        <v>1416</v>
      </c>
      <c r="F227" s="141">
        <v>4302</v>
      </c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0"/>
        <v>21830</v>
      </c>
      <c r="R227" s="141">
        <v>13077</v>
      </c>
      <c r="S227" s="141">
        <v>418</v>
      </c>
      <c r="T227" s="141">
        <v>2092</v>
      </c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1"/>
        <v>15587</v>
      </c>
      <c r="AF227" s="2">
        <f t="shared" si="50"/>
        <v>0.81163108242303872</v>
      </c>
      <c r="AG227" s="2">
        <f t="shared" si="50"/>
        <v>0.29519774011299438</v>
      </c>
      <c r="AH227" s="2">
        <f t="shared" si="50"/>
        <v>0.48628544862854484</v>
      </c>
      <c r="AI227" s="2" t="str">
        <f t="shared" si="50"/>
        <v/>
      </c>
      <c r="AJ227" s="2" t="str">
        <f t="shared" si="50"/>
        <v/>
      </c>
      <c r="AK227" s="2" t="str">
        <f t="shared" si="50"/>
        <v/>
      </c>
      <c r="AL227" s="2" t="str">
        <f t="shared" si="50"/>
        <v/>
      </c>
      <c r="AM227" s="2" t="str">
        <f t="shared" si="50"/>
        <v/>
      </c>
      <c r="AN227" s="2" t="str">
        <f t="shared" si="50"/>
        <v/>
      </c>
      <c r="AO227" s="2" t="str">
        <f t="shared" si="48"/>
        <v/>
      </c>
      <c r="AP227" s="2" t="str">
        <f t="shared" si="48"/>
        <v/>
      </c>
      <c r="AQ227" s="2" t="str">
        <f t="shared" si="46"/>
        <v/>
      </c>
      <c r="AR227" s="2">
        <f t="shared" si="37"/>
        <v>0.7140174072377462</v>
      </c>
      <c r="AT227" s="2"/>
      <c r="AU227" s="2"/>
      <c r="AV227" s="143"/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2"/>
        <v>2.7434275404384995E-5</v>
      </c>
      <c r="BG227" s="9">
        <f t="shared" si="49"/>
        <v>1.0001891551663378</v>
      </c>
    </row>
    <row r="228" spans="2:59" x14ac:dyDescent="0.3">
      <c r="B228" s="3" t="s">
        <v>302</v>
      </c>
      <c r="D228" s="141">
        <v>742</v>
      </c>
      <c r="E228" s="141"/>
      <c r="F228" s="141">
        <v>724</v>
      </c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0"/>
        <v>1466</v>
      </c>
      <c r="R228" s="141">
        <v>555</v>
      </c>
      <c r="S228" s="141"/>
      <c r="T228" s="141">
        <v>502</v>
      </c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1"/>
        <v>1057</v>
      </c>
      <c r="AF228" s="2">
        <f t="shared" si="50"/>
        <v>0.74797843665768193</v>
      </c>
      <c r="AG228" s="2" t="str">
        <f t="shared" si="50"/>
        <v/>
      </c>
      <c r="AH228" s="2">
        <f t="shared" si="50"/>
        <v>0.6933701657458563</v>
      </c>
      <c r="AI228" s="2" t="str">
        <f t="shared" si="50"/>
        <v/>
      </c>
      <c r="AJ228" s="2" t="str">
        <f t="shared" si="50"/>
        <v/>
      </c>
      <c r="AK228" s="2" t="str">
        <f t="shared" si="50"/>
        <v/>
      </c>
      <c r="AL228" s="2" t="str">
        <f t="shared" si="50"/>
        <v/>
      </c>
      <c r="AM228" s="2" t="str">
        <f t="shared" si="50"/>
        <v/>
      </c>
      <c r="AN228" s="2" t="str">
        <f t="shared" si="50"/>
        <v/>
      </c>
      <c r="AO228" s="2" t="str">
        <f t="shared" si="48"/>
        <v/>
      </c>
      <c r="AP228" s="2" t="str">
        <f t="shared" si="48"/>
        <v/>
      </c>
      <c r="AQ228" s="2" t="str">
        <f t="shared" si="46"/>
        <v/>
      </c>
      <c r="AR228" s="2">
        <f t="shared" si="37"/>
        <v>0.72100954979536158</v>
      </c>
      <c r="AT228" s="2"/>
      <c r="AU228" s="2"/>
      <c r="AV228" s="143"/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2"/>
        <v>1.8603983513463103E-6</v>
      </c>
      <c r="BG228" s="9">
        <f t="shared" si="49"/>
        <v>1.0002529772142263</v>
      </c>
    </row>
    <row r="229" spans="2:59" x14ac:dyDescent="0.3">
      <c r="B229" s="3" t="s">
        <v>296</v>
      </c>
      <c r="D229" s="141">
        <v>21609</v>
      </c>
      <c r="E229" s="141">
        <v>13135</v>
      </c>
      <c r="F229" s="141">
        <v>4249</v>
      </c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0"/>
        <v>38993</v>
      </c>
      <c r="R229" s="141">
        <v>19809</v>
      </c>
      <c r="S229" s="141">
        <v>9894</v>
      </c>
      <c r="T229" s="141">
        <v>2270</v>
      </c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1"/>
        <v>31973</v>
      </c>
      <c r="AF229" s="2">
        <f t="shared" si="50"/>
        <v>0.91670137442732191</v>
      </c>
      <c r="AG229" s="2">
        <f t="shared" si="50"/>
        <v>0.75325466311381806</v>
      </c>
      <c r="AH229" s="2">
        <f t="shared" si="50"/>
        <v>0.53424335137679457</v>
      </c>
      <c r="AI229" s="2" t="str">
        <f t="shared" si="50"/>
        <v/>
      </c>
      <c r="AJ229" s="2" t="str">
        <f t="shared" si="50"/>
        <v/>
      </c>
      <c r="AK229" s="2" t="str">
        <f t="shared" si="50"/>
        <v/>
      </c>
      <c r="AL229" s="2" t="str">
        <f t="shared" si="50"/>
        <v/>
      </c>
      <c r="AM229" s="2" t="str">
        <f t="shared" si="50"/>
        <v/>
      </c>
      <c r="AN229" s="2" t="str">
        <f t="shared" si="50"/>
        <v/>
      </c>
      <c r="AO229" s="2" t="str">
        <f t="shared" si="48"/>
        <v/>
      </c>
      <c r="AP229" s="2" t="str">
        <f t="shared" si="48"/>
        <v/>
      </c>
      <c r="AQ229" s="2" t="str">
        <f t="shared" si="46"/>
        <v/>
      </c>
      <c r="AR229" s="2">
        <f t="shared" si="37"/>
        <v>0.81996768650783469</v>
      </c>
      <c r="AT229" s="2"/>
      <c r="AU229" s="2"/>
      <c r="AV229" s="143"/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2"/>
        <v>5.6274850035568196E-5</v>
      </c>
      <c r="BG229" s="9">
        <f t="shared" si="49"/>
        <v>1.0002454300163734</v>
      </c>
    </row>
    <row r="230" spans="2:59" x14ac:dyDescent="0.3">
      <c r="B230" s="3" t="s">
        <v>460</v>
      </c>
      <c r="D230" s="141">
        <v>2887</v>
      </c>
      <c r="E230" s="141">
        <v>2905</v>
      </c>
      <c r="F230" s="141">
        <v>4395</v>
      </c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0"/>
        <v>10187</v>
      </c>
      <c r="R230" s="141">
        <v>1814</v>
      </c>
      <c r="S230" s="141">
        <v>1743</v>
      </c>
      <c r="T230" s="141">
        <v>2984</v>
      </c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1"/>
        <v>6541</v>
      </c>
      <c r="AF230" s="2">
        <f t="shared" si="50"/>
        <v>0.628333910633876</v>
      </c>
      <c r="AG230" s="2">
        <f t="shared" si="50"/>
        <v>0.6</v>
      </c>
      <c r="AH230" s="2">
        <f t="shared" si="50"/>
        <v>0.6789533560864619</v>
      </c>
      <c r="AI230" s="2" t="str">
        <f t="shared" si="50"/>
        <v/>
      </c>
      <c r="AJ230" s="2" t="str">
        <f t="shared" si="50"/>
        <v/>
      </c>
      <c r="AK230" s="2" t="str">
        <f t="shared" si="50"/>
        <v/>
      </c>
      <c r="AL230" s="2" t="str">
        <f t="shared" si="50"/>
        <v/>
      </c>
      <c r="AM230" s="2" t="str">
        <f t="shared" si="50"/>
        <v/>
      </c>
      <c r="AN230" s="2" t="str">
        <f t="shared" si="50"/>
        <v/>
      </c>
      <c r="AO230" s="2" t="str">
        <f t="shared" si="48"/>
        <v/>
      </c>
      <c r="AP230" s="2" t="str">
        <f t="shared" si="48"/>
        <v/>
      </c>
      <c r="AQ230" s="2" t="str">
        <f t="shared" si="46"/>
        <v/>
      </c>
      <c r="AR230" s="2">
        <f t="shared" si="37"/>
        <v>0.64209286345342098</v>
      </c>
      <c r="AT230" s="2"/>
      <c r="AU230" s="2"/>
      <c r="AV230" s="143"/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2"/>
        <v>1.1512644859182797E-5</v>
      </c>
      <c r="BG230" s="9">
        <f t="shared" si="49"/>
        <v>1.0002644898590856</v>
      </c>
    </row>
    <row r="231" spans="2:59" x14ac:dyDescent="0.3">
      <c r="B231" s="3" t="s">
        <v>306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0"/>
        <v>0</v>
      </c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1"/>
        <v>0</v>
      </c>
      <c r="AF231" s="2" t="str">
        <f t="shared" si="50"/>
        <v/>
      </c>
      <c r="AG231" s="2" t="str">
        <f t="shared" si="50"/>
        <v/>
      </c>
      <c r="AH231" s="2" t="str">
        <f t="shared" si="50"/>
        <v/>
      </c>
      <c r="AI231" s="2" t="str">
        <f t="shared" si="50"/>
        <v/>
      </c>
      <c r="AJ231" s="2" t="str">
        <f t="shared" si="50"/>
        <v/>
      </c>
      <c r="AK231" s="2" t="str">
        <f t="shared" si="50"/>
        <v/>
      </c>
      <c r="AL231" s="2" t="str">
        <f t="shared" si="50"/>
        <v/>
      </c>
      <c r="AM231" s="2" t="str">
        <f t="shared" si="50"/>
        <v/>
      </c>
      <c r="AN231" s="2" t="str">
        <f t="shared" si="50"/>
        <v/>
      </c>
      <c r="AO231" s="2" t="str">
        <f t="shared" si="48"/>
        <v/>
      </c>
      <c r="AP231" s="2" t="str">
        <f t="shared" si="48"/>
        <v/>
      </c>
      <c r="AQ231" s="2" t="str">
        <f t="shared" si="46"/>
        <v/>
      </c>
      <c r="AR231" s="2" t="str">
        <f t="shared" si="37"/>
        <v/>
      </c>
      <c r="AT231" s="2"/>
      <c r="AU231" s="2"/>
      <c r="AV231" s="143"/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2"/>
        <v>0</v>
      </c>
      <c r="BG231" s="9">
        <f t="shared" si="49"/>
        <v>1.0002454300163734</v>
      </c>
    </row>
    <row r="232" spans="2:59" x14ac:dyDescent="0.3">
      <c r="B232" s="3" t="s">
        <v>300</v>
      </c>
      <c r="D232" s="141">
        <v>254</v>
      </c>
      <c r="E232" s="141"/>
      <c r="F232" s="141">
        <v>2430</v>
      </c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0"/>
        <v>2684</v>
      </c>
      <c r="R232" s="141">
        <v>114</v>
      </c>
      <c r="S232" s="141"/>
      <c r="T232" s="141">
        <v>2405</v>
      </c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1"/>
        <v>2519</v>
      </c>
      <c r="AF232" s="2">
        <f t="shared" si="50"/>
        <v>0.44881889763779526</v>
      </c>
      <c r="AG232" s="2" t="str">
        <f t="shared" si="50"/>
        <v/>
      </c>
      <c r="AH232" s="2">
        <f t="shared" si="50"/>
        <v>0.98971193415637859</v>
      </c>
      <c r="AI232" s="2" t="str">
        <f t="shared" si="50"/>
        <v/>
      </c>
      <c r="AJ232" s="2" t="str">
        <f t="shared" si="50"/>
        <v/>
      </c>
      <c r="AK232" s="2" t="str">
        <f t="shared" si="50"/>
        <v/>
      </c>
      <c r="AL232" s="2" t="str">
        <f t="shared" si="50"/>
        <v/>
      </c>
      <c r="AM232" s="2" t="str">
        <f t="shared" si="50"/>
        <v/>
      </c>
      <c r="AN232" s="2" t="str">
        <f t="shared" si="50"/>
        <v/>
      </c>
      <c r="AO232" s="2" t="str">
        <f t="shared" si="48"/>
        <v/>
      </c>
      <c r="AP232" s="2" t="str">
        <f t="shared" si="48"/>
        <v/>
      </c>
      <c r="AQ232" s="2" t="str">
        <f t="shared" si="46"/>
        <v/>
      </c>
      <c r="AR232" s="2">
        <f t="shared" si="37"/>
        <v>0.93852459016393441</v>
      </c>
      <c r="AT232" s="2"/>
      <c r="AU232" s="2"/>
      <c r="AV232" s="143"/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2"/>
        <v>4.433626723785578E-6</v>
      </c>
      <c r="BG232" s="9">
        <f t="shared" si="49"/>
        <v>1.0002689234858093</v>
      </c>
    </row>
    <row r="233" spans="2:59" x14ac:dyDescent="0.3">
      <c r="B233" s="3" t="s">
        <v>295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0"/>
        <v>0</v>
      </c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1"/>
        <v>0</v>
      </c>
      <c r="AF233" s="2" t="str">
        <f t="shared" si="50"/>
        <v/>
      </c>
      <c r="AG233" s="2" t="str">
        <f t="shared" si="50"/>
        <v/>
      </c>
      <c r="AH233" s="2" t="str">
        <f t="shared" si="50"/>
        <v/>
      </c>
      <c r="AI233" s="2" t="str">
        <f t="shared" si="50"/>
        <v/>
      </c>
      <c r="AJ233" s="2" t="str">
        <f t="shared" si="50"/>
        <v/>
      </c>
      <c r="AK233" s="2" t="str">
        <f t="shared" si="50"/>
        <v/>
      </c>
      <c r="AL233" s="2" t="str">
        <f t="shared" si="50"/>
        <v/>
      </c>
      <c r="AM233" s="2" t="str">
        <f t="shared" si="50"/>
        <v/>
      </c>
      <c r="AN233" s="2" t="str">
        <f t="shared" si="50"/>
        <v/>
      </c>
      <c r="AO233" s="2" t="str">
        <f t="shared" si="48"/>
        <v/>
      </c>
      <c r="AP233" s="2" t="str">
        <f t="shared" si="48"/>
        <v/>
      </c>
      <c r="AQ233" s="2" t="str">
        <f t="shared" si="46"/>
        <v/>
      </c>
      <c r="AR233" s="2" t="str">
        <f t="shared" si="37"/>
        <v/>
      </c>
      <c r="AT233" s="2"/>
      <c r="AU233" s="2"/>
      <c r="AV233" s="143"/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2"/>
        <v>0</v>
      </c>
      <c r="BG233" s="9">
        <f t="shared" si="49"/>
        <v>1.0002454300163734</v>
      </c>
    </row>
    <row r="234" spans="2:59" x14ac:dyDescent="0.3">
      <c r="B234" s="3" t="s">
        <v>305</v>
      </c>
      <c r="D234" s="141">
        <v>1257</v>
      </c>
      <c r="E234" s="141">
        <v>1242</v>
      </c>
      <c r="F234" s="141">
        <v>17662</v>
      </c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0"/>
        <v>20161</v>
      </c>
      <c r="R234" s="141">
        <v>1257</v>
      </c>
      <c r="S234" s="141">
        <v>920</v>
      </c>
      <c r="T234" s="141">
        <v>11319</v>
      </c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1"/>
        <v>13496</v>
      </c>
      <c r="AF234" s="2">
        <f t="shared" si="50"/>
        <v>1</v>
      </c>
      <c r="AG234" s="2">
        <f t="shared" si="50"/>
        <v>0.7407407407407407</v>
      </c>
      <c r="AH234" s="2">
        <f t="shared" si="50"/>
        <v>0.64086739893556788</v>
      </c>
      <c r="AI234" s="2" t="str">
        <f t="shared" si="50"/>
        <v/>
      </c>
      <c r="AJ234" s="2" t="str">
        <f t="shared" si="50"/>
        <v/>
      </c>
      <c r="AK234" s="2" t="str">
        <f t="shared" si="50"/>
        <v/>
      </c>
      <c r="AL234" s="2" t="str">
        <f t="shared" si="50"/>
        <v/>
      </c>
      <c r="AM234" s="2" t="str">
        <f t="shared" si="50"/>
        <v/>
      </c>
      <c r="AN234" s="2" t="str">
        <f t="shared" si="50"/>
        <v/>
      </c>
      <c r="AO234" s="2" t="str">
        <f t="shared" si="48"/>
        <v/>
      </c>
      <c r="AP234" s="2" t="str">
        <f t="shared" si="48"/>
        <v/>
      </c>
      <c r="AQ234" s="2" t="str">
        <f t="shared" si="46"/>
        <v/>
      </c>
      <c r="AR234" s="2">
        <f t="shared" si="37"/>
        <v>0.66941123952184911</v>
      </c>
      <c r="AT234" s="2"/>
      <c r="AU234" s="2"/>
      <c r="AV234" s="143"/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2"/>
        <v>2.3753960406593948E-5</v>
      </c>
      <c r="BG234" s="9">
        <f t="shared" si="49"/>
        <v>1.000292677446216</v>
      </c>
    </row>
    <row r="235" spans="2:59" x14ac:dyDescent="0.3">
      <c r="B235" s="3" t="s">
        <v>292</v>
      </c>
      <c r="D235" s="141">
        <v>1418</v>
      </c>
      <c r="E235" s="141">
        <v>3896</v>
      </c>
      <c r="F235" s="141">
        <v>4282</v>
      </c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0"/>
        <v>9596</v>
      </c>
      <c r="R235" s="141">
        <v>611</v>
      </c>
      <c r="S235" s="141">
        <v>1523</v>
      </c>
      <c r="T235" s="141">
        <v>1660</v>
      </c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1"/>
        <v>3794</v>
      </c>
      <c r="AF235" s="2">
        <f t="shared" si="50"/>
        <v>0.4308885754583921</v>
      </c>
      <c r="AG235" s="2">
        <f t="shared" si="50"/>
        <v>0.39091375770020537</v>
      </c>
      <c r="AH235" s="2">
        <f t="shared" si="50"/>
        <v>0.38766931340495098</v>
      </c>
      <c r="AI235" s="2" t="str">
        <f t="shared" si="50"/>
        <v/>
      </c>
      <c r="AJ235" s="2" t="str">
        <f t="shared" si="50"/>
        <v/>
      </c>
      <c r="AK235" s="2" t="str">
        <f t="shared" si="50"/>
        <v/>
      </c>
      <c r="AL235" s="2" t="str">
        <f t="shared" si="50"/>
        <v/>
      </c>
      <c r="AM235" s="2" t="str">
        <f t="shared" si="50"/>
        <v/>
      </c>
      <c r="AN235" s="2" t="str">
        <f t="shared" si="50"/>
        <v/>
      </c>
      <c r="AO235" s="2" t="str">
        <f t="shared" si="48"/>
        <v/>
      </c>
      <c r="AP235" s="2" t="str">
        <f t="shared" si="48"/>
        <v/>
      </c>
      <c r="AQ235" s="2" t="str">
        <f t="shared" si="46"/>
        <v/>
      </c>
      <c r="AR235" s="2">
        <f t="shared" si="37"/>
        <v>0.39537307211338057</v>
      </c>
      <c r="AT235" s="2"/>
      <c r="AU235" s="2"/>
      <c r="AV235" s="143"/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2"/>
        <v>6.6777212346337765E-6</v>
      </c>
      <c r="BG235" s="9">
        <f t="shared" si="49"/>
        <v>1.0002521077376081</v>
      </c>
    </row>
    <row r="236" spans="2:59" x14ac:dyDescent="0.3">
      <c r="B236" s="3" t="s">
        <v>461</v>
      </c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0"/>
        <v>0</v>
      </c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1"/>
        <v>0</v>
      </c>
      <c r="AF236" s="2" t="str">
        <f t="shared" si="50"/>
        <v/>
      </c>
      <c r="AG236" s="2" t="str">
        <f t="shared" si="50"/>
        <v/>
      </c>
      <c r="AH236" s="2" t="str">
        <f t="shared" si="50"/>
        <v/>
      </c>
      <c r="AI236" s="2" t="str">
        <f t="shared" si="50"/>
        <v/>
      </c>
      <c r="AJ236" s="2" t="str">
        <f t="shared" si="50"/>
        <v/>
      </c>
      <c r="AK236" s="2" t="str">
        <f t="shared" si="50"/>
        <v/>
      </c>
      <c r="AL236" s="2" t="str">
        <f t="shared" si="50"/>
        <v/>
      </c>
      <c r="AM236" s="2" t="str">
        <f t="shared" si="50"/>
        <v/>
      </c>
      <c r="AN236" s="2" t="str">
        <f t="shared" si="50"/>
        <v/>
      </c>
      <c r="AO236" s="2" t="str">
        <f t="shared" si="48"/>
        <v/>
      </c>
      <c r="AP236" s="2" t="str">
        <f t="shared" si="48"/>
        <v/>
      </c>
      <c r="AQ236" s="2" t="str">
        <f t="shared" si="46"/>
        <v/>
      </c>
      <c r="AR236" s="2" t="str">
        <f t="shared" si="37"/>
        <v/>
      </c>
      <c r="AT236" s="2"/>
      <c r="AU236" s="2"/>
      <c r="AV236" s="143"/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2"/>
        <v>0</v>
      </c>
      <c r="BG236" s="9">
        <f t="shared" si="49"/>
        <v>1.000292677446216</v>
      </c>
    </row>
    <row r="237" spans="2:59" x14ac:dyDescent="0.3">
      <c r="B237" s="3" t="s">
        <v>462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40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41"/>
        <v>0</v>
      </c>
      <c r="AF237" s="2" t="str">
        <f t="shared" si="50"/>
        <v/>
      </c>
      <c r="AG237" s="2" t="str">
        <f t="shared" si="50"/>
        <v/>
      </c>
      <c r="AH237" s="2" t="str">
        <f t="shared" si="50"/>
        <v/>
      </c>
      <c r="AI237" s="2" t="str">
        <f t="shared" si="50"/>
        <v/>
      </c>
      <c r="AJ237" s="2" t="str">
        <f t="shared" si="50"/>
        <v/>
      </c>
      <c r="AK237" s="2" t="str">
        <f t="shared" si="50"/>
        <v/>
      </c>
      <c r="AL237" s="2" t="str">
        <f t="shared" si="50"/>
        <v/>
      </c>
      <c r="AM237" s="2" t="str">
        <f t="shared" si="50"/>
        <v/>
      </c>
      <c r="AN237" s="2" t="str">
        <f t="shared" si="50"/>
        <v/>
      </c>
      <c r="AO237" s="2" t="str">
        <f t="shared" si="48"/>
        <v/>
      </c>
      <c r="AP237" s="2" t="str">
        <f t="shared" si="48"/>
        <v/>
      </c>
      <c r="AQ237" s="2" t="str">
        <f t="shared" si="46"/>
        <v/>
      </c>
      <c r="AR237" s="2" t="str">
        <f t="shared" si="37"/>
        <v/>
      </c>
      <c r="AT237" s="2"/>
      <c r="AU237" s="2"/>
      <c r="AV237" s="143"/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42"/>
        <v>0</v>
      </c>
      <c r="BG237" s="9">
        <f t="shared" si="49"/>
        <v>1.0002521077376081</v>
      </c>
    </row>
    <row r="238" spans="2:59" x14ac:dyDescent="0.3">
      <c r="B238" s="3" t="s">
        <v>463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40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41"/>
        <v>0</v>
      </c>
      <c r="AF238" s="2" t="str">
        <f t="shared" si="50"/>
        <v/>
      </c>
      <c r="AG238" s="2" t="str">
        <f t="shared" si="50"/>
        <v/>
      </c>
      <c r="AH238" s="2" t="str">
        <f t="shared" si="50"/>
        <v/>
      </c>
      <c r="AI238" s="2" t="str">
        <f t="shared" si="50"/>
        <v/>
      </c>
      <c r="AJ238" s="2" t="str">
        <f t="shared" si="50"/>
        <v/>
      </c>
      <c r="AK238" s="2" t="str">
        <f t="shared" si="50"/>
        <v/>
      </c>
      <c r="AL238" s="2" t="str">
        <f t="shared" si="50"/>
        <v/>
      </c>
      <c r="AM238" s="2" t="str">
        <f t="shared" si="50"/>
        <v/>
      </c>
      <c r="AN238" s="2" t="str">
        <f t="shared" si="50"/>
        <v/>
      </c>
      <c r="AO238" s="2" t="str">
        <f t="shared" si="48"/>
        <v/>
      </c>
      <c r="AP238" s="2" t="str">
        <f t="shared" si="48"/>
        <v/>
      </c>
      <c r="AQ238" s="2" t="str">
        <f t="shared" si="46"/>
        <v/>
      </c>
      <c r="AR238" s="2" t="str">
        <f t="shared" si="37"/>
        <v/>
      </c>
      <c r="AT238" s="2"/>
      <c r="AU238" s="2"/>
      <c r="AV238" s="143"/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42"/>
        <v>0</v>
      </c>
      <c r="BG238" s="9">
        <f t="shared" si="49"/>
        <v>1.000292677446216</v>
      </c>
    </row>
    <row r="239" spans="2:59" x14ac:dyDescent="0.3">
      <c r="B239" s="3" t="s">
        <v>464</v>
      </c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40"/>
        <v>0</v>
      </c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41"/>
        <v>0</v>
      </c>
      <c r="AF239" s="2" t="str">
        <f t="shared" si="50"/>
        <v/>
      </c>
      <c r="AG239" s="2" t="str">
        <f t="shared" si="50"/>
        <v/>
      </c>
      <c r="AH239" s="2" t="str">
        <f t="shared" si="50"/>
        <v/>
      </c>
      <c r="AI239" s="2" t="str">
        <f t="shared" si="50"/>
        <v/>
      </c>
      <c r="AJ239" s="2" t="str">
        <f t="shared" si="50"/>
        <v/>
      </c>
      <c r="AK239" s="2" t="str">
        <f t="shared" si="50"/>
        <v/>
      </c>
      <c r="AL239" s="2" t="str">
        <f t="shared" si="50"/>
        <v/>
      </c>
      <c r="AM239" s="2" t="str">
        <f t="shared" si="50"/>
        <v/>
      </c>
      <c r="AN239" s="2" t="str">
        <f t="shared" si="50"/>
        <v/>
      </c>
      <c r="AO239" s="2" t="str">
        <f t="shared" si="48"/>
        <v/>
      </c>
      <c r="AP239" s="2" t="str">
        <f t="shared" si="48"/>
        <v/>
      </c>
      <c r="AQ239" s="2" t="str">
        <f t="shared" si="46"/>
        <v/>
      </c>
      <c r="AR239" s="2" t="str">
        <f t="shared" si="37"/>
        <v/>
      </c>
      <c r="AT239" s="2"/>
      <c r="AU239" s="2"/>
      <c r="AV239" s="143"/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42"/>
        <v>0</v>
      </c>
      <c r="BG239" s="9">
        <f t="shared" si="49"/>
        <v>1.0002521077376081</v>
      </c>
    </row>
    <row r="240" spans="2:59" x14ac:dyDescent="0.3">
      <c r="B240" s="3" t="s">
        <v>465</v>
      </c>
      <c r="D240" s="141">
        <v>770</v>
      </c>
      <c r="E240" s="141"/>
      <c r="F240" s="141">
        <v>858</v>
      </c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40"/>
        <v>1628</v>
      </c>
      <c r="R240" s="141">
        <v>770</v>
      </c>
      <c r="S240" s="141"/>
      <c r="T240" s="141">
        <v>163</v>
      </c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41"/>
        <v>933</v>
      </c>
      <c r="AF240" s="2">
        <f t="shared" si="50"/>
        <v>1</v>
      </c>
      <c r="AG240" s="2" t="str">
        <f t="shared" si="50"/>
        <v/>
      </c>
      <c r="AH240" s="2">
        <f t="shared" si="50"/>
        <v>0.18997668997668998</v>
      </c>
      <c r="AI240" s="2" t="str">
        <f t="shared" si="50"/>
        <v/>
      </c>
      <c r="AJ240" s="2" t="str">
        <f t="shared" si="50"/>
        <v/>
      </c>
      <c r="AK240" s="2" t="str">
        <f t="shared" si="50"/>
        <v/>
      </c>
      <c r="AL240" s="2" t="str">
        <f t="shared" si="50"/>
        <v/>
      </c>
      <c r="AM240" s="2" t="str">
        <f t="shared" si="50"/>
        <v/>
      </c>
      <c r="AN240" s="2" t="str">
        <f t="shared" si="50"/>
        <v/>
      </c>
      <c r="AO240" s="2" t="str">
        <f t="shared" si="48"/>
        <v/>
      </c>
      <c r="AP240" s="2" t="str">
        <f t="shared" si="48"/>
        <v/>
      </c>
      <c r="AQ240" s="2" t="str">
        <f t="shared" si="46"/>
        <v/>
      </c>
      <c r="AR240" s="2">
        <f t="shared" si="37"/>
        <v>0.57309582309582308</v>
      </c>
      <c r="AT240" s="2"/>
      <c r="AU240" s="2"/>
      <c r="AV240" s="143"/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42"/>
        <v>1.6421491597030346E-6</v>
      </c>
      <c r="BG240" s="9">
        <f t="shared" si="49"/>
        <v>1.0002943195953757</v>
      </c>
    </row>
    <row r="241" spans="2:59" x14ac:dyDescent="0.3">
      <c r="B241" s="3" t="s">
        <v>466</v>
      </c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>
        <f t="shared" si="40"/>
        <v>0</v>
      </c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41"/>
        <v>0</v>
      </c>
      <c r="AF241" s="2" t="str">
        <f t="shared" si="50"/>
        <v/>
      </c>
      <c r="AG241" s="2" t="str">
        <f t="shared" si="50"/>
        <v/>
      </c>
      <c r="AH241" s="2" t="str">
        <f t="shared" si="50"/>
        <v/>
      </c>
      <c r="AI241" s="2" t="str">
        <f t="shared" si="50"/>
        <v/>
      </c>
      <c r="AJ241" s="2" t="str">
        <f t="shared" si="50"/>
        <v/>
      </c>
      <c r="AK241" s="2" t="str">
        <f t="shared" si="50"/>
        <v/>
      </c>
      <c r="AL241" s="2" t="str">
        <f t="shared" si="50"/>
        <v/>
      </c>
      <c r="AM241" s="2" t="str">
        <f t="shared" si="50"/>
        <v/>
      </c>
      <c r="AN241" s="2" t="str">
        <f t="shared" si="50"/>
        <v/>
      </c>
      <c r="AO241" s="2" t="str">
        <f t="shared" si="48"/>
        <v/>
      </c>
      <c r="AP241" s="2" t="str">
        <f t="shared" si="48"/>
        <v/>
      </c>
      <c r="AQ241" s="2" t="str">
        <f t="shared" si="46"/>
        <v/>
      </c>
      <c r="AR241" s="2" t="str">
        <f t="shared" si="46"/>
        <v/>
      </c>
      <c r="AT241" s="2"/>
      <c r="AU241" s="2"/>
      <c r="AV241" s="143"/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42"/>
        <v>0</v>
      </c>
      <c r="BG241" s="9">
        <f t="shared" si="49"/>
        <v>1.0002521077376081</v>
      </c>
    </row>
    <row r="242" spans="2:59" x14ac:dyDescent="0.3">
      <c r="B242" s="3" t="s">
        <v>467</v>
      </c>
      <c r="D242" s="141">
        <v>864</v>
      </c>
      <c r="E242" s="141">
        <v>760</v>
      </c>
      <c r="F242" s="141">
        <v>1705</v>
      </c>
      <c r="G242" s="141"/>
      <c r="H242" s="141"/>
      <c r="I242" s="141"/>
      <c r="J242" s="141"/>
      <c r="K242" s="141"/>
      <c r="L242" s="141"/>
      <c r="M242" s="141"/>
      <c r="N242" s="141"/>
      <c r="O242" s="141"/>
      <c r="P242" s="141">
        <f t="shared" si="40"/>
        <v>3329</v>
      </c>
      <c r="R242" s="141">
        <v>864</v>
      </c>
      <c r="S242" s="141">
        <v>760</v>
      </c>
      <c r="T242" s="141">
        <v>1705</v>
      </c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41"/>
        <v>3329</v>
      </c>
      <c r="AF242" s="2">
        <f t="shared" si="50"/>
        <v>1</v>
      </c>
      <c r="AG242" s="2">
        <f t="shared" si="50"/>
        <v>1</v>
      </c>
      <c r="AH242" s="2">
        <f t="shared" si="50"/>
        <v>1</v>
      </c>
      <c r="AI242" s="2" t="str">
        <f t="shared" si="50"/>
        <v/>
      </c>
      <c r="AJ242" s="2" t="str">
        <f t="shared" si="50"/>
        <v/>
      </c>
      <c r="AK242" s="2" t="str">
        <f t="shared" si="50"/>
        <v/>
      </c>
      <c r="AL242" s="2" t="str">
        <f t="shared" si="50"/>
        <v/>
      </c>
      <c r="AM242" s="2" t="str">
        <f t="shared" si="50"/>
        <v/>
      </c>
      <c r="AN242" s="2" t="str">
        <f t="shared" si="50"/>
        <v/>
      </c>
      <c r="AO242" s="2" t="str">
        <f t="shared" si="48"/>
        <v/>
      </c>
      <c r="AP242" s="2" t="str">
        <f t="shared" si="48"/>
        <v/>
      </c>
      <c r="AQ242" s="2" t="str">
        <f t="shared" si="46"/>
        <v/>
      </c>
      <c r="AR242" s="2">
        <f t="shared" si="46"/>
        <v>1</v>
      </c>
      <c r="AT242" s="2"/>
      <c r="AU242" s="2"/>
      <c r="AV242" s="143"/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42"/>
        <v>5.8592867659714919E-6</v>
      </c>
      <c r="BG242" s="9">
        <f t="shared" si="49"/>
        <v>1.0003001788821417</v>
      </c>
    </row>
    <row r="243" spans="2:59" x14ac:dyDescent="0.3">
      <c r="B243" s="3" t="s">
        <v>468</v>
      </c>
      <c r="D243" s="141">
        <v>98323</v>
      </c>
      <c r="E243" s="141">
        <v>95975</v>
      </c>
      <c r="F243" s="141">
        <v>75289</v>
      </c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40"/>
        <v>269587</v>
      </c>
      <c r="R243" s="141">
        <v>70985</v>
      </c>
      <c r="S243" s="141">
        <v>68579</v>
      </c>
      <c r="T243" s="141">
        <v>52773</v>
      </c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41"/>
        <v>192337</v>
      </c>
      <c r="AF243" s="2">
        <f t="shared" si="50"/>
        <v>0.72195722262339435</v>
      </c>
      <c r="AG243" s="2">
        <f t="shared" si="50"/>
        <v>0.71455066423547797</v>
      </c>
      <c r="AH243" s="2">
        <f t="shared" si="50"/>
        <v>0.70093904820093245</v>
      </c>
      <c r="AI243" s="2" t="str">
        <f t="shared" si="50"/>
        <v/>
      </c>
      <c r="AJ243" s="2" t="str">
        <f t="shared" si="50"/>
        <v/>
      </c>
      <c r="AK243" s="2" t="str">
        <f t="shared" si="50"/>
        <v/>
      </c>
      <c r="AL243" s="2" t="str">
        <f t="shared" si="50"/>
        <v/>
      </c>
      <c r="AM243" s="2" t="str">
        <f t="shared" si="50"/>
        <v/>
      </c>
      <c r="AN243" s="2" t="str">
        <f t="shared" si="50"/>
        <v/>
      </c>
      <c r="AO243" s="2" t="str">
        <f t="shared" si="48"/>
        <v/>
      </c>
      <c r="AP243" s="2" t="str">
        <f t="shared" si="48"/>
        <v/>
      </c>
      <c r="AQ243" s="2" t="str">
        <f t="shared" si="46"/>
        <v/>
      </c>
      <c r="AR243" s="2">
        <f t="shared" si="46"/>
        <v>0.71345057439713344</v>
      </c>
      <c r="AT243" s="2"/>
      <c r="AU243" s="2"/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42"/>
        <v>3.3852737720236074E-4</v>
      </c>
      <c r="BG243" s="9">
        <f t="shared" si="49"/>
        <v>1.0005906351148104</v>
      </c>
    </row>
    <row r="244" spans="2:59" x14ac:dyDescent="0.3">
      <c r="B244" s="3" t="s">
        <v>469</v>
      </c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>
        <f t="shared" si="40"/>
        <v>0</v>
      </c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41"/>
        <v>0</v>
      </c>
      <c r="AF244" s="2" t="str">
        <f t="shared" si="50"/>
        <v/>
      </c>
      <c r="AG244" s="2" t="str">
        <f t="shared" si="50"/>
        <v/>
      </c>
      <c r="AH244" s="2" t="str">
        <f t="shared" si="50"/>
        <v/>
      </c>
      <c r="AI244" s="2" t="str">
        <f t="shared" ref="AI244:AN256" si="51">+IFERROR(U244/G244,"")</f>
        <v/>
      </c>
      <c r="AJ244" s="2" t="str">
        <f t="shared" si="51"/>
        <v/>
      </c>
      <c r="AK244" s="2" t="str">
        <f t="shared" si="51"/>
        <v/>
      </c>
      <c r="AL244" s="2" t="str">
        <f t="shared" si="51"/>
        <v/>
      </c>
      <c r="AM244" s="2" t="str">
        <f t="shared" si="51"/>
        <v/>
      </c>
      <c r="AN244" s="2" t="str">
        <f t="shared" si="51"/>
        <v/>
      </c>
      <c r="AO244" s="2" t="str">
        <f t="shared" si="48"/>
        <v/>
      </c>
      <c r="AP244" s="2" t="str">
        <f t="shared" si="48"/>
        <v/>
      </c>
      <c r="AQ244" s="2" t="str">
        <f t="shared" si="46"/>
        <v/>
      </c>
      <c r="AR244" s="2" t="str">
        <f t="shared" si="46"/>
        <v/>
      </c>
      <c r="AT244" s="2"/>
      <c r="AU244" s="2"/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42"/>
        <v>0</v>
      </c>
      <c r="BG244" s="9">
        <f t="shared" si="49"/>
        <v>1.0003001788821417</v>
      </c>
    </row>
    <row r="245" spans="2:59" x14ac:dyDescent="0.3">
      <c r="B245" s="3" t="s">
        <v>470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40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41"/>
        <v>0</v>
      </c>
      <c r="AF245" s="2" t="str">
        <f t="shared" ref="AF245:AR257" si="52">+IFERROR(R245/D245,"")</f>
        <v/>
      </c>
      <c r="AG245" s="2" t="str">
        <f t="shared" si="52"/>
        <v/>
      </c>
      <c r="AH245" s="2" t="str">
        <f t="shared" si="52"/>
        <v/>
      </c>
      <c r="AI245" s="2" t="str">
        <f t="shared" si="51"/>
        <v/>
      </c>
      <c r="AJ245" s="2" t="str">
        <f t="shared" si="51"/>
        <v/>
      </c>
      <c r="AK245" s="2" t="str">
        <f t="shared" si="51"/>
        <v/>
      </c>
      <c r="AL245" s="2" t="str">
        <f t="shared" si="51"/>
        <v/>
      </c>
      <c r="AM245" s="2" t="str">
        <f t="shared" si="51"/>
        <v/>
      </c>
      <c r="AN245" s="2" t="str">
        <f t="shared" si="51"/>
        <v/>
      </c>
      <c r="AO245" s="2" t="str">
        <f t="shared" si="48"/>
        <v/>
      </c>
      <c r="AP245" s="2" t="str">
        <f t="shared" si="48"/>
        <v/>
      </c>
      <c r="AQ245" s="2" t="str">
        <f t="shared" si="46"/>
        <v/>
      </c>
      <c r="AR245" s="2" t="str">
        <f t="shared" si="46"/>
        <v/>
      </c>
      <c r="AT245" s="2"/>
      <c r="AU245" s="2"/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42"/>
        <v>0</v>
      </c>
      <c r="BG245" s="9">
        <f t="shared" si="49"/>
        <v>1.0005906351148104</v>
      </c>
    </row>
    <row r="246" spans="2:59" x14ac:dyDescent="0.3">
      <c r="B246" s="3" t="s">
        <v>471</v>
      </c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40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41"/>
        <v>0</v>
      </c>
      <c r="AF246" s="2" t="str">
        <f t="shared" si="52"/>
        <v/>
      </c>
      <c r="AG246" s="2" t="str">
        <f t="shared" si="52"/>
        <v/>
      </c>
      <c r="AH246" s="2" t="str">
        <f t="shared" si="52"/>
        <v/>
      </c>
      <c r="AI246" s="2" t="str">
        <f t="shared" si="51"/>
        <v/>
      </c>
      <c r="AJ246" s="2" t="str">
        <f t="shared" si="51"/>
        <v/>
      </c>
      <c r="AK246" s="2" t="str">
        <f t="shared" si="51"/>
        <v/>
      </c>
      <c r="AL246" s="2" t="str">
        <f t="shared" si="51"/>
        <v/>
      </c>
      <c r="AM246" s="2" t="str">
        <f t="shared" si="51"/>
        <v/>
      </c>
      <c r="AN246" s="2" t="str">
        <f t="shared" si="51"/>
        <v/>
      </c>
      <c r="AO246" s="2" t="str">
        <f t="shared" si="48"/>
        <v/>
      </c>
      <c r="AP246" s="2" t="str">
        <f t="shared" si="48"/>
        <v/>
      </c>
      <c r="AQ246" s="2" t="str">
        <f t="shared" si="46"/>
        <v/>
      </c>
      <c r="AR246" s="2" t="str">
        <f t="shared" si="46"/>
        <v/>
      </c>
      <c r="AT246" s="2"/>
      <c r="AU246" s="2"/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42"/>
        <v>0</v>
      </c>
      <c r="BG246" s="9">
        <f t="shared" si="49"/>
        <v>1.0003001788821417</v>
      </c>
    </row>
    <row r="247" spans="2:59" x14ac:dyDescent="0.3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40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41"/>
        <v>0</v>
      </c>
      <c r="AF247" s="2" t="str">
        <f t="shared" si="52"/>
        <v/>
      </c>
      <c r="AG247" s="2" t="str">
        <f t="shared" si="52"/>
        <v/>
      </c>
      <c r="AH247" s="2" t="str">
        <f t="shared" si="52"/>
        <v/>
      </c>
      <c r="AI247" s="2" t="str">
        <f t="shared" si="51"/>
        <v/>
      </c>
      <c r="AJ247" s="2" t="str">
        <f t="shared" si="51"/>
        <v/>
      </c>
      <c r="AK247" s="2" t="str">
        <f t="shared" si="51"/>
        <v/>
      </c>
      <c r="AL247" s="2" t="str">
        <f t="shared" si="51"/>
        <v/>
      </c>
      <c r="AM247" s="2" t="str">
        <f t="shared" si="51"/>
        <v/>
      </c>
      <c r="AN247" s="2" t="str">
        <f t="shared" si="51"/>
        <v/>
      </c>
      <c r="AO247" s="2" t="str">
        <f t="shared" si="48"/>
        <v/>
      </c>
      <c r="AP247" s="2" t="str">
        <f t="shared" si="48"/>
        <v/>
      </c>
      <c r="AQ247" s="2" t="str">
        <f t="shared" si="46"/>
        <v/>
      </c>
      <c r="AR247" s="2" t="str">
        <f t="shared" si="46"/>
        <v/>
      </c>
      <c r="AT247" s="2"/>
      <c r="AU247" s="2"/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42"/>
        <v>0</v>
      </c>
      <c r="BG247" s="9">
        <f t="shared" si="49"/>
        <v>1.0005906351148104</v>
      </c>
    </row>
    <row r="248" spans="2:59" x14ac:dyDescent="0.3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40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41"/>
        <v>0</v>
      </c>
      <c r="AF248" s="2" t="str">
        <f t="shared" si="52"/>
        <v/>
      </c>
      <c r="AG248" s="2" t="str">
        <f t="shared" si="52"/>
        <v/>
      </c>
      <c r="AH248" s="2" t="str">
        <f t="shared" si="52"/>
        <v/>
      </c>
      <c r="AI248" s="2" t="str">
        <f t="shared" si="51"/>
        <v/>
      </c>
      <c r="AJ248" s="2" t="str">
        <f t="shared" si="51"/>
        <v/>
      </c>
      <c r="AK248" s="2" t="str">
        <f t="shared" si="51"/>
        <v/>
      </c>
      <c r="AL248" s="2" t="str">
        <f t="shared" si="51"/>
        <v/>
      </c>
      <c r="AM248" s="2" t="str">
        <f t="shared" si="51"/>
        <v/>
      </c>
      <c r="AN248" s="2" t="str">
        <f t="shared" si="51"/>
        <v/>
      </c>
      <c r="AO248" s="2" t="str">
        <f t="shared" si="48"/>
        <v/>
      </c>
      <c r="AP248" s="2" t="str">
        <f t="shared" si="48"/>
        <v/>
      </c>
      <c r="AQ248" s="2" t="str">
        <f t="shared" si="46"/>
        <v/>
      </c>
      <c r="AR248" s="2" t="str">
        <f t="shared" si="46"/>
        <v/>
      </c>
      <c r="AT248" s="2"/>
      <c r="AU248" s="2"/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42"/>
        <v>0</v>
      </c>
      <c r="BG248" s="9">
        <f t="shared" si="49"/>
        <v>1.0003001788821417</v>
      </c>
    </row>
    <row r="249" spans="2:59" x14ac:dyDescent="0.3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40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41"/>
        <v>0</v>
      </c>
      <c r="AF249" s="2" t="str">
        <f t="shared" si="52"/>
        <v/>
      </c>
      <c r="AG249" s="2" t="str">
        <f t="shared" si="52"/>
        <v/>
      </c>
      <c r="AH249" s="2" t="str">
        <f t="shared" si="52"/>
        <v/>
      </c>
      <c r="AI249" s="2" t="str">
        <f t="shared" si="51"/>
        <v/>
      </c>
      <c r="AJ249" s="2" t="str">
        <f t="shared" si="51"/>
        <v/>
      </c>
      <c r="AK249" s="2" t="str">
        <f t="shared" si="51"/>
        <v/>
      </c>
      <c r="AL249" s="2" t="str">
        <f t="shared" si="51"/>
        <v/>
      </c>
      <c r="AM249" s="2" t="str">
        <f t="shared" si="51"/>
        <v/>
      </c>
      <c r="AN249" s="2" t="str">
        <f t="shared" si="51"/>
        <v/>
      </c>
      <c r="AO249" s="2" t="str">
        <f t="shared" si="48"/>
        <v/>
      </c>
      <c r="AP249" s="2" t="str">
        <f t="shared" si="48"/>
        <v/>
      </c>
      <c r="AQ249" s="2" t="str">
        <f t="shared" si="46"/>
        <v/>
      </c>
      <c r="AR249" s="2" t="str">
        <f t="shared" si="46"/>
        <v/>
      </c>
      <c r="AT249" s="2"/>
      <c r="AU249" s="2"/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42"/>
        <v>0</v>
      </c>
      <c r="BG249" s="9">
        <f t="shared" si="49"/>
        <v>1.0005906351148104</v>
      </c>
    </row>
    <row r="250" spans="2:59" x14ac:dyDescent="0.3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40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41"/>
        <v>0</v>
      </c>
      <c r="AF250" s="2" t="str">
        <f t="shared" si="52"/>
        <v/>
      </c>
      <c r="AG250" s="2" t="str">
        <f t="shared" si="52"/>
        <v/>
      </c>
      <c r="AH250" s="2" t="str">
        <f t="shared" si="52"/>
        <v/>
      </c>
      <c r="AI250" s="2" t="str">
        <f t="shared" si="51"/>
        <v/>
      </c>
      <c r="AJ250" s="2" t="str">
        <f t="shared" si="51"/>
        <v/>
      </c>
      <c r="AK250" s="2" t="str">
        <f t="shared" si="51"/>
        <v/>
      </c>
      <c r="AL250" s="2" t="str">
        <f t="shared" si="51"/>
        <v/>
      </c>
      <c r="AM250" s="2" t="str">
        <f t="shared" si="51"/>
        <v/>
      </c>
      <c r="AN250" s="2" t="str">
        <f t="shared" si="51"/>
        <v/>
      </c>
      <c r="AO250" s="2" t="str">
        <f t="shared" si="48"/>
        <v/>
      </c>
      <c r="AP250" s="2" t="str">
        <f t="shared" si="48"/>
        <v/>
      </c>
      <c r="AQ250" s="2" t="str">
        <f t="shared" si="46"/>
        <v/>
      </c>
      <c r="AR250" s="2" t="str">
        <f t="shared" si="46"/>
        <v/>
      </c>
      <c r="AT250" s="2"/>
      <c r="AU250" s="2"/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42"/>
        <v>0</v>
      </c>
      <c r="BG250" s="9">
        <f t="shared" si="49"/>
        <v>1.0003001788821417</v>
      </c>
    </row>
    <row r="251" spans="2:59" x14ac:dyDescent="0.3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40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41"/>
        <v>0</v>
      </c>
      <c r="AF251" s="2" t="str">
        <f t="shared" si="52"/>
        <v/>
      </c>
      <c r="AG251" s="2" t="str">
        <f t="shared" si="52"/>
        <v/>
      </c>
      <c r="AH251" s="2" t="str">
        <f t="shared" si="52"/>
        <v/>
      </c>
      <c r="AI251" s="2" t="str">
        <f t="shared" si="51"/>
        <v/>
      </c>
      <c r="AJ251" s="2" t="str">
        <f t="shared" si="51"/>
        <v/>
      </c>
      <c r="AK251" s="2" t="str">
        <f t="shared" si="51"/>
        <v/>
      </c>
      <c r="AL251" s="2" t="str">
        <f t="shared" si="51"/>
        <v/>
      </c>
      <c r="AM251" s="2" t="str">
        <f t="shared" si="51"/>
        <v/>
      </c>
      <c r="AN251" s="2" t="str">
        <f t="shared" si="51"/>
        <v/>
      </c>
      <c r="AO251" s="2" t="str">
        <f t="shared" si="48"/>
        <v/>
      </c>
      <c r="AP251" s="2" t="str">
        <f t="shared" si="48"/>
        <v/>
      </c>
      <c r="AQ251" s="2" t="str">
        <f t="shared" si="46"/>
        <v/>
      </c>
      <c r="AR251" s="2" t="str">
        <f t="shared" si="46"/>
        <v/>
      </c>
      <c r="AT251" s="2"/>
      <c r="AU251" s="2"/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42"/>
        <v>0</v>
      </c>
      <c r="BG251" s="9">
        <f t="shared" si="49"/>
        <v>1.0005906351148104</v>
      </c>
    </row>
    <row r="252" spans="2:59" x14ac:dyDescent="0.3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40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41"/>
        <v>0</v>
      </c>
      <c r="AF252" s="2" t="str">
        <f t="shared" si="52"/>
        <v/>
      </c>
      <c r="AG252" s="2" t="str">
        <f t="shared" si="52"/>
        <v/>
      </c>
      <c r="AH252" s="2" t="str">
        <f t="shared" si="52"/>
        <v/>
      </c>
      <c r="AI252" s="2" t="str">
        <f t="shared" si="51"/>
        <v/>
      </c>
      <c r="AJ252" s="2" t="str">
        <f t="shared" si="51"/>
        <v/>
      </c>
      <c r="AK252" s="2" t="str">
        <f t="shared" si="51"/>
        <v/>
      </c>
      <c r="AL252" s="2" t="str">
        <f t="shared" si="51"/>
        <v/>
      </c>
      <c r="AM252" s="2" t="str">
        <f t="shared" si="51"/>
        <v/>
      </c>
      <c r="AN252" s="2" t="str">
        <f t="shared" si="51"/>
        <v/>
      </c>
      <c r="AO252" s="2" t="str">
        <f t="shared" si="48"/>
        <v/>
      </c>
      <c r="AP252" s="2" t="str">
        <f t="shared" si="48"/>
        <v/>
      </c>
      <c r="AQ252" s="2" t="str">
        <f t="shared" si="46"/>
        <v/>
      </c>
      <c r="AR252" s="2" t="str">
        <f t="shared" si="46"/>
        <v/>
      </c>
      <c r="AT252" s="2"/>
      <c r="AU252" s="2"/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42"/>
        <v>0</v>
      </c>
      <c r="BG252" s="9">
        <f t="shared" si="49"/>
        <v>1.0003001788821417</v>
      </c>
    </row>
    <row r="253" spans="2:59" x14ac:dyDescent="0.3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40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41"/>
        <v>0</v>
      </c>
      <c r="AF253" s="2" t="str">
        <f t="shared" si="52"/>
        <v/>
      </c>
      <c r="AG253" s="2" t="str">
        <f t="shared" si="52"/>
        <v/>
      </c>
      <c r="AH253" s="2" t="str">
        <f t="shared" si="52"/>
        <v/>
      </c>
      <c r="AI253" s="2" t="str">
        <f t="shared" si="51"/>
        <v/>
      </c>
      <c r="AJ253" s="2" t="str">
        <f t="shared" si="51"/>
        <v/>
      </c>
      <c r="AK253" s="2" t="str">
        <f t="shared" si="51"/>
        <v/>
      </c>
      <c r="AL253" s="2" t="str">
        <f t="shared" si="51"/>
        <v/>
      </c>
      <c r="AM253" s="2" t="str">
        <f t="shared" si="51"/>
        <v/>
      </c>
      <c r="AN253" s="2" t="str">
        <f t="shared" si="51"/>
        <v/>
      </c>
      <c r="AO253" s="2" t="str">
        <f t="shared" si="48"/>
        <v/>
      </c>
      <c r="AP253" s="2" t="str">
        <f t="shared" si="48"/>
        <v/>
      </c>
      <c r="AQ253" s="2" t="str">
        <f t="shared" si="46"/>
        <v/>
      </c>
      <c r="AR253" s="2" t="str">
        <f t="shared" si="46"/>
        <v/>
      </c>
      <c r="AT253" s="2"/>
      <c r="AU253" s="2"/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42"/>
        <v>0</v>
      </c>
      <c r="BG253" s="9">
        <f t="shared" si="49"/>
        <v>1.0005906351148104</v>
      </c>
    </row>
    <row r="254" spans="2:59" x14ac:dyDescent="0.3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40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41"/>
        <v>0</v>
      </c>
      <c r="AF254" s="2" t="str">
        <f t="shared" si="52"/>
        <v/>
      </c>
      <c r="AG254" s="2" t="str">
        <f t="shared" si="52"/>
        <v/>
      </c>
      <c r="AH254" s="2" t="str">
        <f t="shared" si="52"/>
        <v/>
      </c>
      <c r="AI254" s="2" t="str">
        <f t="shared" si="51"/>
        <v/>
      </c>
      <c r="AJ254" s="2" t="str">
        <f t="shared" si="51"/>
        <v/>
      </c>
      <c r="AK254" s="2" t="str">
        <f t="shared" si="51"/>
        <v/>
      </c>
      <c r="AL254" s="2" t="str">
        <f t="shared" si="51"/>
        <v/>
      </c>
      <c r="AM254" s="2" t="str">
        <f t="shared" si="51"/>
        <v/>
      </c>
      <c r="AN254" s="2" t="str">
        <f t="shared" si="51"/>
        <v/>
      </c>
      <c r="AO254" s="2" t="str">
        <f t="shared" si="48"/>
        <v/>
      </c>
      <c r="AP254" s="2" t="str">
        <f t="shared" si="48"/>
        <v/>
      </c>
      <c r="AQ254" s="2" t="str">
        <f t="shared" si="46"/>
        <v/>
      </c>
      <c r="AR254" s="2" t="str">
        <f t="shared" si="46"/>
        <v/>
      </c>
      <c r="AT254" s="2"/>
      <c r="AU254" s="2"/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42"/>
        <v>0</v>
      </c>
      <c r="BG254" s="9">
        <f t="shared" si="49"/>
        <v>1.0003001788821417</v>
      </c>
    </row>
    <row r="255" spans="2:59" x14ac:dyDescent="0.3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40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41"/>
        <v>0</v>
      </c>
      <c r="AF255" s="2" t="str">
        <f t="shared" si="52"/>
        <v/>
      </c>
      <c r="AG255" s="2" t="str">
        <f t="shared" si="52"/>
        <v/>
      </c>
      <c r="AH255" s="2" t="str">
        <f t="shared" si="52"/>
        <v/>
      </c>
      <c r="AI255" s="2" t="str">
        <f t="shared" si="51"/>
        <v/>
      </c>
      <c r="AJ255" s="2" t="str">
        <f t="shared" si="51"/>
        <v/>
      </c>
      <c r="AK255" s="2" t="str">
        <f t="shared" si="51"/>
        <v/>
      </c>
      <c r="AL255" s="2" t="str">
        <f t="shared" si="51"/>
        <v/>
      </c>
      <c r="AM255" s="2" t="str">
        <f t="shared" si="51"/>
        <v/>
      </c>
      <c r="AN255" s="2" t="str">
        <f t="shared" si="51"/>
        <v/>
      </c>
      <c r="AO255" s="2" t="str">
        <f t="shared" si="48"/>
        <v/>
      </c>
      <c r="AP255" s="2" t="str">
        <f t="shared" si="48"/>
        <v/>
      </c>
      <c r="AQ255" s="2" t="str">
        <f t="shared" si="46"/>
        <v/>
      </c>
      <c r="AR255" s="2" t="str">
        <f t="shared" si="46"/>
        <v/>
      </c>
      <c r="AT255" s="2"/>
      <c r="AU255" s="2"/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42"/>
        <v>0</v>
      </c>
      <c r="BG255" s="9">
        <f t="shared" si="49"/>
        <v>1.0005906351148104</v>
      </c>
    </row>
    <row r="256" spans="2:59" x14ac:dyDescent="0.3">
      <c r="B256" s="3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>
        <f t="shared" si="40"/>
        <v>0</v>
      </c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>
        <f t="shared" si="41"/>
        <v>0</v>
      </c>
      <c r="AF256" s="2" t="str">
        <f t="shared" si="52"/>
        <v/>
      </c>
      <c r="AG256" s="2" t="str">
        <f t="shared" si="52"/>
        <v/>
      </c>
      <c r="AH256" s="2" t="str">
        <f t="shared" si="52"/>
        <v/>
      </c>
      <c r="AI256" s="2" t="str">
        <f t="shared" si="51"/>
        <v/>
      </c>
      <c r="AJ256" s="2" t="str">
        <f t="shared" si="51"/>
        <v/>
      </c>
      <c r="AK256" s="2" t="str">
        <f t="shared" si="51"/>
        <v/>
      </c>
      <c r="AL256" s="2" t="str">
        <f t="shared" si="51"/>
        <v/>
      </c>
      <c r="AM256" s="2" t="str">
        <f t="shared" si="51"/>
        <v/>
      </c>
      <c r="AN256" s="2" t="str">
        <f t="shared" si="51"/>
        <v/>
      </c>
      <c r="AO256" s="2" t="str">
        <f t="shared" si="48"/>
        <v/>
      </c>
      <c r="AP256" s="2" t="str">
        <f t="shared" si="48"/>
        <v/>
      </c>
      <c r="AQ256" s="2" t="str">
        <f t="shared" si="46"/>
        <v/>
      </c>
      <c r="AR256" s="2" t="str">
        <f t="shared" si="46"/>
        <v/>
      </c>
      <c r="AT256" s="2"/>
      <c r="AU256" s="2"/>
      <c r="AV256" s="143"/>
      <c r="AW256" s="143"/>
      <c r="AX256" s="143"/>
      <c r="AY256" s="143"/>
      <c r="AZ256" s="143"/>
      <c r="BA256" s="143"/>
      <c r="BB256" s="143"/>
      <c r="BC256" s="143"/>
      <c r="BD256" s="143"/>
      <c r="BF256" s="9">
        <f t="shared" si="42"/>
        <v>0</v>
      </c>
      <c r="BG256" s="9">
        <f t="shared" si="49"/>
        <v>1.0003001788821417</v>
      </c>
    </row>
    <row r="257" spans="2:59" s="17" customFormat="1" x14ac:dyDescent="0.3">
      <c r="B257" s="3" t="s">
        <v>287</v>
      </c>
      <c r="D257" s="144">
        <f t="shared" ref="D257:P257" si="53">+SUM(D5:D214)</f>
        <v>268486115</v>
      </c>
      <c r="E257" s="144">
        <f t="shared" si="53"/>
        <v>254021464</v>
      </c>
      <c r="F257" s="144">
        <f t="shared" si="53"/>
        <v>264416463</v>
      </c>
      <c r="G257" s="144">
        <f t="shared" si="53"/>
        <v>0</v>
      </c>
      <c r="H257" s="144">
        <f t="shared" si="53"/>
        <v>0</v>
      </c>
      <c r="I257" s="144">
        <f t="shared" si="53"/>
        <v>0</v>
      </c>
      <c r="J257" s="144">
        <f t="shared" si="53"/>
        <v>0</v>
      </c>
      <c r="K257" s="144">
        <f t="shared" si="53"/>
        <v>0</v>
      </c>
      <c r="L257" s="144">
        <f t="shared" si="53"/>
        <v>0</v>
      </c>
      <c r="M257" s="144">
        <f t="shared" si="53"/>
        <v>0</v>
      </c>
      <c r="N257" s="144">
        <f t="shared" si="53"/>
        <v>0</v>
      </c>
      <c r="O257" s="144">
        <f t="shared" si="53"/>
        <v>0</v>
      </c>
      <c r="P257" s="144">
        <f t="shared" si="53"/>
        <v>786924042</v>
      </c>
      <c r="R257" s="144">
        <f t="shared" ref="R257:AD257" si="54">+SUM(R5:R214)</f>
        <v>193442432</v>
      </c>
      <c r="S257" s="144">
        <f t="shared" si="54"/>
        <v>184104570</v>
      </c>
      <c r="T257" s="144">
        <f t="shared" si="54"/>
        <v>190610887</v>
      </c>
      <c r="U257" s="144">
        <f t="shared" si="54"/>
        <v>0</v>
      </c>
      <c r="V257" s="144">
        <f t="shared" si="54"/>
        <v>0</v>
      </c>
      <c r="W257" s="144">
        <f t="shared" si="54"/>
        <v>0</v>
      </c>
      <c r="X257" s="144">
        <f t="shared" si="54"/>
        <v>0</v>
      </c>
      <c r="Y257" s="144">
        <f t="shared" si="54"/>
        <v>0</v>
      </c>
      <c r="Z257" s="144">
        <f t="shared" si="54"/>
        <v>0</v>
      </c>
      <c r="AA257" s="144">
        <f t="shared" si="54"/>
        <v>0</v>
      </c>
      <c r="AB257" s="144">
        <f t="shared" si="54"/>
        <v>0</v>
      </c>
      <c r="AC257" s="144">
        <f t="shared" si="54"/>
        <v>0</v>
      </c>
      <c r="AD257" s="144">
        <f t="shared" si="54"/>
        <v>568157889</v>
      </c>
      <c r="AF257" s="7">
        <f t="shared" si="52"/>
        <v>0.72049324412921689</v>
      </c>
      <c r="AG257" s="7">
        <f t="shared" si="52"/>
        <v>0.72475989666762963</v>
      </c>
      <c r="AH257" s="7">
        <f t="shared" si="52"/>
        <v>0.72087374907514745</v>
      </c>
      <c r="AI257" s="7" t="str">
        <f t="shared" si="52"/>
        <v/>
      </c>
      <c r="AJ257" s="7" t="str">
        <f t="shared" si="52"/>
        <v/>
      </c>
      <c r="AK257" s="7" t="str">
        <f t="shared" si="52"/>
        <v/>
      </c>
      <c r="AL257" s="7" t="str">
        <f t="shared" si="52"/>
        <v/>
      </c>
      <c r="AM257" s="7" t="str">
        <f t="shared" si="52"/>
        <v/>
      </c>
      <c r="AN257" s="7" t="str">
        <f t="shared" si="52"/>
        <v/>
      </c>
      <c r="AO257" s="7" t="str">
        <f t="shared" si="52"/>
        <v/>
      </c>
      <c r="AP257" s="7" t="str">
        <f t="shared" si="52"/>
        <v/>
      </c>
      <c r="AQ257" s="2" t="str">
        <f t="shared" si="52"/>
        <v/>
      </c>
      <c r="AR257" s="2">
        <f t="shared" si="52"/>
        <v>0.7219983869802773</v>
      </c>
      <c r="AT257" s="7" t="str">
        <f>+IFERROR(AM257-AL257,"")</f>
        <v/>
      </c>
      <c r="AU257" s="7" t="str">
        <f>+IFERROR(AN257-AM257,"")</f>
        <v/>
      </c>
      <c r="AV257" s="145" t="str">
        <f t="shared" ref="AV257:BD257" si="55">+IFERROR(AI257-AH257,"")</f>
        <v/>
      </c>
      <c r="AW257" s="145" t="str">
        <f t="shared" si="55"/>
        <v/>
      </c>
      <c r="AX257" s="145" t="str">
        <f t="shared" si="55"/>
        <v/>
      </c>
      <c r="AY257" s="145" t="str">
        <f t="shared" si="55"/>
        <v/>
      </c>
      <c r="AZ257" s="145" t="str">
        <f t="shared" si="55"/>
        <v/>
      </c>
      <c r="BA257" s="145" t="str">
        <f t="shared" si="55"/>
        <v/>
      </c>
      <c r="BB257" s="145" t="str">
        <f t="shared" si="55"/>
        <v/>
      </c>
      <c r="BC257" s="145" t="str">
        <f t="shared" si="55"/>
        <v/>
      </c>
      <c r="BD257" s="145" t="str">
        <f t="shared" si="55"/>
        <v/>
      </c>
      <c r="BF257" s="10">
        <f>+AD257/$AD$257</f>
        <v>1</v>
      </c>
      <c r="BG257" s="10"/>
    </row>
    <row r="258" spans="2:59" x14ac:dyDescent="0.3">
      <c r="E258" s="148"/>
      <c r="S258" s="148"/>
    </row>
    <row r="259" spans="2:59" x14ac:dyDescent="0.3">
      <c r="E259" s="148"/>
      <c r="S259" s="148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6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5546875" defaultRowHeight="14.4" outlineLevelCol="1" x14ac:dyDescent="0.3"/>
  <cols>
    <col min="1" max="1" width="1.33203125" style="155" customWidth="1"/>
    <col min="2" max="2" width="63.33203125" style="155" customWidth="1"/>
    <col min="3" max="3" width="1.21875" style="155" customWidth="1"/>
    <col min="4" max="4" width="16.5546875" style="155" hidden="1" customWidth="1" outlineLevel="1"/>
    <col min="5" max="5" width="15.5546875" style="155" customWidth="1" outlineLevel="1"/>
    <col min="6" max="6" width="15.44140625" style="155" bestFit="1" customWidth="1" outlineLevel="1"/>
    <col min="7" max="12" width="16.5546875" style="155" hidden="1" customWidth="1" outlineLevel="1"/>
    <col min="13" max="13" width="15.44140625" style="155" hidden="1" customWidth="1" outlineLevel="1"/>
    <col min="14" max="15" width="16.5546875" style="155" hidden="1" customWidth="1" outlineLevel="1"/>
    <col min="16" max="16" width="16.5546875" style="155" bestFit="1" customWidth="1" outlineLevel="1"/>
    <col min="17" max="17" width="0.88671875" style="155" customWidth="1"/>
    <col min="18" max="18" width="11.88671875" style="155" hidden="1" customWidth="1" outlineLevel="1"/>
    <col min="19" max="19" width="10.109375" style="155" bestFit="1" customWidth="1" outlineLevel="1"/>
    <col min="20" max="20" width="10.109375" style="155" customWidth="1" outlineLevel="1"/>
    <col min="21" max="21" width="10.109375" style="155" hidden="1" customWidth="1" outlineLevel="1"/>
    <col min="22" max="29" width="11.88671875" style="155" hidden="1" customWidth="1" outlineLevel="1"/>
    <col min="30" max="30" width="11.88671875" style="155" bestFit="1" customWidth="1" outlineLevel="1"/>
    <col min="31" max="31" width="1.6640625" style="155" customWidth="1"/>
    <col min="32" max="54" width="11.5546875" style="155" customWidth="1"/>
    <col min="55" max="16384" width="11.5546875" style="155"/>
  </cols>
  <sheetData>
    <row r="1" spans="2:30" ht="22.95" customHeight="1" x14ac:dyDescent="0.3"/>
    <row r="2" spans="2:30" x14ac:dyDescent="0.3">
      <c r="D2" s="256" t="s">
        <v>307</v>
      </c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260" t="s">
        <v>308</v>
      </c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</row>
    <row r="3" spans="2:30" ht="4.95" customHeight="1" x14ac:dyDescent="0.3"/>
    <row r="4" spans="2:30" ht="17.399999999999999" customHeight="1" x14ac:dyDescent="0.3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44</v>
      </c>
    </row>
    <row r="5" spans="2:30" x14ac:dyDescent="0.3">
      <c r="B5" s="3" t="s">
        <v>88</v>
      </c>
      <c r="D5" s="141">
        <v>17487169</v>
      </c>
      <c r="E5" s="141">
        <v>18517978</v>
      </c>
      <c r="F5" s="141">
        <v>22872586</v>
      </c>
      <c r="G5" s="141"/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58877733</v>
      </c>
      <c r="R5" s="146">
        <v>197333</v>
      </c>
      <c r="S5" s="146">
        <v>206773</v>
      </c>
      <c r="T5" s="146">
        <v>280888</v>
      </c>
      <c r="U5" s="146"/>
      <c r="V5" s="146"/>
      <c r="W5" s="146"/>
      <c r="X5" s="146"/>
      <c r="Y5" s="146"/>
      <c r="Z5" s="146"/>
      <c r="AA5" s="146"/>
      <c r="AB5" s="146"/>
      <c r="AC5" s="146"/>
      <c r="AD5" s="146">
        <f t="shared" ref="AD5:AD68" si="1">+SUM(R5:AC5)</f>
        <v>684994</v>
      </c>
    </row>
    <row r="6" spans="2:30" x14ac:dyDescent="0.3">
      <c r="B6" s="3" t="s">
        <v>98</v>
      </c>
      <c r="D6" s="141">
        <v>4438757</v>
      </c>
      <c r="E6" s="141">
        <v>4183009</v>
      </c>
      <c r="F6" s="141">
        <v>4570886</v>
      </c>
      <c r="G6" s="141"/>
      <c r="H6" s="141"/>
      <c r="I6" s="141"/>
      <c r="J6" s="141"/>
      <c r="K6" s="141"/>
      <c r="L6" s="141"/>
      <c r="M6" s="141"/>
      <c r="N6" s="141"/>
      <c r="O6" s="141"/>
      <c r="P6" s="141">
        <f t="shared" si="0"/>
        <v>13192652</v>
      </c>
      <c r="R6" s="146">
        <v>15526</v>
      </c>
      <c r="S6" s="146">
        <v>15470</v>
      </c>
      <c r="T6" s="146">
        <v>15554</v>
      </c>
      <c r="U6" s="146"/>
      <c r="V6" s="146"/>
      <c r="W6" s="146"/>
      <c r="X6" s="146"/>
      <c r="Y6" s="146"/>
      <c r="Z6" s="146"/>
      <c r="AA6" s="146"/>
      <c r="AB6" s="146"/>
      <c r="AC6" s="146"/>
      <c r="AD6" s="146">
        <f t="shared" si="1"/>
        <v>46550</v>
      </c>
    </row>
    <row r="7" spans="2:30" x14ac:dyDescent="0.3">
      <c r="B7" s="3" t="s">
        <v>91</v>
      </c>
      <c r="D7" s="141">
        <v>17879694</v>
      </c>
      <c r="E7" s="141">
        <v>17889587</v>
      </c>
      <c r="F7" s="141">
        <v>19709051</v>
      </c>
      <c r="G7" s="141"/>
      <c r="H7" s="141"/>
      <c r="I7" s="141"/>
      <c r="J7" s="141"/>
      <c r="K7" s="141"/>
      <c r="L7" s="141"/>
      <c r="M7" s="141"/>
      <c r="N7" s="141"/>
      <c r="O7" s="141"/>
      <c r="P7" s="141">
        <f t="shared" si="0"/>
        <v>55478332</v>
      </c>
      <c r="R7" s="146">
        <v>97629</v>
      </c>
      <c r="S7" s="146">
        <v>96618</v>
      </c>
      <c r="T7" s="146">
        <v>103126</v>
      </c>
      <c r="U7" s="146"/>
      <c r="V7" s="146"/>
      <c r="W7" s="146"/>
      <c r="X7" s="146"/>
      <c r="Y7" s="146"/>
      <c r="Z7" s="146"/>
      <c r="AA7" s="146"/>
      <c r="AB7" s="146"/>
      <c r="AC7" s="146"/>
      <c r="AD7" s="146">
        <f t="shared" si="1"/>
        <v>297373</v>
      </c>
    </row>
    <row r="8" spans="2:30" x14ac:dyDescent="0.3">
      <c r="B8" s="3" t="s">
        <v>97</v>
      </c>
      <c r="D8" s="141">
        <v>1601462</v>
      </c>
      <c r="E8" s="141">
        <v>1650086</v>
      </c>
      <c r="F8" s="141">
        <v>1154116</v>
      </c>
      <c r="G8" s="141"/>
      <c r="H8" s="141"/>
      <c r="I8" s="141"/>
      <c r="J8" s="141"/>
      <c r="K8" s="141"/>
      <c r="L8" s="141"/>
      <c r="M8" s="141"/>
      <c r="N8" s="141"/>
      <c r="O8" s="141"/>
      <c r="P8" s="141">
        <f t="shared" si="0"/>
        <v>4405664</v>
      </c>
      <c r="R8" s="146">
        <v>6418</v>
      </c>
      <c r="S8" s="146">
        <v>6152</v>
      </c>
      <c r="T8" s="146">
        <v>5426</v>
      </c>
      <c r="U8" s="146"/>
      <c r="V8" s="146"/>
      <c r="W8" s="146"/>
      <c r="X8" s="146"/>
      <c r="Y8" s="146"/>
      <c r="Z8" s="146"/>
      <c r="AA8" s="146"/>
      <c r="AB8" s="146"/>
      <c r="AC8" s="146"/>
      <c r="AD8" s="146">
        <f t="shared" si="1"/>
        <v>17996</v>
      </c>
    </row>
    <row r="9" spans="2:30" x14ac:dyDescent="0.3">
      <c r="B9" s="3" t="s">
        <v>87</v>
      </c>
      <c r="D9" s="141">
        <v>9344358</v>
      </c>
      <c r="E9" s="141">
        <v>9041475</v>
      </c>
      <c r="F9" s="141">
        <v>9295805</v>
      </c>
      <c r="G9" s="141"/>
      <c r="H9" s="141"/>
      <c r="I9" s="141"/>
      <c r="J9" s="141"/>
      <c r="K9" s="141"/>
      <c r="L9" s="141"/>
      <c r="M9" s="141"/>
      <c r="N9" s="141"/>
      <c r="O9" s="141"/>
      <c r="P9" s="141">
        <f t="shared" si="0"/>
        <v>27681638</v>
      </c>
      <c r="R9" s="146">
        <v>101176</v>
      </c>
      <c r="S9" s="146">
        <v>99587</v>
      </c>
      <c r="T9" s="146">
        <v>103833</v>
      </c>
      <c r="U9" s="146"/>
      <c r="V9" s="146"/>
      <c r="W9" s="146"/>
      <c r="X9" s="146"/>
      <c r="Y9" s="146"/>
      <c r="Z9" s="146"/>
      <c r="AA9" s="146"/>
      <c r="AB9" s="146"/>
      <c r="AC9" s="146"/>
      <c r="AD9" s="146">
        <f t="shared" si="1"/>
        <v>304596</v>
      </c>
    </row>
    <row r="10" spans="2:30" x14ac:dyDescent="0.3">
      <c r="B10" s="3" t="s">
        <v>90</v>
      </c>
      <c r="D10" s="141">
        <v>10519936</v>
      </c>
      <c r="E10" s="141">
        <v>9472550</v>
      </c>
      <c r="F10" s="141">
        <v>10477904</v>
      </c>
      <c r="G10" s="141"/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30470390</v>
      </c>
      <c r="R10" s="146">
        <v>143169</v>
      </c>
      <c r="S10" s="146">
        <v>132213</v>
      </c>
      <c r="T10" s="146">
        <v>143402</v>
      </c>
      <c r="U10" s="146"/>
      <c r="V10" s="146"/>
      <c r="W10" s="146"/>
      <c r="X10" s="146"/>
      <c r="Y10" s="146"/>
      <c r="Z10" s="146"/>
      <c r="AA10" s="146"/>
      <c r="AB10" s="146"/>
      <c r="AC10" s="146"/>
      <c r="AD10" s="146">
        <f t="shared" si="1"/>
        <v>418784</v>
      </c>
    </row>
    <row r="11" spans="2:30" x14ac:dyDescent="0.3">
      <c r="B11" s="3" t="s">
        <v>89</v>
      </c>
      <c r="D11" s="141">
        <v>9069843</v>
      </c>
      <c r="E11" s="141">
        <v>8698772</v>
      </c>
      <c r="F11" s="141">
        <v>11703037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29471652</v>
      </c>
      <c r="R11" s="146">
        <v>99980</v>
      </c>
      <c r="S11" s="146">
        <v>96830</v>
      </c>
      <c r="T11" s="146">
        <v>108720</v>
      </c>
      <c r="U11" s="146"/>
      <c r="V11" s="146"/>
      <c r="W11" s="146"/>
      <c r="X11" s="146"/>
      <c r="Y11" s="146"/>
      <c r="Z11" s="146"/>
      <c r="AA11" s="146"/>
      <c r="AB11" s="146"/>
      <c r="AC11" s="146"/>
      <c r="AD11" s="146">
        <f t="shared" si="1"/>
        <v>305530</v>
      </c>
    </row>
    <row r="12" spans="2:30" x14ac:dyDescent="0.3">
      <c r="B12" s="3" t="s">
        <v>92</v>
      </c>
      <c r="D12" s="141">
        <v>4623035</v>
      </c>
      <c r="E12" s="141">
        <v>4174803</v>
      </c>
      <c r="F12" s="141">
        <v>4273704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13071542</v>
      </c>
      <c r="R12" s="146">
        <v>17501</v>
      </c>
      <c r="S12" s="146">
        <v>15551</v>
      </c>
      <c r="T12" s="146">
        <v>15418</v>
      </c>
      <c r="U12" s="146"/>
      <c r="V12" s="146"/>
      <c r="W12" s="146"/>
      <c r="X12" s="146"/>
      <c r="Y12" s="146"/>
      <c r="Z12" s="146"/>
      <c r="AA12" s="146"/>
      <c r="AB12" s="146"/>
      <c r="AC12" s="146"/>
      <c r="AD12" s="146">
        <f t="shared" si="1"/>
        <v>48470</v>
      </c>
    </row>
    <row r="13" spans="2:30" x14ac:dyDescent="0.3">
      <c r="B13" s="3" t="s">
        <v>121</v>
      </c>
      <c r="D13" s="141">
        <v>418152</v>
      </c>
      <c r="E13" s="141">
        <v>450825</v>
      </c>
      <c r="F13" s="141">
        <v>443596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1312573</v>
      </c>
      <c r="R13" s="146">
        <v>632</v>
      </c>
      <c r="S13" s="146">
        <v>568</v>
      </c>
      <c r="T13" s="146">
        <v>546</v>
      </c>
      <c r="U13" s="146"/>
      <c r="V13" s="146"/>
      <c r="W13" s="146"/>
      <c r="X13" s="146"/>
      <c r="Y13" s="146"/>
      <c r="Z13" s="146"/>
      <c r="AA13" s="146"/>
      <c r="AB13" s="146"/>
      <c r="AC13" s="146"/>
      <c r="AD13" s="146">
        <f t="shared" si="1"/>
        <v>1746</v>
      </c>
    </row>
    <row r="14" spans="2:30" x14ac:dyDescent="0.3">
      <c r="B14" s="3" t="s">
        <v>106</v>
      </c>
      <c r="D14" s="141">
        <v>2089033</v>
      </c>
      <c r="E14" s="141">
        <v>1743552</v>
      </c>
      <c r="F14" s="141">
        <v>1899735</v>
      </c>
      <c r="G14" s="141"/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5732320</v>
      </c>
      <c r="R14" s="146">
        <v>13887</v>
      </c>
      <c r="S14" s="146">
        <v>12663</v>
      </c>
      <c r="T14" s="146">
        <v>12988</v>
      </c>
      <c r="U14" s="146"/>
      <c r="V14" s="146"/>
      <c r="W14" s="146"/>
      <c r="X14" s="146"/>
      <c r="Y14" s="146"/>
      <c r="Z14" s="146"/>
      <c r="AA14" s="146"/>
      <c r="AB14" s="146"/>
      <c r="AC14" s="146"/>
      <c r="AD14" s="146">
        <f t="shared" si="1"/>
        <v>39538</v>
      </c>
    </row>
    <row r="15" spans="2:30" x14ac:dyDescent="0.3">
      <c r="B15" s="3" t="s">
        <v>93</v>
      </c>
      <c r="D15" s="141">
        <v>4096127</v>
      </c>
      <c r="E15" s="141">
        <v>3929537</v>
      </c>
      <c r="F15" s="141">
        <v>4111919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12137583</v>
      </c>
      <c r="R15" s="146">
        <v>116468</v>
      </c>
      <c r="S15" s="146">
        <v>115901</v>
      </c>
      <c r="T15" s="146">
        <v>120256</v>
      </c>
      <c r="U15" s="146"/>
      <c r="V15" s="146"/>
      <c r="W15" s="146"/>
      <c r="X15" s="146"/>
      <c r="Y15" s="146"/>
      <c r="Z15" s="146"/>
      <c r="AA15" s="146"/>
      <c r="AB15" s="146"/>
      <c r="AC15" s="146"/>
      <c r="AD15" s="146">
        <f t="shared" si="1"/>
        <v>352625</v>
      </c>
    </row>
    <row r="16" spans="2:30" x14ac:dyDescent="0.3">
      <c r="B16" s="3" t="s">
        <v>96</v>
      </c>
      <c r="D16" s="141">
        <v>4006221</v>
      </c>
      <c r="E16" s="141">
        <v>4037145</v>
      </c>
      <c r="F16" s="141">
        <v>4165606</v>
      </c>
      <c r="G16" s="141"/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12208972</v>
      </c>
      <c r="R16" s="146">
        <v>16143</v>
      </c>
      <c r="S16" s="146">
        <v>16152</v>
      </c>
      <c r="T16" s="146">
        <v>16702</v>
      </c>
      <c r="U16" s="146"/>
      <c r="V16" s="146"/>
      <c r="W16" s="146"/>
      <c r="X16" s="146"/>
      <c r="Y16" s="146"/>
      <c r="Z16" s="146"/>
      <c r="AA16" s="146"/>
      <c r="AB16" s="146"/>
      <c r="AC16" s="146"/>
      <c r="AD16" s="146">
        <f t="shared" si="1"/>
        <v>48997</v>
      </c>
    </row>
    <row r="17" spans="2:30" x14ac:dyDescent="0.3">
      <c r="B17" s="3" t="s">
        <v>152</v>
      </c>
      <c r="D17" s="141">
        <v>2713481</v>
      </c>
      <c r="E17" s="141">
        <v>2332563</v>
      </c>
      <c r="F17" s="141">
        <v>1469625</v>
      </c>
      <c r="G17" s="141"/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6515669</v>
      </c>
      <c r="R17" s="146">
        <v>12347</v>
      </c>
      <c r="S17" s="146">
        <v>10267</v>
      </c>
      <c r="T17" s="146">
        <v>5613</v>
      </c>
      <c r="U17" s="146"/>
      <c r="V17" s="146"/>
      <c r="W17" s="146"/>
      <c r="X17" s="146"/>
      <c r="Y17" s="146"/>
      <c r="Z17" s="146"/>
      <c r="AA17" s="146"/>
      <c r="AB17" s="146"/>
      <c r="AC17" s="146"/>
      <c r="AD17" s="146">
        <f t="shared" si="1"/>
        <v>28227</v>
      </c>
    </row>
    <row r="18" spans="2:30" x14ac:dyDescent="0.3">
      <c r="B18" s="3" t="s">
        <v>195</v>
      </c>
      <c r="D18" s="141">
        <v>1077436</v>
      </c>
      <c r="E18" s="141">
        <v>1115411</v>
      </c>
      <c r="F18" s="141">
        <v>1083901</v>
      </c>
      <c r="G18" s="141"/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3276748</v>
      </c>
      <c r="R18" s="146">
        <v>789</v>
      </c>
      <c r="S18" s="146">
        <v>650</v>
      </c>
      <c r="T18" s="146">
        <v>548</v>
      </c>
      <c r="U18" s="146"/>
      <c r="V18" s="146"/>
      <c r="W18" s="146"/>
      <c r="X18" s="146"/>
      <c r="Y18" s="146"/>
      <c r="Z18" s="146"/>
      <c r="AA18" s="146"/>
      <c r="AB18" s="146"/>
      <c r="AC18" s="146"/>
      <c r="AD18" s="146">
        <f t="shared" si="1"/>
        <v>1987</v>
      </c>
    </row>
    <row r="19" spans="2:30" x14ac:dyDescent="0.3">
      <c r="B19" s="3" t="s">
        <v>99</v>
      </c>
      <c r="D19" s="141">
        <v>3031331</v>
      </c>
      <c r="E19" s="141">
        <v>3347179</v>
      </c>
      <c r="F19" s="141">
        <v>3953055</v>
      </c>
      <c r="G19" s="141"/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10331565</v>
      </c>
      <c r="R19" s="146">
        <v>13903</v>
      </c>
      <c r="S19" s="146">
        <v>15266</v>
      </c>
      <c r="T19" s="146">
        <v>18320</v>
      </c>
      <c r="U19" s="146"/>
      <c r="V19" s="146"/>
      <c r="W19" s="146"/>
      <c r="X19" s="146"/>
      <c r="Y19" s="146"/>
      <c r="Z19" s="146"/>
      <c r="AA19" s="146"/>
      <c r="AB19" s="146"/>
      <c r="AC19" s="146"/>
      <c r="AD19" s="146">
        <f t="shared" si="1"/>
        <v>47489</v>
      </c>
    </row>
    <row r="20" spans="2:30" x14ac:dyDescent="0.3">
      <c r="B20" s="3" t="s">
        <v>108</v>
      </c>
      <c r="D20" s="141">
        <v>1042101</v>
      </c>
      <c r="E20" s="141">
        <v>952838</v>
      </c>
      <c r="F20" s="141">
        <v>1027386</v>
      </c>
      <c r="G20" s="141"/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3022325</v>
      </c>
      <c r="R20" s="146">
        <v>3314</v>
      </c>
      <c r="S20" s="146">
        <v>3138</v>
      </c>
      <c r="T20" s="146">
        <v>3395</v>
      </c>
      <c r="U20" s="146"/>
      <c r="V20" s="146"/>
      <c r="W20" s="146"/>
      <c r="X20" s="146"/>
      <c r="Y20" s="146"/>
      <c r="Z20" s="146"/>
      <c r="AA20" s="146"/>
      <c r="AB20" s="146"/>
      <c r="AC20" s="146"/>
      <c r="AD20" s="146">
        <f t="shared" si="1"/>
        <v>9847</v>
      </c>
    </row>
    <row r="21" spans="2:30" x14ac:dyDescent="0.3">
      <c r="B21" s="3" t="s">
        <v>94</v>
      </c>
      <c r="D21" s="141">
        <v>2621754</v>
      </c>
      <c r="E21" s="141">
        <v>2568997</v>
      </c>
      <c r="F21" s="141">
        <v>2626050</v>
      </c>
      <c r="G21" s="141"/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7816801</v>
      </c>
      <c r="R21" s="146">
        <v>17858</v>
      </c>
      <c r="S21" s="146">
        <v>16355</v>
      </c>
      <c r="T21" s="146">
        <v>17319</v>
      </c>
      <c r="U21" s="146"/>
      <c r="V21" s="146"/>
      <c r="W21" s="146"/>
      <c r="X21" s="146"/>
      <c r="Y21" s="146"/>
      <c r="Z21" s="146"/>
      <c r="AA21" s="146"/>
      <c r="AB21" s="146"/>
      <c r="AC21" s="146"/>
      <c r="AD21" s="146">
        <f t="shared" si="1"/>
        <v>51532</v>
      </c>
    </row>
    <row r="22" spans="2:30" x14ac:dyDescent="0.3">
      <c r="B22" s="3" t="s">
        <v>101</v>
      </c>
      <c r="D22" s="141">
        <v>2370122</v>
      </c>
      <c r="E22" s="141">
        <v>1943603</v>
      </c>
      <c r="F22" s="141">
        <v>2133927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6447652</v>
      </c>
      <c r="R22" s="146">
        <v>2621</v>
      </c>
      <c r="S22" s="146">
        <v>2363</v>
      </c>
      <c r="T22" s="146">
        <v>2441</v>
      </c>
      <c r="U22" s="146"/>
      <c r="V22" s="146"/>
      <c r="W22" s="146"/>
      <c r="X22" s="146"/>
      <c r="Y22" s="146"/>
      <c r="Z22" s="146"/>
      <c r="AA22" s="146"/>
      <c r="AB22" s="146"/>
      <c r="AC22" s="146"/>
      <c r="AD22" s="146">
        <f t="shared" si="1"/>
        <v>7425</v>
      </c>
    </row>
    <row r="23" spans="2:30" x14ac:dyDescent="0.3">
      <c r="B23" s="3" t="s">
        <v>102</v>
      </c>
      <c r="D23" s="141">
        <v>568560</v>
      </c>
      <c r="E23" s="141">
        <v>488049</v>
      </c>
      <c r="F23" s="141">
        <v>529620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1586229</v>
      </c>
      <c r="R23" s="146">
        <v>2218</v>
      </c>
      <c r="S23" s="146">
        <v>2057</v>
      </c>
      <c r="T23" s="146">
        <v>2083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>
        <f t="shared" si="1"/>
        <v>6358</v>
      </c>
    </row>
    <row r="24" spans="2:30" x14ac:dyDescent="0.3">
      <c r="B24" s="3" t="s">
        <v>95</v>
      </c>
      <c r="D24" s="141">
        <v>2582683</v>
      </c>
      <c r="E24" s="141">
        <v>2168000</v>
      </c>
      <c r="F24" s="141">
        <v>2569030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7319713</v>
      </c>
      <c r="R24" s="146">
        <v>7413</v>
      </c>
      <c r="S24" s="146">
        <v>8344</v>
      </c>
      <c r="T24" s="146">
        <v>8130</v>
      </c>
      <c r="U24" s="146"/>
      <c r="V24" s="146"/>
      <c r="W24" s="146"/>
      <c r="X24" s="146"/>
      <c r="Y24" s="146"/>
      <c r="Z24" s="146"/>
      <c r="AA24" s="146"/>
      <c r="AB24" s="146"/>
      <c r="AC24" s="146"/>
      <c r="AD24" s="146">
        <f t="shared" si="1"/>
        <v>23887</v>
      </c>
    </row>
    <row r="25" spans="2:30" x14ac:dyDescent="0.3">
      <c r="B25" s="3" t="s">
        <v>105</v>
      </c>
      <c r="D25" s="141">
        <v>1084968</v>
      </c>
      <c r="E25" s="141">
        <v>1000378</v>
      </c>
      <c r="F25" s="141">
        <v>1140702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3226048</v>
      </c>
      <c r="R25" s="146">
        <v>4484</v>
      </c>
      <c r="S25" s="146">
        <v>4379</v>
      </c>
      <c r="T25" s="146">
        <v>4897</v>
      </c>
      <c r="U25" s="146"/>
      <c r="V25" s="146"/>
      <c r="W25" s="146"/>
      <c r="X25" s="146"/>
      <c r="Y25" s="146"/>
      <c r="Z25" s="146"/>
      <c r="AA25" s="146"/>
      <c r="AB25" s="146"/>
      <c r="AC25" s="146"/>
      <c r="AD25" s="146">
        <f t="shared" si="1"/>
        <v>13760</v>
      </c>
    </row>
    <row r="26" spans="2:30" x14ac:dyDescent="0.3">
      <c r="B26" s="3" t="s">
        <v>104</v>
      </c>
      <c r="D26" s="141">
        <v>1487724</v>
      </c>
      <c r="E26" s="141">
        <v>1322723</v>
      </c>
      <c r="F26" s="141">
        <v>1495416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4305863</v>
      </c>
      <c r="R26" s="146">
        <v>6640</v>
      </c>
      <c r="S26" s="146">
        <v>6193</v>
      </c>
      <c r="T26" s="146">
        <v>6584</v>
      </c>
      <c r="U26" s="146"/>
      <c r="V26" s="146"/>
      <c r="W26" s="146"/>
      <c r="X26" s="146"/>
      <c r="Y26" s="146"/>
      <c r="Z26" s="146"/>
      <c r="AA26" s="146"/>
      <c r="AB26" s="146"/>
      <c r="AC26" s="146"/>
      <c r="AD26" s="146">
        <f t="shared" si="1"/>
        <v>19417</v>
      </c>
    </row>
    <row r="27" spans="2:30" x14ac:dyDescent="0.3">
      <c r="B27" s="3" t="s">
        <v>130</v>
      </c>
      <c r="D27" s="141">
        <v>1572181</v>
      </c>
      <c r="E27" s="141">
        <v>2283736</v>
      </c>
      <c r="F27" s="141">
        <v>3026944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6882861</v>
      </c>
      <c r="R27" s="146">
        <v>1988</v>
      </c>
      <c r="S27" s="146">
        <v>2505</v>
      </c>
      <c r="T27" s="146">
        <v>2368</v>
      </c>
      <c r="U27" s="146"/>
      <c r="V27" s="146"/>
      <c r="W27" s="146"/>
      <c r="X27" s="146"/>
      <c r="Y27" s="146"/>
      <c r="Z27" s="146"/>
      <c r="AA27" s="146"/>
      <c r="AB27" s="146"/>
      <c r="AC27" s="146"/>
      <c r="AD27" s="146">
        <f t="shared" si="1"/>
        <v>6861</v>
      </c>
    </row>
    <row r="28" spans="2:30" x14ac:dyDescent="0.3">
      <c r="B28" s="3" t="s">
        <v>110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6">
        <v>1251</v>
      </c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>
        <f t="shared" si="1"/>
        <v>1251</v>
      </c>
    </row>
    <row r="29" spans="2:30" x14ac:dyDescent="0.3">
      <c r="B29" s="3" t="s">
        <v>132</v>
      </c>
      <c r="D29" s="141">
        <v>171806</v>
      </c>
      <c r="E29" s="141">
        <v>259888</v>
      </c>
      <c r="F29" s="141">
        <v>847201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1278895</v>
      </c>
      <c r="R29" s="146">
        <v>522</v>
      </c>
      <c r="S29" s="146">
        <v>692</v>
      </c>
      <c r="T29" s="146">
        <v>1470</v>
      </c>
      <c r="U29" s="146"/>
      <c r="V29" s="146"/>
      <c r="W29" s="146"/>
      <c r="X29" s="146"/>
      <c r="Y29" s="146"/>
      <c r="Z29" s="146"/>
      <c r="AA29" s="146"/>
      <c r="AB29" s="146"/>
      <c r="AC29" s="146"/>
      <c r="AD29" s="146">
        <f t="shared" si="1"/>
        <v>2684</v>
      </c>
    </row>
    <row r="30" spans="2:30" x14ac:dyDescent="0.3">
      <c r="B30" s="3" t="s">
        <v>111</v>
      </c>
      <c r="D30" s="141">
        <v>138868</v>
      </c>
      <c r="E30" s="141">
        <v>130515</v>
      </c>
      <c r="F30" s="141">
        <v>124023</v>
      </c>
      <c r="G30" s="141"/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393406</v>
      </c>
      <c r="R30" s="146">
        <v>135</v>
      </c>
      <c r="S30" s="146">
        <v>124</v>
      </c>
      <c r="T30" s="146">
        <v>142</v>
      </c>
      <c r="U30" s="146"/>
      <c r="V30" s="146"/>
      <c r="W30" s="146"/>
      <c r="X30" s="146"/>
      <c r="Y30" s="146"/>
      <c r="Z30" s="146"/>
      <c r="AA30" s="146"/>
      <c r="AB30" s="146"/>
      <c r="AC30" s="146"/>
      <c r="AD30" s="146">
        <f t="shared" si="1"/>
        <v>401</v>
      </c>
    </row>
    <row r="31" spans="2:30" x14ac:dyDescent="0.3">
      <c r="B31" s="3" t="s">
        <v>103</v>
      </c>
      <c r="D31" s="141">
        <v>2167808</v>
      </c>
      <c r="E31" s="141">
        <v>2052013</v>
      </c>
      <c r="F31" s="141">
        <v>2069402</v>
      </c>
      <c r="G31" s="141"/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6289223</v>
      </c>
      <c r="R31" s="146">
        <v>56515</v>
      </c>
      <c r="S31" s="146">
        <v>52308</v>
      </c>
      <c r="T31" s="146">
        <v>52958</v>
      </c>
      <c r="U31" s="146"/>
      <c r="V31" s="146"/>
      <c r="W31" s="146"/>
      <c r="X31" s="146"/>
      <c r="Y31" s="146"/>
      <c r="Z31" s="146"/>
      <c r="AA31" s="146"/>
      <c r="AB31" s="146"/>
      <c r="AC31" s="146"/>
      <c r="AD31" s="146">
        <f t="shared" si="1"/>
        <v>161781</v>
      </c>
    </row>
    <row r="32" spans="2:30" x14ac:dyDescent="0.3">
      <c r="B32" s="3" t="s">
        <v>125</v>
      </c>
      <c r="D32" s="141">
        <v>3611530</v>
      </c>
      <c r="E32" s="141">
        <v>1696890</v>
      </c>
      <c r="F32" s="141">
        <v>2193598</v>
      </c>
      <c r="G32" s="141"/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7502018</v>
      </c>
      <c r="R32" s="146">
        <v>70956</v>
      </c>
      <c r="S32" s="146">
        <v>4724</v>
      </c>
      <c r="T32" s="146">
        <v>5833</v>
      </c>
      <c r="U32" s="146"/>
      <c r="V32" s="146"/>
      <c r="W32" s="146"/>
      <c r="X32" s="146"/>
      <c r="Y32" s="146"/>
      <c r="Z32" s="146"/>
      <c r="AA32" s="146"/>
      <c r="AB32" s="146"/>
      <c r="AC32" s="146"/>
      <c r="AD32" s="146">
        <f t="shared" si="1"/>
        <v>81513</v>
      </c>
    </row>
    <row r="33" spans="2:30" x14ac:dyDescent="0.3">
      <c r="B33" s="3" t="s">
        <v>172</v>
      </c>
      <c r="D33" s="141">
        <v>92369</v>
      </c>
      <c r="E33" s="141">
        <v>85852</v>
      </c>
      <c r="F33" s="141">
        <v>63729</v>
      </c>
      <c r="G33" s="141"/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241950</v>
      </c>
      <c r="R33" s="146">
        <v>425</v>
      </c>
      <c r="S33" s="146">
        <v>384</v>
      </c>
      <c r="T33" s="146">
        <v>329</v>
      </c>
      <c r="U33" s="146"/>
      <c r="V33" s="146"/>
      <c r="W33" s="146"/>
      <c r="X33" s="146"/>
      <c r="Y33" s="146"/>
      <c r="Z33" s="146"/>
      <c r="AA33" s="146"/>
      <c r="AB33" s="146"/>
      <c r="AC33" s="146"/>
      <c r="AD33" s="146">
        <f t="shared" si="1"/>
        <v>1138</v>
      </c>
    </row>
    <row r="34" spans="2:30" x14ac:dyDescent="0.3">
      <c r="B34" s="3" t="s">
        <v>135</v>
      </c>
      <c r="D34" s="141">
        <v>3896499</v>
      </c>
      <c r="E34" s="141">
        <v>3722369</v>
      </c>
      <c r="F34" s="141">
        <v>4755222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12374090</v>
      </c>
      <c r="R34" s="146">
        <v>9974</v>
      </c>
      <c r="S34" s="146">
        <v>10498</v>
      </c>
      <c r="T34" s="146">
        <v>11783</v>
      </c>
      <c r="U34" s="146"/>
      <c r="V34" s="146"/>
      <c r="W34" s="146"/>
      <c r="X34" s="146"/>
      <c r="Y34" s="146"/>
      <c r="Z34" s="146"/>
      <c r="AA34" s="146"/>
      <c r="AB34" s="146"/>
      <c r="AC34" s="146"/>
      <c r="AD34" s="146">
        <f t="shared" si="1"/>
        <v>32255</v>
      </c>
    </row>
    <row r="35" spans="2:30" x14ac:dyDescent="0.3">
      <c r="B35" s="3" t="s">
        <v>109</v>
      </c>
      <c r="D35" s="141">
        <v>1304487</v>
      </c>
      <c r="E35" s="141">
        <v>1426866</v>
      </c>
      <c r="F35" s="141">
        <v>1252835</v>
      </c>
      <c r="G35" s="141"/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3984188</v>
      </c>
      <c r="R35" s="146">
        <v>2945</v>
      </c>
      <c r="S35" s="146">
        <v>2752</v>
      </c>
      <c r="T35" s="146">
        <v>2664</v>
      </c>
      <c r="U35" s="146"/>
      <c r="V35" s="146"/>
      <c r="W35" s="146"/>
      <c r="X35" s="146"/>
      <c r="Y35" s="146"/>
      <c r="Z35" s="146"/>
      <c r="AA35" s="146"/>
      <c r="AB35" s="146"/>
      <c r="AC35" s="146"/>
      <c r="AD35" s="146">
        <f t="shared" si="1"/>
        <v>8361</v>
      </c>
    </row>
    <row r="36" spans="2:30" x14ac:dyDescent="0.3">
      <c r="B36" s="3" t="s">
        <v>171</v>
      </c>
      <c r="D36" s="141">
        <v>7685</v>
      </c>
      <c r="E36" s="141">
        <v>5636</v>
      </c>
      <c r="F36" s="141">
        <v>7444</v>
      </c>
      <c r="G36" s="141"/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20765</v>
      </c>
      <c r="R36" s="146">
        <v>108</v>
      </c>
      <c r="S36" s="146">
        <v>86</v>
      </c>
      <c r="T36" s="146">
        <v>114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>
        <f t="shared" si="1"/>
        <v>308</v>
      </c>
    </row>
    <row r="37" spans="2:30" x14ac:dyDescent="0.3">
      <c r="B37" s="3" t="s">
        <v>112</v>
      </c>
      <c r="D37" s="141">
        <v>879260</v>
      </c>
      <c r="E37" s="141">
        <v>878552</v>
      </c>
      <c r="F37" s="141">
        <v>863484</v>
      </c>
      <c r="G37" s="141"/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2621296</v>
      </c>
      <c r="R37" s="146">
        <v>4934</v>
      </c>
      <c r="S37" s="146">
        <v>4976</v>
      </c>
      <c r="T37" s="146">
        <v>5017</v>
      </c>
      <c r="U37" s="146"/>
      <c r="V37" s="146"/>
      <c r="W37" s="146"/>
      <c r="X37" s="146"/>
      <c r="Y37" s="146"/>
      <c r="Z37" s="146"/>
      <c r="AA37" s="146"/>
      <c r="AB37" s="146"/>
      <c r="AC37" s="146"/>
      <c r="AD37" s="146">
        <f t="shared" si="1"/>
        <v>14927</v>
      </c>
    </row>
    <row r="38" spans="2:30" x14ac:dyDescent="0.3">
      <c r="B38" s="3" t="s">
        <v>115</v>
      </c>
      <c r="D38" s="141">
        <v>602900</v>
      </c>
      <c r="E38" s="141">
        <v>534672</v>
      </c>
      <c r="F38" s="141">
        <v>576136</v>
      </c>
      <c r="G38" s="141"/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1713708</v>
      </c>
      <c r="R38" s="146">
        <v>640</v>
      </c>
      <c r="S38" s="146">
        <v>599</v>
      </c>
      <c r="T38" s="146">
        <v>679</v>
      </c>
      <c r="U38" s="146"/>
      <c r="V38" s="146"/>
      <c r="W38" s="146"/>
      <c r="X38" s="146"/>
      <c r="Y38" s="146"/>
      <c r="Z38" s="146"/>
      <c r="AA38" s="146"/>
      <c r="AB38" s="146"/>
      <c r="AC38" s="146"/>
      <c r="AD38" s="146">
        <f t="shared" si="1"/>
        <v>1918</v>
      </c>
    </row>
    <row r="39" spans="2:30" x14ac:dyDescent="0.3">
      <c r="B39" s="3" t="s">
        <v>100</v>
      </c>
      <c r="D39" s="141">
        <v>10028821</v>
      </c>
      <c r="E39" s="141">
        <v>9845438</v>
      </c>
      <c r="F39" s="141">
        <v>7919952</v>
      </c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27794211</v>
      </c>
      <c r="R39" s="146">
        <v>18531</v>
      </c>
      <c r="S39" s="146">
        <v>20544</v>
      </c>
      <c r="T39" s="146">
        <v>20871</v>
      </c>
      <c r="U39" s="146"/>
      <c r="V39" s="146"/>
      <c r="W39" s="146"/>
      <c r="X39" s="146"/>
      <c r="Y39" s="146"/>
      <c r="Z39" s="146"/>
      <c r="AA39" s="146"/>
      <c r="AB39" s="146"/>
      <c r="AC39" s="146"/>
      <c r="AD39" s="146">
        <f t="shared" si="1"/>
        <v>59946</v>
      </c>
    </row>
    <row r="40" spans="2:30" x14ac:dyDescent="0.3">
      <c r="B40" s="3" t="s">
        <v>117</v>
      </c>
      <c r="D40" s="141">
        <v>517922</v>
      </c>
      <c r="E40" s="141">
        <v>548568</v>
      </c>
      <c r="F40" s="141">
        <v>477225</v>
      </c>
      <c r="G40" s="141"/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1543715</v>
      </c>
      <c r="R40" s="146">
        <v>786</v>
      </c>
      <c r="S40" s="146">
        <v>752</v>
      </c>
      <c r="T40" s="146">
        <v>802</v>
      </c>
      <c r="U40" s="146"/>
      <c r="V40" s="146"/>
      <c r="W40" s="146"/>
      <c r="X40" s="146"/>
      <c r="Y40" s="146"/>
      <c r="Z40" s="146"/>
      <c r="AA40" s="146"/>
      <c r="AB40" s="146"/>
      <c r="AC40" s="146"/>
      <c r="AD40" s="146">
        <f t="shared" si="1"/>
        <v>2340</v>
      </c>
    </row>
    <row r="41" spans="2:30" x14ac:dyDescent="0.3">
      <c r="B41" s="3" t="s">
        <v>198</v>
      </c>
      <c r="D41" s="141">
        <v>265</v>
      </c>
      <c r="E41" s="141">
        <v>231</v>
      </c>
      <c r="F41" s="141">
        <v>82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578</v>
      </c>
      <c r="R41" s="146">
        <v>1</v>
      </c>
      <c r="S41" s="146">
        <v>1</v>
      </c>
      <c r="T41" s="146">
        <v>1</v>
      </c>
      <c r="U41" s="146"/>
      <c r="V41" s="146"/>
      <c r="W41" s="146"/>
      <c r="X41" s="146"/>
      <c r="Y41" s="146"/>
      <c r="Z41" s="146"/>
      <c r="AA41" s="146"/>
      <c r="AB41" s="146"/>
      <c r="AC41" s="146"/>
      <c r="AD41" s="146">
        <f t="shared" si="1"/>
        <v>3</v>
      </c>
    </row>
    <row r="42" spans="2:30" x14ac:dyDescent="0.3">
      <c r="B42" s="3" t="s">
        <v>107</v>
      </c>
      <c r="D42" s="141">
        <v>431443</v>
      </c>
      <c r="E42" s="141">
        <v>398387</v>
      </c>
      <c r="F42" s="141">
        <v>389751</v>
      </c>
      <c r="G42" s="141"/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1219581</v>
      </c>
      <c r="R42" s="146">
        <v>1196</v>
      </c>
      <c r="S42" s="146">
        <v>1043</v>
      </c>
      <c r="T42" s="146">
        <v>1048</v>
      </c>
      <c r="U42" s="146"/>
      <c r="V42" s="146"/>
      <c r="W42" s="146"/>
      <c r="X42" s="146"/>
      <c r="Y42" s="146"/>
      <c r="Z42" s="146"/>
      <c r="AA42" s="146"/>
      <c r="AB42" s="146"/>
      <c r="AC42" s="146"/>
      <c r="AD42" s="146">
        <f t="shared" si="1"/>
        <v>3287</v>
      </c>
    </row>
    <row r="43" spans="2:30" x14ac:dyDescent="0.3">
      <c r="B43" s="3" t="s">
        <v>128</v>
      </c>
      <c r="D43" s="141">
        <v>237298</v>
      </c>
      <c r="E43" s="141">
        <v>229695</v>
      </c>
      <c r="F43" s="141">
        <v>249698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716691</v>
      </c>
      <c r="R43" s="146">
        <v>641</v>
      </c>
      <c r="S43" s="146">
        <v>738</v>
      </c>
      <c r="T43" s="146">
        <v>708</v>
      </c>
      <c r="U43" s="146"/>
      <c r="V43" s="146"/>
      <c r="W43" s="146"/>
      <c r="X43" s="146"/>
      <c r="Y43" s="146"/>
      <c r="Z43" s="146"/>
      <c r="AA43" s="146"/>
      <c r="AB43" s="146"/>
      <c r="AC43" s="146"/>
      <c r="AD43" s="146">
        <f t="shared" si="1"/>
        <v>2087</v>
      </c>
    </row>
    <row r="44" spans="2:30" x14ac:dyDescent="0.3">
      <c r="B44" s="3" t="s">
        <v>119</v>
      </c>
      <c r="D44" s="141">
        <v>2072069</v>
      </c>
      <c r="E44" s="141">
        <v>2105398</v>
      </c>
      <c r="F44" s="141">
        <v>2240581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6418048</v>
      </c>
      <c r="R44" s="146">
        <v>35509</v>
      </c>
      <c r="S44" s="146">
        <v>35538</v>
      </c>
      <c r="T44" s="146">
        <v>37489</v>
      </c>
      <c r="U44" s="146"/>
      <c r="V44" s="146"/>
      <c r="W44" s="146"/>
      <c r="X44" s="146"/>
      <c r="Y44" s="146"/>
      <c r="Z44" s="146"/>
      <c r="AA44" s="146"/>
      <c r="AB44" s="146"/>
      <c r="AC44" s="146"/>
      <c r="AD44" s="146">
        <f t="shared" si="1"/>
        <v>108536</v>
      </c>
    </row>
    <row r="45" spans="2:30" x14ac:dyDescent="0.3">
      <c r="B45" s="3" t="s">
        <v>120</v>
      </c>
      <c r="D45" s="141">
        <v>849713</v>
      </c>
      <c r="E45" s="141">
        <v>805193</v>
      </c>
      <c r="F45" s="141">
        <v>794722</v>
      </c>
      <c r="G45" s="141"/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2449628</v>
      </c>
      <c r="R45" s="146">
        <v>2294</v>
      </c>
      <c r="S45" s="146">
        <v>2067</v>
      </c>
      <c r="T45" s="146">
        <v>2108</v>
      </c>
      <c r="U45" s="146"/>
      <c r="V45" s="146"/>
      <c r="W45" s="146"/>
      <c r="X45" s="146"/>
      <c r="Y45" s="146"/>
      <c r="Z45" s="146"/>
      <c r="AA45" s="146"/>
      <c r="AB45" s="146"/>
      <c r="AC45" s="146"/>
      <c r="AD45" s="146">
        <f t="shared" si="1"/>
        <v>6469</v>
      </c>
    </row>
    <row r="46" spans="2:30" x14ac:dyDescent="0.3">
      <c r="B46" s="3" t="s">
        <v>113</v>
      </c>
      <c r="D46" s="141">
        <v>1809077</v>
      </c>
      <c r="E46" s="141">
        <v>1474189</v>
      </c>
      <c r="F46" s="141">
        <v>1757423</v>
      </c>
      <c r="G46" s="141"/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5040689</v>
      </c>
      <c r="R46" s="146">
        <v>649</v>
      </c>
      <c r="S46" s="146">
        <v>757</v>
      </c>
      <c r="T46" s="146">
        <v>781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46">
        <f t="shared" si="1"/>
        <v>2187</v>
      </c>
    </row>
    <row r="47" spans="2:30" x14ac:dyDescent="0.3">
      <c r="B47" s="3" t="s">
        <v>122</v>
      </c>
      <c r="D47" s="141">
        <v>620563</v>
      </c>
      <c r="E47" s="141">
        <v>591647</v>
      </c>
      <c r="F47" s="141">
        <v>593545</v>
      </c>
      <c r="G47" s="141"/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1805755</v>
      </c>
      <c r="R47" s="146">
        <v>5051</v>
      </c>
      <c r="S47" s="146">
        <v>4911</v>
      </c>
      <c r="T47" s="146">
        <v>4747</v>
      </c>
      <c r="U47" s="146"/>
      <c r="V47" s="146"/>
      <c r="W47" s="146"/>
      <c r="X47" s="146"/>
      <c r="Y47" s="146"/>
      <c r="Z47" s="146"/>
      <c r="AA47" s="146"/>
      <c r="AB47" s="146"/>
      <c r="AC47" s="146"/>
      <c r="AD47" s="146">
        <f t="shared" si="1"/>
        <v>14709</v>
      </c>
    </row>
    <row r="48" spans="2:30" x14ac:dyDescent="0.3">
      <c r="B48" s="3" t="s">
        <v>160</v>
      </c>
      <c r="D48" s="141">
        <v>1149605</v>
      </c>
      <c r="E48" s="141">
        <v>2108704</v>
      </c>
      <c r="F48" s="141">
        <v>2217790</v>
      </c>
      <c r="G48" s="141"/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5476099</v>
      </c>
      <c r="R48" s="146">
        <v>68548</v>
      </c>
      <c r="S48" s="146">
        <v>126322</v>
      </c>
      <c r="T48" s="146">
        <v>127453</v>
      </c>
      <c r="U48" s="146"/>
      <c r="V48" s="146"/>
      <c r="W48" s="146"/>
      <c r="X48" s="146"/>
      <c r="Y48" s="146"/>
      <c r="Z48" s="146"/>
      <c r="AA48" s="146"/>
      <c r="AB48" s="146"/>
      <c r="AC48" s="146"/>
      <c r="AD48" s="146">
        <f t="shared" si="1"/>
        <v>322323</v>
      </c>
    </row>
    <row r="49" spans="2:30" x14ac:dyDescent="0.3">
      <c r="B49" s="3" t="s">
        <v>116</v>
      </c>
      <c r="D49" s="141">
        <v>575936</v>
      </c>
      <c r="E49" s="141">
        <v>544239</v>
      </c>
      <c r="F49" s="141">
        <v>598905</v>
      </c>
      <c r="G49" s="141"/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1719080</v>
      </c>
      <c r="R49" s="146">
        <v>5940</v>
      </c>
      <c r="S49" s="146">
        <v>5632</v>
      </c>
      <c r="T49" s="146">
        <v>6066</v>
      </c>
      <c r="U49" s="146"/>
      <c r="V49" s="146"/>
      <c r="W49" s="146"/>
      <c r="X49" s="146"/>
      <c r="Y49" s="146"/>
      <c r="Z49" s="146"/>
      <c r="AA49" s="146"/>
      <c r="AB49" s="146"/>
      <c r="AC49" s="146"/>
      <c r="AD49" s="146">
        <f t="shared" si="1"/>
        <v>17638</v>
      </c>
    </row>
    <row r="50" spans="2:30" x14ac:dyDescent="0.3">
      <c r="B50" s="3" t="s">
        <v>138</v>
      </c>
      <c r="D50" s="141">
        <v>3827750</v>
      </c>
      <c r="E50" s="141">
        <v>5867808</v>
      </c>
      <c r="F50" s="141">
        <v>3213125</v>
      </c>
      <c r="G50" s="141"/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12908683</v>
      </c>
      <c r="R50" s="146">
        <v>6609</v>
      </c>
      <c r="S50" s="146">
        <v>8039</v>
      </c>
      <c r="T50" s="146">
        <v>6699</v>
      </c>
      <c r="U50" s="146"/>
      <c r="V50" s="146"/>
      <c r="W50" s="146"/>
      <c r="X50" s="146"/>
      <c r="Y50" s="146"/>
      <c r="Z50" s="146"/>
      <c r="AA50" s="146"/>
      <c r="AB50" s="146"/>
      <c r="AC50" s="146"/>
      <c r="AD50" s="146">
        <f t="shared" si="1"/>
        <v>21347</v>
      </c>
    </row>
    <row r="51" spans="2:30" x14ac:dyDescent="0.3">
      <c r="B51" s="3" t="s">
        <v>124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6">
        <v>2164</v>
      </c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>
        <f t="shared" si="1"/>
        <v>2164</v>
      </c>
    </row>
    <row r="52" spans="2:30" x14ac:dyDescent="0.3">
      <c r="B52" s="3" t="s">
        <v>127</v>
      </c>
      <c r="D52" s="141">
        <v>288211</v>
      </c>
      <c r="E52" s="141">
        <v>354024</v>
      </c>
      <c r="F52" s="141">
        <v>306010</v>
      </c>
      <c r="G52" s="141"/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948245</v>
      </c>
      <c r="R52" s="146">
        <v>1257</v>
      </c>
      <c r="S52" s="146">
        <v>1262</v>
      </c>
      <c r="T52" s="146">
        <v>1287</v>
      </c>
      <c r="U52" s="146"/>
      <c r="V52" s="146"/>
      <c r="W52" s="146"/>
      <c r="X52" s="146"/>
      <c r="Y52" s="146"/>
      <c r="Z52" s="146"/>
      <c r="AA52" s="146"/>
      <c r="AB52" s="146"/>
      <c r="AC52" s="146"/>
      <c r="AD52" s="146">
        <f t="shared" si="1"/>
        <v>3806</v>
      </c>
    </row>
    <row r="53" spans="2:30" x14ac:dyDescent="0.3">
      <c r="B53" s="3" t="s">
        <v>118</v>
      </c>
      <c r="D53" s="141">
        <v>592036</v>
      </c>
      <c r="E53" s="141">
        <v>530754</v>
      </c>
      <c r="F53" s="141">
        <v>527289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1650079</v>
      </c>
      <c r="R53" s="146">
        <v>3684</v>
      </c>
      <c r="S53" s="146">
        <v>3308</v>
      </c>
      <c r="T53" s="146">
        <v>3386</v>
      </c>
      <c r="U53" s="146"/>
      <c r="V53" s="146"/>
      <c r="W53" s="146"/>
      <c r="X53" s="146"/>
      <c r="Y53" s="146"/>
      <c r="Z53" s="146"/>
      <c r="AA53" s="146"/>
      <c r="AB53" s="146"/>
      <c r="AC53" s="146"/>
      <c r="AD53" s="146">
        <f t="shared" si="1"/>
        <v>10378</v>
      </c>
    </row>
    <row r="54" spans="2:30" x14ac:dyDescent="0.3">
      <c r="B54" s="3" t="s">
        <v>137</v>
      </c>
      <c r="D54" s="141">
        <v>392129</v>
      </c>
      <c r="E54" s="141">
        <v>483224</v>
      </c>
      <c r="F54" s="141">
        <v>480897</v>
      </c>
      <c r="G54" s="141"/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1356250</v>
      </c>
      <c r="R54" s="146">
        <v>1698</v>
      </c>
      <c r="S54" s="146">
        <v>1951</v>
      </c>
      <c r="T54" s="146">
        <v>2147</v>
      </c>
      <c r="U54" s="146"/>
      <c r="V54" s="146"/>
      <c r="W54" s="146"/>
      <c r="X54" s="146"/>
      <c r="Y54" s="146"/>
      <c r="Z54" s="146"/>
      <c r="AA54" s="146"/>
      <c r="AB54" s="146"/>
      <c r="AC54" s="146"/>
      <c r="AD54" s="146">
        <f t="shared" si="1"/>
        <v>5796</v>
      </c>
    </row>
    <row r="55" spans="2:30" x14ac:dyDescent="0.3">
      <c r="B55" s="3" t="s">
        <v>123</v>
      </c>
      <c r="D55" s="141">
        <v>430829</v>
      </c>
      <c r="E55" s="141">
        <v>381868</v>
      </c>
      <c r="F55" s="141">
        <v>399420</v>
      </c>
      <c r="G55" s="141"/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1212117</v>
      </c>
      <c r="R55" s="146">
        <v>1015</v>
      </c>
      <c r="S55" s="146">
        <v>885</v>
      </c>
      <c r="T55" s="146">
        <v>875</v>
      </c>
      <c r="U55" s="146"/>
      <c r="V55" s="146"/>
      <c r="W55" s="146"/>
      <c r="X55" s="146"/>
      <c r="Y55" s="146"/>
      <c r="Z55" s="146"/>
      <c r="AA55" s="146"/>
      <c r="AB55" s="146"/>
      <c r="AC55" s="146"/>
      <c r="AD55" s="146">
        <f t="shared" si="1"/>
        <v>2775</v>
      </c>
    </row>
    <row r="56" spans="2:30" x14ac:dyDescent="0.3">
      <c r="B56" s="3" t="s">
        <v>134</v>
      </c>
      <c r="D56" s="141">
        <v>508918</v>
      </c>
      <c r="E56" s="141">
        <v>523224</v>
      </c>
      <c r="F56" s="141">
        <v>543247</v>
      </c>
      <c r="G56" s="141"/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1575389</v>
      </c>
      <c r="R56" s="146">
        <v>1449</v>
      </c>
      <c r="S56" s="146">
        <v>1408</v>
      </c>
      <c r="T56" s="146">
        <v>1622</v>
      </c>
      <c r="U56" s="146"/>
      <c r="V56" s="146"/>
      <c r="W56" s="146"/>
      <c r="X56" s="146"/>
      <c r="Y56" s="146"/>
      <c r="Z56" s="146"/>
      <c r="AA56" s="146"/>
      <c r="AB56" s="146"/>
      <c r="AC56" s="146"/>
      <c r="AD56" s="146">
        <f t="shared" si="1"/>
        <v>4479</v>
      </c>
    </row>
    <row r="57" spans="2:30" x14ac:dyDescent="0.3">
      <c r="B57" s="3" t="s">
        <v>178</v>
      </c>
      <c r="D57" s="141">
        <v>35314</v>
      </c>
      <c r="E57" s="141">
        <v>53895</v>
      </c>
      <c r="F57" s="141">
        <v>64144</v>
      </c>
      <c r="G57" s="141"/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153353</v>
      </c>
      <c r="R57" s="146">
        <v>97</v>
      </c>
      <c r="S57" s="146">
        <v>79</v>
      </c>
      <c r="T57" s="146">
        <v>100</v>
      </c>
      <c r="U57" s="146"/>
      <c r="V57" s="146"/>
      <c r="W57" s="146"/>
      <c r="X57" s="146"/>
      <c r="Y57" s="146"/>
      <c r="Z57" s="146"/>
      <c r="AA57" s="146"/>
      <c r="AB57" s="146"/>
      <c r="AC57" s="146"/>
      <c r="AD57" s="146">
        <f t="shared" si="1"/>
        <v>276</v>
      </c>
    </row>
    <row r="58" spans="2:30" x14ac:dyDescent="0.3">
      <c r="B58" s="3" t="s">
        <v>129</v>
      </c>
      <c r="D58" s="141">
        <v>501935</v>
      </c>
      <c r="E58" s="141">
        <v>466859</v>
      </c>
      <c r="F58" s="141">
        <v>438236</v>
      </c>
      <c r="G58" s="141"/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1407030</v>
      </c>
      <c r="R58" s="146">
        <v>1953</v>
      </c>
      <c r="S58" s="146">
        <v>1777</v>
      </c>
      <c r="T58" s="146">
        <v>1707</v>
      </c>
      <c r="U58" s="146"/>
      <c r="V58" s="146"/>
      <c r="W58" s="146"/>
      <c r="X58" s="146"/>
      <c r="Y58" s="146"/>
      <c r="Z58" s="146"/>
      <c r="AA58" s="146"/>
      <c r="AB58" s="146"/>
      <c r="AC58" s="146"/>
      <c r="AD58" s="146">
        <f t="shared" si="1"/>
        <v>5437</v>
      </c>
    </row>
    <row r="59" spans="2:30" x14ac:dyDescent="0.3">
      <c r="B59" s="3" t="s">
        <v>131</v>
      </c>
      <c r="D59" s="141">
        <v>422211</v>
      </c>
      <c r="E59" s="141">
        <v>388700</v>
      </c>
      <c r="F59" s="141">
        <v>479353</v>
      </c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1290264</v>
      </c>
      <c r="R59" s="146">
        <v>1243</v>
      </c>
      <c r="S59" s="146">
        <v>1206</v>
      </c>
      <c r="T59" s="146">
        <v>1306</v>
      </c>
      <c r="U59" s="146"/>
      <c r="V59" s="146"/>
      <c r="W59" s="146"/>
      <c r="X59" s="146"/>
      <c r="Y59" s="146"/>
      <c r="Z59" s="146"/>
      <c r="AA59" s="146"/>
      <c r="AB59" s="146"/>
      <c r="AC59" s="146"/>
      <c r="AD59" s="146">
        <f t="shared" si="1"/>
        <v>3755</v>
      </c>
    </row>
    <row r="60" spans="2:30" x14ac:dyDescent="0.3">
      <c r="B60" s="3" t="s">
        <v>126</v>
      </c>
      <c r="D60" s="141">
        <v>521361</v>
      </c>
      <c r="E60" s="141">
        <v>730418</v>
      </c>
      <c r="F60" s="141">
        <v>424172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1675951</v>
      </c>
      <c r="R60" s="146">
        <v>496</v>
      </c>
      <c r="S60" s="146">
        <v>500</v>
      </c>
      <c r="T60" s="146">
        <v>515</v>
      </c>
      <c r="U60" s="146"/>
      <c r="V60" s="146"/>
      <c r="W60" s="146"/>
      <c r="X60" s="146"/>
      <c r="Y60" s="146"/>
      <c r="Z60" s="146"/>
      <c r="AA60" s="146"/>
      <c r="AB60" s="146"/>
      <c r="AC60" s="146"/>
      <c r="AD60" s="146">
        <f t="shared" si="1"/>
        <v>1511</v>
      </c>
    </row>
    <row r="61" spans="2:30" x14ac:dyDescent="0.3">
      <c r="B61" s="3" t="s">
        <v>133</v>
      </c>
      <c r="D61" s="141">
        <v>563035</v>
      </c>
      <c r="E61" s="141">
        <v>543576</v>
      </c>
      <c r="F61" s="141">
        <v>502410</v>
      </c>
      <c r="G61" s="141"/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1609021</v>
      </c>
      <c r="R61" s="146">
        <v>2118</v>
      </c>
      <c r="S61" s="146">
        <v>2142</v>
      </c>
      <c r="T61" s="146">
        <v>2203</v>
      </c>
      <c r="U61" s="146"/>
      <c r="V61" s="146"/>
      <c r="W61" s="146"/>
      <c r="X61" s="146"/>
      <c r="Y61" s="146"/>
      <c r="Z61" s="146"/>
      <c r="AA61" s="146"/>
      <c r="AB61" s="146"/>
      <c r="AC61" s="146"/>
      <c r="AD61" s="146">
        <f t="shared" si="1"/>
        <v>6463</v>
      </c>
    </row>
    <row r="62" spans="2:30" x14ac:dyDescent="0.3">
      <c r="B62" s="3" t="s">
        <v>150</v>
      </c>
      <c r="D62" s="141">
        <v>174321</v>
      </c>
      <c r="E62" s="141">
        <v>123616</v>
      </c>
      <c r="F62" s="141">
        <v>136306</v>
      </c>
      <c r="G62" s="141"/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434243</v>
      </c>
      <c r="R62" s="146">
        <v>683</v>
      </c>
      <c r="S62" s="146">
        <v>515</v>
      </c>
      <c r="T62" s="146">
        <v>569</v>
      </c>
      <c r="U62" s="146"/>
      <c r="V62" s="146"/>
      <c r="W62" s="146"/>
      <c r="X62" s="146"/>
      <c r="Y62" s="146"/>
      <c r="Z62" s="146"/>
      <c r="AA62" s="146"/>
      <c r="AB62" s="146"/>
      <c r="AC62" s="146"/>
      <c r="AD62" s="146">
        <f t="shared" si="1"/>
        <v>1767</v>
      </c>
    </row>
    <row r="63" spans="2:30" x14ac:dyDescent="0.3">
      <c r="B63" s="3" t="s">
        <v>213</v>
      </c>
      <c r="D63" s="141">
        <v>269449</v>
      </c>
      <c r="E63" s="141">
        <v>558815</v>
      </c>
      <c r="F63" s="141">
        <v>655010</v>
      </c>
      <c r="G63" s="141"/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1483274</v>
      </c>
      <c r="R63" s="146">
        <v>701</v>
      </c>
      <c r="S63" s="146">
        <v>1048</v>
      </c>
      <c r="T63" s="146">
        <v>1514</v>
      </c>
      <c r="U63" s="146"/>
      <c r="V63" s="146"/>
      <c r="W63" s="146"/>
      <c r="X63" s="146"/>
      <c r="Y63" s="146"/>
      <c r="Z63" s="146"/>
      <c r="AA63" s="146"/>
      <c r="AB63" s="146"/>
      <c r="AC63" s="146"/>
      <c r="AD63" s="146">
        <f t="shared" si="1"/>
        <v>3263</v>
      </c>
    </row>
    <row r="64" spans="2:30" x14ac:dyDescent="0.3">
      <c r="B64" s="3" t="s">
        <v>140</v>
      </c>
      <c r="D64" s="141">
        <v>56141</v>
      </c>
      <c r="E64" s="141">
        <v>70281</v>
      </c>
      <c r="F64" s="141">
        <v>71334</v>
      </c>
      <c r="G64" s="141"/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197756</v>
      </c>
      <c r="R64" s="146">
        <v>248</v>
      </c>
      <c r="S64" s="146">
        <v>254</v>
      </c>
      <c r="T64" s="146">
        <v>280</v>
      </c>
      <c r="U64" s="146"/>
      <c r="V64" s="146"/>
      <c r="W64" s="146"/>
      <c r="X64" s="146"/>
      <c r="Y64" s="146"/>
      <c r="Z64" s="146"/>
      <c r="AA64" s="146"/>
      <c r="AB64" s="146"/>
      <c r="AC64" s="146"/>
      <c r="AD64" s="146">
        <f t="shared" si="1"/>
        <v>782</v>
      </c>
    </row>
    <row r="65" spans="2:30" x14ac:dyDescent="0.3">
      <c r="B65" s="3" t="s">
        <v>145</v>
      </c>
      <c r="D65" s="141">
        <v>854759</v>
      </c>
      <c r="E65" s="141">
        <v>702597</v>
      </c>
      <c r="F65" s="141">
        <v>225050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1782406</v>
      </c>
      <c r="R65" s="146">
        <v>1390</v>
      </c>
      <c r="S65" s="146">
        <v>1173</v>
      </c>
      <c r="T65" s="146">
        <v>644</v>
      </c>
      <c r="U65" s="146"/>
      <c r="V65" s="146"/>
      <c r="W65" s="146"/>
      <c r="X65" s="146"/>
      <c r="Y65" s="146"/>
      <c r="Z65" s="146"/>
      <c r="AA65" s="146"/>
      <c r="AB65" s="146"/>
      <c r="AC65" s="146"/>
      <c r="AD65" s="146">
        <f t="shared" si="1"/>
        <v>3207</v>
      </c>
    </row>
    <row r="66" spans="2:30" x14ac:dyDescent="0.3">
      <c r="B66" s="3" t="s">
        <v>164</v>
      </c>
      <c r="D66" s="141">
        <v>109273</v>
      </c>
      <c r="E66" s="141">
        <v>118908</v>
      </c>
      <c r="F66" s="141">
        <v>117213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345394</v>
      </c>
      <c r="R66" s="146">
        <v>415</v>
      </c>
      <c r="S66" s="146">
        <v>363</v>
      </c>
      <c r="T66" s="146">
        <v>388</v>
      </c>
      <c r="U66" s="146"/>
      <c r="V66" s="146"/>
      <c r="W66" s="146"/>
      <c r="X66" s="146"/>
      <c r="Y66" s="146"/>
      <c r="Z66" s="146"/>
      <c r="AA66" s="146"/>
      <c r="AB66" s="146"/>
      <c r="AC66" s="146"/>
      <c r="AD66" s="146">
        <f t="shared" si="1"/>
        <v>1166</v>
      </c>
    </row>
    <row r="67" spans="2:30" x14ac:dyDescent="0.3">
      <c r="B67" s="3" t="s">
        <v>144</v>
      </c>
      <c r="D67" s="141">
        <v>754433</v>
      </c>
      <c r="E67" s="141">
        <v>2171115</v>
      </c>
      <c r="F67" s="141">
        <v>2375205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5300753</v>
      </c>
      <c r="R67" s="146">
        <v>7221</v>
      </c>
      <c r="S67" s="146">
        <v>12471</v>
      </c>
      <c r="T67" s="146">
        <v>17474</v>
      </c>
      <c r="U67" s="146"/>
      <c r="V67" s="146"/>
      <c r="W67" s="146"/>
      <c r="X67" s="146"/>
      <c r="Y67" s="146"/>
      <c r="Z67" s="146"/>
      <c r="AA67" s="146"/>
      <c r="AB67" s="146"/>
      <c r="AC67" s="146"/>
      <c r="AD67" s="146">
        <f t="shared" si="1"/>
        <v>37166</v>
      </c>
    </row>
    <row r="68" spans="2:30" x14ac:dyDescent="0.3">
      <c r="B68" s="3" t="s">
        <v>146</v>
      </c>
      <c r="D68" s="141">
        <v>188102</v>
      </c>
      <c r="E68" s="141">
        <v>150463</v>
      </c>
      <c r="F68" s="141">
        <v>186639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525204</v>
      </c>
      <c r="R68" s="146">
        <v>535</v>
      </c>
      <c r="S68" s="146">
        <v>491</v>
      </c>
      <c r="T68" s="146">
        <v>543</v>
      </c>
      <c r="U68" s="146"/>
      <c r="V68" s="146"/>
      <c r="W68" s="146"/>
      <c r="X68" s="146"/>
      <c r="Y68" s="146"/>
      <c r="Z68" s="146"/>
      <c r="AA68" s="146"/>
      <c r="AB68" s="146"/>
      <c r="AC68" s="146"/>
      <c r="AD68" s="146">
        <f t="shared" si="1"/>
        <v>1569</v>
      </c>
    </row>
    <row r="69" spans="2:30" x14ac:dyDescent="0.3">
      <c r="B69" s="3" t="s">
        <v>143</v>
      </c>
      <c r="D69" s="141">
        <v>266106</v>
      </c>
      <c r="E69" s="141">
        <v>224101</v>
      </c>
      <c r="F69" s="141">
        <v>169330</v>
      </c>
      <c r="G69" s="141"/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2">+SUM(D69:O69)</f>
        <v>659537</v>
      </c>
      <c r="R69" s="146">
        <v>1514</v>
      </c>
      <c r="S69" s="146">
        <v>1344</v>
      </c>
      <c r="T69" s="146">
        <v>1156</v>
      </c>
      <c r="U69" s="146"/>
      <c r="V69" s="146"/>
      <c r="W69" s="146"/>
      <c r="X69" s="146"/>
      <c r="Y69" s="146"/>
      <c r="Z69" s="146"/>
      <c r="AA69" s="146"/>
      <c r="AB69" s="146"/>
      <c r="AC69" s="146"/>
      <c r="AD69" s="146">
        <f t="shared" ref="AD69:AD132" si="3">+SUM(R69:AC69)</f>
        <v>4014</v>
      </c>
    </row>
    <row r="70" spans="2:30" x14ac:dyDescent="0.3">
      <c r="B70" s="3" t="s">
        <v>139</v>
      </c>
      <c r="D70" s="141">
        <v>223985</v>
      </c>
      <c r="E70" s="141">
        <v>208140</v>
      </c>
      <c r="F70" s="141">
        <v>239236</v>
      </c>
      <c r="G70" s="141"/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671361</v>
      </c>
      <c r="R70" s="146">
        <v>2723</v>
      </c>
      <c r="S70" s="146">
        <v>2648</v>
      </c>
      <c r="T70" s="146">
        <v>2935</v>
      </c>
      <c r="U70" s="146"/>
      <c r="V70" s="146"/>
      <c r="W70" s="146"/>
      <c r="X70" s="146"/>
      <c r="Y70" s="146"/>
      <c r="Z70" s="146"/>
      <c r="AA70" s="146"/>
      <c r="AB70" s="146"/>
      <c r="AC70" s="146"/>
      <c r="AD70" s="146">
        <f t="shared" si="3"/>
        <v>8306</v>
      </c>
    </row>
    <row r="71" spans="2:30" x14ac:dyDescent="0.3">
      <c r="B71" s="3" t="s">
        <v>136</v>
      </c>
      <c r="D71" s="141">
        <v>96111</v>
      </c>
      <c r="E71" s="141">
        <v>140850</v>
      </c>
      <c r="F71" s="141">
        <v>115316</v>
      </c>
      <c r="G71" s="141"/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352277</v>
      </c>
      <c r="R71" s="146">
        <v>174</v>
      </c>
      <c r="S71" s="146">
        <v>198</v>
      </c>
      <c r="T71" s="146">
        <v>175</v>
      </c>
      <c r="U71" s="146"/>
      <c r="V71" s="146"/>
      <c r="W71" s="146"/>
      <c r="X71" s="146"/>
      <c r="Y71" s="146"/>
      <c r="Z71" s="146"/>
      <c r="AA71" s="146"/>
      <c r="AB71" s="146"/>
      <c r="AC71" s="146"/>
      <c r="AD71" s="146">
        <f t="shared" si="3"/>
        <v>547</v>
      </c>
    </row>
    <row r="72" spans="2:30" x14ac:dyDescent="0.3">
      <c r="B72" s="3" t="s">
        <v>167</v>
      </c>
      <c r="D72" s="141">
        <v>443968</v>
      </c>
      <c r="E72" s="141">
        <v>354813</v>
      </c>
      <c r="F72" s="141">
        <v>322854</v>
      </c>
      <c r="G72" s="141"/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1121635</v>
      </c>
      <c r="R72" s="146">
        <v>1267</v>
      </c>
      <c r="S72" s="146">
        <v>1130</v>
      </c>
      <c r="T72" s="146">
        <v>1028</v>
      </c>
      <c r="U72" s="146"/>
      <c r="V72" s="146"/>
      <c r="W72" s="146"/>
      <c r="X72" s="146"/>
      <c r="Y72" s="146"/>
      <c r="Z72" s="146"/>
      <c r="AA72" s="146"/>
      <c r="AB72" s="146"/>
      <c r="AC72" s="146"/>
      <c r="AD72" s="146">
        <f t="shared" si="3"/>
        <v>3425</v>
      </c>
    </row>
    <row r="73" spans="2:30" x14ac:dyDescent="0.3">
      <c r="B73" s="3" t="s">
        <v>202</v>
      </c>
      <c r="D73" s="141">
        <v>129471</v>
      </c>
      <c r="E73" s="141">
        <v>33418</v>
      </c>
      <c r="F73" s="141">
        <v>82815</v>
      </c>
      <c r="G73" s="141"/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245704</v>
      </c>
      <c r="R73" s="146">
        <v>574</v>
      </c>
      <c r="S73" s="146">
        <v>58</v>
      </c>
      <c r="T73" s="146">
        <v>341</v>
      </c>
      <c r="U73" s="146"/>
      <c r="V73" s="146"/>
      <c r="W73" s="146"/>
      <c r="X73" s="146"/>
      <c r="Y73" s="146"/>
      <c r="Z73" s="146"/>
      <c r="AA73" s="146"/>
      <c r="AB73" s="146"/>
      <c r="AC73" s="146"/>
      <c r="AD73" s="146">
        <f t="shared" si="3"/>
        <v>973</v>
      </c>
    </row>
    <row r="74" spans="2:30" x14ac:dyDescent="0.3">
      <c r="B74" s="3" t="s">
        <v>148</v>
      </c>
      <c r="D74" s="141">
        <v>797247</v>
      </c>
      <c r="E74" s="141">
        <v>912563</v>
      </c>
      <c r="F74" s="141">
        <v>789924</v>
      </c>
      <c r="G74" s="141"/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2499734</v>
      </c>
      <c r="R74" s="146">
        <v>555</v>
      </c>
      <c r="S74" s="146">
        <v>628</v>
      </c>
      <c r="T74" s="146">
        <v>583</v>
      </c>
      <c r="U74" s="146"/>
      <c r="V74" s="146"/>
      <c r="W74" s="146"/>
      <c r="X74" s="146"/>
      <c r="Y74" s="146"/>
      <c r="Z74" s="146"/>
      <c r="AA74" s="146"/>
      <c r="AB74" s="146"/>
      <c r="AC74" s="146"/>
      <c r="AD74" s="146">
        <f t="shared" si="3"/>
        <v>1766</v>
      </c>
    </row>
    <row r="75" spans="2:30" x14ac:dyDescent="0.3">
      <c r="B75" s="3" t="s">
        <v>141</v>
      </c>
      <c r="D75" s="141">
        <v>251883</v>
      </c>
      <c r="E75" s="141">
        <v>195371</v>
      </c>
      <c r="F75" s="141">
        <v>208397</v>
      </c>
      <c r="G75" s="141"/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655651</v>
      </c>
      <c r="R75" s="146">
        <v>1873</v>
      </c>
      <c r="S75" s="146">
        <v>1705</v>
      </c>
      <c r="T75" s="146">
        <v>1835</v>
      </c>
      <c r="U75" s="146"/>
      <c r="V75" s="146"/>
      <c r="W75" s="146"/>
      <c r="X75" s="146"/>
      <c r="Y75" s="146"/>
      <c r="Z75" s="146"/>
      <c r="AA75" s="146"/>
      <c r="AB75" s="146"/>
      <c r="AC75" s="146"/>
      <c r="AD75" s="146">
        <f t="shared" si="3"/>
        <v>5413</v>
      </c>
    </row>
    <row r="76" spans="2:30" x14ac:dyDescent="0.3">
      <c r="B76" s="3" t="s">
        <v>166</v>
      </c>
      <c r="D76" s="141">
        <v>1107225</v>
      </c>
      <c r="E76" s="141">
        <v>922480</v>
      </c>
      <c r="F76" s="141">
        <v>930657</v>
      </c>
      <c r="G76" s="141"/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2960362</v>
      </c>
      <c r="R76" s="146">
        <v>3253</v>
      </c>
      <c r="S76" s="146">
        <v>3307</v>
      </c>
      <c r="T76" s="146">
        <v>3883</v>
      </c>
      <c r="U76" s="146"/>
      <c r="V76" s="146"/>
      <c r="W76" s="146"/>
      <c r="X76" s="146"/>
      <c r="Y76" s="146"/>
      <c r="Z76" s="146"/>
      <c r="AA76" s="146"/>
      <c r="AB76" s="146"/>
      <c r="AC76" s="146"/>
      <c r="AD76" s="146">
        <f t="shared" si="3"/>
        <v>10443</v>
      </c>
    </row>
    <row r="77" spans="2:30" x14ac:dyDescent="0.3">
      <c r="B77" s="3" t="s">
        <v>142</v>
      </c>
      <c r="D77" s="141">
        <v>250654</v>
      </c>
      <c r="E77" s="141">
        <v>252154</v>
      </c>
      <c r="F77" s="141">
        <v>212461</v>
      </c>
      <c r="G77" s="141"/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715269</v>
      </c>
      <c r="R77" s="146">
        <v>2075</v>
      </c>
      <c r="S77" s="146">
        <v>2191</v>
      </c>
      <c r="T77" s="146">
        <v>2066</v>
      </c>
      <c r="U77" s="146"/>
      <c r="V77" s="146"/>
      <c r="W77" s="146"/>
      <c r="X77" s="146"/>
      <c r="Y77" s="146"/>
      <c r="Z77" s="146"/>
      <c r="AA77" s="146"/>
      <c r="AB77" s="146"/>
      <c r="AC77" s="146"/>
      <c r="AD77" s="146">
        <f t="shared" si="3"/>
        <v>6332</v>
      </c>
    </row>
    <row r="78" spans="2:30" x14ac:dyDescent="0.3">
      <c r="B78" s="3" t="s">
        <v>149</v>
      </c>
      <c r="D78" s="141">
        <v>91229</v>
      </c>
      <c r="E78" s="141">
        <v>107359</v>
      </c>
      <c r="F78" s="141">
        <v>93477</v>
      </c>
      <c r="G78" s="141"/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292065</v>
      </c>
      <c r="R78" s="146">
        <v>503</v>
      </c>
      <c r="S78" s="146">
        <v>471</v>
      </c>
      <c r="T78" s="146">
        <v>458</v>
      </c>
      <c r="U78" s="146"/>
      <c r="V78" s="146"/>
      <c r="W78" s="146"/>
      <c r="X78" s="146"/>
      <c r="Y78" s="146"/>
      <c r="Z78" s="146"/>
      <c r="AA78" s="146"/>
      <c r="AB78" s="146"/>
      <c r="AC78" s="146"/>
      <c r="AD78" s="146">
        <f t="shared" si="3"/>
        <v>1432</v>
      </c>
    </row>
    <row r="79" spans="2:30" x14ac:dyDescent="0.3">
      <c r="B79" s="3" t="s">
        <v>158</v>
      </c>
      <c r="D79" s="141">
        <v>198701</v>
      </c>
      <c r="E79" s="141">
        <v>227696</v>
      </c>
      <c r="F79" s="141">
        <v>216291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642688</v>
      </c>
      <c r="R79" s="146">
        <v>1283</v>
      </c>
      <c r="S79" s="146">
        <v>1265</v>
      </c>
      <c r="T79" s="146">
        <v>1265</v>
      </c>
      <c r="U79" s="146"/>
      <c r="V79" s="146"/>
      <c r="W79" s="146"/>
      <c r="X79" s="146"/>
      <c r="Y79" s="146"/>
      <c r="Z79" s="146"/>
      <c r="AA79" s="146"/>
      <c r="AB79" s="146"/>
      <c r="AC79" s="146"/>
      <c r="AD79" s="146">
        <f t="shared" si="3"/>
        <v>3813</v>
      </c>
    </row>
    <row r="80" spans="2:30" x14ac:dyDescent="0.3">
      <c r="B80" s="3" t="s">
        <v>147</v>
      </c>
      <c r="D80" s="141">
        <v>214336</v>
      </c>
      <c r="E80" s="141">
        <v>194095</v>
      </c>
      <c r="F80" s="141">
        <v>229169</v>
      </c>
      <c r="G80" s="141"/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637600</v>
      </c>
      <c r="R80" s="146">
        <v>348</v>
      </c>
      <c r="S80" s="146">
        <v>256</v>
      </c>
      <c r="T80" s="146">
        <v>331</v>
      </c>
      <c r="U80" s="146"/>
      <c r="V80" s="146"/>
      <c r="W80" s="146"/>
      <c r="X80" s="146"/>
      <c r="Y80" s="146"/>
      <c r="Z80" s="146"/>
      <c r="AA80" s="146"/>
      <c r="AB80" s="146"/>
      <c r="AC80" s="146"/>
      <c r="AD80" s="146">
        <f t="shared" si="3"/>
        <v>935</v>
      </c>
    </row>
    <row r="81" spans="2:30" x14ac:dyDescent="0.3">
      <c r="B81" s="3" t="s">
        <v>173</v>
      </c>
      <c r="D81" s="141">
        <v>46210</v>
      </c>
      <c r="E81" s="141">
        <v>77860</v>
      </c>
      <c r="F81" s="141">
        <v>51210</v>
      </c>
      <c r="G81" s="141"/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175280</v>
      </c>
      <c r="R81" s="146">
        <v>111</v>
      </c>
      <c r="S81" s="146">
        <v>151</v>
      </c>
      <c r="T81" s="146">
        <v>109</v>
      </c>
      <c r="U81" s="146"/>
      <c r="V81" s="146"/>
      <c r="W81" s="146"/>
      <c r="X81" s="146"/>
      <c r="Y81" s="146"/>
      <c r="Z81" s="146"/>
      <c r="AA81" s="146"/>
      <c r="AB81" s="146"/>
      <c r="AC81" s="146"/>
      <c r="AD81" s="146">
        <f t="shared" si="3"/>
        <v>371</v>
      </c>
    </row>
    <row r="82" spans="2:30" x14ac:dyDescent="0.3">
      <c r="B82" s="3" t="s">
        <v>165</v>
      </c>
      <c r="D82" s="141">
        <v>193376</v>
      </c>
      <c r="E82" s="141">
        <v>197013</v>
      </c>
      <c r="F82" s="141">
        <v>248180</v>
      </c>
      <c r="G82" s="141"/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638569</v>
      </c>
      <c r="R82" s="146">
        <v>6629</v>
      </c>
      <c r="S82" s="146">
        <v>6955</v>
      </c>
      <c r="T82" s="146">
        <v>8410</v>
      </c>
      <c r="U82" s="146"/>
      <c r="V82" s="146"/>
      <c r="W82" s="146"/>
      <c r="X82" s="146"/>
      <c r="Y82" s="146"/>
      <c r="Z82" s="146"/>
      <c r="AA82" s="146"/>
      <c r="AB82" s="146"/>
      <c r="AC82" s="146"/>
      <c r="AD82" s="146">
        <f t="shared" si="3"/>
        <v>21994</v>
      </c>
    </row>
    <row r="83" spans="2:30" x14ac:dyDescent="0.3">
      <c r="B83" s="3" t="s">
        <v>154</v>
      </c>
      <c r="D83" s="141">
        <v>135044</v>
      </c>
      <c r="E83" s="141">
        <v>116023</v>
      </c>
      <c r="F83" s="141">
        <v>131153</v>
      </c>
      <c r="G83" s="141"/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382220</v>
      </c>
      <c r="R83" s="146">
        <v>483</v>
      </c>
      <c r="S83" s="146">
        <v>460</v>
      </c>
      <c r="T83" s="146">
        <v>456</v>
      </c>
      <c r="U83" s="146"/>
      <c r="V83" s="146"/>
      <c r="W83" s="146"/>
      <c r="X83" s="146"/>
      <c r="Y83" s="146"/>
      <c r="Z83" s="146"/>
      <c r="AA83" s="146"/>
      <c r="AB83" s="146"/>
      <c r="AC83" s="146"/>
      <c r="AD83" s="146">
        <f t="shared" si="3"/>
        <v>1399</v>
      </c>
    </row>
    <row r="84" spans="2:30" x14ac:dyDescent="0.3">
      <c r="B84" s="3" t="s">
        <v>170</v>
      </c>
      <c r="D84" s="141">
        <v>90274</v>
      </c>
      <c r="E84" s="141">
        <v>69064</v>
      </c>
      <c r="F84" s="141">
        <v>78836</v>
      </c>
      <c r="G84" s="141"/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238174</v>
      </c>
      <c r="R84" s="146">
        <v>575</v>
      </c>
      <c r="S84" s="146">
        <v>524</v>
      </c>
      <c r="T84" s="146">
        <v>632</v>
      </c>
      <c r="U84" s="146"/>
      <c r="V84" s="146"/>
      <c r="W84" s="146"/>
      <c r="X84" s="146"/>
      <c r="Y84" s="146"/>
      <c r="Z84" s="146"/>
      <c r="AA84" s="146"/>
      <c r="AB84" s="146"/>
      <c r="AC84" s="146"/>
      <c r="AD84" s="146">
        <f t="shared" si="3"/>
        <v>1731</v>
      </c>
    </row>
    <row r="85" spans="2:30" x14ac:dyDescent="0.3">
      <c r="B85" s="3" t="s">
        <v>197</v>
      </c>
      <c r="D85" s="141">
        <v>54024</v>
      </c>
      <c r="E85" s="141">
        <v>40112</v>
      </c>
      <c r="F85" s="141">
        <v>63971</v>
      </c>
      <c r="G85" s="141"/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158107</v>
      </c>
      <c r="R85" s="146">
        <v>159</v>
      </c>
      <c r="S85" s="146">
        <v>211</v>
      </c>
      <c r="T85" s="146">
        <v>309</v>
      </c>
      <c r="U85" s="146"/>
      <c r="V85" s="146"/>
      <c r="W85" s="146"/>
      <c r="X85" s="146"/>
      <c r="Y85" s="146"/>
      <c r="Z85" s="146"/>
      <c r="AA85" s="146"/>
      <c r="AB85" s="146"/>
      <c r="AC85" s="146"/>
      <c r="AD85" s="146">
        <f t="shared" si="3"/>
        <v>679</v>
      </c>
    </row>
    <row r="86" spans="2:30" x14ac:dyDescent="0.3">
      <c r="B86" s="3" t="s">
        <v>163</v>
      </c>
      <c r="D86" s="141">
        <v>66300</v>
      </c>
      <c r="E86" s="141">
        <v>64945</v>
      </c>
      <c r="F86" s="141">
        <v>77093</v>
      </c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208338</v>
      </c>
      <c r="R86" s="146">
        <v>359</v>
      </c>
      <c r="S86" s="146">
        <v>402</v>
      </c>
      <c r="T86" s="146">
        <v>499</v>
      </c>
      <c r="U86" s="146"/>
      <c r="V86" s="146"/>
      <c r="W86" s="146"/>
      <c r="X86" s="146"/>
      <c r="Y86" s="146"/>
      <c r="Z86" s="146"/>
      <c r="AA86" s="146"/>
      <c r="AB86" s="146"/>
      <c r="AC86" s="146"/>
      <c r="AD86" s="146">
        <f t="shared" si="3"/>
        <v>1260</v>
      </c>
    </row>
    <row r="87" spans="2:30" x14ac:dyDescent="0.3">
      <c r="B87" s="3" t="s">
        <v>156</v>
      </c>
      <c r="D87" s="141">
        <v>660968</v>
      </c>
      <c r="E87" s="141">
        <v>422113</v>
      </c>
      <c r="F87" s="141">
        <v>366287</v>
      </c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1449368</v>
      </c>
      <c r="R87" s="146">
        <v>1799</v>
      </c>
      <c r="S87" s="146">
        <v>1112</v>
      </c>
      <c r="T87" s="146">
        <v>865</v>
      </c>
      <c r="U87" s="146"/>
      <c r="V87" s="146"/>
      <c r="W87" s="146"/>
      <c r="X87" s="146"/>
      <c r="Y87" s="146"/>
      <c r="Z87" s="146"/>
      <c r="AA87" s="146"/>
      <c r="AB87" s="146"/>
      <c r="AC87" s="146"/>
      <c r="AD87" s="146">
        <f t="shared" si="3"/>
        <v>3776</v>
      </c>
    </row>
    <row r="88" spans="2:30" x14ac:dyDescent="0.3">
      <c r="B88" s="3" t="s">
        <v>159</v>
      </c>
      <c r="D88" s="141">
        <v>88627</v>
      </c>
      <c r="E88" s="141">
        <v>77775</v>
      </c>
      <c r="F88" s="141">
        <v>83919</v>
      </c>
      <c r="G88" s="141"/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250321</v>
      </c>
      <c r="R88" s="146">
        <v>150</v>
      </c>
      <c r="S88" s="146">
        <v>132</v>
      </c>
      <c r="T88" s="146">
        <v>124</v>
      </c>
      <c r="U88" s="146"/>
      <c r="V88" s="146"/>
      <c r="W88" s="146"/>
      <c r="X88" s="146"/>
      <c r="Y88" s="146"/>
      <c r="Z88" s="146"/>
      <c r="AA88" s="146"/>
      <c r="AB88" s="146"/>
      <c r="AC88" s="146"/>
      <c r="AD88" s="146">
        <f t="shared" si="3"/>
        <v>406</v>
      </c>
    </row>
    <row r="89" spans="2:30" x14ac:dyDescent="0.3">
      <c r="B89" s="3" t="s">
        <v>169</v>
      </c>
      <c r="D89" s="141">
        <v>102906</v>
      </c>
      <c r="E89" s="141">
        <v>97044</v>
      </c>
      <c r="F89" s="141">
        <v>118751</v>
      </c>
      <c r="G89" s="141"/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318701</v>
      </c>
      <c r="R89" s="146">
        <v>566</v>
      </c>
      <c r="S89" s="146">
        <v>570</v>
      </c>
      <c r="T89" s="146">
        <v>562</v>
      </c>
      <c r="U89" s="146"/>
      <c r="V89" s="146"/>
      <c r="W89" s="146"/>
      <c r="X89" s="146"/>
      <c r="Y89" s="146"/>
      <c r="Z89" s="146"/>
      <c r="AA89" s="146"/>
      <c r="AB89" s="146"/>
      <c r="AC89" s="146"/>
      <c r="AD89" s="146">
        <f t="shared" si="3"/>
        <v>1698</v>
      </c>
    </row>
    <row r="90" spans="2:30" x14ac:dyDescent="0.3">
      <c r="B90" s="3" t="s">
        <v>168</v>
      </c>
      <c r="D90" s="141">
        <v>42460</v>
      </c>
      <c r="E90" s="141">
        <v>38567</v>
      </c>
      <c r="F90" s="141">
        <v>50920</v>
      </c>
      <c r="G90" s="141"/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131947</v>
      </c>
      <c r="R90" s="146">
        <v>109</v>
      </c>
      <c r="S90" s="146">
        <v>103</v>
      </c>
      <c r="T90" s="146">
        <v>98</v>
      </c>
      <c r="U90" s="146"/>
      <c r="V90" s="146"/>
      <c r="W90" s="146"/>
      <c r="X90" s="146"/>
      <c r="Y90" s="146"/>
      <c r="Z90" s="146"/>
      <c r="AA90" s="146"/>
      <c r="AB90" s="146"/>
      <c r="AC90" s="146"/>
      <c r="AD90" s="146">
        <f t="shared" si="3"/>
        <v>310</v>
      </c>
    </row>
    <row r="91" spans="2:30" x14ac:dyDescent="0.3">
      <c r="B91" s="3" t="s">
        <v>153</v>
      </c>
      <c r="D91" s="141">
        <v>28024</v>
      </c>
      <c r="E91" s="141">
        <v>24860</v>
      </c>
      <c r="F91" s="141">
        <v>50799</v>
      </c>
      <c r="G91" s="141"/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103683</v>
      </c>
      <c r="R91" s="146">
        <v>172</v>
      </c>
      <c r="S91" s="146">
        <v>152</v>
      </c>
      <c r="T91" s="146">
        <v>251</v>
      </c>
      <c r="U91" s="146"/>
      <c r="V91" s="146"/>
      <c r="W91" s="146"/>
      <c r="X91" s="146"/>
      <c r="Y91" s="146"/>
      <c r="Z91" s="146"/>
      <c r="AA91" s="146"/>
      <c r="AB91" s="146"/>
      <c r="AC91" s="146"/>
      <c r="AD91" s="146">
        <f t="shared" si="3"/>
        <v>575</v>
      </c>
    </row>
    <row r="92" spans="2:30" x14ac:dyDescent="0.3">
      <c r="B92" s="3" t="s">
        <v>155</v>
      </c>
      <c r="D92" s="141">
        <v>87009</v>
      </c>
      <c r="E92" s="141">
        <v>85828</v>
      </c>
      <c r="F92" s="141">
        <v>76334</v>
      </c>
      <c r="G92" s="141"/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249171</v>
      </c>
      <c r="R92" s="146">
        <v>353</v>
      </c>
      <c r="S92" s="146">
        <v>338</v>
      </c>
      <c r="T92" s="146">
        <v>312</v>
      </c>
      <c r="U92" s="146"/>
      <c r="V92" s="146"/>
      <c r="W92" s="146"/>
      <c r="X92" s="146"/>
      <c r="Y92" s="146"/>
      <c r="Z92" s="146"/>
      <c r="AA92" s="146"/>
      <c r="AB92" s="146"/>
      <c r="AC92" s="146"/>
      <c r="AD92" s="146">
        <f t="shared" si="3"/>
        <v>1003</v>
      </c>
    </row>
    <row r="93" spans="2:30" x14ac:dyDescent="0.3">
      <c r="B93" s="3" t="s">
        <v>253</v>
      </c>
      <c r="D93" s="141">
        <v>56628</v>
      </c>
      <c r="E93" s="141">
        <v>49984</v>
      </c>
      <c r="F93" s="141">
        <v>47898</v>
      </c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154510</v>
      </c>
      <c r="R93" s="146">
        <v>44</v>
      </c>
      <c r="S93" s="146">
        <v>39</v>
      </c>
      <c r="T93" s="146">
        <v>37</v>
      </c>
      <c r="U93" s="146"/>
      <c r="V93" s="146"/>
      <c r="W93" s="146"/>
      <c r="X93" s="146"/>
      <c r="Y93" s="146"/>
      <c r="Z93" s="146"/>
      <c r="AA93" s="146"/>
      <c r="AB93" s="146"/>
      <c r="AC93" s="146"/>
      <c r="AD93" s="146">
        <f t="shared" si="3"/>
        <v>120</v>
      </c>
    </row>
    <row r="94" spans="2:30" x14ac:dyDescent="0.3">
      <c r="B94" s="3" t="s">
        <v>151</v>
      </c>
      <c r="D94" s="141">
        <v>9345</v>
      </c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9345</v>
      </c>
      <c r="R94" s="146">
        <v>76</v>
      </c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>
        <f t="shared" si="3"/>
        <v>76</v>
      </c>
    </row>
    <row r="95" spans="2:30" x14ac:dyDescent="0.3">
      <c r="B95" s="3" t="s">
        <v>161</v>
      </c>
      <c r="D95" s="141">
        <v>345673</v>
      </c>
      <c r="E95" s="141">
        <v>412003</v>
      </c>
      <c r="F95" s="141">
        <v>453007</v>
      </c>
      <c r="G95" s="141"/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1210683</v>
      </c>
      <c r="R95" s="146">
        <v>1133</v>
      </c>
      <c r="S95" s="146">
        <v>1338</v>
      </c>
      <c r="T95" s="146">
        <v>1975</v>
      </c>
      <c r="U95" s="146"/>
      <c r="V95" s="146"/>
      <c r="W95" s="146"/>
      <c r="X95" s="146"/>
      <c r="Y95" s="146"/>
      <c r="Z95" s="146"/>
      <c r="AA95" s="146"/>
      <c r="AB95" s="146"/>
      <c r="AC95" s="146"/>
      <c r="AD95" s="146">
        <f t="shared" si="3"/>
        <v>4446</v>
      </c>
    </row>
    <row r="96" spans="2:30" x14ac:dyDescent="0.3">
      <c r="B96" s="3" t="s">
        <v>157</v>
      </c>
      <c r="D96" s="141">
        <v>56822</v>
      </c>
      <c r="E96" s="141">
        <v>69549</v>
      </c>
      <c r="F96" s="141">
        <v>51381</v>
      </c>
      <c r="G96" s="141"/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177752</v>
      </c>
      <c r="R96" s="146">
        <v>114</v>
      </c>
      <c r="S96" s="146">
        <v>142</v>
      </c>
      <c r="T96" s="146">
        <v>110</v>
      </c>
      <c r="U96" s="146"/>
      <c r="V96" s="146"/>
      <c r="W96" s="146"/>
      <c r="X96" s="146"/>
      <c r="Y96" s="146"/>
      <c r="Z96" s="146"/>
      <c r="AA96" s="146"/>
      <c r="AB96" s="146"/>
      <c r="AC96" s="146"/>
      <c r="AD96" s="146">
        <f t="shared" si="3"/>
        <v>366</v>
      </c>
    </row>
    <row r="97" spans="2:30" x14ac:dyDescent="0.3">
      <c r="B97" s="3" t="s">
        <v>186</v>
      </c>
      <c r="D97" s="141">
        <v>40423</v>
      </c>
      <c r="E97" s="141">
        <v>27738</v>
      </c>
      <c r="F97" s="141">
        <v>27931</v>
      </c>
      <c r="G97" s="141"/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96092</v>
      </c>
      <c r="R97" s="146">
        <v>100</v>
      </c>
      <c r="S97" s="146">
        <v>104</v>
      </c>
      <c r="T97" s="146">
        <v>78</v>
      </c>
      <c r="U97" s="146"/>
      <c r="V97" s="146"/>
      <c r="W97" s="146"/>
      <c r="X97" s="146"/>
      <c r="Y97" s="146"/>
      <c r="Z97" s="146"/>
      <c r="AA97" s="146"/>
      <c r="AB97" s="146"/>
      <c r="AC97" s="146"/>
      <c r="AD97" s="146">
        <f t="shared" si="3"/>
        <v>282</v>
      </c>
    </row>
    <row r="98" spans="2:30" x14ac:dyDescent="0.3">
      <c r="B98" s="3" t="s">
        <v>162</v>
      </c>
      <c r="D98" s="141">
        <v>78437</v>
      </c>
      <c r="E98" s="141">
        <v>48530</v>
      </c>
      <c r="F98" s="141">
        <v>93561</v>
      </c>
      <c r="G98" s="141"/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220528</v>
      </c>
      <c r="R98" s="146">
        <v>172</v>
      </c>
      <c r="S98" s="146">
        <v>138</v>
      </c>
      <c r="T98" s="146">
        <v>142</v>
      </c>
      <c r="U98" s="146"/>
      <c r="V98" s="146"/>
      <c r="W98" s="146"/>
      <c r="X98" s="146"/>
      <c r="Y98" s="146"/>
      <c r="Z98" s="146"/>
      <c r="AA98" s="146"/>
      <c r="AB98" s="146"/>
      <c r="AC98" s="146"/>
      <c r="AD98" s="146">
        <f t="shared" si="3"/>
        <v>452</v>
      </c>
    </row>
    <row r="99" spans="2:30" x14ac:dyDescent="0.3">
      <c r="B99" s="3" t="s">
        <v>217</v>
      </c>
      <c r="D99" s="141">
        <v>11516</v>
      </c>
      <c r="E99" s="141">
        <v>4968</v>
      </c>
      <c r="F99" s="141">
        <v>9211</v>
      </c>
      <c r="G99" s="141"/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25695</v>
      </c>
      <c r="R99" s="146">
        <v>56</v>
      </c>
      <c r="S99" s="146">
        <v>71</v>
      </c>
      <c r="T99" s="146">
        <v>46</v>
      </c>
      <c r="U99" s="146"/>
      <c r="V99" s="146"/>
      <c r="W99" s="146"/>
      <c r="X99" s="146"/>
      <c r="Y99" s="146"/>
      <c r="Z99" s="146"/>
      <c r="AA99" s="146"/>
      <c r="AB99" s="146"/>
      <c r="AC99" s="146"/>
      <c r="AD99" s="146">
        <f t="shared" si="3"/>
        <v>173</v>
      </c>
    </row>
    <row r="100" spans="2:30" x14ac:dyDescent="0.3">
      <c r="B100" s="3" t="s">
        <v>176</v>
      </c>
      <c r="D100" s="141">
        <v>137736</v>
      </c>
      <c r="E100" s="141">
        <v>79370</v>
      </c>
      <c r="F100" s="141">
        <v>120748</v>
      </c>
      <c r="G100" s="141"/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337854</v>
      </c>
      <c r="R100" s="146">
        <v>367</v>
      </c>
      <c r="S100" s="146">
        <v>289</v>
      </c>
      <c r="T100" s="146">
        <v>383</v>
      </c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>
        <f t="shared" si="3"/>
        <v>1039</v>
      </c>
    </row>
    <row r="101" spans="2:30" x14ac:dyDescent="0.3">
      <c r="B101" s="3" t="s">
        <v>114</v>
      </c>
      <c r="D101" s="141">
        <v>96994</v>
      </c>
      <c r="E101" s="141">
        <v>81551</v>
      </c>
      <c r="F101" s="141">
        <v>100102</v>
      </c>
      <c r="G101" s="141"/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278647</v>
      </c>
      <c r="R101" s="146">
        <v>351</v>
      </c>
      <c r="S101" s="146">
        <v>315</v>
      </c>
      <c r="T101" s="146">
        <v>296</v>
      </c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>
        <f t="shared" si="3"/>
        <v>962</v>
      </c>
    </row>
    <row r="102" spans="2:30" x14ac:dyDescent="0.3">
      <c r="B102" s="3" t="s">
        <v>180</v>
      </c>
      <c r="D102" s="141">
        <v>54026</v>
      </c>
      <c r="E102" s="141">
        <v>46861</v>
      </c>
      <c r="F102" s="141">
        <v>41477</v>
      </c>
      <c r="G102" s="141"/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142364</v>
      </c>
      <c r="R102" s="146">
        <v>741</v>
      </c>
      <c r="S102" s="146">
        <v>730</v>
      </c>
      <c r="T102" s="146">
        <v>679</v>
      </c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>
        <f t="shared" si="3"/>
        <v>2150</v>
      </c>
    </row>
    <row r="103" spans="2:30" x14ac:dyDescent="0.3">
      <c r="B103" s="3" t="s">
        <v>174</v>
      </c>
      <c r="D103" s="141">
        <v>107917</v>
      </c>
      <c r="E103" s="141">
        <v>109643</v>
      </c>
      <c r="F103" s="141">
        <v>121425</v>
      </c>
      <c r="G103" s="141"/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338985</v>
      </c>
      <c r="R103" s="146">
        <v>709</v>
      </c>
      <c r="S103" s="146">
        <v>752</v>
      </c>
      <c r="T103" s="146">
        <v>874</v>
      </c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>
        <f t="shared" si="3"/>
        <v>2335</v>
      </c>
    </row>
    <row r="104" spans="2:30" x14ac:dyDescent="0.3">
      <c r="B104" s="3" t="s">
        <v>222</v>
      </c>
      <c r="D104" s="141">
        <v>4119</v>
      </c>
      <c r="E104" s="141">
        <v>6132</v>
      </c>
      <c r="F104" s="141">
        <v>4696</v>
      </c>
      <c r="G104" s="141"/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14947</v>
      </c>
      <c r="R104" s="146">
        <v>24</v>
      </c>
      <c r="S104" s="146">
        <v>43</v>
      </c>
      <c r="T104" s="146">
        <v>36</v>
      </c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>
        <f t="shared" si="3"/>
        <v>103</v>
      </c>
    </row>
    <row r="105" spans="2:30" x14ac:dyDescent="0.3">
      <c r="B105" s="3" t="s">
        <v>185</v>
      </c>
      <c r="D105" s="141">
        <v>50573</v>
      </c>
      <c r="E105" s="141">
        <v>27032</v>
      </c>
      <c r="F105" s="141">
        <v>29570</v>
      </c>
      <c r="G105" s="141"/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107175</v>
      </c>
      <c r="R105" s="146">
        <v>86</v>
      </c>
      <c r="S105" s="146">
        <v>61</v>
      </c>
      <c r="T105" s="146">
        <v>77</v>
      </c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>
        <f t="shared" si="3"/>
        <v>224</v>
      </c>
    </row>
    <row r="106" spans="2:30" x14ac:dyDescent="0.3">
      <c r="B106" s="3" t="s">
        <v>183</v>
      </c>
      <c r="D106" s="141">
        <v>67850</v>
      </c>
      <c r="E106" s="141">
        <v>43593</v>
      </c>
      <c r="F106" s="141">
        <v>46687</v>
      </c>
      <c r="G106" s="141"/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158130</v>
      </c>
      <c r="R106" s="146">
        <v>174</v>
      </c>
      <c r="S106" s="146">
        <v>145</v>
      </c>
      <c r="T106" s="146">
        <v>139</v>
      </c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>
        <f t="shared" si="3"/>
        <v>458</v>
      </c>
    </row>
    <row r="107" spans="2:30" x14ac:dyDescent="0.3">
      <c r="B107" s="3" t="s">
        <v>250</v>
      </c>
      <c r="D107" s="141">
        <v>1950</v>
      </c>
      <c r="E107" s="141">
        <v>882</v>
      </c>
      <c r="F107" s="141">
        <v>1600</v>
      </c>
      <c r="G107" s="141"/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4432</v>
      </c>
      <c r="R107" s="146">
        <v>4</v>
      </c>
      <c r="S107" s="146">
        <v>3</v>
      </c>
      <c r="T107" s="146">
        <v>2</v>
      </c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>
        <f t="shared" si="3"/>
        <v>9</v>
      </c>
    </row>
    <row r="108" spans="2:30" x14ac:dyDescent="0.3">
      <c r="B108" s="3" t="s">
        <v>200</v>
      </c>
      <c r="D108" s="141">
        <v>6850</v>
      </c>
      <c r="E108" s="141">
        <v>12687</v>
      </c>
      <c r="F108" s="141">
        <v>6685</v>
      </c>
      <c r="G108" s="141"/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26222</v>
      </c>
      <c r="R108" s="146">
        <v>32</v>
      </c>
      <c r="S108" s="146">
        <v>26</v>
      </c>
      <c r="T108" s="146">
        <v>29</v>
      </c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>
        <f t="shared" si="3"/>
        <v>87</v>
      </c>
    </row>
    <row r="109" spans="2:30" x14ac:dyDescent="0.3">
      <c r="B109" s="3" t="s">
        <v>175</v>
      </c>
      <c r="D109" s="141">
        <v>205169</v>
      </c>
      <c r="E109" s="141">
        <v>174883</v>
      </c>
      <c r="F109" s="141">
        <v>166961</v>
      </c>
      <c r="G109" s="141"/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547013</v>
      </c>
      <c r="R109" s="146">
        <v>1460</v>
      </c>
      <c r="S109" s="146">
        <v>1433</v>
      </c>
      <c r="T109" s="146">
        <v>1045</v>
      </c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>
        <f t="shared" si="3"/>
        <v>3938</v>
      </c>
    </row>
    <row r="110" spans="2:30" x14ac:dyDescent="0.3">
      <c r="B110" s="3" t="s">
        <v>194</v>
      </c>
      <c r="D110" s="141">
        <v>28907</v>
      </c>
      <c r="E110" s="141">
        <v>62996</v>
      </c>
      <c r="F110" s="141">
        <v>26288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118191</v>
      </c>
      <c r="R110" s="146">
        <v>40</v>
      </c>
      <c r="S110" s="146">
        <v>53</v>
      </c>
      <c r="T110" s="146">
        <v>47</v>
      </c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>
        <f t="shared" si="3"/>
        <v>140</v>
      </c>
    </row>
    <row r="111" spans="2:30" x14ac:dyDescent="0.3">
      <c r="B111" s="3" t="s">
        <v>190</v>
      </c>
      <c r="D111" s="141">
        <v>33473</v>
      </c>
      <c r="E111" s="141">
        <v>54410</v>
      </c>
      <c r="F111" s="141">
        <v>33734</v>
      </c>
      <c r="G111" s="141"/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121617</v>
      </c>
      <c r="R111" s="146">
        <v>130</v>
      </c>
      <c r="S111" s="146">
        <v>141</v>
      </c>
      <c r="T111" s="146">
        <v>121</v>
      </c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>
        <f t="shared" si="3"/>
        <v>392</v>
      </c>
    </row>
    <row r="112" spans="2:30" x14ac:dyDescent="0.3">
      <c r="B112" s="3" t="s">
        <v>188</v>
      </c>
      <c r="D112" s="141">
        <v>70087</v>
      </c>
      <c r="E112" s="141">
        <v>54174</v>
      </c>
      <c r="F112" s="141">
        <v>34583</v>
      </c>
      <c r="G112" s="141"/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158844</v>
      </c>
      <c r="R112" s="146">
        <v>109</v>
      </c>
      <c r="S112" s="146">
        <v>104</v>
      </c>
      <c r="T112" s="146">
        <v>87</v>
      </c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>
        <f t="shared" si="3"/>
        <v>300</v>
      </c>
    </row>
    <row r="113" spans="2:30" x14ac:dyDescent="0.3">
      <c r="B113" s="3" t="s">
        <v>179</v>
      </c>
      <c r="D113" s="141">
        <v>166354</v>
      </c>
      <c r="E113" s="141">
        <v>142343</v>
      </c>
      <c r="F113" s="141">
        <v>111522</v>
      </c>
      <c r="G113" s="141"/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420219</v>
      </c>
      <c r="R113" s="146">
        <v>5823</v>
      </c>
      <c r="S113" s="146">
        <v>4743</v>
      </c>
      <c r="T113" s="146">
        <v>3866</v>
      </c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>
        <f t="shared" si="3"/>
        <v>14432</v>
      </c>
    </row>
    <row r="114" spans="2:30" x14ac:dyDescent="0.3">
      <c r="B114" s="3" t="s">
        <v>182</v>
      </c>
      <c r="D114" s="141">
        <v>265001</v>
      </c>
      <c r="E114" s="141">
        <v>259740</v>
      </c>
      <c r="F114" s="141">
        <v>203968</v>
      </c>
      <c r="G114" s="141"/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728709</v>
      </c>
      <c r="R114" s="146">
        <v>350</v>
      </c>
      <c r="S114" s="146">
        <v>310</v>
      </c>
      <c r="T114" s="146">
        <v>225</v>
      </c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>
        <f t="shared" si="3"/>
        <v>885</v>
      </c>
    </row>
    <row r="115" spans="2:30" x14ac:dyDescent="0.3">
      <c r="B115" s="3" t="s">
        <v>199</v>
      </c>
      <c r="D115" s="141">
        <v>99139</v>
      </c>
      <c r="E115" s="141">
        <v>74167</v>
      </c>
      <c r="F115" s="141">
        <v>62972</v>
      </c>
      <c r="G115" s="141"/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236278</v>
      </c>
      <c r="R115" s="146">
        <v>927</v>
      </c>
      <c r="S115" s="146">
        <v>931</v>
      </c>
      <c r="T115" s="146">
        <v>885</v>
      </c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>
        <f t="shared" si="3"/>
        <v>2743</v>
      </c>
    </row>
    <row r="116" spans="2:30" x14ac:dyDescent="0.3">
      <c r="B116" s="3" t="s">
        <v>187</v>
      </c>
      <c r="D116" s="141">
        <v>73810</v>
      </c>
      <c r="E116" s="141">
        <v>48291</v>
      </c>
      <c r="F116" s="141">
        <v>40004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162105</v>
      </c>
      <c r="R116" s="146">
        <v>98</v>
      </c>
      <c r="S116" s="146">
        <v>129</v>
      </c>
      <c r="T116" s="146">
        <v>109</v>
      </c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>
        <f t="shared" si="3"/>
        <v>336</v>
      </c>
    </row>
    <row r="117" spans="2:30" x14ac:dyDescent="0.3">
      <c r="B117" s="3" t="s">
        <v>191</v>
      </c>
      <c r="D117" s="141">
        <v>94323</v>
      </c>
      <c r="E117" s="141">
        <v>73712</v>
      </c>
      <c r="F117" s="141">
        <v>72276</v>
      </c>
      <c r="G117" s="141"/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240311</v>
      </c>
      <c r="R117" s="146">
        <v>1054</v>
      </c>
      <c r="S117" s="146">
        <v>791</v>
      </c>
      <c r="T117" s="146">
        <v>816</v>
      </c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>
        <f t="shared" si="3"/>
        <v>2661</v>
      </c>
    </row>
    <row r="118" spans="2:30" x14ac:dyDescent="0.3">
      <c r="B118" s="3" t="s">
        <v>184</v>
      </c>
      <c r="D118" s="141">
        <v>51100</v>
      </c>
      <c r="E118" s="141">
        <v>36737</v>
      </c>
      <c r="F118" s="141">
        <v>38862</v>
      </c>
      <c r="G118" s="141"/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126699</v>
      </c>
      <c r="R118" s="146">
        <v>120</v>
      </c>
      <c r="S118" s="146">
        <v>116</v>
      </c>
      <c r="T118" s="146">
        <v>48</v>
      </c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>
        <f t="shared" si="3"/>
        <v>284</v>
      </c>
    </row>
    <row r="119" spans="2:30" x14ac:dyDescent="0.3">
      <c r="B119" s="3" t="s">
        <v>193</v>
      </c>
      <c r="D119" s="141">
        <v>34681</v>
      </c>
      <c r="E119" s="141">
        <v>72665</v>
      </c>
      <c r="F119" s="141">
        <v>56186</v>
      </c>
      <c r="G119" s="141"/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163532</v>
      </c>
      <c r="R119" s="146">
        <v>268</v>
      </c>
      <c r="S119" s="146">
        <v>548</v>
      </c>
      <c r="T119" s="146">
        <v>436</v>
      </c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>
        <f t="shared" si="3"/>
        <v>1252</v>
      </c>
    </row>
    <row r="120" spans="2:30" x14ac:dyDescent="0.3">
      <c r="B120" s="3" t="s">
        <v>189</v>
      </c>
      <c r="D120" s="141">
        <v>6254</v>
      </c>
      <c r="E120" s="141">
        <v>13091</v>
      </c>
      <c r="F120" s="141">
        <v>9065</v>
      </c>
      <c r="G120" s="141"/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28410</v>
      </c>
      <c r="R120" s="146">
        <v>19</v>
      </c>
      <c r="S120" s="146">
        <v>21</v>
      </c>
      <c r="T120" s="146">
        <v>20</v>
      </c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>
        <f t="shared" si="3"/>
        <v>60</v>
      </c>
    </row>
    <row r="121" spans="2:30" x14ac:dyDescent="0.3">
      <c r="B121" s="3" t="s">
        <v>177</v>
      </c>
      <c r="D121" s="141">
        <v>273150</v>
      </c>
      <c r="E121" s="141">
        <v>256021</v>
      </c>
      <c r="F121" s="141">
        <v>262549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791720</v>
      </c>
      <c r="R121" s="146">
        <v>27646</v>
      </c>
      <c r="S121" s="146">
        <v>26202</v>
      </c>
      <c r="T121" s="146">
        <v>27082</v>
      </c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>
        <f t="shared" si="3"/>
        <v>80930</v>
      </c>
    </row>
    <row r="122" spans="2:30" x14ac:dyDescent="0.3">
      <c r="B122" s="3" t="s">
        <v>232</v>
      </c>
      <c r="D122" s="141">
        <v>85032</v>
      </c>
      <c r="E122" s="141">
        <v>290536</v>
      </c>
      <c r="F122" s="141">
        <v>279461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655029</v>
      </c>
      <c r="R122" s="146">
        <v>578</v>
      </c>
      <c r="S122" s="146">
        <v>1213</v>
      </c>
      <c r="T122" s="146">
        <v>1135</v>
      </c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>
        <f t="shared" si="3"/>
        <v>2926</v>
      </c>
    </row>
    <row r="123" spans="2:30" x14ac:dyDescent="0.3">
      <c r="B123" s="3" t="s">
        <v>196</v>
      </c>
      <c r="D123" s="141">
        <v>42233</v>
      </c>
      <c r="E123" s="141">
        <v>29730</v>
      </c>
      <c r="F123" s="141">
        <v>21758</v>
      </c>
      <c r="G123" s="141"/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93721</v>
      </c>
      <c r="R123" s="146">
        <v>647</v>
      </c>
      <c r="S123" s="146">
        <v>545</v>
      </c>
      <c r="T123" s="146">
        <v>440</v>
      </c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>
        <f t="shared" si="3"/>
        <v>1632</v>
      </c>
    </row>
    <row r="124" spans="2:30" x14ac:dyDescent="0.3">
      <c r="B124" s="3" t="s">
        <v>230</v>
      </c>
      <c r="D124" s="141">
        <v>2194</v>
      </c>
      <c r="E124" s="141">
        <v>1737</v>
      </c>
      <c r="F124" s="141">
        <v>3367</v>
      </c>
      <c r="G124" s="141"/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7298</v>
      </c>
      <c r="R124" s="146">
        <v>10</v>
      </c>
      <c r="S124" s="146">
        <v>9</v>
      </c>
      <c r="T124" s="146">
        <v>9</v>
      </c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>
        <f t="shared" si="3"/>
        <v>28</v>
      </c>
    </row>
    <row r="125" spans="2:30" x14ac:dyDescent="0.3">
      <c r="B125" s="3" t="s">
        <v>204</v>
      </c>
      <c r="D125" s="141">
        <v>342080</v>
      </c>
      <c r="E125" s="141">
        <v>328085</v>
      </c>
      <c r="F125" s="141">
        <v>315557</v>
      </c>
      <c r="G125" s="141"/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985722</v>
      </c>
      <c r="R125" s="146">
        <v>33896</v>
      </c>
      <c r="S125" s="146">
        <v>32584</v>
      </c>
      <c r="T125" s="146">
        <v>31156</v>
      </c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>
        <f t="shared" si="3"/>
        <v>97636</v>
      </c>
    </row>
    <row r="126" spans="2:30" x14ac:dyDescent="0.3">
      <c r="B126" s="3" t="s">
        <v>210</v>
      </c>
      <c r="D126" s="141">
        <v>36077</v>
      </c>
      <c r="E126" s="141">
        <v>24141</v>
      </c>
      <c r="F126" s="141">
        <v>23811</v>
      </c>
      <c r="G126" s="141"/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84029</v>
      </c>
      <c r="R126" s="146">
        <v>112</v>
      </c>
      <c r="S126" s="146">
        <v>92</v>
      </c>
      <c r="T126" s="146">
        <v>78</v>
      </c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>
        <f t="shared" si="3"/>
        <v>282</v>
      </c>
    </row>
    <row r="127" spans="2:30" x14ac:dyDescent="0.3">
      <c r="B127" s="3" t="s">
        <v>206</v>
      </c>
      <c r="D127" s="141">
        <v>50001</v>
      </c>
      <c r="E127" s="141">
        <v>24619</v>
      </c>
      <c r="F127" s="141">
        <v>21561</v>
      </c>
      <c r="G127" s="141"/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96181</v>
      </c>
      <c r="R127" s="146">
        <v>283</v>
      </c>
      <c r="S127" s="146">
        <v>225</v>
      </c>
      <c r="T127" s="146">
        <v>241</v>
      </c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>
        <f t="shared" si="3"/>
        <v>749</v>
      </c>
    </row>
    <row r="128" spans="2:30" x14ac:dyDescent="0.3">
      <c r="B128" s="3" t="s">
        <v>201</v>
      </c>
      <c r="D128" s="141">
        <v>16250</v>
      </c>
      <c r="E128" s="141">
        <v>11639</v>
      </c>
      <c r="F128" s="141">
        <v>7844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35733</v>
      </c>
      <c r="R128" s="146">
        <v>44</v>
      </c>
      <c r="S128" s="146">
        <v>29</v>
      </c>
      <c r="T128" s="146">
        <v>27</v>
      </c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>
        <f t="shared" si="3"/>
        <v>100</v>
      </c>
    </row>
    <row r="129" spans="2:30" x14ac:dyDescent="0.3">
      <c r="B129" s="3" t="s">
        <v>261</v>
      </c>
      <c r="D129" s="141">
        <v>148</v>
      </c>
      <c r="E129" s="141">
        <v>38929</v>
      </c>
      <c r="F129" s="141">
        <v>1835</v>
      </c>
      <c r="G129" s="141"/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40912</v>
      </c>
      <c r="R129" s="146">
        <v>1</v>
      </c>
      <c r="S129" s="146">
        <v>1</v>
      </c>
      <c r="T129" s="146">
        <v>1</v>
      </c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>
        <f t="shared" si="3"/>
        <v>3</v>
      </c>
    </row>
    <row r="130" spans="2:30" x14ac:dyDescent="0.3">
      <c r="B130" s="3" t="s">
        <v>207</v>
      </c>
      <c r="D130" s="141">
        <v>73870</v>
      </c>
      <c r="E130" s="141">
        <v>57723</v>
      </c>
      <c r="F130" s="141">
        <v>75274</v>
      </c>
      <c r="G130" s="141"/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206867</v>
      </c>
      <c r="R130" s="146">
        <v>493</v>
      </c>
      <c r="S130" s="146">
        <v>435</v>
      </c>
      <c r="T130" s="146">
        <v>470</v>
      </c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>
        <f t="shared" si="3"/>
        <v>1398</v>
      </c>
    </row>
    <row r="131" spans="2:30" x14ac:dyDescent="0.3">
      <c r="B131" s="3" t="s">
        <v>209</v>
      </c>
      <c r="D131" s="141">
        <v>13412</v>
      </c>
      <c r="E131" s="141">
        <v>19776</v>
      </c>
      <c r="F131" s="141">
        <v>20743</v>
      </c>
      <c r="G131" s="141"/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53931</v>
      </c>
      <c r="R131" s="146">
        <v>86</v>
      </c>
      <c r="S131" s="146">
        <v>104</v>
      </c>
      <c r="T131" s="146">
        <v>100</v>
      </c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>
        <f t="shared" si="3"/>
        <v>290</v>
      </c>
    </row>
    <row r="132" spans="2:30" x14ac:dyDescent="0.3">
      <c r="B132" s="3" t="s">
        <v>229</v>
      </c>
      <c r="D132" s="141">
        <v>3203</v>
      </c>
      <c r="E132" s="141">
        <v>3894</v>
      </c>
      <c r="F132" s="141">
        <v>3303</v>
      </c>
      <c r="G132" s="141"/>
      <c r="H132" s="141"/>
      <c r="I132" s="141"/>
      <c r="J132" s="141"/>
      <c r="K132" s="141"/>
      <c r="L132" s="141"/>
      <c r="M132" s="141"/>
      <c r="N132" s="141"/>
      <c r="O132" s="141"/>
      <c r="P132" s="141">
        <f t="shared" si="2"/>
        <v>10400</v>
      </c>
      <c r="R132" s="146">
        <v>26</v>
      </c>
      <c r="S132" s="146">
        <v>33</v>
      </c>
      <c r="T132" s="146">
        <v>28</v>
      </c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>
        <f t="shared" si="3"/>
        <v>87</v>
      </c>
    </row>
    <row r="133" spans="2:30" x14ac:dyDescent="0.3">
      <c r="B133" s="3" t="s">
        <v>216</v>
      </c>
      <c r="D133" s="141">
        <v>7335</v>
      </c>
      <c r="E133" s="141">
        <v>8560</v>
      </c>
      <c r="F133" s="141">
        <v>12400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6" si="4">+SUM(D133:O133)</f>
        <v>28295</v>
      </c>
      <c r="R133" s="146">
        <v>40</v>
      </c>
      <c r="S133" s="146">
        <v>49</v>
      </c>
      <c r="T133" s="146">
        <v>72</v>
      </c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>
        <f t="shared" ref="AD133:AD196" si="5">+SUM(R133:AC133)</f>
        <v>161</v>
      </c>
    </row>
    <row r="134" spans="2:30" x14ac:dyDescent="0.3">
      <c r="B134" s="3" t="s">
        <v>205</v>
      </c>
      <c r="D134" s="141">
        <v>376746</v>
      </c>
      <c r="E134" s="141">
        <v>262917</v>
      </c>
      <c r="F134" s="141">
        <v>265338</v>
      </c>
      <c r="G134" s="141"/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905001</v>
      </c>
      <c r="R134" s="146">
        <v>7572</v>
      </c>
      <c r="S134" s="146">
        <v>5623</v>
      </c>
      <c r="T134" s="146">
        <v>5384</v>
      </c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>
        <f t="shared" si="5"/>
        <v>18579</v>
      </c>
    </row>
    <row r="135" spans="2:30" x14ac:dyDescent="0.3">
      <c r="B135" s="3" t="s">
        <v>181</v>
      </c>
      <c r="D135" s="141">
        <v>1140423</v>
      </c>
      <c r="E135" s="141">
        <v>924402</v>
      </c>
      <c r="F135" s="141">
        <v>1121587</v>
      </c>
      <c r="G135" s="141"/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3186412</v>
      </c>
      <c r="R135" s="146">
        <v>1493</v>
      </c>
      <c r="S135" s="146">
        <v>1400</v>
      </c>
      <c r="T135" s="146">
        <v>1516</v>
      </c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>
        <f t="shared" si="5"/>
        <v>4409</v>
      </c>
    </row>
    <row r="136" spans="2:30" x14ac:dyDescent="0.3">
      <c r="B136" s="3" t="s">
        <v>227</v>
      </c>
      <c r="D136" s="141">
        <v>4377</v>
      </c>
      <c r="E136" s="141">
        <v>8625</v>
      </c>
      <c r="F136" s="141">
        <v>7677</v>
      </c>
      <c r="G136" s="141"/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20679</v>
      </c>
      <c r="R136" s="146">
        <v>15</v>
      </c>
      <c r="S136" s="146">
        <v>30</v>
      </c>
      <c r="T136" s="146">
        <v>18</v>
      </c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>
        <f t="shared" si="5"/>
        <v>63</v>
      </c>
    </row>
    <row r="137" spans="2:30" x14ac:dyDescent="0.3">
      <c r="B137" s="3" t="s">
        <v>241</v>
      </c>
      <c r="D137" s="141">
        <v>31762</v>
      </c>
      <c r="E137" s="141">
        <v>24751</v>
      </c>
      <c r="F137" s="141">
        <v>33152</v>
      </c>
      <c r="G137" s="141"/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89665</v>
      </c>
      <c r="R137" s="146">
        <v>508</v>
      </c>
      <c r="S137" s="146">
        <v>409</v>
      </c>
      <c r="T137" s="146">
        <v>451</v>
      </c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>
        <f t="shared" si="5"/>
        <v>1368</v>
      </c>
    </row>
    <row r="138" spans="2:30" x14ac:dyDescent="0.3">
      <c r="B138" s="3" t="s">
        <v>208</v>
      </c>
      <c r="D138" s="141">
        <v>15338</v>
      </c>
      <c r="E138" s="141">
        <v>8484</v>
      </c>
      <c r="F138" s="141">
        <v>23263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47085</v>
      </c>
      <c r="R138" s="146">
        <v>25</v>
      </c>
      <c r="S138" s="146">
        <v>12</v>
      </c>
      <c r="T138" s="146">
        <v>24</v>
      </c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>
        <f t="shared" si="5"/>
        <v>61</v>
      </c>
    </row>
    <row r="139" spans="2:30" x14ac:dyDescent="0.3">
      <c r="B139" s="3" t="s">
        <v>203</v>
      </c>
      <c r="D139" s="141">
        <v>23201</v>
      </c>
      <c r="E139" s="141">
        <v>23119</v>
      </c>
      <c r="F139" s="141">
        <v>26677</v>
      </c>
      <c r="G139" s="141"/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72997</v>
      </c>
      <c r="R139" s="146">
        <v>97</v>
      </c>
      <c r="S139" s="146">
        <v>95</v>
      </c>
      <c r="T139" s="146">
        <v>111</v>
      </c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>
        <f t="shared" si="5"/>
        <v>303</v>
      </c>
    </row>
    <row r="140" spans="2:30" x14ac:dyDescent="0.3">
      <c r="B140" s="3" t="s">
        <v>211</v>
      </c>
      <c r="D140" s="141">
        <v>3983</v>
      </c>
      <c r="E140" s="141">
        <v>5689</v>
      </c>
      <c r="F140" s="141">
        <v>5848</v>
      </c>
      <c r="G140" s="141"/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15520</v>
      </c>
      <c r="R140" s="146">
        <v>49</v>
      </c>
      <c r="S140" s="146">
        <v>47</v>
      </c>
      <c r="T140" s="146">
        <v>30</v>
      </c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>
        <f t="shared" si="5"/>
        <v>126</v>
      </c>
    </row>
    <row r="141" spans="2:30" x14ac:dyDescent="0.3">
      <c r="B141" s="3" t="s">
        <v>214</v>
      </c>
      <c r="D141" s="141">
        <v>8959</v>
      </c>
      <c r="E141" s="141">
        <v>3998</v>
      </c>
      <c r="F141" s="141">
        <v>16449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29406</v>
      </c>
      <c r="R141" s="146">
        <v>15</v>
      </c>
      <c r="S141" s="146">
        <v>11</v>
      </c>
      <c r="T141" s="146">
        <v>39</v>
      </c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>
        <f t="shared" si="5"/>
        <v>65</v>
      </c>
    </row>
    <row r="142" spans="2:30" x14ac:dyDescent="0.3">
      <c r="B142" s="3" t="s">
        <v>262</v>
      </c>
      <c r="D142" s="141">
        <v>1510</v>
      </c>
      <c r="E142" s="141">
        <v>847</v>
      </c>
      <c r="F142" s="141">
        <v>944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3301</v>
      </c>
      <c r="R142" s="146">
        <v>5</v>
      </c>
      <c r="S142" s="146">
        <v>1</v>
      </c>
      <c r="T142" s="146">
        <v>3</v>
      </c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>
        <f t="shared" si="5"/>
        <v>9</v>
      </c>
    </row>
    <row r="143" spans="2:30" x14ac:dyDescent="0.3">
      <c r="B143" s="3" t="s">
        <v>231</v>
      </c>
      <c r="D143" s="141">
        <v>20173</v>
      </c>
      <c r="E143" s="141">
        <v>19999</v>
      </c>
      <c r="F143" s="141">
        <v>16630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56802</v>
      </c>
      <c r="R143" s="146">
        <v>32</v>
      </c>
      <c r="S143" s="146">
        <v>50</v>
      </c>
      <c r="T143" s="146">
        <v>39</v>
      </c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>
        <f t="shared" si="5"/>
        <v>121</v>
      </c>
    </row>
    <row r="144" spans="2:30" x14ac:dyDescent="0.3">
      <c r="B144" s="3" t="s">
        <v>246</v>
      </c>
      <c r="D144" s="141">
        <v>727</v>
      </c>
      <c r="E144" s="141">
        <v>285</v>
      </c>
      <c r="F144" s="141">
        <v>245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1257</v>
      </c>
      <c r="R144" s="146">
        <v>9</v>
      </c>
      <c r="S144" s="146">
        <v>3</v>
      </c>
      <c r="T144" s="146">
        <v>3</v>
      </c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>
        <f t="shared" si="5"/>
        <v>15</v>
      </c>
    </row>
    <row r="145" spans="2:30" x14ac:dyDescent="0.3">
      <c r="B145" s="3" t="s">
        <v>223</v>
      </c>
      <c r="D145" s="141">
        <v>26380</v>
      </c>
      <c r="E145" s="141">
        <v>21843</v>
      </c>
      <c r="F145" s="141">
        <v>24643</v>
      </c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72866</v>
      </c>
      <c r="R145" s="146">
        <v>18</v>
      </c>
      <c r="S145" s="146">
        <v>17</v>
      </c>
      <c r="T145" s="146">
        <v>21</v>
      </c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>
        <f t="shared" si="5"/>
        <v>56</v>
      </c>
    </row>
    <row r="146" spans="2:30" x14ac:dyDescent="0.3">
      <c r="B146" s="3" t="s">
        <v>266</v>
      </c>
      <c r="D146" s="141">
        <v>3798</v>
      </c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3798</v>
      </c>
      <c r="R146" s="146">
        <v>6</v>
      </c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>
        <f t="shared" si="5"/>
        <v>6</v>
      </c>
    </row>
    <row r="147" spans="2:30" x14ac:dyDescent="0.3">
      <c r="B147" s="3" t="s">
        <v>212</v>
      </c>
      <c r="D147" s="141">
        <v>25169</v>
      </c>
      <c r="E147" s="141">
        <v>13405</v>
      </c>
      <c r="F147" s="141">
        <v>8801</v>
      </c>
      <c r="G147" s="141"/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47375</v>
      </c>
      <c r="R147" s="146">
        <v>25</v>
      </c>
      <c r="S147" s="146">
        <v>21</v>
      </c>
      <c r="T147" s="146">
        <v>19</v>
      </c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>
        <f t="shared" si="5"/>
        <v>65</v>
      </c>
    </row>
    <row r="148" spans="2:30" x14ac:dyDescent="0.3">
      <c r="B148" s="3" t="s">
        <v>224</v>
      </c>
      <c r="D148" s="141">
        <v>9131</v>
      </c>
      <c r="E148" s="141">
        <v>5870</v>
      </c>
      <c r="F148" s="141">
        <v>8208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23209</v>
      </c>
      <c r="R148" s="146">
        <v>45</v>
      </c>
      <c r="S148" s="146">
        <v>33</v>
      </c>
      <c r="T148" s="146">
        <v>34</v>
      </c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>
        <f t="shared" si="5"/>
        <v>112</v>
      </c>
    </row>
    <row r="149" spans="2:30" x14ac:dyDescent="0.3">
      <c r="B149" s="3" t="s">
        <v>215</v>
      </c>
      <c r="D149" s="141">
        <v>4615</v>
      </c>
      <c r="E149" s="141">
        <v>2296</v>
      </c>
      <c r="F149" s="141">
        <v>16896</v>
      </c>
      <c r="G149" s="141"/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23807</v>
      </c>
      <c r="R149" s="146">
        <v>5</v>
      </c>
      <c r="S149" s="146">
        <v>2</v>
      </c>
      <c r="T149" s="146">
        <v>4</v>
      </c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>
        <f t="shared" si="5"/>
        <v>11</v>
      </c>
    </row>
    <row r="150" spans="2:30" x14ac:dyDescent="0.3">
      <c r="B150" s="3" t="s">
        <v>220</v>
      </c>
      <c r="D150" s="141">
        <v>16336</v>
      </c>
      <c r="E150" s="141">
        <v>17514</v>
      </c>
      <c r="F150" s="141">
        <v>11443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45293</v>
      </c>
      <c r="R150" s="146">
        <v>180</v>
      </c>
      <c r="S150" s="146">
        <v>172</v>
      </c>
      <c r="T150" s="146">
        <v>120</v>
      </c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>
        <f t="shared" si="5"/>
        <v>472</v>
      </c>
    </row>
    <row r="151" spans="2:30" x14ac:dyDescent="0.3">
      <c r="B151" s="3" t="s">
        <v>226</v>
      </c>
      <c r="D151" s="141">
        <v>3681</v>
      </c>
      <c r="E151" s="141">
        <v>5665</v>
      </c>
      <c r="F151" s="141">
        <v>5102</v>
      </c>
      <c r="G151" s="141"/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14448</v>
      </c>
      <c r="R151" s="146">
        <v>20</v>
      </c>
      <c r="S151" s="146">
        <v>21</v>
      </c>
      <c r="T151" s="146">
        <v>24</v>
      </c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>
        <f t="shared" si="5"/>
        <v>65</v>
      </c>
    </row>
    <row r="152" spans="2:30" x14ac:dyDescent="0.3">
      <c r="B152" s="3" t="s">
        <v>239</v>
      </c>
      <c r="D152" s="141">
        <v>164448</v>
      </c>
      <c r="E152" s="141">
        <v>137807</v>
      </c>
      <c r="F152" s="141">
        <v>133604</v>
      </c>
      <c r="G152" s="141"/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435859</v>
      </c>
      <c r="R152" s="146">
        <v>337</v>
      </c>
      <c r="S152" s="146">
        <v>338</v>
      </c>
      <c r="T152" s="146">
        <v>492</v>
      </c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>
        <f t="shared" si="5"/>
        <v>1167</v>
      </c>
    </row>
    <row r="153" spans="2:30" x14ac:dyDescent="0.3">
      <c r="B153" s="3" t="s">
        <v>218</v>
      </c>
      <c r="D153" s="141">
        <v>1235</v>
      </c>
      <c r="E153" s="141">
        <v>2304</v>
      </c>
      <c r="F153" s="141">
        <v>2040</v>
      </c>
      <c r="G153" s="141"/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5579</v>
      </c>
      <c r="R153" s="146">
        <v>9</v>
      </c>
      <c r="S153" s="146">
        <v>9</v>
      </c>
      <c r="T153" s="146">
        <v>14</v>
      </c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>
        <f t="shared" si="5"/>
        <v>32</v>
      </c>
    </row>
    <row r="154" spans="2:30" x14ac:dyDescent="0.3">
      <c r="B154" s="3" t="s">
        <v>219</v>
      </c>
      <c r="D154" s="141">
        <v>5215</v>
      </c>
      <c r="E154" s="141">
        <v>10763</v>
      </c>
      <c r="F154" s="141">
        <v>4962</v>
      </c>
      <c r="G154" s="141"/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20940</v>
      </c>
      <c r="R154" s="146">
        <v>5</v>
      </c>
      <c r="S154" s="146">
        <v>6</v>
      </c>
      <c r="T154" s="146">
        <v>10</v>
      </c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>
        <f t="shared" si="5"/>
        <v>21</v>
      </c>
    </row>
    <row r="155" spans="2:30" x14ac:dyDescent="0.3">
      <c r="B155" s="3" t="s">
        <v>235</v>
      </c>
      <c r="D155" s="141">
        <v>1526</v>
      </c>
      <c r="E155" s="141">
        <v>1280</v>
      </c>
      <c r="F155" s="141">
        <v>2541</v>
      </c>
      <c r="G155" s="141"/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5347</v>
      </c>
      <c r="R155" s="146">
        <v>10</v>
      </c>
      <c r="S155" s="146">
        <v>4</v>
      </c>
      <c r="T155" s="146">
        <v>4</v>
      </c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>
        <f t="shared" si="5"/>
        <v>18</v>
      </c>
    </row>
    <row r="156" spans="2:30" x14ac:dyDescent="0.3">
      <c r="B156" s="3" t="s">
        <v>228</v>
      </c>
      <c r="D156" s="141">
        <v>1166</v>
      </c>
      <c r="E156" s="141">
        <v>2121</v>
      </c>
      <c r="F156" s="141">
        <v>5461</v>
      </c>
      <c r="G156" s="141"/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8748</v>
      </c>
      <c r="R156" s="146">
        <v>13</v>
      </c>
      <c r="S156" s="146">
        <v>24</v>
      </c>
      <c r="T156" s="146">
        <v>19</v>
      </c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>
        <f t="shared" si="5"/>
        <v>56</v>
      </c>
    </row>
    <row r="157" spans="2:30" x14ac:dyDescent="0.3">
      <c r="B157" s="3" t="s">
        <v>233</v>
      </c>
      <c r="D157" s="141">
        <v>19133</v>
      </c>
      <c r="E157" s="141">
        <v>15614</v>
      </c>
      <c r="F157" s="141">
        <v>10343</v>
      </c>
      <c r="G157" s="141"/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45090</v>
      </c>
      <c r="R157" s="146">
        <v>55</v>
      </c>
      <c r="S157" s="146">
        <v>52</v>
      </c>
      <c r="T157" s="146">
        <v>45</v>
      </c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>
        <f t="shared" si="5"/>
        <v>152</v>
      </c>
    </row>
    <row r="158" spans="2:30" x14ac:dyDescent="0.3">
      <c r="B158" s="3" t="s">
        <v>225</v>
      </c>
      <c r="D158" s="141">
        <v>2302</v>
      </c>
      <c r="E158" s="141">
        <v>10764</v>
      </c>
      <c r="F158" s="141">
        <v>1430</v>
      </c>
      <c r="G158" s="141"/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14496</v>
      </c>
      <c r="R158" s="146">
        <v>14</v>
      </c>
      <c r="S158" s="146">
        <v>13</v>
      </c>
      <c r="T158" s="146">
        <v>6</v>
      </c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>
        <f t="shared" si="5"/>
        <v>33</v>
      </c>
    </row>
    <row r="159" spans="2:30" x14ac:dyDescent="0.3">
      <c r="B159" s="3" t="s">
        <v>240</v>
      </c>
      <c r="D159" s="141">
        <v>9650</v>
      </c>
      <c r="E159" s="141">
        <v>7347</v>
      </c>
      <c r="F159" s="141">
        <v>14618</v>
      </c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31615</v>
      </c>
      <c r="R159" s="146">
        <v>20</v>
      </c>
      <c r="S159" s="146">
        <v>17</v>
      </c>
      <c r="T159" s="146">
        <v>14</v>
      </c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>
        <f t="shared" si="5"/>
        <v>51</v>
      </c>
    </row>
    <row r="160" spans="2:30" x14ac:dyDescent="0.3">
      <c r="B160" s="3" t="s">
        <v>293</v>
      </c>
      <c r="D160" s="141">
        <v>99</v>
      </c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99</v>
      </c>
      <c r="R160" s="146">
        <v>1</v>
      </c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>
        <f t="shared" si="5"/>
        <v>1</v>
      </c>
    </row>
    <row r="161" spans="2:30" x14ac:dyDescent="0.3">
      <c r="B161" s="3" t="s">
        <v>221</v>
      </c>
      <c r="D161" s="141">
        <v>11953</v>
      </c>
      <c r="E161" s="141">
        <v>16378</v>
      </c>
      <c r="F161" s="141">
        <v>7244</v>
      </c>
      <c r="G161" s="141"/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35575</v>
      </c>
      <c r="R161" s="146">
        <v>122</v>
      </c>
      <c r="S161" s="146">
        <v>177</v>
      </c>
      <c r="T161" s="146">
        <v>94</v>
      </c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>
        <f t="shared" si="5"/>
        <v>393</v>
      </c>
    </row>
    <row r="162" spans="2:30" x14ac:dyDescent="0.3">
      <c r="B162" s="3" t="s">
        <v>236</v>
      </c>
      <c r="D162" s="141">
        <v>1152</v>
      </c>
      <c r="E162" s="141"/>
      <c r="F162" s="141">
        <v>2146</v>
      </c>
      <c r="G162" s="141"/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3298</v>
      </c>
      <c r="R162" s="146">
        <v>1</v>
      </c>
      <c r="S162" s="146"/>
      <c r="T162" s="146">
        <v>4</v>
      </c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>
        <f t="shared" si="5"/>
        <v>5</v>
      </c>
    </row>
    <row r="163" spans="2:30" x14ac:dyDescent="0.3">
      <c r="B163" s="3" t="s">
        <v>247</v>
      </c>
      <c r="D163" s="141">
        <v>761</v>
      </c>
      <c r="E163" s="141">
        <v>155</v>
      </c>
      <c r="F163" s="141">
        <v>1537</v>
      </c>
      <c r="G163" s="141"/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2453</v>
      </c>
      <c r="R163" s="146">
        <v>3</v>
      </c>
      <c r="S163" s="146">
        <v>2</v>
      </c>
      <c r="T163" s="146">
        <v>6</v>
      </c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>
        <f t="shared" si="5"/>
        <v>11</v>
      </c>
    </row>
    <row r="164" spans="2:30" x14ac:dyDescent="0.3">
      <c r="B164" s="3" t="s">
        <v>237</v>
      </c>
      <c r="D164" s="141">
        <v>2065</v>
      </c>
      <c r="E164" s="141">
        <v>1763</v>
      </c>
      <c r="F164" s="141">
        <v>6345</v>
      </c>
      <c r="G164" s="141"/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10173</v>
      </c>
      <c r="R164" s="146">
        <v>15</v>
      </c>
      <c r="S164" s="146">
        <v>9</v>
      </c>
      <c r="T164" s="146">
        <v>26</v>
      </c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>
        <f t="shared" si="5"/>
        <v>50</v>
      </c>
    </row>
    <row r="165" spans="2:30" x14ac:dyDescent="0.3">
      <c r="B165" s="3" t="s">
        <v>245</v>
      </c>
      <c r="D165" s="141">
        <v>277</v>
      </c>
      <c r="E165" s="141">
        <v>1956</v>
      </c>
      <c r="F165" s="141">
        <v>3873</v>
      </c>
      <c r="G165" s="141"/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6106</v>
      </c>
      <c r="R165" s="146">
        <v>3</v>
      </c>
      <c r="S165" s="146">
        <v>8</v>
      </c>
      <c r="T165" s="146">
        <v>10</v>
      </c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>
        <f t="shared" si="5"/>
        <v>21</v>
      </c>
    </row>
    <row r="166" spans="2:30" x14ac:dyDescent="0.3">
      <c r="B166" s="3" t="s">
        <v>242</v>
      </c>
      <c r="D166" s="141">
        <v>2765</v>
      </c>
      <c r="E166" s="141">
        <v>950</v>
      </c>
      <c r="F166" s="141">
        <v>1395</v>
      </c>
      <c r="G166" s="141"/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5110</v>
      </c>
      <c r="R166" s="146">
        <v>6</v>
      </c>
      <c r="S166" s="146">
        <v>8</v>
      </c>
      <c r="T166" s="146">
        <v>5</v>
      </c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>
        <f t="shared" si="5"/>
        <v>19</v>
      </c>
    </row>
    <row r="167" spans="2:30" x14ac:dyDescent="0.3">
      <c r="B167" s="3" t="s">
        <v>243</v>
      </c>
      <c r="D167" s="141">
        <v>3749</v>
      </c>
      <c r="E167" s="141">
        <v>405</v>
      </c>
      <c r="F167" s="141">
        <v>478</v>
      </c>
      <c r="G167" s="141"/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4632</v>
      </c>
      <c r="R167" s="146">
        <v>9</v>
      </c>
      <c r="S167" s="146">
        <v>2</v>
      </c>
      <c r="T167" s="146">
        <v>10</v>
      </c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>
        <f t="shared" si="5"/>
        <v>21</v>
      </c>
    </row>
    <row r="168" spans="2:30" x14ac:dyDescent="0.3">
      <c r="B168" s="3" t="s">
        <v>244</v>
      </c>
      <c r="D168" s="141"/>
      <c r="E168" s="141">
        <v>5512</v>
      </c>
      <c r="F168" s="141">
        <v>13918</v>
      </c>
      <c r="G168" s="141"/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19430</v>
      </c>
      <c r="R168" s="146"/>
      <c r="S168" s="146">
        <v>22</v>
      </c>
      <c r="T168" s="146">
        <v>53</v>
      </c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>
        <f t="shared" si="5"/>
        <v>75</v>
      </c>
    </row>
    <row r="169" spans="2:30" x14ac:dyDescent="0.3">
      <c r="B169" s="3" t="s">
        <v>238</v>
      </c>
      <c r="D169" s="141">
        <v>26160</v>
      </c>
      <c r="E169" s="141">
        <v>24113</v>
      </c>
      <c r="F169" s="141">
        <v>29104</v>
      </c>
      <c r="G169" s="141"/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79377</v>
      </c>
      <c r="R169" s="146">
        <v>58</v>
      </c>
      <c r="S169" s="146">
        <v>58</v>
      </c>
      <c r="T169" s="146">
        <v>69</v>
      </c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>
        <f t="shared" si="5"/>
        <v>185</v>
      </c>
    </row>
    <row r="170" spans="2:30" x14ac:dyDescent="0.3">
      <c r="B170" s="3" t="s">
        <v>252</v>
      </c>
      <c r="D170" s="141">
        <v>3639</v>
      </c>
      <c r="E170" s="141">
        <v>98</v>
      </c>
      <c r="F170" s="141">
        <v>43189</v>
      </c>
      <c r="G170" s="141"/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46926</v>
      </c>
      <c r="R170" s="146">
        <v>2</v>
      </c>
      <c r="S170" s="146">
        <v>1</v>
      </c>
      <c r="T170" s="146">
        <v>712</v>
      </c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>
        <f t="shared" si="5"/>
        <v>715</v>
      </c>
    </row>
    <row r="171" spans="2:30" x14ac:dyDescent="0.3">
      <c r="B171" s="3" t="s">
        <v>234</v>
      </c>
      <c r="D171" s="141">
        <v>116581</v>
      </c>
      <c r="E171" s="141">
        <v>39307</v>
      </c>
      <c r="F171" s="141">
        <v>49477</v>
      </c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205365</v>
      </c>
      <c r="R171" s="146">
        <v>505</v>
      </c>
      <c r="S171" s="146">
        <v>341</v>
      </c>
      <c r="T171" s="146">
        <v>291</v>
      </c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>
        <f t="shared" si="5"/>
        <v>1137</v>
      </c>
    </row>
    <row r="172" spans="2:30" x14ac:dyDescent="0.3">
      <c r="B172" s="3" t="s">
        <v>294</v>
      </c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0</v>
      </c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>
        <f t="shared" si="5"/>
        <v>0</v>
      </c>
    </row>
    <row r="173" spans="2:30" x14ac:dyDescent="0.3">
      <c r="B173" s="3" t="s">
        <v>256</v>
      </c>
      <c r="D173" s="141">
        <v>742</v>
      </c>
      <c r="E173" s="141">
        <v>5180</v>
      </c>
      <c r="F173" s="141">
        <v>3348</v>
      </c>
      <c r="G173" s="141"/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9270</v>
      </c>
      <c r="R173" s="146">
        <v>2</v>
      </c>
      <c r="S173" s="146">
        <v>8</v>
      </c>
      <c r="T173" s="146">
        <v>7</v>
      </c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>
        <f t="shared" si="5"/>
        <v>17</v>
      </c>
    </row>
    <row r="174" spans="2:30" x14ac:dyDescent="0.3">
      <c r="B174" s="3" t="s">
        <v>249</v>
      </c>
      <c r="D174" s="141">
        <v>2268</v>
      </c>
      <c r="E174" s="141">
        <v>6911</v>
      </c>
      <c r="F174" s="141">
        <v>3690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12869</v>
      </c>
      <c r="R174" s="146">
        <v>3</v>
      </c>
      <c r="S174" s="146">
        <v>7</v>
      </c>
      <c r="T174" s="146">
        <v>4</v>
      </c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>
        <f t="shared" si="5"/>
        <v>14</v>
      </c>
    </row>
    <row r="175" spans="2:30" x14ac:dyDescent="0.3">
      <c r="B175" s="3" t="s">
        <v>291</v>
      </c>
      <c r="D175" s="141"/>
      <c r="E175" s="141"/>
      <c r="F175" s="141">
        <v>330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330</v>
      </c>
      <c r="R175" s="146"/>
      <c r="S175" s="146"/>
      <c r="T175" s="146">
        <v>1</v>
      </c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>
        <f t="shared" si="5"/>
        <v>1</v>
      </c>
    </row>
    <row r="176" spans="2:30" x14ac:dyDescent="0.3">
      <c r="B176" s="3" t="s">
        <v>251</v>
      </c>
      <c r="D176" s="141">
        <v>278</v>
      </c>
      <c r="E176" s="141"/>
      <c r="F176" s="141">
        <v>147</v>
      </c>
      <c r="G176" s="141"/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425</v>
      </c>
      <c r="R176" s="146">
        <v>2</v>
      </c>
      <c r="S176" s="146"/>
      <c r="T176" s="146">
        <v>1</v>
      </c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>
        <f t="shared" si="5"/>
        <v>3</v>
      </c>
    </row>
    <row r="177" spans="2:30" x14ac:dyDescent="0.3">
      <c r="B177" s="3" t="s">
        <v>254</v>
      </c>
      <c r="D177" s="141">
        <v>250</v>
      </c>
      <c r="E177" s="141">
        <v>1855</v>
      </c>
      <c r="F177" s="141">
        <v>586</v>
      </c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2691</v>
      </c>
      <c r="R177" s="146">
        <v>2</v>
      </c>
      <c r="S177" s="146">
        <v>4</v>
      </c>
      <c r="T177" s="146">
        <v>3</v>
      </c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>
        <f t="shared" si="5"/>
        <v>9</v>
      </c>
    </row>
    <row r="178" spans="2:30" x14ac:dyDescent="0.3">
      <c r="B178" s="3" t="s">
        <v>248</v>
      </c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0</v>
      </c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>
        <f t="shared" si="5"/>
        <v>0</v>
      </c>
    </row>
    <row r="179" spans="2:30" x14ac:dyDescent="0.3">
      <c r="B179" s="3" t="s">
        <v>260</v>
      </c>
      <c r="D179" s="141">
        <v>4017</v>
      </c>
      <c r="E179" s="141"/>
      <c r="F179" s="141">
        <v>2717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6734</v>
      </c>
      <c r="R179" s="146">
        <v>6</v>
      </c>
      <c r="S179" s="146"/>
      <c r="T179" s="146">
        <v>3</v>
      </c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>
        <f t="shared" si="5"/>
        <v>9</v>
      </c>
    </row>
    <row r="180" spans="2:30" x14ac:dyDescent="0.3">
      <c r="B180" s="3" t="s">
        <v>295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>
        <f t="shared" si="5"/>
        <v>0</v>
      </c>
    </row>
    <row r="181" spans="2:30" x14ac:dyDescent="0.3">
      <c r="B181" s="3" t="s">
        <v>278</v>
      </c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0</v>
      </c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>
        <f t="shared" si="5"/>
        <v>0</v>
      </c>
    </row>
    <row r="182" spans="2:30" x14ac:dyDescent="0.3">
      <c r="B182" s="3" t="s">
        <v>265</v>
      </c>
      <c r="D182" s="141">
        <v>933</v>
      </c>
      <c r="E182" s="141">
        <v>1031</v>
      </c>
      <c r="F182" s="141">
        <v>392</v>
      </c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2356</v>
      </c>
      <c r="R182" s="146">
        <v>55</v>
      </c>
      <c r="S182" s="146">
        <v>40</v>
      </c>
      <c r="T182" s="146">
        <v>26</v>
      </c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>
        <f t="shared" si="5"/>
        <v>121</v>
      </c>
    </row>
    <row r="183" spans="2:30" x14ac:dyDescent="0.3">
      <c r="B183" s="3" t="s">
        <v>299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>
        <f t="shared" si="5"/>
        <v>0</v>
      </c>
    </row>
    <row r="184" spans="2:30" x14ac:dyDescent="0.3">
      <c r="B184" s="3" t="s">
        <v>279</v>
      </c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0</v>
      </c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>
        <f t="shared" si="5"/>
        <v>0</v>
      </c>
    </row>
    <row r="185" spans="2:30" x14ac:dyDescent="0.3">
      <c r="B185" s="3" t="s">
        <v>276</v>
      </c>
      <c r="D185" s="141">
        <v>3664</v>
      </c>
      <c r="E185" s="141">
        <v>3322</v>
      </c>
      <c r="F185" s="141">
        <v>2372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9358</v>
      </c>
      <c r="R185" s="146">
        <v>55</v>
      </c>
      <c r="S185" s="146">
        <v>42</v>
      </c>
      <c r="T185" s="146">
        <v>39</v>
      </c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>
        <f t="shared" si="5"/>
        <v>136</v>
      </c>
    </row>
    <row r="186" spans="2:30" x14ac:dyDescent="0.3">
      <c r="B186" s="3" t="s">
        <v>255</v>
      </c>
      <c r="D186" s="141">
        <v>202</v>
      </c>
      <c r="E186" s="141"/>
      <c r="F186" s="141">
        <v>266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468</v>
      </c>
      <c r="R186" s="146">
        <v>3</v>
      </c>
      <c r="S186" s="146"/>
      <c r="T186" s="146">
        <v>9</v>
      </c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>
        <f t="shared" si="5"/>
        <v>12</v>
      </c>
    </row>
    <row r="187" spans="2:30" x14ac:dyDescent="0.3">
      <c r="B187" s="3" t="s">
        <v>258</v>
      </c>
      <c r="D187" s="141">
        <v>77262</v>
      </c>
      <c r="E187" s="141"/>
      <c r="F187" s="141">
        <v>76681</v>
      </c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153943</v>
      </c>
      <c r="R187" s="146">
        <v>873</v>
      </c>
      <c r="S187" s="146"/>
      <c r="T187" s="146">
        <v>840</v>
      </c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>
        <f t="shared" si="5"/>
        <v>1713</v>
      </c>
    </row>
    <row r="188" spans="2:30" x14ac:dyDescent="0.3">
      <c r="B188" s="3" t="s">
        <v>296</v>
      </c>
      <c r="D188" s="141">
        <v>175</v>
      </c>
      <c r="E188" s="141">
        <v>237</v>
      </c>
      <c r="F188" s="141">
        <v>326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738</v>
      </c>
      <c r="R188" s="146">
        <v>2</v>
      </c>
      <c r="S188" s="146">
        <v>3</v>
      </c>
      <c r="T188" s="146">
        <v>3</v>
      </c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>
        <f t="shared" si="5"/>
        <v>8</v>
      </c>
    </row>
    <row r="189" spans="2:30" x14ac:dyDescent="0.3">
      <c r="B189" s="3" t="s">
        <v>192</v>
      </c>
      <c r="D189" s="141">
        <v>15516</v>
      </c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15516</v>
      </c>
      <c r="R189" s="146">
        <v>14</v>
      </c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>
        <f t="shared" si="5"/>
        <v>14</v>
      </c>
    </row>
    <row r="190" spans="2:30" x14ac:dyDescent="0.3">
      <c r="B190" s="3" t="s">
        <v>264</v>
      </c>
      <c r="D190" s="141">
        <v>107</v>
      </c>
      <c r="E190" s="141">
        <v>101</v>
      </c>
      <c r="F190" s="141">
        <v>152</v>
      </c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360</v>
      </c>
      <c r="R190" s="146">
        <v>13</v>
      </c>
      <c r="S190" s="146">
        <v>11</v>
      </c>
      <c r="T190" s="146">
        <v>19</v>
      </c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>
        <f t="shared" si="5"/>
        <v>43</v>
      </c>
    </row>
    <row r="191" spans="2:30" x14ac:dyDescent="0.3">
      <c r="B191" s="3" t="s">
        <v>268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0</v>
      </c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>
        <f t="shared" si="5"/>
        <v>0</v>
      </c>
    </row>
    <row r="192" spans="2:30" x14ac:dyDescent="0.3">
      <c r="B192" s="3" t="s">
        <v>284</v>
      </c>
      <c r="D192" s="141">
        <v>423</v>
      </c>
      <c r="E192" s="141">
        <v>276</v>
      </c>
      <c r="F192" s="141">
        <v>191</v>
      </c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890</v>
      </c>
      <c r="R192" s="146">
        <v>12</v>
      </c>
      <c r="S192" s="146">
        <v>9</v>
      </c>
      <c r="T192" s="146">
        <v>7</v>
      </c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>
        <f t="shared" si="5"/>
        <v>28</v>
      </c>
    </row>
    <row r="193" spans="2:30" x14ac:dyDescent="0.3">
      <c r="B193" s="3" t="s">
        <v>257</v>
      </c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0</v>
      </c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>
        <f t="shared" si="5"/>
        <v>0</v>
      </c>
    </row>
    <row r="194" spans="2:30" x14ac:dyDescent="0.3">
      <c r="B194" s="3" t="s">
        <v>269</v>
      </c>
      <c r="D194" s="141"/>
      <c r="E194" s="141"/>
      <c r="F194" s="141">
        <v>71</v>
      </c>
      <c r="G194" s="141"/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71</v>
      </c>
      <c r="R194" s="146"/>
      <c r="S194" s="146"/>
      <c r="T194" s="146">
        <v>2</v>
      </c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>
        <f t="shared" si="5"/>
        <v>2</v>
      </c>
    </row>
    <row r="195" spans="2:30" x14ac:dyDescent="0.3">
      <c r="B195" s="3" t="s">
        <v>272</v>
      </c>
      <c r="D195" s="141">
        <v>2562</v>
      </c>
      <c r="E195" s="141">
        <v>2151</v>
      </c>
      <c r="F195" s="141">
        <v>3334</v>
      </c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8047</v>
      </c>
      <c r="R195" s="146">
        <v>52</v>
      </c>
      <c r="S195" s="146">
        <v>43</v>
      </c>
      <c r="T195" s="146">
        <v>60</v>
      </c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>
        <f t="shared" si="5"/>
        <v>155</v>
      </c>
    </row>
    <row r="196" spans="2:30" x14ac:dyDescent="0.3">
      <c r="B196" s="3" t="s">
        <v>305</v>
      </c>
      <c r="D196" s="141">
        <v>20912</v>
      </c>
      <c r="E196" s="141">
        <v>17376</v>
      </c>
      <c r="F196" s="141">
        <v>32511</v>
      </c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si="4"/>
        <v>70799</v>
      </c>
      <c r="R196" s="146">
        <v>30</v>
      </c>
      <c r="S196" s="146">
        <v>20</v>
      </c>
      <c r="T196" s="146">
        <v>44</v>
      </c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>
        <f t="shared" si="5"/>
        <v>94</v>
      </c>
    </row>
    <row r="197" spans="2:30" x14ac:dyDescent="0.3">
      <c r="B197" s="3" t="s">
        <v>271</v>
      </c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>
        <f t="shared" ref="P197:P235" si="6">+SUM(D197:O197)</f>
        <v>0</v>
      </c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>
        <f t="shared" ref="AD197:AD235" si="7">+SUM(R197:AC197)</f>
        <v>0</v>
      </c>
    </row>
    <row r="198" spans="2:30" x14ac:dyDescent="0.3">
      <c r="B198" s="3" t="s">
        <v>280</v>
      </c>
      <c r="D198" s="141">
        <v>26807</v>
      </c>
      <c r="E198" s="141">
        <v>10594</v>
      </c>
      <c r="F198" s="141">
        <v>19081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56482</v>
      </c>
      <c r="R198" s="146">
        <v>38</v>
      </c>
      <c r="S198" s="146">
        <v>17</v>
      </c>
      <c r="T198" s="146">
        <v>22</v>
      </c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>
        <f t="shared" si="7"/>
        <v>77</v>
      </c>
    </row>
    <row r="199" spans="2:30" x14ac:dyDescent="0.3">
      <c r="B199" s="3" t="s">
        <v>270</v>
      </c>
      <c r="D199" s="141"/>
      <c r="E199" s="141"/>
      <c r="F199" s="141">
        <v>204</v>
      </c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204</v>
      </c>
      <c r="R199" s="146"/>
      <c r="S199" s="146"/>
      <c r="T199" s="146">
        <v>1</v>
      </c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>
        <f t="shared" si="7"/>
        <v>1</v>
      </c>
    </row>
    <row r="200" spans="2:30" x14ac:dyDescent="0.3">
      <c r="B200" s="3" t="s">
        <v>292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>
        <f t="shared" si="7"/>
        <v>0</v>
      </c>
    </row>
    <row r="201" spans="2:30" x14ac:dyDescent="0.3">
      <c r="B201" s="3" t="s">
        <v>273</v>
      </c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0</v>
      </c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>
        <f t="shared" si="7"/>
        <v>0</v>
      </c>
    </row>
    <row r="202" spans="2:30" x14ac:dyDescent="0.3">
      <c r="B202" s="3" t="s">
        <v>277</v>
      </c>
      <c r="D202" s="141">
        <v>184</v>
      </c>
      <c r="E202" s="141">
        <v>296</v>
      </c>
      <c r="F202" s="141">
        <v>20322</v>
      </c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20802</v>
      </c>
      <c r="R202" s="146">
        <v>20</v>
      </c>
      <c r="S202" s="146">
        <v>26</v>
      </c>
      <c r="T202" s="146">
        <v>35</v>
      </c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>
        <f t="shared" si="7"/>
        <v>81</v>
      </c>
    </row>
    <row r="203" spans="2:30" x14ac:dyDescent="0.3">
      <c r="B203" s="3" t="s">
        <v>282</v>
      </c>
      <c r="D203" s="141">
        <v>34029</v>
      </c>
      <c r="E203" s="141">
        <v>30090</v>
      </c>
      <c r="F203" s="141">
        <v>19078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83197</v>
      </c>
      <c r="R203" s="146">
        <v>65</v>
      </c>
      <c r="S203" s="146">
        <v>62</v>
      </c>
      <c r="T203" s="146">
        <v>40</v>
      </c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>
        <f t="shared" si="7"/>
        <v>167</v>
      </c>
    </row>
    <row r="204" spans="2:30" x14ac:dyDescent="0.3">
      <c r="B204" s="3" t="s">
        <v>297</v>
      </c>
      <c r="D204" s="141">
        <v>2057</v>
      </c>
      <c r="E204" s="141">
        <v>4688</v>
      </c>
      <c r="F204" s="141">
        <v>26</v>
      </c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6771</v>
      </c>
      <c r="R204" s="146">
        <v>7</v>
      </c>
      <c r="S204" s="146">
        <v>6</v>
      </c>
      <c r="T204" s="146">
        <v>1</v>
      </c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>
        <f t="shared" si="7"/>
        <v>14</v>
      </c>
    </row>
    <row r="205" spans="2:30" x14ac:dyDescent="0.3">
      <c r="B205" s="3" t="s">
        <v>299</v>
      </c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0</v>
      </c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>
        <f t="shared" si="7"/>
        <v>0</v>
      </c>
    </row>
    <row r="206" spans="2:30" x14ac:dyDescent="0.3">
      <c r="B206" s="3" t="s">
        <v>293</v>
      </c>
      <c r="D206" s="141">
        <v>99</v>
      </c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99</v>
      </c>
      <c r="R206" s="146">
        <v>1</v>
      </c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>
        <f t="shared" si="7"/>
        <v>1</v>
      </c>
    </row>
    <row r="207" spans="2:30" x14ac:dyDescent="0.3">
      <c r="B207" s="3" t="s">
        <v>301</v>
      </c>
      <c r="D207" s="141"/>
      <c r="E207" s="141"/>
      <c r="F207" s="141">
        <v>266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266</v>
      </c>
      <c r="R207" s="146"/>
      <c r="S207" s="146"/>
      <c r="T207" s="146">
        <v>2</v>
      </c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>
        <f t="shared" si="7"/>
        <v>2</v>
      </c>
    </row>
    <row r="208" spans="2:30" x14ac:dyDescent="0.3">
      <c r="B208" s="3" t="s">
        <v>456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>
        <f t="shared" si="7"/>
        <v>0</v>
      </c>
    </row>
    <row r="209" spans="2:30" x14ac:dyDescent="0.3">
      <c r="B209" s="3" t="s">
        <v>303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0</v>
      </c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>
        <f t="shared" si="7"/>
        <v>0</v>
      </c>
    </row>
    <row r="210" spans="2:30" x14ac:dyDescent="0.3">
      <c r="B210" s="3" t="s">
        <v>457</v>
      </c>
      <c r="D210" s="141"/>
      <c r="E210" s="141"/>
      <c r="F210" s="141">
        <v>14772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14772</v>
      </c>
      <c r="R210" s="146"/>
      <c r="S210" s="146"/>
      <c r="T210" s="146">
        <v>2</v>
      </c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>
        <f t="shared" si="7"/>
        <v>2</v>
      </c>
    </row>
    <row r="211" spans="2:30" x14ac:dyDescent="0.3">
      <c r="B211" s="3" t="s">
        <v>291</v>
      </c>
      <c r="D211" s="141"/>
      <c r="E211" s="141"/>
      <c r="F211" s="141">
        <v>330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330</v>
      </c>
      <c r="R211" s="146"/>
      <c r="S211" s="146"/>
      <c r="T211" s="146">
        <v>1</v>
      </c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>
        <f t="shared" si="7"/>
        <v>1</v>
      </c>
    </row>
    <row r="212" spans="2:30" x14ac:dyDescent="0.3">
      <c r="B212" s="3" t="s">
        <v>458</v>
      </c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0</v>
      </c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>
        <f t="shared" si="7"/>
        <v>0</v>
      </c>
    </row>
    <row r="213" spans="2:30" x14ac:dyDescent="0.3">
      <c r="B213" s="3" t="s">
        <v>298</v>
      </c>
      <c r="D213" s="141">
        <v>100</v>
      </c>
      <c r="E213" s="141"/>
      <c r="F213" s="141">
        <v>103</v>
      </c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203</v>
      </c>
      <c r="R213" s="146">
        <v>1</v>
      </c>
      <c r="S213" s="146"/>
      <c r="T213" s="146">
        <v>1</v>
      </c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>
        <f t="shared" si="7"/>
        <v>2</v>
      </c>
    </row>
    <row r="214" spans="2:30" x14ac:dyDescent="0.3">
      <c r="B214" s="3" t="s">
        <v>304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>
        <f t="shared" si="7"/>
        <v>0</v>
      </c>
    </row>
    <row r="215" spans="2:30" x14ac:dyDescent="0.3">
      <c r="B215" s="3" t="s">
        <v>294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0</v>
      </c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>
        <f t="shared" si="7"/>
        <v>0</v>
      </c>
    </row>
    <row r="216" spans="2:30" x14ac:dyDescent="0.3">
      <c r="B216" s="3" t="s">
        <v>459</v>
      </c>
      <c r="D216" s="141">
        <v>643</v>
      </c>
      <c r="E216" s="141">
        <v>5195</v>
      </c>
      <c r="F216" s="141">
        <v>8177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14015</v>
      </c>
      <c r="R216" s="146">
        <v>4</v>
      </c>
      <c r="S216" s="146">
        <v>7</v>
      </c>
      <c r="T216" s="146">
        <v>14</v>
      </c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>
        <f t="shared" si="7"/>
        <v>25</v>
      </c>
    </row>
    <row r="217" spans="2:30" x14ac:dyDescent="0.3">
      <c r="B217" s="3" t="s">
        <v>302</v>
      </c>
      <c r="D217" s="141">
        <v>290</v>
      </c>
      <c r="E217" s="141"/>
      <c r="F217" s="141">
        <v>189</v>
      </c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479</v>
      </c>
      <c r="R217" s="146">
        <v>1</v>
      </c>
      <c r="S217" s="146"/>
      <c r="T217" s="146">
        <v>1</v>
      </c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>
        <f t="shared" si="7"/>
        <v>2</v>
      </c>
    </row>
    <row r="218" spans="2:30" x14ac:dyDescent="0.3">
      <c r="B218" s="3" t="s">
        <v>296</v>
      </c>
      <c r="D218" s="141">
        <v>175</v>
      </c>
      <c r="E218" s="141">
        <v>237</v>
      </c>
      <c r="F218" s="141">
        <v>326</v>
      </c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738</v>
      </c>
      <c r="R218" s="146">
        <v>2</v>
      </c>
      <c r="S218" s="146">
        <v>3</v>
      </c>
      <c r="T218" s="146">
        <v>3</v>
      </c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>
        <f t="shared" si="7"/>
        <v>8</v>
      </c>
    </row>
    <row r="219" spans="2:30" x14ac:dyDescent="0.3">
      <c r="B219" s="3" t="s">
        <v>460</v>
      </c>
      <c r="D219" s="141">
        <v>14482</v>
      </c>
      <c r="E219" s="141">
        <v>3834</v>
      </c>
      <c r="F219" s="141">
        <v>6988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25304</v>
      </c>
      <c r="R219" s="146">
        <v>68</v>
      </c>
      <c r="S219" s="146">
        <v>55</v>
      </c>
      <c r="T219" s="146">
        <v>69</v>
      </c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>
        <f t="shared" si="7"/>
        <v>192</v>
      </c>
    </row>
    <row r="220" spans="2:30" x14ac:dyDescent="0.3">
      <c r="B220" s="3" t="s">
        <v>306</v>
      </c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0</v>
      </c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>
        <f t="shared" si="7"/>
        <v>0</v>
      </c>
    </row>
    <row r="221" spans="2:30" x14ac:dyDescent="0.3">
      <c r="B221" s="3" t="s">
        <v>300</v>
      </c>
      <c r="D221" s="141">
        <v>1135</v>
      </c>
      <c r="E221" s="141">
        <v>1150</v>
      </c>
      <c r="F221" s="141">
        <v>2827</v>
      </c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5112</v>
      </c>
      <c r="R221" s="146">
        <v>4</v>
      </c>
      <c r="S221" s="146">
        <v>3</v>
      </c>
      <c r="T221" s="146">
        <v>7</v>
      </c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>
        <f t="shared" si="7"/>
        <v>14</v>
      </c>
    </row>
    <row r="222" spans="2:30" x14ac:dyDescent="0.3">
      <c r="B222" s="3" t="s">
        <v>295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0</v>
      </c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>
        <f t="shared" si="7"/>
        <v>0</v>
      </c>
    </row>
    <row r="223" spans="2:30" x14ac:dyDescent="0.3">
      <c r="B223" s="3" t="s">
        <v>305</v>
      </c>
      <c r="D223" s="141">
        <v>20912</v>
      </c>
      <c r="E223" s="141">
        <v>17376</v>
      </c>
      <c r="F223" s="141">
        <v>32511</v>
      </c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70799</v>
      </c>
      <c r="R223" s="146">
        <v>30</v>
      </c>
      <c r="S223" s="146">
        <v>20</v>
      </c>
      <c r="T223" s="146">
        <v>44</v>
      </c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>
        <f t="shared" si="7"/>
        <v>94</v>
      </c>
    </row>
    <row r="224" spans="2:30" x14ac:dyDescent="0.3">
      <c r="B224" s="3" t="s">
        <v>292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>
        <f t="shared" si="7"/>
        <v>0</v>
      </c>
    </row>
    <row r="225" spans="2:30" x14ac:dyDescent="0.3">
      <c r="B225" s="3" t="s">
        <v>461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0</v>
      </c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>
        <f t="shared" si="7"/>
        <v>0</v>
      </c>
    </row>
    <row r="226" spans="2:30" x14ac:dyDescent="0.3">
      <c r="B226" s="3" t="s">
        <v>462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>
        <f t="shared" si="7"/>
        <v>0</v>
      </c>
    </row>
    <row r="227" spans="2:30" x14ac:dyDescent="0.3">
      <c r="B227" s="3" t="s">
        <v>463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>
        <f t="shared" si="7"/>
        <v>0</v>
      </c>
    </row>
    <row r="228" spans="2:30" x14ac:dyDescent="0.3">
      <c r="B228" s="3" t="s">
        <v>464</v>
      </c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0</v>
      </c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>
        <f t="shared" si="7"/>
        <v>0</v>
      </c>
    </row>
    <row r="229" spans="2:30" x14ac:dyDescent="0.3">
      <c r="B229" s="3" t="s">
        <v>465</v>
      </c>
      <c r="D229" s="141">
        <v>140</v>
      </c>
      <c r="E229" s="141">
        <v>445</v>
      </c>
      <c r="F229" s="141">
        <v>1450</v>
      </c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2035</v>
      </c>
      <c r="R229" s="146">
        <v>2</v>
      </c>
      <c r="S229" s="146">
        <v>2</v>
      </c>
      <c r="T229" s="146">
        <v>3</v>
      </c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>
        <f t="shared" si="7"/>
        <v>7</v>
      </c>
    </row>
    <row r="230" spans="2:30" x14ac:dyDescent="0.3">
      <c r="B230" s="3" t="s">
        <v>466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0</v>
      </c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>
        <f t="shared" si="7"/>
        <v>0</v>
      </c>
    </row>
    <row r="231" spans="2:30" x14ac:dyDescent="0.3">
      <c r="B231" s="3" t="s">
        <v>467</v>
      </c>
      <c r="D231" s="141">
        <v>249</v>
      </c>
      <c r="E231" s="141"/>
      <c r="F231" s="141">
        <v>349</v>
      </c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598</v>
      </c>
      <c r="R231" s="146">
        <v>1</v>
      </c>
      <c r="S231" s="146"/>
      <c r="T231" s="146">
        <v>3</v>
      </c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>
        <f t="shared" si="7"/>
        <v>4</v>
      </c>
    </row>
    <row r="232" spans="2:30" x14ac:dyDescent="0.3">
      <c r="B232" s="3" t="s">
        <v>468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0</v>
      </c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>
        <f t="shared" si="7"/>
        <v>0</v>
      </c>
    </row>
    <row r="233" spans="2:30" x14ac:dyDescent="0.3">
      <c r="B233" s="3" t="s">
        <v>469</v>
      </c>
      <c r="D233" s="141">
        <v>1140</v>
      </c>
      <c r="E233" s="141"/>
      <c r="F233" s="141">
        <v>1600</v>
      </c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2740</v>
      </c>
      <c r="R233" s="146">
        <v>1</v>
      </c>
      <c r="S233" s="146"/>
      <c r="T233" s="146">
        <v>2</v>
      </c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>
        <f t="shared" si="7"/>
        <v>3</v>
      </c>
    </row>
    <row r="234" spans="2:30" x14ac:dyDescent="0.3">
      <c r="B234" s="3" t="s">
        <v>470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>
        <f t="shared" si="7"/>
        <v>0</v>
      </c>
    </row>
    <row r="235" spans="2:30" x14ac:dyDescent="0.3">
      <c r="B235" s="3" t="s">
        <v>471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6"/>
        <v>0</v>
      </c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>
        <f t="shared" si="7"/>
        <v>0</v>
      </c>
    </row>
    <row r="236" spans="2:30" x14ac:dyDescent="0.3">
      <c r="B236" s="3" t="s">
        <v>287</v>
      </c>
      <c r="D236" s="144">
        <v>159513203</v>
      </c>
      <c r="E236" s="144">
        <f t="shared" ref="E236:P236" si="8">+SUM(E5:E203)</f>
        <v>156953015</v>
      </c>
      <c r="F236" s="144">
        <f t="shared" si="8"/>
        <v>167053059</v>
      </c>
      <c r="G236" s="144">
        <f t="shared" si="8"/>
        <v>0</v>
      </c>
      <c r="H236" s="144">
        <f t="shared" si="8"/>
        <v>0</v>
      </c>
      <c r="I236" s="144">
        <f t="shared" si="8"/>
        <v>0</v>
      </c>
      <c r="J236" s="144">
        <f t="shared" si="8"/>
        <v>0</v>
      </c>
      <c r="K236" s="144">
        <f t="shared" si="8"/>
        <v>0</v>
      </c>
      <c r="L236" s="144">
        <f t="shared" si="8"/>
        <v>0</v>
      </c>
      <c r="M236" s="144">
        <f t="shared" si="8"/>
        <v>0</v>
      </c>
      <c r="N236" s="144">
        <f t="shared" si="8"/>
        <v>0</v>
      </c>
      <c r="O236" s="144">
        <f t="shared" si="8"/>
        <v>0</v>
      </c>
      <c r="P236" s="144">
        <f t="shared" si="8"/>
        <v>483519277</v>
      </c>
      <c r="R236" s="147">
        <f t="shared" ref="R236:AD236" si="9">+SUM(R5:R203)</f>
        <v>1340568</v>
      </c>
      <c r="S236" s="147">
        <f t="shared" si="9"/>
        <v>1310993</v>
      </c>
      <c r="T236" s="147">
        <f t="shared" si="9"/>
        <v>1437899</v>
      </c>
      <c r="U236" s="147">
        <f t="shared" si="9"/>
        <v>0</v>
      </c>
      <c r="V236" s="147">
        <f t="shared" si="9"/>
        <v>0</v>
      </c>
      <c r="W236" s="147">
        <f t="shared" si="9"/>
        <v>0</v>
      </c>
      <c r="X236" s="147">
        <f t="shared" si="9"/>
        <v>0</v>
      </c>
      <c r="Y236" s="147">
        <f t="shared" si="9"/>
        <v>0</v>
      </c>
      <c r="Z236" s="147">
        <f t="shared" si="9"/>
        <v>0</v>
      </c>
      <c r="AA236" s="147">
        <f t="shared" si="9"/>
        <v>0</v>
      </c>
      <c r="AB236" s="147">
        <f t="shared" si="9"/>
        <v>0</v>
      </c>
      <c r="AC236" s="147">
        <f t="shared" si="9"/>
        <v>0</v>
      </c>
      <c r="AD236" s="147">
        <f t="shared" si="9"/>
        <v>4089460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5546875" defaultRowHeight="14.4" x14ac:dyDescent="0.3"/>
  <cols>
    <col min="1" max="1" width="3.6640625" style="155" customWidth="1"/>
    <col min="2" max="2" width="13.5546875" style="155" customWidth="1"/>
    <col min="3" max="3" width="18.44140625" style="227" customWidth="1"/>
    <col min="4" max="4" width="37.33203125" style="155" hidden="1" customWidth="1"/>
    <col min="5" max="5" width="2.44140625" style="155" customWidth="1"/>
    <col min="6" max="6" width="16.5546875" style="155" hidden="1" customWidth="1"/>
    <col min="7" max="8" width="16.5546875" style="155" bestFit="1" customWidth="1"/>
    <col min="9" max="10" width="16.5546875" style="155" hidden="1" customWidth="1"/>
    <col min="11" max="11" width="15.33203125" style="155" hidden="1" customWidth="1"/>
    <col min="12" max="16" width="16.5546875" style="155" hidden="1" customWidth="1"/>
    <col min="17" max="17" width="15.33203125" style="155" hidden="1" customWidth="1"/>
    <col min="18" max="18" width="2.5546875" style="155" customWidth="1"/>
    <col min="19" max="19" width="18" style="155" hidden="1" customWidth="1"/>
    <col min="20" max="21" width="18" style="155" bestFit="1" customWidth="1"/>
    <col min="22" max="23" width="18" style="155" hidden="1" customWidth="1"/>
    <col min="24" max="24" width="16.5546875" style="155" hidden="1" customWidth="1"/>
    <col min="25" max="29" width="18" style="155" hidden="1" customWidth="1"/>
    <col min="30" max="30" width="16.5546875" style="155" hidden="1" customWidth="1"/>
    <col min="31" max="31" width="2.33203125" style="155" customWidth="1"/>
    <col min="32" max="32" width="7" style="155" hidden="1" customWidth="1"/>
    <col min="33" max="34" width="7" style="155" customWidth="1"/>
    <col min="35" max="37" width="7" style="227" hidden="1" customWidth="1"/>
    <col min="38" max="38" width="7" style="155" hidden="1" customWidth="1"/>
    <col min="39" max="39" width="10.77734375" style="155" hidden="1" customWidth="1"/>
    <col min="40" max="43" width="7" style="155" hidden="1" customWidth="1"/>
    <col min="44" max="44" width="5.33203125" style="155" customWidth="1"/>
    <col min="45" max="57" width="11.5546875" style="155" customWidth="1"/>
    <col min="58" max="16384" width="11.5546875" style="155"/>
  </cols>
  <sheetData>
    <row r="1" spans="2:43" x14ac:dyDescent="0.3">
      <c r="B1" s="17">
        <v>2620055</v>
      </c>
      <c r="D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</row>
    <row r="2" spans="2:43" x14ac:dyDescent="0.3">
      <c r="F2" s="256" t="s">
        <v>309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S2" s="256" t="s">
        <v>310</v>
      </c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F2" s="256" t="s">
        <v>311</v>
      </c>
      <c r="AG2" s="257"/>
      <c r="AH2" s="257"/>
      <c r="AI2" s="261"/>
      <c r="AJ2" s="261"/>
      <c r="AK2" s="261"/>
      <c r="AL2" s="257"/>
      <c r="AM2" s="257"/>
      <c r="AN2" s="257"/>
      <c r="AO2" s="257"/>
      <c r="AP2" s="257"/>
      <c r="AQ2" s="257"/>
    </row>
    <row r="3" spans="2:43" x14ac:dyDescent="0.3">
      <c r="B3" s="17"/>
      <c r="C3" s="13" t="s">
        <v>312</v>
      </c>
      <c r="D3" s="12" t="s">
        <v>313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F3" s="13" t="s">
        <v>19</v>
      </c>
      <c r="AG3" s="13" t="s">
        <v>20</v>
      </c>
      <c r="AH3" s="13" t="s">
        <v>21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27</v>
      </c>
      <c r="AO3" s="13" t="s">
        <v>28</v>
      </c>
      <c r="AP3" s="13" t="s">
        <v>29</v>
      </c>
      <c r="AQ3" s="13" t="s">
        <v>30</v>
      </c>
    </row>
    <row r="4" spans="2:43" x14ac:dyDescent="0.3">
      <c r="B4" s="17" t="s">
        <v>87</v>
      </c>
      <c r="C4" s="226">
        <v>20543722309</v>
      </c>
      <c r="D4" s="155" t="s">
        <v>314</v>
      </c>
      <c r="F4" s="148">
        <v>692460</v>
      </c>
      <c r="G4" s="148"/>
      <c r="H4" s="148">
        <v>755133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>
        <v>4077882</v>
      </c>
      <c r="T4" s="148"/>
      <c r="U4" s="148">
        <v>4735065</v>
      </c>
      <c r="V4" s="148"/>
      <c r="W4" s="148"/>
      <c r="X4" s="148"/>
      <c r="Y4" s="148"/>
      <c r="Z4" s="148"/>
      <c r="AA4" s="148"/>
      <c r="AB4" s="148"/>
      <c r="AC4" s="148"/>
      <c r="AD4" s="148"/>
      <c r="AF4" s="149">
        <f t="shared" ref="AF4:AQ24" si="0">+IFERROR(F4/S4,"")</f>
        <v>0.16980873894830698</v>
      </c>
      <c r="AG4" s="149" t="str">
        <f t="shared" si="0"/>
        <v/>
      </c>
      <c r="AH4" s="149">
        <f t="shared" si="0"/>
        <v>0.15947679704502474</v>
      </c>
      <c r="AI4" s="235" t="str">
        <f t="shared" si="0"/>
        <v/>
      </c>
      <c r="AJ4" s="235" t="str">
        <f t="shared" si="0"/>
        <v/>
      </c>
      <c r="AK4" s="235" t="str">
        <f t="shared" si="0"/>
        <v/>
      </c>
      <c r="AL4" s="149" t="str">
        <f t="shared" si="0"/>
        <v/>
      </c>
      <c r="AM4" s="149" t="str">
        <f t="shared" si="0"/>
        <v/>
      </c>
      <c r="AN4" s="149" t="str">
        <f t="shared" si="0"/>
        <v/>
      </c>
      <c r="AO4" s="149" t="str">
        <f t="shared" si="0"/>
        <v/>
      </c>
      <c r="AP4" s="149" t="str">
        <f t="shared" si="0"/>
        <v/>
      </c>
      <c r="AQ4" s="149" t="str">
        <f t="shared" si="0"/>
        <v/>
      </c>
    </row>
    <row r="5" spans="2:43" x14ac:dyDescent="0.3">
      <c r="B5" s="17"/>
      <c r="C5" s="226">
        <v>20518792360</v>
      </c>
      <c r="D5" s="155" t="s">
        <v>315</v>
      </c>
      <c r="F5" s="148">
        <v>276499</v>
      </c>
      <c r="G5" s="148"/>
      <c r="H5" s="148">
        <v>260558</v>
      </c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>
        <v>1984730</v>
      </c>
      <c r="T5" s="148"/>
      <c r="U5" s="148">
        <v>1926114</v>
      </c>
      <c r="V5" s="148"/>
      <c r="W5" s="148"/>
      <c r="X5" s="148"/>
      <c r="Y5" s="148"/>
      <c r="Z5" s="148"/>
      <c r="AA5" s="148"/>
      <c r="AB5" s="148"/>
      <c r="AC5" s="148"/>
      <c r="AD5" s="148"/>
      <c r="AF5" s="149">
        <f t="shared" si="0"/>
        <v>0.139313155945645</v>
      </c>
      <c r="AG5" s="149" t="str">
        <f t="shared" si="0"/>
        <v/>
      </c>
      <c r="AH5" s="149">
        <f t="shared" si="0"/>
        <v>0.13527652049670996</v>
      </c>
      <c r="AI5" s="235" t="str">
        <f t="shared" si="0"/>
        <v/>
      </c>
      <c r="AJ5" s="235" t="str">
        <f t="shared" si="0"/>
        <v/>
      </c>
      <c r="AK5" s="235" t="str">
        <f t="shared" si="0"/>
        <v/>
      </c>
      <c r="AL5" s="149" t="str">
        <f t="shared" si="0"/>
        <v/>
      </c>
      <c r="AM5" s="149" t="str">
        <f t="shared" si="0"/>
        <v/>
      </c>
      <c r="AN5" s="149" t="str">
        <f t="shared" si="0"/>
        <v/>
      </c>
      <c r="AO5" s="149" t="str">
        <f t="shared" si="0"/>
        <v/>
      </c>
      <c r="AP5" s="149" t="str">
        <f t="shared" si="0"/>
        <v/>
      </c>
      <c r="AQ5" s="149" t="str">
        <f t="shared" si="0"/>
        <v/>
      </c>
    </row>
    <row r="6" spans="2:43" x14ac:dyDescent="0.3">
      <c r="B6" s="17"/>
      <c r="C6" s="226">
        <v>20608838547</v>
      </c>
      <c r="D6" s="155" t="s">
        <v>316</v>
      </c>
      <c r="F6" s="148">
        <v>131368</v>
      </c>
      <c r="G6" s="148"/>
      <c r="H6" s="148">
        <v>154469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>
        <v>806710</v>
      </c>
      <c r="T6" s="148"/>
      <c r="U6" s="148">
        <v>913171</v>
      </c>
      <c r="V6" s="148"/>
      <c r="W6" s="148"/>
      <c r="X6" s="148"/>
      <c r="Y6" s="148"/>
      <c r="Z6" s="148"/>
      <c r="AA6" s="148"/>
      <c r="AB6" s="148"/>
      <c r="AC6" s="148"/>
      <c r="AD6" s="148"/>
      <c r="AF6" s="149">
        <f t="shared" si="0"/>
        <v>0.16284414473602657</v>
      </c>
      <c r="AG6" s="149" t="str">
        <f t="shared" si="0"/>
        <v/>
      </c>
      <c r="AH6" s="149">
        <f t="shared" si="0"/>
        <v>0.16915670777981343</v>
      </c>
      <c r="AI6" s="235" t="str">
        <f t="shared" si="0"/>
        <v/>
      </c>
      <c r="AJ6" s="235" t="str">
        <f t="shared" si="0"/>
        <v/>
      </c>
      <c r="AK6" s="235" t="str">
        <f t="shared" si="0"/>
        <v/>
      </c>
      <c r="AL6" s="149" t="str">
        <f t="shared" si="0"/>
        <v/>
      </c>
      <c r="AM6" s="149" t="str">
        <f t="shared" si="0"/>
        <v/>
      </c>
      <c r="AN6" s="149" t="str">
        <f t="shared" si="0"/>
        <v/>
      </c>
      <c r="AO6" s="149" t="str">
        <f t="shared" si="0"/>
        <v/>
      </c>
      <c r="AP6" s="149" t="str">
        <f t="shared" si="0"/>
        <v/>
      </c>
      <c r="AQ6" s="149" t="str">
        <f t="shared" si="0"/>
        <v/>
      </c>
    </row>
    <row r="7" spans="2:43" x14ac:dyDescent="0.3">
      <c r="B7" s="17"/>
      <c r="C7" s="226">
        <v>20418463644</v>
      </c>
      <c r="D7" s="155" t="s">
        <v>317</v>
      </c>
      <c r="F7" s="148">
        <v>160943</v>
      </c>
      <c r="G7" s="148">
        <v>155032</v>
      </c>
      <c r="H7" s="148">
        <v>159139</v>
      </c>
      <c r="I7" s="148"/>
      <c r="J7" s="148"/>
      <c r="K7" s="148"/>
      <c r="L7" s="148"/>
      <c r="M7" s="148"/>
      <c r="N7" s="148"/>
      <c r="O7" s="148"/>
      <c r="P7" s="148"/>
      <c r="Q7" s="148"/>
      <c r="S7" s="148">
        <v>1037873</v>
      </c>
      <c r="T7" s="148">
        <v>985948</v>
      </c>
      <c r="U7" s="148">
        <v>1036275</v>
      </c>
      <c r="V7" s="148"/>
      <c r="W7" s="148"/>
      <c r="X7" s="148"/>
      <c r="Y7" s="148"/>
      <c r="Z7" s="148"/>
      <c r="AA7" s="148"/>
      <c r="AB7" s="148"/>
      <c r="AC7" s="148"/>
      <c r="AD7" s="148"/>
      <c r="AF7" s="149">
        <f t="shared" si="0"/>
        <v>0.15507003265332078</v>
      </c>
      <c r="AG7" s="149">
        <f t="shared" si="0"/>
        <v>0.15724155837833231</v>
      </c>
      <c r="AH7" s="149">
        <f t="shared" si="0"/>
        <v>0.15356830957033607</v>
      </c>
      <c r="AI7" s="235" t="str">
        <f t="shared" si="0"/>
        <v/>
      </c>
      <c r="AJ7" s="235" t="str">
        <f t="shared" si="0"/>
        <v/>
      </c>
      <c r="AK7" s="235" t="str">
        <f t="shared" si="0"/>
        <v/>
      </c>
      <c r="AL7" s="149" t="str">
        <f t="shared" si="0"/>
        <v/>
      </c>
      <c r="AM7" s="149" t="str">
        <f t="shared" si="0"/>
        <v/>
      </c>
      <c r="AN7" s="149" t="str">
        <f t="shared" si="0"/>
        <v/>
      </c>
      <c r="AO7" s="149" t="str">
        <f t="shared" si="0"/>
        <v/>
      </c>
      <c r="AP7" s="149" t="str">
        <f t="shared" si="0"/>
        <v/>
      </c>
      <c r="AQ7" s="149" t="str">
        <f t="shared" si="0"/>
        <v/>
      </c>
    </row>
    <row r="8" spans="2:43" x14ac:dyDescent="0.3">
      <c r="B8" s="17"/>
      <c r="C8" s="226">
        <v>20345150341</v>
      </c>
      <c r="D8" s="155" t="s">
        <v>318</v>
      </c>
      <c r="F8" s="148">
        <v>167237</v>
      </c>
      <c r="G8" s="148">
        <v>159186</v>
      </c>
      <c r="H8" s="148">
        <v>165766</v>
      </c>
      <c r="I8" s="148"/>
      <c r="J8" s="148"/>
      <c r="K8" s="148"/>
      <c r="L8" s="148"/>
      <c r="M8" s="148"/>
      <c r="N8" s="148"/>
      <c r="O8" s="148"/>
      <c r="P8" s="148"/>
      <c r="Q8" s="148"/>
      <c r="S8" s="148">
        <v>971411</v>
      </c>
      <c r="T8" s="148">
        <v>979164</v>
      </c>
      <c r="U8" s="148">
        <v>997939</v>
      </c>
      <c r="V8" s="148"/>
      <c r="W8" s="148"/>
      <c r="X8" s="148"/>
      <c r="Y8" s="148"/>
      <c r="Z8" s="148"/>
      <c r="AA8" s="148"/>
      <c r="AB8" s="148"/>
      <c r="AC8" s="148"/>
      <c r="AD8" s="148"/>
      <c r="AF8" s="149">
        <f t="shared" si="0"/>
        <v>0.17215884934389256</v>
      </c>
      <c r="AG8" s="149">
        <f t="shared" si="0"/>
        <v>0.16257337892324472</v>
      </c>
      <c r="AH8" s="149">
        <f t="shared" si="0"/>
        <v>0.16610834930792362</v>
      </c>
      <c r="AI8" s="235" t="str">
        <f t="shared" si="0"/>
        <v/>
      </c>
      <c r="AJ8" s="235" t="str">
        <f t="shared" si="0"/>
        <v/>
      </c>
      <c r="AK8" s="235" t="str">
        <f t="shared" si="0"/>
        <v/>
      </c>
      <c r="AL8" s="149" t="str">
        <f t="shared" si="0"/>
        <v/>
      </c>
      <c r="AM8" s="149" t="str">
        <f t="shared" si="0"/>
        <v/>
      </c>
      <c r="AN8" s="149" t="str">
        <f t="shared" si="0"/>
        <v/>
      </c>
      <c r="AO8" s="149" t="str">
        <f t="shared" si="0"/>
        <v/>
      </c>
      <c r="AP8" s="149" t="str">
        <f t="shared" si="0"/>
        <v/>
      </c>
      <c r="AQ8" s="149" t="str">
        <f t="shared" si="0"/>
        <v/>
      </c>
    </row>
    <row r="9" spans="2:43" x14ac:dyDescent="0.3">
      <c r="B9" s="17"/>
      <c r="C9" s="226">
        <v>20432168213</v>
      </c>
      <c r="D9" s="155" t="s">
        <v>319</v>
      </c>
      <c r="F9" s="148">
        <v>100844</v>
      </c>
      <c r="G9" s="148">
        <v>104117</v>
      </c>
      <c r="H9" s="148">
        <v>110651</v>
      </c>
      <c r="I9" s="148"/>
      <c r="J9" s="148"/>
      <c r="K9" s="148"/>
      <c r="L9" s="148"/>
      <c r="M9" s="148"/>
      <c r="N9" s="148"/>
      <c r="O9" s="148"/>
      <c r="P9" s="148"/>
      <c r="Q9" s="148"/>
      <c r="S9" s="148">
        <v>705061</v>
      </c>
      <c r="T9" s="148">
        <v>685719</v>
      </c>
      <c r="U9" s="148">
        <v>768581</v>
      </c>
      <c r="V9" s="148"/>
      <c r="W9" s="148"/>
      <c r="X9" s="148"/>
      <c r="Y9" s="148"/>
      <c r="Z9" s="148"/>
      <c r="AA9" s="148"/>
      <c r="AB9" s="148"/>
      <c r="AC9" s="148"/>
      <c r="AD9" s="148"/>
      <c r="AF9" s="149">
        <f t="shared" si="0"/>
        <v>0.14302875921374178</v>
      </c>
      <c r="AG9" s="149">
        <f t="shared" si="0"/>
        <v>0.1518362477924631</v>
      </c>
      <c r="AH9" s="149">
        <f t="shared" si="0"/>
        <v>0.14396790969331794</v>
      </c>
      <c r="AI9" s="235" t="str">
        <f t="shared" si="0"/>
        <v/>
      </c>
      <c r="AJ9" s="235" t="str">
        <f t="shared" si="0"/>
        <v/>
      </c>
      <c r="AK9" s="235" t="str">
        <f t="shared" si="0"/>
        <v/>
      </c>
      <c r="AL9" s="149" t="str">
        <f t="shared" si="0"/>
        <v/>
      </c>
      <c r="AM9" s="149" t="str">
        <f t="shared" si="0"/>
        <v/>
      </c>
      <c r="AN9" s="149" t="str">
        <f t="shared" si="0"/>
        <v/>
      </c>
      <c r="AO9" s="149" t="str">
        <f t="shared" si="0"/>
        <v/>
      </c>
      <c r="AP9" s="149" t="str">
        <f t="shared" si="0"/>
        <v/>
      </c>
      <c r="AQ9" s="149" t="str">
        <f t="shared" si="0"/>
        <v/>
      </c>
    </row>
    <row r="10" spans="2:43" x14ac:dyDescent="0.3">
      <c r="B10" s="17"/>
      <c r="C10" s="226">
        <v>20476633932</v>
      </c>
      <c r="D10" s="155" t="s">
        <v>320</v>
      </c>
      <c r="F10" s="148">
        <v>123848</v>
      </c>
      <c r="G10" s="148">
        <v>139267</v>
      </c>
      <c r="H10" s="148">
        <v>148712</v>
      </c>
      <c r="I10" s="148"/>
      <c r="J10" s="148"/>
      <c r="K10" s="148"/>
      <c r="L10" s="148"/>
      <c r="M10" s="148"/>
      <c r="N10" s="148"/>
      <c r="O10" s="148"/>
      <c r="P10" s="148"/>
      <c r="Q10" s="148"/>
      <c r="S10" s="148">
        <v>799444</v>
      </c>
      <c r="T10" s="148">
        <v>857012</v>
      </c>
      <c r="U10" s="148">
        <v>950106</v>
      </c>
      <c r="V10" s="148"/>
      <c r="W10" s="148"/>
      <c r="X10" s="148"/>
      <c r="Y10" s="148"/>
      <c r="Z10" s="148"/>
      <c r="AA10" s="148"/>
      <c r="AB10" s="148"/>
      <c r="AC10" s="148"/>
      <c r="AD10" s="148"/>
      <c r="AF10" s="149">
        <f t="shared" si="0"/>
        <v>0.15491766777910648</v>
      </c>
      <c r="AG10" s="149">
        <f t="shared" si="0"/>
        <v>0.16250297545425268</v>
      </c>
      <c r="AH10" s="149">
        <f t="shared" si="0"/>
        <v>0.1565214828661223</v>
      </c>
      <c r="AI10" s="235" t="str">
        <f t="shared" si="0"/>
        <v/>
      </c>
      <c r="AJ10" s="235" t="str">
        <f t="shared" si="0"/>
        <v/>
      </c>
      <c r="AK10" s="235" t="str">
        <f t="shared" si="0"/>
        <v/>
      </c>
      <c r="AL10" s="149" t="str">
        <f t="shared" si="0"/>
        <v/>
      </c>
      <c r="AM10" s="149" t="str">
        <f t="shared" si="0"/>
        <v/>
      </c>
      <c r="AN10" s="149" t="str">
        <f t="shared" si="0"/>
        <v/>
      </c>
      <c r="AO10" s="149" t="str">
        <f t="shared" si="0"/>
        <v/>
      </c>
      <c r="AP10" s="149" t="str">
        <f t="shared" si="0"/>
        <v/>
      </c>
      <c r="AQ10" s="149" t="str">
        <f t="shared" si="0"/>
        <v/>
      </c>
    </row>
    <row r="11" spans="2:43" x14ac:dyDescent="0.3">
      <c r="B11" s="17"/>
      <c r="C11" s="226">
        <v>20504197469</v>
      </c>
      <c r="D11" s="155" t="s">
        <v>321</v>
      </c>
      <c r="F11" s="148">
        <v>136018</v>
      </c>
      <c r="G11" s="148">
        <v>121860</v>
      </c>
      <c r="H11" s="148">
        <v>121317</v>
      </c>
      <c r="I11" s="148"/>
      <c r="J11" s="148"/>
      <c r="K11" s="148"/>
      <c r="L11" s="148"/>
      <c r="M11" s="148"/>
      <c r="N11" s="148"/>
      <c r="O11" s="148"/>
      <c r="P11" s="148"/>
      <c r="Q11" s="148"/>
      <c r="S11" s="148">
        <v>799166</v>
      </c>
      <c r="T11" s="148">
        <v>757417</v>
      </c>
      <c r="U11" s="148">
        <v>725751</v>
      </c>
      <c r="V11" s="148"/>
      <c r="W11" s="148"/>
      <c r="X11" s="148"/>
      <c r="Y11" s="148"/>
      <c r="Z11" s="148"/>
      <c r="AA11" s="148"/>
      <c r="AB11" s="148"/>
      <c r="AC11" s="148"/>
      <c r="AD11" s="148"/>
      <c r="AF11" s="149">
        <f t="shared" si="0"/>
        <v>0.17019993343060141</v>
      </c>
      <c r="AG11" s="149">
        <f t="shared" si="0"/>
        <v>0.16088891588121207</v>
      </c>
      <c r="AH11" s="149">
        <f t="shared" si="0"/>
        <v>0.16716063773938997</v>
      </c>
      <c r="AI11" s="235" t="str">
        <f t="shared" si="0"/>
        <v/>
      </c>
      <c r="AJ11" s="235" t="str">
        <f t="shared" si="0"/>
        <v/>
      </c>
      <c r="AK11" s="235" t="str">
        <f t="shared" si="0"/>
        <v/>
      </c>
      <c r="AL11" s="149" t="str">
        <f t="shared" si="0"/>
        <v/>
      </c>
      <c r="AM11" s="149" t="str">
        <f t="shared" si="0"/>
        <v/>
      </c>
      <c r="AN11" s="149" t="str">
        <f t="shared" si="0"/>
        <v/>
      </c>
      <c r="AO11" s="149" t="str">
        <f t="shared" si="0"/>
        <v/>
      </c>
      <c r="AP11" s="149" t="str">
        <f t="shared" si="0"/>
        <v/>
      </c>
      <c r="AQ11" s="149" t="str">
        <f t="shared" si="0"/>
        <v/>
      </c>
    </row>
    <row r="12" spans="2:43" x14ac:dyDescent="0.3">
      <c r="B12" s="17"/>
      <c r="C12" s="226">
        <v>20252796623</v>
      </c>
      <c r="D12" s="155" t="s">
        <v>322</v>
      </c>
      <c r="F12" s="148">
        <v>99154</v>
      </c>
      <c r="G12" s="148">
        <v>113775</v>
      </c>
      <c r="H12" s="148">
        <v>109450</v>
      </c>
      <c r="I12" s="148"/>
      <c r="J12" s="148"/>
      <c r="K12" s="148"/>
      <c r="L12" s="148"/>
      <c r="M12" s="148"/>
      <c r="N12" s="148"/>
      <c r="O12" s="148"/>
      <c r="P12" s="148"/>
      <c r="Q12" s="148"/>
      <c r="S12" s="148">
        <v>905949</v>
      </c>
      <c r="T12" s="148">
        <v>917303</v>
      </c>
      <c r="U12" s="148">
        <v>1010092</v>
      </c>
      <c r="V12" s="148"/>
      <c r="W12" s="148"/>
      <c r="X12" s="148"/>
      <c r="Y12" s="148"/>
      <c r="Z12" s="148"/>
      <c r="AA12" s="148"/>
      <c r="AB12" s="148"/>
      <c r="AC12" s="148"/>
      <c r="AD12" s="148"/>
      <c r="AF12" s="149">
        <f t="shared" si="0"/>
        <v>0.10944766206486237</v>
      </c>
      <c r="AG12" s="149">
        <f t="shared" si="0"/>
        <v>0.1240320810026785</v>
      </c>
      <c r="AH12" s="149">
        <f t="shared" si="0"/>
        <v>0.10835646653968153</v>
      </c>
      <c r="AI12" s="235" t="str">
        <f t="shared" si="0"/>
        <v/>
      </c>
      <c r="AJ12" s="235" t="str">
        <f t="shared" si="0"/>
        <v/>
      </c>
      <c r="AK12" s="235" t="str">
        <f t="shared" si="0"/>
        <v/>
      </c>
      <c r="AL12" s="149" t="str">
        <f t="shared" si="0"/>
        <v/>
      </c>
      <c r="AM12" s="149" t="str">
        <f t="shared" si="0"/>
        <v/>
      </c>
      <c r="AN12" s="149" t="str">
        <f t="shared" si="0"/>
        <v/>
      </c>
      <c r="AO12" s="149" t="str">
        <f t="shared" si="0"/>
        <v/>
      </c>
      <c r="AP12" s="149" t="str">
        <f t="shared" si="0"/>
        <v/>
      </c>
      <c r="AQ12" s="149" t="str">
        <f t="shared" si="0"/>
        <v/>
      </c>
    </row>
    <row r="13" spans="2:43" x14ac:dyDescent="0.3">
      <c r="B13" s="17"/>
      <c r="C13" s="226">
        <v>20486765454</v>
      </c>
      <c r="D13" s="155" t="s">
        <v>323</v>
      </c>
      <c r="F13" s="148">
        <v>143794</v>
      </c>
      <c r="G13" s="148">
        <v>139484</v>
      </c>
      <c r="H13" s="148">
        <v>147138</v>
      </c>
      <c r="I13" s="148"/>
      <c r="J13" s="148"/>
      <c r="K13" s="148"/>
      <c r="L13" s="148"/>
      <c r="M13" s="148"/>
      <c r="N13" s="148"/>
      <c r="O13" s="148"/>
      <c r="P13" s="148"/>
      <c r="Q13" s="148"/>
      <c r="S13" s="148">
        <v>821998</v>
      </c>
      <c r="T13" s="148">
        <v>812908</v>
      </c>
      <c r="U13" s="148">
        <v>870776</v>
      </c>
      <c r="V13" s="148"/>
      <c r="W13" s="148"/>
      <c r="X13" s="148"/>
      <c r="Y13" s="148"/>
      <c r="Z13" s="148"/>
      <c r="AA13" s="148"/>
      <c r="AB13" s="148"/>
      <c r="AC13" s="148"/>
      <c r="AD13" s="148"/>
      <c r="AF13" s="149">
        <f t="shared" si="0"/>
        <v>0.17493229910535063</v>
      </c>
      <c r="AG13" s="149">
        <f t="shared" si="0"/>
        <v>0.17158645258750069</v>
      </c>
      <c r="AH13" s="149">
        <f t="shared" si="0"/>
        <v>0.16897342140803145</v>
      </c>
      <c r="AI13" s="235" t="str">
        <f t="shared" si="0"/>
        <v/>
      </c>
      <c r="AJ13" s="235" t="str">
        <f t="shared" si="0"/>
        <v/>
      </c>
      <c r="AK13" s="235" t="str">
        <f t="shared" si="0"/>
        <v/>
      </c>
      <c r="AL13" s="149" t="str">
        <f t="shared" si="0"/>
        <v/>
      </c>
      <c r="AM13" s="149" t="str">
        <f t="shared" si="0"/>
        <v/>
      </c>
      <c r="AN13" s="149" t="str">
        <f t="shared" si="0"/>
        <v/>
      </c>
      <c r="AO13" s="149" t="str">
        <f t="shared" si="0"/>
        <v/>
      </c>
      <c r="AP13" s="149" t="str">
        <f t="shared" si="0"/>
        <v/>
      </c>
      <c r="AQ13" s="149" t="str">
        <f t="shared" si="0"/>
        <v/>
      </c>
    </row>
    <row r="14" spans="2:43" x14ac:dyDescent="0.3">
      <c r="B14" s="17"/>
      <c r="C14" s="226">
        <v>20601017106</v>
      </c>
      <c r="D14" s="155" t="s">
        <v>324</v>
      </c>
      <c r="F14" s="148">
        <v>51889</v>
      </c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S14" s="148">
        <v>281464</v>
      </c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F14" s="149">
        <f t="shared" si="0"/>
        <v>0.18435394935053862</v>
      </c>
      <c r="AG14" s="149" t="str">
        <f t="shared" si="0"/>
        <v/>
      </c>
      <c r="AH14" s="149" t="str">
        <f t="shared" si="0"/>
        <v/>
      </c>
      <c r="AI14" s="235" t="str">
        <f t="shared" si="0"/>
        <v/>
      </c>
      <c r="AJ14" s="235" t="str">
        <f t="shared" si="0"/>
        <v/>
      </c>
      <c r="AK14" s="235" t="str">
        <f t="shared" si="0"/>
        <v/>
      </c>
      <c r="AL14" s="149" t="str">
        <f t="shared" si="0"/>
        <v/>
      </c>
      <c r="AM14" s="149" t="str">
        <f t="shared" si="0"/>
        <v/>
      </c>
      <c r="AN14" s="149" t="str">
        <f t="shared" si="0"/>
        <v/>
      </c>
      <c r="AO14" s="149" t="str">
        <f t="shared" si="0"/>
        <v/>
      </c>
      <c r="AP14" s="149" t="str">
        <f t="shared" si="0"/>
        <v/>
      </c>
      <c r="AQ14" s="149" t="str">
        <f t="shared" si="0"/>
        <v/>
      </c>
    </row>
    <row r="15" spans="2:43" x14ac:dyDescent="0.3">
      <c r="B15" s="17"/>
      <c r="C15" s="226">
        <v>20511235066</v>
      </c>
      <c r="D15" s="155" t="s">
        <v>325</v>
      </c>
      <c r="F15" s="148">
        <v>69212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S15" s="148">
        <v>341445</v>
      </c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F15" s="149">
        <f t="shared" si="0"/>
        <v>0.20270321720921378</v>
      </c>
      <c r="AG15" s="149" t="str">
        <f t="shared" si="0"/>
        <v/>
      </c>
      <c r="AH15" s="149" t="str">
        <f t="shared" si="0"/>
        <v/>
      </c>
      <c r="AI15" s="235" t="str">
        <f t="shared" si="0"/>
        <v/>
      </c>
      <c r="AJ15" s="235" t="str">
        <f t="shared" si="0"/>
        <v/>
      </c>
      <c r="AK15" s="235" t="str">
        <f t="shared" si="0"/>
        <v/>
      </c>
      <c r="AL15" s="149" t="str">
        <f t="shared" si="0"/>
        <v/>
      </c>
      <c r="AM15" s="149" t="str">
        <f t="shared" si="0"/>
        <v/>
      </c>
      <c r="AN15" s="149" t="str">
        <f t="shared" si="0"/>
        <v/>
      </c>
      <c r="AO15" s="149" t="str">
        <f t="shared" si="0"/>
        <v/>
      </c>
      <c r="AP15" s="149" t="str">
        <f t="shared" si="0"/>
        <v/>
      </c>
      <c r="AQ15" s="149" t="str">
        <f t="shared" si="0"/>
        <v/>
      </c>
    </row>
    <row r="16" spans="2:43" x14ac:dyDescent="0.3">
      <c r="B16" s="17"/>
      <c r="C16" s="226">
        <v>20536676865</v>
      </c>
      <c r="D16" s="155" t="s">
        <v>326</v>
      </c>
      <c r="F16" s="148">
        <v>50865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S16" s="148">
        <v>263740</v>
      </c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F16" s="149">
        <f t="shared" si="0"/>
        <v>0.19286039281110184</v>
      </c>
      <c r="AG16" s="149" t="str">
        <f t="shared" si="0"/>
        <v/>
      </c>
      <c r="AH16" s="149" t="str">
        <f t="shared" si="0"/>
        <v/>
      </c>
      <c r="AI16" s="235" t="str">
        <f t="shared" si="0"/>
        <v/>
      </c>
      <c r="AJ16" s="235" t="str">
        <f t="shared" si="0"/>
        <v/>
      </c>
      <c r="AK16" s="235" t="str">
        <f t="shared" si="0"/>
        <v/>
      </c>
      <c r="AL16" s="149" t="str">
        <f t="shared" si="0"/>
        <v/>
      </c>
      <c r="AM16" s="149" t="str">
        <f t="shared" si="0"/>
        <v/>
      </c>
      <c r="AN16" s="149" t="str">
        <f t="shared" si="0"/>
        <v/>
      </c>
      <c r="AO16" s="149" t="str">
        <f t="shared" si="0"/>
        <v/>
      </c>
      <c r="AP16" s="149" t="str">
        <f t="shared" si="0"/>
        <v/>
      </c>
      <c r="AQ16" s="149" t="str">
        <f t="shared" si="0"/>
        <v/>
      </c>
    </row>
    <row r="17" spans="2:43" x14ac:dyDescent="0.3">
      <c r="B17" s="17"/>
      <c r="C17" s="226">
        <v>20563027607</v>
      </c>
      <c r="D17" s="155" t="s">
        <v>327</v>
      </c>
      <c r="F17" s="148">
        <v>69990</v>
      </c>
      <c r="G17" s="148">
        <v>84037</v>
      </c>
      <c r="H17" s="148">
        <v>56949</v>
      </c>
      <c r="I17" s="148"/>
      <c r="J17" s="148"/>
      <c r="K17" s="148"/>
      <c r="L17" s="148"/>
      <c r="M17" s="148"/>
      <c r="N17" s="148"/>
      <c r="O17" s="148"/>
      <c r="P17" s="148"/>
      <c r="Q17" s="148"/>
      <c r="S17" s="148">
        <v>1165570</v>
      </c>
      <c r="T17" s="148">
        <v>1047816</v>
      </c>
      <c r="U17" s="148">
        <v>1130420</v>
      </c>
      <c r="V17" s="148"/>
      <c r="W17" s="148"/>
      <c r="X17" s="148"/>
      <c r="Y17" s="148"/>
      <c r="Z17" s="148"/>
      <c r="AA17" s="148"/>
      <c r="AB17" s="148"/>
      <c r="AC17" s="148"/>
      <c r="AD17" s="148"/>
      <c r="AF17" s="149">
        <f t="shared" si="0"/>
        <v>6.0047873572586806E-2</v>
      </c>
      <c r="AG17" s="149">
        <f t="shared" si="0"/>
        <v>8.0202058376661556E-2</v>
      </c>
      <c r="AH17" s="149">
        <f t="shared" si="0"/>
        <v>5.037862033580439E-2</v>
      </c>
      <c r="AI17" s="235" t="str">
        <f t="shared" si="0"/>
        <v/>
      </c>
      <c r="AJ17" s="235" t="str">
        <f t="shared" si="0"/>
        <v/>
      </c>
      <c r="AK17" s="235" t="str">
        <f t="shared" si="0"/>
        <v/>
      </c>
      <c r="AL17" s="149" t="str">
        <f t="shared" si="0"/>
        <v/>
      </c>
      <c r="AM17" s="149" t="str">
        <f t="shared" si="0"/>
        <v/>
      </c>
      <c r="AN17" s="149" t="str">
        <f t="shared" si="0"/>
        <v/>
      </c>
      <c r="AO17" s="149" t="str">
        <f t="shared" si="0"/>
        <v/>
      </c>
      <c r="AP17" s="149" t="str">
        <f t="shared" si="0"/>
        <v/>
      </c>
      <c r="AQ17" s="149" t="str">
        <f t="shared" si="0"/>
        <v/>
      </c>
    </row>
    <row r="18" spans="2:43" x14ac:dyDescent="0.3">
      <c r="B18" s="17"/>
      <c r="C18" s="226">
        <v>20505670443</v>
      </c>
      <c r="D18" s="155" t="s">
        <v>328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F18" s="149" t="str">
        <f t="shared" si="0"/>
        <v/>
      </c>
      <c r="AG18" s="149" t="str">
        <f t="shared" si="0"/>
        <v/>
      </c>
      <c r="AH18" s="149" t="str">
        <f t="shared" si="0"/>
        <v/>
      </c>
      <c r="AI18" s="235" t="str">
        <f t="shared" si="0"/>
        <v/>
      </c>
      <c r="AJ18" s="235" t="str">
        <f t="shared" si="0"/>
        <v/>
      </c>
      <c r="AK18" s="235" t="str">
        <f t="shared" si="0"/>
        <v/>
      </c>
      <c r="AL18" s="149" t="str">
        <f t="shared" si="0"/>
        <v/>
      </c>
      <c r="AM18" s="149" t="str">
        <f t="shared" si="0"/>
        <v/>
      </c>
      <c r="AN18" s="149" t="str">
        <f t="shared" si="0"/>
        <v/>
      </c>
      <c r="AO18" s="149" t="str">
        <f t="shared" si="0"/>
        <v/>
      </c>
      <c r="AP18" s="149" t="str">
        <f t="shared" si="0"/>
        <v/>
      </c>
      <c r="AQ18" s="149" t="str">
        <f t="shared" si="0"/>
        <v/>
      </c>
    </row>
    <row r="19" spans="2:43" x14ac:dyDescent="0.3">
      <c r="B19" s="17"/>
      <c r="C19" s="226">
        <v>20604940622</v>
      </c>
      <c r="D19" s="155" t="s">
        <v>451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F19" s="149" t="str">
        <f t="shared" si="0"/>
        <v/>
      </c>
      <c r="AG19" s="149" t="str">
        <f t="shared" si="0"/>
        <v/>
      </c>
      <c r="AH19" s="149" t="str">
        <f t="shared" si="0"/>
        <v/>
      </c>
      <c r="AI19" s="235" t="str">
        <f t="shared" si="0"/>
        <v/>
      </c>
      <c r="AJ19" s="235" t="str">
        <f t="shared" si="0"/>
        <v/>
      </c>
      <c r="AK19" s="235" t="str">
        <f t="shared" si="0"/>
        <v/>
      </c>
      <c r="AL19" s="149" t="str">
        <f t="shared" si="0"/>
        <v/>
      </c>
      <c r="AM19" s="149" t="str">
        <f t="shared" si="0"/>
        <v/>
      </c>
      <c r="AN19" s="149" t="str">
        <f t="shared" si="0"/>
        <v/>
      </c>
      <c r="AO19" s="149" t="str">
        <f t="shared" si="0"/>
        <v/>
      </c>
      <c r="AP19" s="149" t="str">
        <f t="shared" si="0"/>
        <v/>
      </c>
      <c r="AQ19" s="149" t="str">
        <f t="shared" si="0"/>
        <v/>
      </c>
    </row>
    <row r="20" spans="2:43" x14ac:dyDescent="0.3">
      <c r="B20" s="17"/>
      <c r="C20" s="226">
        <v>20601651531</v>
      </c>
      <c r="D20" s="155" t="s">
        <v>329</v>
      </c>
      <c r="F20" s="148">
        <v>178677</v>
      </c>
      <c r="G20" s="148">
        <v>169523</v>
      </c>
      <c r="H20" s="148">
        <v>153194</v>
      </c>
      <c r="I20" s="148"/>
      <c r="J20" s="148"/>
      <c r="K20" s="148"/>
      <c r="L20" s="148"/>
      <c r="M20" s="148"/>
      <c r="N20" s="148"/>
      <c r="O20" s="148"/>
      <c r="P20" s="148"/>
      <c r="Q20" s="148"/>
      <c r="S20" s="148">
        <v>1174484</v>
      </c>
      <c r="T20" s="148">
        <v>1091522</v>
      </c>
      <c r="U20" s="148">
        <v>1009792</v>
      </c>
      <c r="V20" s="148"/>
      <c r="W20" s="148"/>
      <c r="X20" s="148"/>
      <c r="Y20" s="148"/>
      <c r="Z20" s="148"/>
      <c r="AA20" s="148"/>
      <c r="AB20" s="148"/>
      <c r="AC20" s="148"/>
      <c r="AD20" s="148"/>
      <c r="AF20" s="149">
        <f t="shared" si="0"/>
        <v>0.15213234067045614</v>
      </c>
      <c r="AG20" s="149">
        <f t="shared" si="0"/>
        <v>0.15530882565811774</v>
      </c>
      <c r="AH20" s="149">
        <f t="shared" si="0"/>
        <v>0.15170847065534288</v>
      </c>
      <c r="AI20" s="235" t="str">
        <f t="shared" si="0"/>
        <v/>
      </c>
      <c r="AJ20" s="235" t="str">
        <f t="shared" si="0"/>
        <v/>
      </c>
      <c r="AK20" s="235" t="str">
        <f t="shared" si="0"/>
        <v/>
      </c>
      <c r="AL20" s="149" t="str">
        <f t="shared" si="0"/>
        <v/>
      </c>
      <c r="AM20" s="149" t="str">
        <f t="shared" si="0"/>
        <v/>
      </c>
      <c r="AN20" s="149" t="str">
        <f t="shared" si="0"/>
        <v/>
      </c>
      <c r="AO20" s="149" t="str">
        <f t="shared" si="0"/>
        <v/>
      </c>
      <c r="AP20" s="149" t="str">
        <f t="shared" si="0"/>
        <v/>
      </c>
      <c r="AQ20" s="149" t="str">
        <f t="shared" si="0"/>
        <v/>
      </c>
    </row>
    <row r="21" spans="2:43" x14ac:dyDescent="0.3">
      <c r="B21" s="17"/>
      <c r="C21" s="226">
        <v>20517656217</v>
      </c>
      <c r="D21" s="155" t="s">
        <v>330</v>
      </c>
      <c r="F21" s="148">
        <v>182812</v>
      </c>
      <c r="G21" s="148">
        <v>165346</v>
      </c>
      <c r="H21" s="148">
        <v>182785</v>
      </c>
      <c r="I21" s="148"/>
      <c r="J21" s="148"/>
      <c r="K21" s="148"/>
      <c r="L21" s="148"/>
      <c r="M21" s="148"/>
      <c r="N21" s="148"/>
      <c r="O21" s="148"/>
      <c r="P21" s="148"/>
      <c r="Q21" s="148"/>
      <c r="S21" s="148">
        <v>1108599</v>
      </c>
      <c r="T21" s="148">
        <v>1066795</v>
      </c>
      <c r="U21" s="148">
        <v>1214033</v>
      </c>
      <c r="V21" s="148"/>
      <c r="W21" s="148"/>
      <c r="X21" s="148"/>
      <c r="Y21" s="148"/>
      <c r="Z21" s="148"/>
      <c r="AA21" s="148"/>
      <c r="AB21" s="148"/>
      <c r="AC21" s="148"/>
      <c r="AD21" s="148"/>
      <c r="AF21" s="149">
        <f t="shared" si="0"/>
        <v>0.16490363061846527</v>
      </c>
      <c r="AG21" s="149">
        <f t="shared" si="0"/>
        <v>0.15499322737733118</v>
      </c>
      <c r="AH21" s="149">
        <f t="shared" si="0"/>
        <v>0.15056015775518458</v>
      </c>
      <c r="AI21" s="235" t="str">
        <f t="shared" si="0"/>
        <v/>
      </c>
      <c r="AJ21" s="235" t="str">
        <f t="shared" si="0"/>
        <v/>
      </c>
      <c r="AK21" s="235" t="str">
        <f t="shared" si="0"/>
        <v/>
      </c>
      <c r="AL21" s="149" t="str">
        <f t="shared" si="0"/>
        <v/>
      </c>
      <c r="AM21" s="149" t="str">
        <f t="shared" si="0"/>
        <v/>
      </c>
      <c r="AN21" s="149" t="str">
        <f t="shared" si="0"/>
        <v/>
      </c>
      <c r="AO21" s="149" t="str">
        <f t="shared" si="0"/>
        <v/>
      </c>
      <c r="AP21" s="149" t="str">
        <f t="shared" si="0"/>
        <v/>
      </c>
      <c r="AQ21" s="149" t="str">
        <f t="shared" si="0"/>
        <v/>
      </c>
    </row>
    <row r="22" spans="2:43" x14ac:dyDescent="0.3">
      <c r="B22" s="17"/>
      <c r="C22" s="226">
        <v>20524692105</v>
      </c>
      <c r="D22" s="155" t="s">
        <v>331</v>
      </c>
      <c r="F22" s="148">
        <v>39264</v>
      </c>
      <c r="G22" s="148">
        <v>35381</v>
      </c>
      <c r="H22" s="148">
        <v>39383</v>
      </c>
      <c r="I22" s="148"/>
      <c r="J22" s="148"/>
      <c r="K22" s="148"/>
      <c r="L22" s="148"/>
      <c r="M22" s="148"/>
      <c r="N22" s="148"/>
      <c r="O22" s="148"/>
      <c r="P22" s="148"/>
      <c r="Q22" s="148"/>
      <c r="S22" s="148">
        <v>521282</v>
      </c>
      <c r="T22" s="148">
        <v>590199</v>
      </c>
      <c r="U22" s="148">
        <v>711808</v>
      </c>
      <c r="V22" s="148"/>
      <c r="W22" s="148"/>
      <c r="X22" s="148"/>
      <c r="Y22" s="148"/>
      <c r="Z22" s="148"/>
      <c r="AA22" s="148"/>
      <c r="AB22" s="148"/>
      <c r="AC22" s="148"/>
      <c r="AD22" s="148"/>
      <c r="AF22" s="149">
        <f t="shared" si="0"/>
        <v>7.5321994620953722E-2</v>
      </c>
      <c r="AG22" s="149">
        <f t="shared" si="0"/>
        <v>5.9947577003688586E-2</v>
      </c>
      <c r="AH22" s="149">
        <f t="shared" si="0"/>
        <v>5.5328122190253549E-2</v>
      </c>
      <c r="AI22" s="235" t="str">
        <f t="shared" si="0"/>
        <v/>
      </c>
      <c r="AJ22" s="235" t="str">
        <f t="shared" si="0"/>
        <v/>
      </c>
      <c r="AK22" s="235" t="str">
        <f t="shared" si="0"/>
        <v/>
      </c>
      <c r="AL22" s="149" t="str">
        <f t="shared" si="0"/>
        <v/>
      </c>
      <c r="AM22" s="149" t="str">
        <f t="shared" si="0"/>
        <v/>
      </c>
      <c r="AN22" s="149" t="str">
        <f t="shared" si="0"/>
        <v/>
      </c>
      <c r="AO22" s="149" t="str">
        <f t="shared" si="0"/>
        <v/>
      </c>
      <c r="AP22" s="149" t="str">
        <f t="shared" si="0"/>
        <v/>
      </c>
      <c r="AQ22" s="149" t="str">
        <f t="shared" si="0"/>
        <v/>
      </c>
    </row>
    <row r="23" spans="2:43" x14ac:dyDescent="0.3">
      <c r="B23" s="17"/>
      <c r="C23" s="226">
        <v>20520854381</v>
      </c>
      <c r="D23" s="155" t="s">
        <v>450</v>
      </c>
      <c r="F23" s="148">
        <v>43502</v>
      </c>
      <c r="G23" s="148">
        <v>41318</v>
      </c>
      <c r="H23" s="148">
        <v>51729</v>
      </c>
      <c r="I23" s="148"/>
      <c r="J23" s="148"/>
      <c r="K23" s="148"/>
      <c r="L23" s="148"/>
      <c r="M23" s="148"/>
      <c r="N23" s="148"/>
      <c r="O23" s="148"/>
      <c r="P23" s="148"/>
      <c r="Q23" s="148"/>
      <c r="S23" s="148">
        <v>264069</v>
      </c>
      <c r="T23" s="148">
        <v>262148</v>
      </c>
      <c r="U23" s="148">
        <v>296201</v>
      </c>
      <c r="V23" s="148"/>
      <c r="W23" s="148"/>
      <c r="X23" s="148"/>
      <c r="Y23" s="148"/>
      <c r="Z23" s="148"/>
      <c r="AA23" s="148"/>
      <c r="AB23" s="148"/>
      <c r="AC23" s="148"/>
      <c r="AD23" s="148"/>
      <c r="AF23" s="149">
        <f t="shared" si="0"/>
        <v>0.16473724670445983</v>
      </c>
      <c r="AG23" s="149">
        <f t="shared" si="0"/>
        <v>0.15761325663365733</v>
      </c>
      <c r="AH23" s="149">
        <f t="shared" si="0"/>
        <v>0.17464154408661686</v>
      </c>
      <c r="AI23" s="235" t="str">
        <f t="shared" si="0"/>
        <v/>
      </c>
      <c r="AJ23" s="235" t="str">
        <f t="shared" si="0"/>
        <v/>
      </c>
      <c r="AK23" s="235" t="str">
        <f t="shared" si="0"/>
        <v/>
      </c>
      <c r="AL23" s="149" t="str">
        <f t="shared" si="0"/>
        <v/>
      </c>
      <c r="AM23" s="149" t="str">
        <f t="shared" si="0"/>
        <v/>
      </c>
      <c r="AN23" s="149" t="str">
        <f t="shared" si="0"/>
        <v/>
      </c>
      <c r="AO23" s="149" t="str">
        <f t="shared" si="0"/>
        <v/>
      </c>
      <c r="AP23" s="149" t="str">
        <f t="shared" si="0"/>
        <v/>
      </c>
      <c r="AQ23" s="149" t="str">
        <f t="shared" si="0"/>
        <v/>
      </c>
    </row>
    <row r="24" spans="2:43" x14ac:dyDescent="0.3">
      <c r="B24" s="14" t="s">
        <v>332</v>
      </c>
      <c r="C24" s="228"/>
      <c r="D24" s="14"/>
      <c r="F24" s="150">
        <f t="shared" ref="F24:Q24" si="1">+SUM(F4:F23)</f>
        <v>2718376</v>
      </c>
      <c r="G24" s="150">
        <f t="shared" si="1"/>
        <v>1428326</v>
      </c>
      <c r="H24" s="150">
        <f t="shared" si="1"/>
        <v>2616373</v>
      </c>
      <c r="I24" s="150">
        <f t="shared" si="1"/>
        <v>0</v>
      </c>
      <c r="J24" s="150">
        <f t="shared" si="1"/>
        <v>0</v>
      </c>
      <c r="K24" s="150">
        <f t="shared" si="1"/>
        <v>0</v>
      </c>
      <c r="L24" s="150">
        <f t="shared" si="1"/>
        <v>0</v>
      </c>
      <c r="M24" s="150">
        <f t="shared" si="1"/>
        <v>0</v>
      </c>
      <c r="N24" s="150">
        <f t="shared" si="1"/>
        <v>0</v>
      </c>
      <c r="O24" s="150">
        <f t="shared" si="1"/>
        <v>0</v>
      </c>
      <c r="P24" s="150">
        <f t="shared" si="1"/>
        <v>0</v>
      </c>
      <c r="Q24" s="150">
        <f t="shared" si="1"/>
        <v>0</v>
      </c>
      <c r="S24" s="150">
        <f t="shared" ref="S24:AD24" si="2">+SUM(S4:S23)</f>
        <v>18030877</v>
      </c>
      <c r="T24" s="150">
        <f t="shared" si="2"/>
        <v>10053951</v>
      </c>
      <c r="U24" s="150">
        <f t="shared" si="2"/>
        <v>18296124</v>
      </c>
      <c r="V24" s="150">
        <f t="shared" si="2"/>
        <v>0</v>
      </c>
      <c r="W24" s="150">
        <f t="shared" si="2"/>
        <v>0</v>
      </c>
      <c r="X24" s="150">
        <f t="shared" si="2"/>
        <v>0</v>
      </c>
      <c r="Y24" s="150">
        <f t="shared" si="2"/>
        <v>0</v>
      </c>
      <c r="Z24" s="150">
        <f t="shared" si="2"/>
        <v>0</v>
      </c>
      <c r="AA24" s="150">
        <f t="shared" si="2"/>
        <v>0</v>
      </c>
      <c r="AB24" s="150">
        <f t="shared" si="2"/>
        <v>0</v>
      </c>
      <c r="AC24" s="150">
        <f t="shared" si="2"/>
        <v>0</v>
      </c>
      <c r="AD24" s="150">
        <f t="shared" si="2"/>
        <v>0</v>
      </c>
      <c r="AF24" s="151">
        <f t="shared" si="0"/>
        <v>0.15076227296098799</v>
      </c>
      <c r="AG24" s="151">
        <f t="shared" si="0"/>
        <v>0.14206613897362341</v>
      </c>
      <c r="AH24" s="151">
        <f t="shared" si="0"/>
        <v>0.14300149037031012</v>
      </c>
      <c r="AI24" s="236" t="str">
        <f t="shared" si="0"/>
        <v/>
      </c>
      <c r="AJ24" s="236" t="str">
        <f t="shared" si="0"/>
        <v/>
      </c>
      <c r="AK24" s="236" t="str">
        <f t="shared" si="0"/>
        <v/>
      </c>
      <c r="AL24" s="151" t="str">
        <f t="shared" si="0"/>
        <v/>
      </c>
      <c r="AM24" s="151" t="str">
        <f t="shared" si="0"/>
        <v/>
      </c>
      <c r="AN24" s="151" t="str">
        <f t="shared" si="0"/>
        <v/>
      </c>
      <c r="AO24" s="151" t="str">
        <f t="shared" si="0"/>
        <v/>
      </c>
      <c r="AP24" s="151" t="str">
        <f t="shared" si="0"/>
        <v/>
      </c>
      <c r="AQ24" s="151" t="str">
        <f t="shared" si="0"/>
        <v/>
      </c>
    </row>
    <row r="25" spans="2:43" x14ac:dyDescent="0.3">
      <c r="B25" s="17"/>
      <c r="C25" s="226"/>
      <c r="D25" s="17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F25" s="153"/>
      <c r="AG25" s="153"/>
      <c r="AH25" s="153"/>
      <c r="AI25" s="237"/>
      <c r="AJ25" s="237"/>
      <c r="AK25" s="237"/>
      <c r="AL25" s="153"/>
      <c r="AM25" s="153"/>
      <c r="AN25" s="153"/>
      <c r="AO25" s="153"/>
    </row>
    <row r="26" spans="2:43" s="15" customFormat="1" x14ac:dyDescent="0.3">
      <c r="B26" s="16" t="s">
        <v>88</v>
      </c>
      <c r="C26" s="229" t="s">
        <v>333</v>
      </c>
      <c r="D26" s="15" t="s">
        <v>334</v>
      </c>
      <c r="F26" s="154">
        <v>18385248</v>
      </c>
      <c r="G26" s="154">
        <v>18433086</v>
      </c>
      <c r="H26" s="154">
        <v>20684345</v>
      </c>
      <c r="I26" s="154"/>
      <c r="J26" s="154"/>
      <c r="K26" s="154"/>
      <c r="L26" s="154"/>
      <c r="M26" s="154"/>
      <c r="N26" s="154"/>
      <c r="O26" s="154"/>
      <c r="P26" s="154"/>
      <c r="Q26" s="154"/>
      <c r="S26" s="154">
        <v>181618546</v>
      </c>
      <c r="T26" s="154">
        <v>188219737</v>
      </c>
      <c r="U26" s="154">
        <v>224108999</v>
      </c>
      <c r="V26" s="154"/>
      <c r="W26" s="154"/>
      <c r="X26" s="154"/>
      <c r="Y26" s="154"/>
      <c r="Z26" s="154"/>
      <c r="AA26" s="154"/>
      <c r="AB26" s="154"/>
      <c r="AC26" s="154"/>
      <c r="AD26" s="154"/>
      <c r="AF26" s="149">
        <f t="shared" ref="AF26:AQ45" si="3">+IFERROR(F26/S26,"")</f>
        <v>0.10123001425195861</v>
      </c>
      <c r="AG26" s="149">
        <f t="shared" si="3"/>
        <v>9.7933863333365512E-2</v>
      </c>
      <c r="AH26" s="149">
        <f t="shared" si="3"/>
        <v>9.2295914453662795E-2</v>
      </c>
      <c r="AI26" s="235" t="str">
        <f t="shared" si="3"/>
        <v/>
      </c>
      <c r="AJ26" s="239" t="str">
        <f t="shared" si="3"/>
        <v/>
      </c>
      <c r="AK26" s="239" t="str">
        <f t="shared" si="3"/>
        <v/>
      </c>
      <c r="AL26" s="240" t="str">
        <f t="shared" si="3"/>
        <v/>
      </c>
      <c r="AM26" s="149" t="str">
        <f t="shared" si="3"/>
        <v/>
      </c>
      <c r="AN26" s="149" t="str">
        <f t="shared" si="3"/>
        <v/>
      </c>
      <c r="AO26" s="149" t="str">
        <f t="shared" si="3"/>
        <v/>
      </c>
      <c r="AP26" s="149" t="str">
        <f t="shared" si="3"/>
        <v/>
      </c>
      <c r="AQ26" s="149" t="str">
        <f t="shared" si="3"/>
        <v/>
      </c>
    </row>
    <row r="27" spans="2:43" x14ac:dyDescent="0.3">
      <c r="B27" s="17"/>
      <c r="C27" s="226">
        <v>20600657888</v>
      </c>
      <c r="D27" s="155" t="s">
        <v>335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F27" s="149" t="str">
        <f t="shared" si="3"/>
        <v/>
      </c>
      <c r="AG27" s="149" t="str">
        <f t="shared" si="3"/>
        <v/>
      </c>
      <c r="AH27" s="149" t="str">
        <f t="shared" si="3"/>
        <v/>
      </c>
      <c r="AI27" s="235" t="str">
        <f t="shared" si="3"/>
        <v/>
      </c>
      <c r="AJ27" s="235" t="str">
        <f t="shared" si="3"/>
        <v/>
      </c>
      <c r="AK27" s="235" t="str">
        <f t="shared" si="3"/>
        <v/>
      </c>
      <c r="AL27" s="149" t="str">
        <f t="shared" si="3"/>
        <v/>
      </c>
      <c r="AM27" s="149" t="str">
        <f t="shared" si="3"/>
        <v/>
      </c>
      <c r="AN27" s="149" t="str">
        <f t="shared" si="3"/>
        <v/>
      </c>
      <c r="AO27" s="149" t="str">
        <f t="shared" si="3"/>
        <v/>
      </c>
      <c r="AP27" s="149" t="str">
        <f t="shared" si="3"/>
        <v/>
      </c>
      <c r="AQ27" s="149" t="str">
        <f t="shared" si="3"/>
        <v/>
      </c>
    </row>
    <row r="28" spans="2:43" x14ac:dyDescent="0.3">
      <c r="B28" s="17"/>
      <c r="C28" s="226">
        <v>20404097343</v>
      </c>
      <c r="D28" s="155" t="s">
        <v>336</v>
      </c>
      <c r="F28" s="148">
        <v>104747</v>
      </c>
      <c r="G28" s="148">
        <v>78677</v>
      </c>
      <c r="H28" s="148">
        <v>95555</v>
      </c>
      <c r="I28" s="148"/>
      <c r="J28" s="148"/>
      <c r="K28" s="148"/>
      <c r="L28" s="148"/>
      <c r="M28" s="148"/>
      <c r="N28" s="148"/>
      <c r="O28" s="148"/>
      <c r="P28" s="148"/>
      <c r="Q28" s="148"/>
      <c r="S28" s="148">
        <v>490268</v>
      </c>
      <c r="T28" s="148">
        <v>375283</v>
      </c>
      <c r="U28" s="148">
        <v>454623</v>
      </c>
      <c r="V28" s="148"/>
      <c r="W28" s="148"/>
      <c r="X28" s="148"/>
      <c r="Y28" s="148"/>
      <c r="Z28" s="148"/>
      <c r="AA28" s="148"/>
      <c r="AB28" s="148"/>
      <c r="AC28" s="148"/>
      <c r="AD28" s="148"/>
      <c r="AF28" s="149">
        <f t="shared" si="3"/>
        <v>0.21365253290037287</v>
      </c>
      <c r="AG28" s="149">
        <f t="shared" si="3"/>
        <v>0.20964711964037805</v>
      </c>
      <c r="AH28" s="149">
        <f t="shared" si="3"/>
        <v>0.21018514241470404</v>
      </c>
      <c r="AI28" s="235" t="str">
        <f t="shared" si="3"/>
        <v/>
      </c>
      <c r="AJ28" s="235" t="str">
        <f t="shared" si="3"/>
        <v/>
      </c>
      <c r="AK28" s="235" t="str">
        <f t="shared" si="3"/>
        <v/>
      </c>
      <c r="AL28" s="149" t="str">
        <f t="shared" si="3"/>
        <v/>
      </c>
      <c r="AM28" s="149" t="str">
        <f t="shared" si="3"/>
        <v/>
      </c>
      <c r="AN28" s="149" t="str">
        <f t="shared" si="3"/>
        <v/>
      </c>
      <c r="AO28" s="149" t="str">
        <f t="shared" si="3"/>
        <v/>
      </c>
      <c r="AP28" s="149" t="str">
        <f t="shared" si="3"/>
        <v/>
      </c>
      <c r="AQ28" s="149" t="str">
        <f t="shared" si="3"/>
        <v/>
      </c>
    </row>
    <row r="29" spans="2:43" x14ac:dyDescent="0.3">
      <c r="B29" s="17"/>
      <c r="C29" s="226">
        <v>20369872274</v>
      </c>
      <c r="D29" s="155" t="s">
        <v>337</v>
      </c>
      <c r="F29" s="148">
        <v>150977</v>
      </c>
      <c r="G29" s="148">
        <v>143808</v>
      </c>
      <c r="H29" s="148">
        <v>155131</v>
      </c>
      <c r="I29" s="148"/>
      <c r="J29" s="148"/>
      <c r="K29" s="148"/>
      <c r="L29" s="148"/>
      <c r="M29" s="148"/>
      <c r="N29" s="148"/>
      <c r="O29" s="148"/>
      <c r="P29" s="148"/>
      <c r="Q29" s="148"/>
      <c r="S29" s="148">
        <v>1386329</v>
      </c>
      <c r="T29" s="148">
        <v>1342682</v>
      </c>
      <c r="U29" s="148">
        <v>1449613</v>
      </c>
      <c r="V29" s="148"/>
      <c r="W29" s="148"/>
      <c r="X29" s="148"/>
      <c r="Y29" s="148"/>
      <c r="Z29" s="148"/>
      <c r="AA29" s="148"/>
      <c r="AB29" s="148"/>
      <c r="AC29" s="148"/>
      <c r="AD29" s="148"/>
      <c r="AF29" s="149">
        <f t="shared" si="3"/>
        <v>0.10890416344172271</v>
      </c>
      <c r="AG29" s="149">
        <f t="shared" si="3"/>
        <v>0.10710503306069494</v>
      </c>
      <c r="AH29" s="149">
        <f t="shared" si="3"/>
        <v>0.10701545860860795</v>
      </c>
      <c r="AI29" s="235" t="str">
        <f t="shared" si="3"/>
        <v/>
      </c>
      <c r="AJ29" s="235" t="str">
        <f t="shared" si="3"/>
        <v/>
      </c>
      <c r="AK29" s="235" t="str">
        <f t="shared" si="3"/>
        <v/>
      </c>
      <c r="AL29" s="149" t="str">
        <f t="shared" si="3"/>
        <v/>
      </c>
      <c r="AM29" s="149" t="str">
        <f t="shared" si="3"/>
        <v/>
      </c>
      <c r="AN29" s="149" t="str">
        <f t="shared" si="3"/>
        <v/>
      </c>
      <c r="AO29" s="149" t="str">
        <f t="shared" si="3"/>
        <v/>
      </c>
      <c r="AP29" s="149" t="str">
        <f t="shared" si="3"/>
        <v/>
      </c>
      <c r="AQ29" s="149" t="str">
        <f t="shared" si="3"/>
        <v/>
      </c>
    </row>
    <row r="30" spans="2:43" x14ac:dyDescent="0.3">
      <c r="B30" s="17"/>
      <c r="C30" s="226">
        <v>20564347982</v>
      </c>
      <c r="D30" s="155" t="s">
        <v>338</v>
      </c>
      <c r="F30" s="148">
        <v>65344</v>
      </c>
      <c r="G30" s="148"/>
      <c r="H30" s="148">
        <v>82476</v>
      </c>
      <c r="I30" s="148"/>
      <c r="J30" s="148"/>
      <c r="K30" s="148"/>
      <c r="L30" s="148"/>
      <c r="M30" s="148"/>
      <c r="N30" s="148"/>
      <c r="O30" s="148"/>
      <c r="P30" s="148"/>
      <c r="Q30" s="148"/>
      <c r="S30" s="148">
        <v>263466</v>
      </c>
      <c r="T30" s="148"/>
      <c r="U30" s="148">
        <v>339549</v>
      </c>
      <c r="V30" s="148"/>
      <c r="W30" s="148"/>
      <c r="X30" s="148"/>
      <c r="Y30" s="148"/>
      <c r="Z30" s="148"/>
      <c r="AA30" s="148"/>
      <c r="AB30" s="148"/>
      <c r="AC30" s="148"/>
      <c r="AD30" s="148"/>
      <c r="AF30" s="149">
        <f t="shared" si="3"/>
        <v>0.24801682190491373</v>
      </c>
      <c r="AG30" s="149" t="str">
        <f t="shared" si="3"/>
        <v/>
      </c>
      <c r="AH30" s="149">
        <f t="shared" si="3"/>
        <v>0.24289866852795913</v>
      </c>
      <c r="AI30" s="235" t="str">
        <f t="shared" si="3"/>
        <v/>
      </c>
      <c r="AJ30" s="235" t="str">
        <f t="shared" si="3"/>
        <v/>
      </c>
      <c r="AK30" s="235" t="str">
        <f t="shared" si="3"/>
        <v/>
      </c>
      <c r="AL30" s="149" t="str">
        <f t="shared" si="3"/>
        <v/>
      </c>
      <c r="AM30" s="149" t="str">
        <f t="shared" si="3"/>
        <v/>
      </c>
      <c r="AN30" s="149" t="str">
        <f t="shared" si="3"/>
        <v/>
      </c>
      <c r="AO30" s="149" t="str">
        <f t="shared" si="3"/>
        <v/>
      </c>
      <c r="AP30" s="149" t="str">
        <f t="shared" si="3"/>
        <v/>
      </c>
      <c r="AQ30" s="149" t="str">
        <f t="shared" si="3"/>
        <v/>
      </c>
    </row>
    <row r="31" spans="2:43" x14ac:dyDescent="0.3">
      <c r="B31" s="17"/>
      <c r="C31" s="226">
        <v>20366131222</v>
      </c>
      <c r="D31" s="155" t="s">
        <v>339</v>
      </c>
      <c r="F31" s="148">
        <v>6032</v>
      </c>
      <c r="G31" s="148">
        <v>8161</v>
      </c>
      <c r="H31" s="148">
        <v>8396</v>
      </c>
      <c r="I31" s="148"/>
      <c r="J31" s="148"/>
      <c r="K31" s="148"/>
      <c r="L31" s="148"/>
      <c r="M31" s="148"/>
      <c r="N31" s="148"/>
      <c r="O31" s="148"/>
      <c r="P31" s="148"/>
      <c r="Q31" s="148"/>
      <c r="S31" s="148">
        <v>30845</v>
      </c>
      <c r="T31" s="148">
        <v>44928</v>
      </c>
      <c r="U31" s="148">
        <v>44067</v>
      </c>
      <c r="V31" s="148"/>
      <c r="W31" s="148"/>
      <c r="X31" s="148"/>
      <c r="Y31" s="148"/>
      <c r="Z31" s="148"/>
      <c r="AA31" s="148"/>
      <c r="AB31" s="148"/>
      <c r="AC31" s="148"/>
      <c r="AD31" s="148"/>
      <c r="AF31" s="149">
        <f t="shared" si="3"/>
        <v>0.19555843734803047</v>
      </c>
      <c r="AG31" s="149">
        <f t="shared" si="3"/>
        <v>0.18164618945868946</v>
      </c>
      <c r="AH31" s="149">
        <f t="shared" si="3"/>
        <v>0.1905280595456918</v>
      </c>
      <c r="AI31" s="235" t="str">
        <f t="shared" si="3"/>
        <v/>
      </c>
      <c r="AJ31" s="235" t="str">
        <f t="shared" si="3"/>
        <v/>
      </c>
      <c r="AK31" s="235" t="str">
        <f t="shared" si="3"/>
        <v/>
      </c>
      <c r="AL31" s="149" t="str">
        <f t="shared" si="3"/>
        <v/>
      </c>
      <c r="AM31" s="149" t="str">
        <f t="shared" si="3"/>
        <v/>
      </c>
      <c r="AN31" s="149" t="str">
        <f t="shared" si="3"/>
        <v/>
      </c>
      <c r="AO31" s="149" t="str">
        <f t="shared" si="3"/>
        <v/>
      </c>
      <c r="AP31" s="149" t="str">
        <f t="shared" si="3"/>
        <v/>
      </c>
      <c r="AQ31" s="149" t="str">
        <f t="shared" si="3"/>
        <v/>
      </c>
    </row>
    <row r="32" spans="2:43" x14ac:dyDescent="0.3">
      <c r="B32" s="17"/>
      <c r="C32" s="226">
        <v>20541235150</v>
      </c>
      <c r="D32" s="155" t="s">
        <v>340</v>
      </c>
      <c r="F32" s="148">
        <v>4516</v>
      </c>
      <c r="G32" s="148">
        <v>3223</v>
      </c>
      <c r="H32" s="148">
        <v>4158</v>
      </c>
      <c r="I32" s="148"/>
      <c r="J32" s="148"/>
      <c r="K32" s="148"/>
      <c r="L32" s="148"/>
      <c r="M32" s="148"/>
      <c r="N32" s="148"/>
      <c r="O32" s="148"/>
      <c r="P32" s="148"/>
      <c r="Q32" s="148"/>
      <c r="S32" s="148">
        <v>21344</v>
      </c>
      <c r="T32" s="148">
        <v>17943</v>
      </c>
      <c r="U32" s="148">
        <v>24635</v>
      </c>
      <c r="V32" s="148"/>
      <c r="W32" s="148"/>
      <c r="X32" s="148"/>
      <c r="Y32" s="148"/>
      <c r="Z32" s="148"/>
      <c r="AA32" s="148"/>
      <c r="AB32" s="148"/>
      <c r="AC32" s="148"/>
      <c r="AD32" s="148"/>
      <c r="AF32" s="149">
        <f t="shared" si="3"/>
        <v>0.21158170914542729</v>
      </c>
      <c r="AG32" s="149">
        <f t="shared" si="3"/>
        <v>0.17962436604804102</v>
      </c>
      <c r="AH32" s="149">
        <f t="shared" si="3"/>
        <v>0.16878425005074082</v>
      </c>
      <c r="AI32" s="235" t="str">
        <f t="shared" si="3"/>
        <v/>
      </c>
      <c r="AJ32" s="235" t="str">
        <f t="shared" si="3"/>
        <v/>
      </c>
      <c r="AK32" s="235" t="str">
        <f t="shared" si="3"/>
        <v/>
      </c>
      <c r="AL32" s="149" t="str">
        <f t="shared" si="3"/>
        <v/>
      </c>
      <c r="AM32" s="149" t="str">
        <f t="shared" si="3"/>
        <v/>
      </c>
      <c r="AN32" s="149" t="str">
        <f t="shared" si="3"/>
        <v/>
      </c>
      <c r="AO32" s="149" t="str">
        <f t="shared" si="3"/>
        <v/>
      </c>
      <c r="AP32" s="149" t="str">
        <f t="shared" si="3"/>
        <v/>
      </c>
      <c r="AQ32" s="149" t="str">
        <f t="shared" si="3"/>
        <v/>
      </c>
    </row>
    <row r="33" spans="2:43" x14ac:dyDescent="0.3">
      <c r="B33" s="17"/>
      <c r="C33" s="226">
        <v>20263809441</v>
      </c>
      <c r="D33" s="155" t="s">
        <v>341</v>
      </c>
      <c r="F33" s="148">
        <v>46766</v>
      </c>
      <c r="G33" s="148">
        <v>44772</v>
      </c>
      <c r="H33" s="148">
        <v>54905</v>
      </c>
      <c r="I33" s="148"/>
      <c r="J33" s="148"/>
      <c r="K33" s="148"/>
      <c r="L33" s="148"/>
      <c r="M33" s="148"/>
      <c r="N33" s="148"/>
      <c r="O33" s="148"/>
      <c r="P33" s="148"/>
      <c r="Q33" s="148"/>
      <c r="S33" s="148">
        <v>293796</v>
      </c>
      <c r="T33" s="148">
        <v>300113</v>
      </c>
      <c r="U33" s="148">
        <v>363051</v>
      </c>
      <c r="V33" s="148"/>
      <c r="W33" s="148"/>
      <c r="X33" s="148"/>
      <c r="Y33" s="148"/>
      <c r="Z33" s="148"/>
      <c r="AA33" s="148"/>
      <c r="AB33" s="148"/>
      <c r="AC33" s="148"/>
      <c r="AD33" s="148"/>
      <c r="AF33" s="149">
        <f t="shared" si="3"/>
        <v>0.15917847758308487</v>
      </c>
      <c r="AG33" s="149">
        <f t="shared" si="3"/>
        <v>0.14918380743253373</v>
      </c>
      <c r="AH33" s="149">
        <f t="shared" si="3"/>
        <v>0.15123219602755536</v>
      </c>
      <c r="AI33" s="235" t="str">
        <f t="shared" si="3"/>
        <v/>
      </c>
      <c r="AJ33" s="235" t="str">
        <f t="shared" si="3"/>
        <v/>
      </c>
      <c r="AK33" s="235" t="str">
        <f t="shared" si="3"/>
        <v/>
      </c>
      <c r="AL33" s="149" t="str">
        <f t="shared" si="3"/>
        <v/>
      </c>
      <c r="AM33" s="149" t="str">
        <f t="shared" si="3"/>
        <v/>
      </c>
      <c r="AN33" s="149" t="str">
        <f t="shared" si="3"/>
        <v/>
      </c>
      <c r="AO33" s="149" t="str">
        <f t="shared" si="3"/>
        <v/>
      </c>
      <c r="AP33" s="149" t="str">
        <f t="shared" si="3"/>
        <v/>
      </c>
      <c r="AQ33" s="149" t="str">
        <f t="shared" si="3"/>
        <v/>
      </c>
    </row>
    <row r="34" spans="2:43" x14ac:dyDescent="0.3">
      <c r="B34" s="17"/>
      <c r="C34" s="226">
        <v>20153395943</v>
      </c>
      <c r="D34" s="155" t="s">
        <v>342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F34" s="149" t="str">
        <f t="shared" si="3"/>
        <v/>
      </c>
      <c r="AG34" s="149" t="str">
        <f t="shared" si="3"/>
        <v/>
      </c>
      <c r="AH34" s="149" t="str">
        <f t="shared" si="3"/>
        <v/>
      </c>
      <c r="AI34" s="235" t="str">
        <f t="shared" si="3"/>
        <v/>
      </c>
      <c r="AJ34" s="235" t="str">
        <f t="shared" si="3"/>
        <v/>
      </c>
      <c r="AK34" s="235" t="str">
        <f t="shared" si="3"/>
        <v/>
      </c>
      <c r="AL34" s="149" t="str">
        <f t="shared" si="3"/>
        <v/>
      </c>
      <c r="AM34" s="149" t="str">
        <f t="shared" si="3"/>
        <v/>
      </c>
      <c r="AN34" s="149" t="str">
        <f t="shared" si="3"/>
        <v/>
      </c>
      <c r="AO34" s="149" t="str">
        <f t="shared" si="3"/>
        <v/>
      </c>
      <c r="AP34" s="149" t="str">
        <f t="shared" si="3"/>
        <v/>
      </c>
      <c r="AQ34" s="149" t="str">
        <f t="shared" si="3"/>
        <v/>
      </c>
    </row>
    <row r="35" spans="2:43" x14ac:dyDescent="0.3">
      <c r="B35" s="17"/>
      <c r="C35" s="226">
        <v>20100205492</v>
      </c>
      <c r="D35" s="155" t="s">
        <v>343</v>
      </c>
      <c r="F35" s="148">
        <v>26607</v>
      </c>
      <c r="G35" s="148">
        <v>25694</v>
      </c>
      <c r="H35" s="148">
        <v>27677</v>
      </c>
      <c r="I35" s="148"/>
      <c r="J35" s="148"/>
      <c r="K35" s="148"/>
      <c r="L35" s="148"/>
      <c r="M35" s="148"/>
      <c r="N35" s="148"/>
      <c r="O35" s="148"/>
      <c r="P35" s="148"/>
      <c r="Q35" s="148"/>
      <c r="S35" s="148">
        <v>175056</v>
      </c>
      <c r="T35" s="148">
        <v>168177</v>
      </c>
      <c r="U35" s="148">
        <v>194355</v>
      </c>
      <c r="V35" s="148"/>
      <c r="W35" s="148"/>
      <c r="X35" s="148"/>
      <c r="Y35" s="148"/>
      <c r="Z35" s="148"/>
      <c r="AA35" s="148"/>
      <c r="AB35" s="148"/>
      <c r="AC35" s="148"/>
      <c r="AD35" s="148"/>
      <c r="AF35" s="149">
        <f t="shared" si="3"/>
        <v>0.15199136276391556</v>
      </c>
      <c r="AG35" s="149">
        <f t="shared" si="3"/>
        <v>0.1527795120616969</v>
      </c>
      <c r="AH35" s="149">
        <f t="shared" si="3"/>
        <v>0.14240436314990609</v>
      </c>
      <c r="AI35" s="235" t="str">
        <f t="shared" si="3"/>
        <v/>
      </c>
      <c r="AJ35" s="235" t="str">
        <f t="shared" si="3"/>
        <v/>
      </c>
      <c r="AK35" s="235" t="str">
        <f t="shared" si="3"/>
        <v/>
      </c>
      <c r="AL35" s="149" t="str">
        <f t="shared" si="3"/>
        <v/>
      </c>
      <c r="AM35" s="149" t="str">
        <f t="shared" si="3"/>
        <v/>
      </c>
      <c r="AN35" s="149" t="str">
        <f t="shared" si="3"/>
        <v/>
      </c>
      <c r="AO35" s="149" t="str">
        <f t="shared" si="3"/>
        <v/>
      </c>
      <c r="AP35" s="149" t="str">
        <f t="shared" si="3"/>
        <v/>
      </c>
      <c r="AQ35" s="149" t="str">
        <f t="shared" si="3"/>
        <v/>
      </c>
    </row>
    <row r="36" spans="2:43" x14ac:dyDescent="0.3">
      <c r="B36" s="17"/>
      <c r="C36" s="226">
        <v>20119873542</v>
      </c>
      <c r="D36" s="155" t="s">
        <v>344</v>
      </c>
      <c r="F36" s="148">
        <v>23127</v>
      </c>
      <c r="G36" s="148">
        <v>25429</v>
      </c>
      <c r="H36" s="148">
        <v>24648</v>
      </c>
      <c r="I36" s="148"/>
      <c r="J36" s="148"/>
      <c r="K36" s="148"/>
      <c r="L36" s="148"/>
      <c r="M36" s="148"/>
      <c r="N36" s="148"/>
      <c r="O36" s="148"/>
      <c r="P36" s="148"/>
      <c r="Q36" s="148"/>
      <c r="S36" s="148">
        <v>141780</v>
      </c>
      <c r="T36" s="148">
        <v>139109</v>
      </c>
      <c r="U36" s="148">
        <v>155918</v>
      </c>
      <c r="V36" s="148"/>
      <c r="W36" s="148"/>
      <c r="X36" s="148"/>
      <c r="Y36" s="148"/>
      <c r="Z36" s="148"/>
      <c r="AA36" s="148"/>
      <c r="AB36" s="148"/>
      <c r="AC36" s="148"/>
      <c r="AD36" s="148"/>
      <c r="AF36" s="149">
        <f t="shared" si="3"/>
        <v>0.16311891663140077</v>
      </c>
      <c r="AG36" s="149">
        <f t="shared" si="3"/>
        <v>0.18279909998634164</v>
      </c>
      <c r="AH36" s="149">
        <f t="shared" si="3"/>
        <v>0.15808309496017137</v>
      </c>
      <c r="AI36" s="235" t="str">
        <f t="shared" si="3"/>
        <v/>
      </c>
      <c r="AJ36" s="235" t="str">
        <f t="shared" si="3"/>
        <v/>
      </c>
      <c r="AK36" s="235" t="str">
        <f t="shared" si="3"/>
        <v/>
      </c>
      <c r="AL36" s="149" t="str">
        <f t="shared" si="3"/>
        <v/>
      </c>
      <c r="AM36" s="149" t="str">
        <f t="shared" si="3"/>
        <v/>
      </c>
      <c r="AN36" s="149" t="str">
        <f t="shared" si="3"/>
        <v/>
      </c>
      <c r="AO36" s="149" t="str">
        <f t="shared" si="3"/>
        <v/>
      </c>
      <c r="AP36" s="149" t="str">
        <f t="shared" si="3"/>
        <v/>
      </c>
      <c r="AQ36" s="149" t="str">
        <f t="shared" si="3"/>
        <v/>
      </c>
    </row>
    <row r="37" spans="2:43" x14ac:dyDescent="0.3">
      <c r="B37" s="17"/>
      <c r="C37" s="226">
        <v>20608280333</v>
      </c>
      <c r="D37" s="155" t="s">
        <v>345</v>
      </c>
      <c r="F37" s="148">
        <v>2862804</v>
      </c>
      <c r="G37" s="148">
        <v>2935538</v>
      </c>
      <c r="H37" s="148">
        <v>3362567</v>
      </c>
      <c r="I37" s="148"/>
      <c r="J37" s="148"/>
      <c r="K37" s="148"/>
      <c r="L37" s="148"/>
      <c r="M37" s="148"/>
      <c r="N37" s="148"/>
      <c r="O37" s="148"/>
      <c r="P37" s="148"/>
      <c r="Q37" s="148"/>
      <c r="S37" s="148">
        <v>21609532</v>
      </c>
      <c r="T37" s="148">
        <v>22172871</v>
      </c>
      <c r="U37" s="148">
        <v>25615307</v>
      </c>
      <c r="V37" s="148"/>
      <c r="W37" s="148"/>
      <c r="X37" s="148"/>
      <c r="Y37" s="148"/>
      <c r="Z37" s="148"/>
      <c r="AA37" s="148"/>
      <c r="AB37" s="148"/>
      <c r="AC37" s="148"/>
      <c r="AD37" s="148"/>
      <c r="AF37" s="149">
        <f t="shared" si="3"/>
        <v>0.13247875983616861</v>
      </c>
      <c r="AG37" s="149">
        <f t="shared" si="3"/>
        <v>0.13239322954614222</v>
      </c>
      <c r="AH37" s="149">
        <f t="shared" si="3"/>
        <v>0.13127178214182636</v>
      </c>
      <c r="AI37" s="235" t="str">
        <f t="shared" si="3"/>
        <v/>
      </c>
      <c r="AJ37" s="235" t="str">
        <f t="shared" si="3"/>
        <v/>
      </c>
      <c r="AK37" s="235" t="str">
        <f t="shared" si="3"/>
        <v/>
      </c>
      <c r="AL37" s="149" t="str">
        <f t="shared" si="3"/>
        <v/>
      </c>
      <c r="AM37" s="149" t="str">
        <f t="shared" si="3"/>
        <v/>
      </c>
      <c r="AN37" s="149" t="str">
        <f t="shared" si="3"/>
        <v/>
      </c>
      <c r="AO37" s="149" t="str">
        <f t="shared" si="3"/>
        <v/>
      </c>
      <c r="AP37" s="149" t="str">
        <f t="shared" si="3"/>
        <v/>
      </c>
      <c r="AQ37" s="149" t="str">
        <f t="shared" si="3"/>
        <v/>
      </c>
    </row>
    <row r="38" spans="2:43" x14ac:dyDescent="0.3">
      <c r="B38" s="17"/>
      <c r="C38" s="226">
        <v>20608438611</v>
      </c>
      <c r="D38" s="155" t="s">
        <v>346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F38" s="149" t="str">
        <f t="shared" si="3"/>
        <v/>
      </c>
      <c r="AG38" s="149" t="str">
        <f t="shared" si="3"/>
        <v/>
      </c>
      <c r="AH38" s="149" t="str">
        <f t="shared" si="3"/>
        <v/>
      </c>
      <c r="AI38" s="235" t="str">
        <f t="shared" si="3"/>
        <v/>
      </c>
      <c r="AJ38" s="235" t="str">
        <f t="shared" si="3"/>
        <v/>
      </c>
      <c r="AK38" s="235" t="str">
        <f t="shared" si="3"/>
        <v/>
      </c>
      <c r="AL38" s="149" t="str">
        <f t="shared" si="3"/>
        <v/>
      </c>
      <c r="AM38" s="149" t="str">
        <f t="shared" si="3"/>
        <v/>
      </c>
      <c r="AN38" s="149" t="str">
        <f t="shared" si="3"/>
        <v/>
      </c>
      <c r="AO38" s="149" t="str">
        <f t="shared" si="3"/>
        <v/>
      </c>
      <c r="AP38" s="149" t="str">
        <f t="shared" si="3"/>
        <v/>
      </c>
      <c r="AQ38" s="149" t="str">
        <f t="shared" si="3"/>
        <v/>
      </c>
    </row>
    <row r="39" spans="2:43" x14ac:dyDescent="0.3">
      <c r="B39" s="17"/>
      <c r="C39" s="226">
        <v>20532795118</v>
      </c>
      <c r="D39" s="155" t="s">
        <v>347</v>
      </c>
      <c r="F39" s="148">
        <v>3653</v>
      </c>
      <c r="G39" s="148"/>
      <c r="H39" s="148">
        <v>7584</v>
      </c>
      <c r="I39" s="148"/>
      <c r="J39" s="148"/>
      <c r="K39" s="148"/>
      <c r="L39" s="148"/>
      <c r="M39" s="148"/>
      <c r="N39" s="148"/>
      <c r="O39" s="148"/>
      <c r="P39" s="148"/>
      <c r="Q39" s="148"/>
      <c r="S39" s="148">
        <v>19268</v>
      </c>
      <c r="T39" s="148"/>
      <c r="U39" s="148">
        <v>31312</v>
      </c>
      <c r="V39" s="148"/>
      <c r="W39" s="148"/>
      <c r="X39" s="148"/>
      <c r="Y39" s="148"/>
      <c r="Z39" s="148"/>
      <c r="AA39" s="148"/>
      <c r="AB39" s="148"/>
      <c r="AC39" s="148"/>
      <c r="AD39" s="148"/>
      <c r="AF39" s="149">
        <f t="shared" si="3"/>
        <v>0.18958895578160681</v>
      </c>
      <c r="AG39" s="149" t="str">
        <f t="shared" si="3"/>
        <v/>
      </c>
      <c r="AH39" s="149">
        <f t="shared" si="3"/>
        <v>0.24220746039856925</v>
      </c>
      <c r="AI39" s="235" t="str">
        <f t="shared" si="3"/>
        <v/>
      </c>
      <c r="AJ39" s="235" t="str">
        <f t="shared" si="3"/>
        <v/>
      </c>
      <c r="AK39" s="235" t="str">
        <f t="shared" si="3"/>
        <v/>
      </c>
      <c r="AL39" s="149" t="str">
        <f t="shared" si="3"/>
        <v/>
      </c>
      <c r="AM39" s="149" t="str">
        <f t="shared" si="3"/>
        <v/>
      </c>
      <c r="AN39" s="149" t="str">
        <f t="shared" si="3"/>
        <v/>
      </c>
      <c r="AO39" s="149" t="str">
        <f t="shared" si="3"/>
        <v/>
      </c>
      <c r="AP39" s="149" t="str">
        <f t="shared" si="3"/>
        <v/>
      </c>
      <c r="AQ39" s="149" t="str">
        <f t="shared" si="3"/>
        <v/>
      </c>
    </row>
    <row r="40" spans="2:43" x14ac:dyDescent="0.3">
      <c r="B40" s="17"/>
      <c r="C40" s="226">
        <v>20563023369</v>
      </c>
      <c r="D40" s="155" t="s">
        <v>348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F40" s="149" t="str">
        <f t="shared" si="3"/>
        <v/>
      </c>
      <c r="AG40" s="149" t="str">
        <f t="shared" si="3"/>
        <v/>
      </c>
      <c r="AH40" s="149" t="str">
        <f t="shared" si="3"/>
        <v/>
      </c>
      <c r="AI40" s="235" t="str">
        <f t="shared" si="3"/>
        <v/>
      </c>
      <c r="AJ40" s="235" t="str">
        <f t="shared" si="3"/>
        <v/>
      </c>
      <c r="AK40" s="235" t="str">
        <f t="shared" si="3"/>
        <v/>
      </c>
      <c r="AL40" s="149" t="str">
        <f t="shared" si="3"/>
        <v/>
      </c>
      <c r="AM40" s="149" t="str">
        <f t="shared" si="3"/>
        <v/>
      </c>
      <c r="AN40" s="149" t="str">
        <f t="shared" si="3"/>
        <v/>
      </c>
      <c r="AO40" s="149" t="str">
        <f t="shared" si="3"/>
        <v/>
      </c>
      <c r="AP40" s="149" t="str">
        <f t="shared" si="3"/>
        <v/>
      </c>
      <c r="AQ40" s="149" t="str">
        <f t="shared" si="3"/>
        <v/>
      </c>
    </row>
    <row r="41" spans="2:43" x14ac:dyDescent="0.3">
      <c r="B41" s="17"/>
      <c r="C41" s="226">
        <v>20447849047</v>
      </c>
      <c r="D41" s="155" t="s">
        <v>349</v>
      </c>
      <c r="F41" s="148">
        <v>10047</v>
      </c>
      <c r="G41" s="148">
        <v>12583</v>
      </c>
      <c r="H41" s="148">
        <v>13186</v>
      </c>
      <c r="I41" s="148"/>
      <c r="J41" s="148"/>
      <c r="K41" s="148"/>
      <c r="L41" s="148"/>
      <c r="M41" s="148"/>
      <c r="N41" s="148"/>
      <c r="O41" s="148"/>
      <c r="P41" s="148"/>
      <c r="Q41" s="148"/>
      <c r="S41" s="148">
        <v>42117</v>
      </c>
      <c r="T41" s="148">
        <v>42329</v>
      </c>
      <c r="U41" s="148">
        <v>47917</v>
      </c>
      <c r="V41" s="148"/>
      <c r="W41" s="148"/>
      <c r="X41" s="148"/>
      <c r="Y41" s="148"/>
      <c r="Z41" s="148"/>
      <c r="AA41" s="148"/>
      <c r="AB41" s="148"/>
      <c r="AC41" s="148"/>
      <c r="AD41" s="148"/>
      <c r="AF41" s="149">
        <f t="shared" si="3"/>
        <v>0.23854975425600114</v>
      </c>
      <c r="AG41" s="149">
        <f t="shared" si="3"/>
        <v>0.29726664934205865</v>
      </c>
      <c r="AH41" s="149">
        <f t="shared" si="3"/>
        <v>0.27518417263184258</v>
      </c>
      <c r="AI41" s="235" t="str">
        <f t="shared" si="3"/>
        <v/>
      </c>
      <c r="AJ41" s="235" t="str">
        <f t="shared" si="3"/>
        <v/>
      </c>
      <c r="AK41" s="235" t="str">
        <f t="shared" si="3"/>
        <v/>
      </c>
      <c r="AL41" s="149" t="str">
        <f t="shared" si="3"/>
        <v/>
      </c>
      <c r="AM41" s="149" t="str">
        <f t="shared" si="3"/>
        <v/>
      </c>
      <c r="AN41" s="149" t="str">
        <f t="shared" si="3"/>
        <v/>
      </c>
      <c r="AO41" s="149" t="str">
        <f t="shared" si="3"/>
        <v/>
      </c>
      <c r="AP41" s="149" t="str">
        <f t="shared" si="3"/>
        <v/>
      </c>
      <c r="AQ41" s="149" t="str">
        <f t="shared" si="3"/>
        <v/>
      </c>
    </row>
    <row r="42" spans="2:43" x14ac:dyDescent="0.3">
      <c r="B42" s="17"/>
      <c r="C42" s="226">
        <v>20450752496</v>
      </c>
      <c r="D42" s="155" t="s">
        <v>350</v>
      </c>
      <c r="F42" s="148">
        <v>47606</v>
      </c>
      <c r="G42" s="148"/>
      <c r="H42" s="148">
        <v>61215</v>
      </c>
      <c r="I42" s="148"/>
      <c r="J42" s="148"/>
      <c r="K42" s="148"/>
      <c r="L42" s="148"/>
      <c r="M42" s="148"/>
      <c r="N42" s="148"/>
      <c r="O42" s="148"/>
      <c r="P42" s="148"/>
      <c r="Q42" s="148"/>
      <c r="S42" s="148">
        <v>263279</v>
      </c>
      <c r="T42" s="148"/>
      <c r="U42" s="148">
        <v>287401</v>
      </c>
      <c r="V42" s="148"/>
      <c r="W42" s="148"/>
      <c r="X42" s="148"/>
      <c r="Y42" s="148"/>
      <c r="Z42" s="148"/>
      <c r="AA42" s="148"/>
      <c r="AB42" s="148"/>
      <c r="AC42" s="148"/>
      <c r="AD42" s="148"/>
      <c r="AF42" s="149">
        <f t="shared" si="3"/>
        <v>0.1808195868261426</v>
      </c>
      <c r="AG42" s="149" t="str">
        <f t="shared" si="3"/>
        <v/>
      </c>
      <c r="AH42" s="149">
        <f t="shared" si="3"/>
        <v>0.21299508352441363</v>
      </c>
      <c r="AI42" s="235" t="str">
        <f t="shared" si="3"/>
        <v/>
      </c>
      <c r="AJ42" s="235" t="str">
        <f t="shared" si="3"/>
        <v/>
      </c>
      <c r="AK42" s="235" t="str">
        <f t="shared" si="3"/>
        <v/>
      </c>
      <c r="AL42" s="149" t="str">
        <f t="shared" si="3"/>
        <v/>
      </c>
      <c r="AM42" s="149" t="str">
        <f t="shared" si="3"/>
        <v/>
      </c>
      <c r="AN42" s="149" t="str">
        <f t="shared" si="3"/>
        <v/>
      </c>
      <c r="AO42" s="149" t="str">
        <f t="shared" si="3"/>
        <v/>
      </c>
      <c r="AP42" s="149" t="str">
        <f t="shared" si="3"/>
        <v/>
      </c>
      <c r="AQ42" s="149" t="str">
        <f t="shared" si="3"/>
        <v/>
      </c>
    </row>
    <row r="43" spans="2:43" x14ac:dyDescent="0.3">
      <c r="B43" s="17"/>
      <c r="C43" s="226">
        <v>20558679761</v>
      </c>
      <c r="D43" s="155" t="s">
        <v>351</v>
      </c>
      <c r="F43" s="148">
        <v>3879</v>
      </c>
      <c r="G43" s="148"/>
      <c r="H43" s="148">
        <v>8745</v>
      </c>
      <c r="I43" s="148"/>
      <c r="J43" s="148"/>
      <c r="K43" s="148"/>
      <c r="L43" s="148"/>
      <c r="M43" s="148"/>
      <c r="N43" s="148"/>
      <c r="O43" s="148"/>
      <c r="P43" s="148"/>
      <c r="Q43" s="148"/>
      <c r="S43" s="148">
        <v>23279</v>
      </c>
      <c r="T43" s="148"/>
      <c r="U43" s="148">
        <v>40742</v>
      </c>
      <c r="V43" s="148"/>
      <c r="W43" s="148"/>
      <c r="X43" s="148"/>
      <c r="Y43" s="148"/>
      <c r="Z43" s="148"/>
      <c r="AA43" s="148"/>
      <c r="AB43" s="148"/>
      <c r="AC43" s="148"/>
      <c r="AD43" s="148"/>
      <c r="AF43" s="149">
        <f t="shared" si="3"/>
        <v>0.16663086902358348</v>
      </c>
      <c r="AG43" s="149" t="str">
        <f t="shared" si="3"/>
        <v/>
      </c>
      <c r="AH43" s="149">
        <f t="shared" si="3"/>
        <v>0.21464336556870062</v>
      </c>
      <c r="AI43" s="235" t="str">
        <f t="shared" si="3"/>
        <v/>
      </c>
      <c r="AJ43" s="235" t="str">
        <f t="shared" si="3"/>
        <v/>
      </c>
      <c r="AK43" s="235" t="str">
        <f t="shared" si="3"/>
        <v/>
      </c>
      <c r="AL43" s="149" t="str">
        <f t="shared" si="3"/>
        <v/>
      </c>
      <c r="AM43" s="149" t="str">
        <f t="shared" si="3"/>
        <v/>
      </c>
      <c r="AN43" s="149" t="str">
        <f t="shared" si="3"/>
        <v/>
      </c>
      <c r="AO43" s="149" t="str">
        <f t="shared" si="3"/>
        <v/>
      </c>
      <c r="AP43" s="149" t="str">
        <f t="shared" si="3"/>
        <v/>
      </c>
      <c r="AQ43" s="149" t="str">
        <f t="shared" si="3"/>
        <v/>
      </c>
    </row>
    <row r="44" spans="2:43" x14ac:dyDescent="0.3">
      <c r="B44" s="17"/>
      <c r="C44" s="230">
        <v>20601162050</v>
      </c>
      <c r="D44" s="155" t="s">
        <v>352</v>
      </c>
      <c r="F44" s="148">
        <v>30371</v>
      </c>
      <c r="G44" s="148">
        <v>22601</v>
      </c>
      <c r="H44" s="148">
        <v>29750</v>
      </c>
      <c r="I44" s="148"/>
      <c r="J44" s="148"/>
      <c r="K44" s="148"/>
      <c r="L44" s="148"/>
      <c r="M44" s="148"/>
      <c r="N44" s="148"/>
      <c r="O44" s="148"/>
      <c r="P44" s="148"/>
      <c r="Q44" s="148"/>
      <c r="S44" s="148">
        <v>136846</v>
      </c>
      <c r="T44" s="148">
        <v>124337</v>
      </c>
      <c r="U44" s="148">
        <v>154635</v>
      </c>
      <c r="V44" s="148"/>
      <c r="W44" s="148"/>
      <c r="X44" s="148"/>
      <c r="Y44" s="148"/>
      <c r="Z44" s="148"/>
      <c r="AA44" s="148"/>
      <c r="AB44" s="148"/>
      <c r="AC44" s="148"/>
      <c r="AD44" s="148"/>
      <c r="AF44" s="149">
        <f t="shared" si="3"/>
        <v>0.22193560644812416</v>
      </c>
      <c r="AG44" s="149">
        <f t="shared" si="3"/>
        <v>0.18177211932087795</v>
      </c>
      <c r="AH44" s="149">
        <f t="shared" si="3"/>
        <v>0.19238852782358457</v>
      </c>
      <c r="AI44" s="235" t="str">
        <f t="shared" si="3"/>
        <v/>
      </c>
      <c r="AJ44" s="235" t="str">
        <f t="shared" si="3"/>
        <v/>
      </c>
      <c r="AK44" s="235" t="str">
        <f t="shared" si="3"/>
        <v/>
      </c>
      <c r="AL44" s="149" t="str">
        <f t="shared" si="3"/>
        <v/>
      </c>
      <c r="AM44" s="149" t="str">
        <f t="shared" si="3"/>
        <v/>
      </c>
      <c r="AN44" s="149" t="str">
        <f t="shared" si="3"/>
        <v/>
      </c>
      <c r="AO44" s="149" t="str">
        <f t="shared" si="3"/>
        <v/>
      </c>
      <c r="AP44" s="149" t="str">
        <f t="shared" si="3"/>
        <v/>
      </c>
      <c r="AQ44" s="149" t="str">
        <f t="shared" si="3"/>
        <v/>
      </c>
    </row>
    <row r="45" spans="2:43" x14ac:dyDescent="0.3">
      <c r="B45" s="14" t="s">
        <v>353</v>
      </c>
      <c r="C45" s="228"/>
      <c r="D45" s="14"/>
      <c r="F45" s="150">
        <f t="shared" ref="F45:Q45" si="4">+SUM(F26:F44)</f>
        <v>21771724</v>
      </c>
      <c r="G45" s="150">
        <f t="shared" si="4"/>
        <v>21733572</v>
      </c>
      <c r="H45" s="150">
        <f t="shared" si="4"/>
        <v>24620338</v>
      </c>
      <c r="I45" s="150">
        <f t="shared" si="4"/>
        <v>0</v>
      </c>
      <c r="J45" s="150">
        <f t="shared" si="4"/>
        <v>0</v>
      </c>
      <c r="K45" s="150">
        <f t="shared" si="4"/>
        <v>0</v>
      </c>
      <c r="L45" s="150">
        <f t="shared" si="4"/>
        <v>0</v>
      </c>
      <c r="M45" s="150">
        <f t="shared" si="4"/>
        <v>0</v>
      </c>
      <c r="N45" s="150">
        <f t="shared" si="4"/>
        <v>0</v>
      </c>
      <c r="O45" s="150">
        <f t="shared" si="4"/>
        <v>0</v>
      </c>
      <c r="P45" s="150">
        <f t="shared" si="4"/>
        <v>0</v>
      </c>
      <c r="Q45" s="150">
        <f t="shared" si="4"/>
        <v>0</v>
      </c>
      <c r="S45" s="150">
        <f t="shared" ref="S45:AD45" si="5">+SUM(S26:S44)</f>
        <v>206515751</v>
      </c>
      <c r="T45" s="150">
        <f t="shared" si="5"/>
        <v>212947509</v>
      </c>
      <c r="U45" s="150">
        <f t="shared" si="5"/>
        <v>253312124</v>
      </c>
      <c r="V45" s="150">
        <f t="shared" si="5"/>
        <v>0</v>
      </c>
      <c r="W45" s="150">
        <f t="shared" si="5"/>
        <v>0</v>
      </c>
      <c r="X45" s="150">
        <f t="shared" si="5"/>
        <v>0</v>
      </c>
      <c r="Y45" s="150">
        <f t="shared" si="5"/>
        <v>0</v>
      </c>
      <c r="Z45" s="150">
        <f t="shared" si="5"/>
        <v>0</v>
      </c>
      <c r="AA45" s="150">
        <f t="shared" si="5"/>
        <v>0</v>
      </c>
      <c r="AB45" s="150">
        <f t="shared" si="5"/>
        <v>0</v>
      </c>
      <c r="AC45" s="150">
        <f t="shared" si="5"/>
        <v>0</v>
      </c>
      <c r="AD45" s="150">
        <f t="shared" si="5"/>
        <v>0</v>
      </c>
      <c r="AF45" s="151">
        <f t="shared" si="3"/>
        <v>0.10542403615499527</v>
      </c>
      <c r="AG45" s="151">
        <f t="shared" si="3"/>
        <v>0.10206070078988339</v>
      </c>
      <c r="AH45" s="151">
        <f t="shared" si="3"/>
        <v>9.7193681894199427E-2</v>
      </c>
      <c r="AI45" s="236" t="str">
        <f t="shared" si="3"/>
        <v/>
      </c>
      <c r="AJ45" s="236" t="str">
        <f t="shared" si="3"/>
        <v/>
      </c>
      <c r="AK45" s="236" t="str">
        <f t="shared" si="3"/>
        <v/>
      </c>
      <c r="AL45" s="151" t="str">
        <f t="shared" si="3"/>
        <v/>
      </c>
      <c r="AM45" s="151" t="str">
        <f t="shared" si="3"/>
        <v/>
      </c>
      <c r="AN45" s="151" t="str">
        <f t="shared" si="3"/>
        <v/>
      </c>
      <c r="AO45" s="151" t="str">
        <f t="shared" si="3"/>
        <v/>
      </c>
      <c r="AP45" s="151" t="str">
        <f t="shared" si="3"/>
        <v/>
      </c>
      <c r="AQ45" s="151" t="str">
        <f t="shared" si="3"/>
        <v/>
      </c>
    </row>
    <row r="46" spans="2:43" x14ac:dyDescent="0.3">
      <c r="AF46" s="149"/>
      <c r="AG46" s="149"/>
      <c r="AH46" s="149"/>
      <c r="AI46" s="235"/>
      <c r="AJ46" s="235"/>
      <c r="AK46" s="235"/>
      <c r="AL46" s="149"/>
      <c r="AM46" s="149"/>
      <c r="AN46" s="149"/>
      <c r="AO46" s="149"/>
    </row>
    <row r="47" spans="2:43" s="15" customFormat="1" x14ac:dyDescent="0.3">
      <c r="B47" s="16" t="s">
        <v>89</v>
      </c>
      <c r="C47" s="229">
        <v>20127765279</v>
      </c>
      <c r="D47" s="15" t="s">
        <v>354</v>
      </c>
      <c r="F47" s="154">
        <v>4026139</v>
      </c>
      <c r="G47" s="154">
        <v>4153154</v>
      </c>
      <c r="H47" s="154">
        <v>5402331</v>
      </c>
      <c r="I47" s="154"/>
      <c r="J47" s="154"/>
      <c r="K47" s="154"/>
      <c r="L47" s="154"/>
      <c r="M47" s="154"/>
      <c r="N47" s="154"/>
      <c r="O47" s="154"/>
      <c r="P47" s="154"/>
      <c r="Q47" s="154"/>
      <c r="S47" s="154">
        <v>29174792</v>
      </c>
      <c r="T47" s="154">
        <v>29730178</v>
      </c>
      <c r="U47" s="154">
        <v>39334927</v>
      </c>
      <c r="V47" s="154"/>
      <c r="W47" s="154"/>
      <c r="X47" s="154"/>
      <c r="Y47" s="154"/>
      <c r="Z47" s="154"/>
      <c r="AA47" s="154"/>
      <c r="AB47" s="154"/>
      <c r="AC47" s="154"/>
      <c r="AD47" s="154"/>
      <c r="AF47" s="149">
        <f t="shared" ref="AF47:AQ66" si="6">+IFERROR(F47/S47,"")</f>
        <v>0.1380006068252346</v>
      </c>
      <c r="AG47" s="149">
        <f t="shared" si="6"/>
        <v>0.13969489183684</v>
      </c>
      <c r="AH47" s="149">
        <f t="shared" si="6"/>
        <v>0.13734183363299493</v>
      </c>
      <c r="AI47" s="235" t="str">
        <f t="shared" si="6"/>
        <v/>
      </c>
      <c r="AJ47" s="239" t="str">
        <f t="shared" si="6"/>
        <v/>
      </c>
      <c r="AK47" s="239" t="str">
        <f t="shared" si="6"/>
        <v/>
      </c>
      <c r="AL47" s="240" t="str">
        <f t="shared" si="6"/>
        <v/>
      </c>
      <c r="AM47" s="149" t="str">
        <f t="shared" si="6"/>
        <v/>
      </c>
      <c r="AN47" s="149" t="str">
        <f t="shared" si="6"/>
        <v/>
      </c>
      <c r="AO47" s="149" t="str">
        <f t="shared" si="6"/>
        <v/>
      </c>
      <c r="AP47" s="149" t="str">
        <f t="shared" si="6"/>
        <v/>
      </c>
      <c r="AQ47" s="149" t="str">
        <f t="shared" si="6"/>
        <v/>
      </c>
    </row>
    <row r="48" spans="2:43" x14ac:dyDescent="0.3">
      <c r="B48" s="17"/>
      <c r="C48" s="226">
        <v>20503840121</v>
      </c>
      <c r="D48" s="155" t="s">
        <v>355</v>
      </c>
      <c r="F48" s="148">
        <v>1301636</v>
      </c>
      <c r="G48" s="148">
        <v>1273553</v>
      </c>
      <c r="H48" s="148">
        <v>1821177</v>
      </c>
      <c r="I48" s="148"/>
      <c r="J48" s="148"/>
      <c r="K48" s="148"/>
      <c r="L48" s="148"/>
      <c r="M48" s="148"/>
      <c r="N48" s="148"/>
      <c r="O48" s="148"/>
      <c r="P48" s="148"/>
      <c r="Q48" s="148"/>
      <c r="S48" s="148">
        <v>10347212</v>
      </c>
      <c r="T48" s="148">
        <v>10756632</v>
      </c>
      <c r="U48" s="148">
        <v>16065247</v>
      </c>
      <c r="V48" s="148"/>
      <c r="W48" s="148"/>
      <c r="X48" s="148"/>
      <c r="Y48" s="148"/>
      <c r="Z48" s="148"/>
      <c r="AA48" s="148"/>
      <c r="AB48" s="148"/>
      <c r="AC48" s="148"/>
      <c r="AD48" s="148"/>
      <c r="AF48" s="149">
        <f t="shared" si="6"/>
        <v>0.12579581823586874</v>
      </c>
      <c r="AG48" s="149">
        <f t="shared" si="6"/>
        <v>0.11839700382052672</v>
      </c>
      <c r="AH48" s="149">
        <f t="shared" si="6"/>
        <v>0.11336128227595878</v>
      </c>
      <c r="AI48" s="235" t="str">
        <f t="shared" si="6"/>
        <v/>
      </c>
      <c r="AJ48" s="235" t="str">
        <f t="shared" si="6"/>
        <v/>
      </c>
      <c r="AK48" s="235" t="str">
        <f t="shared" si="6"/>
        <v/>
      </c>
      <c r="AL48" s="149" t="str">
        <f t="shared" si="6"/>
        <v/>
      </c>
      <c r="AM48" s="149" t="str">
        <f t="shared" si="6"/>
        <v/>
      </c>
      <c r="AN48" s="149" t="str">
        <f t="shared" si="6"/>
        <v/>
      </c>
      <c r="AO48" s="149" t="str">
        <f t="shared" si="6"/>
        <v/>
      </c>
      <c r="AP48" s="149" t="str">
        <f t="shared" si="6"/>
        <v/>
      </c>
      <c r="AQ48" s="149" t="str">
        <f t="shared" si="6"/>
        <v/>
      </c>
    </row>
    <row r="49" spans="2:43" x14ac:dyDescent="0.3">
      <c r="B49" s="17"/>
      <c r="C49" s="226">
        <v>20377674686</v>
      </c>
      <c r="D49" s="155" t="s">
        <v>356</v>
      </c>
      <c r="F49" s="148">
        <v>77241</v>
      </c>
      <c r="G49" s="148">
        <v>70107</v>
      </c>
      <c r="H49" s="148">
        <v>115334</v>
      </c>
      <c r="I49" s="148"/>
      <c r="J49" s="148"/>
      <c r="K49" s="148"/>
      <c r="L49" s="148"/>
      <c r="M49" s="148"/>
      <c r="N49" s="148"/>
      <c r="O49" s="148"/>
      <c r="P49" s="148"/>
      <c r="Q49" s="148"/>
      <c r="S49" s="148">
        <v>607946</v>
      </c>
      <c r="T49" s="148">
        <v>554800</v>
      </c>
      <c r="U49" s="148">
        <v>885746</v>
      </c>
      <c r="V49" s="148"/>
      <c r="W49" s="148"/>
      <c r="X49" s="148"/>
      <c r="Y49" s="148"/>
      <c r="Z49" s="148"/>
      <c r="AA49" s="148"/>
      <c r="AB49" s="148"/>
      <c r="AC49" s="148"/>
      <c r="AD49" s="148"/>
      <c r="AF49" s="149">
        <f t="shared" si="6"/>
        <v>0.12705240268050122</v>
      </c>
      <c r="AG49" s="149">
        <f t="shared" si="6"/>
        <v>0.1263644556596972</v>
      </c>
      <c r="AH49" s="149">
        <f t="shared" si="6"/>
        <v>0.13021114405258391</v>
      </c>
      <c r="AI49" s="235" t="str">
        <f t="shared" si="6"/>
        <v/>
      </c>
      <c r="AJ49" s="235" t="str">
        <f t="shared" si="6"/>
        <v/>
      </c>
      <c r="AK49" s="235" t="str">
        <f t="shared" si="6"/>
        <v/>
      </c>
      <c r="AL49" s="149" t="str">
        <f t="shared" si="6"/>
        <v/>
      </c>
      <c r="AM49" s="149" t="str">
        <f t="shared" si="6"/>
        <v/>
      </c>
      <c r="AN49" s="149" t="str">
        <f t="shared" si="6"/>
        <v/>
      </c>
      <c r="AO49" s="149" t="str">
        <f t="shared" si="6"/>
        <v/>
      </c>
      <c r="AP49" s="149" t="str">
        <f t="shared" si="6"/>
        <v/>
      </c>
      <c r="AQ49" s="149" t="str">
        <f t="shared" si="6"/>
        <v/>
      </c>
    </row>
    <row r="50" spans="2:43" x14ac:dyDescent="0.3">
      <c r="B50" s="17"/>
      <c r="C50" s="226">
        <v>20291490388</v>
      </c>
      <c r="D50" s="155" t="s">
        <v>357</v>
      </c>
      <c r="F50" s="148">
        <v>405222</v>
      </c>
      <c r="G50" s="148">
        <v>359822</v>
      </c>
      <c r="H50" s="148">
        <v>608923</v>
      </c>
      <c r="I50" s="148"/>
      <c r="J50" s="148"/>
      <c r="K50" s="148"/>
      <c r="L50" s="148"/>
      <c r="M50" s="148"/>
      <c r="N50" s="148"/>
      <c r="O50" s="148"/>
      <c r="P50" s="148"/>
      <c r="Q50" s="148"/>
      <c r="S50" s="148">
        <v>2182334</v>
      </c>
      <c r="T50" s="148">
        <v>2297324</v>
      </c>
      <c r="U50" s="148">
        <v>3368257</v>
      </c>
      <c r="V50" s="148"/>
      <c r="W50" s="148"/>
      <c r="X50" s="148"/>
      <c r="Y50" s="148"/>
      <c r="Z50" s="148"/>
      <c r="AA50" s="148"/>
      <c r="AB50" s="148"/>
      <c r="AC50" s="148"/>
      <c r="AD50" s="148"/>
      <c r="AF50" s="149">
        <f t="shared" si="6"/>
        <v>0.18568285147919614</v>
      </c>
      <c r="AG50" s="149">
        <f t="shared" si="6"/>
        <v>0.15662657944634714</v>
      </c>
      <c r="AH50" s="149">
        <f t="shared" si="6"/>
        <v>0.18078282031329557</v>
      </c>
      <c r="AI50" s="235" t="str">
        <f t="shared" si="6"/>
        <v/>
      </c>
      <c r="AJ50" s="235" t="str">
        <f t="shared" si="6"/>
        <v/>
      </c>
      <c r="AK50" s="235" t="str">
        <f t="shared" si="6"/>
        <v/>
      </c>
      <c r="AL50" s="149" t="str">
        <f t="shared" si="6"/>
        <v/>
      </c>
      <c r="AM50" s="149" t="str">
        <f t="shared" si="6"/>
        <v/>
      </c>
      <c r="AN50" s="149" t="str">
        <f t="shared" si="6"/>
        <v/>
      </c>
      <c r="AO50" s="149" t="str">
        <f t="shared" si="6"/>
        <v/>
      </c>
      <c r="AP50" s="149" t="str">
        <f t="shared" si="6"/>
        <v/>
      </c>
      <c r="AQ50" s="149" t="str">
        <f t="shared" si="6"/>
        <v/>
      </c>
    </row>
    <row r="51" spans="2:43" x14ac:dyDescent="0.3">
      <c r="B51" s="17"/>
      <c r="C51" s="226">
        <v>20119207640</v>
      </c>
      <c r="D51" s="155" t="s">
        <v>358</v>
      </c>
      <c r="F51" s="148">
        <v>177984</v>
      </c>
      <c r="G51" s="148">
        <v>187899</v>
      </c>
      <c r="H51" s="148">
        <v>237876</v>
      </c>
      <c r="I51" s="148"/>
      <c r="J51" s="148"/>
      <c r="K51" s="148"/>
      <c r="L51" s="148"/>
      <c r="M51" s="148"/>
      <c r="N51" s="148"/>
      <c r="O51" s="148"/>
      <c r="P51" s="148"/>
      <c r="Q51" s="148"/>
      <c r="S51" s="148">
        <v>1319976</v>
      </c>
      <c r="T51" s="148">
        <v>1265076</v>
      </c>
      <c r="U51" s="148">
        <v>1515946</v>
      </c>
      <c r="V51" s="148"/>
      <c r="W51" s="148"/>
      <c r="X51" s="148"/>
      <c r="Y51" s="148"/>
      <c r="Z51" s="148"/>
      <c r="AA51" s="148"/>
      <c r="AB51" s="148"/>
      <c r="AC51" s="148"/>
      <c r="AD51" s="148"/>
      <c r="AF51" s="149">
        <f t="shared" si="6"/>
        <v>0.13483881525118638</v>
      </c>
      <c r="AG51" s="149">
        <f t="shared" si="6"/>
        <v>0.14852783548182086</v>
      </c>
      <c r="AH51" s="149">
        <f t="shared" si="6"/>
        <v>0.15691587958937853</v>
      </c>
      <c r="AI51" s="235" t="str">
        <f t="shared" si="6"/>
        <v/>
      </c>
      <c r="AJ51" s="235" t="str">
        <f t="shared" si="6"/>
        <v/>
      </c>
      <c r="AK51" s="235" t="str">
        <f t="shared" si="6"/>
        <v/>
      </c>
      <c r="AL51" s="149" t="str">
        <f t="shared" si="6"/>
        <v/>
      </c>
      <c r="AM51" s="149" t="str">
        <f t="shared" si="6"/>
        <v/>
      </c>
      <c r="AN51" s="149" t="str">
        <f t="shared" si="6"/>
        <v/>
      </c>
      <c r="AO51" s="149" t="str">
        <f t="shared" si="6"/>
        <v/>
      </c>
      <c r="AP51" s="149" t="str">
        <f t="shared" si="6"/>
        <v/>
      </c>
      <c r="AQ51" s="149" t="str">
        <f t="shared" si="6"/>
        <v/>
      </c>
    </row>
    <row r="52" spans="2:43" x14ac:dyDescent="0.3">
      <c r="B52" s="17"/>
      <c r="C52" s="226">
        <v>20506151547</v>
      </c>
      <c r="D52" s="155" t="s">
        <v>359</v>
      </c>
      <c r="F52" s="148">
        <v>143189</v>
      </c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S52" s="148">
        <v>880024</v>
      </c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F52" s="149">
        <f t="shared" si="6"/>
        <v>0.16271033517267711</v>
      </c>
      <c r="AG52" s="149" t="str">
        <f t="shared" si="6"/>
        <v/>
      </c>
      <c r="AH52" s="149" t="str">
        <f t="shared" si="6"/>
        <v/>
      </c>
      <c r="AI52" s="235" t="str">
        <f t="shared" si="6"/>
        <v/>
      </c>
      <c r="AJ52" s="235" t="str">
        <f t="shared" si="6"/>
        <v/>
      </c>
      <c r="AK52" s="235" t="str">
        <f t="shared" si="6"/>
        <v/>
      </c>
      <c r="AL52" s="149" t="str">
        <f t="shared" si="6"/>
        <v/>
      </c>
      <c r="AM52" s="149" t="str">
        <f t="shared" si="6"/>
        <v/>
      </c>
      <c r="AN52" s="149" t="str">
        <f t="shared" si="6"/>
        <v/>
      </c>
      <c r="AO52" s="149" t="str">
        <f t="shared" si="6"/>
        <v/>
      </c>
      <c r="AP52" s="149" t="str">
        <f t="shared" si="6"/>
        <v/>
      </c>
      <c r="AQ52" s="149" t="str">
        <f t="shared" si="6"/>
        <v/>
      </c>
    </row>
    <row r="53" spans="2:43" x14ac:dyDescent="0.3">
      <c r="B53" s="17"/>
      <c r="C53" s="226">
        <v>20275873480</v>
      </c>
      <c r="D53" s="155" t="s">
        <v>360</v>
      </c>
      <c r="F53" s="148">
        <v>246753</v>
      </c>
      <c r="G53" s="148">
        <v>194751</v>
      </c>
      <c r="H53" s="148">
        <v>161178</v>
      </c>
      <c r="I53" s="148"/>
      <c r="J53" s="148"/>
      <c r="K53" s="148"/>
      <c r="L53" s="148"/>
      <c r="M53" s="148"/>
      <c r="N53" s="148"/>
      <c r="O53" s="148"/>
      <c r="P53" s="148"/>
      <c r="Q53" s="148"/>
      <c r="S53" s="148">
        <v>1160456</v>
      </c>
      <c r="T53" s="148">
        <v>1230604</v>
      </c>
      <c r="U53" s="148">
        <v>1385126</v>
      </c>
      <c r="V53" s="148"/>
      <c r="W53" s="148"/>
      <c r="X53" s="148"/>
      <c r="Y53" s="148"/>
      <c r="Z53" s="148"/>
      <c r="AA53" s="148"/>
      <c r="AB53" s="148"/>
      <c r="AC53" s="148"/>
      <c r="AD53" s="148"/>
      <c r="AF53" s="149">
        <f t="shared" si="6"/>
        <v>0.21263451608677969</v>
      </c>
      <c r="AG53" s="149">
        <f t="shared" si="6"/>
        <v>0.15825643342618748</v>
      </c>
      <c r="AH53" s="149">
        <f t="shared" si="6"/>
        <v>0.11636342108948933</v>
      </c>
      <c r="AI53" s="235" t="str">
        <f t="shared" si="6"/>
        <v/>
      </c>
      <c r="AJ53" s="235" t="str">
        <f t="shared" si="6"/>
        <v/>
      </c>
      <c r="AK53" s="235" t="str">
        <f t="shared" si="6"/>
        <v/>
      </c>
      <c r="AL53" s="149" t="str">
        <f t="shared" si="6"/>
        <v/>
      </c>
      <c r="AM53" s="149" t="str">
        <f t="shared" si="6"/>
        <v/>
      </c>
      <c r="AN53" s="149" t="str">
        <f t="shared" si="6"/>
        <v/>
      </c>
      <c r="AO53" s="149" t="str">
        <f t="shared" si="6"/>
        <v/>
      </c>
      <c r="AP53" s="149" t="str">
        <f t="shared" si="6"/>
        <v/>
      </c>
      <c r="AQ53" s="149" t="str">
        <f t="shared" si="6"/>
        <v/>
      </c>
    </row>
    <row r="54" spans="2:43" x14ac:dyDescent="0.3">
      <c r="B54" s="17"/>
      <c r="C54" s="226">
        <v>20609781051</v>
      </c>
      <c r="D54" s="155" t="s">
        <v>361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F54" s="149" t="str">
        <f t="shared" si="6"/>
        <v/>
      </c>
      <c r="AG54" s="149" t="str">
        <f t="shared" si="6"/>
        <v/>
      </c>
      <c r="AH54" s="149" t="str">
        <f t="shared" si="6"/>
        <v/>
      </c>
      <c r="AI54" s="235" t="str">
        <f t="shared" si="6"/>
        <v/>
      </c>
      <c r="AJ54" s="235" t="str">
        <f t="shared" si="6"/>
        <v/>
      </c>
      <c r="AK54" s="235" t="str">
        <f t="shared" si="6"/>
        <v/>
      </c>
      <c r="AL54" s="149" t="str">
        <f t="shared" si="6"/>
        <v/>
      </c>
      <c r="AM54" s="149" t="str">
        <f t="shared" si="6"/>
        <v/>
      </c>
      <c r="AN54" s="149" t="str">
        <f t="shared" si="6"/>
        <v/>
      </c>
      <c r="AO54" s="149" t="str">
        <f t="shared" si="6"/>
        <v/>
      </c>
      <c r="AP54" s="149" t="str">
        <f t="shared" si="6"/>
        <v/>
      </c>
      <c r="AQ54" s="149" t="str">
        <f t="shared" si="6"/>
        <v/>
      </c>
    </row>
    <row r="55" spans="2:43" x14ac:dyDescent="0.3">
      <c r="B55" s="17"/>
      <c r="C55" s="226">
        <v>20514606774</v>
      </c>
      <c r="D55" s="155" t="s">
        <v>448</v>
      </c>
      <c r="F55" s="148">
        <v>59053</v>
      </c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S55" s="148">
        <v>98940</v>
      </c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F55" s="149">
        <f t="shared" si="6"/>
        <v>0.59685668081665655</v>
      </c>
      <c r="AG55" s="149" t="str">
        <f t="shared" si="6"/>
        <v/>
      </c>
      <c r="AH55" s="149" t="str">
        <f t="shared" si="6"/>
        <v/>
      </c>
      <c r="AI55" s="235" t="str">
        <f t="shared" si="6"/>
        <v/>
      </c>
      <c r="AJ55" s="235" t="str">
        <f t="shared" si="6"/>
        <v/>
      </c>
      <c r="AK55" s="235" t="str">
        <f t="shared" si="6"/>
        <v/>
      </c>
      <c r="AL55" s="149" t="str">
        <f t="shared" si="6"/>
        <v/>
      </c>
      <c r="AM55" s="149" t="str">
        <f t="shared" si="6"/>
        <v/>
      </c>
      <c r="AN55" s="149" t="str">
        <f t="shared" si="6"/>
        <v/>
      </c>
      <c r="AO55" s="149" t="str">
        <f t="shared" si="6"/>
        <v/>
      </c>
      <c r="AP55" s="149" t="str">
        <f t="shared" si="6"/>
        <v/>
      </c>
      <c r="AQ55" s="149" t="str">
        <f t="shared" si="6"/>
        <v/>
      </c>
    </row>
    <row r="56" spans="2:43" x14ac:dyDescent="0.3">
      <c r="B56" s="17"/>
      <c r="C56" s="226">
        <v>20492197417</v>
      </c>
      <c r="D56" s="155" t="s">
        <v>449</v>
      </c>
      <c r="F56" s="148">
        <v>65518</v>
      </c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S56" s="148">
        <v>543333</v>
      </c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F56" s="149">
        <f t="shared" si="6"/>
        <v>0.120585350052362</v>
      </c>
      <c r="AG56" s="149" t="str">
        <f t="shared" si="6"/>
        <v/>
      </c>
      <c r="AH56" s="149" t="str">
        <f t="shared" si="6"/>
        <v/>
      </c>
      <c r="AI56" s="235" t="str">
        <f t="shared" si="6"/>
        <v/>
      </c>
      <c r="AJ56" s="235" t="str">
        <f t="shared" si="6"/>
        <v/>
      </c>
      <c r="AK56" s="235" t="str">
        <f t="shared" si="6"/>
        <v/>
      </c>
      <c r="AL56" s="149" t="str">
        <f t="shared" si="6"/>
        <v/>
      </c>
      <c r="AM56" s="149" t="str">
        <f t="shared" si="6"/>
        <v/>
      </c>
      <c r="AN56" s="149" t="str">
        <f t="shared" si="6"/>
        <v/>
      </c>
      <c r="AO56" s="149" t="str">
        <f t="shared" si="6"/>
        <v/>
      </c>
      <c r="AP56" s="149" t="str">
        <f t="shared" si="6"/>
        <v/>
      </c>
      <c r="AQ56" s="149" t="str">
        <f t="shared" si="6"/>
        <v/>
      </c>
    </row>
    <row r="57" spans="2:43" x14ac:dyDescent="0.3">
      <c r="B57" s="17"/>
      <c r="C57" s="226">
        <v>20101259448</v>
      </c>
      <c r="D57" s="155" t="s">
        <v>362</v>
      </c>
      <c r="F57" s="148">
        <v>72993</v>
      </c>
      <c r="G57" s="148">
        <v>50712</v>
      </c>
      <c r="H57" s="148">
        <v>61428</v>
      </c>
      <c r="I57" s="148"/>
      <c r="J57" s="148"/>
      <c r="K57" s="148"/>
      <c r="L57" s="148"/>
      <c r="M57" s="148"/>
      <c r="N57" s="148"/>
      <c r="O57" s="148"/>
      <c r="P57" s="148"/>
      <c r="Q57" s="148"/>
      <c r="S57" s="148">
        <v>444639</v>
      </c>
      <c r="T57" s="148">
        <v>303188</v>
      </c>
      <c r="U57" s="148">
        <v>401370</v>
      </c>
      <c r="V57" s="148"/>
      <c r="W57" s="148"/>
      <c r="X57" s="148"/>
      <c r="Y57" s="148"/>
      <c r="Z57" s="148"/>
      <c r="AA57" s="148"/>
      <c r="AB57" s="148"/>
      <c r="AC57" s="148"/>
      <c r="AD57" s="148"/>
      <c r="AF57" s="149">
        <f t="shared" si="6"/>
        <v>0.16416238791469034</v>
      </c>
      <c r="AG57" s="149">
        <f t="shared" si="6"/>
        <v>0.16726255656556327</v>
      </c>
      <c r="AH57" s="149">
        <f t="shared" si="6"/>
        <v>0.15304581807309964</v>
      </c>
      <c r="AI57" s="235" t="str">
        <f t="shared" si="6"/>
        <v/>
      </c>
      <c r="AJ57" s="235" t="str">
        <f t="shared" si="6"/>
        <v/>
      </c>
      <c r="AK57" s="235" t="str">
        <f t="shared" si="6"/>
        <v/>
      </c>
      <c r="AL57" s="149" t="str">
        <f t="shared" si="6"/>
        <v/>
      </c>
      <c r="AM57" s="149" t="str">
        <f t="shared" si="6"/>
        <v/>
      </c>
      <c r="AN57" s="149" t="str">
        <f t="shared" si="6"/>
        <v/>
      </c>
      <c r="AO57" s="149" t="str">
        <f t="shared" si="6"/>
        <v/>
      </c>
      <c r="AP57" s="149" t="str">
        <f t="shared" si="6"/>
        <v/>
      </c>
      <c r="AQ57" s="149" t="str">
        <f t="shared" si="6"/>
        <v/>
      </c>
    </row>
    <row r="58" spans="2:43" x14ac:dyDescent="0.3">
      <c r="B58" s="17"/>
      <c r="C58" s="226">
        <v>20348303636</v>
      </c>
      <c r="D58" s="155" t="s">
        <v>363</v>
      </c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F58" s="149" t="str">
        <f t="shared" si="6"/>
        <v/>
      </c>
      <c r="AG58" s="149" t="str">
        <f t="shared" si="6"/>
        <v/>
      </c>
      <c r="AH58" s="149" t="str">
        <f t="shared" si="6"/>
        <v/>
      </c>
      <c r="AI58" s="235" t="str">
        <f t="shared" si="6"/>
        <v/>
      </c>
      <c r="AJ58" s="235" t="str">
        <f t="shared" si="6"/>
        <v/>
      </c>
      <c r="AK58" s="235" t="str">
        <f t="shared" si="6"/>
        <v/>
      </c>
      <c r="AL58" s="149" t="str">
        <f t="shared" si="6"/>
        <v/>
      </c>
      <c r="AM58" s="149" t="str">
        <f t="shared" si="6"/>
        <v/>
      </c>
      <c r="AN58" s="149" t="str">
        <f t="shared" si="6"/>
        <v/>
      </c>
      <c r="AO58" s="149" t="str">
        <f t="shared" si="6"/>
        <v/>
      </c>
      <c r="AP58" s="149" t="str">
        <f t="shared" si="6"/>
        <v/>
      </c>
      <c r="AQ58" s="149" t="str">
        <f t="shared" si="6"/>
        <v/>
      </c>
    </row>
    <row r="59" spans="2:43" x14ac:dyDescent="0.3">
      <c r="B59" s="17"/>
      <c r="C59" s="226">
        <v>20109284786</v>
      </c>
      <c r="D59" s="155" t="s">
        <v>364</v>
      </c>
      <c r="F59" s="148">
        <v>57279</v>
      </c>
      <c r="G59" s="148">
        <v>64081</v>
      </c>
      <c r="H59" s="148">
        <v>100828</v>
      </c>
      <c r="I59" s="148"/>
      <c r="J59" s="148"/>
      <c r="K59" s="148"/>
      <c r="L59" s="148"/>
      <c r="M59" s="148"/>
      <c r="N59" s="148"/>
      <c r="O59" s="148"/>
      <c r="P59" s="148"/>
      <c r="Q59" s="148"/>
      <c r="S59" s="148">
        <v>537343</v>
      </c>
      <c r="T59" s="148">
        <v>579994</v>
      </c>
      <c r="U59" s="148">
        <v>890319</v>
      </c>
      <c r="V59" s="148"/>
      <c r="W59" s="148"/>
      <c r="X59" s="148"/>
      <c r="Y59" s="148"/>
      <c r="Z59" s="148"/>
      <c r="AA59" s="148"/>
      <c r="AB59" s="148"/>
      <c r="AC59" s="148"/>
      <c r="AD59" s="148"/>
      <c r="AF59" s="149">
        <f t="shared" si="6"/>
        <v>0.106596717552848</v>
      </c>
      <c r="AG59" s="149">
        <f t="shared" si="6"/>
        <v>0.11048562571336945</v>
      </c>
      <c r="AH59" s="149">
        <f t="shared" si="6"/>
        <v>0.11324929603883552</v>
      </c>
      <c r="AI59" s="235" t="str">
        <f t="shared" si="6"/>
        <v/>
      </c>
      <c r="AJ59" s="235" t="str">
        <f t="shared" si="6"/>
        <v/>
      </c>
      <c r="AK59" s="235" t="str">
        <f t="shared" si="6"/>
        <v/>
      </c>
      <c r="AL59" s="149" t="str">
        <f t="shared" si="6"/>
        <v/>
      </c>
      <c r="AM59" s="149" t="str">
        <f t="shared" si="6"/>
        <v/>
      </c>
      <c r="AN59" s="149" t="str">
        <f t="shared" si="6"/>
        <v/>
      </c>
      <c r="AO59" s="149" t="str">
        <f t="shared" si="6"/>
        <v/>
      </c>
      <c r="AP59" s="149" t="str">
        <f t="shared" si="6"/>
        <v/>
      </c>
      <c r="AQ59" s="149" t="str">
        <f t="shared" si="6"/>
        <v/>
      </c>
    </row>
    <row r="60" spans="2:43" x14ac:dyDescent="0.3">
      <c r="B60" s="17"/>
      <c r="C60" s="226">
        <v>20268784625</v>
      </c>
      <c r="D60" s="155" t="s">
        <v>365</v>
      </c>
      <c r="F60" s="148">
        <v>103675</v>
      </c>
      <c r="G60" s="148"/>
      <c r="H60" s="148">
        <v>120087</v>
      </c>
      <c r="I60" s="148"/>
      <c r="J60" s="148"/>
      <c r="K60" s="148"/>
      <c r="L60" s="148"/>
      <c r="M60" s="148"/>
      <c r="N60" s="148"/>
      <c r="O60" s="148"/>
      <c r="P60" s="148"/>
      <c r="Q60" s="148"/>
      <c r="S60" s="148">
        <v>528516</v>
      </c>
      <c r="T60" s="148"/>
      <c r="U60" s="148">
        <v>629032</v>
      </c>
      <c r="V60" s="148"/>
      <c r="W60" s="148"/>
      <c r="X60" s="148"/>
      <c r="Y60" s="148"/>
      <c r="Z60" s="148"/>
      <c r="AA60" s="148"/>
      <c r="AB60" s="148"/>
      <c r="AC60" s="148"/>
      <c r="AD60" s="148"/>
      <c r="AF60" s="149">
        <f t="shared" si="6"/>
        <v>0.19616246244200744</v>
      </c>
      <c r="AG60" s="149" t="str">
        <f t="shared" si="6"/>
        <v/>
      </c>
      <c r="AH60" s="149">
        <f t="shared" si="6"/>
        <v>0.19090761678261201</v>
      </c>
      <c r="AI60" s="235" t="str">
        <f t="shared" si="6"/>
        <v/>
      </c>
      <c r="AJ60" s="235" t="str">
        <f t="shared" si="6"/>
        <v/>
      </c>
      <c r="AK60" s="235" t="str">
        <f t="shared" si="6"/>
        <v/>
      </c>
      <c r="AL60" s="149" t="str">
        <f t="shared" si="6"/>
        <v/>
      </c>
      <c r="AM60" s="149" t="str">
        <f t="shared" si="6"/>
        <v/>
      </c>
      <c r="AN60" s="149" t="str">
        <f t="shared" si="6"/>
        <v/>
      </c>
      <c r="AO60" s="149" t="str">
        <f t="shared" si="6"/>
        <v/>
      </c>
      <c r="AP60" s="149" t="str">
        <f t="shared" si="6"/>
        <v/>
      </c>
      <c r="AQ60" s="149" t="str">
        <f t="shared" si="6"/>
        <v/>
      </c>
    </row>
    <row r="61" spans="2:43" x14ac:dyDescent="0.3">
      <c r="B61" s="17"/>
      <c r="C61" s="226">
        <v>20147847727</v>
      </c>
      <c r="D61" s="155" t="s">
        <v>366</v>
      </c>
      <c r="F61" s="148">
        <v>64105</v>
      </c>
      <c r="G61" s="148">
        <v>70152</v>
      </c>
      <c r="H61" s="148">
        <v>100845</v>
      </c>
      <c r="I61" s="148"/>
      <c r="J61" s="148"/>
      <c r="K61" s="148"/>
      <c r="L61" s="148"/>
      <c r="M61" s="148"/>
      <c r="N61" s="148"/>
      <c r="O61" s="148"/>
      <c r="P61" s="148"/>
      <c r="Q61" s="148"/>
      <c r="S61" s="148">
        <v>708102</v>
      </c>
      <c r="T61" s="148">
        <v>704832</v>
      </c>
      <c r="U61" s="148">
        <v>1108027</v>
      </c>
      <c r="V61" s="148"/>
      <c r="W61" s="148"/>
      <c r="X61" s="148"/>
      <c r="Y61" s="148"/>
      <c r="Z61" s="148"/>
      <c r="AA61" s="148"/>
      <c r="AB61" s="148"/>
      <c r="AC61" s="148"/>
      <c r="AD61" s="148"/>
      <c r="AF61" s="149">
        <f t="shared" si="6"/>
        <v>9.0530742746101553E-2</v>
      </c>
      <c r="AG61" s="149">
        <f t="shared" si="6"/>
        <v>9.9530100789975484E-2</v>
      </c>
      <c r="AH61" s="149">
        <f t="shared" si="6"/>
        <v>9.10131251314273E-2</v>
      </c>
      <c r="AI61" s="235" t="str">
        <f t="shared" si="6"/>
        <v/>
      </c>
      <c r="AJ61" s="235" t="str">
        <f t="shared" si="6"/>
        <v/>
      </c>
      <c r="AK61" s="235" t="str">
        <f t="shared" si="6"/>
        <v/>
      </c>
      <c r="AL61" s="149" t="str">
        <f t="shared" si="6"/>
        <v/>
      </c>
      <c r="AM61" s="149" t="str">
        <f t="shared" si="6"/>
        <v/>
      </c>
      <c r="AN61" s="149" t="str">
        <f t="shared" si="6"/>
        <v/>
      </c>
      <c r="AO61" s="149" t="str">
        <f t="shared" si="6"/>
        <v/>
      </c>
      <c r="AP61" s="149" t="str">
        <f t="shared" si="6"/>
        <v/>
      </c>
      <c r="AQ61" s="149" t="str">
        <f t="shared" si="6"/>
        <v/>
      </c>
    </row>
    <row r="62" spans="2:43" x14ac:dyDescent="0.3">
      <c r="B62" s="17"/>
      <c r="C62" s="226">
        <v>20334129595</v>
      </c>
      <c r="D62" s="155" t="s">
        <v>367</v>
      </c>
      <c r="F62" s="148">
        <v>83154</v>
      </c>
      <c r="G62" s="148">
        <v>70875</v>
      </c>
      <c r="H62" s="148">
        <v>101151</v>
      </c>
      <c r="I62" s="148"/>
      <c r="J62" s="148"/>
      <c r="K62" s="148"/>
      <c r="L62" s="148"/>
      <c r="M62" s="148"/>
      <c r="N62" s="148"/>
      <c r="O62" s="148"/>
      <c r="P62" s="148"/>
      <c r="Q62" s="148"/>
      <c r="S62" s="148">
        <v>490422</v>
      </c>
      <c r="T62" s="148">
        <v>468503</v>
      </c>
      <c r="U62" s="148">
        <v>601288</v>
      </c>
      <c r="V62" s="148"/>
      <c r="W62" s="148"/>
      <c r="X62" s="148"/>
      <c r="Y62" s="148"/>
      <c r="Z62" s="148"/>
      <c r="AA62" s="148"/>
      <c r="AB62" s="148"/>
      <c r="AC62" s="148"/>
      <c r="AD62" s="148"/>
      <c r="AF62" s="149">
        <f t="shared" si="6"/>
        <v>0.16955601502379583</v>
      </c>
      <c r="AG62" s="149">
        <f t="shared" si="6"/>
        <v>0.15127971432413453</v>
      </c>
      <c r="AH62" s="149">
        <f t="shared" si="6"/>
        <v>0.16822387940554276</v>
      </c>
      <c r="AI62" s="235" t="str">
        <f t="shared" si="6"/>
        <v/>
      </c>
      <c r="AJ62" s="235" t="str">
        <f t="shared" si="6"/>
        <v/>
      </c>
      <c r="AK62" s="235" t="str">
        <f t="shared" si="6"/>
        <v/>
      </c>
      <c r="AL62" s="149" t="str">
        <f t="shared" si="6"/>
        <v/>
      </c>
      <c r="AM62" s="149" t="str">
        <f t="shared" si="6"/>
        <v/>
      </c>
      <c r="AN62" s="149" t="str">
        <f t="shared" si="6"/>
        <v/>
      </c>
      <c r="AO62" s="149" t="str">
        <f t="shared" si="6"/>
        <v/>
      </c>
      <c r="AP62" s="149" t="str">
        <f t="shared" si="6"/>
        <v/>
      </c>
      <c r="AQ62" s="149" t="str">
        <f t="shared" si="6"/>
        <v/>
      </c>
    </row>
    <row r="63" spans="2:43" x14ac:dyDescent="0.3">
      <c r="B63" s="17"/>
      <c r="C63" s="226">
        <v>20602533281</v>
      </c>
      <c r="D63" s="155" t="s">
        <v>368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F63" s="149" t="str">
        <f t="shared" si="6"/>
        <v/>
      </c>
      <c r="AG63" s="149" t="str">
        <f t="shared" si="6"/>
        <v/>
      </c>
      <c r="AH63" s="149" t="str">
        <f t="shared" si="6"/>
        <v/>
      </c>
      <c r="AI63" s="235" t="str">
        <f t="shared" si="6"/>
        <v/>
      </c>
      <c r="AJ63" s="235" t="str">
        <f t="shared" si="6"/>
        <v/>
      </c>
      <c r="AK63" s="235" t="str">
        <f t="shared" si="6"/>
        <v/>
      </c>
      <c r="AL63" s="149" t="str">
        <f t="shared" si="6"/>
        <v/>
      </c>
      <c r="AM63" s="149" t="str">
        <f t="shared" si="6"/>
        <v/>
      </c>
      <c r="AN63" s="149" t="str">
        <f t="shared" si="6"/>
        <v/>
      </c>
      <c r="AO63" s="149" t="str">
        <f t="shared" si="6"/>
        <v/>
      </c>
      <c r="AP63" s="149" t="str">
        <f t="shared" si="6"/>
        <v/>
      </c>
      <c r="AQ63" s="149" t="str">
        <f t="shared" si="6"/>
        <v/>
      </c>
    </row>
    <row r="64" spans="2:43" x14ac:dyDescent="0.3">
      <c r="B64" s="17"/>
      <c r="C64" s="226">
        <v>20122386229</v>
      </c>
      <c r="D64" s="155" t="s">
        <v>369</v>
      </c>
      <c r="F64" s="148">
        <v>94363</v>
      </c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S64" s="148">
        <v>568392</v>
      </c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F64" s="149">
        <f t="shared" si="6"/>
        <v>0.16601746681867444</v>
      </c>
      <c r="AG64" s="149" t="str">
        <f t="shared" si="6"/>
        <v/>
      </c>
      <c r="AH64" s="149" t="str">
        <f t="shared" si="6"/>
        <v/>
      </c>
      <c r="AI64" s="235" t="str">
        <f t="shared" si="6"/>
        <v/>
      </c>
      <c r="AJ64" s="235" t="str">
        <f t="shared" si="6"/>
        <v/>
      </c>
      <c r="AK64" s="235" t="str">
        <f t="shared" si="6"/>
        <v/>
      </c>
      <c r="AL64" s="149" t="str">
        <f t="shared" si="6"/>
        <v/>
      </c>
      <c r="AM64" s="149" t="str">
        <f t="shared" si="6"/>
        <v/>
      </c>
      <c r="AN64" s="149" t="str">
        <f t="shared" si="6"/>
        <v/>
      </c>
      <c r="AO64" s="149" t="str">
        <f t="shared" si="6"/>
        <v/>
      </c>
      <c r="AP64" s="149" t="str">
        <f t="shared" si="6"/>
        <v/>
      </c>
      <c r="AQ64" s="149" t="str">
        <f t="shared" si="6"/>
        <v/>
      </c>
    </row>
    <row r="65" spans="2:43" x14ac:dyDescent="0.3">
      <c r="B65" s="17"/>
      <c r="C65" s="226">
        <v>20545784158</v>
      </c>
      <c r="D65" s="155" t="s">
        <v>370</v>
      </c>
      <c r="F65" s="148">
        <v>10042</v>
      </c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S65" s="148">
        <v>38090</v>
      </c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F65" s="149">
        <f t="shared" si="6"/>
        <v>0.26363875032817013</v>
      </c>
      <c r="AG65" s="149" t="str">
        <f t="shared" si="6"/>
        <v/>
      </c>
      <c r="AH65" s="149" t="str">
        <f t="shared" si="6"/>
        <v/>
      </c>
      <c r="AI65" s="235" t="str">
        <f t="shared" si="6"/>
        <v/>
      </c>
      <c r="AJ65" s="235" t="str">
        <f t="shared" si="6"/>
        <v/>
      </c>
      <c r="AK65" s="235" t="str">
        <f t="shared" si="6"/>
        <v/>
      </c>
      <c r="AL65" s="149" t="str">
        <f t="shared" si="6"/>
        <v/>
      </c>
      <c r="AM65" s="149" t="str">
        <f t="shared" si="6"/>
        <v/>
      </c>
      <c r="AN65" s="149" t="str">
        <f t="shared" si="6"/>
        <v/>
      </c>
      <c r="AO65" s="149" t="str">
        <f t="shared" si="6"/>
        <v/>
      </c>
      <c r="AP65" s="149" t="str">
        <f t="shared" si="6"/>
        <v/>
      </c>
      <c r="AQ65" s="149" t="str">
        <f t="shared" si="6"/>
        <v/>
      </c>
    </row>
    <row r="66" spans="2:43" x14ac:dyDescent="0.3">
      <c r="B66" s="14" t="s">
        <v>371</v>
      </c>
      <c r="C66" s="228"/>
      <c r="D66" s="14"/>
      <c r="F66" s="150">
        <f t="shared" ref="F66:Q66" si="7">+SUM(F47:F65)</f>
        <v>6988346</v>
      </c>
      <c r="G66" s="150">
        <f t="shared" si="7"/>
        <v>6495106</v>
      </c>
      <c r="H66" s="150">
        <f t="shared" si="7"/>
        <v>8831158</v>
      </c>
      <c r="I66" s="150">
        <f t="shared" si="7"/>
        <v>0</v>
      </c>
      <c r="J66" s="150">
        <f t="shared" si="7"/>
        <v>0</v>
      </c>
      <c r="K66" s="150">
        <f t="shared" si="7"/>
        <v>0</v>
      </c>
      <c r="L66" s="150">
        <f t="shared" si="7"/>
        <v>0</v>
      </c>
      <c r="M66" s="150">
        <f t="shared" si="7"/>
        <v>0</v>
      </c>
      <c r="N66" s="150">
        <f t="shared" si="7"/>
        <v>0</v>
      </c>
      <c r="O66" s="150">
        <f t="shared" si="7"/>
        <v>0</v>
      </c>
      <c r="P66" s="150">
        <f t="shared" si="7"/>
        <v>0</v>
      </c>
      <c r="Q66" s="150">
        <f t="shared" si="7"/>
        <v>0</v>
      </c>
      <c r="S66" s="150">
        <f t="shared" ref="S66:AD66" si="8">+SUM(S47:S65)</f>
        <v>49630517</v>
      </c>
      <c r="T66" s="150">
        <f t="shared" si="8"/>
        <v>47891131</v>
      </c>
      <c r="U66" s="150">
        <f t="shared" si="8"/>
        <v>66185285</v>
      </c>
      <c r="V66" s="150">
        <f t="shared" si="8"/>
        <v>0</v>
      </c>
      <c r="W66" s="150">
        <f t="shared" si="8"/>
        <v>0</v>
      </c>
      <c r="X66" s="150">
        <f t="shared" si="8"/>
        <v>0</v>
      </c>
      <c r="Y66" s="150">
        <f t="shared" si="8"/>
        <v>0</v>
      </c>
      <c r="Z66" s="150">
        <f t="shared" si="8"/>
        <v>0</v>
      </c>
      <c r="AA66" s="150">
        <f t="shared" si="8"/>
        <v>0</v>
      </c>
      <c r="AB66" s="150">
        <f t="shared" si="8"/>
        <v>0</v>
      </c>
      <c r="AC66" s="150">
        <f t="shared" si="8"/>
        <v>0</v>
      </c>
      <c r="AD66" s="150">
        <f t="shared" si="8"/>
        <v>0</v>
      </c>
      <c r="AF66" s="151">
        <f t="shared" si="6"/>
        <v>0.14080743910042284</v>
      </c>
      <c r="AG66" s="151">
        <f t="shared" si="6"/>
        <v>0.13562231386851148</v>
      </c>
      <c r="AH66" s="151">
        <f t="shared" si="6"/>
        <v>0.13343083738326428</v>
      </c>
      <c r="AI66" s="236" t="str">
        <f t="shared" si="6"/>
        <v/>
      </c>
      <c r="AJ66" s="236" t="str">
        <f t="shared" si="6"/>
        <v/>
      </c>
      <c r="AK66" s="236" t="str">
        <f t="shared" si="6"/>
        <v/>
      </c>
      <c r="AL66" s="151" t="str">
        <f t="shared" si="6"/>
        <v/>
      </c>
      <c r="AM66" s="151" t="str">
        <f t="shared" si="6"/>
        <v/>
      </c>
      <c r="AN66" s="151" t="str">
        <f t="shared" si="6"/>
        <v/>
      </c>
      <c r="AO66" s="151" t="str">
        <f t="shared" si="6"/>
        <v/>
      </c>
      <c r="AP66" s="151" t="str">
        <f t="shared" si="6"/>
        <v/>
      </c>
      <c r="AQ66" s="151" t="str">
        <f t="shared" si="6"/>
        <v/>
      </c>
    </row>
    <row r="67" spans="2:43" x14ac:dyDescent="0.3">
      <c r="B67" s="17"/>
      <c r="C67" s="226"/>
      <c r="D67" s="17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F67" s="153"/>
      <c r="AG67" s="153"/>
      <c r="AH67" s="153"/>
      <c r="AI67" s="237"/>
      <c r="AJ67" s="237"/>
      <c r="AK67" s="237"/>
      <c r="AL67" s="153"/>
      <c r="AM67" s="153"/>
      <c r="AN67" s="153"/>
      <c r="AO67" s="153"/>
    </row>
    <row r="68" spans="2:43" x14ac:dyDescent="0.3">
      <c r="B68" s="17" t="s">
        <v>90</v>
      </c>
      <c r="C68" s="226">
        <v>20608430301</v>
      </c>
      <c r="D68" s="155" t="s">
        <v>372</v>
      </c>
      <c r="F68" s="148">
        <v>6704901</v>
      </c>
      <c r="G68" s="148">
        <v>6126044</v>
      </c>
      <c r="H68" s="148">
        <v>6538986</v>
      </c>
      <c r="I68" s="148"/>
      <c r="J68" s="148"/>
      <c r="K68" s="148"/>
      <c r="L68" s="148"/>
      <c r="M68" s="148"/>
      <c r="N68" s="148"/>
      <c r="O68" s="148"/>
      <c r="P68" s="148"/>
      <c r="Q68" s="148"/>
      <c r="S68" s="148">
        <v>53884210</v>
      </c>
      <c r="T68" s="148">
        <v>49530605</v>
      </c>
      <c r="U68" s="148">
        <v>54188433</v>
      </c>
      <c r="V68" s="148"/>
      <c r="W68" s="148"/>
      <c r="X68" s="148"/>
      <c r="Y68" s="148"/>
      <c r="Z68" s="148"/>
      <c r="AA68" s="148"/>
      <c r="AB68" s="148"/>
      <c r="AC68" s="148"/>
      <c r="AD68" s="148"/>
      <c r="AF68" s="149">
        <f t="shared" ref="AF68:AQ88" si="9">+IFERROR(F68/S68,"")</f>
        <v>0.12443164704465372</v>
      </c>
      <c r="AG68" s="149">
        <f t="shared" si="9"/>
        <v>0.12368199419328715</v>
      </c>
      <c r="AH68" s="149">
        <f t="shared" si="9"/>
        <v>0.12067125100295852</v>
      </c>
      <c r="AI68" s="235" t="str">
        <f t="shared" si="9"/>
        <v/>
      </c>
      <c r="AJ68" s="235" t="str">
        <f t="shared" si="9"/>
        <v/>
      </c>
      <c r="AK68" s="235" t="str">
        <f t="shared" si="9"/>
        <v/>
      </c>
      <c r="AL68" s="149" t="str">
        <f t="shared" si="9"/>
        <v/>
      </c>
      <c r="AM68" s="149" t="str">
        <f t="shared" si="9"/>
        <v/>
      </c>
      <c r="AN68" s="149" t="str">
        <f t="shared" si="9"/>
        <v/>
      </c>
      <c r="AO68" s="149" t="str">
        <f t="shared" si="9"/>
        <v/>
      </c>
      <c r="AP68" s="149" t="str">
        <f t="shared" si="9"/>
        <v/>
      </c>
      <c r="AQ68" s="149" t="str">
        <f t="shared" si="9"/>
        <v/>
      </c>
    </row>
    <row r="69" spans="2:43" x14ac:dyDescent="0.3">
      <c r="B69" s="17"/>
      <c r="C69" s="226">
        <v>20512002090</v>
      </c>
      <c r="D69" s="155" t="s">
        <v>373</v>
      </c>
      <c r="F69" s="148">
        <v>6909486</v>
      </c>
      <c r="G69" s="148">
        <v>6325768</v>
      </c>
      <c r="H69" s="148">
        <v>6890492</v>
      </c>
      <c r="I69" s="148"/>
      <c r="J69" s="148"/>
      <c r="K69" s="148"/>
      <c r="L69" s="148"/>
      <c r="M69" s="148"/>
      <c r="N69" s="148"/>
      <c r="O69" s="148"/>
      <c r="P69" s="148"/>
      <c r="Q69" s="148"/>
      <c r="S69" s="148">
        <v>54217538</v>
      </c>
      <c r="T69" s="148">
        <v>49880405</v>
      </c>
      <c r="U69" s="148">
        <v>54732403</v>
      </c>
      <c r="V69" s="148"/>
      <c r="W69" s="148"/>
      <c r="X69" s="148"/>
      <c r="Y69" s="148"/>
      <c r="Z69" s="148"/>
      <c r="AA69" s="148"/>
      <c r="AB69" s="148"/>
      <c r="AC69" s="148"/>
      <c r="AD69" s="148"/>
      <c r="AF69" s="149">
        <f t="shared" si="9"/>
        <v>0.12744005454471208</v>
      </c>
      <c r="AG69" s="149">
        <f t="shared" si="9"/>
        <v>0.12681869764289203</v>
      </c>
      <c r="AH69" s="149">
        <f t="shared" si="9"/>
        <v>0.12589419835997334</v>
      </c>
      <c r="AI69" s="235" t="str">
        <f t="shared" si="9"/>
        <v/>
      </c>
      <c r="AJ69" s="235" t="str">
        <f t="shared" si="9"/>
        <v/>
      </c>
      <c r="AK69" s="235" t="str">
        <f t="shared" si="9"/>
        <v/>
      </c>
      <c r="AL69" s="149" t="str">
        <f t="shared" si="9"/>
        <v/>
      </c>
      <c r="AM69" s="149" t="str">
        <f t="shared" si="9"/>
        <v/>
      </c>
      <c r="AN69" s="149" t="str">
        <f t="shared" si="9"/>
        <v/>
      </c>
      <c r="AO69" s="149" t="str">
        <f t="shared" si="9"/>
        <v/>
      </c>
      <c r="AP69" s="149" t="str">
        <f t="shared" si="9"/>
        <v/>
      </c>
      <c r="AQ69" s="149" t="str">
        <f t="shared" si="9"/>
        <v/>
      </c>
    </row>
    <row r="70" spans="2:43" x14ac:dyDescent="0.3">
      <c r="B70" s="17"/>
      <c r="C70" s="226">
        <v>20384891943</v>
      </c>
      <c r="D70" s="155" t="s">
        <v>374</v>
      </c>
      <c r="F70" s="148">
        <v>550884</v>
      </c>
      <c r="G70" s="148">
        <v>504856</v>
      </c>
      <c r="H70" s="148">
        <v>566108</v>
      </c>
      <c r="I70" s="148"/>
      <c r="J70" s="148"/>
      <c r="K70" s="148"/>
      <c r="L70" s="148"/>
      <c r="M70" s="148"/>
      <c r="N70" s="148"/>
      <c r="O70" s="148"/>
      <c r="P70" s="148"/>
      <c r="Q70" s="148"/>
      <c r="S70" s="148">
        <v>4187297</v>
      </c>
      <c r="T70" s="148">
        <v>3791286</v>
      </c>
      <c r="U70" s="148">
        <v>4322036</v>
      </c>
      <c r="V70" s="148"/>
      <c r="W70" s="148"/>
      <c r="X70" s="148"/>
      <c r="Y70" s="148"/>
      <c r="Z70" s="148"/>
      <c r="AA70" s="148"/>
      <c r="AB70" s="148"/>
      <c r="AC70" s="148"/>
      <c r="AD70" s="148"/>
      <c r="AF70" s="149">
        <f t="shared" si="9"/>
        <v>0.13156076581145307</v>
      </c>
      <c r="AG70" s="149">
        <f t="shared" si="9"/>
        <v>0.1331622040647949</v>
      </c>
      <c r="AH70" s="149">
        <f t="shared" si="9"/>
        <v>0.13098178728728774</v>
      </c>
      <c r="AI70" s="235" t="str">
        <f t="shared" si="9"/>
        <v/>
      </c>
      <c r="AJ70" s="235" t="str">
        <f t="shared" si="9"/>
        <v/>
      </c>
      <c r="AK70" s="235" t="str">
        <f t="shared" si="9"/>
        <v/>
      </c>
      <c r="AL70" s="149" t="str">
        <f t="shared" si="9"/>
        <v/>
      </c>
      <c r="AM70" s="149" t="str">
        <f t="shared" si="9"/>
        <v/>
      </c>
      <c r="AN70" s="149" t="str">
        <f t="shared" si="9"/>
        <v/>
      </c>
      <c r="AO70" s="149" t="str">
        <f t="shared" si="9"/>
        <v/>
      </c>
      <c r="AP70" s="149" t="str">
        <f t="shared" si="9"/>
        <v/>
      </c>
      <c r="AQ70" s="149" t="str">
        <f t="shared" si="9"/>
        <v/>
      </c>
    </row>
    <row r="71" spans="2:43" x14ac:dyDescent="0.3">
      <c r="B71" s="17"/>
      <c r="C71" s="226">
        <v>20531502508</v>
      </c>
      <c r="D71" s="155" t="s">
        <v>375</v>
      </c>
      <c r="F71" s="148">
        <v>342847</v>
      </c>
      <c r="G71" s="148">
        <v>290785</v>
      </c>
      <c r="H71" s="148">
        <v>337999</v>
      </c>
      <c r="I71" s="148"/>
      <c r="J71" s="148"/>
      <c r="K71" s="148"/>
      <c r="L71" s="148"/>
      <c r="M71" s="148"/>
      <c r="N71" s="148"/>
      <c r="O71" s="148"/>
      <c r="P71" s="148"/>
      <c r="Q71" s="148"/>
      <c r="S71" s="148">
        <v>2136275</v>
      </c>
      <c r="T71" s="148">
        <v>1922243</v>
      </c>
      <c r="U71" s="148">
        <v>2165625</v>
      </c>
      <c r="V71" s="148"/>
      <c r="W71" s="148"/>
      <c r="X71" s="148"/>
      <c r="Y71" s="148"/>
      <c r="Z71" s="148"/>
      <c r="AA71" s="148"/>
      <c r="AB71" s="148"/>
      <c r="AC71" s="148"/>
      <c r="AD71" s="148"/>
      <c r="AF71" s="149">
        <f t="shared" si="9"/>
        <v>0.1604882330224339</v>
      </c>
      <c r="AG71" s="149">
        <f t="shared" si="9"/>
        <v>0.15127379836992513</v>
      </c>
      <c r="AH71" s="149">
        <f t="shared" si="9"/>
        <v>0.1560745743145743</v>
      </c>
      <c r="AI71" s="235" t="str">
        <f t="shared" si="9"/>
        <v/>
      </c>
      <c r="AJ71" s="235" t="str">
        <f t="shared" si="9"/>
        <v/>
      </c>
      <c r="AK71" s="235" t="str">
        <f t="shared" si="9"/>
        <v/>
      </c>
      <c r="AL71" s="149" t="str">
        <f t="shared" si="9"/>
        <v/>
      </c>
      <c r="AM71" s="149" t="str">
        <f t="shared" si="9"/>
        <v/>
      </c>
      <c r="AN71" s="149" t="str">
        <f t="shared" si="9"/>
        <v/>
      </c>
      <c r="AO71" s="149" t="str">
        <f t="shared" si="9"/>
        <v/>
      </c>
      <c r="AP71" s="149" t="str">
        <f t="shared" si="9"/>
        <v/>
      </c>
      <c r="AQ71" s="149" t="str">
        <f t="shared" si="9"/>
        <v/>
      </c>
    </row>
    <row r="72" spans="2:43" x14ac:dyDescent="0.3">
      <c r="B72" s="17"/>
      <c r="C72" s="226">
        <v>20515346113</v>
      </c>
      <c r="D72" s="155" t="s">
        <v>376</v>
      </c>
      <c r="F72" s="148">
        <v>411123</v>
      </c>
      <c r="G72" s="148">
        <v>385537</v>
      </c>
      <c r="H72" s="148">
        <v>414177</v>
      </c>
      <c r="I72" s="148"/>
      <c r="J72" s="148"/>
      <c r="K72" s="148"/>
      <c r="L72" s="148"/>
      <c r="M72" s="148"/>
      <c r="N72" s="148"/>
      <c r="O72" s="148"/>
      <c r="P72" s="148"/>
      <c r="Q72" s="148"/>
      <c r="S72" s="148">
        <v>2751105</v>
      </c>
      <c r="T72" s="148">
        <v>2531485</v>
      </c>
      <c r="U72" s="148">
        <v>2759816</v>
      </c>
      <c r="V72" s="148"/>
      <c r="W72" s="148"/>
      <c r="X72" s="148"/>
      <c r="Y72" s="148"/>
      <c r="Z72" s="148"/>
      <c r="AA72" s="148"/>
      <c r="AB72" s="148"/>
      <c r="AC72" s="148"/>
      <c r="AD72" s="148"/>
      <c r="AF72" s="149">
        <f t="shared" si="9"/>
        <v>0.14943922532945852</v>
      </c>
      <c r="AG72" s="149">
        <f t="shared" si="9"/>
        <v>0.15229677442291778</v>
      </c>
      <c r="AH72" s="149">
        <f t="shared" si="9"/>
        <v>0.15007413537714109</v>
      </c>
      <c r="AI72" s="235" t="str">
        <f t="shared" si="9"/>
        <v/>
      </c>
      <c r="AJ72" s="235" t="str">
        <f t="shared" si="9"/>
        <v/>
      </c>
      <c r="AK72" s="235" t="str">
        <f t="shared" si="9"/>
        <v/>
      </c>
      <c r="AL72" s="149" t="str">
        <f t="shared" si="9"/>
        <v/>
      </c>
      <c r="AM72" s="149" t="str">
        <f t="shared" si="9"/>
        <v/>
      </c>
      <c r="AN72" s="149" t="str">
        <f t="shared" si="9"/>
        <v/>
      </c>
      <c r="AO72" s="149" t="str">
        <f t="shared" si="9"/>
        <v/>
      </c>
      <c r="AP72" s="149" t="str">
        <f t="shared" si="9"/>
        <v/>
      </c>
      <c r="AQ72" s="149" t="str">
        <f t="shared" si="9"/>
        <v/>
      </c>
    </row>
    <row r="73" spans="2:43" x14ac:dyDescent="0.3">
      <c r="B73" s="17"/>
      <c r="C73" s="226">
        <v>20515774182</v>
      </c>
      <c r="D73" s="155" t="s">
        <v>447</v>
      </c>
      <c r="F73" s="148">
        <v>125967</v>
      </c>
      <c r="G73" s="148">
        <v>79751</v>
      </c>
      <c r="H73" s="148">
        <v>37249</v>
      </c>
      <c r="I73" s="148"/>
      <c r="J73" s="148"/>
      <c r="K73" s="148"/>
      <c r="L73" s="148"/>
      <c r="M73" s="148"/>
      <c r="N73" s="148"/>
      <c r="O73" s="148"/>
      <c r="P73" s="148"/>
      <c r="Q73" s="148"/>
      <c r="S73" s="148">
        <v>886634</v>
      </c>
      <c r="T73" s="148">
        <v>612195</v>
      </c>
      <c r="U73" s="148">
        <v>358493</v>
      </c>
      <c r="V73" s="148"/>
      <c r="W73" s="148"/>
      <c r="X73" s="148"/>
      <c r="Y73" s="148"/>
      <c r="Z73" s="148"/>
      <c r="AA73" s="148"/>
      <c r="AB73" s="148"/>
      <c r="AC73" s="148"/>
      <c r="AD73" s="148"/>
      <c r="AF73" s="149">
        <f t="shared" si="9"/>
        <v>0.14207327939149639</v>
      </c>
      <c r="AG73" s="149">
        <f t="shared" si="9"/>
        <v>0.13027058371923977</v>
      </c>
      <c r="AH73" s="149">
        <f t="shared" si="9"/>
        <v>0.10390439980696974</v>
      </c>
      <c r="AI73" s="235" t="str">
        <f t="shared" si="9"/>
        <v/>
      </c>
      <c r="AJ73" s="235" t="str">
        <f t="shared" si="9"/>
        <v/>
      </c>
      <c r="AK73" s="235" t="str">
        <f t="shared" si="9"/>
        <v/>
      </c>
      <c r="AL73" s="149" t="str">
        <f t="shared" si="9"/>
        <v/>
      </c>
      <c r="AM73" s="149" t="str">
        <f t="shared" si="9"/>
        <v/>
      </c>
      <c r="AN73" s="149" t="str">
        <f t="shared" si="9"/>
        <v/>
      </c>
      <c r="AO73" s="149" t="str">
        <f t="shared" si="9"/>
        <v/>
      </c>
      <c r="AP73" s="149" t="str">
        <f t="shared" si="9"/>
        <v/>
      </c>
      <c r="AQ73" s="149" t="str">
        <f t="shared" si="9"/>
        <v/>
      </c>
    </row>
    <row r="74" spans="2:43" x14ac:dyDescent="0.3">
      <c r="B74" s="17"/>
      <c r="C74" s="226">
        <v>20547141068</v>
      </c>
      <c r="D74" s="155" t="s">
        <v>377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F74" s="149" t="str">
        <f t="shared" si="9"/>
        <v/>
      </c>
      <c r="AG74" s="149" t="str">
        <f t="shared" si="9"/>
        <v/>
      </c>
      <c r="AH74" s="149" t="str">
        <f t="shared" si="9"/>
        <v/>
      </c>
      <c r="AI74" s="235" t="str">
        <f t="shared" si="9"/>
        <v/>
      </c>
      <c r="AJ74" s="235" t="str">
        <f t="shared" si="9"/>
        <v/>
      </c>
      <c r="AK74" s="235" t="str">
        <f t="shared" si="9"/>
        <v/>
      </c>
      <c r="AL74" s="149" t="str">
        <f t="shared" si="9"/>
        <v/>
      </c>
      <c r="AM74" s="149" t="str">
        <f t="shared" si="9"/>
        <v/>
      </c>
      <c r="AN74" s="149" t="str">
        <f t="shared" si="9"/>
        <v/>
      </c>
      <c r="AO74" s="149" t="str">
        <f t="shared" si="9"/>
        <v/>
      </c>
      <c r="AP74" s="149" t="str">
        <f t="shared" si="9"/>
        <v/>
      </c>
      <c r="AQ74" s="149" t="str">
        <f t="shared" si="9"/>
        <v/>
      </c>
    </row>
    <row r="75" spans="2:43" x14ac:dyDescent="0.3">
      <c r="B75" s="17"/>
      <c r="C75" s="226">
        <v>20514196428</v>
      </c>
      <c r="D75" s="155" t="s">
        <v>378</v>
      </c>
      <c r="F75" s="148">
        <v>5111</v>
      </c>
      <c r="G75" s="148"/>
      <c r="H75" s="148">
        <v>103488</v>
      </c>
      <c r="I75" s="148"/>
      <c r="J75" s="148"/>
      <c r="K75" s="148"/>
      <c r="L75" s="148"/>
      <c r="M75" s="148"/>
      <c r="N75" s="148"/>
      <c r="O75" s="148"/>
      <c r="P75" s="148"/>
      <c r="Q75" s="148"/>
      <c r="S75" s="148">
        <v>47691</v>
      </c>
      <c r="T75" s="148"/>
      <c r="U75" s="148">
        <v>706398</v>
      </c>
      <c r="V75" s="148"/>
      <c r="W75" s="148"/>
      <c r="X75" s="148"/>
      <c r="Y75" s="148"/>
      <c r="Z75" s="148"/>
      <c r="AA75" s="148"/>
      <c r="AB75" s="148"/>
      <c r="AC75" s="148"/>
      <c r="AD75" s="148"/>
      <c r="AF75" s="149">
        <f t="shared" si="9"/>
        <v>0.10716906753894864</v>
      </c>
      <c r="AG75" s="149" t="str">
        <f t="shared" si="9"/>
        <v/>
      </c>
      <c r="AH75" s="149">
        <f t="shared" si="9"/>
        <v>0.14650098103335513</v>
      </c>
      <c r="AI75" s="235" t="str">
        <f t="shared" si="9"/>
        <v/>
      </c>
      <c r="AJ75" s="235" t="str">
        <f t="shared" si="9"/>
        <v/>
      </c>
      <c r="AK75" s="235" t="str">
        <f t="shared" si="9"/>
        <v/>
      </c>
      <c r="AL75" s="149" t="str">
        <f t="shared" si="9"/>
        <v/>
      </c>
      <c r="AM75" s="149" t="str">
        <f t="shared" si="9"/>
        <v/>
      </c>
      <c r="AN75" s="149" t="str">
        <f t="shared" si="9"/>
        <v/>
      </c>
      <c r="AO75" s="149" t="str">
        <f t="shared" si="9"/>
        <v/>
      </c>
      <c r="AP75" s="149" t="str">
        <f t="shared" si="9"/>
        <v/>
      </c>
      <c r="AQ75" s="149" t="str">
        <f t="shared" si="9"/>
        <v/>
      </c>
    </row>
    <row r="76" spans="2:43" x14ac:dyDescent="0.3">
      <c r="B76" s="17"/>
      <c r="C76" s="226">
        <v>20100025168</v>
      </c>
      <c r="D76" s="155" t="s">
        <v>379</v>
      </c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F76" s="149" t="str">
        <f t="shared" si="9"/>
        <v/>
      </c>
      <c r="AG76" s="149" t="str">
        <f t="shared" si="9"/>
        <v/>
      </c>
      <c r="AH76" s="149" t="str">
        <f t="shared" si="9"/>
        <v/>
      </c>
      <c r="AI76" s="235" t="str">
        <f t="shared" si="9"/>
        <v/>
      </c>
      <c r="AJ76" s="235" t="str">
        <f t="shared" si="9"/>
        <v/>
      </c>
      <c r="AK76" s="235" t="str">
        <f t="shared" si="9"/>
        <v/>
      </c>
      <c r="AL76" s="149" t="str">
        <f t="shared" si="9"/>
        <v/>
      </c>
      <c r="AM76" s="149" t="str">
        <f t="shared" si="9"/>
        <v/>
      </c>
      <c r="AN76" s="149" t="str">
        <f t="shared" si="9"/>
        <v/>
      </c>
      <c r="AO76" s="149" t="str">
        <f t="shared" si="9"/>
        <v/>
      </c>
      <c r="AP76" s="149" t="str">
        <f t="shared" si="9"/>
        <v/>
      </c>
      <c r="AQ76" s="149" t="str">
        <f t="shared" si="9"/>
        <v/>
      </c>
    </row>
    <row r="77" spans="2:43" x14ac:dyDescent="0.3">
      <c r="B77" s="17"/>
      <c r="C77" s="226">
        <v>20549650440</v>
      </c>
      <c r="D77" s="155" t="s">
        <v>380</v>
      </c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F77" s="149" t="str">
        <f t="shared" si="9"/>
        <v/>
      </c>
      <c r="AG77" s="149" t="str">
        <f t="shared" si="9"/>
        <v/>
      </c>
      <c r="AH77" s="149" t="str">
        <f t="shared" si="9"/>
        <v/>
      </c>
      <c r="AI77" s="235" t="str">
        <f t="shared" si="9"/>
        <v/>
      </c>
      <c r="AJ77" s="235" t="str">
        <f t="shared" si="9"/>
        <v/>
      </c>
      <c r="AK77" s="235" t="str">
        <f t="shared" si="9"/>
        <v/>
      </c>
      <c r="AL77" s="149" t="str">
        <f t="shared" si="9"/>
        <v/>
      </c>
      <c r="AM77" s="149" t="str">
        <f t="shared" si="9"/>
        <v/>
      </c>
      <c r="AN77" s="149" t="str">
        <f t="shared" si="9"/>
        <v/>
      </c>
      <c r="AO77" s="149" t="str">
        <f t="shared" si="9"/>
        <v/>
      </c>
      <c r="AP77" s="149" t="str">
        <f t="shared" si="9"/>
        <v/>
      </c>
      <c r="AQ77" s="149" t="str">
        <f t="shared" si="9"/>
        <v/>
      </c>
    </row>
    <row r="78" spans="2:43" x14ac:dyDescent="0.3">
      <c r="B78" s="17"/>
      <c r="C78" s="226">
        <v>20531366132</v>
      </c>
      <c r="D78" s="155" t="s">
        <v>381</v>
      </c>
      <c r="F78" s="148">
        <v>64338</v>
      </c>
      <c r="G78" s="148">
        <v>51014</v>
      </c>
      <c r="H78" s="148">
        <v>60906</v>
      </c>
      <c r="I78" s="148"/>
      <c r="J78" s="148"/>
      <c r="K78" s="148"/>
      <c r="L78" s="148"/>
      <c r="M78" s="148"/>
      <c r="N78" s="148"/>
      <c r="O78" s="148"/>
      <c r="P78" s="148"/>
      <c r="Q78" s="148"/>
      <c r="S78" s="148">
        <v>301986</v>
      </c>
      <c r="T78" s="148">
        <v>207443</v>
      </c>
      <c r="U78" s="148">
        <v>280666</v>
      </c>
      <c r="V78" s="148"/>
      <c r="W78" s="148"/>
      <c r="X78" s="148"/>
      <c r="Y78" s="148"/>
      <c r="Z78" s="148"/>
      <c r="AA78" s="148"/>
      <c r="AB78" s="148"/>
      <c r="AC78" s="148"/>
      <c r="AD78" s="148"/>
      <c r="AF78" s="149">
        <f t="shared" si="9"/>
        <v>0.21304961157139735</v>
      </c>
      <c r="AG78" s="149">
        <f t="shared" si="9"/>
        <v>0.24591815583075832</v>
      </c>
      <c r="AH78" s="149">
        <f t="shared" si="9"/>
        <v>0.21700526604576259</v>
      </c>
      <c r="AI78" s="235" t="str">
        <f t="shared" si="9"/>
        <v/>
      </c>
      <c r="AJ78" s="235" t="str">
        <f t="shared" si="9"/>
        <v/>
      </c>
      <c r="AK78" s="235" t="str">
        <f t="shared" si="9"/>
        <v/>
      </c>
      <c r="AL78" s="149" t="str">
        <f t="shared" si="9"/>
        <v/>
      </c>
      <c r="AM78" s="149" t="str">
        <f t="shared" si="9"/>
        <v/>
      </c>
      <c r="AN78" s="149" t="str">
        <f t="shared" si="9"/>
        <v/>
      </c>
      <c r="AO78" s="149" t="str">
        <f t="shared" si="9"/>
        <v/>
      </c>
      <c r="AP78" s="149" t="str">
        <f t="shared" si="9"/>
        <v/>
      </c>
      <c r="AQ78" s="149" t="str">
        <f t="shared" si="9"/>
        <v/>
      </c>
    </row>
    <row r="79" spans="2:43" x14ac:dyDescent="0.3">
      <c r="B79" s="17"/>
      <c r="C79" s="226">
        <v>20523915399</v>
      </c>
      <c r="D79" s="155" t="s">
        <v>382</v>
      </c>
      <c r="F79" s="148">
        <v>9348</v>
      </c>
      <c r="G79" s="148">
        <v>11285</v>
      </c>
      <c r="H79" s="148">
        <v>13263</v>
      </c>
      <c r="I79" s="148"/>
      <c r="J79" s="148"/>
      <c r="K79" s="148"/>
      <c r="L79" s="148"/>
      <c r="M79" s="148"/>
      <c r="N79" s="148"/>
      <c r="O79" s="148"/>
      <c r="P79" s="148"/>
      <c r="Q79" s="148"/>
      <c r="S79" s="148">
        <v>74173</v>
      </c>
      <c r="T79" s="148">
        <v>60869</v>
      </c>
      <c r="U79" s="148">
        <v>79252</v>
      </c>
      <c r="V79" s="148"/>
      <c r="W79" s="148"/>
      <c r="X79" s="148"/>
      <c r="Y79" s="148"/>
      <c r="Z79" s="148"/>
      <c r="AA79" s="148"/>
      <c r="AB79" s="148"/>
      <c r="AC79" s="148"/>
      <c r="AD79" s="148"/>
      <c r="AF79" s="149">
        <f t="shared" si="9"/>
        <v>0.12602968735254069</v>
      </c>
      <c r="AG79" s="149">
        <f t="shared" si="9"/>
        <v>0.18539815012567973</v>
      </c>
      <c r="AH79" s="149">
        <f t="shared" si="9"/>
        <v>0.16735224347650532</v>
      </c>
      <c r="AI79" s="235" t="str">
        <f t="shared" si="9"/>
        <v/>
      </c>
      <c r="AJ79" s="235" t="str">
        <f t="shared" si="9"/>
        <v/>
      </c>
      <c r="AK79" s="235" t="str">
        <f t="shared" si="9"/>
        <v/>
      </c>
      <c r="AL79" s="149" t="str">
        <f t="shared" si="9"/>
        <v/>
      </c>
      <c r="AM79" s="149" t="str">
        <f t="shared" si="9"/>
        <v/>
      </c>
      <c r="AN79" s="149" t="str">
        <f t="shared" si="9"/>
        <v/>
      </c>
      <c r="AO79" s="149" t="str">
        <f t="shared" si="9"/>
        <v/>
      </c>
      <c r="AP79" s="149" t="str">
        <f t="shared" si="9"/>
        <v/>
      </c>
      <c r="AQ79" s="149" t="str">
        <f t="shared" si="9"/>
        <v/>
      </c>
    </row>
    <row r="80" spans="2:43" x14ac:dyDescent="0.3">
      <c r="B80" s="17"/>
      <c r="C80" s="226">
        <v>20601785961</v>
      </c>
      <c r="D80" s="155" t="s">
        <v>383</v>
      </c>
      <c r="F80" s="148">
        <v>44680</v>
      </c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S80" s="148">
        <v>469542</v>
      </c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F80" s="149">
        <f t="shared" si="9"/>
        <v>9.5156556814938814E-2</v>
      </c>
      <c r="AG80" s="149" t="str">
        <f t="shared" si="9"/>
        <v/>
      </c>
      <c r="AH80" s="149" t="str">
        <f t="shared" si="9"/>
        <v/>
      </c>
      <c r="AI80" s="235" t="str">
        <f t="shared" si="9"/>
        <v/>
      </c>
      <c r="AJ80" s="235" t="str">
        <f t="shared" si="9"/>
        <v/>
      </c>
      <c r="AK80" s="235" t="str">
        <f t="shared" si="9"/>
        <v/>
      </c>
      <c r="AL80" s="149" t="str">
        <f t="shared" si="9"/>
        <v/>
      </c>
      <c r="AM80" s="149" t="str">
        <f t="shared" si="9"/>
        <v/>
      </c>
      <c r="AN80" s="149" t="str">
        <f t="shared" si="9"/>
        <v/>
      </c>
      <c r="AO80" s="149" t="str">
        <f t="shared" si="9"/>
        <v/>
      </c>
      <c r="AP80" s="149" t="str">
        <f t="shared" si="9"/>
        <v/>
      </c>
      <c r="AQ80" s="149" t="str">
        <f t="shared" si="9"/>
        <v/>
      </c>
    </row>
    <row r="81" spans="2:43" x14ac:dyDescent="0.3">
      <c r="B81" s="17"/>
      <c r="C81" s="226">
        <v>20136096592</v>
      </c>
      <c r="D81" s="155" t="s">
        <v>384</v>
      </c>
      <c r="F81" s="148">
        <v>12180</v>
      </c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S81" s="148">
        <v>113960</v>
      </c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F81" s="149">
        <f t="shared" si="9"/>
        <v>0.10687960687960688</v>
      </c>
      <c r="AG81" s="149" t="str">
        <f t="shared" si="9"/>
        <v/>
      </c>
      <c r="AH81" s="149" t="str">
        <f t="shared" si="9"/>
        <v/>
      </c>
      <c r="AI81" s="235" t="str">
        <f t="shared" si="9"/>
        <v/>
      </c>
      <c r="AJ81" s="235" t="str">
        <f t="shared" si="9"/>
        <v/>
      </c>
      <c r="AK81" s="235" t="str">
        <f t="shared" si="9"/>
        <v/>
      </c>
      <c r="AL81" s="149" t="str">
        <f t="shared" si="9"/>
        <v/>
      </c>
      <c r="AM81" s="149" t="str">
        <f t="shared" si="9"/>
        <v/>
      </c>
      <c r="AN81" s="149" t="str">
        <f t="shared" si="9"/>
        <v/>
      </c>
      <c r="AO81" s="149" t="str">
        <f t="shared" si="9"/>
        <v/>
      </c>
      <c r="AP81" s="149" t="str">
        <f t="shared" si="9"/>
        <v/>
      </c>
      <c r="AQ81" s="149" t="str">
        <f t="shared" si="9"/>
        <v/>
      </c>
    </row>
    <row r="82" spans="2:43" x14ac:dyDescent="0.3">
      <c r="B82" s="17"/>
      <c r="C82" s="226">
        <v>20486562341</v>
      </c>
      <c r="D82" s="155" t="s">
        <v>385</v>
      </c>
      <c r="F82" s="148">
        <v>24147</v>
      </c>
      <c r="G82" s="148">
        <v>20330</v>
      </c>
      <c r="H82" s="148">
        <v>26875</v>
      </c>
      <c r="I82" s="148"/>
      <c r="J82" s="148"/>
      <c r="K82" s="148"/>
      <c r="L82" s="148"/>
      <c r="M82" s="148"/>
      <c r="N82" s="148"/>
      <c r="O82" s="148"/>
      <c r="P82" s="148"/>
      <c r="Q82" s="148"/>
      <c r="S82" s="148">
        <v>151652</v>
      </c>
      <c r="T82" s="148">
        <v>125301</v>
      </c>
      <c r="U82" s="148">
        <v>147220</v>
      </c>
      <c r="V82" s="148"/>
      <c r="W82" s="148"/>
      <c r="X82" s="148"/>
      <c r="Y82" s="148"/>
      <c r="Z82" s="148"/>
      <c r="AA82" s="148"/>
      <c r="AB82" s="148"/>
      <c r="AC82" s="148"/>
      <c r="AD82" s="148"/>
      <c r="AF82" s="149">
        <f t="shared" si="9"/>
        <v>0.15922638672750772</v>
      </c>
      <c r="AG82" s="149">
        <f t="shared" si="9"/>
        <v>0.16224930367674639</v>
      </c>
      <c r="AH82" s="149">
        <f t="shared" si="9"/>
        <v>0.18254992528189104</v>
      </c>
      <c r="AI82" s="235" t="str">
        <f t="shared" si="9"/>
        <v/>
      </c>
      <c r="AJ82" s="235" t="str">
        <f t="shared" si="9"/>
        <v/>
      </c>
      <c r="AK82" s="235" t="str">
        <f t="shared" si="9"/>
        <v/>
      </c>
      <c r="AL82" s="149" t="str">
        <f t="shared" si="9"/>
        <v/>
      </c>
      <c r="AM82" s="149" t="str">
        <f t="shared" si="9"/>
        <v/>
      </c>
      <c r="AN82" s="149" t="str">
        <f t="shared" si="9"/>
        <v/>
      </c>
      <c r="AO82" s="149" t="str">
        <f t="shared" si="9"/>
        <v/>
      </c>
      <c r="AP82" s="149" t="str">
        <f t="shared" si="9"/>
        <v/>
      </c>
      <c r="AQ82" s="149" t="str">
        <f t="shared" si="9"/>
        <v/>
      </c>
    </row>
    <row r="83" spans="2:43" x14ac:dyDescent="0.3">
      <c r="B83" s="17"/>
      <c r="C83" s="226">
        <v>71711119</v>
      </c>
      <c r="D83" s="155" t="s">
        <v>386</v>
      </c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F83" s="149" t="str">
        <f t="shared" si="9"/>
        <v/>
      </c>
      <c r="AG83" s="149" t="str">
        <f t="shared" si="9"/>
        <v/>
      </c>
      <c r="AH83" s="149" t="str">
        <f t="shared" si="9"/>
        <v/>
      </c>
      <c r="AI83" s="235" t="str">
        <f t="shared" si="9"/>
        <v/>
      </c>
      <c r="AJ83" s="235" t="str">
        <f t="shared" si="9"/>
        <v/>
      </c>
      <c r="AK83" s="235" t="str">
        <f t="shared" si="9"/>
        <v/>
      </c>
      <c r="AL83" s="149" t="str">
        <f t="shared" si="9"/>
        <v/>
      </c>
      <c r="AM83" s="149" t="str">
        <f t="shared" si="9"/>
        <v/>
      </c>
      <c r="AN83" s="149" t="str">
        <f t="shared" si="9"/>
        <v/>
      </c>
      <c r="AO83" s="149" t="str">
        <f t="shared" si="9"/>
        <v/>
      </c>
      <c r="AP83" s="149" t="str">
        <f t="shared" si="9"/>
        <v/>
      </c>
      <c r="AQ83" s="149" t="str">
        <f t="shared" si="9"/>
        <v/>
      </c>
    </row>
    <row r="84" spans="2:43" x14ac:dyDescent="0.3">
      <c r="B84" s="17"/>
      <c r="C84" s="226">
        <v>20504179215</v>
      </c>
      <c r="D84" s="155" t="s">
        <v>387</v>
      </c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F84" s="149" t="str">
        <f t="shared" si="9"/>
        <v/>
      </c>
      <c r="AG84" s="149" t="str">
        <f t="shared" si="9"/>
        <v/>
      </c>
      <c r="AH84" s="149" t="str">
        <f t="shared" si="9"/>
        <v/>
      </c>
      <c r="AI84" s="235" t="str">
        <f t="shared" si="9"/>
        <v/>
      </c>
      <c r="AJ84" s="235" t="str">
        <f t="shared" si="9"/>
        <v/>
      </c>
      <c r="AK84" s="235" t="str">
        <f t="shared" si="9"/>
        <v/>
      </c>
      <c r="AL84" s="149" t="str">
        <f t="shared" si="9"/>
        <v/>
      </c>
      <c r="AM84" s="149" t="str">
        <f t="shared" si="9"/>
        <v/>
      </c>
      <c r="AN84" s="149" t="str">
        <f t="shared" si="9"/>
        <v/>
      </c>
      <c r="AO84" s="149" t="str">
        <f t="shared" si="9"/>
        <v/>
      </c>
      <c r="AP84" s="149" t="str">
        <f t="shared" si="9"/>
        <v/>
      </c>
      <c r="AQ84" s="149" t="str">
        <f t="shared" si="9"/>
        <v/>
      </c>
    </row>
    <row r="85" spans="2:43" x14ac:dyDescent="0.3">
      <c r="B85" s="17"/>
      <c r="C85" s="226">
        <v>20514374032</v>
      </c>
      <c r="D85" s="155" t="s">
        <v>388</v>
      </c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F85" s="149" t="str">
        <f t="shared" si="9"/>
        <v/>
      </c>
      <c r="AG85" s="149" t="str">
        <f t="shared" si="9"/>
        <v/>
      </c>
      <c r="AH85" s="149" t="str">
        <f t="shared" si="9"/>
        <v/>
      </c>
      <c r="AI85" s="235" t="str">
        <f t="shared" si="9"/>
        <v/>
      </c>
      <c r="AJ85" s="235" t="str">
        <f t="shared" si="9"/>
        <v/>
      </c>
      <c r="AK85" s="235" t="str">
        <f t="shared" si="9"/>
        <v/>
      </c>
      <c r="AL85" s="149" t="str">
        <f t="shared" si="9"/>
        <v/>
      </c>
      <c r="AM85" s="149" t="str">
        <f t="shared" si="9"/>
        <v/>
      </c>
      <c r="AN85" s="149" t="str">
        <f t="shared" si="9"/>
        <v/>
      </c>
      <c r="AO85" s="149" t="str">
        <f t="shared" si="9"/>
        <v/>
      </c>
      <c r="AP85" s="149" t="str">
        <f t="shared" si="9"/>
        <v/>
      </c>
      <c r="AQ85" s="149" t="str">
        <f t="shared" si="9"/>
        <v/>
      </c>
    </row>
    <row r="86" spans="2:43" x14ac:dyDescent="0.3">
      <c r="B86" s="17"/>
      <c r="C86" s="226">
        <v>20515846949</v>
      </c>
      <c r="D86" s="155" t="s">
        <v>389</v>
      </c>
      <c r="F86" s="148">
        <v>11708</v>
      </c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S86" s="148">
        <v>24788</v>
      </c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F86" s="149">
        <f t="shared" si="9"/>
        <v>0.47232531870259803</v>
      </c>
      <c r="AG86" s="149" t="str">
        <f t="shared" si="9"/>
        <v/>
      </c>
      <c r="AH86" s="149" t="str">
        <f t="shared" si="9"/>
        <v/>
      </c>
      <c r="AI86" s="235" t="str">
        <f t="shared" si="9"/>
        <v/>
      </c>
      <c r="AJ86" s="235" t="str">
        <f t="shared" si="9"/>
        <v/>
      </c>
      <c r="AK86" s="235" t="str">
        <f t="shared" si="9"/>
        <v/>
      </c>
      <c r="AL86" s="149" t="str">
        <f t="shared" si="9"/>
        <v/>
      </c>
      <c r="AM86" s="149" t="str">
        <f t="shared" si="9"/>
        <v/>
      </c>
      <c r="AN86" s="149" t="str">
        <f t="shared" si="9"/>
        <v/>
      </c>
      <c r="AO86" s="149" t="str">
        <f t="shared" si="9"/>
        <v/>
      </c>
      <c r="AP86" s="149" t="str">
        <f t="shared" si="9"/>
        <v/>
      </c>
      <c r="AQ86" s="149" t="str">
        <f t="shared" si="9"/>
        <v/>
      </c>
    </row>
    <row r="87" spans="2:43" x14ac:dyDescent="0.3">
      <c r="B87" s="17"/>
      <c r="C87" s="226">
        <v>20513362596</v>
      </c>
      <c r="D87" s="155" t="s">
        <v>390</v>
      </c>
      <c r="F87" s="148">
        <v>7520</v>
      </c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S87" s="148">
        <v>107982</v>
      </c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F87" s="149">
        <f t="shared" si="9"/>
        <v>6.9641236502380022E-2</v>
      </c>
      <c r="AG87" s="149" t="str">
        <f t="shared" si="9"/>
        <v/>
      </c>
      <c r="AH87" s="149" t="str">
        <f t="shared" si="9"/>
        <v/>
      </c>
      <c r="AI87" s="235" t="str">
        <f t="shared" si="9"/>
        <v/>
      </c>
      <c r="AJ87" s="235" t="str">
        <f t="shared" si="9"/>
        <v/>
      </c>
      <c r="AK87" s="235" t="str">
        <f t="shared" si="9"/>
        <v/>
      </c>
      <c r="AL87" s="149" t="str">
        <f t="shared" si="9"/>
        <v/>
      </c>
      <c r="AM87" s="149" t="str">
        <f t="shared" si="9"/>
        <v/>
      </c>
      <c r="AN87" s="149" t="str">
        <f t="shared" si="9"/>
        <v/>
      </c>
      <c r="AO87" s="149" t="str">
        <f t="shared" si="9"/>
        <v/>
      </c>
      <c r="AP87" s="149" t="str">
        <f t="shared" si="9"/>
        <v/>
      </c>
      <c r="AQ87" s="149" t="str">
        <f t="shared" si="9"/>
        <v/>
      </c>
    </row>
    <row r="88" spans="2:43" x14ac:dyDescent="0.3">
      <c r="B88" s="14" t="s">
        <v>391</v>
      </c>
      <c r="C88" s="228"/>
      <c r="D88" s="14"/>
      <c r="F88" s="150">
        <f t="shared" ref="F88:Q88" si="10">+SUM(F68:F87)</f>
        <v>15224240</v>
      </c>
      <c r="G88" s="150">
        <f t="shared" si="10"/>
        <v>13795370</v>
      </c>
      <c r="H88" s="150">
        <f t="shared" si="10"/>
        <v>14989543</v>
      </c>
      <c r="I88" s="150">
        <f t="shared" si="10"/>
        <v>0</v>
      </c>
      <c r="J88" s="150">
        <f t="shared" si="10"/>
        <v>0</v>
      </c>
      <c r="K88" s="150">
        <f t="shared" si="10"/>
        <v>0</v>
      </c>
      <c r="L88" s="150">
        <f t="shared" si="10"/>
        <v>0</v>
      </c>
      <c r="M88" s="150">
        <f t="shared" si="10"/>
        <v>0</v>
      </c>
      <c r="N88" s="150">
        <f t="shared" si="10"/>
        <v>0</v>
      </c>
      <c r="O88" s="150">
        <f t="shared" si="10"/>
        <v>0</v>
      </c>
      <c r="P88" s="150">
        <f t="shared" si="10"/>
        <v>0</v>
      </c>
      <c r="Q88" s="150">
        <f t="shared" si="10"/>
        <v>0</v>
      </c>
      <c r="S88" s="150">
        <f t="shared" ref="S88:AD88" si="11">+SUM(S68:S87)</f>
        <v>119354833</v>
      </c>
      <c r="T88" s="150">
        <f t="shared" si="11"/>
        <v>108661832</v>
      </c>
      <c r="U88" s="150">
        <f t="shared" si="11"/>
        <v>119740342</v>
      </c>
      <c r="V88" s="150">
        <f t="shared" si="11"/>
        <v>0</v>
      </c>
      <c r="W88" s="150">
        <f t="shared" si="11"/>
        <v>0</v>
      </c>
      <c r="X88" s="150">
        <f t="shared" si="11"/>
        <v>0</v>
      </c>
      <c r="Y88" s="150">
        <f t="shared" si="11"/>
        <v>0</v>
      </c>
      <c r="Z88" s="150">
        <f t="shared" si="11"/>
        <v>0</v>
      </c>
      <c r="AA88" s="150">
        <f t="shared" si="11"/>
        <v>0</v>
      </c>
      <c r="AB88" s="150">
        <f t="shared" si="11"/>
        <v>0</v>
      </c>
      <c r="AC88" s="150">
        <f t="shared" si="11"/>
        <v>0</v>
      </c>
      <c r="AD88" s="150">
        <f t="shared" si="11"/>
        <v>0</v>
      </c>
      <c r="AF88" s="151">
        <f t="shared" si="9"/>
        <v>0.12755444934517229</v>
      </c>
      <c r="AG88" s="151">
        <f t="shared" si="9"/>
        <v>0.12695690608271726</v>
      </c>
      <c r="AH88" s="151">
        <f t="shared" si="9"/>
        <v>0.12518373298115351</v>
      </c>
      <c r="AI88" s="236" t="str">
        <f t="shared" si="9"/>
        <v/>
      </c>
      <c r="AJ88" s="236" t="str">
        <f t="shared" si="9"/>
        <v/>
      </c>
      <c r="AK88" s="236" t="str">
        <f t="shared" si="9"/>
        <v/>
      </c>
      <c r="AL88" s="151" t="str">
        <f t="shared" si="9"/>
        <v/>
      </c>
      <c r="AM88" s="151" t="str">
        <f t="shared" si="9"/>
        <v/>
      </c>
      <c r="AN88" s="151" t="str">
        <f t="shared" si="9"/>
        <v/>
      </c>
      <c r="AO88" s="151" t="str">
        <f t="shared" si="9"/>
        <v/>
      </c>
      <c r="AP88" s="151" t="str">
        <f t="shared" si="9"/>
        <v/>
      </c>
      <c r="AQ88" s="151" t="str">
        <f t="shared" si="9"/>
        <v/>
      </c>
    </row>
    <row r="89" spans="2:43" x14ac:dyDescent="0.3">
      <c r="B89" s="17"/>
      <c r="C89" s="226"/>
      <c r="D89" s="17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F89" s="153"/>
      <c r="AG89" s="153"/>
      <c r="AH89" s="153"/>
      <c r="AI89" s="237"/>
      <c r="AJ89" s="237"/>
      <c r="AK89" s="237"/>
      <c r="AL89" s="153"/>
      <c r="AM89" s="153"/>
      <c r="AN89" s="153"/>
      <c r="AO89" s="153"/>
    </row>
    <row r="90" spans="2:43" x14ac:dyDescent="0.3">
      <c r="B90" s="17" t="s">
        <v>91</v>
      </c>
      <c r="C90" s="226">
        <v>20492092313</v>
      </c>
      <c r="D90" s="155" t="s">
        <v>392</v>
      </c>
      <c r="F90" s="148">
        <v>10287255</v>
      </c>
      <c r="G90" s="148">
        <v>9991236</v>
      </c>
      <c r="H90" s="148">
        <v>12106673</v>
      </c>
      <c r="I90" s="148"/>
      <c r="J90" s="148"/>
      <c r="K90" s="148"/>
      <c r="L90" s="148"/>
      <c r="M90" s="148"/>
      <c r="N90" s="148"/>
      <c r="O90" s="148"/>
      <c r="P90" s="148"/>
      <c r="Q90" s="148"/>
      <c r="S90" s="148">
        <v>93206242</v>
      </c>
      <c r="T90" s="148">
        <v>92920431</v>
      </c>
      <c r="U90" s="148">
        <v>110385309</v>
      </c>
      <c r="V90" s="148"/>
      <c r="W90" s="148"/>
      <c r="X90" s="148"/>
      <c r="Y90" s="148"/>
      <c r="Z90" s="148"/>
      <c r="AA90" s="148"/>
      <c r="AB90" s="148"/>
      <c r="AC90" s="148"/>
      <c r="AD90" s="148"/>
      <c r="AF90" s="149">
        <f t="shared" ref="AF90:AQ110" si="12">+IFERROR(F90/S90,"")</f>
        <v>0.11037088052536224</v>
      </c>
      <c r="AG90" s="149">
        <f t="shared" si="12"/>
        <v>0.10752464116314743</v>
      </c>
      <c r="AH90" s="149">
        <f t="shared" si="12"/>
        <v>0.10967648783770674</v>
      </c>
      <c r="AI90" s="235" t="str">
        <f t="shared" si="12"/>
        <v/>
      </c>
      <c r="AJ90" s="235" t="str">
        <f t="shared" si="12"/>
        <v/>
      </c>
      <c r="AK90" s="235" t="str">
        <f t="shared" si="12"/>
        <v/>
      </c>
      <c r="AL90" s="149" t="str">
        <f t="shared" si="12"/>
        <v/>
      </c>
      <c r="AM90" s="149" t="str">
        <f t="shared" si="12"/>
        <v/>
      </c>
      <c r="AN90" s="149" t="str">
        <f t="shared" si="12"/>
        <v/>
      </c>
      <c r="AO90" s="149" t="str">
        <f t="shared" si="12"/>
        <v/>
      </c>
      <c r="AP90" s="149" t="str">
        <f t="shared" si="12"/>
        <v/>
      </c>
      <c r="AQ90" s="149" t="str">
        <f t="shared" si="12"/>
        <v/>
      </c>
    </row>
    <row r="91" spans="2:43" x14ac:dyDescent="0.3">
      <c r="B91" s="17"/>
      <c r="C91" s="226">
        <v>20141189850</v>
      </c>
      <c r="D91" s="155" t="s">
        <v>393</v>
      </c>
      <c r="F91" s="148">
        <v>919228</v>
      </c>
      <c r="G91" s="148"/>
      <c r="H91" s="148">
        <v>1399040</v>
      </c>
      <c r="I91" s="148"/>
      <c r="J91" s="148"/>
      <c r="K91" s="148"/>
      <c r="L91" s="148"/>
      <c r="M91" s="148"/>
      <c r="N91" s="148"/>
      <c r="O91" s="148"/>
      <c r="P91" s="148"/>
      <c r="Q91" s="148"/>
      <c r="S91" s="148">
        <v>8430564</v>
      </c>
      <c r="T91" s="148"/>
      <c r="U91" s="148">
        <v>11458968</v>
      </c>
      <c r="V91" s="148"/>
      <c r="W91" s="148"/>
      <c r="X91" s="148"/>
      <c r="Y91" s="148"/>
      <c r="Z91" s="148"/>
      <c r="AA91" s="148"/>
      <c r="AB91" s="148"/>
      <c r="AC91" s="148"/>
      <c r="AD91" s="148"/>
      <c r="AF91" s="149">
        <f t="shared" si="12"/>
        <v>0.10903517249854221</v>
      </c>
      <c r="AG91" s="149" t="str">
        <f t="shared" si="12"/>
        <v/>
      </c>
      <c r="AH91" s="149">
        <f t="shared" si="12"/>
        <v>0.12209127383897049</v>
      </c>
      <c r="AI91" s="235" t="str">
        <f t="shared" si="12"/>
        <v/>
      </c>
      <c r="AJ91" s="235" t="str">
        <f t="shared" si="12"/>
        <v/>
      </c>
      <c r="AK91" s="235" t="str">
        <f t="shared" si="12"/>
        <v/>
      </c>
      <c r="AL91" s="149" t="str">
        <f t="shared" si="12"/>
        <v/>
      </c>
      <c r="AM91" s="149" t="str">
        <f t="shared" si="12"/>
        <v/>
      </c>
      <c r="AN91" s="149" t="str">
        <f t="shared" si="12"/>
        <v/>
      </c>
      <c r="AO91" s="149" t="str">
        <f t="shared" si="12"/>
        <v/>
      </c>
      <c r="AP91" s="149" t="str">
        <f t="shared" si="12"/>
        <v/>
      </c>
      <c r="AQ91" s="149" t="str">
        <f t="shared" si="12"/>
        <v/>
      </c>
    </row>
    <row r="92" spans="2:43" x14ac:dyDescent="0.3">
      <c r="B92" s="17"/>
      <c r="C92" s="226">
        <v>20378890161</v>
      </c>
      <c r="D92" s="155" t="s">
        <v>394</v>
      </c>
      <c r="F92" s="148">
        <v>54694</v>
      </c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S92" s="148">
        <v>137527</v>
      </c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F92" s="149">
        <f t="shared" si="12"/>
        <v>0.39769645233299644</v>
      </c>
      <c r="AG92" s="149" t="str">
        <f t="shared" si="12"/>
        <v/>
      </c>
      <c r="AH92" s="149" t="str">
        <f t="shared" si="12"/>
        <v/>
      </c>
      <c r="AI92" s="235" t="str">
        <f t="shared" si="12"/>
        <v/>
      </c>
      <c r="AJ92" s="235" t="str">
        <f t="shared" si="12"/>
        <v/>
      </c>
      <c r="AK92" s="235" t="str">
        <f t="shared" si="12"/>
        <v/>
      </c>
      <c r="AL92" s="149" t="str">
        <f t="shared" si="12"/>
        <v/>
      </c>
      <c r="AM92" s="149" t="str">
        <f t="shared" si="12"/>
        <v/>
      </c>
      <c r="AN92" s="149" t="str">
        <f t="shared" si="12"/>
        <v/>
      </c>
      <c r="AO92" s="149" t="str">
        <f t="shared" si="12"/>
        <v/>
      </c>
      <c r="AP92" s="149" t="str">
        <f t="shared" si="12"/>
        <v/>
      </c>
      <c r="AQ92" s="149" t="str">
        <f t="shared" si="12"/>
        <v/>
      </c>
    </row>
    <row r="93" spans="2:43" x14ac:dyDescent="0.3">
      <c r="B93" s="17"/>
      <c r="C93" s="226">
        <v>20467675436</v>
      </c>
      <c r="D93" s="155" t="s">
        <v>395</v>
      </c>
      <c r="F93" s="148">
        <v>1635274</v>
      </c>
      <c r="G93" s="148">
        <v>1567458</v>
      </c>
      <c r="H93" s="148">
        <v>1572757</v>
      </c>
      <c r="I93" s="148"/>
      <c r="J93" s="148"/>
      <c r="K93" s="148"/>
      <c r="L93" s="148"/>
      <c r="M93" s="148"/>
      <c r="N93" s="148"/>
      <c r="O93" s="148"/>
      <c r="P93" s="148"/>
      <c r="Q93" s="148"/>
      <c r="S93" s="148">
        <v>13560212</v>
      </c>
      <c r="T93" s="148">
        <v>12716655</v>
      </c>
      <c r="U93" s="148">
        <v>13418229</v>
      </c>
      <c r="V93" s="148"/>
      <c r="W93" s="148"/>
      <c r="X93" s="148"/>
      <c r="Y93" s="148"/>
      <c r="Z93" s="148"/>
      <c r="AA93" s="148"/>
      <c r="AB93" s="148"/>
      <c r="AC93" s="148"/>
      <c r="AD93" s="148"/>
      <c r="AF93" s="149">
        <f t="shared" si="12"/>
        <v>0.12059354234284833</v>
      </c>
      <c r="AG93" s="149">
        <f t="shared" si="12"/>
        <v>0.12326024414439174</v>
      </c>
      <c r="AH93" s="149">
        <f t="shared" si="12"/>
        <v>0.11721047539135009</v>
      </c>
      <c r="AI93" s="235" t="str">
        <f t="shared" si="12"/>
        <v/>
      </c>
      <c r="AJ93" s="235" t="str">
        <f t="shared" si="12"/>
        <v/>
      </c>
      <c r="AK93" s="235" t="str">
        <f t="shared" si="12"/>
        <v/>
      </c>
      <c r="AL93" s="149" t="str">
        <f t="shared" si="12"/>
        <v/>
      </c>
      <c r="AM93" s="149" t="str">
        <f t="shared" si="12"/>
        <v/>
      </c>
      <c r="AN93" s="149" t="str">
        <f t="shared" si="12"/>
        <v/>
      </c>
      <c r="AO93" s="149" t="str">
        <f t="shared" si="12"/>
        <v/>
      </c>
      <c r="AP93" s="149" t="str">
        <f t="shared" si="12"/>
        <v/>
      </c>
      <c r="AQ93" s="149" t="str">
        <f t="shared" si="12"/>
        <v/>
      </c>
    </row>
    <row r="94" spans="2:43" x14ac:dyDescent="0.3">
      <c r="B94" s="17"/>
      <c r="C94" s="226">
        <v>20601844916</v>
      </c>
      <c r="D94" s="155" t="s">
        <v>396</v>
      </c>
      <c r="F94" s="148">
        <v>68208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S94" s="148">
        <v>535786</v>
      </c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F94" s="149">
        <f t="shared" si="12"/>
        <v>0.12730455816314723</v>
      </c>
      <c r="AG94" s="149" t="str">
        <f t="shared" si="12"/>
        <v/>
      </c>
      <c r="AH94" s="149" t="str">
        <f t="shared" si="12"/>
        <v/>
      </c>
      <c r="AI94" s="235" t="str">
        <f t="shared" si="12"/>
        <v/>
      </c>
      <c r="AJ94" s="235" t="str">
        <f t="shared" si="12"/>
        <v/>
      </c>
      <c r="AK94" s="235" t="str">
        <f t="shared" si="12"/>
        <v/>
      </c>
      <c r="AL94" s="149" t="str">
        <f t="shared" si="12"/>
        <v/>
      </c>
      <c r="AM94" s="149" t="str">
        <f t="shared" si="12"/>
        <v/>
      </c>
      <c r="AN94" s="149" t="str">
        <f t="shared" si="12"/>
        <v/>
      </c>
      <c r="AO94" s="149" t="str">
        <f t="shared" si="12"/>
        <v/>
      </c>
      <c r="AP94" s="149" t="str">
        <f t="shared" si="12"/>
        <v/>
      </c>
      <c r="AQ94" s="149" t="str">
        <f t="shared" si="12"/>
        <v/>
      </c>
    </row>
    <row r="95" spans="2:43" x14ac:dyDescent="0.3">
      <c r="B95" s="17"/>
      <c r="C95" s="226">
        <v>20502257987</v>
      </c>
      <c r="D95" s="155" t="s">
        <v>397</v>
      </c>
      <c r="F95" s="148">
        <v>390888</v>
      </c>
      <c r="G95" s="148">
        <v>366890</v>
      </c>
      <c r="H95" s="148">
        <v>445690</v>
      </c>
      <c r="I95" s="148"/>
      <c r="J95" s="148"/>
      <c r="K95" s="148"/>
      <c r="L95" s="148"/>
      <c r="M95" s="148"/>
      <c r="N95" s="148"/>
      <c r="O95" s="148"/>
      <c r="P95" s="148"/>
      <c r="Q95" s="148"/>
      <c r="S95" s="148">
        <v>5984803</v>
      </c>
      <c r="T95" s="148">
        <v>5189859</v>
      </c>
      <c r="U95" s="148">
        <v>5700166</v>
      </c>
      <c r="V95" s="148"/>
      <c r="W95" s="148"/>
      <c r="X95" s="148"/>
      <c r="Y95" s="148"/>
      <c r="Z95" s="148"/>
      <c r="AA95" s="148"/>
      <c r="AB95" s="148"/>
      <c r="AC95" s="148"/>
      <c r="AD95" s="148"/>
      <c r="AF95" s="149">
        <f t="shared" si="12"/>
        <v>6.5313428027622633E-2</v>
      </c>
      <c r="AG95" s="149">
        <f t="shared" si="12"/>
        <v>7.0693635414757899E-2</v>
      </c>
      <c r="AH95" s="149">
        <f t="shared" si="12"/>
        <v>7.8188950988444902E-2</v>
      </c>
      <c r="AI95" s="235" t="str">
        <f t="shared" si="12"/>
        <v/>
      </c>
      <c r="AJ95" s="235" t="str">
        <f t="shared" si="12"/>
        <v/>
      </c>
      <c r="AK95" s="235" t="str">
        <f t="shared" si="12"/>
        <v/>
      </c>
      <c r="AL95" s="149" t="str">
        <f t="shared" si="12"/>
        <v/>
      </c>
      <c r="AM95" s="149" t="str">
        <f t="shared" si="12"/>
        <v/>
      </c>
      <c r="AN95" s="149" t="str">
        <f t="shared" si="12"/>
        <v/>
      </c>
      <c r="AO95" s="149" t="str">
        <f t="shared" si="12"/>
        <v/>
      </c>
      <c r="AP95" s="149" t="str">
        <f t="shared" si="12"/>
        <v/>
      </c>
      <c r="AQ95" s="149" t="str">
        <f t="shared" si="12"/>
        <v/>
      </c>
    </row>
    <row r="96" spans="2:43" x14ac:dyDescent="0.3">
      <c r="B96" s="17"/>
      <c r="C96" s="226">
        <v>20340546653</v>
      </c>
      <c r="D96" s="155" t="s">
        <v>398</v>
      </c>
      <c r="F96" s="148">
        <v>47915</v>
      </c>
      <c r="G96" s="148">
        <v>52075</v>
      </c>
      <c r="H96" s="148">
        <v>95936</v>
      </c>
      <c r="I96" s="148"/>
      <c r="J96" s="148"/>
      <c r="K96" s="148"/>
      <c r="L96" s="148"/>
      <c r="M96" s="148"/>
      <c r="N96" s="148"/>
      <c r="O96" s="148"/>
      <c r="P96" s="148"/>
      <c r="Q96" s="148"/>
      <c r="S96" s="148">
        <v>427370</v>
      </c>
      <c r="T96" s="148">
        <v>332779</v>
      </c>
      <c r="U96" s="148">
        <v>456815</v>
      </c>
      <c r="V96" s="148"/>
      <c r="W96" s="148"/>
      <c r="X96" s="148"/>
      <c r="Y96" s="148"/>
      <c r="Z96" s="148"/>
      <c r="AA96" s="148"/>
      <c r="AB96" s="148"/>
      <c r="AC96" s="148"/>
      <c r="AD96" s="148"/>
      <c r="AF96" s="149">
        <f t="shared" si="12"/>
        <v>0.11211596508879894</v>
      </c>
      <c r="AG96" s="149">
        <f t="shared" si="12"/>
        <v>0.15648523494571473</v>
      </c>
      <c r="AH96" s="149">
        <f t="shared" si="12"/>
        <v>0.21001061698937207</v>
      </c>
      <c r="AI96" s="235" t="str">
        <f t="shared" si="12"/>
        <v/>
      </c>
      <c r="AJ96" s="235" t="str">
        <f t="shared" si="12"/>
        <v/>
      </c>
      <c r="AK96" s="235" t="str">
        <f t="shared" si="12"/>
        <v/>
      </c>
      <c r="AL96" s="149" t="str">
        <f t="shared" si="12"/>
        <v/>
      </c>
      <c r="AM96" s="149" t="str">
        <f t="shared" si="12"/>
        <v/>
      </c>
      <c r="AN96" s="149" t="str">
        <f t="shared" si="12"/>
        <v/>
      </c>
      <c r="AO96" s="149" t="str">
        <f t="shared" si="12"/>
        <v/>
      </c>
      <c r="AP96" s="149" t="str">
        <f t="shared" si="12"/>
        <v/>
      </c>
      <c r="AQ96" s="149" t="str">
        <f t="shared" si="12"/>
        <v/>
      </c>
    </row>
    <row r="97" spans="2:43" x14ac:dyDescent="0.3">
      <c r="B97" s="17"/>
      <c r="C97" s="226">
        <v>20388853752</v>
      </c>
      <c r="D97" s="155" t="s">
        <v>399</v>
      </c>
      <c r="F97" s="148">
        <v>213345</v>
      </c>
      <c r="G97" s="148">
        <v>166741</v>
      </c>
      <c r="H97" s="148">
        <v>194434</v>
      </c>
      <c r="I97" s="148"/>
      <c r="J97" s="148"/>
      <c r="K97" s="148"/>
      <c r="L97" s="148"/>
      <c r="M97" s="148"/>
      <c r="N97" s="148"/>
      <c r="O97" s="148"/>
      <c r="P97" s="148"/>
      <c r="Q97" s="148"/>
      <c r="S97" s="148">
        <v>1321509</v>
      </c>
      <c r="T97" s="148">
        <v>1106182</v>
      </c>
      <c r="U97" s="148">
        <v>1069599</v>
      </c>
      <c r="V97" s="148"/>
      <c r="W97" s="148"/>
      <c r="X97" s="148"/>
      <c r="Y97" s="148"/>
      <c r="Z97" s="148"/>
      <c r="AA97" s="148"/>
      <c r="AB97" s="148"/>
      <c r="AC97" s="148"/>
      <c r="AD97" s="148"/>
      <c r="AF97" s="149">
        <f t="shared" si="12"/>
        <v>0.16144044421944914</v>
      </c>
      <c r="AG97" s="149">
        <f t="shared" si="12"/>
        <v>0.15073559323872562</v>
      </c>
      <c r="AH97" s="149">
        <f t="shared" si="12"/>
        <v>0.18178214452332137</v>
      </c>
      <c r="AI97" s="235" t="str">
        <f t="shared" si="12"/>
        <v/>
      </c>
      <c r="AJ97" s="235" t="str">
        <f t="shared" si="12"/>
        <v/>
      </c>
      <c r="AK97" s="235" t="str">
        <f t="shared" si="12"/>
        <v/>
      </c>
      <c r="AL97" s="149" t="str">
        <f t="shared" si="12"/>
        <v/>
      </c>
      <c r="AM97" s="149" t="str">
        <f t="shared" si="12"/>
        <v/>
      </c>
      <c r="AN97" s="149" t="str">
        <f t="shared" si="12"/>
        <v/>
      </c>
      <c r="AO97" s="149" t="str">
        <f t="shared" si="12"/>
        <v/>
      </c>
      <c r="AP97" s="149" t="str">
        <f t="shared" si="12"/>
        <v/>
      </c>
      <c r="AQ97" s="149" t="str">
        <f t="shared" si="12"/>
        <v/>
      </c>
    </row>
    <row r="98" spans="2:43" x14ac:dyDescent="0.3">
      <c r="B98" s="17"/>
      <c r="C98" s="226">
        <v>20494007488</v>
      </c>
      <c r="D98" s="155" t="s">
        <v>400</v>
      </c>
      <c r="F98" s="148">
        <v>203954</v>
      </c>
      <c r="G98" s="148"/>
      <c r="H98" s="148">
        <v>313896</v>
      </c>
      <c r="I98" s="148"/>
      <c r="J98" s="148"/>
      <c r="K98" s="148"/>
      <c r="L98" s="148"/>
      <c r="M98" s="148"/>
      <c r="N98" s="148"/>
      <c r="O98" s="148"/>
      <c r="P98" s="148"/>
      <c r="Q98" s="148"/>
      <c r="S98" s="148">
        <v>1744035</v>
      </c>
      <c r="T98" s="148"/>
      <c r="U98" s="148">
        <v>2208319</v>
      </c>
      <c r="V98" s="148"/>
      <c r="W98" s="148"/>
      <c r="X98" s="148"/>
      <c r="Y98" s="148"/>
      <c r="Z98" s="148"/>
      <c r="AA98" s="148"/>
      <c r="AB98" s="148"/>
      <c r="AC98" s="148"/>
      <c r="AD98" s="148"/>
      <c r="AF98" s="149">
        <f t="shared" si="12"/>
        <v>0.11694375399576271</v>
      </c>
      <c r="AG98" s="149" t="str">
        <f t="shared" si="12"/>
        <v/>
      </c>
      <c r="AH98" s="149">
        <f t="shared" si="12"/>
        <v>0.14214250749099203</v>
      </c>
      <c r="AI98" s="235" t="str">
        <f t="shared" si="12"/>
        <v/>
      </c>
      <c r="AJ98" s="235" t="str">
        <f t="shared" si="12"/>
        <v/>
      </c>
      <c r="AK98" s="235" t="str">
        <f t="shared" si="12"/>
        <v/>
      </c>
      <c r="AL98" s="149" t="str">
        <f t="shared" si="12"/>
        <v/>
      </c>
      <c r="AM98" s="149" t="str">
        <f t="shared" si="12"/>
        <v/>
      </c>
      <c r="AN98" s="149" t="str">
        <f t="shared" si="12"/>
        <v/>
      </c>
      <c r="AO98" s="149" t="str">
        <f t="shared" si="12"/>
        <v/>
      </c>
      <c r="AP98" s="149" t="str">
        <f t="shared" si="12"/>
        <v/>
      </c>
      <c r="AQ98" s="149" t="str">
        <f t="shared" si="12"/>
        <v/>
      </c>
    </row>
    <row r="99" spans="2:43" x14ac:dyDescent="0.3">
      <c r="B99" s="17"/>
      <c r="C99" s="226">
        <v>20212331377</v>
      </c>
      <c r="D99" s="155" t="s">
        <v>401</v>
      </c>
      <c r="F99" s="148">
        <v>55284</v>
      </c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S99" s="148">
        <v>271157</v>
      </c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F99" s="149">
        <f t="shared" si="12"/>
        <v>0.20388188392702383</v>
      </c>
      <c r="AG99" s="149" t="str">
        <f t="shared" si="12"/>
        <v/>
      </c>
      <c r="AH99" s="149" t="str">
        <f t="shared" si="12"/>
        <v/>
      </c>
      <c r="AI99" s="235" t="str">
        <f t="shared" si="12"/>
        <v/>
      </c>
      <c r="AJ99" s="235" t="str">
        <f t="shared" si="12"/>
        <v/>
      </c>
      <c r="AK99" s="235" t="str">
        <f t="shared" si="12"/>
        <v/>
      </c>
      <c r="AL99" s="149" t="str">
        <f t="shared" si="12"/>
        <v/>
      </c>
      <c r="AM99" s="149" t="str">
        <f t="shared" si="12"/>
        <v/>
      </c>
      <c r="AN99" s="149" t="str">
        <f t="shared" si="12"/>
        <v/>
      </c>
      <c r="AO99" s="149" t="str">
        <f t="shared" si="12"/>
        <v/>
      </c>
      <c r="AP99" s="149" t="str">
        <f t="shared" si="12"/>
        <v/>
      </c>
      <c r="AQ99" s="149" t="str">
        <f t="shared" si="12"/>
        <v/>
      </c>
    </row>
    <row r="100" spans="2:43" x14ac:dyDescent="0.3">
      <c r="B100" s="17"/>
      <c r="C100" s="226">
        <v>20374412524</v>
      </c>
      <c r="D100" s="155" t="s">
        <v>402</v>
      </c>
      <c r="F100" s="148">
        <v>5638</v>
      </c>
      <c r="G100" s="148"/>
      <c r="H100" s="148">
        <v>37095</v>
      </c>
      <c r="I100" s="148"/>
      <c r="J100" s="148"/>
      <c r="K100" s="148"/>
      <c r="L100" s="148"/>
      <c r="M100" s="148"/>
      <c r="N100" s="148"/>
      <c r="O100" s="148"/>
      <c r="P100" s="148"/>
      <c r="Q100" s="148"/>
      <c r="S100" s="148">
        <v>58438</v>
      </c>
      <c r="T100" s="148"/>
      <c r="U100" s="148">
        <v>284455</v>
      </c>
      <c r="V100" s="148"/>
      <c r="W100" s="148"/>
      <c r="X100" s="148"/>
      <c r="Y100" s="148"/>
      <c r="Z100" s="148"/>
      <c r="AA100" s="148"/>
      <c r="AB100" s="148"/>
      <c r="AC100" s="148"/>
      <c r="AD100" s="148"/>
      <c r="AF100" s="149">
        <f t="shared" si="12"/>
        <v>9.6478318902084262E-2</v>
      </c>
      <c r="AG100" s="149" t="str">
        <f t="shared" si="12"/>
        <v/>
      </c>
      <c r="AH100" s="149">
        <f t="shared" si="12"/>
        <v>0.13040727004271327</v>
      </c>
      <c r="AI100" s="235" t="str">
        <f t="shared" si="12"/>
        <v/>
      </c>
      <c r="AJ100" s="235" t="str">
        <f t="shared" si="12"/>
        <v/>
      </c>
      <c r="AK100" s="235" t="str">
        <f t="shared" si="12"/>
        <v/>
      </c>
      <c r="AL100" s="149" t="str">
        <f t="shared" si="12"/>
        <v/>
      </c>
      <c r="AM100" s="149" t="str">
        <f t="shared" si="12"/>
        <v/>
      </c>
      <c r="AN100" s="149" t="str">
        <f t="shared" si="12"/>
        <v/>
      </c>
      <c r="AO100" s="149" t="str">
        <f t="shared" si="12"/>
        <v/>
      </c>
      <c r="AP100" s="149" t="str">
        <f t="shared" si="12"/>
        <v/>
      </c>
      <c r="AQ100" s="149" t="str">
        <f t="shared" si="12"/>
        <v/>
      </c>
    </row>
    <row r="101" spans="2:43" x14ac:dyDescent="0.3">
      <c r="B101" s="17"/>
      <c r="C101" s="226">
        <v>20492470873</v>
      </c>
      <c r="D101" s="155" t="s">
        <v>403</v>
      </c>
      <c r="F101" s="148">
        <v>173832</v>
      </c>
      <c r="G101" s="148">
        <v>217909</v>
      </c>
      <c r="H101" s="148">
        <v>228750</v>
      </c>
      <c r="I101" s="148"/>
      <c r="J101" s="148"/>
      <c r="K101" s="148"/>
      <c r="L101" s="148"/>
      <c r="M101" s="148"/>
      <c r="N101" s="148"/>
      <c r="O101" s="148"/>
      <c r="P101" s="148"/>
      <c r="Q101" s="148"/>
      <c r="S101" s="148">
        <v>1076058</v>
      </c>
      <c r="T101" s="148">
        <v>1274901</v>
      </c>
      <c r="U101" s="148">
        <v>1178567</v>
      </c>
      <c r="V101" s="148"/>
      <c r="W101" s="148"/>
      <c r="X101" s="148"/>
      <c r="Y101" s="148"/>
      <c r="Z101" s="148"/>
      <c r="AA101" s="148"/>
      <c r="AB101" s="148"/>
      <c r="AC101" s="148"/>
      <c r="AD101" s="148"/>
      <c r="AF101" s="149">
        <f t="shared" si="12"/>
        <v>0.16154519551920063</v>
      </c>
      <c r="AG101" s="149">
        <f t="shared" si="12"/>
        <v>0.17092229122104383</v>
      </c>
      <c r="AH101" s="149">
        <f t="shared" si="12"/>
        <v>0.19409163840494431</v>
      </c>
      <c r="AI101" s="235" t="str">
        <f t="shared" si="12"/>
        <v/>
      </c>
      <c r="AJ101" s="235" t="str">
        <f t="shared" si="12"/>
        <v/>
      </c>
      <c r="AK101" s="235" t="str">
        <f t="shared" si="12"/>
        <v/>
      </c>
      <c r="AL101" s="149" t="str">
        <f t="shared" si="12"/>
        <v/>
      </c>
      <c r="AM101" s="149" t="str">
        <f t="shared" si="12"/>
        <v/>
      </c>
      <c r="AN101" s="149" t="str">
        <f t="shared" si="12"/>
        <v/>
      </c>
      <c r="AO101" s="149" t="str">
        <f t="shared" si="12"/>
        <v/>
      </c>
      <c r="AP101" s="149" t="str">
        <f t="shared" si="12"/>
        <v/>
      </c>
      <c r="AQ101" s="149" t="str">
        <f t="shared" si="12"/>
        <v/>
      </c>
    </row>
    <row r="102" spans="2:43" x14ac:dyDescent="0.3">
      <c r="B102" s="17"/>
      <c r="C102" s="226">
        <v>20608122649</v>
      </c>
      <c r="D102" s="155" t="s">
        <v>404</v>
      </c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F102" s="149" t="str">
        <f t="shared" si="12"/>
        <v/>
      </c>
      <c r="AG102" s="149" t="str">
        <f t="shared" si="12"/>
        <v/>
      </c>
      <c r="AH102" s="149" t="str">
        <f t="shared" si="12"/>
        <v/>
      </c>
      <c r="AI102" s="235" t="str">
        <f t="shared" si="12"/>
        <v/>
      </c>
      <c r="AJ102" s="235" t="str">
        <f t="shared" si="12"/>
        <v/>
      </c>
      <c r="AK102" s="235" t="str">
        <f t="shared" si="12"/>
        <v/>
      </c>
      <c r="AL102" s="149" t="str">
        <f t="shared" si="12"/>
        <v/>
      </c>
      <c r="AM102" s="149" t="str">
        <f t="shared" si="12"/>
        <v/>
      </c>
      <c r="AN102" s="149" t="str">
        <f t="shared" si="12"/>
        <v/>
      </c>
      <c r="AO102" s="149" t="str">
        <f t="shared" si="12"/>
        <v/>
      </c>
      <c r="AP102" s="149" t="str">
        <f t="shared" si="12"/>
        <v/>
      </c>
      <c r="AQ102" s="149" t="str">
        <f t="shared" si="12"/>
        <v/>
      </c>
    </row>
    <row r="103" spans="2:43" x14ac:dyDescent="0.3">
      <c r="B103" s="17"/>
      <c r="C103" s="226">
        <v>20542290979</v>
      </c>
      <c r="D103" s="155" t="s">
        <v>405</v>
      </c>
      <c r="F103" s="148">
        <v>244213</v>
      </c>
      <c r="G103" s="148">
        <v>45597</v>
      </c>
      <c r="H103" s="148">
        <v>57985</v>
      </c>
      <c r="I103" s="148"/>
      <c r="J103" s="148"/>
      <c r="K103" s="148"/>
      <c r="L103" s="148"/>
      <c r="M103" s="148"/>
      <c r="N103" s="148"/>
      <c r="O103" s="148"/>
      <c r="P103" s="148"/>
      <c r="Q103" s="148"/>
      <c r="S103" s="148">
        <v>531556</v>
      </c>
      <c r="T103" s="148">
        <v>267126</v>
      </c>
      <c r="U103" s="148">
        <v>254428</v>
      </c>
      <c r="V103" s="148"/>
      <c r="W103" s="148"/>
      <c r="X103" s="148"/>
      <c r="Y103" s="148"/>
      <c r="Z103" s="148"/>
      <c r="AA103" s="148"/>
      <c r="AB103" s="148"/>
      <c r="AC103" s="148"/>
      <c r="AD103" s="148"/>
      <c r="AF103" s="149">
        <f t="shared" si="12"/>
        <v>0.45943042689763636</v>
      </c>
      <c r="AG103" s="149">
        <f t="shared" si="12"/>
        <v>0.1706947283304508</v>
      </c>
      <c r="AH103" s="149">
        <f t="shared" si="12"/>
        <v>0.22790337541465561</v>
      </c>
      <c r="AI103" s="235" t="str">
        <f t="shared" si="12"/>
        <v/>
      </c>
      <c r="AJ103" s="235" t="str">
        <f t="shared" si="12"/>
        <v/>
      </c>
      <c r="AK103" s="235" t="str">
        <f t="shared" si="12"/>
        <v/>
      </c>
      <c r="AL103" s="149" t="str">
        <f t="shared" si="12"/>
        <v/>
      </c>
      <c r="AM103" s="149" t="str">
        <f t="shared" si="12"/>
        <v/>
      </c>
      <c r="AN103" s="149" t="str">
        <f t="shared" si="12"/>
        <v/>
      </c>
      <c r="AO103" s="149" t="str">
        <f t="shared" si="12"/>
        <v/>
      </c>
      <c r="AP103" s="149" t="str">
        <f t="shared" si="12"/>
        <v/>
      </c>
      <c r="AQ103" s="149" t="str">
        <f t="shared" si="12"/>
        <v/>
      </c>
    </row>
    <row r="104" spans="2:43" x14ac:dyDescent="0.3">
      <c r="B104" s="17"/>
      <c r="C104" s="226">
        <v>20551701264</v>
      </c>
      <c r="D104" s="155" t="s">
        <v>406</v>
      </c>
      <c r="F104" s="148">
        <v>54816</v>
      </c>
      <c r="G104" s="148">
        <v>19119</v>
      </c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S104" s="148">
        <v>232523</v>
      </c>
      <c r="T104" s="148">
        <v>54162</v>
      </c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F104" s="149">
        <f t="shared" si="12"/>
        <v>0.23574442098201037</v>
      </c>
      <c r="AG104" s="149">
        <f t="shared" si="12"/>
        <v>0.35299656585798161</v>
      </c>
      <c r="AH104" s="149" t="str">
        <f t="shared" si="12"/>
        <v/>
      </c>
      <c r="AI104" s="235" t="str">
        <f t="shared" si="12"/>
        <v/>
      </c>
      <c r="AJ104" s="235" t="str">
        <f t="shared" si="12"/>
        <v/>
      </c>
      <c r="AK104" s="235" t="str">
        <f t="shared" si="12"/>
        <v/>
      </c>
      <c r="AL104" s="149" t="str">
        <f t="shared" si="12"/>
        <v/>
      </c>
      <c r="AM104" s="149" t="str">
        <f t="shared" si="12"/>
        <v/>
      </c>
      <c r="AN104" s="149" t="str">
        <f t="shared" si="12"/>
        <v/>
      </c>
      <c r="AO104" s="149" t="str">
        <f t="shared" si="12"/>
        <v/>
      </c>
      <c r="AP104" s="149" t="str">
        <f t="shared" si="12"/>
        <v/>
      </c>
      <c r="AQ104" s="149" t="str">
        <f t="shared" si="12"/>
        <v/>
      </c>
    </row>
    <row r="105" spans="2:43" x14ac:dyDescent="0.3">
      <c r="B105" s="17"/>
      <c r="C105" s="226">
        <v>20608931156</v>
      </c>
      <c r="D105" s="155" t="s">
        <v>407</v>
      </c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F105" s="149" t="str">
        <f t="shared" si="12"/>
        <v/>
      </c>
      <c r="AG105" s="149" t="str">
        <f t="shared" si="12"/>
        <v/>
      </c>
      <c r="AH105" s="149" t="str">
        <f t="shared" si="12"/>
        <v/>
      </c>
      <c r="AI105" s="235" t="str">
        <f t="shared" si="12"/>
        <v/>
      </c>
      <c r="AJ105" s="235" t="str">
        <f t="shared" si="12"/>
        <v/>
      </c>
      <c r="AK105" s="235" t="str">
        <f t="shared" si="12"/>
        <v/>
      </c>
      <c r="AL105" s="149" t="str">
        <f t="shared" si="12"/>
        <v/>
      </c>
      <c r="AM105" s="149" t="str">
        <f t="shared" si="12"/>
        <v/>
      </c>
      <c r="AN105" s="149" t="str">
        <f t="shared" si="12"/>
        <v/>
      </c>
      <c r="AO105" s="149" t="str">
        <f t="shared" si="12"/>
        <v/>
      </c>
      <c r="AP105" s="149" t="str">
        <f t="shared" si="12"/>
        <v/>
      </c>
      <c r="AQ105" s="149" t="str">
        <f t="shared" si="12"/>
        <v/>
      </c>
    </row>
    <row r="106" spans="2:43" x14ac:dyDescent="0.3">
      <c r="B106" s="17"/>
      <c r="C106" s="226">
        <v>20524257514</v>
      </c>
      <c r="D106" s="155" t="s">
        <v>408</v>
      </c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F106" s="149" t="str">
        <f t="shared" si="12"/>
        <v/>
      </c>
      <c r="AG106" s="149" t="str">
        <f t="shared" si="12"/>
        <v/>
      </c>
      <c r="AH106" s="149" t="str">
        <f t="shared" si="12"/>
        <v/>
      </c>
      <c r="AI106" s="235" t="str">
        <f t="shared" si="12"/>
        <v/>
      </c>
      <c r="AJ106" s="235" t="str">
        <f t="shared" si="12"/>
        <v/>
      </c>
      <c r="AK106" s="235" t="str">
        <f t="shared" si="12"/>
        <v/>
      </c>
      <c r="AL106" s="149" t="str">
        <f t="shared" si="12"/>
        <v/>
      </c>
      <c r="AM106" s="149" t="str">
        <f t="shared" si="12"/>
        <v/>
      </c>
      <c r="AN106" s="149" t="str">
        <f t="shared" si="12"/>
        <v/>
      </c>
      <c r="AO106" s="149" t="str">
        <f t="shared" si="12"/>
        <v/>
      </c>
      <c r="AP106" s="149" t="str">
        <f t="shared" si="12"/>
        <v/>
      </c>
      <c r="AQ106" s="149" t="str">
        <f t="shared" si="12"/>
        <v/>
      </c>
    </row>
    <row r="107" spans="2:43" x14ac:dyDescent="0.3">
      <c r="B107" s="17"/>
      <c r="C107" s="226">
        <v>20537519461</v>
      </c>
      <c r="D107" s="155" t="s">
        <v>409</v>
      </c>
      <c r="F107" s="148">
        <v>45282</v>
      </c>
      <c r="G107" s="148">
        <v>33725</v>
      </c>
      <c r="H107" s="148">
        <v>21153</v>
      </c>
      <c r="I107" s="148"/>
      <c r="J107" s="148"/>
      <c r="K107" s="148"/>
      <c r="L107" s="148"/>
      <c r="M107" s="148"/>
      <c r="N107" s="148"/>
      <c r="O107" s="148"/>
      <c r="P107" s="148"/>
      <c r="Q107" s="148"/>
      <c r="S107" s="148">
        <v>301630</v>
      </c>
      <c r="T107" s="148">
        <v>250076</v>
      </c>
      <c r="U107" s="148">
        <v>152315</v>
      </c>
      <c r="V107" s="148"/>
      <c r="W107" s="148"/>
      <c r="X107" s="148"/>
      <c r="Y107" s="148"/>
      <c r="Z107" s="148"/>
      <c r="AA107" s="148"/>
      <c r="AB107" s="148"/>
      <c r="AC107" s="148"/>
      <c r="AD107" s="148"/>
      <c r="AF107" s="149">
        <f t="shared" si="12"/>
        <v>0.1501243245035308</v>
      </c>
      <c r="AG107" s="149">
        <f t="shared" si="12"/>
        <v>0.1348590028631296</v>
      </c>
      <c r="AH107" s="149">
        <f t="shared" si="12"/>
        <v>0.13887667005875981</v>
      </c>
      <c r="AI107" s="235" t="str">
        <f t="shared" si="12"/>
        <v/>
      </c>
      <c r="AJ107" s="235" t="str">
        <f t="shared" si="12"/>
        <v/>
      </c>
      <c r="AK107" s="235" t="str">
        <f t="shared" si="12"/>
        <v/>
      </c>
      <c r="AL107" s="149" t="str">
        <f t="shared" si="12"/>
        <v/>
      </c>
      <c r="AM107" s="149" t="str">
        <f t="shared" si="12"/>
        <v/>
      </c>
      <c r="AN107" s="149" t="str">
        <f t="shared" si="12"/>
        <v/>
      </c>
      <c r="AO107" s="149" t="str">
        <f t="shared" si="12"/>
        <v/>
      </c>
      <c r="AP107" s="149" t="str">
        <f t="shared" si="12"/>
        <v/>
      </c>
      <c r="AQ107" s="149" t="str">
        <f t="shared" si="12"/>
        <v/>
      </c>
    </row>
    <row r="108" spans="2:43" x14ac:dyDescent="0.3">
      <c r="B108" s="17"/>
      <c r="C108" s="226">
        <v>20538827224</v>
      </c>
      <c r="D108" s="155" t="s">
        <v>410</v>
      </c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F108" s="149" t="str">
        <f t="shared" si="12"/>
        <v/>
      </c>
      <c r="AG108" s="149" t="str">
        <f t="shared" si="12"/>
        <v/>
      </c>
      <c r="AH108" s="149" t="str">
        <f t="shared" si="12"/>
        <v/>
      </c>
      <c r="AI108" s="235" t="str">
        <f t="shared" si="12"/>
        <v/>
      </c>
      <c r="AJ108" s="235" t="str">
        <f t="shared" si="12"/>
        <v/>
      </c>
      <c r="AK108" s="235" t="str">
        <f t="shared" si="12"/>
        <v/>
      </c>
      <c r="AL108" s="149" t="str">
        <f t="shared" si="12"/>
        <v/>
      </c>
      <c r="AM108" s="149" t="str">
        <f t="shared" si="12"/>
        <v/>
      </c>
      <c r="AN108" s="149" t="str">
        <f t="shared" si="12"/>
        <v/>
      </c>
      <c r="AO108" s="149" t="str">
        <f t="shared" si="12"/>
        <v/>
      </c>
      <c r="AP108" s="149" t="str">
        <f t="shared" si="12"/>
        <v/>
      </c>
      <c r="AQ108" s="149" t="str">
        <f t="shared" si="12"/>
        <v/>
      </c>
    </row>
    <row r="109" spans="2:43" x14ac:dyDescent="0.3">
      <c r="B109" s="17"/>
      <c r="C109" s="226">
        <v>20547839651</v>
      </c>
      <c r="D109" s="155" t="s">
        <v>411</v>
      </c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F109" s="149" t="str">
        <f t="shared" si="12"/>
        <v/>
      </c>
      <c r="AG109" s="149" t="str">
        <f t="shared" si="12"/>
        <v/>
      </c>
      <c r="AH109" s="149" t="str">
        <f t="shared" si="12"/>
        <v/>
      </c>
      <c r="AI109" s="235" t="str">
        <f t="shared" si="12"/>
        <v/>
      </c>
      <c r="AJ109" s="235" t="str">
        <f t="shared" si="12"/>
        <v/>
      </c>
      <c r="AK109" s="235" t="str">
        <f t="shared" si="12"/>
        <v/>
      </c>
      <c r="AL109" s="149" t="str">
        <f t="shared" si="12"/>
        <v/>
      </c>
      <c r="AM109" s="149" t="str">
        <f t="shared" si="12"/>
        <v/>
      </c>
      <c r="AN109" s="149" t="str">
        <f t="shared" si="12"/>
        <v/>
      </c>
      <c r="AO109" s="149" t="str">
        <f t="shared" si="12"/>
        <v/>
      </c>
      <c r="AP109" s="149" t="str">
        <f t="shared" si="12"/>
        <v/>
      </c>
      <c r="AQ109" s="149" t="str">
        <f t="shared" si="12"/>
        <v/>
      </c>
    </row>
    <row r="110" spans="2:43" x14ac:dyDescent="0.3">
      <c r="B110" s="14" t="s">
        <v>412</v>
      </c>
      <c r="C110" s="228"/>
      <c r="D110" s="14"/>
      <c r="F110" s="150">
        <f t="shared" ref="F110:Q110" si="13">+SUM(F90:F109)</f>
        <v>14399826</v>
      </c>
      <c r="G110" s="150">
        <f t="shared" si="13"/>
        <v>12460750</v>
      </c>
      <c r="H110" s="150">
        <f t="shared" si="13"/>
        <v>16473409</v>
      </c>
      <c r="I110" s="150">
        <f t="shared" si="13"/>
        <v>0</v>
      </c>
      <c r="J110" s="150">
        <f t="shared" si="13"/>
        <v>0</v>
      </c>
      <c r="K110" s="150">
        <f t="shared" si="13"/>
        <v>0</v>
      </c>
      <c r="L110" s="150">
        <f t="shared" si="13"/>
        <v>0</v>
      </c>
      <c r="M110" s="150">
        <f t="shared" si="13"/>
        <v>0</v>
      </c>
      <c r="N110" s="150">
        <f t="shared" si="13"/>
        <v>0</v>
      </c>
      <c r="O110" s="150">
        <f t="shared" si="13"/>
        <v>0</v>
      </c>
      <c r="P110" s="150">
        <f t="shared" si="13"/>
        <v>0</v>
      </c>
      <c r="Q110" s="150">
        <f t="shared" si="13"/>
        <v>0</v>
      </c>
      <c r="S110" s="150">
        <f t="shared" ref="S110:AD110" si="14">+SUM(S90:S109)</f>
        <v>127819410</v>
      </c>
      <c r="T110" s="150">
        <f t="shared" si="14"/>
        <v>114112171</v>
      </c>
      <c r="U110" s="150">
        <f t="shared" si="14"/>
        <v>146567170</v>
      </c>
      <c r="V110" s="150">
        <f t="shared" si="14"/>
        <v>0</v>
      </c>
      <c r="W110" s="150">
        <f t="shared" si="14"/>
        <v>0</v>
      </c>
      <c r="X110" s="150">
        <f t="shared" si="14"/>
        <v>0</v>
      </c>
      <c r="Y110" s="150">
        <f t="shared" si="14"/>
        <v>0</v>
      </c>
      <c r="Z110" s="150">
        <f t="shared" si="14"/>
        <v>0</v>
      </c>
      <c r="AA110" s="150">
        <f t="shared" si="14"/>
        <v>0</v>
      </c>
      <c r="AB110" s="150">
        <f t="shared" si="14"/>
        <v>0</v>
      </c>
      <c r="AC110" s="150">
        <f t="shared" si="14"/>
        <v>0</v>
      </c>
      <c r="AD110" s="150">
        <f t="shared" si="14"/>
        <v>0</v>
      </c>
      <c r="AF110" s="151">
        <f t="shared" si="12"/>
        <v>0.11265758463444636</v>
      </c>
      <c r="AG110" s="151">
        <f t="shared" si="12"/>
        <v>0.10919737912969862</v>
      </c>
      <c r="AH110" s="151">
        <f t="shared" si="12"/>
        <v>0.11239494492525168</v>
      </c>
      <c r="AI110" s="236" t="str">
        <f t="shared" si="12"/>
        <v/>
      </c>
      <c r="AJ110" s="236" t="str">
        <f t="shared" si="12"/>
        <v/>
      </c>
      <c r="AK110" s="236" t="str">
        <f t="shared" si="12"/>
        <v/>
      </c>
      <c r="AL110" s="151" t="str">
        <f t="shared" si="12"/>
        <v/>
      </c>
      <c r="AM110" s="151" t="str">
        <f t="shared" si="12"/>
        <v/>
      </c>
      <c r="AN110" s="151" t="str">
        <f t="shared" si="12"/>
        <v/>
      </c>
      <c r="AO110" s="151" t="str">
        <f t="shared" si="12"/>
        <v/>
      </c>
      <c r="AP110" s="151" t="str">
        <f t="shared" si="12"/>
        <v/>
      </c>
      <c r="AQ110" s="151" t="str">
        <f t="shared" si="12"/>
        <v/>
      </c>
    </row>
    <row r="111" spans="2:43" x14ac:dyDescent="0.3">
      <c r="B111" s="17"/>
      <c r="C111" s="226"/>
      <c r="D111" s="17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F111" s="11"/>
      <c r="AG111" s="11"/>
      <c r="AH111" s="11"/>
      <c r="AI111" s="238"/>
      <c r="AJ111" s="238"/>
      <c r="AK111" s="238"/>
      <c r="AL111" s="11"/>
      <c r="AM111" s="11"/>
      <c r="AN111" s="11"/>
      <c r="AO111" s="11"/>
    </row>
    <row r="112" spans="2:43" x14ac:dyDescent="0.3">
      <c r="B112" s="17"/>
      <c r="C112" s="226"/>
      <c r="D112" s="17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F112" s="11"/>
      <c r="AG112" s="11"/>
      <c r="AH112" s="11"/>
      <c r="AI112" s="238"/>
      <c r="AJ112" s="238"/>
      <c r="AK112" s="238"/>
      <c r="AL112" s="11"/>
      <c r="AM112" s="11"/>
      <c r="AN112" s="11"/>
      <c r="AO112" s="11"/>
    </row>
    <row r="113" spans="2:41" x14ac:dyDescent="0.3">
      <c r="B113" s="17"/>
      <c r="C113" s="226"/>
      <c r="D113" s="17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F113" s="11"/>
      <c r="AG113" s="11"/>
      <c r="AH113" s="11"/>
      <c r="AI113" s="238"/>
      <c r="AJ113" s="238"/>
      <c r="AK113" s="238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Vista Total</vt:lpstr>
      <vt:lpstr>Facturacion Visa</vt:lpstr>
      <vt:lpstr>Facturación Amex</vt:lpstr>
      <vt:lpstr>Facturación MasterCard</vt:lpstr>
      <vt:lpstr>Amex - mov x medio de tx</vt:lpstr>
      <vt:lpstr>Visa - txs x medio de tx</vt:lpstr>
      <vt:lpstr>Visa - imp x medio de tx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Julio Garaycochea</cp:lastModifiedBy>
  <cp:lastPrinted>2025-04-28T19:10:51Z</cp:lastPrinted>
  <dcterms:created xsi:type="dcterms:W3CDTF">2011-01-05T19:45:10Z</dcterms:created>
  <dcterms:modified xsi:type="dcterms:W3CDTF">2026-03-31T00:05:51Z</dcterms:modified>
</cp:coreProperties>
</file>