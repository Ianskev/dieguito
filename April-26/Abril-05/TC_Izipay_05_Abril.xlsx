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"/>
    </mc:Choice>
  </mc:AlternateContent>
  <xr:revisionPtr revIDLastSave="22" documentId="13_ncr:1_{F0BE6255-547B-4E78-8258-F244D109BE3F}" xr6:coauthVersionLast="47" xr6:coauthVersionMax="47" xr10:uidLastSave="{DF64799C-DF23-49AA-847F-6DCA65BC2676}"/>
  <bookViews>
    <workbookView minimized="1" xWindow="5590" yWindow="680" windowWidth="14400" windowHeight="8170" tabRatio="792" firstSheet="4" activeTab="7" xr2:uid="{00000000-000D-0000-FFFF-FFFF00000000}"/>
  </bookViews>
  <sheets>
    <sheet name="Vista Total" sheetId="1" r:id="rId1"/>
    <sheet name="Facturacion Visa" sheetId="2" r:id="rId2"/>
    <sheet name="Facturación Amex" sheetId="3" r:id="rId3"/>
    <sheet name="Facturación MasterCard" sheetId="14" r:id="rId4"/>
    <sheet name="Amex - mov x medio de tx" sheetId="13" r:id="rId5"/>
    <sheet name="Visa - txs x medio de tx" sheetId="11" r:id="rId6"/>
    <sheet name="Visa - imp x medio de tx" sheetId="12" r:id="rId7"/>
    <sheet name="Giro Crédito Visa" sheetId="5" r:id="rId8"/>
    <sheet name="Giro Débito Visa" sheetId="6" r:id="rId9"/>
    <sheet name="Giro Crédito Amex" sheetId="7" r:id="rId10"/>
    <sheet name="Giro Crédito MC" sheetId="8" r:id="rId11"/>
    <sheet name="Detalle Créd Visa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5" i="5" l="1"/>
  <c r="G235" i="5"/>
  <c r="AV236" i="6"/>
  <c r="AV203" i="6"/>
  <c r="AV204" i="6"/>
  <c r="AV205" i="6"/>
  <c r="AV206" i="6"/>
  <c r="AV207" i="6"/>
  <c r="AV208" i="6"/>
  <c r="AV209" i="6"/>
  <c r="AV210" i="6"/>
  <c r="AV211" i="6"/>
  <c r="AV212" i="6"/>
  <c r="AV213" i="6"/>
  <c r="AV214" i="6"/>
  <c r="AV215" i="6"/>
  <c r="AV216" i="6"/>
  <c r="AV217" i="6"/>
  <c r="AV218" i="6"/>
  <c r="AV219" i="6"/>
  <c r="AV220" i="6"/>
  <c r="AV221" i="6"/>
  <c r="AV222" i="6"/>
  <c r="AV223" i="6"/>
  <c r="AV224" i="6"/>
  <c r="AV225" i="6"/>
  <c r="AV226" i="6"/>
  <c r="AV227" i="6"/>
  <c r="AV228" i="6"/>
  <c r="AV229" i="6"/>
  <c r="AV230" i="6"/>
  <c r="AV231" i="6"/>
  <c r="AV232" i="6"/>
  <c r="AV233" i="6"/>
  <c r="AV144" i="7"/>
  <c r="AV145" i="7"/>
  <c r="AV146" i="7"/>
  <c r="AV147" i="7"/>
  <c r="AV148" i="7"/>
  <c r="AV149" i="7"/>
  <c r="AV150" i="7"/>
  <c r="AV151" i="7"/>
  <c r="AV152" i="7"/>
  <c r="AV153" i="7"/>
  <c r="AV154" i="7"/>
  <c r="AV155" i="7"/>
  <c r="AV156" i="7"/>
  <c r="AV157" i="7"/>
  <c r="AV158" i="7"/>
  <c r="AV159" i="7"/>
  <c r="AV160" i="7"/>
  <c r="AV161" i="7"/>
  <c r="AV162" i="7"/>
  <c r="AV163" i="7"/>
  <c r="AV164" i="7"/>
  <c r="AV165" i="7"/>
  <c r="AV166" i="7"/>
  <c r="AV167" i="7"/>
  <c r="AV168" i="7"/>
  <c r="AV169" i="7"/>
  <c r="AV170" i="7"/>
  <c r="AV171" i="7"/>
  <c r="AV172" i="7"/>
  <c r="AV173" i="7"/>
  <c r="AV174" i="7"/>
  <c r="AV175" i="7"/>
  <c r="AV176" i="7"/>
  <c r="AV177" i="7"/>
  <c r="AV178" i="7"/>
  <c r="AV179" i="7"/>
  <c r="AV180" i="7"/>
  <c r="AV181" i="7"/>
  <c r="AV182" i="7"/>
  <c r="AV183" i="7"/>
  <c r="AV184" i="7"/>
  <c r="AV185" i="7"/>
  <c r="AV186" i="7"/>
  <c r="AV187" i="7"/>
  <c r="AV188" i="7"/>
  <c r="AV189" i="7"/>
  <c r="AV190" i="7"/>
  <c r="AV191" i="7"/>
  <c r="AV192" i="7"/>
  <c r="AV193" i="7"/>
  <c r="AV194" i="7"/>
  <c r="AV195" i="7"/>
  <c r="AV196" i="7"/>
  <c r="AV197" i="7"/>
  <c r="AV198" i="7"/>
  <c r="AV199" i="7"/>
  <c r="AV200" i="7"/>
  <c r="AV201" i="7"/>
  <c r="AV202" i="7"/>
  <c r="AV203" i="7"/>
  <c r="AV204" i="7"/>
  <c r="AV205" i="7"/>
  <c r="AV206" i="7"/>
  <c r="AV207" i="7"/>
  <c r="AV208" i="7"/>
  <c r="AV209" i="7"/>
  <c r="AV210" i="7"/>
  <c r="AV211" i="7"/>
  <c r="AV212" i="7"/>
  <c r="AV213" i="7"/>
  <c r="AV214" i="7"/>
  <c r="AV215" i="7"/>
  <c r="AV216" i="7"/>
  <c r="AV217" i="7"/>
  <c r="AV218" i="7"/>
  <c r="AV219" i="7"/>
  <c r="AV220" i="7"/>
  <c r="AV221" i="7"/>
  <c r="AV222" i="7"/>
  <c r="AV223" i="7"/>
  <c r="AV224" i="7"/>
  <c r="AV225" i="7"/>
  <c r="AV226" i="7"/>
  <c r="AV227" i="7"/>
  <c r="AV228" i="7"/>
  <c r="AV229" i="7"/>
  <c r="AV230" i="7"/>
  <c r="AV231" i="7"/>
  <c r="AV232" i="7"/>
  <c r="AV233" i="7"/>
  <c r="AV234" i="7"/>
  <c r="AV235" i="7"/>
  <c r="AV236" i="7"/>
  <c r="AV237" i="7"/>
  <c r="AV238" i="7"/>
  <c r="AV239" i="7"/>
  <c r="AV240" i="7"/>
  <c r="AV241" i="7"/>
  <c r="AV242" i="7"/>
  <c r="S235" i="8" l="1"/>
  <c r="T235" i="8"/>
  <c r="U235" i="8"/>
  <c r="V235" i="8"/>
  <c r="W235" i="8"/>
  <c r="X235" i="8"/>
  <c r="Y235" i="8"/>
  <c r="Z235" i="8"/>
  <c r="AA235" i="8"/>
  <c r="AB235" i="8"/>
  <c r="AC235" i="8"/>
  <c r="R235" i="8"/>
  <c r="E235" i="8"/>
  <c r="F235" i="8"/>
  <c r="G235" i="8"/>
  <c r="H235" i="8"/>
  <c r="I235" i="8"/>
  <c r="J235" i="8"/>
  <c r="K235" i="8"/>
  <c r="L235" i="8"/>
  <c r="M235" i="8"/>
  <c r="N235" i="8"/>
  <c r="O235" i="8"/>
  <c r="D235" i="8"/>
  <c r="AT46" i="7"/>
  <c r="AU46" i="7"/>
  <c r="AT47" i="7"/>
  <c r="AU47" i="7"/>
  <c r="AT48" i="7"/>
  <c r="AU48" i="7"/>
  <c r="AT49" i="7"/>
  <c r="AU49" i="7"/>
  <c r="AT50" i="7"/>
  <c r="AU50" i="7"/>
  <c r="AT51" i="7"/>
  <c r="AU51" i="7"/>
  <c r="AT52" i="7"/>
  <c r="AU52" i="7"/>
  <c r="AT53" i="7"/>
  <c r="AU53" i="7"/>
  <c r="AT54" i="7"/>
  <c r="AU54" i="7"/>
  <c r="AT55" i="7"/>
  <c r="AU55" i="7"/>
  <c r="AT56" i="7"/>
  <c r="AU56" i="7"/>
  <c r="AT57" i="7"/>
  <c r="AU57" i="7"/>
  <c r="AT58" i="7"/>
  <c r="AU58" i="7"/>
  <c r="AT59" i="7"/>
  <c r="AU59" i="7"/>
  <c r="AT60" i="7"/>
  <c r="AU60" i="7"/>
  <c r="AT61" i="7"/>
  <c r="AU61" i="7"/>
  <c r="AT62" i="7"/>
  <c r="AU62" i="7"/>
  <c r="AT63" i="7"/>
  <c r="AU63" i="7"/>
  <c r="AT64" i="7"/>
  <c r="AU64" i="7"/>
  <c r="AT65" i="7"/>
  <c r="AU65" i="7"/>
  <c r="AT66" i="7"/>
  <c r="AU66" i="7"/>
  <c r="AT67" i="7"/>
  <c r="AU67" i="7"/>
  <c r="AT68" i="7"/>
  <c r="AU68" i="7"/>
  <c r="AT69" i="7"/>
  <c r="AU69" i="7"/>
  <c r="AT70" i="7"/>
  <c r="AU70" i="7"/>
  <c r="AT71" i="7"/>
  <c r="AU71" i="7"/>
  <c r="AT72" i="7"/>
  <c r="AU72" i="7"/>
  <c r="AT73" i="7"/>
  <c r="AU73" i="7"/>
  <c r="AT74" i="7"/>
  <c r="AU74" i="7"/>
  <c r="AT75" i="7"/>
  <c r="AU75" i="7"/>
  <c r="AT76" i="7"/>
  <c r="AU76" i="7"/>
  <c r="AT77" i="7"/>
  <c r="AU77" i="7"/>
  <c r="AT78" i="7"/>
  <c r="AU78" i="7"/>
  <c r="AT79" i="7"/>
  <c r="AU79" i="7"/>
  <c r="AT80" i="7"/>
  <c r="AU80" i="7"/>
  <c r="AT81" i="7"/>
  <c r="AU81" i="7"/>
  <c r="AT82" i="7"/>
  <c r="AU82" i="7"/>
  <c r="AT83" i="7"/>
  <c r="AU83" i="7"/>
  <c r="AT84" i="7"/>
  <c r="AU84" i="7"/>
  <c r="AT85" i="7"/>
  <c r="AU85" i="7"/>
  <c r="AT86" i="7"/>
  <c r="AU86" i="7"/>
  <c r="AT87" i="7"/>
  <c r="AU87" i="7"/>
  <c r="AT88" i="7"/>
  <c r="AU88" i="7"/>
  <c r="AT89" i="7"/>
  <c r="AU89" i="7"/>
  <c r="AT90" i="7"/>
  <c r="AU90" i="7"/>
  <c r="AT91" i="7"/>
  <c r="AU91" i="7"/>
  <c r="AT92" i="7"/>
  <c r="AU92" i="7"/>
  <c r="AT93" i="7"/>
  <c r="AU93" i="7"/>
  <c r="AT94" i="7"/>
  <c r="AU94" i="7"/>
  <c r="AT95" i="7"/>
  <c r="AU95" i="7"/>
  <c r="AT96" i="7"/>
  <c r="AU96" i="7"/>
  <c r="AT97" i="7"/>
  <c r="AU97" i="7"/>
  <c r="AT98" i="7"/>
  <c r="AU98" i="7"/>
  <c r="AT99" i="7"/>
  <c r="AU99" i="7"/>
  <c r="AT100" i="7"/>
  <c r="AU100" i="7"/>
  <c r="AT101" i="7"/>
  <c r="AU101" i="7"/>
  <c r="AT102" i="7"/>
  <c r="AU102" i="7"/>
  <c r="AT103" i="7"/>
  <c r="AU103" i="7"/>
  <c r="AT104" i="7"/>
  <c r="AU104" i="7"/>
  <c r="AT105" i="7"/>
  <c r="AU105" i="7"/>
  <c r="AT106" i="7"/>
  <c r="AU106" i="7"/>
  <c r="AT107" i="7"/>
  <c r="AU107" i="7"/>
  <c r="AT108" i="7"/>
  <c r="AU108" i="7"/>
  <c r="AT109" i="7"/>
  <c r="AU109" i="7"/>
  <c r="AT110" i="7"/>
  <c r="AU110" i="7"/>
  <c r="AT111" i="7"/>
  <c r="AU111" i="7"/>
  <c r="AT112" i="7"/>
  <c r="AU112" i="7"/>
  <c r="AT113" i="7"/>
  <c r="AU113" i="7"/>
  <c r="AT114" i="7"/>
  <c r="AU114" i="7"/>
  <c r="AT115" i="7"/>
  <c r="AU115" i="7"/>
  <c r="AT116" i="7"/>
  <c r="AU116" i="7"/>
  <c r="AT117" i="7"/>
  <c r="AU117" i="7"/>
  <c r="AT118" i="7"/>
  <c r="AU118" i="7"/>
  <c r="AT119" i="7"/>
  <c r="AU119" i="7"/>
  <c r="AT120" i="7"/>
  <c r="AU120" i="7"/>
  <c r="AT121" i="7"/>
  <c r="AU121" i="7"/>
  <c r="AT122" i="7"/>
  <c r="AU122" i="7"/>
  <c r="AT123" i="7"/>
  <c r="AU123" i="7"/>
  <c r="AT124" i="7"/>
  <c r="AU124" i="7"/>
  <c r="AT125" i="7"/>
  <c r="AU125" i="7"/>
  <c r="AT126" i="7"/>
  <c r="AU126" i="7"/>
  <c r="AT127" i="7"/>
  <c r="AU127" i="7"/>
  <c r="AT128" i="7"/>
  <c r="AU128" i="7"/>
  <c r="AT129" i="7"/>
  <c r="AU129" i="7"/>
  <c r="AT130" i="7"/>
  <c r="AU130" i="7"/>
  <c r="AT131" i="7"/>
  <c r="AU131" i="7"/>
  <c r="AT132" i="7"/>
  <c r="AU132" i="7"/>
  <c r="AT133" i="7"/>
  <c r="AU133" i="7"/>
  <c r="AT134" i="7"/>
  <c r="AU134" i="7"/>
  <c r="AT135" i="7"/>
  <c r="AU135" i="7"/>
  <c r="AT136" i="7"/>
  <c r="AU136" i="7"/>
  <c r="AT137" i="7"/>
  <c r="AU137" i="7"/>
  <c r="AT138" i="7"/>
  <c r="AU138" i="7"/>
  <c r="AT139" i="7"/>
  <c r="AU139" i="7"/>
  <c r="AT140" i="7"/>
  <c r="AU140" i="7"/>
  <c r="AT141" i="7"/>
  <c r="AU141" i="7"/>
  <c r="AT142" i="7"/>
  <c r="AU142" i="7"/>
  <c r="AT143" i="7"/>
  <c r="AU143" i="7"/>
  <c r="AT144" i="7"/>
  <c r="AU144" i="7"/>
  <c r="AT145" i="7"/>
  <c r="AU145" i="7"/>
  <c r="AT146" i="7"/>
  <c r="AU146" i="7"/>
  <c r="AT147" i="7"/>
  <c r="AU147" i="7"/>
  <c r="AT148" i="7"/>
  <c r="AU148" i="7"/>
  <c r="AT149" i="7"/>
  <c r="AU149" i="7"/>
  <c r="AT150" i="7"/>
  <c r="AU150" i="7"/>
  <c r="AT151" i="7"/>
  <c r="AU151" i="7"/>
  <c r="AT152" i="7"/>
  <c r="AU152" i="7"/>
  <c r="AT153" i="7"/>
  <c r="AU153" i="7"/>
  <c r="AT154" i="7"/>
  <c r="AU154" i="7"/>
  <c r="AT155" i="7"/>
  <c r="AU155" i="7"/>
  <c r="AT156" i="7"/>
  <c r="AU156" i="7"/>
  <c r="AT157" i="7"/>
  <c r="AU157" i="7"/>
  <c r="AT158" i="7"/>
  <c r="AU158" i="7"/>
  <c r="AT159" i="7"/>
  <c r="AU159" i="7"/>
  <c r="AT160" i="7"/>
  <c r="AU160" i="7"/>
  <c r="AT161" i="7"/>
  <c r="AU161" i="7"/>
  <c r="AT162" i="7"/>
  <c r="AU162" i="7"/>
  <c r="AT163" i="7"/>
  <c r="AU163" i="7"/>
  <c r="AT164" i="7"/>
  <c r="AU164" i="7"/>
  <c r="AT165" i="7"/>
  <c r="AU165" i="7"/>
  <c r="AT166" i="7"/>
  <c r="AU166" i="7"/>
  <c r="AT167" i="7"/>
  <c r="AU167" i="7"/>
  <c r="AT168" i="7"/>
  <c r="AU168" i="7"/>
  <c r="AT169" i="7"/>
  <c r="AU169" i="7"/>
  <c r="AT170" i="7"/>
  <c r="AU170" i="7"/>
  <c r="AT171" i="7"/>
  <c r="AU171" i="7"/>
  <c r="AT172" i="7"/>
  <c r="AU172" i="7"/>
  <c r="AT173" i="7"/>
  <c r="AU173" i="7"/>
  <c r="AT174" i="7"/>
  <c r="AU174" i="7"/>
  <c r="AT175" i="7"/>
  <c r="AU175" i="7"/>
  <c r="AT176" i="7"/>
  <c r="AU176" i="7"/>
  <c r="AT177" i="7"/>
  <c r="AU177" i="7"/>
  <c r="AT178" i="7"/>
  <c r="AU178" i="7"/>
  <c r="AT179" i="7"/>
  <c r="AU179" i="7"/>
  <c r="AT180" i="7"/>
  <c r="AU180" i="7"/>
  <c r="AT181" i="7"/>
  <c r="AU181" i="7"/>
  <c r="AT182" i="7"/>
  <c r="AU182" i="7"/>
  <c r="AT183" i="7"/>
  <c r="AU183" i="7"/>
  <c r="AT184" i="7"/>
  <c r="AU184" i="7"/>
  <c r="AT185" i="7"/>
  <c r="AU185" i="7"/>
  <c r="AT186" i="7"/>
  <c r="AU186" i="7"/>
  <c r="AT187" i="7"/>
  <c r="AU187" i="7"/>
  <c r="AT188" i="7"/>
  <c r="AU188" i="7"/>
  <c r="AT189" i="7"/>
  <c r="AU189" i="7"/>
  <c r="AT190" i="7"/>
  <c r="AU190" i="7"/>
  <c r="AT191" i="7"/>
  <c r="AU191" i="7"/>
  <c r="AT192" i="7"/>
  <c r="AU192" i="7"/>
  <c r="AT193" i="7"/>
  <c r="AU193" i="7"/>
  <c r="AT194" i="7"/>
  <c r="AU194" i="7"/>
  <c r="AT195" i="7"/>
  <c r="AU195" i="7"/>
  <c r="AT196" i="7"/>
  <c r="AU196" i="7"/>
  <c r="AT197" i="7"/>
  <c r="AU197" i="7"/>
  <c r="AT198" i="7"/>
  <c r="AU198" i="7"/>
  <c r="AT199" i="7"/>
  <c r="AU199" i="7"/>
  <c r="AT200" i="7"/>
  <c r="AU200" i="7"/>
  <c r="AT201" i="7"/>
  <c r="AU201" i="7"/>
  <c r="AT202" i="7"/>
  <c r="AU202" i="7"/>
  <c r="AT203" i="7"/>
  <c r="AU203" i="7"/>
  <c r="AT204" i="7"/>
  <c r="AU204" i="7"/>
  <c r="AT205" i="7"/>
  <c r="AU205" i="7"/>
  <c r="AT206" i="7"/>
  <c r="AU206" i="7"/>
  <c r="AT207" i="7"/>
  <c r="AU207" i="7"/>
  <c r="AT208" i="7"/>
  <c r="AU208" i="7"/>
  <c r="AT209" i="7"/>
  <c r="AU209" i="7"/>
  <c r="AT210" i="7"/>
  <c r="AU210" i="7"/>
  <c r="AT211" i="7"/>
  <c r="AU211" i="7"/>
  <c r="AT212" i="7"/>
  <c r="AU212" i="7"/>
  <c r="AT213" i="7"/>
  <c r="AU213" i="7"/>
  <c r="AT214" i="7"/>
  <c r="AU214" i="7"/>
  <c r="AT215" i="7"/>
  <c r="AU215" i="7"/>
  <c r="AT216" i="7"/>
  <c r="AU216" i="7"/>
  <c r="AT217" i="7"/>
  <c r="AU217" i="7"/>
  <c r="AT218" i="7"/>
  <c r="AU218" i="7"/>
  <c r="AT219" i="7"/>
  <c r="AU219" i="7"/>
  <c r="AT220" i="7"/>
  <c r="AU220" i="7"/>
  <c r="AT221" i="7"/>
  <c r="AU221" i="7"/>
  <c r="AT222" i="7"/>
  <c r="AU222" i="7"/>
  <c r="AT223" i="7"/>
  <c r="AU223" i="7"/>
  <c r="AT224" i="7"/>
  <c r="AU224" i="7"/>
  <c r="AT225" i="7"/>
  <c r="AU225" i="7"/>
  <c r="AT226" i="7"/>
  <c r="AU226" i="7"/>
  <c r="AT227" i="7"/>
  <c r="AU227" i="7"/>
  <c r="AT228" i="7"/>
  <c r="AU228" i="7"/>
  <c r="AT229" i="7"/>
  <c r="AU229" i="7"/>
  <c r="AT230" i="7"/>
  <c r="AU230" i="7"/>
  <c r="AT231" i="7"/>
  <c r="AU231" i="7"/>
  <c r="AT232" i="7"/>
  <c r="AU232" i="7"/>
  <c r="AT233" i="7"/>
  <c r="AU233" i="7"/>
  <c r="AT234" i="7"/>
  <c r="AU234" i="7"/>
  <c r="AT235" i="7"/>
  <c r="AU235" i="7"/>
  <c r="AT236" i="7"/>
  <c r="AU236" i="7"/>
  <c r="AT237" i="7"/>
  <c r="AU237" i="7"/>
  <c r="AT238" i="7"/>
  <c r="AU238" i="7"/>
  <c r="AT239" i="7"/>
  <c r="AU239" i="7"/>
  <c r="AT240" i="7"/>
  <c r="AU240" i="7"/>
  <c r="AT241" i="7"/>
  <c r="AU241" i="7"/>
  <c r="AT242" i="7"/>
  <c r="AU242" i="7"/>
  <c r="AT243" i="7"/>
  <c r="AU243" i="7"/>
  <c r="AT244" i="7"/>
  <c r="AU244" i="7"/>
  <c r="AT245" i="7"/>
  <c r="AU245" i="7"/>
  <c r="AT246" i="7"/>
  <c r="AU246" i="7"/>
  <c r="AT247" i="7"/>
  <c r="AU247" i="7"/>
  <c r="AT248" i="7"/>
  <c r="AU248" i="7"/>
  <c r="AT249" i="7"/>
  <c r="AU249" i="7"/>
  <c r="AT250" i="7"/>
  <c r="AU250" i="7"/>
  <c r="AT251" i="7"/>
  <c r="AU251" i="7"/>
  <c r="AT252" i="7"/>
  <c r="AU252" i="7"/>
  <c r="AT253" i="7"/>
  <c r="AU253" i="7"/>
  <c r="AT254" i="7"/>
  <c r="AU254" i="7"/>
  <c r="AT255" i="7"/>
  <c r="AU255" i="7"/>
  <c r="AT256" i="7"/>
  <c r="AU256" i="7"/>
  <c r="S256" i="7"/>
  <c r="T256" i="7"/>
  <c r="U256" i="7"/>
  <c r="V256" i="7"/>
  <c r="W256" i="7"/>
  <c r="X256" i="7"/>
  <c r="Y256" i="7"/>
  <c r="Z256" i="7"/>
  <c r="AA256" i="7"/>
  <c r="AB256" i="7"/>
  <c r="AC256" i="7"/>
  <c r="AO256" i="7"/>
  <c r="AP256" i="7"/>
  <c r="R256" i="7"/>
  <c r="E256" i="7"/>
  <c r="F256" i="7"/>
  <c r="G256" i="7"/>
  <c r="H256" i="7"/>
  <c r="I256" i="7"/>
  <c r="J256" i="7"/>
  <c r="K256" i="7"/>
  <c r="L256" i="7"/>
  <c r="M256" i="7"/>
  <c r="N256" i="7"/>
  <c r="O256" i="7"/>
  <c r="D256" i="7"/>
  <c r="AT45" i="6"/>
  <c r="AU45" i="6"/>
  <c r="AT46" i="6"/>
  <c r="AU46" i="6"/>
  <c r="AT47" i="6"/>
  <c r="AU47" i="6"/>
  <c r="AT48" i="6"/>
  <c r="AU48" i="6"/>
  <c r="AT49" i="6"/>
  <c r="AU49" i="6"/>
  <c r="AT50" i="6"/>
  <c r="AU50" i="6"/>
  <c r="AT51" i="6"/>
  <c r="AU51" i="6"/>
  <c r="AT52" i="6"/>
  <c r="AU52" i="6"/>
  <c r="AT53" i="6"/>
  <c r="AU53" i="6"/>
  <c r="AT54" i="6"/>
  <c r="AU54" i="6"/>
  <c r="AT55" i="6"/>
  <c r="AU55" i="6"/>
  <c r="AT56" i="6"/>
  <c r="AU56" i="6"/>
  <c r="AT57" i="6"/>
  <c r="AU57" i="6"/>
  <c r="AT58" i="6"/>
  <c r="AU58" i="6"/>
  <c r="AT59" i="6"/>
  <c r="AU59" i="6"/>
  <c r="AT60" i="6"/>
  <c r="AU60" i="6"/>
  <c r="AT61" i="6"/>
  <c r="AU61" i="6"/>
  <c r="AT62" i="6"/>
  <c r="AU62" i="6"/>
  <c r="AT63" i="6"/>
  <c r="AU63" i="6"/>
  <c r="AT64" i="6"/>
  <c r="AU64" i="6"/>
  <c r="AT65" i="6"/>
  <c r="AU65" i="6"/>
  <c r="AT66" i="6"/>
  <c r="AU66" i="6"/>
  <c r="AT67" i="6"/>
  <c r="AU67" i="6"/>
  <c r="AT68" i="6"/>
  <c r="AU68" i="6"/>
  <c r="AT69" i="6"/>
  <c r="AU69" i="6"/>
  <c r="AT70" i="6"/>
  <c r="AU70" i="6"/>
  <c r="AT71" i="6"/>
  <c r="AU71" i="6"/>
  <c r="AT72" i="6"/>
  <c r="AU72" i="6"/>
  <c r="AT73" i="6"/>
  <c r="AU73" i="6"/>
  <c r="AT74" i="6"/>
  <c r="AU74" i="6"/>
  <c r="AT75" i="6"/>
  <c r="AU75" i="6"/>
  <c r="AT76" i="6"/>
  <c r="AU76" i="6"/>
  <c r="AT77" i="6"/>
  <c r="AU77" i="6"/>
  <c r="AT78" i="6"/>
  <c r="AU78" i="6"/>
  <c r="AT79" i="6"/>
  <c r="AU79" i="6"/>
  <c r="AT80" i="6"/>
  <c r="AU80" i="6"/>
  <c r="AT81" i="6"/>
  <c r="AU81" i="6"/>
  <c r="AT82" i="6"/>
  <c r="AU82" i="6"/>
  <c r="AT83" i="6"/>
  <c r="AU83" i="6"/>
  <c r="AT84" i="6"/>
  <c r="AU84" i="6"/>
  <c r="AT85" i="6"/>
  <c r="AU85" i="6"/>
  <c r="AT86" i="6"/>
  <c r="AU86" i="6"/>
  <c r="AT87" i="6"/>
  <c r="AU87" i="6"/>
  <c r="AT88" i="6"/>
  <c r="AU88" i="6"/>
  <c r="AT89" i="6"/>
  <c r="AU89" i="6"/>
  <c r="AT90" i="6"/>
  <c r="AU90" i="6"/>
  <c r="AT91" i="6"/>
  <c r="AU91" i="6"/>
  <c r="AT92" i="6"/>
  <c r="AU92" i="6"/>
  <c r="AT93" i="6"/>
  <c r="AU93" i="6"/>
  <c r="AT94" i="6"/>
  <c r="AU94" i="6"/>
  <c r="AT95" i="6"/>
  <c r="AU95" i="6"/>
  <c r="AT96" i="6"/>
  <c r="AU96" i="6"/>
  <c r="AT97" i="6"/>
  <c r="AU97" i="6"/>
  <c r="AT98" i="6"/>
  <c r="AU98" i="6"/>
  <c r="AT99" i="6"/>
  <c r="AU99" i="6"/>
  <c r="AT100" i="6"/>
  <c r="AU100" i="6"/>
  <c r="AT101" i="6"/>
  <c r="AU101" i="6"/>
  <c r="AT102" i="6"/>
  <c r="AU102" i="6"/>
  <c r="AT103" i="6"/>
  <c r="AU103" i="6"/>
  <c r="AT104" i="6"/>
  <c r="AU104" i="6"/>
  <c r="AT105" i="6"/>
  <c r="AU105" i="6"/>
  <c r="AT106" i="6"/>
  <c r="AU106" i="6"/>
  <c r="AT107" i="6"/>
  <c r="AU107" i="6"/>
  <c r="AT108" i="6"/>
  <c r="AU108" i="6"/>
  <c r="AT109" i="6"/>
  <c r="AU109" i="6"/>
  <c r="AT110" i="6"/>
  <c r="AU110" i="6"/>
  <c r="AT111" i="6"/>
  <c r="AU111" i="6"/>
  <c r="AT112" i="6"/>
  <c r="AU112" i="6"/>
  <c r="AT113" i="6"/>
  <c r="AU113" i="6"/>
  <c r="AT114" i="6"/>
  <c r="AU114" i="6"/>
  <c r="AT115" i="6"/>
  <c r="AU115" i="6"/>
  <c r="AT116" i="6"/>
  <c r="AU116" i="6"/>
  <c r="AT117" i="6"/>
  <c r="AU117" i="6"/>
  <c r="AT118" i="6"/>
  <c r="AU118" i="6"/>
  <c r="AT119" i="6"/>
  <c r="AU119" i="6"/>
  <c r="AT120" i="6"/>
  <c r="AU120" i="6"/>
  <c r="AT121" i="6"/>
  <c r="AU121" i="6"/>
  <c r="AT122" i="6"/>
  <c r="AU122" i="6"/>
  <c r="AT123" i="6"/>
  <c r="AU123" i="6"/>
  <c r="AT124" i="6"/>
  <c r="AU124" i="6"/>
  <c r="AT125" i="6"/>
  <c r="AU125" i="6"/>
  <c r="AT126" i="6"/>
  <c r="AU126" i="6"/>
  <c r="AT127" i="6"/>
  <c r="AU127" i="6"/>
  <c r="AT128" i="6"/>
  <c r="AU128" i="6"/>
  <c r="AT129" i="6"/>
  <c r="AU129" i="6"/>
  <c r="AT130" i="6"/>
  <c r="AU130" i="6"/>
  <c r="AT131" i="6"/>
  <c r="AU131" i="6"/>
  <c r="AT132" i="6"/>
  <c r="AU132" i="6"/>
  <c r="AT133" i="6"/>
  <c r="AU133" i="6"/>
  <c r="AT134" i="6"/>
  <c r="AU134" i="6"/>
  <c r="AT135" i="6"/>
  <c r="AU135" i="6"/>
  <c r="AT136" i="6"/>
  <c r="AU136" i="6"/>
  <c r="AT137" i="6"/>
  <c r="AU137" i="6"/>
  <c r="AT138" i="6"/>
  <c r="AU138" i="6"/>
  <c r="AT139" i="6"/>
  <c r="AU139" i="6"/>
  <c r="AT140" i="6"/>
  <c r="AU140" i="6"/>
  <c r="AT141" i="6"/>
  <c r="AU141" i="6"/>
  <c r="AT142" i="6"/>
  <c r="AU142" i="6"/>
  <c r="AT143" i="6"/>
  <c r="AU143" i="6"/>
  <c r="AT144" i="6"/>
  <c r="AU144" i="6"/>
  <c r="AT145" i="6"/>
  <c r="AU145" i="6"/>
  <c r="AT146" i="6"/>
  <c r="AU146" i="6"/>
  <c r="AT147" i="6"/>
  <c r="AU147" i="6"/>
  <c r="AT148" i="6"/>
  <c r="AU148" i="6"/>
  <c r="AT149" i="6"/>
  <c r="AU149" i="6"/>
  <c r="AT150" i="6"/>
  <c r="AU150" i="6"/>
  <c r="AT151" i="6"/>
  <c r="AU151" i="6"/>
  <c r="AT152" i="6"/>
  <c r="AU152" i="6"/>
  <c r="AT153" i="6"/>
  <c r="AU153" i="6"/>
  <c r="AT154" i="6"/>
  <c r="AU154" i="6"/>
  <c r="AT155" i="6"/>
  <c r="AU155" i="6"/>
  <c r="AT156" i="6"/>
  <c r="AU156" i="6"/>
  <c r="AT157" i="6"/>
  <c r="AU157" i="6"/>
  <c r="AT158" i="6"/>
  <c r="AU158" i="6"/>
  <c r="AT159" i="6"/>
  <c r="AU159" i="6"/>
  <c r="AT160" i="6"/>
  <c r="AU160" i="6"/>
  <c r="AT161" i="6"/>
  <c r="AU161" i="6"/>
  <c r="AT162" i="6"/>
  <c r="AU162" i="6"/>
  <c r="AT163" i="6"/>
  <c r="AU163" i="6"/>
  <c r="AT164" i="6"/>
  <c r="AU164" i="6"/>
  <c r="AT165" i="6"/>
  <c r="AU165" i="6"/>
  <c r="AT166" i="6"/>
  <c r="AU166" i="6"/>
  <c r="AT167" i="6"/>
  <c r="AU167" i="6"/>
  <c r="AT168" i="6"/>
  <c r="AU168" i="6"/>
  <c r="AT169" i="6"/>
  <c r="AU169" i="6"/>
  <c r="AT170" i="6"/>
  <c r="AU170" i="6"/>
  <c r="AT171" i="6"/>
  <c r="AU171" i="6"/>
  <c r="AT172" i="6"/>
  <c r="AU172" i="6"/>
  <c r="AT173" i="6"/>
  <c r="AU173" i="6"/>
  <c r="AT174" i="6"/>
  <c r="AU174" i="6"/>
  <c r="AT175" i="6"/>
  <c r="AU175" i="6"/>
  <c r="AT176" i="6"/>
  <c r="AU176" i="6"/>
  <c r="AT177" i="6"/>
  <c r="AU177" i="6"/>
  <c r="AT178" i="6"/>
  <c r="AU178" i="6"/>
  <c r="AT179" i="6"/>
  <c r="AU179" i="6"/>
  <c r="AT180" i="6"/>
  <c r="AU180" i="6"/>
  <c r="AT181" i="6"/>
  <c r="AU181" i="6"/>
  <c r="AT182" i="6"/>
  <c r="AU182" i="6"/>
  <c r="AT183" i="6"/>
  <c r="AU183" i="6"/>
  <c r="AT184" i="6"/>
  <c r="AU184" i="6"/>
  <c r="AT185" i="6"/>
  <c r="AU185" i="6"/>
  <c r="AT186" i="6"/>
  <c r="AU186" i="6"/>
  <c r="AT187" i="6"/>
  <c r="AU187" i="6"/>
  <c r="AT188" i="6"/>
  <c r="AU188" i="6"/>
  <c r="AT189" i="6"/>
  <c r="AU189" i="6"/>
  <c r="AT190" i="6"/>
  <c r="AU190" i="6"/>
  <c r="AT191" i="6"/>
  <c r="AU191" i="6"/>
  <c r="AT192" i="6"/>
  <c r="AU192" i="6"/>
  <c r="AT193" i="6"/>
  <c r="AU193" i="6"/>
  <c r="AT194" i="6"/>
  <c r="AU194" i="6"/>
  <c r="AT195" i="6"/>
  <c r="AU195" i="6"/>
  <c r="AT196" i="6"/>
  <c r="AU196" i="6"/>
  <c r="AT197" i="6"/>
  <c r="AU197" i="6"/>
  <c r="AT198" i="6"/>
  <c r="AU198" i="6"/>
  <c r="AT199" i="6"/>
  <c r="AU199" i="6"/>
  <c r="AT200" i="6"/>
  <c r="AU200" i="6"/>
  <c r="AT201" i="6"/>
  <c r="AU201" i="6"/>
  <c r="AT202" i="6"/>
  <c r="AU202" i="6"/>
  <c r="AT203" i="6"/>
  <c r="AU203" i="6"/>
  <c r="AT204" i="6"/>
  <c r="AU204" i="6"/>
  <c r="AT205" i="6"/>
  <c r="AU205" i="6"/>
  <c r="AT206" i="6"/>
  <c r="AU206" i="6"/>
  <c r="AT207" i="6"/>
  <c r="AU207" i="6"/>
  <c r="AT208" i="6"/>
  <c r="AU208" i="6"/>
  <c r="AT209" i="6"/>
  <c r="AU209" i="6"/>
  <c r="AT210" i="6"/>
  <c r="AU210" i="6"/>
  <c r="AT211" i="6"/>
  <c r="AU211" i="6"/>
  <c r="AT212" i="6"/>
  <c r="AU212" i="6"/>
  <c r="AT213" i="6"/>
  <c r="AU213" i="6"/>
  <c r="AT214" i="6"/>
  <c r="AU214" i="6"/>
  <c r="AT215" i="6"/>
  <c r="AU215" i="6"/>
  <c r="AT216" i="6"/>
  <c r="AU216" i="6"/>
  <c r="AT217" i="6"/>
  <c r="AU217" i="6"/>
  <c r="AT218" i="6"/>
  <c r="AU218" i="6"/>
  <c r="AT219" i="6"/>
  <c r="AU219" i="6"/>
  <c r="AT220" i="6"/>
  <c r="AU220" i="6"/>
  <c r="AT221" i="6"/>
  <c r="AU221" i="6"/>
  <c r="AT222" i="6"/>
  <c r="AU222" i="6"/>
  <c r="AT223" i="6"/>
  <c r="AU223" i="6"/>
  <c r="AT224" i="6"/>
  <c r="AU224" i="6"/>
  <c r="AT225" i="6"/>
  <c r="AU225" i="6"/>
  <c r="AT226" i="6"/>
  <c r="AU226" i="6"/>
  <c r="AT227" i="6"/>
  <c r="AU227" i="6"/>
  <c r="AT228" i="6"/>
  <c r="AU228" i="6"/>
  <c r="AT229" i="6"/>
  <c r="AU229" i="6"/>
  <c r="AT230" i="6"/>
  <c r="AU230" i="6"/>
  <c r="AT231" i="6"/>
  <c r="AU231" i="6"/>
  <c r="AT232" i="6"/>
  <c r="AU232" i="6"/>
  <c r="AT233" i="6"/>
  <c r="AU233" i="6"/>
  <c r="AT234" i="6"/>
  <c r="AU234" i="6"/>
  <c r="AT235" i="6"/>
  <c r="AU235" i="6"/>
  <c r="AT236" i="6"/>
  <c r="AU236" i="6"/>
  <c r="AF236" i="6"/>
  <c r="S236" i="6"/>
  <c r="T236" i="6"/>
  <c r="U236" i="6"/>
  <c r="V236" i="6"/>
  <c r="W236" i="6"/>
  <c r="X236" i="6"/>
  <c r="Y236" i="6"/>
  <c r="Z236" i="6"/>
  <c r="AA236" i="6"/>
  <c r="AO236" i="6" s="1"/>
  <c r="AB236" i="6"/>
  <c r="AP236" i="6" s="1"/>
  <c r="AC236" i="6"/>
  <c r="R236" i="6"/>
  <c r="E236" i="6"/>
  <c r="F236" i="6"/>
  <c r="G236" i="6"/>
  <c r="H236" i="6"/>
  <c r="I236" i="6"/>
  <c r="J236" i="6"/>
  <c r="K236" i="6"/>
  <c r="L236" i="6"/>
  <c r="M236" i="6"/>
  <c r="N236" i="6"/>
  <c r="O236" i="6"/>
  <c r="D236" i="6"/>
  <c r="P231" i="5"/>
  <c r="P232" i="5"/>
  <c r="P233" i="5"/>
  <c r="AD110" i="9"/>
  <c r="AQ110" i="9" s="1"/>
  <c r="AC110" i="9"/>
  <c r="AB110" i="9"/>
  <c r="AA110" i="9"/>
  <c r="Z110" i="9"/>
  <c r="Y110" i="9"/>
  <c r="X110" i="9"/>
  <c r="W110" i="9"/>
  <c r="V110" i="9"/>
  <c r="U110" i="9"/>
  <c r="T110" i="9"/>
  <c r="S110" i="9"/>
  <c r="Q110" i="9"/>
  <c r="P110" i="9"/>
  <c r="AP110" i="9" s="1"/>
  <c r="O110" i="9"/>
  <c r="AO110" i="9" s="1"/>
  <c r="N110" i="9"/>
  <c r="AN110" i="9" s="1"/>
  <c r="M110" i="9"/>
  <c r="AM110" i="9" s="1"/>
  <c r="L110" i="9"/>
  <c r="AL110" i="9" s="1"/>
  <c r="K110" i="9"/>
  <c r="AK110" i="9" s="1"/>
  <c r="J110" i="9"/>
  <c r="AJ110" i="9" s="1"/>
  <c r="I110" i="9"/>
  <c r="H110" i="9"/>
  <c r="G110" i="9"/>
  <c r="F110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L88" i="9"/>
  <c r="AK88" i="9"/>
  <c r="AJ88" i="9"/>
  <c r="AD88" i="9"/>
  <c r="AC88" i="9"/>
  <c r="AB88" i="9"/>
  <c r="AA88" i="9"/>
  <c r="Z88" i="9"/>
  <c r="Y88" i="9"/>
  <c r="X88" i="9"/>
  <c r="W88" i="9"/>
  <c r="V88" i="9"/>
  <c r="U88" i="9"/>
  <c r="T88" i="9"/>
  <c r="S88" i="9"/>
  <c r="Q88" i="9"/>
  <c r="AQ88" i="9" s="1"/>
  <c r="P88" i="9"/>
  <c r="AP88" i="9" s="1"/>
  <c r="O88" i="9"/>
  <c r="AO88" i="9" s="1"/>
  <c r="N88" i="9"/>
  <c r="AN88" i="9" s="1"/>
  <c r="M88" i="9"/>
  <c r="AM88" i="9" s="1"/>
  <c r="L88" i="9"/>
  <c r="K88" i="9"/>
  <c r="J88" i="9"/>
  <c r="I88" i="9"/>
  <c r="H88" i="9"/>
  <c r="G88" i="9"/>
  <c r="F88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P66" i="9"/>
  <c r="AO66" i="9"/>
  <c r="AN66" i="9"/>
  <c r="AM66" i="9"/>
  <c r="AL66" i="9"/>
  <c r="AK66" i="9"/>
  <c r="AJ66" i="9"/>
  <c r="AD66" i="9"/>
  <c r="AC66" i="9"/>
  <c r="AB66" i="9"/>
  <c r="AA66" i="9"/>
  <c r="Z66" i="9"/>
  <c r="Y66" i="9"/>
  <c r="X66" i="9"/>
  <c r="W66" i="9"/>
  <c r="V66" i="9"/>
  <c r="U66" i="9"/>
  <c r="T66" i="9"/>
  <c r="S66" i="9"/>
  <c r="Q66" i="9"/>
  <c r="AQ66" i="9" s="1"/>
  <c r="P66" i="9"/>
  <c r="O66" i="9"/>
  <c r="N66" i="9"/>
  <c r="M66" i="9"/>
  <c r="L66" i="9"/>
  <c r="K66" i="9"/>
  <c r="J66" i="9"/>
  <c r="I66" i="9"/>
  <c r="H66" i="9"/>
  <c r="G66" i="9"/>
  <c r="F66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D45" i="9"/>
  <c r="AQ45" i="9" s="1"/>
  <c r="AC45" i="9"/>
  <c r="AB45" i="9"/>
  <c r="AA45" i="9"/>
  <c r="Z45" i="9"/>
  <c r="Y45" i="9"/>
  <c r="X45" i="9"/>
  <c r="W45" i="9"/>
  <c r="V45" i="9"/>
  <c r="U45" i="9"/>
  <c r="T45" i="9"/>
  <c r="S45" i="9"/>
  <c r="Q45" i="9"/>
  <c r="P45" i="9"/>
  <c r="AP45" i="9" s="1"/>
  <c r="O45" i="9"/>
  <c r="AO45" i="9" s="1"/>
  <c r="N45" i="9"/>
  <c r="AN45" i="9" s="1"/>
  <c r="M45" i="9"/>
  <c r="AM45" i="9" s="1"/>
  <c r="L45" i="9"/>
  <c r="AL45" i="9" s="1"/>
  <c r="K45" i="9"/>
  <c r="AK45" i="9" s="1"/>
  <c r="J45" i="9"/>
  <c r="AJ45" i="9" s="1"/>
  <c r="I45" i="9"/>
  <c r="H45" i="9"/>
  <c r="G45" i="9"/>
  <c r="F45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P24" i="9"/>
  <c r="AO24" i="9"/>
  <c r="AN24" i="9"/>
  <c r="AM24" i="9"/>
  <c r="AL24" i="9"/>
  <c r="AK24" i="9"/>
  <c r="AJ24" i="9"/>
  <c r="AD24" i="9"/>
  <c r="AC24" i="9"/>
  <c r="AB24" i="9"/>
  <c r="AA24" i="9"/>
  <c r="Z24" i="9"/>
  <c r="Y24" i="9"/>
  <c r="X24" i="9"/>
  <c r="W24" i="9"/>
  <c r="V24" i="9"/>
  <c r="U24" i="9"/>
  <c r="T24" i="9"/>
  <c r="S24" i="9"/>
  <c r="Q24" i="9"/>
  <c r="AQ24" i="9" s="1"/>
  <c r="P24" i="9"/>
  <c r="O24" i="9"/>
  <c r="N24" i="9"/>
  <c r="M24" i="9"/>
  <c r="L24" i="9"/>
  <c r="K24" i="9"/>
  <c r="J24" i="9"/>
  <c r="I24" i="9"/>
  <c r="H24" i="9"/>
  <c r="G24" i="9"/>
  <c r="F24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Q9" i="9"/>
  <c r="AP9" i="9"/>
  <c r="AO9" i="9"/>
  <c r="AN9" i="9"/>
  <c r="AM9" i="9"/>
  <c r="AL9" i="9"/>
  <c r="AK9" i="9"/>
  <c r="AJ9" i="9"/>
  <c r="AI9" i="9"/>
  <c r="AH9" i="9"/>
  <c r="AG9" i="9"/>
  <c r="AF9" i="9"/>
  <c r="AQ8" i="9"/>
  <c r="AP8" i="9"/>
  <c r="AO8" i="9"/>
  <c r="AN8" i="9"/>
  <c r="AM8" i="9"/>
  <c r="AL8" i="9"/>
  <c r="AK8" i="9"/>
  <c r="AJ8" i="9"/>
  <c r="AI8" i="9"/>
  <c r="AH8" i="9"/>
  <c r="AG8" i="9"/>
  <c r="AF8" i="9"/>
  <c r="AQ7" i="9"/>
  <c r="AP7" i="9"/>
  <c r="AO7" i="9"/>
  <c r="AN7" i="9"/>
  <c r="AM7" i="9"/>
  <c r="AL7" i="9"/>
  <c r="AK7" i="9"/>
  <c r="AJ7" i="9"/>
  <c r="AI7" i="9"/>
  <c r="AH7" i="9"/>
  <c r="AG7" i="9"/>
  <c r="AF7" i="9"/>
  <c r="AQ6" i="9"/>
  <c r="AP6" i="9"/>
  <c r="AO6" i="9"/>
  <c r="AN6" i="9"/>
  <c r="AM6" i="9"/>
  <c r="AL6" i="9"/>
  <c r="AK6" i="9"/>
  <c r="AJ6" i="9"/>
  <c r="AI6" i="9"/>
  <c r="AH6" i="9"/>
  <c r="AG6" i="9"/>
  <c r="AF6" i="9"/>
  <c r="AQ5" i="9"/>
  <c r="AP5" i="9"/>
  <c r="AO5" i="9"/>
  <c r="AN5" i="9"/>
  <c r="AM5" i="9"/>
  <c r="AL5" i="9"/>
  <c r="AK5" i="9"/>
  <c r="AJ5" i="9"/>
  <c r="AI5" i="9"/>
  <c r="AH5" i="9"/>
  <c r="AG5" i="9"/>
  <c r="AF5" i="9"/>
  <c r="AQ4" i="9"/>
  <c r="AP4" i="9"/>
  <c r="AO4" i="9"/>
  <c r="AN4" i="9"/>
  <c r="AM4" i="9"/>
  <c r="AL4" i="9"/>
  <c r="AK4" i="9"/>
  <c r="AJ4" i="9"/>
  <c r="AI4" i="9"/>
  <c r="AH4" i="9"/>
  <c r="AG4" i="9"/>
  <c r="AF4" i="9"/>
  <c r="AD234" i="8"/>
  <c r="P234" i="8"/>
  <c r="AD233" i="8"/>
  <c r="P233" i="8"/>
  <c r="AD232" i="8"/>
  <c r="P232" i="8"/>
  <c r="AD231" i="8"/>
  <c r="P231" i="8"/>
  <c r="AD230" i="8"/>
  <c r="P230" i="8"/>
  <c r="AD229" i="8"/>
  <c r="P229" i="8"/>
  <c r="AD228" i="8"/>
  <c r="P228" i="8"/>
  <c r="AD227" i="8"/>
  <c r="P227" i="8"/>
  <c r="AD226" i="8"/>
  <c r="P226" i="8"/>
  <c r="AD225" i="8"/>
  <c r="P225" i="8"/>
  <c r="AD224" i="8"/>
  <c r="P224" i="8"/>
  <c r="AD223" i="8"/>
  <c r="P223" i="8"/>
  <c r="AD222" i="8"/>
  <c r="P222" i="8"/>
  <c r="AD221" i="8"/>
  <c r="P221" i="8"/>
  <c r="AD220" i="8"/>
  <c r="P220" i="8"/>
  <c r="AD219" i="8"/>
  <c r="P219" i="8"/>
  <c r="AD218" i="8"/>
  <c r="P218" i="8"/>
  <c r="AD217" i="8"/>
  <c r="P217" i="8"/>
  <c r="AD216" i="8"/>
  <c r="P216" i="8"/>
  <c r="AD215" i="8"/>
  <c r="P215" i="8"/>
  <c r="AD214" i="8"/>
  <c r="P214" i="8"/>
  <c r="AD213" i="8"/>
  <c r="P213" i="8"/>
  <c r="AD212" i="8"/>
  <c r="P212" i="8"/>
  <c r="AD211" i="8"/>
  <c r="P211" i="8"/>
  <c r="AD210" i="8"/>
  <c r="P210" i="8"/>
  <c r="AD209" i="8"/>
  <c r="P209" i="8"/>
  <c r="AD208" i="8"/>
  <c r="P208" i="8"/>
  <c r="AD207" i="8"/>
  <c r="P207" i="8"/>
  <c r="AD206" i="8"/>
  <c r="P206" i="8"/>
  <c r="AD205" i="8"/>
  <c r="P205" i="8"/>
  <c r="AD204" i="8"/>
  <c r="P204" i="8"/>
  <c r="AD203" i="8"/>
  <c r="P203" i="8"/>
  <c r="AD202" i="8"/>
  <c r="P202" i="8"/>
  <c r="AD201" i="8"/>
  <c r="P201" i="8"/>
  <c r="AD200" i="8"/>
  <c r="P200" i="8"/>
  <c r="AD199" i="8"/>
  <c r="P199" i="8"/>
  <c r="AD198" i="8"/>
  <c r="P198" i="8"/>
  <c r="AD197" i="8"/>
  <c r="P197" i="8"/>
  <c r="AD196" i="8"/>
  <c r="P196" i="8"/>
  <c r="AD195" i="8"/>
  <c r="P195" i="8"/>
  <c r="AD194" i="8"/>
  <c r="P194" i="8"/>
  <c r="AD193" i="8"/>
  <c r="P193" i="8"/>
  <c r="AD192" i="8"/>
  <c r="P192" i="8"/>
  <c r="AD191" i="8"/>
  <c r="P191" i="8"/>
  <c r="AD190" i="8"/>
  <c r="P190" i="8"/>
  <c r="AD189" i="8"/>
  <c r="P189" i="8"/>
  <c r="AD188" i="8"/>
  <c r="P188" i="8"/>
  <c r="AD187" i="8"/>
  <c r="P187" i="8"/>
  <c r="AD186" i="8"/>
  <c r="P186" i="8"/>
  <c r="AD185" i="8"/>
  <c r="P185" i="8"/>
  <c r="AD184" i="8"/>
  <c r="P184" i="8"/>
  <c r="AD183" i="8"/>
  <c r="P183" i="8"/>
  <c r="AD182" i="8"/>
  <c r="P182" i="8"/>
  <c r="AD181" i="8"/>
  <c r="P181" i="8"/>
  <c r="AD180" i="8"/>
  <c r="P180" i="8"/>
  <c r="AD179" i="8"/>
  <c r="P179" i="8"/>
  <c r="AD178" i="8"/>
  <c r="P178" i="8"/>
  <c r="AD177" i="8"/>
  <c r="P177" i="8"/>
  <c r="AD176" i="8"/>
  <c r="P176" i="8"/>
  <c r="AD175" i="8"/>
  <c r="P175" i="8"/>
  <c r="AD174" i="8"/>
  <c r="P174" i="8"/>
  <c r="AD173" i="8"/>
  <c r="P173" i="8"/>
  <c r="AD172" i="8"/>
  <c r="P172" i="8"/>
  <c r="AD171" i="8"/>
  <c r="P171" i="8"/>
  <c r="AD170" i="8"/>
  <c r="P170" i="8"/>
  <c r="AD169" i="8"/>
  <c r="P169" i="8"/>
  <c r="AD168" i="8"/>
  <c r="P168" i="8"/>
  <c r="AD167" i="8"/>
  <c r="P167" i="8"/>
  <c r="AD166" i="8"/>
  <c r="P166" i="8"/>
  <c r="AD165" i="8"/>
  <c r="P165" i="8"/>
  <c r="AD164" i="8"/>
  <c r="P164" i="8"/>
  <c r="AD163" i="8"/>
  <c r="P163" i="8"/>
  <c r="AD162" i="8"/>
  <c r="P162" i="8"/>
  <c r="AD161" i="8"/>
  <c r="P161" i="8"/>
  <c r="AD160" i="8"/>
  <c r="P160" i="8"/>
  <c r="AD159" i="8"/>
  <c r="P159" i="8"/>
  <c r="AD158" i="8"/>
  <c r="P158" i="8"/>
  <c r="AD157" i="8"/>
  <c r="P157" i="8"/>
  <c r="AD156" i="8"/>
  <c r="P156" i="8"/>
  <c r="AD155" i="8"/>
  <c r="P155" i="8"/>
  <c r="AD154" i="8"/>
  <c r="P154" i="8"/>
  <c r="AD153" i="8"/>
  <c r="P153" i="8"/>
  <c r="AD152" i="8"/>
  <c r="P152" i="8"/>
  <c r="AD151" i="8"/>
  <c r="P151" i="8"/>
  <c r="AD150" i="8"/>
  <c r="P150" i="8"/>
  <c r="AD149" i="8"/>
  <c r="P149" i="8"/>
  <c r="AD148" i="8"/>
  <c r="P148" i="8"/>
  <c r="AD147" i="8"/>
  <c r="P147" i="8"/>
  <c r="AD146" i="8"/>
  <c r="P146" i="8"/>
  <c r="AD145" i="8"/>
  <c r="P145" i="8"/>
  <c r="AD144" i="8"/>
  <c r="P144" i="8"/>
  <c r="AD143" i="8"/>
  <c r="P143" i="8"/>
  <c r="AD142" i="8"/>
  <c r="P142" i="8"/>
  <c r="AD141" i="8"/>
  <c r="P141" i="8"/>
  <c r="AD140" i="8"/>
  <c r="P140" i="8"/>
  <c r="AD139" i="8"/>
  <c r="P139" i="8"/>
  <c r="AD138" i="8"/>
  <c r="P138" i="8"/>
  <c r="AD137" i="8"/>
  <c r="P137" i="8"/>
  <c r="AD136" i="8"/>
  <c r="P136" i="8"/>
  <c r="AD135" i="8"/>
  <c r="P135" i="8"/>
  <c r="AD134" i="8"/>
  <c r="P134" i="8"/>
  <c r="AD133" i="8"/>
  <c r="P133" i="8"/>
  <c r="AD132" i="8"/>
  <c r="P132" i="8"/>
  <c r="AD131" i="8"/>
  <c r="P131" i="8"/>
  <c r="AD130" i="8"/>
  <c r="P130" i="8"/>
  <c r="AD129" i="8"/>
  <c r="P129" i="8"/>
  <c r="AD128" i="8"/>
  <c r="P128" i="8"/>
  <c r="AD127" i="8"/>
  <c r="P127" i="8"/>
  <c r="AD126" i="8"/>
  <c r="P126" i="8"/>
  <c r="AD125" i="8"/>
  <c r="P125" i="8"/>
  <c r="AD124" i="8"/>
  <c r="P124" i="8"/>
  <c r="AD123" i="8"/>
  <c r="P123" i="8"/>
  <c r="AD122" i="8"/>
  <c r="P122" i="8"/>
  <c r="AD121" i="8"/>
  <c r="P121" i="8"/>
  <c r="AD120" i="8"/>
  <c r="P120" i="8"/>
  <c r="AD119" i="8"/>
  <c r="P119" i="8"/>
  <c r="AD118" i="8"/>
  <c r="P118" i="8"/>
  <c r="AD117" i="8"/>
  <c r="P117" i="8"/>
  <c r="AD116" i="8"/>
  <c r="P116" i="8"/>
  <c r="AD115" i="8"/>
  <c r="P115" i="8"/>
  <c r="AD114" i="8"/>
  <c r="P114" i="8"/>
  <c r="AD113" i="8"/>
  <c r="P113" i="8"/>
  <c r="AD112" i="8"/>
  <c r="P112" i="8"/>
  <c r="AD111" i="8"/>
  <c r="P111" i="8"/>
  <c r="AD110" i="8"/>
  <c r="P110" i="8"/>
  <c r="AD109" i="8"/>
  <c r="P109" i="8"/>
  <c r="AD108" i="8"/>
  <c r="P108" i="8"/>
  <c r="AD107" i="8"/>
  <c r="P107" i="8"/>
  <c r="AD106" i="8"/>
  <c r="P106" i="8"/>
  <c r="AD105" i="8"/>
  <c r="P105" i="8"/>
  <c r="AD104" i="8"/>
  <c r="P104" i="8"/>
  <c r="AD103" i="8"/>
  <c r="P103" i="8"/>
  <c r="AD102" i="8"/>
  <c r="P102" i="8"/>
  <c r="AD101" i="8"/>
  <c r="P101" i="8"/>
  <c r="AD100" i="8"/>
  <c r="P100" i="8"/>
  <c r="AD99" i="8"/>
  <c r="P99" i="8"/>
  <c r="AD98" i="8"/>
  <c r="P98" i="8"/>
  <c r="AD97" i="8"/>
  <c r="P97" i="8"/>
  <c r="AD96" i="8"/>
  <c r="P96" i="8"/>
  <c r="AD95" i="8"/>
  <c r="P95" i="8"/>
  <c r="AD94" i="8"/>
  <c r="P94" i="8"/>
  <c r="AD93" i="8"/>
  <c r="P93" i="8"/>
  <c r="AD92" i="8"/>
  <c r="P92" i="8"/>
  <c r="AD91" i="8"/>
  <c r="P91" i="8"/>
  <c r="AD90" i="8"/>
  <c r="P90" i="8"/>
  <c r="AD89" i="8"/>
  <c r="P89" i="8"/>
  <c r="AD88" i="8"/>
  <c r="P88" i="8"/>
  <c r="AD87" i="8"/>
  <c r="P87" i="8"/>
  <c r="AD86" i="8"/>
  <c r="P86" i="8"/>
  <c r="AD85" i="8"/>
  <c r="P85" i="8"/>
  <c r="AD84" i="8"/>
  <c r="P84" i="8"/>
  <c r="AD83" i="8"/>
  <c r="P83" i="8"/>
  <c r="AD82" i="8"/>
  <c r="P82" i="8"/>
  <c r="AD81" i="8"/>
  <c r="P81" i="8"/>
  <c r="AD80" i="8"/>
  <c r="P80" i="8"/>
  <c r="AD79" i="8"/>
  <c r="P79" i="8"/>
  <c r="AD78" i="8"/>
  <c r="P78" i="8"/>
  <c r="AD77" i="8"/>
  <c r="P77" i="8"/>
  <c r="AD76" i="8"/>
  <c r="P76" i="8"/>
  <c r="AD75" i="8"/>
  <c r="P75" i="8"/>
  <c r="AD74" i="8"/>
  <c r="P74" i="8"/>
  <c r="AD73" i="8"/>
  <c r="P73" i="8"/>
  <c r="AD72" i="8"/>
  <c r="P72" i="8"/>
  <c r="AD71" i="8"/>
  <c r="P71" i="8"/>
  <c r="AD70" i="8"/>
  <c r="P70" i="8"/>
  <c r="AD69" i="8"/>
  <c r="P69" i="8"/>
  <c r="AD68" i="8"/>
  <c r="P68" i="8"/>
  <c r="AD67" i="8"/>
  <c r="P67" i="8"/>
  <c r="AD66" i="8"/>
  <c r="P66" i="8"/>
  <c r="AD65" i="8"/>
  <c r="P65" i="8"/>
  <c r="AD64" i="8"/>
  <c r="P64" i="8"/>
  <c r="AD63" i="8"/>
  <c r="P63" i="8"/>
  <c r="AD62" i="8"/>
  <c r="P62" i="8"/>
  <c r="AD61" i="8"/>
  <c r="P61" i="8"/>
  <c r="AD60" i="8"/>
  <c r="P60" i="8"/>
  <c r="AD59" i="8"/>
  <c r="P59" i="8"/>
  <c r="AD58" i="8"/>
  <c r="P58" i="8"/>
  <c r="AD57" i="8"/>
  <c r="P57" i="8"/>
  <c r="AD56" i="8"/>
  <c r="P56" i="8"/>
  <c r="AD55" i="8"/>
  <c r="P55" i="8"/>
  <c r="AD54" i="8"/>
  <c r="P54" i="8"/>
  <c r="AD53" i="8"/>
  <c r="P53" i="8"/>
  <c r="AD52" i="8"/>
  <c r="P52" i="8"/>
  <c r="AD51" i="8"/>
  <c r="P51" i="8"/>
  <c r="AD50" i="8"/>
  <c r="P50" i="8"/>
  <c r="AD49" i="8"/>
  <c r="P49" i="8"/>
  <c r="AD48" i="8"/>
  <c r="P48" i="8"/>
  <c r="AD47" i="8"/>
  <c r="P47" i="8"/>
  <c r="AD46" i="8"/>
  <c r="P46" i="8"/>
  <c r="AD45" i="8"/>
  <c r="P45" i="8"/>
  <c r="AD44" i="8"/>
  <c r="P44" i="8"/>
  <c r="AD43" i="8"/>
  <c r="P43" i="8"/>
  <c r="AD42" i="8"/>
  <c r="P42" i="8"/>
  <c r="AD41" i="8"/>
  <c r="P41" i="8"/>
  <c r="AD40" i="8"/>
  <c r="P40" i="8"/>
  <c r="AD39" i="8"/>
  <c r="P39" i="8"/>
  <c r="AD38" i="8"/>
  <c r="P38" i="8"/>
  <c r="AD37" i="8"/>
  <c r="P37" i="8"/>
  <c r="AD36" i="8"/>
  <c r="P36" i="8"/>
  <c r="AD35" i="8"/>
  <c r="P35" i="8"/>
  <c r="AD34" i="8"/>
  <c r="P34" i="8"/>
  <c r="AD33" i="8"/>
  <c r="P33" i="8"/>
  <c r="AD32" i="8"/>
  <c r="P32" i="8"/>
  <c r="AD31" i="8"/>
  <c r="P31" i="8"/>
  <c r="AD30" i="8"/>
  <c r="P30" i="8"/>
  <c r="AD29" i="8"/>
  <c r="P29" i="8"/>
  <c r="AD28" i="8"/>
  <c r="P28" i="8"/>
  <c r="AD27" i="8"/>
  <c r="P27" i="8"/>
  <c r="AD26" i="8"/>
  <c r="P26" i="8"/>
  <c r="AD25" i="8"/>
  <c r="P25" i="8"/>
  <c r="AD24" i="8"/>
  <c r="P24" i="8"/>
  <c r="AD23" i="8"/>
  <c r="P23" i="8"/>
  <c r="AD22" i="8"/>
  <c r="P22" i="8"/>
  <c r="AD21" i="8"/>
  <c r="P21" i="8"/>
  <c r="AD20" i="8"/>
  <c r="P20" i="8"/>
  <c r="AD19" i="8"/>
  <c r="P19" i="8"/>
  <c r="AD18" i="8"/>
  <c r="P18" i="8"/>
  <c r="AD17" i="8"/>
  <c r="P17" i="8"/>
  <c r="AD16" i="8"/>
  <c r="P16" i="8"/>
  <c r="AD15" i="8"/>
  <c r="P15" i="8"/>
  <c r="AD14" i="8"/>
  <c r="P14" i="8"/>
  <c r="AD13" i="8"/>
  <c r="P13" i="8"/>
  <c r="AD12" i="8"/>
  <c r="P12" i="8"/>
  <c r="AD11" i="8"/>
  <c r="P11" i="8"/>
  <c r="AD10" i="8"/>
  <c r="P10" i="8"/>
  <c r="AD9" i="8"/>
  <c r="P9" i="8"/>
  <c r="AD8" i="8"/>
  <c r="P8" i="8"/>
  <c r="AD7" i="8"/>
  <c r="P7" i="8"/>
  <c r="AD6" i="8"/>
  <c r="P6" i="8"/>
  <c r="AD5" i="8"/>
  <c r="AD235" i="8" s="1"/>
  <c r="P5" i="8"/>
  <c r="P235" i="8" s="1"/>
  <c r="AI256" i="7"/>
  <c r="AK256" i="7"/>
  <c r="AJ256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D255" i="7"/>
  <c r="P255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D254" i="7"/>
  <c r="P254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D253" i="7"/>
  <c r="P253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D252" i="7"/>
  <c r="P252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D251" i="7"/>
  <c r="P251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D250" i="7"/>
  <c r="P250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D249" i="7"/>
  <c r="P249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D248" i="7"/>
  <c r="P248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D247" i="7"/>
  <c r="P247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D246" i="7"/>
  <c r="P246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D245" i="7"/>
  <c r="P245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D244" i="7"/>
  <c r="P244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D243" i="7"/>
  <c r="P243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D242" i="7"/>
  <c r="P242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D241" i="7"/>
  <c r="P241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D240" i="7"/>
  <c r="P240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D239" i="7"/>
  <c r="P239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D238" i="7"/>
  <c r="P238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D237" i="7"/>
  <c r="P237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D236" i="7"/>
  <c r="P236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D235" i="7"/>
  <c r="P235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D234" i="7"/>
  <c r="P234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D233" i="7"/>
  <c r="P233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D232" i="7"/>
  <c r="P232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D231" i="7"/>
  <c r="P231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D230" i="7"/>
  <c r="P230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D229" i="7"/>
  <c r="P229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D228" i="7"/>
  <c r="P228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D227" i="7"/>
  <c r="P227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D226" i="7"/>
  <c r="P226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D225" i="7"/>
  <c r="P225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D224" i="7"/>
  <c r="P224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AD223" i="7"/>
  <c r="P223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D222" i="7"/>
  <c r="P222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D221" i="7"/>
  <c r="P221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D220" i="7"/>
  <c r="P220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D219" i="7"/>
  <c r="P219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D218" i="7"/>
  <c r="P218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D217" i="7"/>
  <c r="P217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D216" i="7"/>
  <c r="P216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D215" i="7"/>
  <c r="P215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D214" i="7"/>
  <c r="P214" i="7"/>
  <c r="BD213" i="7"/>
  <c r="AQ213" i="7"/>
  <c r="AP213" i="7"/>
  <c r="AO213" i="7"/>
  <c r="AN213" i="7"/>
  <c r="AM213" i="7"/>
  <c r="AZ213" i="7" s="1"/>
  <c r="AL213" i="7"/>
  <c r="AK213" i="7"/>
  <c r="AY213" i="7" s="1"/>
  <c r="AJ213" i="7"/>
  <c r="AI213" i="7"/>
  <c r="AW213" i="7" s="1"/>
  <c r="AH213" i="7"/>
  <c r="AG213" i="7"/>
  <c r="AF213" i="7"/>
  <c r="AD213" i="7"/>
  <c r="P213" i="7"/>
  <c r="AQ212" i="7"/>
  <c r="BD212" i="7" s="1"/>
  <c r="AP212" i="7"/>
  <c r="AO212" i="7"/>
  <c r="AN212" i="7"/>
  <c r="AM212" i="7"/>
  <c r="AL212" i="7"/>
  <c r="AK212" i="7"/>
  <c r="AJ212" i="7"/>
  <c r="AI212" i="7"/>
  <c r="AH212" i="7"/>
  <c r="AG212" i="7"/>
  <c r="AF212" i="7"/>
  <c r="AD212" i="7"/>
  <c r="P212" i="7"/>
  <c r="AQ211" i="7"/>
  <c r="AP211" i="7"/>
  <c r="AO211" i="7"/>
  <c r="AN211" i="7"/>
  <c r="AM211" i="7"/>
  <c r="AL211" i="7"/>
  <c r="AK211" i="7"/>
  <c r="AX211" i="7" s="1"/>
  <c r="AJ211" i="7"/>
  <c r="AI211" i="7"/>
  <c r="AW211" i="7" s="1"/>
  <c r="AH211" i="7"/>
  <c r="AG211" i="7"/>
  <c r="AF211" i="7"/>
  <c r="AD211" i="7"/>
  <c r="P211" i="7"/>
  <c r="BA210" i="7"/>
  <c r="AX210" i="7"/>
  <c r="AQ210" i="7"/>
  <c r="BD210" i="7" s="1"/>
  <c r="AP210" i="7"/>
  <c r="BC210" i="7" s="1"/>
  <c r="AO210" i="7"/>
  <c r="AN210" i="7"/>
  <c r="BB210" i="7" s="1"/>
  <c r="AM210" i="7"/>
  <c r="AZ210" i="7" s="1"/>
  <c r="AL210" i="7"/>
  <c r="AY210" i="7" s="1"/>
  <c r="AK210" i="7"/>
  <c r="AJ210" i="7"/>
  <c r="AI210" i="7"/>
  <c r="AH210" i="7"/>
  <c r="AG210" i="7"/>
  <c r="AF210" i="7"/>
  <c r="AD210" i="7"/>
  <c r="P210" i="7"/>
  <c r="BC209" i="7"/>
  <c r="AX209" i="7"/>
  <c r="AQ209" i="7"/>
  <c r="AP209" i="7"/>
  <c r="BD209" i="7" s="1"/>
  <c r="AO209" i="7"/>
  <c r="AN209" i="7"/>
  <c r="BB209" i="7" s="1"/>
  <c r="AM209" i="7"/>
  <c r="AL209" i="7"/>
  <c r="AK209" i="7"/>
  <c r="AJ209" i="7"/>
  <c r="AI209" i="7"/>
  <c r="AH209" i="7"/>
  <c r="AG209" i="7"/>
  <c r="AF209" i="7"/>
  <c r="AD209" i="7"/>
  <c r="P209" i="7"/>
  <c r="AQ208" i="7"/>
  <c r="AP208" i="7"/>
  <c r="AO208" i="7"/>
  <c r="BB208" i="7" s="1"/>
  <c r="AN208" i="7"/>
  <c r="BA208" i="7" s="1"/>
  <c r="AM208" i="7"/>
  <c r="AL208" i="7"/>
  <c r="AY208" i="7" s="1"/>
  <c r="AK208" i="7"/>
  <c r="AJ208" i="7"/>
  <c r="AX208" i="7" s="1"/>
  <c r="AI208" i="7"/>
  <c r="AH208" i="7"/>
  <c r="AG208" i="7"/>
  <c r="AF208" i="7"/>
  <c r="AD208" i="7"/>
  <c r="P208" i="7"/>
  <c r="AQ207" i="7"/>
  <c r="BD207" i="7" s="1"/>
  <c r="AP207" i="7"/>
  <c r="AO207" i="7"/>
  <c r="AN207" i="7"/>
  <c r="AM207" i="7"/>
  <c r="AL207" i="7"/>
  <c r="AY207" i="7" s="1"/>
  <c r="AK207" i="7"/>
  <c r="AJ207" i="7"/>
  <c r="AI207" i="7"/>
  <c r="AH207" i="7"/>
  <c r="AG207" i="7"/>
  <c r="AF207" i="7"/>
  <c r="AD207" i="7"/>
  <c r="P207" i="7"/>
  <c r="AZ206" i="7"/>
  <c r="AQ206" i="7"/>
  <c r="AP206" i="7"/>
  <c r="BD206" i="7" s="1"/>
  <c r="AO206" i="7"/>
  <c r="AN206" i="7"/>
  <c r="AM206" i="7"/>
  <c r="AL206" i="7"/>
  <c r="AK206" i="7"/>
  <c r="AY206" i="7" s="1"/>
  <c r="AJ206" i="7"/>
  <c r="AI206" i="7"/>
  <c r="AH206" i="7"/>
  <c r="AG206" i="7"/>
  <c r="AF206" i="7"/>
  <c r="AD206" i="7"/>
  <c r="P206" i="7"/>
  <c r="AY205" i="7"/>
  <c r="AQ205" i="7"/>
  <c r="AP205" i="7"/>
  <c r="BD205" i="7" s="1"/>
  <c r="AO205" i="7"/>
  <c r="AN205" i="7"/>
  <c r="BB205" i="7" s="1"/>
  <c r="AM205" i="7"/>
  <c r="AL205" i="7"/>
  <c r="AK205" i="7"/>
  <c r="AX205" i="7" s="1"/>
  <c r="AJ205" i="7"/>
  <c r="AI205" i="7"/>
  <c r="AW205" i="7" s="1"/>
  <c r="AH205" i="7"/>
  <c r="AG205" i="7"/>
  <c r="AF205" i="7"/>
  <c r="AD205" i="7"/>
  <c r="P205" i="7"/>
  <c r="AZ204" i="7"/>
  <c r="AY204" i="7"/>
  <c r="AX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D204" i="7"/>
  <c r="P204" i="7"/>
  <c r="AQ203" i="7"/>
  <c r="AP203" i="7"/>
  <c r="AO203" i="7"/>
  <c r="AN203" i="7"/>
  <c r="AM203" i="7"/>
  <c r="AL203" i="7"/>
  <c r="AY203" i="7" s="1"/>
  <c r="AK203" i="7"/>
  <c r="AJ203" i="7"/>
  <c r="AI203" i="7"/>
  <c r="AH203" i="7"/>
  <c r="AG203" i="7"/>
  <c r="AF203" i="7"/>
  <c r="AD203" i="7"/>
  <c r="P203" i="7"/>
  <c r="BB202" i="7"/>
  <c r="AQ202" i="7"/>
  <c r="AP202" i="7"/>
  <c r="BD202" i="7" s="1"/>
  <c r="AO202" i="7"/>
  <c r="AN202" i="7"/>
  <c r="AM202" i="7"/>
  <c r="AZ202" i="7" s="1"/>
  <c r="AL202" i="7"/>
  <c r="AK202" i="7"/>
  <c r="AJ202" i="7"/>
  <c r="AI202" i="7"/>
  <c r="AH202" i="7"/>
  <c r="AG202" i="7"/>
  <c r="AF202" i="7"/>
  <c r="AD202" i="7"/>
  <c r="P202" i="7"/>
  <c r="AQ201" i="7"/>
  <c r="BD201" i="7" s="1"/>
  <c r="AP201" i="7"/>
  <c r="AO201" i="7"/>
  <c r="BC201" i="7" s="1"/>
  <c r="AN201" i="7"/>
  <c r="AM201" i="7"/>
  <c r="BA201" i="7" s="1"/>
  <c r="AL201" i="7"/>
  <c r="AK201" i="7"/>
  <c r="AY201" i="7" s="1"/>
  <c r="AJ201" i="7"/>
  <c r="AI201" i="7"/>
  <c r="AW201" i="7" s="1"/>
  <c r="AH201" i="7"/>
  <c r="AG201" i="7"/>
  <c r="AF201" i="7"/>
  <c r="AD201" i="7"/>
  <c r="P201" i="7"/>
  <c r="AZ200" i="7"/>
  <c r="AW200" i="7"/>
  <c r="AQ200" i="7"/>
  <c r="AP200" i="7"/>
  <c r="BC200" i="7" s="1"/>
  <c r="AO200" i="7"/>
  <c r="AN200" i="7"/>
  <c r="BA200" i="7" s="1"/>
  <c r="AM200" i="7"/>
  <c r="AL200" i="7"/>
  <c r="AY200" i="7" s="1"/>
  <c r="AK200" i="7"/>
  <c r="AX200" i="7" s="1"/>
  <c r="AJ200" i="7"/>
  <c r="AI200" i="7"/>
  <c r="AH200" i="7"/>
  <c r="AG200" i="7"/>
  <c r="AF200" i="7"/>
  <c r="AD200" i="7"/>
  <c r="P200" i="7"/>
  <c r="BC199" i="7"/>
  <c r="BB199" i="7"/>
  <c r="AQ199" i="7"/>
  <c r="AP199" i="7"/>
  <c r="AO199" i="7"/>
  <c r="AN199" i="7"/>
  <c r="AM199" i="7"/>
  <c r="AZ199" i="7" s="1"/>
  <c r="AL199" i="7"/>
  <c r="AK199" i="7"/>
  <c r="AX199" i="7" s="1"/>
  <c r="AJ199" i="7"/>
  <c r="AI199" i="7"/>
  <c r="AH199" i="7"/>
  <c r="AG199" i="7"/>
  <c r="AF199" i="7"/>
  <c r="AD199" i="7"/>
  <c r="P199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D198" i="7"/>
  <c r="P198" i="7"/>
  <c r="BD197" i="7"/>
  <c r="BA197" i="7"/>
  <c r="AQ197" i="7"/>
  <c r="AP197" i="7"/>
  <c r="AO197" i="7"/>
  <c r="AN197" i="7"/>
  <c r="AM197" i="7"/>
  <c r="AZ197" i="7" s="1"/>
  <c r="AL197" i="7"/>
  <c r="AY197" i="7" s="1"/>
  <c r="AK197" i="7"/>
  <c r="AX197" i="7" s="1"/>
  <c r="AJ197" i="7"/>
  <c r="AI197" i="7"/>
  <c r="AH197" i="7"/>
  <c r="AG197" i="7"/>
  <c r="AF197" i="7"/>
  <c r="AD197" i="7"/>
  <c r="P197" i="7"/>
  <c r="AQ196" i="7"/>
  <c r="AP196" i="7"/>
  <c r="AO196" i="7"/>
  <c r="AN196" i="7"/>
  <c r="BA196" i="7" s="1"/>
  <c r="AM196" i="7"/>
  <c r="AL196" i="7"/>
  <c r="AZ196" i="7" s="1"/>
  <c r="AK196" i="7"/>
  <c r="AX196" i="7" s="1"/>
  <c r="AJ196" i="7"/>
  <c r="AI196" i="7"/>
  <c r="AH196" i="7"/>
  <c r="AG196" i="7"/>
  <c r="AF196" i="7"/>
  <c r="AD196" i="7"/>
  <c r="P196" i="7"/>
  <c r="AQ195" i="7"/>
  <c r="AP195" i="7"/>
  <c r="AO195" i="7"/>
  <c r="BB195" i="7" s="1"/>
  <c r="AN195" i="7"/>
  <c r="AM195" i="7"/>
  <c r="AL195" i="7"/>
  <c r="AK195" i="7"/>
  <c r="AX195" i="7" s="1"/>
  <c r="AJ195" i="7"/>
  <c r="AI195" i="7"/>
  <c r="AW195" i="7" s="1"/>
  <c r="AH195" i="7"/>
  <c r="AG195" i="7"/>
  <c r="AF195" i="7"/>
  <c r="AD195" i="7"/>
  <c r="P195" i="7"/>
  <c r="AQ194" i="7"/>
  <c r="BD194" i="7" s="1"/>
  <c r="AP194" i="7"/>
  <c r="AO194" i="7"/>
  <c r="AN194" i="7"/>
  <c r="AM194" i="7"/>
  <c r="AL194" i="7"/>
  <c r="AK194" i="7"/>
  <c r="AJ194" i="7"/>
  <c r="AI194" i="7"/>
  <c r="AH194" i="7"/>
  <c r="AG194" i="7"/>
  <c r="AF194" i="7"/>
  <c r="AD194" i="7"/>
  <c r="P194" i="7"/>
  <c r="BD193" i="7"/>
  <c r="BA193" i="7"/>
  <c r="AZ193" i="7"/>
  <c r="AQ193" i="7"/>
  <c r="AP193" i="7"/>
  <c r="BC193" i="7" s="1"/>
  <c r="AO193" i="7"/>
  <c r="BB193" i="7" s="1"/>
  <c r="AN193" i="7"/>
  <c r="AM193" i="7"/>
  <c r="AL193" i="7"/>
  <c r="AK193" i="7"/>
  <c r="AJ193" i="7"/>
  <c r="AI193" i="7"/>
  <c r="AW193" i="7" s="1"/>
  <c r="AH193" i="7"/>
  <c r="AG193" i="7"/>
  <c r="AF193" i="7"/>
  <c r="AD193" i="7"/>
  <c r="P193" i="7"/>
  <c r="AQ192" i="7"/>
  <c r="AP192" i="7"/>
  <c r="AO192" i="7"/>
  <c r="BB192" i="7" s="1"/>
  <c r="AN192" i="7"/>
  <c r="BA192" i="7" s="1"/>
  <c r="AM192" i="7"/>
  <c r="AL192" i="7"/>
  <c r="AZ192" i="7" s="1"/>
  <c r="AK192" i="7"/>
  <c r="AJ192" i="7"/>
  <c r="AX192" i="7" s="1"/>
  <c r="AI192" i="7"/>
  <c r="AH192" i="7"/>
  <c r="AG192" i="7"/>
  <c r="AF192" i="7"/>
  <c r="AD192" i="7"/>
  <c r="P192" i="7"/>
  <c r="BD191" i="7"/>
  <c r="AQ191" i="7"/>
  <c r="AP191" i="7"/>
  <c r="AO191" i="7"/>
  <c r="BB191" i="7" s="1"/>
  <c r="AN191" i="7"/>
  <c r="AM191" i="7"/>
  <c r="AL191" i="7"/>
  <c r="AK191" i="7"/>
  <c r="AX191" i="7" s="1"/>
  <c r="AJ191" i="7"/>
  <c r="AI191" i="7"/>
  <c r="AW191" i="7" s="1"/>
  <c r="AH191" i="7"/>
  <c r="AG191" i="7"/>
  <c r="AF191" i="7"/>
  <c r="AD191" i="7"/>
  <c r="P191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D190" i="7"/>
  <c r="P190" i="7"/>
  <c r="BC189" i="7"/>
  <c r="BA189" i="7"/>
  <c r="AX189" i="7"/>
  <c r="AQ189" i="7"/>
  <c r="BD189" i="7" s="1"/>
  <c r="AP189" i="7"/>
  <c r="AO189" i="7"/>
  <c r="BB189" i="7" s="1"/>
  <c r="AN189" i="7"/>
  <c r="AM189" i="7"/>
  <c r="AL189" i="7"/>
  <c r="AY189" i="7" s="1"/>
  <c r="AK189" i="7"/>
  <c r="AJ189" i="7"/>
  <c r="AI189" i="7"/>
  <c r="AW189" i="7" s="1"/>
  <c r="AH189" i="7"/>
  <c r="AG189" i="7"/>
  <c r="AF189" i="7"/>
  <c r="AD189" i="7"/>
  <c r="P189" i="7"/>
  <c r="BA188" i="7"/>
  <c r="AQ188" i="7"/>
  <c r="AP188" i="7"/>
  <c r="AO188" i="7"/>
  <c r="AN188" i="7"/>
  <c r="AM188" i="7"/>
  <c r="AL188" i="7"/>
  <c r="AK188" i="7"/>
  <c r="AX188" i="7" s="1"/>
  <c r="AJ188" i="7"/>
  <c r="AI188" i="7"/>
  <c r="AH188" i="7"/>
  <c r="AG188" i="7"/>
  <c r="AF188" i="7"/>
  <c r="AD188" i="7"/>
  <c r="P188" i="7"/>
  <c r="BB187" i="7"/>
  <c r="AQ187" i="7"/>
  <c r="AP187" i="7"/>
  <c r="AO187" i="7"/>
  <c r="AN187" i="7"/>
  <c r="AM187" i="7"/>
  <c r="AL187" i="7"/>
  <c r="AK187" i="7"/>
  <c r="AX187" i="7" s="1"/>
  <c r="AJ187" i="7"/>
  <c r="AI187" i="7"/>
  <c r="AW187" i="7" s="1"/>
  <c r="AH187" i="7"/>
  <c r="AG187" i="7"/>
  <c r="AF187" i="7"/>
  <c r="AD187" i="7"/>
  <c r="P187" i="7"/>
  <c r="AQ186" i="7"/>
  <c r="AP186" i="7"/>
  <c r="AO186" i="7"/>
  <c r="AN186" i="7"/>
  <c r="AM186" i="7"/>
  <c r="AL186" i="7"/>
  <c r="AK186" i="7"/>
  <c r="AX186" i="7" s="1"/>
  <c r="AJ186" i="7"/>
  <c r="AI186" i="7"/>
  <c r="AH186" i="7"/>
  <c r="AG186" i="7"/>
  <c r="AF186" i="7"/>
  <c r="AD186" i="7"/>
  <c r="P186" i="7"/>
  <c r="AY185" i="7"/>
  <c r="AQ185" i="7"/>
  <c r="AP185" i="7"/>
  <c r="BD185" i="7" s="1"/>
  <c r="AO185" i="7"/>
  <c r="AN185" i="7"/>
  <c r="BB185" i="7" s="1"/>
  <c r="AM185" i="7"/>
  <c r="AZ185" i="7" s="1"/>
  <c r="AL185" i="7"/>
  <c r="AK185" i="7"/>
  <c r="AX185" i="7" s="1"/>
  <c r="AJ185" i="7"/>
  <c r="AI185" i="7"/>
  <c r="AH185" i="7"/>
  <c r="AG185" i="7"/>
  <c r="AF185" i="7"/>
  <c r="AD185" i="7"/>
  <c r="P185" i="7"/>
  <c r="AZ184" i="7"/>
  <c r="AY184" i="7"/>
  <c r="AX184" i="7"/>
  <c r="AQ184" i="7"/>
  <c r="AP184" i="7"/>
  <c r="AO184" i="7"/>
  <c r="AN184" i="7"/>
  <c r="AM184" i="7"/>
  <c r="AL184" i="7"/>
  <c r="AK184" i="7"/>
  <c r="AJ184" i="7"/>
  <c r="AI184" i="7"/>
  <c r="AW184" i="7" s="1"/>
  <c r="AH184" i="7"/>
  <c r="AG184" i="7"/>
  <c r="AF184" i="7"/>
  <c r="AD184" i="7"/>
  <c r="P184" i="7"/>
  <c r="BC183" i="7"/>
  <c r="AQ183" i="7"/>
  <c r="BD183" i="7" s="1"/>
  <c r="AP183" i="7"/>
  <c r="AO183" i="7"/>
  <c r="BB183" i="7" s="1"/>
  <c r="AN183" i="7"/>
  <c r="AM183" i="7"/>
  <c r="AL183" i="7"/>
  <c r="AK183" i="7"/>
  <c r="AJ183" i="7"/>
  <c r="AI183" i="7"/>
  <c r="AH183" i="7"/>
  <c r="AG183" i="7"/>
  <c r="AF183" i="7"/>
  <c r="AD183" i="7"/>
  <c r="P183" i="7"/>
  <c r="AQ182" i="7"/>
  <c r="AP182" i="7"/>
  <c r="BC182" i="7" s="1"/>
  <c r="AO182" i="7"/>
  <c r="AN182" i="7"/>
  <c r="AM182" i="7"/>
  <c r="AL182" i="7"/>
  <c r="AY182" i="7" s="1"/>
  <c r="AK182" i="7"/>
  <c r="AJ182" i="7"/>
  <c r="AI182" i="7"/>
  <c r="AH182" i="7"/>
  <c r="AG182" i="7"/>
  <c r="AF182" i="7"/>
  <c r="AD182" i="7"/>
  <c r="P182" i="7"/>
  <c r="AQ181" i="7"/>
  <c r="BD181" i="7" s="1"/>
  <c r="AP181" i="7"/>
  <c r="BC181" i="7" s="1"/>
  <c r="AO181" i="7"/>
  <c r="AN181" i="7"/>
  <c r="AM181" i="7"/>
  <c r="AL181" i="7"/>
  <c r="AK181" i="7"/>
  <c r="AJ181" i="7"/>
  <c r="AI181" i="7"/>
  <c r="AH181" i="7"/>
  <c r="AG181" i="7"/>
  <c r="AF181" i="7"/>
  <c r="AD181" i="7"/>
  <c r="P181" i="7"/>
  <c r="AX180" i="7"/>
  <c r="AQ180" i="7"/>
  <c r="AP180" i="7"/>
  <c r="AO180" i="7"/>
  <c r="AN180" i="7"/>
  <c r="BA180" i="7" s="1"/>
  <c r="AM180" i="7"/>
  <c r="AZ180" i="7" s="1"/>
  <c r="AL180" i="7"/>
  <c r="AY180" i="7" s="1"/>
  <c r="AK180" i="7"/>
  <c r="AJ180" i="7"/>
  <c r="AI180" i="7"/>
  <c r="AH180" i="7"/>
  <c r="AG180" i="7"/>
  <c r="AF180" i="7"/>
  <c r="AD180" i="7"/>
  <c r="P180" i="7"/>
  <c r="BB179" i="7"/>
  <c r="AQ179" i="7"/>
  <c r="AP179" i="7"/>
  <c r="BD179" i="7" s="1"/>
  <c r="AO179" i="7"/>
  <c r="AN179" i="7"/>
  <c r="AM179" i="7"/>
  <c r="AL179" i="7"/>
  <c r="AK179" i="7"/>
  <c r="AJ179" i="7"/>
  <c r="AI179" i="7"/>
  <c r="AH179" i="7"/>
  <c r="AG179" i="7"/>
  <c r="AF179" i="7"/>
  <c r="AD179" i="7"/>
  <c r="P179" i="7"/>
  <c r="AY178" i="7"/>
  <c r="AQ178" i="7"/>
  <c r="AP178" i="7"/>
  <c r="AO178" i="7"/>
  <c r="AN178" i="7"/>
  <c r="AM178" i="7"/>
  <c r="AL178" i="7"/>
  <c r="AK178" i="7"/>
  <c r="AX178" i="7" s="1"/>
  <c r="AJ178" i="7"/>
  <c r="AI178" i="7"/>
  <c r="AH178" i="7"/>
  <c r="AG178" i="7"/>
  <c r="AF178" i="7"/>
  <c r="AD178" i="7"/>
  <c r="P178" i="7"/>
  <c r="BD177" i="7"/>
  <c r="AZ177" i="7"/>
  <c r="AY177" i="7"/>
  <c r="AQ177" i="7"/>
  <c r="AP177" i="7"/>
  <c r="BC177" i="7" s="1"/>
  <c r="AO177" i="7"/>
  <c r="AN177" i="7"/>
  <c r="AM177" i="7"/>
  <c r="AL177" i="7"/>
  <c r="AK177" i="7"/>
  <c r="AJ177" i="7"/>
  <c r="AI177" i="7"/>
  <c r="AH177" i="7"/>
  <c r="AG177" i="7"/>
  <c r="AF177" i="7"/>
  <c r="AD177" i="7"/>
  <c r="P177" i="7"/>
  <c r="AZ176" i="7"/>
  <c r="AY176" i="7"/>
  <c r="AQ176" i="7"/>
  <c r="BD176" i="7" s="1"/>
  <c r="AP176" i="7"/>
  <c r="AO176" i="7"/>
  <c r="BB176" i="7" s="1"/>
  <c r="AN176" i="7"/>
  <c r="AM176" i="7"/>
  <c r="AL176" i="7"/>
  <c r="AK176" i="7"/>
  <c r="AJ176" i="7"/>
  <c r="AI176" i="7"/>
  <c r="AH176" i="7"/>
  <c r="AG176" i="7"/>
  <c r="AF176" i="7"/>
  <c r="AD176" i="7"/>
  <c r="P176" i="7"/>
  <c r="AQ175" i="7"/>
  <c r="AP175" i="7"/>
  <c r="BD175" i="7" s="1"/>
  <c r="AO175" i="7"/>
  <c r="BB175" i="7" s="1"/>
  <c r="AN175" i="7"/>
  <c r="AM175" i="7"/>
  <c r="AL175" i="7"/>
  <c r="AK175" i="7"/>
  <c r="AX175" i="7" s="1"/>
  <c r="AJ175" i="7"/>
  <c r="AI175" i="7"/>
  <c r="AW175" i="7" s="1"/>
  <c r="AH175" i="7"/>
  <c r="AG175" i="7"/>
  <c r="AF175" i="7"/>
  <c r="AD175" i="7"/>
  <c r="P175" i="7"/>
  <c r="AQ174" i="7"/>
  <c r="AP174" i="7"/>
  <c r="AO174" i="7"/>
  <c r="BB174" i="7" s="1"/>
  <c r="AN174" i="7"/>
  <c r="AM174" i="7"/>
  <c r="AL174" i="7"/>
  <c r="AK174" i="7"/>
  <c r="AX174" i="7" s="1"/>
  <c r="AJ174" i="7"/>
  <c r="AI174" i="7"/>
  <c r="AH174" i="7"/>
  <c r="AG174" i="7"/>
  <c r="AF174" i="7"/>
  <c r="AD174" i="7"/>
  <c r="P174" i="7"/>
  <c r="BD173" i="7"/>
  <c r="AQ173" i="7"/>
  <c r="AP173" i="7"/>
  <c r="AO173" i="7"/>
  <c r="BC173" i="7" s="1"/>
  <c r="AN173" i="7"/>
  <c r="AM173" i="7"/>
  <c r="AL173" i="7"/>
  <c r="AK173" i="7"/>
  <c r="AJ173" i="7"/>
  <c r="AI173" i="7"/>
  <c r="AH173" i="7"/>
  <c r="AG173" i="7"/>
  <c r="AF173" i="7"/>
  <c r="AD173" i="7"/>
  <c r="P173" i="7"/>
  <c r="AQ172" i="7"/>
  <c r="AP172" i="7"/>
  <c r="BC172" i="7" s="1"/>
  <c r="AO172" i="7"/>
  <c r="AN172" i="7"/>
  <c r="BA172" i="7" s="1"/>
  <c r="AM172" i="7"/>
  <c r="AL172" i="7"/>
  <c r="AZ172" i="7" s="1"/>
  <c r="AK172" i="7"/>
  <c r="AX172" i="7" s="1"/>
  <c r="AJ172" i="7"/>
  <c r="AI172" i="7"/>
  <c r="AW172" i="7" s="1"/>
  <c r="AH172" i="7"/>
  <c r="AG172" i="7"/>
  <c r="AF172" i="7"/>
  <c r="AD172" i="7"/>
  <c r="P172" i="7"/>
  <c r="BD171" i="7"/>
  <c r="AQ171" i="7"/>
  <c r="AP171" i="7"/>
  <c r="BC171" i="7" s="1"/>
  <c r="AO171" i="7"/>
  <c r="AN171" i="7"/>
  <c r="AM171" i="7"/>
  <c r="AL171" i="7"/>
  <c r="AK171" i="7"/>
  <c r="AJ171" i="7"/>
  <c r="AI171" i="7"/>
  <c r="AW171" i="7" s="1"/>
  <c r="AH171" i="7"/>
  <c r="AG171" i="7"/>
  <c r="AF171" i="7"/>
  <c r="AD171" i="7"/>
  <c r="P171" i="7"/>
  <c r="BA170" i="7"/>
  <c r="AZ170" i="7"/>
  <c r="AX170" i="7"/>
  <c r="AQ170" i="7"/>
  <c r="AP170" i="7"/>
  <c r="BC170" i="7" s="1"/>
  <c r="AO170" i="7"/>
  <c r="BB170" i="7" s="1"/>
  <c r="AN170" i="7"/>
  <c r="AM170" i="7"/>
  <c r="AL170" i="7"/>
  <c r="AY170" i="7" s="1"/>
  <c r="AK170" i="7"/>
  <c r="AJ170" i="7"/>
  <c r="AI170" i="7"/>
  <c r="AH170" i="7"/>
  <c r="AG170" i="7"/>
  <c r="AF170" i="7"/>
  <c r="AD170" i="7"/>
  <c r="P170" i="7"/>
  <c r="BD169" i="7"/>
  <c r="BC169" i="7"/>
  <c r="AQ169" i="7"/>
  <c r="AP169" i="7"/>
  <c r="AO169" i="7"/>
  <c r="BB169" i="7" s="1"/>
  <c r="AN169" i="7"/>
  <c r="AM169" i="7"/>
  <c r="AL169" i="7"/>
  <c r="AY169" i="7" s="1"/>
  <c r="AK169" i="7"/>
  <c r="AJ169" i="7"/>
  <c r="AW169" i="7" s="1"/>
  <c r="AI169" i="7"/>
  <c r="AH169" i="7"/>
  <c r="AG169" i="7"/>
  <c r="AF169" i="7"/>
  <c r="AD169" i="7"/>
  <c r="P169" i="7"/>
  <c r="AQ168" i="7"/>
  <c r="AP168" i="7"/>
  <c r="AO168" i="7"/>
  <c r="BB168" i="7" s="1"/>
  <c r="AN168" i="7"/>
  <c r="AM168" i="7"/>
  <c r="AL168" i="7"/>
  <c r="AK168" i="7"/>
  <c r="AJ168" i="7"/>
  <c r="AI168" i="7"/>
  <c r="AH168" i="7"/>
  <c r="AG168" i="7"/>
  <c r="AF168" i="7"/>
  <c r="AD168" i="7"/>
  <c r="P168" i="7"/>
  <c r="AQ167" i="7"/>
  <c r="BD167" i="7" s="1"/>
  <c r="AP167" i="7"/>
  <c r="BC167" i="7" s="1"/>
  <c r="AO167" i="7"/>
  <c r="BB167" i="7" s="1"/>
  <c r="AN167" i="7"/>
  <c r="AM167" i="7"/>
  <c r="AL167" i="7"/>
  <c r="AK167" i="7"/>
  <c r="AY167" i="7" s="1"/>
  <c r="AJ167" i="7"/>
  <c r="AI167" i="7"/>
  <c r="AH167" i="7"/>
  <c r="AG167" i="7"/>
  <c r="AF167" i="7"/>
  <c r="AD167" i="7"/>
  <c r="P167" i="7"/>
  <c r="AQ166" i="7"/>
  <c r="BD166" i="7" s="1"/>
  <c r="AP166" i="7"/>
  <c r="AO166" i="7"/>
  <c r="BC166" i="7" s="1"/>
  <c r="AN166" i="7"/>
  <c r="AM166" i="7"/>
  <c r="AL166" i="7"/>
  <c r="AY166" i="7" s="1"/>
  <c r="AK166" i="7"/>
  <c r="AJ166" i="7"/>
  <c r="AI166" i="7"/>
  <c r="AH166" i="7"/>
  <c r="AG166" i="7"/>
  <c r="AF166" i="7"/>
  <c r="AD166" i="7"/>
  <c r="P166" i="7"/>
  <c r="BA165" i="7"/>
  <c r="AY165" i="7"/>
  <c r="AQ165" i="7"/>
  <c r="AP165" i="7"/>
  <c r="AO165" i="7"/>
  <c r="BB165" i="7" s="1"/>
  <c r="AN165" i="7"/>
  <c r="AM165" i="7"/>
  <c r="AZ165" i="7" s="1"/>
  <c r="AL165" i="7"/>
  <c r="AK165" i="7"/>
  <c r="AX165" i="7" s="1"/>
  <c r="AJ165" i="7"/>
  <c r="AI165" i="7"/>
  <c r="AW165" i="7" s="1"/>
  <c r="AH165" i="7"/>
  <c r="AG165" i="7"/>
  <c r="AF165" i="7"/>
  <c r="AD165" i="7"/>
  <c r="P165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D164" i="7"/>
  <c r="P164" i="7"/>
  <c r="AQ163" i="7"/>
  <c r="AP163" i="7"/>
  <c r="BC163" i="7" s="1"/>
  <c r="AO163" i="7"/>
  <c r="AN163" i="7"/>
  <c r="AM163" i="7"/>
  <c r="AL163" i="7"/>
  <c r="AK163" i="7"/>
  <c r="AJ163" i="7"/>
  <c r="AI163" i="7"/>
  <c r="AH163" i="7"/>
  <c r="AG163" i="7"/>
  <c r="AF163" i="7"/>
  <c r="AD163" i="7"/>
  <c r="P163" i="7"/>
  <c r="AZ162" i="7"/>
  <c r="AQ162" i="7"/>
  <c r="AP162" i="7"/>
  <c r="BD162" i="7" s="1"/>
  <c r="AO162" i="7"/>
  <c r="AN162" i="7"/>
  <c r="AM162" i="7"/>
  <c r="AL162" i="7"/>
  <c r="AK162" i="7"/>
  <c r="AX162" i="7" s="1"/>
  <c r="AJ162" i="7"/>
  <c r="AI162" i="7"/>
  <c r="AW162" i="7" s="1"/>
  <c r="AH162" i="7"/>
  <c r="AG162" i="7"/>
  <c r="AF162" i="7"/>
  <c r="AD162" i="7"/>
  <c r="P162" i="7"/>
  <c r="AQ161" i="7"/>
  <c r="AP161" i="7"/>
  <c r="AO161" i="7"/>
  <c r="BB161" i="7" s="1"/>
  <c r="AN161" i="7"/>
  <c r="BA161" i="7" s="1"/>
  <c r="AM161" i="7"/>
  <c r="AZ161" i="7" s="1"/>
  <c r="AL161" i="7"/>
  <c r="AY161" i="7" s="1"/>
  <c r="AK161" i="7"/>
  <c r="AJ161" i="7"/>
  <c r="AX161" i="7" s="1"/>
  <c r="AI161" i="7"/>
  <c r="AH161" i="7"/>
  <c r="AG161" i="7"/>
  <c r="AF161" i="7"/>
  <c r="AD161" i="7"/>
  <c r="P161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D160" i="7"/>
  <c r="P160" i="7"/>
  <c r="AQ159" i="7"/>
  <c r="AP159" i="7"/>
  <c r="AO159" i="7"/>
  <c r="AN159" i="7"/>
  <c r="BA159" i="7" s="1"/>
  <c r="AM159" i="7"/>
  <c r="AL159" i="7"/>
  <c r="AK159" i="7"/>
  <c r="AX159" i="7" s="1"/>
  <c r="AJ159" i="7"/>
  <c r="AI159" i="7"/>
  <c r="AH159" i="7"/>
  <c r="AG159" i="7"/>
  <c r="AF159" i="7"/>
  <c r="AD159" i="7"/>
  <c r="P159" i="7"/>
  <c r="AY158" i="7"/>
  <c r="AQ158" i="7"/>
  <c r="BD158" i="7" s="1"/>
  <c r="AP158" i="7"/>
  <c r="AO158" i="7"/>
  <c r="BB158" i="7" s="1"/>
  <c r="AN158" i="7"/>
  <c r="AM158" i="7"/>
  <c r="BA158" i="7" s="1"/>
  <c r="AL158" i="7"/>
  <c r="AK158" i="7"/>
  <c r="AJ158" i="7"/>
  <c r="AI158" i="7"/>
  <c r="AH158" i="7"/>
  <c r="AG158" i="7"/>
  <c r="AF158" i="7"/>
  <c r="AD158" i="7"/>
  <c r="P158" i="7"/>
  <c r="AQ157" i="7"/>
  <c r="AP157" i="7"/>
  <c r="AO157" i="7"/>
  <c r="AN157" i="7"/>
  <c r="BA157" i="7" s="1"/>
  <c r="AM157" i="7"/>
  <c r="AL157" i="7"/>
  <c r="AZ157" i="7" s="1"/>
  <c r="AK157" i="7"/>
  <c r="AJ157" i="7"/>
  <c r="AI157" i="7"/>
  <c r="AH157" i="7"/>
  <c r="AG157" i="7"/>
  <c r="AF157" i="7"/>
  <c r="AD157" i="7"/>
  <c r="P157" i="7"/>
  <c r="AQ156" i="7"/>
  <c r="AP156" i="7"/>
  <c r="AO156" i="7"/>
  <c r="AN156" i="7"/>
  <c r="AM156" i="7"/>
  <c r="AL156" i="7"/>
  <c r="AK156" i="7"/>
  <c r="AX156" i="7" s="1"/>
  <c r="AJ156" i="7"/>
  <c r="AI156" i="7"/>
  <c r="AW156" i="7" s="1"/>
  <c r="AH156" i="7"/>
  <c r="AG156" i="7"/>
  <c r="AF156" i="7"/>
  <c r="AD156" i="7"/>
  <c r="P156" i="7"/>
  <c r="AQ155" i="7"/>
  <c r="AP155" i="7"/>
  <c r="BC155" i="7" s="1"/>
  <c r="AO155" i="7"/>
  <c r="AN155" i="7"/>
  <c r="AM155" i="7"/>
  <c r="AL155" i="7"/>
  <c r="AK155" i="7"/>
  <c r="AJ155" i="7"/>
  <c r="AI155" i="7"/>
  <c r="AH155" i="7"/>
  <c r="AG155" i="7"/>
  <c r="AF155" i="7"/>
  <c r="AD155" i="7"/>
  <c r="P155" i="7"/>
  <c r="BD154" i="7"/>
  <c r="BA154" i="7"/>
  <c r="AQ154" i="7"/>
  <c r="AP154" i="7"/>
  <c r="AO154" i="7"/>
  <c r="BB154" i="7" s="1"/>
  <c r="AN154" i="7"/>
  <c r="AM154" i="7"/>
  <c r="AZ154" i="7" s="1"/>
  <c r="AL154" i="7"/>
  <c r="AY154" i="7" s="1"/>
  <c r="AK154" i="7"/>
  <c r="AX154" i="7" s="1"/>
  <c r="AJ154" i="7"/>
  <c r="AW154" i="7" s="1"/>
  <c r="AI154" i="7"/>
  <c r="AH154" i="7"/>
  <c r="AG154" i="7"/>
  <c r="AF154" i="7"/>
  <c r="AD154" i="7"/>
  <c r="P154" i="7"/>
  <c r="AQ153" i="7"/>
  <c r="AP153" i="7"/>
  <c r="AO153" i="7"/>
  <c r="BB153" i="7" s="1"/>
  <c r="AN153" i="7"/>
  <c r="AM153" i="7"/>
  <c r="AZ153" i="7" s="1"/>
  <c r="AL153" i="7"/>
  <c r="AK153" i="7"/>
  <c r="AY153" i="7" s="1"/>
  <c r="AJ153" i="7"/>
  <c r="AI153" i="7"/>
  <c r="AH153" i="7"/>
  <c r="AG153" i="7"/>
  <c r="AF153" i="7"/>
  <c r="AD153" i="7"/>
  <c r="P153" i="7"/>
  <c r="BC152" i="7"/>
  <c r="AQ152" i="7"/>
  <c r="BD152" i="7" s="1"/>
  <c r="AP152" i="7"/>
  <c r="AO152" i="7"/>
  <c r="BB152" i="7" s="1"/>
  <c r="AN152" i="7"/>
  <c r="AM152" i="7"/>
  <c r="AL152" i="7"/>
  <c r="AK152" i="7"/>
  <c r="AJ152" i="7"/>
  <c r="AI152" i="7"/>
  <c r="AH152" i="7"/>
  <c r="AG152" i="7"/>
  <c r="AF152" i="7"/>
  <c r="AD152" i="7"/>
  <c r="P152" i="7"/>
  <c r="AY151" i="7"/>
  <c r="AQ151" i="7"/>
  <c r="AP151" i="7"/>
  <c r="AO151" i="7"/>
  <c r="AN151" i="7"/>
  <c r="AM151" i="7"/>
  <c r="AL151" i="7"/>
  <c r="AK151" i="7"/>
  <c r="AX151" i="7" s="1"/>
  <c r="AJ151" i="7"/>
  <c r="AI151" i="7"/>
  <c r="AH151" i="7"/>
  <c r="AG151" i="7"/>
  <c r="AF151" i="7"/>
  <c r="AD151" i="7"/>
  <c r="P151" i="7"/>
  <c r="BD150" i="7"/>
  <c r="AX150" i="7"/>
  <c r="AQ150" i="7"/>
  <c r="AP150" i="7"/>
  <c r="BC150" i="7" s="1"/>
  <c r="AO150" i="7"/>
  <c r="AN150" i="7"/>
  <c r="AM150" i="7"/>
  <c r="AL150" i="7"/>
  <c r="AK150" i="7"/>
  <c r="AJ150" i="7"/>
  <c r="AI150" i="7"/>
  <c r="AH150" i="7"/>
  <c r="AG150" i="7"/>
  <c r="AF150" i="7"/>
  <c r="AD150" i="7"/>
  <c r="P150" i="7"/>
  <c r="BA149" i="7"/>
  <c r="AZ149" i="7"/>
  <c r="AX149" i="7"/>
  <c r="AQ149" i="7"/>
  <c r="AP149" i="7"/>
  <c r="AO149" i="7"/>
  <c r="AN149" i="7"/>
  <c r="AM149" i="7"/>
  <c r="AL149" i="7"/>
  <c r="AK149" i="7"/>
  <c r="AJ149" i="7"/>
  <c r="AW149" i="7" s="1"/>
  <c r="AI149" i="7"/>
  <c r="AH149" i="7"/>
  <c r="AG149" i="7"/>
  <c r="AF149" i="7"/>
  <c r="AD149" i="7"/>
  <c r="P149" i="7"/>
  <c r="BB148" i="7"/>
  <c r="AQ148" i="7"/>
  <c r="BD148" i="7" s="1"/>
  <c r="AP148" i="7"/>
  <c r="BC148" i="7" s="1"/>
  <c r="AO148" i="7"/>
  <c r="AN148" i="7"/>
  <c r="AM148" i="7"/>
  <c r="AL148" i="7"/>
  <c r="AK148" i="7"/>
  <c r="AX148" i="7" s="1"/>
  <c r="AJ148" i="7"/>
  <c r="AI148" i="7"/>
  <c r="AW148" i="7" s="1"/>
  <c r="AH148" i="7"/>
  <c r="AG148" i="7"/>
  <c r="AF148" i="7"/>
  <c r="AD148" i="7"/>
  <c r="P148" i="7"/>
  <c r="AY147" i="7"/>
  <c r="AX147" i="7"/>
  <c r="AQ147" i="7"/>
  <c r="AP147" i="7"/>
  <c r="BC147" i="7" s="1"/>
  <c r="AO147" i="7"/>
  <c r="AN147" i="7"/>
  <c r="AM147" i="7"/>
  <c r="AL147" i="7"/>
  <c r="AK147" i="7"/>
  <c r="AJ147" i="7"/>
  <c r="AI147" i="7"/>
  <c r="AH147" i="7"/>
  <c r="AG147" i="7"/>
  <c r="AF147" i="7"/>
  <c r="AD147" i="7"/>
  <c r="P147" i="7"/>
  <c r="BD146" i="7"/>
  <c r="AY146" i="7"/>
  <c r="AQ146" i="7"/>
  <c r="AP146" i="7"/>
  <c r="AO146" i="7"/>
  <c r="BB146" i="7" s="1"/>
  <c r="AN146" i="7"/>
  <c r="BA146" i="7" s="1"/>
  <c r="AM146" i="7"/>
  <c r="AZ146" i="7" s="1"/>
  <c r="AL146" i="7"/>
  <c r="AK146" i="7"/>
  <c r="AJ146" i="7"/>
  <c r="AI146" i="7"/>
  <c r="AH146" i="7"/>
  <c r="AG146" i="7"/>
  <c r="AF146" i="7"/>
  <c r="AD146" i="7"/>
  <c r="P146" i="7"/>
  <c r="AZ145" i="7"/>
  <c r="AQ145" i="7"/>
  <c r="AP145" i="7"/>
  <c r="AO145" i="7"/>
  <c r="AN145" i="7"/>
  <c r="BA145" i="7" s="1"/>
  <c r="AM145" i="7"/>
  <c r="AL145" i="7"/>
  <c r="AY145" i="7" s="1"/>
  <c r="AK145" i="7"/>
  <c r="AX145" i="7" s="1"/>
  <c r="AJ145" i="7"/>
  <c r="AI145" i="7"/>
  <c r="AW145" i="7" s="1"/>
  <c r="AH145" i="7"/>
  <c r="AG145" i="7"/>
  <c r="AF145" i="7"/>
  <c r="AD145" i="7"/>
  <c r="P145" i="7"/>
  <c r="AQ144" i="7"/>
  <c r="AP144" i="7"/>
  <c r="AO144" i="7"/>
  <c r="BB144" i="7" s="1"/>
  <c r="AN144" i="7"/>
  <c r="AM144" i="7"/>
  <c r="AL144" i="7"/>
  <c r="AK144" i="7"/>
  <c r="AX144" i="7" s="1"/>
  <c r="AJ144" i="7"/>
  <c r="AI144" i="7"/>
  <c r="AH144" i="7"/>
  <c r="AG144" i="7"/>
  <c r="AF144" i="7"/>
  <c r="AD144" i="7"/>
  <c r="P144" i="7"/>
  <c r="BC143" i="7"/>
  <c r="BA143" i="7"/>
  <c r="AY143" i="7"/>
  <c r="AQ143" i="7"/>
  <c r="AP143" i="7"/>
  <c r="AO143" i="7"/>
  <c r="BB143" i="7" s="1"/>
  <c r="AN143" i="7"/>
  <c r="AM143" i="7"/>
  <c r="AL143" i="7"/>
  <c r="AK143" i="7"/>
  <c r="AX143" i="7" s="1"/>
  <c r="AJ143" i="7"/>
  <c r="AI143" i="7"/>
  <c r="AH143" i="7"/>
  <c r="AG143" i="7"/>
  <c r="AF143" i="7"/>
  <c r="AD143" i="7"/>
  <c r="P143" i="7"/>
  <c r="BD142" i="7"/>
  <c r="AQ142" i="7"/>
  <c r="AP142" i="7"/>
  <c r="BC142" i="7" s="1"/>
  <c r="AO142" i="7"/>
  <c r="AN142" i="7"/>
  <c r="AM142" i="7"/>
  <c r="AL142" i="7"/>
  <c r="AY142" i="7" s="1"/>
  <c r="AK142" i="7"/>
  <c r="AJ142" i="7"/>
  <c r="AI142" i="7"/>
  <c r="AH142" i="7"/>
  <c r="AG142" i="7"/>
  <c r="AF142" i="7"/>
  <c r="AD142" i="7"/>
  <c r="P142" i="7"/>
  <c r="AQ141" i="7"/>
  <c r="AP141" i="7"/>
  <c r="BC141" i="7" s="1"/>
  <c r="AO141" i="7"/>
  <c r="AN141" i="7"/>
  <c r="BA141" i="7" s="1"/>
  <c r="AM141" i="7"/>
  <c r="AZ141" i="7" s="1"/>
  <c r="AL141" i="7"/>
  <c r="AK141" i="7"/>
  <c r="AX141" i="7" s="1"/>
  <c r="AJ141" i="7"/>
  <c r="AI141" i="7"/>
  <c r="AW141" i="7" s="1"/>
  <c r="AH141" i="7"/>
  <c r="AG141" i="7"/>
  <c r="AF141" i="7"/>
  <c r="AD141" i="7"/>
  <c r="P141" i="7"/>
  <c r="AQ140" i="7"/>
  <c r="BD140" i="7" s="1"/>
  <c r="AP140" i="7"/>
  <c r="AO140" i="7"/>
  <c r="AN140" i="7"/>
  <c r="AM140" i="7"/>
  <c r="AL140" i="7"/>
  <c r="AK140" i="7"/>
  <c r="AJ140" i="7"/>
  <c r="AW140" i="7" s="1"/>
  <c r="AI140" i="7"/>
  <c r="AH140" i="7"/>
  <c r="AG140" i="7"/>
  <c r="AF140" i="7"/>
  <c r="AD140" i="7"/>
  <c r="P140" i="7"/>
  <c r="BA139" i="7"/>
  <c r="AZ139" i="7"/>
  <c r="AQ139" i="7"/>
  <c r="AP139" i="7"/>
  <c r="AO139" i="7"/>
  <c r="BB139" i="7" s="1"/>
  <c r="AN139" i="7"/>
  <c r="AM139" i="7"/>
  <c r="AL139" i="7"/>
  <c r="AY139" i="7" s="1"/>
  <c r="AK139" i="7"/>
  <c r="AJ139" i="7"/>
  <c r="AI139" i="7"/>
  <c r="AH139" i="7"/>
  <c r="AG139" i="7"/>
  <c r="AF139" i="7"/>
  <c r="AD139" i="7"/>
  <c r="P139" i="7"/>
  <c r="BD138" i="7"/>
  <c r="AQ138" i="7"/>
  <c r="AP138" i="7"/>
  <c r="BC138" i="7" s="1"/>
  <c r="AO138" i="7"/>
  <c r="BB138" i="7" s="1"/>
  <c r="AN138" i="7"/>
  <c r="AM138" i="7"/>
  <c r="AL138" i="7"/>
  <c r="AY138" i="7" s="1"/>
  <c r="AK138" i="7"/>
  <c r="AJ138" i="7"/>
  <c r="AI138" i="7"/>
  <c r="AH138" i="7"/>
  <c r="AG138" i="7"/>
  <c r="AF138" i="7"/>
  <c r="AD138" i="7"/>
  <c r="P138" i="7"/>
  <c r="BC137" i="7"/>
  <c r="AQ137" i="7"/>
  <c r="AP137" i="7"/>
  <c r="AO137" i="7"/>
  <c r="AN137" i="7"/>
  <c r="AM137" i="7"/>
  <c r="AL137" i="7"/>
  <c r="AK137" i="7"/>
  <c r="AX137" i="7" s="1"/>
  <c r="AJ137" i="7"/>
  <c r="AI137" i="7"/>
  <c r="AH137" i="7"/>
  <c r="AG137" i="7"/>
  <c r="AF137" i="7"/>
  <c r="AD137" i="7"/>
  <c r="P137" i="7"/>
  <c r="AZ136" i="7"/>
  <c r="AQ136" i="7"/>
  <c r="AP136" i="7"/>
  <c r="AO136" i="7"/>
  <c r="AN136" i="7"/>
  <c r="BA136" i="7" s="1"/>
  <c r="AM136" i="7"/>
  <c r="AL136" i="7"/>
  <c r="AY136" i="7" s="1"/>
  <c r="AK136" i="7"/>
  <c r="AJ136" i="7"/>
  <c r="AI136" i="7"/>
  <c r="AH136" i="7"/>
  <c r="AG136" i="7"/>
  <c r="AF136" i="7"/>
  <c r="AD136" i="7"/>
  <c r="P136" i="7"/>
  <c r="BC135" i="7"/>
  <c r="BB135" i="7"/>
  <c r="AQ135" i="7"/>
  <c r="BD135" i="7" s="1"/>
  <c r="AP135" i="7"/>
  <c r="AO135" i="7"/>
  <c r="AN135" i="7"/>
  <c r="AM135" i="7"/>
  <c r="AL135" i="7"/>
  <c r="AK135" i="7"/>
  <c r="AJ135" i="7"/>
  <c r="AI135" i="7"/>
  <c r="AW135" i="7" s="1"/>
  <c r="AH135" i="7"/>
  <c r="AG135" i="7"/>
  <c r="AF135" i="7"/>
  <c r="AD135" i="7"/>
  <c r="P135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D134" i="7"/>
  <c r="P134" i="7"/>
  <c r="BD133" i="7"/>
  <c r="AZ133" i="7"/>
  <c r="AQ133" i="7"/>
  <c r="AP133" i="7"/>
  <c r="AO133" i="7"/>
  <c r="BC133" i="7" s="1"/>
  <c r="AN133" i="7"/>
  <c r="AM133" i="7"/>
  <c r="AL133" i="7"/>
  <c r="AY133" i="7" s="1"/>
  <c r="AK133" i="7"/>
  <c r="AJ133" i="7"/>
  <c r="AX133" i="7" s="1"/>
  <c r="AI133" i="7"/>
  <c r="AH133" i="7"/>
  <c r="AG133" i="7"/>
  <c r="AF133" i="7"/>
  <c r="AD133" i="7"/>
  <c r="P133" i="7"/>
  <c r="BA132" i="7"/>
  <c r="AQ132" i="7"/>
  <c r="AP132" i="7"/>
  <c r="AO132" i="7"/>
  <c r="BB132" i="7" s="1"/>
  <c r="AN132" i="7"/>
  <c r="AM132" i="7"/>
  <c r="AZ132" i="7" s="1"/>
  <c r="AL132" i="7"/>
  <c r="AY132" i="7" s="1"/>
  <c r="AK132" i="7"/>
  <c r="AX132" i="7" s="1"/>
  <c r="AJ132" i="7"/>
  <c r="AI132" i="7"/>
  <c r="AH132" i="7"/>
  <c r="AV132" i="7" s="1"/>
  <c r="AG132" i="7"/>
  <c r="AF132" i="7"/>
  <c r="AD132" i="7"/>
  <c r="P132" i="7"/>
  <c r="AQ131" i="7"/>
  <c r="AP131" i="7"/>
  <c r="AO131" i="7"/>
  <c r="BB131" i="7" s="1"/>
  <c r="AN131" i="7"/>
  <c r="AM131" i="7"/>
  <c r="AL131" i="7"/>
  <c r="AK131" i="7"/>
  <c r="AJ131" i="7"/>
  <c r="AI131" i="7"/>
  <c r="AH131" i="7"/>
  <c r="AG131" i="7"/>
  <c r="AF131" i="7"/>
  <c r="AD131" i="7"/>
  <c r="P131" i="7"/>
  <c r="AY130" i="7"/>
  <c r="AQ130" i="7"/>
  <c r="AP130" i="7"/>
  <c r="BC130" i="7" s="1"/>
  <c r="AO130" i="7"/>
  <c r="BB130" i="7" s="1"/>
  <c r="AN130" i="7"/>
  <c r="AM130" i="7"/>
  <c r="AL130" i="7"/>
  <c r="AZ130" i="7" s="1"/>
  <c r="AK130" i="7"/>
  <c r="AX130" i="7" s="1"/>
  <c r="AJ130" i="7"/>
  <c r="AI130" i="7"/>
  <c r="AH130" i="7"/>
  <c r="AG130" i="7"/>
  <c r="AF130" i="7"/>
  <c r="AD130" i="7"/>
  <c r="P130" i="7"/>
  <c r="AQ129" i="7"/>
  <c r="BD129" i="7" s="1"/>
  <c r="AP129" i="7"/>
  <c r="BC129" i="7" s="1"/>
  <c r="AO129" i="7"/>
  <c r="AN129" i="7"/>
  <c r="AM129" i="7"/>
  <c r="AL129" i="7"/>
  <c r="AK129" i="7"/>
  <c r="AJ129" i="7"/>
  <c r="AI129" i="7"/>
  <c r="AH129" i="7"/>
  <c r="AG129" i="7"/>
  <c r="AF129" i="7"/>
  <c r="AD129" i="7"/>
  <c r="P129" i="7"/>
  <c r="AX128" i="7"/>
  <c r="AQ128" i="7"/>
  <c r="AP128" i="7"/>
  <c r="AO128" i="7"/>
  <c r="AN128" i="7"/>
  <c r="AM128" i="7"/>
  <c r="AL128" i="7"/>
  <c r="AY128" i="7" s="1"/>
  <c r="AK128" i="7"/>
  <c r="AJ128" i="7"/>
  <c r="AI128" i="7"/>
  <c r="AH128" i="7"/>
  <c r="AG128" i="7"/>
  <c r="AF128" i="7"/>
  <c r="AD128" i="7"/>
  <c r="P128" i="7"/>
  <c r="AQ127" i="7"/>
  <c r="AP127" i="7"/>
  <c r="BC127" i="7" s="1"/>
  <c r="AO127" i="7"/>
  <c r="AN127" i="7"/>
  <c r="AM127" i="7"/>
  <c r="AL127" i="7"/>
  <c r="AY127" i="7" s="1"/>
  <c r="AK127" i="7"/>
  <c r="AX127" i="7" s="1"/>
  <c r="AJ127" i="7"/>
  <c r="AI127" i="7"/>
  <c r="AW127" i="7" s="1"/>
  <c r="AH127" i="7"/>
  <c r="AG127" i="7"/>
  <c r="AF127" i="7"/>
  <c r="AD127" i="7"/>
  <c r="P127" i="7"/>
  <c r="AY126" i="7"/>
  <c r="AQ126" i="7"/>
  <c r="AP126" i="7"/>
  <c r="AO126" i="7"/>
  <c r="AN126" i="7"/>
  <c r="AM126" i="7"/>
  <c r="AZ126" i="7" s="1"/>
  <c r="AL126" i="7"/>
  <c r="AK126" i="7"/>
  <c r="AX126" i="7" s="1"/>
  <c r="AJ126" i="7"/>
  <c r="AI126" i="7"/>
  <c r="AH126" i="7"/>
  <c r="AG126" i="7"/>
  <c r="AF126" i="7"/>
  <c r="AD126" i="7"/>
  <c r="P126" i="7"/>
  <c r="AQ125" i="7"/>
  <c r="AP125" i="7"/>
  <c r="AO125" i="7"/>
  <c r="BB125" i="7" s="1"/>
  <c r="AN125" i="7"/>
  <c r="AM125" i="7"/>
  <c r="AL125" i="7"/>
  <c r="AK125" i="7"/>
  <c r="AX125" i="7" s="1"/>
  <c r="AJ125" i="7"/>
  <c r="AI125" i="7"/>
  <c r="AW125" i="7" s="1"/>
  <c r="AH125" i="7"/>
  <c r="AG125" i="7"/>
  <c r="AF125" i="7"/>
  <c r="AD125" i="7"/>
  <c r="P125" i="7"/>
  <c r="AQ124" i="7"/>
  <c r="AP124" i="7"/>
  <c r="AO124" i="7"/>
  <c r="AN124" i="7"/>
  <c r="AM124" i="7"/>
  <c r="AL124" i="7"/>
  <c r="AY124" i="7" s="1"/>
  <c r="AK124" i="7"/>
  <c r="AJ124" i="7"/>
  <c r="AI124" i="7"/>
  <c r="AH124" i="7"/>
  <c r="AG124" i="7"/>
  <c r="AF124" i="7"/>
  <c r="AD124" i="7"/>
  <c r="P124" i="7"/>
  <c r="AQ123" i="7"/>
  <c r="AP123" i="7"/>
  <c r="AO123" i="7"/>
  <c r="BC123" i="7" s="1"/>
  <c r="AN123" i="7"/>
  <c r="AM123" i="7"/>
  <c r="AZ123" i="7" s="1"/>
  <c r="AL123" i="7"/>
  <c r="AK123" i="7"/>
  <c r="AX123" i="7" s="1"/>
  <c r="AJ123" i="7"/>
  <c r="AI123" i="7"/>
  <c r="AW123" i="7" s="1"/>
  <c r="AH123" i="7"/>
  <c r="AV123" i="7" s="1"/>
  <c r="AG123" i="7"/>
  <c r="AF123" i="7"/>
  <c r="AD123" i="7"/>
  <c r="P123" i="7"/>
  <c r="AQ122" i="7"/>
  <c r="AP122" i="7"/>
  <c r="AO122" i="7"/>
  <c r="AN122" i="7"/>
  <c r="BA122" i="7" s="1"/>
  <c r="AM122" i="7"/>
  <c r="AZ122" i="7" s="1"/>
  <c r="AL122" i="7"/>
  <c r="AK122" i="7"/>
  <c r="AX122" i="7" s="1"/>
  <c r="AJ122" i="7"/>
  <c r="AI122" i="7"/>
  <c r="AH122" i="7"/>
  <c r="AG122" i="7"/>
  <c r="AF122" i="7"/>
  <c r="AD122" i="7"/>
  <c r="P122" i="7"/>
  <c r="BC121" i="7"/>
  <c r="AQ121" i="7"/>
  <c r="BD121" i="7" s="1"/>
  <c r="AP121" i="7"/>
  <c r="AO121" i="7"/>
  <c r="BB121" i="7" s="1"/>
  <c r="AN121" i="7"/>
  <c r="AM121" i="7"/>
  <c r="AL121" i="7"/>
  <c r="AK121" i="7"/>
  <c r="AY121" i="7" s="1"/>
  <c r="AJ121" i="7"/>
  <c r="AI121" i="7"/>
  <c r="AH121" i="7"/>
  <c r="AG121" i="7"/>
  <c r="AF121" i="7"/>
  <c r="AD121" i="7"/>
  <c r="P121" i="7"/>
  <c r="AY120" i="7"/>
  <c r="AQ120" i="7"/>
  <c r="AP120" i="7"/>
  <c r="AO120" i="7"/>
  <c r="AN120" i="7"/>
  <c r="AM120" i="7"/>
  <c r="AL120" i="7"/>
  <c r="AK120" i="7"/>
  <c r="AJ120" i="7"/>
  <c r="AI120" i="7"/>
  <c r="AW120" i="7" s="1"/>
  <c r="AH120" i="7"/>
  <c r="AG120" i="7"/>
  <c r="AF120" i="7"/>
  <c r="AD120" i="7"/>
  <c r="P120" i="7"/>
  <c r="AQ119" i="7"/>
  <c r="BD119" i="7" s="1"/>
  <c r="AP119" i="7"/>
  <c r="AO119" i="7"/>
  <c r="AN119" i="7"/>
  <c r="AM119" i="7"/>
  <c r="AL119" i="7"/>
  <c r="AK119" i="7"/>
  <c r="AJ119" i="7"/>
  <c r="AI119" i="7"/>
  <c r="AH119" i="7"/>
  <c r="AG119" i="7"/>
  <c r="AF119" i="7"/>
  <c r="AD119" i="7"/>
  <c r="P119" i="7"/>
  <c r="AQ118" i="7"/>
  <c r="AP118" i="7"/>
  <c r="AO118" i="7"/>
  <c r="AN118" i="7"/>
  <c r="AM118" i="7"/>
  <c r="AL118" i="7"/>
  <c r="AY118" i="7" s="1"/>
  <c r="AK118" i="7"/>
  <c r="AJ118" i="7"/>
  <c r="AI118" i="7"/>
  <c r="AH118" i="7"/>
  <c r="AG118" i="7"/>
  <c r="AF118" i="7"/>
  <c r="AD118" i="7"/>
  <c r="P118" i="7"/>
  <c r="BD117" i="7"/>
  <c r="AX117" i="7"/>
  <c r="AQ117" i="7"/>
  <c r="AP117" i="7"/>
  <c r="BC117" i="7" s="1"/>
  <c r="AO117" i="7"/>
  <c r="AN117" i="7"/>
  <c r="AM117" i="7"/>
  <c r="AL117" i="7"/>
  <c r="AZ117" i="7" s="1"/>
  <c r="AK117" i="7"/>
  <c r="AJ117" i="7"/>
  <c r="AI117" i="7"/>
  <c r="AH117" i="7"/>
  <c r="AG117" i="7"/>
  <c r="AF117" i="7"/>
  <c r="AD117" i="7"/>
  <c r="P117" i="7"/>
  <c r="BA116" i="7"/>
  <c r="AZ116" i="7"/>
  <c r="AQ116" i="7"/>
  <c r="AP116" i="7"/>
  <c r="BC116" i="7" s="1"/>
  <c r="AO116" i="7"/>
  <c r="AN116" i="7"/>
  <c r="AM116" i="7"/>
  <c r="AL116" i="7"/>
  <c r="AY116" i="7" s="1"/>
  <c r="AK116" i="7"/>
  <c r="AJ116" i="7"/>
  <c r="AI116" i="7"/>
  <c r="AH116" i="7"/>
  <c r="AG116" i="7"/>
  <c r="AF116" i="7"/>
  <c r="AD116" i="7"/>
  <c r="P116" i="7"/>
  <c r="AQ115" i="7"/>
  <c r="AP115" i="7"/>
  <c r="BC115" i="7" s="1"/>
  <c r="AO115" i="7"/>
  <c r="AN115" i="7"/>
  <c r="BA115" i="7" s="1"/>
  <c r="AM115" i="7"/>
  <c r="AL115" i="7"/>
  <c r="AK115" i="7"/>
  <c r="AJ115" i="7"/>
  <c r="AI115" i="7"/>
  <c r="AH115" i="7"/>
  <c r="AG115" i="7"/>
  <c r="AF115" i="7"/>
  <c r="AD115" i="7"/>
  <c r="P115" i="7"/>
  <c r="AQ114" i="7"/>
  <c r="AP114" i="7"/>
  <c r="BD114" i="7" s="1"/>
  <c r="AO114" i="7"/>
  <c r="BB114" i="7" s="1"/>
  <c r="AN114" i="7"/>
  <c r="AM114" i="7"/>
  <c r="AL114" i="7"/>
  <c r="AK114" i="7"/>
  <c r="AJ114" i="7"/>
  <c r="AI114" i="7"/>
  <c r="AW114" i="7" s="1"/>
  <c r="AH114" i="7"/>
  <c r="AG114" i="7"/>
  <c r="AF114" i="7"/>
  <c r="AD114" i="7"/>
  <c r="P114" i="7"/>
  <c r="BB113" i="7"/>
  <c r="AQ113" i="7"/>
  <c r="AP113" i="7"/>
  <c r="AO113" i="7"/>
  <c r="AN113" i="7"/>
  <c r="AM113" i="7"/>
  <c r="AZ113" i="7" s="1"/>
  <c r="AL113" i="7"/>
  <c r="AK113" i="7"/>
  <c r="AJ113" i="7"/>
  <c r="AI113" i="7"/>
  <c r="AH113" i="7"/>
  <c r="AG113" i="7"/>
  <c r="AF113" i="7"/>
  <c r="AD113" i="7"/>
  <c r="P113" i="7"/>
  <c r="AZ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D112" i="7"/>
  <c r="P112" i="7"/>
  <c r="BC111" i="7"/>
  <c r="BA111" i="7"/>
  <c r="AW111" i="7"/>
  <c r="AQ111" i="7"/>
  <c r="AP111" i="7"/>
  <c r="BD111" i="7" s="1"/>
  <c r="AO111" i="7"/>
  <c r="BB111" i="7" s="1"/>
  <c r="AN111" i="7"/>
  <c r="AM111" i="7"/>
  <c r="AZ111" i="7" s="1"/>
  <c r="AL111" i="7"/>
  <c r="AK111" i="7"/>
  <c r="AX111" i="7" s="1"/>
  <c r="AJ111" i="7"/>
  <c r="AI111" i="7"/>
  <c r="AH111" i="7"/>
  <c r="AV111" i="7" s="1"/>
  <c r="AG111" i="7"/>
  <c r="AF111" i="7"/>
  <c r="AD111" i="7"/>
  <c r="P111" i="7"/>
  <c r="AQ110" i="7"/>
  <c r="AP110" i="7"/>
  <c r="AO110" i="7"/>
  <c r="AN110" i="7"/>
  <c r="AM110" i="7"/>
  <c r="AL110" i="7"/>
  <c r="AK110" i="7"/>
  <c r="AX110" i="7" s="1"/>
  <c r="AJ110" i="7"/>
  <c r="AI110" i="7"/>
  <c r="AH110" i="7"/>
  <c r="AG110" i="7"/>
  <c r="AF110" i="7"/>
  <c r="AD110" i="7"/>
  <c r="P110" i="7"/>
  <c r="AY109" i="7"/>
  <c r="AX109" i="7"/>
  <c r="AQ109" i="7"/>
  <c r="BD109" i="7" s="1"/>
  <c r="AP109" i="7"/>
  <c r="AO109" i="7"/>
  <c r="BB109" i="7" s="1"/>
  <c r="AN109" i="7"/>
  <c r="AM109" i="7"/>
  <c r="BA109" i="7" s="1"/>
  <c r="AL109" i="7"/>
  <c r="AK109" i="7"/>
  <c r="AJ109" i="7"/>
  <c r="AI109" i="7"/>
  <c r="AH109" i="7"/>
  <c r="AG109" i="7"/>
  <c r="AF109" i="7"/>
  <c r="AD109" i="7"/>
  <c r="P109" i="7"/>
  <c r="BB108" i="7"/>
  <c r="AQ108" i="7"/>
  <c r="AP108" i="7"/>
  <c r="AO108" i="7"/>
  <c r="AN108" i="7"/>
  <c r="AM108" i="7"/>
  <c r="AZ108" i="7" s="1"/>
  <c r="AL108" i="7"/>
  <c r="AK108" i="7"/>
  <c r="AJ108" i="7"/>
  <c r="AI108" i="7"/>
  <c r="AH108" i="7"/>
  <c r="AG108" i="7"/>
  <c r="AF108" i="7"/>
  <c r="AD108" i="7"/>
  <c r="P108" i="7"/>
  <c r="AX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D107" i="7"/>
  <c r="P107" i="7"/>
  <c r="AY106" i="7"/>
  <c r="AQ106" i="7"/>
  <c r="AP106" i="7"/>
  <c r="BD106" i="7" s="1"/>
  <c r="AO106" i="7"/>
  <c r="AN106" i="7"/>
  <c r="AM106" i="7"/>
  <c r="AL106" i="7"/>
  <c r="AK106" i="7"/>
  <c r="AX106" i="7" s="1"/>
  <c r="AJ106" i="7"/>
  <c r="AI106" i="7"/>
  <c r="AH106" i="7"/>
  <c r="AG106" i="7"/>
  <c r="AF106" i="7"/>
  <c r="AD106" i="7"/>
  <c r="P106" i="7"/>
  <c r="AQ105" i="7"/>
  <c r="AP105" i="7"/>
  <c r="AO105" i="7"/>
  <c r="BC105" i="7" s="1"/>
  <c r="AN105" i="7"/>
  <c r="AM105" i="7"/>
  <c r="AL105" i="7"/>
  <c r="AK105" i="7"/>
  <c r="AJ105" i="7"/>
  <c r="AI105" i="7"/>
  <c r="AH105" i="7"/>
  <c r="AG105" i="7"/>
  <c r="AF105" i="7"/>
  <c r="AD105" i="7"/>
  <c r="P105" i="7"/>
  <c r="AY104" i="7"/>
  <c r="AX104" i="7"/>
  <c r="AQ104" i="7"/>
  <c r="AP104" i="7"/>
  <c r="AO104" i="7"/>
  <c r="AN104" i="7"/>
  <c r="AM104" i="7"/>
  <c r="AL104" i="7"/>
  <c r="AK104" i="7"/>
  <c r="AJ104" i="7"/>
  <c r="AI104" i="7"/>
  <c r="AW104" i="7" s="1"/>
  <c r="AH104" i="7"/>
  <c r="AG104" i="7"/>
  <c r="AF104" i="7"/>
  <c r="AD104" i="7"/>
  <c r="P104" i="7"/>
  <c r="BC103" i="7"/>
  <c r="AQ103" i="7"/>
  <c r="BD103" i="7" s="1"/>
  <c r="AP103" i="7"/>
  <c r="AO103" i="7"/>
  <c r="BB103" i="7" s="1"/>
  <c r="AN103" i="7"/>
  <c r="AM103" i="7"/>
  <c r="AL103" i="7"/>
  <c r="AY103" i="7" s="1"/>
  <c r="AK103" i="7"/>
  <c r="AJ103" i="7"/>
  <c r="AW103" i="7" s="1"/>
  <c r="AI103" i="7"/>
  <c r="AH103" i="7"/>
  <c r="AV103" i="7" s="1"/>
  <c r="AG103" i="7"/>
  <c r="AF103" i="7"/>
  <c r="AD103" i="7"/>
  <c r="P103" i="7"/>
  <c r="AX102" i="7"/>
  <c r="AQ102" i="7"/>
  <c r="AP102" i="7"/>
  <c r="AO102" i="7"/>
  <c r="BB102" i="7" s="1"/>
  <c r="AN102" i="7"/>
  <c r="BA102" i="7" s="1"/>
  <c r="AM102" i="7"/>
  <c r="AZ102" i="7" s="1"/>
  <c r="AL102" i="7"/>
  <c r="AY102" i="7" s="1"/>
  <c r="AK102" i="7"/>
  <c r="AJ102" i="7"/>
  <c r="AI102" i="7"/>
  <c r="AW102" i="7" s="1"/>
  <c r="AH102" i="7"/>
  <c r="AG102" i="7"/>
  <c r="AF102" i="7"/>
  <c r="AD102" i="7"/>
  <c r="P102" i="7"/>
  <c r="BC101" i="7"/>
  <c r="AQ101" i="7"/>
  <c r="AP101" i="7"/>
  <c r="BD101" i="7" s="1"/>
  <c r="AO101" i="7"/>
  <c r="BB101" i="7" s="1"/>
  <c r="AN101" i="7"/>
  <c r="AM101" i="7"/>
  <c r="AL101" i="7"/>
  <c r="AK101" i="7"/>
  <c r="AJ101" i="7"/>
  <c r="AI101" i="7"/>
  <c r="AH101" i="7"/>
  <c r="AG101" i="7"/>
  <c r="AF101" i="7"/>
  <c r="AD101" i="7"/>
  <c r="P101" i="7"/>
  <c r="AX100" i="7"/>
  <c r="AQ100" i="7"/>
  <c r="AP100" i="7"/>
  <c r="BC100" i="7" s="1"/>
  <c r="AO100" i="7"/>
  <c r="AN100" i="7"/>
  <c r="AM100" i="7"/>
  <c r="AL100" i="7"/>
  <c r="AK100" i="7"/>
  <c r="AJ100" i="7"/>
  <c r="AI100" i="7"/>
  <c r="AW100" i="7" s="1"/>
  <c r="AH100" i="7"/>
  <c r="AV100" i="7" s="1"/>
  <c r="AG100" i="7"/>
  <c r="AF100" i="7"/>
  <c r="AD100" i="7"/>
  <c r="P100" i="7"/>
  <c r="BA99" i="7"/>
  <c r="AQ99" i="7"/>
  <c r="AP99" i="7"/>
  <c r="AO99" i="7"/>
  <c r="BB99" i="7" s="1"/>
  <c r="AN99" i="7"/>
  <c r="AM99" i="7"/>
  <c r="AL99" i="7"/>
  <c r="AY99" i="7" s="1"/>
  <c r="AK99" i="7"/>
  <c r="AJ99" i="7"/>
  <c r="AI99" i="7"/>
  <c r="AH99" i="7"/>
  <c r="AV99" i="7" s="1"/>
  <c r="AG99" i="7"/>
  <c r="AF99" i="7"/>
  <c r="AD99" i="7"/>
  <c r="P99" i="7"/>
  <c r="BD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D98" i="7"/>
  <c r="P98" i="7"/>
  <c r="BB97" i="7"/>
  <c r="BA97" i="7"/>
  <c r="AZ97" i="7"/>
  <c r="AX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D97" i="7"/>
  <c r="P97" i="7"/>
  <c r="AQ96" i="7"/>
  <c r="AP96" i="7"/>
  <c r="BC96" i="7" s="1"/>
  <c r="AO96" i="7"/>
  <c r="AN96" i="7"/>
  <c r="AM96" i="7"/>
  <c r="AL96" i="7"/>
  <c r="AK96" i="7"/>
  <c r="AJ96" i="7"/>
  <c r="AI96" i="7"/>
  <c r="AH96" i="7"/>
  <c r="AG96" i="7"/>
  <c r="AF96" i="7"/>
  <c r="AD96" i="7"/>
  <c r="P96" i="7"/>
  <c r="BB95" i="7"/>
  <c r="BA95" i="7"/>
  <c r="AQ95" i="7"/>
  <c r="BD95" i="7" s="1"/>
  <c r="AP95" i="7"/>
  <c r="BC95" i="7" s="1"/>
  <c r="AO95" i="7"/>
  <c r="AN95" i="7"/>
  <c r="AM95" i="7"/>
  <c r="AZ95" i="7" s="1"/>
  <c r="AL95" i="7"/>
  <c r="AK95" i="7"/>
  <c r="AY95" i="7" s="1"/>
  <c r="AJ95" i="7"/>
  <c r="AI95" i="7"/>
  <c r="AW95" i="7" s="1"/>
  <c r="AH95" i="7"/>
  <c r="AV95" i="7" s="1"/>
  <c r="AG95" i="7"/>
  <c r="AF95" i="7"/>
  <c r="AD95" i="7"/>
  <c r="P95" i="7"/>
  <c r="AY94" i="7"/>
  <c r="AQ94" i="7"/>
  <c r="AP94" i="7"/>
  <c r="AO94" i="7"/>
  <c r="AN94" i="7"/>
  <c r="AM94" i="7"/>
  <c r="AZ94" i="7" s="1"/>
  <c r="AL94" i="7"/>
  <c r="AK94" i="7"/>
  <c r="AJ94" i="7"/>
  <c r="AX94" i="7" s="1"/>
  <c r="AI94" i="7"/>
  <c r="AW94" i="7" s="1"/>
  <c r="AH94" i="7"/>
  <c r="AG94" i="7"/>
  <c r="AF94" i="7"/>
  <c r="AD94" i="7"/>
  <c r="P94" i="7"/>
  <c r="AQ93" i="7"/>
  <c r="AP93" i="7"/>
  <c r="BD93" i="7" s="1"/>
  <c r="AO93" i="7"/>
  <c r="AN93" i="7"/>
  <c r="AM93" i="7"/>
  <c r="AL93" i="7"/>
  <c r="AK93" i="7"/>
  <c r="AX93" i="7" s="1"/>
  <c r="AJ93" i="7"/>
  <c r="AI93" i="7"/>
  <c r="AW93" i="7" s="1"/>
  <c r="AH93" i="7"/>
  <c r="AG93" i="7"/>
  <c r="AF93" i="7"/>
  <c r="AD93" i="7"/>
  <c r="P93" i="7"/>
  <c r="BC92" i="7"/>
  <c r="AX92" i="7"/>
  <c r="AW92" i="7"/>
  <c r="AQ92" i="7"/>
  <c r="BD92" i="7" s="1"/>
  <c r="AP92" i="7"/>
  <c r="AO92" i="7"/>
  <c r="AN92" i="7"/>
  <c r="AM92" i="7"/>
  <c r="AL92" i="7"/>
  <c r="AK92" i="7"/>
  <c r="AJ92" i="7"/>
  <c r="AI92" i="7"/>
  <c r="AH92" i="7"/>
  <c r="AV92" i="7" s="1"/>
  <c r="AG92" i="7"/>
  <c r="AF92" i="7"/>
  <c r="AD92" i="7"/>
  <c r="P92" i="7"/>
  <c r="AQ91" i="7"/>
  <c r="BD91" i="7" s="1"/>
  <c r="AP91" i="7"/>
  <c r="AO91" i="7"/>
  <c r="BB91" i="7" s="1"/>
  <c r="AN91" i="7"/>
  <c r="AM91" i="7"/>
  <c r="AL91" i="7"/>
  <c r="AK91" i="7"/>
  <c r="AX91" i="7" s="1"/>
  <c r="AJ91" i="7"/>
  <c r="AI91" i="7"/>
  <c r="AH91" i="7"/>
  <c r="AG91" i="7"/>
  <c r="AF91" i="7"/>
  <c r="AD91" i="7"/>
  <c r="P91" i="7"/>
  <c r="BD90" i="7"/>
  <c r="BC90" i="7"/>
  <c r="BB90" i="7"/>
  <c r="AQ90" i="7"/>
  <c r="AP90" i="7"/>
  <c r="AO90" i="7"/>
  <c r="AN90" i="7"/>
  <c r="AM90" i="7"/>
  <c r="BA90" i="7" s="1"/>
  <c r="AL90" i="7"/>
  <c r="AY90" i="7" s="1"/>
  <c r="AK90" i="7"/>
  <c r="AJ90" i="7"/>
  <c r="AI90" i="7"/>
  <c r="AH90" i="7"/>
  <c r="AG90" i="7"/>
  <c r="AF90" i="7"/>
  <c r="AD90" i="7"/>
  <c r="P90" i="7"/>
  <c r="AX89" i="7"/>
  <c r="AQ89" i="7"/>
  <c r="AP89" i="7"/>
  <c r="BD89" i="7" s="1"/>
  <c r="AO89" i="7"/>
  <c r="AN89" i="7"/>
  <c r="AM89" i="7"/>
  <c r="AL89" i="7"/>
  <c r="AK89" i="7"/>
  <c r="AJ89" i="7"/>
  <c r="AI89" i="7"/>
  <c r="AW89" i="7" s="1"/>
  <c r="AH89" i="7"/>
  <c r="AG89" i="7"/>
  <c r="AF89" i="7"/>
  <c r="AD89" i="7"/>
  <c r="P89" i="7"/>
  <c r="AY88" i="7"/>
  <c r="AQ88" i="7"/>
  <c r="AP88" i="7"/>
  <c r="AO88" i="7"/>
  <c r="AN88" i="7"/>
  <c r="AM88" i="7"/>
  <c r="AL88" i="7"/>
  <c r="AK88" i="7"/>
  <c r="AJ88" i="7"/>
  <c r="AI88" i="7"/>
  <c r="AH88" i="7"/>
  <c r="AV88" i="7" s="1"/>
  <c r="AG88" i="7"/>
  <c r="AF88" i="7"/>
  <c r="AD88" i="7"/>
  <c r="P88" i="7"/>
  <c r="AQ87" i="7"/>
  <c r="AP87" i="7"/>
  <c r="AO87" i="7"/>
  <c r="BB87" i="7" s="1"/>
  <c r="AN87" i="7"/>
  <c r="AM87" i="7"/>
  <c r="AL87" i="7"/>
  <c r="AY87" i="7" s="1"/>
  <c r="AK87" i="7"/>
  <c r="AJ87" i="7"/>
  <c r="AI87" i="7"/>
  <c r="AW87" i="7" s="1"/>
  <c r="AH87" i="7"/>
  <c r="AG87" i="7"/>
  <c r="AF87" i="7"/>
  <c r="AD87" i="7"/>
  <c r="P87" i="7"/>
  <c r="AQ86" i="7"/>
  <c r="AP86" i="7"/>
  <c r="BD86" i="7" s="1"/>
  <c r="AO86" i="7"/>
  <c r="BB86" i="7" s="1"/>
  <c r="AN86" i="7"/>
  <c r="AM86" i="7"/>
  <c r="AL86" i="7"/>
  <c r="AK86" i="7"/>
  <c r="AJ86" i="7"/>
  <c r="AI86" i="7"/>
  <c r="AH86" i="7"/>
  <c r="AG86" i="7"/>
  <c r="AF86" i="7"/>
  <c r="AD86" i="7"/>
  <c r="P86" i="7"/>
  <c r="AY85" i="7"/>
  <c r="AX85" i="7"/>
  <c r="AQ85" i="7"/>
  <c r="AP85" i="7"/>
  <c r="BC85" i="7" s="1"/>
  <c r="AO85" i="7"/>
  <c r="AN85" i="7"/>
  <c r="AM85" i="7"/>
  <c r="AZ85" i="7" s="1"/>
  <c r="AL85" i="7"/>
  <c r="AK85" i="7"/>
  <c r="AJ85" i="7"/>
  <c r="AI85" i="7"/>
  <c r="AW85" i="7" s="1"/>
  <c r="AH85" i="7"/>
  <c r="AG85" i="7"/>
  <c r="AF85" i="7"/>
  <c r="AD85" i="7"/>
  <c r="P85" i="7"/>
  <c r="AQ84" i="7"/>
  <c r="AP84" i="7"/>
  <c r="AO84" i="7"/>
  <c r="AN84" i="7"/>
  <c r="BA84" i="7" s="1"/>
  <c r="AM84" i="7"/>
  <c r="AL84" i="7"/>
  <c r="AK84" i="7"/>
  <c r="AX84" i="7" s="1"/>
  <c r="AJ84" i="7"/>
  <c r="AI84" i="7"/>
  <c r="AW84" i="7" s="1"/>
  <c r="AH84" i="7"/>
  <c r="AG84" i="7"/>
  <c r="AF84" i="7"/>
  <c r="AD84" i="7"/>
  <c r="P84" i="7"/>
  <c r="BA83" i="7"/>
  <c r="AQ83" i="7"/>
  <c r="AP83" i="7"/>
  <c r="AO83" i="7"/>
  <c r="BB83" i="7" s="1"/>
  <c r="AN83" i="7"/>
  <c r="AM83" i="7"/>
  <c r="AL83" i="7"/>
  <c r="AY83" i="7" s="1"/>
  <c r="AK83" i="7"/>
  <c r="AJ83" i="7"/>
  <c r="AI83" i="7"/>
  <c r="AH83" i="7"/>
  <c r="AG83" i="7"/>
  <c r="AF83" i="7"/>
  <c r="AD83" i="7"/>
  <c r="P83" i="7"/>
  <c r="BA82" i="7"/>
  <c r="AQ82" i="7"/>
  <c r="AP82" i="7"/>
  <c r="AO82" i="7"/>
  <c r="BB82" i="7" s="1"/>
  <c r="AN82" i="7"/>
  <c r="AM82" i="7"/>
  <c r="AL82" i="7"/>
  <c r="AY82" i="7" s="1"/>
  <c r="AK82" i="7"/>
  <c r="AJ82" i="7"/>
  <c r="AX82" i="7" s="1"/>
  <c r="AI82" i="7"/>
  <c r="AH82" i="7"/>
  <c r="AG82" i="7"/>
  <c r="AF82" i="7"/>
  <c r="AD82" i="7"/>
  <c r="P82" i="7"/>
  <c r="AZ81" i="7"/>
  <c r="AQ81" i="7"/>
  <c r="AP81" i="7"/>
  <c r="AO81" i="7"/>
  <c r="AN81" i="7"/>
  <c r="AM81" i="7"/>
  <c r="AL81" i="7"/>
  <c r="AY81" i="7" s="1"/>
  <c r="AK81" i="7"/>
  <c r="AJ81" i="7"/>
  <c r="AI81" i="7"/>
  <c r="AH81" i="7"/>
  <c r="AG81" i="7"/>
  <c r="AF81" i="7"/>
  <c r="AD81" i="7"/>
  <c r="P81" i="7"/>
  <c r="AX80" i="7"/>
  <c r="AQ80" i="7"/>
  <c r="AP80" i="7"/>
  <c r="BC80" i="7" s="1"/>
  <c r="AO80" i="7"/>
  <c r="AN80" i="7"/>
  <c r="AM80" i="7"/>
  <c r="AL80" i="7"/>
  <c r="AK80" i="7"/>
  <c r="AJ80" i="7"/>
  <c r="AI80" i="7"/>
  <c r="AH80" i="7"/>
  <c r="AG80" i="7"/>
  <c r="AF80" i="7"/>
  <c r="AD80" i="7"/>
  <c r="P80" i="7"/>
  <c r="AY79" i="7"/>
  <c r="AQ79" i="7"/>
  <c r="AP79" i="7"/>
  <c r="AO79" i="7"/>
  <c r="AN79" i="7"/>
  <c r="AM79" i="7"/>
  <c r="AL79" i="7"/>
  <c r="AK79" i="7"/>
  <c r="AJ79" i="7"/>
  <c r="AI79" i="7"/>
  <c r="AW79" i="7" s="1"/>
  <c r="AH79" i="7"/>
  <c r="AV79" i="7" s="1"/>
  <c r="AG79" i="7"/>
  <c r="AF79" i="7"/>
  <c r="AD79" i="7"/>
  <c r="P79" i="7"/>
  <c r="BA78" i="7"/>
  <c r="AZ78" i="7"/>
  <c r="AQ78" i="7"/>
  <c r="BD78" i="7" s="1"/>
  <c r="AP78" i="7"/>
  <c r="AO78" i="7"/>
  <c r="AN78" i="7"/>
  <c r="AM78" i="7"/>
  <c r="AL78" i="7"/>
  <c r="AK78" i="7"/>
  <c r="AX78" i="7" s="1"/>
  <c r="AJ78" i="7"/>
  <c r="AI78" i="7"/>
  <c r="AH78" i="7"/>
  <c r="AG78" i="7"/>
  <c r="AF78" i="7"/>
  <c r="AD78" i="7"/>
  <c r="P78" i="7"/>
  <c r="AZ77" i="7"/>
  <c r="AY77" i="7"/>
  <c r="AX77" i="7"/>
  <c r="AQ77" i="7"/>
  <c r="AP77" i="7"/>
  <c r="AO77" i="7"/>
  <c r="AN77" i="7"/>
  <c r="AM77" i="7"/>
  <c r="AL77" i="7"/>
  <c r="AK77" i="7"/>
  <c r="AJ77" i="7"/>
  <c r="AI77" i="7"/>
  <c r="AW77" i="7" s="1"/>
  <c r="AH77" i="7"/>
  <c r="AG77" i="7"/>
  <c r="AF77" i="7"/>
  <c r="AD77" i="7"/>
  <c r="P77" i="7"/>
  <c r="BA76" i="7"/>
  <c r="AQ76" i="7"/>
  <c r="BD76" i="7" s="1"/>
  <c r="AP76" i="7"/>
  <c r="BC76" i="7" s="1"/>
  <c r="AO76" i="7"/>
  <c r="AN76" i="7"/>
  <c r="AM76" i="7"/>
  <c r="AL76" i="7"/>
  <c r="AK76" i="7"/>
  <c r="AX76" i="7" s="1"/>
  <c r="AJ76" i="7"/>
  <c r="AI76" i="7"/>
  <c r="AH76" i="7"/>
  <c r="AV76" i="7" s="1"/>
  <c r="AG76" i="7"/>
  <c r="AF76" i="7"/>
  <c r="AD76" i="7"/>
  <c r="P76" i="7"/>
  <c r="AW75" i="7"/>
  <c r="AQ75" i="7"/>
  <c r="AP75" i="7"/>
  <c r="BC75" i="7" s="1"/>
  <c r="AO75" i="7"/>
  <c r="BB75" i="7" s="1"/>
  <c r="AN75" i="7"/>
  <c r="BA75" i="7" s="1"/>
  <c r="AM75" i="7"/>
  <c r="AL75" i="7"/>
  <c r="AK75" i="7"/>
  <c r="AX75" i="7" s="1"/>
  <c r="AJ75" i="7"/>
  <c r="AI75" i="7"/>
  <c r="AH75" i="7"/>
  <c r="AG75" i="7"/>
  <c r="AF75" i="7"/>
  <c r="AD75" i="7"/>
  <c r="P75" i="7"/>
  <c r="BD74" i="7"/>
  <c r="BC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D74" i="7"/>
  <c r="P74" i="7"/>
  <c r="AQ73" i="7"/>
  <c r="AP73" i="7"/>
  <c r="AO73" i="7"/>
  <c r="AN73" i="7"/>
  <c r="BB73" i="7" s="1"/>
  <c r="AM73" i="7"/>
  <c r="AL73" i="7"/>
  <c r="AK73" i="7"/>
  <c r="AJ73" i="7"/>
  <c r="AW73" i="7" s="1"/>
  <c r="AI73" i="7"/>
  <c r="AH73" i="7"/>
  <c r="AG73" i="7"/>
  <c r="AF73" i="7"/>
  <c r="AD73" i="7"/>
  <c r="P73" i="7"/>
  <c r="AX72" i="7"/>
  <c r="AQ72" i="7"/>
  <c r="AP72" i="7"/>
  <c r="BC72" i="7" s="1"/>
  <c r="AO72" i="7"/>
  <c r="AN72" i="7"/>
  <c r="BA72" i="7" s="1"/>
  <c r="AM72" i="7"/>
  <c r="AL72" i="7"/>
  <c r="AZ72" i="7" s="1"/>
  <c r="AK72" i="7"/>
  <c r="AJ72" i="7"/>
  <c r="AI72" i="7"/>
  <c r="AH72" i="7"/>
  <c r="AG72" i="7"/>
  <c r="AF72" i="7"/>
  <c r="AD72" i="7"/>
  <c r="P72" i="7"/>
  <c r="BD71" i="7"/>
  <c r="BC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D71" i="7"/>
  <c r="P71" i="7"/>
  <c r="BA70" i="7"/>
  <c r="AZ70" i="7"/>
  <c r="AY70" i="7"/>
  <c r="AW70" i="7"/>
  <c r="AQ70" i="7"/>
  <c r="AP70" i="7"/>
  <c r="AO70" i="7"/>
  <c r="BB70" i="7" s="1"/>
  <c r="AN70" i="7"/>
  <c r="AM70" i="7"/>
  <c r="AL70" i="7"/>
  <c r="AK70" i="7"/>
  <c r="AJ70" i="7"/>
  <c r="AX70" i="7" s="1"/>
  <c r="AI70" i="7"/>
  <c r="AH70" i="7"/>
  <c r="AG70" i="7"/>
  <c r="AF70" i="7"/>
  <c r="AD70" i="7"/>
  <c r="P70" i="7"/>
  <c r="AQ69" i="7"/>
  <c r="AP69" i="7"/>
  <c r="AO69" i="7"/>
  <c r="BB69" i="7" s="1"/>
  <c r="AN69" i="7"/>
  <c r="AM69" i="7"/>
  <c r="AL69" i="7"/>
  <c r="AK69" i="7"/>
  <c r="AJ69" i="7"/>
  <c r="AI69" i="7"/>
  <c r="AH69" i="7"/>
  <c r="AG69" i="7"/>
  <c r="AF69" i="7"/>
  <c r="AD69" i="7"/>
  <c r="P69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D68" i="7"/>
  <c r="P68" i="7"/>
  <c r="AQ67" i="7"/>
  <c r="AP67" i="7"/>
  <c r="AO67" i="7"/>
  <c r="BB67" i="7" s="1"/>
  <c r="AN67" i="7"/>
  <c r="AM67" i="7"/>
  <c r="AL67" i="7"/>
  <c r="AY67" i="7" s="1"/>
  <c r="AK67" i="7"/>
  <c r="AJ67" i="7"/>
  <c r="AI67" i="7"/>
  <c r="AW67" i="7" s="1"/>
  <c r="AH67" i="7"/>
  <c r="AG67" i="7"/>
  <c r="AF67" i="7"/>
  <c r="AD67" i="7"/>
  <c r="P67" i="7"/>
  <c r="AQ66" i="7"/>
  <c r="AP66" i="7"/>
  <c r="AO66" i="7"/>
  <c r="AN66" i="7"/>
  <c r="AM66" i="7"/>
  <c r="AL66" i="7"/>
  <c r="AY66" i="7" s="1"/>
  <c r="AK66" i="7"/>
  <c r="AJ66" i="7"/>
  <c r="AW66" i="7" s="1"/>
  <c r="AI66" i="7"/>
  <c r="AH66" i="7"/>
  <c r="AG66" i="7"/>
  <c r="AF66" i="7"/>
  <c r="AD66" i="7"/>
  <c r="P66" i="7"/>
  <c r="BC65" i="7"/>
  <c r="BA65" i="7"/>
  <c r="AY65" i="7"/>
  <c r="AQ65" i="7"/>
  <c r="AP65" i="7"/>
  <c r="AO65" i="7"/>
  <c r="BB65" i="7" s="1"/>
  <c r="AN65" i="7"/>
  <c r="AM65" i="7"/>
  <c r="AL65" i="7"/>
  <c r="AK65" i="7"/>
  <c r="AJ65" i="7"/>
  <c r="AX65" i="7" s="1"/>
  <c r="AI65" i="7"/>
  <c r="AW65" i="7" s="1"/>
  <c r="AH65" i="7"/>
  <c r="AG65" i="7"/>
  <c r="AF65" i="7"/>
  <c r="AD65" i="7"/>
  <c r="P65" i="7"/>
  <c r="AQ64" i="7"/>
  <c r="AP64" i="7"/>
  <c r="AO64" i="7"/>
  <c r="AN64" i="7"/>
  <c r="AM64" i="7"/>
  <c r="AL64" i="7"/>
  <c r="AK64" i="7"/>
  <c r="AX64" i="7" s="1"/>
  <c r="AJ64" i="7"/>
  <c r="AI64" i="7"/>
  <c r="AH64" i="7"/>
  <c r="AG64" i="7"/>
  <c r="AF64" i="7"/>
  <c r="AD64" i="7"/>
  <c r="P64" i="7"/>
  <c r="BC63" i="7"/>
  <c r="BB63" i="7"/>
  <c r="AQ63" i="7"/>
  <c r="BD63" i="7" s="1"/>
  <c r="AP63" i="7"/>
  <c r="AO63" i="7"/>
  <c r="AN63" i="7"/>
  <c r="AM63" i="7"/>
  <c r="BA63" i="7" s="1"/>
  <c r="AL63" i="7"/>
  <c r="AK63" i="7"/>
  <c r="AJ63" i="7"/>
  <c r="AI63" i="7"/>
  <c r="AH63" i="7"/>
  <c r="AG63" i="7"/>
  <c r="AF63" i="7"/>
  <c r="AD63" i="7"/>
  <c r="P63" i="7"/>
  <c r="AQ62" i="7"/>
  <c r="AP62" i="7"/>
  <c r="AO62" i="7"/>
  <c r="AN62" i="7"/>
  <c r="AM62" i="7"/>
  <c r="AZ62" i="7" s="1"/>
  <c r="AL62" i="7"/>
  <c r="AY62" i="7" s="1"/>
  <c r="AK62" i="7"/>
  <c r="AJ62" i="7"/>
  <c r="AI62" i="7"/>
  <c r="AH62" i="7"/>
  <c r="AG62" i="7"/>
  <c r="AF62" i="7"/>
  <c r="AD62" i="7"/>
  <c r="P62" i="7"/>
  <c r="AQ61" i="7"/>
  <c r="BD61" i="7" s="1"/>
  <c r="AP61" i="7"/>
  <c r="BC61" i="7" s="1"/>
  <c r="AO61" i="7"/>
  <c r="AN61" i="7"/>
  <c r="AM61" i="7"/>
  <c r="AL61" i="7"/>
  <c r="AZ61" i="7" s="1"/>
  <c r="AK61" i="7"/>
  <c r="AJ61" i="7"/>
  <c r="AX61" i="7" s="1"/>
  <c r="AI61" i="7"/>
  <c r="AH61" i="7"/>
  <c r="AG61" i="7"/>
  <c r="AF61" i="7"/>
  <c r="AD61" i="7"/>
  <c r="P61" i="7"/>
  <c r="AZ60" i="7"/>
  <c r="AY60" i="7"/>
  <c r="AX60" i="7"/>
  <c r="AQ60" i="7"/>
  <c r="AP60" i="7"/>
  <c r="AO60" i="7"/>
  <c r="AN60" i="7"/>
  <c r="BA60" i="7" s="1"/>
  <c r="AM60" i="7"/>
  <c r="AL60" i="7"/>
  <c r="AK60" i="7"/>
  <c r="AJ60" i="7"/>
  <c r="AI60" i="7"/>
  <c r="AH60" i="7"/>
  <c r="AV60" i="7" s="1"/>
  <c r="AG60" i="7"/>
  <c r="AF60" i="7"/>
  <c r="AD60" i="7"/>
  <c r="P60" i="7"/>
  <c r="AQ59" i="7"/>
  <c r="BD59" i="7" s="1"/>
  <c r="AP59" i="7"/>
  <c r="AO59" i="7"/>
  <c r="BB59" i="7" s="1"/>
  <c r="AN59" i="7"/>
  <c r="AM59" i="7"/>
  <c r="AZ59" i="7" s="1"/>
  <c r="AL59" i="7"/>
  <c r="AK59" i="7"/>
  <c r="AJ59" i="7"/>
  <c r="AI59" i="7"/>
  <c r="AH59" i="7"/>
  <c r="AG59" i="7"/>
  <c r="AF59" i="7"/>
  <c r="AD59" i="7"/>
  <c r="P59" i="7"/>
  <c r="BA58" i="7"/>
  <c r="AZ58" i="7"/>
  <c r="AQ58" i="7"/>
  <c r="AP58" i="7"/>
  <c r="BD58" i="7" s="1"/>
  <c r="AO58" i="7"/>
  <c r="BC58" i="7" s="1"/>
  <c r="AN58" i="7"/>
  <c r="AM58" i="7"/>
  <c r="AL58" i="7"/>
  <c r="AK58" i="7"/>
  <c r="AJ58" i="7"/>
  <c r="AX58" i="7" s="1"/>
  <c r="AI58" i="7"/>
  <c r="AW58" i="7" s="1"/>
  <c r="AH58" i="7"/>
  <c r="AG58" i="7"/>
  <c r="AF58" i="7"/>
  <c r="AD58" i="7"/>
  <c r="P58" i="7"/>
  <c r="AQ57" i="7"/>
  <c r="BD57" i="7" s="1"/>
  <c r="AP57" i="7"/>
  <c r="AO57" i="7"/>
  <c r="AN57" i="7"/>
  <c r="AM57" i="7"/>
  <c r="AL57" i="7"/>
  <c r="AY57" i="7" s="1"/>
  <c r="AK57" i="7"/>
  <c r="AJ57" i="7"/>
  <c r="AI57" i="7"/>
  <c r="AH57" i="7"/>
  <c r="AG57" i="7"/>
  <c r="AF57" i="7"/>
  <c r="AD57" i="7"/>
  <c r="P57" i="7"/>
  <c r="AY56" i="7"/>
  <c r="AQ56" i="7"/>
  <c r="AP56" i="7"/>
  <c r="AO56" i="7"/>
  <c r="AN56" i="7"/>
  <c r="AM56" i="7"/>
  <c r="AL56" i="7"/>
  <c r="AK56" i="7"/>
  <c r="AJ56" i="7"/>
  <c r="AX56" i="7" s="1"/>
  <c r="AI56" i="7"/>
  <c r="AH56" i="7"/>
  <c r="AG56" i="7"/>
  <c r="AF56" i="7"/>
  <c r="AD56" i="7"/>
  <c r="P56" i="7"/>
  <c r="BA55" i="7"/>
  <c r="AW55" i="7"/>
  <c r="AQ55" i="7"/>
  <c r="AP55" i="7"/>
  <c r="AO55" i="7"/>
  <c r="BB55" i="7" s="1"/>
  <c r="AN55" i="7"/>
  <c r="AM55" i="7"/>
  <c r="AL55" i="7"/>
  <c r="AY55" i="7" s="1"/>
  <c r="AK55" i="7"/>
  <c r="AJ55" i="7"/>
  <c r="AI55" i="7"/>
  <c r="AH55" i="7"/>
  <c r="AV55" i="7" s="1"/>
  <c r="AG55" i="7"/>
  <c r="AF55" i="7"/>
  <c r="AD55" i="7"/>
  <c r="P55" i="7"/>
  <c r="BD54" i="7"/>
  <c r="AQ54" i="7"/>
  <c r="AP54" i="7"/>
  <c r="AO54" i="7"/>
  <c r="BB54" i="7" s="1"/>
  <c r="AN54" i="7"/>
  <c r="BA54" i="7" s="1"/>
  <c r="AM54" i="7"/>
  <c r="AL54" i="7"/>
  <c r="AK54" i="7"/>
  <c r="AJ54" i="7"/>
  <c r="AI54" i="7"/>
  <c r="AH54" i="7"/>
  <c r="AG54" i="7"/>
  <c r="AF54" i="7"/>
  <c r="AD54" i="7"/>
  <c r="P54" i="7"/>
  <c r="BC53" i="7"/>
  <c r="AZ53" i="7"/>
  <c r="AY53" i="7"/>
  <c r="AX53" i="7"/>
  <c r="AQ53" i="7"/>
  <c r="BD53" i="7" s="1"/>
  <c r="AP53" i="7"/>
  <c r="AO53" i="7"/>
  <c r="BB53" i="7" s="1"/>
  <c r="AN53" i="7"/>
  <c r="AM53" i="7"/>
  <c r="AL53" i="7"/>
  <c r="AK53" i="7"/>
  <c r="AJ53" i="7"/>
  <c r="AI53" i="7"/>
  <c r="AW53" i="7" s="1"/>
  <c r="AH53" i="7"/>
  <c r="AG53" i="7"/>
  <c r="AF53" i="7"/>
  <c r="AD53" i="7"/>
  <c r="P53" i="7"/>
  <c r="AW52" i="7"/>
  <c r="AQ52" i="7"/>
  <c r="AP52" i="7"/>
  <c r="AO52" i="7"/>
  <c r="AN52" i="7"/>
  <c r="AM52" i="7"/>
  <c r="AL52" i="7"/>
  <c r="AY52" i="7" s="1"/>
  <c r="AK52" i="7"/>
  <c r="AX52" i="7" s="1"/>
  <c r="AJ52" i="7"/>
  <c r="AI52" i="7"/>
  <c r="AH52" i="7"/>
  <c r="AG52" i="7"/>
  <c r="AF52" i="7"/>
  <c r="AD52" i="7"/>
  <c r="P52" i="7"/>
  <c r="AY51" i="7"/>
  <c r="AQ51" i="7"/>
  <c r="BD51" i="7" s="1"/>
  <c r="AP51" i="7"/>
  <c r="AO51" i="7"/>
  <c r="BB51" i="7" s="1"/>
  <c r="AN51" i="7"/>
  <c r="AM51" i="7"/>
  <c r="AL51" i="7"/>
  <c r="AK51" i="7"/>
  <c r="AJ51" i="7"/>
  <c r="AI51" i="7"/>
  <c r="AH51" i="7"/>
  <c r="AG51" i="7"/>
  <c r="AF51" i="7"/>
  <c r="AD51" i="7"/>
  <c r="P51" i="7"/>
  <c r="AZ50" i="7"/>
  <c r="AQ50" i="7"/>
  <c r="AP50" i="7"/>
  <c r="AO50" i="7"/>
  <c r="AN50" i="7"/>
  <c r="BA50" i="7" s="1"/>
  <c r="AM50" i="7"/>
  <c r="AL50" i="7"/>
  <c r="AK50" i="7"/>
  <c r="AY50" i="7" s="1"/>
  <c r="AJ50" i="7"/>
  <c r="AW50" i="7" s="1"/>
  <c r="AI50" i="7"/>
  <c r="AH50" i="7"/>
  <c r="AV50" i="7" s="1"/>
  <c r="AG50" i="7"/>
  <c r="AF50" i="7"/>
  <c r="AD50" i="7"/>
  <c r="P50" i="7"/>
  <c r="AQ49" i="7"/>
  <c r="BD49" i="7" s="1"/>
  <c r="AP49" i="7"/>
  <c r="BC49" i="7" s="1"/>
  <c r="AO49" i="7"/>
  <c r="AN49" i="7"/>
  <c r="AM49" i="7"/>
  <c r="AL49" i="7"/>
  <c r="AY49" i="7" s="1"/>
  <c r="AK49" i="7"/>
  <c r="AJ49" i="7"/>
  <c r="AI49" i="7"/>
  <c r="AW49" i="7" s="1"/>
  <c r="AH49" i="7"/>
  <c r="AG49" i="7"/>
  <c r="AF49" i="7"/>
  <c r="AD49" i="7"/>
  <c r="P49" i="7"/>
  <c r="BC48" i="7"/>
  <c r="BA48" i="7"/>
  <c r="AQ48" i="7"/>
  <c r="BD48" i="7" s="1"/>
  <c r="AP48" i="7"/>
  <c r="AO48" i="7"/>
  <c r="AN48" i="7"/>
  <c r="AM48" i="7"/>
  <c r="AL48" i="7"/>
  <c r="AZ48" i="7" s="1"/>
  <c r="AK48" i="7"/>
  <c r="AX48" i="7" s="1"/>
  <c r="AJ48" i="7"/>
  <c r="AI48" i="7"/>
  <c r="AH48" i="7"/>
  <c r="AG48" i="7"/>
  <c r="AF48" i="7"/>
  <c r="AD48" i="7"/>
  <c r="P48" i="7"/>
  <c r="BA47" i="7"/>
  <c r="AQ47" i="7"/>
  <c r="AP47" i="7"/>
  <c r="BC47" i="7" s="1"/>
  <c r="AO47" i="7"/>
  <c r="AN47" i="7"/>
  <c r="BB47" i="7" s="1"/>
  <c r="AM47" i="7"/>
  <c r="AL47" i="7"/>
  <c r="AY47" i="7" s="1"/>
  <c r="AK47" i="7"/>
  <c r="AJ47" i="7"/>
  <c r="AI47" i="7"/>
  <c r="AH47" i="7"/>
  <c r="AG47" i="7"/>
  <c r="AF47" i="7"/>
  <c r="AD47" i="7"/>
  <c r="P47" i="7"/>
  <c r="AQ46" i="7"/>
  <c r="BD46" i="7" s="1"/>
  <c r="AP46" i="7"/>
  <c r="AO46" i="7"/>
  <c r="AN46" i="7"/>
  <c r="AM46" i="7"/>
  <c r="AL46" i="7"/>
  <c r="AK46" i="7"/>
  <c r="AX46" i="7" s="1"/>
  <c r="AJ46" i="7"/>
  <c r="AI46" i="7"/>
  <c r="AH46" i="7"/>
  <c r="AG46" i="7"/>
  <c r="AF46" i="7"/>
  <c r="AD46" i="7"/>
  <c r="P46" i="7"/>
  <c r="BB45" i="7"/>
  <c r="AZ45" i="7"/>
  <c r="AY45" i="7"/>
  <c r="AX45" i="7"/>
  <c r="AQ45" i="7"/>
  <c r="BD45" i="7" s="1"/>
  <c r="AP45" i="7"/>
  <c r="BC45" i="7" s="1"/>
  <c r="AO45" i="7"/>
  <c r="AN45" i="7"/>
  <c r="BA45" i="7" s="1"/>
  <c r="AM45" i="7"/>
  <c r="AL45" i="7"/>
  <c r="AK45" i="7"/>
  <c r="AJ45" i="7"/>
  <c r="AI45" i="7"/>
  <c r="AH45" i="7"/>
  <c r="AG45" i="7"/>
  <c r="AF45" i="7"/>
  <c r="AD45" i="7"/>
  <c r="P45" i="7"/>
  <c r="BD44" i="7"/>
  <c r="BC44" i="7"/>
  <c r="BA44" i="7"/>
  <c r="AY44" i="7"/>
  <c r="AQ44" i="7"/>
  <c r="AP44" i="7"/>
  <c r="AO44" i="7"/>
  <c r="AN44" i="7"/>
  <c r="AM44" i="7"/>
  <c r="AZ44" i="7" s="1"/>
  <c r="AL44" i="7"/>
  <c r="AK44" i="7"/>
  <c r="AX44" i="7" s="1"/>
  <c r="AJ44" i="7"/>
  <c r="AI44" i="7"/>
  <c r="AW44" i="7" s="1"/>
  <c r="AH44" i="7"/>
  <c r="AG44" i="7"/>
  <c r="AF44" i="7"/>
  <c r="AD44" i="7"/>
  <c r="P44" i="7"/>
  <c r="AW43" i="7"/>
  <c r="AQ43" i="7"/>
  <c r="AP43" i="7"/>
  <c r="AO43" i="7"/>
  <c r="AN43" i="7"/>
  <c r="AM43" i="7"/>
  <c r="AL43" i="7"/>
  <c r="AY43" i="7" s="1"/>
  <c r="AK43" i="7"/>
  <c r="AJ43" i="7"/>
  <c r="AI43" i="7"/>
  <c r="AH43" i="7"/>
  <c r="AG43" i="7"/>
  <c r="AF43" i="7"/>
  <c r="AD43" i="7"/>
  <c r="P43" i="7"/>
  <c r="AZ42" i="7"/>
  <c r="AQ42" i="7"/>
  <c r="BD42" i="7" s="1"/>
  <c r="AP42" i="7"/>
  <c r="AO42" i="7"/>
  <c r="BB42" i="7" s="1"/>
  <c r="AN42" i="7"/>
  <c r="BA42" i="7" s="1"/>
  <c r="AM42" i="7"/>
  <c r="AL42" i="7"/>
  <c r="AK42" i="7"/>
  <c r="AJ42" i="7"/>
  <c r="AI42" i="7"/>
  <c r="AH42" i="7"/>
  <c r="AG42" i="7"/>
  <c r="AF42" i="7"/>
  <c r="AD42" i="7"/>
  <c r="P42" i="7"/>
  <c r="BB41" i="7"/>
  <c r="BA41" i="7"/>
  <c r="AY41" i="7"/>
  <c r="AQ41" i="7"/>
  <c r="AP41" i="7"/>
  <c r="BC41" i="7" s="1"/>
  <c r="AO41" i="7"/>
  <c r="AN41" i="7"/>
  <c r="AM41" i="7"/>
  <c r="AZ41" i="7" s="1"/>
  <c r="AL41" i="7"/>
  <c r="AK41" i="7"/>
  <c r="AX41" i="7" s="1"/>
  <c r="AJ41" i="7"/>
  <c r="AI41" i="7"/>
  <c r="AW41" i="7" s="1"/>
  <c r="AH41" i="7"/>
  <c r="AG41" i="7"/>
  <c r="AF41" i="7"/>
  <c r="AD41" i="7"/>
  <c r="P41" i="7"/>
  <c r="AY40" i="7"/>
  <c r="AQ40" i="7"/>
  <c r="AP40" i="7"/>
  <c r="AO40" i="7"/>
  <c r="BB40" i="7" s="1"/>
  <c r="AN40" i="7"/>
  <c r="AM40" i="7"/>
  <c r="AZ40" i="7" s="1"/>
  <c r="AL40" i="7"/>
  <c r="AK40" i="7"/>
  <c r="AJ40" i="7"/>
  <c r="AX40" i="7" s="1"/>
  <c r="AI40" i="7"/>
  <c r="AH40" i="7"/>
  <c r="AV40" i="7" s="1"/>
  <c r="AG40" i="7"/>
  <c r="AF40" i="7"/>
  <c r="AD40" i="7"/>
  <c r="P40" i="7"/>
  <c r="BC39" i="7"/>
  <c r="BB39" i="7"/>
  <c r="BA39" i="7"/>
  <c r="AQ39" i="7"/>
  <c r="BD39" i="7" s="1"/>
  <c r="AP39" i="7"/>
  <c r="AO39" i="7"/>
  <c r="AN39" i="7"/>
  <c r="AM39" i="7"/>
  <c r="AL39" i="7"/>
  <c r="AK39" i="7"/>
  <c r="AJ39" i="7"/>
  <c r="AI39" i="7"/>
  <c r="AH39" i="7"/>
  <c r="AG39" i="7"/>
  <c r="AF39" i="7"/>
  <c r="AD39" i="7"/>
  <c r="P39" i="7"/>
  <c r="BB38" i="7"/>
  <c r="AQ38" i="7"/>
  <c r="AP38" i="7"/>
  <c r="BD38" i="7" s="1"/>
  <c r="AO38" i="7"/>
  <c r="AN38" i="7"/>
  <c r="BA38" i="7" s="1"/>
  <c r="AM38" i="7"/>
  <c r="AL38" i="7"/>
  <c r="AY38" i="7" s="1"/>
  <c r="AK38" i="7"/>
  <c r="AJ38" i="7"/>
  <c r="AI38" i="7"/>
  <c r="AH38" i="7"/>
  <c r="AG38" i="7"/>
  <c r="AF38" i="7"/>
  <c r="AD38" i="7"/>
  <c r="P38" i="7"/>
  <c r="AX37" i="7"/>
  <c r="AQ37" i="7"/>
  <c r="AP37" i="7"/>
  <c r="BC37" i="7" s="1"/>
  <c r="AO37" i="7"/>
  <c r="BB37" i="7" s="1"/>
  <c r="AN37" i="7"/>
  <c r="AM37" i="7"/>
  <c r="BA37" i="7" s="1"/>
  <c r="AL37" i="7"/>
  <c r="AY37" i="7" s="1"/>
  <c r="AK37" i="7"/>
  <c r="AJ37" i="7"/>
  <c r="AI37" i="7"/>
  <c r="AW37" i="7" s="1"/>
  <c r="AH37" i="7"/>
  <c r="AG37" i="7"/>
  <c r="AF37" i="7"/>
  <c r="AD37" i="7"/>
  <c r="P37" i="7"/>
  <c r="AQ36" i="7"/>
  <c r="AP36" i="7"/>
  <c r="BD36" i="7" s="1"/>
  <c r="AO36" i="7"/>
  <c r="AN36" i="7"/>
  <c r="BA36" i="7" s="1"/>
  <c r="AM36" i="7"/>
  <c r="AL36" i="7"/>
  <c r="AK36" i="7"/>
  <c r="AJ36" i="7"/>
  <c r="AI36" i="7"/>
  <c r="AH36" i="7"/>
  <c r="AG36" i="7"/>
  <c r="AF36" i="7"/>
  <c r="AD36" i="7"/>
  <c r="P36" i="7"/>
  <c r="BC35" i="7"/>
  <c r="BB35" i="7"/>
  <c r="BA35" i="7"/>
  <c r="AZ35" i="7"/>
  <c r="AX35" i="7"/>
  <c r="AQ35" i="7"/>
  <c r="BD35" i="7" s="1"/>
  <c r="AP35" i="7"/>
  <c r="AO35" i="7"/>
  <c r="AN35" i="7"/>
  <c r="AM35" i="7"/>
  <c r="AL35" i="7"/>
  <c r="AY35" i="7" s="1"/>
  <c r="AK35" i="7"/>
  <c r="AJ35" i="7"/>
  <c r="AI35" i="7"/>
  <c r="AH35" i="7"/>
  <c r="AG35" i="7"/>
  <c r="AF35" i="7"/>
  <c r="AD35" i="7"/>
  <c r="P35" i="7"/>
  <c r="BC34" i="7"/>
  <c r="BA34" i="7"/>
  <c r="AQ34" i="7"/>
  <c r="BD34" i="7" s="1"/>
  <c r="AP34" i="7"/>
  <c r="AO34" i="7"/>
  <c r="BB34" i="7" s="1"/>
  <c r="AN34" i="7"/>
  <c r="AM34" i="7"/>
  <c r="AZ34" i="7" s="1"/>
  <c r="AL34" i="7"/>
  <c r="AK34" i="7"/>
  <c r="AX34" i="7" s="1"/>
  <c r="AJ34" i="7"/>
  <c r="AI34" i="7"/>
  <c r="AW34" i="7" s="1"/>
  <c r="AH34" i="7"/>
  <c r="AG34" i="7"/>
  <c r="AF34" i="7"/>
  <c r="AD34" i="7"/>
  <c r="P34" i="7"/>
  <c r="AY33" i="7"/>
  <c r="AQ33" i="7"/>
  <c r="AP33" i="7"/>
  <c r="AO33" i="7"/>
  <c r="AN33" i="7"/>
  <c r="AM33" i="7"/>
  <c r="AZ33" i="7" s="1"/>
  <c r="AL33" i="7"/>
  <c r="AK33" i="7"/>
  <c r="AX33" i="7" s="1"/>
  <c r="AJ33" i="7"/>
  <c r="AI33" i="7"/>
  <c r="AH33" i="7"/>
  <c r="AV33" i="7" s="1"/>
  <c r="AG33" i="7"/>
  <c r="AF33" i="7"/>
  <c r="AD33" i="7"/>
  <c r="P33" i="7"/>
  <c r="BD32" i="7"/>
  <c r="AQ32" i="7"/>
  <c r="AP32" i="7"/>
  <c r="AO32" i="7"/>
  <c r="BC32" i="7" s="1"/>
  <c r="AN32" i="7"/>
  <c r="AM32" i="7"/>
  <c r="AL32" i="7"/>
  <c r="AK32" i="7"/>
  <c r="AJ32" i="7"/>
  <c r="AI32" i="7"/>
  <c r="AH32" i="7"/>
  <c r="AG32" i="7"/>
  <c r="AF32" i="7"/>
  <c r="AD32" i="7"/>
  <c r="P32" i="7"/>
  <c r="BB31" i="7"/>
  <c r="AY31" i="7"/>
  <c r="AQ31" i="7"/>
  <c r="AP31" i="7"/>
  <c r="BC31" i="7" s="1"/>
  <c r="AO31" i="7"/>
  <c r="AN31" i="7"/>
  <c r="AM31" i="7"/>
  <c r="BA31" i="7" s="1"/>
  <c r="AL31" i="7"/>
  <c r="AK31" i="7"/>
  <c r="AJ31" i="7"/>
  <c r="AX31" i="7" s="1"/>
  <c r="AI31" i="7"/>
  <c r="AH31" i="7"/>
  <c r="AG31" i="7"/>
  <c r="AF31" i="7"/>
  <c r="AD31" i="7"/>
  <c r="P31" i="7"/>
  <c r="BD30" i="7"/>
  <c r="AQ30" i="7"/>
  <c r="AP30" i="7"/>
  <c r="BC30" i="7" s="1"/>
  <c r="AO30" i="7"/>
  <c r="BB30" i="7" s="1"/>
  <c r="AN30" i="7"/>
  <c r="AM30" i="7"/>
  <c r="AZ30" i="7" s="1"/>
  <c r="AL30" i="7"/>
  <c r="AY30" i="7" s="1"/>
  <c r="AK30" i="7"/>
  <c r="AJ30" i="7"/>
  <c r="AX30" i="7" s="1"/>
  <c r="AI30" i="7"/>
  <c r="AW30" i="7" s="1"/>
  <c r="AH30" i="7"/>
  <c r="AG30" i="7"/>
  <c r="AF30" i="7"/>
  <c r="AD30" i="7"/>
  <c r="P30" i="7"/>
  <c r="AY29" i="7"/>
  <c r="AQ29" i="7"/>
  <c r="BD29" i="7" s="1"/>
  <c r="AP29" i="7"/>
  <c r="AO29" i="7"/>
  <c r="AN29" i="7"/>
  <c r="AM29" i="7"/>
  <c r="AL29" i="7"/>
  <c r="AZ29" i="7" s="1"/>
  <c r="AK29" i="7"/>
  <c r="AX29" i="7" s="1"/>
  <c r="AJ29" i="7"/>
  <c r="AI29" i="7"/>
  <c r="AW29" i="7" s="1"/>
  <c r="AH29" i="7"/>
  <c r="AG29" i="7"/>
  <c r="AF29" i="7"/>
  <c r="AD29" i="7"/>
  <c r="P29" i="7"/>
  <c r="BD28" i="7"/>
  <c r="BC28" i="7"/>
  <c r="AQ28" i="7"/>
  <c r="AP28" i="7"/>
  <c r="AO28" i="7"/>
  <c r="BB28" i="7" s="1"/>
  <c r="AN28" i="7"/>
  <c r="AM28" i="7"/>
  <c r="AL28" i="7"/>
  <c r="AK28" i="7"/>
  <c r="AJ28" i="7"/>
  <c r="AI28" i="7"/>
  <c r="AH28" i="7"/>
  <c r="AG28" i="7"/>
  <c r="AF28" i="7"/>
  <c r="AD28" i="7"/>
  <c r="P28" i="7"/>
  <c r="BD27" i="7"/>
  <c r="BB27" i="7"/>
  <c r="BA27" i="7"/>
  <c r="AZ27" i="7"/>
  <c r="AQ27" i="7"/>
  <c r="AP27" i="7"/>
  <c r="BC27" i="7" s="1"/>
  <c r="AO27" i="7"/>
  <c r="AN27" i="7"/>
  <c r="AM27" i="7"/>
  <c r="AL27" i="7"/>
  <c r="AK27" i="7"/>
  <c r="AY27" i="7" s="1"/>
  <c r="AJ27" i="7"/>
  <c r="AI27" i="7"/>
  <c r="AH27" i="7"/>
  <c r="AG27" i="7"/>
  <c r="AF27" i="7"/>
  <c r="AD27" i="7"/>
  <c r="P27" i="7"/>
  <c r="BB26" i="7"/>
  <c r="AQ26" i="7"/>
  <c r="AP26" i="7"/>
  <c r="BD26" i="7" s="1"/>
  <c r="AO26" i="7"/>
  <c r="AN26" i="7"/>
  <c r="BA26" i="7" s="1"/>
  <c r="AM26" i="7"/>
  <c r="AL26" i="7"/>
  <c r="AY26" i="7" s="1"/>
  <c r="AK26" i="7"/>
  <c r="AJ26" i="7"/>
  <c r="AI26" i="7"/>
  <c r="AH26" i="7"/>
  <c r="AG26" i="7"/>
  <c r="AF26" i="7"/>
  <c r="AD26" i="7"/>
  <c r="P26" i="7"/>
  <c r="AQ25" i="7"/>
  <c r="AP25" i="7"/>
  <c r="BC25" i="7" s="1"/>
  <c r="AO25" i="7"/>
  <c r="AN25" i="7"/>
  <c r="AM25" i="7"/>
  <c r="AZ25" i="7" s="1"/>
  <c r="AL25" i="7"/>
  <c r="AK25" i="7"/>
  <c r="AY25" i="7" s="1"/>
  <c r="AJ25" i="7"/>
  <c r="AI25" i="7"/>
  <c r="AH25" i="7"/>
  <c r="AG25" i="7"/>
  <c r="AF25" i="7"/>
  <c r="AD25" i="7"/>
  <c r="P25" i="7"/>
  <c r="AQ24" i="7"/>
  <c r="AP24" i="7"/>
  <c r="BD24" i="7" s="1"/>
  <c r="AO24" i="7"/>
  <c r="BB24" i="7" s="1"/>
  <c r="AN24" i="7"/>
  <c r="AM24" i="7"/>
  <c r="BA24" i="7" s="1"/>
  <c r="AL24" i="7"/>
  <c r="AY24" i="7" s="1"/>
  <c r="AK24" i="7"/>
  <c r="AJ24" i="7"/>
  <c r="AI24" i="7"/>
  <c r="AH24" i="7"/>
  <c r="AG24" i="7"/>
  <c r="AF24" i="7"/>
  <c r="AD24" i="7"/>
  <c r="P24" i="7"/>
  <c r="BD23" i="7"/>
  <c r="BA23" i="7"/>
  <c r="AY23" i="7"/>
  <c r="AQ23" i="7"/>
  <c r="AP23" i="7"/>
  <c r="AO23" i="7"/>
  <c r="BB23" i="7" s="1"/>
  <c r="AN23" i="7"/>
  <c r="AM23" i="7"/>
  <c r="AL23" i="7"/>
  <c r="AZ23" i="7" s="1"/>
  <c r="AK23" i="7"/>
  <c r="AX23" i="7" s="1"/>
  <c r="AJ23" i="7"/>
  <c r="AI23" i="7"/>
  <c r="AW23" i="7" s="1"/>
  <c r="AH23" i="7"/>
  <c r="AG23" i="7"/>
  <c r="AF23" i="7"/>
  <c r="AD23" i="7"/>
  <c r="P23" i="7"/>
  <c r="BD22" i="7"/>
  <c r="BC22" i="7"/>
  <c r="AQ22" i="7"/>
  <c r="AP22" i="7"/>
  <c r="AO22" i="7"/>
  <c r="BB22" i="7" s="1"/>
  <c r="AN22" i="7"/>
  <c r="BA22" i="7" s="1"/>
  <c r="AM22" i="7"/>
  <c r="AL22" i="7"/>
  <c r="AK22" i="7"/>
  <c r="AX22" i="7" s="1"/>
  <c r="AJ22" i="7"/>
  <c r="AI22" i="7"/>
  <c r="AW22" i="7" s="1"/>
  <c r="AH22" i="7"/>
  <c r="AG22" i="7"/>
  <c r="AF22" i="7"/>
  <c r="AD22" i="7"/>
  <c r="P22" i="7"/>
  <c r="AX21" i="7"/>
  <c r="AQ21" i="7"/>
  <c r="AP21" i="7"/>
  <c r="AO21" i="7"/>
  <c r="AN21" i="7"/>
  <c r="AM21" i="7"/>
  <c r="AL21" i="7"/>
  <c r="AY21" i="7" s="1"/>
  <c r="AK21" i="7"/>
  <c r="AJ21" i="7"/>
  <c r="AW21" i="7" s="1"/>
  <c r="AI21" i="7"/>
  <c r="AH21" i="7"/>
  <c r="AG21" i="7"/>
  <c r="AF21" i="7"/>
  <c r="AD21" i="7"/>
  <c r="P21" i="7"/>
  <c r="BC20" i="7"/>
  <c r="BB20" i="7"/>
  <c r="AQ20" i="7"/>
  <c r="BD20" i="7" s="1"/>
  <c r="AP20" i="7"/>
  <c r="AO20" i="7"/>
  <c r="AN20" i="7"/>
  <c r="AM20" i="7"/>
  <c r="AL20" i="7"/>
  <c r="AK20" i="7"/>
  <c r="AJ20" i="7"/>
  <c r="AW20" i="7" s="1"/>
  <c r="AI20" i="7"/>
  <c r="AH20" i="7"/>
  <c r="AV20" i="7" s="1"/>
  <c r="AG20" i="7"/>
  <c r="AF20" i="7"/>
  <c r="AD20" i="7"/>
  <c r="P20" i="7"/>
  <c r="AZ19" i="7"/>
  <c r="AQ19" i="7"/>
  <c r="BD19" i="7" s="1"/>
  <c r="AP19" i="7"/>
  <c r="BC19" i="7" s="1"/>
  <c r="AO19" i="7"/>
  <c r="AN19" i="7"/>
  <c r="BA19" i="7" s="1"/>
  <c r="AM19" i="7"/>
  <c r="AL19" i="7"/>
  <c r="AK19" i="7"/>
  <c r="AY19" i="7" s="1"/>
  <c r="AJ19" i="7"/>
  <c r="AI19" i="7"/>
  <c r="AW19" i="7" s="1"/>
  <c r="AH19" i="7"/>
  <c r="AG19" i="7"/>
  <c r="AF19" i="7"/>
  <c r="AD19" i="7"/>
  <c r="P19" i="7"/>
  <c r="BC18" i="7"/>
  <c r="BA18" i="7"/>
  <c r="AY18" i="7"/>
  <c r="AQ18" i="7"/>
  <c r="BD18" i="7" s="1"/>
  <c r="AP18" i="7"/>
  <c r="AO18" i="7"/>
  <c r="BB18" i="7" s="1"/>
  <c r="AN18" i="7"/>
  <c r="AM18" i="7"/>
  <c r="AZ18" i="7" s="1"/>
  <c r="AL18" i="7"/>
  <c r="AK18" i="7"/>
  <c r="AX18" i="7" s="1"/>
  <c r="AJ18" i="7"/>
  <c r="AI18" i="7"/>
  <c r="AH18" i="7"/>
  <c r="AG18" i="7"/>
  <c r="AF18" i="7"/>
  <c r="AT18" i="7" s="1"/>
  <c r="AD18" i="7"/>
  <c r="P18" i="7"/>
  <c r="AX17" i="7"/>
  <c r="AQ17" i="7"/>
  <c r="AP17" i="7"/>
  <c r="AO17" i="7"/>
  <c r="AN17" i="7"/>
  <c r="AM17" i="7"/>
  <c r="AL17" i="7"/>
  <c r="AY17" i="7" s="1"/>
  <c r="AK17" i="7"/>
  <c r="AJ17" i="7"/>
  <c r="AI17" i="7"/>
  <c r="AW17" i="7" s="1"/>
  <c r="AH17" i="7"/>
  <c r="AG17" i="7"/>
  <c r="AF17" i="7"/>
  <c r="AD17" i="7"/>
  <c r="P17" i="7"/>
  <c r="BB16" i="7"/>
  <c r="AQ16" i="7"/>
  <c r="AP16" i="7"/>
  <c r="BD16" i="7" s="1"/>
  <c r="AO16" i="7"/>
  <c r="AN16" i="7"/>
  <c r="AM16" i="7"/>
  <c r="AL16" i="7"/>
  <c r="AY16" i="7" s="1"/>
  <c r="AK16" i="7"/>
  <c r="AJ16" i="7"/>
  <c r="AI16" i="7"/>
  <c r="AH16" i="7"/>
  <c r="AG16" i="7"/>
  <c r="AF16" i="7"/>
  <c r="AD16" i="7"/>
  <c r="P16" i="7"/>
  <c r="BD15" i="7"/>
  <c r="BC15" i="7"/>
  <c r="BA15" i="7"/>
  <c r="AY15" i="7"/>
  <c r="AQ15" i="7"/>
  <c r="AP15" i="7"/>
  <c r="AO15" i="7"/>
  <c r="BB15" i="7" s="1"/>
  <c r="AN15" i="7"/>
  <c r="AM15" i="7"/>
  <c r="AZ15" i="7" s="1"/>
  <c r="AL15" i="7"/>
  <c r="AK15" i="7"/>
  <c r="AJ15" i="7"/>
  <c r="AX15" i="7" s="1"/>
  <c r="AI15" i="7"/>
  <c r="AW15" i="7" s="1"/>
  <c r="AH15" i="7"/>
  <c r="AG15" i="7"/>
  <c r="AF15" i="7"/>
  <c r="AD15" i="7"/>
  <c r="P15" i="7"/>
  <c r="AQ14" i="7"/>
  <c r="AP14" i="7"/>
  <c r="BD14" i="7" s="1"/>
  <c r="AO14" i="7"/>
  <c r="AN14" i="7"/>
  <c r="BB14" i="7" s="1"/>
  <c r="AM14" i="7"/>
  <c r="AZ14" i="7" s="1"/>
  <c r="AL14" i="7"/>
  <c r="AY14" i="7" s="1"/>
  <c r="AK14" i="7"/>
  <c r="AJ14" i="7"/>
  <c r="AI14" i="7"/>
  <c r="AH14" i="7"/>
  <c r="AG14" i="7"/>
  <c r="AF14" i="7"/>
  <c r="AD14" i="7"/>
  <c r="P14" i="7"/>
  <c r="AQ13" i="7"/>
  <c r="AP13" i="7"/>
  <c r="AO13" i="7"/>
  <c r="AN13" i="7"/>
  <c r="BA13" i="7" s="1"/>
  <c r="AM13" i="7"/>
  <c r="AL13" i="7"/>
  <c r="AY13" i="7" s="1"/>
  <c r="AK13" i="7"/>
  <c r="AJ13" i="7"/>
  <c r="AI13" i="7"/>
  <c r="AH13" i="7"/>
  <c r="AG13" i="7"/>
  <c r="AF13" i="7"/>
  <c r="AD13" i="7"/>
  <c r="P13" i="7"/>
  <c r="AQ12" i="7"/>
  <c r="AP12" i="7"/>
  <c r="BC12" i="7" s="1"/>
  <c r="AO12" i="7"/>
  <c r="BB12" i="7" s="1"/>
  <c r="AN12" i="7"/>
  <c r="AM12" i="7"/>
  <c r="AL12" i="7"/>
  <c r="AK12" i="7"/>
  <c r="AJ12" i="7"/>
  <c r="AI12" i="7"/>
  <c r="AH12" i="7"/>
  <c r="AG12" i="7"/>
  <c r="AF12" i="7"/>
  <c r="AD12" i="7"/>
  <c r="P12" i="7"/>
  <c r="BA11" i="7"/>
  <c r="AX11" i="7"/>
  <c r="AQ11" i="7"/>
  <c r="BD11" i="7" s="1"/>
  <c r="AP11" i="7"/>
  <c r="BC11" i="7" s="1"/>
  <c r="AO11" i="7"/>
  <c r="BB11" i="7" s="1"/>
  <c r="AN11" i="7"/>
  <c r="AM11" i="7"/>
  <c r="AL11" i="7"/>
  <c r="AY11" i="7" s="1"/>
  <c r="AK11" i="7"/>
  <c r="AJ11" i="7"/>
  <c r="AI11" i="7"/>
  <c r="AW11" i="7" s="1"/>
  <c r="AH11" i="7"/>
  <c r="AG11" i="7"/>
  <c r="AF11" i="7"/>
  <c r="AD11" i="7"/>
  <c r="P11" i="7"/>
  <c r="BD10" i="7"/>
  <c r="BC10" i="7"/>
  <c r="BB10" i="7"/>
  <c r="AZ10" i="7"/>
  <c r="AQ10" i="7"/>
  <c r="AP10" i="7"/>
  <c r="AO10" i="7"/>
  <c r="AN10" i="7"/>
  <c r="BA10" i="7" s="1"/>
  <c r="AM10" i="7"/>
  <c r="AL10" i="7"/>
  <c r="AK10" i="7"/>
  <c r="AY10" i="7" s="1"/>
  <c r="AJ10" i="7"/>
  <c r="AI10" i="7"/>
  <c r="AW10" i="7" s="1"/>
  <c r="AH10" i="7"/>
  <c r="AV10" i="7" s="1"/>
  <c r="AG10" i="7"/>
  <c r="AF10" i="7"/>
  <c r="AD10" i="7"/>
  <c r="P10" i="7"/>
  <c r="AQ9" i="7"/>
  <c r="BD9" i="7" s="1"/>
  <c r="AP9" i="7"/>
  <c r="AO9" i="7"/>
  <c r="BB9" i="7" s="1"/>
  <c r="AN9" i="7"/>
  <c r="BA9" i="7" s="1"/>
  <c r="AM9" i="7"/>
  <c r="AZ9" i="7" s="1"/>
  <c r="AL9" i="7"/>
  <c r="AK9" i="7"/>
  <c r="AX9" i="7" s="1"/>
  <c r="AJ9" i="7"/>
  <c r="AI9" i="7"/>
  <c r="AH9" i="7"/>
  <c r="AG9" i="7"/>
  <c r="AF9" i="7"/>
  <c r="AD9" i="7"/>
  <c r="P9" i="7"/>
  <c r="BA8" i="7"/>
  <c r="AQ8" i="7"/>
  <c r="BD8" i="7" s="1"/>
  <c r="AP8" i="7"/>
  <c r="AO8" i="7"/>
  <c r="BB8" i="7" s="1"/>
  <c r="AN8" i="7"/>
  <c r="AM8" i="7"/>
  <c r="AL8" i="7"/>
  <c r="AK8" i="7"/>
  <c r="AJ8" i="7"/>
  <c r="AI8" i="7"/>
  <c r="AH8" i="7"/>
  <c r="AV8" i="7" s="1"/>
  <c r="AG8" i="7"/>
  <c r="AF8" i="7"/>
  <c r="AD8" i="7"/>
  <c r="P8" i="7"/>
  <c r="BC7" i="7"/>
  <c r="AQ7" i="7"/>
  <c r="BD7" i="7" s="1"/>
  <c r="AP7" i="7"/>
  <c r="AO7" i="7"/>
  <c r="BB7" i="7" s="1"/>
  <c r="AN7" i="7"/>
  <c r="BA7" i="7" s="1"/>
  <c r="AM7" i="7"/>
  <c r="AZ7" i="7" s="1"/>
  <c r="AL7" i="7"/>
  <c r="AK7" i="7"/>
  <c r="AY7" i="7" s="1"/>
  <c r="AJ7" i="7"/>
  <c r="AI7" i="7"/>
  <c r="AH7" i="7"/>
  <c r="AG7" i="7"/>
  <c r="AF7" i="7"/>
  <c r="AD7" i="7"/>
  <c r="P7" i="7"/>
  <c r="BB6" i="7"/>
  <c r="AZ6" i="7"/>
  <c r="AY6" i="7"/>
  <c r="AX6" i="7"/>
  <c r="AQ6" i="7"/>
  <c r="BD6" i="7" s="1"/>
  <c r="AP6" i="7"/>
  <c r="BC6" i="7" s="1"/>
  <c r="AO6" i="7"/>
  <c r="AN6" i="7"/>
  <c r="BA6" i="7" s="1"/>
  <c r="AM6" i="7"/>
  <c r="AL6" i="7"/>
  <c r="AK6" i="7"/>
  <c r="AJ6" i="7"/>
  <c r="AI6" i="7"/>
  <c r="AH6" i="7"/>
  <c r="AG6" i="7"/>
  <c r="AF6" i="7"/>
  <c r="AD6" i="7"/>
  <c r="P6" i="7"/>
  <c r="AZ5" i="7"/>
  <c r="AY5" i="7"/>
  <c r="AQ5" i="7"/>
  <c r="AP5" i="7"/>
  <c r="AO5" i="7"/>
  <c r="AN5" i="7"/>
  <c r="BA5" i="7" s="1"/>
  <c r="AM5" i="7"/>
  <c r="AL5" i="7"/>
  <c r="AK5" i="7"/>
  <c r="AJ5" i="7"/>
  <c r="AX5" i="7" s="1"/>
  <c r="AI5" i="7"/>
  <c r="AH5" i="7"/>
  <c r="AG5" i="7"/>
  <c r="AF5" i="7"/>
  <c r="AD5" i="7"/>
  <c r="AD256" i="7" s="1"/>
  <c r="P5" i="7"/>
  <c r="P256" i="7" s="1"/>
  <c r="AI236" i="6"/>
  <c r="AL236" i="6"/>
  <c r="AK236" i="6"/>
  <c r="AQ235" i="6"/>
  <c r="AP235" i="6"/>
  <c r="AO235" i="6"/>
  <c r="AN235" i="6"/>
  <c r="AM235" i="6"/>
  <c r="AL235" i="6"/>
  <c r="AK235" i="6"/>
  <c r="AJ235" i="6"/>
  <c r="AI235" i="6"/>
  <c r="AH235" i="6"/>
  <c r="AG235" i="6"/>
  <c r="AF235" i="6"/>
  <c r="AD235" i="6"/>
  <c r="P235" i="6"/>
  <c r="AQ234" i="6"/>
  <c r="AP234" i="6"/>
  <c r="AO234" i="6"/>
  <c r="AN234" i="6"/>
  <c r="AM234" i="6"/>
  <c r="AL234" i="6"/>
  <c r="AK234" i="6"/>
  <c r="AJ234" i="6"/>
  <c r="AI234" i="6"/>
  <c r="AH234" i="6"/>
  <c r="AG234" i="6"/>
  <c r="AF234" i="6"/>
  <c r="AD234" i="6"/>
  <c r="P234" i="6"/>
  <c r="AQ233" i="6"/>
  <c r="AP233" i="6"/>
  <c r="AO233" i="6"/>
  <c r="AN233" i="6"/>
  <c r="AM233" i="6"/>
  <c r="AL233" i="6"/>
  <c r="AK233" i="6"/>
  <c r="AJ233" i="6"/>
  <c r="AI233" i="6"/>
  <c r="AH233" i="6"/>
  <c r="AG233" i="6"/>
  <c r="AF233" i="6"/>
  <c r="AD233" i="6"/>
  <c r="P233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AD232" i="6"/>
  <c r="P232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AD231" i="6"/>
  <c r="P231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AD230" i="6"/>
  <c r="P230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AD229" i="6"/>
  <c r="P229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AD228" i="6"/>
  <c r="P228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AD227" i="6"/>
  <c r="P227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AD226" i="6"/>
  <c r="P226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AD225" i="6"/>
  <c r="P225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AD224" i="6"/>
  <c r="P224" i="6"/>
  <c r="AQ223" i="6"/>
  <c r="AP223" i="6"/>
  <c r="AO223" i="6"/>
  <c r="AN223" i="6"/>
  <c r="AM223" i="6"/>
  <c r="AL223" i="6"/>
  <c r="AK223" i="6"/>
  <c r="AJ223" i="6"/>
  <c r="AI223" i="6"/>
  <c r="AH223" i="6"/>
  <c r="AG223" i="6"/>
  <c r="AF223" i="6"/>
  <c r="AD223" i="6"/>
  <c r="P223" i="6"/>
  <c r="AQ222" i="6"/>
  <c r="AP222" i="6"/>
  <c r="AO222" i="6"/>
  <c r="AN222" i="6"/>
  <c r="AM222" i="6"/>
  <c r="AL222" i="6"/>
  <c r="AK222" i="6"/>
  <c r="AJ222" i="6"/>
  <c r="AI222" i="6"/>
  <c r="AH222" i="6"/>
  <c r="AG222" i="6"/>
  <c r="AF222" i="6"/>
  <c r="AD222" i="6"/>
  <c r="P222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AD221" i="6"/>
  <c r="P221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AD220" i="6"/>
  <c r="P220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AD219" i="6"/>
  <c r="P219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AD218" i="6"/>
  <c r="P218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AD217" i="6"/>
  <c r="P217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AD216" i="6"/>
  <c r="P216" i="6"/>
  <c r="AQ215" i="6"/>
  <c r="AP215" i="6"/>
  <c r="AO215" i="6"/>
  <c r="AN215" i="6"/>
  <c r="AM215" i="6"/>
  <c r="AL215" i="6"/>
  <c r="AK215" i="6"/>
  <c r="AJ215" i="6"/>
  <c r="AI215" i="6"/>
  <c r="AH215" i="6"/>
  <c r="AG215" i="6"/>
  <c r="AF215" i="6"/>
  <c r="AD215" i="6"/>
  <c r="P215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AD214" i="6"/>
  <c r="P214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AD213" i="6"/>
  <c r="P213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AD212" i="6"/>
  <c r="P212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AD211" i="6"/>
  <c r="P211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D210" i="6"/>
  <c r="P210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AD209" i="6"/>
  <c r="P209" i="6"/>
  <c r="AQ208" i="6"/>
  <c r="AP208" i="6"/>
  <c r="AO208" i="6"/>
  <c r="AN208" i="6"/>
  <c r="AM208" i="6"/>
  <c r="AL208" i="6"/>
  <c r="AK208" i="6"/>
  <c r="AJ208" i="6"/>
  <c r="AI208" i="6"/>
  <c r="AH208" i="6"/>
  <c r="AG208" i="6"/>
  <c r="AF208" i="6"/>
  <c r="AD208" i="6"/>
  <c r="P208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AD207" i="6"/>
  <c r="P207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AD206" i="6"/>
  <c r="P206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AD205" i="6"/>
  <c r="P205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AD204" i="6"/>
  <c r="P204" i="6"/>
  <c r="BB203" i="6"/>
  <c r="AQ203" i="6"/>
  <c r="BD203" i="6" s="1"/>
  <c r="AP203" i="6"/>
  <c r="BC203" i="6" s="1"/>
  <c r="AO203" i="6"/>
  <c r="AN203" i="6"/>
  <c r="AM203" i="6"/>
  <c r="AL203" i="6"/>
  <c r="AY203" i="6" s="1"/>
  <c r="AK203" i="6"/>
  <c r="AX203" i="6" s="1"/>
  <c r="AJ203" i="6"/>
  <c r="AI203" i="6"/>
  <c r="AW203" i="6" s="1"/>
  <c r="AH203" i="6"/>
  <c r="AG203" i="6"/>
  <c r="AF203" i="6"/>
  <c r="AD203" i="6"/>
  <c r="P203" i="6"/>
  <c r="BA202" i="6"/>
  <c r="AQ202" i="6"/>
  <c r="AP202" i="6"/>
  <c r="AO202" i="6"/>
  <c r="AN202" i="6"/>
  <c r="AM202" i="6"/>
  <c r="AL202" i="6"/>
  <c r="AY202" i="6" s="1"/>
  <c r="AK202" i="6"/>
  <c r="AJ202" i="6"/>
  <c r="AX202" i="6" s="1"/>
  <c r="AI202" i="6"/>
  <c r="AH202" i="6"/>
  <c r="AG202" i="6"/>
  <c r="AF202" i="6"/>
  <c r="AD202" i="6"/>
  <c r="P202" i="6"/>
  <c r="AQ201" i="6"/>
  <c r="AP201" i="6"/>
  <c r="AO201" i="6"/>
  <c r="AN201" i="6"/>
  <c r="AM201" i="6"/>
  <c r="AL201" i="6"/>
  <c r="AK201" i="6"/>
  <c r="AJ201" i="6"/>
  <c r="AW201" i="6" s="1"/>
  <c r="AI201" i="6"/>
  <c r="AH201" i="6"/>
  <c r="AV201" i="6" s="1"/>
  <c r="AG201" i="6"/>
  <c r="AF201" i="6"/>
  <c r="AD201" i="6"/>
  <c r="P201" i="6"/>
  <c r="AQ200" i="6"/>
  <c r="BD200" i="6" s="1"/>
  <c r="AP200" i="6"/>
  <c r="BC200" i="6" s="1"/>
  <c r="AO200" i="6"/>
  <c r="BB200" i="6" s="1"/>
  <c r="AN200" i="6"/>
  <c r="AM200" i="6"/>
  <c r="AL200" i="6"/>
  <c r="AK200" i="6"/>
  <c r="AJ200" i="6"/>
  <c r="AI200" i="6"/>
  <c r="AH200" i="6"/>
  <c r="AG200" i="6"/>
  <c r="AF200" i="6"/>
  <c r="AD200" i="6"/>
  <c r="P200" i="6"/>
  <c r="BA199" i="6"/>
  <c r="AQ199" i="6"/>
  <c r="BD199" i="6" s="1"/>
  <c r="AP199" i="6"/>
  <c r="AO199" i="6"/>
  <c r="BB199" i="6" s="1"/>
  <c r="AN199" i="6"/>
  <c r="AM199" i="6"/>
  <c r="AL199" i="6"/>
  <c r="AK199" i="6"/>
  <c r="AJ199" i="6"/>
  <c r="AI199" i="6"/>
  <c r="AH199" i="6"/>
  <c r="AG199" i="6"/>
  <c r="AF199" i="6"/>
  <c r="AD199" i="6"/>
  <c r="P199" i="6"/>
  <c r="AX198" i="6"/>
  <c r="AQ198" i="6"/>
  <c r="AP198" i="6"/>
  <c r="AO198" i="6"/>
  <c r="AN198" i="6"/>
  <c r="BA198" i="6" s="1"/>
  <c r="AM198" i="6"/>
  <c r="AZ198" i="6" s="1"/>
  <c r="AL198" i="6"/>
  <c r="AY198" i="6" s="1"/>
  <c r="AK198" i="6"/>
  <c r="AJ198" i="6"/>
  <c r="AI198" i="6"/>
  <c r="AW198" i="6" s="1"/>
  <c r="AH198" i="6"/>
  <c r="AG198" i="6"/>
  <c r="AF198" i="6"/>
  <c r="AD198" i="6"/>
  <c r="P198" i="6"/>
  <c r="BD197" i="6"/>
  <c r="AQ197" i="6"/>
  <c r="AP197" i="6"/>
  <c r="AO197" i="6"/>
  <c r="BB197" i="6" s="1"/>
  <c r="AN197" i="6"/>
  <c r="AM197" i="6"/>
  <c r="AL197" i="6"/>
  <c r="AK197" i="6"/>
  <c r="AX197" i="6" s="1"/>
  <c r="AJ197" i="6"/>
  <c r="AI197" i="6"/>
  <c r="AW197" i="6" s="1"/>
  <c r="AH197" i="6"/>
  <c r="AG197" i="6"/>
  <c r="AF197" i="6"/>
  <c r="AD197" i="6"/>
  <c r="P197" i="6"/>
  <c r="AQ196" i="6"/>
  <c r="BD196" i="6" s="1"/>
  <c r="AP196" i="6"/>
  <c r="BC196" i="6" s="1"/>
  <c r="AO196" i="6"/>
  <c r="AN196" i="6"/>
  <c r="AM196" i="6"/>
  <c r="AL196" i="6"/>
  <c r="AK196" i="6"/>
  <c r="AJ196" i="6"/>
  <c r="AI196" i="6"/>
  <c r="AH196" i="6"/>
  <c r="AG196" i="6"/>
  <c r="AF196" i="6"/>
  <c r="AD196" i="6"/>
  <c r="P196" i="6"/>
  <c r="BA195" i="6"/>
  <c r="AZ195" i="6"/>
  <c r="AY195" i="6"/>
  <c r="AQ195" i="6"/>
  <c r="BD195" i="6" s="1"/>
  <c r="AP195" i="6"/>
  <c r="AO195" i="6"/>
  <c r="BB195" i="6" s="1"/>
  <c r="AN195" i="6"/>
  <c r="AM195" i="6"/>
  <c r="AL195" i="6"/>
  <c r="AK195" i="6"/>
  <c r="AX195" i="6" s="1"/>
  <c r="AJ195" i="6"/>
  <c r="AI195" i="6"/>
  <c r="AW195" i="6" s="1"/>
  <c r="AH195" i="6"/>
  <c r="AG195" i="6"/>
  <c r="AF195" i="6"/>
  <c r="AD195" i="6"/>
  <c r="P195" i="6"/>
  <c r="AX194" i="6"/>
  <c r="AQ194" i="6"/>
  <c r="AP194" i="6"/>
  <c r="AO194" i="6"/>
  <c r="AN194" i="6"/>
  <c r="AM194" i="6"/>
  <c r="AZ194" i="6" s="1"/>
  <c r="AL194" i="6"/>
  <c r="AK194" i="6"/>
  <c r="AJ194" i="6"/>
  <c r="AI194" i="6"/>
  <c r="AH194" i="6"/>
  <c r="AG194" i="6"/>
  <c r="AF194" i="6"/>
  <c r="AD194" i="6"/>
  <c r="P194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AD193" i="6"/>
  <c r="P193" i="6"/>
  <c r="BD192" i="6"/>
  <c r="AX192" i="6"/>
  <c r="AQ192" i="6"/>
  <c r="AP192" i="6"/>
  <c r="BC192" i="6" s="1"/>
  <c r="AO192" i="6"/>
  <c r="AN192" i="6"/>
  <c r="AM192" i="6"/>
  <c r="AZ192" i="6" s="1"/>
  <c r="AL192" i="6"/>
  <c r="AY192" i="6" s="1"/>
  <c r="AK192" i="6"/>
  <c r="AJ192" i="6"/>
  <c r="AI192" i="6"/>
  <c r="AH192" i="6"/>
  <c r="AG192" i="6"/>
  <c r="AF192" i="6"/>
  <c r="AD192" i="6"/>
  <c r="P192" i="6"/>
  <c r="BB191" i="6"/>
  <c r="AQ191" i="6"/>
  <c r="BD191" i="6" s="1"/>
  <c r="AP191" i="6"/>
  <c r="BC191" i="6" s="1"/>
  <c r="AO191" i="6"/>
  <c r="AN191" i="6"/>
  <c r="AM191" i="6"/>
  <c r="AL191" i="6"/>
  <c r="AK191" i="6"/>
  <c r="AJ191" i="6"/>
  <c r="AI191" i="6"/>
  <c r="AH191" i="6"/>
  <c r="AG191" i="6"/>
  <c r="AF191" i="6"/>
  <c r="AD191" i="6"/>
  <c r="P191" i="6"/>
  <c r="AZ190" i="6"/>
  <c r="AX190" i="6"/>
  <c r="AQ190" i="6"/>
  <c r="AP190" i="6"/>
  <c r="BC190" i="6" s="1"/>
  <c r="AO190" i="6"/>
  <c r="AN190" i="6"/>
  <c r="BA190" i="6" s="1"/>
  <c r="AM190" i="6"/>
  <c r="AL190" i="6"/>
  <c r="AK190" i="6"/>
  <c r="AJ190" i="6"/>
  <c r="AI190" i="6"/>
  <c r="AH190" i="6"/>
  <c r="AG190" i="6"/>
  <c r="AF190" i="6"/>
  <c r="AD190" i="6"/>
  <c r="P190" i="6"/>
  <c r="AQ189" i="6"/>
  <c r="AP189" i="6"/>
  <c r="AO189" i="6"/>
  <c r="BB189" i="6" s="1"/>
  <c r="AN189" i="6"/>
  <c r="AM189" i="6"/>
  <c r="AL189" i="6"/>
  <c r="AK189" i="6"/>
  <c r="AJ189" i="6"/>
  <c r="AI189" i="6"/>
  <c r="AW189" i="6" s="1"/>
  <c r="AH189" i="6"/>
  <c r="AG189" i="6"/>
  <c r="AF189" i="6"/>
  <c r="AD189" i="6"/>
  <c r="P189" i="6"/>
  <c r="BC188" i="6"/>
  <c r="AQ188" i="6"/>
  <c r="BD188" i="6" s="1"/>
  <c r="AP188" i="6"/>
  <c r="AO188" i="6"/>
  <c r="BB188" i="6" s="1"/>
  <c r="AN188" i="6"/>
  <c r="AM188" i="6"/>
  <c r="AL188" i="6"/>
  <c r="AY188" i="6" s="1"/>
  <c r="AK188" i="6"/>
  <c r="AX188" i="6" s="1"/>
  <c r="AJ188" i="6"/>
  <c r="AI188" i="6"/>
  <c r="AH188" i="6"/>
  <c r="AG188" i="6"/>
  <c r="AF188" i="6"/>
  <c r="AD188" i="6"/>
  <c r="P188" i="6"/>
  <c r="BD187" i="6"/>
  <c r="AQ187" i="6"/>
  <c r="AP187" i="6"/>
  <c r="AO187" i="6"/>
  <c r="BB187" i="6" s="1"/>
  <c r="AN187" i="6"/>
  <c r="BA187" i="6" s="1"/>
  <c r="AM187" i="6"/>
  <c r="AL187" i="6"/>
  <c r="AK187" i="6"/>
  <c r="AJ187" i="6"/>
  <c r="AI187" i="6"/>
  <c r="AH187" i="6"/>
  <c r="AG187" i="6"/>
  <c r="AF187" i="6"/>
  <c r="AD187" i="6"/>
  <c r="P187" i="6"/>
  <c r="AZ186" i="6"/>
  <c r="AQ186" i="6"/>
  <c r="AP186" i="6"/>
  <c r="AO186" i="6"/>
  <c r="BB186" i="6" s="1"/>
  <c r="AN186" i="6"/>
  <c r="BA186" i="6" s="1"/>
  <c r="AM186" i="6"/>
  <c r="AL186" i="6"/>
  <c r="AK186" i="6"/>
  <c r="AX186" i="6" s="1"/>
  <c r="AJ186" i="6"/>
  <c r="AI186" i="6"/>
  <c r="AH186" i="6"/>
  <c r="AG186" i="6"/>
  <c r="AF186" i="6"/>
  <c r="AD186" i="6"/>
  <c r="P186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D185" i="6"/>
  <c r="P185" i="6"/>
  <c r="BB184" i="6"/>
  <c r="AQ184" i="6"/>
  <c r="AP184" i="6"/>
  <c r="AO184" i="6"/>
  <c r="BC184" i="6" s="1"/>
  <c r="AN184" i="6"/>
  <c r="AM184" i="6"/>
  <c r="AZ184" i="6" s="1"/>
  <c r="AL184" i="6"/>
  <c r="AY184" i="6" s="1"/>
  <c r="AK184" i="6"/>
  <c r="AJ184" i="6"/>
  <c r="AI184" i="6"/>
  <c r="AH184" i="6"/>
  <c r="AG184" i="6"/>
  <c r="AF184" i="6"/>
  <c r="AD184" i="6"/>
  <c r="P184" i="6"/>
  <c r="AQ183" i="6"/>
  <c r="AP183" i="6"/>
  <c r="AO183" i="6"/>
  <c r="BB183" i="6" s="1"/>
  <c r="AN183" i="6"/>
  <c r="AM183" i="6"/>
  <c r="AL183" i="6"/>
  <c r="AK183" i="6"/>
  <c r="AJ183" i="6"/>
  <c r="AI183" i="6"/>
  <c r="AH183" i="6"/>
  <c r="AG183" i="6"/>
  <c r="AF183" i="6"/>
  <c r="AD183" i="6"/>
  <c r="P183" i="6"/>
  <c r="BA182" i="6"/>
  <c r="AQ182" i="6"/>
  <c r="AP182" i="6"/>
  <c r="AO182" i="6"/>
  <c r="BB182" i="6" s="1"/>
  <c r="AN182" i="6"/>
  <c r="AM182" i="6"/>
  <c r="AZ182" i="6" s="1"/>
  <c r="AL182" i="6"/>
  <c r="AK182" i="6"/>
  <c r="AJ182" i="6"/>
  <c r="AI182" i="6"/>
  <c r="AW182" i="6" s="1"/>
  <c r="AH182" i="6"/>
  <c r="AG182" i="6"/>
  <c r="AF182" i="6"/>
  <c r="AD182" i="6"/>
  <c r="P182" i="6"/>
  <c r="BD181" i="6"/>
  <c r="BB181" i="6"/>
  <c r="AQ181" i="6"/>
  <c r="AP181" i="6"/>
  <c r="AO181" i="6"/>
  <c r="BC181" i="6" s="1"/>
  <c r="AN181" i="6"/>
  <c r="AM181" i="6"/>
  <c r="AL181" i="6"/>
  <c r="AY181" i="6" s="1"/>
  <c r="AK181" i="6"/>
  <c r="AX181" i="6" s="1"/>
  <c r="AJ181" i="6"/>
  <c r="AI181" i="6"/>
  <c r="AH181" i="6"/>
  <c r="AG181" i="6"/>
  <c r="AF181" i="6"/>
  <c r="AD181" i="6"/>
  <c r="P181" i="6"/>
  <c r="AQ180" i="6"/>
  <c r="BD180" i="6" s="1"/>
  <c r="AP180" i="6"/>
  <c r="AO180" i="6"/>
  <c r="BC180" i="6" s="1"/>
  <c r="AN180" i="6"/>
  <c r="AM180" i="6"/>
  <c r="AL180" i="6"/>
  <c r="AY180" i="6" s="1"/>
  <c r="AK180" i="6"/>
  <c r="AX180" i="6" s="1"/>
  <c r="AJ180" i="6"/>
  <c r="AI180" i="6"/>
  <c r="AH180" i="6"/>
  <c r="AG180" i="6"/>
  <c r="AF180" i="6"/>
  <c r="AD180" i="6"/>
  <c r="P180" i="6"/>
  <c r="AQ179" i="6"/>
  <c r="AP179" i="6"/>
  <c r="BC179" i="6" s="1"/>
  <c r="AO179" i="6"/>
  <c r="AN179" i="6"/>
  <c r="AM179" i="6"/>
  <c r="AL179" i="6"/>
  <c r="AK179" i="6"/>
  <c r="AX179" i="6" s="1"/>
  <c r="AJ179" i="6"/>
  <c r="AW179" i="6" s="1"/>
  <c r="AI179" i="6"/>
  <c r="AH179" i="6"/>
  <c r="AG179" i="6"/>
  <c r="AF179" i="6"/>
  <c r="AD179" i="6"/>
  <c r="P179" i="6"/>
  <c r="AX178" i="6"/>
  <c r="AQ178" i="6"/>
  <c r="AP178" i="6"/>
  <c r="AO178" i="6"/>
  <c r="AN178" i="6"/>
  <c r="AM178" i="6"/>
  <c r="AL178" i="6"/>
  <c r="AY178" i="6" s="1"/>
  <c r="AK178" i="6"/>
  <c r="AJ178" i="6"/>
  <c r="AI178" i="6"/>
  <c r="AW178" i="6" s="1"/>
  <c r="AH178" i="6"/>
  <c r="AV178" i="6" s="1"/>
  <c r="AG178" i="6"/>
  <c r="AF178" i="6"/>
  <c r="AD178" i="6"/>
  <c r="P178" i="6"/>
  <c r="AQ177" i="6"/>
  <c r="AP177" i="6"/>
  <c r="BD177" i="6" s="1"/>
  <c r="AO177" i="6"/>
  <c r="AN177" i="6"/>
  <c r="AM177" i="6"/>
  <c r="AL177" i="6"/>
  <c r="AK177" i="6"/>
  <c r="AX177" i="6" s="1"/>
  <c r="AJ177" i="6"/>
  <c r="AI177" i="6"/>
  <c r="AW177" i="6" s="1"/>
  <c r="AH177" i="6"/>
  <c r="AG177" i="6"/>
  <c r="AF177" i="6"/>
  <c r="AD177" i="6"/>
  <c r="P177" i="6"/>
  <c r="AQ176" i="6"/>
  <c r="AP176" i="6"/>
  <c r="AO176" i="6"/>
  <c r="AN176" i="6"/>
  <c r="BA176" i="6" s="1"/>
  <c r="AM176" i="6"/>
  <c r="AL176" i="6"/>
  <c r="AK176" i="6"/>
  <c r="AY176" i="6" s="1"/>
  <c r="AJ176" i="6"/>
  <c r="AI176" i="6"/>
  <c r="AH176" i="6"/>
  <c r="AG176" i="6"/>
  <c r="AF176" i="6"/>
  <c r="AD176" i="6"/>
  <c r="P176" i="6"/>
  <c r="AQ175" i="6"/>
  <c r="BD175" i="6" s="1"/>
  <c r="AP175" i="6"/>
  <c r="BC175" i="6" s="1"/>
  <c r="AO175" i="6"/>
  <c r="AN175" i="6"/>
  <c r="BB175" i="6" s="1"/>
  <c r="AM175" i="6"/>
  <c r="AL175" i="6"/>
  <c r="AZ175" i="6" s="1"/>
  <c r="AK175" i="6"/>
  <c r="AJ175" i="6"/>
  <c r="AI175" i="6"/>
  <c r="AH175" i="6"/>
  <c r="AG175" i="6"/>
  <c r="AF175" i="6"/>
  <c r="AD175" i="6"/>
  <c r="P175" i="6"/>
  <c r="AZ174" i="6"/>
  <c r="AX174" i="6"/>
  <c r="AQ174" i="6"/>
  <c r="AP174" i="6"/>
  <c r="AO174" i="6"/>
  <c r="BB174" i="6" s="1"/>
  <c r="AN174" i="6"/>
  <c r="AM174" i="6"/>
  <c r="AL174" i="6"/>
  <c r="AY174" i="6" s="1"/>
  <c r="AK174" i="6"/>
  <c r="AJ174" i="6"/>
  <c r="AI174" i="6"/>
  <c r="AH174" i="6"/>
  <c r="AG174" i="6"/>
  <c r="AF174" i="6"/>
  <c r="AD174" i="6"/>
  <c r="P174" i="6"/>
  <c r="BC173" i="6"/>
  <c r="AQ173" i="6"/>
  <c r="BD173" i="6" s="1"/>
  <c r="AP173" i="6"/>
  <c r="AO173" i="6"/>
  <c r="BB173" i="6" s="1"/>
  <c r="AN173" i="6"/>
  <c r="AM173" i="6"/>
  <c r="AL173" i="6"/>
  <c r="AY173" i="6" s="1"/>
  <c r="AK173" i="6"/>
  <c r="AJ173" i="6"/>
  <c r="AW173" i="6" s="1"/>
  <c r="AI173" i="6"/>
  <c r="AH173" i="6"/>
  <c r="AG173" i="6"/>
  <c r="AF173" i="6"/>
  <c r="AD173" i="6"/>
  <c r="P173" i="6"/>
  <c r="AQ172" i="6"/>
  <c r="BD172" i="6" s="1"/>
  <c r="AP172" i="6"/>
  <c r="AO172" i="6"/>
  <c r="AN172" i="6"/>
  <c r="AM172" i="6"/>
  <c r="AL172" i="6"/>
  <c r="AK172" i="6"/>
  <c r="AJ172" i="6"/>
  <c r="AI172" i="6"/>
  <c r="AH172" i="6"/>
  <c r="AG172" i="6"/>
  <c r="AF172" i="6"/>
  <c r="AD172" i="6"/>
  <c r="P172" i="6"/>
  <c r="AY171" i="6"/>
  <c r="AX171" i="6"/>
  <c r="AQ171" i="6"/>
  <c r="BD171" i="6" s="1"/>
  <c r="AP171" i="6"/>
  <c r="BC171" i="6" s="1"/>
  <c r="AO171" i="6"/>
  <c r="AN171" i="6"/>
  <c r="BB171" i="6" s="1"/>
  <c r="AM171" i="6"/>
  <c r="AL171" i="6"/>
  <c r="AK171" i="6"/>
  <c r="AJ171" i="6"/>
  <c r="AI171" i="6"/>
  <c r="AW171" i="6" s="1"/>
  <c r="AH171" i="6"/>
  <c r="AG171" i="6"/>
  <c r="AF171" i="6"/>
  <c r="AD171" i="6"/>
  <c r="P171" i="6"/>
  <c r="BA170" i="6"/>
  <c r="AQ170" i="6"/>
  <c r="BD170" i="6" s="1"/>
  <c r="AP170" i="6"/>
  <c r="BC170" i="6" s="1"/>
  <c r="AO170" i="6"/>
  <c r="BB170" i="6" s="1"/>
  <c r="AN170" i="6"/>
  <c r="AM170" i="6"/>
  <c r="AL170" i="6"/>
  <c r="AK170" i="6"/>
  <c r="AJ170" i="6"/>
  <c r="AX170" i="6" s="1"/>
  <c r="AI170" i="6"/>
  <c r="AH170" i="6"/>
  <c r="AG170" i="6"/>
  <c r="AF170" i="6"/>
  <c r="AD170" i="6"/>
  <c r="P170" i="6"/>
  <c r="BD169" i="6"/>
  <c r="AQ169" i="6"/>
  <c r="AP169" i="6"/>
  <c r="AO169" i="6"/>
  <c r="BB169" i="6" s="1"/>
  <c r="AN169" i="6"/>
  <c r="AM169" i="6"/>
  <c r="AL169" i="6"/>
  <c r="AK169" i="6"/>
  <c r="AX169" i="6" s="1"/>
  <c r="AJ169" i="6"/>
  <c r="AI169" i="6"/>
  <c r="AW169" i="6" s="1"/>
  <c r="AH169" i="6"/>
  <c r="AG169" i="6"/>
  <c r="AF169" i="6"/>
  <c r="AD169" i="6"/>
  <c r="P169" i="6"/>
  <c r="BD168" i="6"/>
  <c r="AX168" i="6"/>
  <c r="AQ168" i="6"/>
  <c r="AP168" i="6"/>
  <c r="AO168" i="6"/>
  <c r="AN168" i="6"/>
  <c r="BB168" i="6" s="1"/>
  <c r="AM168" i="6"/>
  <c r="AL168" i="6"/>
  <c r="AY168" i="6" s="1"/>
  <c r="AK168" i="6"/>
  <c r="AJ168" i="6"/>
  <c r="AI168" i="6"/>
  <c r="AH168" i="6"/>
  <c r="AG168" i="6"/>
  <c r="AF168" i="6"/>
  <c r="AD168" i="6"/>
  <c r="P168" i="6"/>
  <c r="BB167" i="6"/>
  <c r="BA167" i="6"/>
  <c r="AQ167" i="6"/>
  <c r="BD167" i="6" s="1"/>
  <c r="AP167" i="6"/>
  <c r="AO167" i="6"/>
  <c r="AN167" i="6"/>
  <c r="AM167" i="6"/>
  <c r="AZ167" i="6" s="1"/>
  <c r="AL167" i="6"/>
  <c r="AK167" i="6"/>
  <c r="AJ167" i="6"/>
  <c r="AW167" i="6" s="1"/>
  <c r="AI167" i="6"/>
  <c r="AH167" i="6"/>
  <c r="AG167" i="6"/>
  <c r="AF167" i="6"/>
  <c r="AD167" i="6"/>
  <c r="P167" i="6"/>
  <c r="AZ166" i="6"/>
  <c r="AX166" i="6"/>
  <c r="AQ166" i="6"/>
  <c r="AP166" i="6"/>
  <c r="AO166" i="6"/>
  <c r="BB166" i="6" s="1"/>
  <c r="AN166" i="6"/>
  <c r="AM166" i="6"/>
  <c r="AL166" i="6"/>
  <c r="AY166" i="6" s="1"/>
  <c r="AK166" i="6"/>
  <c r="AJ166" i="6"/>
  <c r="AI166" i="6"/>
  <c r="AW166" i="6" s="1"/>
  <c r="AH166" i="6"/>
  <c r="AG166" i="6"/>
  <c r="AF166" i="6"/>
  <c r="AD166" i="6"/>
  <c r="P166" i="6"/>
  <c r="AQ165" i="6"/>
  <c r="AP165" i="6"/>
  <c r="AO165" i="6"/>
  <c r="AN165" i="6"/>
  <c r="BB165" i="6" s="1"/>
  <c r="AM165" i="6"/>
  <c r="AZ165" i="6" s="1"/>
  <c r="AL165" i="6"/>
  <c r="AK165" i="6"/>
  <c r="AJ165" i="6"/>
  <c r="AI165" i="6"/>
  <c r="AH165" i="6"/>
  <c r="AV165" i="6" s="1"/>
  <c r="AG165" i="6"/>
  <c r="AF165" i="6"/>
  <c r="AD165" i="6"/>
  <c r="P165" i="6"/>
  <c r="AQ164" i="6"/>
  <c r="BD164" i="6" s="1"/>
  <c r="AP164" i="6"/>
  <c r="BC164" i="6" s="1"/>
  <c r="AO164" i="6"/>
  <c r="BB164" i="6" s="1"/>
  <c r="AN164" i="6"/>
  <c r="AM164" i="6"/>
  <c r="AL164" i="6"/>
  <c r="AY164" i="6" s="1"/>
  <c r="AK164" i="6"/>
  <c r="AJ164" i="6"/>
  <c r="AI164" i="6"/>
  <c r="AH164" i="6"/>
  <c r="AG164" i="6"/>
  <c r="AF164" i="6"/>
  <c r="AD164" i="6"/>
  <c r="P164" i="6"/>
  <c r="AQ163" i="6"/>
  <c r="BD163" i="6" s="1"/>
  <c r="AP163" i="6"/>
  <c r="BC163" i="6" s="1"/>
  <c r="AO163" i="6"/>
  <c r="BB163" i="6" s="1"/>
  <c r="AN163" i="6"/>
  <c r="AM163" i="6"/>
  <c r="AL163" i="6"/>
  <c r="AY163" i="6" s="1"/>
  <c r="AK163" i="6"/>
  <c r="AJ163" i="6"/>
  <c r="AX163" i="6" s="1"/>
  <c r="AI163" i="6"/>
  <c r="AH163" i="6"/>
  <c r="AG163" i="6"/>
  <c r="AF163" i="6"/>
  <c r="AD163" i="6"/>
  <c r="P163" i="6"/>
  <c r="AX162" i="6"/>
  <c r="AQ162" i="6"/>
  <c r="AP162" i="6"/>
  <c r="AO162" i="6"/>
  <c r="AN162" i="6"/>
  <c r="AM162" i="6"/>
  <c r="AL162" i="6"/>
  <c r="AY162" i="6" s="1"/>
  <c r="AK162" i="6"/>
  <c r="AJ162" i="6"/>
  <c r="AI162" i="6"/>
  <c r="AW162" i="6" s="1"/>
  <c r="AH162" i="6"/>
  <c r="AG162" i="6"/>
  <c r="AF162" i="6"/>
  <c r="AD162" i="6"/>
  <c r="P162" i="6"/>
  <c r="AQ161" i="6"/>
  <c r="AP161" i="6"/>
  <c r="AO161" i="6"/>
  <c r="BC161" i="6" s="1"/>
  <c r="AN161" i="6"/>
  <c r="AM161" i="6"/>
  <c r="AL161" i="6"/>
  <c r="AK161" i="6"/>
  <c r="AX161" i="6" s="1"/>
  <c r="AJ161" i="6"/>
  <c r="AI161" i="6"/>
  <c r="AW161" i="6" s="1"/>
  <c r="AH161" i="6"/>
  <c r="AG161" i="6"/>
  <c r="AF161" i="6"/>
  <c r="AD161" i="6"/>
  <c r="P161" i="6"/>
  <c r="AZ160" i="6"/>
  <c r="AQ160" i="6"/>
  <c r="AP160" i="6"/>
  <c r="BD160" i="6" s="1"/>
  <c r="AO160" i="6"/>
  <c r="AN160" i="6"/>
  <c r="AM160" i="6"/>
  <c r="AL160" i="6"/>
  <c r="AK160" i="6"/>
  <c r="AJ160" i="6"/>
  <c r="AI160" i="6"/>
  <c r="AH160" i="6"/>
  <c r="AG160" i="6"/>
  <c r="AF160" i="6"/>
  <c r="AD160" i="6"/>
  <c r="P160" i="6"/>
  <c r="BB159" i="6"/>
  <c r="AQ159" i="6"/>
  <c r="BD159" i="6" s="1"/>
  <c r="AP159" i="6"/>
  <c r="AO159" i="6"/>
  <c r="AN159" i="6"/>
  <c r="AM159" i="6"/>
  <c r="AL159" i="6"/>
  <c r="AY159" i="6" s="1"/>
  <c r="AK159" i="6"/>
  <c r="AJ159" i="6"/>
  <c r="AX159" i="6" s="1"/>
  <c r="AI159" i="6"/>
  <c r="AH159" i="6"/>
  <c r="AG159" i="6"/>
  <c r="AF159" i="6"/>
  <c r="AD159" i="6"/>
  <c r="P159" i="6"/>
  <c r="AZ158" i="6"/>
  <c r="AX158" i="6"/>
  <c r="AQ158" i="6"/>
  <c r="AP158" i="6"/>
  <c r="AO158" i="6"/>
  <c r="AN158" i="6"/>
  <c r="AM158" i="6"/>
  <c r="AL158" i="6"/>
  <c r="AY158" i="6" s="1"/>
  <c r="AK158" i="6"/>
  <c r="AJ158" i="6"/>
  <c r="AI158" i="6"/>
  <c r="AW158" i="6" s="1"/>
  <c r="AH158" i="6"/>
  <c r="AG158" i="6"/>
  <c r="AF158" i="6"/>
  <c r="AD158" i="6"/>
  <c r="P158" i="6"/>
  <c r="AQ157" i="6"/>
  <c r="AP157" i="6"/>
  <c r="AO157" i="6"/>
  <c r="AN157" i="6"/>
  <c r="AM157" i="6"/>
  <c r="AL157" i="6"/>
  <c r="AK157" i="6"/>
  <c r="AX157" i="6" s="1"/>
  <c r="AJ157" i="6"/>
  <c r="AI157" i="6"/>
  <c r="AW157" i="6" s="1"/>
  <c r="AH157" i="6"/>
  <c r="AG157" i="6"/>
  <c r="AF157" i="6"/>
  <c r="AD157" i="6"/>
  <c r="P157" i="6"/>
  <c r="AQ156" i="6"/>
  <c r="AP156" i="6"/>
  <c r="BD156" i="6" s="1"/>
  <c r="AO156" i="6"/>
  <c r="BB156" i="6" s="1"/>
  <c r="AN156" i="6"/>
  <c r="AM156" i="6"/>
  <c r="AL156" i="6"/>
  <c r="AY156" i="6" s="1"/>
  <c r="AK156" i="6"/>
  <c r="AJ156" i="6"/>
  <c r="AI156" i="6"/>
  <c r="AH156" i="6"/>
  <c r="AG156" i="6"/>
  <c r="AF156" i="6"/>
  <c r="AD156" i="6"/>
  <c r="P156" i="6"/>
  <c r="AQ155" i="6"/>
  <c r="BD155" i="6" s="1"/>
  <c r="AP155" i="6"/>
  <c r="BC155" i="6" s="1"/>
  <c r="AO155" i="6"/>
  <c r="AN155" i="6"/>
  <c r="AM155" i="6"/>
  <c r="AL155" i="6"/>
  <c r="AK155" i="6"/>
  <c r="AJ155" i="6"/>
  <c r="AI155" i="6"/>
  <c r="AH155" i="6"/>
  <c r="AG155" i="6"/>
  <c r="AF155" i="6"/>
  <c r="AD155" i="6"/>
  <c r="P155" i="6"/>
  <c r="AX154" i="6"/>
  <c r="AQ154" i="6"/>
  <c r="BD154" i="6" s="1"/>
  <c r="AP154" i="6"/>
  <c r="AO154" i="6"/>
  <c r="AN154" i="6"/>
  <c r="BA154" i="6" s="1"/>
  <c r="AM154" i="6"/>
  <c r="AL154" i="6"/>
  <c r="AK154" i="6"/>
  <c r="AJ154" i="6"/>
  <c r="AI154" i="6"/>
  <c r="AH154" i="6"/>
  <c r="AV154" i="6" s="1"/>
  <c r="AG154" i="6"/>
  <c r="AF154" i="6"/>
  <c r="AD154" i="6"/>
  <c r="P154" i="6"/>
  <c r="AQ153" i="6"/>
  <c r="AP153" i="6"/>
  <c r="BC153" i="6" s="1"/>
  <c r="AO153" i="6"/>
  <c r="AN153" i="6"/>
  <c r="AM153" i="6"/>
  <c r="AL153" i="6"/>
  <c r="AK153" i="6"/>
  <c r="AJ153" i="6"/>
  <c r="AI153" i="6"/>
  <c r="AW153" i="6" s="1"/>
  <c r="AH153" i="6"/>
  <c r="AG153" i="6"/>
  <c r="AF153" i="6"/>
  <c r="AD153" i="6"/>
  <c r="P153" i="6"/>
  <c r="BC152" i="6"/>
  <c r="BB152" i="6"/>
  <c r="BA152" i="6"/>
  <c r="AQ152" i="6"/>
  <c r="BD152" i="6" s="1"/>
  <c r="AP152" i="6"/>
  <c r="AO152" i="6"/>
  <c r="AN152" i="6"/>
  <c r="AM152" i="6"/>
  <c r="AZ152" i="6" s="1"/>
  <c r="AL152" i="6"/>
  <c r="AK152" i="6"/>
  <c r="AJ152" i="6"/>
  <c r="AI152" i="6"/>
  <c r="AH152" i="6"/>
  <c r="AG152" i="6"/>
  <c r="AF152" i="6"/>
  <c r="AD152" i="6"/>
  <c r="P152" i="6"/>
  <c r="BD151" i="6"/>
  <c r="AQ151" i="6"/>
  <c r="AP151" i="6"/>
  <c r="AO151" i="6"/>
  <c r="AN151" i="6"/>
  <c r="AM151" i="6"/>
  <c r="AL151" i="6"/>
  <c r="AK151" i="6"/>
  <c r="AJ151" i="6"/>
  <c r="AI151" i="6"/>
  <c r="AW151" i="6" s="1"/>
  <c r="AH151" i="6"/>
  <c r="AG151" i="6"/>
  <c r="AF151" i="6"/>
  <c r="AD151" i="6"/>
  <c r="P151" i="6"/>
  <c r="BA150" i="6"/>
  <c r="AZ150" i="6"/>
  <c r="AQ150" i="6"/>
  <c r="AP150" i="6"/>
  <c r="AO150" i="6"/>
  <c r="BB150" i="6" s="1"/>
  <c r="AN150" i="6"/>
  <c r="AM150" i="6"/>
  <c r="AL150" i="6"/>
  <c r="AK150" i="6"/>
  <c r="AX150" i="6" s="1"/>
  <c r="AJ150" i="6"/>
  <c r="AI150" i="6"/>
  <c r="AH150" i="6"/>
  <c r="AG150" i="6"/>
  <c r="AF150" i="6"/>
  <c r="AD150" i="6"/>
  <c r="P150" i="6"/>
  <c r="AQ149" i="6"/>
  <c r="AP149" i="6"/>
  <c r="AO149" i="6"/>
  <c r="BB149" i="6" s="1"/>
  <c r="AN149" i="6"/>
  <c r="AM149" i="6"/>
  <c r="AL149" i="6"/>
  <c r="AK149" i="6"/>
  <c r="AJ149" i="6"/>
  <c r="AI149" i="6"/>
  <c r="AW149" i="6" s="1"/>
  <c r="AH149" i="6"/>
  <c r="AV149" i="6" s="1"/>
  <c r="AG149" i="6"/>
  <c r="AF149" i="6"/>
  <c r="AD149" i="6"/>
  <c r="P149" i="6"/>
  <c r="BA148" i="6"/>
  <c r="AX148" i="6"/>
  <c r="AQ148" i="6"/>
  <c r="BD148" i="6" s="1"/>
  <c r="AP148" i="6"/>
  <c r="AO148" i="6"/>
  <c r="AN148" i="6"/>
  <c r="AM148" i="6"/>
  <c r="AL148" i="6"/>
  <c r="AK148" i="6"/>
  <c r="AY148" i="6" s="1"/>
  <c r="AJ148" i="6"/>
  <c r="AI148" i="6"/>
  <c r="AH148" i="6"/>
  <c r="AG148" i="6"/>
  <c r="AF148" i="6"/>
  <c r="AD148" i="6"/>
  <c r="P148" i="6"/>
  <c r="AQ147" i="6"/>
  <c r="AP147" i="6"/>
  <c r="BC147" i="6" s="1"/>
  <c r="AO147" i="6"/>
  <c r="AN147" i="6"/>
  <c r="AM147" i="6"/>
  <c r="AL147" i="6"/>
  <c r="AK147" i="6"/>
  <c r="AJ147" i="6"/>
  <c r="AI147" i="6"/>
  <c r="AH147" i="6"/>
  <c r="AG147" i="6"/>
  <c r="AF147" i="6"/>
  <c r="AD147" i="6"/>
  <c r="P147" i="6"/>
  <c r="BA146" i="6"/>
  <c r="AQ146" i="6"/>
  <c r="AP146" i="6"/>
  <c r="AO146" i="6"/>
  <c r="BB146" i="6" s="1"/>
  <c r="AN146" i="6"/>
  <c r="AM146" i="6"/>
  <c r="AL146" i="6"/>
  <c r="AY146" i="6" s="1"/>
  <c r="AK146" i="6"/>
  <c r="AJ146" i="6"/>
  <c r="AI146" i="6"/>
  <c r="AH146" i="6"/>
  <c r="AG146" i="6"/>
  <c r="AF146" i="6"/>
  <c r="AD146" i="6"/>
  <c r="P146" i="6"/>
  <c r="BB145" i="6"/>
  <c r="AQ145" i="6"/>
  <c r="BD145" i="6" s="1"/>
  <c r="AP145" i="6"/>
  <c r="AO145" i="6"/>
  <c r="AN145" i="6"/>
  <c r="AM145" i="6"/>
  <c r="AL145" i="6"/>
  <c r="AK145" i="6"/>
  <c r="AJ145" i="6"/>
  <c r="AI145" i="6"/>
  <c r="AW145" i="6" s="1"/>
  <c r="AH145" i="6"/>
  <c r="AG145" i="6"/>
  <c r="AF145" i="6"/>
  <c r="AD145" i="6"/>
  <c r="P145" i="6"/>
  <c r="BD144" i="6"/>
  <c r="BA144" i="6"/>
  <c r="AZ144" i="6"/>
  <c r="AQ144" i="6"/>
  <c r="AP144" i="6"/>
  <c r="AO144" i="6"/>
  <c r="BC144" i="6" s="1"/>
  <c r="AN144" i="6"/>
  <c r="AM144" i="6"/>
  <c r="AL144" i="6"/>
  <c r="AY144" i="6" s="1"/>
  <c r="AK144" i="6"/>
  <c r="AX144" i="6" s="1"/>
  <c r="AJ144" i="6"/>
  <c r="AI144" i="6"/>
  <c r="AH144" i="6"/>
  <c r="AG144" i="6"/>
  <c r="AF144" i="6"/>
  <c r="AD144" i="6"/>
  <c r="P144" i="6"/>
  <c r="BD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D143" i="6"/>
  <c r="P143" i="6"/>
  <c r="BA142" i="6"/>
  <c r="AZ142" i="6"/>
  <c r="AQ142" i="6"/>
  <c r="AP142" i="6"/>
  <c r="AO142" i="6"/>
  <c r="BB142" i="6" s="1"/>
  <c r="AN142" i="6"/>
  <c r="AM142" i="6"/>
  <c r="AL142" i="6"/>
  <c r="AY142" i="6" s="1"/>
  <c r="AK142" i="6"/>
  <c r="AJ142" i="6"/>
  <c r="AI142" i="6"/>
  <c r="AH142" i="6"/>
  <c r="AG142" i="6"/>
  <c r="AF142" i="6"/>
  <c r="AD142" i="6"/>
  <c r="P142" i="6"/>
  <c r="BD141" i="6"/>
  <c r="AQ141" i="6"/>
  <c r="AP141" i="6"/>
  <c r="AO141" i="6"/>
  <c r="BC141" i="6" s="1"/>
  <c r="AN141" i="6"/>
  <c r="AM141" i="6"/>
  <c r="AL141" i="6"/>
  <c r="AK141" i="6"/>
  <c r="AX141" i="6" s="1"/>
  <c r="AJ141" i="6"/>
  <c r="AI141" i="6"/>
  <c r="AW141" i="6" s="1"/>
  <c r="AH141" i="6"/>
  <c r="AG141" i="6"/>
  <c r="AF141" i="6"/>
  <c r="AD141" i="6"/>
  <c r="P141" i="6"/>
  <c r="BD140" i="6"/>
  <c r="BC140" i="6"/>
  <c r="AQ140" i="6"/>
  <c r="AP140" i="6"/>
  <c r="AO140" i="6"/>
  <c r="AN140" i="6"/>
  <c r="AM140" i="6"/>
  <c r="AL140" i="6"/>
  <c r="AK140" i="6"/>
  <c r="AX140" i="6" s="1"/>
  <c r="AJ140" i="6"/>
  <c r="AI140" i="6"/>
  <c r="AH140" i="6"/>
  <c r="AG140" i="6"/>
  <c r="AF140" i="6"/>
  <c r="AD140" i="6"/>
  <c r="P140" i="6"/>
  <c r="AX139" i="6"/>
  <c r="AQ139" i="6"/>
  <c r="AP139" i="6"/>
  <c r="AO139" i="6"/>
  <c r="AN139" i="6"/>
  <c r="AM139" i="6"/>
  <c r="AL139" i="6"/>
  <c r="AY139" i="6" s="1"/>
  <c r="AK139" i="6"/>
  <c r="AJ139" i="6"/>
  <c r="AI139" i="6"/>
  <c r="AH139" i="6"/>
  <c r="AG139" i="6"/>
  <c r="AF139" i="6"/>
  <c r="AD139" i="6"/>
  <c r="P139" i="6"/>
  <c r="AQ138" i="6"/>
  <c r="BD138" i="6" s="1"/>
  <c r="AP138" i="6"/>
  <c r="AO138" i="6"/>
  <c r="AN138" i="6"/>
  <c r="BA138" i="6" s="1"/>
  <c r="AM138" i="6"/>
  <c r="AZ138" i="6" s="1"/>
  <c r="AL138" i="6"/>
  <c r="AY138" i="6" s="1"/>
  <c r="AK138" i="6"/>
  <c r="AX138" i="6" s="1"/>
  <c r="AJ138" i="6"/>
  <c r="AI138" i="6"/>
  <c r="AW138" i="6" s="1"/>
  <c r="AH138" i="6"/>
  <c r="AG138" i="6"/>
  <c r="AF138" i="6"/>
  <c r="AD138" i="6"/>
  <c r="P138" i="6"/>
  <c r="AQ137" i="6"/>
  <c r="AP137" i="6"/>
  <c r="AO137" i="6"/>
  <c r="BB137" i="6" s="1"/>
  <c r="AN137" i="6"/>
  <c r="AM137" i="6"/>
  <c r="AL137" i="6"/>
  <c r="AK137" i="6"/>
  <c r="AX137" i="6" s="1"/>
  <c r="AJ137" i="6"/>
  <c r="AI137" i="6"/>
  <c r="AH137" i="6"/>
  <c r="AG137" i="6"/>
  <c r="AF137" i="6"/>
  <c r="AD137" i="6"/>
  <c r="P137" i="6"/>
  <c r="BC136" i="6"/>
  <c r="AQ136" i="6"/>
  <c r="BD136" i="6" s="1"/>
  <c r="AP136" i="6"/>
  <c r="AO136" i="6"/>
  <c r="AN136" i="6"/>
  <c r="AM136" i="6"/>
  <c r="AZ136" i="6" s="1"/>
  <c r="AL136" i="6"/>
  <c r="AY136" i="6" s="1"/>
  <c r="AK136" i="6"/>
  <c r="AJ136" i="6"/>
  <c r="AI136" i="6"/>
  <c r="AH136" i="6"/>
  <c r="AG136" i="6"/>
  <c r="AF136" i="6"/>
  <c r="AD136" i="6"/>
  <c r="P136" i="6"/>
  <c r="BD135" i="6"/>
  <c r="BB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AD135" i="6"/>
  <c r="P135" i="6"/>
  <c r="AZ134" i="6"/>
  <c r="AQ134" i="6"/>
  <c r="AP134" i="6"/>
  <c r="AO134" i="6"/>
  <c r="BB134" i="6" s="1"/>
  <c r="AN134" i="6"/>
  <c r="AM134" i="6"/>
  <c r="AL134" i="6"/>
  <c r="AK134" i="6"/>
  <c r="AX134" i="6" s="1"/>
  <c r="AJ134" i="6"/>
  <c r="AI134" i="6"/>
  <c r="AW134" i="6" s="1"/>
  <c r="AH134" i="6"/>
  <c r="AG134" i="6"/>
  <c r="AF134" i="6"/>
  <c r="AD134" i="6"/>
  <c r="P134" i="6"/>
  <c r="BC133" i="6"/>
  <c r="AQ133" i="6"/>
  <c r="BD133" i="6" s="1"/>
  <c r="AP133" i="6"/>
  <c r="AO133" i="6"/>
  <c r="AN133" i="6"/>
  <c r="BB133" i="6" s="1"/>
  <c r="AM133" i="6"/>
  <c r="AL133" i="6"/>
  <c r="AY133" i="6" s="1"/>
  <c r="AK133" i="6"/>
  <c r="AX133" i="6" s="1"/>
  <c r="AJ133" i="6"/>
  <c r="AI133" i="6"/>
  <c r="AW133" i="6" s="1"/>
  <c r="AH133" i="6"/>
  <c r="AG133" i="6"/>
  <c r="AF133" i="6"/>
  <c r="AD133" i="6"/>
  <c r="P133" i="6"/>
  <c r="AQ132" i="6"/>
  <c r="BD132" i="6" s="1"/>
  <c r="AP132" i="6"/>
  <c r="AO132" i="6"/>
  <c r="AN132" i="6"/>
  <c r="BB132" i="6" s="1"/>
  <c r="AM132" i="6"/>
  <c r="AL132" i="6"/>
  <c r="AK132" i="6"/>
  <c r="AX132" i="6" s="1"/>
  <c r="AJ132" i="6"/>
  <c r="AI132" i="6"/>
  <c r="AH132" i="6"/>
  <c r="AG132" i="6"/>
  <c r="AF132" i="6"/>
  <c r="AD132" i="6"/>
  <c r="P132" i="6"/>
  <c r="BD131" i="6"/>
  <c r="AQ131" i="6"/>
  <c r="AP131" i="6"/>
  <c r="AO131" i="6"/>
  <c r="BB131" i="6" s="1"/>
  <c r="AN131" i="6"/>
  <c r="AM131" i="6"/>
  <c r="AL131" i="6"/>
  <c r="AK131" i="6"/>
  <c r="AJ131" i="6"/>
  <c r="AX131" i="6" s="1"/>
  <c r="AI131" i="6"/>
  <c r="AH131" i="6"/>
  <c r="AG131" i="6"/>
  <c r="AF131" i="6"/>
  <c r="AD131" i="6"/>
  <c r="P131" i="6"/>
  <c r="AQ130" i="6"/>
  <c r="AP130" i="6"/>
  <c r="AO130" i="6"/>
  <c r="BB130" i="6" s="1"/>
  <c r="AN130" i="6"/>
  <c r="AM130" i="6"/>
  <c r="AL130" i="6"/>
  <c r="AY130" i="6" s="1"/>
  <c r="AK130" i="6"/>
  <c r="AX130" i="6" s="1"/>
  <c r="AJ130" i="6"/>
  <c r="AI130" i="6"/>
  <c r="AW130" i="6" s="1"/>
  <c r="AH130" i="6"/>
  <c r="AG130" i="6"/>
  <c r="AF130" i="6"/>
  <c r="AD130" i="6"/>
  <c r="P130" i="6"/>
  <c r="AQ129" i="6"/>
  <c r="AP129" i="6"/>
  <c r="BD129" i="6" s="1"/>
  <c r="AO129" i="6"/>
  <c r="AN129" i="6"/>
  <c r="AM129" i="6"/>
  <c r="AL129" i="6"/>
  <c r="AK129" i="6"/>
  <c r="AX129" i="6" s="1"/>
  <c r="AJ129" i="6"/>
  <c r="AI129" i="6"/>
  <c r="AH129" i="6"/>
  <c r="AG129" i="6"/>
  <c r="AF129" i="6"/>
  <c r="AD129" i="6"/>
  <c r="P129" i="6"/>
  <c r="AQ128" i="6"/>
  <c r="BD128" i="6" s="1"/>
  <c r="AP128" i="6"/>
  <c r="AO128" i="6"/>
  <c r="AN128" i="6"/>
  <c r="AM128" i="6"/>
  <c r="AL128" i="6"/>
  <c r="AY128" i="6" s="1"/>
  <c r="AK128" i="6"/>
  <c r="AX128" i="6" s="1"/>
  <c r="AJ128" i="6"/>
  <c r="AI128" i="6"/>
  <c r="AH128" i="6"/>
  <c r="AG128" i="6"/>
  <c r="AF128" i="6"/>
  <c r="AD128" i="6"/>
  <c r="P128" i="6"/>
  <c r="AQ127" i="6"/>
  <c r="BD127" i="6" s="1"/>
  <c r="AP127" i="6"/>
  <c r="AO127" i="6"/>
  <c r="AN127" i="6"/>
  <c r="AM127" i="6"/>
  <c r="AL127" i="6"/>
  <c r="AY127" i="6" s="1"/>
  <c r="AK127" i="6"/>
  <c r="AX127" i="6" s="1"/>
  <c r="AJ127" i="6"/>
  <c r="AI127" i="6"/>
  <c r="AH127" i="6"/>
  <c r="AG127" i="6"/>
  <c r="AF127" i="6"/>
  <c r="AD127" i="6"/>
  <c r="P127" i="6"/>
  <c r="AQ126" i="6"/>
  <c r="BD126" i="6" s="1"/>
  <c r="AP126" i="6"/>
  <c r="BC126" i="6" s="1"/>
  <c r="AO126" i="6"/>
  <c r="AN126" i="6"/>
  <c r="AM126" i="6"/>
  <c r="AZ126" i="6" s="1"/>
  <c r="AL126" i="6"/>
  <c r="AY126" i="6" s="1"/>
  <c r="AK126" i="6"/>
  <c r="AX126" i="6" s="1"/>
  <c r="AJ126" i="6"/>
  <c r="AI126" i="6"/>
  <c r="AH126" i="6"/>
  <c r="AG126" i="6"/>
  <c r="AF126" i="6"/>
  <c r="AD126" i="6"/>
  <c r="P126" i="6"/>
  <c r="AQ125" i="6"/>
  <c r="AP125" i="6"/>
  <c r="AO125" i="6"/>
  <c r="AN125" i="6"/>
  <c r="AM125" i="6"/>
  <c r="AL125" i="6"/>
  <c r="AK125" i="6"/>
  <c r="AJ125" i="6"/>
  <c r="AX125" i="6" s="1"/>
  <c r="AI125" i="6"/>
  <c r="AH125" i="6"/>
  <c r="AG125" i="6"/>
  <c r="AF125" i="6"/>
  <c r="AD125" i="6"/>
  <c r="P125" i="6"/>
  <c r="AQ124" i="6"/>
  <c r="AP124" i="6"/>
  <c r="AO124" i="6"/>
  <c r="BB124" i="6" s="1"/>
  <c r="AN124" i="6"/>
  <c r="AM124" i="6"/>
  <c r="AL124" i="6"/>
  <c r="AK124" i="6"/>
  <c r="AX124" i="6" s="1"/>
  <c r="AJ124" i="6"/>
  <c r="AI124" i="6"/>
  <c r="AH124" i="6"/>
  <c r="AG124" i="6"/>
  <c r="AF124" i="6"/>
  <c r="AD124" i="6"/>
  <c r="P124" i="6"/>
  <c r="AZ123" i="6"/>
  <c r="AQ123" i="6"/>
  <c r="BD123" i="6" s="1"/>
  <c r="AP123" i="6"/>
  <c r="BC123" i="6" s="1"/>
  <c r="AO123" i="6"/>
  <c r="BB123" i="6" s="1"/>
  <c r="AN123" i="6"/>
  <c r="BA123" i="6" s="1"/>
  <c r="AM123" i="6"/>
  <c r="AL123" i="6"/>
  <c r="AK123" i="6"/>
  <c r="AJ123" i="6"/>
  <c r="AI123" i="6"/>
  <c r="AH123" i="6"/>
  <c r="AG123" i="6"/>
  <c r="AF123" i="6"/>
  <c r="AD123" i="6"/>
  <c r="P123" i="6"/>
  <c r="AQ122" i="6"/>
  <c r="AP122" i="6"/>
  <c r="BC122" i="6" s="1"/>
  <c r="AO122" i="6"/>
  <c r="AN122" i="6"/>
  <c r="BB122" i="6" s="1"/>
  <c r="AM122" i="6"/>
  <c r="AL122" i="6"/>
  <c r="AK122" i="6"/>
  <c r="AX122" i="6" s="1"/>
  <c r="AJ122" i="6"/>
  <c r="AI122" i="6"/>
  <c r="AW122" i="6" s="1"/>
  <c r="AH122" i="6"/>
  <c r="AG122" i="6"/>
  <c r="AF122" i="6"/>
  <c r="AD122" i="6"/>
  <c r="P122" i="6"/>
  <c r="BD121" i="6"/>
  <c r="AX121" i="6"/>
  <c r="AW121" i="6"/>
  <c r="AQ121" i="6"/>
  <c r="AP121" i="6"/>
  <c r="AO121" i="6"/>
  <c r="AN121" i="6"/>
  <c r="AM121" i="6"/>
  <c r="AL121" i="6"/>
  <c r="AY121" i="6" s="1"/>
  <c r="AK121" i="6"/>
  <c r="AJ121" i="6"/>
  <c r="AI121" i="6"/>
  <c r="AH121" i="6"/>
  <c r="AG121" i="6"/>
  <c r="AF121" i="6"/>
  <c r="AD121" i="6"/>
  <c r="P121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D120" i="6"/>
  <c r="P120" i="6"/>
  <c r="BC119" i="6"/>
  <c r="BB119" i="6"/>
  <c r="AQ119" i="6"/>
  <c r="AP119" i="6"/>
  <c r="BD119" i="6" s="1"/>
  <c r="AO119" i="6"/>
  <c r="AN119" i="6"/>
  <c r="BA119" i="6" s="1"/>
  <c r="AM119" i="6"/>
  <c r="AZ119" i="6" s="1"/>
  <c r="AL119" i="6"/>
  <c r="AY119" i="6" s="1"/>
  <c r="AK119" i="6"/>
  <c r="AJ119" i="6"/>
  <c r="AI119" i="6"/>
  <c r="AH119" i="6"/>
  <c r="AG119" i="6"/>
  <c r="AF119" i="6"/>
  <c r="AD119" i="6"/>
  <c r="P119" i="6"/>
  <c r="BB118" i="6"/>
  <c r="AX118" i="6"/>
  <c r="AQ118" i="6"/>
  <c r="AP118" i="6"/>
  <c r="AO118" i="6"/>
  <c r="AN118" i="6"/>
  <c r="BA118" i="6" s="1"/>
  <c r="AM118" i="6"/>
  <c r="AL118" i="6"/>
  <c r="AZ118" i="6" s="1"/>
  <c r="AK118" i="6"/>
  <c r="AJ118" i="6"/>
  <c r="AI118" i="6"/>
  <c r="AH118" i="6"/>
  <c r="AG118" i="6"/>
  <c r="AF118" i="6"/>
  <c r="AD118" i="6"/>
  <c r="P118" i="6"/>
  <c r="AX117" i="6"/>
  <c r="AQ117" i="6"/>
  <c r="AP117" i="6"/>
  <c r="AO117" i="6"/>
  <c r="AN117" i="6"/>
  <c r="AM117" i="6"/>
  <c r="AL117" i="6"/>
  <c r="AY117" i="6" s="1"/>
  <c r="AK117" i="6"/>
  <c r="AJ117" i="6"/>
  <c r="AI117" i="6"/>
  <c r="AW117" i="6" s="1"/>
  <c r="AH117" i="6"/>
  <c r="AG117" i="6"/>
  <c r="AF117" i="6"/>
  <c r="AD117" i="6"/>
  <c r="P117" i="6"/>
  <c r="BC116" i="6"/>
  <c r="AQ116" i="6"/>
  <c r="AP116" i="6"/>
  <c r="AO116" i="6"/>
  <c r="BB116" i="6" s="1"/>
  <c r="AN116" i="6"/>
  <c r="AM116" i="6"/>
  <c r="BA116" i="6" s="1"/>
  <c r="AL116" i="6"/>
  <c r="AK116" i="6"/>
  <c r="AY116" i="6" s="1"/>
  <c r="AJ116" i="6"/>
  <c r="AW116" i="6" s="1"/>
  <c r="AI116" i="6"/>
  <c r="AH116" i="6"/>
  <c r="AG116" i="6"/>
  <c r="AF116" i="6"/>
  <c r="AD116" i="6"/>
  <c r="P116" i="6"/>
  <c r="AQ115" i="6"/>
  <c r="AP115" i="6"/>
  <c r="AO115" i="6"/>
  <c r="BB115" i="6" s="1"/>
  <c r="AN115" i="6"/>
  <c r="AM115" i="6"/>
  <c r="AL115" i="6"/>
  <c r="AZ115" i="6" s="1"/>
  <c r="AK115" i="6"/>
  <c r="AJ115" i="6"/>
  <c r="AI115" i="6"/>
  <c r="AH115" i="6"/>
  <c r="AG115" i="6"/>
  <c r="AF115" i="6"/>
  <c r="AD115" i="6"/>
  <c r="P115" i="6"/>
  <c r="BB114" i="6"/>
  <c r="AQ114" i="6"/>
  <c r="AP114" i="6"/>
  <c r="BC114" i="6" s="1"/>
  <c r="AO114" i="6"/>
  <c r="AN114" i="6"/>
  <c r="AM114" i="6"/>
  <c r="AL114" i="6"/>
  <c r="AK114" i="6"/>
  <c r="AX114" i="6" s="1"/>
  <c r="AJ114" i="6"/>
  <c r="AI114" i="6"/>
  <c r="AW114" i="6" s="1"/>
  <c r="AH114" i="6"/>
  <c r="AG114" i="6"/>
  <c r="AF114" i="6"/>
  <c r="AD114" i="6"/>
  <c r="P114" i="6"/>
  <c r="AQ113" i="6"/>
  <c r="AP113" i="6"/>
  <c r="AO113" i="6"/>
  <c r="AN113" i="6"/>
  <c r="AM113" i="6"/>
  <c r="AL113" i="6"/>
  <c r="AY113" i="6" s="1"/>
  <c r="AK113" i="6"/>
  <c r="AX113" i="6" s="1"/>
  <c r="AJ113" i="6"/>
  <c r="AI113" i="6"/>
  <c r="AW113" i="6" s="1"/>
  <c r="AH113" i="6"/>
  <c r="AG113" i="6"/>
  <c r="AF113" i="6"/>
  <c r="AD113" i="6"/>
  <c r="P113" i="6"/>
  <c r="AQ112" i="6"/>
  <c r="BD112" i="6" s="1"/>
  <c r="AP112" i="6"/>
  <c r="AO112" i="6"/>
  <c r="BB112" i="6" s="1"/>
  <c r="AN112" i="6"/>
  <c r="BA112" i="6" s="1"/>
  <c r="AM112" i="6"/>
  <c r="AL112" i="6"/>
  <c r="AK112" i="6"/>
  <c r="AX112" i="6" s="1"/>
  <c r="AJ112" i="6"/>
  <c r="AI112" i="6"/>
  <c r="AH112" i="6"/>
  <c r="AG112" i="6"/>
  <c r="AF112" i="6"/>
  <c r="AD112" i="6"/>
  <c r="P112" i="6"/>
  <c r="AQ111" i="6"/>
  <c r="AP111" i="6"/>
  <c r="AO111" i="6"/>
  <c r="AN111" i="6"/>
  <c r="BA111" i="6" s="1"/>
  <c r="AM111" i="6"/>
  <c r="AL111" i="6"/>
  <c r="AK111" i="6"/>
  <c r="AX111" i="6" s="1"/>
  <c r="AJ111" i="6"/>
  <c r="AI111" i="6"/>
  <c r="AH111" i="6"/>
  <c r="AG111" i="6"/>
  <c r="AF111" i="6"/>
  <c r="AD111" i="6"/>
  <c r="P111" i="6"/>
  <c r="AX110" i="6"/>
  <c r="AQ110" i="6"/>
  <c r="AP110" i="6"/>
  <c r="BC110" i="6" s="1"/>
  <c r="AO110" i="6"/>
  <c r="AN110" i="6"/>
  <c r="AM110" i="6"/>
  <c r="AZ110" i="6" s="1"/>
  <c r="AL110" i="6"/>
  <c r="AY110" i="6" s="1"/>
  <c r="AK110" i="6"/>
  <c r="AJ110" i="6"/>
  <c r="AI110" i="6"/>
  <c r="AW110" i="6" s="1"/>
  <c r="AH110" i="6"/>
  <c r="AG110" i="6"/>
  <c r="AF110" i="6"/>
  <c r="AD110" i="6"/>
  <c r="P110" i="6"/>
  <c r="AQ109" i="6"/>
  <c r="BD109" i="6" s="1"/>
  <c r="AP109" i="6"/>
  <c r="AO109" i="6"/>
  <c r="AN109" i="6"/>
  <c r="AM109" i="6"/>
  <c r="AL109" i="6"/>
  <c r="AY109" i="6" s="1"/>
  <c r="AK109" i="6"/>
  <c r="AJ109" i="6"/>
  <c r="AX109" i="6" s="1"/>
  <c r="AI109" i="6"/>
  <c r="AH109" i="6"/>
  <c r="AG109" i="6"/>
  <c r="AF109" i="6"/>
  <c r="AD109" i="6"/>
  <c r="P109" i="6"/>
  <c r="AQ108" i="6"/>
  <c r="AP108" i="6"/>
  <c r="AO108" i="6"/>
  <c r="BB108" i="6" s="1"/>
  <c r="AN108" i="6"/>
  <c r="AM108" i="6"/>
  <c r="AL108" i="6"/>
  <c r="AK108" i="6"/>
  <c r="AJ108" i="6"/>
  <c r="AI108" i="6"/>
  <c r="AH108" i="6"/>
  <c r="AG108" i="6"/>
  <c r="AF108" i="6"/>
  <c r="AD108" i="6"/>
  <c r="P108" i="6"/>
  <c r="AX107" i="6"/>
  <c r="AQ107" i="6"/>
  <c r="AP107" i="6"/>
  <c r="AO107" i="6"/>
  <c r="AN107" i="6"/>
  <c r="BB107" i="6" s="1"/>
  <c r="AM107" i="6"/>
  <c r="AZ107" i="6" s="1"/>
  <c r="AL107" i="6"/>
  <c r="AK107" i="6"/>
  <c r="AY107" i="6" s="1"/>
  <c r="AJ107" i="6"/>
  <c r="AI107" i="6"/>
  <c r="AH107" i="6"/>
  <c r="AG107" i="6"/>
  <c r="AF107" i="6"/>
  <c r="AD107" i="6"/>
  <c r="P107" i="6"/>
  <c r="AQ106" i="6"/>
  <c r="AP106" i="6"/>
  <c r="AO106" i="6"/>
  <c r="BB106" i="6" s="1"/>
  <c r="AN106" i="6"/>
  <c r="AM106" i="6"/>
  <c r="AL106" i="6"/>
  <c r="AK106" i="6"/>
  <c r="AJ106" i="6"/>
  <c r="AI106" i="6"/>
  <c r="AH106" i="6"/>
  <c r="AG106" i="6"/>
  <c r="AF106" i="6"/>
  <c r="AD106" i="6"/>
  <c r="P106" i="6"/>
  <c r="AQ105" i="6"/>
  <c r="BD105" i="6" s="1"/>
  <c r="AP105" i="6"/>
  <c r="AO105" i="6"/>
  <c r="BB105" i="6" s="1"/>
  <c r="AN105" i="6"/>
  <c r="AM105" i="6"/>
  <c r="AL105" i="6"/>
  <c r="AK105" i="6"/>
  <c r="AX105" i="6" s="1"/>
  <c r="AJ105" i="6"/>
  <c r="AI105" i="6"/>
  <c r="AH105" i="6"/>
  <c r="AG105" i="6"/>
  <c r="AF105" i="6"/>
  <c r="AD105" i="6"/>
  <c r="P105" i="6"/>
  <c r="AQ104" i="6"/>
  <c r="AP104" i="6"/>
  <c r="AO104" i="6"/>
  <c r="BB104" i="6" s="1"/>
  <c r="AN104" i="6"/>
  <c r="AM104" i="6"/>
  <c r="AL104" i="6"/>
  <c r="AK104" i="6"/>
  <c r="AJ104" i="6"/>
  <c r="AI104" i="6"/>
  <c r="AH104" i="6"/>
  <c r="AG104" i="6"/>
  <c r="AF104" i="6"/>
  <c r="AD104" i="6"/>
  <c r="P104" i="6"/>
  <c r="BD103" i="6"/>
  <c r="AY103" i="6"/>
  <c r="AQ103" i="6"/>
  <c r="AP103" i="6"/>
  <c r="BC103" i="6" s="1"/>
  <c r="AO103" i="6"/>
  <c r="BB103" i="6" s="1"/>
  <c r="AN103" i="6"/>
  <c r="BA103" i="6" s="1"/>
  <c r="AM103" i="6"/>
  <c r="AL103" i="6"/>
  <c r="AZ103" i="6" s="1"/>
  <c r="AK103" i="6"/>
  <c r="AJ103" i="6"/>
  <c r="AI103" i="6"/>
  <c r="AH103" i="6"/>
  <c r="AG103" i="6"/>
  <c r="AF103" i="6"/>
  <c r="AD103" i="6"/>
  <c r="P103" i="6"/>
  <c r="BB102" i="6"/>
  <c r="BA102" i="6"/>
  <c r="AQ102" i="6"/>
  <c r="AP102" i="6"/>
  <c r="BC102" i="6" s="1"/>
  <c r="AO102" i="6"/>
  <c r="AN102" i="6"/>
  <c r="AM102" i="6"/>
  <c r="AZ102" i="6" s="1"/>
  <c r="AL102" i="6"/>
  <c r="AK102" i="6"/>
  <c r="AJ102" i="6"/>
  <c r="AI102" i="6"/>
  <c r="AH102" i="6"/>
  <c r="AG102" i="6"/>
  <c r="AF102" i="6"/>
  <c r="AD102" i="6"/>
  <c r="P102" i="6"/>
  <c r="AQ101" i="6"/>
  <c r="AP101" i="6"/>
  <c r="AO101" i="6"/>
  <c r="AN101" i="6"/>
  <c r="AM101" i="6"/>
  <c r="AL101" i="6"/>
  <c r="AY101" i="6" s="1"/>
  <c r="AK101" i="6"/>
  <c r="AJ101" i="6"/>
  <c r="AX101" i="6" s="1"/>
  <c r="AI101" i="6"/>
  <c r="AW101" i="6" s="1"/>
  <c r="AH101" i="6"/>
  <c r="AG101" i="6"/>
  <c r="AF101" i="6"/>
  <c r="AD101" i="6"/>
  <c r="P101" i="6"/>
  <c r="BC100" i="6"/>
  <c r="BB100" i="6"/>
  <c r="AQ100" i="6"/>
  <c r="AP100" i="6"/>
  <c r="BD100" i="6" s="1"/>
  <c r="AO100" i="6"/>
  <c r="AN100" i="6"/>
  <c r="BA100" i="6" s="1"/>
  <c r="AM100" i="6"/>
  <c r="AZ100" i="6" s="1"/>
  <c r="AL100" i="6"/>
  <c r="AY100" i="6" s="1"/>
  <c r="AK100" i="6"/>
  <c r="AJ100" i="6"/>
  <c r="AI100" i="6"/>
  <c r="AH100" i="6"/>
  <c r="AG100" i="6"/>
  <c r="AF100" i="6"/>
  <c r="AD100" i="6"/>
  <c r="P100" i="6"/>
  <c r="AX99" i="6"/>
  <c r="AQ99" i="6"/>
  <c r="AP99" i="6"/>
  <c r="AO99" i="6"/>
  <c r="AN99" i="6"/>
  <c r="AM99" i="6"/>
  <c r="AL99" i="6"/>
  <c r="AK99" i="6"/>
  <c r="AJ99" i="6"/>
  <c r="AI99" i="6"/>
  <c r="AH99" i="6"/>
  <c r="AV99" i="6" s="1"/>
  <c r="AG99" i="6"/>
  <c r="AF99" i="6"/>
  <c r="AD99" i="6"/>
  <c r="P99" i="6"/>
  <c r="BC98" i="6"/>
  <c r="AQ98" i="6"/>
  <c r="AP98" i="6"/>
  <c r="AO98" i="6"/>
  <c r="BB98" i="6" s="1"/>
  <c r="AN98" i="6"/>
  <c r="AM98" i="6"/>
  <c r="AL98" i="6"/>
  <c r="AK98" i="6"/>
  <c r="AJ98" i="6"/>
  <c r="AI98" i="6"/>
  <c r="AW98" i="6" s="1"/>
  <c r="AH98" i="6"/>
  <c r="AG98" i="6"/>
  <c r="AF98" i="6"/>
  <c r="AD98" i="6"/>
  <c r="P98" i="6"/>
  <c r="AY97" i="6"/>
  <c r="AQ97" i="6"/>
  <c r="AP97" i="6"/>
  <c r="AO97" i="6"/>
  <c r="BB97" i="6" s="1"/>
  <c r="AN97" i="6"/>
  <c r="AM97" i="6"/>
  <c r="AL97" i="6"/>
  <c r="AK97" i="6"/>
  <c r="AJ97" i="6"/>
  <c r="AI97" i="6"/>
  <c r="AW97" i="6" s="1"/>
  <c r="AH97" i="6"/>
  <c r="AG97" i="6"/>
  <c r="AF97" i="6"/>
  <c r="AD97" i="6"/>
  <c r="P97" i="6"/>
  <c r="BC96" i="6"/>
  <c r="AQ96" i="6"/>
  <c r="BD96" i="6" s="1"/>
  <c r="AP96" i="6"/>
  <c r="AO96" i="6"/>
  <c r="AN96" i="6"/>
  <c r="AM96" i="6"/>
  <c r="AZ96" i="6" s="1"/>
  <c r="AL96" i="6"/>
  <c r="AK96" i="6"/>
  <c r="AJ96" i="6"/>
  <c r="AW96" i="6" s="1"/>
  <c r="AI96" i="6"/>
  <c r="AH96" i="6"/>
  <c r="AG96" i="6"/>
  <c r="AF96" i="6"/>
  <c r="AD96" i="6"/>
  <c r="P96" i="6"/>
  <c r="AQ95" i="6"/>
  <c r="AP95" i="6"/>
  <c r="BD95" i="6" s="1"/>
  <c r="AO95" i="6"/>
  <c r="BB95" i="6" s="1"/>
  <c r="AN95" i="6"/>
  <c r="BA95" i="6" s="1"/>
  <c r="AM95" i="6"/>
  <c r="AL95" i="6"/>
  <c r="AK95" i="6"/>
  <c r="AJ95" i="6"/>
  <c r="AI95" i="6"/>
  <c r="AH95" i="6"/>
  <c r="AG95" i="6"/>
  <c r="AF95" i="6"/>
  <c r="AD95" i="6"/>
  <c r="P95" i="6"/>
  <c r="BA94" i="6"/>
  <c r="AQ94" i="6"/>
  <c r="AP94" i="6"/>
  <c r="BC94" i="6" s="1"/>
  <c r="AO94" i="6"/>
  <c r="BB94" i="6" s="1"/>
  <c r="AN94" i="6"/>
  <c r="AM94" i="6"/>
  <c r="AZ94" i="6" s="1"/>
  <c r="AL94" i="6"/>
  <c r="AK94" i="6"/>
  <c r="AJ94" i="6"/>
  <c r="AI94" i="6"/>
  <c r="AH94" i="6"/>
  <c r="AG94" i="6"/>
  <c r="AF94" i="6"/>
  <c r="AD94" i="6"/>
  <c r="P94" i="6"/>
  <c r="BC93" i="6"/>
  <c r="AQ93" i="6"/>
  <c r="BD93" i="6" s="1"/>
  <c r="AP93" i="6"/>
  <c r="AO93" i="6"/>
  <c r="AN93" i="6"/>
  <c r="AM93" i="6"/>
  <c r="AL93" i="6"/>
  <c r="AK93" i="6"/>
  <c r="AX93" i="6" s="1"/>
  <c r="AJ93" i="6"/>
  <c r="AI93" i="6"/>
  <c r="AH93" i="6"/>
  <c r="AG93" i="6"/>
  <c r="AF93" i="6"/>
  <c r="AD93" i="6"/>
  <c r="P93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D92" i="6"/>
  <c r="P92" i="6"/>
  <c r="BD91" i="6"/>
  <c r="BC91" i="6"/>
  <c r="AQ91" i="6"/>
  <c r="AP91" i="6"/>
  <c r="AO91" i="6"/>
  <c r="AN91" i="6"/>
  <c r="BB91" i="6" s="1"/>
  <c r="AM91" i="6"/>
  <c r="AL91" i="6"/>
  <c r="AK91" i="6"/>
  <c r="AX91" i="6" s="1"/>
  <c r="AJ91" i="6"/>
  <c r="AI91" i="6"/>
  <c r="AH91" i="6"/>
  <c r="AG91" i="6"/>
  <c r="AF91" i="6"/>
  <c r="AD91" i="6"/>
  <c r="P91" i="6"/>
  <c r="AQ90" i="6"/>
  <c r="BD90" i="6" s="1"/>
  <c r="AP90" i="6"/>
  <c r="AO90" i="6"/>
  <c r="BB90" i="6" s="1"/>
  <c r="AN90" i="6"/>
  <c r="BA90" i="6" s="1"/>
  <c r="AM90" i="6"/>
  <c r="AL90" i="6"/>
  <c r="AY90" i="6" s="1"/>
  <c r="AK90" i="6"/>
  <c r="AJ90" i="6"/>
  <c r="AI90" i="6"/>
  <c r="AH90" i="6"/>
  <c r="AG90" i="6"/>
  <c r="AF90" i="6"/>
  <c r="AD90" i="6"/>
  <c r="P90" i="6"/>
  <c r="AQ89" i="6"/>
  <c r="AP89" i="6"/>
  <c r="BC89" i="6" s="1"/>
  <c r="AO89" i="6"/>
  <c r="AN89" i="6"/>
  <c r="AM89" i="6"/>
  <c r="AL89" i="6"/>
  <c r="AY89" i="6" s="1"/>
  <c r="AK89" i="6"/>
  <c r="AX89" i="6" s="1"/>
  <c r="AJ89" i="6"/>
  <c r="AI89" i="6"/>
  <c r="AH89" i="6"/>
  <c r="AG89" i="6"/>
  <c r="AF89" i="6"/>
  <c r="AD89" i="6"/>
  <c r="P89" i="6"/>
  <c r="BB88" i="6"/>
  <c r="AQ88" i="6"/>
  <c r="AP88" i="6"/>
  <c r="BC88" i="6" s="1"/>
  <c r="AO88" i="6"/>
  <c r="AN88" i="6"/>
  <c r="AM88" i="6"/>
  <c r="AL88" i="6"/>
  <c r="AY88" i="6" s="1"/>
  <c r="AK88" i="6"/>
  <c r="AX88" i="6" s="1"/>
  <c r="AJ88" i="6"/>
  <c r="AW88" i="6" s="1"/>
  <c r="AI88" i="6"/>
  <c r="AH88" i="6"/>
  <c r="AG88" i="6"/>
  <c r="AF88" i="6"/>
  <c r="AD88" i="6"/>
  <c r="P88" i="6"/>
  <c r="AY87" i="6"/>
  <c r="AQ87" i="6"/>
  <c r="BD87" i="6" s="1"/>
  <c r="AP87" i="6"/>
  <c r="AO87" i="6"/>
  <c r="AN87" i="6"/>
  <c r="AM87" i="6"/>
  <c r="AL87" i="6"/>
  <c r="AK87" i="6"/>
  <c r="AJ87" i="6"/>
  <c r="AX87" i="6" s="1"/>
  <c r="AI87" i="6"/>
  <c r="AH87" i="6"/>
  <c r="AG87" i="6"/>
  <c r="AF87" i="6"/>
  <c r="AD87" i="6"/>
  <c r="P87" i="6"/>
  <c r="AQ86" i="6"/>
  <c r="AP86" i="6"/>
  <c r="AO86" i="6"/>
  <c r="BB86" i="6" s="1"/>
  <c r="AN86" i="6"/>
  <c r="AM86" i="6"/>
  <c r="AL86" i="6"/>
  <c r="AY86" i="6" s="1"/>
  <c r="AK86" i="6"/>
  <c r="AX86" i="6" s="1"/>
  <c r="AJ86" i="6"/>
  <c r="AI86" i="6"/>
  <c r="AH86" i="6"/>
  <c r="AG86" i="6"/>
  <c r="AF86" i="6"/>
  <c r="AD86" i="6"/>
  <c r="P86" i="6"/>
  <c r="BC85" i="6"/>
  <c r="AX85" i="6"/>
  <c r="AQ85" i="6"/>
  <c r="BD85" i="6" s="1"/>
  <c r="AP85" i="6"/>
  <c r="AO85" i="6"/>
  <c r="BB85" i="6" s="1"/>
  <c r="AN85" i="6"/>
  <c r="BA85" i="6" s="1"/>
  <c r="AM85" i="6"/>
  <c r="AL85" i="6"/>
  <c r="AZ85" i="6" s="1"/>
  <c r="AK85" i="6"/>
  <c r="AJ85" i="6"/>
  <c r="AI85" i="6"/>
  <c r="AH85" i="6"/>
  <c r="AG85" i="6"/>
  <c r="AF85" i="6"/>
  <c r="AD85" i="6"/>
  <c r="P85" i="6"/>
  <c r="BD84" i="6"/>
  <c r="BC84" i="6"/>
  <c r="BB84" i="6"/>
  <c r="AQ84" i="6"/>
  <c r="AP84" i="6"/>
  <c r="AO84" i="6"/>
  <c r="AN84" i="6"/>
  <c r="AM84" i="6"/>
  <c r="AL84" i="6"/>
  <c r="AY84" i="6" s="1"/>
  <c r="AK84" i="6"/>
  <c r="AX84" i="6" s="1"/>
  <c r="AJ84" i="6"/>
  <c r="AI84" i="6"/>
  <c r="AW84" i="6" s="1"/>
  <c r="AH84" i="6"/>
  <c r="AG84" i="6"/>
  <c r="AF84" i="6"/>
  <c r="AD84" i="6"/>
  <c r="P84" i="6"/>
  <c r="AY83" i="6"/>
  <c r="AQ83" i="6"/>
  <c r="AP83" i="6"/>
  <c r="AO83" i="6"/>
  <c r="AN83" i="6"/>
  <c r="AM83" i="6"/>
  <c r="AZ83" i="6" s="1"/>
  <c r="AL83" i="6"/>
  <c r="AK83" i="6"/>
  <c r="AX83" i="6" s="1"/>
  <c r="AJ83" i="6"/>
  <c r="AI83" i="6"/>
  <c r="AW83" i="6" s="1"/>
  <c r="AH83" i="6"/>
  <c r="AG83" i="6"/>
  <c r="AF83" i="6"/>
  <c r="AD83" i="6"/>
  <c r="P83" i="6"/>
  <c r="BB82" i="6"/>
  <c r="BA82" i="6"/>
  <c r="AZ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D82" i="6"/>
  <c r="P82" i="6"/>
  <c r="AQ81" i="6"/>
  <c r="BD81" i="6" s="1"/>
  <c r="AP81" i="6"/>
  <c r="AO81" i="6"/>
  <c r="AN81" i="6"/>
  <c r="AM81" i="6"/>
  <c r="AL81" i="6"/>
  <c r="AK81" i="6"/>
  <c r="AJ81" i="6"/>
  <c r="AI81" i="6"/>
  <c r="AH81" i="6"/>
  <c r="AG81" i="6"/>
  <c r="AF81" i="6"/>
  <c r="AD81" i="6"/>
  <c r="P81" i="6"/>
  <c r="BD80" i="6"/>
  <c r="BC80" i="6"/>
  <c r="BB80" i="6"/>
  <c r="AQ80" i="6"/>
  <c r="AP80" i="6"/>
  <c r="AO80" i="6"/>
  <c r="AN80" i="6"/>
  <c r="AM80" i="6"/>
  <c r="AZ80" i="6" s="1"/>
  <c r="AL80" i="6"/>
  <c r="AK80" i="6"/>
  <c r="AY80" i="6" s="1"/>
  <c r="AJ80" i="6"/>
  <c r="AI80" i="6"/>
  <c r="AW80" i="6" s="1"/>
  <c r="AH80" i="6"/>
  <c r="AG80" i="6"/>
  <c r="AF80" i="6"/>
  <c r="AD80" i="6"/>
  <c r="P80" i="6"/>
  <c r="AQ79" i="6"/>
  <c r="AP79" i="6"/>
  <c r="AO79" i="6"/>
  <c r="AN79" i="6"/>
  <c r="AM79" i="6"/>
  <c r="AL79" i="6"/>
  <c r="AY79" i="6" s="1"/>
  <c r="AK79" i="6"/>
  <c r="AJ79" i="6"/>
  <c r="AX79" i="6" s="1"/>
  <c r="AI79" i="6"/>
  <c r="AH79" i="6"/>
  <c r="AG79" i="6"/>
  <c r="AF79" i="6"/>
  <c r="AD79" i="6"/>
  <c r="P79" i="6"/>
  <c r="BD78" i="6"/>
  <c r="BC78" i="6"/>
  <c r="AQ78" i="6"/>
  <c r="AP78" i="6"/>
  <c r="AO78" i="6"/>
  <c r="BB78" i="6" s="1"/>
  <c r="AN78" i="6"/>
  <c r="BA78" i="6" s="1"/>
  <c r="AM78" i="6"/>
  <c r="AL78" i="6"/>
  <c r="AK78" i="6"/>
  <c r="AJ78" i="6"/>
  <c r="AI78" i="6"/>
  <c r="AH78" i="6"/>
  <c r="AG78" i="6"/>
  <c r="AF78" i="6"/>
  <c r="AD78" i="6"/>
  <c r="P78" i="6"/>
  <c r="AQ77" i="6"/>
  <c r="AP77" i="6"/>
  <c r="AO77" i="6"/>
  <c r="AN77" i="6"/>
  <c r="BA77" i="6" s="1"/>
  <c r="AM77" i="6"/>
  <c r="AL77" i="6"/>
  <c r="AY77" i="6" s="1"/>
  <c r="AK77" i="6"/>
  <c r="AX77" i="6" s="1"/>
  <c r="AJ77" i="6"/>
  <c r="AI77" i="6"/>
  <c r="AH77" i="6"/>
  <c r="AV77" i="6" s="1"/>
  <c r="AG77" i="6"/>
  <c r="AF77" i="6"/>
  <c r="AD77" i="6"/>
  <c r="P77" i="6"/>
  <c r="AQ76" i="6"/>
  <c r="AP76" i="6"/>
  <c r="BC76" i="6" s="1"/>
  <c r="AO76" i="6"/>
  <c r="BB76" i="6" s="1"/>
  <c r="AN76" i="6"/>
  <c r="AM76" i="6"/>
  <c r="AL76" i="6"/>
  <c r="AK76" i="6"/>
  <c r="AX76" i="6" s="1"/>
  <c r="AJ76" i="6"/>
  <c r="AI76" i="6"/>
  <c r="AH76" i="6"/>
  <c r="AG76" i="6"/>
  <c r="AF76" i="6"/>
  <c r="AD76" i="6"/>
  <c r="P76" i="6"/>
  <c r="AY75" i="6"/>
  <c r="AX75" i="6"/>
  <c r="AQ75" i="6"/>
  <c r="BD75" i="6" s="1"/>
  <c r="AP75" i="6"/>
  <c r="BC75" i="6" s="1"/>
  <c r="AO75" i="6"/>
  <c r="AN75" i="6"/>
  <c r="AM75" i="6"/>
  <c r="AL75" i="6"/>
  <c r="AK75" i="6"/>
  <c r="AJ75" i="6"/>
  <c r="AI75" i="6"/>
  <c r="AW75" i="6" s="1"/>
  <c r="AH75" i="6"/>
  <c r="AG75" i="6"/>
  <c r="AF75" i="6"/>
  <c r="AD75" i="6"/>
  <c r="P75" i="6"/>
  <c r="AQ74" i="6"/>
  <c r="AP74" i="6"/>
  <c r="AO74" i="6"/>
  <c r="AN74" i="6"/>
  <c r="AM74" i="6"/>
  <c r="AL74" i="6"/>
  <c r="AY74" i="6" s="1"/>
  <c r="AK74" i="6"/>
  <c r="AJ74" i="6"/>
  <c r="AI74" i="6"/>
  <c r="AH74" i="6"/>
  <c r="AG74" i="6"/>
  <c r="AF74" i="6"/>
  <c r="AD74" i="6"/>
  <c r="P74" i="6"/>
  <c r="BC73" i="6"/>
  <c r="AZ73" i="6"/>
  <c r="AY73" i="6"/>
  <c r="AQ73" i="6"/>
  <c r="BD73" i="6" s="1"/>
  <c r="AP73" i="6"/>
  <c r="AO73" i="6"/>
  <c r="BB73" i="6" s="1"/>
  <c r="AN73" i="6"/>
  <c r="BA73" i="6" s="1"/>
  <c r="AM73" i="6"/>
  <c r="AL73" i="6"/>
  <c r="AK73" i="6"/>
  <c r="AX73" i="6" s="1"/>
  <c r="AJ73" i="6"/>
  <c r="AI73" i="6"/>
  <c r="AW73" i="6" s="1"/>
  <c r="AH73" i="6"/>
  <c r="AG73" i="6"/>
  <c r="AF73" i="6"/>
  <c r="AD73" i="6"/>
  <c r="P73" i="6"/>
  <c r="BC72" i="6"/>
  <c r="BB72" i="6"/>
  <c r="AQ72" i="6"/>
  <c r="BD72" i="6" s="1"/>
  <c r="AP72" i="6"/>
  <c r="AO72" i="6"/>
  <c r="AN72" i="6"/>
  <c r="AM72" i="6"/>
  <c r="AL72" i="6"/>
  <c r="AK72" i="6"/>
  <c r="AX72" i="6" s="1"/>
  <c r="AJ72" i="6"/>
  <c r="AI72" i="6"/>
  <c r="AH72" i="6"/>
  <c r="AG72" i="6"/>
  <c r="AF72" i="6"/>
  <c r="AD72" i="6"/>
  <c r="P72" i="6"/>
  <c r="AX71" i="6"/>
  <c r="AQ71" i="6"/>
  <c r="BD71" i="6" s="1"/>
  <c r="AP71" i="6"/>
  <c r="AO71" i="6"/>
  <c r="AN71" i="6"/>
  <c r="AM71" i="6"/>
  <c r="AL71" i="6"/>
  <c r="AY71" i="6" s="1"/>
  <c r="AK71" i="6"/>
  <c r="AJ71" i="6"/>
  <c r="AI71" i="6"/>
  <c r="AH71" i="6"/>
  <c r="AG71" i="6"/>
  <c r="AF71" i="6"/>
  <c r="AD71" i="6"/>
  <c r="P71" i="6"/>
  <c r="BB70" i="6"/>
  <c r="AZ70" i="6"/>
  <c r="AQ70" i="6"/>
  <c r="BD70" i="6" s="1"/>
  <c r="AP70" i="6"/>
  <c r="BC70" i="6" s="1"/>
  <c r="AO70" i="6"/>
  <c r="AN70" i="6"/>
  <c r="AM70" i="6"/>
  <c r="AL70" i="6"/>
  <c r="AK70" i="6"/>
  <c r="AJ70" i="6"/>
  <c r="AI70" i="6"/>
  <c r="AH70" i="6"/>
  <c r="AG70" i="6"/>
  <c r="AF70" i="6"/>
  <c r="AD70" i="6"/>
  <c r="P70" i="6"/>
  <c r="BD69" i="6"/>
  <c r="AQ69" i="6"/>
  <c r="AP69" i="6"/>
  <c r="BC69" i="6" s="1"/>
  <c r="AO69" i="6"/>
  <c r="BB69" i="6" s="1"/>
  <c r="AN69" i="6"/>
  <c r="AM69" i="6"/>
  <c r="AL69" i="6"/>
  <c r="AK69" i="6"/>
  <c r="AJ69" i="6"/>
  <c r="AI69" i="6"/>
  <c r="AH69" i="6"/>
  <c r="AG69" i="6"/>
  <c r="AF69" i="6"/>
  <c r="AD69" i="6"/>
  <c r="P69" i="6"/>
  <c r="BC68" i="6"/>
  <c r="BB68" i="6"/>
  <c r="BA68" i="6"/>
  <c r="AZ68" i="6"/>
  <c r="AY68" i="6"/>
  <c r="AQ68" i="6"/>
  <c r="AP68" i="6"/>
  <c r="AO68" i="6"/>
  <c r="AN68" i="6"/>
  <c r="AM68" i="6"/>
  <c r="AL68" i="6"/>
  <c r="AK68" i="6"/>
  <c r="AJ68" i="6"/>
  <c r="AW68" i="6" s="1"/>
  <c r="AI68" i="6"/>
  <c r="AH68" i="6"/>
  <c r="AG68" i="6"/>
  <c r="AF68" i="6"/>
  <c r="AD68" i="6"/>
  <c r="P68" i="6"/>
  <c r="BD67" i="6"/>
  <c r="AQ67" i="6"/>
  <c r="AP67" i="6"/>
  <c r="AO67" i="6"/>
  <c r="AN67" i="6"/>
  <c r="AM67" i="6"/>
  <c r="AL67" i="6"/>
  <c r="AY67" i="6" s="1"/>
  <c r="AK67" i="6"/>
  <c r="AJ67" i="6"/>
  <c r="AX67" i="6" s="1"/>
  <c r="AI67" i="6"/>
  <c r="AH67" i="6"/>
  <c r="AG67" i="6"/>
  <c r="AF67" i="6"/>
  <c r="AD67" i="6"/>
  <c r="P67" i="6"/>
  <c r="BD66" i="6"/>
  <c r="BC66" i="6"/>
  <c r="AQ66" i="6"/>
  <c r="AP66" i="6"/>
  <c r="AO66" i="6"/>
  <c r="BB66" i="6" s="1"/>
  <c r="AN66" i="6"/>
  <c r="BA66" i="6" s="1"/>
  <c r="AM66" i="6"/>
  <c r="AL66" i="6"/>
  <c r="AK66" i="6"/>
  <c r="AJ66" i="6"/>
  <c r="AI66" i="6"/>
  <c r="AH66" i="6"/>
  <c r="AG66" i="6"/>
  <c r="AF66" i="6"/>
  <c r="AD66" i="6"/>
  <c r="P66" i="6"/>
  <c r="AQ65" i="6"/>
  <c r="AP65" i="6"/>
  <c r="AO65" i="6"/>
  <c r="AN65" i="6"/>
  <c r="AM65" i="6"/>
  <c r="AL65" i="6"/>
  <c r="AY65" i="6" s="1"/>
  <c r="AK65" i="6"/>
  <c r="AX65" i="6" s="1"/>
  <c r="AJ65" i="6"/>
  <c r="AI65" i="6"/>
  <c r="AH65" i="6"/>
  <c r="AG65" i="6"/>
  <c r="AF65" i="6"/>
  <c r="AD65" i="6"/>
  <c r="P65" i="6"/>
  <c r="AQ64" i="6"/>
  <c r="BD64" i="6" s="1"/>
  <c r="AP64" i="6"/>
  <c r="AO64" i="6"/>
  <c r="BC64" i="6" s="1"/>
  <c r="AN64" i="6"/>
  <c r="AM64" i="6"/>
  <c r="AL64" i="6"/>
  <c r="AK64" i="6"/>
  <c r="AJ64" i="6"/>
  <c r="AI64" i="6"/>
  <c r="AH64" i="6"/>
  <c r="AG64" i="6"/>
  <c r="AF64" i="6"/>
  <c r="AD64" i="6"/>
  <c r="P64" i="6"/>
  <c r="AY63" i="6"/>
  <c r="AQ63" i="6"/>
  <c r="BD63" i="6" s="1"/>
  <c r="AP63" i="6"/>
  <c r="AO63" i="6"/>
  <c r="AN63" i="6"/>
  <c r="AM63" i="6"/>
  <c r="AL63" i="6"/>
  <c r="AK63" i="6"/>
  <c r="AJ63" i="6"/>
  <c r="AW63" i="6" s="1"/>
  <c r="AI63" i="6"/>
  <c r="AH63" i="6"/>
  <c r="AV63" i="6" s="1"/>
  <c r="AG63" i="6"/>
  <c r="AF63" i="6"/>
  <c r="AD63" i="6"/>
  <c r="P63" i="6"/>
  <c r="AQ62" i="6"/>
  <c r="AP62" i="6"/>
  <c r="AO62" i="6"/>
  <c r="AN62" i="6"/>
  <c r="AM62" i="6"/>
  <c r="AL62" i="6"/>
  <c r="AY62" i="6" s="1"/>
  <c r="AK62" i="6"/>
  <c r="AJ62" i="6"/>
  <c r="AI62" i="6"/>
  <c r="AH62" i="6"/>
  <c r="AV62" i="6" s="1"/>
  <c r="AG62" i="6"/>
  <c r="AF62" i="6"/>
  <c r="AD62" i="6"/>
  <c r="P62" i="6"/>
  <c r="AQ61" i="6"/>
  <c r="AP61" i="6"/>
  <c r="AO61" i="6"/>
  <c r="AN61" i="6"/>
  <c r="AM61" i="6"/>
  <c r="AZ61" i="6" s="1"/>
  <c r="AL61" i="6"/>
  <c r="AY61" i="6" s="1"/>
  <c r="AK61" i="6"/>
  <c r="AJ61" i="6"/>
  <c r="AI61" i="6"/>
  <c r="AH61" i="6"/>
  <c r="AG61" i="6"/>
  <c r="AF61" i="6"/>
  <c r="AD61" i="6"/>
  <c r="P61" i="6"/>
  <c r="BB60" i="6"/>
  <c r="AQ60" i="6"/>
  <c r="AP60" i="6"/>
  <c r="BC60" i="6" s="1"/>
  <c r="AO60" i="6"/>
  <c r="AN60" i="6"/>
  <c r="AM60" i="6"/>
  <c r="BA60" i="6" s="1"/>
  <c r="AL60" i="6"/>
  <c r="AK60" i="6"/>
  <c r="AY60" i="6" s="1"/>
  <c r="AJ60" i="6"/>
  <c r="AI60" i="6"/>
  <c r="AH60" i="6"/>
  <c r="AG60" i="6"/>
  <c r="AF60" i="6"/>
  <c r="AD60" i="6"/>
  <c r="P60" i="6"/>
  <c r="AQ59" i="6"/>
  <c r="AP59" i="6"/>
  <c r="AO59" i="6"/>
  <c r="AN59" i="6"/>
  <c r="BA59" i="6" s="1"/>
  <c r="AM59" i="6"/>
  <c r="AL59" i="6"/>
  <c r="AY59" i="6" s="1"/>
  <c r="AK59" i="6"/>
  <c r="AX59" i="6" s="1"/>
  <c r="AJ59" i="6"/>
  <c r="AI59" i="6"/>
  <c r="AW59" i="6" s="1"/>
  <c r="AH59" i="6"/>
  <c r="AG59" i="6"/>
  <c r="AF59" i="6"/>
  <c r="AD59" i="6"/>
  <c r="P59" i="6"/>
  <c r="BA58" i="6"/>
  <c r="AQ58" i="6"/>
  <c r="AP58" i="6"/>
  <c r="BC58" i="6" s="1"/>
  <c r="AO58" i="6"/>
  <c r="BB58" i="6" s="1"/>
  <c r="AN58" i="6"/>
  <c r="AM58" i="6"/>
  <c r="AL58" i="6"/>
  <c r="AK58" i="6"/>
  <c r="AJ58" i="6"/>
  <c r="AI58" i="6"/>
  <c r="AH58" i="6"/>
  <c r="AG58" i="6"/>
  <c r="AF58" i="6"/>
  <c r="AD58" i="6"/>
  <c r="P58" i="6"/>
  <c r="AQ57" i="6"/>
  <c r="AP57" i="6"/>
  <c r="AO57" i="6"/>
  <c r="AN57" i="6"/>
  <c r="AM57" i="6"/>
  <c r="AL57" i="6"/>
  <c r="AK57" i="6"/>
  <c r="AX57" i="6" s="1"/>
  <c r="AJ57" i="6"/>
  <c r="AI57" i="6"/>
  <c r="AW57" i="6" s="1"/>
  <c r="AH57" i="6"/>
  <c r="AG57" i="6"/>
  <c r="AF57" i="6"/>
  <c r="AD57" i="6"/>
  <c r="P57" i="6"/>
  <c r="BA56" i="6"/>
  <c r="AZ56" i="6"/>
  <c r="AY56" i="6"/>
  <c r="AX56" i="6"/>
  <c r="AQ56" i="6"/>
  <c r="BD56" i="6" s="1"/>
  <c r="AP56" i="6"/>
  <c r="AO56" i="6"/>
  <c r="BB56" i="6" s="1"/>
  <c r="AN56" i="6"/>
  <c r="AM56" i="6"/>
  <c r="AL56" i="6"/>
  <c r="AK56" i="6"/>
  <c r="AJ56" i="6"/>
  <c r="AI56" i="6"/>
  <c r="AH56" i="6"/>
  <c r="AG56" i="6"/>
  <c r="AF56" i="6"/>
  <c r="AD56" i="6"/>
  <c r="P56" i="6"/>
  <c r="AX55" i="6"/>
  <c r="AQ55" i="6"/>
  <c r="AP55" i="6"/>
  <c r="AO55" i="6"/>
  <c r="AN55" i="6"/>
  <c r="AM55" i="6"/>
  <c r="AZ55" i="6" s="1"/>
  <c r="AL55" i="6"/>
  <c r="AK55" i="6"/>
  <c r="AY55" i="6" s="1"/>
  <c r="AJ55" i="6"/>
  <c r="AI55" i="6"/>
  <c r="AW55" i="6" s="1"/>
  <c r="AH55" i="6"/>
  <c r="AG55" i="6"/>
  <c r="AF55" i="6"/>
  <c r="AD55" i="6"/>
  <c r="P55" i="6"/>
  <c r="BD54" i="6"/>
  <c r="BA54" i="6"/>
  <c r="AQ54" i="6"/>
  <c r="AP54" i="6"/>
  <c r="AO54" i="6"/>
  <c r="BC54" i="6" s="1"/>
  <c r="AN54" i="6"/>
  <c r="AM54" i="6"/>
  <c r="AZ54" i="6" s="1"/>
  <c r="AL54" i="6"/>
  <c r="AK54" i="6"/>
  <c r="AJ54" i="6"/>
  <c r="AI54" i="6"/>
  <c r="AH54" i="6"/>
  <c r="AG54" i="6"/>
  <c r="AF54" i="6"/>
  <c r="AD54" i="6"/>
  <c r="P54" i="6"/>
  <c r="AZ53" i="6"/>
  <c r="AQ53" i="6"/>
  <c r="AP53" i="6"/>
  <c r="AO53" i="6"/>
  <c r="BB53" i="6" s="1"/>
  <c r="AN53" i="6"/>
  <c r="BA53" i="6" s="1"/>
  <c r="AM53" i="6"/>
  <c r="AL53" i="6"/>
  <c r="AY53" i="6" s="1"/>
  <c r="AK53" i="6"/>
  <c r="AJ53" i="6"/>
  <c r="AX53" i="6" s="1"/>
  <c r="AI53" i="6"/>
  <c r="AW53" i="6" s="1"/>
  <c r="AH53" i="6"/>
  <c r="AV53" i="6" s="1"/>
  <c r="AG53" i="6"/>
  <c r="AF53" i="6"/>
  <c r="AD53" i="6"/>
  <c r="P53" i="6"/>
  <c r="BB52" i="6"/>
  <c r="AQ52" i="6"/>
  <c r="AP52" i="6"/>
  <c r="BC52" i="6" s="1"/>
  <c r="AO52" i="6"/>
  <c r="AN52" i="6"/>
  <c r="BA52" i="6" s="1"/>
  <c r="AM52" i="6"/>
  <c r="AL52" i="6"/>
  <c r="AK52" i="6"/>
  <c r="AY52" i="6" s="1"/>
  <c r="AJ52" i="6"/>
  <c r="AI52" i="6"/>
  <c r="AH52" i="6"/>
  <c r="AG52" i="6"/>
  <c r="AF52" i="6"/>
  <c r="AD52" i="6"/>
  <c r="P52" i="6"/>
  <c r="AQ51" i="6"/>
  <c r="AP51" i="6"/>
  <c r="AO51" i="6"/>
  <c r="AN51" i="6"/>
  <c r="AM51" i="6"/>
  <c r="AL51" i="6"/>
  <c r="AY51" i="6" s="1"/>
  <c r="AK51" i="6"/>
  <c r="AX51" i="6" s="1"/>
  <c r="AJ51" i="6"/>
  <c r="AW51" i="6" s="1"/>
  <c r="AI51" i="6"/>
  <c r="AH51" i="6"/>
  <c r="AG51" i="6"/>
  <c r="AF51" i="6"/>
  <c r="AD51" i="6"/>
  <c r="P51" i="6"/>
  <c r="BD50" i="6"/>
  <c r="BC50" i="6"/>
  <c r="AQ50" i="6"/>
  <c r="AP50" i="6"/>
  <c r="AO50" i="6"/>
  <c r="AN50" i="6"/>
  <c r="AM50" i="6"/>
  <c r="AL50" i="6"/>
  <c r="AY50" i="6" s="1"/>
  <c r="AK50" i="6"/>
  <c r="AJ50" i="6"/>
  <c r="AI50" i="6"/>
  <c r="AH50" i="6"/>
  <c r="AG50" i="6"/>
  <c r="AF50" i="6"/>
  <c r="AD50" i="6"/>
  <c r="P50" i="6"/>
  <c r="BB49" i="6"/>
  <c r="AY49" i="6"/>
  <c r="AQ49" i="6"/>
  <c r="AP49" i="6"/>
  <c r="BD49" i="6" s="1"/>
  <c r="AO49" i="6"/>
  <c r="AN49" i="6"/>
  <c r="BA49" i="6" s="1"/>
  <c r="AM49" i="6"/>
  <c r="AZ49" i="6" s="1"/>
  <c r="AL49" i="6"/>
  <c r="AK49" i="6"/>
  <c r="AX49" i="6" s="1"/>
  <c r="AJ49" i="6"/>
  <c r="AI49" i="6"/>
  <c r="AW49" i="6" s="1"/>
  <c r="AH49" i="6"/>
  <c r="AG49" i="6"/>
  <c r="AF49" i="6"/>
  <c r="AD49" i="6"/>
  <c r="P49" i="6"/>
  <c r="BA48" i="6"/>
  <c r="AQ48" i="6"/>
  <c r="BD48" i="6" s="1"/>
  <c r="AP48" i="6"/>
  <c r="AO48" i="6"/>
  <c r="BC48" i="6" s="1"/>
  <c r="AN48" i="6"/>
  <c r="AM48" i="6"/>
  <c r="AL48" i="6"/>
  <c r="AK48" i="6"/>
  <c r="AJ48" i="6"/>
  <c r="AI48" i="6"/>
  <c r="AH48" i="6"/>
  <c r="AG48" i="6"/>
  <c r="AF48" i="6"/>
  <c r="AD48" i="6"/>
  <c r="P48" i="6"/>
  <c r="AY47" i="6"/>
  <c r="AQ47" i="6"/>
  <c r="BD47" i="6" s="1"/>
  <c r="AP47" i="6"/>
  <c r="BC47" i="6" s="1"/>
  <c r="AO47" i="6"/>
  <c r="AN47" i="6"/>
  <c r="AM47" i="6"/>
  <c r="AL47" i="6"/>
  <c r="AK47" i="6"/>
  <c r="AJ47" i="6"/>
  <c r="AI47" i="6"/>
  <c r="AH47" i="6"/>
  <c r="AG47" i="6"/>
  <c r="AF47" i="6"/>
  <c r="AD47" i="6"/>
  <c r="P47" i="6"/>
  <c r="AQ46" i="6"/>
  <c r="AP46" i="6"/>
  <c r="AO46" i="6"/>
  <c r="AN46" i="6"/>
  <c r="AM46" i="6"/>
  <c r="AL46" i="6"/>
  <c r="AY46" i="6" s="1"/>
  <c r="AK46" i="6"/>
  <c r="AJ46" i="6"/>
  <c r="AI46" i="6"/>
  <c r="AH46" i="6"/>
  <c r="AG46" i="6"/>
  <c r="AF46" i="6"/>
  <c r="AD46" i="6"/>
  <c r="P46" i="6"/>
  <c r="BB45" i="6"/>
  <c r="AY45" i="6"/>
  <c r="AQ45" i="6"/>
  <c r="BD45" i="6" s="1"/>
  <c r="AP45" i="6"/>
  <c r="BC45" i="6" s="1"/>
  <c r="AO45" i="6"/>
  <c r="AN45" i="6"/>
  <c r="BA45" i="6" s="1"/>
  <c r="AM45" i="6"/>
  <c r="AL45" i="6"/>
  <c r="AZ45" i="6" s="1"/>
  <c r="AK45" i="6"/>
  <c r="AJ45" i="6"/>
  <c r="AX45" i="6" s="1"/>
  <c r="AI45" i="6"/>
  <c r="AH45" i="6"/>
  <c r="AG45" i="6"/>
  <c r="AF45" i="6"/>
  <c r="AD45" i="6"/>
  <c r="P45" i="6"/>
  <c r="BC44" i="6"/>
  <c r="BB44" i="6"/>
  <c r="BA44" i="6"/>
  <c r="AX44" i="6"/>
  <c r="AQ44" i="6"/>
  <c r="AP44" i="6"/>
  <c r="AO44" i="6"/>
  <c r="AN44" i="6"/>
  <c r="AM44" i="6"/>
  <c r="AL44" i="6"/>
  <c r="AK44" i="6"/>
  <c r="AJ44" i="6"/>
  <c r="AW44" i="6" s="1"/>
  <c r="AI44" i="6"/>
  <c r="AH44" i="6"/>
  <c r="AG44" i="6"/>
  <c r="AU44" i="6" s="1"/>
  <c r="AF44" i="6"/>
  <c r="AD44" i="6"/>
  <c r="P44" i="6"/>
  <c r="BD43" i="6"/>
  <c r="AQ43" i="6"/>
  <c r="AP43" i="6"/>
  <c r="AO43" i="6"/>
  <c r="AN43" i="6"/>
  <c r="AM43" i="6"/>
  <c r="AZ43" i="6" s="1"/>
  <c r="AL43" i="6"/>
  <c r="AK43" i="6"/>
  <c r="AX43" i="6" s="1"/>
  <c r="AJ43" i="6"/>
  <c r="AI43" i="6"/>
  <c r="AW43" i="6" s="1"/>
  <c r="AH43" i="6"/>
  <c r="AG43" i="6"/>
  <c r="AU43" i="6" s="1"/>
  <c r="AF43" i="6"/>
  <c r="AD43" i="6"/>
  <c r="P43" i="6"/>
  <c r="AQ42" i="6"/>
  <c r="AP42" i="6"/>
  <c r="BC42" i="6" s="1"/>
  <c r="AO42" i="6"/>
  <c r="BB42" i="6" s="1"/>
  <c r="AN42" i="6"/>
  <c r="AM42" i="6"/>
  <c r="AL42" i="6"/>
  <c r="AY42" i="6" s="1"/>
  <c r="AK42" i="6"/>
  <c r="AX42" i="6" s="1"/>
  <c r="AJ42" i="6"/>
  <c r="AI42" i="6"/>
  <c r="AH42" i="6"/>
  <c r="AG42" i="6"/>
  <c r="AF42" i="6"/>
  <c r="AD42" i="6"/>
  <c r="P42" i="6"/>
  <c r="BC41" i="6"/>
  <c r="AY41" i="6"/>
  <c r="AX41" i="6"/>
  <c r="AW41" i="6"/>
  <c r="AQ41" i="6"/>
  <c r="BD41" i="6" s="1"/>
  <c r="AP41" i="6"/>
  <c r="AO41" i="6"/>
  <c r="BB41" i="6" s="1"/>
  <c r="AN41" i="6"/>
  <c r="BA41" i="6" s="1"/>
  <c r="AM41" i="6"/>
  <c r="AL41" i="6"/>
  <c r="AZ41" i="6" s="1"/>
  <c r="AK41" i="6"/>
  <c r="AJ41" i="6"/>
  <c r="AI41" i="6"/>
  <c r="AH41" i="6"/>
  <c r="AG41" i="6"/>
  <c r="AF41" i="6"/>
  <c r="AD41" i="6"/>
  <c r="P41" i="6"/>
  <c r="BD40" i="6"/>
  <c r="AY40" i="6"/>
  <c r="AQ40" i="6"/>
  <c r="AP40" i="6"/>
  <c r="AO40" i="6"/>
  <c r="AN40" i="6"/>
  <c r="AM40" i="6"/>
  <c r="AZ40" i="6" s="1"/>
  <c r="AL40" i="6"/>
  <c r="AK40" i="6"/>
  <c r="AX40" i="6" s="1"/>
  <c r="AJ40" i="6"/>
  <c r="AW40" i="6" s="1"/>
  <c r="AI40" i="6"/>
  <c r="AH40" i="6"/>
  <c r="AG40" i="6"/>
  <c r="AF40" i="6"/>
  <c r="AD40" i="6"/>
  <c r="P40" i="6"/>
  <c r="AZ39" i="6"/>
  <c r="AQ39" i="6"/>
  <c r="AP39" i="6"/>
  <c r="AO39" i="6"/>
  <c r="BB39" i="6" s="1"/>
  <c r="AN39" i="6"/>
  <c r="AM39" i="6"/>
  <c r="AL39" i="6"/>
  <c r="AY39" i="6" s="1"/>
  <c r="AK39" i="6"/>
  <c r="AJ39" i="6"/>
  <c r="AI39" i="6"/>
  <c r="AH39" i="6"/>
  <c r="AG39" i="6"/>
  <c r="AF39" i="6"/>
  <c r="AD39" i="6"/>
  <c r="P39" i="6"/>
  <c r="BD38" i="6"/>
  <c r="BC38" i="6"/>
  <c r="AQ38" i="6"/>
  <c r="AP38" i="6"/>
  <c r="AO38" i="6"/>
  <c r="AN38" i="6"/>
  <c r="BB38" i="6" s="1"/>
  <c r="AM38" i="6"/>
  <c r="BA38" i="6" s="1"/>
  <c r="AL38" i="6"/>
  <c r="AK38" i="6"/>
  <c r="AX38" i="6" s="1"/>
  <c r="AJ38" i="6"/>
  <c r="AI38" i="6"/>
  <c r="AH38" i="6"/>
  <c r="AG38" i="6"/>
  <c r="AF38" i="6"/>
  <c r="AD38" i="6"/>
  <c r="P38" i="6"/>
  <c r="BC37" i="6"/>
  <c r="AZ37" i="6"/>
  <c r="AX37" i="6"/>
  <c r="AQ37" i="6"/>
  <c r="BD37" i="6" s="1"/>
  <c r="AP37" i="6"/>
  <c r="AO37" i="6"/>
  <c r="BB37" i="6" s="1"/>
  <c r="AN37" i="6"/>
  <c r="BA37" i="6" s="1"/>
  <c r="AM37" i="6"/>
  <c r="AL37" i="6"/>
  <c r="AY37" i="6" s="1"/>
  <c r="AK37" i="6"/>
  <c r="AJ37" i="6"/>
  <c r="AW37" i="6" s="1"/>
  <c r="AI37" i="6"/>
  <c r="AH37" i="6"/>
  <c r="AG37" i="6"/>
  <c r="AF37" i="6"/>
  <c r="AD37" i="6"/>
  <c r="P37" i="6"/>
  <c r="AQ36" i="6"/>
  <c r="BD36" i="6" s="1"/>
  <c r="AP36" i="6"/>
  <c r="AO36" i="6"/>
  <c r="AN36" i="6"/>
  <c r="AM36" i="6"/>
  <c r="AZ36" i="6" s="1"/>
  <c r="AL36" i="6"/>
  <c r="AY36" i="6" s="1"/>
  <c r="AK36" i="6"/>
  <c r="AJ36" i="6"/>
  <c r="AX36" i="6" s="1"/>
  <c r="AI36" i="6"/>
  <c r="AH36" i="6"/>
  <c r="AG36" i="6"/>
  <c r="AF36" i="6"/>
  <c r="AD36" i="6"/>
  <c r="P36" i="6"/>
  <c r="BB35" i="6"/>
  <c r="BA35" i="6"/>
  <c r="AZ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D35" i="6"/>
  <c r="P35" i="6"/>
  <c r="BD34" i="6"/>
  <c r="BC34" i="6"/>
  <c r="AQ34" i="6"/>
  <c r="AP34" i="6"/>
  <c r="AO34" i="6"/>
  <c r="AN34" i="6"/>
  <c r="BA34" i="6" s="1"/>
  <c r="AM34" i="6"/>
  <c r="AL34" i="6"/>
  <c r="AK34" i="6"/>
  <c r="AJ34" i="6"/>
  <c r="AI34" i="6"/>
  <c r="AH34" i="6"/>
  <c r="AG34" i="6"/>
  <c r="AF34" i="6"/>
  <c r="AD34" i="6"/>
  <c r="P34" i="6"/>
  <c r="BC33" i="6"/>
  <c r="BB33" i="6"/>
  <c r="AQ33" i="6"/>
  <c r="BD33" i="6" s="1"/>
  <c r="AP33" i="6"/>
  <c r="AO33" i="6"/>
  <c r="AN33" i="6"/>
  <c r="BA33" i="6" s="1"/>
  <c r="AM33" i="6"/>
  <c r="AZ33" i="6" s="1"/>
  <c r="AL33" i="6"/>
  <c r="AK33" i="6"/>
  <c r="AY33" i="6" s="1"/>
  <c r="AJ33" i="6"/>
  <c r="AI33" i="6"/>
  <c r="AH33" i="6"/>
  <c r="AG33" i="6"/>
  <c r="AF33" i="6"/>
  <c r="AD33" i="6"/>
  <c r="P33" i="6"/>
  <c r="AQ32" i="6"/>
  <c r="AP32" i="6"/>
  <c r="BC32" i="6" s="1"/>
  <c r="AO32" i="6"/>
  <c r="AN32" i="6"/>
  <c r="BA32" i="6" s="1"/>
  <c r="AM32" i="6"/>
  <c r="AL32" i="6"/>
  <c r="AY32" i="6" s="1"/>
  <c r="AK32" i="6"/>
  <c r="AX32" i="6" s="1"/>
  <c r="AJ32" i="6"/>
  <c r="AI32" i="6"/>
  <c r="AH32" i="6"/>
  <c r="AG32" i="6"/>
  <c r="AF32" i="6"/>
  <c r="AD32" i="6"/>
  <c r="P32" i="6"/>
  <c r="BD31" i="6"/>
  <c r="AQ31" i="6"/>
  <c r="AP31" i="6"/>
  <c r="AO31" i="6"/>
  <c r="BC31" i="6" s="1"/>
  <c r="AN31" i="6"/>
  <c r="BA31" i="6" s="1"/>
  <c r="AM31" i="6"/>
  <c r="AZ31" i="6" s="1"/>
  <c r="AL31" i="6"/>
  <c r="AK31" i="6"/>
  <c r="AJ31" i="6"/>
  <c r="AI31" i="6"/>
  <c r="AH31" i="6"/>
  <c r="AG31" i="6"/>
  <c r="AF31" i="6"/>
  <c r="AD31" i="6"/>
  <c r="P31" i="6"/>
  <c r="AQ30" i="6"/>
  <c r="AP30" i="6"/>
  <c r="AO30" i="6"/>
  <c r="AN30" i="6"/>
  <c r="AM30" i="6"/>
  <c r="AL30" i="6"/>
  <c r="AK30" i="6"/>
  <c r="AX30" i="6" s="1"/>
  <c r="AJ30" i="6"/>
  <c r="AI30" i="6"/>
  <c r="AH30" i="6"/>
  <c r="AG30" i="6"/>
  <c r="AF30" i="6"/>
  <c r="AD30" i="6"/>
  <c r="P30" i="6"/>
  <c r="AQ29" i="6"/>
  <c r="AP29" i="6"/>
  <c r="BC29" i="6" s="1"/>
  <c r="AO29" i="6"/>
  <c r="BB29" i="6" s="1"/>
  <c r="AN29" i="6"/>
  <c r="BA29" i="6" s="1"/>
  <c r="AM29" i="6"/>
  <c r="AL29" i="6"/>
  <c r="AY29" i="6" s="1"/>
  <c r="AK29" i="6"/>
  <c r="AX29" i="6" s="1"/>
  <c r="AJ29" i="6"/>
  <c r="AI29" i="6"/>
  <c r="AH29" i="6"/>
  <c r="AG29" i="6"/>
  <c r="AF29" i="6"/>
  <c r="AD29" i="6"/>
  <c r="P29" i="6"/>
  <c r="AQ28" i="6"/>
  <c r="BD28" i="6" s="1"/>
  <c r="AP28" i="6"/>
  <c r="BC28" i="6" s="1"/>
  <c r="AO28" i="6"/>
  <c r="AN28" i="6"/>
  <c r="AM28" i="6"/>
  <c r="AZ28" i="6" s="1"/>
  <c r="AL28" i="6"/>
  <c r="AY28" i="6" s="1"/>
  <c r="AK28" i="6"/>
  <c r="AX28" i="6" s="1"/>
  <c r="AJ28" i="6"/>
  <c r="AI28" i="6"/>
  <c r="AH28" i="6"/>
  <c r="AG28" i="6"/>
  <c r="AF28" i="6"/>
  <c r="AD28" i="6"/>
  <c r="P28" i="6"/>
  <c r="BB27" i="6"/>
  <c r="BA27" i="6"/>
  <c r="AQ27" i="6"/>
  <c r="AP27" i="6"/>
  <c r="BD27" i="6" s="1"/>
  <c r="AO27" i="6"/>
  <c r="AN27" i="6"/>
  <c r="AM27" i="6"/>
  <c r="AL27" i="6"/>
  <c r="AK27" i="6"/>
  <c r="AJ27" i="6"/>
  <c r="AI27" i="6"/>
  <c r="AH27" i="6"/>
  <c r="AG27" i="6"/>
  <c r="AF27" i="6"/>
  <c r="AD27" i="6"/>
  <c r="P27" i="6"/>
  <c r="AY26" i="6"/>
  <c r="AQ26" i="6"/>
  <c r="AP26" i="6"/>
  <c r="AO26" i="6"/>
  <c r="AN26" i="6"/>
  <c r="AM26" i="6"/>
  <c r="AZ26" i="6" s="1"/>
  <c r="AL26" i="6"/>
  <c r="AK26" i="6"/>
  <c r="AJ26" i="6"/>
  <c r="AW26" i="6" s="1"/>
  <c r="AI26" i="6"/>
  <c r="AH26" i="6"/>
  <c r="AV26" i="6" s="1"/>
  <c r="AG26" i="6"/>
  <c r="AF26" i="6"/>
  <c r="AD26" i="6"/>
  <c r="P26" i="6"/>
  <c r="AZ25" i="6"/>
  <c r="AX25" i="6"/>
  <c r="AQ25" i="6"/>
  <c r="BD25" i="6" s="1"/>
  <c r="AP25" i="6"/>
  <c r="BC25" i="6" s="1"/>
  <c r="AO25" i="6"/>
  <c r="BB25" i="6" s="1"/>
  <c r="AN25" i="6"/>
  <c r="AM25" i="6"/>
  <c r="BA25" i="6" s="1"/>
  <c r="AL25" i="6"/>
  <c r="AK25" i="6"/>
  <c r="AY25" i="6" s="1"/>
  <c r="AJ25" i="6"/>
  <c r="AI25" i="6"/>
  <c r="AW25" i="6" s="1"/>
  <c r="AH25" i="6"/>
  <c r="AG25" i="6"/>
  <c r="AF25" i="6"/>
  <c r="AD25" i="6"/>
  <c r="P25" i="6"/>
  <c r="AY24" i="6"/>
  <c r="AX24" i="6"/>
  <c r="AQ24" i="6"/>
  <c r="AP24" i="6"/>
  <c r="AO24" i="6"/>
  <c r="AN24" i="6"/>
  <c r="AM24" i="6"/>
  <c r="AZ24" i="6" s="1"/>
  <c r="AL24" i="6"/>
  <c r="AK24" i="6"/>
  <c r="AJ24" i="6"/>
  <c r="AI24" i="6"/>
  <c r="AH24" i="6"/>
  <c r="AG24" i="6"/>
  <c r="AF24" i="6"/>
  <c r="AD24" i="6"/>
  <c r="P24" i="6"/>
  <c r="BD23" i="6"/>
  <c r="BA23" i="6"/>
  <c r="AQ23" i="6"/>
  <c r="AP23" i="6"/>
  <c r="BC23" i="6" s="1"/>
  <c r="AO23" i="6"/>
  <c r="AN23" i="6"/>
  <c r="AM23" i="6"/>
  <c r="AL23" i="6"/>
  <c r="AY23" i="6" s="1"/>
  <c r="AK23" i="6"/>
  <c r="AJ23" i="6"/>
  <c r="AI23" i="6"/>
  <c r="AH23" i="6"/>
  <c r="AG23" i="6"/>
  <c r="AF23" i="6"/>
  <c r="AD23" i="6"/>
  <c r="P23" i="6"/>
  <c r="AZ22" i="6"/>
  <c r="AX22" i="6"/>
  <c r="AQ22" i="6"/>
  <c r="AP22" i="6"/>
  <c r="AO22" i="6"/>
  <c r="BB22" i="6" s="1"/>
  <c r="AN22" i="6"/>
  <c r="BA22" i="6" s="1"/>
  <c r="AM22" i="6"/>
  <c r="AL22" i="6"/>
  <c r="AY22" i="6" s="1"/>
  <c r="AK22" i="6"/>
  <c r="AJ22" i="6"/>
  <c r="AI22" i="6"/>
  <c r="AW22" i="6" s="1"/>
  <c r="AH22" i="6"/>
  <c r="AG22" i="6"/>
  <c r="AF22" i="6"/>
  <c r="AD22" i="6"/>
  <c r="P22" i="6"/>
  <c r="BC21" i="6"/>
  <c r="BB21" i="6"/>
  <c r="AQ21" i="6"/>
  <c r="BD21" i="6" s="1"/>
  <c r="AP21" i="6"/>
  <c r="AO21" i="6"/>
  <c r="AN21" i="6"/>
  <c r="BA21" i="6" s="1"/>
  <c r="AM21" i="6"/>
  <c r="AZ21" i="6" s="1"/>
  <c r="AL21" i="6"/>
  <c r="AK21" i="6"/>
  <c r="AJ21" i="6"/>
  <c r="AI21" i="6"/>
  <c r="AH21" i="6"/>
  <c r="AG21" i="6"/>
  <c r="AF21" i="6"/>
  <c r="AD21" i="6"/>
  <c r="P21" i="6"/>
  <c r="AX20" i="6"/>
  <c r="AQ20" i="6"/>
  <c r="AP20" i="6"/>
  <c r="AO20" i="6"/>
  <c r="BB20" i="6" s="1"/>
  <c r="AN20" i="6"/>
  <c r="AM20" i="6"/>
  <c r="AZ20" i="6" s="1"/>
  <c r="AL20" i="6"/>
  <c r="AY20" i="6" s="1"/>
  <c r="AK20" i="6"/>
  <c r="AJ20" i="6"/>
  <c r="AI20" i="6"/>
  <c r="AH20" i="6"/>
  <c r="AG20" i="6"/>
  <c r="AF20" i="6"/>
  <c r="AD20" i="6"/>
  <c r="P20" i="6"/>
  <c r="AQ19" i="6"/>
  <c r="AP19" i="6"/>
  <c r="AO19" i="6"/>
  <c r="AN19" i="6"/>
  <c r="AM19" i="6"/>
  <c r="AZ19" i="6" s="1"/>
  <c r="AL19" i="6"/>
  <c r="AK19" i="6"/>
  <c r="AJ19" i="6"/>
  <c r="AI19" i="6"/>
  <c r="AH19" i="6"/>
  <c r="AG19" i="6"/>
  <c r="AF19" i="6"/>
  <c r="AD19" i="6"/>
  <c r="P19" i="6"/>
  <c r="BD18" i="6"/>
  <c r="AY18" i="6"/>
  <c r="AQ18" i="6"/>
  <c r="AP18" i="6"/>
  <c r="BC18" i="6" s="1"/>
  <c r="AO18" i="6"/>
  <c r="BB18" i="6" s="1"/>
  <c r="AN18" i="6"/>
  <c r="BA18" i="6" s="1"/>
  <c r="AM18" i="6"/>
  <c r="AL18" i="6"/>
  <c r="AZ18" i="6" s="1"/>
  <c r="AK18" i="6"/>
  <c r="AJ18" i="6"/>
  <c r="AX18" i="6" s="1"/>
  <c r="AI18" i="6"/>
  <c r="AH18" i="6"/>
  <c r="AG18" i="6"/>
  <c r="AF18" i="6"/>
  <c r="AD18" i="6"/>
  <c r="P18" i="6"/>
  <c r="BC17" i="6"/>
  <c r="BB17" i="6"/>
  <c r="AQ17" i="6"/>
  <c r="BD17" i="6" s="1"/>
  <c r="AP17" i="6"/>
  <c r="AO17" i="6"/>
  <c r="AN17" i="6"/>
  <c r="AM17" i="6"/>
  <c r="AL17" i="6"/>
  <c r="AY17" i="6" s="1"/>
  <c r="AK17" i="6"/>
  <c r="AX17" i="6" s="1"/>
  <c r="AJ17" i="6"/>
  <c r="AI17" i="6"/>
  <c r="AH17" i="6"/>
  <c r="AG17" i="6"/>
  <c r="AF17" i="6"/>
  <c r="AD17" i="6"/>
  <c r="P17" i="6"/>
  <c r="BD16" i="6"/>
  <c r="AQ16" i="6"/>
  <c r="AP16" i="6"/>
  <c r="AO16" i="6"/>
  <c r="AN16" i="6"/>
  <c r="AM16" i="6"/>
  <c r="AZ16" i="6" s="1"/>
  <c r="AL16" i="6"/>
  <c r="AK16" i="6"/>
  <c r="AX16" i="6" s="1"/>
  <c r="AJ16" i="6"/>
  <c r="AI16" i="6"/>
  <c r="AW16" i="6" s="1"/>
  <c r="AH16" i="6"/>
  <c r="AG16" i="6"/>
  <c r="AF16" i="6"/>
  <c r="AD16" i="6"/>
  <c r="P16" i="6"/>
  <c r="AQ15" i="6"/>
  <c r="AP15" i="6"/>
  <c r="AO15" i="6"/>
  <c r="BB15" i="6" s="1"/>
  <c r="AN15" i="6"/>
  <c r="BA15" i="6" s="1"/>
  <c r="AM15" i="6"/>
  <c r="AL15" i="6"/>
  <c r="AK15" i="6"/>
  <c r="AJ15" i="6"/>
  <c r="AI15" i="6"/>
  <c r="AH15" i="6"/>
  <c r="AG15" i="6"/>
  <c r="AF15" i="6"/>
  <c r="AD15" i="6"/>
  <c r="P15" i="6"/>
  <c r="AQ14" i="6"/>
  <c r="BD14" i="6" s="1"/>
  <c r="AP14" i="6"/>
  <c r="AO14" i="6"/>
  <c r="AN14" i="6"/>
  <c r="AM14" i="6"/>
  <c r="AL14" i="6"/>
  <c r="AK14" i="6"/>
  <c r="AJ14" i="6"/>
  <c r="AI14" i="6"/>
  <c r="AH14" i="6"/>
  <c r="AG14" i="6"/>
  <c r="AF14" i="6"/>
  <c r="AD14" i="6"/>
  <c r="P14" i="6"/>
  <c r="AQ13" i="6"/>
  <c r="BD13" i="6" s="1"/>
  <c r="AP13" i="6"/>
  <c r="BC13" i="6" s="1"/>
  <c r="AO13" i="6"/>
  <c r="AN13" i="6"/>
  <c r="AM13" i="6"/>
  <c r="AL13" i="6"/>
  <c r="AZ13" i="6" s="1"/>
  <c r="AK13" i="6"/>
  <c r="AX13" i="6" s="1"/>
  <c r="AJ13" i="6"/>
  <c r="AI13" i="6"/>
  <c r="AH13" i="6"/>
  <c r="AG13" i="6"/>
  <c r="AF13" i="6"/>
  <c r="AD13" i="6"/>
  <c r="P13" i="6"/>
  <c r="AW12" i="6"/>
  <c r="AQ12" i="6"/>
  <c r="AP12" i="6"/>
  <c r="AO12" i="6"/>
  <c r="AN12" i="6"/>
  <c r="AM12" i="6"/>
  <c r="AZ12" i="6" s="1"/>
  <c r="AL12" i="6"/>
  <c r="AY12" i="6" s="1"/>
  <c r="AK12" i="6"/>
  <c r="AX12" i="6" s="1"/>
  <c r="AJ12" i="6"/>
  <c r="AI12" i="6"/>
  <c r="AH12" i="6"/>
  <c r="AG12" i="6"/>
  <c r="AF12" i="6"/>
  <c r="AD12" i="6"/>
  <c r="P12" i="6"/>
  <c r="BD11" i="6"/>
  <c r="BC11" i="6"/>
  <c r="AZ11" i="6"/>
  <c r="AQ11" i="6"/>
  <c r="AP11" i="6"/>
  <c r="AO11" i="6"/>
  <c r="AN11" i="6"/>
  <c r="BA11" i="6" s="1"/>
  <c r="AM11" i="6"/>
  <c r="AL11" i="6"/>
  <c r="AK11" i="6"/>
  <c r="AJ11" i="6"/>
  <c r="AI11" i="6"/>
  <c r="AH11" i="6"/>
  <c r="AG11" i="6"/>
  <c r="AF11" i="6"/>
  <c r="AD11" i="6"/>
  <c r="P11" i="6"/>
  <c r="AQ10" i="6"/>
  <c r="BD10" i="6" s="1"/>
  <c r="AP10" i="6"/>
  <c r="AO10" i="6"/>
  <c r="BB10" i="6" s="1"/>
  <c r="AN10" i="6"/>
  <c r="AM10" i="6"/>
  <c r="AL10" i="6"/>
  <c r="AY10" i="6" s="1"/>
  <c r="AK10" i="6"/>
  <c r="AJ10" i="6"/>
  <c r="AX10" i="6" s="1"/>
  <c r="AI10" i="6"/>
  <c r="AH10" i="6"/>
  <c r="AG10" i="6"/>
  <c r="AF10" i="6"/>
  <c r="AD10" i="6"/>
  <c r="P10" i="6"/>
  <c r="BD9" i="6"/>
  <c r="BC9" i="6"/>
  <c r="BB9" i="6"/>
  <c r="AQ9" i="6"/>
  <c r="AP9" i="6"/>
  <c r="AO9" i="6"/>
  <c r="AN9" i="6"/>
  <c r="AM9" i="6"/>
  <c r="BA9" i="6" s="1"/>
  <c r="AL9" i="6"/>
  <c r="AK9" i="6"/>
  <c r="AX9" i="6" s="1"/>
  <c r="AJ9" i="6"/>
  <c r="AI9" i="6"/>
  <c r="AH9" i="6"/>
  <c r="AG9" i="6"/>
  <c r="AF9" i="6"/>
  <c r="AD9" i="6"/>
  <c r="P9" i="6"/>
  <c r="AQ8" i="6"/>
  <c r="AP8" i="6"/>
  <c r="AO8" i="6"/>
  <c r="BB8" i="6" s="1"/>
  <c r="AN8" i="6"/>
  <c r="AM8" i="6"/>
  <c r="AZ8" i="6" s="1"/>
  <c r="AL8" i="6"/>
  <c r="AY8" i="6" s="1"/>
  <c r="AK8" i="6"/>
  <c r="AX8" i="6" s="1"/>
  <c r="AJ8" i="6"/>
  <c r="AI8" i="6"/>
  <c r="AH8" i="6"/>
  <c r="AG8" i="6"/>
  <c r="AF8" i="6"/>
  <c r="AD8" i="6"/>
  <c r="P8" i="6"/>
  <c r="BD7" i="6"/>
  <c r="AQ7" i="6"/>
  <c r="AP7" i="6"/>
  <c r="AO7" i="6"/>
  <c r="BC7" i="6" s="1"/>
  <c r="AN7" i="6"/>
  <c r="AM7" i="6"/>
  <c r="AL7" i="6"/>
  <c r="AY7" i="6" s="1"/>
  <c r="AK7" i="6"/>
  <c r="AJ7" i="6"/>
  <c r="AI7" i="6"/>
  <c r="AH7" i="6"/>
  <c r="AG7" i="6"/>
  <c r="AF7" i="6"/>
  <c r="AD7" i="6"/>
  <c r="P7" i="6"/>
  <c r="AZ6" i="6"/>
  <c r="AQ6" i="6"/>
  <c r="BD6" i="6" s="1"/>
  <c r="AP6" i="6"/>
  <c r="BC6" i="6" s="1"/>
  <c r="AO6" i="6"/>
  <c r="BB6" i="6" s="1"/>
  <c r="AN6" i="6"/>
  <c r="BA6" i="6" s="1"/>
  <c r="AM6" i="6"/>
  <c r="AL6" i="6"/>
  <c r="AY6" i="6" s="1"/>
  <c r="AK6" i="6"/>
  <c r="AX6" i="6" s="1"/>
  <c r="AJ6" i="6"/>
  <c r="AI6" i="6"/>
  <c r="AW6" i="6" s="1"/>
  <c r="AH6" i="6"/>
  <c r="AG6" i="6"/>
  <c r="AF6" i="6"/>
  <c r="AD6" i="6"/>
  <c r="P6" i="6"/>
  <c r="BD5" i="6"/>
  <c r="BC5" i="6"/>
  <c r="BB5" i="6"/>
  <c r="AX5" i="6"/>
  <c r="AW5" i="6"/>
  <c r="AQ5" i="6"/>
  <c r="AP5" i="6"/>
  <c r="AO5" i="6"/>
  <c r="AN5" i="6"/>
  <c r="AM5" i="6"/>
  <c r="AL5" i="6"/>
  <c r="AY5" i="6" s="1"/>
  <c r="AK5" i="6"/>
  <c r="AJ5" i="6"/>
  <c r="AI5" i="6"/>
  <c r="AH5" i="6"/>
  <c r="AV5" i="6" s="1"/>
  <c r="AG5" i="6"/>
  <c r="AF5" i="6"/>
  <c r="AD5" i="6"/>
  <c r="AD236" i="6" s="1"/>
  <c r="P5" i="6"/>
  <c r="P236" i="6" s="1"/>
  <c r="T235" i="5"/>
  <c r="Z235" i="5"/>
  <c r="L235" i="5"/>
  <c r="K235" i="5"/>
  <c r="J235" i="5"/>
  <c r="W235" i="5"/>
  <c r="V235" i="5"/>
  <c r="U235" i="5"/>
  <c r="F235" i="5"/>
  <c r="E235" i="5"/>
  <c r="D235" i="5"/>
  <c r="AA234" i="5"/>
  <c r="Z234" i="5"/>
  <c r="Y234" i="5"/>
  <c r="X234" i="5"/>
  <c r="W234" i="5"/>
  <c r="V234" i="5"/>
  <c r="U234" i="5"/>
  <c r="T234" i="5"/>
  <c r="S234" i="5"/>
  <c r="R234" i="5"/>
  <c r="Q234" i="5"/>
  <c r="AD234" i="5" s="1"/>
  <c r="P234" i="5"/>
  <c r="N234" i="5"/>
  <c r="H234" i="5"/>
  <c r="AA233" i="5"/>
  <c r="Z233" i="5"/>
  <c r="Y233" i="5"/>
  <c r="X233" i="5"/>
  <c r="W233" i="5"/>
  <c r="V233" i="5"/>
  <c r="U233" i="5"/>
  <c r="T233" i="5"/>
  <c r="S233" i="5"/>
  <c r="R233" i="5"/>
  <c r="Q233" i="5"/>
  <c r="AD233" i="5" s="1"/>
  <c r="N233" i="5"/>
  <c r="H233" i="5"/>
  <c r="AA232" i="5"/>
  <c r="Z232" i="5"/>
  <c r="Y232" i="5"/>
  <c r="X232" i="5"/>
  <c r="W232" i="5"/>
  <c r="V232" i="5"/>
  <c r="U232" i="5"/>
  <c r="T232" i="5"/>
  <c r="S232" i="5"/>
  <c r="R232" i="5"/>
  <c r="AE232" i="5" s="1"/>
  <c r="Q232" i="5"/>
  <c r="AD232" i="5" s="1"/>
  <c r="N232" i="5"/>
  <c r="H232" i="5"/>
  <c r="AA231" i="5"/>
  <c r="Z231" i="5"/>
  <c r="Y231" i="5"/>
  <c r="X231" i="5"/>
  <c r="W231" i="5"/>
  <c r="V231" i="5"/>
  <c r="U231" i="5"/>
  <c r="T231" i="5"/>
  <c r="S231" i="5"/>
  <c r="R231" i="5"/>
  <c r="Q231" i="5"/>
  <c r="N231" i="5"/>
  <c r="H231" i="5"/>
  <c r="AA230" i="5"/>
  <c r="Z230" i="5"/>
  <c r="Y230" i="5"/>
  <c r="X230" i="5"/>
  <c r="W230" i="5"/>
  <c r="V230" i="5"/>
  <c r="U230" i="5"/>
  <c r="T230" i="5"/>
  <c r="S230" i="5"/>
  <c r="R230" i="5"/>
  <c r="Q230" i="5"/>
  <c r="AD230" i="5" s="1"/>
  <c r="P230" i="5"/>
  <c r="N230" i="5"/>
  <c r="H230" i="5"/>
  <c r="AA229" i="5"/>
  <c r="Z229" i="5"/>
  <c r="Y229" i="5"/>
  <c r="X229" i="5"/>
  <c r="W229" i="5"/>
  <c r="V229" i="5"/>
  <c r="U229" i="5"/>
  <c r="T229" i="5"/>
  <c r="S229" i="5"/>
  <c r="R229" i="5"/>
  <c r="AE229" i="5" s="1"/>
  <c r="Q229" i="5"/>
  <c r="AD229" i="5" s="1"/>
  <c r="P229" i="5"/>
  <c r="N229" i="5"/>
  <c r="H229" i="5"/>
  <c r="AA228" i="5"/>
  <c r="Z228" i="5"/>
  <c r="Y228" i="5"/>
  <c r="X228" i="5"/>
  <c r="W228" i="5"/>
  <c r="V228" i="5"/>
  <c r="U228" i="5"/>
  <c r="T228" i="5"/>
  <c r="S228" i="5"/>
  <c r="R228" i="5"/>
  <c r="AE228" i="5" s="1"/>
  <c r="Q228" i="5"/>
  <c r="AD228" i="5" s="1"/>
  <c r="P228" i="5"/>
  <c r="N228" i="5"/>
  <c r="H228" i="5"/>
  <c r="AA227" i="5"/>
  <c r="Z227" i="5"/>
  <c r="Y227" i="5"/>
  <c r="X227" i="5"/>
  <c r="W227" i="5"/>
  <c r="V227" i="5"/>
  <c r="U227" i="5"/>
  <c r="T227" i="5"/>
  <c r="S227" i="5"/>
  <c r="R227" i="5"/>
  <c r="Q227" i="5"/>
  <c r="AD227" i="5" s="1"/>
  <c r="P227" i="5"/>
  <c r="N227" i="5"/>
  <c r="H227" i="5"/>
  <c r="AA226" i="5"/>
  <c r="Z226" i="5"/>
  <c r="Y226" i="5"/>
  <c r="X226" i="5"/>
  <c r="W226" i="5"/>
  <c r="V226" i="5"/>
  <c r="U226" i="5"/>
  <c r="T226" i="5"/>
  <c r="S226" i="5"/>
  <c r="R226" i="5"/>
  <c r="Q226" i="5"/>
  <c r="AD226" i="5" s="1"/>
  <c r="P226" i="5"/>
  <c r="N226" i="5"/>
  <c r="H226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N225" i="5"/>
  <c r="H225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N224" i="5"/>
  <c r="H224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N223" i="5"/>
  <c r="H223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N222" i="5"/>
  <c r="H222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AD221" i="5" s="1"/>
  <c r="N221" i="5"/>
  <c r="H221" i="5"/>
  <c r="AA220" i="5"/>
  <c r="Z220" i="5"/>
  <c r="Y220" i="5"/>
  <c r="X220" i="5"/>
  <c r="W220" i="5"/>
  <c r="V220" i="5"/>
  <c r="U220" i="5"/>
  <c r="T220" i="5"/>
  <c r="S220" i="5"/>
  <c r="R220" i="5"/>
  <c r="Q220" i="5"/>
  <c r="AD220" i="5" s="1"/>
  <c r="P220" i="5"/>
  <c r="N220" i="5"/>
  <c r="H220" i="5"/>
  <c r="AA219" i="5"/>
  <c r="Z219" i="5"/>
  <c r="Y219" i="5"/>
  <c r="X219" i="5"/>
  <c r="W219" i="5"/>
  <c r="V219" i="5"/>
  <c r="U219" i="5"/>
  <c r="T219" i="5"/>
  <c r="S219" i="5"/>
  <c r="R219" i="5"/>
  <c r="Q219" i="5"/>
  <c r="AD219" i="5" s="1"/>
  <c r="P219" i="5"/>
  <c r="N219" i="5"/>
  <c r="H219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N218" i="5"/>
  <c r="H218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N217" i="5"/>
  <c r="H217" i="5"/>
  <c r="AA216" i="5"/>
  <c r="Z216" i="5"/>
  <c r="Y216" i="5"/>
  <c r="X216" i="5"/>
  <c r="W216" i="5"/>
  <c r="V216" i="5"/>
  <c r="U216" i="5"/>
  <c r="T216" i="5"/>
  <c r="S216" i="5"/>
  <c r="R216" i="5"/>
  <c r="AE216" i="5" s="1"/>
  <c r="Q216" i="5"/>
  <c r="AD216" i="5" s="1"/>
  <c r="P216" i="5"/>
  <c r="N216" i="5"/>
  <c r="H216" i="5"/>
  <c r="AA215" i="5"/>
  <c r="Z215" i="5"/>
  <c r="Y215" i="5"/>
  <c r="X215" i="5"/>
  <c r="W215" i="5"/>
  <c r="V215" i="5"/>
  <c r="U215" i="5"/>
  <c r="T215" i="5"/>
  <c r="S215" i="5"/>
  <c r="R215" i="5"/>
  <c r="Q215" i="5"/>
  <c r="AD215" i="5" s="1"/>
  <c r="P215" i="5"/>
  <c r="N215" i="5"/>
  <c r="H215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N214" i="5"/>
  <c r="H214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N213" i="5"/>
  <c r="H213" i="5"/>
  <c r="AA212" i="5"/>
  <c r="Z212" i="5"/>
  <c r="Y212" i="5"/>
  <c r="X212" i="5"/>
  <c r="W212" i="5"/>
  <c r="V212" i="5"/>
  <c r="U212" i="5"/>
  <c r="T212" i="5"/>
  <c r="S212" i="5"/>
  <c r="R212" i="5"/>
  <c r="AE212" i="5" s="1"/>
  <c r="Q212" i="5"/>
  <c r="AD212" i="5" s="1"/>
  <c r="P212" i="5"/>
  <c r="N212" i="5"/>
  <c r="H212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N211" i="5"/>
  <c r="H211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N210" i="5"/>
  <c r="H210" i="5"/>
  <c r="AA209" i="5"/>
  <c r="Z209" i="5"/>
  <c r="Y209" i="5"/>
  <c r="X209" i="5"/>
  <c r="W209" i="5"/>
  <c r="V209" i="5"/>
  <c r="U209" i="5"/>
  <c r="T209" i="5"/>
  <c r="S209" i="5"/>
  <c r="R209" i="5"/>
  <c r="Q209" i="5"/>
  <c r="AD209" i="5" s="1"/>
  <c r="P209" i="5"/>
  <c r="N209" i="5"/>
  <c r="H209" i="5"/>
  <c r="AA208" i="5"/>
  <c r="Z208" i="5"/>
  <c r="Y208" i="5"/>
  <c r="X208" i="5"/>
  <c r="W208" i="5"/>
  <c r="V208" i="5"/>
  <c r="U208" i="5"/>
  <c r="T208" i="5"/>
  <c r="S208" i="5"/>
  <c r="R208" i="5"/>
  <c r="Q208" i="5"/>
  <c r="AD208" i="5" s="1"/>
  <c r="P208" i="5"/>
  <c r="N208" i="5"/>
  <c r="H208" i="5"/>
  <c r="AA207" i="5"/>
  <c r="Z207" i="5"/>
  <c r="Y207" i="5"/>
  <c r="X207" i="5"/>
  <c r="W207" i="5"/>
  <c r="V207" i="5"/>
  <c r="U207" i="5"/>
  <c r="T207" i="5"/>
  <c r="S207" i="5"/>
  <c r="R207" i="5"/>
  <c r="Q207" i="5"/>
  <c r="AD207" i="5" s="1"/>
  <c r="P207" i="5"/>
  <c r="N207" i="5"/>
  <c r="H207" i="5"/>
  <c r="AA206" i="5"/>
  <c r="Z206" i="5"/>
  <c r="Y206" i="5"/>
  <c r="X206" i="5"/>
  <c r="W206" i="5"/>
  <c r="V206" i="5"/>
  <c r="U206" i="5"/>
  <c r="T206" i="5"/>
  <c r="S206" i="5"/>
  <c r="R206" i="5"/>
  <c r="Q206" i="5"/>
  <c r="AD206" i="5" s="1"/>
  <c r="P206" i="5"/>
  <c r="N206" i="5"/>
  <c r="H206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N205" i="5"/>
  <c r="H205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N204" i="5"/>
  <c r="H204" i="5"/>
  <c r="AA203" i="5"/>
  <c r="AN203" i="5" s="1"/>
  <c r="Z203" i="5"/>
  <c r="Y203" i="5"/>
  <c r="X203" i="5"/>
  <c r="W203" i="5"/>
  <c r="V203" i="5"/>
  <c r="AJ203" i="5" s="1"/>
  <c r="U203" i="5"/>
  <c r="AH203" i="5" s="1"/>
  <c r="T203" i="5"/>
  <c r="S203" i="5"/>
  <c r="R203" i="5"/>
  <c r="Q203" i="5"/>
  <c r="P203" i="5"/>
  <c r="N203" i="5"/>
  <c r="H203" i="5"/>
  <c r="AA202" i="5"/>
  <c r="AN202" i="5" s="1"/>
  <c r="Z202" i="5"/>
  <c r="Y202" i="5"/>
  <c r="AL202" i="5" s="1"/>
  <c r="X202" i="5"/>
  <c r="W202" i="5"/>
  <c r="V202" i="5"/>
  <c r="U202" i="5"/>
  <c r="T202" i="5"/>
  <c r="S202" i="5"/>
  <c r="R202" i="5"/>
  <c r="Q202" i="5"/>
  <c r="P202" i="5"/>
  <c r="N202" i="5"/>
  <c r="H202" i="5"/>
  <c r="AA201" i="5"/>
  <c r="AN201" i="5" s="1"/>
  <c r="Z201" i="5"/>
  <c r="Y201" i="5"/>
  <c r="X201" i="5"/>
  <c r="W201" i="5"/>
  <c r="V201" i="5"/>
  <c r="U201" i="5"/>
  <c r="T201" i="5"/>
  <c r="S201" i="5"/>
  <c r="R201" i="5"/>
  <c r="Q201" i="5"/>
  <c r="P201" i="5"/>
  <c r="N201" i="5"/>
  <c r="H201" i="5"/>
  <c r="AA200" i="5"/>
  <c r="Z200" i="5"/>
  <c r="Y200" i="5"/>
  <c r="AL200" i="5" s="1"/>
  <c r="X200" i="5"/>
  <c r="AK200" i="5" s="1"/>
  <c r="W200" i="5"/>
  <c r="V200" i="5"/>
  <c r="U200" i="5"/>
  <c r="T200" i="5"/>
  <c r="S200" i="5"/>
  <c r="R200" i="5"/>
  <c r="Q200" i="5"/>
  <c r="P200" i="5"/>
  <c r="N200" i="5"/>
  <c r="H200" i="5"/>
  <c r="AA199" i="5"/>
  <c r="AN199" i="5" s="1"/>
  <c r="Z199" i="5"/>
  <c r="Y199" i="5"/>
  <c r="X199" i="5"/>
  <c r="W199" i="5"/>
  <c r="V199" i="5"/>
  <c r="U199" i="5"/>
  <c r="T199" i="5"/>
  <c r="S199" i="5"/>
  <c r="R199" i="5"/>
  <c r="Q199" i="5"/>
  <c r="P199" i="5"/>
  <c r="N199" i="5"/>
  <c r="H199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N198" i="5"/>
  <c r="H198" i="5"/>
  <c r="AA197" i="5"/>
  <c r="AN197" i="5" s="1"/>
  <c r="Z197" i="5"/>
  <c r="Y197" i="5"/>
  <c r="X197" i="5"/>
  <c r="W197" i="5"/>
  <c r="V197" i="5"/>
  <c r="U197" i="5"/>
  <c r="T197" i="5"/>
  <c r="S197" i="5"/>
  <c r="R197" i="5"/>
  <c r="Q197" i="5"/>
  <c r="P197" i="5"/>
  <c r="N197" i="5"/>
  <c r="H197" i="5"/>
  <c r="AA196" i="5"/>
  <c r="AN196" i="5" s="1"/>
  <c r="Z196" i="5"/>
  <c r="Y196" i="5"/>
  <c r="X196" i="5"/>
  <c r="W196" i="5"/>
  <c r="V196" i="5"/>
  <c r="U196" i="5"/>
  <c r="T196" i="5"/>
  <c r="S196" i="5"/>
  <c r="R196" i="5"/>
  <c r="Q196" i="5"/>
  <c r="P196" i="5"/>
  <c r="N196" i="5"/>
  <c r="H196" i="5"/>
  <c r="AA195" i="5"/>
  <c r="AN195" i="5" s="1"/>
  <c r="Z195" i="5"/>
  <c r="Y195" i="5"/>
  <c r="X195" i="5"/>
  <c r="W195" i="5"/>
  <c r="V195" i="5"/>
  <c r="U195" i="5"/>
  <c r="T195" i="5"/>
  <c r="S195" i="5"/>
  <c r="R195" i="5"/>
  <c r="Q195" i="5"/>
  <c r="P195" i="5"/>
  <c r="N195" i="5"/>
  <c r="H195" i="5"/>
  <c r="AA194" i="5"/>
  <c r="Z194" i="5"/>
  <c r="Y194" i="5"/>
  <c r="X194" i="5"/>
  <c r="W194" i="5"/>
  <c r="V194" i="5"/>
  <c r="AJ194" i="5" s="1"/>
  <c r="U194" i="5"/>
  <c r="T194" i="5"/>
  <c r="S194" i="5"/>
  <c r="R194" i="5"/>
  <c r="Q194" i="5"/>
  <c r="P194" i="5"/>
  <c r="N194" i="5"/>
  <c r="H194" i="5"/>
  <c r="AA193" i="5"/>
  <c r="AN193" i="5" s="1"/>
  <c r="Z193" i="5"/>
  <c r="Y193" i="5"/>
  <c r="X193" i="5"/>
  <c r="W193" i="5"/>
  <c r="V193" i="5"/>
  <c r="U193" i="5"/>
  <c r="T193" i="5"/>
  <c r="S193" i="5"/>
  <c r="R193" i="5"/>
  <c r="Q193" i="5"/>
  <c r="P193" i="5"/>
  <c r="N193" i="5"/>
  <c r="H193" i="5"/>
  <c r="AA192" i="5"/>
  <c r="Z192" i="5"/>
  <c r="AM192" i="5" s="1"/>
  <c r="Y192" i="5"/>
  <c r="X192" i="5"/>
  <c r="W192" i="5"/>
  <c r="V192" i="5"/>
  <c r="U192" i="5"/>
  <c r="T192" i="5"/>
  <c r="S192" i="5"/>
  <c r="R192" i="5"/>
  <c r="Q192" i="5"/>
  <c r="P192" i="5"/>
  <c r="N192" i="5"/>
  <c r="H192" i="5"/>
  <c r="AA191" i="5"/>
  <c r="Z191" i="5"/>
  <c r="Y191" i="5"/>
  <c r="X191" i="5"/>
  <c r="W191" i="5"/>
  <c r="V191" i="5"/>
  <c r="U191" i="5"/>
  <c r="AH191" i="5" s="1"/>
  <c r="T191" i="5"/>
  <c r="S191" i="5"/>
  <c r="R191" i="5"/>
  <c r="Q191" i="5"/>
  <c r="P191" i="5"/>
  <c r="N191" i="5"/>
  <c r="H191" i="5"/>
  <c r="AA190" i="5"/>
  <c r="Z190" i="5"/>
  <c r="Y190" i="5"/>
  <c r="X190" i="5"/>
  <c r="W190" i="5"/>
  <c r="AJ190" i="5" s="1"/>
  <c r="V190" i="5"/>
  <c r="U190" i="5"/>
  <c r="T190" i="5"/>
  <c r="S190" i="5"/>
  <c r="R190" i="5"/>
  <c r="Q190" i="5"/>
  <c r="P190" i="5"/>
  <c r="N190" i="5"/>
  <c r="H190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N189" i="5"/>
  <c r="H189" i="5"/>
  <c r="AA188" i="5"/>
  <c r="Z188" i="5"/>
  <c r="Y188" i="5"/>
  <c r="X188" i="5"/>
  <c r="AK188" i="5" s="1"/>
  <c r="W188" i="5"/>
  <c r="V188" i="5"/>
  <c r="U188" i="5"/>
  <c r="T188" i="5"/>
  <c r="S188" i="5"/>
  <c r="R188" i="5"/>
  <c r="Q188" i="5"/>
  <c r="P188" i="5"/>
  <c r="N188" i="5"/>
  <c r="H188" i="5"/>
  <c r="AJ187" i="5"/>
  <c r="AA187" i="5"/>
  <c r="Z187" i="5"/>
  <c r="Y187" i="5"/>
  <c r="X187" i="5"/>
  <c r="W187" i="5"/>
  <c r="V187" i="5"/>
  <c r="AI187" i="5" s="1"/>
  <c r="U187" i="5"/>
  <c r="T187" i="5"/>
  <c r="S187" i="5"/>
  <c r="R187" i="5"/>
  <c r="Q187" i="5"/>
  <c r="P187" i="5"/>
  <c r="N187" i="5"/>
  <c r="H187" i="5"/>
  <c r="AA186" i="5"/>
  <c r="Z186" i="5"/>
  <c r="Y186" i="5"/>
  <c r="AL186" i="5" s="1"/>
  <c r="X186" i="5"/>
  <c r="W186" i="5"/>
  <c r="V186" i="5"/>
  <c r="U186" i="5"/>
  <c r="T186" i="5"/>
  <c r="S186" i="5"/>
  <c r="R186" i="5"/>
  <c r="Q186" i="5"/>
  <c r="P186" i="5"/>
  <c r="N186" i="5"/>
  <c r="H186" i="5"/>
  <c r="AA185" i="5"/>
  <c r="Z185" i="5"/>
  <c r="Y185" i="5"/>
  <c r="X185" i="5"/>
  <c r="W185" i="5"/>
  <c r="V185" i="5"/>
  <c r="U185" i="5"/>
  <c r="AH185" i="5" s="1"/>
  <c r="T185" i="5"/>
  <c r="S185" i="5"/>
  <c r="R185" i="5"/>
  <c r="Q185" i="5"/>
  <c r="P185" i="5"/>
  <c r="N185" i="5"/>
  <c r="H185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N184" i="5"/>
  <c r="H184" i="5"/>
  <c r="AA183" i="5"/>
  <c r="Z183" i="5"/>
  <c r="Y183" i="5"/>
  <c r="AL183" i="5" s="1"/>
  <c r="X183" i="5"/>
  <c r="W183" i="5"/>
  <c r="AJ183" i="5" s="1"/>
  <c r="V183" i="5"/>
  <c r="U183" i="5"/>
  <c r="T183" i="5"/>
  <c r="S183" i="5"/>
  <c r="R183" i="5"/>
  <c r="Q183" i="5"/>
  <c r="P183" i="5"/>
  <c r="N183" i="5"/>
  <c r="H183" i="5"/>
  <c r="AA182" i="5"/>
  <c r="Z182" i="5"/>
  <c r="Y182" i="5"/>
  <c r="AL182" i="5" s="1"/>
  <c r="X182" i="5"/>
  <c r="W182" i="5"/>
  <c r="AJ182" i="5" s="1"/>
  <c r="V182" i="5"/>
  <c r="U182" i="5"/>
  <c r="T182" i="5"/>
  <c r="S182" i="5"/>
  <c r="R182" i="5"/>
  <c r="Q182" i="5"/>
  <c r="P182" i="5"/>
  <c r="N182" i="5"/>
  <c r="H182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N181" i="5"/>
  <c r="H181" i="5"/>
  <c r="AA180" i="5"/>
  <c r="Z180" i="5"/>
  <c r="Y180" i="5"/>
  <c r="AM180" i="5" s="1"/>
  <c r="X180" i="5"/>
  <c r="W180" i="5"/>
  <c r="V180" i="5"/>
  <c r="U180" i="5"/>
  <c r="T180" i="5"/>
  <c r="S180" i="5"/>
  <c r="R180" i="5"/>
  <c r="Q180" i="5"/>
  <c r="P180" i="5"/>
  <c r="N180" i="5"/>
  <c r="H180" i="5"/>
  <c r="AH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N179" i="5"/>
  <c r="H179" i="5"/>
  <c r="AK178" i="5"/>
  <c r="AJ178" i="5"/>
  <c r="AA178" i="5"/>
  <c r="Z178" i="5"/>
  <c r="Y178" i="5"/>
  <c r="X178" i="5"/>
  <c r="W178" i="5"/>
  <c r="V178" i="5"/>
  <c r="AI178" i="5" s="1"/>
  <c r="U178" i="5"/>
  <c r="T178" i="5"/>
  <c r="S178" i="5"/>
  <c r="R178" i="5"/>
  <c r="Q178" i="5"/>
  <c r="P178" i="5"/>
  <c r="N178" i="5"/>
  <c r="H178" i="5"/>
  <c r="AA177" i="5"/>
  <c r="Z177" i="5"/>
  <c r="AM177" i="5" s="1"/>
  <c r="Y177" i="5"/>
  <c r="X177" i="5"/>
  <c r="W177" i="5"/>
  <c r="V177" i="5"/>
  <c r="U177" i="5"/>
  <c r="T177" i="5"/>
  <c r="S177" i="5"/>
  <c r="R177" i="5"/>
  <c r="Q177" i="5"/>
  <c r="P177" i="5"/>
  <c r="N177" i="5"/>
  <c r="H177" i="5"/>
  <c r="AA176" i="5"/>
  <c r="Z176" i="5"/>
  <c r="AM176" i="5" s="1"/>
  <c r="Y176" i="5"/>
  <c r="X176" i="5"/>
  <c r="W176" i="5"/>
  <c r="V176" i="5"/>
  <c r="U176" i="5"/>
  <c r="T176" i="5"/>
  <c r="S176" i="5"/>
  <c r="R176" i="5"/>
  <c r="Q176" i="5"/>
  <c r="P176" i="5"/>
  <c r="N176" i="5"/>
  <c r="H176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N175" i="5"/>
  <c r="H175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N174" i="5"/>
  <c r="H174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N173" i="5"/>
  <c r="H173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N172" i="5"/>
  <c r="H172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N171" i="5"/>
  <c r="H171" i="5"/>
  <c r="AA170" i="5"/>
  <c r="Z170" i="5"/>
  <c r="Y170" i="5"/>
  <c r="X170" i="5"/>
  <c r="W170" i="5"/>
  <c r="V170" i="5"/>
  <c r="AJ170" i="5" s="1"/>
  <c r="U170" i="5"/>
  <c r="T170" i="5"/>
  <c r="S170" i="5"/>
  <c r="R170" i="5"/>
  <c r="Q170" i="5"/>
  <c r="P170" i="5"/>
  <c r="N170" i="5"/>
  <c r="H170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N169" i="5"/>
  <c r="H169" i="5"/>
  <c r="AA168" i="5"/>
  <c r="Z168" i="5"/>
  <c r="Y168" i="5"/>
  <c r="X168" i="5"/>
  <c r="AK168" i="5" s="1"/>
  <c r="W168" i="5"/>
  <c r="AJ168" i="5" s="1"/>
  <c r="V168" i="5"/>
  <c r="AI168" i="5" s="1"/>
  <c r="U168" i="5"/>
  <c r="T168" i="5"/>
  <c r="S168" i="5"/>
  <c r="R168" i="5"/>
  <c r="Q168" i="5"/>
  <c r="P168" i="5"/>
  <c r="N168" i="5"/>
  <c r="H168" i="5"/>
  <c r="AA167" i="5"/>
  <c r="Z167" i="5"/>
  <c r="AM167" i="5" s="1"/>
  <c r="Y167" i="5"/>
  <c r="X167" i="5"/>
  <c r="W167" i="5"/>
  <c r="V167" i="5"/>
  <c r="U167" i="5"/>
  <c r="AH167" i="5" s="1"/>
  <c r="T167" i="5"/>
  <c r="S167" i="5"/>
  <c r="R167" i="5"/>
  <c r="Q167" i="5"/>
  <c r="P167" i="5"/>
  <c r="N167" i="5"/>
  <c r="H167" i="5"/>
  <c r="AA166" i="5"/>
  <c r="Z166" i="5"/>
  <c r="Y166" i="5"/>
  <c r="AL166" i="5" s="1"/>
  <c r="X166" i="5"/>
  <c r="W166" i="5"/>
  <c r="V166" i="5"/>
  <c r="U166" i="5"/>
  <c r="T166" i="5"/>
  <c r="S166" i="5"/>
  <c r="R166" i="5"/>
  <c r="Q166" i="5"/>
  <c r="P166" i="5"/>
  <c r="N166" i="5"/>
  <c r="H166" i="5"/>
  <c r="AA165" i="5"/>
  <c r="Z165" i="5"/>
  <c r="Y165" i="5"/>
  <c r="X165" i="5"/>
  <c r="W165" i="5"/>
  <c r="V165" i="5"/>
  <c r="U165" i="5"/>
  <c r="T165" i="5"/>
  <c r="AH165" i="5" s="1"/>
  <c r="S165" i="5"/>
  <c r="R165" i="5"/>
  <c r="Q165" i="5"/>
  <c r="P165" i="5"/>
  <c r="N165" i="5"/>
  <c r="H165" i="5"/>
  <c r="AA164" i="5"/>
  <c r="Z164" i="5"/>
  <c r="Y164" i="5"/>
  <c r="X164" i="5"/>
  <c r="W164" i="5"/>
  <c r="V164" i="5"/>
  <c r="AI164" i="5" s="1"/>
  <c r="U164" i="5"/>
  <c r="T164" i="5"/>
  <c r="S164" i="5"/>
  <c r="R164" i="5"/>
  <c r="Q164" i="5"/>
  <c r="P164" i="5"/>
  <c r="N164" i="5"/>
  <c r="H164" i="5"/>
  <c r="AA163" i="5"/>
  <c r="Z163" i="5"/>
  <c r="AN163" i="5" s="1"/>
  <c r="Y163" i="5"/>
  <c r="X163" i="5"/>
  <c r="W163" i="5"/>
  <c r="V163" i="5"/>
  <c r="AI163" i="5" s="1"/>
  <c r="U163" i="5"/>
  <c r="T163" i="5"/>
  <c r="S163" i="5"/>
  <c r="R163" i="5"/>
  <c r="Q163" i="5"/>
  <c r="P163" i="5"/>
  <c r="N163" i="5"/>
  <c r="H163" i="5"/>
  <c r="AA162" i="5"/>
  <c r="Z162" i="5"/>
  <c r="Y162" i="5"/>
  <c r="X162" i="5"/>
  <c r="W162" i="5"/>
  <c r="V162" i="5"/>
  <c r="U162" i="5"/>
  <c r="T162" i="5"/>
  <c r="S162" i="5"/>
  <c r="R162" i="5"/>
  <c r="AF162" i="5" s="1"/>
  <c r="Q162" i="5"/>
  <c r="P162" i="5"/>
  <c r="N162" i="5"/>
  <c r="H162" i="5"/>
  <c r="AA161" i="5"/>
  <c r="Z161" i="5"/>
  <c r="Y161" i="5"/>
  <c r="X161" i="5"/>
  <c r="W161" i="5"/>
  <c r="V161" i="5"/>
  <c r="AI161" i="5" s="1"/>
  <c r="U161" i="5"/>
  <c r="T161" i="5"/>
  <c r="S161" i="5"/>
  <c r="R161" i="5"/>
  <c r="Q161" i="5"/>
  <c r="P161" i="5"/>
  <c r="N161" i="5"/>
  <c r="H161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N160" i="5"/>
  <c r="H160" i="5"/>
  <c r="AA159" i="5"/>
  <c r="Z159" i="5"/>
  <c r="Y159" i="5"/>
  <c r="X159" i="5"/>
  <c r="W159" i="5"/>
  <c r="V159" i="5"/>
  <c r="U159" i="5"/>
  <c r="T159" i="5"/>
  <c r="S159" i="5"/>
  <c r="R159" i="5"/>
  <c r="AF159" i="5" s="1"/>
  <c r="Q159" i="5"/>
  <c r="P159" i="5"/>
  <c r="N159" i="5"/>
  <c r="H159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N158" i="5"/>
  <c r="H158" i="5"/>
  <c r="AA157" i="5"/>
  <c r="Z157" i="5"/>
  <c r="AN157" i="5" s="1"/>
  <c r="Y157" i="5"/>
  <c r="X157" i="5"/>
  <c r="W157" i="5"/>
  <c r="V157" i="5"/>
  <c r="AI157" i="5" s="1"/>
  <c r="U157" i="5"/>
  <c r="T157" i="5"/>
  <c r="S157" i="5"/>
  <c r="R157" i="5"/>
  <c r="Q157" i="5"/>
  <c r="P157" i="5"/>
  <c r="N157" i="5"/>
  <c r="H157" i="5"/>
  <c r="AA156" i="5"/>
  <c r="Z156" i="5"/>
  <c r="Y156" i="5"/>
  <c r="X156" i="5"/>
  <c r="W156" i="5"/>
  <c r="V156" i="5"/>
  <c r="AI156" i="5" s="1"/>
  <c r="U156" i="5"/>
  <c r="T156" i="5"/>
  <c r="S156" i="5"/>
  <c r="R156" i="5"/>
  <c r="Q156" i="5"/>
  <c r="P156" i="5"/>
  <c r="N156" i="5"/>
  <c r="H156" i="5"/>
  <c r="AH155" i="5"/>
  <c r="AA155" i="5"/>
  <c r="Z155" i="5"/>
  <c r="Y155" i="5"/>
  <c r="X155" i="5"/>
  <c r="W155" i="5"/>
  <c r="AJ155" i="5" s="1"/>
  <c r="V155" i="5"/>
  <c r="U155" i="5"/>
  <c r="T155" i="5"/>
  <c r="S155" i="5"/>
  <c r="R155" i="5"/>
  <c r="Q155" i="5"/>
  <c r="P155" i="5"/>
  <c r="N155" i="5"/>
  <c r="H155" i="5"/>
  <c r="AK154" i="5"/>
  <c r="AJ154" i="5"/>
  <c r="AI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N154" i="5"/>
  <c r="H154" i="5"/>
  <c r="AH153" i="5"/>
  <c r="AA153" i="5"/>
  <c r="AN153" i="5" s="1"/>
  <c r="Z153" i="5"/>
  <c r="Y153" i="5"/>
  <c r="X153" i="5"/>
  <c r="W153" i="5"/>
  <c r="V153" i="5"/>
  <c r="U153" i="5"/>
  <c r="T153" i="5"/>
  <c r="S153" i="5"/>
  <c r="AG153" i="5" s="1"/>
  <c r="R153" i="5"/>
  <c r="Q153" i="5"/>
  <c r="P153" i="5"/>
  <c r="N153" i="5"/>
  <c r="H153" i="5"/>
  <c r="AL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N152" i="5"/>
  <c r="H152" i="5"/>
  <c r="AA151" i="5"/>
  <c r="AN151" i="5" s="1"/>
  <c r="Z151" i="5"/>
  <c r="Y151" i="5"/>
  <c r="AL151" i="5" s="1"/>
  <c r="X151" i="5"/>
  <c r="W151" i="5"/>
  <c r="V151" i="5"/>
  <c r="U151" i="5"/>
  <c r="AH151" i="5" s="1"/>
  <c r="T151" i="5"/>
  <c r="S151" i="5"/>
  <c r="R151" i="5"/>
  <c r="Q151" i="5"/>
  <c r="P151" i="5"/>
  <c r="N151" i="5"/>
  <c r="H151" i="5"/>
  <c r="AA150" i="5"/>
  <c r="Z150" i="5"/>
  <c r="Y150" i="5"/>
  <c r="X150" i="5"/>
  <c r="AK150" i="5" s="1"/>
  <c r="W150" i="5"/>
  <c r="V150" i="5"/>
  <c r="AJ150" i="5" s="1"/>
  <c r="U150" i="5"/>
  <c r="T150" i="5"/>
  <c r="S150" i="5"/>
  <c r="R150" i="5"/>
  <c r="Q150" i="5"/>
  <c r="P150" i="5"/>
  <c r="N150" i="5"/>
  <c r="H150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N149" i="5"/>
  <c r="H149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N148" i="5"/>
  <c r="H148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N147" i="5"/>
  <c r="H147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N146" i="5"/>
  <c r="H146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N145" i="5"/>
  <c r="H145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N144" i="5"/>
  <c r="H144" i="5"/>
  <c r="AA143" i="5"/>
  <c r="Z143" i="5"/>
  <c r="Y143" i="5"/>
  <c r="X143" i="5"/>
  <c r="W143" i="5"/>
  <c r="V143" i="5"/>
  <c r="U143" i="5"/>
  <c r="T143" i="5"/>
  <c r="AH143" i="5" s="1"/>
  <c r="S143" i="5"/>
  <c r="R143" i="5"/>
  <c r="Q143" i="5"/>
  <c r="P143" i="5"/>
  <c r="N143" i="5"/>
  <c r="H143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N142" i="5"/>
  <c r="H142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N141" i="5"/>
  <c r="H141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N140" i="5"/>
  <c r="H140" i="5"/>
  <c r="AA139" i="5"/>
  <c r="Z139" i="5"/>
  <c r="AN139" i="5" s="1"/>
  <c r="Y139" i="5"/>
  <c r="X139" i="5"/>
  <c r="AK139" i="5" s="1"/>
  <c r="W139" i="5"/>
  <c r="V139" i="5"/>
  <c r="U139" i="5"/>
  <c r="T139" i="5"/>
  <c r="AH139" i="5" s="1"/>
  <c r="S139" i="5"/>
  <c r="AG139" i="5" s="1"/>
  <c r="R139" i="5"/>
  <c r="Q139" i="5"/>
  <c r="P139" i="5"/>
  <c r="N139" i="5"/>
  <c r="H139" i="5"/>
  <c r="AA138" i="5"/>
  <c r="AN138" i="5" s="1"/>
  <c r="Z138" i="5"/>
  <c r="AM138" i="5" s="1"/>
  <c r="Y138" i="5"/>
  <c r="AL138" i="5" s="1"/>
  <c r="X138" i="5"/>
  <c r="AK138" i="5" s="1"/>
  <c r="W138" i="5"/>
  <c r="V138" i="5"/>
  <c r="U138" i="5"/>
  <c r="T138" i="5"/>
  <c r="S138" i="5"/>
  <c r="R138" i="5"/>
  <c r="Q138" i="5"/>
  <c r="P138" i="5"/>
  <c r="N138" i="5"/>
  <c r="H138" i="5"/>
  <c r="AA137" i="5"/>
  <c r="Z137" i="5"/>
  <c r="Y137" i="5"/>
  <c r="X137" i="5"/>
  <c r="AK137" i="5" s="1"/>
  <c r="W137" i="5"/>
  <c r="V137" i="5"/>
  <c r="U137" i="5"/>
  <c r="T137" i="5"/>
  <c r="S137" i="5"/>
  <c r="R137" i="5"/>
  <c r="Q137" i="5"/>
  <c r="P137" i="5"/>
  <c r="N137" i="5"/>
  <c r="H137" i="5"/>
  <c r="AA136" i="5"/>
  <c r="Z136" i="5"/>
  <c r="Y136" i="5"/>
  <c r="AL136" i="5" s="1"/>
  <c r="X136" i="5"/>
  <c r="W136" i="5"/>
  <c r="V136" i="5"/>
  <c r="U136" i="5"/>
  <c r="T136" i="5"/>
  <c r="S136" i="5"/>
  <c r="R136" i="5"/>
  <c r="Q136" i="5"/>
  <c r="P136" i="5"/>
  <c r="N136" i="5"/>
  <c r="H136" i="5"/>
  <c r="AA135" i="5"/>
  <c r="Z135" i="5"/>
  <c r="Y135" i="5"/>
  <c r="X135" i="5"/>
  <c r="W135" i="5"/>
  <c r="V135" i="5"/>
  <c r="U135" i="5"/>
  <c r="T135" i="5"/>
  <c r="S135" i="5"/>
  <c r="AG135" i="5" s="1"/>
  <c r="R135" i="5"/>
  <c r="Q135" i="5"/>
  <c r="P135" i="5"/>
  <c r="N135" i="5"/>
  <c r="H135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N134" i="5"/>
  <c r="H134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N133" i="5"/>
  <c r="H133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N132" i="5"/>
  <c r="H132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N131" i="5"/>
  <c r="H131" i="5"/>
  <c r="AA130" i="5"/>
  <c r="Z130" i="5"/>
  <c r="Y130" i="5"/>
  <c r="X130" i="5"/>
  <c r="W130" i="5"/>
  <c r="AJ130" i="5" s="1"/>
  <c r="V130" i="5"/>
  <c r="U130" i="5"/>
  <c r="T130" i="5"/>
  <c r="S130" i="5"/>
  <c r="R130" i="5"/>
  <c r="Q130" i="5"/>
  <c r="P130" i="5"/>
  <c r="N130" i="5"/>
  <c r="H130" i="5"/>
  <c r="AA129" i="5"/>
  <c r="Z129" i="5"/>
  <c r="Y129" i="5"/>
  <c r="AL129" i="5" s="1"/>
  <c r="X129" i="5"/>
  <c r="W129" i="5"/>
  <c r="V129" i="5"/>
  <c r="U129" i="5"/>
  <c r="T129" i="5"/>
  <c r="S129" i="5"/>
  <c r="R129" i="5"/>
  <c r="Q129" i="5"/>
  <c r="P129" i="5"/>
  <c r="N129" i="5"/>
  <c r="H129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N128" i="5"/>
  <c r="H128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N127" i="5"/>
  <c r="H127" i="5"/>
  <c r="AA126" i="5"/>
  <c r="Z126" i="5"/>
  <c r="Y126" i="5"/>
  <c r="X126" i="5"/>
  <c r="W126" i="5"/>
  <c r="AK126" i="5" s="1"/>
  <c r="V126" i="5"/>
  <c r="U126" i="5"/>
  <c r="T126" i="5"/>
  <c r="S126" i="5"/>
  <c r="R126" i="5"/>
  <c r="Q126" i="5"/>
  <c r="P126" i="5"/>
  <c r="N126" i="5"/>
  <c r="H126" i="5"/>
  <c r="AA125" i="5"/>
  <c r="Z125" i="5"/>
  <c r="Y125" i="5"/>
  <c r="X125" i="5"/>
  <c r="W125" i="5"/>
  <c r="V125" i="5"/>
  <c r="U125" i="5"/>
  <c r="T125" i="5"/>
  <c r="S125" i="5"/>
  <c r="AG125" i="5" s="1"/>
  <c r="R125" i="5"/>
  <c r="Q125" i="5"/>
  <c r="P125" i="5"/>
  <c r="N125" i="5"/>
  <c r="H125" i="5"/>
  <c r="AA124" i="5"/>
  <c r="Z124" i="5"/>
  <c r="Y124" i="5"/>
  <c r="AM124" i="5" s="1"/>
  <c r="X124" i="5"/>
  <c r="W124" i="5"/>
  <c r="V124" i="5"/>
  <c r="U124" i="5"/>
  <c r="T124" i="5"/>
  <c r="S124" i="5"/>
  <c r="R124" i="5"/>
  <c r="Q124" i="5"/>
  <c r="P124" i="5"/>
  <c r="N124" i="5"/>
  <c r="H124" i="5"/>
  <c r="AA123" i="5"/>
  <c r="Z123" i="5"/>
  <c r="Y123" i="5"/>
  <c r="X123" i="5"/>
  <c r="W123" i="5"/>
  <c r="V123" i="5"/>
  <c r="U123" i="5"/>
  <c r="AI123" i="5" s="1"/>
  <c r="T123" i="5"/>
  <c r="S123" i="5"/>
  <c r="R123" i="5"/>
  <c r="Q123" i="5"/>
  <c r="P123" i="5"/>
  <c r="N123" i="5"/>
  <c r="H123" i="5"/>
  <c r="AA122" i="5"/>
  <c r="Z122" i="5"/>
  <c r="Y122" i="5"/>
  <c r="X122" i="5"/>
  <c r="W122" i="5"/>
  <c r="V122" i="5"/>
  <c r="U122" i="5"/>
  <c r="T122" i="5"/>
  <c r="S122" i="5"/>
  <c r="AG122" i="5" s="1"/>
  <c r="R122" i="5"/>
  <c r="Q122" i="5"/>
  <c r="P122" i="5"/>
  <c r="N122" i="5"/>
  <c r="H122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N121" i="5"/>
  <c r="H121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N120" i="5"/>
  <c r="H120" i="5"/>
  <c r="AA119" i="5"/>
  <c r="Z119" i="5"/>
  <c r="Y119" i="5"/>
  <c r="X119" i="5"/>
  <c r="W119" i="5"/>
  <c r="AK119" i="5" s="1"/>
  <c r="V119" i="5"/>
  <c r="U119" i="5"/>
  <c r="T119" i="5"/>
  <c r="S119" i="5"/>
  <c r="R119" i="5"/>
  <c r="Q119" i="5"/>
  <c r="P119" i="5"/>
  <c r="N119" i="5"/>
  <c r="H119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N118" i="5"/>
  <c r="H118" i="5"/>
  <c r="AA117" i="5"/>
  <c r="Z117" i="5"/>
  <c r="Y117" i="5"/>
  <c r="X117" i="5"/>
  <c r="W117" i="5"/>
  <c r="AK117" i="5" s="1"/>
  <c r="V117" i="5"/>
  <c r="U117" i="5"/>
  <c r="AH117" i="5" s="1"/>
  <c r="T117" i="5"/>
  <c r="S117" i="5"/>
  <c r="R117" i="5"/>
  <c r="Q117" i="5"/>
  <c r="P117" i="5"/>
  <c r="N117" i="5"/>
  <c r="H117" i="5"/>
  <c r="AA116" i="5"/>
  <c r="Z116" i="5"/>
  <c r="Y116" i="5"/>
  <c r="AM116" i="5" s="1"/>
  <c r="X116" i="5"/>
  <c r="W116" i="5"/>
  <c r="V116" i="5"/>
  <c r="U116" i="5"/>
  <c r="T116" i="5"/>
  <c r="S116" i="5"/>
  <c r="R116" i="5"/>
  <c r="Q116" i="5"/>
  <c r="P116" i="5"/>
  <c r="N116" i="5"/>
  <c r="H116" i="5"/>
  <c r="AA115" i="5"/>
  <c r="Z115" i="5"/>
  <c r="Y115" i="5"/>
  <c r="X115" i="5"/>
  <c r="W115" i="5"/>
  <c r="AJ115" i="5" s="1"/>
  <c r="V115" i="5"/>
  <c r="U115" i="5"/>
  <c r="T115" i="5"/>
  <c r="S115" i="5"/>
  <c r="R115" i="5"/>
  <c r="Q115" i="5"/>
  <c r="P115" i="5"/>
  <c r="N115" i="5"/>
  <c r="H115" i="5"/>
  <c r="AA114" i="5"/>
  <c r="Z114" i="5"/>
  <c r="Y114" i="5"/>
  <c r="X114" i="5"/>
  <c r="AL114" i="5" s="1"/>
  <c r="W114" i="5"/>
  <c r="V114" i="5"/>
  <c r="U114" i="5"/>
  <c r="AH114" i="5" s="1"/>
  <c r="T114" i="5"/>
  <c r="S114" i="5"/>
  <c r="R114" i="5"/>
  <c r="Q114" i="5"/>
  <c r="P114" i="5"/>
  <c r="N114" i="5"/>
  <c r="H114" i="5"/>
  <c r="AA113" i="5"/>
  <c r="Z113" i="5"/>
  <c r="Y113" i="5"/>
  <c r="X113" i="5"/>
  <c r="W113" i="5"/>
  <c r="V113" i="5"/>
  <c r="U113" i="5"/>
  <c r="AH113" i="5" s="1"/>
  <c r="T113" i="5"/>
  <c r="S113" i="5"/>
  <c r="R113" i="5"/>
  <c r="Q113" i="5"/>
  <c r="P113" i="5"/>
  <c r="N113" i="5"/>
  <c r="H113" i="5"/>
  <c r="AI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N112" i="5"/>
  <c r="H112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N111" i="5"/>
  <c r="H111" i="5"/>
  <c r="AA110" i="5"/>
  <c r="Z110" i="5"/>
  <c r="Y110" i="5"/>
  <c r="X110" i="5"/>
  <c r="W110" i="5"/>
  <c r="V110" i="5"/>
  <c r="AI110" i="5" s="1"/>
  <c r="U110" i="5"/>
  <c r="T110" i="5"/>
  <c r="S110" i="5"/>
  <c r="R110" i="5"/>
  <c r="Q110" i="5"/>
  <c r="P110" i="5"/>
  <c r="N110" i="5"/>
  <c r="H110" i="5"/>
  <c r="AM109" i="5"/>
  <c r="AJ109" i="5"/>
  <c r="AI109" i="5"/>
  <c r="AA109" i="5"/>
  <c r="Z109" i="5"/>
  <c r="Y109" i="5"/>
  <c r="AL109" i="5" s="1"/>
  <c r="X109" i="5"/>
  <c r="W109" i="5"/>
  <c r="AK109" i="5" s="1"/>
  <c r="V109" i="5"/>
  <c r="U109" i="5"/>
  <c r="T109" i="5"/>
  <c r="S109" i="5"/>
  <c r="R109" i="5"/>
  <c r="Q109" i="5"/>
  <c r="P109" i="5"/>
  <c r="N109" i="5"/>
  <c r="H109" i="5"/>
  <c r="AA108" i="5"/>
  <c r="Z108" i="5"/>
  <c r="Y108" i="5"/>
  <c r="X108" i="5"/>
  <c r="W108" i="5"/>
  <c r="V108" i="5"/>
  <c r="U108" i="5"/>
  <c r="T108" i="5"/>
  <c r="S108" i="5"/>
  <c r="R108" i="5"/>
  <c r="AF108" i="5" s="1"/>
  <c r="Q108" i="5"/>
  <c r="P108" i="5"/>
  <c r="N108" i="5"/>
  <c r="H108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N107" i="5"/>
  <c r="H107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N106" i="5"/>
  <c r="H106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N105" i="5"/>
  <c r="H105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N104" i="5"/>
  <c r="H104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N103" i="5"/>
  <c r="H103" i="5"/>
  <c r="AK102" i="5"/>
  <c r="AA102" i="5"/>
  <c r="Z102" i="5"/>
  <c r="Y102" i="5"/>
  <c r="X102" i="5"/>
  <c r="W102" i="5"/>
  <c r="AJ102" i="5" s="1"/>
  <c r="V102" i="5"/>
  <c r="U102" i="5"/>
  <c r="AH102" i="5" s="1"/>
  <c r="T102" i="5"/>
  <c r="S102" i="5"/>
  <c r="R102" i="5"/>
  <c r="Q102" i="5"/>
  <c r="P102" i="5"/>
  <c r="N102" i="5"/>
  <c r="H102" i="5"/>
  <c r="AA101" i="5"/>
  <c r="Z101" i="5"/>
  <c r="AM101" i="5" s="1"/>
  <c r="Y101" i="5"/>
  <c r="X101" i="5"/>
  <c r="W101" i="5"/>
  <c r="V101" i="5"/>
  <c r="U101" i="5"/>
  <c r="T101" i="5"/>
  <c r="S101" i="5"/>
  <c r="R101" i="5"/>
  <c r="Q101" i="5"/>
  <c r="P101" i="5"/>
  <c r="N101" i="5"/>
  <c r="H101" i="5"/>
  <c r="AA100" i="5"/>
  <c r="Z100" i="5"/>
  <c r="Y100" i="5"/>
  <c r="AL100" i="5" s="1"/>
  <c r="X100" i="5"/>
  <c r="AK100" i="5" s="1"/>
  <c r="W100" i="5"/>
  <c r="V100" i="5"/>
  <c r="U100" i="5"/>
  <c r="T100" i="5"/>
  <c r="S100" i="5"/>
  <c r="R100" i="5"/>
  <c r="Q100" i="5"/>
  <c r="P100" i="5"/>
  <c r="N100" i="5"/>
  <c r="H100" i="5"/>
  <c r="AA99" i="5"/>
  <c r="Z99" i="5"/>
  <c r="Y99" i="5"/>
  <c r="X99" i="5"/>
  <c r="W99" i="5"/>
  <c r="V99" i="5"/>
  <c r="U99" i="5"/>
  <c r="T99" i="5"/>
  <c r="S99" i="5"/>
  <c r="R99" i="5"/>
  <c r="Q99" i="5"/>
  <c r="P99" i="5"/>
  <c r="N99" i="5"/>
  <c r="H99" i="5"/>
  <c r="AA98" i="5"/>
  <c r="Z98" i="5"/>
  <c r="Y98" i="5"/>
  <c r="X98" i="5"/>
  <c r="AK98" i="5" s="1"/>
  <c r="W98" i="5"/>
  <c r="V98" i="5"/>
  <c r="AJ98" i="5" s="1"/>
  <c r="U98" i="5"/>
  <c r="T98" i="5"/>
  <c r="S98" i="5"/>
  <c r="R98" i="5"/>
  <c r="Q98" i="5"/>
  <c r="P98" i="5"/>
  <c r="N98" i="5"/>
  <c r="H98" i="5"/>
  <c r="AA97" i="5"/>
  <c r="AN97" i="5" s="1"/>
  <c r="Z97" i="5"/>
  <c r="AM97" i="5" s="1"/>
  <c r="Y97" i="5"/>
  <c r="X97" i="5"/>
  <c r="AL97" i="5" s="1"/>
  <c r="W97" i="5"/>
  <c r="V97" i="5"/>
  <c r="U97" i="5"/>
  <c r="T97" i="5"/>
  <c r="S97" i="5"/>
  <c r="R97" i="5"/>
  <c r="Q97" i="5"/>
  <c r="P97" i="5"/>
  <c r="N97" i="5"/>
  <c r="H97" i="5"/>
  <c r="AA96" i="5"/>
  <c r="Z96" i="5"/>
  <c r="Y96" i="5"/>
  <c r="X96" i="5"/>
  <c r="W96" i="5"/>
  <c r="V96" i="5"/>
  <c r="U96" i="5"/>
  <c r="T96" i="5"/>
  <c r="S96" i="5"/>
  <c r="R96" i="5"/>
  <c r="Q96" i="5"/>
  <c r="P96" i="5"/>
  <c r="N96" i="5"/>
  <c r="H96" i="5"/>
  <c r="AA95" i="5"/>
  <c r="Z95" i="5"/>
  <c r="Y95" i="5"/>
  <c r="X95" i="5"/>
  <c r="W95" i="5"/>
  <c r="V95" i="5"/>
  <c r="U95" i="5"/>
  <c r="T95" i="5"/>
  <c r="S95" i="5"/>
  <c r="R95" i="5"/>
  <c r="Q95" i="5"/>
  <c r="P95" i="5"/>
  <c r="N95" i="5"/>
  <c r="H95" i="5"/>
  <c r="AA94" i="5"/>
  <c r="Z94" i="5"/>
  <c r="Y94" i="5"/>
  <c r="X94" i="5"/>
  <c r="W94" i="5"/>
  <c r="V94" i="5"/>
  <c r="U94" i="5"/>
  <c r="T94" i="5"/>
  <c r="S94" i="5"/>
  <c r="R94" i="5"/>
  <c r="Q94" i="5"/>
  <c r="P94" i="5"/>
  <c r="N94" i="5"/>
  <c r="H94" i="5"/>
  <c r="AA93" i="5"/>
  <c r="Z93" i="5"/>
  <c r="Y93" i="5"/>
  <c r="X93" i="5"/>
  <c r="W93" i="5"/>
  <c r="V93" i="5"/>
  <c r="U93" i="5"/>
  <c r="T93" i="5"/>
  <c r="S93" i="5"/>
  <c r="R93" i="5"/>
  <c r="Q93" i="5"/>
  <c r="P93" i="5"/>
  <c r="N93" i="5"/>
  <c r="H93" i="5"/>
  <c r="AA92" i="5"/>
  <c r="Z92" i="5"/>
  <c r="Y92" i="5"/>
  <c r="X92" i="5"/>
  <c r="W92" i="5"/>
  <c r="V92" i="5"/>
  <c r="U92" i="5"/>
  <c r="T92" i="5"/>
  <c r="S92" i="5"/>
  <c r="R92" i="5"/>
  <c r="Q92" i="5"/>
  <c r="P92" i="5"/>
  <c r="N92" i="5"/>
  <c r="H92" i="5"/>
  <c r="AA91" i="5"/>
  <c r="Z91" i="5"/>
  <c r="Y91" i="5"/>
  <c r="X91" i="5"/>
  <c r="W91" i="5"/>
  <c r="V91" i="5"/>
  <c r="U91" i="5"/>
  <c r="T91" i="5"/>
  <c r="AG91" i="5" s="1"/>
  <c r="S91" i="5"/>
  <c r="R91" i="5"/>
  <c r="Q91" i="5"/>
  <c r="P91" i="5"/>
  <c r="N91" i="5"/>
  <c r="H91" i="5"/>
  <c r="AA90" i="5"/>
  <c r="Z90" i="5"/>
  <c r="Y90" i="5"/>
  <c r="X90" i="5"/>
  <c r="W90" i="5"/>
  <c r="V90" i="5"/>
  <c r="U90" i="5"/>
  <c r="T90" i="5"/>
  <c r="S90" i="5"/>
  <c r="R90" i="5"/>
  <c r="Q90" i="5"/>
  <c r="P90" i="5"/>
  <c r="N90" i="5"/>
  <c r="H90" i="5"/>
  <c r="AA89" i="5"/>
  <c r="Z89" i="5"/>
  <c r="AM89" i="5" s="1"/>
  <c r="Y89" i="5"/>
  <c r="X89" i="5"/>
  <c r="W89" i="5"/>
  <c r="V89" i="5"/>
  <c r="U89" i="5"/>
  <c r="T89" i="5"/>
  <c r="S89" i="5"/>
  <c r="AG89" i="5" s="1"/>
  <c r="R89" i="5"/>
  <c r="Q89" i="5"/>
  <c r="P89" i="5"/>
  <c r="N89" i="5"/>
  <c r="H89" i="5"/>
  <c r="AA88" i="5"/>
  <c r="Z88" i="5"/>
  <c r="AN88" i="5" s="1"/>
  <c r="Y88" i="5"/>
  <c r="X88" i="5"/>
  <c r="W88" i="5"/>
  <c r="V88" i="5"/>
  <c r="U88" i="5"/>
  <c r="AH88" i="5" s="1"/>
  <c r="T88" i="5"/>
  <c r="S88" i="5"/>
  <c r="R88" i="5"/>
  <c r="Q88" i="5"/>
  <c r="P88" i="5"/>
  <c r="N88" i="5"/>
  <c r="H88" i="5"/>
  <c r="AA87" i="5"/>
  <c r="Z87" i="5"/>
  <c r="Y87" i="5"/>
  <c r="X87" i="5"/>
  <c r="AL87" i="5" s="1"/>
  <c r="W87" i="5"/>
  <c r="V87" i="5"/>
  <c r="U87" i="5"/>
  <c r="AH87" i="5" s="1"/>
  <c r="T87" i="5"/>
  <c r="S87" i="5"/>
  <c r="AG87" i="5" s="1"/>
  <c r="R87" i="5"/>
  <c r="Q87" i="5"/>
  <c r="P87" i="5"/>
  <c r="N87" i="5"/>
  <c r="H87" i="5"/>
  <c r="AA86" i="5"/>
  <c r="Z86" i="5"/>
  <c r="Y86" i="5"/>
  <c r="X86" i="5"/>
  <c r="W86" i="5"/>
  <c r="AK86" i="5" s="1"/>
  <c r="V86" i="5"/>
  <c r="U86" i="5"/>
  <c r="AH86" i="5" s="1"/>
  <c r="T86" i="5"/>
  <c r="S86" i="5"/>
  <c r="R86" i="5"/>
  <c r="Q86" i="5"/>
  <c r="P86" i="5"/>
  <c r="N86" i="5"/>
  <c r="H86" i="5"/>
  <c r="AA85" i="5"/>
  <c r="Z85" i="5"/>
  <c r="Y85" i="5"/>
  <c r="X85" i="5"/>
  <c r="W85" i="5"/>
  <c r="V85" i="5"/>
  <c r="U85" i="5"/>
  <c r="T85" i="5"/>
  <c r="S85" i="5"/>
  <c r="R85" i="5"/>
  <c r="Q85" i="5"/>
  <c r="P85" i="5"/>
  <c r="N85" i="5"/>
  <c r="H85" i="5"/>
  <c r="AA84" i="5"/>
  <c r="Z84" i="5"/>
  <c r="Y84" i="5"/>
  <c r="X84" i="5"/>
  <c r="W84" i="5"/>
  <c r="V84" i="5"/>
  <c r="U84" i="5"/>
  <c r="T84" i="5"/>
  <c r="S84" i="5"/>
  <c r="R84" i="5"/>
  <c r="Q84" i="5"/>
  <c r="P84" i="5"/>
  <c r="N84" i="5"/>
  <c r="H84" i="5"/>
  <c r="AA83" i="5"/>
  <c r="Z83" i="5"/>
  <c r="Y83" i="5"/>
  <c r="X83" i="5"/>
  <c r="W83" i="5"/>
  <c r="V83" i="5"/>
  <c r="AJ83" i="5" s="1"/>
  <c r="U83" i="5"/>
  <c r="T83" i="5"/>
  <c r="S83" i="5"/>
  <c r="R83" i="5"/>
  <c r="Q83" i="5"/>
  <c r="P83" i="5"/>
  <c r="N83" i="5"/>
  <c r="H83" i="5"/>
  <c r="AA82" i="5"/>
  <c r="Z82" i="5"/>
  <c r="Y82" i="5"/>
  <c r="AM82" i="5" s="1"/>
  <c r="X82" i="5"/>
  <c r="W82" i="5"/>
  <c r="V82" i="5"/>
  <c r="AI82" i="5" s="1"/>
  <c r="U82" i="5"/>
  <c r="T82" i="5"/>
  <c r="S82" i="5"/>
  <c r="R82" i="5"/>
  <c r="Q82" i="5"/>
  <c r="P82" i="5"/>
  <c r="N82" i="5"/>
  <c r="H82" i="5"/>
  <c r="AA81" i="5"/>
  <c r="Z81" i="5"/>
  <c r="Y81" i="5"/>
  <c r="X81" i="5"/>
  <c r="W81" i="5"/>
  <c r="V81" i="5"/>
  <c r="U81" i="5"/>
  <c r="T81" i="5"/>
  <c r="S81" i="5"/>
  <c r="R81" i="5"/>
  <c r="Q81" i="5"/>
  <c r="P81" i="5"/>
  <c r="N81" i="5"/>
  <c r="H81" i="5"/>
  <c r="AA80" i="5"/>
  <c r="Z80" i="5"/>
  <c r="Y80" i="5"/>
  <c r="X80" i="5"/>
  <c r="W80" i="5"/>
  <c r="AJ80" i="5" s="1"/>
  <c r="V80" i="5"/>
  <c r="U80" i="5"/>
  <c r="T80" i="5"/>
  <c r="S80" i="5"/>
  <c r="R80" i="5"/>
  <c r="Q80" i="5"/>
  <c r="P80" i="5"/>
  <c r="N80" i="5"/>
  <c r="H80" i="5"/>
  <c r="AA79" i="5"/>
  <c r="Z79" i="5"/>
  <c r="Y79" i="5"/>
  <c r="X79" i="5"/>
  <c r="W79" i="5"/>
  <c r="V79" i="5"/>
  <c r="U79" i="5"/>
  <c r="T79" i="5"/>
  <c r="S79" i="5"/>
  <c r="R79" i="5"/>
  <c r="Q79" i="5"/>
  <c r="P79" i="5"/>
  <c r="N79" i="5"/>
  <c r="H79" i="5"/>
  <c r="AA78" i="5"/>
  <c r="Z78" i="5"/>
  <c r="Y78" i="5"/>
  <c r="X78" i="5"/>
  <c r="W78" i="5"/>
  <c r="V78" i="5"/>
  <c r="U78" i="5"/>
  <c r="T78" i="5"/>
  <c r="S78" i="5"/>
  <c r="R78" i="5"/>
  <c r="Q78" i="5"/>
  <c r="P78" i="5"/>
  <c r="N78" i="5"/>
  <c r="H78" i="5"/>
  <c r="AA77" i="5"/>
  <c r="Z77" i="5"/>
  <c r="Y77" i="5"/>
  <c r="X77" i="5"/>
  <c r="W77" i="5"/>
  <c r="V77" i="5"/>
  <c r="U77" i="5"/>
  <c r="T77" i="5"/>
  <c r="S77" i="5"/>
  <c r="R77" i="5"/>
  <c r="Q77" i="5"/>
  <c r="P77" i="5"/>
  <c r="N77" i="5"/>
  <c r="H77" i="5"/>
  <c r="AA76" i="5"/>
  <c r="Z76" i="5"/>
  <c r="Y76" i="5"/>
  <c r="X76" i="5"/>
  <c r="W76" i="5"/>
  <c r="V76" i="5"/>
  <c r="U76" i="5"/>
  <c r="T76" i="5"/>
  <c r="S76" i="5"/>
  <c r="R76" i="5"/>
  <c r="Q76" i="5"/>
  <c r="P76" i="5"/>
  <c r="N76" i="5"/>
  <c r="H76" i="5"/>
  <c r="AA75" i="5"/>
  <c r="Z75" i="5"/>
  <c r="Y75" i="5"/>
  <c r="X75" i="5"/>
  <c r="W75" i="5"/>
  <c r="V75" i="5"/>
  <c r="U75" i="5"/>
  <c r="T75" i="5"/>
  <c r="S75" i="5"/>
  <c r="R75" i="5"/>
  <c r="Q75" i="5"/>
  <c r="P75" i="5"/>
  <c r="N75" i="5"/>
  <c r="H75" i="5"/>
  <c r="AA74" i="5"/>
  <c r="Z74" i="5"/>
  <c r="Y74" i="5"/>
  <c r="X74" i="5"/>
  <c r="W74" i="5"/>
  <c r="V74" i="5"/>
  <c r="U74" i="5"/>
  <c r="AI74" i="5" s="1"/>
  <c r="T74" i="5"/>
  <c r="S74" i="5"/>
  <c r="R74" i="5"/>
  <c r="Q74" i="5"/>
  <c r="P74" i="5"/>
  <c r="N74" i="5"/>
  <c r="H74" i="5"/>
  <c r="AH73" i="5"/>
  <c r="AA73" i="5"/>
  <c r="Z73" i="5"/>
  <c r="Y73" i="5"/>
  <c r="X73" i="5"/>
  <c r="AK73" i="5" s="1"/>
  <c r="W73" i="5"/>
  <c r="V73" i="5"/>
  <c r="U73" i="5"/>
  <c r="T73" i="5"/>
  <c r="S73" i="5"/>
  <c r="R73" i="5"/>
  <c r="Q73" i="5"/>
  <c r="P73" i="5"/>
  <c r="N73" i="5"/>
  <c r="H73" i="5"/>
  <c r="AA72" i="5"/>
  <c r="Z72" i="5"/>
  <c r="Y72" i="5"/>
  <c r="X72" i="5"/>
  <c r="W72" i="5"/>
  <c r="V72" i="5"/>
  <c r="U72" i="5"/>
  <c r="T72" i="5"/>
  <c r="S72" i="5"/>
  <c r="R72" i="5"/>
  <c r="Q72" i="5"/>
  <c r="P72" i="5"/>
  <c r="N72" i="5"/>
  <c r="H72" i="5"/>
  <c r="AA71" i="5"/>
  <c r="Z71" i="5"/>
  <c r="Y71" i="5"/>
  <c r="X71" i="5"/>
  <c r="AK71" i="5" s="1"/>
  <c r="W71" i="5"/>
  <c r="V71" i="5"/>
  <c r="U71" i="5"/>
  <c r="T71" i="5"/>
  <c r="S71" i="5"/>
  <c r="R71" i="5"/>
  <c r="Q71" i="5"/>
  <c r="P71" i="5"/>
  <c r="N71" i="5"/>
  <c r="H71" i="5"/>
  <c r="AL70" i="5"/>
  <c r="AK70" i="5"/>
  <c r="AA70" i="5"/>
  <c r="Z70" i="5"/>
  <c r="AM70" i="5" s="1"/>
  <c r="Y70" i="5"/>
  <c r="X70" i="5"/>
  <c r="W70" i="5"/>
  <c r="V70" i="5"/>
  <c r="U70" i="5"/>
  <c r="T70" i="5"/>
  <c r="S70" i="5"/>
  <c r="R70" i="5"/>
  <c r="Q70" i="5"/>
  <c r="P70" i="5"/>
  <c r="N70" i="5"/>
  <c r="H70" i="5"/>
  <c r="AA69" i="5"/>
  <c r="Z69" i="5"/>
  <c r="Y69" i="5"/>
  <c r="X69" i="5"/>
  <c r="AL69" i="5" s="1"/>
  <c r="W69" i="5"/>
  <c r="V69" i="5"/>
  <c r="U69" i="5"/>
  <c r="T69" i="5"/>
  <c r="S69" i="5"/>
  <c r="R69" i="5"/>
  <c r="Q69" i="5"/>
  <c r="P69" i="5"/>
  <c r="N69" i="5"/>
  <c r="H69" i="5"/>
  <c r="AA68" i="5"/>
  <c r="Z68" i="5"/>
  <c r="Y68" i="5"/>
  <c r="X68" i="5"/>
  <c r="W68" i="5"/>
  <c r="V68" i="5"/>
  <c r="U68" i="5"/>
  <c r="T68" i="5"/>
  <c r="S68" i="5"/>
  <c r="R68" i="5"/>
  <c r="Q68" i="5"/>
  <c r="AE68" i="5" s="1"/>
  <c r="P68" i="5"/>
  <c r="N68" i="5"/>
  <c r="H68" i="5"/>
  <c r="AA67" i="5"/>
  <c r="Z67" i="5"/>
  <c r="Y67" i="5"/>
  <c r="X67" i="5"/>
  <c r="W67" i="5"/>
  <c r="V67" i="5"/>
  <c r="U67" i="5"/>
  <c r="T67" i="5"/>
  <c r="S67" i="5"/>
  <c r="R67" i="5"/>
  <c r="Q67" i="5"/>
  <c r="P67" i="5"/>
  <c r="N67" i="5"/>
  <c r="H67" i="5"/>
  <c r="AA66" i="5"/>
  <c r="Z66" i="5"/>
  <c r="Y66" i="5"/>
  <c r="X66" i="5"/>
  <c r="W66" i="5"/>
  <c r="V66" i="5"/>
  <c r="U66" i="5"/>
  <c r="T66" i="5"/>
  <c r="S66" i="5"/>
  <c r="R66" i="5"/>
  <c r="Q66" i="5"/>
  <c r="P66" i="5"/>
  <c r="N66" i="5"/>
  <c r="H66" i="5"/>
  <c r="AA65" i="5"/>
  <c r="Z65" i="5"/>
  <c r="Y65" i="5"/>
  <c r="X65" i="5"/>
  <c r="W65" i="5"/>
  <c r="V65" i="5"/>
  <c r="U65" i="5"/>
  <c r="T65" i="5"/>
  <c r="S65" i="5"/>
  <c r="R65" i="5"/>
  <c r="Q65" i="5"/>
  <c r="P65" i="5"/>
  <c r="N65" i="5"/>
  <c r="H65" i="5"/>
  <c r="AA64" i="5"/>
  <c r="Z64" i="5"/>
  <c r="Y64" i="5"/>
  <c r="X64" i="5"/>
  <c r="W64" i="5"/>
  <c r="V64" i="5"/>
  <c r="U64" i="5"/>
  <c r="T64" i="5"/>
  <c r="S64" i="5"/>
  <c r="R64" i="5"/>
  <c r="Q64" i="5"/>
  <c r="P64" i="5"/>
  <c r="N64" i="5"/>
  <c r="H64" i="5"/>
  <c r="AA63" i="5"/>
  <c r="Z63" i="5"/>
  <c r="AM63" i="5" s="1"/>
  <c r="Y63" i="5"/>
  <c r="X63" i="5"/>
  <c r="W63" i="5"/>
  <c r="V63" i="5"/>
  <c r="U63" i="5"/>
  <c r="T63" i="5"/>
  <c r="S63" i="5"/>
  <c r="R63" i="5"/>
  <c r="Q63" i="5"/>
  <c r="P63" i="5"/>
  <c r="N63" i="5"/>
  <c r="H63" i="5"/>
  <c r="AA62" i="5"/>
  <c r="Z62" i="5"/>
  <c r="AN62" i="5" s="1"/>
  <c r="Y62" i="5"/>
  <c r="X62" i="5"/>
  <c r="W62" i="5"/>
  <c r="V62" i="5"/>
  <c r="U62" i="5"/>
  <c r="T62" i="5"/>
  <c r="S62" i="5"/>
  <c r="R62" i="5"/>
  <c r="Q62" i="5"/>
  <c r="P62" i="5"/>
  <c r="N62" i="5"/>
  <c r="H62" i="5"/>
  <c r="AA61" i="5"/>
  <c r="Z61" i="5"/>
  <c r="Y61" i="5"/>
  <c r="X61" i="5"/>
  <c r="AK61" i="5" s="1"/>
  <c r="W61" i="5"/>
  <c r="V61" i="5"/>
  <c r="U61" i="5"/>
  <c r="T61" i="5"/>
  <c r="S61" i="5"/>
  <c r="R61" i="5"/>
  <c r="Q61" i="5"/>
  <c r="P61" i="5"/>
  <c r="N61" i="5"/>
  <c r="H61" i="5"/>
  <c r="AA60" i="5"/>
  <c r="Z60" i="5"/>
  <c r="Y60" i="5"/>
  <c r="X60" i="5"/>
  <c r="W60" i="5"/>
  <c r="V60" i="5"/>
  <c r="AI60" i="5" s="1"/>
  <c r="U60" i="5"/>
  <c r="T60" i="5"/>
  <c r="S60" i="5"/>
  <c r="R60" i="5"/>
  <c r="Q60" i="5"/>
  <c r="P60" i="5"/>
  <c r="N60" i="5"/>
  <c r="H60" i="5"/>
  <c r="AK59" i="5"/>
  <c r="AA59" i="5"/>
  <c r="Z59" i="5"/>
  <c r="Y59" i="5"/>
  <c r="AL59" i="5" s="1"/>
  <c r="X59" i="5"/>
  <c r="W59" i="5"/>
  <c r="AJ59" i="5" s="1"/>
  <c r="V59" i="5"/>
  <c r="U59" i="5"/>
  <c r="T59" i="5"/>
  <c r="S59" i="5"/>
  <c r="R59" i="5"/>
  <c r="Q59" i="5"/>
  <c r="P59" i="5"/>
  <c r="N59" i="5"/>
  <c r="H59" i="5"/>
  <c r="AA58" i="5"/>
  <c r="Z58" i="5"/>
  <c r="Y58" i="5"/>
  <c r="AM58" i="5" s="1"/>
  <c r="X58" i="5"/>
  <c r="W58" i="5"/>
  <c r="V58" i="5"/>
  <c r="U58" i="5"/>
  <c r="AI58" i="5" s="1"/>
  <c r="T58" i="5"/>
  <c r="S58" i="5"/>
  <c r="R58" i="5"/>
  <c r="Q58" i="5"/>
  <c r="P58" i="5"/>
  <c r="N58" i="5"/>
  <c r="H58" i="5"/>
  <c r="AA57" i="5"/>
  <c r="Z57" i="5"/>
  <c r="Y57" i="5"/>
  <c r="AL57" i="5" s="1"/>
  <c r="X57" i="5"/>
  <c r="W57" i="5"/>
  <c r="V57" i="5"/>
  <c r="U57" i="5"/>
  <c r="T57" i="5"/>
  <c r="S57" i="5"/>
  <c r="R57" i="5"/>
  <c r="Q57" i="5"/>
  <c r="P57" i="5"/>
  <c r="N57" i="5"/>
  <c r="H57" i="5"/>
  <c r="AA56" i="5"/>
  <c r="Z56" i="5"/>
  <c r="Y56" i="5"/>
  <c r="AL56" i="5" s="1"/>
  <c r="X56" i="5"/>
  <c r="W56" i="5"/>
  <c r="AJ56" i="5" s="1"/>
  <c r="V56" i="5"/>
  <c r="U56" i="5"/>
  <c r="T56" i="5"/>
  <c r="S56" i="5"/>
  <c r="R56" i="5"/>
  <c r="Q56" i="5"/>
  <c r="P56" i="5"/>
  <c r="N56" i="5"/>
  <c r="H56" i="5"/>
  <c r="AA55" i="5"/>
  <c r="Z55" i="5"/>
  <c r="Y55" i="5"/>
  <c r="X55" i="5"/>
  <c r="W55" i="5"/>
  <c r="V55" i="5"/>
  <c r="U55" i="5"/>
  <c r="T55" i="5"/>
  <c r="S55" i="5"/>
  <c r="R55" i="5"/>
  <c r="Q55" i="5"/>
  <c r="P55" i="5"/>
  <c r="N55" i="5"/>
  <c r="H55" i="5"/>
  <c r="AI54" i="5"/>
  <c r="AA54" i="5"/>
  <c r="Z54" i="5"/>
  <c r="Y54" i="5"/>
  <c r="X54" i="5"/>
  <c r="W54" i="5"/>
  <c r="V54" i="5"/>
  <c r="U54" i="5"/>
  <c r="T54" i="5"/>
  <c r="S54" i="5"/>
  <c r="R54" i="5"/>
  <c r="Q54" i="5"/>
  <c r="P54" i="5"/>
  <c r="N54" i="5"/>
  <c r="H54" i="5"/>
  <c r="AA53" i="5"/>
  <c r="Z53" i="5"/>
  <c r="Y53" i="5"/>
  <c r="AL53" i="5" s="1"/>
  <c r="X53" i="5"/>
  <c r="W53" i="5"/>
  <c r="V53" i="5"/>
  <c r="AI53" i="5" s="1"/>
  <c r="U53" i="5"/>
  <c r="T53" i="5"/>
  <c r="S53" i="5"/>
  <c r="R53" i="5"/>
  <c r="Q53" i="5"/>
  <c r="P53" i="5"/>
  <c r="N53" i="5"/>
  <c r="H53" i="5"/>
  <c r="AA52" i="5"/>
  <c r="AN52" i="5" s="1"/>
  <c r="Z52" i="5"/>
  <c r="Y52" i="5"/>
  <c r="X52" i="5"/>
  <c r="W52" i="5"/>
  <c r="V52" i="5"/>
  <c r="U52" i="5"/>
  <c r="T52" i="5"/>
  <c r="S52" i="5"/>
  <c r="R52" i="5"/>
  <c r="Q52" i="5"/>
  <c r="P52" i="5"/>
  <c r="N52" i="5"/>
  <c r="H52" i="5"/>
  <c r="AA51" i="5"/>
  <c r="AN51" i="5" s="1"/>
  <c r="Z51" i="5"/>
  <c r="Y51" i="5"/>
  <c r="X51" i="5"/>
  <c r="W51" i="5"/>
  <c r="V51" i="5"/>
  <c r="U51" i="5"/>
  <c r="T51" i="5"/>
  <c r="S51" i="5"/>
  <c r="R51" i="5"/>
  <c r="Q51" i="5"/>
  <c r="P51" i="5"/>
  <c r="N51" i="5"/>
  <c r="H51" i="5"/>
  <c r="AA50" i="5"/>
  <c r="Z50" i="5"/>
  <c r="Y50" i="5"/>
  <c r="X50" i="5"/>
  <c r="W50" i="5"/>
  <c r="V50" i="5"/>
  <c r="AI50" i="5" s="1"/>
  <c r="U50" i="5"/>
  <c r="T50" i="5"/>
  <c r="AH50" i="5" s="1"/>
  <c r="S50" i="5"/>
  <c r="R50" i="5"/>
  <c r="Q50" i="5"/>
  <c r="P50" i="5"/>
  <c r="N50" i="5"/>
  <c r="H50" i="5"/>
  <c r="AA49" i="5"/>
  <c r="Z49" i="5"/>
  <c r="Y49" i="5"/>
  <c r="X49" i="5"/>
  <c r="W49" i="5"/>
  <c r="V49" i="5"/>
  <c r="U49" i="5"/>
  <c r="T49" i="5"/>
  <c r="S49" i="5"/>
  <c r="R49" i="5"/>
  <c r="Q49" i="5"/>
  <c r="P49" i="5"/>
  <c r="N49" i="5"/>
  <c r="H49" i="5"/>
  <c r="AA48" i="5"/>
  <c r="Z48" i="5"/>
  <c r="Y48" i="5"/>
  <c r="X48" i="5"/>
  <c r="W48" i="5"/>
  <c r="V48" i="5"/>
  <c r="U48" i="5"/>
  <c r="T48" i="5"/>
  <c r="S48" i="5"/>
  <c r="R48" i="5"/>
  <c r="Q48" i="5"/>
  <c r="P48" i="5"/>
  <c r="N48" i="5"/>
  <c r="H48" i="5"/>
  <c r="AA47" i="5"/>
  <c r="Z47" i="5"/>
  <c r="Y47" i="5"/>
  <c r="X47" i="5"/>
  <c r="W47" i="5"/>
  <c r="V47" i="5"/>
  <c r="U47" i="5"/>
  <c r="T47" i="5"/>
  <c r="S47" i="5"/>
  <c r="AG47" i="5" s="1"/>
  <c r="R47" i="5"/>
  <c r="Q47" i="5"/>
  <c r="P47" i="5"/>
  <c r="N47" i="5"/>
  <c r="H47" i="5"/>
  <c r="AA46" i="5"/>
  <c r="Z46" i="5"/>
  <c r="Y46" i="5"/>
  <c r="X46" i="5"/>
  <c r="W46" i="5"/>
  <c r="V46" i="5"/>
  <c r="U46" i="5"/>
  <c r="T46" i="5"/>
  <c r="S46" i="5"/>
  <c r="R46" i="5"/>
  <c r="Q46" i="5"/>
  <c r="P46" i="5"/>
  <c r="N46" i="5"/>
  <c r="H46" i="5"/>
  <c r="AA45" i="5"/>
  <c r="Z45" i="5"/>
  <c r="Y45" i="5"/>
  <c r="X45" i="5"/>
  <c r="W45" i="5"/>
  <c r="V45" i="5"/>
  <c r="U45" i="5"/>
  <c r="T45" i="5"/>
  <c r="S45" i="5"/>
  <c r="R45" i="5"/>
  <c r="Q45" i="5"/>
  <c r="P45" i="5"/>
  <c r="N45" i="5"/>
  <c r="H45" i="5"/>
  <c r="AA44" i="5"/>
  <c r="Z44" i="5"/>
  <c r="Y44" i="5"/>
  <c r="X44" i="5"/>
  <c r="W44" i="5"/>
  <c r="V44" i="5"/>
  <c r="U44" i="5"/>
  <c r="T44" i="5"/>
  <c r="S44" i="5"/>
  <c r="R44" i="5"/>
  <c r="Q44" i="5"/>
  <c r="P44" i="5"/>
  <c r="N44" i="5"/>
  <c r="H44" i="5"/>
  <c r="AA43" i="5"/>
  <c r="Z43" i="5"/>
  <c r="Y43" i="5"/>
  <c r="X43" i="5"/>
  <c r="W43" i="5"/>
  <c r="V43" i="5"/>
  <c r="U43" i="5"/>
  <c r="T43" i="5"/>
  <c r="S43" i="5"/>
  <c r="R43" i="5"/>
  <c r="Q43" i="5"/>
  <c r="P43" i="5"/>
  <c r="N43" i="5"/>
  <c r="H43" i="5"/>
  <c r="AA42" i="5"/>
  <c r="Z42" i="5"/>
  <c r="Y42" i="5"/>
  <c r="X42" i="5"/>
  <c r="W42" i="5"/>
  <c r="V42" i="5"/>
  <c r="AI42" i="5" s="1"/>
  <c r="U42" i="5"/>
  <c r="T42" i="5"/>
  <c r="S42" i="5"/>
  <c r="R42" i="5"/>
  <c r="Q42" i="5"/>
  <c r="P42" i="5"/>
  <c r="N42" i="5"/>
  <c r="H42" i="5"/>
  <c r="AA41" i="5"/>
  <c r="AN41" i="5" s="1"/>
  <c r="Z41" i="5"/>
  <c r="Y41" i="5"/>
  <c r="AL41" i="5" s="1"/>
  <c r="X41" i="5"/>
  <c r="AK41" i="5" s="1"/>
  <c r="W41" i="5"/>
  <c r="AJ41" i="5" s="1"/>
  <c r="V41" i="5"/>
  <c r="U41" i="5"/>
  <c r="T41" i="5"/>
  <c r="S41" i="5"/>
  <c r="R41" i="5"/>
  <c r="Q41" i="5"/>
  <c r="P41" i="5"/>
  <c r="N41" i="5"/>
  <c r="H41" i="5"/>
  <c r="AA40" i="5"/>
  <c r="Z40" i="5"/>
  <c r="Y40" i="5"/>
  <c r="X40" i="5"/>
  <c r="AK40" i="5" s="1"/>
  <c r="W40" i="5"/>
  <c r="V40" i="5"/>
  <c r="U40" i="5"/>
  <c r="T40" i="5"/>
  <c r="S40" i="5"/>
  <c r="R40" i="5"/>
  <c r="Q40" i="5"/>
  <c r="P40" i="5"/>
  <c r="N40" i="5"/>
  <c r="H40" i="5"/>
  <c r="AA39" i="5"/>
  <c r="Z39" i="5"/>
  <c r="AN39" i="5" s="1"/>
  <c r="Y39" i="5"/>
  <c r="X39" i="5"/>
  <c r="W39" i="5"/>
  <c r="V39" i="5"/>
  <c r="U39" i="5"/>
  <c r="T39" i="5"/>
  <c r="S39" i="5"/>
  <c r="R39" i="5"/>
  <c r="Q39" i="5"/>
  <c r="P39" i="5"/>
  <c r="N39" i="5"/>
  <c r="H39" i="5"/>
  <c r="AA38" i="5"/>
  <c r="Z38" i="5"/>
  <c r="Y38" i="5"/>
  <c r="X38" i="5"/>
  <c r="AL38" i="5" s="1"/>
  <c r="W38" i="5"/>
  <c r="V38" i="5"/>
  <c r="U38" i="5"/>
  <c r="T38" i="5"/>
  <c r="S38" i="5"/>
  <c r="R38" i="5"/>
  <c r="Q38" i="5"/>
  <c r="P38" i="5"/>
  <c r="N38" i="5"/>
  <c r="H38" i="5"/>
  <c r="AA37" i="5"/>
  <c r="Z37" i="5"/>
  <c r="Y37" i="5"/>
  <c r="X37" i="5"/>
  <c r="W37" i="5"/>
  <c r="V37" i="5"/>
  <c r="AI37" i="5" s="1"/>
  <c r="U37" i="5"/>
  <c r="T37" i="5"/>
  <c r="S37" i="5"/>
  <c r="R37" i="5"/>
  <c r="Q37" i="5"/>
  <c r="P37" i="5"/>
  <c r="N37" i="5"/>
  <c r="H37" i="5"/>
  <c r="AA36" i="5"/>
  <c r="Z36" i="5"/>
  <c r="Y36" i="5"/>
  <c r="X36" i="5"/>
  <c r="W36" i="5"/>
  <c r="V36" i="5"/>
  <c r="U36" i="5"/>
  <c r="T36" i="5"/>
  <c r="S36" i="5"/>
  <c r="R36" i="5"/>
  <c r="Q36" i="5"/>
  <c r="P36" i="5"/>
  <c r="N36" i="5"/>
  <c r="H36" i="5"/>
  <c r="AA35" i="5"/>
  <c r="Z35" i="5"/>
  <c r="Y35" i="5"/>
  <c r="X35" i="5"/>
  <c r="W35" i="5"/>
  <c r="V35" i="5"/>
  <c r="AI35" i="5" s="1"/>
  <c r="U35" i="5"/>
  <c r="T35" i="5"/>
  <c r="S35" i="5"/>
  <c r="R35" i="5"/>
  <c r="Q35" i="5"/>
  <c r="P35" i="5"/>
  <c r="N35" i="5"/>
  <c r="H35" i="5"/>
  <c r="AA34" i="5"/>
  <c r="Z34" i="5"/>
  <c r="Y34" i="5"/>
  <c r="X34" i="5"/>
  <c r="W34" i="5"/>
  <c r="V34" i="5"/>
  <c r="AI34" i="5" s="1"/>
  <c r="U34" i="5"/>
  <c r="T34" i="5"/>
  <c r="S34" i="5"/>
  <c r="R34" i="5"/>
  <c r="Q34" i="5"/>
  <c r="P34" i="5"/>
  <c r="N34" i="5"/>
  <c r="H34" i="5"/>
  <c r="AA33" i="5"/>
  <c r="Z33" i="5"/>
  <c r="Y33" i="5"/>
  <c r="X33" i="5"/>
  <c r="W33" i="5"/>
  <c r="V33" i="5"/>
  <c r="U33" i="5"/>
  <c r="T33" i="5"/>
  <c r="S33" i="5"/>
  <c r="R33" i="5"/>
  <c r="Q33" i="5"/>
  <c r="P33" i="5"/>
  <c r="N33" i="5"/>
  <c r="H33" i="5"/>
  <c r="AA32" i="5"/>
  <c r="Z32" i="5"/>
  <c r="Y32" i="5"/>
  <c r="X32" i="5"/>
  <c r="W32" i="5"/>
  <c r="V32" i="5"/>
  <c r="U32" i="5"/>
  <c r="T32" i="5"/>
  <c r="S32" i="5"/>
  <c r="R32" i="5"/>
  <c r="Q32" i="5"/>
  <c r="P32" i="5"/>
  <c r="N32" i="5"/>
  <c r="H32" i="5"/>
  <c r="AA31" i="5"/>
  <c r="Z31" i="5"/>
  <c r="Y31" i="5"/>
  <c r="X31" i="5"/>
  <c r="W31" i="5"/>
  <c r="V31" i="5"/>
  <c r="U31" i="5"/>
  <c r="T31" i="5"/>
  <c r="S31" i="5"/>
  <c r="R31" i="5"/>
  <c r="Q31" i="5"/>
  <c r="P31" i="5"/>
  <c r="N31" i="5"/>
  <c r="H31" i="5"/>
  <c r="AA30" i="5"/>
  <c r="Z30" i="5"/>
  <c r="Y30" i="5"/>
  <c r="X30" i="5"/>
  <c r="W30" i="5"/>
  <c r="V30" i="5"/>
  <c r="U30" i="5"/>
  <c r="T30" i="5"/>
  <c r="S30" i="5"/>
  <c r="R30" i="5"/>
  <c r="Q30" i="5"/>
  <c r="P30" i="5"/>
  <c r="N30" i="5"/>
  <c r="H30" i="5"/>
  <c r="AI29" i="5"/>
  <c r="AA29" i="5"/>
  <c r="Z29" i="5"/>
  <c r="Y29" i="5"/>
  <c r="X29" i="5"/>
  <c r="W29" i="5"/>
  <c r="AK29" i="5" s="1"/>
  <c r="V29" i="5"/>
  <c r="U29" i="5"/>
  <c r="T29" i="5"/>
  <c r="S29" i="5"/>
  <c r="AG29" i="5" s="1"/>
  <c r="R29" i="5"/>
  <c r="Q29" i="5"/>
  <c r="P29" i="5"/>
  <c r="N29" i="5"/>
  <c r="H29" i="5"/>
  <c r="AA28" i="5"/>
  <c r="Z28" i="5"/>
  <c r="Y28" i="5"/>
  <c r="X28" i="5"/>
  <c r="W28" i="5"/>
  <c r="V28" i="5"/>
  <c r="U28" i="5"/>
  <c r="T28" i="5"/>
  <c r="S28" i="5"/>
  <c r="R28" i="5"/>
  <c r="Q28" i="5"/>
  <c r="P28" i="5"/>
  <c r="N28" i="5"/>
  <c r="H28" i="5"/>
  <c r="AJ27" i="5"/>
  <c r="AA27" i="5"/>
  <c r="Z27" i="5"/>
  <c r="Y27" i="5"/>
  <c r="AL27" i="5" s="1"/>
  <c r="X27" i="5"/>
  <c r="W27" i="5"/>
  <c r="V27" i="5"/>
  <c r="U27" i="5"/>
  <c r="T27" i="5"/>
  <c r="S27" i="5"/>
  <c r="R27" i="5"/>
  <c r="Q27" i="5"/>
  <c r="P27" i="5"/>
  <c r="N27" i="5"/>
  <c r="H27" i="5"/>
  <c r="AJ26" i="5"/>
  <c r="AA26" i="5"/>
  <c r="Z26" i="5"/>
  <c r="Y26" i="5"/>
  <c r="X26" i="5"/>
  <c r="W26" i="5"/>
  <c r="V26" i="5"/>
  <c r="U26" i="5"/>
  <c r="T26" i="5"/>
  <c r="S26" i="5"/>
  <c r="R26" i="5"/>
  <c r="Q26" i="5"/>
  <c r="P26" i="5"/>
  <c r="N26" i="5"/>
  <c r="H26" i="5"/>
  <c r="AN25" i="5"/>
  <c r="AM25" i="5"/>
  <c r="AA25" i="5"/>
  <c r="Z25" i="5"/>
  <c r="Y25" i="5"/>
  <c r="X25" i="5"/>
  <c r="W25" i="5"/>
  <c r="V25" i="5"/>
  <c r="AI25" i="5" s="1"/>
  <c r="U25" i="5"/>
  <c r="T25" i="5"/>
  <c r="AH25" i="5" s="1"/>
  <c r="S25" i="5"/>
  <c r="R25" i="5"/>
  <c r="Q25" i="5"/>
  <c r="P25" i="5"/>
  <c r="N25" i="5"/>
  <c r="H25" i="5"/>
  <c r="AA24" i="5"/>
  <c r="Z24" i="5"/>
  <c r="Y24" i="5"/>
  <c r="X24" i="5"/>
  <c r="W24" i="5"/>
  <c r="V24" i="5"/>
  <c r="U24" i="5"/>
  <c r="T24" i="5"/>
  <c r="S24" i="5"/>
  <c r="AG24" i="5" s="1"/>
  <c r="R24" i="5"/>
  <c r="Q24" i="5"/>
  <c r="P24" i="5"/>
  <c r="N24" i="5"/>
  <c r="H24" i="5"/>
  <c r="AA23" i="5"/>
  <c r="Z23" i="5"/>
  <c r="Y23" i="5"/>
  <c r="X23" i="5"/>
  <c r="W23" i="5"/>
  <c r="V23" i="5"/>
  <c r="U23" i="5"/>
  <c r="T23" i="5"/>
  <c r="S23" i="5"/>
  <c r="AG23" i="5" s="1"/>
  <c r="R23" i="5"/>
  <c r="Q23" i="5"/>
  <c r="P23" i="5"/>
  <c r="N23" i="5"/>
  <c r="H23" i="5"/>
  <c r="AA22" i="5"/>
  <c r="Z22" i="5"/>
  <c r="Y22" i="5"/>
  <c r="X22" i="5"/>
  <c r="W22" i="5"/>
  <c r="V22" i="5"/>
  <c r="U22" i="5"/>
  <c r="T22" i="5"/>
  <c r="S22" i="5"/>
  <c r="R22" i="5"/>
  <c r="Q22" i="5"/>
  <c r="P22" i="5"/>
  <c r="N22" i="5"/>
  <c r="H22" i="5"/>
  <c r="AA21" i="5"/>
  <c r="Z21" i="5"/>
  <c r="Y21" i="5"/>
  <c r="X21" i="5"/>
  <c r="W21" i="5"/>
  <c r="V21" i="5"/>
  <c r="U21" i="5"/>
  <c r="T21" i="5"/>
  <c r="S21" i="5"/>
  <c r="AG21" i="5" s="1"/>
  <c r="R21" i="5"/>
  <c r="Q21" i="5"/>
  <c r="P21" i="5"/>
  <c r="N21" i="5"/>
  <c r="H21" i="5"/>
  <c r="AA20" i="5"/>
  <c r="Z20" i="5"/>
  <c r="Y20" i="5"/>
  <c r="X20" i="5"/>
  <c r="W20" i="5"/>
  <c r="V20" i="5"/>
  <c r="U20" i="5"/>
  <c r="T20" i="5"/>
  <c r="S20" i="5"/>
  <c r="AG20" i="5" s="1"/>
  <c r="R20" i="5"/>
  <c r="Q20" i="5"/>
  <c r="P20" i="5"/>
  <c r="N20" i="5"/>
  <c r="H20" i="5"/>
  <c r="AA19" i="5"/>
  <c r="Z19" i="5"/>
  <c r="Y19" i="5"/>
  <c r="AL19" i="5" s="1"/>
  <c r="X19" i="5"/>
  <c r="W19" i="5"/>
  <c r="V19" i="5"/>
  <c r="U19" i="5"/>
  <c r="T19" i="5"/>
  <c r="S19" i="5"/>
  <c r="R19" i="5"/>
  <c r="Q19" i="5"/>
  <c r="P19" i="5"/>
  <c r="N19" i="5"/>
  <c r="H19" i="5"/>
  <c r="AA18" i="5"/>
  <c r="Z18" i="5"/>
  <c r="Y18" i="5"/>
  <c r="X18" i="5"/>
  <c r="W18" i="5"/>
  <c r="V18" i="5"/>
  <c r="U18" i="5"/>
  <c r="T18" i="5"/>
  <c r="S18" i="5"/>
  <c r="R18" i="5"/>
  <c r="Q18" i="5"/>
  <c r="P18" i="5"/>
  <c r="N18" i="5"/>
  <c r="H18" i="5"/>
  <c r="AA17" i="5"/>
  <c r="Z17" i="5"/>
  <c r="Y17" i="5"/>
  <c r="X17" i="5"/>
  <c r="W17" i="5"/>
  <c r="V17" i="5"/>
  <c r="U17" i="5"/>
  <c r="T17" i="5"/>
  <c r="S17" i="5"/>
  <c r="R17" i="5"/>
  <c r="Q17" i="5"/>
  <c r="P17" i="5"/>
  <c r="N17" i="5"/>
  <c r="H17" i="5"/>
  <c r="AA16" i="5"/>
  <c r="AN16" i="5" s="1"/>
  <c r="Z16" i="5"/>
  <c r="Y16" i="5"/>
  <c r="X16" i="5"/>
  <c r="W16" i="5"/>
  <c r="V16" i="5"/>
  <c r="U16" i="5"/>
  <c r="T16" i="5"/>
  <c r="S16" i="5"/>
  <c r="AG16" i="5" s="1"/>
  <c r="R16" i="5"/>
  <c r="Q16" i="5"/>
  <c r="P16" i="5"/>
  <c r="N16" i="5"/>
  <c r="H16" i="5"/>
  <c r="AA15" i="5"/>
  <c r="Z15" i="5"/>
  <c r="Y15" i="5"/>
  <c r="X15" i="5"/>
  <c r="W15" i="5"/>
  <c r="V15" i="5"/>
  <c r="U15" i="5"/>
  <c r="T15" i="5"/>
  <c r="S15" i="5"/>
  <c r="R15" i="5"/>
  <c r="Q15" i="5"/>
  <c r="P15" i="5"/>
  <c r="N15" i="5"/>
  <c r="H15" i="5"/>
  <c r="AA14" i="5"/>
  <c r="AN14" i="5" s="1"/>
  <c r="Z14" i="5"/>
  <c r="Y14" i="5"/>
  <c r="AL14" i="5" s="1"/>
  <c r="X14" i="5"/>
  <c r="W14" i="5"/>
  <c r="AJ14" i="5" s="1"/>
  <c r="V14" i="5"/>
  <c r="U14" i="5"/>
  <c r="T14" i="5"/>
  <c r="S14" i="5"/>
  <c r="R14" i="5"/>
  <c r="Q14" i="5"/>
  <c r="P14" i="5"/>
  <c r="N14" i="5"/>
  <c r="H14" i="5"/>
  <c r="AA13" i="5"/>
  <c r="Z13" i="5"/>
  <c r="Y13" i="5"/>
  <c r="X13" i="5"/>
  <c r="W13" i="5"/>
  <c r="V13" i="5"/>
  <c r="U13" i="5"/>
  <c r="AI13" i="5" s="1"/>
  <c r="T13" i="5"/>
  <c r="AH13" i="5" s="1"/>
  <c r="S13" i="5"/>
  <c r="R13" i="5"/>
  <c r="Q13" i="5"/>
  <c r="P13" i="5"/>
  <c r="N13" i="5"/>
  <c r="H13" i="5"/>
  <c r="AA12" i="5"/>
  <c r="Z12" i="5"/>
  <c r="Y12" i="5"/>
  <c r="X12" i="5"/>
  <c r="AK12" i="5" s="1"/>
  <c r="W12" i="5"/>
  <c r="V12" i="5"/>
  <c r="U12" i="5"/>
  <c r="T12" i="5"/>
  <c r="AH12" i="5" s="1"/>
  <c r="S12" i="5"/>
  <c r="R12" i="5"/>
  <c r="Q12" i="5"/>
  <c r="P12" i="5"/>
  <c r="N12" i="5"/>
  <c r="H12" i="5"/>
  <c r="AA11" i="5"/>
  <c r="Z11" i="5"/>
  <c r="AM11" i="5" s="1"/>
  <c r="Y11" i="5"/>
  <c r="X11" i="5"/>
  <c r="W11" i="5"/>
  <c r="V11" i="5"/>
  <c r="U11" i="5"/>
  <c r="T11" i="5"/>
  <c r="S11" i="5"/>
  <c r="AG11" i="5" s="1"/>
  <c r="R11" i="5"/>
  <c r="Q11" i="5"/>
  <c r="P11" i="5"/>
  <c r="N11" i="5"/>
  <c r="H11" i="5"/>
  <c r="AA10" i="5"/>
  <c r="Z10" i="5"/>
  <c r="AN10" i="5" s="1"/>
  <c r="Y10" i="5"/>
  <c r="X10" i="5"/>
  <c r="W10" i="5"/>
  <c r="V10" i="5"/>
  <c r="U10" i="5"/>
  <c r="T10" i="5"/>
  <c r="S10" i="5"/>
  <c r="R10" i="5"/>
  <c r="Q10" i="5"/>
  <c r="P10" i="5"/>
  <c r="N10" i="5"/>
  <c r="H10" i="5"/>
  <c r="AA9" i="5"/>
  <c r="Z9" i="5"/>
  <c r="Y9" i="5"/>
  <c r="X9" i="5"/>
  <c r="W9" i="5"/>
  <c r="V9" i="5"/>
  <c r="U9" i="5"/>
  <c r="T9" i="5"/>
  <c r="S9" i="5"/>
  <c r="R9" i="5"/>
  <c r="Q9" i="5"/>
  <c r="P9" i="5"/>
  <c r="N9" i="5"/>
  <c r="H9" i="5"/>
  <c r="AA8" i="5"/>
  <c r="Z8" i="5"/>
  <c r="Y8" i="5"/>
  <c r="X8" i="5"/>
  <c r="W8" i="5"/>
  <c r="V8" i="5"/>
  <c r="U8" i="5"/>
  <c r="T8" i="5"/>
  <c r="S8" i="5"/>
  <c r="AG8" i="5" s="1"/>
  <c r="R8" i="5"/>
  <c r="Q8" i="5"/>
  <c r="P8" i="5"/>
  <c r="N8" i="5"/>
  <c r="H8" i="5"/>
  <c r="AA7" i="5"/>
  <c r="Z7" i="5"/>
  <c r="Y7" i="5"/>
  <c r="X7" i="5"/>
  <c r="W7" i="5"/>
  <c r="V7" i="5"/>
  <c r="U7" i="5"/>
  <c r="T7" i="5"/>
  <c r="S7" i="5"/>
  <c r="R7" i="5"/>
  <c r="Q7" i="5"/>
  <c r="P7" i="5"/>
  <c r="N7" i="5"/>
  <c r="H7" i="5"/>
  <c r="AA6" i="5"/>
  <c r="AN6" i="5" s="1"/>
  <c r="Z6" i="5"/>
  <c r="Y6" i="5"/>
  <c r="X6" i="5"/>
  <c r="AK6" i="5" s="1"/>
  <c r="W6" i="5"/>
  <c r="AJ6" i="5" s="1"/>
  <c r="V6" i="5"/>
  <c r="AI6" i="5" s="1"/>
  <c r="U6" i="5"/>
  <c r="T6" i="5"/>
  <c r="S6" i="5"/>
  <c r="R6" i="5"/>
  <c r="Q6" i="5"/>
  <c r="P6" i="5"/>
  <c r="N6" i="5"/>
  <c r="H6" i="5"/>
  <c r="AA5" i="5"/>
  <c r="Z5" i="5"/>
  <c r="Y5" i="5"/>
  <c r="AL5" i="5" s="1"/>
  <c r="X5" i="5"/>
  <c r="AK5" i="5" s="1"/>
  <c r="W5" i="5"/>
  <c r="V5" i="5"/>
  <c r="AJ5" i="5" s="1"/>
  <c r="U5" i="5"/>
  <c r="AI5" i="5" s="1"/>
  <c r="T5" i="5"/>
  <c r="S5" i="5"/>
  <c r="R5" i="5"/>
  <c r="Q5" i="5"/>
  <c r="P5" i="5"/>
  <c r="N5" i="5"/>
  <c r="H5" i="5"/>
  <c r="C9" i="2"/>
  <c r="B39" i="11"/>
  <c r="B40" i="11"/>
  <c r="B41" i="11"/>
  <c r="AI137" i="5" l="1"/>
  <c r="AN167" i="5"/>
  <c r="AN191" i="5"/>
  <c r="AL196" i="5"/>
  <c r="AJ202" i="5"/>
  <c r="AK10" i="5"/>
  <c r="AI16" i="5"/>
  <c r="AI18" i="5"/>
  <c r="AH21" i="5"/>
  <c r="AH23" i="5"/>
  <c r="AJ47" i="5"/>
  <c r="AK48" i="5"/>
  <c r="AG68" i="5"/>
  <c r="AN91" i="5"/>
  <c r="AN95" i="5"/>
  <c r="AH104" i="5"/>
  <c r="AG109" i="5"/>
  <c r="AN137" i="5"/>
  <c r="AJ140" i="5"/>
  <c r="AK141" i="5"/>
  <c r="AG179" i="5"/>
  <c r="AN192" i="5"/>
  <c r="AM194" i="5"/>
  <c r="AM200" i="5"/>
  <c r="AK202" i="5"/>
  <c r="AM10" i="5"/>
  <c r="AK16" i="5"/>
  <c r="AJ23" i="5"/>
  <c r="AJ24" i="5"/>
  <c r="AM43" i="5"/>
  <c r="AM46" i="5"/>
  <c r="AI65" i="5"/>
  <c r="AH66" i="5"/>
  <c r="AH67" i="5"/>
  <c r="AG72" i="5"/>
  <c r="AL101" i="5"/>
  <c r="AL102" i="5"/>
  <c r="AI106" i="5"/>
  <c r="AI107" i="5"/>
  <c r="AI108" i="5"/>
  <c r="AL141" i="5"/>
  <c r="AI153" i="5"/>
  <c r="AH154" i="5"/>
  <c r="AL170" i="5"/>
  <c r="AL174" i="5"/>
  <c r="AM203" i="5"/>
  <c r="AN187" i="5"/>
  <c r="AM188" i="5"/>
  <c r="AL189" i="5"/>
  <c r="AM33" i="5"/>
  <c r="AN116" i="5"/>
  <c r="AN126" i="5"/>
  <c r="AN128" i="5"/>
  <c r="AG175" i="5"/>
  <c r="AM84" i="5"/>
  <c r="AM133" i="5"/>
  <c r="AH141" i="5"/>
  <c r="AN164" i="5"/>
  <c r="AN166" i="5"/>
  <c r="AH169" i="5"/>
  <c r="AH171" i="5"/>
  <c r="AI48" i="5"/>
  <c r="AN89" i="5"/>
  <c r="AN133" i="5"/>
  <c r="AL168" i="5"/>
  <c r="AM13" i="5"/>
  <c r="AM17" i="5"/>
  <c r="AM18" i="5"/>
  <c r="AL20" i="5"/>
  <c r="AG35" i="5"/>
  <c r="AG36" i="5"/>
  <c r="AN45" i="5"/>
  <c r="AN48" i="5"/>
  <c r="AN49" i="5"/>
  <c r="AN50" i="5"/>
  <c r="AJ60" i="5"/>
  <c r="AJ63" i="5"/>
  <c r="AJ64" i="5"/>
  <c r="AJ65" i="5"/>
  <c r="AJ68" i="5"/>
  <c r="AF85" i="5"/>
  <c r="AL105" i="5"/>
  <c r="AH124" i="5"/>
  <c r="AN143" i="5"/>
  <c r="AN150" i="5"/>
  <c r="AM151" i="5"/>
  <c r="AG157" i="5"/>
  <c r="AG165" i="5"/>
  <c r="AJ179" i="5"/>
  <c r="AI180" i="5"/>
  <c r="AH187" i="5"/>
  <c r="AG189" i="5"/>
  <c r="AN26" i="5"/>
  <c r="AN61" i="5"/>
  <c r="AN70" i="5"/>
  <c r="AK74" i="5"/>
  <c r="AK75" i="5"/>
  <c r="AK79" i="5"/>
  <c r="AL111" i="5"/>
  <c r="AK113" i="5"/>
  <c r="AK124" i="5"/>
  <c r="AK125" i="5"/>
  <c r="AM184" i="5"/>
  <c r="AI191" i="5"/>
  <c r="AD204" i="5"/>
  <c r="AD205" i="5"/>
  <c r="AD210" i="5"/>
  <c r="AD211" i="5"/>
  <c r="AD213" i="5"/>
  <c r="AD214" i="5"/>
  <c r="AD217" i="5"/>
  <c r="AD218" i="5"/>
  <c r="AD222" i="5"/>
  <c r="AD223" i="5"/>
  <c r="AD224" i="5"/>
  <c r="AD225" i="5"/>
  <c r="AE231" i="5"/>
  <c r="AF232" i="5"/>
  <c r="AL118" i="5"/>
  <c r="AL122" i="5"/>
  <c r="AL123" i="5"/>
  <c r="AJ135" i="5"/>
  <c r="AK166" i="5"/>
  <c r="AK190" i="5"/>
  <c r="AE204" i="5"/>
  <c r="AE205" i="5"/>
  <c r="AE206" i="5"/>
  <c r="AE207" i="5"/>
  <c r="AE208" i="5"/>
  <c r="AE209" i="5"/>
  <c r="AE210" i="5"/>
  <c r="AE211" i="5"/>
  <c r="AE213" i="5"/>
  <c r="AE214" i="5"/>
  <c r="AE215" i="5"/>
  <c r="AE217" i="5"/>
  <c r="AE218" i="5"/>
  <c r="AE219" i="5"/>
  <c r="AE220" i="5"/>
  <c r="AE221" i="5"/>
  <c r="AE222" i="5"/>
  <c r="AE223" i="5"/>
  <c r="AE224" i="5"/>
  <c r="AE225" i="5"/>
  <c r="AE226" i="5"/>
  <c r="AE227" i="5"/>
  <c r="AE230" i="5"/>
  <c r="AM29" i="5"/>
  <c r="AL35" i="5"/>
  <c r="AL36" i="5"/>
  <c r="AM74" i="5"/>
  <c r="AM117" i="5"/>
  <c r="AM119" i="5"/>
  <c r="AM128" i="5"/>
  <c r="AJ99" i="5"/>
  <c r="AM27" i="5"/>
  <c r="AJ33" i="5"/>
  <c r="AL112" i="5"/>
  <c r="AK37" i="5"/>
  <c r="AH42" i="5"/>
  <c r="AN113" i="5"/>
  <c r="AM5" i="5"/>
  <c r="AN31" i="5"/>
  <c r="AN82" i="5"/>
  <c r="AM85" i="5"/>
  <c r="AM87" i="5"/>
  <c r="AN130" i="5"/>
  <c r="AN165" i="5"/>
  <c r="AH172" i="5"/>
  <c r="AH175" i="5"/>
  <c r="AH177" i="5"/>
  <c r="AI9" i="5"/>
  <c r="AI12" i="5"/>
  <c r="AH19" i="5"/>
  <c r="AN83" i="5"/>
  <c r="AM90" i="5"/>
  <c r="AM93" i="5"/>
  <c r="AI139" i="5"/>
  <c r="AH30" i="5"/>
  <c r="AN55" i="5"/>
  <c r="AN59" i="5"/>
  <c r="AL62" i="5"/>
  <c r="AL65" i="5"/>
  <c r="AM67" i="5"/>
  <c r="AG88" i="5"/>
  <c r="AM104" i="5"/>
  <c r="AM105" i="5"/>
  <c r="AJ112" i="5"/>
  <c r="AI115" i="5"/>
  <c r="AI124" i="5"/>
  <c r="AI127" i="5"/>
  <c r="AI128" i="5"/>
  <c r="AH130" i="5"/>
  <c r="AL154" i="5"/>
  <c r="AI155" i="5"/>
  <c r="AH156" i="5"/>
  <c r="AH157" i="5"/>
  <c r="AK180" i="5"/>
  <c r="AI188" i="5"/>
  <c r="AH189" i="5"/>
  <c r="AI33" i="5"/>
  <c r="AH33" i="5"/>
  <c r="AK63" i="5"/>
  <c r="AH119" i="5"/>
  <c r="AH120" i="5"/>
  <c r="AH121" i="5"/>
  <c r="AH122" i="5"/>
  <c r="AN104" i="5"/>
  <c r="AJ10" i="5"/>
  <c r="AI10" i="5"/>
  <c r="AI175" i="5"/>
  <c r="AJ169" i="5"/>
  <c r="AJ171" i="5"/>
  <c r="AJ172" i="5"/>
  <c r="AL8" i="5"/>
  <c r="AK140" i="5"/>
  <c r="AL139" i="5"/>
  <c r="AM44" i="5"/>
  <c r="AN44" i="5"/>
  <c r="AI87" i="5"/>
  <c r="AI89" i="5"/>
  <c r="AH94" i="5"/>
  <c r="AJ84" i="5"/>
  <c r="AJ88" i="5"/>
  <c r="AM111" i="5"/>
  <c r="AL113" i="5"/>
  <c r="AL117" i="5"/>
  <c r="AN29" i="5"/>
  <c r="AL83" i="5"/>
  <c r="AK85" i="5"/>
  <c r="AJ9" i="5"/>
  <c r="AI169" i="5"/>
  <c r="AI173" i="5"/>
  <c r="AJ45" i="5"/>
  <c r="AK45" i="5"/>
  <c r="AM168" i="5"/>
  <c r="AJ173" i="5"/>
  <c r="AM7" i="5"/>
  <c r="AL9" i="5"/>
  <c r="AN7" i="5"/>
  <c r="AM140" i="5"/>
  <c r="AN27" i="5"/>
  <c r="AI88" i="5"/>
  <c r="AL28" i="5"/>
  <c r="AL29" i="5"/>
  <c r="AJ30" i="5"/>
  <c r="AJ31" i="5"/>
  <c r="AH35" i="5"/>
  <c r="AH37" i="5"/>
  <c r="AH38" i="5"/>
  <c r="AH39" i="5"/>
  <c r="AG70" i="5"/>
  <c r="AM83" i="5"/>
  <c r="AL85" i="5"/>
  <c r="AN110" i="5"/>
  <c r="AJ120" i="5"/>
  <c r="AI122" i="5"/>
  <c r="AK170" i="5"/>
  <c r="AL176" i="5"/>
  <c r="AK176" i="5"/>
  <c r="AL16" i="5"/>
  <c r="AJ17" i="5"/>
  <c r="AJ18" i="5"/>
  <c r="AJ19" i="5"/>
  <c r="AN57" i="5"/>
  <c r="AN58" i="5"/>
  <c r="AG108" i="5"/>
  <c r="AL119" i="5"/>
  <c r="AL121" i="5"/>
  <c r="AI158" i="5"/>
  <c r="AH159" i="5"/>
  <c r="AH161" i="5"/>
  <c r="AN171" i="5"/>
  <c r="AN15" i="5"/>
  <c r="AL17" i="5"/>
  <c r="AL18" i="5"/>
  <c r="AJ21" i="5"/>
  <c r="AI21" i="5"/>
  <c r="AI22" i="5"/>
  <c r="AG27" i="5"/>
  <c r="AN32" i="5"/>
  <c r="AM37" i="5"/>
  <c r="AK66" i="5"/>
  <c r="AN98" i="5"/>
  <c r="AN99" i="5"/>
  <c r="AH103" i="5"/>
  <c r="AH105" i="5"/>
  <c r="AH108" i="5"/>
  <c r="AH109" i="5"/>
  <c r="AJ158" i="5"/>
  <c r="AJ160" i="5"/>
  <c r="AL184" i="5"/>
  <c r="AL63" i="5"/>
  <c r="AN28" i="5"/>
  <c r="AL31" i="5"/>
  <c r="AJ34" i="5"/>
  <c r="AJ40" i="5"/>
  <c r="AM56" i="5"/>
  <c r="AL61" i="5"/>
  <c r="AN169" i="5"/>
  <c r="AM171" i="5"/>
  <c r="AM173" i="5"/>
  <c r="AM174" i="5"/>
  <c r="AM121" i="5"/>
  <c r="AN121" i="5"/>
  <c r="AN17" i="5"/>
  <c r="AN18" i="5"/>
  <c r="AN19" i="5"/>
  <c r="AM19" i="5"/>
  <c r="AK24" i="5"/>
  <c r="AM65" i="5"/>
  <c r="AM66" i="5"/>
  <c r="AJ104" i="5"/>
  <c r="AJ107" i="5"/>
  <c r="AJ108" i="5"/>
  <c r="AN131" i="5"/>
  <c r="AG150" i="5"/>
  <c r="AL156" i="5"/>
  <c r="AL160" i="5"/>
  <c r="AL162" i="5"/>
  <c r="AN179" i="5"/>
  <c r="AM182" i="5"/>
  <c r="AM183" i="5"/>
  <c r="AJ188" i="5"/>
  <c r="AL6" i="5"/>
  <c r="AH7" i="5"/>
  <c r="AG9" i="5"/>
  <c r="AL22" i="5"/>
  <c r="AK42" i="5"/>
  <c r="AI45" i="5"/>
  <c r="AH45" i="5"/>
  <c r="AN63" i="5"/>
  <c r="AN65" i="5"/>
  <c r="AN102" i="5"/>
  <c r="AK103" i="5"/>
  <c r="AK107" i="5"/>
  <c r="AK108" i="5"/>
  <c r="AM136" i="5"/>
  <c r="AH147" i="5"/>
  <c r="AH149" i="5"/>
  <c r="AN155" i="5"/>
  <c r="AM156" i="5"/>
  <c r="AN184" i="5"/>
  <c r="AM186" i="5"/>
  <c r="AI203" i="5"/>
  <c r="AM6" i="5"/>
  <c r="AH8" i="5"/>
  <c r="AJ44" i="5"/>
  <c r="AG93" i="5"/>
  <c r="AM106" i="5"/>
  <c r="AL107" i="5"/>
  <c r="AN136" i="5"/>
  <c r="AI141" i="5"/>
  <c r="AI142" i="5"/>
  <c r="AI143" i="5"/>
  <c r="AI147" i="5"/>
  <c r="AG177" i="5"/>
  <c r="AL188" i="5"/>
  <c r="AK147" i="5"/>
  <c r="AI151" i="5"/>
  <c r="AN158" i="5"/>
  <c r="AK165" i="5"/>
  <c r="AN175" i="5"/>
  <c r="AN189" i="5"/>
  <c r="AI197" i="5"/>
  <c r="AI199" i="5"/>
  <c r="AK11" i="5"/>
  <c r="AL40" i="5"/>
  <c r="AN46" i="5"/>
  <c r="AM47" i="5"/>
  <c r="AL48" i="5"/>
  <c r="AL49" i="5"/>
  <c r="AJ53" i="5"/>
  <c r="AG60" i="5"/>
  <c r="AI71" i="5"/>
  <c r="AI73" i="5"/>
  <c r="AG82" i="5"/>
  <c r="AK90" i="5"/>
  <c r="AK91" i="5"/>
  <c r="AK94" i="5"/>
  <c r="AK95" i="5"/>
  <c r="AL125" i="5"/>
  <c r="AI133" i="5"/>
  <c r="AM141" i="5"/>
  <c r="AL144" i="5"/>
  <c r="AL145" i="5"/>
  <c r="AK148" i="5"/>
  <c r="AJ151" i="5"/>
  <c r="AH152" i="5"/>
  <c r="AL164" i="5"/>
  <c r="AN190" i="5"/>
  <c r="AJ193" i="5"/>
  <c r="AJ198" i="5"/>
  <c r="AE234" i="5"/>
  <c r="AH6" i="5"/>
  <c r="AL12" i="5"/>
  <c r="AJ13" i="5"/>
  <c r="AI14" i="5"/>
  <c r="AN23" i="5"/>
  <c r="AH29" i="5"/>
  <c r="AM39" i="5"/>
  <c r="AG43" i="5"/>
  <c r="AL46" i="5"/>
  <c r="AK52" i="5"/>
  <c r="AK54" i="5"/>
  <c r="AI57" i="5"/>
  <c r="AI62" i="5"/>
  <c r="AN67" i="5"/>
  <c r="AJ71" i="5"/>
  <c r="AJ72" i="5"/>
  <c r="AI77" i="5"/>
  <c r="AI78" i="5"/>
  <c r="AI79" i="5"/>
  <c r="AH81" i="5"/>
  <c r="AM91" i="5"/>
  <c r="AL93" i="5"/>
  <c r="AL95" i="5"/>
  <c r="AF118" i="5"/>
  <c r="AN124" i="5"/>
  <c r="AL126" i="5"/>
  <c r="AL127" i="5"/>
  <c r="AL128" i="5"/>
  <c r="AK130" i="5"/>
  <c r="AK132" i="5"/>
  <c r="AH135" i="5"/>
  <c r="AH136" i="5"/>
  <c r="AH137" i="5"/>
  <c r="AM146" i="5"/>
  <c r="AL150" i="5"/>
  <c r="AM163" i="5"/>
  <c r="AM164" i="5"/>
  <c r="AN177" i="5"/>
  <c r="AL178" i="5"/>
  <c r="AI179" i="5"/>
  <c r="AH180" i="5"/>
  <c r="AH181" i="5"/>
  <c r="AH183" i="5"/>
  <c r="AL192" i="5"/>
  <c r="AK194" i="5"/>
  <c r="AK198" i="5"/>
  <c r="AH201" i="5"/>
  <c r="AG203" i="5"/>
  <c r="AN35" i="5"/>
  <c r="AH41" i="5"/>
  <c r="AK47" i="5"/>
  <c r="AJ49" i="5"/>
  <c r="AJ50" i="5"/>
  <c r="AK67" i="5"/>
  <c r="AK68" i="5"/>
  <c r="AL88" i="5"/>
  <c r="AI91" i="5"/>
  <c r="AI92" i="5"/>
  <c r="AN106" i="5"/>
  <c r="AJ142" i="5"/>
  <c r="AJ143" i="5"/>
  <c r="AJ146" i="5"/>
  <c r="AI148" i="5"/>
  <c r="AN156" i="5"/>
  <c r="AM162" i="5"/>
  <c r="AL163" i="5"/>
  <c r="AJ166" i="5"/>
  <c r="AM175" i="5"/>
  <c r="AL190" i="5"/>
  <c r="AJ191" i="5"/>
  <c r="AI192" i="5"/>
  <c r="AH193" i="5"/>
  <c r="AH197" i="5"/>
  <c r="AJ11" i="5"/>
  <c r="AJ12" i="5"/>
  <c r="AN20" i="5"/>
  <c r="AN21" i="5"/>
  <c r="AL24" i="5"/>
  <c r="AI26" i="5"/>
  <c r="AH27" i="5"/>
  <c r="AN37" i="5"/>
  <c r="AK50" i="5"/>
  <c r="AI52" i="5"/>
  <c r="AN66" i="5"/>
  <c r="AL68" i="5"/>
  <c r="AJ70" i="5"/>
  <c r="AH71" i="5"/>
  <c r="AJ91" i="5"/>
  <c r="AN107" i="5"/>
  <c r="AJ127" i="5"/>
  <c r="AI130" i="5"/>
  <c r="AH131" i="5"/>
  <c r="AG19" i="5"/>
  <c r="AM51" i="5"/>
  <c r="AK58" i="5"/>
  <c r="AK111" i="5"/>
  <c r="AM193" i="5"/>
  <c r="AD231" i="5"/>
  <c r="AE233" i="5"/>
  <c r="AN11" i="5"/>
  <c r="AN12" i="5"/>
  <c r="AL13" i="5"/>
  <c r="AJ15" i="5"/>
  <c r="AI28" i="5"/>
  <c r="AH31" i="5"/>
  <c r="AG32" i="5"/>
  <c r="AG33" i="5"/>
  <c r="AG45" i="5"/>
  <c r="AM54" i="5"/>
  <c r="AK62" i="5"/>
  <c r="AG120" i="5"/>
  <c r="AG121" i="5"/>
  <c r="AK136" i="5"/>
  <c r="AG171" i="5"/>
  <c r="AF231" i="5"/>
  <c r="AM8" i="5"/>
  <c r="AM9" i="5"/>
  <c r="AH11" i="5"/>
  <c r="AG13" i="5"/>
  <c r="AE15" i="5"/>
  <c r="AJ22" i="5"/>
  <c r="AM30" i="5"/>
  <c r="AL32" i="5"/>
  <c r="AL33" i="5"/>
  <c r="AN43" i="5"/>
  <c r="AL44" i="5"/>
  <c r="AG48" i="5"/>
  <c r="AG49" i="5"/>
  <c r="AG50" i="5"/>
  <c r="AL75" i="5"/>
  <c r="AL76" i="5"/>
  <c r="AK81" i="5"/>
  <c r="AI83" i="5"/>
  <c r="AG85" i="5"/>
  <c r="AN93" i="5"/>
  <c r="AM94" i="5"/>
  <c r="AJ100" i="5"/>
  <c r="AG112" i="5"/>
  <c r="AF114" i="5"/>
  <c r="AM137" i="5"/>
  <c r="AG155" i="5"/>
  <c r="AM166" i="5"/>
  <c r="AJ177" i="5"/>
  <c r="AN188" i="5"/>
  <c r="AI189" i="5"/>
  <c r="AG191" i="5"/>
  <c r="AM202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M45" i="5"/>
  <c r="AI47" i="5"/>
  <c r="AK65" i="5"/>
  <c r="AJ66" i="5"/>
  <c r="AN74" i="5"/>
  <c r="AN77" i="5"/>
  <c r="AN78" i="5"/>
  <c r="AM81" i="5"/>
  <c r="AI84" i="5"/>
  <c r="AI85" i="5"/>
  <c r="AN96" i="5"/>
  <c r="AL98" i="5"/>
  <c r="AJ101" i="5"/>
  <c r="AI102" i="5"/>
  <c r="AH112" i="5"/>
  <c r="AK123" i="5"/>
  <c r="AJ124" i="5"/>
  <c r="AJ125" i="5"/>
  <c r="AG147" i="5"/>
  <c r="AG169" i="5"/>
  <c r="AF173" i="5"/>
  <c r="AK189" i="5"/>
  <c r="AG193" i="5"/>
  <c r="AI110" i="9"/>
  <c r="AI88" i="9"/>
  <c r="AI66" i="9"/>
  <c r="AI45" i="9"/>
  <c r="AI24" i="9"/>
  <c r="AW25" i="7"/>
  <c r="AV119" i="7"/>
  <c r="AW16" i="7"/>
  <c r="AW209" i="7"/>
  <c r="AV59" i="7"/>
  <c r="AW60" i="7"/>
  <c r="AV80" i="7"/>
  <c r="AW144" i="7"/>
  <c r="AV73" i="7"/>
  <c r="AW168" i="7"/>
  <c r="AW90" i="7"/>
  <c r="AV135" i="7"/>
  <c r="AV133" i="7"/>
  <c r="AV29" i="7"/>
  <c r="AV32" i="7"/>
  <c r="AV121" i="7"/>
  <c r="AV22" i="7"/>
  <c r="AW26" i="7"/>
  <c r="AW33" i="7"/>
  <c r="AW38" i="7"/>
  <c r="AW48" i="7"/>
  <c r="AV67" i="7"/>
  <c r="AV87" i="7"/>
  <c r="AW88" i="7"/>
  <c r="AV109" i="7"/>
  <c r="AV140" i="7"/>
  <c r="AV9" i="7"/>
  <c r="AW14" i="7"/>
  <c r="AW28" i="7"/>
  <c r="AV36" i="7"/>
  <c r="AV46" i="7"/>
  <c r="AW47" i="7"/>
  <c r="AV65" i="7"/>
  <c r="AW68" i="7"/>
  <c r="AV124" i="7"/>
  <c r="AW6" i="7"/>
  <c r="AW13" i="7"/>
  <c r="AW46" i="7"/>
  <c r="AV63" i="7"/>
  <c r="AV64" i="7"/>
  <c r="AW124" i="7"/>
  <c r="AW7" i="7"/>
  <c r="AW12" i="7"/>
  <c r="AW63" i="7"/>
  <c r="AW64" i="7"/>
  <c r="AV105" i="7"/>
  <c r="AW183" i="7"/>
  <c r="AW207" i="7"/>
  <c r="AW62" i="7"/>
  <c r="AV101" i="7"/>
  <c r="AW105" i="7"/>
  <c r="AW121" i="7"/>
  <c r="AV131" i="7"/>
  <c r="AW132" i="7"/>
  <c r="AW203" i="7"/>
  <c r="AW101" i="7"/>
  <c r="AW131" i="7"/>
  <c r="AW164" i="7"/>
  <c r="AW97" i="7"/>
  <c r="AW119" i="7"/>
  <c r="AW180" i="7"/>
  <c r="AW199" i="7"/>
  <c r="AW57" i="7"/>
  <c r="AW78" i="7"/>
  <c r="AW99" i="7"/>
  <c r="AW152" i="7"/>
  <c r="AW179" i="7"/>
  <c r="AW74" i="7"/>
  <c r="AW151" i="7"/>
  <c r="AW197" i="7"/>
  <c r="AV34" i="7"/>
  <c r="AV41" i="7"/>
  <c r="AV69" i="7"/>
  <c r="AV91" i="7"/>
  <c r="AW69" i="7"/>
  <c r="AW91" i="7"/>
  <c r="AW160" i="7"/>
  <c r="AW29" i="6"/>
  <c r="AV94" i="6"/>
  <c r="AW181" i="6"/>
  <c r="AV68" i="6"/>
  <c r="AW77" i="6"/>
  <c r="AW154" i="6"/>
  <c r="AW165" i="6"/>
  <c r="AW93" i="6"/>
  <c r="AV130" i="6"/>
  <c r="AV191" i="6"/>
  <c r="AW71" i="6"/>
  <c r="AW92" i="6"/>
  <c r="AV106" i="6"/>
  <c r="AV37" i="6"/>
  <c r="AV41" i="6"/>
  <c r="AW89" i="6"/>
  <c r="AW105" i="6"/>
  <c r="AV113" i="6"/>
  <c r="AW103" i="6"/>
  <c r="AV12" i="6"/>
  <c r="AV30" i="6"/>
  <c r="AW24" i="6"/>
  <c r="AW28" i="6"/>
  <c r="AW56" i="6"/>
  <c r="AV57" i="6"/>
  <c r="AV86" i="6"/>
  <c r="AW128" i="6"/>
  <c r="AV161" i="6"/>
  <c r="AW17" i="6"/>
  <c r="AW19" i="6"/>
  <c r="AW85" i="6"/>
  <c r="AW86" i="6"/>
  <c r="AW127" i="6"/>
  <c r="AV15" i="6"/>
  <c r="AV72" i="6"/>
  <c r="AV75" i="6"/>
  <c r="AW99" i="6"/>
  <c r="AV137" i="6"/>
  <c r="AV157" i="6"/>
  <c r="AW191" i="6"/>
  <c r="AV65" i="6"/>
  <c r="AW72" i="6"/>
  <c r="AW111" i="6"/>
  <c r="AW137" i="6"/>
  <c r="AW76" i="6"/>
  <c r="AV109" i="6"/>
  <c r="AW135" i="6"/>
  <c r="AW136" i="6"/>
  <c r="AW187" i="6"/>
  <c r="AV32" i="6"/>
  <c r="AW33" i="6"/>
  <c r="AW65" i="6"/>
  <c r="AV155" i="6"/>
  <c r="AW13" i="6"/>
  <c r="AW32" i="6"/>
  <c r="AW185" i="6"/>
  <c r="AW107" i="6"/>
  <c r="AW119" i="6"/>
  <c r="AW120" i="6"/>
  <c r="AW8" i="6"/>
  <c r="AV29" i="6"/>
  <c r="AW30" i="6"/>
  <c r="AW62" i="6"/>
  <c r="AV147" i="6"/>
  <c r="AW148" i="6"/>
  <c r="AV82" i="6"/>
  <c r="AV105" i="6"/>
  <c r="AV114" i="6"/>
  <c r="AV195" i="6"/>
  <c r="AV197" i="6"/>
  <c r="AW199" i="6"/>
  <c r="AV24" i="6"/>
  <c r="AV55" i="6"/>
  <c r="AV59" i="6"/>
  <c r="AV87" i="6"/>
  <c r="AV142" i="6"/>
  <c r="AV162" i="6"/>
  <c r="AF80" i="5"/>
  <c r="AG97" i="5"/>
  <c r="AG98" i="5"/>
  <c r="AG161" i="5"/>
  <c r="AF197" i="5"/>
  <c r="AF15" i="5"/>
  <c r="AF5" i="5"/>
  <c r="AG114" i="5"/>
  <c r="AF78" i="5"/>
  <c r="AG181" i="5"/>
  <c r="AG51" i="5"/>
  <c r="AF104" i="5"/>
  <c r="AF101" i="5"/>
  <c r="AF21" i="5"/>
  <c r="AG41" i="5"/>
  <c r="AF42" i="5"/>
  <c r="AG101" i="5"/>
  <c r="AF56" i="5"/>
  <c r="AF20" i="5"/>
  <c r="AF98" i="5"/>
  <c r="AG118" i="5"/>
  <c r="AF24" i="5"/>
  <c r="AF30" i="5"/>
  <c r="AG54" i="5"/>
  <c r="AG123" i="5"/>
  <c r="AG140" i="5"/>
  <c r="AG141" i="5"/>
  <c r="AG151" i="5"/>
  <c r="AG30" i="5"/>
  <c r="AF50" i="5"/>
  <c r="AF64" i="5"/>
  <c r="AG66" i="5"/>
  <c r="AF115" i="5"/>
  <c r="AG173" i="5"/>
  <c r="AF195" i="5"/>
  <c r="AG196" i="5"/>
  <c r="AF39" i="5"/>
  <c r="AF40" i="5"/>
  <c r="AF47" i="5"/>
  <c r="AF60" i="5"/>
  <c r="AF94" i="5"/>
  <c r="AG115" i="5"/>
  <c r="AG78" i="5"/>
  <c r="AG131" i="5"/>
  <c r="AF169" i="5"/>
  <c r="AF9" i="5"/>
  <c r="AF12" i="5"/>
  <c r="AF13" i="5"/>
  <c r="AG59" i="5"/>
  <c r="AG77" i="5"/>
  <c r="AG15" i="5"/>
  <c r="AG129" i="5"/>
  <c r="AF189" i="5"/>
  <c r="S235" i="5"/>
  <c r="AG192" i="5"/>
  <c r="AG7" i="5"/>
  <c r="AG111" i="5"/>
  <c r="AF127" i="5"/>
  <c r="AG190" i="5"/>
  <c r="AG57" i="5"/>
  <c r="AF203" i="5"/>
  <c r="AF33" i="5"/>
  <c r="AG127" i="5"/>
  <c r="AG201" i="5"/>
  <c r="AF70" i="5"/>
  <c r="AG74" i="5"/>
  <c r="AF198" i="5"/>
  <c r="AF31" i="5"/>
  <c r="AG34" i="5"/>
  <c r="AF54" i="5"/>
  <c r="AF68" i="5"/>
  <c r="AG100" i="5"/>
  <c r="AF122" i="5"/>
  <c r="AF123" i="5"/>
  <c r="AG126" i="5"/>
  <c r="AF135" i="5"/>
  <c r="AF139" i="5"/>
  <c r="AF141" i="5"/>
  <c r="AX256" i="7"/>
  <c r="AY236" i="6"/>
  <c r="AQ236" i="6"/>
  <c r="AV28" i="7"/>
  <c r="AV5" i="7"/>
  <c r="AU24" i="6"/>
  <c r="AV141" i="6"/>
  <c r="BC16" i="7"/>
  <c r="BA25" i="7"/>
  <c r="AW39" i="7"/>
  <c r="AZ47" i="7"/>
  <c r="BC57" i="7"/>
  <c r="AX124" i="7"/>
  <c r="BA128" i="7"/>
  <c r="BA130" i="7"/>
  <c r="BB156" i="7"/>
  <c r="AX176" i="7"/>
  <c r="AW176" i="7"/>
  <c r="AX20" i="7"/>
  <c r="BA30" i="7"/>
  <c r="BD31" i="7"/>
  <c r="BB60" i="7"/>
  <c r="AW8" i="7"/>
  <c r="AW9" i="7"/>
  <c r="AZ11" i="7"/>
  <c r="BC23" i="7"/>
  <c r="BA32" i="7"/>
  <c r="BC36" i="7"/>
  <c r="AY39" i="7"/>
  <c r="BC59" i="7"/>
  <c r="BC60" i="7"/>
  <c r="AY63" i="7"/>
  <c r="AV83" i="7"/>
  <c r="BA120" i="7"/>
  <c r="BA123" i="7"/>
  <c r="AZ124" i="7"/>
  <c r="BB126" i="7"/>
  <c r="BC146" i="7"/>
  <c r="BB61" i="7"/>
  <c r="BA61" i="7"/>
  <c r="AZ128" i="7"/>
  <c r="AV6" i="7"/>
  <c r="BD12" i="7"/>
  <c r="BD13" i="7"/>
  <c r="AX19" i="7"/>
  <c r="AZ21" i="7"/>
  <c r="AY22" i="7"/>
  <c r="BC24" i="7"/>
  <c r="AZ31" i="7"/>
  <c r="AY34" i="7"/>
  <c r="BD47" i="7"/>
  <c r="BB58" i="7"/>
  <c r="AX68" i="7"/>
  <c r="AW83" i="7"/>
  <c r="AX90" i="7"/>
  <c r="AW107" i="7"/>
  <c r="BA153" i="7"/>
  <c r="AY162" i="7"/>
  <c r="BD163" i="7"/>
  <c r="AX7" i="7"/>
  <c r="AX14" i="7"/>
  <c r="AV16" i="7"/>
  <c r="BA21" i="7"/>
  <c r="AX25" i="7"/>
  <c r="AV30" i="7"/>
  <c r="AZ37" i="7"/>
  <c r="AZ65" i="7"/>
  <c r="AX66" i="7"/>
  <c r="AZ68" i="7"/>
  <c r="AY68" i="7"/>
  <c r="AW71" i="7"/>
  <c r="AW72" i="7"/>
  <c r="AY74" i="7"/>
  <c r="AX74" i="7"/>
  <c r="AY97" i="7"/>
  <c r="BB117" i="7"/>
  <c r="BA117" i="7"/>
  <c r="BC119" i="7"/>
  <c r="BB119" i="7"/>
  <c r="BD125" i="7"/>
  <c r="BC125" i="7"/>
  <c r="AY157" i="7"/>
  <c r="BC158" i="7"/>
  <c r="AZ13" i="7"/>
  <c r="AV17" i="7"/>
  <c r="AV18" i="7"/>
  <c r="AZ26" i="7"/>
  <c r="AZ38" i="7"/>
  <c r="BA85" i="7"/>
  <c r="BA87" i="7"/>
  <c r="AZ92" i="7"/>
  <c r="AY92" i="7"/>
  <c r="BA126" i="7"/>
  <c r="BC154" i="7"/>
  <c r="BC162" i="7"/>
  <c r="AZ174" i="7"/>
  <c r="AY174" i="7"/>
  <c r="BB19" i="7"/>
  <c r="BB32" i="7"/>
  <c r="AZ76" i="7"/>
  <c r="AY76" i="7"/>
  <c r="AX121" i="7"/>
  <c r="BB5" i="7"/>
  <c r="BC8" i="7"/>
  <c r="BA14" i="7"/>
  <c r="AX16" i="7"/>
  <c r="AW18" i="7"/>
  <c r="BC26" i="7"/>
  <c r="AX27" i="7"/>
  <c r="BC38" i="7"/>
  <c r="BD41" i="7"/>
  <c r="AZ43" i="7"/>
  <c r="AY48" i="7"/>
  <c r="BC50" i="7"/>
  <c r="BA51" i="7"/>
  <c r="AZ51" i="7"/>
  <c r="AV57" i="7"/>
  <c r="AX62" i="7"/>
  <c r="BD65" i="7"/>
  <c r="AZ80" i="7"/>
  <c r="AY80" i="7"/>
  <c r="BA92" i="7"/>
  <c r="BA101" i="7"/>
  <c r="BA104" i="7"/>
  <c r="BB107" i="7"/>
  <c r="BA108" i="7"/>
  <c r="AZ120" i="7"/>
  <c r="AZ208" i="7"/>
  <c r="AW40" i="7"/>
  <c r="BD69" i="7"/>
  <c r="AV138" i="7"/>
  <c r="AY193" i="7"/>
  <c r="AX193" i="7"/>
  <c r="AY9" i="7"/>
  <c r="BC14" i="7"/>
  <c r="BA80" i="7"/>
  <c r="BB98" i="7"/>
  <c r="BC98" i="7"/>
  <c r="BC174" i="7"/>
  <c r="AY188" i="7"/>
  <c r="AX10" i="7"/>
  <c r="AV12" i="7"/>
  <c r="AV13" i="7"/>
  <c r="AV14" i="7"/>
  <c r="AZ17" i="7"/>
  <c r="AZ22" i="7"/>
  <c r="AV26" i="7"/>
  <c r="AV38" i="7"/>
  <c r="AX50" i="7"/>
  <c r="AX57" i="7"/>
  <c r="BA67" i="7"/>
  <c r="BC69" i="7"/>
  <c r="BC78" i="7"/>
  <c r="BB78" i="7"/>
  <c r="AX88" i="7"/>
  <c r="BD113" i="7"/>
  <c r="AV129" i="7"/>
  <c r="AY141" i="7"/>
  <c r="AX152" i="7"/>
  <c r="AZ188" i="7"/>
  <c r="BC197" i="7"/>
  <c r="BB197" i="7"/>
  <c r="AW5" i="7"/>
  <c r="AR10" i="7"/>
  <c r="AZ56" i="7"/>
  <c r="AZ82" i="7"/>
  <c r="BC87" i="7"/>
  <c r="AZ90" i="7"/>
  <c r="AY149" i="7"/>
  <c r="AX166" i="7"/>
  <c r="AW166" i="7"/>
  <c r="BA167" i="7"/>
  <c r="AZ167" i="7"/>
  <c r="AX13" i="7"/>
  <c r="AX26" i="7"/>
  <c r="AX38" i="7"/>
  <c r="BC42" i="7"/>
  <c r="AY46" i="7"/>
  <c r="BC51" i="7"/>
  <c r="BC54" i="7"/>
  <c r="BA56" i="7"/>
  <c r="BB85" i="7"/>
  <c r="BC109" i="7"/>
  <c r="BD187" i="7"/>
  <c r="BC187" i="7"/>
  <c r="AW76" i="7"/>
  <c r="BD79" i="7"/>
  <c r="BD80" i="7"/>
  <c r="BD130" i="7"/>
  <c r="AX140" i="7"/>
  <c r="AZ160" i="7"/>
  <c r="BA176" i="7"/>
  <c r="BB180" i="7"/>
  <c r="AW182" i="7"/>
  <c r="AX183" i="7"/>
  <c r="BA184" i="7"/>
  <c r="AY186" i="7"/>
  <c r="BC191" i="7"/>
  <c r="BA204" i="7"/>
  <c r="BC213" i="7"/>
  <c r="BA29" i="7"/>
  <c r="BA33" i="7"/>
  <c r="AV43" i="7"/>
  <c r="AV44" i="7"/>
  <c r="BD50" i="7"/>
  <c r="AV52" i="7"/>
  <c r="AV53" i="7"/>
  <c r="BD73" i="7"/>
  <c r="AV77" i="7"/>
  <c r="AV84" i="7"/>
  <c r="AV85" i="7"/>
  <c r="AV104" i="7"/>
  <c r="BD108" i="7"/>
  <c r="BB115" i="7"/>
  <c r="AV120" i="7"/>
  <c r="AY140" i="7"/>
  <c r="BD153" i="7"/>
  <c r="BA160" i="7"/>
  <c r="AZ189" i="7"/>
  <c r="AX207" i="7"/>
  <c r="BA17" i="7"/>
  <c r="BB21" i="7"/>
  <c r="BC46" i="7"/>
  <c r="BD66" i="7"/>
  <c r="AY72" i="7"/>
  <c r="BC73" i="7"/>
  <c r="BD82" i="7"/>
  <c r="BC88" i="7"/>
  <c r="BD102" i="7"/>
  <c r="BD115" i="7"/>
  <c r="AX120" i="7"/>
  <c r="BC124" i="7"/>
  <c r="AV127" i="7"/>
  <c r="BC139" i="7"/>
  <c r="BB141" i="7"/>
  <c r="AZ158" i="7"/>
  <c r="BB159" i="7"/>
  <c r="AX168" i="7"/>
  <c r="BC179" i="7"/>
  <c r="BC192" i="7"/>
  <c r="BC114" i="7"/>
  <c r="AY172" i="7"/>
  <c r="BA185" i="7"/>
  <c r="AY196" i="7"/>
  <c r="AV71" i="7"/>
  <c r="AV72" i="7"/>
  <c r="BD75" i="7"/>
  <c r="AZ104" i="7"/>
  <c r="AW106" i="7"/>
  <c r="AV107" i="7"/>
  <c r="AX135" i="7"/>
  <c r="AV136" i="7"/>
  <c r="BC140" i="7"/>
  <c r="BB149" i="7"/>
  <c r="BB188" i="7"/>
  <c r="AW198" i="7"/>
  <c r="AX201" i="7"/>
  <c r="AX203" i="7"/>
  <c r="BB207" i="7"/>
  <c r="AY209" i="7"/>
  <c r="AX213" i="7"/>
  <c r="AW185" i="7"/>
  <c r="BC185" i="7"/>
  <c r="BC205" i="7"/>
  <c r="AL256" i="7"/>
  <c r="AY256" i="7" s="1"/>
  <c r="AW177" i="7"/>
  <c r="AZ201" i="7"/>
  <c r="AM256" i="7"/>
  <c r="AW59" i="7"/>
  <c r="AY78" i="7"/>
  <c r="BC89" i="7"/>
  <c r="BA96" i="7"/>
  <c r="AY98" i="7"/>
  <c r="BB104" i="7"/>
  <c r="AZ109" i="7"/>
  <c r="BB110" i="7"/>
  <c r="AY117" i="7"/>
  <c r="BB120" i="7"/>
  <c r="BC126" i="7"/>
  <c r="AY134" i="7"/>
  <c r="AX164" i="7"/>
  <c r="BA174" i="7"/>
  <c r="BB184" i="7"/>
  <c r="AY192" i="7"/>
  <c r="BB201" i="7"/>
  <c r="BB204" i="7"/>
  <c r="BC206" i="7"/>
  <c r="AW256" i="7"/>
  <c r="BA69" i="7"/>
  <c r="AY71" i="7"/>
  <c r="AW80" i="7"/>
  <c r="BC82" i="7"/>
  <c r="BD85" i="7"/>
  <c r="BB92" i="7"/>
  <c r="AY107" i="7"/>
  <c r="BC120" i="7"/>
  <c r="BB128" i="7"/>
  <c r="AW130" i="7"/>
  <c r="AZ134" i="7"/>
  <c r="AW138" i="7"/>
  <c r="AY164" i="7"/>
  <c r="AX171" i="7"/>
  <c r="AV24" i="7"/>
  <c r="AW32" i="7"/>
  <c r="AT33" i="7"/>
  <c r="AV37" i="7"/>
  <c r="BD43" i="7"/>
  <c r="AX49" i="7"/>
  <c r="BD104" i="7"/>
  <c r="BB105" i="7"/>
  <c r="BD110" i="7"/>
  <c r="AV115" i="7"/>
  <c r="AW122" i="7"/>
  <c r="BC128" i="7"/>
  <c r="BB145" i="7"/>
  <c r="BB157" i="7"/>
  <c r="AZ164" i="7"/>
  <c r="AY171" i="7"/>
  <c r="AX179" i="7"/>
  <c r="BD184" i="7"/>
  <c r="BD199" i="7"/>
  <c r="BB200" i="7"/>
  <c r="BA202" i="7"/>
  <c r="AV21" i="7"/>
  <c r="AW24" i="7"/>
  <c r="AV25" i="7"/>
  <c r="AY36" i="7"/>
  <c r="BA40" i="7"/>
  <c r="AV47" i="7"/>
  <c r="BA59" i="7"/>
  <c r="AV68" i="7"/>
  <c r="BB71" i="7"/>
  <c r="BB72" i="7"/>
  <c r="AV75" i="7"/>
  <c r="AV89" i="7"/>
  <c r="BC91" i="7"/>
  <c r="BC99" i="7"/>
  <c r="BD105" i="7"/>
  <c r="BC113" i="7"/>
  <c r="AW115" i="7"/>
  <c r="AV117" i="7"/>
  <c r="BC134" i="7"/>
  <c r="BB136" i="7"/>
  <c r="AV141" i="7"/>
  <c r="AZ143" i="7"/>
  <c r="BD145" i="7"/>
  <c r="BC151" i="7"/>
  <c r="BB164" i="7"/>
  <c r="AW190" i="7"/>
  <c r="BA195" i="7"/>
  <c r="BC202" i="7"/>
  <c r="BA86" i="7"/>
  <c r="AV96" i="7"/>
  <c r="AV97" i="7"/>
  <c r="BD107" i="7"/>
  <c r="AX131" i="7"/>
  <c r="AX160" i="7"/>
  <c r="BD164" i="7"/>
  <c r="BB172" i="7"/>
  <c r="AY190" i="7"/>
  <c r="BB194" i="7"/>
  <c r="BB196" i="7"/>
  <c r="AW206" i="7"/>
  <c r="AQ256" i="7"/>
  <c r="BD256" i="7" s="1"/>
  <c r="AY16" i="6"/>
  <c r="AW18" i="6"/>
  <c r="AX50" i="6"/>
  <c r="BD57" i="6"/>
  <c r="AZ66" i="6"/>
  <c r="AZ78" i="6"/>
  <c r="AY91" i="6"/>
  <c r="BC105" i="6"/>
  <c r="BB144" i="6"/>
  <c r="BD147" i="6"/>
  <c r="BC156" i="6"/>
  <c r="AW159" i="6"/>
  <c r="AZ162" i="6"/>
  <c r="BA166" i="6"/>
  <c r="AX173" i="6"/>
  <c r="AW174" i="6"/>
  <c r="BA122" i="6"/>
  <c r="BA158" i="6"/>
  <c r="BA162" i="6"/>
  <c r="AX167" i="6"/>
  <c r="BB11" i="6"/>
  <c r="AY85" i="6"/>
  <c r="BC27" i="6"/>
  <c r="AY34" i="6"/>
  <c r="BD58" i="6"/>
  <c r="AX68" i="6"/>
  <c r="AY124" i="6"/>
  <c r="BC10" i="6"/>
  <c r="BA13" i="6"/>
  <c r="AZ15" i="6"/>
  <c r="AV22" i="6"/>
  <c r="BB31" i="6"/>
  <c r="AZ34" i="6"/>
  <c r="BB48" i="6"/>
  <c r="BA51" i="6"/>
  <c r="AX54" i="6"/>
  <c r="AX63" i="6"/>
  <c r="BD65" i="6"/>
  <c r="BD76" i="6"/>
  <c r="BD88" i="6"/>
  <c r="BD89" i="6"/>
  <c r="BC90" i="6"/>
  <c r="AV97" i="6"/>
  <c r="AV98" i="6"/>
  <c r="BD104" i="6"/>
  <c r="AW109" i="6"/>
  <c r="BC112" i="6"/>
  <c r="BC124" i="6"/>
  <c r="AW125" i="6"/>
  <c r="BC134" i="6"/>
  <c r="AY140" i="6"/>
  <c r="AV187" i="6"/>
  <c r="AY170" i="6"/>
  <c r="AZ170" i="6"/>
  <c r="AW20" i="6"/>
  <c r="BD29" i="6"/>
  <c r="AZ51" i="6"/>
  <c r="AY57" i="6"/>
  <c r="BC104" i="6"/>
  <c r="AY21" i="6"/>
  <c r="AV43" i="6"/>
  <c r="AZ59" i="6"/>
  <c r="AZ60" i="6"/>
  <c r="AZ75" i="6"/>
  <c r="AV84" i="6"/>
  <c r="AZ87" i="6"/>
  <c r="BA107" i="6"/>
  <c r="AV122" i="6"/>
  <c r="AX142" i="6"/>
  <c r="AW142" i="6"/>
  <c r="AV150" i="6"/>
  <c r="AX182" i="6"/>
  <c r="BA203" i="6"/>
  <c r="AW10" i="6"/>
  <c r="AZ29" i="6"/>
  <c r="AZ63" i="6"/>
  <c r="AV71" i="6"/>
  <c r="AV73" i="6"/>
  <c r="AV101" i="6"/>
  <c r="AX33" i="6"/>
  <c r="AV47" i="6"/>
  <c r="BA63" i="6"/>
  <c r="AZ65" i="6"/>
  <c r="AZ77" i="6"/>
  <c r="AZ91" i="6"/>
  <c r="AX97" i="6"/>
  <c r="BA110" i="6"/>
  <c r="BA114" i="6"/>
  <c r="BA126" i="6"/>
  <c r="AZ127" i="6"/>
  <c r="AV145" i="6"/>
  <c r="AV146" i="6"/>
  <c r="AW150" i="6"/>
  <c r="AZ178" i="6"/>
  <c r="AX185" i="6"/>
  <c r="AY186" i="6"/>
  <c r="AV193" i="6"/>
  <c r="BC49" i="6"/>
  <c r="BD60" i="6"/>
  <c r="AW67" i="6"/>
  <c r="AW79" i="6"/>
  <c r="AZ90" i="6"/>
  <c r="BA91" i="6"/>
  <c r="BB110" i="6"/>
  <c r="AX136" i="6"/>
  <c r="BA178" i="6"/>
  <c r="BD107" i="6"/>
  <c r="BC107" i="6"/>
  <c r="BC14" i="6"/>
  <c r="BA19" i="6"/>
  <c r="BC20" i="6"/>
  <c r="AY43" i="6"/>
  <c r="AW47" i="6"/>
  <c r="BD52" i="6"/>
  <c r="BD68" i="6"/>
  <c r="AY72" i="6"/>
  <c r="AZ116" i="6"/>
  <c r="AX120" i="6"/>
  <c r="BA134" i="6"/>
  <c r="BC139" i="6"/>
  <c r="BD139" i="6"/>
  <c r="BB178" i="6"/>
  <c r="AW193" i="6"/>
  <c r="AY13" i="6"/>
  <c r="AW36" i="6"/>
  <c r="AX47" i="6"/>
  <c r="AW48" i="6"/>
  <c r="AV49" i="6"/>
  <c r="BA70" i="6"/>
  <c r="BC82" i="6"/>
  <c r="AY93" i="6"/>
  <c r="BA98" i="6"/>
  <c r="AV133" i="6"/>
  <c r="AX145" i="6"/>
  <c r="AX153" i="6"/>
  <c r="AY154" i="6"/>
  <c r="AZ154" i="6"/>
  <c r="AX155" i="6"/>
  <c r="AW155" i="6"/>
  <c r="AY167" i="6"/>
  <c r="BC176" i="6"/>
  <c r="BB179" i="6"/>
  <c r="BA183" i="6"/>
  <c r="AZ199" i="6"/>
  <c r="AX80" i="6"/>
  <c r="BA194" i="6"/>
  <c r="BA24" i="6"/>
  <c r="AV10" i="6"/>
  <c r="AV11" i="6"/>
  <c r="BB13" i="6"/>
  <c r="BB23" i="6"/>
  <c r="AZ27" i="6"/>
  <c r="AV33" i="6"/>
  <c r="AZ47" i="6"/>
  <c r="BB54" i="6"/>
  <c r="BD55" i="6"/>
  <c r="BC56" i="6"/>
  <c r="AV66" i="6"/>
  <c r="AV78" i="6"/>
  <c r="BA80" i="6"/>
  <c r="BB83" i="6"/>
  <c r="AV90" i="6"/>
  <c r="AY118" i="6"/>
  <c r="AY131" i="6"/>
  <c r="AV134" i="6"/>
  <c r="BB141" i="6"/>
  <c r="BD142" i="6"/>
  <c r="AZ146" i="6"/>
  <c r="BB158" i="6"/>
  <c r="BA174" i="6"/>
  <c r="BD176" i="6"/>
  <c r="BD179" i="6"/>
  <c r="BC183" i="6"/>
  <c r="BD183" i="6"/>
  <c r="BA192" i="6"/>
  <c r="BB198" i="6"/>
  <c r="AZ203" i="6"/>
  <c r="AX26" i="6"/>
  <c r="BA96" i="6"/>
  <c r="AV111" i="6"/>
  <c r="AX119" i="6"/>
  <c r="AY132" i="6"/>
  <c r="BC148" i="6"/>
  <c r="BC150" i="6"/>
  <c r="BB157" i="6"/>
  <c r="BA175" i="6"/>
  <c r="AX176" i="6"/>
  <c r="AY179" i="6"/>
  <c r="BB192" i="6"/>
  <c r="AV67" i="6"/>
  <c r="AV79" i="6"/>
  <c r="AV93" i="6"/>
  <c r="BB96" i="6"/>
  <c r="AV115" i="6"/>
  <c r="BC145" i="6"/>
  <c r="BA160" i="6"/>
  <c r="BB176" i="6"/>
  <c r="BA184" i="6"/>
  <c r="AV80" i="6"/>
  <c r="BA106" i="6"/>
  <c r="BC160" i="6"/>
  <c r="AV174" i="6"/>
  <c r="BC8" i="6"/>
  <c r="AZ10" i="6"/>
  <c r="AV13" i="6"/>
  <c r="AV19" i="6"/>
  <c r="AW27" i="6"/>
  <c r="AW42" i="6"/>
  <c r="AV51" i="6"/>
  <c r="BA55" i="6"/>
  <c r="BD59" i="6"/>
  <c r="AY94" i="6"/>
  <c r="AX108" i="6"/>
  <c r="AZ109" i="6"/>
  <c r="AV125" i="6"/>
  <c r="BC131" i="6"/>
  <c r="BC132" i="6"/>
  <c r="AY134" i="6"/>
  <c r="BC151" i="6"/>
  <c r="BB154" i="6"/>
  <c r="AY155" i="6"/>
  <c r="AX165" i="6"/>
  <c r="BC168" i="6"/>
  <c r="BB190" i="6"/>
  <c r="AY197" i="6"/>
  <c r="BD202" i="6"/>
  <c r="AV28" i="6"/>
  <c r="AV70" i="6"/>
  <c r="AV89" i="6"/>
  <c r="AV138" i="6"/>
  <c r="AJ236" i="6"/>
  <c r="AW236" i="6" s="1"/>
  <c r="AV159" i="6"/>
  <c r="AV167" i="6"/>
  <c r="AV173" i="6"/>
  <c r="AV185" i="6"/>
  <c r="AV199" i="6"/>
  <c r="AR202" i="6"/>
  <c r="BC236" i="6"/>
  <c r="AZ202" i="6"/>
  <c r="BD20" i="6"/>
  <c r="AW23" i="6"/>
  <c r="BC35" i="6"/>
  <c r="BD42" i="6"/>
  <c r="BD44" i="6"/>
  <c r="AW58" i="6"/>
  <c r="AY64" i="6"/>
  <c r="BC74" i="6"/>
  <c r="AX98" i="6"/>
  <c r="AX104" i="6"/>
  <c r="AY105" i="6"/>
  <c r="BD110" i="6"/>
  <c r="AY111" i="6"/>
  <c r="BC118" i="6"/>
  <c r="BB125" i="6"/>
  <c r="BC143" i="6"/>
  <c r="AX149" i="6"/>
  <c r="BC157" i="6"/>
  <c r="BD166" i="6"/>
  <c r="AZ173" i="6"/>
  <c r="AX193" i="6"/>
  <c r="AY194" i="6"/>
  <c r="BD198" i="6"/>
  <c r="AV8" i="6"/>
  <c r="AW14" i="6"/>
  <c r="AV17" i="6"/>
  <c r="BC19" i="6"/>
  <c r="AW46" i="6"/>
  <c r="AV48" i="6"/>
  <c r="BC51" i="6"/>
  <c r="AY66" i="6"/>
  <c r="BD74" i="6"/>
  <c r="BB81" i="6"/>
  <c r="BD86" i="6"/>
  <c r="BB89" i="6"/>
  <c r="AW91" i="6"/>
  <c r="AY104" i="6"/>
  <c r="AW106" i="6"/>
  <c r="AV121" i="6"/>
  <c r="BD124" i="6"/>
  <c r="BC125" i="6"/>
  <c r="AV128" i="6"/>
  <c r="AV131" i="6"/>
  <c r="BC135" i="6"/>
  <c r="BB138" i="6"/>
  <c r="AY149" i="6"/>
  <c r="AY150" i="6"/>
  <c r="BD178" i="6"/>
  <c r="AV181" i="6"/>
  <c r="BD184" i="6"/>
  <c r="AV153" i="6"/>
  <c r="BC159" i="6"/>
  <c r="AY161" i="6"/>
  <c r="BC167" i="6"/>
  <c r="AV169" i="6"/>
  <c r="AV182" i="6"/>
  <c r="BC186" i="6"/>
  <c r="AW188" i="6"/>
  <c r="AV189" i="6"/>
  <c r="BB194" i="6"/>
  <c r="BC199" i="6"/>
  <c r="AY200" i="6"/>
  <c r="AX201" i="6"/>
  <c r="AZ201" i="6"/>
  <c r="BB180" i="6"/>
  <c r="BC187" i="6"/>
  <c r="AX189" i="6"/>
  <c r="AY190" i="6"/>
  <c r="BD193" i="6"/>
  <c r="BA8" i="6"/>
  <c r="AY9" i="6"/>
  <c r="AV20" i="6"/>
  <c r="AZ32" i="6"/>
  <c r="BA39" i="6"/>
  <c r="AV44" i="6"/>
  <c r="BC46" i="6"/>
  <c r="AZ67" i="6"/>
  <c r="AW87" i="6"/>
  <c r="AX92" i="6"/>
  <c r="BC106" i="6"/>
  <c r="BC113" i="6"/>
  <c r="AV117" i="6"/>
  <c r="BC127" i="6"/>
  <c r="BC130" i="6"/>
  <c r="AZ148" i="6"/>
  <c r="AV158" i="6"/>
  <c r="BB162" i="6"/>
  <c r="AV171" i="6"/>
  <c r="AW176" i="6"/>
  <c r="AV177" i="6"/>
  <c r="AY182" i="6"/>
  <c r="BC195" i="6"/>
  <c r="BB201" i="6"/>
  <c r="BB202" i="6"/>
  <c r="AL10" i="5"/>
  <c r="AM12" i="5"/>
  <c r="AK13" i="5"/>
  <c r="AH14" i="5"/>
  <c r="AH15" i="5"/>
  <c r="AG17" i="5"/>
  <c r="AG18" i="5"/>
  <c r="AL30" i="5"/>
  <c r="AK32" i="5"/>
  <c r="AK33" i="5"/>
  <c r="AH34" i="5"/>
  <c r="AJ35" i="5"/>
  <c r="AK36" i="5"/>
  <c r="AL37" i="5"/>
  <c r="AG52" i="5"/>
  <c r="AH53" i="5"/>
  <c r="AH54" i="5"/>
  <c r="AK56" i="5"/>
  <c r="AM57" i="5"/>
  <c r="AN72" i="5"/>
  <c r="AM73" i="5"/>
  <c r="AM77" i="5"/>
  <c r="AM78" i="5"/>
  <c r="AK83" i="5"/>
  <c r="AN85" i="5"/>
  <c r="AJ89" i="5"/>
  <c r="AJ93" i="5"/>
  <c r="AJ94" i="5"/>
  <c r="AJ95" i="5"/>
  <c r="AI131" i="5"/>
  <c r="AL140" i="5"/>
  <c r="AJ144" i="5"/>
  <c r="AN146" i="5"/>
  <c r="AN159" i="5"/>
  <c r="AN168" i="5"/>
  <c r="AN183" i="5"/>
  <c r="AH199" i="5"/>
  <c r="AI200" i="5"/>
  <c r="AM38" i="5"/>
  <c r="AN38" i="5"/>
  <c r="AI41" i="5"/>
  <c r="AN76" i="5"/>
  <c r="AM86" i="5"/>
  <c r="AN87" i="5"/>
  <c r="AK116" i="5"/>
  <c r="AI129" i="5"/>
  <c r="AJ131" i="5"/>
  <c r="AK142" i="5"/>
  <c r="AK143" i="5"/>
  <c r="AK144" i="5"/>
  <c r="AN180" i="5"/>
  <c r="AJ200" i="5"/>
  <c r="AN84" i="5"/>
  <c r="AH85" i="5"/>
  <c r="AH98" i="5"/>
  <c r="AH100" i="5"/>
  <c r="AK131" i="5"/>
  <c r="AM132" i="5"/>
  <c r="AL132" i="5"/>
  <c r="AN140" i="5"/>
  <c r="AL143" i="5"/>
  <c r="AH198" i="5"/>
  <c r="AJ199" i="5"/>
  <c r="AJ75" i="5"/>
  <c r="AI75" i="5"/>
  <c r="AL133" i="5"/>
  <c r="AK133" i="5"/>
  <c r="AG12" i="5"/>
  <c r="AJ29" i="5"/>
  <c r="AH77" i="5"/>
  <c r="AH5" i="5"/>
  <c r="AN13" i="5"/>
  <c r="AK14" i="5"/>
  <c r="AK15" i="5"/>
  <c r="AE23" i="5"/>
  <c r="AF26" i="5"/>
  <c r="AN30" i="5"/>
  <c r="AL34" i="5"/>
  <c r="AN42" i="5"/>
  <c r="AK44" i="5"/>
  <c r="AK49" i="5"/>
  <c r="AH51" i="5"/>
  <c r="AK53" i="5"/>
  <c r="AL55" i="5"/>
  <c r="AF61" i="5"/>
  <c r="AG62" i="5"/>
  <c r="AE64" i="5"/>
  <c r="AH74" i="5"/>
  <c r="AF82" i="5"/>
  <c r="AN86" i="5"/>
  <c r="AL90" i="5"/>
  <c r="AL92" i="5"/>
  <c r="AL94" i="5"/>
  <c r="AM95" i="5"/>
  <c r="AI98" i="5"/>
  <c r="AI100" i="5"/>
  <c r="AN101" i="5"/>
  <c r="AM102" i="5"/>
  <c r="AL103" i="5"/>
  <c r="AG110" i="5"/>
  <c r="AI114" i="5"/>
  <c r="AK115" i="5"/>
  <c r="AH126" i="5"/>
  <c r="AL130" i="5"/>
  <c r="AM139" i="5"/>
  <c r="AM143" i="5"/>
  <c r="AM144" i="5"/>
  <c r="AF161" i="5"/>
  <c r="AH163" i="5"/>
  <c r="AH164" i="5"/>
  <c r="AL180" i="5"/>
  <c r="AG197" i="5"/>
  <c r="AI198" i="5"/>
  <c r="AG104" i="5"/>
  <c r="AN122" i="5"/>
  <c r="AF149" i="5"/>
  <c r="AF153" i="5"/>
  <c r="AF177" i="5"/>
  <c r="AF185" i="5"/>
  <c r="AM34" i="5"/>
  <c r="AI8" i="5"/>
  <c r="AH10" i="5"/>
  <c r="AJ16" i="5"/>
  <c r="AI20" i="5"/>
  <c r="AI24" i="5"/>
  <c r="AF28" i="5"/>
  <c r="AM35" i="5"/>
  <c r="AM50" i="5"/>
  <c r="AM52" i="5"/>
  <c r="AN53" i="5"/>
  <c r="AN54" i="5"/>
  <c r="AI61" i="5"/>
  <c r="AG64" i="5"/>
  <c r="AL74" i="5"/>
  <c r="AG80" i="5"/>
  <c r="AH82" i="5"/>
  <c r="AG83" i="5"/>
  <c r="AI94" i="5"/>
  <c r="AN109" i="5"/>
  <c r="AJ110" i="5"/>
  <c r="AM123" i="5"/>
  <c r="AF137" i="5"/>
  <c r="AG149" i="5"/>
  <c r="AK162" i="5"/>
  <c r="AJ162" i="5"/>
  <c r="AG185" i="5"/>
  <c r="AG195" i="5"/>
  <c r="AL198" i="5"/>
  <c r="AA235" i="5"/>
  <c r="AN235" i="5" s="1"/>
  <c r="AM31" i="5"/>
  <c r="AL50" i="5"/>
  <c r="AN114" i="5"/>
  <c r="AM114" i="5"/>
  <c r="AK186" i="5"/>
  <c r="AJ186" i="5"/>
  <c r="AI7" i="5"/>
  <c r="AG10" i="5"/>
  <c r="AM14" i="5"/>
  <c r="AK7" i="5"/>
  <c r="AL7" i="5"/>
  <c r="AK8" i="5"/>
  <c r="AK9" i="5"/>
  <c r="AH18" i="5"/>
  <c r="AK20" i="5"/>
  <c r="AH22" i="5"/>
  <c r="AI23" i="5"/>
  <c r="AN33" i="5"/>
  <c r="AG39" i="5"/>
  <c r="AG40" i="5"/>
  <c r="AL47" i="5"/>
  <c r="AJ52" i="5"/>
  <c r="AG58" i="5"/>
  <c r="AH60" i="5"/>
  <c r="AJ61" i="5"/>
  <c r="AH80" i="5"/>
  <c r="AJ82" i="5"/>
  <c r="AM112" i="5"/>
  <c r="AM126" i="5"/>
  <c r="AG148" i="5"/>
  <c r="AH160" i="5"/>
  <c r="AJ161" i="5"/>
  <c r="AH173" i="5"/>
  <c r="AI185" i="5"/>
  <c r="AH195" i="5"/>
  <c r="AM53" i="5"/>
  <c r="AL21" i="5"/>
  <c r="AK21" i="5"/>
  <c r="AF37" i="5"/>
  <c r="AH40" i="5"/>
  <c r="AF44" i="5"/>
  <c r="AF45" i="5"/>
  <c r="AF76" i="5"/>
  <c r="AH79" i="5"/>
  <c r="AI80" i="5"/>
  <c r="AJ81" i="5"/>
  <c r="AN111" i="5"/>
  <c r="AN112" i="5"/>
  <c r="AM113" i="5"/>
  <c r="AM122" i="5"/>
  <c r="AF133" i="5"/>
  <c r="AI136" i="5"/>
  <c r="AF145" i="5"/>
  <c r="AG146" i="5"/>
  <c r="AH148" i="5"/>
  <c r="AG159" i="5"/>
  <c r="AI160" i="5"/>
  <c r="AK174" i="5"/>
  <c r="AJ174" i="5"/>
  <c r="AI193" i="5"/>
  <c r="AM197" i="5"/>
  <c r="AH9" i="5"/>
  <c r="AJ7" i="5"/>
  <c r="AJ8" i="5"/>
  <c r="AK184" i="5"/>
  <c r="AJ184" i="5"/>
  <c r="AG26" i="5"/>
  <c r="AM49" i="5"/>
  <c r="AG61" i="5"/>
  <c r="AG5" i="5"/>
  <c r="AN8" i="5"/>
  <c r="AN9" i="5"/>
  <c r="AF16" i="5"/>
  <c r="AM21" i="5"/>
  <c r="AK22" i="5"/>
  <c r="AF35" i="5"/>
  <c r="AF36" i="5"/>
  <c r="AG37" i="5"/>
  <c r="AG38" i="5"/>
  <c r="AI39" i="5"/>
  <c r="AI40" i="5"/>
  <c r="AH57" i="5"/>
  <c r="AF75" i="5"/>
  <c r="AG76" i="5"/>
  <c r="AH78" i="5"/>
  <c r="AJ79" i="5"/>
  <c r="AK80" i="5"/>
  <c r="AL81" i="5"/>
  <c r="AF95" i="5"/>
  <c r="AI97" i="5"/>
  <c r="AF102" i="5"/>
  <c r="AF106" i="5"/>
  <c r="AG133" i="5"/>
  <c r="AI135" i="5"/>
  <c r="AG145" i="5"/>
  <c r="AJ147" i="5"/>
  <c r="AJ148" i="5"/>
  <c r="AJ157" i="5"/>
  <c r="AI159" i="5"/>
  <c r="AK169" i="5"/>
  <c r="AI171" i="5"/>
  <c r="AI183" i="5"/>
  <c r="AM196" i="5"/>
  <c r="AM22" i="5"/>
  <c r="AI38" i="5"/>
  <c r="AL79" i="5"/>
  <c r="AG95" i="5"/>
  <c r="AH96" i="5"/>
  <c r="AJ97" i="5"/>
  <c r="AG116" i="5"/>
  <c r="AH118" i="5"/>
  <c r="AI121" i="5"/>
  <c r="AG132" i="5"/>
  <c r="AJ134" i="5"/>
  <c r="AI134" i="5"/>
  <c r="AI145" i="5"/>
  <c r="AK146" i="5"/>
  <c r="AL148" i="5"/>
  <c r="AM152" i="5"/>
  <c r="AM154" i="5"/>
  <c r="AK158" i="5"/>
  <c r="AN160" i="5"/>
  <c r="AM160" i="5"/>
  <c r="AK172" i="5"/>
  <c r="AJ180" i="5"/>
  <c r="AI181" i="5"/>
  <c r="AM189" i="5"/>
  <c r="AM190" i="5"/>
  <c r="AL194" i="5"/>
  <c r="AH26" i="5"/>
  <c r="AK39" i="5"/>
  <c r="AL39" i="5"/>
  <c r="AJ57" i="5"/>
  <c r="AM59" i="5"/>
  <c r="AM69" i="5"/>
  <c r="AJ73" i="5"/>
  <c r="AI76" i="5"/>
  <c r="AJ77" i="5"/>
  <c r="AJ78" i="5"/>
  <c r="AL11" i="5"/>
  <c r="AH16" i="5"/>
  <c r="AF18" i="5"/>
  <c r="AN22" i="5"/>
  <c r="AI30" i="5"/>
  <c r="AK31" i="5"/>
  <c r="AH32" i="5"/>
  <c r="AH36" i="5"/>
  <c r="AJ37" i="5"/>
  <c r="AJ38" i="5"/>
  <c r="AF52" i="5"/>
  <c r="AI56" i="5"/>
  <c r="AH64" i="5"/>
  <c r="AL71" i="5"/>
  <c r="AL72" i="5"/>
  <c r="AJ74" i="5"/>
  <c r="AH75" i="5"/>
  <c r="AK77" i="5"/>
  <c r="AM79" i="5"/>
  <c r="AI81" i="5"/>
  <c r="AL84" i="5"/>
  <c r="AJ87" i="5"/>
  <c r="AH89" i="5"/>
  <c r="AG90" i="5"/>
  <c r="AH91" i="5"/>
  <c r="AI93" i="5"/>
  <c r="AG94" i="5"/>
  <c r="AH95" i="5"/>
  <c r="AI96" i="5"/>
  <c r="AH116" i="5"/>
  <c r="AI117" i="5"/>
  <c r="AI118" i="5"/>
  <c r="AJ119" i="5"/>
  <c r="AH144" i="5"/>
  <c r="AM147" i="5"/>
  <c r="AN148" i="5"/>
  <c r="AM148" i="5"/>
  <c r="AI149" i="5"/>
  <c r="AL158" i="5"/>
  <c r="AM170" i="5"/>
  <c r="AL172" i="5"/>
  <c r="AM178" i="5"/>
  <c r="AJ181" i="5"/>
  <c r="AK182" i="5"/>
  <c r="AM198" i="5"/>
  <c r="AG6" i="5"/>
  <c r="AM15" i="5"/>
  <c r="AI17" i="5"/>
  <c r="AM23" i="5"/>
  <c r="AN24" i="5"/>
  <c r="AK25" i="5"/>
  <c r="AL26" i="5"/>
  <c r="AG31" i="5"/>
  <c r="AN36" i="5"/>
  <c r="AH43" i="5"/>
  <c r="AI44" i="5"/>
  <c r="AF48" i="5"/>
  <c r="AF49" i="5"/>
  <c r="AL60" i="5"/>
  <c r="AM61" i="5"/>
  <c r="AM62" i="5"/>
  <c r="AI64" i="5"/>
  <c r="AH68" i="5"/>
  <c r="AI69" i="5"/>
  <c r="AG71" i="5"/>
  <c r="AF87" i="5"/>
  <c r="AI99" i="5"/>
  <c r="AI104" i="5"/>
  <c r="AG105" i="5"/>
  <c r="AH107" i="5"/>
  <c r="AM115" i="5"/>
  <c r="AK118" i="5"/>
  <c r="AK120" i="5"/>
  <c r="AN132" i="5"/>
  <c r="AK134" i="5"/>
  <c r="AL135" i="5"/>
  <c r="AL149" i="5"/>
  <c r="AF155" i="5"/>
  <c r="AI167" i="5"/>
  <c r="AD170" i="5"/>
  <c r="AK175" i="5"/>
  <c r="AI176" i="5"/>
  <c r="AI177" i="5"/>
  <c r="AF179" i="5"/>
  <c r="AJ201" i="5"/>
  <c r="AN5" i="5"/>
  <c r="AI11" i="5"/>
  <c r="AK17" i="5"/>
  <c r="AK18" i="5"/>
  <c r="AM26" i="5"/>
  <c r="AJ28" i="5"/>
  <c r="AF32" i="5"/>
  <c r="AM41" i="5"/>
  <c r="AJ42" i="5"/>
  <c r="AL45" i="5"/>
  <c r="AI46" i="5"/>
  <c r="AH48" i="5"/>
  <c r="AN60" i="5"/>
  <c r="AK64" i="5"/>
  <c r="AL66" i="5"/>
  <c r="AI67" i="5"/>
  <c r="AF89" i="5"/>
  <c r="AF91" i="5"/>
  <c r="AF93" i="5"/>
  <c r="AM98" i="5"/>
  <c r="AM100" i="5"/>
  <c r="AI105" i="5"/>
  <c r="AN117" i="5"/>
  <c r="AM118" i="5"/>
  <c r="AH123" i="5"/>
  <c r="AM134" i="5"/>
  <c r="AL137" i="5"/>
  <c r="AM150" i="5"/>
  <c r="AF157" i="5"/>
  <c r="AN161" i="5"/>
  <c r="AN162" i="5"/>
  <c r="AN185" i="5"/>
  <c r="AF193" i="5"/>
  <c r="AN200" i="5"/>
  <c r="AL201" i="5"/>
  <c r="AF8" i="5"/>
  <c r="AL43" i="5"/>
  <c r="AK46" i="5"/>
  <c r="AD51" i="5"/>
  <c r="AF90" i="5"/>
  <c r="AF110" i="5"/>
  <c r="AJ123" i="5"/>
  <c r="AF130" i="5"/>
  <c r="AF142" i="5"/>
  <c r="AF171" i="5"/>
  <c r="X235" i="5"/>
  <c r="AK235" i="5" s="1"/>
  <c r="AF181" i="5"/>
  <c r="AH235" i="5"/>
  <c r="AJ114" i="5"/>
  <c r="AI116" i="5"/>
  <c r="AG119" i="5"/>
  <c r="AK127" i="5"/>
  <c r="AN147" i="5"/>
  <c r="AM158" i="5"/>
  <c r="AK160" i="5"/>
  <c r="AF165" i="5"/>
  <c r="AF166" i="5"/>
  <c r="AN170" i="5"/>
  <c r="AG174" i="5"/>
  <c r="AL181" i="5"/>
  <c r="AH184" i="5"/>
  <c r="AK197" i="5"/>
  <c r="AG200" i="5"/>
  <c r="AF201" i="5"/>
  <c r="AK199" i="5"/>
  <c r="AL15" i="5"/>
  <c r="AH17" i="5"/>
  <c r="AL23" i="5"/>
  <c r="AJ25" i="5"/>
  <c r="AG28" i="5"/>
  <c r="AN34" i="5"/>
  <c r="AG42" i="5"/>
  <c r="AK60" i="5"/>
  <c r="AH70" i="5"/>
  <c r="AN81" i="5"/>
  <c r="AL96" i="5"/>
  <c r="AH99" i="5"/>
  <c r="AH101" i="5"/>
  <c r="AG106" i="5"/>
  <c r="AK149" i="5"/>
  <c r="AI165" i="5"/>
  <c r="AL173" i="5"/>
  <c r="AJ175" i="5"/>
  <c r="AH176" i="5"/>
  <c r="AH188" i="5"/>
  <c r="AF190" i="5"/>
  <c r="AN198" i="5"/>
  <c r="AI201" i="5"/>
  <c r="AU13" i="7"/>
  <c r="AU42" i="6"/>
  <c r="AU37" i="6"/>
  <c r="AE185" i="5"/>
  <c r="AE186" i="5"/>
  <c r="AH88" i="9"/>
  <c r="AH45" i="9"/>
  <c r="AH256" i="7"/>
  <c r="AV256" i="7" s="1"/>
  <c r="AR192" i="7"/>
  <c r="AR93" i="7"/>
  <c r="AU17" i="7"/>
  <c r="AU21" i="7"/>
  <c r="AU28" i="7"/>
  <c r="AU9" i="7"/>
  <c r="AU18" i="7"/>
  <c r="AU29" i="7"/>
  <c r="AU10" i="7"/>
  <c r="AU19" i="6"/>
  <c r="AU32" i="6"/>
  <c r="AE191" i="5"/>
  <c r="AE35" i="5"/>
  <c r="AE181" i="5"/>
  <c r="AE145" i="5"/>
  <c r="AE147" i="5"/>
  <c r="AE24" i="5"/>
  <c r="AE198" i="5"/>
  <c r="AE5" i="5"/>
  <c r="AE96" i="5"/>
  <c r="AR34" i="7"/>
  <c r="AR215" i="7"/>
  <c r="AU13" i="6"/>
  <c r="AU35" i="6"/>
  <c r="AU29" i="6"/>
  <c r="AU23" i="6"/>
  <c r="AV50" i="6"/>
  <c r="AV198" i="6"/>
  <c r="AU20" i="6"/>
  <c r="AU27" i="6"/>
  <c r="AF34" i="5"/>
  <c r="AF59" i="5"/>
  <c r="AE159" i="5"/>
  <c r="AE45" i="5"/>
  <c r="AE149" i="5"/>
  <c r="AE138" i="5"/>
  <c r="AE139" i="5"/>
  <c r="AE123" i="5"/>
  <c r="AF11" i="5"/>
  <c r="AE21" i="5"/>
  <c r="AE99" i="5"/>
  <c r="AE48" i="5"/>
  <c r="AE49" i="5"/>
  <c r="AE195" i="5"/>
  <c r="AF147" i="5"/>
  <c r="AE150" i="5"/>
  <c r="AE174" i="5"/>
  <c r="AE111" i="5"/>
  <c r="AE110" i="5"/>
  <c r="AE39" i="5"/>
  <c r="AE81" i="5"/>
  <c r="AF25" i="5"/>
  <c r="AE80" i="5"/>
  <c r="AH110" i="9"/>
  <c r="AH66" i="9"/>
  <c r="AH24" i="9"/>
  <c r="AU16" i="7"/>
  <c r="AU20" i="7"/>
  <c r="AU24" i="7"/>
  <c r="AU43" i="7"/>
  <c r="AR110" i="7"/>
  <c r="AU14" i="7"/>
  <c r="AU37" i="7"/>
  <c r="AU41" i="7"/>
  <c r="AV15" i="7"/>
  <c r="AR230" i="7"/>
  <c r="AU22" i="7"/>
  <c r="AU25" i="7"/>
  <c r="AU32" i="7"/>
  <c r="AU39" i="7"/>
  <c r="AU44" i="7"/>
  <c r="AU36" i="7"/>
  <c r="AV39" i="7"/>
  <c r="AU40" i="7"/>
  <c r="AV51" i="7"/>
  <c r="AV98" i="7"/>
  <c r="AU26" i="7"/>
  <c r="AV54" i="7"/>
  <c r="AU5" i="7"/>
  <c r="AU8" i="7"/>
  <c r="AU30" i="7"/>
  <c r="AV108" i="7"/>
  <c r="AV116" i="7"/>
  <c r="AU34" i="7"/>
  <c r="AV48" i="7"/>
  <c r="AV61" i="7"/>
  <c r="AU6" i="7"/>
  <c r="AU12" i="7"/>
  <c r="AV86" i="7"/>
  <c r="AR134" i="6"/>
  <c r="AV166" i="6"/>
  <c r="AV39" i="6"/>
  <c r="AV140" i="6"/>
  <c r="AV76" i="6"/>
  <c r="AU31" i="6"/>
  <c r="AV74" i="6"/>
  <c r="AV27" i="6"/>
  <c r="AV81" i="6"/>
  <c r="AR169" i="6"/>
  <c r="AU12" i="6"/>
  <c r="AV34" i="6"/>
  <c r="AV144" i="6"/>
  <c r="AV42" i="6"/>
  <c r="AV31" i="6"/>
  <c r="AV172" i="6"/>
  <c r="AV143" i="6"/>
  <c r="AU7" i="6"/>
  <c r="AU8" i="6"/>
  <c r="AV132" i="6"/>
  <c r="AV160" i="6"/>
  <c r="AV64" i="6"/>
  <c r="AV156" i="6"/>
  <c r="AV46" i="6"/>
  <c r="AV23" i="6"/>
  <c r="AV35" i="6"/>
  <c r="AV95" i="6"/>
  <c r="AV7" i="6"/>
  <c r="AU39" i="6"/>
  <c r="AV58" i="6"/>
  <c r="AV54" i="6"/>
  <c r="AU15" i="6"/>
  <c r="AV38" i="6"/>
  <c r="AU41" i="6"/>
  <c r="AV112" i="6"/>
  <c r="AV151" i="6"/>
  <c r="AV25" i="6"/>
  <c r="AH236" i="6"/>
  <c r="AV9" i="6"/>
  <c r="AU28" i="6"/>
  <c r="AV192" i="6"/>
  <c r="AV196" i="6"/>
  <c r="AU5" i="6"/>
  <c r="AU11" i="6"/>
  <c r="AU17" i="6"/>
  <c r="AF121" i="5"/>
  <c r="AF192" i="5"/>
  <c r="AF92" i="5"/>
  <c r="AF22" i="5"/>
  <c r="AF154" i="5"/>
  <c r="AF174" i="5"/>
  <c r="AE72" i="5"/>
  <c r="AE73" i="5"/>
  <c r="AE128" i="5"/>
  <c r="AF164" i="5"/>
  <c r="AE11" i="5"/>
  <c r="AE17" i="5"/>
  <c r="AE36" i="5"/>
  <c r="AF128" i="5"/>
  <c r="AE87" i="5"/>
  <c r="AE115" i="5"/>
  <c r="AE144" i="5"/>
  <c r="AE76" i="5"/>
  <c r="AE161" i="5"/>
  <c r="AE169" i="5"/>
  <c r="AE179" i="5"/>
  <c r="AE7" i="5"/>
  <c r="AE28" i="5"/>
  <c r="AE40" i="5"/>
  <c r="AE78" i="5"/>
  <c r="AE89" i="5"/>
  <c r="AE104" i="5"/>
  <c r="AE203" i="5"/>
  <c r="AF120" i="5"/>
  <c r="AF182" i="5"/>
  <c r="AE8" i="5"/>
  <c r="AE118" i="5"/>
  <c r="AE135" i="5"/>
  <c r="AF107" i="5"/>
  <c r="AE9" i="5"/>
  <c r="AF19" i="5"/>
  <c r="AE37" i="5"/>
  <c r="AE60" i="5"/>
  <c r="AE85" i="5"/>
  <c r="AE122" i="5"/>
  <c r="AF146" i="5"/>
  <c r="AF38" i="5"/>
  <c r="AF150" i="5"/>
  <c r="AF151" i="5"/>
  <c r="AF160" i="5"/>
  <c r="AF178" i="5"/>
  <c r="AF10" i="5"/>
  <c r="AE52" i="5"/>
  <c r="AE53" i="5"/>
  <c r="AE69" i="5"/>
  <c r="AF81" i="5"/>
  <c r="AE82" i="5"/>
  <c r="AE91" i="5"/>
  <c r="AE140" i="5"/>
  <c r="AE153" i="5"/>
  <c r="AF170" i="5"/>
  <c r="AF134" i="5"/>
  <c r="AF168" i="5"/>
  <c r="AF111" i="5"/>
  <c r="AF176" i="5"/>
  <c r="AF196" i="5"/>
  <c r="AF79" i="5"/>
  <c r="AF138" i="5"/>
  <c r="AF65" i="5"/>
  <c r="AF6" i="5"/>
  <c r="AF67" i="5"/>
  <c r="AF69" i="5"/>
  <c r="AB73" i="5"/>
  <c r="AE92" i="5"/>
  <c r="AB94" i="5"/>
  <c r="AB118" i="5"/>
  <c r="AE127" i="5"/>
  <c r="AF140" i="5"/>
  <c r="AE141" i="5"/>
  <c r="AE154" i="5"/>
  <c r="AF200" i="5"/>
  <c r="AF63" i="5"/>
  <c r="AF96" i="5"/>
  <c r="AF112" i="5"/>
  <c r="AF186" i="5"/>
  <c r="AF86" i="5"/>
  <c r="AF14" i="5"/>
  <c r="AE12" i="5"/>
  <c r="AE44" i="5"/>
  <c r="AF51" i="5"/>
  <c r="AE56" i="5"/>
  <c r="AE103" i="5"/>
  <c r="AE107" i="5"/>
  <c r="AE117" i="5"/>
  <c r="AF152" i="5"/>
  <c r="AF180" i="5"/>
  <c r="AF29" i="5"/>
  <c r="AF184" i="5"/>
  <c r="AF103" i="5"/>
  <c r="AF117" i="5"/>
  <c r="AF7" i="5"/>
  <c r="AF17" i="5"/>
  <c r="AE19" i="5"/>
  <c r="AF55" i="5"/>
  <c r="AF72" i="5"/>
  <c r="AF83" i="5"/>
  <c r="AE95" i="5"/>
  <c r="AE133" i="5"/>
  <c r="AE146" i="5"/>
  <c r="AF172" i="5"/>
  <c r="AF202" i="5"/>
  <c r="R235" i="5"/>
  <c r="AF235" i="5" s="1"/>
  <c r="AR190" i="7"/>
  <c r="AR28" i="7"/>
  <c r="AT22" i="7"/>
  <c r="AT25" i="7"/>
  <c r="AR8" i="7"/>
  <c r="AR230" i="6"/>
  <c r="AD182" i="5"/>
  <c r="AD49" i="5"/>
  <c r="AB50" i="5"/>
  <c r="AB53" i="5"/>
  <c r="AB166" i="5"/>
  <c r="AG45" i="9"/>
  <c r="AU33" i="7"/>
  <c r="AR139" i="7"/>
  <c r="AR155" i="7"/>
  <c r="AE38" i="5"/>
  <c r="AB26" i="5"/>
  <c r="AD44" i="5"/>
  <c r="AD28" i="5"/>
  <c r="AD36" i="5"/>
  <c r="AD76" i="5"/>
  <c r="AB98" i="5"/>
  <c r="AD180" i="5"/>
  <c r="AD142" i="5"/>
  <c r="AD12" i="5"/>
  <c r="AD184" i="5"/>
  <c r="AG110" i="9"/>
  <c r="AG88" i="9"/>
  <c r="AG66" i="9"/>
  <c r="AG24" i="9"/>
  <c r="AR183" i="7"/>
  <c r="AR252" i="7"/>
  <c r="AT44" i="7"/>
  <c r="AT8" i="7"/>
  <c r="AR26" i="7"/>
  <c r="AT30" i="7"/>
  <c r="AT40" i="7"/>
  <c r="AT13" i="7"/>
  <c r="AT37" i="7"/>
  <c r="AT10" i="7"/>
  <c r="AT16" i="7"/>
  <c r="AT34" i="7"/>
  <c r="AR91" i="7"/>
  <c r="AR178" i="7"/>
  <c r="AR103" i="7"/>
  <c r="AG256" i="7"/>
  <c r="AT20" i="7"/>
  <c r="AR198" i="7"/>
  <c r="AR214" i="7"/>
  <c r="AT24" i="7"/>
  <c r="AT21" i="6"/>
  <c r="AR125" i="6"/>
  <c r="AR61" i="6"/>
  <c r="AR62" i="6"/>
  <c r="AU14" i="6"/>
  <c r="AT35" i="6"/>
  <c r="AR94" i="6"/>
  <c r="AT31" i="6"/>
  <c r="AT39" i="6"/>
  <c r="AT41" i="6"/>
  <c r="AR68" i="6"/>
  <c r="AR205" i="6"/>
  <c r="AT37" i="6"/>
  <c r="AT7" i="6"/>
  <c r="AT8" i="6"/>
  <c r="AB215" i="5"/>
  <c r="AD111" i="5"/>
  <c r="AD112" i="5"/>
  <c r="AD202" i="5"/>
  <c r="AD15" i="5"/>
  <c r="AD138" i="5"/>
  <c r="AD53" i="5"/>
  <c r="AD67" i="5"/>
  <c r="AE113" i="5"/>
  <c r="AD125" i="5"/>
  <c r="AD150" i="5"/>
  <c r="AB43" i="5"/>
  <c r="AD56" i="5"/>
  <c r="AD107" i="5"/>
  <c r="AD117" i="5"/>
  <c r="AD188" i="5"/>
  <c r="AD47" i="5"/>
  <c r="AE108" i="5"/>
  <c r="AD120" i="5"/>
  <c r="AD172" i="5"/>
  <c r="AB58" i="5"/>
  <c r="AD59" i="5"/>
  <c r="AD72" i="5"/>
  <c r="AD73" i="5"/>
  <c r="AD192" i="5"/>
  <c r="AD176" i="5"/>
  <c r="AD14" i="5"/>
  <c r="AD160" i="5"/>
  <c r="AD178" i="5"/>
  <c r="AD11" i="5"/>
  <c r="AD132" i="5"/>
  <c r="AD7" i="5"/>
  <c r="AE30" i="5"/>
  <c r="AD78" i="5"/>
  <c r="AD198" i="5"/>
  <c r="AD146" i="5"/>
  <c r="AD100" i="5"/>
  <c r="AD164" i="5"/>
  <c r="AD156" i="5"/>
  <c r="AD166" i="5"/>
  <c r="AT6" i="7"/>
  <c r="AT28" i="7"/>
  <c r="AR59" i="7"/>
  <c r="AR95" i="7"/>
  <c r="AU42" i="7"/>
  <c r="AT21" i="7"/>
  <c r="AT41" i="7"/>
  <c r="AR36" i="7"/>
  <c r="AT9" i="7"/>
  <c r="AR24" i="7"/>
  <c r="AT36" i="7"/>
  <c r="AT39" i="7"/>
  <c r="AU35" i="7"/>
  <c r="AT12" i="7"/>
  <c r="AT43" i="7"/>
  <c r="AR13" i="7"/>
  <c r="AR210" i="7"/>
  <c r="AT14" i="7"/>
  <c r="AT26" i="7"/>
  <c r="AT29" i="7"/>
  <c r="AT5" i="7"/>
  <c r="AT17" i="7"/>
  <c r="AT32" i="7"/>
  <c r="AG236" i="6"/>
  <c r="AR58" i="6"/>
  <c r="AR116" i="6"/>
  <c r="AR128" i="6"/>
  <c r="AR200" i="6"/>
  <c r="AT17" i="6"/>
  <c r="AT27" i="6"/>
  <c r="AT44" i="6"/>
  <c r="AT12" i="6"/>
  <c r="AT23" i="6"/>
  <c r="AT28" i="6"/>
  <c r="AR232" i="6"/>
  <c r="AR35" i="6"/>
  <c r="AR92" i="6"/>
  <c r="AR231" i="6"/>
  <c r="AR7" i="6"/>
  <c r="AT24" i="6"/>
  <c r="AR47" i="6"/>
  <c r="AU6" i="6"/>
  <c r="AU21" i="6"/>
  <c r="AR144" i="6"/>
  <c r="AR153" i="6"/>
  <c r="AR13" i="6"/>
  <c r="AT32" i="6"/>
  <c r="AT42" i="6"/>
  <c r="AR210" i="6"/>
  <c r="AR218" i="6"/>
  <c r="AR226" i="6"/>
  <c r="AU38" i="6"/>
  <c r="AT5" i="6"/>
  <c r="AR174" i="6"/>
  <c r="AT19" i="6"/>
  <c r="AT20" i="6"/>
  <c r="AT11" i="6"/>
  <c r="AT15" i="6"/>
  <c r="AT36" i="6"/>
  <c r="AE94" i="5"/>
  <c r="AE196" i="5"/>
  <c r="AE125" i="5"/>
  <c r="AD105" i="5"/>
  <c r="AE126" i="5"/>
  <c r="AE116" i="5"/>
  <c r="AD43" i="5"/>
  <c r="AD45" i="5"/>
  <c r="AB81" i="5"/>
  <c r="AD200" i="5"/>
  <c r="AE47" i="5"/>
  <c r="AD48" i="5"/>
  <c r="AB213" i="5"/>
  <c r="AB221" i="5"/>
  <c r="AE109" i="5"/>
  <c r="AE183" i="5"/>
  <c r="AD30" i="5"/>
  <c r="AD60" i="5"/>
  <c r="AE90" i="5"/>
  <c r="AE167" i="5"/>
  <c r="AE10" i="5"/>
  <c r="AE88" i="5"/>
  <c r="AD8" i="5"/>
  <c r="AD99" i="5"/>
  <c r="AD186" i="5"/>
  <c r="AD194" i="5"/>
  <c r="AB196" i="5"/>
  <c r="AB220" i="5"/>
  <c r="AE132" i="5"/>
  <c r="AE6" i="5"/>
  <c r="AD17" i="5"/>
  <c r="AD18" i="5"/>
  <c r="AD40" i="5"/>
  <c r="AB180" i="5"/>
  <c r="AE194" i="5"/>
  <c r="AD196" i="5"/>
  <c r="AB227" i="5"/>
  <c r="AB112" i="5"/>
  <c r="AE155" i="5"/>
  <c r="AE180" i="5"/>
  <c r="AE54" i="5"/>
  <c r="AD55" i="5"/>
  <c r="AE67" i="5"/>
  <c r="AD70" i="5"/>
  <c r="AE101" i="5"/>
  <c r="AE112" i="5"/>
  <c r="AD158" i="5"/>
  <c r="AD168" i="5"/>
  <c r="AD174" i="5"/>
  <c r="AD190" i="5"/>
  <c r="AE119" i="5"/>
  <c r="AE130" i="5"/>
  <c r="AE162" i="5"/>
  <c r="AE42" i="5"/>
  <c r="AE163" i="5"/>
  <c r="AB70" i="5"/>
  <c r="AD23" i="5"/>
  <c r="AD24" i="5"/>
  <c r="AE55" i="5"/>
  <c r="AE70" i="5"/>
  <c r="AE84" i="5"/>
  <c r="AD95" i="5"/>
  <c r="AD103" i="5"/>
  <c r="AD123" i="5"/>
  <c r="AD135" i="5"/>
  <c r="AE158" i="5"/>
  <c r="AE168" i="5"/>
  <c r="AE190" i="5"/>
  <c r="AE199" i="5"/>
  <c r="AE57" i="5"/>
  <c r="AD80" i="5"/>
  <c r="AD87" i="5"/>
  <c r="AD134" i="5"/>
  <c r="AE182" i="5"/>
  <c r="AB192" i="5"/>
  <c r="AE200" i="5"/>
  <c r="AE43" i="5"/>
  <c r="AE75" i="5"/>
  <c r="AE100" i="5"/>
  <c r="AE164" i="5"/>
  <c r="AD32" i="5"/>
  <c r="AE59" i="5"/>
  <c r="AB60" i="5"/>
  <c r="AB105" i="5"/>
  <c r="AE51" i="5"/>
  <c r="AB189" i="5"/>
  <c r="AE172" i="5"/>
  <c r="AE66" i="5"/>
  <c r="AE120" i="5"/>
  <c r="AE131" i="5"/>
  <c r="AE156" i="5"/>
  <c r="AE13" i="5"/>
  <c r="AE32" i="5"/>
  <c r="AE33" i="5"/>
  <c r="AE176" i="5"/>
  <c r="AE192" i="5"/>
  <c r="AD26" i="5"/>
  <c r="AE61" i="5"/>
  <c r="AD63" i="5"/>
  <c r="AD96" i="5"/>
  <c r="AE105" i="5"/>
  <c r="AD144" i="5"/>
  <c r="AD152" i="5"/>
  <c r="AE160" i="5"/>
  <c r="AE184" i="5"/>
  <c r="AE202" i="5"/>
  <c r="AE14" i="5"/>
  <c r="AE65" i="5"/>
  <c r="AE29" i="5"/>
  <c r="AE188" i="5"/>
  <c r="AE16" i="5"/>
  <c r="AB55" i="5"/>
  <c r="AD115" i="5"/>
  <c r="AE134" i="5"/>
  <c r="AD154" i="5"/>
  <c r="Q235" i="5"/>
  <c r="AE136" i="5"/>
  <c r="AE142" i="5"/>
  <c r="AD20" i="5"/>
  <c r="AD21" i="5"/>
  <c r="AE25" i="5"/>
  <c r="AE63" i="5"/>
  <c r="AD68" i="5"/>
  <c r="AD91" i="5"/>
  <c r="AE152" i="5"/>
  <c r="AE170" i="5"/>
  <c r="AE178" i="5"/>
  <c r="AD34" i="5"/>
  <c r="AD64" i="5"/>
  <c r="AD119" i="5"/>
  <c r="AD127" i="5"/>
  <c r="AD128" i="5"/>
  <c r="AD130" i="5"/>
  <c r="AD139" i="5"/>
  <c r="AD162" i="5"/>
  <c r="AF45" i="9"/>
  <c r="AR182" i="7"/>
  <c r="AR17" i="7"/>
  <c r="AR172" i="7"/>
  <c r="AR239" i="7"/>
  <c r="AR22" i="7"/>
  <c r="AR43" i="7"/>
  <c r="AR253" i="7"/>
  <c r="AR87" i="7"/>
  <c r="AR153" i="7"/>
  <c r="AR116" i="7"/>
  <c r="AR147" i="7"/>
  <c r="AR69" i="7"/>
  <c r="AR122" i="7"/>
  <c r="AR163" i="7"/>
  <c r="AR42" i="7"/>
  <c r="AR82" i="7"/>
  <c r="AR39" i="7"/>
  <c r="AR16" i="7"/>
  <c r="AR5" i="7"/>
  <c r="AR25" i="7"/>
  <c r="AR37" i="7"/>
  <c r="AR55" i="7"/>
  <c r="AR159" i="7"/>
  <c r="AR238" i="7"/>
  <c r="AR194" i="7"/>
  <c r="AR221" i="7"/>
  <c r="AR84" i="7"/>
  <c r="AR71" i="7"/>
  <c r="AR72" i="7"/>
  <c r="AR126" i="7"/>
  <c r="AR151" i="7"/>
  <c r="AR171" i="7"/>
  <c r="AR29" i="7"/>
  <c r="AR48" i="7"/>
  <c r="AR167" i="7"/>
  <c r="AR188" i="7"/>
  <c r="AR188" i="6"/>
  <c r="AR79" i="6"/>
  <c r="AR132" i="6"/>
  <c r="AR34" i="6"/>
  <c r="AR50" i="6"/>
  <c r="AR51" i="6"/>
  <c r="AR93" i="6"/>
  <c r="AR100" i="6"/>
  <c r="AR229" i="6"/>
  <c r="AR28" i="6"/>
  <c r="AR204" i="6"/>
  <c r="AR36" i="6"/>
  <c r="AR21" i="6"/>
  <c r="AR118" i="6"/>
  <c r="AR112" i="6"/>
  <c r="AR168" i="6"/>
  <c r="AR233" i="6"/>
  <c r="AR142" i="6"/>
  <c r="AR215" i="6"/>
  <c r="AR48" i="6"/>
  <c r="AR83" i="6"/>
  <c r="AR213" i="6"/>
  <c r="AR24" i="6"/>
  <c r="AR39" i="6"/>
  <c r="AR96" i="6"/>
  <c r="AR176" i="6"/>
  <c r="AR5" i="6"/>
  <c r="AB127" i="5"/>
  <c r="AB229" i="5"/>
  <c r="AB36" i="5"/>
  <c r="AB93" i="5"/>
  <c r="AB212" i="5"/>
  <c r="AB77" i="5"/>
  <c r="AB211" i="5"/>
  <c r="AB71" i="5"/>
  <c r="AB142" i="5"/>
  <c r="AB20" i="5"/>
  <c r="AB41" i="5"/>
  <c r="AB144" i="5"/>
  <c r="AB194" i="5"/>
  <c r="AB28" i="5"/>
  <c r="AB42" i="5"/>
  <c r="AB150" i="5"/>
  <c r="AB176" i="5"/>
  <c r="AB54" i="5"/>
  <c r="AB109" i="5"/>
  <c r="AB184" i="5"/>
  <c r="AB92" i="5"/>
  <c r="AB139" i="5"/>
  <c r="AB231" i="5"/>
  <c r="AD118" i="5"/>
  <c r="AB10" i="5"/>
  <c r="AB84" i="5"/>
  <c r="AB188" i="5"/>
  <c r="AB204" i="5"/>
  <c r="AR47" i="7"/>
  <c r="AR44" i="7"/>
  <c r="AR212" i="7"/>
  <c r="AR161" i="7"/>
  <c r="AR12" i="7"/>
  <c r="AR102" i="7"/>
  <c r="AR152" i="7"/>
  <c r="AR237" i="7"/>
  <c r="AR11" i="7"/>
  <c r="AR143" i="7"/>
  <c r="AR213" i="7"/>
  <c r="AR224" i="7"/>
  <c r="AR56" i="7"/>
  <c r="AR175" i="7"/>
  <c r="AR222" i="7"/>
  <c r="AR52" i="7"/>
  <c r="AR241" i="7"/>
  <c r="AR223" i="7"/>
  <c r="AR240" i="7"/>
  <c r="AR57" i="7"/>
  <c r="AR131" i="7"/>
  <c r="AR146" i="7"/>
  <c r="AR20" i="7"/>
  <c r="AR50" i="7"/>
  <c r="AR18" i="7"/>
  <c r="AR107" i="7"/>
  <c r="AR90" i="7"/>
  <c r="AR200" i="7"/>
  <c r="AR191" i="7"/>
  <c r="AR229" i="7"/>
  <c r="AR75" i="7"/>
  <c r="AR251" i="7"/>
  <c r="AT31" i="7"/>
  <c r="AR83" i="7"/>
  <c r="AR9" i="7"/>
  <c r="AT11" i="7"/>
  <c r="AR89" i="7"/>
  <c r="AR174" i="7"/>
  <c r="AR42" i="6"/>
  <c r="AR114" i="6"/>
  <c r="AR14" i="6"/>
  <c r="AR25" i="6"/>
  <c r="AR40" i="6"/>
  <c r="AR44" i="6"/>
  <c r="AR88" i="6"/>
  <c r="AR89" i="6"/>
  <c r="AR101" i="6"/>
  <c r="AR166" i="6"/>
  <c r="AR185" i="6"/>
  <c r="AR216" i="6"/>
  <c r="AR84" i="6"/>
  <c r="AR102" i="6"/>
  <c r="AR196" i="6"/>
  <c r="AR64" i="6"/>
  <c r="AR180" i="6"/>
  <c r="AR198" i="6"/>
  <c r="AR138" i="6"/>
  <c r="AR160" i="6"/>
  <c r="AR30" i="6"/>
  <c r="AR91" i="6"/>
  <c r="AR221" i="6"/>
  <c r="AR209" i="6"/>
  <c r="AR122" i="6"/>
  <c r="AR129" i="6"/>
  <c r="AR143" i="6"/>
  <c r="AR75" i="6"/>
  <c r="AR97" i="6"/>
  <c r="AR74" i="6"/>
  <c r="AR145" i="6"/>
  <c r="AR57" i="6"/>
  <c r="AR10" i="6"/>
  <c r="AR225" i="6"/>
  <c r="AR17" i="6"/>
  <c r="AR55" i="6"/>
  <c r="AR214" i="6"/>
  <c r="AR32" i="6"/>
  <c r="AR67" i="6"/>
  <c r="AR140" i="6"/>
  <c r="AR178" i="6"/>
  <c r="AR211" i="6"/>
  <c r="AR227" i="6"/>
  <c r="AT9" i="6"/>
  <c r="AT38" i="6"/>
  <c r="AR41" i="6"/>
  <c r="AR126" i="6"/>
  <c r="AR184" i="6"/>
  <c r="AR54" i="6"/>
  <c r="AR164" i="6"/>
  <c r="AR219" i="6"/>
  <c r="AT29" i="6"/>
  <c r="AR31" i="6"/>
  <c r="AR235" i="6"/>
  <c r="AR27" i="6"/>
  <c r="AR136" i="6"/>
  <c r="AR192" i="6"/>
  <c r="AB230" i="5"/>
  <c r="AB44" i="5"/>
  <c r="AB86" i="5"/>
  <c r="AB123" i="5"/>
  <c r="AB168" i="5"/>
  <c r="AD5" i="5"/>
  <c r="AB45" i="5"/>
  <c r="AB228" i="5"/>
  <c r="AB11" i="5"/>
  <c r="AB132" i="5"/>
  <c r="AB172" i="5"/>
  <c r="AB133" i="5"/>
  <c r="AB96" i="5"/>
  <c r="AB124" i="5"/>
  <c r="AB143" i="5"/>
  <c r="AB190" i="5"/>
  <c r="AB219" i="5"/>
  <c r="AB97" i="5"/>
  <c r="AB125" i="5"/>
  <c r="AB39" i="5"/>
  <c r="AB46" i="5"/>
  <c r="AB218" i="5"/>
  <c r="AB6" i="5"/>
  <c r="AB47" i="5"/>
  <c r="AB152" i="5"/>
  <c r="AB17" i="5"/>
  <c r="AB56" i="5"/>
  <c r="AB140" i="5"/>
  <c r="AB164" i="5"/>
  <c r="AB102" i="5"/>
  <c r="AB222" i="5"/>
  <c r="AB205" i="5"/>
  <c r="AB18" i="5"/>
  <c r="AB35" i="5"/>
  <c r="AB57" i="5"/>
  <c r="AB131" i="5"/>
  <c r="AB155" i="5"/>
  <c r="AD141" i="5"/>
  <c r="AD167" i="5"/>
  <c r="P235" i="5"/>
  <c r="AD16" i="5"/>
  <c r="AD57" i="5"/>
  <c r="AD37" i="5"/>
  <c r="AD38" i="5"/>
  <c r="AD116" i="5"/>
  <c r="AB88" i="5"/>
  <c r="AB134" i="5"/>
  <c r="AF110" i="9"/>
  <c r="AF88" i="9"/>
  <c r="AF66" i="9"/>
  <c r="AF24" i="9"/>
  <c r="AR23" i="7"/>
  <c r="AR67" i="7"/>
  <c r="AR130" i="7"/>
  <c r="AR134" i="7"/>
  <c r="AR168" i="7"/>
  <c r="AR61" i="7"/>
  <c r="AR184" i="7"/>
  <c r="AF256" i="7"/>
  <c r="AR21" i="7"/>
  <c r="AR40" i="7"/>
  <c r="AR49" i="7"/>
  <c r="AR66" i="7"/>
  <c r="AR78" i="7"/>
  <c r="AR96" i="7"/>
  <c r="AR124" i="7"/>
  <c r="AR136" i="7"/>
  <c r="AR32" i="7"/>
  <c r="AR46" i="7"/>
  <c r="AR58" i="7"/>
  <c r="AR97" i="7"/>
  <c r="AR206" i="7"/>
  <c r="AR255" i="7"/>
  <c r="AR74" i="7"/>
  <c r="AR30" i="7"/>
  <c r="AR62" i="7"/>
  <c r="AR79" i="7"/>
  <c r="AR80" i="7"/>
  <c r="AR92" i="7"/>
  <c r="AR108" i="7"/>
  <c r="AR113" i="7"/>
  <c r="AR118" i="7"/>
  <c r="AR120" i="7"/>
  <c r="AR160" i="7"/>
  <c r="AR180" i="7"/>
  <c r="AR202" i="7"/>
  <c r="AR216" i="7"/>
  <c r="AR254" i="7"/>
  <c r="AR35" i="7"/>
  <c r="AR27" i="7"/>
  <c r="AR33" i="7"/>
  <c r="AR54" i="7"/>
  <c r="AR81" i="7"/>
  <c r="AR86" i="7"/>
  <c r="AR114" i="7"/>
  <c r="AR170" i="7"/>
  <c r="AR203" i="7"/>
  <c r="AR51" i="7"/>
  <c r="AR64" i="7"/>
  <c r="AR70" i="7"/>
  <c r="AR94" i="7"/>
  <c r="AR98" i="7"/>
  <c r="AR99" i="7"/>
  <c r="AR104" i="7"/>
  <c r="AR115" i="7"/>
  <c r="AR127" i="7"/>
  <c r="AR128" i="7"/>
  <c r="AR196" i="7"/>
  <c r="AR76" i="7"/>
  <c r="AR140" i="7"/>
  <c r="AR157" i="7"/>
  <c r="AR186" i="7"/>
  <c r="AR31" i="7"/>
  <c r="AR45" i="7"/>
  <c r="AR77" i="7"/>
  <c r="AR106" i="7"/>
  <c r="AR14" i="7"/>
  <c r="AR179" i="7"/>
  <c r="AR7" i="7"/>
  <c r="AR19" i="7"/>
  <c r="AR166" i="7"/>
  <c r="AR225" i="7"/>
  <c r="AT42" i="7"/>
  <c r="AR148" i="7"/>
  <c r="AR88" i="7"/>
  <c r="AR117" i="7"/>
  <c r="AR125" i="7"/>
  <c r="AR15" i="7"/>
  <c r="AR144" i="7"/>
  <c r="AT45" i="7"/>
  <c r="AR112" i="7"/>
  <c r="AR177" i="7"/>
  <c r="AR109" i="7"/>
  <c r="AR33" i="6"/>
  <c r="AR46" i="6"/>
  <c r="AR170" i="6"/>
  <c r="AR106" i="6"/>
  <c r="AR12" i="6"/>
  <c r="AR52" i="6"/>
  <c r="AR90" i="6"/>
  <c r="AR113" i="6"/>
  <c r="AR124" i="6"/>
  <c r="AR212" i="6"/>
  <c r="AR8" i="6"/>
  <c r="AR161" i="6"/>
  <c r="AR220" i="6"/>
  <c r="AR76" i="6"/>
  <c r="AR148" i="6"/>
  <c r="AR149" i="6"/>
  <c r="AR156" i="6"/>
  <c r="AR173" i="6"/>
  <c r="AR228" i="6"/>
  <c r="AR9" i="6"/>
  <c r="AR23" i="6"/>
  <c r="AR108" i="6"/>
  <c r="AR150" i="6"/>
  <c r="AR172" i="6"/>
  <c r="AR182" i="6"/>
  <c r="AR193" i="6"/>
  <c r="AR217" i="6"/>
  <c r="AR59" i="6"/>
  <c r="AR86" i="6"/>
  <c r="AR120" i="6"/>
  <c r="AR130" i="6"/>
  <c r="AR19" i="6"/>
  <c r="AR56" i="6"/>
  <c r="AR104" i="6"/>
  <c r="AR117" i="6"/>
  <c r="AR152" i="6"/>
  <c r="AR190" i="6"/>
  <c r="AT13" i="6"/>
  <c r="AR72" i="6"/>
  <c r="AR135" i="6"/>
  <c r="AR189" i="6"/>
  <c r="AT6" i="6"/>
  <c r="AT33" i="6"/>
  <c r="AR26" i="6"/>
  <c r="AR137" i="6"/>
  <c r="AR81" i="6"/>
  <c r="AR157" i="6"/>
  <c r="AR38" i="6"/>
  <c r="AR103" i="6"/>
  <c r="AT14" i="6"/>
  <c r="AT34" i="6"/>
  <c r="AR177" i="6"/>
  <c r="AR70" i="6"/>
  <c r="AR69" i="6"/>
  <c r="AR197" i="6"/>
  <c r="AR121" i="6"/>
  <c r="AR234" i="6"/>
  <c r="AR16" i="6"/>
  <c r="AR20" i="6"/>
  <c r="AR71" i="6"/>
  <c r="AR141" i="6"/>
  <c r="AB40" i="5"/>
  <c r="AB206" i="5"/>
  <c r="AB62" i="5"/>
  <c r="AB72" i="5"/>
  <c r="AB126" i="5"/>
  <c r="AB136" i="5"/>
  <c r="AB234" i="5"/>
  <c r="AB120" i="5"/>
  <c r="AB121" i="5"/>
  <c r="AB156" i="5"/>
  <c r="AB214" i="5"/>
  <c r="AD62" i="5"/>
  <c r="AB64" i="5"/>
  <c r="AD101" i="5"/>
  <c r="AD126" i="5"/>
  <c r="AD183" i="5"/>
  <c r="AB128" i="5"/>
  <c r="AB158" i="5"/>
  <c r="AD22" i="5"/>
  <c r="AB23" i="5"/>
  <c r="AB65" i="5"/>
  <c r="AD102" i="5"/>
  <c r="AB113" i="5"/>
  <c r="AD6" i="5"/>
  <c r="AD13" i="5"/>
  <c r="AB7" i="5"/>
  <c r="AB68" i="5"/>
  <c r="AD143" i="5"/>
  <c r="AB200" i="5"/>
  <c r="AB210" i="5"/>
  <c r="AD31" i="5"/>
  <c r="AB83" i="5"/>
  <c r="AD88" i="5"/>
  <c r="AD114" i="5"/>
  <c r="AD131" i="5"/>
  <c r="AB146" i="5"/>
  <c r="AB160" i="5"/>
  <c r="AB8" i="5"/>
  <c r="AB15" i="5"/>
  <c r="AB32" i="5"/>
  <c r="AB69" i="5"/>
  <c r="AB174" i="5"/>
  <c r="AD83" i="5"/>
  <c r="AD90" i="5"/>
  <c r="AB12" i="5"/>
  <c r="AD69" i="5"/>
  <c r="AB100" i="5"/>
  <c r="AB117" i="5"/>
  <c r="AB148" i="5"/>
  <c r="AD201" i="5"/>
  <c r="AB108" i="5"/>
  <c r="AD121" i="5"/>
  <c r="AD140" i="5"/>
  <c r="AB165" i="5"/>
  <c r="AD199" i="5"/>
  <c r="AD84" i="5"/>
  <c r="AB67" i="5"/>
  <c r="AD74" i="5"/>
  <c r="AD81" i="5"/>
  <c r="AD106" i="5"/>
  <c r="AD113" i="5"/>
  <c r="AD175" i="5"/>
  <c r="AD29" i="5"/>
  <c r="AD35" i="5"/>
  <c r="AD66" i="5"/>
  <c r="AD93" i="5"/>
  <c r="AD9" i="5"/>
  <c r="AB51" i="5"/>
  <c r="AB52" i="5"/>
  <c r="AD58" i="5"/>
  <c r="AB87" i="5"/>
  <c r="AB99" i="5"/>
  <c r="AB141" i="5"/>
  <c r="AD98" i="5"/>
  <c r="AB30" i="5"/>
  <c r="AB31" i="5"/>
  <c r="AD46" i="5"/>
  <c r="AB75" i="5"/>
  <c r="AD94" i="5"/>
  <c r="AB183" i="5"/>
  <c r="AB34" i="5"/>
  <c r="AB9" i="5"/>
  <c r="AB61" i="5"/>
  <c r="AD86" i="5"/>
  <c r="AB195" i="5"/>
  <c r="AD25" i="5"/>
  <c r="AB63" i="5"/>
  <c r="AD77" i="5"/>
  <c r="AD137" i="5"/>
  <c r="AD149" i="5"/>
  <c r="AD155" i="5"/>
  <c r="AD179" i="5"/>
  <c r="AD203" i="5"/>
  <c r="AB59" i="5"/>
  <c r="AD92" i="5"/>
  <c r="H235" i="5"/>
  <c r="AD10" i="5"/>
  <c r="AB27" i="5"/>
  <c r="AB5" i="5"/>
  <c r="AB22" i="5"/>
  <c r="AB38" i="5"/>
  <c r="AB49" i="5"/>
  <c r="AD71" i="5"/>
  <c r="AB90" i="5"/>
  <c r="AB119" i="5"/>
  <c r="AD27" i="5"/>
  <c r="AD33" i="5"/>
  <c r="AD39" i="5"/>
  <c r="AD151" i="5"/>
  <c r="AB14" i="5"/>
  <c r="AB19" i="5"/>
  <c r="AD79" i="5"/>
  <c r="AB107" i="5"/>
  <c r="AB163" i="5"/>
  <c r="AD169" i="5"/>
  <c r="AB175" i="5"/>
  <c r="AT27" i="7"/>
  <c r="BD5" i="7"/>
  <c r="AT23" i="7"/>
  <c r="BA150" i="7"/>
  <c r="BB150" i="7"/>
  <c r="AZ20" i="7"/>
  <c r="BA20" i="7"/>
  <c r="BC55" i="7"/>
  <c r="BD139" i="7"/>
  <c r="BA79" i="7"/>
  <c r="AZ39" i="7"/>
  <c r="AV42" i="7"/>
  <c r="BB79" i="7"/>
  <c r="AR6" i="7"/>
  <c r="AZ28" i="7"/>
  <c r="BA28" i="7"/>
  <c r="AR38" i="7"/>
  <c r="AX12" i="7"/>
  <c r="AW194" i="7"/>
  <c r="AZ52" i="7"/>
  <c r="AV31" i="7"/>
  <c r="AW31" i="7"/>
  <c r="AZ66" i="7"/>
  <c r="BC5" i="7"/>
  <c r="BA66" i="7"/>
  <c r="BA52" i="7"/>
  <c r="BA46" i="7"/>
  <c r="AZ49" i="7"/>
  <c r="AU27" i="7"/>
  <c r="AX59" i="7"/>
  <c r="AY59" i="7"/>
  <c r="BC168" i="7"/>
  <c r="BB46" i="7"/>
  <c r="BD97" i="7"/>
  <c r="BC97" i="7"/>
  <c r="AZ16" i="7"/>
  <c r="BA16" i="7"/>
  <c r="AY93" i="7"/>
  <c r="AZ93" i="7"/>
  <c r="AV82" i="7"/>
  <c r="AV35" i="7"/>
  <c r="AW35" i="7"/>
  <c r="AU31" i="7"/>
  <c r="BA124" i="7"/>
  <c r="BA88" i="7"/>
  <c r="AZ105" i="7"/>
  <c r="AY105" i="7"/>
  <c r="BA133" i="7"/>
  <c r="BB133" i="7"/>
  <c r="BC9" i="7"/>
  <c r="AY20" i="7"/>
  <c r="AZ24" i="7"/>
  <c r="AT35" i="7"/>
  <c r="AX39" i="7"/>
  <c r="AZ46" i="7"/>
  <c r="AV56" i="7"/>
  <c r="AZ79" i="7"/>
  <c r="BB88" i="7"/>
  <c r="AV110" i="7"/>
  <c r="AW110" i="7"/>
  <c r="AR132" i="7"/>
  <c r="AY12" i="7"/>
  <c r="AU23" i="7"/>
  <c r="AV27" i="7"/>
  <c r="AW42" i="7"/>
  <c r="BB49" i="7"/>
  <c r="BA49" i="7"/>
  <c r="BB52" i="7"/>
  <c r="BD55" i="7"/>
  <c r="BA62" i="7"/>
  <c r="AR65" i="7"/>
  <c r="BB66" i="7"/>
  <c r="AR149" i="7"/>
  <c r="BD168" i="7"/>
  <c r="AZ186" i="7"/>
  <c r="AW192" i="7"/>
  <c r="AW208" i="7"/>
  <c r="AX8" i="7"/>
  <c r="AZ12" i="7"/>
  <c r="AT19" i="7"/>
  <c r="AV23" i="7"/>
  <c r="AT38" i="7"/>
  <c r="AX42" i="7"/>
  <c r="AU45" i="7"/>
  <c r="BC52" i="7"/>
  <c r="BB62" i="7"/>
  <c r="BA68" i="7"/>
  <c r="BD120" i="7"/>
  <c r="BA121" i="7"/>
  <c r="AZ121" i="7"/>
  <c r="BA186" i="7"/>
  <c r="AR189" i="7"/>
  <c r="AZ190" i="7"/>
  <c r="AY8" i="7"/>
  <c r="AU19" i="7"/>
  <c r="BB33" i="7"/>
  <c r="AU38" i="7"/>
  <c r="AR41" i="7"/>
  <c r="AY42" i="7"/>
  <c r="AV45" i="7"/>
  <c r="BC62" i="7"/>
  <c r="BB68" i="7"/>
  <c r="BC68" i="7"/>
  <c r="BA81" i="7"/>
  <c r="BB81" i="7"/>
  <c r="AW86" i="7"/>
  <c r="AW113" i="7"/>
  <c r="AV113" i="7"/>
  <c r="AR145" i="7"/>
  <c r="BB186" i="7"/>
  <c r="BF52" i="7"/>
  <c r="AZ8" i="7"/>
  <c r="AT15" i="7"/>
  <c r="AV19" i="7"/>
  <c r="BB29" i="7"/>
  <c r="BC33" i="7"/>
  <c r="BD37" i="7"/>
  <c r="AW45" i="7"/>
  <c r="BD62" i="7"/>
  <c r="BD72" i="7"/>
  <c r="AX73" i="7"/>
  <c r="AX86" i="7"/>
  <c r="AR101" i="7"/>
  <c r="AV128" i="7"/>
  <c r="AV137" i="7"/>
  <c r="AU15" i="7"/>
  <c r="BB25" i="7"/>
  <c r="BC29" i="7"/>
  <c r="BD33" i="7"/>
  <c r="AZ57" i="7"/>
  <c r="AZ73" i="7"/>
  <c r="AY73" i="7"/>
  <c r="BD81" i="7"/>
  <c r="BC81" i="7"/>
  <c r="AY113" i="7"/>
  <c r="AX113" i="7"/>
  <c r="AW128" i="7"/>
  <c r="AW137" i="7"/>
  <c r="AZ207" i="7"/>
  <c r="AW51" i="7"/>
  <c r="AR135" i="7"/>
  <c r="BA203" i="7"/>
  <c r="BB77" i="7"/>
  <c r="BA77" i="7"/>
  <c r="AZ142" i="7"/>
  <c r="AZ203" i="7"/>
  <c r="BD126" i="7"/>
  <c r="BB142" i="7"/>
  <c r="BA142" i="7"/>
  <c r="BB57" i="7"/>
  <c r="BA57" i="7"/>
  <c r="AR85" i="7"/>
  <c r="AU11" i="7"/>
  <c r="BC21" i="7"/>
  <c r="BD25" i="7"/>
  <c r="AX36" i="7"/>
  <c r="AW36" i="7"/>
  <c r="AW54" i="7"/>
  <c r="AW56" i="7"/>
  <c r="BA64" i="7"/>
  <c r="AZ127" i="7"/>
  <c r="AT7" i="7"/>
  <c r="AV11" i="7"/>
  <c r="BB17" i="7"/>
  <c r="BD21" i="7"/>
  <c r="BD40" i="7"/>
  <c r="AX54" i="7"/>
  <c r="AW61" i="7"/>
  <c r="AZ100" i="7"/>
  <c r="AY100" i="7"/>
  <c r="AR111" i="7"/>
  <c r="BA112" i="7"/>
  <c r="BA127" i="7"/>
  <c r="AU7" i="7"/>
  <c r="BC17" i="7"/>
  <c r="BA43" i="7"/>
  <c r="BC64" i="7"/>
  <c r="AW118" i="7"/>
  <c r="AX118" i="7"/>
  <c r="AR141" i="7"/>
  <c r="AV7" i="7"/>
  <c r="BB13" i="7"/>
  <c r="BD17" i="7"/>
  <c r="AX28" i="7"/>
  <c r="AY32" i="7"/>
  <c r="AZ36" i="7"/>
  <c r="BB43" i="7"/>
  <c r="AR53" i="7"/>
  <c r="AZ54" i="7"/>
  <c r="AR199" i="7"/>
  <c r="AR219" i="7"/>
  <c r="AR164" i="7"/>
  <c r="AZ166" i="7"/>
  <c r="BC40" i="7"/>
  <c r="BB64" i="7"/>
  <c r="BB203" i="7"/>
  <c r="AX32" i="7"/>
  <c r="AY54" i="7"/>
  <c r="BD60" i="7"/>
  <c r="BD99" i="7"/>
  <c r="BB112" i="7"/>
  <c r="BA12" i="7"/>
  <c r="BC13" i="7"/>
  <c r="AX24" i="7"/>
  <c r="AW27" i="7"/>
  <c r="AY28" i="7"/>
  <c r="AZ32" i="7"/>
  <c r="BC43" i="7"/>
  <c r="AR63" i="7"/>
  <c r="BD70" i="7"/>
  <c r="BC70" i="7"/>
  <c r="AY75" i="7"/>
  <c r="BC83" i="7"/>
  <c r="BD83" i="7"/>
  <c r="BC104" i="7"/>
  <c r="AX105" i="7"/>
  <c r="AR195" i="7"/>
  <c r="AZ86" i="7"/>
  <c r="AW134" i="7"/>
  <c r="AX134" i="7"/>
  <c r="BC136" i="7"/>
  <c r="AR138" i="7"/>
  <c r="BC186" i="7"/>
  <c r="BD186" i="7"/>
  <c r="BC203" i="7"/>
  <c r="AR218" i="7"/>
  <c r="AX51" i="7"/>
  <c r="AZ84" i="7"/>
  <c r="AY84" i="7"/>
  <c r="AY86" i="7"/>
  <c r="BB166" i="7"/>
  <c r="BA166" i="7"/>
  <c r="BD77" i="7"/>
  <c r="BC77" i="7"/>
  <c r="AY110" i="7"/>
  <c r="BD136" i="7"/>
  <c r="AX163" i="7"/>
  <c r="BB190" i="7"/>
  <c r="BD203" i="7"/>
  <c r="AY61" i="7"/>
  <c r="AX71" i="7"/>
  <c r="AX96" i="7"/>
  <c r="AW96" i="7"/>
  <c r="BA118" i="7"/>
  <c r="AX181" i="7"/>
  <c r="AY211" i="7"/>
  <c r="AZ69" i="7"/>
  <c r="AY69" i="7"/>
  <c r="BB118" i="7"/>
  <c r="AY125" i="7"/>
  <c r="AZ144" i="7"/>
  <c r="AX173" i="7"/>
  <c r="AY181" i="7"/>
  <c r="AZ211" i="7"/>
  <c r="BC118" i="7"/>
  <c r="AY155" i="7"/>
  <c r="BB163" i="7"/>
  <c r="BA163" i="7"/>
  <c r="AY173" i="7"/>
  <c r="AZ63" i="7"/>
  <c r="AV114" i="7"/>
  <c r="BB177" i="7"/>
  <c r="BA177" i="7"/>
  <c r="AR187" i="7"/>
  <c r="AX198" i="7"/>
  <c r="AR248" i="7"/>
  <c r="BB48" i="7"/>
  <c r="AW117" i="7"/>
  <c r="BD131" i="7"/>
  <c r="BC131" i="7"/>
  <c r="BC144" i="7"/>
  <c r="BB96" i="7"/>
  <c r="BD128" i="7"/>
  <c r="AZ178" i="7"/>
  <c r="AZ198" i="7"/>
  <c r="BA53" i="7"/>
  <c r="BD56" i="7"/>
  <c r="AR73" i="7"/>
  <c r="AZ74" i="7"/>
  <c r="AV81" i="7"/>
  <c r="AX83" i="7"/>
  <c r="BB94" i="7"/>
  <c r="AR105" i="7"/>
  <c r="AZ106" i="7"/>
  <c r="AZ114" i="7"/>
  <c r="AY114" i="7"/>
  <c r="BD116" i="7"/>
  <c r="BB122" i="7"/>
  <c r="AX129" i="7"/>
  <c r="AZ138" i="7"/>
  <c r="AV139" i="7"/>
  <c r="AW146" i="7"/>
  <c r="AX146" i="7"/>
  <c r="BC149" i="7"/>
  <c r="BD156" i="7"/>
  <c r="BC156" i="7"/>
  <c r="BA178" i="7"/>
  <c r="AZ179" i="7"/>
  <c r="BC194" i="7"/>
  <c r="BC195" i="7"/>
  <c r="BA198" i="7"/>
  <c r="AR233" i="7"/>
  <c r="BB84" i="7"/>
  <c r="AZ91" i="7"/>
  <c r="AX103" i="7"/>
  <c r="BA110" i="7"/>
  <c r="AZ119" i="7"/>
  <c r="BD147" i="7"/>
  <c r="BD151" i="7"/>
  <c r="AX155" i="7"/>
  <c r="AZ163" i="7"/>
  <c r="BD172" i="7"/>
  <c r="BD190" i="7"/>
  <c r="AZ96" i="7"/>
  <c r="AY96" i="7"/>
  <c r="AW202" i="7"/>
  <c r="AZ173" i="7"/>
  <c r="AZ67" i="7"/>
  <c r="AR121" i="7"/>
  <c r="BA155" i="7"/>
  <c r="AR176" i="7"/>
  <c r="AR197" i="7"/>
  <c r="AY202" i="7"/>
  <c r="AY58" i="7"/>
  <c r="BA94" i="7"/>
  <c r="AW109" i="7"/>
  <c r="BD127" i="7"/>
  <c r="BB155" i="7"/>
  <c r="AX55" i="7"/>
  <c r="AV62" i="7"/>
  <c r="BC66" i="7"/>
  <c r="BC67" i="7"/>
  <c r="BA74" i="7"/>
  <c r="AW81" i="7"/>
  <c r="BA93" i="7"/>
  <c r="BD94" i="7"/>
  <c r="BC94" i="7"/>
  <c r="BD96" i="7"/>
  <c r="AV102" i="7"/>
  <c r="BA106" i="7"/>
  <c r="AV112" i="7"/>
  <c r="BD122" i="7"/>
  <c r="BC122" i="7"/>
  <c r="AY129" i="7"/>
  <c r="BA138" i="7"/>
  <c r="AW139" i="7"/>
  <c r="AX139" i="7"/>
  <c r="AV142" i="7"/>
  <c r="BD149" i="7"/>
  <c r="AW150" i="7"/>
  <c r="BD155" i="7"/>
  <c r="AX167" i="7"/>
  <c r="AX177" i="7"/>
  <c r="BB178" i="7"/>
  <c r="BA179" i="7"/>
  <c r="BD195" i="7"/>
  <c r="BB198" i="7"/>
  <c r="AR246" i="7"/>
  <c r="BC256" i="7"/>
  <c r="AX116" i="7"/>
  <c r="AW116" i="7"/>
  <c r="AZ118" i="7"/>
  <c r="AW181" i="7"/>
  <c r="BD52" i="7"/>
  <c r="AZ89" i="7"/>
  <c r="AY89" i="7"/>
  <c r="AY91" i="7"/>
  <c r="AY119" i="7"/>
  <c r="AY131" i="7"/>
  <c r="AW155" i="7"/>
  <c r="AW173" i="7"/>
  <c r="AX63" i="7"/>
  <c r="AR68" i="7"/>
  <c r="AZ71" i="7"/>
  <c r="BB89" i="7"/>
  <c r="BA89" i="7"/>
  <c r="BA144" i="7"/>
  <c r="AR154" i="7"/>
  <c r="AR162" i="7"/>
  <c r="AX101" i="7"/>
  <c r="AZ103" i="7"/>
  <c r="BD118" i="7"/>
  <c r="AY122" i="7"/>
  <c r="BA181" i="7"/>
  <c r="BB181" i="7"/>
  <c r="AX202" i="7"/>
  <c r="BB56" i="7"/>
  <c r="AZ101" i="7"/>
  <c r="AY101" i="7"/>
  <c r="BC56" i="7"/>
  <c r="AY179" i="7"/>
  <c r="AR207" i="7"/>
  <c r="BB44" i="7"/>
  <c r="BD67" i="7"/>
  <c r="BB74" i="7"/>
  <c r="BB76" i="7"/>
  <c r="AX81" i="7"/>
  <c r="AW82" i="7"/>
  <c r="AZ83" i="7"/>
  <c r="BC86" i="7"/>
  <c r="BB93" i="7"/>
  <c r="AX95" i="7"/>
  <c r="AZ98" i="7"/>
  <c r="AZ99" i="7"/>
  <c r="BA100" i="7"/>
  <c r="BC102" i="7"/>
  <c r="BB106" i="7"/>
  <c r="AW112" i="7"/>
  <c r="BA114" i="7"/>
  <c r="AV125" i="7"/>
  <c r="AZ129" i="7"/>
  <c r="BA134" i="7"/>
  <c r="AX136" i="7"/>
  <c r="AW136" i="7"/>
  <c r="AR137" i="7"/>
  <c r="AY137" i="7"/>
  <c r="AW142" i="7"/>
  <c r="AX158" i="7"/>
  <c r="AW158" i="7"/>
  <c r="AY168" i="7"/>
  <c r="BD170" i="7"/>
  <c r="BA173" i="7"/>
  <c r="BC198" i="7"/>
  <c r="BD198" i="7"/>
  <c r="AR232" i="7"/>
  <c r="AV58" i="7"/>
  <c r="BC84" i="7"/>
  <c r="BA91" i="7"/>
  <c r="AW196" i="7"/>
  <c r="BC110" i="7"/>
  <c r="BB134" i="7"/>
  <c r="AX153" i="7"/>
  <c r="AW153" i="7"/>
  <c r="AZ155" i="7"/>
  <c r="AY198" i="7"/>
  <c r="AV70" i="7"/>
  <c r="AW129" i="7"/>
  <c r="BD159" i="7"/>
  <c r="BC159" i="7"/>
  <c r="AX43" i="7"/>
  <c r="AV49" i="7"/>
  <c r="BB50" i="7"/>
  <c r="AZ55" i="7"/>
  <c r="AV66" i="7"/>
  <c r="BA71" i="7"/>
  <c r="BA73" i="7"/>
  <c r="AX79" i="7"/>
  <c r="BD87" i="7"/>
  <c r="AV93" i="7"/>
  <c r="BC93" i="7"/>
  <c r="BA98" i="7"/>
  <c r="BA105" i="7"/>
  <c r="BC106" i="7"/>
  <c r="AY112" i="7"/>
  <c r="AX112" i="7"/>
  <c r="AR119" i="7"/>
  <c r="BA119" i="7"/>
  <c r="BB129" i="7"/>
  <c r="BA129" i="7"/>
  <c r="AZ137" i="7"/>
  <c r="BD141" i="7"/>
  <c r="AX142" i="7"/>
  <c r="BD144" i="7"/>
  <c r="AY150" i="7"/>
  <c r="AZ168" i="7"/>
  <c r="BB173" i="7"/>
  <c r="BD174" i="7"/>
  <c r="AY175" i="7"/>
  <c r="BC196" i="7"/>
  <c r="AR211" i="7"/>
  <c r="BC79" i="7"/>
  <c r="AW98" i="7"/>
  <c r="BC112" i="7"/>
  <c r="BB127" i="7"/>
  <c r="AW163" i="7"/>
  <c r="AW167" i="7"/>
  <c r="BC180" i="7"/>
  <c r="BA190" i="7"/>
  <c r="BD64" i="7"/>
  <c r="AV78" i="7"/>
  <c r="AX98" i="7"/>
  <c r="BD112" i="7"/>
  <c r="AX119" i="7"/>
  <c r="AR123" i="7"/>
  <c r="AR165" i="7"/>
  <c r="BD180" i="7"/>
  <c r="AR242" i="7"/>
  <c r="BB36" i="7"/>
  <c r="AR60" i="7"/>
  <c r="AX69" i="7"/>
  <c r="AW108" i="7"/>
  <c r="AZ110" i="7"/>
  <c r="AY163" i="7"/>
  <c r="BC190" i="7"/>
  <c r="AR250" i="7"/>
  <c r="AY108" i="7"/>
  <c r="AX108" i="7"/>
  <c r="AZ131" i="7"/>
  <c r="AR236" i="7"/>
  <c r="AR249" i="7"/>
  <c r="BA131" i="7"/>
  <c r="AW161" i="7"/>
  <c r="AZ181" i="7"/>
  <c r="BA211" i="7"/>
  <c r="BD84" i="7"/>
  <c r="AV90" i="7"/>
  <c r="BA125" i="7"/>
  <c r="AX47" i="7"/>
  <c r="AR100" i="7"/>
  <c r="AX114" i="7"/>
  <c r="BA199" i="7"/>
  <c r="AR247" i="7"/>
  <c r="AZ64" i="7"/>
  <c r="AY64" i="7"/>
  <c r="AZ88" i="7"/>
  <c r="BA103" i="7"/>
  <c r="AZ125" i="7"/>
  <c r="BA137" i="7"/>
  <c r="AZ150" i="7"/>
  <c r="BA168" i="7"/>
  <c r="AX182" i="7"/>
  <c r="AR185" i="7"/>
  <c r="AR205" i="7"/>
  <c r="BB206" i="7"/>
  <c r="BA206" i="7"/>
  <c r="AR220" i="7"/>
  <c r="BD88" i="7"/>
  <c r="BB100" i="7"/>
  <c r="AZ107" i="7"/>
  <c r="AX115" i="7"/>
  <c r="BB123" i="7"/>
  <c r="BC132" i="7"/>
  <c r="BD134" i="7"/>
  <c r="AY135" i="7"/>
  <c r="AR156" i="7"/>
  <c r="BB160" i="7"/>
  <c r="AZ175" i="7"/>
  <c r="BC178" i="7"/>
  <c r="BC188" i="7"/>
  <c r="AX194" i="7"/>
  <c r="BD196" i="7"/>
  <c r="BA209" i="7"/>
  <c r="AZ209" i="7"/>
  <c r="BB211" i="7"/>
  <c r="AR235" i="7"/>
  <c r="AZ75" i="7"/>
  <c r="AX87" i="7"/>
  <c r="AV94" i="7"/>
  <c r="BA107" i="7"/>
  <c r="AY115" i="7"/>
  <c r="AV126" i="7"/>
  <c r="BD132" i="7"/>
  <c r="AW133" i="7"/>
  <c r="AZ135" i="7"/>
  <c r="AZ147" i="7"/>
  <c r="AY148" i="7"/>
  <c r="BC157" i="7"/>
  <c r="BC160" i="7"/>
  <c r="AZ169" i="7"/>
  <c r="BA175" i="7"/>
  <c r="BD178" i="7"/>
  <c r="BD188" i="7"/>
  <c r="AR193" i="7"/>
  <c r="AY194" i="7"/>
  <c r="AX206" i="7"/>
  <c r="AR208" i="7"/>
  <c r="BC211" i="7"/>
  <c r="BD68" i="7"/>
  <c r="BB80" i="7"/>
  <c r="BD100" i="7"/>
  <c r="BA113" i="7"/>
  <c r="AZ115" i="7"/>
  <c r="BD123" i="7"/>
  <c r="AW126" i="7"/>
  <c r="BA135" i="7"/>
  <c r="BA140" i="7"/>
  <c r="BA147" i="7"/>
  <c r="AZ148" i="7"/>
  <c r="BD157" i="7"/>
  <c r="BD160" i="7"/>
  <c r="BA169" i="7"/>
  <c r="BD182" i="7"/>
  <c r="AZ194" i="7"/>
  <c r="BD211" i="7"/>
  <c r="AR234" i="7"/>
  <c r="AX67" i="7"/>
  <c r="AV74" i="7"/>
  <c r="AZ87" i="7"/>
  <c r="AX99" i="7"/>
  <c r="AV106" i="7"/>
  <c r="BC107" i="7"/>
  <c r="AV122" i="7"/>
  <c r="BD143" i="7"/>
  <c r="AY144" i="7"/>
  <c r="BB147" i="7"/>
  <c r="BA148" i="7"/>
  <c r="AW170" i="7"/>
  <c r="BC175" i="7"/>
  <c r="AW186" i="7"/>
  <c r="AW204" i="7"/>
  <c r="AW210" i="7"/>
  <c r="AY111" i="7"/>
  <c r="BB124" i="7"/>
  <c r="AV130" i="7"/>
  <c r="BC145" i="7"/>
  <c r="BC153" i="7"/>
  <c r="AW159" i="7"/>
  <c r="BC161" i="7"/>
  <c r="BC176" i="7"/>
  <c r="BC184" i="7"/>
  <c r="BA194" i="7"/>
  <c r="AR201" i="7"/>
  <c r="BA207" i="7"/>
  <c r="AR245" i="7"/>
  <c r="BA205" i="7"/>
  <c r="AZ205" i="7"/>
  <c r="AR209" i="7"/>
  <c r="AV118" i="7"/>
  <c r="BD124" i="7"/>
  <c r="AR129" i="7"/>
  <c r="AV134" i="7"/>
  <c r="AZ140" i="7"/>
  <c r="AR150" i="7"/>
  <c r="AZ151" i="7"/>
  <c r="AX157" i="7"/>
  <c r="AW157" i="7"/>
  <c r="AR158" i="7"/>
  <c r="AY159" i="7"/>
  <c r="BA164" i="7"/>
  <c r="AZ171" i="7"/>
  <c r="AR181" i="7"/>
  <c r="AZ182" i="7"/>
  <c r="AR204" i="7"/>
  <c r="BC207" i="7"/>
  <c r="AR226" i="7"/>
  <c r="AR244" i="7"/>
  <c r="BA151" i="7"/>
  <c r="AZ159" i="7"/>
  <c r="BA171" i="7"/>
  <c r="BA182" i="7"/>
  <c r="AW188" i="7"/>
  <c r="BC108" i="7"/>
  <c r="BB116" i="7"/>
  <c r="AY123" i="7"/>
  <c r="AR133" i="7"/>
  <c r="AX138" i="7"/>
  <c r="BB140" i="7"/>
  <c r="BB151" i="7"/>
  <c r="AY152" i="7"/>
  <c r="BB162" i="7"/>
  <c r="BA162" i="7"/>
  <c r="BC164" i="7"/>
  <c r="AX169" i="7"/>
  <c r="BB171" i="7"/>
  <c r="BB182" i="7"/>
  <c r="AY183" i="7"/>
  <c r="AX190" i="7"/>
  <c r="BD192" i="7"/>
  <c r="AR243" i="7"/>
  <c r="AV143" i="7"/>
  <c r="AZ152" i="7"/>
  <c r="BD161" i="7"/>
  <c r="AR169" i="7"/>
  <c r="AZ183" i="7"/>
  <c r="AY187" i="7"/>
  <c r="BD200" i="7"/>
  <c r="BC204" i="7"/>
  <c r="BB137" i="7"/>
  <c r="AW143" i="7"/>
  <c r="BA152" i="7"/>
  <c r="AY156" i="7"/>
  <c r="BC165" i="7"/>
  <c r="AW174" i="7"/>
  <c r="BA183" i="7"/>
  <c r="AZ187" i="7"/>
  <c r="AY191" i="7"/>
  <c r="BD204" i="7"/>
  <c r="BC208" i="7"/>
  <c r="AR217" i="7"/>
  <c r="AR231" i="7"/>
  <c r="AN256" i="7"/>
  <c r="BB256" i="7" s="1"/>
  <c r="AR142" i="7"/>
  <c r="AZ156" i="7"/>
  <c r="BD165" i="7"/>
  <c r="AR173" i="7"/>
  <c r="BA187" i="7"/>
  <c r="AZ191" i="7"/>
  <c r="AY195" i="7"/>
  <c r="BD208" i="7"/>
  <c r="BA213" i="7"/>
  <c r="AR228" i="7"/>
  <c r="BD137" i="7"/>
  <c r="AW147" i="7"/>
  <c r="BA156" i="7"/>
  <c r="AY160" i="7"/>
  <c r="AW178" i="7"/>
  <c r="BA191" i="7"/>
  <c r="AZ195" i="7"/>
  <c r="AY199" i="7"/>
  <c r="BB213" i="7"/>
  <c r="AR227" i="7"/>
  <c r="BA101" i="6"/>
  <c r="AZ143" i="6"/>
  <c r="AX14" i="6"/>
  <c r="AZ23" i="6"/>
  <c r="BB50" i="6"/>
  <c r="BB71" i="6"/>
  <c r="BD8" i="6"/>
  <c r="AU18" i="6"/>
  <c r="BA26" i="6"/>
  <c r="AR78" i="6"/>
  <c r="BB121" i="6"/>
  <c r="BC121" i="6"/>
  <c r="BB139" i="6"/>
  <c r="BA139" i="6"/>
  <c r="BA12" i="6"/>
  <c r="AV52" i="6"/>
  <c r="AR11" i="6"/>
  <c r="AR107" i="6"/>
  <c r="AV36" i="6"/>
  <c r="AU36" i="6"/>
  <c r="AR37" i="6"/>
  <c r="BA46" i="6"/>
  <c r="AR73" i="6"/>
  <c r="AR77" i="6"/>
  <c r="AZ86" i="6"/>
  <c r="AV110" i="6"/>
  <c r="AX143" i="6"/>
  <c r="AY143" i="6"/>
  <c r="AY160" i="6"/>
  <c r="AX160" i="6"/>
  <c r="AR162" i="6"/>
  <c r="AU9" i="6"/>
  <c r="AV14" i="6"/>
  <c r="BA17" i="6"/>
  <c r="AZ17" i="6"/>
  <c r="AR18" i="6"/>
  <c r="BB19" i="6"/>
  <c r="AX23" i="6"/>
  <c r="BB32" i="6"/>
  <c r="BB34" i="6"/>
  <c r="AW38" i="6"/>
  <c r="AZ44" i="6"/>
  <c r="AY44" i="6"/>
  <c r="AR45" i="6"/>
  <c r="BB46" i="6"/>
  <c r="AZ50" i="6"/>
  <c r="AZ52" i="6"/>
  <c r="BC53" i="6"/>
  <c r="BD53" i="6"/>
  <c r="AY54" i="6"/>
  <c r="AZ64" i="6"/>
  <c r="AZ71" i="6"/>
  <c r="AZ79" i="6"/>
  <c r="BC81" i="6"/>
  <c r="BA86" i="6"/>
  <c r="AZ101" i="6"/>
  <c r="AY102" i="6"/>
  <c r="AX102" i="6"/>
  <c r="AZ111" i="6"/>
  <c r="AZ112" i="6"/>
  <c r="AY112" i="6"/>
  <c r="AW156" i="6"/>
  <c r="AX156" i="6"/>
  <c r="AY191" i="6"/>
  <c r="AX191" i="6"/>
  <c r="AV200" i="6"/>
  <c r="AW69" i="6"/>
  <c r="AR87" i="6"/>
  <c r="BD97" i="6"/>
  <c r="AZ108" i="6"/>
  <c r="BB117" i="6"/>
  <c r="BD120" i="6"/>
  <c r="BA128" i="6"/>
  <c r="AZ151" i="6"/>
  <c r="AR165" i="6"/>
  <c r="BC174" i="6"/>
  <c r="AW175" i="6"/>
  <c r="BD182" i="6"/>
  <c r="AX183" i="6"/>
  <c r="AY183" i="6"/>
  <c r="AW184" i="6"/>
  <c r="AX184" i="6"/>
  <c r="BC22" i="6"/>
  <c r="BD22" i="6"/>
  <c r="AR49" i="6"/>
  <c r="BA71" i="6"/>
  <c r="BA79" i="6"/>
  <c r="AR85" i="6"/>
  <c r="AR82" i="6"/>
  <c r="BA84" i="6"/>
  <c r="AZ84" i="6"/>
  <c r="AW118" i="6"/>
  <c r="AV118" i="6"/>
  <c r="AZ14" i="6"/>
  <c r="AR43" i="6"/>
  <c r="BB12" i="6"/>
  <c r="AT16" i="6"/>
  <c r="BD26" i="6"/>
  <c r="BC26" i="6"/>
  <c r="BA36" i="6"/>
  <c r="AY76" i="6"/>
  <c r="AR119" i="6"/>
  <c r="BB120" i="6"/>
  <c r="BB127" i="6"/>
  <c r="BA127" i="6"/>
  <c r="AY129" i="6"/>
  <c r="AZ129" i="6"/>
  <c r="AR133" i="6"/>
  <c r="BD134" i="6"/>
  <c r="AY135" i="6"/>
  <c r="AX135" i="6"/>
  <c r="AY152" i="6"/>
  <c r="AX152" i="6"/>
  <c r="AV183" i="6"/>
  <c r="AW196" i="6"/>
  <c r="BC12" i="6"/>
  <c r="AU16" i="6"/>
  <c r="AW21" i="6"/>
  <c r="AR22" i="6"/>
  <c r="AZ30" i="6"/>
  <c r="AT43" i="6"/>
  <c r="AX52" i="6"/>
  <c r="AV56" i="6"/>
  <c r="BC61" i="6"/>
  <c r="AV69" i="6"/>
  <c r="BA76" i="6"/>
  <c r="AZ76" i="6"/>
  <c r="BC97" i="6"/>
  <c r="AY108" i="6"/>
  <c r="BA117" i="6"/>
  <c r="BC120" i="6"/>
  <c r="AZ128" i="6"/>
  <c r="AV175" i="6"/>
  <c r="BC182" i="6"/>
  <c r="AW183" i="6"/>
  <c r="AW7" i="6"/>
  <c r="BD12" i="6"/>
  <c r="AV16" i="6"/>
  <c r="BD19" i="6"/>
  <c r="AX21" i="6"/>
  <c r="AT25" i="6"/>
  <c r="AR29" i="6"/>
  <c r="BA30" i="6"/>
  <c r="BD51" i="6"/>
  <c r="BB55" i="6"/>
  <c r="BD61" i="6"/>
  <c r="AV6" i="6"/>
  <c r="AX7" i="6"/>
  <c r="AU25" i="6"/>
  <c r="BB30" i="6"/>
  <c r="BC55" i="6"/>
  <c r="AX69" i="6"/>
  <c r="BA108" i="6"/>
  <c r="BD117" i="6"/>
  <c r="BC117" i="6"/>
  <c r="BC128" i="6"/>
  <c r="BB128" i="6"/>
  <c r="BB129" i="6"/>
  <c r="BC129" i="6"/>
  <c r="BA151" i="6"/>
  <c r="BB151" i="6"/>
  <c r="BD174" i="6"/>
  <c r="AY175" i="6"/>
  <c r="AX175" i="6"/>
  <c r="AR181" i="6"/>
  <c r="BA185" i="6"/>
  <c r="AW200" i="6"/>
  <c r="AX200" i="6"/>
  <c r="AY38" i="6"/>
  <c r="BA57" i="6"/>
  <c r="BB101" i="6"/>
  <c r="AZ139" i="6"/>
  <c r="BA155" i="6"/>
  <c r="BB155" i="6"/>
  <c r="BB185" i="6"/>
  <c r="AZ38" i="6"/>
  <c r="BC57" i="6"/>
  <c r="BB57" i="6"/>
  <c r="BC101" i="6"/>
  <c r="BD111" i="6"/>
  <c r="BC111" i="6"/>
  <c r="AZ120" i="6"/>
  <c r="AR203" i="6"/>
  <c r="BD101" i="6"/>
  <c r="BA120" i="6"/>
  <c r="BA14" i="6"/>
  <c r="AY30" i="6"/>
  <c r="BA62" i="6"/>
  <c r="AZ88" i="6"/>
  <c r="BA88" i="6"/>
  <c r="AZ98" i="6"/>
  <c r="AY98" i="6"/>
  <c r="BB14" i="6"/>
  <c r="AR65" i="6"/>
  <c r="AZ114" i="6"/>
  <c r="AY114" i="6"/>
  <c r="AZ7" i="6"/>
  <c r="BC15" i="6"/>
  <c r="BA61" i="6"/>
  <c r="AY125" i="6"/>
  <c r="AW126" i="6"/>
  <c r="AV126" i="6"/>
  <c r="BA179" i="6"/>
  <c r="AZ179" i="6"/>
  <c r="AR6" i="6"/>
  <c r="BA7" i="6"/>
  <c r="AW34" i="6"/>
  <c r="BD39" i="6"/>
  <c r="AV60" i="6"/>
  <c r="AZ104" i="6"/>
  <c r="BD113" i="6"/>
  <c r="BA5" i="6"/>
  <c r="AZ5" i="6"/>
  <c r="BB7" i="6"/>
  <c r="BA10" i="6"/>
  <c r="AR15" i="6"/>
  <c r="AX19" i="6"/>
  <c r="BD24" i="6"/>
  <c r="BB28" i="6"/>
  <c r="AU33" i="6"/>
  <c r="AX34" i="6"/>
  <c r="BA42" i="6"/>
  <c r="AX46" i="6"/>
  <c r="BC59" i="6"/>
  <c r="AW60" i="6"/>
  <c r="AX74" i="6"/>
  <c r="AR80" i="6"/>
  <c r="AY81" i="6"/>
  <c r="BD94" i="6"/>
  <c r="AZ95" i="6"/>
  <c r="AY95" i="6"/>
  <c r="BA104" i="6"/>
  <c r="AZ147" i="6"/>
  <c r="AR158" i="6"/>
  <c r="AZ163" i="6"/>
  <c r="BA163" i="6"/>
  <c r="AZ121" i="6"/>
  <c r="AZ155" i="6"/>
  <c r="AW9" i="6"/>
  <c r="AT18" i="6"/>
  <c r="BD32" i="6"/>
  <c r="AR99" i="6"/>
  <c r="AT40" i="6"/>
  <c r="BC79" i="6"/>
  <c r="BC83" i="6"/>
  <c r="BD83" i="6"/>
  <c r="AV40" i="6"/>
  <c r="AU40" i="6"/>
  <c r="AV45" i="6"/>
  <c r="AZ48" i="6"/>
  <c r="AY48" i="6"/>
  <c r="AZ62" i="6"/>
  <c r="AR154" i="6"/>
  <c r="AW52" i="6"/>
  <c r="BB61" i="6"/>
  <c r="BD30" i="6"/>
  <c r="BC30" i="6"/>
  <c r="AW11" i="6"/>
  <c r="BB24" i="6"/>
  <c r="BC39" i="6"/>
  <c r="AW81" i="6"/>
  <c r="AX95" i="6"/>
  <c r="AW95" i="6"/>
  <c r="AV164" i="6"/>
  <c r="AW172" i="6"/>
  <c r="BD15" i="6"/>
  <c r="BC24" i="6"/>
  <c r="AZ42" i="6"/>
  <c r="BB59" i="6"/>
  <c r="AW74" i="6"/>
  <c r="AW164" i="6"/>
  <c r="AZ9" i="6"/>
  <c r="AY19" i="6"/>
  <c r="AW45" i="6"/>
  <c r="AW50" i="6"/>
  <c r="AX60" i="6"/>
  <c r="AR63" i="6"/>
  <c r="AW64" i="6"/>
  <c r="AZ81" i="6"/>
  <c r="BB147" i="6"/>
  <c r="BA147" i="6"/>
  <c r="BA159" i="6"/>
  <c r="AZ159" i="6"/>
  <c r="BA50" i="6"/>
  <c r="AZ57" i="6"/>
  <c r="BB64" i="6"/>
  <c r="BA64" i="6"/>
  <c r="AR110" i="6"/>
  <c r="BD46" i="6"/>
  <c r="BB79" i="6"/>
  <c r="BB111" i="6"/>
  <c r="AY120" i="6"/>
  <c r="AY14" i="6"/>
  <c r="AX48" i="6"/>
  <c r="BD185" i="6"/>
  <c r="BC185" i="6"/>
  <c r="AW202" i="6"/>
  <c r="AV202" i="6"/>
  <c r="AV18" i="6"/>
  <c r="BB26" i="6"/>
  <c r="BD35" i="6"/>
  <c r="AV21" i="6"/>
  <c r="AR53" i="6"/>
  <c r="BA28" i="6"/>
  <c r="AX81" i="6"/>
  <c r="AZ46" i="6"/>
  <c r="AW54" i="6"/>
  <c r="AX64" i="6"/>
  <c r="BA81" i="6"/>
  <c r="AV102" i="6"/>
  <c r="AW102" i="6"/>
  <c r="AW112" i="6"/>
  <c r="BC142" i="6"/>
  <c r="AW143" i="6"/>
  <c r="AR201" i="6"/>
  <c r="AR66" i="6"/>
  <c r="AZ74" i="6"/>
  <c r="AV100" i="6"/>
  <c r="BC108" i="6"/>
  <c r="AV119" i="6"/>
  <c r="BD125" i="6"/>
  <c r="BA135" i="6"/>
  <c r="AZ135" i="6"/>
  <c r="AY11" i="6"/>
  <c r="AX11" i="6"/>
  <c r="BD79" i="6"/>
  <c r="AT10" i="6"/>
  <c r="BC67" i="6"/>
  <c r="BA93" i="6"/>
  <c r="AR98" i="6"/>
  <c r="BA172" i="6"/>
  <c r="AU10" i="6"/>
  <c r="AW15" i="6"/>
  <c r="AU26" i="6"/>
  <c r="AX35" i="6"/>
  <c r="BB43" i="6"/>
  <c r="AV61" i="6"/>
  <c r="BA65" i="6"/>
  <c r="BC77" i="6"/>
  <c r="AY78" i="6"/>
  <c r="BC92" i="6"/>
  <c r="BB99" i="6"/>
  <c r="BA115" i="6"/>
  <c r="BD122" i="6"/>
  <c r="AV124" i="6"/>
  <c r="AZ132" i="6"/>
  <c r="BA132" i="6"/>
  <c r="BA136" i="6"/>
  <c r="AR151" i="6"/>
  <c r="AZ153" i="6"/>
  <c r="AR155" i="6"/>
  <c r="AW170" i="6"/>
  <c r="AV170" i="6"/>
  <c r="AR171" i="6"/>
  <c r="BC172" i="6"/>
  <c r="BB172" i="6"/>
  <c r="AY189" i="6"/>
  <c r="AY193" i="6"/>
  <c r="AR222" i="6"/>
  <c r="AX27" i="6"/>
  <c r="AX58" i="6"/>
  <c r="BB62" i="6"/>
  <c r="AY69" i="6"/>
  <c r="BA72" i="6"/>
  <c r="AZ72" i="6"/>
  <c r="AX172" i="6"/>
  <c r="AX196" i="6"/>
  <c r="AT22" i="6"/>
  <c r="BC62" i="6"/>
  <c r="AW115" i="6"/>
  <c r="BA131" i="6"/>
  <c r="AZ131" i="6"/>
  <c r="AR224" i="6"/>
  <c r="BF37" i="6"/>
  <c r="AX100" i="6"/>
  <c r="BD118" i="6"/>
  <c r="AR167" i="6"/>
  <c r="AW190" i="6"/>
  <c r="AV190" i="6"/>
  <c r="AZ197" i="6"/>
  <c r="BA43" i="6"/>
  <c r="BA99" i="6"/>
  <c r="AX15" i="6"/>
  <c r="AT30" i="6"/>
  <c r="AY35" i="6"/>
  <c r="AW39" i="6"/>
  <c r="BC43" i="6"/>
  <c r="BA47" i="6"/>
  <c r="AW61" i="6"/>
  <c r="BB65" i="6"/>
  <c r="AW66" i="6"/>
  <c r="BD77" i="6"/>
  <c r="BD82" i="6"/>
  <c r="BD92" i="6"/>
  <c r="BC99" i="6"/>
  <c r="BD99" i="6"/>
  <c r="AZ145" i="6"/>
  <c r="AX146" i="6"/>
  <c r="AW146" i="6"/>
  <c r="BA153" i="6"/>
  <c r="BC165" i="6"/>
  <c r="AR187" i="6"/>
  <c r="AZ189" i="6"/>
  <c r="AZ193" i="6"/>
  <c r="BC86" i="6"/>
  <c r="AY92" i="6"/>
  <c r="AR127" i="6"/>
  <c r="BB143" i="6"/>
  <c r="BA143" i="6"/>
  <c r="BA67" i="6"/>
  <c r="AZ69" i="6"/>
  <c r="AY99" i="6"/>
  <c r="BB109" i="6"/>
  <c r="AV123" i="6"/>
  <c r="BD130" i="6"/>
  <c r="BB16" i="6"/>
  <c r="BD62" i="6"/>
  <c r="BB67" i="6"/>
  <c r="AR105" i="6"/>
  <c r="BB140" i="6"/>
  <c r="AZ168" i="6"/>
  <c r="BC16" i="6"/>
  <c r="AT26" i="6"/>
  <c r="AY31" i="6"/>
  <c r="AY15" i="6"/>
  <c r="BA20" i="6"/>
  <c r="AU30" i="6"/>
  <c r="AX39" i="6"/>
  <c r="BB47" i="6"/>
  <c r="AX61" i="6"/>
  <c r="BC65" i="6"/>
  <c r="AX66" i="6"/>
  <c r="BA69" i="6"/>
  <c r="AV88" i="6"/>
  <c r="AV91" i="6"/>
  <c r="BD106" i="6"/>
  <c r="AZ113" i="6"/>
  <c r="BA133" i="6"/>
  <c r="BA145" i="6"/>
  <c r="BB160" i="6"/>
  <c r="BD165" i="6"/>
  <c r="BA177" i="6"/>
  <c r="AW186" i="6"/>
  <c r="AV186" i="6"/>
  <c r="BA193" i="6"/>
  <c r="BB36" i="6"/>
  <c r="BA109" i="6"/>
  <c r="AZ140" i="6"/>
  <c r="AZ156" i="6"/>
  <c r="BA156" i="6"/>
  <c r="AV180" i="6"/>
  <c r="AY27" i="6"/>
  <c r="AV85" i="6"/>
  <c r="AY172" i="6"/>
  <c r="AY196" i="6"/>
  <c r="AU22" i="6"/>
  <c r="AX31" i="6"/>
  <c r="BB40" i="6"/>
  <c r="AW78" i="6"/>
  <c r="BA92" i="6"/>
  <c r="AZ99" i="6"/>
  <c r="AV107" i="6"/>
  <c r="AX115" i="6"/>
  <c r="AW123" i="6"/>
  <c r="AZ172" i="6"/>
  <c r="AW194" i="6"/>
  <c r="AV194" i="6"/>
  <c r="AZ196" i="6"/>
  <c r="AR223" i="6"/>
  <c r="AW35" i="6"/>
  <c r="BB77" i="6"/>
  <c r="AV83" i="6"/>
  <c r="AY153" i="6"/>
  <c r="BB196" i="6"/>
  <c r="BA196" i="6"/>
  <c r="AR60" i="6"/>
  <c r="BC95" i="6"/>
  <c r="AZ97" i="6"/>
  <c r="AR109" i="6"/>
  <c r="BA113" i="6"/>
  <c r="BD115" i="6"/>
  <c r="BC115" i="6"/>
  <c r="AW129" i="6"/>
  <c r="AV129" i="6"/>
  <c r="BB148" i="6"/>
  <c r="BD149" i="6"/>
  <c r="BC149" i="6"/>
  <c r="BD161" i="6"/>
  <c r="AW163" i="6"/>
  <c r="AV163" i="6"/>
  <c r="BC169" i="6"/>
  <c r="BC177" i="6"/>
  <c r="BB177" i="6"/>
  <c r="AR179" i="6"/>
  <c r="AY185" i="6"/>
  <c r="BB193" i="6"/>
  <c r="AX106" i="6"/>
  <c r="BA16" i="6"/>
  <c r="AW31" i="6"/>
  <c r="BC36" i="6"/>
  <c r="BA40" i="6"/>
  <c r="AY58" i="6"/>
  <c r="BA74" i="6"/>
  <c r="AX90" i="6"/>
  <c r="AW90" i="6"/>
  <c r="AZ92" i="6"/>
  <c r="AW100" i="6"/>
  <c r="AZ106" i="6"/>
  <c r="AY106" i="6"/>
  <c r="BD108" i="6"/>
  <c r="AZ58" i="6"/>
  <c r="BB74" i="6"/>
  <c r="AR195" i="6"/>
  <c r="BC40" i="6"/>
  <c r="AX78" i="6"/>
  <c r="BB92" i="6"/>
  <c r="AY115" i="6"/>
  <c r="AY123" i="6"/>
  <c r="AX123" i="6"/>
  <c r="BA168" i="6"/>
  <c r="AU34" i="6"/>
  <c r="BB51" i="6"/>
  <c r="BA83" i="6"/>
  <c r="BA97" i="6"/>
  <c r="BB113" i="6"/>
  <c r="BA140" i="6"/>
  <c r="AZ185" i="6"/>
  <c r="BC71" i="6"/>
  <c r="AW82" i="6"/>
  <c r="AV96" i="6"/>
  <c r="BD102" i="6"/>
  <c r="AV103" i="6"/>
  <c r="AZ105" i="6"/>
  <c r="BC109" i="6"/>
  <c r="AW124" i="6"/>
  <c r="BB136" i="6"/>
  <c r="AY137" i="6"/>
  <c r="AR146" i="6"/>
  <c r="BB153" i="6"/>
  <c r="AX164" i="6"/>
  <c r="BC193" i="6"/>
  <c r="AR208" i="6"/>
  <c r="BD236" i="6"/>
  <c r="AW70" i="6"/>
  <c r="AX82" i="6"/>
  <c r="AZ137" i="6"/>
  <c r="AZ141" i="6"/>
  <c r="AZ176" i="6"/>
  <c r="AZ183" i="6"/>
  <c r="BA191" i="6"/>
  <c r="AZ191" i="6"/>
  <c r="AR207" i="6"/>
  <c r="BB63" i="6"/>
  <c r="AX70" i="6"/>
  <c r="AY82" i="6"/>
  <c r="BA87" i="6"/>
  <c r="AX96" i="6"/>
  <c r="AX103" i="6"/>
  <c r="AR111" i="6"/>
  <c r="BD116" i="6"/>
  <c r="BA130" i="6"/>
  <c r="AZ130" i="6"/>
  <c r="BD153" i="6"/>
  <c r="BD157" i="6"/>
  <c r="AZ161" i="6"/>
  <c r="AZ164" i="6"/>
  <c r="AR175" i="6"/>
  <c r="AW192" i="6"/>
  <c r="BC194" i="6"/>
  <c r="BC201" i="6"/>
  <c r="AX62" i="6"/>
  <c r="BC63" i="6"/>
  <c r="AY70" i="6"/>
  <c r="BA75" i="6"/>
  <c r="BB87" i="6"/>
  <c r="AZ89" i="6"/>
  <c r="AW94" i="6"/>
  <c r="AY96" i="6"/>
  <c r="AV108" i="6"/>
  <c r="AR123" i="6"/>
  <c r="AZ124" i="6"/>
  <c r="AW131" i="6"/>
  <c r="BD150" i="6"/>
  <c r="AY151" i="6"/>
  <c r="AX151" i="6"/>
  <c r="BA161" i="6"/>
  <c r="AR163" i="6"/>
  <c r="BA164" i="6"/>
  <c r="AY177" i="6"/>
  <c r="AZ180" i="6"/>
  <c r="AR186" i="6"/>
  <c r="BD201" i="6"/>
  <c r="BB75" i="6"/>
  <c r="BC87" i="6"/>
  <c r="BA89" i="6"/>
  <c r="AX94" i="6"/>
  <c r="AR95" i="6"/>
  <c r="AW108" i="6"/>
  <c r="BD114" i="6"/>
  <c r="AZ117" i="6"/>
  <c r="AZ122" i="6"/>
  <c r="AY122" i="6"/>
  <c r="BA124" i="6"/>
  <c r="AV135" i="6"/>
  <c r="BD137" i="6"/>
  <c r="BC137" i="6"/>
  <c r="AY145" i="6"/>
  <c r="AV152" i="6"/>
  <c r="BB161" i="6"/>
  <c r="BA171" i="6"/>
  <c r="AZ171" i="6"/>
  <c r="BA180" i="6"/>
  <c r="BA188" i="6"/>
  <c r="AZ188" i="6"/>
  <c r="AY199" i="6"/>
  <c r="AX199" i="6"/>
  <c r="AZ93" i="6"/>
  <c r="BA105" i="6"/>
  <c r="AV116" i="6"/>
  <c r="BA121" i="6"/>
  <c r="AV127" i="6"/>
  <c r="BA129" i="6"/>
  <c r="AY141" i="6"/>
  <c r="AW144" i="6"/>
  <c r="AW160" i="6"/>
  <c r="AZ181" i="6"/>
  <c r="BA189" i="6"/>
  <c r="BA197" i="6"/>
  <c r="BC202" i="6"/>
  <c r="BA181" i="6"/>
  <c r="BB93" i="6"/>
  <c r="BD98" i="6"/>
  <c r="AV104" i="6"/>
  <c r="AX116" i="6"/>
  <c r="AZ125" i="6"/>
  <c r="AR131" i="6"/>
  <c r="AV139" i="6"/>
  <c r="BA141" i="6"/>
  <c r="BC146" i="6"/>
  <c r="AZ149" i="6"/>
  <c r="AY157" i="6"/>
  <c r="BC162" i="6"/>
  <c r="AV168" i="6"/>
  <c r="AV179" i="6"/>
  <c r="BD186" i="6"/>
  <c r="AY187" i="6"/>
  <c r="AX187" i="6"/>
  <c r="BC189" i="6"/>
  <c r="BC197" i="6"/>
  <c r="AR199" i="6"/>
  <c r="AZ200" i="6"/>
  <c r="AV92" i="6"/>
  <c r="AW104" i="6"/>
  <c r="AR115" i="6"/>
  <c r="AV120" i="6"/>
  <c r="BA125" i="6"/>
  <c r="BC138" i="6"/>
  <c r="AW139" i="6"/>
  <c r="BD146" i="6"/>
  <c r="AW147" i="6"/>
  <c r="BA149" i="6"/>
  <c r="AZ157" i="6"/>
  <c r="AW168" i="6"/>
  <c r="BC178" i="6"/>
  <c r="BD189" i="6"/>
  <c r="AR194" i="6"/>
  <c r="BA200" i="6"/>
  <c r="AY147" i="6"/>
  <c r="AX147" i="6"/>
  <c r="BA157" i="6"/>
  <c r="BA165" i="6"/>
  <c r="AZ187" i="6"/>
  <c r="AV188" i="6"/>
  <c r="AZ133" i="6"/>
  <c r="BA137" i="6"/>
  <c r="AV148" i="6"/>
  <c r="AW152" i="6"/>
  <c r="AR159" i="6"/>
  <c r="BC166" i="6"/>
  <c r="AZ177" i="6"/>
  <c r="AV184" i="6"/>
  <c r="AR191" i="6"/>
  <c r="BC198" i="6"/>
  <c r="AR206" i="6"/>
  <c r="AV136" i="6"/>
  <c r="AW140" i="6"/>
  <c r="AR147" i="6"/>
  <c r="BD162" i="6"/>
  <c r="AY169" i="6"/>
  <c r="BA173" i="6"/>
  <c r="AW180" i="6"/>
  <c r="BD194" i="6"/>
  <c r="AY201" i="6"/>
  <c r="AM236" i="6"/>
  <c r="BC158" i="6"/>
  <c r="AZ169" i="6"/>
  <c r="AV176" i="6"/>
  <c r="AR183" i="6"/>
  <c r="AN236" i="6"/>
  <c r="BB126" i="6"/>
  <c r="AW132" i="6"/>
  <c r="AR139" i="6"/>
  <c r="BC154" i="6"/>
  <c r="BD158" i="6"/>
  <c r="AY165" i="6"/>
  <c r="BA169" i="6"/>
  <c r="BD190" i="6"/>
  <c r="BA201" i="6"/>
  <c r="AB29" i="5"/>
  <c r="AH128" i="5"/>
  <c r="AG128" i="5"/>
  <c r="AN47" i="5"/>
  <c r="AM60" i="5"/>
  <c r="AB37" i="5"/>
  <c r="AK99" i="5"/>
  <c r="AL99" i="5"/>
  <c r="AH106" i="5"/>
  <c r="AK110" i="5"/>
  <c r="AN176" i="5"/>
  <c r="AH55" i="5"/>
  <c r="AB103" i="5"/>
  <c r="AM20" i="5"/>
  <c r="AH46" i="5"/>
  <c r="AN75" i="5"/>
  <c r="AK96" i="5"/>
  <c r="AJ96" i="5"/>
  <c r="AJ106" i="5"/>
  <c r="AK106" i="5"/>
  <c r="AJ55" i="5"/>
  <c r="AF74" i="5"/>
  <c r="AE74" i="5"/>
  <c r="AG53" i="5"/>
  <c r="AF53" i="5"/>
  <c r="AG63" i="5"/>
  <c r="AL91" i="5"/>
  <c r="AM92" i="5"/>
  <c r="AB114" i="5"/>
  <c r="AK157" i="5"/>
  <c r="AE18" i="5"/>
  <c r="AK19" i="5"/>
  <c r="AE20" i="5"/>
  <c r="AF23" i="5"/>
  <c r="AH24" i="5"/>
  <c r="AE26" i="5"/>
  <c r="AK26" i="5"/>
  <c r="AI31" i="5"/>
  <c r="AH44" i="5"/>
  <c r="AG44" i="5"/>
  <c r="AH61" i="5"/>
  <c r="AH63" i="5"/>
  <c r="AN92" i="5"/>
  <c r="AM99" i="5"/>
  <c r="AH110" i="5"/>
  <c r="AN135" i="5"/>
  <c r="AM135" i="5"/>
  <c r="AN144" i="5"/>
  <c r="AJ145" i="5"/>
  <c r="AD148" i="5"/>
  <c r="AE148" i="5"/>
  <c r="AG14" i="5"/>
  <c r="AB33" i="5"/>
  <c r="AL64" i="5"/>
  <c r="AJ51" i="5"/>
  <c r="AF97" i="5"/>
  <c r="AE97" i="5"/>
  <c r="AB147" i="5"/>
  <c r="AG46" i="5"/>
  <c r="AK51" i="5"/>
  <c r="AM110" i="5"/>
  <c r="AL110" i="5"/>
  <c r="AJ167" i="5"/>
  <c r="AB203" i="5"/>
  <c r="AM32" i="5"/>
  <c r="AL67" i="5"/>
  <c r="AK92" i="5"/>
  <c r="AJ92" i="5"/>
  <c r="AL25" i="5"/>
  <c r="AN40" i="5"/>
  <c r="AB79" i="5"/>
  <c r="AB95" i="5"/>
  <c r="AL161" i="5"/>
  <c r="AM161" i="5"/>
  <c r="AG56" i="5"/>
  <c r="AH56" i="5"/>
  <c r="AK114" i="5"/>
  <c r="AN120" i="5"/>
  <c r="AM120" i="5"/>
  <c r="AM129" i="5"/>
  <c r="AN129" i="5"/>
  <c r="AB171" i="5"/>
  <c r="AK72" i="5"/>
  <c r="AL73" i="5"/>
  <c r="AE79" i="5"/>
  <c r="AB110" i="5"/>
  <c r="AL195" i="5"/>
  <c r="AM195" i="5"/>
  <c r="AE77" i="5"/>
  <c r="AD41" i="5"/>
  <c r="AF46" i="5"/>
  <c r="AM64" i="5"/>
  <c r="AG84" i="5"/>
  <c r="AH84" i="5"/>
  <c r="AH129" i="5"/>
  <c r="AG22" i="5"/>
  <c r="AN64" i="5"/>
  <c r="AI55" i="5"/>
  <c r="AB104" i="5"/>
  <c r="AM36" i="5"/>
  <c r="AL86" i="5"/>
  <c r="AI19" i="5"/>
  <c r="AH59" i="5"/>
  <c r="AK69" i="5"/>
  <c r="AJ69" i="5"/>
  <c r="AL120" i="5"/>
  <c r="AB48" i="5"/>
  <c r="AG65" i="5"/>
  <c r="AK152" i="5"/>
  <c r="AJ152" i="5"/>
  <c r="AM16" i="5"/>
  <c r="AH20" i="5"/>
  <c r="AB25" i="5"/>
  <c r="AG25" i="5"/>
  <c r="AK28" i="5"/>
  <c r="AK30" i="5"/>
  <c r="AI32" i="5"/>
  <c r="AK35" i="5"/>
  <c r="AJ39" i="5"/>
  <c r="AF43" i="5"/>
  <c r="AK55" i="5"/>
  <c r="AF57" i="5"/>
  <c r="AF58" i="5"/>
  <c r="AD61" i="5"/>
  <c r="AH65" i="5"/>
  <c r="AG67" i="5"/>
  <c r="AM72" i="5"/>
  <c r="AN73" i="5"/>
  <c r="AM76" i="5"/>
  <c r="AG79" i="5"/>
  <c r="AH90" i="5"/>
  <c r="AJ113" i="5"/>
  <c r="AI113" i="5"/>
  <c r="AF119" i="5"/>
  <c r="AE143" i="5"/>
  <c r="AM145" i="5"/>
  <c r="AN145" i="5"/>
  <c r="AL146" i="5"/>
  <c r="AG187" i="5"/>
  <c r="AF187" i="5"/>
  <c r="AM71" i="5"/>
  <c r="AN71" i="5"/>
  <c r="AM127" i="5"/>
  <c r="AI43" i="5"/>
  <c r="AM75" i="5"/>
  <c r="AJ128" i="5"/>
  <c r="AK128" i="5"/>
  <c r="AB191" i="5"/>
  <c r="AL199" i="5"/>
  <c r="AM199" i="5"/>
  <c r="AF41" i="5"/>
  <c r="AI125" i="5"/>
  <c r="AH125" i="5"/>
  <c r="AJ129" i="5"/>
  <c r="AK129" i="5"/>
  <c r="AF158" i="5"/>
  <c r="AG158" i="5"/>
  <c r="AE50" i="5"/>
  <c r="AB91" i="5"/>
  <c r="AN105" i="5"/>
  <c r="AJ121" i="5"/>
  <c r="AK27" i="5"/>
  <c r="AL54" i="5"/>
  <c r="AL106" i="5"/>
  <c r="AI132" i="5"/>
  <c r="AJ132" i="5"/>
  <c r="AH186" i="5"/>
  <c r="AI186" i="5"/>
  <c r="AD193" i="5"/>
  <c r="AE193" i="5"/>
  <c r="AE27" i="5"/>
  <c r="AJ32" i="5"/>
  <c r="AK34" i="5"/>
  <c r="AI36" i="5"/>
  <c r="AJ48" i="5"/>
  <c r="AD52" i="5"/>
  <c r="AF62" i="5"/>
  <c r="AH69" i="5"/>
  <c r="AK78" i="5"/>
  <c r="AL78" i="5"/>
  <c r="AK84" i="5"/>
  <c r="AI90" i="5"/>
  <c r="AJ90" i="5"/>
  <c r="AB130" i="5"/>
  <c r="AI138" i="5"/>
  <c r="AJ138" i="5"/>
  <c r="AF143" i="5"/>
  <c r="AG143" i="5"/>
  <c r="AL185" i="5"/>
  <c r="AM185" i="5"/>
  <c r="AM42" i="5"/>
  <c r="AL42" i="5"/>
  <c r="AD97" i="5"/>
  <c r="AE41" i="5"/>
  <c r="AL51" i="5"/>
  <c r="AN68" i="5"/>
  <c r="AM68" i="5"/>
  <c r="AI27" i="5"/>
  <c r="AM40" i="5"/>
  <c r="AM80" i="5"/>
  <c r="AN80" i="5"/>
  <c r="AG163" i="5"/>
  <c r="AF163" i="5"/>
  <c r="AI49" i="5"/>
  <c r="AH49" i="5"/>
  <c r="AK89" i="5"/>
  <c r="AL89" i="5"/>
  <c r="AI15" i="5"/>
  <c r="AB16" i="5"/>
  <c r="AD19" i="5"/>
  <c r="AJ20" i="5"/>
  <c r="AM24" i="5"/>
  <c r="AF27" i="5"/>
  <c r="AH28" i="5"/>
  <c r="AE34" i="5"/>
  <c r="AJ36" i="5"/>
  <c r="AK38" i="5"/>
  <c r="AJ43" i="5"/>
  <c r="AJ46" i="5"/>
  <c r="AM55" i="5"/>
  <c r="AJ58" i="5"/>
  <c r="AD82" i="5"/>
  <c r="AD85" i="5"/>
  <c r="AJ86" i="5"/>
  <c r="AI86" i="5"/>
  <c r="AK88" i="5"/>
  <c r="AH93" i="5"/>
  <c r="AH97" i="5"/>
  <c r="AG99" i="5"/>
  <c r="AF99" i="5"/>
  <c r="AI101" i="5"/>
  <c r="AM108" i="5"/>
  <c r="AN108" i="5"/>
  <c r="AK121" i="5"/>
  <c r="AB85" i="5"/>
  <c r="AB13" i="5"/>
  <c r="AE22" i="5"/>
  <c r="AE46" i="5"/>
  <c r="AI51" i="5"/>
  <c r="AM28" i="5"/>
  <c r="AK105" i="5"/>
  <c r="AJ105" i="5"/>
  <c r="AJ111" i="5"/>
  <c r="AI111" i="5"/>
  <c r="AG69" i="5"/>
  <c r="AN127" i="5"/>
  <c r="AL80" i="5"/>
  <c r="AB159" i="5"/>
  <c r="AD50" i="5"/>
  <c r="AD104" i="5"/>
  <c r="AB76" i="5"/>
  <c r="AJ103" i="5"/>
  <c r="AI103" i="5"/>
  <c r="AF116" i="5"/>
  <c r="AK43" i="5"/>
  <c r="AN56" i="5"/>
  <c r="AL58" i="5"/>
  <c r="AJ62" i="5"/>
  <c r="AD65" i="5"/>
  <c r="AB66" i="5"/>
  <c r="AJ67" i="5"/>
  <c r="AN69" i="5"/>
  <c r="AH72" i="5"/>
  <c r="AD89" i="5"/>
  <c r="AE124" i="5"/>
  <c r="AD124" i="5"/>
  <c r="AD129" i="5"/>
  <c r="AK145" i="5"/>
  <c r="AB151" i="5"/>
  <c r="AH166" i="5"/>
  <c r="AI166" i="5"/>
  <c r="N235" i="5"/>
  <c r="AP223" i="5" s="1"/>
  <c r="AK23" i="5"/>
  <c r="AF84" i="5"/>
  <c r="AH111" i="5"/>
  <c r="AG55" i="5"/>
  <c r="AK76" i="5"/>
  <c r="AJ76" i="5"/>
  <c r="AB21" i="5"/>
  <c r="AB24" i="5"/>
  <c r="AE31" i="5"/>
  <c r="AH52" i="5"/>
  <c r="AF66" i="5"/>
  <c r="AE137" i="5"/>
  <c r="AG167" i="5"/>
  <c r="AF167" i="5"/>
  <c r="AB173" i="5"/>
  <c r="AH182" i="5"/>
  <c r="AI182" i="5"/>
  <c r="AG183" i="5"/>
  <c r="AF183" i="5"/>
  <c r="AD54" i="5"/>
  <c r="AJ54" i="5"/>
  <c r="AK57" i="5"/>
  <c r="AH58" i="5"/>
  <c r="AI59" i="5"/>
  <c r="AH62" i="5"/>
  <c r="AI63" i="5"/>
  <c r="AI66" i="5"/>
  <c r="AF71" i="5"/>
  <c r="AI72" i="5"/>
  <c r="AF77" i="5"/>
  <c r="AB78" i="5"/>
  <c r="AK82" i="5"/>
  <c r="AL82" i="5"/>
  <c r="AE83" i="5"/>
  <c r="AF88" i="5"/>
  <c r="AB89" i="5"/>
  <c r="AM96" i="5"/>
  <c r="AI120" i="5"/>
  <c r="AF126" i="5"/>
  <c r="AL142" i="5"/>
  <c r="AL157" i="5"/>
  <c r="AM181" i="5"/>
  <c r="AB216" i="5"/>
  <c r="AE93" i="5"/>
  <c r="AE106" i="5"/>
  <c r="AD109" i="5"/>
  <c r="AD136" i="5"/>
  <c r="AM142" i="5"/>
  <c r="AN181" i="5"/>
  <c r="AB197" i="5"/>
  <c r="AB209" i="5"/>
  <c r="AD42" i="5"/>
  <c r="AE58" i="5"/>
  <c r="AE62" i="5"/>
  <c r="AI70" i="5"/>
  <c r="AH83" i="5"/>
  <c r="AN90" i="5"/>
  <c r="AM103" i="5"/>
  <c r="AM107" i="5"/>
  <c r="AL115" i="5"/>
  <c r="AJ116" i="5"/>
  <c r="AN118" i="5"/>
  <c r="AN125" i="5"/>
  <c r="AM125" i="5"/>
  <c r="AI126" i="5"/>
  <c r="AF136" i="5"/>
  <c r="AG136" i="5"/>
  <c r="AN152" i="5"/>
  <c r="AL153" i="5"/>
  <c r="AM153" i="5"/>
  <c r="AM172" i="5"/>
  <c r="AN172" i="5"/>
  <c r="AH174" i="5"/>
  <c r="AI174" i="5"/>
  <c r="AE175" i="5"/>
  <c r="AF175" i="5"/>
  <c r="AB198" i="5"/>
  <c r="AB226" i="5"/>
  <c r="AI235" i="5"/>
  <c r="AJ235" i="5"/>
  <c r="AD171" i="5"/>
  <c r="AE171" i="5"/>
  <c r="AB225" i="5"/>
  <c r="AM48" i="5"/>
  <c r="AG75" i="5"/>
  <c r="AE86" i="5"/>
  <c r="AI95" i="5"/>
  <c r="AN100" i="5"/>
  <c r="AF113" i="5"/>
  <c r="AG113" i="5"/>
  <c r="AN115" i="5"/>
  <c r="AE121" i="5"/>
  <c r="AL134" i="5"/>
  <c r="AH150" i="5"/>
  <c r="AI150" i="5"/>
  <c r="AE151" i="5"/>
  <c r="AB167" i="5"/>
  <c r="AG170" i="5"/>
  <c r="AH190" i="5"/>
  <c r="AI190" i="5"/>
  <c r="AJ195" i="5"/>
  <c r="AI195" i="5"/>
  <c r="AH196" i="5"/>
  <c r="AI196" i="5"/>
  <c r="AG202" i="5"/>
  <c r="AF73" i="5"/>
  <c r="AG73" i="5"/>
  <c r="AG92" i="5"/>
  <c r="AH92" i="5"/>
  <c r="AG124" i="5"/>
  <c r="AF124" i="5"/>
  <c r="AB157" i="5"/>
  <c r="AH170" i="5"/>
  <c r="AI170" i="5"/>
  <c r="AB187" i="5"/>
  <c r="AH202" i="5"/>
  <c r="AI202" i="5"/>
  <c r="AH47" i="5"/>
  <c r="AL52" i="5"/>
  <c r="AB74" i="5"/>
  <c r="AG81" i="5"/>
  <c r="AB82" i="5"/>
  <c r="AG86" i="5"/>
  <c r="AM88" i="5"/>
  <c r="AN94" i="5"/>
  <c r="AK101" i="5"/>
  <c r="AL108" i="5"/>
  <c r="AB111" i="5"/>
  <c r="AE114" i="5"/>
  <c r="AB122" i="5"/>
  <c r="AL131" i="5"/>
  <c r="AM131" i="5"/>
  <c r="AN134" i="5"/>
  <c r="AJ136" i="5"/>
  <c r="AN149" i="5"/>
  <c r="AM149" i="5"/>
  <c r="AJ163" i="5"/>
  <c r="AL169" i="5"/>
  <c r="AN173" i="5"/>
  <c r="AB193" i="5"/>
  <c r="AN194" i="5"/>
  <c r="AK196" i="5"/>
  <c r="AJ196" i="5"/>
  <c r="AE71" i="5"/>
  <c r="AL77" i="5"/>
  <c r="AB80" i="5"/>
  <c r="AK97" i="5"/>
  <c r="AE102" i="5"/>
  <c r="AB115" i="5"/>
  <c r="AI119" i="5"/>
  <c r="AH133" i="5"/>
  <c r="AF144" i="5"/>
  <c r="AG144" i="5"/>
  <c r="AK167" i="5"/>
  <c r="AG168" i="5"/>
  <c r="AB177" i="5"/>
  <c r="AN178" i="5"/>
  <c r="AB185" i="5"/>
  <c r="AN186" i="5"/>
  <c r="AH192" i="5"/>
  <c r="AK201" i="5"/>
  <c r="AH76" i="5"/>
  <c r="AK93" i="5"/>
  <c r="AE98" i="5"/>
  <c r="AF100" i="5"/>
  <c r="AG102" i="5"/>
  <c r="AG107" i="5"/>
  <c r="AG117" i="5"/>
  <c r="AF131" i="5"/>
  <c r="AI140" i="5"/>
  <c r="AH140" i="5"/>
  <c r="AB153" i="5"/>
  <c r="AJ159" i="5"/>
  <c r="AG160" i="5"/>
  <c r="AB161" i="5"/>
  <c r="AG164" i="5"/>
  <c r="AD165" i="5"/>
  <c r="AE165" i="5"/>
  <c r="AE166" i="5"/>
  <c r="AD177" i="5"/>
  <c r="AE177" i="5"/>
  <c r="AK179" i="5"/>
  <c r="AD185" i="5"/>
  <c r="AL187" i="5"/>
  <c r="AM187" i="5"/>
  <c r="AD189" i="5"/>
  <c r="AE189" i="5"/>
  <c r="AL191" i="5"/>
  <c r="AM191" i="5"/>
  <c r="AK192" i="5"/>
  <c r="AJ192" i="5"/>
  <c r="AM201" i="5"/>
  <c r="AB135" i="5"/>
  <c r="AD157" i="5"/>
  <c r="AE157" i="5"/>
  <c r="AD173" i="5"/>
  <c r="AE173" i="5"/>
  <c r="AL179" i="5"/>
  <c r="AM179" i="5"/>
  <c r="AG235" i="5"/>
  <c r="AL155" i="5"/>
  <c r="AM155" i="5"/>
  <c r="AL159" i="5"/>
  <c r="AM159" i="5"/>
  <c r="AB186" i="5"/>
  <c r="AK203" i="5"/>
  <c r="AI68" i="5"/>
  <c r="AD75" i="5"/>
  <c r="AN79" i="5"/>
  <c r="AJ85" i="5"/>
  <c r="AK87" i="5"/>
  <c r="AG96" i="5"/>
  <c r="AB101" i="5"/>
  <c r="AF105" i="5"/>
  <c r="AD108" i="5"/>
  <c r="AB116" i="5"/>
  <c r="AJ117" i="5"/>
  <c r="AN119" i="5"/>
  <c r="AJ122" i="5"/>
  <c r="AF125" i="5"/>
  <c r="AM130" i="5"/>
  <c r="AG134" i="5"/>
  <c r="AG138" i="5"/>
  <c r="AB154" i="5"/>
  <c r="AB162" i="5"/>
  <c r="AI172" i="5"/>
  <c r="AJ176" i="5"/>
  <c r="AB182" i="5"/>
  <c r="AF194" i="5"/>
  <c r="AG199" i="5"/>
  <c r="AF199" i="5"/>
  <c r="AK122" i="5"/>
  <c r="AH138" i="5"/>
  <c r="AH145" i="5"/>
  <c r="AK156" i="5"/>
  <c r="AJ156" i="5"/>
  <c r="AG103" i="5"/>
  <c r="AH115" i="5"/>
  <c r="AN123" i="5"/>
  <c r="AD133" i="5"/>
  <c r="AJ137" i="5"/>
  <c r="AN141" i="5"/>
  <c r="AD145" i="5"/>
  <c r="AK155" i="5"/>
  <c r="AH162" i="5"/>
  <c r="AI162" i="5"/>
  <c r="AD163" i="5"/>
  <c r="AJ165" i="5"/>
  <c r="AB170" i="5"/>
  <c r="AG172" i="5"/>
  <c r="AN174" i="5"/>
  <c r="AG182" i="5"/>
  <c r="AB199" i="5"/>
  <c r="Y235" i="5"/>
  <c r="AN103" i="5"/>
  <c r="AB106" i="5"/>
  <c r="AF109" i="5"/>
  <c r="AK112" i="5"/>
  <c r="AL124" i="5"/>
  <c r="AJ126" i="5"/>
  <c r="AF129" i="5"/>
  <c r="AE129" i="5"/>
  <c r="AG137" i="5"/>
  <c r="AB149" i="5"/>
  <c r="AD161" i="5"/>
  <c r="AM169" i="5"/>
  <c r="AB178" i="5"/>
  <c r="AG180" i="5"/>
  <c r="AB181" i="5"/>
  <c r="AD187" i="5"/>
  <c r="AE187" i="5"/>
  <c r="AJ189" i="5"/>
  <c r="AF191" i="5"/>
  <c r="AE201" i="5"/>
  <c r="AB207" i="5"/>
  <c r="AB137" i="5"/>
  <c r="AD197" i="5"/>
  <c r="AE197" i="5"/>
  <c r="AJ141" i="5"/>
  <c r="AH146" i="5"/>
  <c r="AM157" i="5"/>
  <c r="AH158" i="5"/>
  <c r="AL167" i="5"/>
  <c r="AK177" i="5"/>
  <c r="AG178" i="5"/>
  <c r="AI184" i="5"/>
  <c r="AK193" i="5"/>
  <c r="AL203" i="5"/>
  <c r="AB224" i="5"/>
  <c r="AK104" i="5"/>
  <c r="AL116" i="5"/>
  <c r="AD122" i="5"/>
  <c r="AH127" i="5"/>
  <c r="AJ139" i="5"/>
  <c r="AI146" i="5"/>
  <c r="AD147" i="5"/>
  <c r="AD153" i="5"/>
  <c r="AN154" i="5"/>
  <c r="AK164" i="5"/>
  <c r="AJ164" i="5"/>
  <c r="AK171" i="5"/>
  <c r="AL177" i="5"/>
  <c r="AL193" i="5"/>
  <c r="AL104" i="5"/>
  <c r="AD110" i="5"/>
  <c r="AJ118" i="5"/>
  <c r="AH132" i="5"/>
  <c r="AB138" i="5"/>
  <c r="AI144" i="5"/>
  <c r="AI152" i="5"/>
  <c r="AK161" i="5"/>
  <c r="AL171" i="5"/>
  <c r="AK187" i="5"/>
  <c r="AH194" i="5"/>
  <c r="AI194" i="5"/>
  <c r="AD195" i="5"/>
  <c r="AJ197" i="5"/>
  <c r="AB202" i="5"/>
  <c r="AJ133" i="5"/>
  <c r="AG142" i="5"/>
  <c r="AJ153" i="5"/>
  <c r="AF156" i="5"/>
  <c r="AD159" i="5"/>
  <c r="AL165" i="5"/>
  <c r="AH168" i="5"/>
  <c r="AB169" i="5"/>
  <c r="AL175" i="5"/>
  <c r="AH178" i="5"/>
  <c r="AB179" i="5"/>
  <c r="AD181" i="5"/>
  <c r="AN182" i="5"/>
  <c r="AJ185" i="5"/>
  <c r="AF188" i="5"/>
  <c r="AD191" i="5"/>
  <c r="AL197" i="5"/>
  <c r="AH200" i="5"/>
  <c r="AB201" i="5"/>
  <c r="AB208" i="5"/>
  <c r="AB233" i="5"/>
  <c r="AG130" i="5"/>
  <c r="AH142" i="5"/>
  <c r="AK153" i="5"/>
  <c r="AG156" i="5"/>
  <c r="AK163" i="5"/>
  <c r="AG166" i="5"/>
  <c r="AK185" i="5"/>
  <c r="AG188" i="5"/>
  <c r="AK195" i="5"/>
  <c r="AG198" i="5"/>
  <c r="AB217" i="5"/>
  <c r="AB223" i="5"/>
  <c r="AB232" i="5"/>
  <c r="AB129" i="5"/>
  <c r="AF132" i="5"/>
  <c r="AK135" i="5"/>
  <c r="AL147" i="5"/>
  <c r="AJ149" i="5"/>
  <c r="AK151" i="5"/>
  <c r="AG154" i="5"/>
  <c r="AK173" i="5"/>
  <c r="AG176" i="5"/>
  <c r="AK183" i="5"/>
  <c r="AG186" i="5"/>
  <c r="AH134" i="5"/>
  <c r="AN142" i="5"/>
  <c r="AB145" i="5"/>
  <c r="AF148" i="5"/>
  <c r="AG152" i="5"/>
  <c r="AK159" i="5"/>
  <c r="AG162" i="5"/>
  <c r="AM165" i="5"/>
  <c r="AK181" i="5"/>
  <c r="AG184" i="5"/>
  <c r="AK191" i="5"/>
  <c r="AG194" i="5"/>
  <c r="B66" i="12"/>
  <c r="AL235" i="5" l="1"/>
  <c r="AZ256" i="7"/>
  <c r="AX236" i="6"/>
  <c r="AM235" i="5"/>
  <c r="AP5" i="5"/>
  <c r="AE235" i="5"/>
  <c r="BF68" i="7"/>
  <c r="BF44" i="7"/>
  <c r="BF187" i="7"/>
  <c r="BF117" i="7"/>
  <c r="BF179" i="7"/>
  <c r="BF246" i="7"/>
  <c r="BF245" i="7"/>
  <c r="BF235" i="7"/>
  <c r="BF116" i="7"/>
  <c r="BF191" i="7"/>
  <c r="BF59" i="7"/>
  <c r="BF226" i="7"/>
  <c r="BF130" i="6"/>
  <c r="AD235" i="5"/>
  <c r="BF185" i="7"/>
  <c r="BF247" i="7"/>
  <c r="BF164" i="7"/>
  <c r="BF157" i="7"/>
  <c r="BF158" i="7"/>
  <c r="BF195" i="7"/>
  <c r="BF243" i="7"/>
  <c r="BF219" i="7"/>
  <c r="BF108" i="7"/>
  <c r="BF40" i="7"/>
  <c r="BF200" i="7"/>
  <c r="BF161" i="7"/>
  <c r="BF38" i="7"/>
  <c r="BF175" i="6"/>
  <c r="BF88" i="6"/>
  <c r="BF167" i="6"/>
  <c r="BF123" i="6"/>
  <c r="BF90" i="6"/>
  <c r="BF56" i="6"/>
  <c r="BF186" i="6"/>
  <c r="BF169" i="6"/>
  <c r="BF102" i="6"/>
  <c r="BF233" i="6"/>
  <c r="BF211" i="7"/>
  <c r="BF234" i="7"/>
  <c r="BF128" i="7"/>
  <c r="BF172" i="7"/>
  <c r="BF218" i="7"/>
  <c r="BF115" i="7"/>
  <c r="BF111" i="7"/>
  <c r="BF189" i="7"/>
  <c r="BF30" i="7"/>
  <c r="BF60" i="7"/>
  <c r="BF47" i="6"/>
  <c r="BF219" i="6"/>
  <c r="BF206" i="6"/>
  <c r="BF199" i="6"/>
  <c r="BF105" i="6"/>
  <c r="BF11" i="6"/>
  <c r="BF202" i="6"/>
  <c r="BF52" i="6"/>
  <c r="BF115" i="6"/>
  <c r="BF106" i="6"/>
  <c r="BF171" i="6"/>
  <c r="BF217" i="6"/>
  <c r="BF78" i="6"/>
  <c r="BF194" i="6"/>
  <c r="BF138" i="6"/>
  <c r="BF152" i="7"/>
  <c r="BF154" i="7"/>
  <c r="BF135" i="7"/>
  <c r="BF22" i="7"/>
  <c r="BF34" i="7"/>
  <c r="BF192" i="7"/>
  <c r="BF88" i="7"/>
  <c r="BF208" i="7"/>
  <c r="BF249" i="7"/>
  <c r="BF124" i="7"/>
  <c r="BF145" i="7"/>
  <c r="BF153" i="7"/>
  <c r="BF160" i="7"/>
  <c r="BF193" i="7"/>
  <c r="BF231" i="7"/>
  <c r="BF10" i="7"/>
  <c r="BF65" i="7"/>
  <c r="BF209" i="7"/>
  <c r="BF100" i="7"/>
  <c r="BF97" i="7"/>
  <c r="BF197" i="7"/>
  <c r="BF119" i="6"/>
  <c r="BF158" i="6"/>
  <c r="BF207" i="6"/>
  <c r="BF232" i="6"/>
  <c r="BF109" i="6"/>
  <c r="BF66" i="6"/>
  <c r="BF18" i="6"/>
  <c r="BF49" i="6"/>
  <c r="BF126" i="6"/>
  <c r="BF223" i="6"/>
  <c r="BF55" i="6"/>
  <c r="BF22" i="6"/>
  <c r="BF135" i="6"/>
  <c r="BF146" i="6"/>
  <c r="BF190" i="6"/>
  <c r="BF127" i="6"/>
  <c r="BF203" i="6"/>
  <c r="AP162" i="5"/>
  <c r="AP195" i="5"/>
  <c r="AP149" i="5"/>
  <c r="AP164" i="5"/>
  <c r="AP113" i="5"/>
  <c r="BA256" i="7"/>
  <c r="BF141" i="7"/>
  <c r="BF41" i="7"/>
  <c r="BF244" i="7"/>
  <c r="BF220" i="7"/>
  <c r="BF242" i="7"/>
  <c r="BF148" i="7"/>
  <c r="BF207" i="7"/>
  <c r="BF176" i="7"/>
  <c r="BF233" i="7"/>
  <c r="BF256" i="7"/>
  <c r="BF241" i="7"/>
  <c r="BF225" i="7"/>
  <c r="BF240" i="7"/>
  <c r="BF224" i="7"/>
  <c r="BF255" i="7"/>
  <c r="BF239" i="7"/>
  <c r="BF223" i="7"/>
  <c r="BF178" i="7"/>
  <c r="BF147" i="7"/>
  <c r="BF230" i="7"/>
  <c r="BF216" i="7"/>
  <c r="BF174" i="7"/>
  <c r="BF143" i="7"/>
  <c r="BF229" i="7"/>
  <c r="BF215" i="7"/>
  <c r="BF222" i="7"/>
  <c r="BF206" i="7"/>
  <c r="BF186" i="7"/>
  <c r="BF118" i="7"/>
  <c r="BF221" i="7"/>
  <c r="BF168" i="7"/>
  <c r="BF155" i="7"/>
  <c r="AR256" i="7"/>
  <c r="BF198" i="7"/>
  <c r="BF175" i="7"/>
  <c r="BF144" i="7"/>
  <c r="BF254" i="7"/>
  <c r="BF212" i="7"/>
  <c r="BF253" i="7"/>
  <c r="BF177" i="7"/>
  <c r="BF146" i="7"/>
  <c r="BF210" i="7"/>
  <c r="BF170" i="7"/>
  <c r="BF159" i="7"/>
  <c r="BF122" i="7"/>
  <c r="BF99" i="7"/>
  <c r="BF67" i="7"/>
  <c r="BF190" i="7"/>
  <c r="BF133" i="7"/>
  <c r="BF131" i="7"/>
  <c r="BF126" i="7"/>
  <c r="BF120" i="7"/>
  <c r="BF82" i="7"/>
  <c r="BF62" i="7"/>
  <c r="BF173" i="7"/>
  <c r="BF87" i="7"/>
  <c r="BF102" i="7"/>
  <c r="BF228" i="7"/>
  <c r="BF181" i="7"/>
  <c r="BF169" i="7"/>
  <c r="BF140" i="7"/>
  <c r="BF134" i="7"/>
  <c r="BF93" i="7"/>
  <c r="BF86" i="7"/>
  <c r="BF83" i="7"/>
  <c r="BF58" i="7"/>
  <c r="BF27" i="7"/>
  <c r="BF19" i="7"/>
  <c r="BF48" i="7"/>
  <c r="BF202" i="7"/>
  <c r="BF213" i="7"/>
  <c r="BF94" i="7"/>
  <c r="BF80" i="7"/>
  <c r="BF39" i="7"/>
  <c r="BF251" i="7"/>
  <c r="BF163" i="7"/>
  <c r="BF66" i="7"/>
  <c r="BF35" i="7"/>
  <c r="BF31" i="7"/>
  <c r="BF15" i="7"/>
  <c r="BF142" i="7"/>
  <c r="BF45" i="7"/>
  <c r="BF194" i="7"/>
  <c r="BF110" i="7"/>
  <c r="BF95" i="7"/>
  <c r="BF70" i="7"/>
  <c r="BF171" i="7"/>
  <c r="BF238" i="7"/>
  <c r="BF106" i="7"/>
  <c r="BF78" i="7"/>
  <c r="BF252" i="7"/>
  <c r="BF166" i="7"/>
  <c r="BF130" i="7"/>
  <c r="BF81" i="7"/>
  <c r="BF55" i="7"/>
  <c r="BF150" i="7"/>
  <c r="BF23" i="7"/>
  <c r="BF7" i="7"/>
  <c r="BF74" i="7"/>
  <c r="BF114" i="7"/>
  <c r="BF76" i="7"/>
  <c r="BF139" i="7"/>
  <c r="BF127" i="7"/>
  <c r="BF90" i="7"/>
  <c r="BF79" i="7"/>
  <c r="BF151" i="7"/>
  <c r="BF112" i="7"/>
  <c r="BF11" i="7"/>
  <c r="BF129" i="7"/>
  <c r="BF61" i="7"/>
  <c r="BF51" i="7"/>
  <c r="BF214" i="7"/>
  <c r="BF56" i="7"/>
  <c r="BF42" i="7"/>
  <c r="BF237" i="7"/>
  <c r="BF69" i="7"/>
  <c r="BF32" i="7"/>
  <c r="BF28" i="7"/>
  <c r="BF24" i="7"/>
  <c r="BF20" i="7"/>
  <c r="BF16" i="7"/>
  <c r="BF12" i="7"/>
  <c r="BF8" i="7"/>
  <c r="BF103" i="7"/>
  <c r="BF236" i="7"/>
  <c r="BF167" i="7"/>
  <c r="BF125" i="7"/>
  <c r="BF96" i="7"/>
  <c r="BF98" i="7"/>
  <c r="BF49" i="7"/>
  <c r="BF5" i="7"/>
  <c r="BG5" i="7" s="1"/>
  <c r="BF89" i="7"/>
  <c r="BF46" i="7"/>
  <c r="BF9" i="7"/>
  <c r="BF36" i="7"/>
  <c r="BF75" i="7"/>
  <c r="BF71" i="7"/>
  <c r="BF13" i="7"/>
  <c r="BF182" i="7"/>
  <c r="BF119" i="7"/>
  <c r="BF105" i="7"/>
  <c r="BF250" i="7"/>
  <c r="BF54" i="7"/>
  <c r="BF43" i="7"/>
  <c r="BF17" i="7"/>
  <c r="BF113" i="7"/>
  <c r="BF21" i="7"/>
  <c r="BF73" i="7"/>
  <c r="BF156" i="7"/>
  <c r="BF91" i="7"/>
  <c r="BF29" i="7"/>
  <c r="BF33" i="7"/>
  <c r="BF57" i="7"/>
  <c r="BF25" i="7"/>
  <c r="BF227" i="7"/>
  <c r="BF183" i="7"/>
  <c r="BF162" i="7"/>
  <c r="BF107" i="7"/>
  <c r="BF199" i="7"/>
  <c r="BF101" i="7"/>
  <c r="BF196" i="7"/>
  <c r="BF184" i="7"/>
  <c r="BF136" i="7"/>
  <c r="BF165" i="7"/>
  <c r="BF137" i="7"/>
  <c r="BF104" i="7"/>
  <c r="BF63" i="7"/>
  <c r="BF138" i="7"/>
  <c r="BF53" i="7"/>
  <c r="BF37" i="7"/>
  <c r="BF26" i="7"/>
  <c r="BF188" i="7"/>
  <c r="BF201" i="7"/>
  <c r="BF92" i="7"/>
  <c r="BF77" i="7"/>
  <c r="BF232" i="7"/>
  <c r="BF121" i="7"/>
  <c r="BF47" i="7"/>
  <c r="BF149" i="7"/>
  <c r="BF204" i="7"/>
  <c r="BF205" i="7"/>
  <c r="BF72" i="7"/>
  <c r="BF248" i="7"/>
  <c r="BF50" i="7"/>
  <c r="BF14" i="7"/>
  <c r="BF85" i="7"/>
  <c r="BF18" i="7"/>
  <c r="BF84" i="7"/>
  <c r="BF123" i="7"/>
  <c r="BF180" i="7"/>
  <c r="BF109" i="7"/>
  <c r="BF203" i="7"/>
  <c r="BF217" i="7"/>
  <c r="BF132" i="7"/>
  <c r="BF6" i="7"/>
  <c r="BF64" i="7"/>
  <c r="BA236" i="6"/>
  <c r="BF9" i="6"/>
  <c r="BF17" i="6"/>
  <c r="BF48" i="6"/>
  <c r="BF93" i="6"/>
  <c r="BF154" i="6"/>
  <c r="BF6" i="6"/>
  <c r="BF166" i="6"/>
  <c r="BF134" i="6"/>
  <c r="BF150" i="6"/>
  <c r="BF182" i="6"/>
  <c r="BF97" i="6"/>
  <c r="BF179" i="6"/>
  <c r="BF151" i="6"/>
  <c r="BF71" i="6"/>
  <c r="BF125" i="6"/>
  <c r="BF193" i="6"/>
  <c r="BF110" i="6"/>
  <c r="BF20" i="6"/>
  <c r="BF65" i="6"/>
  <c r="BF133" i="6"/>
  <c r="BF165" i="6"/>
  <c r="BF162" i="6"/>
  <c r="BF63" i="6"/>
  <c r="BF15" i="6"/>
  <c r="BF122" i="6"/>
  <c r="BF163" i="6"/>
  <c r="BF76" i="6"/>
  <c r="BF155" i="6"/>
  <c r="BF80" i="6"/>
  <c r="BF24" i="6"/>
  <c r="BF161" i="6"/>
  <c r="BF72" i="6"/>
  <c r="BF195" i="6"/>
  <c r="BF44" i="6"/>
  <c r="BF121" i="6"/>
  <c r="AZ236" i="6"/>
  <c r="BF43" i="6"/>
  <c r="BF214" i="6"/>
  <c r="BF107" i="6"/>
  <c r="BF191" i="6"/>
  <c r="BF59" i="6"/>
  <c r="BF114" i="6"/>
  <c r="BF33" i="6"/>
  <c r="BF29" i="6"/>
  <c r="BF236" i="6"/>
  <c r="BF221" i="6"/>
  <c r="BF205" i="6"/>
  <c r="BF220" i="6"/>
  <c r="BF204" i="6"/>
  <c r="BF176" i="6"/>
  <c r="BF132" i="6"/>
  <c r="BF136" i="6"/>
  <c r="BF180" i="6"/>
  <c r="BF140" i="6"/>
  <c r="BF234" i="6"/>
  <c r="BF231" i="6"/>
  <c r="BF152" i="6"/>
  <c r="AR236" i="6"/>
  <c r="BF196" i="6"/>
  <c r="BF153" i="6"/>
  <c r="BF145" i="6"/>
  <c r="BF120" i="6"/>
  <c r="BF104" i="6"/>
  <c r="BF185" i="6"/>
  <c r="BF139" i="6"/>
  <c r="BF168" i="6"/>
  <c r="BF160" i="6"/>
  <c r="BF200" i="6"/>
  <c r="BF156" i="6"/>
  <c r="BF149" i="6"/>
  <c r="BF216" i="6"/>
  <c r="BF213" i="6"/>
  <c r="BF192" i="6"/>
  <c r="BF108" i="6"/>
  <c r="BF92" i="6"/>
  <c r="BF218" i="6"/>
  <c r="BF215" i="6"/>
  <c r="BF212" i="6"/>
  <c r="BF172" i="6"/>
  <c r="BF101" i="6"/>
  <c r="BF211" i="6"/>
  <c r="BF103" i="6"/>
  <c r="BF95" i="6"/>
  <c r="BF61" i="6"/>
  <c r="BF35" i="6"/>
  <c r="BF83" i="6"/>
  <c r="BF124" i="6"/>
  <c r="BF100" i="6"/>
  <c r="BF164" i="6"/>
  <c r="BF86" i="6"/>
  <c r="BF42" i="6"/>
  <c r="BF81" i="6"/>
  <c r="BF31" i="6"/>
  <c r="BF113" i="6"/>
  <c r="BF143" i="6"/>
  <c r="BF39" i="6"/>
  <c r="BF228" i="6"/>
  <c r="BF129" i="6"/>
  <c r="BF111" i="6"/>
  <c r="BF227" i="6"/>
  <c r="BF226" i="6"/>
  <c r="BF210" i="6"/>
  <c r="BF230" i="6"/>
  <c r="BF147" i="6"/>
  <c r="BF117" i="6"/>
  <c r="BF229" i="6"/>
  <c r="BF225" i="6"/>
  <c r="BF58" i="6"/>
  <c r="BF148" i="6"/>
  <c r="BF208" i="6"/>
  <c r="BF188" i="6"/>
  <c r="BF131" i="6"/>
  <c r="BF62" i="6"/>
  <c r="BF30" i="6"/>
  <c r="BF23" i="6"/>
  <c r="BF54" i="6"/>
  <c r="BF32" i="6"/>
  <c r="BF177" i="6"/>
  <c r="BF173" i="6"/>
  <c r="BF96" i="6"/>
  <c r="BF34" i="6"/>
  <c r="BF16" i="6"/>
  <c r="BF189" i="6"/>
  <c r="BF74" i="6"/>
  <c r="BF197" i="6"/>
  <c r="BF144" i="6"/>
  <c r="BF112" i="6"/>
  <c r="BF38" i="6"/>
  <c r="BF14" i="6"/>
  <c r="BF116" i="6"/>
  <c r="BF209" i="6"/>
  <c r="BF46" i="6"/>
  <c r="BF137" i="6"/>
  <c r="BF50" i="6"/>
  <c r="BF19" i="6"/>
  <c r="BF67" i="6"/>
  <c r="BF184" i="6"/>
  <c r="BF40" i="6"/>
  <c r="BF64" i="6"/>
  <c r="BF224" i="6"/>
  <c r="BF141" i="6"/>
  <c r="BF69" i="6"/>
  <c r="BF27" i="6"/>
  <c r="BF89" i="6"/>
  <c r="BF36" i="6"/>
  <c r="BF12" i="6"/>
  <c r="BF7" i="6"/>
  <c r="BF79" i="6"/>
  <c r="BF235" i="6"/>
  <c r="BF5" i="6"/>
  <c r="BG5" i="6" s="1"/>
  <c r="BF68" i="6"/>
  <c r="BF51" i="6"/>
  <c r="BF70" i="6"/>
  <c r="BF82" i="6"/>
  <c r="BF118" i="6"/>
  <c r="BF142" i="6"/>
  <c r="BF57" i="6"/>
  <c r="BF84" i="6"/>
  <c r="BF157" i="6"/>
  <c r="BF75" i="6"/>
  <c r="BF73" i="6"/>
  <c r="BF21" i="6"/>
  <c r="BF41" i="6"/>
  <c r="BF98" i="6"/>
  <c r="BF77" i="6"/>
  <c r="BF187" i="6"/>
  <c r="BF198" i="6"/>
  <c r="BF128" i="6"/>
  <c r="BF178" i="6"/>
  <c r="BF94" i="6"/>
  <c r="BF26" i="6"/>
  <c r="BF222" i="6"/>
  <c r="BF53" i="6"/>
  <c r="BF99" i="6"/>
  <c r="BF28" i="6"/>
  <c r="BF60" i="6"/>
  <c r="BF91" i="6"/>
  <c r="BF181" i="6"/>
  <c r="BF87" i="6"/>
  <c r="BB236" i="6"/>
  <c r="BF183" i="6"/>
  <c r="BF170" i="6"/>
  <c r="BF159" i="6"/>
  <c r="BF174" i="6"/>
  <c r="BF25" i="6"/>
  <c r="BF10" i="6"/>
  <c r="BF201" i="6"/>
  <c r="BF13" i="6"/>
  <c r="BF8" i="6"/>
  <c r="BF85" i="6"/>
  <c r="BF45" i="6"/>
  <c r="AP235" i="5"/>
  <c r="AP221" i="5"/>
  <c r="AP205" i="5"/>
  <c r="AP220" i="5"/>
  <c r="AP214" i="5"/>
  <c r="AP230" i="5"/>
  <c r="AP219" i="5"/>
  <c r="AP213" i="5"/>
  <c r="AP125" i="5"/>
  <c r="AP106" i="5"/>
  <c r="AP229" i="5"/>
  <c r="AP233" i="5"/>
  <c r="AP204" i="5"/>
  <c r="AP218" i="5"/>
  <c r="AP100" i="5"/>
  <c r="AP96" i="5"/>
  <c r="AP92" i="5"/>
  <c r="AP88" i="5"/>
  <c r="AP84" i="5"/>
  <c r="AP81" i="5"/>
  <c r="AP234" i="5"/>
  <c r="AP146" i="5"/>
  <c r="AP73" i="5"/>
  <c r="AB235" i="5"/>
  <c r="AP217" i="5"/>
  <c r="AP120" i="5"/>
  <c r="AP145" i="5"/>
  <c r="AP138" i="5"/>
  <c r="AP112" i="5"/>
  <c r="AP165" i="5"/>
  <c r="AP69" i="5"/>
  <c r="AP129" i="5"/>
  <c r="AP118" i="5"/>
  <c r="AP99" i="5"/>
  <c r="AP124" i="5"/>
  <c r="AP227" i="5"/>
  <c r="AP212" i="5"/>
  <c r="AP175" i="5"/>
  <c r="AP101" i="5"/>
  <c r="AP75" i="5"/>
  <c r="AP226" i="5"/>
  <c r="AP211" i="5"/>
  <c r="AP155" i="5"/>
  <c r="AP77" i="5"/>
  <c r="AP70" i="5"/>
  <c r="AP209" i="5"/>
  <c r="AP65" i="5"/>
  <c r="AP55" i="5"/>
  <c r="AP30" i="5"/>
  <c r="AP23" i="5"/>
  <c r="AP6" i="5"/>
  <c r="AP22" i="5"/>
  <c r="AP97" i="5"/>
  <c r="AP46" i="5"/>
  <c r="AP179" i="5"/>
  <c r="AP34" i="5"/>
  <c r="AP67" i="5"/>
  <c r="AP53" i="5"/>
  <c r="AP19" i="5"/>
  <c r="AP116" i="5"/>
  <c r="AP72" i="5"/>
  <c r="AP10" i="5"/>
  <c r="AP41" i="5"/>
  <c r="AP63" i="5"/>
  <c r="AP25" i="5"/>
  <c r="AP11" i="5"/>
  <c r="AP139" i="5"/>
  <c r="AP111" i="5"/>
  <c r="AP64" i="5"/>
  <c r="AP74" i="5"/>
  <c r="AP87" i="5"/>
  <c r="AP57" i="5"/>
  <c r="AP51" i="5"/>
  <c r="AP228" i="5"/>
  <c r="AP193" i="5"/>
  <c r="AP123" i="5"/>
  <c r="AP93" i="5"/>
  <c r="AP38" i="5"/>
  <c r="AP210" i="5"/>
  <c r="AP107" i="5"/>
  <c r="AP143" i="5"/>
  <c r="AP27" i="5"/>
  <c r="AP133" i="5"/>
  <c r="AP126" i="5"/>
  <c r="AP14" i="5"/>
  <c r="AP17" i="5"/>
  <c r="AP7" i="5"/>
  <c r="AP163" i="5"/>
  <c r="AP52" i="5"/>
  <c r="AP49" i="5"/>
  <c r="AP207" i="5"/>
  <c r="AP86" i="5"/>
  <c r="AP196" i="5"/>
  <c r="AP117" i="5"/>
  <c r="AP206" i="5"/>
  <c r="AP176" i="5"/>
  <c r="AP199" i="5"/>
  <c r="AP90" i="5"/>
  <c r="AP62" i="5"/>
  <c r="AP159" i="5"/>
  <c r="AP183" i="5"/>
  <c r="AP66" i="5"/>
  <c r="AP48" i="5"/>
  <c r="AP68" i="5"/>
  <c r="AP79" i="5"/>
  <c r="AP147" i="5"/>
  <c r="AP114" i="5"/>
  <c r="AP201" i="5"/>
  <c r="AP232" i="5"/>
  <c r="AP208" i="5"/>
  <c r="AP132" i="5"/>
  <c r="AP152" i="5"/>
  <c r="AP222" i="5"/>
  <c r="AP134" i="5"/>
  <c r="AP168" i="5"/>
  <c r="AP136" i="5"/>
  <c r="AP109" i="5"/>
  <c r="AP32" i="5"/>
  <c r="AP60" i="5"/>
  <c r="AP20" i="5"/>
  <c r="AP58" i="5"/>
  <c r="AP61" i="5"/>
  <c r="AP29" i="5"/>
  <c r="AP9" i="5"/>
  <c r="AP200" i="5"/>
  <c r="AP33" i="5"/>
  <c r="AP47" i="5"/>
  <c r="AP18" i="5"/>
  <c r="AP80" i="5"/>
  <c r="AP45" i="5"/>
  <c r="AP50" i="5"/>
  <c r="AP156" i="5"/>
  <c r="AP127" i="5"/>
  <c r="AP185" i="5"/>
  <c r="AP95" i="5"/>
  <c r="AP119" i="5"/>
  <c r="AP203" i="5"/>
  <c r="AP16" i="5"/>
  <c r="AP83" i="5"/>
  <c r="AP8" i="5"/>
  <c r="AP131" i="5"/>
  <c r="AP91" i="5"/>
  <c r="AP171" i="5"/>
  <c r="AP103" i="5"/>
  <c r="AP54" i="5"/>
  <c r="AP166" i="5"/>
  <c r="AP154" i="5"/>
  <c r="AP59" i="5"/>
  <c r="AP169" i="5"/>
  <c r="AP140" i="5"/>
  <c r="AP190" i="5"/>
  <c r="AP189" i="5"/>
  <c r="AP43" i="5"/>
  <c r="AP31" i="5"/>
  <c r="AP128" i="5"/>
  <c r="AP170" i="5"/>
  <c r="AP153" i="5"/>
  <c r="AP198" i="5"/>
  <c r="AP184" i="5"/>
  <c r="AP98" i="5"/>
  <c r="AP188" i="5"/>
  <c r="AP12" i="5"/>
  <c r="AP150" i="5"/>
  <c r="AP202" i="5"/>
  <c r="AP141" i="5"/>
  <c r="AP122" i="5"/>
  <c r="AP78" i="5"/>
  <c r="AP71" i="5"/>
  <c r="AP110" i="5"/>
  <c r="AP104" i="5"/>
  <c r="AP158" i="5"/>
  <c r="AP161" i="5"/>
  <c r="AP144" i="5"/>
  <c r="AP115" i="5"/>
  <c r="AP181" i="5"/>
  <c r="AP89" i="5"/>
  <c r="AP76" i="5"/>
  <c r="AP121" i="5"/>
  <c r="AQ5" i="5"/>
  <c r="AP160" i="5"/>
  <c r="AP216" i="5"/>
  <c r="AP44" i="5"/>
  <c r="AP135" i="5"/>
  <c r="AP94" i="5"/>
  <c r="AP37" i="5"/>
  <c r="AP26" i="5"/>
  <c r="AP151" i="5"/>
  <c r="AP172" i="5"/>
  <c r="AP191" i="5"/>
  <c r="AP39" i="5"/>
  <c r="AP105" i="5"/>
  <c r="AP187" i="5"/>
  <c r="AP177" i="5"/>
  <c r="AP102" i="5"/>
  <c r="AP13" i="5"/>
  <c r="AP40" i="5"/>
  <c r="AP174" i="5"/>
  <c r="AP192" i="5"/>
  <c r="AP224" i="5"/>
  <c r="AP194" i="5"/>
  <c r="AP178" i="5"/>
  <c r="AP182" i="5"/>
  <c r="AP186" i="5"/>
  <c r="AP157" i="5"/>
  <c r="AP167" i="5"/>
  <c r="AP225" i="5"/>
  <c r="AP180" i="5"/>
  <c r="AP24" i="5"/>
  <c r="AP56" i="5"/>
  <c r="AP85" i="5"/>
  <c r="AP36" i="5"/>
  <c r="AP21" i="5"/>
  <c r="AP82" i="5"/>
  <c r="AP142" i="5"/>
  <c r="AP197" i="5"/>
  <c r="AP42" i="5"/>
  <c r="AP148" i="5"/>
  <c r="AP130" i="5"/>
  <c r="AP231" i="5"/>
  <c r="AP173" i="5"/>
  <c r="AP35" i="5"/>
  <c r="AP215" i="5"/>
  <c r="AP137" i="5"/>
  <c r="AP108" i="5"/>
  <c r="AP28" i="5"/>
  <c r="AP15" i="5"/>
  <c r="B63" i="12"/>
  <c r="C63" i="12"/>
  <c r="D63" i="12"/>
  <c r="B57" i="12"/>
  <c r="C57" i="12"/>
  <c r="D57" i="12"/>
  <c r="B51" i="12"/>
  <c r="C51" i="12"/>
  <c r="D51" i="12"/>
  <c r="B36" i="12"/>
  <c r="C36" i="12"/>
  <c r="D36" i="12"/>
  <c r="B30" i="12"/>
  <c r="C30" i="12"/>
  <c r="D30" i="12"/>
  <c r="B15" i="12"/>
  <c r="C15" i="12"/>
  <c r="D15" i="12"/>
  <c r="B9" i="12"/>
  <c r="C9" i="12"/>
  <c r="D9" i="12"/>
  <c r="B63" i="11"/>
  <c r="C63" i="11"/>
  <c r="D63" i="11"/>
  <c r="B51" i="11"/>
  <c r="C51" i="11"/>
  <c r="D51" i="11"/>
  <c r="B57" i="11"/>
  <c r="C57" i="11"/>
  <c r="D57" i="11"/>
  <c r="B36" i="11"/>
  <c r="C36" i="11"/>
  <c r="D36" i="11"/>
  <c r="B30" i="11"/>
  <c r="C30" i="11"/>
  <c r="D30" i="11"/>
  <c r="B15" i="11"/>
  <c r="C15" i="11"/>
  <c r="D15" i="11"/>
  <c r="B9" i="11"/>
  <c r="C9" i="11"/>
  <c r="D9" i="11"/>
  <c r="D9" i="2"/>
  <c r="E9" i="2"/>
  <c r="BG6" i="7" l="1"/>
  <c r="BG7" i="7" s="1"/>
  <c r="BG8" i="7" s="1"/>
  <c r="BG9" i="7" s="1"/>
  <c r="BG10" i="7" s="1"/>
  <c r="BG11" i="7" s="1"/>
  <c r="BG12" i="7" s="1"/>
  <c r="BG13" i="7" s="1"/>
  <c r="BG14" i="7" s="1"/>
  <c r="BG15" i="7" s="1"/>
  <c r="BG16" i="7" s="1"/>
  <c r="BG17" i="7" s="1"/>
  <c r="BG18" i="7" s="1"/>
  <c r="BG19" i="7" s="1"/>
  <c r="BG20" i="7" s="1"/>
  <c r="BG21" i="7" s="1"/>
  <c r="BG22" i="7" s="1"/>
  <c r="BG23" i="7" s="1"/>
  <c r="BG24" i="7" s="1"/>
  <c r="BG25" i="7" s="1"/>
  <c r="BG26" i="7" s="1"/>
  <c r="BG27" i="7" s="1"/>
  <c r="BG28" i="7" s="1"/>
  <c r="BG29" i="7" s="1"/>
  <c r="BG30" i="7" s="1"/>
  <c r="BG31" i="7" s="1"/>
  <c r="BG32" i="7" s="1"/>
  <c r="BG33" i="7" s="1"/>
  <c r="BG34" i="7" s="1"/>
  <c r="BG35" i="7" s="1"/>
  <c r="BG36" i="7" s="1"/>
  <c r="BG37" i="7" s="1"/>
  <c r="BG38" i="7" s="1"/>
  <c r="BG39" i="7" s="1"/>
  <c r="BG40" i="7" s="1"/>
  <c r="BG41" i="7" s="1"/>
  <c r="BG42" i="7" s="1"/>
  <c r="BG43" i="7" s="1"/>
  <c r="BG44" i="7" s="1"/>
  <c r="BG45" i="7" s="1"/>
  <c r="BG46" i="7" s="1"/>
  <c r="BG47" i="7" s="1"/>
  <c r="BG48" i="7" s="1"/>
  <c r="BG49" i="7" s="1"/>
  <c r="BG50" i="7" s="1"/>
  <c r="BG51" i="7" s="1"/>
  <c r="BG52" i="7" s="1"/>
  <c r="BG53" i="7" s="1"/>
  <c r="BG54" i="7" s="1"/>
  <c r="BG55" i="7" s="1"/>
  <c r="BG56" i="7" s="1"/>
  <c r="BG57" i="7" s="1"/>
  <c r="BG58" i="7" s="1"/>
  <c r="BG59" i="7" s="1"/>
  <c r="BG60" i="7" s="1"/>
  <c r="BG61" i="7" s="1"/>
  <c r="BG62" i="7" s="1"/>
  <c r="BG63" i="7" s="1"/>
  <c r="BG64" i="7" s="1"/>
  <c r="BG65" i="7" s="1"/>
  <c r="BG66" i="7" s="1"/>
  <c r="BG67" i="7" s="1"/>
  <c r="BG68" i="7" s="1"/>
  <c r="BG69" i="7" s="1"/>
  <c r="BG70" i="7" s="1"/>
  <c r="BG71" i="7" s="1"/>
  <c r="BG72" i="7" s="1"/>
  <c r="BG73" i="7" s="1"/>
  <c r="BG74" i="7" s="1"/>
  <c r="BG75" i="7" s="1"/>
  <c r="BG76" i="7" s="1"/>
  <c r="BG77" i="7" s="1"/>
  <c r="BG78" i="7" s="1"/>
  <c r="BG79" i="7" s="1"/>
  <c r="BG80" i="7" s="1"/>
  <c r="BG81" i="7" s="1"/>
  <c r="BG82" i="7" s="1"/>
  <c r="BG83" i="7" s="1"/>
  <c r="BG84" i="7" s="1"/>
  <c r="BG85" i="7" s="1"/>
  <c r="BG86" i="7" s="1"/>
  <c r="BG87" i="7" s="1"/>
  <c r="BG88" i="7" s="1"/>
  <c r="BG89" i="7" s="1"/>
  <c r="BG90" i="7" s="1"/>
  <c r="BG91" i="7" s="1"/>
  <c r="BG92" i="7" s="1"/>
  <c r="BG93" i="7" s="1"/>
  <c r="BG94" i="7" s="1"/>
  <c r="BG95" i="7" s="1"/>
  <c r="BG96" i="7" s="1"/>
  <c r="BG97" i="7" s="1"/>
  <c r="BG98" i="7" s="1"/>
  <c r="BG99" i="7" s="1"/>
  <c r="BG100" i="7" s="1"/>
  <c r="BG101" i="7" s="1"/>
  <c r="BG102" i="7" s="1"/>
  <c r="BG103" i="7" s="1"/>
  <c r="BG104" i="7" s="1"/>
  <c r="BG105" i="7" s="1"/>
  <c r="BG106" i="7" s="1"/>
  <c r="BG107" i="7" s="1"/>
  <c r="BG108" i="7" s="1"/>
  <c r="BG109" i="7" s="1"/>
  <c r="BG110" i="7" s="1"/>
  <c r="BG111" i="7" s="1"/>
  <c r="BG112" i="7" s="1"/>
  <c r="BG113" i="7" s="1"/>
  <c r="BG114" i="7" s="1"/>
  <c r="BG115" i="7" s="1"/>
  <c r="BG116" i="7" s="1"/>
  <c r="BG117" i="7" s="1"/>
  <c r="BG118" i="7" s="1"/>
  <c r="BG119" i="7" s="1"/>
  <c r="BG120" i="7" s="1"/>
  <c r="BG121" i="7" s="1"/>
  <c r="BG122" i="7" s="1"/>
  <c r="BG123" i="7" s="1"/>
  <c r="BG124" i="7" s="1"/>
  <c r="BG125" i="7" s="1"/>
  <c r="BG126" i="7" s="1"/>
  <c r="BG127" i="7" s="1"/>
  <c r="BG128" i="7" s="1"/>
  <c r="BG129" i="7" s="1"/>
  <c r="BG130" i="7" s="1"/>
  <c r="BG131" i="7" s="1"/>
  <c r="BG132" i="7" s="1"/>
  <c r="BG133" i="7" s="1"/>
  <c r="BG134" i="7" s="1"/>
  <c r="BG135" i="7" s="1"/>
  <c r="BG136" i="7" s="1"/>
  <c r="BG137" i="7" s="1"/>
  <c r="BG138" i="7" s="1"/>
  <c r="BG139" i="7" s="1"/>
  <c r="BG140" i="7" s="1"/>
  <c r="BG141" i="7" s="1"/>
  <c r="BG142" i="7" s="1"/>
  <c r="BG143" i="7" s="1"/>
  <c r="BG144" i="7" s="1"/>
  <c r="BG145" i="7" s="1"/>
  <c r="BG146" i="7" s="1"/>
  <c r="BG147" i="7" s="1"/>
  <c r="BG148" i="7" s="1"/>
  <c r="BG149" i="7" s="1"/>
  <c r="BG150" i="7" s="1"/>
  <c r="BG151" i="7" s="1"/>
  <c r="BG152" i="7" s="1"/>
  <c r="BG153" i="7" s="1"/>
  <c r="BG154" i="7" s="1"/>
  <c r="BG155" i="7" s="1"/>
  <c r="BG156" i="7" s="1"/>
  <c r="BG157" i="7" s="1"/>
  <c r="BG158" i="7" s="1"/>
  <c r="BG159" i="7" s="1"/>
  <c r="BG160" i="7" s="1"/>
  <c r="BG161" i="7" s="1"/>
  <c r="BG162" i="7" s="1"/>
  <c r="BG163" i="7" s="1"/>
  <c r="BG164" i="7" s="1"/>
  <c r="BG165" i="7" s="1"/>
  <c r="BG166" i="7" s="1"/>
  <c r="BG167" i="7" s="1"/>
  <c r="BG168" i="7" s="1"/>
  <c r="BG169" i="7" s="1"/>
  <c r="BG170" i="7" s="1"/>
  <c r="BG171" i="7" s="1"/>
  <c r="BG172" i="7" s="1"/>
  <c r="BG173" i="7" s="1"/>
  <c r="BG174" i="7" s="1"/>
  <c r="BG175" i="7" s="1"/>
  <c r="BG176" i="7" s="1"/>
  <c r="BG177" i="7" s="1"/>
  <c r="BG178" i="7" s="1"/>
  <c r="BG179" i="7" s="1"/>
  <c r="BG180" i="7" s="1"/>
  <c r="BG181" i="7" s="1"/>
  <c r="BG182" i="7" s="1"/>
  <c r="BG183" i="7" s="1"/>
  <c r="BG184" i="7" s="1"/>
  <c r="BG185" i="7" s="1"/>
  <c r="BG186" i="7" s="1"/>
  <c r="BG187" i="7" s="1"/>
  <c r="BG188" i="7" s="1"/>
  <c r="BG189" i="7" s="1"/>
  <c r="BG190" i="7" s="1"/>
  <c r="BG191" i="7" s="1"/>
  <c r="BG192" i="7" s="1"/>
  <c r="BG193" i="7" s="1"/>
  <c r="BG194" i="7" s="1"/>
  <c r="BG195" i="7" s="1"/>
  <c r="BG196" i="7" s="1"/>
  <c r="BG197" i="7" s="1"/>
  <c r="BG198" i="7" s="1"/>
  <c r="BG199" i="7" s="1"/>
  <c r="BG200" i="7" s="1"/>
  <c r="BG201" i="7" s="1"/>
  <c r="BG202" i="7" s="1"/>
  <c r="BG203" i="7" s="1"/>
  <c r="BG204" i="7" s="1"/>
  <c r="BG205" i="7" s="1"/>
  <c r="BG206" i="7" s="1"/>
  <c r="BG207" i="7" s="1"/>
  <c r="BG208" i="7" s="1"/>
  <c r="BG209" i="7" s="1"/>
  <c r="BG210" i="7" s="1"/>
  <c r="BG211" i="7" s="1"/>
  <c r="BG212" i="7" s="1"/>
  <c r="BG213" i="7" s="1"/>
  <c r="BG214" i="7" s="1"/>
  <c r="BG215" i="7" s="1"/>
  <c r="BG216" i="7" s="1"/>
  <c r="BG217" i="7" s="1"/>
  <c r="BG218" i="7" s="1"/>
  <c r="BG219" i="7" s="1"/>
  <c r="BG220" i="7" s="1"/>
  <c r="BG221" i="7" s="1"/>
  <c r="BG222" i="7" s="1"/>
  <c r="BG223" i="7" s="1"/>
  <c r="BG224" i="7" s="1"/>
  <c r="BG225" i="7" s="1"/>
  <c r="BG226" i="7" s="1"/>
  <c r="BG227" i="7" s="1"/>
  <c r="BG228" i="7" s="1"/>
  <c r="BG229" i="7" s="1"/>
  <c r="BG230" i="7" s="1"/>
  <c r="BG231" i="7" s="1"/>
  <c r="BG232" i="7" s="1"/>
  <c r="BG233" i="7" s="1"/>
  <c r="BG234" i="7" s="1"/>
  <c r="BG235" i="7" s="1"/>
  <c r="BG236" i="7" s="1"/>
  <c r="BG237" i="7" s="1"/>
  <c r="BG238" i="7" s="1"/>
  <c r="BG239" i="7" s="1"/>
  <c r="BG240" i="7" s="1"/>
  <c r="BG241" i="7" s="1"/>
  <c r="BG242" i="7" s="1"/>
  <c r="BG243" i="7" s="1"/>
  <c r="BG244" i="7" s="1"/>
  <c r="BG245" i="7" s="1"/>
  <c r="BG246" i="7" s="1"/>
  <c r="BG247" i="7" s="1"/>
  <c r="BG248" i="7" s="1"/>
  <c r="BG249" i="7" s="1"/>
  <c r="BG250" i="7" s="1"/>
  <c r="BG251" i="7" s="1"/>
  <c r="BG252" i="7" s="1"/>
  <c r="BG253" i="7" s="1"/>
  <c r="BG254" i="7" s="1"/>
  <c r="BG255" i="7" s="1"/>
  <c r="BG6" i="6"/>
  <c r="BG7" i="6" s="1"/>
  <c r="BG8" i="6" s="1"/>
  <c r="BG9" i="6" s="1"/>
  <c r="BG10" i="6" s="1"/>
  <c r="BG11" i="6" s="1"/>
  <c r="BG12" i="6" s="1"/>
  <c r="BG13" i="6" s="1"/>
  <c r="BG14" i="6" s="1"/>
  <c r="BG15" i="6" s="1"/>
  <c r="BG16" i="6" s="1"/>
  <c r="BG17" i="6" s="1"/>
  <c r="BG18" i="6" s="1"/>
  <c r="BG19" i="6" s="1"/>
  <c r="BG20" i="6" s="1"/>
  <c r="BG21" i="6" s="1"/>
  <c r="BG22" i="6" s="1"/>
  <c r="BG23" i="6" s="1"/>
  <c r="BG24" i="6" s="1"/>
  <c r="BG25" i="6" s="1"/>
  <c r="BG26" i="6" s="1"/>
  <c r="BG27" i="6" s="1"/>
  <c r="BG28" i="6" s="1"/>
  <c r="BG29" i="6" s="1"/>
  <c r="BG30" i="6" s="1"/>
  <c r="BG31" i="6" s="1"/>
  <c r="BG32" i="6" s="1"/>
  <c r="BG33" i="6" s="1"/>
  <c r="BG34" i="6" s="1"/>
  <c r="BG35" i="6" s="1"/>
  <c r="BG36" i="6" s="1"/>
  <c r="BG37" i="6" s="1"/>
  <c r="BG38" i="6" s="1"/>
  <c r="BG39" i="6" s="1"/>
  <c r="BG40" i="6" s="1"/>
  <c r="BG41" i="6" s="1"/>
  <c r="BG42" i="6" s="1"/>
  <c r="BG43" i="6" s="1"/>
  <c r="BG44" i="6" s="1"/>
  <c r="BG45" i="6" s="1"/>
  <c r="BG46" i="6" s="1"/>
  <c r="BG47" i="6" s="1"/>
  <c r="BG48" i="6" s="1"/>
  <c r="BG49" i="6" s="1"/>
  <c r="BG50" i="6" s="1"/>
  <c r="BG51" i="6" s="1"/>
  <c r="BG52" i="6" s="1"/>
  <c r="BG53" i="6" s="1"/>
  <c r="BG54" i="6" s="1"/>
  <c r="BG55" i="6" s="1"/>
  <c r="BG56" i="6" s="1"/>
  <c r="BG57" i="6" s="1"/>
  <c r="BG58" i="6" s="1"/>
  <c r="BG59" i="6" s="1"/>
  <c r="BG60" i="6" s="1"/>
  <c r="BG61" i="6" s="1"/>
  <c r="BG62" i="6" s="1"/>
  <c r="BG63" i="6" s="1"/>
  <c r="BG64" i="6" s="1"/>
  <c r="BG65" i="6" s="1"/>
  <c r="BG66" i="6" s="1"/>
  <c r="BG67" i="6" s="1"/>
  <c r="BG68" i="6" s="1"/>
  <c r="BG69" i="6" s="1"/>
  <c r="BG70" i="6" s="1"/>
  <c r="BG71" i="6" s="1"/>
  <c r="BG72" i="6" s="1"/>
  <c r="BG73" i="6" s="1"/>
  <c r="BG74" i="6" s="1"/>
  <c r="BG75" i="6" s="1"/>
  <c r="BG76" i="6" s="1"/>
  <c r="BG77" i="6" s="1"/>
  <c r="BG78" i="6" s="1"/>
  <c r="BG79" i="6" s="1"/>
  <c r="BG80" i="6" s="1"/>
  <c r="BG81" i="6" s="1"/>
  <c r="BG82" i="6" s="1"/>
  <c r="BG83" i="6" s="1"/>
  <c r="BG84" i="6" s="1"/>
  <c r="BG85" i="6" s="1"/>
  <c r="BG86" i="6" s="1"/>
  <c r="BG87" i="6" s="1"/>
  <c r="BG88" i="6" s="1"/>
  <c r="BG89" i="6" s="1"/>
  <c r="BG90" i="6" s="1"/>
  <c r="BG91" i="6" s="1"/>
  <c r="BG92" i="6" s="1"/>
  <c r="BG93" i="6" s="1"/>
  <c r="BG94" i="6" s="1"/>
  <c r="BG95" i="6" s="1"/>
  <c r="BG96" i="6" s="1"/>
  <c r="BG97" i="6" s="1"/>
  <c r="BG98" i="6" s="1"/>
  <c r="BG99" i="6" s="1"/>
  <c r="BG100" i="6" s="1"/>
  <c r="BG101" i="6" s="1"/>
  <c r="BG102" i="6" s="1"/>
  <c r="BG103" i="6" s="1"/>
  <c r="BG104" i="6" s="1"/>
  <c r="BG105" i="6" s="1"/>
  <c r="BG106" i="6" s="1"/>
  <c r="BG107" i="6" s="1"/>
  <c r="BG108" i="6" s="1"/>
  <c r="BG109" i="6" s="1"/>
  <c r="BG110" i="6" s="1"/>
  <c r="BG111" i="6" s="1"/>
  <c r="BG112" i="6" s="1"/>
  <c r="BG113" i="6" s="1"/>
  <c r="BG114" i="6" s="1"/>
  <c r="BG115" i="6" s="1"/>
  <c r="BG116" i="6" s="1"/>
  <c r="BG117" i="6" s="1"/>
  <c r="BG118" i="6" s="1"/>
  <c r="BG119" i="6" s="1"/>
  <c r="BG120" i="6" s="1"/>
  <c r="BG121" i="6" s="1"/>
  <c r="BG122" i="6" s="1"/>
  <c r="BG123" i="6" s="1"/>
  <c r="BG124" i="6" s="1"/>
  <c r="BG125" i="6" s="1"/>
  <c r="BG126" i="6" s="1"/>
  <c r="BG127" i="6" s="1"/>
  <c r="BG128" i="6" s="1"/>
  <c r="BG129" i="6" s="1"/>
  <c r="BG130" i="6" s="1"/>
  <c r="BG131" i="6" s="1"/>
  <c r="BG132" i="6" s="1"/>
  <c r="BG133" i="6" s="1"/>
  <c r="BG134" i="6" s="1"/>
  <c r="BG135" i="6" s="1"/>
  <c r="BG136" i="6" s="1"/>
  <c r="BG137" i="6" s="1"/>
  <c r="BG138" i="6" s="1"/>
  <c r="BG139" i="6" s="1"/>
  <c r="BG140" i="6" s="1"/>
  <c r="BG141" i="6" s="1"/>
  <c r="BG142" i="6" s="1"/>
  <c r="BG143" i="6" s="1"/>
  <c r="BG144" i="6" s="1"/>
  <c r="BG145" i="6" s="1"/>
  <c r="BG146" i="6" s="1"/>
  <c r="BG147" i="6" s="1"/>
  <c r="BG148" i="6" s="1"/>
  <c r="BG149" i="6" s="1"/>
  <c r="BG150" i="6" s="1"/>
  <c r="BG151" i="6" s="1"/>
  <c r="BG152" i="6" s="1"/>
  <c r="BG153" i="6" s="1"/>
  <c r="BG154" i="6" s="1"/>
  <c r="BG155" i="6" s="1"/>
  <c r="BG156" i="6" s="1"/>
  <c r="BG157" i="6" s="1"/>
  <c r="BG158" i="6" s="1"/>
  <c r="BG159" i="6" s="1"/>
  <c r="BG160" i="6" s="1"/>
  <c r="BG161" i="6" s="1"/>
  <c r="BG162" i="6" s="1"/>
  <c r="BG163" i="6" s="1"/>
  <c r="BG164" i="6" s="1"/>
  <c r="BG165" i="6" s="1"/>
  <c r="BG166" i="6" s="1"/>
  <c r="BG167" i="6" s="1"/>
  <c r="BG168" i="6" s="1"/>
  <c r="BG169" i="6" s="1"/>
  <c r="BG170" i="6" s="1"/>
  <c r="BG171" i="6" s="1"/>
  <c r="BG172" i="6" s="1"/>
  <c r="BG173" i="6" s="1"/>
  <c r="BG174" i="6" s="1"/>
  <c r="BG175" i="6" s="1"/>
  <c r="BG176" i="6" s="1"/>
  <c r="BG177" i="6" s="1"/>
  <c r="BG178" i="6" s="1"/>
  <c r="BG179" i="6" s="1"/>
  <c r="BG180" i="6" s="1"/>
  <c r="BG181" i="6" s="1"/>
  <c r="BG182" i="6" s="1"/>
  <c r="BG183" i="6" s="1"/>
  <c r="BG184" i="6" s="1"/>
  <c r="BG185" i="6" s="1"/>
  <c r="BG186" i="6" s="1"/>
  <c r="BG187" i="6" s="1"/>
  <c r="BG188" i="6" s="1"/>
  <c r="BG189" i="6" s="1"/>
  <c r="BG190" i="6" s="1"/>
  <c r="BG191" i="6" s="1"/>
  <c r="BG192" i="6" s="1"/>
  <c r="BG193" i="6" s="1"/>
  <c r="BG194" i="6" s="1"/>
  <c r="BG195" i="6" s="1"/>
  <c r="BG196" i="6" s="1"/>
  <c r="BG197" i="6" s="1"/>
  <c r="BG198" i="6" s="1"/>
  <c r="BG199" i="6" s="1"/>
  <c r="BG200" i="6" s="1"/>
  <c r="BG201" i="6" s="1"/>
  <c r="BG202" i="6" s="1"/>
  <c r="BG203" i="6" s="1"/>
  <c r="BG204" i="6" s="1"/>
  <c r="BG205" i="6" s="1"/>
  <c r="BG206" i="6" s="1"/>
  <c r="BG207" i="6" s="1"/>
  <c r="BG208" i="6" s="1"/>
  <c r="BG209" i="6" s="1"/>
  <c r="BG210" i="6" s="1"/>
  <c r="BG211" i="6" s="1"/>
  <c r="BG212" i="6" s="1"/>
  <c r="BG213" i="6" s="1"/>
  <c r="BG214" i="6" s="1"/>
  <c r="BG215" i="6" s="1"/>
  <c r="BG216" i="6" s="1"/>
  <c r="BG217" i="6" s="1"/>
  <c r="BG218" i="6" s="1"/>
  <c r="BG219" i="6" s="1"/>
  <c r="BG220" i="6" s="1"/>
  <c r="BG221" i="6" s="1"/>
  <c r="BG222" i="6" s="1"/>
  <c r="BG223" i="6" s="1"/>
  <c r="BG224" i="6" s="1"/>
  <c r="BG225" i="6" s="1"/>
  <c r="BG226" i="6" s="1"/>
  <c r="BG227" i="6" s="1"/>
  <c r="BG228" i="6" s="1"/>
  <c r="BG229" i="6" s="1"/>
  <c r="BG230" i="6" s="1"/>
  <c r="BG231" i="6" s="1"/>
  <c r="BG232" i="6" s="1"/>
  <c r="BG233" i="6" s="1"/>
  <c r="BG234" i="6" s="1"/>
  <c r="BG235" i="6" s="1"/>
  <c r="AQ6" i="5"/>
  <c r="AQ7" i="5" s="1"/>
  <c r="AQ8" i="5" s="1"/>
  <c r="AQ9" i="5" s="1"/>
  <c r="AQ10" i="5" s="1"/>
  <c r="AQ11" i="5" s="1"/>
  <c r="AQ12" i="5" s="1"/>
  <c r="AQ13" i="5" s="1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Q48" i="5" s="1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AQ77" i="5" s="1"/>
  <c r="AQ78" i="5" s="1"/>
  <c r="AQ79" i="5" s="1"/>
  <c r="AQ80" i="5" s="1"/>
  <c r="AQ81" i="5" s="1"/>
  <c r="AQ82" i="5" s="1"/>
  <c r="AQ83" i="5" s="1"/>
  <c r="AQ84" i="5" s="1"/>
  <c r="AQ85" i="5" s="1"/>
  <c r="AQ86" i="5" s="1"/>
  <c r="AQ87" i="5" s="1"/>
  <c r="AQ88" i="5" s="1"/>
  <c r="AQ89" i="5" s="1"/>
  <c r="AQ90" i="5" s="1"/>
  <c r="AQ91" i="5" s="1"/>
  <c r="AQ92" i="5" s="1"/>
  <c r="AQ93" i="5" s="1"/>
  <c r="AQ94" i="5" s="1"/>
  <c r="AQ95" i="5" s="1"/>
  <c r="AQ96" i="5" s="1"/>
  <c r="AQ97" i="5" s="1"/>
  <c r="AQ98" i="5" s="1"/>
  <c r="AQ99" i="5" s="1"/>
  <c r="AQ100" i="5" s="1"/>
  <c r="AQ101" i="5" s="1"/>
  <c r="AQ102" i="5" s="1"/>
  <c r="AQ103" i="5" s="1"/>
  <c r="AQ104" i="5" s="1"/>
  <c r="AQ105" i="5" s="1"/>
  <c r="AQ106" i="5" s="1"/>
  <c r="AQ107" i="5" s="1"/>
  <c r="AQ108" i="5" s="1"/>
  <c r="AQ109" i="5" s="1"/>
  <c r="AQ110" i="5" s="1"/>
  <c r="AQ111" i="5" s="1"/>
  <c r="AQ112" i="5" s="1"/>
  <c r="AQ113" i="5" s="1"/>
  <c r="AQ114" i="5" s="1"/>
  <c r="AQ115" i="5" s="1"/>
  <c r="AQ116" i="5" s="1"/>
  <c r="AQ117" i="5" s="1"/>
  <c r="AQ118" i="5" s="1"/>
  <c r="AQ119" i="5" s="1"/>
  <c r="AQ120" i="5" s="1"/>
  <c r="AQ121" i="5" s="1"/>
  <c r="AQ122" i="5" s="1"/>
  <c r="AQ123" i="5" s="1"/>
  <c r="AQ124" i="5" s="1"/>
  <c r="AQ125" i="5" s="1"/>
  <c r="AQ126" i="5" s="1"/>
  <c r="AQ127" i="5" s="1"/>
  <c r="AQ128" i="5" s="1"/>
  <c r="AQ129" i="5" s="1"/>
  <c r="AQ130" i="5" s="1"/>
  <c r="AQ131" i="5" s="1"/>
  <c r="AQ132" i="5" s="1"/>
  <c r="AQ133" i="5" s="1"/>
  <c r="AQ134" i="5" s="1"/>
  <c r="AQ135" i="5" s="1"/>
  <c r="AQ136" i="5" s="1"/>
  <c r="AQ137" i="5" s="1"/>
  <c r="AQ138" i="5" s="1"/>
  <c r="AQ139" i="5" s="1"/>
  <c r="AQ140" i="5" s="1"/>
  <c r="AQ141" i="5" s="1"/>
  <c r="AQ142" i="5" s="1"/>
  <c r="AQ143" i="5" s="1"/>
  <c r="AQ144" i="5" s="1"/>
  <c r="AQ145" i="5" s="1"/>
  <c r="AQ146" i="5" s="1"/>
  <c r="AQ147" i="5" s="1"/>
  <c r="AQ148" i="5" s="1"/>
  <c r="AQ149" i="5" s="1"/>
  <c r="AQ150" i="5" s="1"/>
  <c r="AQ151" i="5" s="1"/>
  <c r="AQ152" i="5" s="1"/>
  <c r="AQ153" i="5" s="1"/>
  <c r="AQ154" i="5" s="1"/>
  <c r="AQ155" i="5" s="1"/>
  <c r="AQ156" i="5" s="1"/>
  <c r="AQ157" i="5" s="1"/>
  <c r="AQ158" i="5" s="1"/>
  <c r="AQ159" i="5" s="1"/>
  <c r="AQ160" i="5" s="1"/>
  <c r="AQ161" i="5" s="1"/>
  <c r="AQ162" i="5" s="1"/>
  <c r="AQ163" i="5" s="1"/>
  <c r="AQ164" i="5" s="1"/>
  <c r="AQ165" i="5" s="1"/>
  <c r="AQ166" i="5" s="1"/>
  <c r="AQ167" i="5" s="1"/>
  <c r="AQ168" i="5" s="1"/>
  <c r="AQ169" i="5" s="1"/>
  <c r="AQ170" i="5" s="1"/>
  <c r="AQ171" i="5" s="1"/>
  <c r="AQ172" i="5" s="1"/>
  <c r="AQ173" i="5" s="1"/>
  <c r="AQ174" i="5" s="1"/>
  <c r="AQ175" i="5" s="1"/>
  <c r="AQ176" i="5" s="1"/>
  <c r="AQ177" i="5" s="1"/>
  <c r="AQ178" i="5" s="1"/>
  <c r="AQ179" i="5" s="1"/>
  <c r="AQ180" i="5" s="1"/>
  <c r="AQ181" i="5" s="1"/>
  <c r="AQ182" i="5" s="1"/>
  <c r="AQ183" i="5" s="1"/>
  <c r="AQ184" i="5" s="1"/>
  <c r="AQ185" i="5" s="1"/>
  <c r="AQ186" i="5" s="1"/>
  <c r="AQ187" i="5" s="1"/>
  <c r="AQ188" i="5" s="1"/>
  <c r="AQ189" i="5" s="1"/>
  <c r="AQ190" i="5" s="1"/>
  <c r="AQ191" i="5" s="1"/>
  <c r="AQ192" i="5" s="1"/>
  <c r="AQ193" i="5" s="1"/>
  <c r="AQ194" i="5" s="1"/>
  <c r="AQ195" i="5" s="1"/>
  <c r="AQ196" i="5" s="1"/>
  <c r="AQ197" i="5" s="1"/>
  <c r="AQ198" i="5" s="1"/>
  <c r="AQ199" i="5" s="1"/>
  <c r="AQ200" i="5" s="1"/>
  <c r="AQ201" i="5" s="1"/>
  <c r="AQ202" i="5" s="1"/>
  <c r="AQ203" i="5" s="1"/>
  <c r="AQ204" i="5" s="1"/>
  <c r="AQ205" i="5" s="1"/>
  <c r="AQ206" i="5" s="1"/>
  <c r="AQ207" i="5" s="1"/>
  <c r="AQ208" i="5" s="1"/>
  <c r="AQ209" i="5" s="1"/>
  <c r="AQ210" i="5" s="1"/>
  <c r="AQ211" i="5" s="1"/>
  <c r="AQ212" i="5" s="1"/>
  <c r="AQ213" i="5" s="1"/>
  <c r="AQ214" i="5" s="1"/>
  <c r="AQ215" i="5" s="1"/>
  <c r="AQ216" i="5" s="1"/>
  <c r="AQ217" i="5" s="1"/>
  <c r="AQ218" i="5" s="1"/>
  <c r="AQ219" i="5" s="1"/>
  <c r="AQ220" i="5" s="1"/>
  <c r="AQ221" i="5" s="1"/>
  <c r="AQ222" i="5" s="1"/>
  <c r="AQ223" i="5" s="1"/>
  <c r="AQ224" i="5" s="1"/>
  <c r="AQ225" i="5" s="1"/>
  <c r="AQ226" i="5" s="1"/>
  <c r="AQ227" i="5" s="1"/>
  <c r="AQ228" i="5" s="1"/>
  <c r="AQ229" i="5" s="1"/>
  <c r="AQ230" i="5" s="1"/>
  <c r="AQ231" i="5" s="1"/>
  <c r="AQ232" i="5" s="1"/>
  <c r="AQ233" i="5" s="1"/>
  <c r="AQ234" i="5" s="1"/>
  <c r="D32" i="2"/>
  <c r="D26" i="2"/>
  <c r="C26" i="2"/>
  <c r="C66" i="11" l="1"/>
  <c r="L17" i="13" l="1"/>
  <c r="L15" i="13"/>
  <c r="K15" i="13" s="1"/>
  <c r="L10" i="13"/>
  <c r="C10" i="13" s="1"/>
  <c r="L8" i="13"/>
  <c r="I8" i="13" s="1"/>
  <c r="K17" i="13" l="1"/>
  <c r="E17" i="13"/>
  <c r="E10" i="13"/>
  <c r="C15" i="13"/>
  <c r="E15" i="13"/>
  <c r="G15" i="13"/>
  <c r="G10" i="13"/>
  <c r="I10" i="13"/>
  <c r="G8" i="13"/>
  <c r="K8" i="13"/>
  <c r="G17" i="13"/>
  <c r="K10" i="13"/>
  <c r="I17" i="13"/>
  <c r="I15" i="13"/>
  <c r="C8" i="13"/>
  <c r="E8" i="13"/>
  <c r="C17" i="13"/>
  <c r="E63" i="12" l="1"/>
  <c r="F63" i="12"/>
  <c r="G63" i="12"/>
  <c r="H63" i="12"/>
  <c r="I63" i="12"/>
  <c r="J63" i="12"/>
  <c r="K63" i="12"/>
  <c r="L63" i="12"/>
  <c r="M63" i="12"/>
  <c r="B69" i="12"/>
  <c r="E57" i="12"/>
  <c r="F57" i="12"/>
  <c r="G57" i="12"/>
  <c r="H57" i="12"/>
  <c r="I57" i="12"/>
  <c r="J57" i="12"/>
  <c r="K57" i="12"/>
  <c r="L57" i="12"/>
  <c r="M57" i="12"/>
  <c r="E51" i="12"/>
  <c r="F51" i="12"/>
  <c r="G51" i="12"/>
  <c r="H51" i="12"/>
  <c r="I51" i="12"/>
  <c r="J51" i="12"/>
  <c r="K51" i="12"/>
  <c r="L51" i="12"/>
  <c r="M51" i="12"/>
  <c r="E36" i="12"/>
  <c r="F36" i="12"/>
  <c r="G36" i="12"/>
  <c r="H36" i="12"/>
  <c r="I36" i="12"/>
  <c r="J36" i="12"/>
  <c r="K36" i="12"/>
  <c r="L36" i="12"/>
  <c r="M36" i="12"/>
  <c r="C42" i="12"/>
  <c r="P36" i="12" s="1"/>
  <c r="D42" i="12"/>
  <c r="Q36" i="12" s="1"/>
  <c r="E30" i="12"/>
  <c r="F30" i="12"/>
  <c r="G30" i="12"/>
  <c r="H30" i="12"/>
  <c r="I30" i="12"/>
  <c r="J30" i="12"/>
  <c r="K30" i="12"/>
  <c r="L30" i="12"/>
  <c r="M30" i="12"/>
  <c r="E15" i="12"/>
  <c r="F15" i="12"/>
  <c r="G15" i="12"/>
  <c r="H15" i="12"/>
  <c r="I15" i="12"/>
  <c r="J15" i="12"/>
  <c r="K15" i="12"/>
  <c r="L15" i="12"/>
  <c r="M15" i="12"/>
  <c r="C21" i="12"/>
  <c r="P9" i="12" s="1"/>
  <c r="E9" i="12"/>
  <c r="F9" i="12"/>
  <c r="G9" i="12"/>
  <c r="H9" i="12"/>
  <c r="I9" i="12"/>
  <c r="J9" i="12"/>
  <c r="K9" i="12"/>
  <c r="L9" i="12"/>
  <c r="M9" i="12"/>
  <c r="A1" i="12"/>
  <c r="E63" i="11"/>
  <c r="F63" i="11"/>
  <c r="G63" i="11"/>
  <c r="H63" i="11"/>
  <c r="I63" i="11"/>
  <c r="J63" i="11"/>
  <c r="K63" i="11"/>
  <c r="L63" i="11"/>
  <c r="M63" i="11"/>
  <c r="E57" i="11"/>
  <c r="F57" i="11"/>
  <c r="F69" i="11" s="1"/>
  <c r="S63" i="11" s="1"/>
  <c r="G57" i="11"/>
  <c r="H57" i="11"/>
  <c r="I57" i="11"/>
  <c r="J57" i="11"/>
  <c r="K57" i="11"/>
  <c r="L57" i="11"/>
  <c r="M57" i="11"/>
  <c r="D69" i="11"/>
  <c r="Q57" i="11" s="1"/>
  <c r="E51" i="11"/>
  <c r="F51" i="11"/>
  <c r="G51" i="11"/>
  <c r="H51" i="11"/>
  <c r="I51" i="11"/>
  <c r="J51" i="11"/>
  <c r="K51" i="11"/>
  <c r="L51" i="11"/>
  <c r="M51" i="11"/>
  <c r="E36" i="11"/>
  <c r="F36" i="11"/>
  <c r="G36" i="11"/>
  <c r="H36" i="11"/>
  <c r="I36" i="11"/>
  <c r="J36" i="11"/>
  <c r="K36" i="11"/>
  <c r="L36" i="11"/>
  <c r="M36" i="11"/>
  <c r="C42" i="11"/>
  <c r="P36" i="11" s="1"/>
  <c r="E30" i="11"/>
  <c r="F30" i="11"/>
  <c r="G30" i="11"/>
  <c r="H30" i="11"/>
  <c r="I30" i="11"/>
  <c r="J30" i="11"/>
  <c r="K30" i="11"/>
  <c r="L30" i="11"/>
  <c r="M30" i="11"/>
  <c r="E15" i="11"/>
  <c r="F15" i="11"/>
  <c r="G15" i="11"/>
  <c r="H15" i="11"/>
  <c r="I15" i="11"/>
  <c r="J15" i="11"/>
  <c r="K15" i="11"/>
  <c r="L15" i="11"/>
  <c r="M15" i="11"/>
  <c r="E9" i="11"/>
  <c r="F9" i="11"/>
  <c r="G9" i="11"/>
  <c r="H9" i="11"/>
  <c r="I9" i="11"/>
  <c r="J9" i="11"/>
  <c r="K9" i="11"/>
  <c r="L9" i="11"/>
  <c r="M9" i="11"/>
  <c r="C69" i="12"/>
  <c r="P63" i="12" s="1"/>
  <c r="M68" i="12"/>
  <c r="Z62" i="12" s="1"/>
  <c r="L68" i="12"/>
  <c r="Y62" i="12" s="1"/>
  <c r="K68" i="12"/>
  <c r="X50" i="12" s="1"/>
  <c r="J68" i="12"/>
  <c r="W62" i="12" s="1"/>
  <c r="I68" i="12"/>
  <c r="V62" i="12" s="1"/>
  <c r="H68" i="12"/>
  <c r="U62" i="12" s="1"/>
  <c r="G68" i="12"/>
  <c r="T62" i="12" s="1"/>
  <c r="F68" i="12"/>
  <c r="S62" i="12" s="1"/>
  <c r="E68" i="12"/>
  <c r="R62" i="12" s="1"/>
  <c r="D68" i="12"/>
  <c r="Q62" i="12" s="1"/>
  <c r="C68" i="12"/>
  <c r="P62" i="12" s="1"/>
  <c r="B68" i="12"/>
  <c r="O62" i="12" s="1"/>
  <c r="M67" i="12"/>
  <c r="Z61" i="12" s="1"/>
  <c r="L67" i="12"/>
  <c r="Y61" i="12" s="1"/>
  <c r="K67" i="12"/>
  <c r="X61" i="12" s="1"/>
  <c r="J67" i="12"/>
  <c r="W61" i="12" s="1"/>
  <c r="I67" i="12"/>
  <c r="V55" i="12" s="1"/>
  <c r="H67" i="12"/>
  <c r="U61" i="12" s="1"/>
  <c r="G67" i="12"/>
  <c r="T55" i="12" s="1"/>
  <c r="F67" i="12"/>
  <c r="S55" i="12" s="1"/>
  <c r="E67" i="12"/>
  <c r="R55" i="12" s="1"/>
  <c r="D67" i="12"/>
  <c r="Q55" i="12" s="1"/>
  <c r="C67" i="12"/>
  <c r="P55" i="12" s="1"/>
  <c r="B67" i="12"/>
  <c r="O49" i="12" s="1"/>
  <c r="M66" i="12"/>
  <c r="Z48" i="12" s="1"/>
  <c r="L66" i="12"/>
  <c r="Y60" i="12" s="1"/>
  <c r="K66" i="12"/>
  <c r="X48" i="12" s="1"/>
  <c r="J66" i="12"/>
  <c r="W48" i="12" s="1"/>
  <c r="I66" i="12"/>
  <c r="V60" i="12" s="1"/>
  <c r="H66" i="12"/>
  <c r="U54" i="12" s="1"/>
  <c r="G66" i="12"/>
  <c r="T60" i="12" s="1"/>
  <c r="F66" i="12"/>
  <c r="S60" i="12" s="1"/>
  <c r="E66" i="12"/>
  <c r="R60" i="12" s="1"/>
  <c r="D66" i="12"/>
  <c r="Q60" i="12" s="1"/>
  <c r="C66" i="12"/>
  <c r="P60" i="12" s="1"/>
  <c r="O60" i="12"/>
  <c r="M41" i="12"/>
  <c r="Z29" i="12" s="1"/>
  <c r="L41" i="12"/>
  <c r="Y29" i="12" s="1"/>
  <c r="K41" i="12"/>
  <c r="X35" i="12" s="1"/>
  <c r="J41" i="12"/>
  <c r="W35" i="12" s="1"/>
  <c r="I41" i="12"/>
  <c r="V35" i="12" s="1"/>
  <c r="H41" i="12"/>
  <c r="U35" i="12" s="1"/>
  <c r="G41" i="12"/>
  <c r="T29" i="12" s="1"/>
  <c r="F41" i="12"/>
  <c r="S35" i="12" s="1"/>
  <c r="E41" i="12"/>
  <c r="R35" i="12" s="1"/>
  <c r="D41" i="12"/>
  <c r="Q35" i="12" s="1"/>
  <c r="C41" i="12"/>
  <c r="P35" i="12" s="1"/>
  <c r="B41" i="12"/>
  <c r="O35" i="12" s="1"/>
  <c r="M40" i="12"/>
  <c r="Z34" i="12" s="1"/>
  <c r="L40" i="12"/>
  <c r="Y34" i="12" s="1"/>
  <c r="K40" i="12"/>
  <c r="X34" i="12" s="1"/>
  <c r="J40" i="12"/>
  <c r="W34" i="12" s="1"/>
  <c r="I40" i="12"/>
  <c r="V28" i="12" s="1"/>
  <c r="H40" i="12"/>
  <c r="U28" i="12" s="1"/>
  <c r="G40" i="12"/>
  <c r="T34" i="12" s="1"/>
  <c r="F40" i="12"/>
  <c r="S34" i="12" s="1"/>
  <c r="E40" i="12"/>
  <c r="R34" i="12" s="1"/>
  <c r="D40" i="12"/>
  <c r="Q34" i="12" s="1"/>
  <c r="C40" i="12"/>
  <c r="P34" i="12" s="1"/>
  <c r="B40" i="12"/>
  <c r="O34" i="12" s="1"/>
  <c r="M39" i="12"/>
  <c r="Z33" i="12" s="1"/>
  <c r="L39" i="12"/>
  <c r="Y33" i="12" s="1"/>
  <c r="K39" i="12"/>
  <c r="X33" i="12" s="1"/>
  <c r="J39" i="12"/>
  <c r="W33" i="12" s="1"/>
  <c r="I39" i="12"/>
  <c r="V33" i="12" s="1"/>
  <c r="H39" i="12"/>
  <c r="U33" i="12" s="1"/>
  <c r="G39" i="12"/>
  <c r="T27" i="12" s="1"/>
  <c r="F39" i="12"/>
  <c r="S33" i="12" s="1"/>
  <c r="E39" i="12"/>
  <c r="R27" i="12" s="1"/>
  <c r="D39" i="12"/>
  <c r="Q33" i="12" s="1"/>
  <c r="C39" i="12"/>
  <c r="P27" i="12" s="1"/>
  <c r="B39" i="12"/>
  <c r="O27" i="12" s="1"/>
  <c r="M20" i="12"/>
  <c r="Z8" i="12" s="1"/>
  <c r="L20" i="12"/>
  <c r="Y8" i="12" s="1"/>
  <c r="K20" i="12"/>
  <c r="X8" i="12" s="1"/>
  <c r="J20" i="12"/>
  <c r="W8" i="12" s="1"/>
  <c r="I20" i="12"/>
  <c r="V14" i="12" s="1"/>
  <c r="H20" i="12"/>
  <c r="U14" i="12" s="1"/>
  <c r="G20" i="12"/>
  <c r="T14" i="12" s="1"/>
  <c r="F20" i="12"/>
  <c r="S14" i="12" s="1"/>
  <c r="E20" i="12"/>
  <c r="R14" i="12" s="1"/>
  <c r="D20" i="12"/>
  <c r="Q14" i="12" s="1"/>
  <c r="C20" i="12"/>
  <c r="P14" i="12" s="1"/>
  <c r="B20" i="12"/>
  <c r="O14" i="12" s="1"/>
  <c r="M19" i="12"/>
  <c r="Z13" i="12" s="1"/>
  <c r="L19" i="12"/>
  <c r="Y13" i="12" s="1"/>
  <c r="K19" i="12"/>
  <c r="X7" i="12" s="1"/>
  <c r="J19" i="12"/>
  <c r="W13" i="12" s="1"/>
  <c r="I19" i="12"/>
  <c r="V13" i="12" s="1"/>
  <c r="H19" i="12"/>
  <c r="U7" i="12" s="1"/>
  <c r="G19" i="12"/>
  <c r="T7" i="12" s="1"/>
  <c r="F19" i="12"/>
  <c r="S7" i="12" s="1"/>
  <c r="E19" i="12"/>
  <c r="R7" i="12" s="1"/>
  <c r="D19" i="12"/>
  <c r="Q7" i="12" s="1"/>
  <c r="C19" i="12"/>
  <c r="P7" i="12" s="1"/>
  <c r="B19" i="12"/>
  <c r="O7" i="12" s="1"/>
  <c r="M18" i="12"/>
  <c r="Z6" i="12" s="1"/>
  <c r="L18" i="12"/>
  <c r="Y6" i="12" s="1"/>
  <c r="K18" i="12"/>
  <c r="X6" i="12" s="1"/>
  <c r="J18" i="12"/>
  <c r="W12" i="12" s="1"/>
  <c r="I18" i="12"/>
  <c r="V12" i="12" s="1"/>
  <c r="H18" i="12"/>
  <c r="U12" i="12" s="1"/>
  <c r="G18" i="12"/>
  <c r="T12" i="12" s="1"/>
  <c r="F18" i="12"/>
  <c r="S12" i="12" s="1"/>
  <c r="E18" i="12"/>
  <c r="R12" i="12" s="1"/>
  <c r="D18" i="12"/>
  <c r="Q12" i="12" s="1"/>
  <c r="C18" i="12"/>
  <c r="P12" i="12" s="1"/>
  <c r="B18" i="12"/>
  <c r="O12" i="12" s="1"/>
  <c r="C69" i="11"/>
  <c r="P51" i="11" s="1"/>
  <c r="M68" i="11"/>
  <c r="Z62" i="11" s="1"/>
  <c r="L68" i="11"/>
  <c r="Y56" i="11" s="1"/>
  <c r="K68" i="11"/>
  <c r="X56" i="11" s="1"/>
  <c r="J68" i="11"/>
  <c r="W50" i="11" s="1"/>
  <c r="I68" i="11"/>
  <c r="V62" i="11" s="1"/>
  <c r="H68" i="11"/>
  <c r="U56" i="11" s="1"/>
  <c r="G68" i="11"/>
  <c r="T62" i="11" s="1"/>
  <c r="F68" i="11"/>
  <c r="S62" i="11" s="1"/>
  <c r="E68" i="11"/>
  <c r="R62" i="11" s="1"/>
  <c r="D68" i="11"/>
  <c r="Q62" i="11" s="1"/>
  <c r="C68" i="11"/>
  <c r="P62" i="11" s="1"/>
  <c r="B68" i="11"/>
  <c r="O62" i="11" s="1"/>
  <c r="M67" i="11"/>
  <c r="Z61" i="11" s="1"/>
  <c r="L67" i="11"/>
  <c r="Y61" i="11" s="1"/>
  <c r="K67" i="11"/>
  <c r="X61" i="11" s="1"/>
  <c r="J67" i="11"/>
  <c r="W61" i="11" s="1"/>
  <c r="I67" i="11"/>
  <c r="V55" i="11" s="1"/>
  <c r="H67" i="11"/>
  <c r="U61" i="11" s="1"/>
  <c r="G67" i="11"/>
  <c r="T61" i="11" s="1"/>
  <c r="F67" i="11"/>
  <c r="S61" i="11" s="1"/>
  <c r="E67" i="11"/>
  <c r="R61" i="11" s="1"/>
  <c r="D67" i="11"/>
  <c r="Q55" i="11" s="1"/>
  <c r="C67" i="11"/>
  <c r="P61" i="11" s="1"/>
  <c r="B67" i="11"/>
  <c r="O61" i="11" s="1"/>
  <c r="M66" i="11"/>
  <c r="Z54" i="11" s="1"/>
  <c r="L66" i="11"/>
  <c r="Y60" i="11" s="1"/>
  <c r="K66" i="11"/>
  <c r="X60" i="11" s="1"/>
  <c r="J66" i="11"/>
  <c r="W60" i="11" s="1"/>
  <c r="I66" i="11"/>
  <c r="V48" i="11" s="1"/>
  <c r="H66" i="11"/>
  <c r="U48" i="11" s="1"/>
  <c r="G66" i="11"/>
  <c r="T48" i="11" s="1"/>
  <c r="F66" i="11"/>
  <c r="S48" i="11" s="1"/>
  <c r="E66" i="11"/>
  <c r="R48" i="11" s="1"/>
  <c r="D66" i="11"/>
  <c r="Q60" i="11" s="1"/>
  <c r="P48" i="11"/>
  <c r="B66" i="11"/>
  <c r="O60" i="11" s="1"/>
  <c r="M41" i="11"/>
  <c r="Z29" i="11" s="1"/>
  <c r="L41" i="11"/>
  <c r="Y29" i="11" s="1"/>
  <c r="K41" i="11"/>
  <c r="X35" i="11" s="1"/>
  <c r="J41" i="11"/>
  <c r="W35" i="11" s="1"/>
  <c r="I41" i="11"/>
  <c r="V35" i="11" s="1"/>
  <c r="H41" i="11"/>
  <c r="U29" i="11" s="1"/>
  <c r="G41" i="11"/>
  <c r="T35" i="11" s="1"/>
  <c r="F41" i="11"/>
  <c r="S35" i="11" s="1"/>
  <c r="E41" i="11"/>
  <c r="R35" i="11" s="1"/>
  <c r="D41" i="11"/>
  <c r="Q35" i="11" s="1"/>
  <c r="C41" i="11"/>
  <c r="P35" i="11" s="1"/>
  <c r="O35" i="11"/>
  <c r="M40" i="11"/>
  <c r="Z34" i="11" s="1"/>
  <c r="L40" i="11"/>
  <c r="Y34" i="11" s="1"/>
  <c r="K40" i="11"/>
  <c r="X28" i="11" s="1"/>
  <c r="J40" i="11"/>
  <c r="W34" i="11" s="1"/>
  <c r="I40" i="11"/>
  <c r="V34" i="11" s="1"/>
  <c r="H40" i="11"/>
  <c r="U34" i="11" s="1"/>
  <c r="G40" i="11"/>
  <c r="T34" i="11" s="1"/>
  <c r="F40" i="11"/>
  <c r="S34" i="11" s="1"/>
  <c r="E40" i="11"/>
  <c r="R34" i="11" s="1"/>
  <c r="D40" i="11"/>
  <c r="Q34" i="11" s="1"/>
  <c r="C40" i="11"/>
  <c r="P28" i="11" s="1"/>
  <c r="O34" i="11"/>
  <c r="M39" i="11"/>
  <c r="Z33" i="11" s="1"/>
  <c r="L39" i="11"/>
  <c r="Y33" i="11" s="1"/>
  <c r="K39" i="11"/>
  <c r="X33" i="11" s="1"/>
  <c r="J39" i="11"/>
  <c r="W27" i="11" s="1"/>
  <c r="I39" i="11"/>
  <c r="V33" i="11" s="1"/>
  <c r="H39" i="11"/>
  <c r="U33" i="11" s="1"/>
  <c r="G39" i="11"/>
  <c r="T33" i="11" s="1"/>
  <c r="F39" i="11"/>
  <c r="S33" i="11" s="1"/>
  <c r="E39" i="11"/>
  <c r="R33" i="11" s="1"/>
  <c r="D39" i="11"/>
  <c r="Q33" i="11" s="1"/>
  <c r="C39" i="11"/>
  <c r="P33" i="11" s="1"/>
  <c r="O33" i="11"/>
  <c r="C21" i="11"/>
  <c r="P15" i="11" s="1"/>
  <c r="M20" i="11"/>
  <c r="Z8" i="11" s="1"/>
  <c r="L20" i="11"/>
  <c r="Y8" i="11" s="1"/>
  <c r="K20" i="11"/>
  <c r="X8" i="11" s="1"/>
  <c r="J20" i="11"/>
  <c r="W8" i="11" s="1"/>
  <c r="I20" i="11"/>
  <c r="V14" i="11" s="1"/>
  <c r="H20" i="11"/>
  <c r="U8" i="11" s="1"/>
  <c r="G20" i="11"/>
  <c r="T8" i="11" s="1"/>
  <c r="F20" i="11"/>
  <c r="S14" i="11" s="1"/>
  <c r="E20" i="11"/>
  <c r="R14" i="11" s="1"/>
  <c r="D20" i="11"/>
  <c r="Q14" i="11" s="1"/>
  <c r="C20" i="11"/>
  <c r="P14" i="11" s="1"/>
  <c r="B20" i="11"/>
  <c r="O14" i="11" s="1"/>
  <c r="M19" i="11"/>
  <c r="Z7" i="11" s="1"/>
  <c r="L19" i="11"/>
  <c r="Y7" i="11" s="1"/>
  <c r="K19" i="11"/>
  <c r="X7" i="11" s="1"/>
  <c r="J19" i="11"/>
  <c r="W7" i="11" s="1"/>
  <c r="I19" i="11"/>
  <c r="V13" i="11" s="1"/>
  <c r="H19" i="11"/>
  <c r="U13" i="11" s="1"/>
  <c r="G19" i="11"/>
  <c r="T13" i="11" s="1"/>
  <c r="F19" i="11"/>
  <c r="S13" i="11" s="1"/>
  <c r="E19" i="11"/>
  <c r="R13" i="11" s="1"/>
  <c r="D19" i="11"/>
  <c r="Q7" i="11" s="1"/>
  <c r="C19" i="11"/>
  <c r="P13" i="11" s="1"/>
  <c r="B19" i="11"/>
  <c r="O13" i="11" s="1"/>
  <c r="M18" i="11"/>
  <c r="Z12" i="11" s="1"/>
  <c r="L18" i="11"/>
  <c r="Y12" i="11" s="1"/>
  <c r="K18" i="11"/>
  <c r="X6" i="11" s="1"/>
  <c r="J18" i="11"/>
  <c r="W12" i="11" s="1"/>
  <c r="I18" i="11"/>
  <c r="V6" i="11" s="1"/>
  <c r="H18" i="11"/>
  <c r="U12" i="11" s="1"/>
  <c r="G18" i="11"/>
  <c r="T12" i="11" s="1"/>
  <c r="F18" i="11"/>
  <c r="S6" i="11" s="1"/>
  <c r="E18" i="11"/>
  <c r="R6" i="11" s="1"/>
  <c r="D18" i="11"/>
  <c r="Q12" i="11" s="1"/>
  <c r="C18" i="11"/>
  <c r="P12" i="11" s="1"/>
  <c r="B18" i="11"/>
  <c r="O6" i="11" s="1"/>
  <c r="H42" i="12" l="1"/>
  <c r="U36" i="12" s="1"/>
  <c r="F42" i="11"/>
  <c r="S36" i="11" s="1"/>
  <c r="F69" i="12"/>
  <c r="S63" i="12" s="1"/>
  <c r="F21" i="12"/>
  <c r="S15" i="12" s="1"/>
  <c r="F21" i="11"/>
  <c r="S15" i="11" s="1"/>
  <c r="M42" i="11"/>
  <c r="Z36" i="11" s="1"/>
  <c r="M42" i="12"/>
  <c r="Z36" i="12" s="1"/>
  <c r="Z48" i="11"/>
  <c r="L42" i="12"/>
  <c r="Y36" i="12" s="1"/>
  <c r="L69" i="11"/>
  <c r="Y63" i="11" s="1"/>
  <c r="Y54" i="11"/>
  <c r="Y48" i="11"/>
  <c r="Y14" i="11"/>
  <c r="Y20" i="11" s="1"/>
  <c r="K42" i="12"/>
  <c r="X36" i="12" s="1"/>
  <c r="K21" i="12"/>
  <c r="X15" i="12" s="1"/>
  <c r="X29" i="11"/>
  <c r="X41" i="11" s="1"/>
  <c r="X62" i="12"/>
  <c r="X56" i="12"/>
  <c r="X14" i="12"/>
  <c r="X20" i="12" s="1"/>
  <c r="X12" i="12"/>
  <c r="X18" i="12" s="1"/>
  <c r="K69" i="12"/>
  <c r="X63" i="12" s="1"/>
  <c r="X29" i="12"/>
  <c r="X41" i="12" s="1"/>
  <c r="X28" i="12"/>
  <c r="X40" i="12" s="1"/>
  <c r="X48" i="11"/>
  <c r="X54" i="11"/>
  <c r="K21" i="11"/>
  <c r="X9" i="11" s="1"/>
  <c r="X14" i="11"/>
  <c r="X20" i="11" s="1"/>
  <c r="W14" i="12"/>
  <c r="W20" i="12" s="1"/>
  <c r="W56" i="12"/>
  <c r="W29" i="12"/>
  <c r="W41" i="12" s="1"/>
  <c r="J21" i="12"/>
  <c r="W15" i="12" s="1"/>
  <c r="W56" i="11"/>
  <c r="W62" i="11"/>
  <c r="W48" i="11"/>
  <c r="W54" i="11"/>
  <c r="W29" i="11"/>
  <c r="W41" i="11" s="1"/>
  <c r="I42" i="12"/>
  <c r="V36" i="12" s="1"/>
  <c r="I42" i="11"/>
  <c r="V30" i="11" s="1"/>
  <c r="V29" i="11"/>
  <c r="V41" i="11" s="1"/>
  <c r="I21" i="11"/>
  <c r="V15" i="11" s="1"/>
  <c r="V7" i="11"/>
  <c r="V19" i="11" s="1"/>
  <c r="I69" i="12"/>
  <c r="V57" i="12" s="1"/>
  <c r="V49" i="12"/>
  <c r="I21" i="12"/>
  <c r="V9" i="12" s="1"/>
  <c r="H42" i="11"/>
  <c r="U36" i="11" s="1"/>
  <c r="U14" i="11"/>
  <c r="U20" i="11" s="1"/>
  <c r="H69" i="12"/>
  <c r="U57" i="12" s="1"/>
  <c r="U13" i="12"/>
  <c r="U19" i="12" s="1"/>
  <c r="H21" i="12"/>
  <c r="U15" i="12" s="1"/>
  <c r="U62" i="11"/>
  <c r="U54" i="11"/>
  <c r="U35" i="11"/>
  <c r="U41" i="11" s="1"/>
  <c r="U28" i="11"/>
  <c r="U40" i="11" s="1"/>
  <c r="H21" i="11"/>
  <c r="U15" i="11" s="1"/>
  <c r="G42" i="11"/>
  <c r="T36" i="11" s="1"/>
  <c r="G21" i="11"/>
  <c r="T15" i="11" s="1"/>
  <c r="G69" i="12"/>
  <c r="T63" i="12" s="1"/>
  <c r="T49" i="12"/>
  <c r="T61" i="12"/>
  <c r="G42" i="12"/>
  <c r="T36" i="12" s="1"/>
  <c r="T35" i="12"/>
  <c r="T41" i="12" s="1"/>
  <c r="T56" i="11"/>
  <c r="T14" i="11"/>
  <c r="T20" i="11" s="1"/>
  <c r="S12" i="11"/>
  <c r="S18" i="11" s="1"/>
  <c r="S49" i="12"/>
  <c r="F42" i="12"/>
  <c r="S36" i="12" s="1"/>
  <c r="E21" i="12"/>
  <c r="R9" i="12" s="1"/>
  <c r="E69" i="12"/>
  <c r="R51" i="12" s="1"/>
  <c r="E69" i="11"/>
  <c r="R63" i="11" s="1"/>
  <c r="E42" i="11"/>
  <c r="R30" i="11" s="1"/>
  <c r="R49" i="12"/>
  <c r="E42" i="12"/>
  <c r="R30" i="12" s="1"/>
  <c r="E21" i="11"/>
  <c r="R15" i="11" s="1"/>
  <c r="R12" i="11"/>
  <c r="R18" i="11" s="1"/>
  <c r="Q27" i="11"/>
  <c r="Q39" i="11" s="1"/>
  <c r="D42" i="11"/>
  <c r="Q36" i="11" s="1"/>
  <c r="D21" i="11"/>
  <c r="Q15" i="11" s="1"/>
  <c r="D69" i="12"/>
  <c r="Q63" i="12" s="1"/>
  <c r="D21" i="12"/>
  <c r="Q15" i="12" s="1"/>
  <c r="P49" i="12"/>
  <c r="P27" i="11"/>
  <c r="P39" i="11" s="1"/>
  <c r="O13" i="12"/>
  <c r="O19" i="12" s="1"/>
  <c r="O27" i="11"/>
  <c r="O39" i="11" s="1"/>
  <c r="B42" i="12"/>
  <c r="O36" i="12" s="1"/>
  <c r="B21" i="12"/>
  <c r="O9" i="12" s="1"/>
  <c r="B21" i="11"/>
  <c r="O15" i="11" s="1"/>
  <c r="Z56" i="12"/>
  <c r="P61" i="12"/>
  <c r="R48" i="12"/>
  <c r="Y50" i="12"/>
  <c r="Y56" i="12"/>
  <c r="V61" i="12"/>
  <c r="R54" i="12"/>
  <c r="U55" i="12"/>
  <c r="U49" i="12"/>
  <c r="X60" i="12"/>
  <c r="W60" i="12"/>
  <c r="O63" i="12"/>
  <c r="O57" i="12"/>
  <c r="T54" i="12"/>
  <c r="U48" i="12"/>
  <c r="V54" i="12"/>
  <c r="Y48" i="12"/>
  <c r="S56" i="12"/>
  <c r="X49" i="12"/>
  <c r="T48" i="12"/>
  <c r="U60" i="12"/>
  <c r="V48" i="12"/>
  <c r="W54" i="12"/>
  <c r="X54" i="12"/>
  <c r="Y54" i="12"/>
  <c r="X55" i="12"/>
  <c r="P57" i="12"/>
  <c r="L69" i="12"/>
  <c r="Y63" i="12" s="1"/>
  <c r="M69" i="12"/>
  <c r="Z63" i="12" s="1"/>
  <c r="J69" i="12"/>
  <c r="W63" i="12" s="1"/>
  <c r="O51" i="12"/>
  <c r="Y35" i="12"/>
  <c r="S27" i="12"/>
  <c r="S39" i="12" s="1"/>
  <c r="Z35" i="12"/>
  <c r="U34" i="12"/>
  <c r="U40" i="12" s="1"/>
  <c r="V34" i="12"/>
  <c r="V40" i="12" s="1"/>
  <c r="Q30" i="12"/>
  <c r="Q42" i="12" s="1"/>
  <c r="R33" i="12"/>
  <c r="R39" i="12" s="1"/>
  <c r="V27" i="12"/>
  <c r="V39" i="12" s="1"/>
  <c r="P33" i="12"/>
  <c r="P39" i="12" s="1"/>
  <c r="U27" i="12"/>
  <c r="U39" i="12" s="1"/>
  <c r="Z41" i="12"/>
  <c r="P30" i="12"/>
  <c r="P42" i="12" s="1"/>
  <c r="Q27" i="12"/>
  <c r="Q39" i="12" s="1"/>
  <c r="J42" i="12"/>
  <c r="W36" i="12" s="1"/>
  <c r="G21" i="12"/>
  <c r="T15" i="12" s="1"/>
  <c r="Q6" i="12"/>
  <c r="Q18" i="12" s="1"/>
  <c r="V7" i="12"/>
  <c r="V19" i="12" s="1"/>
  <c r="P13" i="12"/>
  <c r="P19" i="12" s="1"/>
  <c r="T8" i="12"/>
  <c r="T20" i="12" s="1"/>
  <c r="U8" i="12"/>
  <c r="U20" i="12" s="1"/>
  <c r="O6" i="12"/>
  <c r="O18" i="12" s="1"/>
  <c r="Q13" i="12"/>
  <c r="Q19" i="12" s="1"/>
  <c r="P6" i="12"/>
  <c r="P18" i="12" s="1"/>
  <c r="R13" i="12"/>
  <c r="R19" i="12" s="1"/>
  <c r="M21" i="12"/>
  <c r="Z15" i="12" s="1"/>
  <c r="L21" i="12"/>
  <c r="Y15" i="12" s="1"/>
  <c r="S49" i="11"/>
  <c r="Q49" i="11"/>
  <c r="O54" i="11"/>
  <c r="P54" i="11"/>
  <c r="T54" i="11"/>
  <c r="V54" i="11"/>
  <c r="P49" i="11"/>
  <c r="S56" i="11"/>
  <c r="M69" i="11"/>
  <c r="Z63" i="11" s="1"/>
  <c r="Q54" i="11"/>
  <c r="I69" i="11"/>
  <c r="V57" i="11" s="1"/>
  <c r="B69" i="11"/>
  <c r="O51" i="11" s="1"/>
  <c r="V49" i="11"/>
  <c r="T60" i="11"/>
  <c r="X49" i="11"/>
  <c r="R54" i="11"/>
  <c r="Z60" i="11"/>
  <c r="Z66" i="11" s="1"/>
  <c r="S54" i="11"/>
  <c r="G69" i="11"/>
  <c r="T63" i="11" s="1"/>
  <c r="P57" i="11"/>
  <c r="K69" i="11"/>
  <c r="X57" i="11" s="1"/>
  <c r="P63" i="11"/>
  <c r="J69" i="11"/>
  <c r="W63" i="11" s="1"/>
  <c r="S50" i="11"/>
  <c r="T50" i="11"/>
  <c r="U50" i="11"/>
  <c r="V50" i="11"/>
  <c r="R60" i="11"/>
  <c r="X50" i="11"/>
  <c r="P55" i="11"/>
  <c r="Q61" i="11"/>
  <c r="O48" i="11"/>
  <c r="P60" i="11"/>
  <c r="Q48" i="11"/>
  <c r="Y50" i="11"/>
  <c r="O55" i="11"/>
  <c r="S55" i="11"/>
  <c r="V61" i="11"/>
  <c r="H69" i="11"/>
  <c r="U51" i="11" s="1"/>
  <c r="Z50" i="11"/>
  <c r="O49" i="11"/>
  <c r="X55" i="11"/>
  <c r="Q51" i="11"/>
  <c r="Q63" i="11"/>
  <c r="X34" i="11"/>
  <c r="X40" i="11" s="1"/>
  <c r="S27" i="11"/>
  <c r="S39" i="11" s="1"/>
  <c r="V27" i="11"/>
  <c r="V39" i="11" s="1"/>
  <c r="Z35" i="11"/>
  <c r="Z41" i="11" s="1"/>
  <c r="V28" i="11"/>
  <c r="V40" i="11" s="1"/>
  <c r="T29" i="11"/>
  <c r="T41" i="11" s="1"/>
  <c r="X27" i="11"/>
  <c r="X39" i="11" s="1"/>
  <c r="W33" i="11"/>
  <c r="W39" i="11" s="1"/>
  <c r="B42" i="11"/>
  <c r="O36" i="11" s="1"/>
  <c r="Y27" i="11"/>
  <c r="Y39" i="11" s="1"/>
  <c r="S28" i="11"/>
  <c r="S40" i="11" s="1"/>
  <c r="L42" i="11"/>
  <c r="Y36" i="11" s="1"/>
  <c r="K42" i="11"/>
  <c r="X36" i="11" s="1"/>
  <c r="J42" i="11"/>
  <c r="W36" i="11" s="1"/>
  <c r="P30" i="11"/>
  <c r="P42" i="11" s="1"/>
  <c r="R7" i="11"/>
  <c r="R19" i="11" s="1"/>
  <c r="U7" i="11"/>
  <c r="U19" i="11" s="1"/>
  <c r="V12" i="11"/>
  <c r="V18" i="11" s="1"/>
  <c r="U6" i="11"/>
  <c r="U18" i="11" s="1"/>
  <c r="S7" i="11"/>
  <c r="S19" i="11" s="1"/>
  <c r="O7" i="11"/>
  <c r="O19" i="11" s="1"/>
  <c r="P7" i="11"/>
  <c r="P19" i="11" s="1"/>
  <c r="L21" i="11"/>
  <c r="Y15" i="11" s="1"/>
  <c r="J21" i="11"/>
  <c r="W9" i="11" s="1"/>
  <c r="M21" i="11"/>
  <c r="Z15" i="11" s="1"/>
  <c r="Y6" i="11"/>
  <c r="Y18" i="11" s="1"/>
  <c r="X12" i="11"/>
  <c r="X18" i="11" s="1"/>
  <c r="P6" i="11"/>
  <c r="P18" i="11" s="1"/>
  <c r="W6" i="11"/>
  <c r="W18" i="11" s="1"/>
  <c r="S8" i="11"/>
  <c r="S20" i="11" s="1"/>
  <c r="P9" i="11"/>
  <c r="P21" i="11" s="1"/>
  <c r="Q13" i="11"/>
  <c r="Q19" i="11" s="1"/>
  <c r="R27" i="11"/>
  <c r="R39" i="11" s="1"/>
  <c r="S60" i="11"/>
  <c r="Q49" i="12"/>
  <c r="U27" i="11"/>
  <c r="U39" i="11" s="1"/>
  <c r="V60" i="11"/>
  <c r="X62" i="11"/>
  <c r="Y35" i="11"/>
  <c r="Y41" i="11" s="1"/>
  <c r="Y62" i="11"/>
  <c r="S6" i="12"/>
  <c r="S18" i="12" s="1"/>
  <c r="W27" i="12"/>
  <c r="W39" i="12" s="1"/>
  <c r="U30" i="12"/>
  <c r="U42" i="12" s="1"/>
  <c r="Q61" i="12"/>
  <c r="O12" i="11"/>
  <c r="O18" i="11" s="1"/>
  <c r="X13" i="11"/>
  <c r="X19" i="11" s="1"/>
  <c r="T6" i="12"/>
  <c r="T18" i="12" s="1"/>
  <c r="X27" i="12"/>
  <c r="X39" i="12" s="1"/>
  <c r="O33" i="12"/>
  <c r="O39" i="12" s="1"/>
  <c r="R61" i="12"/>
  <c r="T27" i="11"/>
  <c r="T39" i="11" s="1"/>
  <c r="R49" i="11"/>
  <c r="U6" i="12"/>
  <c r="U18" i="12" s="1"/>
  <c r="Y27" i="12"/>
  <c r="Y39" i="12" s="1"/>
  <c r="S61" i="12"/>
  <c r="V6" i="12"/>
  <c r="V18" i="12" s="1"/>
  <c r="Z27" i="12"/>
  <c r="Z39" i="12" s="1"/>
  <c r="S50" i="12"/>
  <c r="T56" i="12"/>
  <c r="Z27" i="11"/>
  <c r="Z39" i="11" s="1"/>
  <c r="T49" i="11"/>
  <c r="W6" i="12"/>
  <c r="W18" i="12" s="1"/>
  <c r="P15" i="12"/>
  <c r="P21" i="12" s="1"/>
  <c r="T50" i="12"/>
  <c r="O55" i="12"/>
  <c r="V56" i="11"/>
  <c r="O61" i="12"/>
  <c r="W14" i="11"/>
  <c r="W20" i="11" s="1"/>
  <c r="O28" i="11"/>
  <c r="O40" i="11" s="1"/>
  <c r="U49" i="11"/>
  <c r="R55" i="11"/>
  <c r="W50" i="12"/>
  <c r="P34" i="11"/>
  <c r="P40" i="11" s="1"/>
  <c r="U60" i="11"/>
  <c r="Q28" i="11"/>
  <c r="Q40" i="11" s="1"/>
  <c r="T55" i="11"/>
  <c r="R28" i="11"/>
  <c r="R40" i="11" s="1"/>
  <c r="U55" i="11"/>
  <c r="Y41" i="12"/>
  <c r="Z56" i="11"/>
  <c r="Z6" i="11"/>
  <c r="Z18" i="11" s="1"/>
  <c r="Z14" i="11"/>
  <c r="Z20" i="11" s="1"/>
  <c r="Y14" i="12"/>
  <c r="Y20" i="12" s="1"/>
  <c r="P51" i="12"/>
  <c r="Y12" i="12"/>
  <c r="Y18" i="12" s="1"/>
  <c r="T33" i="12"/>
  <c r="T39" i="12" s="1"/>
  <c r="O48" i="12"/>
  <c r="O54" i="12"/>
  <c r="P48" i="12"/>
  <c r="P54" i="12"/>
  <c r="S13" i="12"/>
  <c r="S19" i="12" s="1"/>
  <c r="Q48" i="12"/>
  <c r="Q54" i="12"/>
  <c r="T13" i="12"/>
  <c r="T19" i="12" s="1"/>
  <c r="O28" i="12"/>
  <c r="O40" i="12" s="1"/>
  <c r="P28" i="12"/>
  <c r="P40" i="12" s="1"/>
  <c r="S48" i="12"/>
  <c r="S54" i="12"/>
  <c r="Q28" i="12"/>
  <c r="Q40" i="12" s="1"/>
  <c r="X13" i="12"/>
  <c r="X19" i="12" s="1"/>
  <c r="R28" i="12"/>
  <c r="R40" i="12" s="1"/>
  <c r="S28" i="12"/>
  <c r="S40" i="12" s="1"/>
  <c r="T28" i="12"/>
  <c r="T40" i="12" s="1"/>
  <c r="Z14" i="12"/>
  <c r="Z20" i="12" s="1"/>
  <c r="Z12" i="12"/>
  <c r="Z18" i="12" s="1"/>
  <c r="Z60" i="12"/>
  <c r="Z54" i="12"/>
  <c r="Z50" i="12"/>
  <c r="T7" i="11"/>
  <c r="T19" i="11" s="1"/>
  <c r="T28" i="11"/>
  <c r="T40" i="11" s="1"/>
  <c r="W49" i="11"/>
  <c r="W55" i="11"/>
  <c r="W7" i="12"/>
  <c r="W19" i="12" s="1"/>
  <c r="W28" i="12"/>
  <c r="W40" i="12" s="1"/>
  <c r="W49" i="12"/>
  <c r="W55" i="12"/>
  <c r="W13" i="11"/>
  <c r="W19" i="11" s="1"/>
  <c r="Y28" i="11"/>
  <c r="Y40" i="11" s="1"/>
  <c r="Y49" i="11"/>
  <c r="Y55" i="11"/>
  <c r="Y7" i="12"/>
  <c r="Y19" i="12" s="1"/>
  <c r="Y28" i="12"/>
  <c r="Y40" i="12" s="1"/>
  <c r="Y49" i="12"/>
  <c r="Y55" i="12"/>
  <c r="R6" i="12"/>
  <c r="R18" i="12" s="1"/>
  <c r="Z13" i="11"/>
  <c r="Z19" i="11" s="1"/>
  <c r="Z28" i="11"/>
  <c r="Z40" i="11" s="1"/>
  <c r="Z49" i="11"/>
  <c r="Z55" i="11"/>
  <c r="Z7" i="12"/>
  <c r="Z19" i="12" s="1"/>
  <c r="Z28" i="12"/>
  <c r="Z40" i="12" s="1"/>
  <c r="Z49" i="12"/>
  <c r="Z55" i="12"/>
  <c r="Q6" i="11"/>
  <c r="Q18" i="11" s="1"/>
  <c r="W28" i="11"/>
  <c r="W40" i="11" s="1"/>
  <c r="T6" i="11"/>
  <c r="T18" i="11" s="1"/>
  <c r="O8" i="11"/>
  <c r="O20" i="11" s="1"/>
  <c r="S9" i="11"/>
  <c r="S21" i="11" s="1"/>
  <c r="O29" i="11"/>
  <c r="O41" i="11" s="1"/>
  <c r="S30" i="11"/>
  <c r="S42" i="11" s="1"/>
  <c r="O50" i="11"/>
  <c r="S51" i="11"/>
  <c r="O56" i="11"/>
  <c r="S57" i="11"/>
  <c r="O8" i="12"/>
  <c r="O20" i="12" s="1"/>
  <c r="S9" i="12"/>
  <c r="S21" i="12" s="1"/>
  <c r="O29" i="12"/>
  <c r="O41" i="12" s="1"/>
  <c r="O50" i="12"/>
  <c r="S51" i="12"/>
  <c r="O56" i="12"/>
  <c r="Y13" i="11"/>
  <c r="Y19" i="11" s="1"/>
  <c r="P8" i="11"/>
  <c r="P20" i="11" s="1"/>
  <c r="P29" i="11"/>
  <c r="P41" i="11" s="1"/>
  <c r="T30" i="11"/>
  <c r="T42" i="11" s="1"/>
  <c r="P50" i="11"/>
  <c r="P56" i="11"/>
  <c r="P8" i="12"/>
  <c r="P20" i="12" s="1"/>
  <c r="P29" i="12"/>
  <c r="P41" i="12" s="1"/>
  <c r="P50" i="12"/>
  <c r="P56" i="12"/>
  <c r="Q8" i="11"/>
  <c r="Q20" i="11" s="1"/>
  <c r="Q29" i="11"/>
  <c r="Q41" i="11" s="1"/>
  <c r="Q50" i="11"/>
  <c r="Q56" i="11"/>
  <c r="Q8" i="12"/>
  <c r="Q20" i="12" s="1"/>
  <c r="Q29" i="12"/>
  <c r="Q41" i="12" s="1"/>
  <c r="Q50" i="12"/>
  <c r="Q56" i="12"/>
  <c r="R8" i="11"/>
  <c r="R20" i="11" s="1"/>
  <c r="R29" i="11"/>
  <c r="R41" i="11" s="1"/>
  <c r="R50" i="11"/>
  <c r="R56" i="11"/>
  <c r="R8" i="12"/>
  <c r="R20" i="12" s="1"/>
  <c r="R29" i="12"/>
  <c r="R41" i="12" s="1"/>
  <c r="R50" i="12"/>
  <c r="R56" i="12"/>
  <c r="S29" i="11"/>
  <c r="S41" i="11" s="1"/>
  <c r="S8" i="12"/>
  <c r="S20" i="12" s="1"/>
  <c r="S29" i="12"/>
  <c r="S41" i="12" s="1"/>
  <c r="U29" i="12"/>
  <c r="U41" i="12" s="1"/>
  <c r="U50" i="12"/>
  <c r="U56" i="12"/>
  <c r="V8" i="11"/>
  <c r="V20" i="11" s="1"/>
  <c r="V8" i="12"/>
  <c r="V20" i="12" s="1"/>
  <c r="V29" i="12"/>
  <c r="V41" i="12" s="1"/>
  <c r="V50" i="12"/>
  <c r="V56" i="12"/>
  <c r="S57" i="12" l="1"/>
  <c r="S69" i="12" s="1"/>
  <c r="Y68" i="12"/>
  <c r="Y68" i="11"/>
  <c r="T9" i="11"/>
  <c r="T21" i="11" s="1"/>
  <c r="Z9" i="11"/>
  <c r="Z21" i="11" s="1"/>
  <c r="Z30" i="11"/>
  <c r="Z42" i="11" s="1"/>
  <c r="Z30" i="12"/>
  <c r="Z42" i="12" s="1"/>
  <c r="Z51" i="11"/>
  <c r="Y66" i="11"/>
  <c r="Y30" i="12"/>
  <c r="Y42" i="12" s="1"/>
  <c r="W9" i="12"/>
  <c r="W21" i="12" s="1"/>
  <c r="V36" i="11"/>
  <c r="V42" i="11" s="1"/>
  <c r="V51" i="12"/>
  <c r="V63" i="12"/>
  <c r="U67" i="12"/>
  <c r="T51" i="12"/>
  <c r="W68" i="12"/>
  <c r="S67" i="12"/>
  <c r="R63" i="12"/>
  <c r="X30" i="12"/>
  <c r="X42" i="12" s="1"/>
  <c r="V30" i="12"/>
  <c r="V42" i="12" s="1"/>
  <c r="S30" i="12"/>
  <c r="S42" i="12" s="1"/>
  <c r="R15" i="12"/>
  <c r="R21" i="12" s="1"/>
  <c r="Y57" i="11"/>
  <c r="Y51" i="11"/>
  <c r="T68" i="11"/>
  <c r="Z68" i="11"/>
  <c r="R57" i="11"/>
  <c r="U68" i="11"/>
  <c r="Q9" i="11"/>
  <c r="Q21" i="11" s="1"/>
  <c r="W15" i="11"/>
  <c r="W21" i="11" s="1"/>
  <c r="Z68" i="12"/>
  <c r="Z57" i="11"/>
  <c r="Z9" i="12"/>
  <c r="Z21" i="12" s="1"/>
  <c r="Y66" i="12"/>
  <c r="Y9" i="12"/>
  <c r="Y21" i="12" s="1"/>
  <c r="X9" i="12"/>
  <c r="X21" i="12" s="1"/>
  <c r="X66" i="11"/>
  <c r="X68" i="12"/>
  <c r="X57" i="12"/>
  <c r="X51" i="12"/>
  <c r="X63" i="11"/>
  <c r="X30" i="11"/>
  <c r="X42" i="11" s="1"/>
  <c r="X15" i="11"/>
  <c r="X21" i="11" s="1"/>
  <c r="X66" i="12"/>
  <c r="W68" i="11"/>
  <c r="W57" i="12"/>
  <c r="W66" i="11"/>
  <c r="U9" i="12"/>
  <c r="U21" i="12" s="1"/>
  <c r="V67" i="12"/>
  <c r="V15" i="12"/>
  <c r="V21" i="12" s="1"/>
  <c r="V51" i="11"/>
  <c r="V9" i="11"/>
  <c r="V21" i="11" s="1"/>
  <c r="V66" i="11"/>
  <c r="V68" i="11"/>
  <c r="V63" i="11"/>
  <c r="U30" i="11"/>
  <c r="U42" i="11" s="1"/>
  <c r="U9" i="11"/>
  <c r="U21" i="11" s="1"/>
  <c r="U66" i="11"/>
  <c r="U51" i="12"/>
  <c r="U63" i="12"/>
  <c r="T57" i="12"/>
  <c r="T57" i="11"/>
  <c r="T30" i="12"/>
  <c r="T42" i="12" s="1"/>
  <c r="T66" i="11"/>
  <c r="T67" i="12"/>
  <c r="T9" i="12"/>
  <c r="T21" i="12" s="1"/>
  <c r="S68" i="11"/>
  <c r="S67" i="11"/>
  <c r="R51" i="11"/>
  <c r="R57" i="12"/>
  <c r="R69" i="12" s="1"/>
  <c r="R36" i="12"/>
  <c r="R42" i="12" s="1"/>
  <c r="R67" i="12"/>
  <c r="R36" i="11"/>
  <c r="R42" i="11" s="1"/>
  <c r="R66" i="12"/>
  <c r="R9" i="11"/>
  <c r="R21" i="11" s="1"/>
  <c r="Q30" i="11"/>
  <c r="Q42" i="11" s="1"/>
  <c r="Q51" i="12"/>
  <c r="Q9" i="12"/>
  <c r="Q21" i="12" s="1"/>
  <c r="Q67" i="11"/>
  <c r="Q57" i="12"/>
  <c r="Q67" i="12"/>
  <c r="P67" i="11"/>
  <c r="P67" i="12"/>
  <c r="P66" i="11"/>
  <c r="O9" i="11"/>
  <c r="O21" i="11" s="1"/>
  <c r="O30" i="12"/>
  <c r="O42" i="12" s="1"/>
  <c r="O15" i="12"/>
  <c r="O21" i="12" s="1"/>
  <c r="O66" i="11"/>
  <c r="W66" i="12"/>
  <c r="V66" i="12"/>
  <c r="P69" i="12"/>
  <c r="O69" i="12"/>
  <c r="T66" i="12"/>
  <c r="T68" i="12"/>
  <c r="W51" i="12"/>
  <c r="Y57" i="12"/>
  <c r="Z66" i="12"/>
  <c r="Y51" i="12"/>
  <c r="X67" i="12"/>
  <c r="Y67" i="12"/>
  <c r="Z51" i="12"/>
  <c r="S68" i="12"/>
  <c r="O67" i="12"/>
  <c r="Z57" i="12"/>
  <c r="U66" i="12"/>
  <c r="W30" i="12"/>
  <c r="W42" i="12" s="1"/>
  <c r="O63" i="11"/>
  <c r="O67" i="11"/>
  <c r="O57" i="11"/>
  <c r="Q66" i="11"/>
  <c r="X68" i="11"/>
  <c r="S66" i="11"/>
  <c r="P69" i="11"/>
  <c r="T51" i="11"/>
  <c r="W57" i="11"/>
  <c r="W51" i="11"/>
  <c r="X67" i="11"/>
  <c r="R66" i="11"/>
  <c r="V67" i="11"/>
  <c r="X51" i="11"/>
  <c r="Q69" i="11"/>
  <c r="R67" i="11"/>
  <c r="U63" i="11"/>
  <c r="U57" i="11"/>
  <c r="Y30" i="11"/>
  <c r="Y42" i="11" s="1"/>
  <c r="O30" i="11"/>
  <c r="O42" i="11" s="1"/>
  <c r="W30" i="11"/>
  <c r="W42" i="11" s="1"/>
  <c r="Y9" i="11"/>
  <c r="Y21" i="11" s="1"/>
  <c r="T67" i="11"/>
  <c r="U67" i="11"/>
  <c r="S66" i="12"/>
  <c r="O66" i="12"/>
  <c r="P66" i="12"/>
  <c r="Q66" i="12"/>
  <c r="Q68" i="12"/>
  <c r="Z67" i="12"/>
  <c r="O68" i="11"/>
  <c r="P68" i="11"/>
  <c r="R68" i="12"/>
  <c r="V68" i="12"/>
  <c r="S69" i="11"/>
  <c r="Y67" i="11"/>
  <c r="W67" i="11"/>
  <c r="R68" i="11"/>
  <c r="P68" i="12"/>
  <c r="O68" i="12"/>
  <c r="U68" i="12"/>
  <c r="Q68" i="11"/>
  <c r="Z67" i="11"/>
  <c r="W67" i="12"/>
  <c r="Z69" i="11" l="1"/>
  <c r="T69" i="12"/>
  <c r="Z69" i="12"/>
  <c r="Y69" i="11"/>
  <c r="X69" i="12"/>
  <c r="X69" i="11"/>
  <c r="V69" i="12"/>
  <c r="O69" i="11"/>
  <c r="R69" i="11"/>
  <c r="Y69" i="12"/>
  <c r="W69" i="12"/>
  <c r="W69" i="11"/>
  <c r="V69" i="11"/>
  <c r="U69" i="12"/>
  <c r="T69" i="11"/>
  <c r="Q69" i="12"/>
  <c r="U69" i="11"/>
  <c r="N11" i="3"/>
  <c r="M11" i="3"/>
  <c r="L11" i="3"/>
  <c r="K11" i="3"/>
  <c r="J11" i="3"/>
  <c r="I11" i="3"/>
  <c r="H11" i="3"/>
  <c r="G11" i="3"/>
  <c r="F11" i="3"/>
  <c r="E11" i="3"/>
  <c r="D11" i="3"/>
  <c r="C11" i="3"/>
  <c r="N7" i="3"/>
  <c r="N10" i="3" s="1"/>
  <c r="M7" i="3"/>
  <c r="M10" i="3" s="1"/>
  <c r="L7" i="3"/>
  <c r="L10" i="3" s="1"/>
  <c r="K7" i="3"/>
  <c r="K10" i="3" s="1"/>
  <c r="J7" i="3"/>
  <c r="J10" i="3" s="1"/>
  <c r="I7" i="3"/>
  <c r="I10" i="3" s="1"/>
  <c r="H7" i="3"/>
  <c r="H10" i="3" s="1"/>
  <c r="G7" i="3"/>
  <c r="G10" i="3" s="1"/>
  <c r="F7" i="3"/>
  <c r="F10" i="3" s="1"/>
  <c r="E7" i="3"/>
  <c r="E10" i="3" s="1"/>
  <c r="D7" i="3"/>
  <c r="D10" i="3" s="1"/>
  <c r="C7" i="3"/>
  <c r="N54" i="2"/>
  <c r="M54" i="2"/>
  <c r="L54" i="2"/>
  <c r="K54" i="2"/>
  <c r="J54" i="2"/>
  <c r="I54" i="2"/>
  <c r="H54" i="2"/>
  <c r="G54" i="2"/>
  <c r="F54" i="2"/>
  <c r="E54" i="2"/>
  <c r="D54" i="2"/>
  <c r="C54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7" i="2"/>
  <c r="N55" i="2" s="1"/>
  <c r="M47" i="2"/>
  <c r="M55" i="2" s="1"/>
  <c r="L47" i="2"/>
  <c r="L55" i="2" s="1"/>
  <c r="K47" i="2"/>
  <c r="K55" i="2" s="1"/>
  <c r="J47" i="2"/>
  <c r="J55" i="2" s="1"/>
  <c r="I47" i="2"/>
  <c r="I55" i="2" s="1"/>
  <c r="H47" i="2"/>
  <c r="H55" i="2" s="1"/>
  <c r="G47" i="2"/>
  <c r="G55" i="2" s="1"/>
  <c r="F47" i="2"/>
  <c r="F55" i="2" s="1"/>
  <c r="E47" i="2"/>
  <c r="E55" i="2" s="1"/>
  <c r="D47" i="2"/>
  <c r="D55" i="2" s="1"/>
  <c r="C47" i="2"/>
  <c r="C55" i="2" s="1"/>
  <c r="N44" i="2"/>
  <c r="M44" i="2"/>
  <c r="L44" i="2"/>
  <c r="K44" i="2"/>
  <c r="J44" i="2"/>
  <c r="I44" i="2"/>
  <c r="H44" i="2"/>
  <c r="G44" i="2"/>
  <c r="F44" i="2"/>
  <c r="E44" i="2"/>
  <c r="D44" i="2"/>
  <c r="C44" i="2"/>
  <c r="N42" i="2"/>
  <c r="M42" i="2"/>
  <c r="L42" i="2"/>
  <c r="K42" i="2"/>
  <c r="J42" i="2"/>
  <c r="I42" i="2"/>
  <c r="H42" i="2"/>
  <c r="G42" i="2"/>
  <c r="F42" i="2"/>
  <c r="E42" i="2"/>
  <c r="D42" i="2"/>
  <c r="C42" i="2"/>
  <c r="N39" i="2"/>
  <c r="M39" i="2"/>
  <c r="L39" i="2"/>
  <c r="K39" i="2"/>
  <c r="J39" i="2"/>
  <c r="I39" i="2"/>
  <c r="H39" i="2"/>
  <c r="G39" i="2"/>
  <c r="F39" i="2"/>
  <c r="E39" i="2"/>
  <c r="D39" i="2"/>
  <c r="C39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N25" i="2"/>
  <c r="M25" i="2"/>
  <c r="L25" i="2"/>
  <c r="K25" i="2"/>
  <c r="J25" i="2"/>
  <c r="I25" i="2"/>
  <c r="H25" i="2"/>
  <c r="G25" i="2"/>
  <c r="F25" i="2"/>
  <c r="E25" i="2"/>
  <c r="D25" i="2"/>
  <c r="C25" i="2"/>
  <c r="N23" i="2"/>
  <c r="M23" i="2"/>
  <c r="L23" i="2"/>
  <c r="K23" i="2"/>
  <c r="J23" i="2"/>
  <c r="I23" i="2"/>
  <c r="H23" i="2"/>
  <c r="G23" i="2"/>
  <c r="F23" i="2"/>
  <c r="E23" i="2"/>
  <c r="D23" i="2"/>
  <c r="C23" i="2"/>
  <c r="N19" i="2"/>
  <c r="M19" i="2"/>
  <c r="L19" i="2"/>
  <c r="K19" i="2"/>
  <c r="J19" i="2"/>
  <c r="I19" i="2"/>
  <c r="H19" i="2"/>
  <c r="G19" i="2"/>
  <c r="F19" i="2"/>
  <c r="E19" i="2"/>
  <c r="D19" i="2"/>
  <c r="C19" i="2"/>
  <c r="N9" i="2"/>
  <c r="M9" i="2"/>
  <c r="L9" i="2"/>
  <c r="K9" i="2"/>
  <c r="J9" i="2"/>
  <c r="I9" i="2"/>
  <c r="H9" i="2"/>
  <c r="G9" i="2"/>
  <c r="F9" i="2"/>
  <c r="N5" i="2"/>
  <c r="N17" i="2" s="1"/>
  <c r="M5" i="2"/>
  <c r="L5" i="2"/>
  <c r="K5" i="2"/>
  <c r="J5" i="2"/>
  <c r="I5" i="2"/>
  <c r="H5" i="2"/>
  <c r="H17" i="2" s="1"/>
  <c r="G5" i="2"/>
  <c r="F5" i="2"/>
  <c r="F17" i="2" s="1"/>
  <c r="E5" i="2"/>
  <c r="E17" i="2" s="1"/>
  <c r="D5" i="2"/>
  <c r="D13" i="2" s="1"/>
  <c r="C5" i="2"/>
  <c r="C17" i="2" s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D17" i="2" l="1"/>
  <c r="D35" i="2"/>
  <c r="C13" i="2"/>
  <c r="C16" i="2" s="1"/>
  <c r="C35" i="2"/>
  <c r="I52" i="2"/>
  <c r="I56" i="2" s="1"/>
  <c r="J52" i="2"/>
  <c r="J56" i="2" s="1"/>
  <c r="K52" i="2"/>
  <c r="K56" i="2" s="1"/>
  <c r="G52" i="2"/>
  <c r="G56" i="2" s="1"/>
  <c r="C52" i="2"/>
  <c r="C56" i="2" s="1"/>
  <c r="I13" i="2"/>
  <c r="I29" i="2" s="1"/>
  <c r="K13" i="2"/>
  <c r="K16" i="2" s="1"/>
  <c r="F13" i="2"/>
  <c r="F29" i="2" s="1"/>
  <c r="F35" i="2"/>
  <c r="G35" i="2"/>
  <c r="E13" i="2"/>
  <c r="E16" i="2" s="1"/>
  <c r="K35" i="2"/>
  <c r="I35" i="2"/>
  <c r="J13" i="2"/>
  <c r="J16" i="2" s="1"/>
  <c r="J17" i="2"/>
  <c r="H13" i="2"/>
  <c r="H29" i="2" s="1"/>
  <c r="N35" i="2"/>
  <c r="N13" i="2"/>
  <c r="N16" i="2" s="1"/>
  <c r="I17" i="2"/>
  <c r="D52" i="2"/>
  <c r="D56" i="2" s="1"/>
  <c r="M52" i="2"/>
  <c r="M56" i="2" s="1"/>
  <c r="L13" i="2"/>
  <c r="L16" i="2" s="1"/>
  <c r="H35" i="2"/>
  <c r="G17" i="2"/>
  <c r="G13" i="2"/>
  <c r="G16" i="2" s="1"/>
  <c r="J35" i="2"/>
  <c r="N52" i="2"/>
  <c r="N56" i="2" s="1"/>
  <c r="M13" i="2"/>
  <c r="M16" i="2" s="1"/>
  <c r="O5" i="3"/>
  <c r="E52" i="2"/>
  <c r="E56" i="2" s="1"/>
  <c r="D16" i="2"/>
  <c r="F52" i="2"/>
  <c r="F56" i="2" s="1"/>
  <c r="E35" i="2"/>
  <c r="H52" i="2"/>
  <c r="H56" i="2" s="1"/>
  <c r="K17" i="2"/>
  <c r="L17" i="2"/>
  <c r="L35" i="2"/>
  <c r="L52" i="2"/>
  <c r="L56" i="2" s="1"/>
  <c r="M17" i="2"/>
  <c r="M35" i="2"/>
  <c r="C10" i="3"/>
  <c r="O6" i="3"/>
  <c r="M29" i="2" l="1"/>
  <c r="K29" i="2"/>
  <c r="J29" i="2"/>
  <c r="I16" i="2"/>
  <c r="F16" i="2"/>
  <c r="E29" i="2"/>
  <c r="D29" i="2"/>
  <c r="C29" i="2"/>
  <c r="O7" i="3"/>
  <c r="L29" i="2"/>
  <c r="G29" i="2"/>
  <c r="N29" i="2"/>
  <c r="O5" i="2"/>
  <c r="O9" i="2"/>
  <c r="H16" i="2"/>
  <c r="O13" i="2" l="1"/>
</calcChain>
</file>

<file path=xl/sharedStrings.xml><?xml version="1.0" encoding="utf-8"?>
<sst xmlns="http://schemas.openxmlformats.org/spreadsheetml/2006/main" count="1680" uniqueCount="473">
  <si>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</si>
  <si>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</si>
  <si>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</si>
  <si>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</si>
  <si>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</si>
  <si>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</si>
  <si>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</si>
  <si>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</si>
  <si>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</si>
  <si>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</si>
  <si>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</si>
  <si>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</si>
  <si>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IBK</t>
  </si>
  <si>
    <t>Total Local</t>
  </si>
  <si>
    <t>Total local + Internac.</t>
  </si>
  <si>
    <t>IBK / Local</t>
  </si>
  <si>
    <t>IBK / Local + Internac.</t>
  </si>
  <si>
    <t>1. Facturación Visa en Red Local de Procesos</t>
  </si>
  <si>
    <t>Emisor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</si>
  <si>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</si>
  <si>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</si>
  <si>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</si>
  <si>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</si>
  <si>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</si>
  <si>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</si>
  <si>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</si>
  <si>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</si>
  <si>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</si>
  <si>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</si>
  <si>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</si>
  <si>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</si>
  <si>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%</t>
  </si>
  <si>
    <t>Locales</t>
  </si>
  <si>
    <t>Crédito</t>
  </si>
  <si>
    <t>Débito</t>
  </si>
  <si>
    <t>Prepago</t>
  </si>
  <si>
    <t>Foraneas</t>
  </si>
  <si>
    <t>Total Visa</t>
  </si>
  <si>
    <t>Interbank</t>
  </si>
  <si>
    <t>% IBK/total Visa</t>
  </si>
  <si>
    <t>% IBK/Visa locales</t>
  </si>
  <si>
    <t>Credito</t>
  </si>
  <si>
    <t>Debito</t>
  </si>
  <si>
    <t>% Total</t>
  </si>
  <si>
    <t>Total</t>
  </si>
  <si>
    <t>% crédito</t>
  </si>
  <si>
    <t>% débito</t>
  </si>
  <si>
    <t>% prepago</t>
  </si>
  <si>
    <t>2. Visa IBK: Físico - Virtual</t>
  </si>
  <si>
    <t>Local</t>
  </si>
  <si>
    <t>OTROS</t>
  </si>
  <si>
    <t>Local - Físico</t>
  </si>
  <si>
    <t>Local - Virtual</t>
  </si>
  <si>
    <t>MS Físico</t>
  </si>
  <si>
    <t>MS Virtual</t>
  </si>
  <si>
    <t>Facturación American Express en Red Local de Procesos</t>
  </si>
  <si>
    <t>Total facturación Amex</t>
  </si>
  <si>
    <t>% IB/total Amex</t>
  </si>
  <si>
    <t>% IB/Amex locales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</si>
  <si>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</si>
  <si>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</si>
  <si>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</si>
  <si>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</si>
  <si>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</si>
  <si>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</si>
  <si>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</si>
  <si>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</si>
  <si>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</si>
  <si>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</si>
  <si>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</si>
  <si>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</si>
  <si>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Importes Crédito Local</t>
  </si>
  <si>
    <t>Importes Crédito IBK</t>
  </si>
  <si>
    <t>Share IBK</t>
  </si>
  <si>
    <t>Giros</t>
  </si>
  <si>
    <t>pp. Feb</t>
  </si>
  <si>
    <t>pp. Mar</t>
  </si>
  <si>
    <t>pp. Abr</t>
  </si>
  <si>
    <t>pp. May</t>
  </si>
  <si>
    <t>pp. Jun</t>
  </si>
  <si>
    <t>pp. Jul</t>
  </si>
  <si>
    <t>pp. Ago</t>
  </si>
  <si>
    <t>pp. Sep</t>
  </si>
  <si>
    <t>pp. Oct</t>
  </si>
  <si>
    <t>pp. Nov</t>
  </si>
  <si>
    <t>Peso</t>
  </si>
  <si>
    <t>% Acum</t>
  </si>
  <si>
    <t>Restaurantes</t>
  </si>
  <si>
    <t>Supermercados</t>
  </si>
  <si>
    <t>Estaciones de servicio- grifos</t>
  </si>
  <si>
    <t>Farmacias- boticas</t>
  </si>
  <si>
    <t>Wholesale Clubs</t>
  </si>
  <si>
    <t>Acabados para el hogar</t>
  </si>
  <si>
    <t>Bodegas- Minimercados</t>
  </si>
  <si>
    <t>Hospitales- clínicas</t>
  </si>
  <si>
    <t>Otros servicios de transporte</t>
  </si>
  <si>
    <t>UNIFORMES Y ROPA COMERCIAL PARA HOMBRES- MUJERES Y NIÑOS2</t>
  </si>
  <si>
    <t>Hoteles</t>
  </si>
  <si>
    <t>Tiendas por departamentos</t>
  </si>
  <si>
    <t>Zapaterias</t>
  </si>
  <si>
    <t>Bancos - Servicios Financieros</t>
  </si>
  <si>
    <t>Electrodomesticos</t>
  </si>
  <si>
    <t>Ropa para toda la familia</t>
  </si>
  <si>
    <t>Comida rapida</t>
  </si>
  <si>
    <t>Otros servicios medicos</t>
  </si>
  <si>
    <t>Tiendas de articulos varios</t>
  </si>
  <si>
    <t>Luz- Agua- Gas.</t>
  </si>
  <si>
    <t>Ferreteria</t>
  </si>
  <si>
    <t>Otros servicios profesionales</t>
  </si>
  <si>
    <t>Repuestos y accesorios</t>
  </si>
  <si>
    <t>Vta por Correo/telefono Telecomunicaciones</t>
  </si>
  <si>
    <t>Materiales de construccion</t>
  </si>
  <si>
    <t>Peluquerias</t>
  </si>
  <si>
    <t>Venta autos / Camiones</t>
  </si>
  <si>
    <t>Abogados- notarías</t>
  </si>
  <si>
    <t>Muebles para el hogar</t>
  </si>
  <si>
    <t>Bares- discotecas- karaoke</t>
  </si>
  <si>
    <t>Computadoras y Software</t>
  </si>
  <si>
    <t>Servicios veterinarios</t>
  </si>
  <si>
    <t>Panaderias- Pastelerias- Cafeterias</t>
  </si>
  <si>
    <t>Dentistas- Ortodoncistas</t>
  </si>
  <si>
    <t>Agencias de viaje</t>
  </si>
  <si>
    <t>Ropa para mujeres- boutiques</t>
  </si>
  <si>
    <t>Autos talleres de reparacion</t>
  </si>
  <si>
    <t>Utiles de oficina</t>
  </si>
  <si>
    <t>Programación informática- procesamiento de datos y sistemas</t>
  </si>
  <si>
    <t>Inmobiliarias Contratistas Generales</t>
  </si>
  <si>
    <t>Cosmeticos</t>
  </si>
  <si>
    <t>Joyeria- relojeria</t>
  </si>
  <si>
    <t>Laboratorios medicos</t>
  </si>
  <si>
    <t>Institutos superiores- universidades</t>
  </si>
  <si>
    <t>Opticas</t>
  </si>
  <si>
    <t>Accesorios para el hogar</t>
  </si>
  <si>
    <t>Otras tiendas minoristas</t>
  </si>
  <si>
    <t>Otros servicios personales</t>
  </si>
  <si>
    <t>Servicios comerciales- no clasificados en otra parte</t>
  </si>
  <si>
    <t>Venta de motos</t>
  </si>
  <si>
    <t>Bazares- regalos</t>
  </si>
  <si>
    <t>Municipalidades- tributos</t>
  </si>
  <si>
    <t>Carnicerias- avicolas- embutidos</t>
  </si>
  <si>
    <t>Ropa y accesorios de cuero</t>
  </si>
  <si>
    <t>Licorerias</t>
  </si>
  <si>
    <t>Transportes en Bus</t>
  </si>
  <si>
    <t>Ropa mujeres- lenceria- ropa interior</t>
  </si>
  <si>
    <t>Librerías</t>
  </si>
  <si>
    <t>Telecomunicaciones- Cabinas Internet</t>
  </si>
  <si>
    <t>Ropa para hombres</t>
  </si>
  <si>
    <t>Decoracion- iluminacion</t>
  </si>
  <si>
    <t>Artefactos electricos</t>
  </si>
  <si>
    <t>Ropa para ninos y bebes</t>
  </si>
  <si>
    <t>Banos turcos- gimnasios</t>
  </si>
  <si>
    <t>Suscripcion de revistas</t>
  </si>
  <si>
    <t>Seguros y reaseguros</t>
  </si>
  <si>
    <t>Salas de juego- video pub</t>
  </si>
  <si>
    <t>Jugueterias y hobbies</t>
  </si>
  <si>
    <t>Lubricantes</t>
  </si>
  <si>
    <t>Otros servicios educativos</t>
  </si>
  <si>
    <t>Vidrios- pinturas- tapices de pared</t>
  </si>
  <si>
    <t>Otros servicios recreativos</t>
  </si>
  <si>
    <t>Llantas- aros</t>
  </si>
  <si>
    <t>Taxis- limousines</t>
  </si>
  <si>
    <t>Bienes perecederos no clasifi.</t>
  </si>
  <si>
    <t>Llantas reparacion- alineamiento</t>
  </si>
  <si>
    <t>Proveedor fiestas- alimentos preparados</t>
  </si>
  <si>
    <t>Ropa deportiva</t>
  </si>
  <si>
    <t>Cable y TV por satelite</t>
  </si>
  <si>
    <t>Club sociales y deportivos</t>
  </si>
  <si>
    <t>Bicicletas- venta y reparacion</t>
  </si>
  <si>
    <t>Salon de masajes</t>
  </si>
  <si>
    <t>Doctores en general</t>
  </si>
  <si>
    <t>Duty Free</t>
  </si>
  <si>
    <t>Artesanias</t>
  </si>
  <si>
    <t>Ventas puerta a puerta</t>
  </si>
  <si>
    <t>Mascotas y accesorios</t>
  </si>
  <si>
    <t>Centros de recreacion y deporte</t>
  </si>
  <si>
    <t>Accesorios- uniformes- otros</t>
  </si>
  <si>
    <t>Playas de estacionamiento</t>
  </si>
  <si>
    <t>Alquiler de Autos</t>
  </si>
  <si>
    <t>Lecherias- heladerias</t>
  </si>
  <si>
    <t>Confiterias y dulcerias</t>
  </si>
  <si>
    <t>MAYORISTA - MATERIALES DE CONSTRUCCIÓN (NO INCLU</t>
  </si>
  <si>
    <t>Colegios y nidos</t>
  </si>
  <si>
    <t>Oftalmologos</t>
  </si>
  <si>
    <t>Asoc. Civiles/ Colegios profesionales</t>
  </si>
  <si>
    <t>Instrumentos musicales</t>
  </si>
  <si>
    <t>Telas y pasamaneria</t>
  </si>
  <si>
    <t>Fotografias y camaras</t>
  </si>
  <si>
    <t>Servicios funerarios</t>
  </si>
  <si>
    <t>Refrigeracion- aire acondicionado</t>
  </si>
  <si>
    <t>Equipos para deporte</t>
  </si>
  <si>
    <t>Lavanderías</t>
  </si>
  <si>
    <t>Vta por correo/telefono Venta por Suscrupciones</t>
  </si>
  <si>
    <t>Florerias</t>
  </si>
  <si>
    <t>Servicios de Carpinteria</t>
  </si>
  <si>
    <t>Aerolineas</t>
  </si>
  <si>
    <t>Parque de diversiones</t>
  </si>
  <si>
    <t>Maletas- accesorios de cuero</t>
  </si>
  <si>
    <t>Personas en Ferrocarril</t>
  </si>
  <si>
    <t>Organizaciones sin fines de lucro</t>
  </si>
  <si>
    <t>Sastreria</t>
  </si>
  <si>
    <t>Quiropracticos</t>
  </si>
  <si>
    <t>Servicios de seguridad</t>
  </si>
  <si>
    <t>Courier</t>
  </si>
  <si>
    <t>Peajes y tarifas de puente</t>
  </si>
  <si>
    <t>Cines</t>
  </si>
  <si>
    <t>Lavado de vehiculos</t>
  </si>
  <si>
    <t>Pedicuristas- podologos</t>
  </si>
  <si>
    <t>Cortinas y Persianas</t>
  </si>
  <si>
    <t>Aparatos ortopedicos</t>
  </si>
  <si>
    <t>Estudios por correo- a distancia</t>
  </si>
  <si>
    <t>Asociacion automovilistas</t>
  </si>
  <si>
    <t>Computadoras- equipo de computo- equipo de computado</t>
  </si>
  <si>
    <t>Teatros</t>
  </si>
  <si>
    <t>Servicios contables y de auditoria</t>
  </si>
  <si>
    <t>Protesis auditiva</t>
  </si>
  <si>
    <t>Cigarros- tabaco</t>
  </si>
  <si>
    <t>Galerias de arte- museos</t>
  </si>
  <si>
    <t>Piscinas y accesorios</t>
  </si>
  <si>
    <t>Alfombras- recubrimientos para pisos</t>
  </si>
  <si>
    <t>Orquestas- musica</t>
  </si>
  <si>
    <t>Ferias</t>
  </si>
  <si>
    <t>Discos y casettes</t>
  </si>
  <si>
    <t>Tapiceria</t>
  </si>
  <si>
    <t>Salones de billar</t>
  </si>
  <si>
    <t>Casas de Empeño</t>
  </si>
  <si>
    <t>Viveros</t>
  </si>
  <si>
    <t>Alquiler de ropa</t>
  </si>
  <si>
    <t>Lavado muebles alfombras</t>
  </si>
  <si>
    <t>Articulos religiosos</t>
  </si>
  <si>
    <t>Tiendas de descuento</t>
  </si>
  <si>
    <t>Copias- reproducciones</t>
  </si>
  <si>
    <t>Revistas y periodicos</t>
  </si>
  <si>
    <t>Escuelas de baile</t>
  </si>
  <si>
    <t>Servicios Gubernamentales</t>
  </si>
  <si>
    <t>Carpas- Toldos- Camping</t>
  </si>
  <si>
    <t>Cristaleria</t>
  </si>
  <si>
    <t>Alquiler de videos</t>
  </si>
  <si>
    <t>Servicios de jardineria</t>
  </si>
  <si>
    <t>Equip. y suministros hardware</t>
  </si>
  <si>
    <t>Otras organizaciones civiles</t>
  </si>
  <si>
    <t>Bienes digitales-Juegos</t>
  </si>
  <si>
    <t>Venta de casas rodantes</t>
  </si>
  <si>
    <t>Venta de botes</t>
  </si>
  <si>
    <t>MAYORISTA - PIEZAS PARA VEHÍCULOS MOTORIZADOS</t>
  </si>
  <si>
    <t>Mercaderia de segunda mano</t>
  </si>
  <si>
    <t>Personas en Barco</t>
  </si>
  <si>
    <t>Antiguedades</t>
  </si>
  <si>
    <t>Transferencia de fondos</t>
  </si>
  <si>
    <t>Casa de cambio- giros postales- Remesas</t>
  </si>
  <si>
    <t>Vta por correo/telefono Venta por Catalogo</t>
  </si>
  <si>
    <t>Telas por yarda para costura</t>
  </si>
  <si>
    <t>Bienes no durables</t>
  </si>
  <si>
    <t>Direct Marketing-Combination Catalog and Retail Me</t>
  </si>
  <si>
    <t>Guarderias</t>
  </si>
  <si>
    <t>Atracadero de botes</t>
  </si>
  <si>
    <t>Enfermeras</t>
  </si>
  <si>
    <t>Pinturas barnices y mat.</t>
  </si>
  <si>
    <t>Servicios de publicidad</t>
  </si>
  <si>
    <t>Contratis. de obras</t>
  </si>
  <si>
    <t>Ambulancias</t>
  </si>
  <si>
    <t>Alquiler de botes</t>
  </si>
  <si>
    <t>Vta por correo/telefono Seguros</t>
  </si>
  <si>
    <t>Mat. industriales no clasific.</t>
  </si>
  <si>
    <t>Bienes digitales-Medios audiovisuales y libros de</t>
  </si>
  <si>
    <t>Grua para vehiculos</t>
  </si>
  <si>
    <t>Alquiler de buses</t>
  </si>
  <si>
    <t>Automotive Service Shops</t>
  </si>
  <si>
    <t>SERVICIOS DE RECUPERACIÓN DE INFORMACIÓN</t>
  </si>
  <si>
    <t>Parques para campamento</t>
  </si>
  <si>
    <t>Muebles de oficina</t>
  </si>
  <si>
    <t>Vehículo aeronaves y maquinas</t>
  </si>
  <si>
    <t>Tiendas de Mercancías Generales Misceláneas</t>
  </si>
  <si>
    <t>Salones de bowling</t>
  </si>
  <si>
    <t>Transportistas de carga motorizada- camiones</t>
  </si>
  <si>
    <t>Dispensador auto. combustible</t>
  </si>
  <si>
    <t>Servicios informaticos</t>
  </si>
  <si>
    <t>Consultoria de gestion y servicios de relaciones</t>
  </si>
  <si>
    <t>Metales- piedras preciosas- relojes y joyeria</t>
  </si>
  <si>
    <t>Vta por correo/telefono Agencias de Viajes</t>
  </si>
  <si>
    <t>MEDICINA-PROPIETARIOS DE MEDIN A PATENTADA-ARTICULOS DIVERSO</t>
  </si>
  <si>
    <t>LIMPIEZA ESPECIALIZADA- PULIDO Y PREPARACIONES</t>
  </si>
  <si>
    <t>Quimicos no clasificados</t>
  </si>
  <si>
    <t>Art graficos</t>
  </si>
  <si>
    <t>Equip. de laboratorios medicos</t>
  </si>
  <si>
    <t>Oficinas de servicios en metal</t>
  </si>
  <si>
    <t>Suministros y acces. de autos</t>
  </si>
  <si>
    <t>Total general</t>
  </si>
  <si>
    <t>Importes Débito Local</t>
  </si>
  <si>
    <t>Importes Débito IBK</t>
  </si>
  <si>
    <t>pp. Dic</t>
  </si>
  <si>
    <t>Corredores de bolsa</t>
  </si>
  <si>
    <t>Vta por correo/telefono Venta por Telemarketing</t>
  </si>
  <si>
    <t>ALQUILER DE BIENES INMOBILIARIOS</t>
  </si>
  <si>
    <t>Florists Supplies- Nursery Stock- and Flowers</t>
  </si>
  <si>
    <t>Timeshares</t>
  </si>
  <si>
    <t>Organizaciones religiosas</t>
  </si>
  <si>
    <t>Activ. Comercial no clasific.</t>
  </si>
  <si>
    <t>Escuelas arte y ofic</t>
  </si>
  <si>
    <t>AGENCIAS DE INFORMES CREDITICIOS DEL CONSUMIDOR</t>
  </si>
  <si>
    <t>TALLERES DE REPARACIÓN Y SERVICIOS AFINES</t>
  </si>
  <si>
    <t>Alquiler de equipos y muebles</t>
  </si>
  <si>
    <t>Maquinas afeitar</t>
  </si>
  <si>
    <t>Bienes Digitales</t>
  </si>
  <si>
    <t>Estudios fotografia</t>
  </si>
  <si>
    <t>Transacciones de fondos de PDI (excluyendo MoneySend)</t>
  </si>
  <si>
    <t>SERVICIOS DE ARQUITECTURA- INGENIER-A Y TOPOGRA</t>
  </si>
  <si>
    <t>Importes Crédito Mastercard</t>
  </si>
  <si>
    <t>Trxs Crédito MC</t>
  </si>
  <si>
    <t>Importes IBK</t>
  </si>
  <si>
    <t>Importes Local</t>
  </si>
  <si>
    <t>Share</t>
  </si>
  <si>
    <t>RUC</t>
  </si>
  <si>
    <t>RAZON_SOCIAL</t>
  </si>
  <si>
    <t>CINDEL S.A.</t>
  </si>
  <si>
    <t>LOY SING S.A.C.</t>
  </si>
  <si>
    <t>PIERRE S PIZZA S.A.C.</t>
  </si>
  <si>
    <t>INVERSIONES NOR CHICKEN S.A.C</t>
  </si>
  <si>
    <t>CORPORACION MENDOZA SAC</t>
  </si>
  <si>
    <t>INVERSIONES HOUSE CHICKEN S.A.C</t>
  </si>
  <si>
    <t>INVERSIONES TOMAS VALLE S.A.C</t>
  </si>
  <si>
    <t>NEGOCIACIONES SANTA CRUZ S.A.C.</t>
  </si>
  <si>
    <t>GRESCO S.A.C.</t>
  </si>
  <si>
    <t>A C INVERSIONES INTERNACIONALES S.A.C.</t>
  </si>
  <si>
    <t>FOOD &amp; BEVERAGE INVEST S.A.C. - F &amp; B INVEST S.A.C.</t>
  </si>
  <si>
    <t>VILLA CHICKEN SAC</t>
  </si>
  <si>
    <t>VILLA INVEST S.A.C.</t>
  </si>
  <si>
    <t>ORIENTAL PYA S.A.C.</t>
  </si>
  <si>
    <t>NESSUS HOTELES PERU S.A.</t>
  </si>
  <si>
    <t>LA PLAZA GASTRONOMICA S.A.C.</t>
  </si>
  <si>
    <t>INVERSIONES INDEPENDENCIA S.A.C.</t>
  </si>
  <si>
    <t>ORIENTAL POLO S.A.C.</t>
  </si>
  <si>
    <t>Total Restaurantes</t>
  </si>
  <si>
    <t>20608300393 / 20100070970 / 20601233488</t>
  </si>
  <si>
    <t>COMPAÑIA FOOD RETAIL S.A.C.</t>
  </si>
  <si>
    <t>TIENDAS ARUMA S.A.C.</t>
  </si>
  <si>
    <t>SUPERMERCADOS LA INMACULADA S.A.C</t>
  </si>
  <si>
    <t>FRANCO SUPERMERCADO E.I.R.L.</t>
  </si>
  <si>
    <t>SUPERMERCADO LA CANASTA EIRL</t>
  </si>
  <si>
    <t>DISTRIBUCIONES QUISPE S.A.C.</t>
  </si>
  <si>
    <t>CEPT S.A.C.</t>
  </si>
  <si>
    <t>CANDY MARKET CAMPOY S.R.LTDA.</t>
  </si>
  <si>
    <t>ALBEMARCO S.A.C.</t>
  </si>
  <si>
    <t>REPRESENTACIONES INTERNACIONALES S.A.C.</t>
  </si>
  <si>
    <t>LA GENOVESA AGROINDUSTRIAS S.A.</t>
  </si>
  <si>
    <t>COMPAÑIA HARD DISCOUNT S.A.C.</t>
  </si>
  <si>
    <t>MEGA ASIA SAC</t>
  </si>
  <si>
    <t>OLIVER S.A.C.</t>
  </si>
  <si>
    <t>VE7 AGRONEGOCIOS S.A.C.</t>
  </si>
  <si>
    <t>MIA MARKET AUTOSERVICIOS MULTIPLES S.C.R.L</t>
  </si>
  <si>
    <t>F &amp; J LA CANASTA S.C.R.LTDA.</t>
  </si>
  <si>
    <t>CADENA DE TIENDAS ESTRELLA E.I.R.L.</t>
  </si>
  <si>
    <t>EL CENTRO DISTRIBUIDORA &amp; COMERCIALIZADORA S.A.C.</t>
  </si>
  <si>
    <t>Total Supermercados</t>
  </si>
  <si>
    <t>COESTI S.A.</t>
  </si>
  <si>
    <t>REPSOL COMERCIAL SAC</t>
  </si>
  <si>
    <t>SERVICENTRO SMILE S.A.</t>
  </si>
  <si>
    <t>PETROSUR S.A.C.</t>
  </si>
  <si>
    <t>ESTACION DE ENERGIAS EL CENTENARIO S.A.C.</t>
  </si>
  <si>
    <t>ENERGIGAS S.A.C.</t>
  </si>
  <si>
    <t>SERVICENTRO RAMIREZ S.A.C.</t>
  </si>
  <si>
    <t>GRIFO AMERICAN EIRL</t>
  </si>
  <si>
    <t>COOP.DE SERVC.ESPECIALES ALAS PERUANAS</t>
  </si>
  <si>
    <t>ESTACION DE SERVICIOS HERCO S.A.C.</t>
  </si>
  <si>
    <t>ANEGADA S.A.C.</t>
  </si>
  <si>
    <t>PROCAMPO SA</t>
  </si>
  <si>
    <t>SHENANDOA S.A.C.</t>
  </si>
  <si>
    <t>GRIFO SERVITOR S.A</t>
  </si>
  <si>
    <t>OPERADORA FERNANDA S.A.C.</t>
  </si>
  <si>
    <t>ZPV S.A.</t>
  </si>
  <si>
    <t>AGUKI COMBUSTIBLES LIQUIDOS S.A.</t>
  </si>
  <si>
    <t>Total Estaciones de servicio- grifos</t>
  </si>
  <si>
    <t>BOTICAS IP S.A.C.</t>
  </si>
  <si>
    <t>MIFARMA SAC</t>
  </si>
  <si>
    <t>BOTICAS Y SALUD S.A.C.</t>
  </si>
  <si>
    <t>JORSA DE LA SELVA S.A.</t>
  </si>
  <si>
    <t>CORPORACION BOTICAS PERU S.A.C.</t>
  </si>
  <si>
    <t>VANTTIVE S.A.C.</t>
  </si>
  <si>
    <t>NEOSALUD S.A.C.</t>
  </si>
  <si>
    <t>FARMACIA UNIVERSAL S.A.C.</t>
  </si>
  <si>
    <t>PERULAB EXPRESS S.A.C.</t>
  </si>
  <si>
    <t>BOTICA LA INMACULADA S.A.C.</t>
  </si>
  <si>
    <t>CORPORACION Q.F.S.A.C.</t>
  </si>
  <si>
    <t>DROGUERIA ROSSINI E.I.R.L.</t>
  </si>
  <si>
    <t>CLINICA SANCHEZ FERRER S A</t>
  </si>
  <si>
    <t>FARMACIA SOCORRO S.A.C.</t>
  </si>
  <si>
    <t>FLORES CRUZ GABRIELA</t>
  </si>
  <si>
    <t>INVERSIONES FERRO CUBA SAC</t>
  </si>
  <si>
    <t>OTIFARMA S.A.C.</t>
  </si>
  <si>
    <t>WEP PHARMA S.A.C.</t>
  </si>
  <si>
    <t>FARMACIA QUEEN E.I.R.L.</t>
  </si>
  <si>
    <t>Total Farmacias- boticas</t>
  </si>
  <si>
    <t>MAKRO SUPERMAYORISTA S.A.</t>
  </si>
  <si>
    <t>CONECTA RETAIL S.A.</t>
  </si>
  <si>
    <t>RASH PERU S.A.C.</t>
  </si>
  <si>
    <t>OPTICAS GMO PERU S.A.C.</t>
  </si>
  <si>
    <t>QUE TAL COMPRA DEL PERU S.A.C</t>
  </si>
  <si>
    <t>CORPORACION VEGA S.A.C.</t>
  </si>
  <si>
    <t>TOPSA PERU S.A.C.</t>
  </si>
  <si>
    <t>MULTI TOP S.A.C.</t>
  </si>
  <si>
    <t>CONECTA RETAIL SELVA S.A.C.</t>
  </si>
  <si>
    <t>GRUPO DELTRON S.A.</t>
  </si>
  <si>
    <t>CALZADOS AZALEIA PERU S.A</t>
  </si>
  <si>
    <t>DISTRIBUIDORA DE RELOJES Y ACCESORIOS S.A.C.</t>
  </si>
  <si>
    <t>CELL WORD SAC</t>
  </si>
  <si>
    <t>MOTOCORP DE LA SELVA S.A.C.</t>
  </si>
  <si>
    <t>MOTOCORP S.A.C.</t>
  </si>
  <si>
    <t>3AAMSEQ S.A.</t>
  </si>
  <si>
    <t>COMERCIAL COLRIDE S.A.C.</t>
  </si>
  <si>
    <t>CENTAUROS DEL PERU CEDEP E.I.R.L.</t>
  </si>
  <si>
    <t>HERRAMIENTAS Y ACCESORIOS SAC</t>
  </si>
  <si>
    <t>FRESHMART S.A.C.</t>
  </si>
  <si>
    <t>Total Wholesale Clubs</t>
  </si>
  <si>
    <t>INTERBANK</t>
  </si>
  <si>
    <t>POS</t>
  </si>
  <si>
    <t>CREDITO</t>
  </si>
  <si>
    <t>DEBITO</t>
  </si>
  <si>
    <t>PREPAGO</t>
  </si>
  <si>
    <t>E-COM</t>
  </si>
  <si>
    <t>TOTAL</t>
  </si>
  <si>
    <t>LOCALES</t>
  </si>
  <si>
    <t>FORÁNEAS</t>
  </si>
  <si>
    <t>CARGO AUTOMATICO</t>
  </si>
  <si>
    <t>PROCESOS DE MEDIOS DE PAGO S.A.</t>
  </si>
  <si>
    <t>TERMINALIZACIÓN</t>
  </si>
  <si>
    <t xml:space="preserve">Número de transacciones </t>
  </si>
  <si>
    <t>Producto</t>
  </si>
  <si>
    <t>% POS</t>
  </si>
  <si>
    <t>OTROS **</t>
  </si>
  <si>
    <t>% OTROS</t>
  </si>
  <si>
    <t>REC</t>
  </si>
  <si>
    <t>% REC</t>
  </si>
  <si>
    <t>% E-COM</t>
  </si>
  <si>
    <t>MANUAL</t>
  </si>
  <si>
    <t>% MANUAL</t>
  </si>
  <si>
    <t>American Express</t>
  </si>
  <si>
    <t>Amex Interbank</t>
  </si>
  <si>
    <t>Importe en soles</t>
  </si>
  <si>
    <t>** Estan consideradas las transacciones MOTO y UATP</t>
  </si>
  <si>
    <t>Sin efectivo - foráneas</t>
  </si>
  <si>
    <t>Mes</t>
  </si>
  <si>
    <t>Total Crédito</t>
  </si>
  <si>
    <t>Total Débito</t>
  </si>
  <si>
    <t>Total Prepago</t>
  </si>
  <si>
    <t>Nro Trans</t>
  </si>
  <si>
    <t>Importe (S/.)</t>
  </si>
  <si>
    <t>Con efectivo - foráneas</t>
  </si>
  <si>
    <t>CORPORATION INTHERPHARMA SAC</t>
  </si>
  <si>
    <t>C &amp; M SERVICENTROS SAC</t>
  </si>
  <si>
    <t>JE OPERADORES SAC</t>
  </si>
  <si>
    <t>INVERSIONES PABECSA SAC</t>
  </si>
  <si>
    <t>INVERSIONES KAMADO SAC</t>
  </si>
  <si>
    <t xml:space="preserve"> </t>
  </si>
  <si>
    <t>Share Total 2026: considera Amex, Visa y MC.</t>
  </si>
  <si>
    <t>Facturación Mastercard 2026</t>
  </si>
  <si>
    <t>pp: puntos porcentuales</t>
  </si>
  <si>
    <t>Bancos - Disp.efectivo ventanilla</t>
  </si>
  <si>
    <t>Contrat.calef.plomer</t>
  </si>
  <si>
    <t>Direct Marketing-Inbound Telemarketing Merchants</t>
  </si>
  <si>
    <t>MANTENIMIENTO Y REPARACIÓN DE COMPUTADORAS (NO</t>
  </si>
  <si>
    <t>PETROLEOS Y PRODUCTOS DE PETRO LEOS</t>
  </si>
  <si>
    <t>Hoteles- hostales- moteles</t>
  </si>
  <si>
    <t>Casinos- loterias- apuestas</t>
  </si>
  <si>
    <t>Abogados- notarias</t>
  </si>
  <si>
    <t>COMPUTADORAS- EQUIPO DE COMPUT QUIPO DE COMPUT ADORAS PERIFE</t>
  </si>
  <si>
    <t>METALES-PIEDRAS PRECIOSAS-RELO JES Y JOYERIA</t>
  </si>
  <si>
    <t>CASA DE CAMBIOS-GIROS POSTALES -REMESAS</t>
  </si>
  <si>
    <t>SERVICIOS DE ARQUITECTURA, INGENIERÍA Y TOPOGRA</t>
  </si>
  <si>
    <t>Agencia Empleo</t>
  </si>
  <si>
    <t>Cooperativas agricolas</t>
  </si>
  <si>
    <t>Servicios de osteopatas</t>
  </si>
  <si>
    <t>Secretaria</t>
  </si>
  <si>
    <t>Al 05 de Abril del 2,026</t>
  </si>
  <si>
    <t>AL 05 DE ABRIL DEL 2,026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</si>
</sst>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0"/>
    <numFmt numFmtId="165" formatCode="_-&quot;S/&quot;\ * #,##0_-;\-&quot;S/&quot;\ * #,##0_-;_-&quot;S/&quot;\ * &quot;-&quot;??_-;_-@_-"/>
    <numFmt numFmtId="166" formatCode="_-* #,##0_-;\-* #,##0_-;_-* &quot;-&quot;??_-;_-@_-"/>
    <numFmt numFmtId="167" formatCode="0.0%"/>
    <numFmt numFmtId="168" formatCode="_([$€-2]\ * #,##0.00_);_([$€-2]\ * \(#,##0.00\);_([$€-2]\ * &quot;-&quot;??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 Light"/>
      <family val="2"/>
    </font>
    <font>
      <sz val="11"/>
      <color theme="1"/>
      <name val="Calibri Light"/>
      <family val="2"/>
    </font>
    <font>
      <sz val="11"/>
      <color theme="1" tint="0.499984740745262"/>
      <name val="Calibri Light"/>
      <family val="2"/>
    </font>
    <font>
      <b/>
      <sz val="11"/>
      <color theme="1"/>
      <name val="Calibri Light"/>
      <family val="2"/>
    </font>
    <font>
      <sz val="10"/>
      <color theme="1" tint="0.499984740745262"/>
      <name val="Calibri Light"/>
      <family val="2"/>
    </font>
    <font>
      <b/>
      <sz val="10"/>
      <color theme="1" tint="0.499984740745262"/>
      <name val="Calibri Light"/>
      <family val="2"/>
    </font>
    <font>
      <b/>
      <sz val="11"/>
      <color rgb="FF00B050"/>
      <name val="Calibri Light"/>
      <family val="2"/>
    </font>
    <font>
      <b/>
      <sz val="11"/>
      <color theme="1" tint="0.499984740745262"/>
      <name val="Calibri Light"/>
      <family val="2"/>
    </font>
    <font>
      <i/>
      <sz val="11"/>
      <color theme="1"/>
      <name val="Calibri Light"/>
      <family val="2"/>
    </font>
    <font>
      <b/>
      <sz val="11"/>
      <color rgb="FF0070C0"/>
      <name val="Calibri Light"/>
      <family val="2"/>
    </font>
    <font>
      <sz val="11"/>
      <color theme="4" tint="-0.249977111117893"/>
      <name val="Calibri Light"/>
      <family val="2"/>
    </font>
    <font>
      <b/>
      <sz val="11"/>
      <color theme="4" tint="-0.249977111117893"/>
      <name val="Calibri Light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 Light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43" fontId="1" fillId="0" borderId="0"/>
    <xf numFmtId="44" fontId="1" fillId="0" borderId="0"/>
    <xf numFmtId="0" fontId="14" fillId="0" borderId="0"/>
    <xf numFmtId="9" fontId="14" fillId="0" borderId="0"/>
  </cellStyleXfs>
  <cellXfs count="260">
    <xf numFmtId="0" fontId="0" fillId="0" borderId="0" xfId="0"/>
    <xf numFmtId="17" fontId="2" fillId="2" borderId="21" xfId="0" applyNumberFormat="1" applyFont="1" applyFill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/>
    </xf>
    <xf numFmtId="0" fontId="7" fillId="0" borderId="21" xfId="0" applyFont="1" applyBorder="1"/>
    <xf numFmtId="17" fontId="2" fillId="4" borderId="21" xfId="0" applyNumberFormat="1" applyFont="1" applyFill="1" applyBorder="1" applyAlignment="1">
      <alignment horizontal="center" vertical="center"/>
    </xf>
    <xf numFmtId="17" fontId="2" fillId="6" borderId="21" xfId="0" applyNumberFormat="1" applyFont="1" applyFill="1" applyBorder="1" applyAlignment="1">
      <alignment horizontal="center" vertical="center"/>
    </xf>
    <xf numFmtId="17" fontId="2" fillId="7" borderId="21" xfId="0" applyNumberFormat="1" applyFont="1" applyFill="1" applyBorder="1" applyAlignment="1">
      <alignment horizontal="center" vertical="center"/>
    </xf>
    <xf numFmtId="10" fontId="9" fillId="0" borderId="21" xfId="1" applyNumberFormat="1" applyFont="1" applyBorder="1" applyAlignment="1">
      <alignment horizontal="center"/>
    </xf>
    <xf numFmtId="17" fontId="2" fillId="8" borderId="21" xfId="0" applyNumberFormat="1" applyFont="1" applyFill="1" applyBorder="1" applyAlignment="1">
      <alignment horizontal="center" vertical="center"/>
    </xf>
    <xf numFmtId="9" fontId="12" fillId="0" borderId="0" xfId="1" applyFont="1" applyAlignment="1">
      <alignment horizontal="center"/>
    </xf>
    <xf numFmtId="9" fontId="13" fillId="0" borderId="0" xfId="1" applyFont="1" applyAlignment="1">
      <alignment horizontal="center"/>
    </xf>
    <xf numFmtId="10" fontId="3" fillId="0" borderId="0" xfId="1" applyNumberFormat="1" applyFont="1"/>
    <xf numFmtId="0" fontId="5" fillId="10" borderId="26" xfId="0" applyFont="1" applyFill="1" applyBorder="1"/>
    <xf numFmtId="0" fontId="5" fillId="10" borderId="26" xfId="0" applyFont="1" applyFill="1" applyBorder="1" applyAlignment="1">
      <alignment horizontal="center"/>
    </xf>
    <xf numFmtId="0" fontId="5" fillId="0" borderId="27" xfId="0" applyFont="1" applyBorder="1"/>
    <xf numFmtId="0" fontId="3" fillId="11" borderId="0" xfId="0" applyFont="1" applyFill="1"/>
    <xf numFmtId="0" fontId="5" fillId="11" borderId="0" xfId="0" applyFont="1" applyFill="1"/>
    <xf numFmtId="0" fontId="5" fillId="0" borderId="0" xfId="0" applyFont="1"/>
    <xf numFmtId="0" fontId="17" fillId="0" borderId="0" xfId="0" applyFont="1"/>
    <xf numFmtId="17" fontId="18" fillId="2" borderId="28" xfId="0" applyNumberFormat="1" applyFont="1" applyFill="1" applyBorder="1" applyAlignment="1">
      <alignment horizontal="center" vertical="center"/>
    </xf>
    <xf numFmtId="17" fontId="18" fillId="2" borderId="1" xfId="0" applyNumberFormat="1" applyFont="1" applyFill="1" applyBorder="1" applyAlignment="1">
      <alignment horizontal="center" vertical="center"/>
    </xf>
    <xf numFmtId="17" fontId="18" fillId="2" borderId="2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 indent="1"/>
    </xf>
    <xf numFmtId="0" fontId="20" fillId="2" borderId="12" xfId="0" applyFont="1" applyFill="1" applyBorder="1" applyAlignment="1">
      <alignment horizontal="left" vertical="center" indent="1"/>
    </xf>
    <xf numFmtId="0" fontId="20" fillId="2" borderId="23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17" fontId="16" fillId="0" borderId="0" xfId="0" applyNumberFormat="1" applyFont="1" applyAlignment="1">
      <alignment horizontal="center"/>
    </xf>
    <xf numFmtId="10" fontId="19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0" fontId="23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0" borderId="7" xfId="0" applyFont="1" applyBorder="1" applyAlignment="1">
      <alignment horizontal="center" vertical="center"/>
    </xf>
    <xf numFmtId="17" fontId="18" fillId="2" borderId="0" xfId="0" applyNumberFormat="1" applyFont="1" applyFill="1" applyAlignment="1">
      <alignment horizontal="center"/>
    </xf>
    <xf numFmtId="0" fontId="23" fillId="2" borderId="12" xfId="0" applyFont="1" applyFill="1" applyBorder="1" applyAlignment="1">
      <alignment horizontal="left" vertical="center" indent="3"/>
    </xf>
    <xf numFmtId="0" fontId="23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left" vertical="center" indent="3"/>
    </xf>
    <xf numFmtId="0" fontId="18" fillId="3" borderId="7" xfId="0" applyFont="1" applyFill="1" applyBorder="1" applyAlignment="1">
      <alignment horizontal="left" vertical="center" indent="1"/>
    </xf>
    <xf numFmtId="0" fontId="18" fillId="4" borderId="7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left" vertical="center" indent="2"/>
    </xf>
    <xf numFmtId="0" fontId="18" fillId="2" borderId="17" xfId="0" applyFont="1" applyFill="1" applyBorder="1" applyAlignment="1">
      <alignment horizontal="left" indent="1"/>
    </xf>
    <xf numFmtId="17" fontId="18" fillId="2" borderId="1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left" indent="1"/>
    </xf>
    <xf numFmtId="0" fontId="23" fillId="2" borderId="0" xfId="0" applyFont="1" applyFill="1" applyAlignment="1">
      <alignment horizontal="left" indent="2"/>
    </xf>
    <xf numFmtId="0" fontId="23" fillId="2" borderId="18" xfId="0" applyFont="1" applyFill="1" applyBorder="1" applyAlignment="1">
      <alignment horizontal="left" indent="2"/>
    </xf>
    <xf numFmtId="0" fontId="24" fillId="2" borderId="0" xfId="0" applyFont="1" applyFill="1"/>
    <xf numFmtId="0" fontId="25" fillId="2" borderId="0" xfId="0" applyFont="1" applyFill="1"/>
    <xf numFmtId="0" fontId="18" fillId="0" borderId="35" xfId="0" applyFont="1" applyBorder="1" applyAlignment="1">
      <alignment horizontal="center" vertical="center"/>
    </xf>
    <xf numFmtId="0" fontId="18" fillId="3" borderId="35" xfId="0" applyFont="1" applyFill="1" applyBorder="1" applyAlignment="1">
      <alignment horizontal="left" vertical="center" indent="1"/>
    </xf>
    <xf numFmtId="10" fontId="16" fillId="0" borderId="0" xfId="1" applyNumberFormat="1" applyFont="1" applyAlignment="1">
      <alignment horizontal="center"/>
    </xf>
    <xf numFmtId="17" fontId="18" fillId="2" borderId="37" xfId="0" applyNumberFormat="1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17" fontId="18" fillId="2" borderId="30" xfId="0" applyNumberFormat="1" applyFont="1" applyFill="1" applyBorder="1" applyAlignment="1">
      <alignment horizontal="center" vertical="center"/>
    </xf>
    <xf numFmtId="17" fontId="18" fillId="2" borderId="7" xfId="0" applyNumberFormat="1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left" vertical="center" wrapText="1" indent="2"/>
    </xf>
    <xf numFmtId="0" fontId="23" fillId="2" borderId="16" xfId="0" applyFont="1" applyFill="1" applyBorder="1" applyAlignment="1">
      <alignment horizontal="left" vertical="center" wrapText="1" indent="2"/>
    </xf>
    <xf numFmtId="0" fontId="23" fillId="2" borderId="38" xfId="0" applyFont="1" applyFill="1" applyBorder="1" applyAlignment="1">
      <alignment horizontal="left" vertical="center" wrapText="1" indent="2"/>
    </xf>
    <xf numFmtId="0" fontId="15" fillId="5" borderId="33" xfId="0" applyFont="1" applyFill="1" applyBorder="1" applyAlignment="1">
      <alignment horizontal="left" indent="2"/>
    </xf>
    <xf numFmtId="0" fontId="18" fillId="2" borderId="17" xfId="0" applyFont="1" applyFill="1" applyBorder="1" applyAlignment="1">
      <alignment horizontal="left" indent="2"/>
    </xf>
    <xf numFmtId="0" fontId="23" fillId="2" borderId="19" xfId="0" applyFont="1" applyFill="1" applyBorder="1" applyAlignment="1">
      <alignment horizontal="left" vertical="center" wrapText="1" indent="2"/>
    </xf>
    <xf numFmtId="17" fontId="18" fillId="2" borderId="8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0" fontId="23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0" fontId="18" fillId="2" borderId="0" xfId="0" applyNumberFormat="1" applyFont="1" applyFill="1" applyAlignment="1">
      <alignment horizontal="center" vertical="center"/>
    </xf>
    <xf numFmtId="17" fontId="18" fillId="2" borderId="43" xfId="0" applyNumberFormat="1" applyFont="1" applyFill="1" applyBorder="1" applyAlignment="1">
      <alignment horizontal="center" vertical="center"/>
    </xf>
    <xf numFmtId="10" fontId="1" fillId="0" borderId="44" xfId="1" applyNumberFormat="1" applyBorder="1" applyAlignment="1">
      <alignment horizontal="center"/>
    </xf>
    <xf numFmtId="10" fontId="1" fillId="0" borderId="45" xfId="1" applyNumberFormat="1" applyBorder="1" applyAlignment="1">
      <alignment horizontal="center"/>
    </xf>
    <xf numFmtId="17" fontId="26" fillId="2" borderId="21" xfId="0" applyNumberFormat="1" applyFont="1" applyFill="1" applyBorder="1" applyAlignment="1">
      <alignment horizontal="center" vertical="center"/>
    </xf>
    <xf numFmtId="17" fontId="26" fillId="7" borderId="21" xfId="0" applyNumberFormat="1" applyFont="1" applyFill="1" applyBorder="1" applyAlignment="1">
      <alignment horizontal="center" vertical="center"/>
    </xf>
    <xf numFmtId="17" fontId="26" fillId="6" borderId="21" xfId="0" applyNumberFormat="1" applyFont="1" applyFill="1" applyBorder="1" applyAlignment="1">
      <alignment horizontal="center" vertical="center"/>
    </xf>
    <xf numFmtId="17" fontId="26" fillId="4" borderId="21" xfId="0" applyNumberFormat="1" applyFont="1" applyFill="1" applyBorder="1" applyAlignment="1">
      <alignment horizontal="center" vertical="center"/>
    </xf>
    <xf numFmtId="0" fontId="27" fillId="9" borderId="21" xfId="0" applyFont="1" applyFill="1" applyBorder="1"/>
    <xf numFmtId="10" fontId="29" fillId="9" borderId="21" xfId="1" applyNumberFormat="1" applyFont="1" applyFill="1" applyBorder="1" applyAlignment="1">
      <alignment horizontal="center"/>
    </xf>
    <xf numFmtId="9" fontId="30" fillId="0" borderId="0" xfId="1" applyFont="1" applyAlignment="1">
      <alignment horizontal="center"/>
    </xf>
    <xf numFmtId="0" fontId="27" fillId="0" borderId="21" xfId="0" applyFont="1" applyBorder="1"/>
    <xf numFmtId="10" fontId="29" fillId="0" borderId="21" xfId="1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2" fillId="0" borderId="0" xfId="0" applyFont="1" applyAlignment="1">
      <alignment horizontal="center"/>
    </xf>
    <xf numFmtId="10" fontId="31" fillId="0" borderId="21" xfId="1" applyNumberFormat="1" applyFont="1" applyBorder="1" applyAlignment="1">
      <alignment horizontal="center"/>
    </xf>
    <xf numFmtId="9" fontId="33" fillId="0" borderId="0" xfId="1" applyFont="1" applyAlignment="1">
      <alignment horizontal="center"/>
    </xf>
    <xf numFmtId="10" fontId="0" fillId="0" borderId="0" xfId="1" applyNumberFormat="1" applyFont="1"/>
    <xf numFmtId="164" fontId="0" fillId="0" borderId="0" xfId="0" applyNumberFormat="1"/>
    <xf numFmtId="165" fontId="19" fillId="2" borderId="31" xfId="3" applyNumberFormat="1" applyFont="1" applyFill="1" applyBorder="1" applyAlignment="1">
      <alignment horizontal="center" vertical="center"/>
    </xf>
    <xf numFmtId="165" fontId="19" fillId="2" borderId="4" xfId="3" applyNumberFormat="1" applyFont="1" applyFill="1" applyBorder="1" applyAlignment="1">
      <alignment horizontal="center" vertical="center"/>
    </xf>
    <xf numFmtId="165" fontId="19" fillId="2" borderId="5" xfId="3" applyNumberFormat="1" applyFont="1" applyFill="1" applyBorder="1" applyAlignment="1">
      <alignment horizontal="center" vertical="center"/>
    </xf>
    <xf numFmtId="165" fontId="20" fillId="2" borderId="36" xfId="3" applyNumberFormat="1" applyFont="1" applyFill="1" applyBorder="1" applyAlignment="1">
      <alignment horizontal="center" vertical="center"/>
    </xf>
    <xf numFmtId="165" fontId="20" fillId="2" borderId="13" xfId="3" applyNumberFormat="1" applyFont="1" applyFill="1" applyBorder="1" applyAlignment="1">
      <alignment horizontal="center" vertical="center"/>
    </xf>
    <xf numFmtId="165" fontId="20" fillId="2" borderId="14" xfId="3" applyNumberFormat="1" applyFont="1" applyFill="1" applyBorder="1" applyAlignment="1">
      <alignment horizontal="center" vertical="center"/>
    </xf>
    <xf numFmtId="165" fontId="20" fillId="2" borderId="29" xfId="3" applyNumberFormat="1" applyFont="1" applyFill="1" applyBorder="1" applyAlignment="1">
      <alignment horizontal="center" vertical="center"/>
    </xf>
    <xf numFmtId="165" fontId="20" fillId="2" borderId="24" xfId="3" applyNumberFormat="1" applyFont="1" applyFill="1" applyBorder="1" applyAlignment="1">
      <alignment horizontal="center" vertical="center"/>
    </xf>
    <xf numFmtId="165" fontId="20" fillId="2" borderId="25" xfId="3" applyNumberFormat="1" applyFont="1" applyFill="1" applyBorder="1" applyAlignment="1">
      <alignment horizontal="center" vertical="center"/>
    </xf>
    <xf numFmtId="166" fontId="18" fillId="2" borderId="0" xfId="2" applyNumberFormat="1" applyFont="1" applyFill="1" applyAlignment="1">
      <alignment horizontal="center"/>
    </xf>
    <xf numFmtId="165" fontId="18" fillId="3" borderId="28" xfId="3" applyNumberFormat="1" applyFont="1" applyFill="1" applyBorder="1" applyAlignment="1">
      <alignment horizontal="center" vertical="center"/>
    </xf>
    <xf numFmtId="165" fontId="18" fillId="3" borderId="1" xfId="3" applyNumberFormat="1" applyFont="1" applyFill="1" applyBorder="1" applyAlignment="1">
      <alignment horizontal="center" vertical="center"/>
    </xf>
    <xf numFmtId="165" fontId="18" fillId="3" borderId="30" xfId="3" applyNumberFormat="1" applyFont="1" applyFill="1" applyBorder="1" applyAlignment="1">
      <alignment horizontal="center" vertical="center"/>
    </xf>
    <xf numFmtId="167" fontId="18" fillId="3" borderId="7" xfId="1" applyNumberFormat="1" applyFont="1" applyFill="1" applyBorder="1" applyAlignment="1">
      <alignment horizontal="center" vertical="center"/>
    </xf>
    <xf numFmtId="165" fontId="23" fillId="2" borderId="32" xfId="3" applyNumberFormat="1" applyFont="1" applyFill="1" applyBorder="1" applyAlignment="1">
      <alignment horizontal="left" vertical="center"/>
    </xf>
    <xf numFmtId="165" fontId="23" fillId="2" borderId="13" xfId="3" applyNumberFormat="1" applyFont="1" applyFill="1" applyBorder="1" applyAlignment="1">
      <alignment horizontal="left" vertical="center"/>
    </xf>
    <xf numFmtId="165" fontId="23" fillId="2" borderId="16" xfId="3" applyNumberFormat="1" applyFont="1" applyFill="1" applyBorder="1" applyAlignment="1">
      <alignment horizontal="center" vertical="center"/>
    </xf>
    <xf numFmtId="165" fontId="23" fillId="2" borderId="13" xfId="3" applyNumberFormat="1" applyFont="1" applyFill="1" applyBorder="1" applyAlignment="1">
      <alignment horizontal="center" vertical="center"/>
    </xf>
    <xf numFmtId="167" fontId="23" fillId="2" borderId="12" xfId="1" applyNumberFormat="1" applyFont="1" applyFill="1" applyBorder="1" applyAlignment="1">
      <alignment horizontal="center" vertical="center"/>
    </xf>
    <xf numFmtId="166" fontId="23" fillId="2" borderId="0" xfId="2" applyNumberFormat="1" applyFont="1" applyFill="1" applyAlignment="1">
      <alignment horizontal="center"/>
    </xf>
    <xf numFmtId="165" fontId="18" fillId="4" borderId="35" xfId="3" applyNumberFormat="1" applyFont="1" applyFill="1" applyBorder="1" applyAlignment="1">
      <alignment horizontal="center" vertical="center"/>
    </xf>
    <xf numFmtId="165" fontId="18" fillId="4" borderId="1" xfId="3" applyNumberFormat="1" applyFont="1" applyFill="1" applyBorder="1" applyAlignment="1">
      <alignment horizontal="center" vertical="center"/>
    </xf>
    <xf numFmtId="165" fontId="18" fillId="4" borderId="8" xfId="3" applyNumberFormat="1" applyFont="1" applyFill="1" applyBorder="1" applyAlignment="1">
      <alignment horizontal="center" vertical="center"/>
    </xf>
    <xf numFmtId="165" fontId="18" fillId="4" borderId="39" xfId="3" applyNumberFormat="1" applyFont="1" applyFill="1" applyBorder="1" applyAlignment="1">
      <alignment horizontal="center" vertical="center"/>
    </xf>
    <xf numFmtId="167" fontId="23" fillId="2" borderId="0" xfId="0" applyNumberFormat="1" applyFont="1" applyFill="1" applyAlignment="1">
      <alignment horizontal="center" vertical="center"/>
    </xf>
    <xf numFmtId="165" fontId="23" fillId="2" borderId="0" xfId="3" applyNumberFormat="1" applyFont="1" applyFill="1" applyAlignment="1">
      <alignment horizontal="left" vertical="center"/>
    </xf>
    <xf numFmtId="167" fontId="23" fillId="2" borderId="0" xfId="1" applyNumberFormat="1" applyFont="1" applyFill="1"/>
    <xf numFmtId="165" fontId="23" fillId="2" borderId="18" xfId="3" applyNumberFormat="1" applyFont="1" applyFill="1" applyBorder="1" applyAlignment="1">
      <alignment horizontal="center" vertical="center"/>
    </xf>
    <xf numFmtId="165" fontId="23" fillId="2" borderId="20" xfId="3" applyNumberFormat="1" applyFont="1" applyFill="1" applyBorder="1" applyAlignment="1">
      <alignment horizontal="center" vertical="center"/>
    </xf>
    <xf numFmtId="165" fontId="23" fillId="2" borderId="19" xfId="3" applyNumberFormat="1" applyFont="1" applyFill="1" applyBorder="1" applyAlignment="1">
      <alignment horizontal="center" vertical="center"/>
    </xf>
    <xf numFmtId="165" fontId="18" fillId="2" borderId="0" xfId="3" applyNumberFormat="1" applyFont="1" applyFill="1" applyAlignment="1">
      <alignment horizontal="left" indent="1"/>
    </xf>
    <xf numFmtId="165" fontId="18" fillId="2" borderId="0" xfId="3" applyNumberFormat="1" applyFont="1" applyFill="1" applyAlignment="1">
      <alignment horizontal="center"/>
    </xf>
    <xf numFmtId="165" fontId="23" fillId="2" borderId="0" xfId="3" applyNumberFormat="1" applyFont="1" applyFill="1" applyAlignment="1">
      <alignment horizontal="center"/>
    </xf>
    <xf numFmtId="167" fontId="23" fillId="2" borderId="16" xfId="1" applyNumberFormat="1" applyFont="1" applyFill="1" applyBorder="1" applyAlignment="1">
      <alignment horizontal="center"/>
    </xf>
    <xf numFmtId="167" fontId="23" fillId="2" borderId="19" xfId="1" applyNumberFormat="1" applyFont="1" applyFill="1" applyBorder="1" applyAlignment="1">
      <alignment horizontal="center"/>
    </xf>
    <xf numFmtId="167" fontId="23" fillId="2" borderId="0" xfId="1" applyNumberFormat="1" applyFont="1" applyFill="1" applyAlignment="1">
      <alignment horizontal="center"/>
    </xf>
    <xf numFmtId="165" fontId="23" fillId="2" borderId="16" xfId="3" applyNumberFormat="1" applyFont="1" applyFill="1" applyBorder="1" applyAlignment="1">
      <alignment horizontal="left" vertical="center"/>
    </xf>
    <xf numFmtId="165" fontId="23" fillId="2" borderId="34" xfId="3" applyNumberFormat="1" applyFont="1" applyFill="1" applyBorder="1" applyAlignment="1">
      <alignment horizontal="center" vertical="center"/>
    </xf>
    <xf numFmtId="165" fontId="23" fillId="2" borderId="22" xfId="3" applyNumberFormat="1" applyFont="1" applyFill="1" applyBorder="1" applyAlignment="1">
      <alignment horizontal="center" vertical="center"/>
    </xf>
    <xf numFmtId="165" fontId="23" fillId="2" borderId="10" xfId="3" applyNumberFormat="1" applyFont="1" applyFill="1" applyBorder="1" applyAlignment="1">
      <alignment horizontal="center" vertical="center"/>
    </xf>
    <xf numFmtId="166" fontId="23" fillId="2" borderId="0" xfId="2" applyNumberFormat="1" applyFont="1" applyFill="1"/>
    <xf numFmtId="165" fontId="23" fillId="2" borderId="40" xfId="3" applyNumberFormat="1" applyFont="1" applyFill="1" applyBorder="1" applyAlignment="1">
      <alignment horizontal="center" vertical="center"/>
    </xf>
    <xf numFmtId="165" fontId="23" fillId="2" borderId="41" xfId="3" applyNumberFormat="1" applyFont="1" applyFill="1" applyBorder="1" applyAlignment="1">
      <alignment horizontal="center" vertical="center"/>
    </xf>
    <xf numFmtId="165" fontId="23" fillId="2" borderId="11" xfId="3" applyNumberFormat="1" applyFont="1" applyFill="1" applyBorder="1" applyAlignment="1">
      <alignment horizontal="center" vertical="center"/>
    </xf>
    <xf numFmtId="165" fontId="18" fillId="4" borderId="28" xfId="3" applyNumberFormat="1" applyFont="1" applyFill="1" applyBorder="1" applyAlignment="1">
      <alignment horizontal="center" vertical="center"/>
    </xf>
    <xf numFmtId="165" fontId="18" fillId="4" borderId="2" xfId="3" applyNumberFormat="1" applyFont="1" applyFill="1" applyBorder="1" applyAlignment="1">
      <alignment horizontal="center" vertical="center"/>
    </xf>
    <xf numFmtId="165" fontId="28" fillId="0" borderId="21" xfId="3" applyNumberFormat="1" applyFont="1" applyBorder="1"/>
    <xf numFmtId="167" fontId="29" fillId="9" borderId="21" xfId="1" applyNumberFormat="1" applyFont="1" applyFill="1" applyBorder="1" applyAlignment="1">
      <alignment horizontal="center"/>
    </xf>
    <xf numFmtId="167" fontId="29" fillId="0" borderId="21" xfId="1" applyNumberFormat="1" applyFont="1" applyBorder="1" applyAlignment="1">
      <alignment horizontal="center"/>
    </xf>
    <xf numFmtId="165" fontId="27" fillId="0" borderId="21" xfId="3" applyNumberFormat="1" applyFont="1" applyBorder="1"/>
    <xf numFmtId="165" fontId="6" fillId="0" borderId="21" xfId="3" applyNumberFormat="1" applyFont="1" applyBorder="1"/>
    <xf numFmtId="167" fontId="4" fillId="9" borderId="21" xfId="1" applyNumberFormat="1" applyFont="1" applyFill="1" applyBorder="1" applyAlignment="1">
      <alignment horizontal="center"/>
    </xf>
    <xf numFmtId="167" fontId="4" fillId="0" borderId="21" xfId="1" applyNumberFormat="1" applyFont="1" applyBorder="1" applyAlignment="1">
      <alignment horizontal="center"/>
    </xf>
    <xf numFmtId="165" fontId="7" fillId="0" borderId="21" xfId="3" applyNumberFormat="1" applyFont="1" applyBorder="1"/>
    <xf numFmtId="166" fontId="6" fillId="0" borderId="21" xfId="2" applyNumberFormat="1" applyFont="1" applyBorder="1"/>
    <xf numFmtId="166" fontId="7" fillId="0" borderId="21" xfId="2" applyNumberFormat="1" applyFont="1" applyBorder="1"/>
    <xf numFmtId="165" fontId="3" fillId="0" borderId="0" xfId="0" applyNumberFormat="1" applyFont="1"/>
    <xf numFmtId="167" fontId="3" fillId="0" borderId="0" xfId="1" applyNumberFormat="1" applyFont="1"/>
    <xf numFmtId="165" fontId="5" fillId="0" borderId="27" xfId="0" applyNumberFormat="1" applyFont="1" applyBorder="1"/>
    <xf numFmtId="167" fontId="5" fillId="0" borderId="27" xfId="1" applyNumberFormat="1" applyFont="1" applyBorder="1"/>
    <xf numFmtId="165" fontId="5" fillId="0" borderId="0" xfId="0" applyNumberFormat="1" applyFont="1"/>
    <xf numFmtId="167" fontId="5" fillId="0" borderId="0" xfId="1" applyNumberFormat="1" applyFont="1"/>
    <xf numFmtId="165" fontId="3" fillId="11" borderId="0" xfId="0" applyNumberFormat="1" applyFont="1" applyFill="1"/>
    <xf numFmtId="0" fontId="3" fillId="0" borderId="0" xfId="0" applyFont="1"/>
    <xf numFmtId="44" fontId="23" fillId="2" borderId="0" xfId="3" applyFont="1" applyFill="1"/>
    <xf numFmtId="0" fontId="35" fillId="0" borderId="0" xfId="0" applyFont="1"/>
    <xf numFmtId="0" fontId="32" fillId="0" borderId="0" xfId="0" applyFont="1"/>
    <xf numFmtId="4" fontId="16" fillId="0" borderId="0" xfId="0" applyNumberFormat="1" applyFont="1" applyAlignment="1">
      <alignment horizontal="center"/>
    </xf>
    <xf numFmtId="4" fontId="18" fillId="13" borderId="0" xfId="0" applyNumberFormat="1" applyFont="1" applyFill="1"/>
    <xf numFmtId="4" fontId="0" fillId="0" borderId="0" xfId="0" applyNumberFormat="1"/>
    <xf numFmtId="4" fontId="34" fillId="14" borderId="0" xfId="0" applyNumberFormat="1" applyFont="1" applyFill="1"/>
    <xf numFmtId="3" fontId="0" fillId="15" borderId="0" xfId="0" applyNumberFormat="1" applyFill="1"/>
    <xf numFmtId="3" fontId="0" fillId="0" borderId="0" xfId="0" applyNumberFormat="1"/>
    <xf numFmtId="10" fontId="0" fillId="0" borderId="0" xfId="1" applyNumberFormat="1" applyFont="1" applyAlignment="1">
      <alignment horizontal="center"/>
    </xf>
    <xf numFmtId="4" fontId="34" fillId="16" borderId="0" xfId="0" applyNumberFormat="1" applyFont="1" applyFill="1"/>
    <xf numFmtId="3" fontId="0" fillId="17" borderId="0" xfId="0" applyNumberFormat="1" applyFill="1"/>
    <xf numFmtId="4" fontId="0" fillId="18" borderId="0" xfId="0" applyNumberFormat="1" applyFill="1"/>
    <xf numFmtId="3" fontId="0" fillId="3" borderId="0" xfId="0" applyNumberFormat="1" applyFill="1"/>
    <xf numFmtId="3" fontId="16" fillId="0" borderId="0" xfId="0" applyNumberFormat="1" applyFont="1"/>
    <xf numFmtId="10" fontId="0" fillId="0" borderId="0" xfId="0" applyNumberFormat="1" applyAlignment="1">
      <alignment horizontal="center"/>
    </xf>
    <xf numFmtId="4" fontId="16" fillId="0" borderId="0" xfId="0" applyNumberFormat="1" applyFont="1"/>
    <xf numFmtId="4" fontId="0" fillId="15" borderId="0" xfId="0" applyNumberFormat="1" applyFill="1"/>
    <xf numFmtId="4" fontId="0" fillId="17" borderId="0" xfId="0" applyNumberFormat="1" applyFill="1"/>
    <xf numFmtId="4" fontId="0" fillId="3" borderId="0" xfId="0" applyNumberForma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168" fontId="36" fillId="2" borderId="0" xfId="0" applyNumberFormat="1" applyFont="1" applyFill="1" applyAlignment="1">
      <alignment vertical="center"/>
    </xf>
    <xf numFmtId="3" fontId="37" fillId="2" borderId="0" xfId="0" applyNumberFormat="1" applyFont="1" applyFill="1"/>
    <xf numFmtId="0" fontId="36" fillId="19" borderId="0" xfId="0" applyFont="1" applyFill="1"/>
    <xf numFmtId="0" fontId="36" fillId="2" borderId="35" xfId="0" applyFont="1" applyFill="1" applyBorder="1" applyAlignment="1">
      <alignment horizontal="left" vertical="center"/>
    </xf>
    <xf numFmtId="0" fontId="36" fillId="2" borderId="28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30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left" vertical="center"/>
    </xf>
    <xf numFmtId="3" fontId="37" fillId="2" borderId="46" xfId="0" applyNumberFormat="1" applyFont="1" applyFill="1" applyBorder="1" applyAlignment="1">
      <alignment horizontal="center" vertical="center"/>
    </xf>
    <xf numFmtId="10" fontId="37" fillId="2" borderId="47" xfId="1" applyNumberFormat="1" applyFont="1" applyFill="1" applyBorder="1" applyAlignment="1">
      <alignment horizontal="center" vertical="center"/>
    </xf>
    <xf numFmtId="3" fontId="37" fillId="2" borderId="47" xfId="0" applyNumberFormat="1" applyFont="1" applyFill="1" applyBorder="1" applyAlignment="1">
      <alignment horizontal="center" vertical="center"/>
    </xf>
    <xf numFmtId="3" fontId="37" fillId="2" borderId="1" xfId="0" applyNumberFormat="1" applyFont="1" applyFill="1" applyBorder="1" applyAlignment="1">
      <alignment horizontal="center" vertical="center"/>
    </xf>
    <xf numFmtId="10" fontId="37" fillId="2" borderId="41" xfId="1" applyNumberFormat="1" applyFont="1" applyFill="1" applyBorder="1" applyAlignment="1">
      <alignment horizontal="center" vertical="center"/>
    </xf>
    <xf numFmtId="3" fontId="37" fillId="2" borderId="3" xfId="0" applyNumberFormat="1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left" vertical="center"/>
    </xf>
    <xf numFmtId="3" fontId="37" fillId="2" borderId="8" xfId="0" applyNumberFormat="1" applyFont="1" applyFill="1" applyBorder="1" applyAlignment="1">
      <alignment horizontal="center" vertical="center"/>
    </xf>
    <xf numFmtId="10" fontId="37" fillId="2" borderId="1" xfId="1" applyNumberFormat="1" applyFont="1" applyFill="1" applyBorder="1" applyAlignment="1">
      <alignment horizontal="center" vertical="center"/>
    </xf>
    <xf numFmtId="10" fontId="37" fillId="2" borderId="30" xfId="1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0" xfId="0" applyFont="1" applyFill="1"/>
    <xf numFmtId="0" fontId="40" fillId="2" borderId="0" xfId="0" applyFont="1" applyFill="1"/>
    <xf numFmtId="0" fontId="0" fillId="2" borderId="0" xfId="0" applyFill="1"/>
    <xf numFmtId="0" fontId="16" fillId="2" borderId="0" xfId="0" applyFont="1" applyFill="1"/>
    <xf numFmtId="0" fontId="16" fillId="2" borderId="50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0" fillId="2" borderId="48" xfId="0" applyFill="1" applyBorder="1" applyAlignment="1">
      <alignment horizontal="left" indent="1"/>
    </xf>
    <xf numFmtId="3" fontId="0" fillId="2" borderId="49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3" fontId="0" fillId="2" borderId="48" xfId="0" applyNumberFormat="1" applyFill="1" applyBorder="1" applyAlignment="1">
      <alignment horizontal="center"/>
    </xf>
    <xf numFmtId="0" fontId="0" fillId="2" borderId="51" xfId="0" applyFill="1" applyBorder="1" applyAlignment="1">
      <alignment horizontal="left" indent="1"/>
    </xf>
    <xf numFmtId="3" fontId="0" fillId="2" borderId="17" xfId="0" applyNumberFormat="1" applyFill="1" applyBorder="1" applyAlignment="1">
      <alignment horizontal="center"/>
    </xf>
    <xf numFmtId="3" fontId="0" fillId="2" borderId="52" xfId="0" applyNumberFormat="1" applyFill="1" applyBorder="1" applyAlignment="1">
      <alignment horizontal="center"/>
    </xf>
    <xf numFmtId="3" fontId="0" fillId="2" borderId="51" xfId="0" applyNumberFormat="1" applyFill="1" applyBorder="1" applyAlignment="1">
      <alignment horizontal="center"/>
    </xf>
    <xf numFmtId="0" fontId="0" fillId="2" borderId="29" xfId="0" applyFill="1" applyBorder="1" applyAlignment="1">
      <alignment horizontal="left" indent="1"/>
    </xf>
    <xf numFmtId="3" fontId="0" fillId="2" borderId="50" xfId="0" applyNumberFormat="1" applyFill="1" applyBorder="1" applyAlignment="1">
      <alignment horizontal="center"/>
    </xf>
    <xf numFmtId="3" fontId="0" fillId="2" borderId="25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10" fontId="1" fillId="0" borderId="0" xfId="1" applyNumberFormat="1" applyAlignment="1">
      <alignment horizontal="center"/>
    </xf>
    <xf numFmtId="165" fontId="0" fillId="0" borderId="0" xfId="0" applyNumberFormat="1"/>
    <xf numFmtId="0" fontId="41" fillId="2" borderId="0" xfId="0" applyFont="1" applyFill="1"/>
    <xf numFmtId="3" fontId="23" fillId="2" borderId="17" xfId="0" applyNumberFormat="1" applyFont="1" applyFill="1" applyBorder="1" applyAlignment="1">
      <alignment horizontal="center"/>
    </xf>
    <xf numFmtId="3" fontId="23" fillId="2" borderId="51" xfId="0" applyNumberFormat="1" applyFont="1" applyFill="1" applyBorder="1" applyAlignment="1">
      <alignment horizontal="center"/>
    </xf>
    <xf numFmtId="3" fontId="23" fillId="2" borderId="52" xfId="0" applyNumberFormat="1" applyFont="1" applyFill="1" applyBorder="1" applyAlignment="1">
      <alignment horizontal="center"/>
    </xf>
    <xf numFmtId="10" fontId="1" fillId="0" borderId="0" xfId="1" applyNumberFormat="1"/>
    <xf numFmtId="3" fontId="23" fillId="2" borderId="0" xfId="0" applyNumberFormat="1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2" borderId="26" xfId="0" applyFont="1" applyFill="1" applyBorder="1" applyAlignment="1">
      <alignment horizontal="center"/>
    </xf>
    <xf numFmtId="17" fontId="42" fillId="2" borderId="21" xfId="0" applyNumberFormat="1" applyFont="1" applyFill="1" applyBorder="1" applyAlignment="1">
      <alignment horizontal="center" vertical="center"/>
    </xf>
    <xf numFmtId="17" fontId="42" fillId="4" borderId="21" xfId="0" applyNumberFormat="1" applyFont="1" applyFill="1" applyBorder="1" applyAlignment="1">
      <alignment horizontal="center" vertical="center"/>
    </xf>
    <xf numFmtId="17" fontId="42" fillId="6" borderId="21" xfId="0" applyNumberFormat="1" applyFont="1" applyFill="1" applyBorder="1" applyAlignment="1">
      <alignment horizontal="center" vertical="center"/>
    </xf>
    <xf numFmtId="17" fontId="42" fillId="7" borderId="21" xfId="0" applyNumberFormat="1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167" fontId="5" fillId="0" borderId="27" xfId="1" applyNumberFormat="1" applyFont="1" applyBorder="1" applyAlignment="1">
      <alignment horizontal="center"/>
    </xf>
    <xf numFmtId="167" fontId="5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67" fontId="3" fillId="11" borderId="0" xfId="1" applyNumberFormat="1" applyFont="1" applyFill="1" applyAlignment="1">
      <alignment horizontal="center"/>
    </xf>
    <xf numFmtId="167" fontId="3" fillId="11" borderId="0" xfId="1" applyNumberFormat="1" applyFont="1" applyFill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0" fontId="43" fillId="0" borderId="21" xfId="1" applyNumberFormat="1" applyFont="1" applyBorder="1" applyAlignment="1">
      <alignment horizontal="center"/>
    </xf>
    <xf numFmtId="9" fontId="44" fillId="0" borderId="0" xfId="1" applyFont="1" applyAlignment="1">
      <alignment horizontal="center"/>
    </xf>
    <xf numFmtId="0" fontId="16" fillId="2" borderId="48" xfId="0" applyFont="1" applyFill="1" applyBorder="1" applyAlignment="1">
      <alignment horizontal="center" vertical="center"/>
    </xf>
    <xf numFmtId="0" fontId="0" fillId="2" borderId="46" xfId="0" applyFill="1" applyBorder="1"/>
    <xf numFmtId="0" fontId="16" fillId="2" borderId="49" xfId="0" applyFont="1" applyFill="1" applyBorder="1" applyAlignment="1">
      <alignment horizontal="center" vertical="center"/>
    </xf>
    <xf numFmtId="0" fontId="0" fillId="2" borderId="44" xfId="0" applyFill="1" applyBorder="1"/>
    <xf numFmtId="0" fontId="16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Millares" xfId="2" builtinId="3"/>
    <cellStyle name="Moneda" xfId="3" builtinId="4"/>
    <cellStyle name="Normal" xfId="0" builtinId="0"/>
    <cellStyle name="Normal 2" xfId="4" xr:uid="{00000000-0005-0000-0000-000004000000}"/>
    <cellStyle name="Porcentaje" xfId="1" builtinId="5"/>
    <cellStyle name="Porcentaje 2" xfId="5" xr:uid="{00000000-0005-0000-0000-000005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N11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2.6328125" customWidth="1"/>
    <col min="2" max="2" width="23" customWidth="1"/>
    <col min="3" max="14" width="20.81640625" customWidth="1"/>
    <col min="15" max="15" width="16.08984375" bestFit="1" customWidth="1"/>
    <col min="16" max="28" width="11.453125" customWidth="1"/>
  </cols>
  <sheetData>
    <row r="2" spans="2:14" ht="18" customHeight="1" x14ac:dyDescent="0.45">
      <c r="B2" s="18" t="s">
        <v>452</v>
      </c>
    </row>
    <row r="3" spans="2:14" ht="11.4" customHeight="1" thickBot="1" x14ac:dyDescent="0.4">
      <c r="C3" s="90"/>
      <c r="D3" s="90"/>
      <c r="E3" s="90"/>
      <c r="F3" s="90"/>
      <c r="G3" s="90"/>
      <c r="H3" s="90"/>
      <c r="I3" s="90"/>
      <c r="J3" s="90"/>
    </row>
    <row r="4" spans="2:14" ht="15" customHeight="1" thickBot="1" x14ac:dyDescent="0.4">
      <c r="C4" s="19" t="s">
        <v>0</v>
      </c>
      <c r="D4" s="20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20" t="s">
        <v>6</v>
      </c>
      <c r="J4" s="20" t="s">
        <v>7</v>
      </c>
      <c r="K4" s="20" t="s">
        <v>8</v>
      </c>
      <c r="L4" s="20" t="s">
        <v>9</v>
      </c>
      <c r="M4" s="20" t="s">
        <v>10</v>
      </c>
      <c r="N4" s="21" t="s">
        <v>11</v>
      </c>
    </row>
    <row r="5" spans="2:14" x14ac:dyDescent="0.35">
      <c r="B5" s="22" t="s">
        <v>12</v>
      </c>
      <c r="C5" s="91">
        <v>895463131.43000007</v>
      </c>
      <c r="D5" s="92">
        <v>869165941.94999993</v>
      </c>
      <c r="E5" s="92">
        <v>978458628.53000021</v>
      </c>
      <c r="F5" s="92">
        <v>154671690.44999999</v>
      </c>
      <c r="G5" s="92"/>
      <c r="H5" s="92"/>
      <c r="I5" s="92"/>
      <c r="J5" s="92"/>
      <c r="K5" s="92"/>
      <c r="L5" s="92"/>
      <c r="M5" s="92"/>
      <c r="N5" s="93"/>
    </row>
    <row r="6" spans="2:14" x14ac:dyDescent="0.35">
      <c r="B6" s="23" t="s">
        <v>13</v>
      </c>
      <c r="C6" s="94">
        <v>5766552459.2400007</v>
      </c>
      <c r="D6" s="95">
        <v>5570738565.6800032</v>
      </c>
      <c r="E6" s="95">
        <v>6374788324.2600021</v>
      </c>
      <c r="F6" s="95">
        <v>1042900760.91</v>
      </c>
      <c r="G6" s="95"/>
      <c r="H6" s="95"/>
      <c r="I6" s="95"/>
      <c r="J6" s="95"/>
      <c r="K6" s="95"/>
      <c r="L6" s="95"/>
      <c r="M6" s="95"/>
      <c r="N6" s="96"/>
    </row>
    <row r="7" spans="2:14" ht="15" customHeight="1" thickBot="1" x14ac:dyDescent="0.4">
      <c r="B7" s="24" t="s">
        <v>14</v>
      </c>
      <c r="C7" s="97">
        <v>6102335520.1099987</v>
      </c>
      <c r="D7" s="98">
        <v>5856202548.2399998</v>
      </c>
      <c r="E7" s="98">
        <v>6746101442.5999985</v>
      </c>
      <c r="F7" s="98">
        <v>1101280662.3599999</v>
      </c>
      <c r="G7" s="98"/>
      <c r="H7" s="98"/>
      <c r="I7" s="98"/>
      <c r="J7" s="98"/>
      <c r="K7" s="98"/>
      <c r="L7" s="98"/>
      <c r="M7" s="98"/>
      <c r="N7" s="99"/>
    </row>
    <row r="8" spans="2:14" ht="7.25" customHeight="1" x14ac:dyDescent="0.35"/>
    <row r="9" spans="2:14" x14ac:dyDescent="0.35">
      <c r="C9" s="27" t="str">
        <f t="shared" ref="C9:N9" si="0">C4</f>
        <v>ene</v>
      </c>
      <c r="D9" s="27" t="str">
        <f t="shared" si="0"/>
        <v>feb</v>
      </c>
      <c r="E9" s="27" t="str">
        <f t="shared" si="0"/>
        <v>mar</v>
      </c>
      <c r="F9" s="27" t="str">
        <f t="shared" si="0"/>
        <v>abr</v>
      </c>
      <c r="G9" s="27" t="str">
        <f t="shared" si="0"/>
        <v>may</v>
      </c>
      <c r="H9" s="27" t="str">
        <f t="shared" si="0"/>
        <v>jun</v>
      </c>
      <c r="I9" s="27" t="str">
        <f t="shared" si="0"/>
        <v>jul</v>
      </c>
      <c r="J9" s="27" t="str">
        <f t="shared" si="0"/>
        <v>ago</v>
      </c>
      <c r="K9" s="27" t="str">
        <f t="shared" si="0"/>
        <v>set</v>
      </c>
      <c r="L9" s="27" t="str">
        <f t="shared" si="0"/>
        <v>oct</v>
      </c>
      <c r="M9" s="27" t="str">
        <f t="shared" si="0"/>
        <v>nov</v>
      </c>
      <c r="N9" s="27" t="str">
        <f t="shared" si="0"/>
        <v>dic</v>
      </c>
    </row>
    <row r="10" spans="2:14" x14ac:dyDescent="0.35">
      <c r="B10" s="25" t="s">
        <v>15</v>
      </c>
      <c r="C10" s="28">
        <f t="shared" ref="C10:N10" si="1">+IFERROR(C5/C6,"")</f>
        <v>0.15528569934279537</v>
      </c>
      <c r="D10" s="29">
        <f t="shared" si="1"/>
        <v>0.15602346649414223</v>
      </c>
      <c r="E10" s="29">
        <f t="shared" si="1"/>
        <v>0.15348880288406777</v>
      </c>
      <c r="F10" s="29">
        <f t="shared" si="1"/>
        <v>0.14830911650216719</v>
      </c>
      <c r="G10" s="29" t="str">
        <f t="shared" si="1"/>
        <v/>
      </c>
      <c r="H10" s="29" t="str">
        <f t="shared" si="1"/>
        <v/>
      </c>
      <c r="I10" s="29" t="str">
        <f t="shared" si="1"/>
        <v/>
      </c>
      <c r="J10" s="29" t="str">
        <f t="shared" si="1"/>
        <v/>
      </c>
      <c r="K10" s="29" t="str">
        <f t="shared" si="1"/>
        <v/>
      </c>
      <c r="L10" s="29" t="str">
        <f t="shared" si="1"/>
        <v/>
      </c>
      <c r="M10" s="29" t="str">
        <f t="shared" si="1"/>
        <v/>
      </c>
      <c r="N10" s="29" t="str">
        <f t="shared" si="1"/>
        <v/>
      </c>
    </row>
    <row r="11" spans="2:14" x14ac:dyDescent="0.35">
      <c r="B11" s="26" t="s">
        <v>16</v>
      </c>
      <c r="C11" s="30">
        <f t="shared" ref="C11:N11" si="2">+IFERROR(C5/C7,"")</f>
        <v>0.14674105159885714</v>
      </c>
      <c r="D11" s="31">
        <f t="shared" si="2"/>
        <v>0.14841801231947069</v>
      </c>
      <c r="E11" s="31">
        <f t="shared" si="2"/>
        <v>0.14504060409635566</v>
      </c>
      <c r="F11" s="31">
        <f t="shared" si="2"/>
        <v>0.14044711374350732</v>
      </c>
      <c r="G11" s="31" t="str">
        <f t="shared" si="2"/>
        <v/>
      </c>
      <c r="H11" s="31" t="str">
        <f t="shared" si="2"/>
        <v/>
      </c>
      <c r="I11" s="31" t="str">
        <f t="shared" si="2"/>
        <v/>
      </c>
      <c r="J11" s="31" t="str">
        <f t="shared" si="2"/>
        <v/>
      </c>
      <c r="K11" s="31" t="str">
        <f t="shared" si="2"/>
        <v/>
      </c>
      <c r="L11" s="31" t="str">
        <f t="shared" si="2"/>
        <v/>
      </c>
      <c r="M11" s="31" t="str">
        <f t="shared" si="2"/>
        <v/>
      </c>
      <c r="N11" s="31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U57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3.6328125" style="32" customWidth="1"/>
    <col min="2" max="2" width="19.81640625" style="32" customWidth="1"/>
    <col min="3" max="4" width="19" style="32" customWidth="1"/>
    <col min="5" max="14" width="17.1796875" style="32" bestFit="1" customWidth="1"/>
    <col min="15" max="15" width="16.81640625" style="32" customWidth="1"/>
    <col min="16" max="16" width="11.453125" style="32" customWidth="1"/>
    <col min="17" max="17" width="16.453125" style="32" bestFit="1" customWidth="1"/>
    <col min="18" max="21" width="11.453125" style="32" customWidth="1"/>
    <col min="22" max="22" width="22" style="32" bestFit="1" customWidth="1"/>
    <col min="23" max="45" width="11.453125" style="32" customWidth="1"/>
    <col min="46" max="16384" width="11.453125" style="32"/>
  </cols>
  <sheetData>
    <row r="1" spans="2:21" ht="11.4" customHeight="1" x14ac:dyDescent="0.35">
      <c r="E1" s="224"/>
      <c r="F1" s="223"/>
    </row>
    <row r="2" spans="2:21" ht="18.5" x14ac:dyDescent="0.45">
      <c r="B2" s="50" t="s">
        <v>17</v>
      </c>
      <c r="C2" s="33"/>
      <c r="D2" s="33"/>
      <c r="E2" s="224"/>
      <c r="F2" s="223"/>
      <c r="G2" s="33"/>
      <c r="H2" s="33"/>
      <c r="I2" s="33"/>
      <c r="J2" s="33"/>
      <c r="K2" s="33"/>
      <c r="L2" s="33"/>
      <c r="M2" s="33"/>
      <c r="N2" s="33"/>
      <c r="O2" s="33"/>
    </row>
    <row r="3" spans="2:21" ht="15" thickBot="1" x14ac:dyDescent="0.4">
      <c r="B3" s="34"/>
      <c r="C3" s="34"/>
      <c r="D3" s="34"/>
      <c r="E3" s="224"/>
      <c r="F3" s="223"/>
      <c r="G3" s="100"/>
      <c r="O3" s="34"/>
    </row>
    <row r="4" spans="2:21" ht="15" customHeight="1" thickBot="1" x14ac:dyDescent="0.4">
      <c r="B4" s="51" t="s">
        <v>18</v>
      </c>
      <c r="C4" s="19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 t="s">
        <v>25</v>
      </c>
      <c r="J4" s="20" t="s">
        <v>26</v>
      </c>
      <c r="K4" s="20" t="s">
        <v>27</v>
      </c>
      <c r="L4" s="20" t="s">
        <v>28</v>
      </c>
      <c r="M4" s="20" t="s">
        <v>29</v>
      </c>
      <c r="N4" s="56" t="s">
        <v>30</v>
      </c>
      <c r="O4" s="57" t="s">
        <v>31</v>
      </c>
    </row>
    <row r="5" spans="2:21" ht="15" customHeight="1" thickBot="1" x14ac:dyDescent="0.4">
      <c r="B5" s="40" t="s">
        <v>32</v>
      </c>
      <c r="C5" s="101">
        <f t="shared" ref="C5:N5" si="0">+SUM(C6:C8)</f>
        <v>5208101520.1800003</v>
      </c>
      <c r="D5" s="102">
        <f t="shared" si="0"/>
        <v>5035344663.2699995</v>
      </c>
      <c r="E5" s="102">
        <f t="shared" si="0"/>
        <v>5771921319.6700001</v>
      </c>
      <c r="F5" s="102">
        <f t="shared" si="0"/>
        <v>959347287.15999997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3">
        <f t="shared" si="0"/>
        <v>0</v>
      </c>
      <c r="O5" s="104">
        <f>+IFERROR(SUM(C5:N5)/SUM(C13:N13),"")</f>
        <v>0.97255021603120906</v>
      </c>
      <c r="R5" s="36"/>
      <c r="S5" s="36"/>
      <c r="T5" s="36"/>
      <c r="U5" s="36"/>
    </row>
    <row r="6" spans="2:21" x14ac:dyDescent="0.35">
      <c r="B6" s="37" t="s">
        <v>33</v>
      </c>
      <c r="C6" s="105">
        <v>1758281137.8099999</v>
      </c>
      <c r="D6" s="106">
        <v>1728712045.03</v>
      </c>
      <c r="E6" s="106">
        <v>1968321858.45</v>
      </c>
      <c r="F6" s="107">
        <v>291699552</v>
      </c>
      <c r="G6" s="108"/>
      <c r="H6" s="108"/>
      <c r="I6" s="108"/>
      <c r="J6" s="108"/>
      <c r="K6" s="108"/>
      <c r="L6" s="108"/>
      <c r="M6" s="108"/>
      <c r="N6" s="108"/>
      <c r="O6" s="109"/>
      <c r="R6" s="110"/>
      <c r="S6" s="110"/>
      <c r="T6" s="110"/>
      <c r="U6" s="110"/>
    </row>
    <row r="7" spans="2:21" x14ac:dyDescent="0.35">
      <c r="B7" s="37" t="s">
        <v>34</v>
      </c>
      <c r="C7" s="105">
        <v>3378387892.0599999</v>
      </c>
      <c r="D7" s="106">
        <v>3246181622.5</v>
      </c>
      <c r="E7" s="106">
        <v>3736055518.6700001</v>
      </c>
      <c r="F7" s="107">
        <v>655327554.48000002</v>
      </c>
      <c r="G7" s="108"/>
      <c r="H7" s="108"/>
      <c r="I7" s="108"/>
      <c r="J7" s="108"/>
      <c r="K7" s="108"/>
      <c r="L7" s="108"/>
      <c r="M7" s="108"/>
      <c r="N7" s="108"/>
      <c r="O7" s="109"/>
      <c r="R7" s="110"/>
      <c r="S7" s="110"/>
      <c r="T7" s="110"/>
      <c r="U7" s="110"/>
    </row>
    <row r="8" spans="2:21" ht="15" customHeight="1" thickBot="1" x14ac:dyDescent="0.4">
      <c r="B8" s="37" t="s">
        <v>35</v>
      </c>
      <c r="C8" s="105">
        <v>71432490.310000002</v>
      </c>
      <c r="D8" s="106">
        <v>60450995.740000002</v>
      </c>
      <c r="E8" s="106">
        <v>67543942.549999997</v>
      </c>
      <c r="F8" s="107">
        <v>12320180.68</v>
      </c>
      <c r="G8" s="108"/>
      <c r="H8" s="108"/>
      <c r="I8" s="108"/>
      <c r="J8" s="108"/>
      <c r="K8" s="108"/>
      <c r="L8" s="108"/>
      <c r="M8" s="108"/>
      <c r="N8" s="108"/>
      <c r="O8" s="109"/>
      <c r="R8" s="38"/>
      <c r="S8" s="38"/>
      <c r="T8" s="38"/>
      <c r="U8" s="38"/>
    </row>
    <row r="9" spans="2:21" ht="15" customHeight="1" thickBot="1" x14ac:dyDescent="0.4">
      <c r="B9" s="40" t="s">
        <v>36</v>
      </c>
      <c r="C9" s="101">
        <f>+SUM(C10:C12)</f>
        <v>153103652.16999999</v>
      </c>
      <c r="D9" s="102">
        <f t="shared" ref="D9:M9" si="1">+SUM(D10:D12)</f>
        <v>128054866.93999998</v>
      </c>
      <c r="E9" s="102">
        <f t="shared" si="1"/>
        <v>169111619.43000001</v>
      </c>
      <c r="F9" s="102">
        <f t="shared" si="1"/>
        <v>28833404.130000003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3">
        <f>+SUM(N10:N12)</f>
        <v>0</v>
      </c>
      <c r="O9" s="104">
        <f>+IFERROR(SUM(C9:N9)/SUM(C13:N13),"")</f>
        <v>2.7449783968790917E-2</v>
      </c>
      <c r="R9" s="100"/>
      <c r="S9" s="100"/>
      <c r="T9" s="100"/>
      <c r="U9" s="100"/>
    </row>
    <row r="10" spans="2:21" x14ac:dyDescent="0.35">
      <c r="B10" s="37" t="s">
        <v>33</v>
      </c>
      <c r="C10" s="105">
        <v>101082993.38</v>
      </c>
      <c r="D10" s="106">
        <v>85054048.299999997</v>
      </c>
      <c r="E10" s="106">
        <v>115742278.7</v>
      </c>
      <c r="F10" s="107">
        <v>18810033.170000002</v>
      </c>
      <c r="G10" s="107"/>
      <c r="H10" s="107"/>
      <c r="I10" s="108"/>
      <c r="J10" s="108"/>
      <c r="K10" s="108"/>
      <c r="L10" s="108"/>
      <c r="M10" s="108"/>
      <c r="N10" s="108"/>
      <c r="O10" s="109"/>
      <c r="Q10" s="217"/>
      <c r="R10" s="110"/>
      <c r="S10" s="110"/>
      <c r="T10" s="110"/>
      <c r="U10" s="110"/>
    </row>
    <row r="11" spans="2:21" x14ac:dyDescent="0.35">
      <c r="B11" s="37" t="s">
        <v>34</v>
      </c>
      <c r="C11" s="105">
        <v>48679459.640000001</v>
      </c>
      <c r="D11" s="106">
        <v>40510806.119999997</v>
      </c>
      <c r="E11" s="106">
        <v>50112154.159999996</v>
      </c>
      <c r="F11" s="107">
        <v>9445059.6600000001</v>
      </c>
      <c r="G11" s="107"/>
      <c r="H11" s="107"/>
      <c r="I11" s="108"/>
      <c r="J11" s="108"/>
      <c r="K11" s="108"/>
      <c r="L11" s="108"/>
      <c r="M11" s="108"/>
      <c r="N11" s="108"/>
      <c r="O11" s="109"/>
      <c r="Q11" s="217"/>
    </row>
    <row r="12" spans="2:21" ht="15" customHeight="1" thickBot="1" x14ac:dyDescent="0.4">
      <c r="B12" s="39" t="s">
        <v>35</v>
      </c>
      <c r="C12" s="105">
        <v>3341199.15</v>
      </c>
      <c r="D12" s="106">
        <v>2490012.52</v>
      </c>
      <c r="E12" s="106">
        <v>3257186.57</v>
      </c>
      <c r="F12" s="107">
        <v>578311.30000000005</v>
      </c>
      <c r="G12" s="107"/>
      <c r="H12" s="107"/>
      <c r="I12" s="108"/>
      <c r="J12" s="108"/>
      <c r="K12" s="108"/>
      <c r="L12" s="108"/>
      <c r="M12" s="108"/>
      <c r="N12" s="108"/>
      <c r="O12" s="109"/>
      <c r="Q12" s="217"/>
    </row>
    <row r="13" spans="2:21" ht="15" customHeight="1" thickBot="1" x14ac:dyDescent="0.4">
      <c r="B13" s="52" t="s">
        <v>37</v>
      </c>
      <c r="C13" s="101">
        <f t="shared" ref="C13:N13" si="2">SUM(C5,C9)</f>
        <v>5361205172.3500004</v>
      </c>
      <c r="D13" s="102">
        <f>SUM(D5,D9)</f>
        <v>5163399530.2099991</v>
      </c>
      <c r="E13" s="102">
        <f t="shared" si="2"/>
        <v>5941032939.1000004</v>
      </c>
      <c r="F13" s="102">
        <f t="shared" si="2"/>
        <v>988180691.28999996</v>
      </c>
      <c r="G13" s="102">
        <f t="shared" si="2"/>
        <v>0</v>
      </c>
      <c r="H13" s="102">
        <f t="shared" si="2"/>
        <v>0</v>
      </c>
      <c r="I13" s="102">
        <f t="shared" si="2"/>
        <v>0</v>
      </c>
      <c r="J13" s="102">
        <f t="shared" si="2"/>
        <v>0</v>
      </c>
      <c r="K13" s="102">
        <f t="shared" si="2"/>
        <v>0</v>
      </c>
      <c r="L13" s="102">
        <f t="shared" si="2"/>
        <v>0</v>
      </c>
      <c r="M13" s="102">
        <f t="shared" si="2"/>
        <v>0</v>
      </c>
      <c r="N13" s="103">
        <f t="shared" si="2"/>
        <v>0</v>
      </c>
      <c r="O13" s="104">
        <f>SUM(O5:O9)</f>
        <v>1</v>
      </c>
    </row>
    <row r="14" spans="2:21" ht="15" customHeight="1" thickBot="1" x14ac:dyDescent="0.4"/>
    <row r="15" spans="2:21" ht="15" customHeight="1" thickBot="1" x14ac:dyDescent="0.4">
      <c r="B15" s="41" t="s">
        <v>38</v>
      </c>
      <c r="C15" s="111">
        <v>702662554.41999996</v>
      </c>
      <c r="D15" s="112">
        <v>684549084.78000009</v>
      </c>
      <c r="E15" s="113">
        <v>772166444.52999997</v>
      </c>
      <c r="F15" s="113">
        <v>132652077.20999999</v>
      </c>
      <c r="G15" s="113"/>
      <c r="H15" s="113"/>
      <c r="I15" s="113"/>
      <c r="J15" s="113"/>
      <c r="K15" s="113"/>
      <c r="L15" s="113"/>
      <c r="M15" s="113"/>
      <c r="N15" s="114"/>
    </row>
    <row r="16" spans="2:21" x14ac:dyDescent="0.35">
      <c r="B16" s="42" t="s">
        <v>39</v>
      </c>
      <c r="C16" s="115">
        <f t="shared" ref="C16:N16" si="3">+IFERROR(C15/C13,"")</f>
        <v>0.1310642909254672</v>
      </c>
      <c r="D16" s="115">
        <f t="shared" si="3"/>
        <v>0.13257720631046324</v>
      </c>
      <c r="E16" s="115">
        <f t="shared" si="3"/>
        <v>0.12997174943234274</v>
      </c>
      <c r="F16" s="115">
        <f t="shared" si="3"/>
        <v>0.13423868567683922</v>
      </c>
      <c r="G16" s="115" t="str">
        <f t="shared" si="3"/>
        <v/>
      </c>
      <c r="H16" s="115" t="str">
        <f t="shared" si="3"/>
        <v/>
      </c>
      <c r="I16" s="115" t="str">
        <f t="shared" si="3"/>
        <v/>
      </c>
      <c r="J16" s="115" t="str">
        <f t="shared" si="3"/>
        <v/>
      </c>
      <c r="K16" s="115" t="str">
        <f t="shared" si="3"/>
        <v/>
      </c>
      <c r="L16" s="115" t="str">
        <f t="shared" si="3"/>
        <v/>
      </c>
      <c r="M16" s="115" t="str">
        <f t="shared" si="3"/>
        <v/>
      </c>
      <c r="N16" s="115" t="str">
        <f t="shared" si="3"/>
        <v/>
      </c>
    </row>
    <row r="17" spans="2:20" x14ac:dyDescent="0.35">
      <c r="B17" s="42" t="s">
        <v>40</v>
      </c>
      <c r="C17" s="115">
        <f t="shared" ref="C17:N17" si="4">IFERROR(C15/C5,"")</f>
        <v>0.13491721536098528</v>
      </c>
      <c r="D17" s="115">
        <f t="shared" si="4"/>
        <v>0.13594880401601894</v>
      </c>
      <c r="E17" s="115">
        <f t="shared" si="4"/>
        <v>0.13377979389610725</v>
      </c>
      <c r="F17" s="115">
        <f t="shared" si="4"/>
        <v>0.13827326035673282</v>
      </c>
      <c r="G17" s="115" t="str">
        <f t="shared" si="4"/>
        <v/>
      </c>
      <c r="H17" s="115" t="str">
        <f t="shared" si="4"/>
        <v/>
      </c>
      <c r="I17" s="115" t="str">
        <f t="shared" si="4"/>
        <v/>
      </c>
      <c r="J17" s="115" t="str">
        <f t="shared" si="4"/>
        <v/>
      </c>
      <c r="K17" s="115" t="str">
        <f t="shared" si="4"/>
        <v/>
      </c>
      <c r="L17" s="115" t="str">
        <f t="shared" si="4"/>
        <v/>
      </c>
      <c r="M17" s="115" t="str">
        <f t="shared" si="4"/>
        <v/>
      </c>
      <c r="N17" s="115" t="str">
        <f t="shared" si="4"/>
        <v/>
      </c>
    </row>
    <row r="19" spans="2:20" x14ac:dyDescent="0.35">
      <c r="B19" s="62" t="s">
        <v>38</v>
      </c>
      <c r="C19" s="54" t="str">
        <f t="shared" ref="C19:N19" si="5">C4</f>
        <v>Ene</v>
      </c>
      <c r="D19" s="44" t="str">
        <f t="shared" si="5"/>
        <v>Feb</v>
      </c>
      <c r="E19" s="44" t="str">
        <f t="shared" si="5"/>
        <v>Mar</v>
      </c>
      <c r="F19" s="44" t="str">
        <f t="shared" si="5"/>
        <v>Abr</v>
      </c>
      <c r="G19" s="44" t="str">
        <f t="shared" si="5"/>
        <v>May</v>
      </c>
      <c r="H19" s="44" t="str">
        <f t="shared" si="5"/>
        <v>Jun</v>
      </c>
      <c r="I19" s="44" t="str">
        <f t="shared" si="5"/>
        <v>Jul</v>
      </c>
      <c r="J19" s="44" t="str">
        <f t="shared" si="5"/>
        <v>Ago</v>
      </c>
      <c r="K19" s="44" t="str">
        <f t="shared" si="5"/>
        <v>Set</v>
      </c>
      <c r="L19" s="44" t="str">
        <f t="shared" si="5"/>
        <v>Oct</v>
      </c>
      <c r="M19" s="44" t="str">
        <f t="shared" si="5"/>
        <v>Nov</v>
      </c>
      <c r="N19" s="44" t="str">
        <f t="shared" si="5"/>
        <v>Dic</v>
      </c>
    </row>
    <row r="20" spans="2:20" x14ac:dyDescent="0.35">
      <c r="B20" s="58" t="s">
        <v>41</v>
      </c>
      <c r="C20" s="116">
        <v>253932768</v>
      </c>
      <c r="D20" s="106">
        <v>250319400</v>
      </c>
      <c r="E20" s="106">
        <v>285241851</v>
      </c>
      <c r="F20" s="107">
        <v>43112479</v>
      </c>
      <c r="G20" s="107"/>
      <c r="H20" s="107"/>
      <c r="I20" s="107"/>
      <c r="J20" s="107"/>
      <c r="K20" s="107"/>
      <c r="L20" s="107"/>
      <c r="M20" s="107"/>
      <c r="N20" s="107"/>
      <c r="P20" s="117"/>
      <c r="Q20" s="117"/>
      <c r="R20" s="117"/>
      <c r="S20" s="117"/>
      <c r="T20" s="117"/>
    </row>
    <row r="21" spans="2:20" x14ac:dyDescent="0.35">
      <c r="B21" s="59" t="s">
        <v>42</v>
      </c>
      <c r="C21" s="116">
        <v>424800123</v>
      </c>
      <c r="D21" s="106">
        <v>414006085</v>
      </c>
      <c r="E21" s="106">
        <v>464215336</v>
      </c>
      <c r="F21" s="107">
        <v>85457144</v>
      </c>
      <c r="G21" s="107"/>
      <c r="H21" s="107"/>
      <c r="I21" s="107"/>
      <c r="J21" s="107"/>
      <c r="K21" s="107"/>
      <c r="L21" s="107"/>
      <c r="M21" s="107"/>
      <c r="N21" s="107"/>
    </row>
    <row r="22" spans="2:20" ht="15" customHeight="1" thickBot="1" x14ac:dyDescent="0.4">
      <c r="B22" s="60" t="s">
        <v>35</v>
      </c>
      <c r="C22" s="118">
        <v>23929662</v>
      </c>
      <c r="D22" s="119">
        <v>20223598</v>
      </c>
      <c r="E22" s="119">
        <v>22709256</v>
      </c>
      <c r="F22" s="120">
        <v>4082453</v>
      </c>
      <c r="G22" s="120"/>
      <c r="H22" s="120"/>
      <c r="I22" s="120"/>
      <c r="J22" s="120"/>
      <c r="K22" s="120"/>
      <c r="L22" s="120"/>
      <c r="M22" s="120"/>
      <c r="N22" s="120"/>
    </row>
    <row r="23" spans="2:20" ht="15" customHeight="1" thickTop="1" x14ac:dyDescent="0.35">
      <c r="B23" s="121" t="s">
        <v>43</v>
      </c>
      <c r="C23" s="122">
        <f t="shared" ref="C23:N23" si="6">SUM(C20:C22)</f>
        <v>702662553</v>
      </c>
      <c r="D23" s="122">
        <f t="shared" si="6"/>
        <v>684549083</v>
      </c>
      <c r="E23" s="122">
        <f t="shared" si="6"/>
        <v>772166443</v>
      </c>
      <c r="F23" s="122">
        <f t="shared" si="6"/>
        <v>132652076</v>
      </c>
      <c r="G23" s="122">
        <f t="shared" si="6"/>
        <v>0</v>
      </c>
      <c r="H23" s="122">
        <f t="shared" si="6"/>
        <v>0</v>
      </c>
      <c r="I23" s="122">
        <f t="shared" si="6"/>
        <v>0</v>
      </c>
      <c r="J23" s="122">
        <f t="shared" si="6"/>
        <v>0</v>
      </c>
      <c r="K23" s="122">
        <f t="shared" si="6"/>
        <v>0</v>
      </c>
      <c r="L23" s="122">
        <f t="shared" si="6"/>
        <v>0</v>
      </c>
      <c r="M23" s="122">
        <f t="shared" si="6"/>
        <v>0</v>
      </c>
      <c r="N23" s="122">
        <f t="shared" si="6"/>
        <v>0</v>
      </c>
    </row>
    <row r="24" spans="2:20" x14ac:dyDescent="0.35">
      <c r="B24" s="46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2:20" x14ac:dyDescent="0.35">
      <c r="B25" s="61" t="s">
        <v>44</v>
      </c>
      <c r="C25" s="44" t="str">
        <f t="shared" ref="C25:N25" si="7">+C4</f>
        <v>Ene</v>
      </c>
      <c r="D25" s="44" t="str">
        <f t="shared" si="7"/>
        <v>Feb</v>
      </c>
      <c r="E25" s="44" t="str">
        <f t="shared" si="7"/>
        <v>Mar</v>
      </c>
      <c r="F25" s="44" t="str">
        <f t="shared" si="7"/>
        <v>Abr</v>
      </c>
      <c r="G25" s="44" t="str">
        <f t="shared" si="7"/>
        <v>May</v>
      </c>
      <c r="H25" s="44" t="str">
        <f t="shared" si="7"/>
        <v>Jun</v>
      </c>
      <c r="I25" s="44" t="str">
        <f t="shared" si="7"/>
        <v>Jul</v>
      </c>
      <c r="J25" s="44" t="str">
        <f t="shared" si="7"/>
        <v>Ago</v>
      </c>
      <c r="K25" s="44" t="str">
        <f t="shared" si="7"/>
        <v>Set</v>
      </c>
      <c r="L25" s="44" t="str">
        <f t="shared" si="7"/>
        <v>Oct</v>
      </c>
      <c r="M25" s="44" t="str">
        <f t="shared" si="7"/>
        <v>Nov</v>
      </c>
      <c r="N25" s="44" t="str">
        <f t="shared" si="7"/>
        <v>Dic</v>
      </c>
    </row>
    <row r="26" spans="2:20" x14ac:dyDescent="0.35">
      <c r="B26" s="47" t="s">
        <v>45</v>
      </c>
      <c r="C26" s="124">
        <f>IFERROR(C20/(C6+C10),"")</f>
        <v>0.13656968193609398</v>
      </c>
      <c r="D26" s="124">
        <f>IFERROR(D20/(D6+D10),"")</f>
        <v>0.13801084986676748</v>
      </c>
      <c r="E26" s="124">
        <f t="shared" ref="E26:M26" si="8">IFERROR(E20/(E6+E10),"")</f>
        <v>0.13686807709770105</v>
      </c>
      <c r="F26" s="124">
        <f t="shared" si="8"/>
        <v>0.13884427746858916</v>
      </c>
      <c r="G26" s="124" t="str">
        <f t="shared" si="8"/>
        <v/>
      </c>
      <c r="H26" s="124" t="str">
        <f t="shared" si="8"/>
        <v/>
      </c>
      <c r="I26" s="124" t="str">
        <f t="shared" si="8"/>
        <v/>
      </c>
      <c r="J26" s="124" t="str">
        <f t="shared" si="8"/>
        <v/>
      </c>
      <c r="K26" s="124" t="str">
        <f t="shared" si="8"/>
        <v/>
      </c>
      <c r="L26" s="124" t="str">
        <f t="shared" si="8"/>
        <v/>
      </c>
      <c r="M26" s="124" t="str">
        <f t="shared" si="8"/>
        <v/>
      </c>
      <c r="N26" s="124" t="str">
        <f>IFERROR(N20/(N6+N10),"")</f>
        <v/>
      </c>
    </row>
    <row r="27" spans="2:20" x14ac:dyDescent="0.35">
      <c r="B27" s="47" t="s">
        <v>46</v>
      </c>
      <c r="C27" s="124">
        <f t="shared" ref="C27:M27" si="9">IFERROR(C21/(C7+C11),"")</f>
        <v>0.12395441332347248</v>
      </c>
      <c r="D27" s="124">
        <f t="shared" si="9"/>
        <v>0.12596435291446811</v>
      </c>
      <c r="E27" s="124">
        <f t="shared" si="9"/>
        <v>0.12260823505817393</v>
      </c>
      <c r="F27" s="124">
        <f t="shared" si="9"/>
        <v>0.12855093934721395</v>
      </c>
      <c r="G27" s="124" t="str">
        <f t="shared" si="9"/>
        <v/>
      </c>
      <c r="H27" s="124" t="str">
        <f t="shared" si="9"/>
        <v/>
      </c>
      <c r="I27" s="124" t="str">
        <f t="shared" si="9"/>
        <v/>
      </c>
      <c r="J27" s="124" t="str">
        <f t="shared" si="9"/>
        <v/>
      </c>
      <c r="K27" s="124" t="str">
        <f t="shared" si="9"/>
        <v/>
      </c>
      <c r="L27" s="124" t="str">
        <f t="shared" si="9"/>
        <v/>
      </c>
      <c r="M27" s="124" t="str">
        <f t="shared" si="9"/>
        <v/>
      </c>
      <c r="N27" s="124" t="str">
        <f>IFERROR(N21/(N7+N11),"")</f>
        <v/>
      </c>
    </row>
    <row r="28" spans="2:20" ht="15" customHeight="1" thickBot="1" x14ac:dyDescent="0.4">
      <c r="B28" s="48" t="s">
        <v>47</v>
      </c>
      <c r="C28" s="125">
        <f t="shared" ref="C28:N28" si="10">IFERROR(C22/(C8+C12),"")</f>
        <v>0.32002783563062126</v>
      </c>
      <c r="D28" s="125">
        <f t="shared" si="10"/>
        <v>0.32131035963801702</v>
      </c>
      <c r="E28" s="125">
        <f t="shared" si="10"/>
        <v>0.32074708810802088</v>
      </c>
      <c r="F28" s="125">
        <f t="shared" si="10"/>
        <v>0.31650622462921435</v>
      </c>
      <c r="G28" s="125" t="str">
        <f t="shared" si="10"/>
        <v/>
      </c>
      <c r="H28" s="125" t="str">
        <f t="shared" si="10"/>
        <v/>
      </c>
      <c r="I28" s="125" t="str">
        <f t="shared" si="10"/>
        <v/>
      </c>
      <c r="J28" s="125" t="str">
        <f t="shared" si="10"/>
        <v/>
      </c>
      <c r="K28" s="125" t="str">
        <f t="shared" si="10"/>
        <v/>
      </c>
      <c r="L28" s="125" t="str">
        <f t="shared" si="10"/>
        <v/>
      </c>
      <c r="M28" s="125" t="str">
        <f t="shared" si="10"/>
        <v/>
      </c>
      <c r="N28" s="125" t="str">
        <f t="shared" si="10"/>
        <v/>
      </c>
    </row>
    <row r="29" spans="2:20" ht="15" customHeight="1" thickTop="1" x14ac:dyDescent="0.35">
      <c r="B29" s="121" t="s">
        <v>43</v>
      </c>
      <c r="C29" s="53">
        <f t="shared" ref="C29:N29" si="11">+IFERROR(C23/C13,"")</f>
        <v>0.13106429066060138</v>
      </c>
      <c r="D29" s="53">
        <f t="shared" si="11"/>
        <v>0.13257720596572911</v>
      </c>
      <c r="E29" s="53">
        <f t="shared" si="11"/>
        <v>0.12997174917481177</v>
      </c>
      <c r="F29" s="53">
        <f t="shared" si="11"/>
        <v>0.13423868445236681</v>
      </c>
      <c r="G29" s="53" t="str">
        <f t="shared" si="11"/>
        <v/>
      </c>
      <c r="H29" s="53" t="str">
        <f t="shared" si="11"/>
        <v/>
      </c>
      <c r="I29" s="53" t="str">
        <f t="shared" si="11"/>
        <v/>
      </c>
      <c r="J29" s="53" t="str">
        <f t="shared" si="11"/>
        <v/>
      </c>
      <c r="K29" s="53" t="str">
        <f t="shared" si="11"/>
        <v/>
      </c>
      <c r="L29" s="53" t="str">
        <f t="shared" si="11"/>
        <v/>
      </c>
      <c r="M29" s="53" t="str">
        <f t="shared" si="11"/>
        <v/>
      </c>
      <c r="N29" s="53" t="str">
        <f t="shared" si="11"/>
        <v/>
      </c>
    </row>
    <row r="30" spans="2:20" x14ac:dyDescent="0.3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2:20" x14ac:dyDescent="0.35">
      <c r="B31" s="61" t="s">
        <v>32</v>
      </c>
      <c r="C31" s="44" t="str">
        <f t="shared" ref="C31:N31" si="12">+C4</f>
        <v>Ene</v>
      </c>
      <c r="D31" s="44" t="str">
        <f t="shared" si="12"/>
        <v>Feb</v>
      </c>
      <c r="E31" s="44" t="str">
        <f t="shared" si="12"/>
        <v>Mar</v>
      </c>
      <c r="F31" s="44" t="str">
        <f t="shared" si="12"/>
        <v>Abr</v>
      </c>
      <c r="G31" s="44" t="str">
        <f t="shared" si="12"/>
        <v>May</v>
      </c>
      <c r="H31" s="44" t="str">
        <f t="shared" si="12"/>
        <v>Jun</v>
      </c>
      <c r="I31" s="44" t="str">
        <f t="shared" si="12"/>
        <v>Jul</v>
      </c>
      <c r="J31" s="44" t="str">
        <f t="shared" si="12"/>
        <v>Ago</v>
      </c>
      <c r="K31" s="44" t="str">
        <f t="shared" si="12"/>
        <v>Set</v>
      </c>
      <c r="L31" s="44" t="str">
        <f t="shared" si="12"/>
        <v>Oct</v>
      </c>
      <c r="M31" s="44" t="str">
        <f t="shared" si="12"/>
        <v>Nov</v>
      </c>
      <c r="N31" s="44" t="str">
        <f t="shared" si="12"/>
        <v>Dic</v>
      </c>
    </row>
    <row r="32" spans="2:20" x14ac:dyDescent="0.35">
      <c r="B32" s="47" t="s">
        <v>45</v>
      </c>
      <c r="C32" s="124">
        <f t="shared" ref="C32:N32" si="13">+IFERROR(C20/C6,"")</f>
        <v>0.14442102718356067</v>
      </c>
      <c r="D32" s="124">
        <f>+IFERROR(D20/D6,"")</f>
        <v>0.14480109670066885</v>
      </c>
      <c r="E32" s="124">
        <f t="shared" si="13"/>
        <v>0.14491626446937911</v>
      </c>
      <c r="F32" s="124">
        <f t="shared" si="13"/>
        <v>0.14779754958279812</v>
      </c>
      <c r="G32" s="124" t="str">
        <f t="shared" si="13"/>
        <v/>
      </c>
      <c r="H32" s="124" t="str">
        <f t="shared" si="13"/>
        <v/>
      </c>
      <c r="I32" s="124" t="str">
        <f t="shared" si="13"/>
        <v/>
      </c>
      <c r="J32" s="124" t="str">
        <f t="shared" si="13"/>
        <v/>
      </c>
      <c r="K32" s="124" t="str">
        <f t="shared" si="13"/>
        <v/>
      </c>
      <c r="L32" s="124" t="str">
        <f t="shared" si="13"/>
        <v/>
      </c>
      <c r="M32" s="124" t="str">
        <f t="shared" si="13"/>
        <v/>
      </c>
      <c r="N32" s="124" t="str">
        <f t="shared" si="13"/>
        <v/>
      </c>
    </row>
    <row r="33" spans="2:14" x14ac:dyDescent="0.35">
      <c r="B33" s="47" t="s">
        <v>46</v>
      </c>
      <c r="C33" s="124">
        <f t="shared" ref="C33:N33" si="14">+IFERROR(C21/C7,"")</f>
        <v>0.12574048231654494</v>
      </c>
      <c r="D33" s="124">
        <f t="shared" si="14"/>
        <v>0.12753632826038833</v>
      </c>
      <c r="E33" s="124">
        <f t="shared" si="14"/>
        <v>0.12425279380357179</v>
      </c>
      <c r="F33" s="124">
        <f t="shared" si="14"/>
        <v>0.13040370943628324</v>
      </c>
      <c r="G33" s="124" t="str">
        <f t="shared" si="14"/>
        <v/>
      </c>
      <c r="H33" s="124" t="str">
        <f t="shared" si="14"/>
        <v/>
      </c>
      <c r="I33" s="124" t="str">
        <f t="shared" si="14"/>
        <v/>
      </c>
      <c r="J33" s="124" t="str">
        <f t="shared" si="14"/>
        <v/>
      </c>
      <c r="K33" s="124" t="str">
        <f t="shared" si="14"/>
        <v/>
      </c>
      <c r="L33" s="124" t="str">
        <f t="shared" si="14"/>
        <v/>
      </c>
      <c r="M33" s="124" t="str">
        <f t="shared" si="14"/>
        <v/>
      </c>
      <c r="N33" s="124" t="str">
        <f t="shared" si="14"/>
        <v/>
      </c>
    </row>
    <row r="34" spans="2:14" ht="15" customHeight="1" thickBot="1" x14ac:dyDescent="0.4">
      <c r="B34" s="48" t="s">
        <v>47</v>
      </c>
      <c r="C34" s="125">
        <f t="shared" ref="C34:N34" si="15">+IFERROR(C22/C8,"")</f>
        <v>0.33499688861680399</v>
      </c>
      <c r="D34" s="125">
        <f t="shared" si="15"/>
        <v>0.33454532472850873</v>
      </c>
      <c r="E34" s="125">
        <f t="shared" si="15"/>
        <v>0.33621454630353081</v>
      </c>
      <c r="F34" s="125">
        <f t="shared" si="15"/>
        <v>0.33136307867848575</v>
      </c>
      <c r="G34" s="125" t="str">
        <f t="shared" si="15"/>
        <v/>
      </c>
      <c r="H34" s="125" t="str">
        <f t="shared" si="15"/>
        <v/>
      </c>
      <c r="I34" s="125" t="str">
        <f t="shared" si="15"/>
        <v/>
      </c>
      <c r="J34" s="125" t="str">
        <f t="shared" si="15"/>
        <v/>
      </c>
      <c r="K34" s="125" t="str">
        <f t="shared" si="15"/>
        <v/>
      </c>
      <c r="L34" s="125" t="str">
        <f t="shared" si="15"/>
        <v/>
      </c>
      <c r="M34" s="125" t="str">
        <f t="shared" si="15"/>
        <v/>
      </c>
      <c r="N34" s="125" t="str">
        <f t="shared" si="15"/>
        <v/>
      </c>
    </row>
    <row r="35" spans="2:14" ht="15" customHeight="1" thickTop="1" x14ac:dyDescent="0.35">
      <c r="B35" s="121" t="s">
        <v>43</v>
      </c>
      <c r="C35" s="53">
        <f t="shared" ref="C35:N35" si="16">+IFERROR(C23/C5,"")</f>
        <v>0.13491721508833315</v>
      </c>
      <c r="D35" s="53">
        <f t="shared" si="16"/>
        <v>0.1359488036625178</v>
      </c>
      <c r="E35" s="53">
        <f t="shared" si="16"/>
        <v>0.13377979363103087</v>
      </c>
      <c r="F35" s="53">
        <f t="shared" si="16"/>
        <v>0.13827325909545859</v>
      </c>
      <c r="G35" s="53" t="str">
        <f t="shared" si="16"/>
        <v/>
      </c>
      <c r="H35" s="53" t="str">
        <f t="shared" si="16"/>
        <v/>
      </c>
      <c r="I35" s="53" t="str">
        <f t="shared" si="16"/>
        <v/>
      </c>
      <c r="J35" s="53" t="str">
        <f t="shared" si="16"/>
        <v/>
      </c>
      <c r="K35" s="53" t="str">
        <f t="shared" si="16"/>
        <v/>
      </c>
      <c r="L35" s="53" t="str">
        <f t="shared" si="16"/>
        <v/>
      </c>
      <c r="M35" s="53" t="str">
        <f t="shared" si="16"/>
        <v/>
      </c>
      <c r="N35" s="53" t="str">
        <f t="shared" si="16"/>
        <v/>
      </c>
    </row>
    <row r="36" spans="2:14" x14ac:dyDescent="0.35">
      <c r="B36" s="38"/>
      <c r="C36" s="38"/>
      <c r="D36" s="38"/>
      <c r="E36" s="38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2:14" ht="21" customHeight="1" x14ac:dyDescent="0.45">
      <c r="B37" s="50" t="s">
        <v>48</v>
      </c>
    </row>
    <row r="38" spans="2:14" ht="9" customHeight="1" x14ac:dyDescent="0.35"/>
    <row r="39" spans="2:14" x14ac:dyDescent="0.35">
      <c r="B39" s="55" t="s">
        <v>49</v>
      </c>
      <c r="C39" s="44" t="str">
        <f t="shared" ref="C39:N39" si="17">+C4</f>
        <v>Ene</v>
      </c>
      <c r="D39" s="44" t="str">
        <f t="shared" si="17"/>
        <v>Feb</v>
      </c>
      <c r="E39" s="44" t="str">
        <f t="shared" si="17"/>
        <v>Mar</v>
      </c>
      <c r="F39" s="44" t="str">
        <f t="shared" si="17"/>
        <v>Abr</v>
      </c>
      <c r="G39" s="44" t="str">
        <f t="shared" si="17"/>
        <v>May</v>
      </c>
      <c r="H39" s="44" t="str">
        <f t="shared" si="17"/>
        <v>Jun</v>
      </c>
      <c r="I39" s="44" t="str">
        <f t="shared" si="17"/>
        <v>Jul</v>
      </c>
      <c r="J39" s="44" t="str">
        <f t="shared" si="17"/>
        <v>Ago</v>
      </c>
      <c r="K39" s="44" t="str">
        <f t="shared" si="17"/>
        <v>Set</v>
      </c>
      <c r="L39" s="44" t="str">
        <f t="shared" si="17"/>
        <v>Oct</v>
      </c>
      <c r="M39" s="44" t="str">
        <f t="shared" si="17"/>
        <v>Nov</v>
      </c>
      <c r="N39" s="44" t="str">
        <f t="shared" si="17"/>
        <v>Dic</v>
      </c>
    </row>
    <row r="40" spans="2:14" x14ac:dyDescent="0.35">
      <c r="B40" s="47" t="s">
        <v>12</v>
      </c>
      <c r="C40" s="127">
        <v>702662554.41999996</v>
      </c>
      <c r="D40" s="127">
        <v>684549084.78000009</v>
      </c>
      <c r="E40" s="127">
        <v>772166444.52999997</v>
      </c>
      <c r="F40" s="127">
        <v>132652077.20999999</v>
      </c>
      <c r="G40" s="127"/>
      <c r="H40" s="127"/>
      <c r="I40" s="127"/>
      <c r="J40" s="127"/>
      <c r="K40" s="127"/>
      <c r="L40" s="127"/>
      <c r="M40" s="127"/>
      <c r="N40" s="127"/>
    </row>
    <row r="41" spans="2:14" ht="15" customHeight="1" thickBot="1" x14ac:dyDescent="0.4">
      <c r="B41" s="48" t="s">
        <v>50</v>
      </c>
      <c r="C41" s="120">
        <v>4505438965.7599993</v>
      </c>
      <c r="D41" s="120">
        <v>4350795578.4899998</v>
      </c>
      <c r="E41" s="120">
        <v>4999754875.1400013</v>
      </c>
      <c r="F41" s="120">
        <v>826695209.95000017</v>
      </c>
      <c r="G41" s="120"/>
      <c r="H41" s="120"/>
      <c r="I41" s="120"/>
      <c r="J41" s="120"/>
      <c r="K41" s="120"/>
      <c r="L41" s="120"/>
      <c r="M41" s="120"/>
      <c r="N41" s="120"/>
    </row>
    <row r="42" spans="2:14" ht="15" customHeight="1" thickTop="1" x14ac:dyDescent="0.35">
      <c r="B42" s="45" t="s">
        <v>44</v>
      </c>
      <c r="C42" s="122">
        <f t="shared" ref="C42:N42" si="18">SUM(C40:C41)</f>
        <v>5208101520.1799994</v>
      </c>
      <c r="D42" s="122">
        <f t="shared" si="18"/>
        <v>5035344663.2699995</v>
      </c>
      <c r="E42" s="122">
        <f t="shared" si="18"/>
        <v>5771921319.670001</v>
      </c>
      <c r="F42" s="122">
        <f t="shared" si="18"/>
        <v>959347287.16000021</v>
      </c>
      <c r="G42" s="122">
        <f t="shared" si="18"/>
        <v>0</v>
      </c>
      <c r="H42" s="122">
        <f t="shared" si="18"/>
        <v>0</v>
      </c>
      <c r="I42" s="122">
        <f t="shared" si="18"/>
        <v>0</v>
      </c>
      <c r="J42" s="122">
        <f t="shared" si="18"/>
        <v>0</v>
      </c>
      <c r="K42" s="122">
        <f t="shared" si="18"/>
        <v>0</v>
      </c>
      <c r="L42" s="122">
        <f t="shared" si="18"/>
        <v>0</v>
      </c>
      <c r="M42" s="122">
        <f t="shared" si="18"/>
        <v>0</v>
      </c>
      <c r="N42" s="122">
        <f t="shared" si="18"/>
        <v>0</v>
      </c>
    </row>
    <row r="44" spans="2:14" x14ac:dyDescent="0.35">
      <c r="B44" s="55" t="s">
        <v>51</v>
      </c>
      <c r="C44" s="44" t="str">
        <f t="shared" ref="C44:N44" si="19">+C4</f>
        <v>Ene</v>
      </c>
      <c r="D44" s="44" t="str">
        <f t="shared" si="19"/>
        <v>Feb</v>
      </c>
      <c r="E44" s="44" t="str">
        <f t="shared" si="19"/>
        <v>Mar</v>
      </c>
      <c r="F44" s="44" t="str">
        <f t="shared" si="19"/>
        <v>Abr</v>
      </c>
      <c r="G44" s="44" t="str">
        <f t="shared" si="19"/>
        <v>May</v>
      </c>
      <c r="H44" s="44" t="str">
        <f t="shared" si="19"/>
        <v>Jun</v>
      </c>
      <c r="I44" s="44" t="str">
        <f t="shared" si="19"/>
        <v>Jul</v>
      </c>
      <c r="J44" s="44" t="str">
        <f t="shared" si="19"/>
        <v>Ago</v>
      </c>
      <c r="K44" s="44" t="str">
        <f t="shared" si="19"/>
        <v>Set</v>
      </c>
      <c r="L44" s="44" t="str">
        <f t="shared" si="19"/>
        <v>Oct</v>
      </c>
      <c r="M44" s="44" t="str">
        <f t="shared" si="19"/>
        <v>Nov</v>
      </c>
      <c r="N44" s="44" t="str">
        <f t="shared" si="19"/>
        <v>Dic</v>
      </c>
    </row>
    <row r="45" spans="2:14" x14ac:dyDescent="0.35">
      <c r="B45" s="47" t="s">
        <v>12</v>
      </c>
      <c r="C45" s="127">
        <v>511739091.76999998</v>
      </c>
      <c r="D45" s="127">
        <v>487149145.82999992</v>
      </c>
      <c r="E45" s="127">
        <v>547122299.85000002</v>
      </c>
      <c r="F45" s="127">
        <v>89628676.760000005</v>
      </c>
      <c r="G45" s="127"/>
      <c r="H45" s="127"/>
      <c r="I45" s="127"/>
      <c r="J45" s="127"/>
      <c r="K45" s="127"/>
      <c r="L45" s="127"/>
      <c r="M45" s="127"/>
      <c r="N45" s="127"/>
    </row>
    <row r="46" spans="2:14" ht="15" customHeight="1" thickBot="1" x14ac:dyDescent="0.4">
      <c r="B46" s="48" t="s">
        <v>50</v>
      </c>
      <c r="C46" s="120">
        <v>3607816508.1300001</v>
      </c>
      <c r="D46" s="120">
        <v>3481266262.48</v>
      </c>
      <c r="E46" s="120">
        <v>4004316287.9299998</v>
      </c>
      <c r="F46" s="120">
        <v>640131762.45999992</v>
      </c>
      <c r="G46" s="120"/>
      <c r="H46" s="120"/>
      <c r="I46" s="120"/>
      <c r="J46" s="120"/>
      <c r="K46" s="120"/>
      <c r="L46" s="120"/>
      <c r="M46" s="120"/>
      <c r="N46" s="120"/>
    </row>
    <row r="47" spans="2:14" ht="15" customHeight="1" thickTop="1" x14ac:dyDescent="0.35">
      <c r="B47" s="45" t="s">
        <v>44</v>
      </c>
      <c r="C47" s="122">
        <f t="shared" ref="C47:N47" si="20">SUM(C45:C46)</f>
        <v>4119555599.9000001</v>
      </c>
      <c r="D47" s="122">
        <f t="shared" si="20"/>
        <v>3968415408.3099999</v>
      </c>
      <c r="E47" s="122">
        <f t="shared" si="20"/>
        <v>4551438587.7799997</v>
      </c>
      <c r="F47" s="122">
        <f t="shared" si="20"/>
        <v>729760439.21999991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</row>
    <row r="49" spans="2:14" x14ac:dyDescent="0.35">
      <c r="B49" s="55" t="s">
        <v>52</v>
      </c>
      <c r="C49" s="44" t="str">
        <f t="shared" ref="C49:N49" si="21">+C4</f>
        <v>Ene</v>
      </c>
      <c r="D49" s="44" t="str">
        <f t="shared" si="21"/>
        <v>Feb</v>
      </c>
      <c r="E49" s="44" t="str">
        <f t="shared" si="21"/>
        <v>Mar</v>
      </c>
      <c r="F49" s="44" t="str">
        <f t="shared" si="21"/>
        <v>Abr</v>
      </c>
      <c r="G49" s="44" t="str">
        <f t="shared" si="21"/>
        <v>May</v>
      </c>
      <c r="H49" s="44" t="str">
        <f t="shared" si="21"/>
        <v>Jun</v>
      </c>
      <c r="I49" s="44" t="str">
        <f t="shared" si="21"/>
        <v>Jul</v>
      </c>
      <c r="J49" s="44" t="str">
        <f t="shared" si="21"/>
        <v>Ago</v>
      </c>
      <c r="K49" s="44" t="str">
        <f t="shared" si="21"/>
        <v>Set</v>
      </c>
      <c r="L49" s="44" t="str">
        <f t="shared" si="21"/>
        <v>Oct</v>
      </c>
      <c r="M49" s="44" t="str">
        <f t="shared" si="21"/>
        <v>Nov</v>
      </c>
      <c r="N49" s="44" t="str">
        <f t="shared" si="21"/>
        <v>Dic</v>
      </c>
    </row>
    <row r="50" spans="2:14" x14ac:dyDescent="0.35">
      <c r="B50" s="47" t="s">
        <v>12</v>
      </c>
      <c r="C50" s="127">
        <f t="shared" ref="C50:N50" si="22">+C40-C45</f>
        <v>190923462.64999998</v>
      </c>
      <c r="D50" s="127">
        <f t="shared" si="22"/>
        <v>197399938.95000017</v>
      </c>
      <c r="E50" s="127">
        <f t="shared" si="22"/>
        <v>225044144.67999995</v>
      </c>
      <c r="F50" s="127">
        <f t="shared" si="22"/>
        <v>43023400.449999988</v>
      </c>
      <c r="G50" s="127">
        <f t="shared" si="22"/>
        <v>0</v>
      </c>
      <c r="H50" s="127">
        <f t="shared" si="22"/>
        <v>0</v>
      </c>
      <c r="I50" s="127">
        <f t="shared" si="22"/>
        <v>0</v>
      </c>
      <c r="J50" s="127">
        <f t="shared" si="22"/>
        <v>0</v>
      </c>
      <c r="K50" s="127">
        <f t="shared" si="22"/>
        <v>0</v>
      </c>
      <c r="L50" s="127">
        <f t="shared" si="22"/>
        <v>0</v>
      </c>
      <c r="M50" s="127">
        <f t="shared" si="22"/>
        <v>0</v>
      </c>
      <c r="N50" s="127">
        <f t="shared" si="22"/>
        <v>0</v>
      </c>
    </row>
    <row r="51" spans="2:14" ht="15" customHeight="1" thickBot="1" x14ac:dyDescent="0.4">
      <c r="B51" s="48" t="s">
        <v>50</v>
      </c>
      <c r="C51" s="120">
        <f t="shared" ref="C51:N51" si="23">+C41-C46</f>
        <v>897622457.62999916</v>
      </c>
      <c r="D51" s="120">
        <f t="shared" si="23"/>
        <v>869529316.00999975</v>
      </c>
      <c r="E51" s="120">
        <f t="shared" si="23"/>
        <v>995438587.21000147</v>
      </c>
      <c r="F51" s="120">
        <f t="shared" si="23"/>
        <v>186563447.49000025</v>
      </c>
      <c r="G51" s="120">
        <f t="shared" si="23"/>
        <v>0</v>
      </c>
      <c r="H51" s="120">
        <f t="shared" si="23"/>
        <v>0</v>
      </c>
      <c r="I51" s="120">
        <f t="shared" si="23"/>
        <v>0</v>
      </c>
      <c r="J51" s="120">
        <f t="shared" si="23"/>
        <v>0</v>
      </c>
      <c r="K51" s="120">
        <f t="shared" si="23"/>
        <v>0</v>
      </c>
      <c r="L51" s="120">
        <f t="shared" si="23"/>
        <v>0</v>
      </c>
      <c r="M51" s="120">
        <f t="shared" si="23"/>
        <v>0</v>
      </c>
      <c r="N51" s="120">
        <f t="shared" si="23"/>
        <v>0</v>
      </c>
    </row>
    <row r="52" spans="2:14" ht="15" customHeight="1" thickTop="1" x14ac:dyDescent="0.35">
      <c r="B52" s="45" t="s">
        <v>44</v>
      </c>
      <c r="C52" s="122">
        <f t="shared" ref="C52:N52" si="24">SUM(C50:C51)</f>
        <v>1088545920.2799993</v>
      </c>
      <c r="D52" s="122">
        <f t="shared" si="24"/>
        <v>1066929254.9599999</v>
      </c>
      <c r="E52" s="122">
        <f t="shared" si="24"/>
        <v>1220482731.8900013</v>
      </c>
      <c r="F52" s="122">
        <f t="shared" si="24"/>
        <v>229586847.94000024</v>
      </c>
      <c r="G52" s="122">
        <f t="shared" si="24"/>
        <v>0</v>
      </c>
      <c r="H52" s="122">
        <f t="shared" si="24"/>
        <v>0</v>
      </c>
      <c r="I52" s="122">
        <f t="shared" si="24"/>
        <v>0</v>
      </c>
      <c r="J52" s="122">
        <f t="shared" si="24"/>
        <v>0</v>
      </c>
      <c r="K52" s="122">
        <f t="shared" si="24"/>
        <v>0</v>
      </c>
      <c r="L52" s="122">
        <f t="shared" si="24"/>
        <v>0</v>
      </c>
      <c r="M52" s="122">
        <f t="shared" si="24"/>
        <v>0</v>
      </c>
      <c r="N52" s="122">
        <f t="shared" si="24"/>
        <v>0</v>
      </c>
    </row>
    <row r="54" spans="2:14" x14ac:dyDescent="0.35">
      <c r="B54" s="43" t="s">
        <v>38</v>
      </c>
      <c r="C54" s="44" t="str">
        <f t="shared" ref="C54:N54" si="25">C4</f>
        <v>Ene</v>
      </c>
      <c r="D54" s="44" t="str">
        <f t="shared" si="25"/>
        <v>Feb</v>
      </c>
      <c r="E54" s="44" t="str">
        <f t="shared" si="25"/>
        <v>Mar</v>
      </c>
      <c r="F54" s="44" t="str">
        <f t="shared" si="25"/>
        <v>Abr</v>
      </c>
      <c r="G54" s="44" t="str">
        <f t="shared" si="25"/>
        <v>May</v>
      </c>
      <c r="H54" s="44" t="str">
        <f t="shared" si="25"/>
        <v>Jun</v>
      </c>
      <c r="I54" s="44" t="str">
        <f t="shared" si="25"/>
        <v>Jul</v>
      </c>
      <c r="J54" s="44" t="str">
        <f t="shared" si="25"/>
        <v>Ago</v>
      </c>
      <c r="K54" s="44" t="str">
        <f t="shared" si="25"/>
        <v>Set</v>
      </c>
      <c r="L54" s="44" t="str">
        <f t="shared" si="25"/>
        <v>Oct</v>
      </c>
      <c r="M54" s="44" t="str">
        <f t="shared" si="25"/>
        <v>Nov</v>
      </c>
      <c r="N54" s="44" t="str">
        <f t="shared" si="25"/>
        <v>Dic</v>
      </c>
    </row>
    <row r="55" spans="2:14" x14ac:dyDescent="0.35">
      <c r="B55" s="58" t="s">
        <v>53</v>
      </c>
      <c r="C55" s="124">
        <f t="shared" ref="C55:N55" si="26">+IFERROR(C45/C47,"")</f>
        <v>0.12422191650536824</v>
      </c>
      <c r="D55" s="124">
        <f t="shared" si="26"/>
        <v>0.1227565906557798</v>
      </c>
      <c r="E55" s="124">
        <f t="shared" si="26"/>
        <v>0.12020865256074195</v>
      </c>
      <c r="F55" s="124">
        <f t="shared" si="26"/>
        <v>0.12281931431607759</v>
      </c>
      <c r="G55" s="124" t="str">
        <f t="shared" si="26"/>
        <v/>
      </c>
      <c r="H55" s="124" t="str">
        <f t="shared" si="26"/>
        <v/>
      </c>
      <c r="I55" s="124" t="str">
        <f t="shared" si="26"/>
        <v/>
      </c>
      <c r="J55" s="124" t="str">
        <f t="shared" si="26"/>
        <v/>
      </c>
      <c r="K55" s="124" t="str">
        <f t="shared" si="26"/>
        <v/>
      </c>
      <c r="L55" s="124" t="str">
        <f t="shared" si="26"/>
        <v/>
      </c>
      <c r="M55" s="124" t="str">
        <f t="shared" si="26"/>
        <v/>
      </c>
      <c r="N55" s="124" t="str">
        <f t="shared" si="26"/>
        <v/>
      </c>
    </row>
    <row r="56" spans="2:14" ht="15" customHeight="1" thickBot="1" x14ac:dyDescent="0.4">
      <c r="B56" s="63" t="s">
        <v>54</v>
      </c>
      <c r="C56" s="125">
        <f t="shared" ref="C56:N56" si="27">+IFERROR(C50/C52,"")</f>
        <v>0.17539311763796794</v>
      </c>
      <c r="D56" s="125">
        <f t="shared" si="27"/>
        <v>0.18501689594911414</v>
      </c>
      <c r="E56" s="125">
        <f t="shared" si="27"/>
        <v>0.18438945410682184</v>
      </c>
      <c r="F56" s="125">
        <f t="shared" si="27"/>
        <v>0.18739488274713209</v>
      </c>
      <c r="G56" s="125" t="str">
        <f t="shared" si="27"/>
        <v/>
      </c>
      <c r="H56" s="125" t="str">
        <f t="shared" si="27"/>
        <v/>
      </c>
      <c r="I56" s="125" t="str">
        <f t="shared" si="27"/>
        <v/>
      </c>
      <c r="J56" s="125" t="str">
        <f t="shared" si="27"/>
        <v/>
      </c>
      <c r="K56" s="125" t="str">
        <f t="shared" si="27"/>
        <v/>
      </c>
      <c r="L56" s="125" t="str">
        <f t="shared" si="27"/>
        <v/>
      </c>
      <c r="M56" s="125" t="str">
        <f t="shared" si="27"/>
        <v/>
      </c>
      <c r="N56" s="125" t="str">
        <f t="shared" si="27"/>
        <v/>
      </c>
    </row>
    <row r="57" spans="2:14" ht="15" customHeight="1" thickTop="1" x14ac:dyDescent="0.35"/>
  </sheetData>
  <pageMargins left="0.7" right="0.7" top="0.75" bottom="0.75" header="0.3" footer="0.3"/>
  <pageSetup paperSize="9" orientation="portrait" horizontalDpi="360" verticalDpi="360"/>
  <ignoredErrors>
    <ignoredError sqref="D5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Q11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3.36328125" style="32" customWidth="1"/>
    <col min="2" max="2" width="24.1796875" style="32" customWidth="1"/>
    <col min="3" max="15" width="16.81640625" style="32" customWidth="1"/>
    <col min="16" max="16" width="11.453125" style="32" customWidth="1"/>
    <col min="17" max="17" width="14.453125" style="32" bestFit="1" customWidth="1"/>
    <col min="18" max="40" width="11.453125" style="32" customWidth="1"/>
    <col min="41" max="16384" width="11.453125" style="32"/>
  </cols>
  <sheetData>
    <row r="2" spans="2:17" ht="21" customHeight="1" x14ac:dyDescent="0.45">
      <c r="B2" s="49" t="s">
        <v>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7" ht="15" customHeight="1" thickBot="1" x14ac:dyDescent="0.4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7" ht="24" customHeight="1" thickBot="1" x14ac:dyDescent="0.4">
      <c r="B4" s="35" t="s">
        <v>18</v>
      </c>
      <c r="C4" s="64" t="s">
        <v>19</v>
      </c>
      <c r="D4" s="64" t="s">
        <v>20</v>
      </c>
      <c r="E4" s="64" t="s">
        <v>21</v>
      </c>
      <c r="F4" s="64" t="s">
        <v>22</v>
      </c>
      <c r="G4" s="64" t="s">
        <v>23</v>
      </c>
      <c r="H4" s="64" t="s">
        <v>24</v>
      </c>
      <c r="I4" s="64" t="s">
        <v>25</v>
      </c>
      <c r="J4" s="64" t="s">
        <v>26</v>
      </c>
      <c r="K4" s="64" t="s">
        <v>27</v>
      </c>
      <c r="L4" s="64" t="s">
        <v>28</v>
      </c>
      <c r="M4" s="64" t="s">
        <v>29</v>
      </c>
      <c r="N4" s="73" t="s">
        <v>30</v>
      </c>
      <c r="O4" s="57" t="s">
        <v>31</v>
      </c>
    </row>
    <row r="5" spans="2:17" x14ac:dyDescent="0.35">
      <c r="B5" s="65" t="s">
        <v>32</v>
      </c>
      <c r="C5" s="128">
        <v>267983149.02000001</v>
      </c>
      <c r="D5" s="129">
        <v>254946875.94</v>
      </c>
      <c r="E5" s="129">
        <v>286410053.63999999</v>
      </c>
      <c r="F5" s="129">
        <v>30984826.789999999</v>
      </c>
      <c r="G5" s="129"/>
      <c r="H5" s="129"/>
      <c r="I5" s="129"/>
      <c r="J5" s="129"/>
      <c r="K5" s="129"/>
      <c r="L5" s="129"/>
      <c r="M5" s="129"/>
      <c r="N5" s="130"/>
      <c r="O5" s="74">
        <f>+IFERROR(SUM(C5:N5)/SUM(C7:N7),"")</f>
        <v>0.79205891465021416</v>
      </c>
      <c r="P5" s="131"/>
      <c r="Q5" s="155"/>
    </row>
    <row r="6" spans="2:17" ht="14.4" customHeight="1" thickBot="1" x14ac:dyDescent="0.4">
      <c r="B6" s="66" t="s">
        <v>36</v>
      </c>
      <c r="C6" s="132">
        <v>71691887.38000001</v>
      </c>
      <c r="D6" s="133">
        <v>61475266.700000003</v>
      </c>
      <c r="E6" s="133">
        <v>79572413.450000003</v>
      </c>
      <c r="F6" s="133">
        <v>7872901.6200000001</v>
      </c>
      <c r="G6" s="133"/>
      <c r="H6" s="133"/>
      <c r="I6" s="133"/>
      <c r="J6" s="133"/>
      <c r="K6" s="133"/>
      <c r="L6" s="133"/>
      <c r="M6" s="133"/>
      <c r="N6" s="134"/>
      <c r="O6" s="75">
        <f>+IFERROR(SUM(C6:N6)/SUM(C7:N7),"")</f>
        <v>0.20794108534978606</v>
      </c>
      <c r="P6" s="131"/>
      <c r="Q6" s="155"/>
    </row>
    <row r="7" spans="2:17" ht="14.4" customHeight="1" thickBot="1" x14ac:dyDescent="0.4">
      <c r="B7" s="67" t="s">
        <v>56</v>
      </c>
      <c r="C7" s="102">
        <f t="shared" ref="C7:O7" si="0">SUM(C5:C6)</f>
        <v>339675036.40000004</v>
      </c>
      <c r="D7" s="102">
        <f t="shared" si="0"/>
        <v>316422142.63999999</v>
      </c>
      <c r="E7" s="102">
        <f t="shared" si="0"/>
        <v>365982467.08999997</v>
      </c>
      <c r="F7" s="102">
        <f t="shared" si="0"/>
        <v>38857728.409999996</v>
      </c>
      <c r="G7" s="102">
        <f t="shared" si="0"/>
        <v>0</v>
      </c>
      <c r="H7" s="102">
        <f t="shared" si="0"/>
        <v>0</v>
      </c>
      <c r="I7" s="102">
        <f t="shared" si="0"/>
        <v>0</v>
      </c>
      <c r="J7" s="102">
        <f t="shared" si="0"/>
        <v>0</v>
      </c>
      <c r="K7" s="102">
        <f t="shared" si="0"/>
        <v>0</v>
      </c>
      <c r="L7" s="102">
        <f t="shared" si="0"/>
        <v>0</v>
      </c>
      <c r="M7" s="102">
        <f t="shared" si="0"/>
        <v>0</v>
      </c>
      <c r="N7" s="103">
        <f t="shared" si="0"/>
        <v>0</v>
      </c>
      <c r="O7" s="104">
        <f t="shared" si="0"/>
        <v>1.0000000000000002</v>
      </c>
      <c r="Q7" s="155"/>
    </row>
    <row r="8" spans="2:17" ht="11.4" customHeight="1" thickBot="1" x14ac:dyDescent="0.4"/>
    <row r="9" spans="2:17" ht="14.4" customHeight="1" thickBot="1" x14ac:dyDescent="0.4">
      <c r="B9" s="68" t="s">
        <v>38</v>
      </c>
      <c r="C9" s="135">
        <v>192800577.00999999</v>
      </c>
      <c r="D9" s="112">
        <v>184616857.16999999</v>
      </c>
      <c r="E9" s="112">
        <v>206292184</v>
      </c>
      <c r="F9" s="112">
        <v>22019613.239999998</v>
      </c>
      <c r="G9" s="112"/>
      <c r="H9" s="112"/>
      <c r="I9" s="112"/>
      <c r="J9" s="112"/>
      <c r="K9" s="112"/>
      <c r="L9" s="112"/>
      <c r="M9" s="112"/>
      <c r="N9" s="136"/>
    </row>
    <row r="10" spans="2:17" x14ac:dyDescent="0.35">
      <c r="B10" s="69" t="s">
        <v>57</v>
      </c>
      <c r="C10" s="70">
        <f t="shared" ref="C10:N10" si="1">+IFERROR(C9/C7,"")</f>
        <v>0.56760302156252296</v>
      </c>
      <c r="D10" s="70">
        <f t="shared" si="1"/>
        <v>0.58345113154752382</v>
      </c>
      <c r="E10" s="70">
        <f t="shared" si="1"/>
        <v>0.56366684896211161</v>
      </c>
      <c r="F10" s="70">
        <f t="shared" si="1"/>
        <v>0.56667268368506263</v>
      </c>
      <c r="G10" s="70" t="str">
        <f t="shared" si="1"/>
        <v/>
      </c>
      <c r="H10" s="70" t="str">
        <f t="shared" si="1"/>
        <v/>
      </c>
      <c r="I10" s="70" t="str">
        <f t="shared" si="1"/>
        <v/>
      </c>
      <c r="J10" s="70" t="str">
        <f t="shared" si="1"/>
        <v/>
      </c>
      <c r="K10" s="70" t="str">
        <f t="shared" si="1"/>
        <v/>
      </c>
      <c r="L10" s="70" t="str">
        <f t="shared" si="1"/>
        <v/>
      </c>
      <c r="M10" s="70" t="str">
        <f t="shared" si="1"/>
        <v/>
      </c>
      <c r="N10" s="70" t="str">
        <f t="shared" si="1"/>
        <v/>
      </c>
    </row>
    <row r="11" spans="2:17" x14ac:dyDescent="0.35">
      <c r="B11" s="71" t="s">
        <v>58</v>
      </c>
      <c r="C11" s="72">
        <f t="shared" ref="C11:N11" si="2">IFERROR(C9/C5,"")</f>
        <v>0.71945037482789997</v>
      </c>
      <c r="D11" s="72">
        <f t="shared" si="2"/>
        <v>0.72413853470182665</v>
      </c>
      <c r="E11" s="72">
        <f t="shared" si="2"/>
        <v>0.72026865460280498</v>
      </c>
      <c r="F11" s="72">
        <f t="shared" si="2"/>
        <v>0.71065794200620092</v>
      </c>
      <c r="G11" s="72" t="str">
        <f t="shared" si="2"/>
        <v/>
      </c>
      <c r="H11" s="72" t="str">
        <f t="shared" si="2"/>
        <v/>
      </c>
      <c r="I11" s="72" t="str">
        <f t="shared" si="2"/>
        <v/>
      </c>
      <c r="J11" s="72" t="str">
        <f t="shared" si="2"/>
        <v/>
      </c>
      <c r="K11" s="72" t="str">
        <f t="shared" si="2"/>
        <v/>
      </c>
      <c r="L11" s="72" t="str">
        <f t="shared" si="2"/>
        <v/>
      </c>
      <c r="M11" s="72" t="str">
        <f t="shared" si="2"/>
        <v/>
      </c>
      <c r="N11" s="72" t="str">
        <f t="shared" si="2"/>
        <v/>
      </c>
    </row>
  </sheetData>
  <printOptions horizontalCentered="1"/>
  <pageMargins left="0.70866141732283472" right="0.70866141732283472" top="0.74803149606299213" bottom="0.74803149606299213" header="0.31496062992125978" footer="0.31496062992125978"/>
  <pageSetup paperSize="256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0C7C-FFC9-45E6-965D-4A36CDD8D795}">
  <sheetPr codeName="Hoja4"/>
  <dimension ref="B1:K33"/>
  <sheetViews>
    <sheetView zoomScale="70" zoomScaleNormal="70" workbookViewId="0">
      <selection activeCell="B1" sqref="B1"/>
    </sheetView>
  </sheetViews>
  <sheetFormatPr baseColWidth="10" defaultColWidth="13.6328125" defaultRowHeight="14.5" x14ac:dyDescent="0.35"/>
  <cols>
    <col min="1" max="1" width="6" style="200" customWidth="1"/>
    <col min="2" max="4" width="16.81640625" style="200" customWidth="1"/>
    <col min="5" max="5" width="2.1796875" style="200" customWidth="1"/>
    <col min="6" max="7" width="16.81640625" style="200" customWidth="1"/>
    <col min="8" max="8" width="2.1796875" style="200" customWidth="1"/>
    <col min="9" max="10" width="16.81640625" style="200" customWidth="1"/>
    <col min="11" max="11" width="3.81640625" style="200" customWidth="1"/>
    <col min="12" max="16384" width="13.6328125" style="200"/>
  </cols>
  <sheetData>
    <row r="1" spans="2:11" x14ac:dyDescent="0.35">
      <c r="B1" s="200" t="s">
        <v>451</v>
      </c>
    </row>
    <row r="2" spans="2:11" ht="26" x14ac:dyDescent="0.6">
      <c r="B2" s="198" t="s">
        <v>453</v>
      </c>
      <c r="C2" s="199"/>
      <c r="D2" s="199"/>
      <c r="E2" s="199"/>
      <c r="F2" s="199"/>
      <c r="G2" s="199"/>
      <c r="H2" s="199"/>
      <c r="I2" s="199"/>
      <c r="J2" s="199"/>
      <c r="K2" s="199"/>
    </row>
    <row r="3" spans="2:11" ht="15" thickBot="1" x14ac:dyDescent="0.4">
      <c r="B3" s="200" t="s">
        <v>438</v>
      </c>
    </row>
    <row r="4" spans="2:11" x14ac:dyDescent="0.35">
      <c r="B4" s="246" t="s">
        <v>439</v>
      </c>
      <c r="C4" s="248" t="s">
        <v>440</v>
      </c>
      <c r="D4" s="249"/>
      <c r="E4" s="201"/>
      <c r="F4" s="246" t="s">
        <v>441</v>
      </c>
      <c r="G4" s="249"/>
      <c r="I4" s="246" t="s">
        <v>442</v>
      </c>
      <c r="J4" s="249"/>
    </row>
    <row r="5" spans="2:11" ht="15" thickBot="1" x14ac:dyDescent="0.4">
      <c r="B5" s="247"/>
      <c r="C5" s="202" t="s">
        <v>443</v>
      </c>
      <c r="D5" s="203" t="s">
        <v>444</v>
      </c>
      <c r="E5" s="201"/>
      <c r="F5" s="204" t="s">
        <v>443</v>
      </c>
      <c r="G5" s="203" t="s">
        <v>444</v>
      </c>
      <c r="I5" s="204" t="s">
        <v>443</v>
      </c>
      <c r="J5" s="203" t="s">
        <v>444</v>
      </c>
    </row>
    <row r="6" spans="2:11" x14ac:dyDescent="0.35">
      <c r="B6" s="205" t="s">
        <v>59</v>
      </c>
      <c r="C6" s="206">
        <v>1336309</v>
      </c>
      <c r="D6" s="207">
        <v>158466723.06999999</v>
      </c>
      <c r="F6" s="208">
        <v>1643323</v>
      </c>
      <c r="G6" s="207">
        <v>112127174.66</v>
      </c>
      <c r="I6" s="208">
        <v>348559</v>
      </c>
      <c r="J6" s="207">
        <v>19873892.309999999</v>
      </c>
    </row>
    <row r="7" spans="2:11" x14ac:dyDescent="0.35">
      <c r="B7" s="209" t="s">
        <v>60</v>
      </c>
      <c r="C7" s="220">
        <v>1311107</v>
      </c>
      <c r="D7" s="222">
        <v>156986691.19</v>
      </c>
      <c r="E7" s="219"/>
      <c r="F7" s="221">
        <v>1540930</v>
      </c>
      <c r="G7" s="222">
        <v>105989101.66</v>
      </c>
      <c r="H7" s="219"/>
      <c r="I7" s="221">
        <v>293733</v>
      </c>
      <c r="J7" s="222">
        <v>17471233.620000001</v>
      </c>
    </row>
    <row r="8" spans="2:11" x14ac:dyDescent="0.35">
      <c r="B8" s="209" t="s">
        <v>61</v>
      </c>
      <c r="C8" s="210">
        <v>1527394</v>
      </c>
      <c r="D8" s="211">
        <v>177992452.09</v>
      </c>
      <c r="F8" s="212">
        <v>1693260</v>
      </c>
      <c r="G8" s="211">
        <v>118272021.02</v>
      </c>
      <c r="I8" s="212">
        <v>335591</v>
      </c>
      <c r="J8" s="211">
        <v>20192477.84</v>
      </c>
    </row>
    <row r="9" spans="2:11" x14ac:dyDescent="0.35">
      <c r="B9" s="209" t="s">
        <v>62</v>
      </c>
      <c r="C9" s="210">
        <v>246340</v>
      </c>
      <c r="D9" s="211">
        <v>27393154.050000001</v>
      </c>
      <c r="F9" s="212">
        <v>292521</v>
      </c>
      <c r="G9" s="211">
        <v>21631998.539999999</v>
      </c>
      <c r="I9" s="212">
        <v>59493</v>
      </c>
      <c r="J9" s="211">
        <v>3543494.37</v>
      </c>
    </row>
    <row r="10" spans="2:11" x14ac:dyDescent="0.35">
      <c r="B10" s="209" t="s">
        <v>63</v>
      </c>
      <c r="C10" s="210"/>
      <c r="D10" s="211"/>
      <c r="F10" s="212"/>
      <c r="G10" s="211"/>
      <c r="I10" s="212"/>
      <c r="J10" s="211"/>
    </row>
    <row r="11" spans="2:11" x14ac:dyDescent="0.35">
      <c r="B11" s="209" t="s">
        <v>64</v>
      </c>
      <c r="C11" s="210"/>
      <c r="D11" s="211"/>
      <c r="F11" s="212"/>
      <c r="G11" s="211"/>
      <c r="I11" s="212"/>
      <c r="J11" s="211"/>
    </row>
    <row r="12" spans="2:11" x14ac:dyDescent="0.35">
      <c r="B12" s="209" t="s">
        <v>65</v>
      </c>
      <c r="C12" s="210"/>
      <c r="D12" s="211"/>
      <c r="F12" s="212"/>
      <c r="G12" s="211"/>
      <c r="I12" s="212"/>
      <c r="J12" s="211"/>
    </row>
    <row r="13" spans="2:11" x14ac:dyDescent="0.35">
      <c r="B13" s="209" t="s">
        <v>66</v>
      </c>
      <c r="C13" s="210"/>
      <c r="D13" s="211"/>
      <c r="F13" s="212"/>
      <c r="G13" s="211"/>
      <c r="I13" s="212"/>
      <c r="J13" s="211"/>
    </row>
    <row r="14" spans="2:11" x14ac:dyDescent="0.35">
      <c r="B14" s="209" t="s">
        <v>67</v>
      </c>
      <c r="C14" s="210"/>
      <c r="D14" s="211"/>
      <c r="F14" s="212"/>
      <c r="G14" s="211"/>
      <c r="I14" s="212"/>
      <c r="J14" s="211"/>
    </row>
    <row r="15" spans="2:11" x14ac:dyDescent="0.35">
      <c r="B15" s="209" t="s">
        <v>68</v>
      </c>
      <c r="C15" s="210"/>
      <c r="D15" s="211"/>
      <c r="F15" s="212"/>
      <c r="G15" s="211"/>
      <c r="I15" s="212"/>
      <c r="J15" s="211"/>
    </row>
    <row r="16" spans="2:11" x14ac:dyDescent="0.35">
      <c r="B16" s="209" t="s">
        <v>69</v>
      </c>
      <c r="C16" s="210"/>
      <c r="D16" s="211"/>
      <c r="F16" s="212"/>
      <c r="G16" s="211"/>
      <c r="I16" s="212"/>
      <c r="J16" s="211"/>
    </row>
    <row r="17" spans="2:10" ht="15" thickBot="1" x14ac:dyDescent="0.4">
      <c r="B17" s="213" t="s">
        <v>70</v>
      </c>
      <c r="C17" s="214"/>
      <c r="D17" s="215"/>
      <c r="F17" s="216"/>
      <c r="G17" s="215"/>
      <c r="I17" s="216"/>
      <c r="J17" s="215"/>
    </row>
    <row r="19" spans="2:10" ht="15" thickBot="1" x14ac:dyDescent="0.4">
      <c r="B19" s="200" t="s">
        <v>445</v>
      </c>
    </row>
    <row r="20" spans="2:10" x14ac:dyDescent="0.35">
      <c r="B20" s="246" t="s">
        <v>439</v>
      </c>
      <c r="C20" s="248" t="s">
        <v>440</v>
      </c>
      <c r="D20" s="249"/>
      <c r="E20" s="201"/>
      <c r="F20" s="246" t="s">
        <v>441</v>
      </c>
      <c r="G20" s="249"/>
      <c r="I20" s="246" t="s">
        <v>442</v>
      </c>
      <c r="J20" s="249"/>
    </row>
    <row r="21" spans="2:10" ht="15" thickBot="1" x14ac:dyDescent="0.4">
      <c r="B21" s="247"/>
      <c r="C21" s="202" t="s">
        <v>443</v>
      </c>
      <c r="D21" s="203" t="s">
        <v>444</v>
      </c>
      <c r="E21" s="201"/>
      <c r="F21" s="204" t="s">
        <v>443</v>
      </c>
      <c r="G21" s="203" t="s">
        <v>444</v>
      </c>
      <c r="I21" s="204" t="s">
        <v>443</v>
      </c>
      <c r="J21" s="203" t="s">
        <v>444</v>
      </c>
    </row>
    <row r="22" spans="2:10" x14ac:dyDescent="0.35">
      <c r="B22" s="205" t="s">
        <v>59</v>
      </c>
      <c r="C22" s="206">
        <v>1683590</v>
      </c>
      <c r="D22" s="207">
        <v>243315953.77000001</v>
      </c>
      <c r="F22" s="208">
        <v>1841561</v>
      </c>
      <c r="G22" s="207">
        <v>135384511.24000001</v>
      </c>
      <c r="I22" s="208">
        <v>389433</v>
      </c>
      <c r="J22" s="207">
        <v>22753302.710000001</v>
      </c>
    </row>
    <row r="23" spans="2:10" x14ac:dyDescent="0.35">
      <c r="B23" s="209" t="s">
        <v>60</v>
      </c>
      <c r="C23" s="220">
        <v>1604311</v>
      </c>
      <c r="D23" s="222">
        <v>229407668.71000001</v>
      </c>
      <c r="E23" s="219"/>
      <c r="F23" s="221">
        <v>1701036</v>
      </c>
      <c r="G23" s="222">
        <v>125904042.7</v>
      </c>
      <c r="H23" s="219"/>
      <c r="I23" s="221">
        <v>335491</v>
      </c>
      <c r="J23" s="222">
        <v>21069163.98</v>
      </c>
    </row>
    <row r="24" spans="2:10" x14ac:dyDescent="0.35">
      <c r="B24" s="209" t="s">
        <v>61</v>
      </c>
      <c r="C24" s="210">
        <v>1896896</v>
      </c>
      <c r="D24" s="211">
        <v>268431566.52000001</v>
      </c>
      <c r="F24" s="212">
        <v>1908754</v>
      </c>
      <c r="G24" s="211">
        <v>143630739.24000001</v>
      </c>
      <c r="I24" s="212">
        <v>411946</v>
      </c>
      <c r="J24" s="211">
        <v>27023730.649999999</v>
      </c>
    </row>
    <row r="25" spans="2:10" x14ac:dyDescent="0.35">
      <c r="B25" s="209" t="s">
        <v>62</v>
      </c>
      <c r="C25" s="210">
        <v>309748</v>
      </c>
      <c r="D25" s="211">
        <v>42809625.360000007</v>
      </c>
      <c r="F25" s="212">
        <v>336436</v>
      </c>
      <c r="G25" s="211">
        <v>26600843.84</v>
      </c>
      <c r="I25" s="212">
        <v>75073</v>
      </c>
      <c r="J25" s="211">
        <v>4831773.46</v>
      </c>
    </row>
    <row r="26" spans="2:10" x14ac:dyDescent="0.35">
      <c r="B26" s="209" t="s">
        <v>63</v>
      </c>
      <c r="C26" s="210"/>
      <c r="D26" s="211"/>
      <c r="F26" s="212"/>
      <c r="G26" s="211"/>
      <c r="I26" s="212"/>
      <c r="J26" s="211"/>
    </row>
    <row r="27" spans="2:10" x14ac:dyDescent="0.35">
      <c r="B27" s="209" t="s">
        <v>64</v>
      </c>
      <c r="C27" s="210"/>
      <c r="D27" s="211"/>
      <c r="F27" s="212"/>
      <c r="G27" s="211"/>
      <c r="I27" s="212"/>
      <c r="J27" s="211"/>
    </row>
    <row r="28" spans="2:10" x14ac:dyDescent="0.35">
      <c r="B28" s="209" t="s">
        <v>65</v>
      </c>
      <c r="C28" s="210"/>
      <c r="D28" s="211"/>
      <c r="F28" s="212"/>
      <c r="G28" s="211"/>
      <c r="I28" s="212"/>
      <c r="J28" s="211"/>
    </row>
    <row r="29" spans="2:10" x14ac:dyDescent="0.35">
      <c r="B29" s="209" t="s">
        <v>66</v>
      </c>
      <c r="C29" s="210"/>
      <c r="D29" s="211"/>
      <c r="F29" s="212"/>
      <c r="G29" s="211"/>
      <c r="I29" s="212"/>
      <c r="J29" s="211"/>
    </row>
    <row r="30" spans="2:10" x14ac:dyDescent="0.35">
      <c r="B30" s="209" t="s">
        <v>67</v>
      </c>
      <c r="C30" s="210"/>
      <c r="D30" s="211"/>
      <c r="F30" s="212"/>
      <c r="G30" s="211"/>
      <c r="I30" s="212"/>
      <c r="J30" s="211"/>
    </row>
    <row r="31" spans="2:10" x14ac:dyDescent="0.35">
      <c r="B31" s="209" t="s">
        <v>68</v>
      </c>
      <c r="C31" s="210"/>
      <c r="D31" s="211"/>
      <c r="F31" s="212"/>
      <c r="G31" s="211"/>
      <c r="I31" s="212"/>
      <c r="J31" s="211"/>
    </row>
    <row r="32" spans="2:10" x14ac:dyDescent="0.35">
      <c r="B32" s="209" t="s">
        <v>69</v>
      </c>
      <c r="C32" s="210"/>
      <c r="D32" s="211"/>
      <c r="F32" s="212"/>
      <c r="G32" s="211"/>
      <c r="I32" s="212"/>
      <c r="J32" s="211"/>
    </row>
    <row r="33" spans="2:10" ht="15" thickBot="1" x14ac:dyDescent="0.4">
      <c r="B33" s="213" t="s">
        <v>70</v>
      </c>
      <c r="C33" s="214"/>
      <c r="D33" s="215"/>
      <c r="F33" s="216"/>
      <c r="G33" s="215"/>
      <c r="I33" s="216"/>
      <c r="J33" s="215"/>
    </row>
  </sheetData>
  <mergeCells count="8">
    <mergeCell ref="B4:B5"/>
    <mergeCell ref="C4:D4"/>
    <mergeCell ref="F4:G4"/>
    <mergeCell ref="I4:J4"/>
    <mergeCell ref="B20:B21"/>
    <mergeCell ref="C20:D20"/>
    <mergeCell ref="F20:G20"/>
    <mergeCell ref="I20:J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8AC0-C2E1-4E56-AC50-6E94C2278D5B}">
  <sheetPr codeName="Hoja5"/>
  <dimension ref="A1:L19"/>
  <sheetViews>
    <sheetView zoomScale="72" zoomScaleNormal="72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.5" x14ac:dyDescent="0.35"/>
  <cols>
    <col min="1" max="1" width="29.6328125" style="176" bestFit="1" customWidth="1"/>
    <col min="2" max="4" width="14.6328125" style="176" customWidth="1"/>
    <col min="5" max="5" width="18.36328125" style="176" bestFit="1" customWidth="1"/>
    <col min="6" max="11" width="14.6328125" style="176" customWidth="1"/>
    <col min="12" max="12" width="16.36328125" style="176" customWidth="1"/>
    <col min="13" max="256" width="11.54296875" style="176"/>
    <col min="257" max="257" width="29.6328125" style="176" bestFit="1" customWidth="1"/>
    <col min="258" max="264" width="15.6328125" style="176" customWidth="1"/>
    <col min="265" max="512" width="11.54296875" style="176"/>
    <col min="513" max="513" width="29.6328125" style="176" bestFit="1" customWidth="1"/>
    <col min="514" max="520" width="15.6328125" style="176" customWidth="1"/>
    <col min="521" max="768" width="11.54296875" style="176"/>
    <col min="769" max="769" width="29.6328125" style="176" bestFit="1" customWidth="1"/>
    <col min="770" max="776" width="15.6328125" style="176" customWidth="1"/>
    <col min="777" max="1024" width="11.54296875" style="176"/>
    <col min="1025" max="1025" width="29.6328125" style="176" bestFit="1" customWidth="1"/>
    <col min="1026" max="1032" width="15.6328125" style="176" customWidth="1"/>
    <col min="1033" max="1280" width="11.54296875" style="176"/>
    <col min="1281" max="1281" width="29.6328125" style="176" bestFit="1" customWidth="1"/>
    <col min="1282" max="1288" width="15.6328125" style="176" customWidth="1"/>
    <col min="1289" max="1536" width="11.54296875" style="176"/>
    <col min="1537" max="1537" width="29.6328125" style="176" bestFit="1" customWidth="1"/>
    <col min="1538" max="1544" width="15.6328125" style="176" customWidth="1"/>
    <col min="1545" max="1792" width="11.54296875" style="176"/>
    <col min="1793" max="1793" width="29.6328125" style="176" bestFit="1" customWidth="1"/>
    <col min="1794" max="1800" width="15.6328125" style="176" customWidth="1"/>
    <col min="1801" max="2048" width="11.54296875" style="176"/>
    <col min="2049" max="2049" width="29.6328125" style="176" bestFit="1" customWidth="1"/>
    <col min="2050" max="2056" width="15.6328125" style="176" customWidth="1"/>
    <col min="2057" max="2304" width="11.54296875" style="176"/>
    <col min="2305" max="2305" width="29.6328125" style="176" bestFit="1" customWidth="1"/>
    <col min="2306" max="2312" width="15.6328125" style="176" customWidth="1"/>
    <col min="2313" max="2560" width="11.54296875" style="176"/>
    <col min="2561" max="2561" width="29.6328125" style="176" bestFit="1" customWidth="1"/>
    <col min="2562" max="2568" width="15.6328125" style="176" customWidth="1"/>
    <col min="2569" max="2816" width="11.54296875" style="176"/>
    <col min="2817" max="2817" width="29.6328125" style="176" bestFit="1" customWidth="1"/>
    <col min="2818" max="2824" width="15.6328125" style="176" customWidth="1"/>
    <col min="2825" max="3072" width="11.54296875" style="176"/>
    <col min="3073" max="3073" width="29.6328125" style="176" bestFit="1" customWidth="1"/>
    <col min="3074" max="3080" width="15.6328125" style="176" customWidth="1"/>
    <col min="3081" max="3328" width="11.54296875" style="176"/>
    <col min="3329" max="3329" width="29.6328125" style="176" bestFit="1" customWidth="1"/>
    <col min="3330" max="3336" width="15.6328125" style="176" customWidth="1"/>
    <col min="3337" max="3584" width="11.54296875" style="176"/>
    <col min="3585" max="3585" width="29.6328125" style="176" bestFit="1" customWidth="1"/>
    <col min="3586" max="3592" width="15.6328125" style="176" customWidth="1"/>
    <col min="3593" max="3840" width="11.54296875" style="176"/>
    <col min="3841" max="3841" width="29.6328125" style="176" bestFit="1" customWidth="1"/>
    <col min="3842" max="3848" width="15.6328125" style="176" customWidth="1"/>
    <col min="3849" max="4096" width="11.54296875" style="176"/>
    <col min="4097" max="4097" width="29.6328125" style="176" bestFit="1" customWidth="1"/>
    <col min="4098" max="4104" width="15.6328125" style="176" customWidth="1"/>
    <col min="4105" max="4352" width="11.54296875" style="176"/>
    <col min="4353" max="4353" width="29.6328125" style="176" bestFit="1" customWidth="1"/>
    <col min="4354" max="4360" width="15.6328125" style="176" customWidth="1"/>
    <col min="4361" max="4608" width="11.54296875" style="176"/>
    <col min="4609" max="4609" width="29.6328125" style="176" bestFit="1" customWidth="1"/>
    <col min="4610" max="4616" width="15.6328125" style="176" customWidth="1"/>
    <col min="4617" max="4864" width="11.54296875" style="176"/>
    <col min="4865" max="4865" width="29.6328125" style="176" bestFit="1" customWidth="1"/>
    <col min="4866" max="4872" width="15.6328125" style="176" customWidth="1"/>
    <col min="4873" max="5120" width="11.54296875" style="176"/>
    <col min="5121" max="5121" width="29.6328125" style="176" bestFit="1" customWidth="1"/>
    <col min="5122" max="5128" width="15.6328125" style="176" customWidth="1"/>
    <col min="5129" max="5376" width="11.54296875" style="176"/>
    <col min="5377" max="5377" width="29.6328125" style="176" bestFit="1" customWidth="1"/>
    <col min="5378" max="5384" width="15.6328125" style="176" customWidth="1"/>
    <col min="5385" max="5632" width="11.54296875" style="176"/>
    <col min="5633" max="5633" width="29.6328125" style="176" bestFit="1" customWidth="1"/>
    <col min="5634" max="5640" width="15.6328125" style="176" customWidth="1"/>
    <col min="5641" max="5888" width="11.54296875" style="176"/>
    <col min="5889" max="5889" width="29.6328125" style="176" bestFit="1" customWidth="1"/>
    <col min="5890" max="5896" width="15.6328125" style="176" customWidth="1"/>
    <col min="5897" max="6144" width="11.54296875" style="176"/>
    <col min="6145" max="6145" width="29.6328125" style="176" bestFit="1" customWidth="1"/>
    <col min="6146" max="6152" width="15.6328125" style="176" customWidth="1"/>
    <col min="6153" max="6400" width="11.54296875" style="176"/>
    <col min="6401" max="6401" width="29.6328125" style="176" bestFit="1" customWidth="1"/>
    <col min="6402" max="6408" width="15.6328125" style="176" customWidth="1"/>
    <col min="6409" max="6656" width="11.54296875" style="176"/>
    <col min="6657" max="6657" width="29.6328125" style="176" bestFit="1" customWidth="1"/>
    <col min="6658" max="6664" width="15.6328125" style="176" customWidth="1"/>
    <col min="6665" max="6912" width="11.54296875" style="176"/>
    <col min="6913" max="6913" width="29.6328125" style="176" bestFit="1" customWidth="1"/>
    <col min="6914" max="6920" width="15.6328125" style="176" customWidth="1"/>
    <col min="6921" max="7168" width="11.54296875" style="176"/>
    <col min="7169" max="7169" width="29.6328125" style="176" bestFit="1" customWidth="1"/>
    <col min="7170" max="7176" width="15.6328125" style="176" customWidth="1"/>
    <col min="7177" max="7424" width="11.54296875" style="176"/>
    <col min="7425" max="7425" width="29.6328125" style="176" bestFit="1" customWidth="1"/>
    <col min="7426" max="7432" width="15.6328125" style="176" customWidth="1"/>
    <col min="7433" max="7680" width="11.54296875" style="176"/>
    <col min="7681" max="7681" width="29.6328125" style="176" bestFit="1" customWidth="1"/>
    <col min="7682" max="7688" width="15.6328125" style="176" customWidth="1"/>
    <col min="7689" max="7936" width="11.54296875" style="176"/>
    <col min="7937" max="7937" width="29.6328125" style="176" bestFit="1" customWidth="1"/>
    <col min="7938" max="7944" width="15.6328125" style="176" customWidth="1"/>
    <col min="7945" max="8192" width="11.54296875" style="176"/>
    <col min="8193" max="8193" width="29.6328125" style="176" bestFit="1" customWidth="1"/>
    <col min="8194" max="8200" width="15.6328125" style="176" customWidth="1"/>
    <col min="8201" max="8448" width="11.54296875" style="176"/>
    <col min="8449" max="8449" width="29.6328125" style="176" bestFit="1" customWidth="1"/>
    <col min="8450" max="8456" width="15.6328125" style="176" customWidth="1"/>
    <col min="8457" max="8704" width="11.54296875" style="176"/>
    <col min="8705" max="8705" width="29.6328125" style="176" bestFit="1" customWidth="1"/>
    <col min="8706" max="8712" width="15.6328125" style="176" customWidth="1"/>
    <col min="8713" max="8960" width="11.54296875" style="176"/>
    <col min="8961" max="8961" width="29.6328125" style="176" bestFit="1" customWidth="1"/>
    <col min="8962" max="8968" width="15.6328125" style="176" customWidth="1"/>
    <col min="8969" max="9216" width="11.54296875" style="176"/>
    <col min="9217" max="9217" width="29.6328125" style="176" bestFit="1" customWidth="1"/>
    <col min="9218" max="9224" width="15.6328125" style="176" customWidth="1"/>
    <col min="9225" max="9472" width="11.54296875" style="176"/>
    <col min="9473" max="9473" width="29.6328125" style="176" bestFit="1" customWidth="1"/>
    <col min="9474" max="9480" width="15.6328125" style="176" customWidth="1"/>
    <col min="9481" max="9728" width="11.54296875" style="176"/>
    <col min="9729" max="9729" width="29.6328125" style="176" bestFit="1" customWidth="1"/>
    <col min="9730" max="9736" width="15.6328125" style="176" customWidth="1"/>
    <col min="9737" max="9984" width="11.54296875" style="176"/>
    <col min="9985" max="9985" width="29.6328125" style="176" bestFit="1" customWidth="1"/>
    <col min="9986" max="9992" width="15.6328125" style="176" customWidth="1"/>
    <col min="9993" max="10240" width="11.54296875" style="176"/>
    <col min="10241" max="10241" width="29.6328125" style="176" bestFit="1" customWidth="1"/>
    <col min="10242" max="10248" width="15.6328125" style="176" customWidth="1"/>
    <col min="10249" max="10496" width="11.54296875" style="176"/>
    <col min="10497" max="10497" width="29.6328125" style="176" bestFit="1" customWidth="1"/>
    <col min="10498" max="10504" width="15.6328125" style="176" customWidth="1"/>
    <col min="10505" max="10752" width="11.54296875" style="176"/>
    <col min="10753" max="10753" width="29.6328125" style="176" bestFit="1" customWidth="1"/>
    <col min="10754" max="10760" width="15.6328125" style="176" customWidth="1"/>
    <col min="10761" max="11008" width="11.54296875" style="176"/>
    <col min="11009" max="11009" width="29.6328125" style="176" bestFit="1" customWidth="1"/>
    <col min="11010" max="11016" width="15.6328125" style="176" customWidth="1"/>
    <col min="11017" max="11264" width="11.54296875" style="176"/>
    <col min="11265" max="11265" width="29.6328125" style="176" bestFit="1" customWidth="1"/>
    <col min="11266" max="11272" width="15.6328125" style="176" customWidth="1"/>
    <col min="11273" max="11520" width="11.54296875" style="176"/>
    <col min="11521" max="11521" width="29.6328125" style="176" bestFit="1" customWidth="1"/>
    <col min="11522" max="11528" width="15.6328125" style="176" customWidth="1"/>
    <col min="11529" max="11776" width="11.54296875" style="176"/>
    <col min="11777" max="11777" width="29.6328125" style="176" bestFit="1" customWidth="1"/>
    <col min="11778" max="11784" width="15.6328125" style="176" customWidth="1"/>
    <col min="11785" max="12032" width="11.54296875" style="176"/>
    <col min="12033" max="12033" width="29.6328125" style="176" bestFit="1" customWidth="1"/>
    <col min="12034" max="12040" width="15.6328125" style="176" customWidth="1"/>
    <col min="12041" max="12288" width="11.54296875" style="176"/>
    <col min="12289" max="12289" width="29.6328125" style="176" bestFit="1" customWidth="1"/>
    <col min="12290" max="12296" width="15.6328125" style="176" customWidth="1"/>
    <col min="12297" max="12544" width="11.54296875" style="176"/>
    <col min="12545" max="12545" width="29.6328125" style="176" bestFit="1" customWidth="1"/>
    <col min="12546" max="12552" width="15.6328125" style="176" customWidth="1"/>
    <col min="12553" max="12800" width="11.54296875" style="176"/>
    <col min="12801" max="12801" width="29.6328125" style="176" bestFit="1" customWidth="1"/>
    <col min="12802" max="12808" width="15.6328125" style="176" customWidth="1"/>
    <col min="12809" max="13056" width="11.54296875" style="176"/>
    <col min="13057" max="13057" width="29.6328125" style="176" bestFit="1" customWidth="1"/>
    <col min="13058" max="13064" width="15.6328125" style="176" customWidth="1"/>
    <col min="13065" max="13312" width="11.54296875" style="176"/>
    <col min="13313" max="13313" width="29.6328125" style="176" bestFit="1" customWidth="1"/>
    <col min="13314" max="13320" width="15.6328125" style="176" customWidth="1"/>
    <col min="13321" max="13568" width="11.54296875" style="176"/>
    <col min="13569" max="13569" width="29.6328125" style="176" bestFit="1" customWidth="1"/>
    <col min="13570" max="13576" width="15.6328125" style="176" customWidth="1"/>
    <col min="13577" max="13824" width="11.54296875" style="176"/>
    <col min="13825" max="13825" width="29.6328125" style="176" bestFit="1" customWidth="1"/>
    <col min="13826" max="13832" width="15.6328125" style="176" customWidth="1"/>
    <col min="13833" max="14080" width="11.54296875" style="176"/>
    <col min="14081" max="14081" width="29.6328125" style="176" bestFit="1" customWidth="1"/>
    <col min="14082" max="14088" width="15.6328125" style="176" customWidth="1"/>
    <col min="14089" max="14336" width="11.54296875" style="176"/>
    <col min="14337" max="14337" width="29.6328125" style="176" bestFit="1" customWidth="1"/>
    <col min="14338" max="14344" width="15.6328125" style="176" customWidth="1"/>
    <col min="14345" max="14592" width="11.54296875" style="176"/>
    <col min="14593" max="14593" width="29.6328125" style="176" bestFit="1" customWidth="1"/>
    <col min="14594" max="14600" width="15.6328125" style="176" customWidth="1"/>
    <col min="14601" max="14848" width="11.54296875" style="176"/>
    <col min="14849" max="14849" width="29.6328125" style="176" bestFit="1" customWidth="1"/>
    <col min="14850" max="14856" width="15.6328125" style="176" customWidth="1"/>
    <col min="14857" max="15104" width="11.54296875" style="176"/>
    <col min="15105" max="15105" width="29.6328125" style="176" bestFit="1" customWidth="1"/>
    <col min="15106" max="15112" width="15.6328125" style="176" customWidth="1"/>
    <col min="15113" max="15360" width="11.54296875" style="176"/>
    <col min="15361" max="15361" width="29.6328125" style="176" bestFit="1" customWidth="1"/>
    <col min="15362" max="15368" width="15.6328125" style="176" customWidth="1"/>
    <col min="15369" max="15616" width="11.54296875" style="176"/>
    <col min="15617" max="15617" width="29.6328125" style="176" bestFit="1" customWidth="1"/>
    <col min="15618" max="15624" width="15.6328125" style="176" customWidth="1"/>
    <col min="15625" max="15872" width="11.54296875" style="176"/>
    <col min="15873" max="15873" width="29.6328125" style="176" bestFit="1" customWidth="1"/>
    <col min="15874" max="15880" width="15.6328125" style="176" customWidth="1"/>
    <col min="15881" max="16128" width="11.54296875" style="176"/>
    <col min="16129" max="16129" width="29.6328125" style="176" bestFit="1" customWidth="1"/>
    <col min="16130" max="16136" width="15.6328125" style="176" customWidth="1"/>
    <col min="16137" max="16384" width="11.54296875" style="176"/>
  </cols>
  <sheetData>
    <row r="1" spans="1:12" x14ac:dyDescent="0.35">
      <c r="A1" s="175" t="s">
        <v>422</v>
      </c>
    </row>
    <row r="2" spans="1:12" x14ac:dyDescent="0.35">
      <c r="A2" s="175" t="s">
        <v>423</v>
      </c>
      <c r="C2" s="177"/>
    </row>
    <row r="3" spans="1:12" x14ac:dyDescent="0.35">
      <c r="A3" s="178" t="s">
        <v>471</v>
      </c>
    </row>
    <row r="4" spans="1:12" x14ac:dyDescent="0.35">
      <c r="B4" s="179"/>
    </row>
    <row r="5" spans="1:12" x14ac:dyDescent="0.35">
      <c r="A5" s="180" t="s">
        <v>424</v>
      </c>
      <c r="H5" s="179"/>
    </row>
    <row r="6" spans="1:12" ht="16" thickBot="1" x14ac:dyDescent="0.4">
      <c r="B6" s="179"/>
    </row>
    <row r="7" spans="1:12" ht="16" thickBot="1" x14ac:dyDescent="0.4">
      <c r="A7" s="181" t="s">
        <v>425</v>
      </c>
      <c r="B7" s="182" t="s">
        <v>413</v>
      </c>
      <c r="C7" s="183" t="s">
        <v>426</v>
      </c>
      <c r="D7" s="183" t="s">
        <v>427</v>
      </c>
      <c r="E7" s="183" t="s">
        <v>428</v>
      </c>
      <c r="F7" s="183" t="s">
        <v>429</v>
      </c>
      <c r="G7" s="183" t="s">
        <v>430</v>
      </c>
      <c r="H7" s="183" t="s">
        <v>417</v>
      </c>
      <c r="I7" s="183" t="s">
        <v>431</v>
      </c>
      <c r="J7" s="183" t="s">
        <v>432</v>
      </c>
      <c r="K7" s="184" t="s">
        <v>433</v>
      </c>
      <c r="L7" s="185" t="s">
        <v>44</v>
      </c>
    </row>
    <row r="8" spans="1:12" ht="16" thickBot="1" x14ac:dyDescent="0.4">
      <c r="A8" s="186" t="s">
        <v>434</v>
      </c>
      <c r="B8" s="187">
        <v>206013</v>
      </c>
      <c r="C8" s="188">
        <f>B8/L8</f>
        <v>0.62428560173091963</v>
      </c>
      <c r="D8" s="189">
        <v>1028</v>
      </c>
      <c r="E8" s="188">
        <f>D8/L8</f>
        <v>3.1151703949720906E-3</v>
      </c>
      <c r="F8" s="189">
        <v>2453</v>
      </c>
      <c r="G8" s="188">
        <f>F8/L8</f>
        <v>7.4333783841114189E-3</v>
      </c>
      <c r="H8" s="189">
        <v>120504</v>
      </c>
      <c r="I8" s="188">
        <f>H8/L8</f>
        <v>0.36516584948999692</v>
      </c>
      <c r="J8" s="189">
        <v>0</v>
      </c>
      <c r="K8" s="191">
        <f>J8/L8</f>
        <v>0</v>
      </c>
      <c r="L8" s="192">
        <f>B8+D8+F8+H8+J8</f>
        <v>329998</v>
      </c>
    </row>
    <row r="9" spans="1:12" ht="16" thickBot="1" x14ac:dyDescent="0.4"/>
    <row r="10" spans="1:12" ht="16" thickBot="1" x14ac:dyDescent="0.4">
      <c r="A10" s="193" t="s">
        <v>435</v>
      </c>
      <c r="B10" s="194">
        <v>137342</v>
      </c>
      <c r="C10" s="195">
        <f>B10/L10</f>
        <v>0.61126193888359759</v>
      </c>
      <c r="D10" s="190">
        <v>109</v>
      </c>
      <c r="E10" s="195">
        <f>D10/L10</f>
        <v>4.8512145839082099E-4</v>
      </c>
      <c r="F10" s="190">
        <v>1431</v>
      </c>
      <c r="G10" s="195">
        <f>F10/L10</f>
        <v>6.3688881372226131E-3</v>
      </c>
      <c r="H10" s="190">
        <v>85804</v>
      </c>
      <c r="I10" s="195">
        <f>H10/L10</f>
        <v>0.38188405152078903</v>
      </c>
      <c r="J10" s="190">
        <v>0</v>
      </c>
      <c r="K10" s="196">
        <f>J10/L10</f>
        <v>0</v>
      </c>
      <c r="L10" s="197">
        <f>B10+D10+F10+H10+J10</f>
        <v>224686</v>
      </c>
    </row>
    <row r="12" spans="1:12" ht="16" thickBot="1" x14ac:dyDescent="0.4">
      <c r="A12" s="180" t="s">
        <v>436</v>
      </c>
      <c r="E12" s="175"/>
      <c r="H12" s="179"/>
    </row>
    <row r="13" spans="1:12" ht="16" hidden="1" thickBot="1" x14ac:dyDescent="0.4">
      <c r="B13" s="179"/>
    </row>
    <row r="14" spans="1:12" ht="16" thickBot="1" x14ac:dyDescent="0.4">
      <c r="A14" s="181" t="s">
        <v>425</v>
      </c>
      <c r="B14" s="182" t="s">
        <v>413</v>
      </c>
      <c r="C14" s="183" t="s">
        <v>426</v>
      </c>
      <c r="D14" s="183" t="s">
        <v>427</v>
      </c>
      <c r="E14" s="183" t="s">
        <v>428</v>
      </c>
      <c r="F14" s="183" t="s">
        <v>429</v>
      </c>
      <c r="G14" s="183" t="s">
        <v>430</v>
      </c>
      <c r="H14" s="183" t="s">
        <v>417</v>
      </c>
      <c r="I14" s="183" t="s">
        <v>431</v>
      </c>
      <c r="J14" s="183" t="s">
        <v>432</v>
      </c>
      <c r="K14" s="184" t="s">
        <v>433</v>
      </c>
      <c r="L14" s="185" t="s">
        <v>44</v>
      </c>
    </row>
    <row r="15" spans="1:12" ht="16" thickBot="1" x14ac:dyDescent="0.4">
      <c r="A15" s="186" t="s">
        <v>434</v>
      </c>
      <c r="B15" s="187">
        <v>27449858.66</v>
      </c>
      <c r="C15" s="188">
        <f>B15/L15</f>
        <v>0.51468191400069208</v>
      </c>
      <c r="D15" s="189">
        <v>1521870.93</v>
      </c>
      <c r="E15" s="188">
        <f>D15/L15</f>
        <v>2.8534917167198748E-2</v>
      </c>
      <c r="F15" s="189">
        <v>492017.71</v>
      </c>
      <c r="G15" s="188">
        <f>F15/L15</f>
        <v>9.2252794391997593E-3</v>
      </c>
      <c r="H15" s="189">
        <v>23869890.259999998</v>
      </c>
      <c r="I15" s="195">
        <f>H15/L15</f>
        <v>0.44755788939290936</v>
      </c>
      <c r="J15" s="189">
        <v>0</v>
      </c>
      <c r="K15" s="191">
        <f>J15/L15</f>
        <v>0</v>
      </c>
      <c r="L15" s="192">
        <f>B15+D15+F15+H15+J15</f>
        <v>53333637.560000002</v>
      </c>
    </row>
    <row r="16" spans="1:12" ht="16" thickBot="1" x14ac:dyDescent="0.4"/>
    <row r="17" spans="1:12" ht="16" thickBot="1" x14ac:dyDescent="0.4">
      <c r="A17" s="193" t="s">
        <v>435</v>
      </c>
      <c r="B17" s="194">
        <v>14981451.77</v>
      </c>
      <c r="C17" s="195">
        <f>B17/L17</f>
        <v>0.50037316355180872</v>
      </c>
      <c r="D17" s="190">
        <v>204749.15</v>
      </c>
      <c r="E17" s="195">
        <f>D17/L17</f>
        <v>6.8385214926366122E-3</v>
      </c>
      <c r="F17" s="190">
        <v>238922.9</v>
      </c>
      <c r="G17" s="195">
        <f>F17/L17</f>
        <v>7.9799080325025432E-3</v>
      </c>
      <c r="H17" s="190">
        <v>14515434.27</v>
      </c>
      <c r="I17" s="195">
        <f>H17/L17</f>
        <v>0.4848084069230521</v>
      </c>
      <c r="J17" s="190">
        <v>0</v>
      </c>
      <c r="K17" s="196">
        <f>J17/L17</f>
        <v>0</v>
      </c>
      <c r="L17" s="197">
        <f>B17+D17+F17+H17+J17</f>
        <v>29940558.09</v>
      </c>
    </row>
    <row r="19" spans="1:12" x14ac:dyDescent="0.35">
      <c r="A19" s="176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6D2B-9CE7-4B47-ADBA-24F6D8828105}">
  <sheetPr codeName="Hoja6"/>
  <dimension ref="A1:AD69"/>
  <sheetViews>
    <sheetView zoomScale="68" zoomScaleNormal="68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RowHeight="14.5" x14ac:dyDescent="0.35"/>
  <cols>
    <col min="1" max="1" width="19.453125" bestFit="1" customWidth="1"/>
    <col min="2" max="5" width="11.1796875" customWidth="1"/>
    <col min="6" max="13" width="11.1796875" hidden="1" customWidth="1"/>
    <col min="15" max="18" width="8.81640625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1.54296875" hidden="1" customWidth="1"/>
  </cols>
  <sheetData>
    <row r="1" spans="1:30" x14ac:dyDescent="0.35">
      <c r="A1" s="156" t="s">
        <v>472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30" x14ac:dyDescent="0.35">
      <c r="G2" s="241"/>
      <c r="H2" s="241"/>
      <c r="I2" s="241"/>
      <c r="J2" s="241"/>
      <c r="L2" s="241"/>
      <c r="M2" s="163"/>
      <c r="N2" s="163"/>
    </row>
    <row r="3" spans="1:30" ht="15.65" customHeight="1" x14ac:dyDescent="0.35">
      <c r="A3" s="157" t="s">
        <v>412</v>
      </c>
      <c r="B3" s="163"/>
      <c r="N3" s="163"/>
    </row>
    <row r="4" spans="1:30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30" x14ac:dyDescent="0.35">
      <c r="A5" s="159" t="s">
        <v>413</v>
      </c>
      <c r="B5" s="160"/>
      <c r="C5" s="160"/>
      <c r="D5" s="160"/>
      <c r="J5" s="160"/>
      <c r="K5" s="160"/>
      <c r="L5" s="160"/>
      <c r="M5" s="160"/>
    </row>
    <row r="6" spans="1:30" x14ac:dyDescent="0.35">
      <c r="A6" s="161" t="s">
        <v>414</v>
      </c>
      <c r="B6" s="162">
        <v>1841038</v>
      </c>
      <c r="C6" s="162">
        <v>1771633</v>
      </c>
      <c r="D6" s="162">
        <v>1987804</v>
      </c>
      <c r="E6" s="162">
        <v>332074</v>
      </c>
      <c r="F6" s="162"/>
      <c r="G6" s="162"/>
      <c r="H6" s="162"/>
      <c r="I6" s="162"/>
      <c r="J6" s="162"/>
      <c r="K6" s="162"/>
      <c r="L6" s="162"/>
      <c r="M6" s="162"/>
      <c r="N6" s="163"/>
      <c r="O6" s="164">
        <f t="shared" ref="O6:Z9" si="0">B6/B18</f>
        <v>0.78406435923971607</v>
      </c>
      <c r="P6" s="164">
        <f t="shared" si="0"/>
        <v>0.79946652081954173</v>
      </c>
      <c r="Q6" s="164">
        <f t="shared" si="0"/>
        <v>0.801555202678781</v>
      </c>
      <c r="R6" s="164">
        <f t="shared" si="0"/>
        <v>0.83447629434366233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30" x14ac:dyDescent="0.35">
      <c r="A7" s="165" t="s">
        <v>415</v>
      </c>
      <c r="B7" s="166">
        <v>5273960</v>
      </c>
      <c r="C7" s="166">
        <v>4955210</v>
      </c>
      <c r="D7" s="166">
        <v>5399428</v>
      </c>
      <c r="E7" s="166">
        <v>924056</v>
      </c>
      <c r="F7" s="166"/>
      <c r="G7" s="166"/>
      <c r="H7" s="166"/>
      <c r="I7" s="166"/>
      <c r="J7" s="166"/>
      <c r="K7" s="166"/>
      <c r="L7" s="166"/>
      <c r="M7" s="166"/>
      <c r="N7" s="163"/>
      <c r="O7" s="164">
        <f t="shared" si="0"/>
        <v>0.77633928374282568</v>
      </c>
      <c r="P7" s="164">
        <f t="shared" si="0"/>
        <v>0.75770505986380843</v>
      </c>
      <c r="Q7" s="164">
        <f t="shared" si="0"/>
        <v>0.75559348850109775</v>
      </c>
      <c r="R7" s="164">
        <f t="shared" si="0"/>
        <v>0.79126509970277981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30" x14ac:dyDescent="0.35">
      <c r="A8" s="167" t="s">
        <v>416</v>
      </c>
      <c r="B8" s="168">
        <v>351358</v>
      </c>
      <c r="C8" s="168">
        <v>292253</v>
      </c>
      <c r="D8" s="168">
        <v>322117</v>
      </c>
      <c r="E8" s="168">
        <v>58693</v>
      </c>
      <c r="F8" s="168"/>
      <c r="G8" s="168"/>
      <c r="H8" s="168"/>
      <c r="I8" s="168"/>
      <c r="J8" s="168"/>
      <c r="K8" s="168"/>
      <c r="L8" s="168"/>
      <c r="M8" s="168"/>
      <c r="N8" s="163"/>
      <c r="O8" s="164">
        <f t="shared" si="0"/>
        <v>0.96920195408291332</v>
      </c>
      <c r="P8" s="164">
        <f t="shared" si="0"/>
        <v>0.96050547211358328</v>
      </c>
      <c r="Q8" s="164">
        <f t="shared" si="0"/>
        <v>0.94559518567444589</v>
      </c>
      <c r="R8" s="164">
        <f t="shared" si="0"/>
        <v>0.94524342518480342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30" x14ac:dyDescent="0.35">
      <c r="B9" s="169">
        <f t="shared" ref="B9:D9" si="1">SUM(B6:B8)</f>
        <v>7466356</v>
      </c>
      <c r="C9" s="169">
        <f t="shared" si="1"/>
        <v>7019096</v>
      </c>
      <c r="D9" s="169">
        <f t="shared" si="1"/>
        <v>7709349</v>
      </c>
      <c r="E9" s="169">
        <f t="shared" ref="E9:M9" si="2">SUM(E6:E8)</f>
        <v>1314823</v>
      </c>
      <c r="F9" s="169">
        <f t="shared" si="2"/>
        <v>0</v>
      </c>
      <c r="G9" s="169">
        <f t="shared" si="2"/>
        <v>0</v>
      </c>
      <c r="H9" s="169">
        <f t="shared" si="2"/>
        <v>0</v>
      </c>
      <c r="I9" s="169">
        <f t="shared" si="2"/>
        <v>0</v>
      </c>
      <c r="J9" s="169">
        <f t="shared" si="2"/>
        <v>0</v>
      </c>
      <c r="K9" s="169">
        <f t="shared" si="2"/>
        <v>0</v>
      </c>
      <c r="L9" s="169">
        <f t="shared" si="2"/>
        <v>0</v>
      </c>
      <c r="M9" s="169">
        <f t="shared" si="2"/>
        <v>0</v>
      </c>
      <c r="N9" s="163"/>
      <c r="O9" s="164">
        <f t="shared" si="0"/>
        <v>0.78560448941141714</v>
      </c>
      <c r="P9" s="164">
        <f t="shared" si="0"/>
        <v>0.77473038228265845</v>
      </c>
      <c r="Q9" s="164">
        <f t="shared" si="0"/>
        <v>0.77352411727776382</v>
      </c>
      <c r="R9" s="164">
        <f t="shared" si="0"/>
        <v>0.80770178215899802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0" spans="1:30" x14ac:dyDescent="0.35"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</row>
    <row r="11" spans="1:30" x14ac:dyDescent="0.35">
      <c r="A11" s="159" t="s">
        <v>417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</row>
    <row r="12" spans="1:30" x14ac:dyDescent="0.35">
      <c r="A12" s="161" t="s">
        <v>414</v>
      </c>
      <c r="B12" s="162">
        <v>507032</v>
      </c>
      <c r="C12" s="162">
        <v>444386</v>
      </c>
      <c r="D12" s="162">
        <v>492130</v>
      </c>
      <c r="E12" s="162">
        <v>65869</v>
      </c>
      <c r="F12" s="162"/>
      <c r="G12" s="162"/>
      <c r="H12" s="162"/>
      <c r="I12" s="162"/>
      <c r="J12" s="162"/>
      <c r="K12" s="162"/>
      <c r="L12" s="162"/>
      <c r="M12" s="162"/>
      <c r="N12" s="163"/>
      <c r="O12" s="164">
        <f t="shared" ref="O12:Z15" si="3">B12/B18</f>
        <v>0.21593564076028399</v>
      </c>
      <c r="P12" s="164">
        <f t="shared" si="3"/>
        <v>0.2005334791804583</v>
      </c>
      <c r="Q12" s="164">
        <f t="shared" si="3"/>
        <v>0.19844479732121903</v>
      </c>
      <c r="R12" s="164">
        <f t="shared" si="3"/>
        <v>0.16552370565633773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30" x14ac:dyDescent="0.35">
      <c r="A13" s="165" t="s">
        <v>415</v>
      </c>
      <c r="B13" s="166">
        <v>1519410</v>
      </c>
      <c r="C13" s="166">
        <v>1584551</v>
      </c>
      <c r="D13" s="166">
        <v>1746515</v>
      </c>
      <c r="E13" s="166">
        <v>243765</v>
      </c>
      <c r="F13" s="166"/>
      <c r="G13" s="166"/>
      <c r="H13" s="166"/>
      <c r="I13" s="166"/>
      <c r="J13" s="166"/>
      <c r="K13" s="166"/>
      <c r="L13" s="166"/>
      <c r="M13" s="166"/>
      <c r="N13" s="163"/>
      <c r="O13" s="164">
        <f t="shared" si="3"/>
        <v>0.22366071625717426</v>
      </c>
      <c r="P13" s="164">
        <f t="shared" si="3"/>
        <v>0.24229494013619152</v>
      </c>
      <c r="Q13" s="164">
        <f t="shared" si="3"/>
        <v>0.24440651149890225</v>
      </c>
      <c r="R13" s="164">
        <f t="shared" si="3"/>
        <v>0.20873490029722019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D13" s="163"/>
    </row>
    <row r="14" spans="1:30" x14ac:dyDescent="0.35">
      <c r="A14" s="167" t="s">
        <v>416</v>
      </c>
      <c r="B14" s="168">
        <v>11165</v>
      </c>
      <c r="C14" s="168">
        <v>12017</v>
      </c>
      <c r="D14" s="168">
        <v>18533</v>
      </c>
      <c r="E14" s="168">
        <v>3400</v>
      </c>
      <c r="F14" s="168"/>
      <c r="G14" s="168"/>
      <c r="H14" s="168"/>
      <c r="I14" s="168"/>
      <c r="J14" s="168"/>
      <c r="K14" s="168"/>
      <c r="L14" s="168"/>
      <c r="M14" s="168"/>
      <c r="N14" s="163"/>
      <c r="O14" s="164">
        <f t="shared" si="3"/>
        <v>3.0798045917086639E-2</v>
      </c>
      <c r="P14" s="164">
        <f t="shared" si="3"/>
        <v>3.9494527886416671E-2</v>
      </c>
      <c r="Q14" s="164">
        <f t="shared" si="3"/>
        <v>5.4404814325554086E-2</v>
      </c>
      <c r="R14" s="164">
        <f t="shared" si="3"/>
        <v>5.4756574815196558E-2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30" x14ac:dyDescent="0.35">
      <c r="B15" s="169">
        <f t="shared" ref="B15:D15" si="4">SUM(B12:B14)</f>
        <v>2037607</v>
      </c>
      <c r="C15" s="169">
        <f t="shared" si="4"/>
        <v>2040954</v>
      </c>
      <c r="D15" s="169">
        <f t="shared" si="4"/>
        <v>2257178</v>
      </c>
      <c r="E15" s="169">
        <f t="shared" ref="E15:M15" si="5">SUM(E12:E14)</f>
        <v>313034</v>
      </c>
      <c r="F15" s="169">
        <f t="shared" si="5"/>
        <v>0</v>
      </c>
      <c r="G15" s="169">
        <f t="shared" si="5"/>
        <v>0</v>
      </c>
      <c r="H15" s="169">
        <f t="shared" si="5"/>
        <v>0</v>
      </c>
      <c r="I15" s="169">
        <f t="shared" si="5"/>
        <v>0</v>
      </c>
      <c r="J15" s="169">
        <f t="shared" si="5"/>
        <v>0</v>
      </c>
      <c r="K15" s="169">
        <f t="shared" si="5"/>
        <v>0</v>
      </c>
      <c r="L15" s="169">
        <f t="shared" si="5"/>
        <v>0</v>
      </c>
      <c r="M15" s="169">
        <f t="shared" si="5"/>
        <v>0</v>
      </c>
      <c r="N15" s="163"/>
      <c r="O15" s="164">
        <f t="shared" si="3"/>
        <v>0.21439551058858289</v>
      </c>
      <c r="P15" s="164">
        <f t="shared" si="3"/>
        <v>0.22526961771734152</v>
      </c>
      <c r="Q15" s="164">
        <f t="shared" si="3"/>
        <v>0.22647588272223615</v>
      </c>
      <c r="R15" s="164">
        <f t="shared" si="3"/>
        <v>0.19229821784100201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6" spans="1:30" x14ac:dyDescent="0.35"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</row>
    <row r="17" spans="1:26" x14ac:dyDescent="0.35">
      <c r="A17" s="159" t="s">
        <v>418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</row>
    <row r="18" spans="1:26" x14ac:dyDescent="0.35">
      <c r="A18" s="161" t="s">
        <v>414</v>
      </c>
      <c r="B18" s="162">
        <f>B6+B12</f>
        <v>2348070</v>
      </c>
      <c r="C18" s="162">
        <f t="shared" ref="C18:M21" si="6">C6+C12</f>
        <v>2216019</v>
      </c>
      <c r="D18" s="162">
        <f t="shared" si="6"/>
        <v>2479934</v>
      </c>
      <c r="E18" s="162">
        <f t="shared" si="6"/>
        <v>397943</v>
      </c>
      <c r="F18" s="162">
        <f t="shared" si="6"/>
        <v>0</v>
      </c>
      <c r="G18" s="162">
        <f t="shared" si="6"/>
        <v>0</v>
      </c>
      <c r="H18" s="162">
        <f t="shared" si="6"/>
        <v>0</v>
      </c>
      <c r="I18" s="162">
        <f t="shared" si="6"/>
        <v>0</v>
      </c>
      <c r="J18" s="162">
        <f t="shared" si="6"/>
        <v>0</v>
      </c>
      <c r="K18" s="162">
        <f t="shared" si="6"/>
        <v>0</v>
      </c>
      <c r="L18" s="162">
        <f t="shared" si="6"/>
        <v>0</v>
      </c>
      <c r="M18" s="162">
        <f t="shared" si="6"/>
        <v>0</v>
      </c>
      <c r="N18" s="163"/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1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415</v>
      </c>
      <c r="B19" s="166">
        <f t="shared" ref="B19:B21" si="8">B7+B13</f>
        <v>6793370</v>
      </c>
      <c r="C19" s="166">
        <f t="shared" si="6"/>
        <v>6539761</v>
      </c>
      <c r="D19" s="166">
        <f t="shared" si="6"/>
        <v>7145943</v>
      </c>
      <c r="E19" s="166">
        <f t="shared" si="6"/>
        <v>1167821</v>
      </c>
      <c r="F19" s="166">
        <f t="shared" si="6"/>
        <v>0</v>
      </c>
      <c r="G19" s="166">
        <f t="shared" si="6"/>
        <v>0</v>
      </c>
      <c r="H19" s="166">
        <f t="shared" si="6"/>
        <v>0</v>
      </c>
      <c r="I19" s="166">
        <f t="shared" si="6"/>
        <v>0</v>
      </c>
      <c r="J19" s="166">
        <f t="shared" si="6"/>
        <v>0</v>
      </c>
      <c r="K19" s="166">
        <f t="shared" si="6"/>
        <v>0</v>
      </c>
      <c r="L19" s="166">
        <f t="shared" si="6"/>
        <v>0</v>
      </c>
      <c r="M19" s="166">
        <f t="shared" si="6"/>
        <v>0</v>
      </c>
      <c r="N19" s="163"/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416</v>
      </c>
      <c r="B20" s="168">
        <f t="shared" si="8"/>
        <v>362523</v>
      </c>
      <c r="C20" s="168">
        <f t="shared" si="6"/>
        <v>304270</v>
      </c>
      <c r="D20" s="168">
        <f t="shared" si="6"/>
        <v>340650</v>
      </c>
      <c r="E20" s="168">
        <f t="shared" si="6"/>
        <v>62093</v>
      </c>
      <c r="F20" s="168">
        <f t="shared" si="6"/>
        <v>0</v>
      </c>
      <c r="G20" s="168">
        <f t="shared" si="6"/>
        <v>0</v>
      </c>
      <c r="H20" s="168">
        <f t="shared" si="6"/>
        <v>0</v>
      </c>
      <c r="I20" s="168">
        <f t="shared" si="6"/>
        <v>0</v>
      </c>
      <c r="J20" s="168">
        <f t="shared" si="6"/>
        <v>0</v>
      </c>
      <c r="K20" s="168">
        <f t="shared" si="6"/>
        <v>0</v>
      </c>
      <c r="L20" s="168">
        <f t="shared" si="6"/>
        <v>0</v>
      </c>
      <c r="M20" s="168">
        <f t="shared" si="6"/>
        <v>0</v>
      </c>
      <c r="N20" s="163"/>
      <c r="O20" s="170">
        <f t="shared" si="7"/>
        <v>1</v>
      </c>
      <c r="P20" s="170">
        <f t="shared" si="7"/>
        <v>1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69">
        <f t="shared" si="8"/>
        <v>9503963</v>
      </c>
      <c r="C21" s="169">
        <f t="shared" si="6"/>
        <v>9060050</v>
      </c>
      <c r="D21" s="169">
        <f t="shared" si="6"/>
        <v>9966527</v>
      </c>
      <c r="E21" s="169">
        <f t="shared" si="6"/>
        <v>1627857</v>
      </c>
      <c r="F21" s="169">
        <f t="shared" si="6"/>
        <v>0</v>
      </c>
      <c r="G21" s="169">
        <f t="shared" si="6"/>
        <v>0</v>
      </c>
      <c r="H21" s="169">
        <f t="shared" si="6"/>
        <v>0</v>
      </c>
      <c r="I21" s="169">
        <f t="shared" si="6"/>
        <v>0</v>
      </c>
      <c r="J21" s="169">
        <f t="shared" si="6"/>
        <v>0</v>
      </c>
      <c r="K21" s="169">
        <f t="shared" si="6"/>
        <v>0</v>
      </c>
      <c r="L21" s="169">
        <f t="shared" si="6"/>
        <v>0</v>
      </c>
      <c r="M21" s="169">
        <f t="shared" si="6"/>
        <v>0</v>
      </c>
      <c r="N21" s="163"/>
      <c r="O21" s="170">
        <f t="shared" si="7"/>
        <v>1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3"/>
      <c r="H23" s="163"/>
      <c r="I23" s="241"/>
      <c r="J23" s="241"/>
      <c r="L23" s="241"/>
    </row>
    <row r="24" spans="1:26" ht="15.65" customHeight="1" x14ac:dyDescent="0.35">
      <c r="A24" s="157" t="s">
        <v>419</v>
      </c>
      <c r="G24" s="241"/>
      <c r="H24" s="241"/>
      <c r="I24" s="241"/>
      <c r="J24" s="241"/>
      <c r="K24" s="241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413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414</v>
      </c>
      <c r="B27" s="162">
        <v>12807655</v>
      </c>
      <c r="C27" s="162">
        <v>12384546</v>
      </c>
      <c r="D27" s="162">
        <v>14054158</v>
      </c>
      <c r="E27" s="162">
        <v>2315803</v>
      </c>
      <c r="F27" s="162"/>
      <c r="G27" s="162"/>
      <c r="H27" s="162"/>
      <c r="I27" s="162"/>
      <c r="J27" s="162"/>
      <c r="K27" s="162"/>
      <c r="L27" s="162"/>
      <c r="M27" s="162"/>
      <c r="N27" s="163"/>
      <c r="O27" s="164">
        <f t="shared" ref="O27:Z30" si="9">B27/B39</f>
        <v>0.80952221733147289</v>
      </c>
      <c r="P27" s="164">
        <f t="shared" si="9"/>
        <v>0.82669120286210518</v>
      </c>
      <c r="Q27" s="164">
        <f t="shared" si="9"/>
        <v>0.83168547564104423</v>
      </c>
      <c r="R27" s="164">
        <f t="shared" si="9"/>
        <v>0.86367440434589005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415</v>
      </c>
      <c r="B28" s="166">
        <v>46471141</v>
      </c>
      <c r="C28" s="166">
        <v>44042821</v>
      </c>
      <c r="D28" s="166">
        <v>48778563</v>
      </c>
      <c r="E28" s="166">
        <v>8319385</v>
      </c>
      <c r="F28" s="166"/>
      <c r="G28" s="166"/>
      <c r="H28" s="166"/>
      <c r="I28" s="166"/>
      <c r="J28" s="166"/>
      <c r="K28" s="166"/>
      <c r="L28" s="166"/>
      <c r="M28" s="166"/>
      <c r="N28" s="163"/>
      <c r="O28" s="164">
        <f t="shared" si="9"/>
        <v>0.7707738649953475</v>
      </c>
      <c r="P28" s="164">
        <f t="shared" si="9"/>
        <v>0.76185199893596645</v>
      </c>
      <c r="Q28" s="164">
        <f t="shared" si="9"/>
        <v>0.75686379546163463</v>
      </c>
      <c r="R28" s="164">
        <f t="shared" si="9"/>
        <v>0.78495161057181539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416</v>
      </c>
      <c r="B29" s="168">
        <v>1282601</v>
      </c>
      <c r="C29" s="168">
        <v>1103389</v>
      </c>
      <c r="D29" s="168">
        <v>1227116</v>
      </c>
      <c r="E29" s="168">
        <v>211136</v>
      </c>
      <c r="F29" s="168"/>
      <c r="G29" s="168"/>
      <c r="H29" s="168"/>
      <c r="I29" s="168"/>
      <c r="J29" s="168"/>
      <c r="K29" s="168"/>
      <c r="L29" s="168"/>
      <c r="M29" s="168"/>
      <c r="N29" s="163"/>
      <c r="O29" s="164">
        <f t="shared" si="9"/>
        <v>0.94815392519599184</v>
      </c>
      <c r="P29" s="164">
        <f t="shared" si="9"/>
        <v>0.946494316173771</v>
      </c>
      <c r="Q29" s="164">
        <f t="shared" si="9"/>
        <v>0.93788817027443061</v>
      </c>
      <c r="R29" s="164">
        <f t="shared" si="9"/>
        <v>0.94631444015167132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69">
        <f t="shared" ref="B30:D30" si="10">SUM(B27:B29)</f>
        <v>60561397</v>
      </c>
      <c r="C30" s="169">
        <f t="shared" si="10"/>
        <v>57530756</v>
      </c>
      <c r="D30" s="169">
        <f t="shared" si="10"/>
        <v>64059837</v>
      </c>
      <c r="E30" s="169">
        <f t="shared" ref="E30:M30" si="11">SUM(E27:E29)</f>
        <v>10846324</v>
      </c>
      <c r="F30" s="169">
        <f t="shared" si="11"/>
        <v>0</v>
      </c>
      <c r="G30" s="169">
        <f t="shared" si="11"/>
        <v>0</v>
      </c>
      <c r="H30" s="169">
        <f t="shared" si="11"/>
        <v>0</v>
      </c>
      <c r="I30" s="169">
        <f t="shared" si="11"/>
        <v>0</v>
      </c>
      <c r="J30" s="169">
        <f t="shared" si="11"/>
        <v>0</v>
      </c>
      <c r="K30" s="169">
        <f t="shared" si="11"/>
        <v>0</v>
      </c>
      <c r="L30" s="169">
        <f t="shared" si="11"/>
        <v>0</v>
      </c>
      <c r="M30" s="169">
        <f t="shared" si="11"/>
        <v>0</v>
      </c>
      <c r="N30" s="163"/>
      <c r="O30" s="164">
        <f t="shared" si="9"/>
        <v>0.7817851590341014</v>
      </c>
      <c r="P30" s="164">
        <f t="shared" si="9"/>
        <v>0.77789644610380881</v>
      </c>
      <c r="Q30" s="164">
        <f t="shared" si="9"/>
        <v>0.77502621799624172</v>
      </c>
      <c r="R30" s="164">
        <f t="shared" si="9"/>
        <v>0.80325005139580341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1" spans="1:26" x14ac:dyDescent="0.35"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</row>
    <row r="32" spans="1:26" x14ac:dyDescent="0.35">
      <c r="A32" s="159" t="s">
        <v>417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</row>
    <row r="33" spans="1:30" x14ac:dyDescent="0.35">
      <c r="A33" s="161" t="s">
        <v>414</v>
      </c>
      <c r="B33" s="162">
        <v>3013597</v>
      </c>
      <c r="C33" s="162">
        <v>2596315</v>
      </c>
      <c r="D33" s="162">
        <v>2844247</v>
      </c>
      <c r="E33" s="162">
        <v>365535</v>
      </c>
      <c r="F33" s="162"/>
      <c r="G33" s="162"/>
      <c r="H33" s="162"/>
      <c r="I33" s="162"/>
      <c r="J33" s="162"/>
      <c r="K33" s="162"/>
      <c r="L33" s="162"/>
      <c r="M33" s="162"/>
      <c r="N33" s="163"/>
      <c r="O33" s="164">
        <f t="shared" ref="O33:Z36" si="12">B33/B39</f>
        <v>0.19047778266852711</v>
      </c>
      <c r="P33" s="164">
        <f t="shared" si="12"/>
        <v>0.17330879713789482</v>
      </c>
      <c r="Q33" s="164">
        <f t="shared" si="12"/>
        <v>0.16831452435895577</v>
      </c>
      <c r="R33" s="164">
        <f t="shared" si="12"/>
        <v>0.13632559565411001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30" x14ac:dyDescent="0.35">
      <c r="A34" s="165" t="s">
        <v>415</v>
      </c>
      <c r="B34" s="166">
        <v>13820396</v>
      </c>
      <c r="C34" s="166">
        <v>13767385</v>
      </c>
      <c r="D34" s="166">
        <v>15669708</v>
      </c>
      <c r="E34" s="166">
        <v>2279211</v>
      </c>
      <c r="F34" s="166"/>
      <c r="G34" s="166"/>
      <c r="H34" s="166"/>
      <c r="I34" s="166"/>
      <c r="J34" s="166"/>
      <c r="K34" s="166"/>
      <c r="L34" s="166"/>
      <c r="M34" s="166"/>
      <c r="N34" s="163"/>
      <c r="O34" s="164">
        <f t="shared" si="12"/>
        <v>0.22922613500465247</v>
      </c>
      <c r="P34" s="164">
        <f t="shared" si="12"/>
        <v>0.23814800106403358</v>
      </c>
      <c r="Q34" s="164">
        <f t="shared" si="12"/>
        <v>0.24313620453836535</v>
      </c>
      <c r="R34" s="164">
        <f t="shared" si="12"/>
        <v>0.21504838942818463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D34" s="163"/>
    </row>
    <row r="35" spans="1:30" x14ac:dyDescent="0.35">
      <c r="A35" s="167" t="s">
        <v>416</v>
      </c>
      <c r="B35" s="168">
        <v>70134</v>
      </c>
      <c r="C35" s="168">
        <v>62375</v>
      </c>
      <c r="D35" s="168">
        <v>81266</v>
      </c>
      <c r="E35" s="168">
        <v>11978</v>
      </c>
      <c r="F35" s="168"/>
      <c r="G35" s="168"/>
      <c r="H35" s="168"/>
      <c r="I35" s="168"/>
      <c r="J35" s="168"/>
      <c r="K35" s="168"/>
      <c r="L35" s="168"/>
      <c r="M35" s="168"/>
      <c r="N35" s="163"/>
      <c r="O35" s="164">
        <f t="shared" si="12"/>
        <v>5.1846074804008178E-2</v>
      </c>
      <c r="P35" s="164">
        <f t="shared" si="12"/>
        <v>5.3505683826228979E-2</v>
      </c>
      <c r="Q35" s="164">
        <f t="shared" si="12"/>
        <v>6.2111829725569445E-2</v>
      </c>
      <c r="R35" s="164">
        <f t="shared" si="12"/>
        <v>5.3685559848328658E-2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30" x14ac:dyDescent="0.35">
      <c r="B36" s="169">
        <f t="shared" ref="B36:D36" si="13">SUM(B33:B35)</f>
        <v>16904127</v>
      </c>
      <c r="C36" s="169">
        <f t="shared" si="13"/>
        <v>16426075</v>
      </c>
      <c r="D36" s="169">
        <f t="shared" si="13"/>
        <v>18595221</v>
      </c>
      <c r="E36" s="169">
        <f t="shared" ref="E36:M36" si="14">SUM(E33:E35)</f>
        <v>2656724</v>
      </c>
      <c r="F36" s="169">
        <f t="shared" si="14"/>
        <v>0</v>
      </c>
      <c r="G36" s="169">
        <f t="shared" si="14"/>
        <v>0</v>
      </c>
      <c r="H36" s="169">
        <f t="shared" si="14"/>
        <v>0</v>
      </c>
      <c r="I36" s="169">
        <f t="shared" si="14"/>
        <v>0</v>
      </c>
      <c r="J36" s="169">
        <f t="shared" si="14"/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3"/>
      <c r="O36" s="164">
        <f t="shared" si="12"/>
        <v>0.21821484096589858</v>
      </c>
      <c r="P36" s="164">
        <f t="shared" si="12"/>
        <v>0.22210355389619113</v>
      </c>
      <c r="Q36" s="164">
        <f t="shared" si="12"/>
        <v>0.22497378200375831</v>
      </c>
      <c r="R36" s="164">
        <f t="shared" si="12"/>
        <v>0.19674994860419662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7" spans="1:30" x14ac:dyDescent="0.35"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</row>
    <row r="38" spans="1:30" x14ac:dyDescent="0.35">
      <c r="A38" s="159" t="s">
        <v>418</v>
      </c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</row>
    <row r="39" spans="1:30" x14ac:dyDescent="0.35">
      <c r="A39" s="161" t="s">
        <v>414</v>
      </c>
      <c r="B39" s="162">
        <f>B27+B33</f>
        <v>15821252</v>
      </c>
      <c r="C39" s="162">
        <f t="shared" ref="C39:M42" si="15">C27+C33</f>
        <v>14980861</v>
      </c>
      <c r="D39" s="162">
        <f t="shared" si="15"/>
        <v>16898405</v>
      </c>
      <c r="E39" s="162">
        <f t="shared" si="15"/>
        <v>2681338</v>
      </c>
      <c r="F39" s="162">
        <f t="shared" si="15"/>
        <v>0</v>
      </c>
      <c r="G39" s="162">
        <f t="shared" si="15"/>
        <v>0</v>
      </c>
      <c r="H39" s="162">
        <f t="shared" si="15"/>
        <v>0</v>
      </c>
      <c r="I39" s="162">
        <f t="shared" si="15"/>
        <v>0</v>
      </c>
      <c r="J39" s="162">
        <f t="shared" si="15"/>
        <v>0</v>
      </c>
      <c r="K39" s="162">
        <f t="shared" si="15"/>
        <v>0</v>
      </c>
      <c r="L39" s="162">
        <f t="shared" si="15"/>
        <v>0</v>
      </c>
      <c r="M39" s="162">
        <f t="shared" si="15"/>
        <v>0</v>
      </c>
      <c r="N39" s="163"/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30" x14ac:dyDescent="0.35">
      <c r="A40" s="165" t="s">
        <v>415</v>
      </c>
      <c r="B40" s="166">
        <f t="shared" ref="B40:B42" si="17">B28+B34</f>
        <v>60291537</v>
      </c>
      <c r="C40" s="166">
        <f t="shared" si="15"/>
        <v>57810206</v>
      </c>
      <c r="D40" s="166">
        <f t="shared" si="15"/>
        <v>64448271</v>
      </c>
      <c r="E40" s="166">
        <f t="shared" si="15"/>
        <v>10598596</v>
      </c>
      <c r="F40" s="166">
        <f t="shared" si="15"/>
        <v>0</v>
      </c>
      <c r="G40" s="166">
        <f t="shared" si="15"/>
        <v>0</v>
      </c>
      <c r="H40" s="166">
        <f t="shared" si="15"/>
        <v>0</v>
      </c>
      <c r="I40" s="166">
        <f t="shared" si="15"/>
        <v>0</v>
      </c>
      <c r="J40" s="166">
        <f t="shared" si="15"/>
        <v>0</v>
      </c>
      <c r="K40" s="166">
        <f t="shared" si="15"/>
        <v>0</v>
      </c>
      <c r="L40" s="166">
        <f t="shared" si="15"/>
        <v>0</v>
      </c>
      <c r="M40" s="166">
        <f t="shared" si="15"/>
        <v>0</v>
      </c>
      <c r="N40" s="163"/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1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30" x14ac:dyDescent="0.35">
      <c r="A41" s="167" t="s">
        <v>416</v>
      </c>
      <c r="B41" s="168">
        <f t="shared" si="17"/>
        <v>1352735</v>
      </c>
      <c r="C41" s="168">
        <f t="shared" si="15"/>
        <v>1165764</v>
      </c>
      <c r="D41" s="168">
        <f t="shared" si="15"/>
        <v>1308382</v>
      </c>
      <c r="E41" s="168">
        <f t="shared" si="15"/>
        <v>223114</v>
      </c>
      <c r="F41" s="168">
        <f t="shared" si="15"/>
        <v>0</v>
      </c>
      <c r="G41" s="168">
        <f t="shared" si="15"/>
        <v>0</v>
      </c>
      <c r="H41" s="168">
        <f t="shared" si="15"/>
        <v>0</v>
      </c>
      <c r="I41" s="168">
        <f t="shared" si="15"/>
        <v>0</v>
      </c>
      <c r="J41" s="168">
        <f t="shared" si="15"/>
        <v>0</v>
      </c>
      <c r="K41" s="168">
        <f t="shared" si="15"/>
        <v>0</v>
      </c>
      <c r="L41" s="168">
        <f t="shared" si="15"/>
        <v>0</v>
      </c>
      <c r="M41" s="168">
        <f t="shared" si="15"/>
        <v>0</v>
      </c>
      <c r="N41" s="163"/>
      <c r="O41" s="170">
        <f t="shared" si="16"/>
        <v>1</v>
      </c>
      <c r="P41" s="170">
        <f t="shared" si="16"/>
        <v>1</v>
      </c>
      <c r="Q41" s="170">
        <f t="shared" si="16"/>
        <v>1</v>
      </c>
      <c r="R41" s="170">
        <f t="shared" si="16"/>
        <v>1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30" x14ac:dyDescent="0.35">
      <c r="B42" s="169">
        <f t="shared" si="17"/>
        <v>77465524</v>
      </c>
      <c r="C42" s="169">
        <f t="shared" si="15"/>
        <v>73956831</v>
      </c>
      <c r="D42" s="169">
        <f t="shared" si="15"/>
        <v>82655058</v>
      </c>
      <c r="E42" s="169">
        <f t="shared" si="15"/>
        <v>13503048</v>
      </c>
      <c r="F42" s="169">
        <f t="shared" si="15"/>
        <v>0</v>
      </c>
      <c r="G42" s="169">
        <f t="shared" si="15"/>
        <v>0</v>
      </c>
      <c r="H42" s="169">
        <f t="shared" si="15"/>
        <v>0</v>
      </c>
      <c r="I42" s="169">
        <f t="shared" si="15"/>
        <v>0</v>
      </c>
      <c r="J42" s="169">
        <f t="shared" si="15"/>
        <v>0</v>
      </c>
      <c r="K42" s="169">
        <f t="shared" si="15"/>
        <v>0</v>
      </c>
      <c r="L42" s="169">
        <f t="shared" si="15"/>
        <v>0</v>
      </c>
      <c r="M42" s="169">
        <f t="shared" si="15"/>
        <v>0</v>
      </c>
      <c r="N42" s="163"/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1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30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30" ht="15.65" customHeight="1" x14ac:dyDescent="0.35">
      <c r="A45" s="157" t="s">
        <v>420</v>
      </c>
    </row>
    <row r="46" spans="1:30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30" x14ac:dyDescent="0.35">
      <c r="A47" s="159" t="s">
        <v>413</v>
      </c>
      <c r="B47" s="160"/>
      <c r="C47" s="160"/>
      <c r="D47" s="160"/>
      <c r="J47" s="160"/>
      <c r="K47" s="160"/>
      <c r="L47" s="160"/>
      <c r="M47" s="160"/>
    </row>
    <row r="48" spans="1:30" x14ac:dyDescent="0.35">
      <c r="A48" s="161" t="s">
        <v>414</v>
      </c>
      <c r="B48" s="162">
        <v>413715</v>
      </c>
      <c r="C48" s="162">
        <v>333744</v>
      </c>
      <c r="D48" s="162">
        <v>441834</v>
      </c>
      <c r="E48" s="162">
        <v>79925</v>
      </c>
      <c r="F48" s="162"/>
      <c r="G48" s="162"/>
      <c r="H48" s="162"/>
      <c r="I48" s="162"/>
      <c r="J48" s="162"/>
      <c r="K48" s="162"/>
      <c r="L48" s="162"/>
      <c r="M48" s="162"/>
      <c r="N48" s="163"/>
      <c r="O48" s="164">
        <f t="shared" ref="O48:Z51" si="18">B48/B66</f>
        <v>0.88817018243646495</v>
      </c>
      <c r="P48" s="164">
        <f t="shared" si="18"/>
        <v>0.88437587776711946</v>
      </c>
      <c r="Q48" s="164">
        <f t="shared" si="18"/>
        <v>0.86783350978054419</v>
      </c>
      <c r="R48" s="164">
        <f t="shared" si="18"/>
        <v>0.88771033486977291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415</v>
      </c>
      <c r="B49" s="166">
        <v>749435</v>
      </c>
      <c r="C49" s="166">
        <v>713853</v>
      </c>
      <c r="D49" s="166">
        <v>1025355</v>
      </c>
      <c r="E49" s="166">
        <v>221247</v>
      </c>
      <c r="F49" s="166"/>
      <c r="G49" s="166"/>
      <c r="H49" s="166"/>
      <c r="I49" s="166"/>
      <c r="J49" s="166"/>
      <c r="K49" s="166"/>
      <c r="L49" s="166"/>
      <c r="M49" s="166"/>
      <c r="N49" s="163"/>
      <c r="O49" s="164">
        <f t="shared" si="18"/>
        <v>0.96059488988410335</v>
      </c>
      <c r="P49" s="164">
        <f t="shared" si="18"/>
        <v>0.96436257232520028</v>
      </c>
      <c r="Q49" s="164">
        <f t="shared" si="18"/>
        <v>0.97012207006303142</v>
      </c>
      <c r="R49" s="164">
        <f t="shared" si="18"/>
        <v>0.96835567693903546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416</v>
      </c>
      <c r="B50" s="168">
        <v>27624</v>
      </c>
      <c r="C50" s="168">
        <v>21047</v>
      </c>
      <c r="D50" s="168">
        <v>26003</v>
      </c>
      <c r="E50" s="168">
        <v>4676</v>
      </c>
      <c r="F50" s="168"/>
      <c r="G50" s="168"/>
      <c r="H50" s="168"/>
      <c r="I50" s="168"/>
      <c r="J50" s="168"/>
      <c r="K50" s="168"/>
      <c r="L50" s="168"/>
      <c r="M50" s="168"/>
      <c r="N50" s="163"/>
      <c r="O50" s="164">
        <f t="shared" si="18"/>
        <v>0.91168316831683172</v>
      </c>
      <c r="P50" s="164">
        <f t="shared" si="18"/>
        <v>0.90672927795967606</v>
      </c>
      <c r="Q50" s="164">
        <f t="shared" si="18"/>
        <v>0.91997169644436583</v>
      </c>
      <c r="R50" s="164">
        <f t="shared" si="18"/>
        <v>0.93914440650733078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69">
        <f t="shared" ref="B51:D51" si="19">SUM(B48:B50)</f>
        <v>1190774</v>
      </c>
      <c r="C51" s="169">
        <f t="shared" si="19"/>
        <v>1068644</v>
      </c>
      <c r="D51" s="169">
        <f t="shared" si="19"/>
        <v>1493192</v>
      </c>
      <c r="E51" s="169">
        <f t="shared" ref="E51:M51" si="20">SUM(E48:E50)</f>
        <v>305848</v>
      </c>
      <c r="F51" s="169">
        <f t="shared" si="20"/>
        <v>0</v>
      </c>
      <c r="G51" s="169">
        <f t="shared" si="20"/>
        <v>0</v>
      </c>
      <c r="H51" s="169">
        <f t="shared" si="20"/>
        <v>0</v>
      </c>
      <c r="I51" s="169">
        <f t="shared" si="20"/>
        <v>0</v>
      </c>
      <c r="J51" s="169">
        <f t="shared" si="20"/>
        <v>0</v>
      </c>
      <c r="K51" s="169">
        <f t="shared" si="20"/>
        <v>0</v>
      </c>
      <c r="L51" s="169">
        <f t="shared" si="20"/>
        <v>0</v>
      </c>
      <c r="M51" s="169">
        <f t="shared" si="20"/>
        <v>0</v>
      </c>
      <c r="N51" s="163"/>
      <c r="O51" s="164">
        <f t="shared" si="18"/>
        <v>0.93300080546336084</v>
      </c>
      <c r="P51" s="164">
        <f t="shared" si="18"/>
        <v>0.93673076366798358</v>
      </c>
      <c r="Q51" s="164">
        <f t="shared" si="18"/>
        <v>0.93656864798955297</v>
      </c>
      <c r="R51" s="164">
        <f t="shared" si="18"/>
        <v>0.94546061559672445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2" spans="1:26" x14ac:dyDescent="0.35"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</row>
    <row r="53" spans="1:26" x14ac:dyDescent="0.35">
      <c r="A53" s="159" t="s">
        <v>421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</row>
    <row r="54" spans="1:26" x14ac:dyDescent="0.35">
      <c r="A54" s="161" t="s">
        <v>414</v>
      </c>
      <c r="B54" s="162">
        <v>9628</v>
      </c>
      <c r="C54" s="162">
        <v>9702</v>
      </c>
      <c r="D54" s="162">
        <v>9927</v>
      </c>
      <c r="E54" s="162">
        <v>4125</v>
      </c>
      <c r="F54" s="162"/>
      <c r="G54" s="162"/>
      <c r="H54" s="162"/>
      <c r="I54" s="162"/>
      <c r="J54" s="162"/>
      <c r="K54" s="162"/>
      <c r="L54" s="162"/>
      <c r="M54" s="162"/>
      <c r="N54" s="163"/>
      <c r="O54" s="164">
        <f t="shared" ref="O54:Z57" si="21">B54/B66</f>
        <v>2.0669549125601646E-2</v>
      </c>
      <c r="P54" s="164">
        <f t="shared" si="21"/>
        <v>2.5708970846207251E-2</v>
      </c>
      <c r="Q54" s="164">
        <f t="shared" si="21"/>
        <v>1.9498235200531108E-2</v>
      </c>
      <c r="R54" s="164">
        <f t="shared" si="21"/>
        <v>4.5815516188149052E-2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415</v>
      </c>
      <c r="B55" s="166">
        <v>6039</v>
      </c>
      <c r="C55" s="166">
        <v>6196</v>
      </c>
      <c r="D55" s="166">
        <v>6194</v>
      </c>
      <c r="E55" s="166">
        <v>3207</v>
      </c>
      <c r="F55" s="166"/>
      <c r="G55" s="166"/>
      <c r="H55" s="166"/>
      <c r="I55" s="166"/>
      <c r="J55" s="166"/>
      <c r="K55" s="166"/>
      <c r="L55" s="166"/>
      <c r="M55" s="166"/>
      <c r="N55" s="163"/>
      <c r="O55" s="164">
        <f t="shared" si="21"/>
        <v>7.7405412610968265E-3</v>
      </c>
      <c r="P55" s="164">
        <f t="shared" si="21"/>
        <v>8.3703374478035966E-3</v>
      </c>
      <c r="Q55" s="164">
        <f t="shared" si="21"/>
        <v>5.8603470036918109E-3</v>
      </c>
      <c r="R55" s="164">
        <f t="shared" si="21"/>
        <v>1.4036423797581375E-2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416</v>
      </c>
      <c r="B56" s="168">
        <v>7</v>
      </c>
      <c r="C56" s="168">
        <v>8</v>
      </c>
      <c r="D56" s="168">
        <v>4</v>
      </c>
      <c r="E56" s="168">
        <v>4</v>
      </c>
      <c r="F56" s="168"/>
      <c r="G56" s="168"/>
      <c r="H56" s="168"/>
      <c r="I56" s="168"/>
      <c r="J56" s="168"/>
      <c r="K56" s="168"/>
      <c r="L56" s="168"/>
      <c r="M56" s="168"/>
      <c r="N56" s="163"/>
      <c r="O56" s="164">
        <f t="shared" si="21"/>
        <v>2.3102310231023102E-4</v>
      </c>
      <c r="P56" s="164">
        <f t="shared" si="21"/>
        <v>3.4464931931759432E-4</v>
      </c>
      <c r="Q56" s="164">
        <f t="shared" si="21"/>
        <v>1.4151777817088271E-4</v>
      </c>
      <c r="R56" s="164">
        <f t="shared" si="21"/>
        <v>8.0337417152038561E-4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69">
        <f t="shared" ref="B57:D57" si="22">SUM(B54:B56)</f>
        <v>15674</v>
      </c>
      <c r="C57" s="169">
        <f t="shared" si="22"/>
        <v>15906</v>
      </c>
      <c r="D57" s="169">
        <f t="shared" si="22"/>
        <v>16125</v>
      </c>
      <c r="E57" s="169">
        <f t="shared" ref="E57:M57" si="23">SUM(E54:E56)</f>
        <v>7336</v>
      </c>
      <c r="F57" s="169">
        <f t="shared" si="23"/>
        <v>0</v>
      </c>
      <c r="G57" s="169">
        <f t="shared" si="23"/>
        <v>0</v>
      </c>
      <c r="H57" s="169">
        <f t="shared" si="23"/>
        <v>0</v>
      </c>
      <c r="I57" s="169">
        <f t="shared" si="23"/>
        <v>0</v>
      </c>
      <c r="J57" s="169">
        <f t="shared" si="23"/>
        <v>0</v>
      </c>
      <c r="K57" s="169">
        <f t="shared" si="23"/>
        <v>0</v>
      </c>
      <c r="L57" s="169">
        <f t="shared" si="23"/>
        <v>0</v>
      </c>
      <c r="M57" s="169">
        <f t="shared" si="23"/>
        <v>0</v>
      </c>
      <c r="N57" s="163"/>
      <c r="O57" s="164">
        <f t="shared" si="21"/>
        <v>1.2280965678485353E-2</v>
      </c>
      <c r="P57" s="164">
        <f t="shared" si="21"/>
        <v>1.3942566024703219E-2</v>
      </c>
      <c r="Q57" s="164">
        <f t="shared" si="21"/>
        <v>1.0114017118248384E-2</v>
      </c>
      <c r="R57" s="164">
        <f t="shared" si="21"/>
        <v>2.2677601540692014E-2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3"/>
    </row>
    <row r="59" spans="1:26" x14ac:dyDescent="0.35">
      <c r="A59" s="159" t="s">
        <v>417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</row>
    <row r="60" spans="1:26" x14ac:dyDescent="0.35">
      <c r="A60" s="161" t="s">
        <v>414</v>
      </c>
      <c r="B60" s="162">
        <v>42463</v>
      </c>
      <c r="C60" s="162">
        <v>33932</v>
      </c>
      <c r="D60" s="162">
        <v>57362</v>
      </c>
      <c r="E60" s="162">
        <v>5985</v>
      </c>
      <c r="F60" s="162"/>
      <c r="G60" s="162"/>
      <c r="H60" s="162"/>
      <c r="I60" s="162"/>
      <c r="J60" s="162"/>
      <c r="K60" s="162"/>
      <c r="L60" s="162"/>
      <c r="M60" s="162"/>
      <c r="N60" s="163"/>
      <c r="O60" s="164">
        <f t="shared" ref="O60:Z63" si="24">B60/B66</f>
        <v>9.1160268437933387E-2</v>
      </c>
      <c r="P60" s="164">
        <f t="shared" si="24"/>
        <v>8.9915151386673303E-2</v>
      </c>
      <c r="Q60" s="164">
        <f t="shared" si="24"/>
        <v>0.1126682550189247</v>
      </c>
      <c r="R60" s="164">
        <f t="shared" si="24"/>
        <v>6.6474148942078079E-2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415</v>
      </c>
      <c r="B61" s="166">
        <v>24704</v>
      </c>
      <c r="C61" s="166">
        <v>20184</v>
      </c>
      <c r="D61" s="166">
        <v>25385</v>
      </c>
      <c r="E61" s="166">
        <v>4023</v>
      </c>
      <c r="F61" s="166"/>
      <c r="G61" s="166"/>
      <c r="H61" s="166"/>
      <c r="I61" s="166"/>
      <c r="J61" s="166"/>
      <c r="K61" s="166"/>
      <c r="L61" s="166"/>
      <c r="M61" s="166"/>
      <c r="N61" s="163"/>
      <c r="O61" s="164">
        <f t="shared" si="24"/>
        <v>3.1664568854799804E-2</v>
      </c>
      <c r="P61" s="164">
        <f t="shared" si="24"/>
        <v>2.7267090226996093E-2</v>
      </c>
      <c r="Q61" s="164">
        <f t="shared" si="24"/>
        <v>2.4017582933276816E-2</v>
      </c>
      <c r="R61" s="164">
        <f t="shared" si="24"/>
        <v>1.7607899263383187E-2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416</v>
      </c>
      <c r="B62" s="168">
        <v>2669</v>
      </c>
      <c r="C62" s="168">
        <v>2157</v>
      </c>
      <c r="D62" s="168">
        <v>2258</v>
      </c>
      <c r="E62" s="168">
        <v>299</v>
      </c>
      <c r="F62" s="168"/>
      <c r="G62" s="168"/>
      <c r="H62" s="168"/>
      <c r="I62" s="168"/>
      <c r="J62" s="168"/>
      <c r="K62" s="168"/>
      <c r="L62" s="168"/>
      <c r="M62" s="168"/>
      <c r="N62" s="163"/>
      <c r="O62" s="164">
        <f t="shared" si="24"/>
        <v>8.8085808580858085E-2</v>
      </c>
      <c r="P62" s="164">
        <f t="shared" si="24"/>
        <v>9.2926072721006378E-2</v>
      </c>
      <c r="Q62" s="164">
        <f t="shared" si="24"/>
        <v>7.988678577746329E-2</v>
      </c>
      <c r="R62" s="164">
        <f t="shared" si="24"/>
        <v>6.0052219321148827E-2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69">
        <f t="shared" ref="B63:D63" si="25">SUM(B60:B62)</f>
        <v>69836</v>
      </c>
      <c r="C63" s="169">
        <f t="shared" si="25"/>
        <v>56273</v>
      </c>
      <c r="D63" s="169">
        <f t="shared" si="25"/>
        <v>85005</v>
      </c>
      <c r="E63" s="169">
        <f t="shared" ref="E63:M63" si="26">SUM(E60:E62)</f>
        <v>10307</v>
      </c>
      <c r="F63" s="169">
        <f t="shared" si="26"/>
        <v>0</v>
      </c>
      <c r="G63" s="169">
        <f t="shared" si="26"/>
        <v>0</v>
      </c>
      <c r="H63" s="169">
        <f t="shared" si="26"/>
        <v>0</v>
      </c>
      <c r="I63" s="169">
        <f t="shared" si="26"/>
        <v>0</v>
      </c>
      <c r="J63" s="169">
        <f t="shared" si="26"/>
        <v>0</v>
      </c>
      <c r="K63" s="169">
        <f t="shared" si="26"/>
        <v>0</v>
      </c>
      <c r="L63" s="169">
        <f t="shared" si="26"/>
        <v>0</v>
      </c>
      <c r="M63" s="169">
        <f t="shared" si="26"/>
        <v>0</v>
      </c>
      <c r="N63" s="163"/>
      <c r="O63" s="164">
        <f t="shared" si="24"/>
        <v>5.4718228858153826E-2</v>
      </c>
      <c r="P63" s="164">
        <f t="shared" si="24"/>
        <v>4.9326670307313226E-2</v>
      </c>
      <c r="Q63" s="164">
        <f t="shared" si="24"/>
        <v>5.3317334892198691E-2</v>
      </c>
      <c r="R63" s="164">
        <f t="shared" si="24"/>
        <v>3.1861782862583503E-2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4" spans="1:26" x14ac:dyDescent="0.35"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</row>
    <row r="65" spans="1:26" x14ac:dyDescent="0.35">
      <c r="A65" s="159" t="s">
        <v>418</v>
      </c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</row>
    <row r="66" spans="1:26" x14ac:dyDescent="0.35">
      <c r="A66" s="161" t="s">
        <v>414</v>
      </c>
      <c r="B66" s="162">
        <f>B48+B54+B60</f>
        <v>465806</v>
      </c>
      <c r="C66" s="162">
        <f t="shared" ref="C66:M69" si="27">C48+C54+C60</f>
        <v>377378</v>
      </c>
      <c r="D66" s="162">
        <f t="shared" si="27"/>
        <v>509123</v>
      </c>
      <c r="E66" s="162">
        <f t="shared" si="27"/>
        <v>90035</v>
      </c>
      <c r="F66" s="162">
        <f t="shared" si="27"/>
        <v>0</v>
      </c>
      <c r="G66" s="162">
        <f t="shared" si="27"/>
        <v>0</v>
      </c>
      <c r="H66" s="162">
        <f t="shared" si="27"/>
        <v>0</v>
      </c>
      <c r="I66" s="162">
        <f t="shared" si="27"/>
        <v>0</v>
      </c>
      <c r="J66" s="162">
        <f t="shared" si="27"/>
        <v>0</v>
      </c>
      <c r="K66" s="162">
        <f t="shared" si="27"/>
        <v>0</v>
      </c>
      <c r="L66" s="162">
        <f t="shared" si="27"/>
        <v>0</v>
      </c>
      <c r="M66" s="162">
        <f t="shared" si="27"/>
        <v>0</v>
      </c>
      <c r="N66" s="163"/>
      <c r="O66" s="170">
        <f t="shared" ref="O66:Z69" si="28">O48+O54+O60</f>
        <v>0.99999999999999989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415</v>
      </c>
      <c r="B67" s="166">
        <f t="shared" ref="B67:B69" si="29">B49+B55+B61</f>
        <v>780178</v>
      </c>
      <c r="C67" s="166">
        <f t="shared" si="27"/>
        <v>740233</v>
      </c>
      <c r="D67" s="166">
        <f t="shared" si="27"/>
        <v>1056934</v>
      </c>
      <c r="E67" s="166">
        <f t="shared" si="27"/>
        <v>228477</v>
      </c>
      <c r="F67" s="166">
        <f t="shared" si="27"/>
        <v>0</v>
      </c>
      <c r="G67" s="166">
        <f t="shared" si="27"/>
        <v>0</v>
      </c>
      <c r="H67" s="166">
        <f t="shared" si="27"/>
        <v>0</v>
      </c>
      <c r="I67" s="166">
        <f t="shared" si="27"/>
        <v>0</v>
      </c>
      <c r="J67" s="166">
        <f t="shared" si="27"/>
        <v>0</v>
      </c>
      <c r="K67" s="166">
        <f t="shared" si="27"/>
        <v>0</v>
      </c>
      <c r="L67" s="166">
        <f t="shared" si="27"/>
        <v>0</v>
      </c>
      <c r="M67" s="166">
        <f t="shared" si="27"/>
        <v>0</v>
      </c>
      <c r="N67" s="163"/>
      <c r="O67" s="170">
        <f t="shared" si="28"/>
        <v>1</v>
      </c>
      <c r="P67" s="170">
        <f t="shared" si="28"/>
        <v>1</v>
      </c>
      <c r="Q67" s="170">
        <f t="shared" si="28"/>
        <v>1</v>
      </c>
      <c r="R67" s="170">
        <f t="shared" si="28"/>
        <v>1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416</v>
      </c>
      <c r="B68" s="168">
        <f t="shared" si="29"/>
        <v>30300</v>
      </c>
      <c r="C68" s="168">
        <f t="shared" si="27"/>
        <v>23212</v>
      </c>
      <c r="D68" s="168">
        <f t="shared" si="27"/>
        <v>28265</v>
      </c>
      <c r="E68" s="168">
        <f t="shared" si="27"/>
        <v>4979</v>
      </c>
      <c r="F68" s="168">
        <f t="shared" si="27"/>
        <v>0</v>
      </c>
      <c r="G68" s="168">
        <f t="shared" si="27"/>
        <v>0</v>
      </c>
      <c r="H68" s="168">
        <f t="shared" si="27"/>
        <v>0</v>
      </c>
      <c r="I68" s="168">
        <f t="shared" si="27"/>
        <v>0</v>
      </c>
      <c r="J68" s="168">
        <f t="shared" si="27"/>
        <v>0</v>
      </c>
      <c r="K68" s="168">
        <f t="shared" si="27"/>
        <v>0</v>
      </c>
      <c r="L68" s="168">
        <f t="shared" si="27"/>
        <v>0</v>
      </c>
      <c r="M68" s="168">
        <f t="shared" si="27"/>
        <v>0</v>
      </c>
      <c r="N68" s="163"/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69">
        <f t="shared" si="29"/>
        <v>1276284</v>
      </c>
      <c r="C69" s="169">
        <f t="shared" si="27"/>
        <v>1140823</v>
      </c>
      <c r="D69" s="169">
        <f t="shared" si="27"/>
        <v>1594322</v>
      </c>
      <c r="E69" s="169">
        <f t="shared" si="27"/>
        <v>323491</v>
      </c>
      <c r="F69" s="169">
        <f t="shared" si="27"/>
        <v>0</v>
      </c>
      <c r="G69" s="169">
        <f t="shared" si="27"/>
        <v>0</v>
      </c>
      <c r="H69" s="169">
        <f t="shared" si="27"/>
        <v>0</v>
      </c>
      <c r="I69" s="169">
        <f t="shared" si="27"/>
        <v>0</v>
      </c>
      <c r="J69" s="169">
        <f t="shared" si="27"/>
        <v>0</v>
      </c>
      <c r="K69" s="169">
        <f t="shared" si="27"/>
        <v>0</v>
      </c>
      <c r="L69" s="169">
        <f t="shared" si="27"/>
        <v>0</v>
      </c>
      <c r="M69" s="169">
        <f t="shared" si="27"/>
        <v>0</v>
      </c>
      <c r="N69" s="163"/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0.99999999999999989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4858-C609-4482-B826-0EA5CE99ADAD}">
  <sheetPr codeName="Hoja7"/>
  <dimension ref="A1:AC69"/>
  <sheetViews>
    <sheetView zoomScale="68" zoomScaleNormal="68" workbookViewId="0">
      <pane xSplit="1" ySplit="4" topLeftCell="B5" activePane="bottomRight" state="frozen"/>
      <selection activeCell="N42" sqref="N42"/>
      <selection pane="topRight" activeCell="N42" sqref="N42"/>
      <selection pane="bottomLeft" activeCell="N42" sqref="N42"/>
      <selection pane="bottomRight"/>
    </sheetView>
  </sheetViews>
  <sheetFormatPr baseColWidth="10" defaultRowHeight="14.5" x14ac:dyDescent="0.35"/>
  <cols>
    <col min="1" max="1" width="19.453125" bestFit="1" customWidth="1"/>
    <col min="2" max="5" width="16.81640625" customWidth="1"/>
    <col min="6" max="12" width="16.81640625" hidden="1" customWidth="1"/>
    <col min="13" max="13" width="16.54296875" hidden="1" customWidth="1"/>
    <col min="14" max="14" width="8.90625" customWidth="1"/>
    <col min="15" max="18" width="8.81640625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0.1796875" hidden="1" customWidth="1"/>
    <col min="29" max="29" width="15.08984375" bestFit="1" customWidth="1"/>
  </cols>
  <sheetData>
    <row r="1" spans="1:29" x14ac:dyDescent="0.35">
      <c r="A1" s="156" t="str">
        <f>'Visa - txs x medio de tx'!A1</f>
        <v>AL 05 DE ABRIL DEL 2,026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1:29" x14ac:dyDescent="0.35">
      <c r="B2" s="160"/>
      <c r="G2" s="240"/>
      <c r="H2" s="240"/>
      <c r="I2" s="240"/>
      <c r="J2" s="240"/>
      <c r="K2" s="240"/>
      <c r="M2" s="160"/>
    </row>
    <row r="3" spans="1:29" ht="15.65" customHeight="1" x14ac:dyDescent="0.35">
      <c r="A3" s="157" t="s">
        <v>412</v>
      </c>
    </row>
    <row r="4" spans="1:29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29" x14ac:dyDescent="0.35">
      <c r="A5" s="159" t="s">
        <v>413</v>
      </c>
      <c r="B5" s="160"/>
      <c r="C5" s="160"/>
      <c r="D5" s="160"/>
      <c r="J5" s="160"/>
      <c r="K5" s="160"/>
      <c r="L5" s="160"/>
      <c r="M5" s="160"/>
    </row>
    <row r="6" spans="1:29" x14ac:dyDescent="0.35">
      <c r="A6" s="161" t="s">
        <v>414</v>
      </c>
      <c r="B6" s="172">
        <v>202971179.11999997</v>
      </c>
      <c r="C6" s="172">
        <v>197340118.75</v>
      </c>
      <c r="D6" s="172">
        <v>225928956.23000002</v>
      </c>
      <c r="E6" s="172">
        <v>35594862.5</v>
      </c>
      <c r="F6" s="172"/>
      <c r="G6" s="172"/>
      <c r="H6" s="172"/>
      <c r="I6" s="172"/>
      <c r="J6" s="172"/>
      <c r="K6" s="172"/>
      <c r="L6" s="172"/>
      <c r="M6" s="172"/>
      <c r="O6" s="164">
        <f t="shared" ref="O6:Z9" si="0">B6/B18</f>
        <v>0.79930944478922028</v>
      </c>
      <c r="P6" s="164">
        <f t="shared" si="0"/>
        <v>0.78835519422461686</v>
      </c>
      <c r="Q6" s="164">
        <f t="shared" si="0"/>
        <v>0.79228188681786427</v>
      </c>
      <c r="R6" s="164">
        <f t="shared" si="0"/>
        <v>0.82578358499341309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29" x14ac:dyDescent="0.35">
      <c r="A7" s="165" t="s">
        <v>415</v>
      </c>
      <c r="B7" s="173">
        <v>269154269.31</v>
      </c>
      <c r="C7" s="173">
        <v>254317183.54999998</v>
      </c>
      <c r="D7" s="173">
        <v>281337873.63999999</v>
      </c>
      <c r="E7" s="173">
        <v>47088440.579999998</v>
      </c>
      <c r="F7" s="173"/>
      <c r="G7" s="173"/>
      <c r="H7" s="173"/>
      <c r="I7" s="173"/>
      <c r="J7" s="173"/>
      <c r="K7" s="173"/>
      <c r="L7" s="173"/>
      <c r="M7" s="173"/>
      <c r="O7" s="164">
        <f t="shared" si="0"/>
        <v>0.63360211992076976</v>
      </c>
      <c r="P7" s="164">
        <f t="shared" si="0"/>
        <v>0.6142827785771573</v>
      </c>
      <c r="Q7" s="164">
        <f t="shared" si="0"/>
        <v>0.60594657555105913</v>
      </c>
      <c r="R7" s="164">
        <f t="shared" si="0"/>
        <v>0.78628856781934853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29" x14ac:dyDescent="0.35">
      <c r="A8" s="167" t="s">
        <v>416</v>
      </c>
      <c r="B8" s="174">
        <v>22678223.699999999</v>
      </c>
      <c r="C8" s="174">
        <v>19207951.669999998</v>
      </c>
      <c r="D8" s="174">
        <v>21538911.869999997</v>
      </c>
      <c r="E8" s="174">
        <v>3868801.9899999998</v>
      </c>
      <c r="F8" s="174"/>
      <c r="G8" s="174"/>
      <c r="H8" s="174"/>
      <c r="I8" s="174"/>
      <c r="J8" s="174"/>
      <c r="K8" s="174"/>
      <c r="L8" s="174"/>
      <c r="M8" s="174"/>
      <c r="O8" s="164">
        <f t="shared" si="0"/>
        <v>0.94770345439365955</v>
      </c>
      <c r="P8" s="164">
        <f t="shared" si="0"/>
        <v>0.94977913586668472</v>
      </c>
      <c r="Q8" s="164">
        <f t="shared" si="0"/>
        <v>0.94846398337544158</v>
      </c>
      <c r="R8" s="164">
        <f t="shared" si="0"/>
        <v>0.94766585376012547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29" x14ac:dyDescent="0.35">
      <c r="B9" s="171">
        <f t="shared" ref="B9:D9" si="1">SUM(B6:B8)</f>
        <v>494803672.12999994</v>
      </c>
      <c r="C9" s="171">
        <f t="shared" si="1"/>
        <v>470865253.96999997</v>
      </c>
      <c r="D9" s="171">
        <f t="shared" si="1"/>
        <v>528805741.74000001</v>
      </c>
      <c r="E9" s="171">
        <f t="shared" ref="E9:M9" si="2">SUM(E6:E8)</f>
        <v>86552105.069999993</v>
      </c>
      <c r="F9" s="171">
        <f t="shared" si="2"/>
        <v>0</v>
      </c>
      <c r="G9" s="171">
        <f t="shared" si="2"/>
        <v>0</v>
      </c>
      <c r="H9" s="171">
        <f t="shared" si="2"/>
        <v>0</v>
      </c>
      <c r="I9" s="171">
        <f t="shared" si="2"/>
        <v>0</v>
      </c>
      <c r="J9" s="171">
        <f t="shared" si="2"/>
        <v>0</v>
      </c>
      <c r="K9" s="171">
        <f t="shared" si="2"/>
        <v>0</v>
      </c>
      <c r="L9" s="171">
        <f t="shared" si="2"/>
        <v>0</v>
      </c>
      <c r="M9" s="171">
        <f t="shared" si="2"/>
        <v>0</v>
      </c>
      <c r="O9" s="164">
        <f t="shared" si="0"/>
        <v>0.70418350372316529</v>
      </c>
      <c r="P9" s="164">
        <f t="shared" si="0"/>
        <v>0.68784732087009715</v>
      </c>
      <c r="Q9" s="164">
        <f t="shared" si="0"/>
        <v>0.68483387938706919</v>
      </c>
      <c r="R9" s="164">
        <f t="shared" si="0"/>
        <v>0.80834086127164184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1" spans="1:29" x14ac:dyDescent="0.35">
      <c r="A11" s="159" t="s">
        <v>417</v>
      </c>
    </row>
    <row r="12" spans="1:29" x14ac:dyDescent="0.35">
      <c r="A12" s="161" t="s">
        <v>414</v>
      </c>
      <c r="B12" s="172">
        <v>50961988.369999997</v>
      </c>
      <c r="C12" s="172">
        <v>52978671.810000002</v>
      </c>
      <c r="D12" s="172">
        <v>59233383.069999993</v>
      </c>
      <c r="E12" s="172">
        <v>7509484.870000001</v>
      </c>
      <c r="F12" s="172"/>
      <c r="G12" s="172"/>
      <c r="H12" s="172"/>
      <c r="I12" s="172"/>
      <c r="J12" s="172"/>
      <c r="K12" s="172"/>
      <c r="L12" s="172"/>
      <c r="M12" s="172"/>
      <c r="O12" s="164">
        <f t="shared" ref="O12:Z15" si="3">B12/B18</f>
        <v>0.20069055521077966</v>
      </c>
      <c r="P12" s="164">
        <f t="shared" si="3"/>
        <v>0.21164480577538311</v>
      </c>
      <c r="Q12" s="164">
        <f t="shared" si="3"/>
        <v>0.20771811318213573</v>
      </c>
      <c r="R12" s="164">
        <f t="shared" si="3"/>
        <v>0.17421641500658686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29" x14ac:dyDescent="0.35">
      <c r="A13" s="165" t="s">
        <v>415</v>
      </c>
      <c r="B13" s="173">
        <v>155645870.79000002</v>
      </c>
      <c r="C13" s="173">
        <v>159689512.41999999</v>
      </c>
      <c r="D13" s="173">
        <v>182956975.10000002</v>
      </c>
      <c r="E13" s="173">
        <v>12798530.32</v>
      </c>
      <c r="F13" s="173"/>
      <c r="G13" s="173"/>
      <c r="H13" s="173"/>
      <c r="I13" s="173"/>
      <c r="J13" s="173"/>
      <c r="K13" s="173"/>
      <c r="L13" s="173"/>
      <c r="M13" s="173"/>
      <c r="O13" s="164">
        <f t="shared" si="3"/>
        <v>0.36639788007923024</v>
      </c>
      <c r="P13" s="164">
        <f t="shared" si="3"/>
        <v>0.3857172214228427</v>
      </c>
      <c r="Q13" s="164">
        <f t="shared" si="3"/>
        <v>0.39405342444894087</v>
      </c>
      <c r="R13" s="164">
        <f t="shared" si="3"/>
        <v>0.2137114321806515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C13" s="160"/>
    </row>
    <row r="14" spans="1:29" x14ac:dyDescent="0.35">
      <c r="A14" s="167" t="s">
        <v>416</v>
      </c>
      <c r="B14" s="174">
        <v>1251438.6800000002</v>
      </c>
      <c r="C14" s="174">
        <v>1015646.5800000001</v>
      </c>
      <c r="D14" s="174">
        <v>1170344.6199999999</v>
      </c>
      <c r="E14" s="174">
        <v>213651.73</v>
      </c>
      <c r="F14" s="174"/>
      <c r="G14" s="174"/>
      <c r="H14" s="174"/>
      <c r="I14" s="174"/>
      <c r="J14" s="174"/>
      <c r="K14" s="174"/>
      <c r="L14" s="174"/>
      <c r="M14" s="174"/>
      <c r="O14" s="164">
        <f t="shared" si="3"/>
        <v>5.2296545606340485E-2</v>
      </c>
      <c r="P14" s="164">
        <f t="shared" si="3"/>
        <v>5.0220864133315155E-2</v>
      </c>
      <c r="Q14" s="164">
        <f t="shared" si="3"/>
        <v>5.1536016624558367E-2</v>
      </c>
      <c r="R14" s="164">
        <f t="shared" si="3"/>
        <v>5.233414623987459E-2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29" x14ac:dyDescent="0.35">
      <c r="B15" s="171">
        <f t="shared" ref="B15:D15" si="4">SUM(B12:B14)</f>
        <v>207859297.84000003</v>
      </c>
      <c r="C15" s="171">
        <f t="shared" si="4"/>
        <v>213683830.81</v>
      </c>
      <c r="D15" s="171">
        <f t="shared" si="4"/>
        <v>243360702.79000002</v>
      </c>
      <c r="E15" s="171">
        <f t="shared" ref="E15:M15" si="5">SUM(E12:E14)</f>
        <v>20521666.920000002</v>
      </c>
      <c r="F15" s="171">
        <f t="shared" si="5"/>
        <v>0</v>
      </c>
      <c r="G15" s="171">
        <f t="shared" si="5"/>
        <v>0</v>
      </c>
      <c r="H15" s="171">
        <f t="shared" si="5"/>
        <v>0</v>
      </c>
      <c r="I15" s="171">
        <f t="shared" si="5"/>
        <v>0</v>
      </c>
      <c r="J15" s="171">
        <f t="shared" si="5"/>
        <v>0</v>
      </c>
      <c r="K15" s="171">
        <f t="shared" si="5"/>
        <v>0</v>
      </c>
      <c r="L15" s="171">
        <f t="shared" si="5"/>
        <v>0</v>
      </c>
      <c r="M15" s="171">
        <f t="shared" si="5"/>
        <v>0</v>
      </c>
      <c r="O15" s="164">
        <f t="shared" si="3"/>
        <v>0.2958164962768346</v>
      </c>
      <c r="P15" s="164">
        <f t="shared" si="3"/>
        <v>0.31215267912990285</v>
      </c>
      <c r="Q15" s="164">
        <f t="shared" si="3"/>
        <v>0.31516612061293092</v>
      </c>
      <c r="R15" s="164">
        <f t="shared" si="3"/>
        <v>0.19165913872835819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7" spans="1:26" x14ac:dyDescent="0.35">
      <c r="A17" s="159" t="s">
        <v>418</v>
      </c>
    </row>
    <row r="18" spans="1:26" x14ac:dyDescent="0.35">
      <c r="A18" s="161" t="s">
        <v>414</v>
      </c>
      <c r="B18" s="172">
        <f>B6+B12</f>
        <v>253933167.48999998</v>
      </c>
      <c r="C18" s="172">
        <f t="shared" ref="C18:M21" si="6">C6+C12</f>
        <v>250318790.56</v>
      </c>
      <c r="D18" s="172">
        <f t="shared" si="6"/>
        <v>285162339.30000001</v>
      </c>
      <c r="E18" s="172">
        <f t="shared" si="6"/>
        <v>43104347.370000005</v>
      </c>
      <c r="F18" s="172">
        <f t="shared" si="6"/>
        <v>0</v>
      </c>
      <c r="G18" s="172">
        <f t="shared" si="6"/>
        <v>0</v>
      </c>
      <c r="H18" s="172">
        <f t="shared" si="6"/>
        <v>0</v>
      </c>
      <c r="I18" s="172">
        <f t="shared" si="6"/>
        <v>0</v>
      </c>
      <c r="J18" s="172">
        <f t="shared" si="6"/>
        <v>0</v>
      </c>
      <c r="K18" s="172">
        <f t="shared" si="6"/>
        <v>0</v>
      </c>
      <c r="L18" s="172">
        <f t="shared" si="6"/>
        <v>0</v>
      </c>
      <c r="M18" s="172">
        <f t="shared" si="6"/>
        <v>0</v>
      </c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1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415</v>
      </c>
      <c r="B19" s="173">
        <f t="shared" ref="B19:B21" si="8">B7+B13</f>
        <v>424800140.10000002</v>
      </c>
      <c r="C19" s="173">
        <f t="shared" si="6"/>
        <v>414006695.96999997</v>
      </c>
      <c r="D19" s="173">
        <f t="shared" si="6"/>
        <v>464294848.74000001</v>
      </c>
      <c r="E19" s="173">
        <f t="shared" si="6"/>
        <v>59886970.899999999</v>
      </c>
      <c r="F19" s="173">
        <f t="shared" si="6"/>
        <v>0</v>
      </c>
      <c r="G19" s="173">
        <f t="shared" si="6"/>
        <v>0</v>
      </c>
      <c r="H19" s="173">
        <f t="shared" si="6"/>
        <v>0</v>
      </c>
      <c r="I19" s="173">
        <f t="shared" si="6"/>
        <v>0</v>
      </c>
      <c r="J19" s="173">
        <f t="shared" si="6"/>
        <v>0</v>
      </c>
      <c r="K19" s="173">
        <f t="shared" si="6"/>
        <v>0</v>
      </c>
      <c r="L19" s="173">
        <f t="shared" si="6"/>
        <v>0</v>
      </c>
      <c r="M19" s="173">
        <f t="shared" si="6"/>
        <v>0</v>
      </c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416</v>
      </c>
      <c r="B20" s="174">
        <f t="shared" si="8"/>
        <v>23929662.379999999</v>
      </c>
      <c r="C20" s="174">
        <f t="shared" si="6"/>
        <v>20223598.25</v>
      </c>
      <c r="D20" s="174">
        <f t="shared" si="6"/>
        <v>22709256.489999998</v>
      </c>
      <c r="E20" s="174">
        <f t="shared" si="6"/>
        <v>4082453.7199999997</v>
      </c>
      <c r="F20" s="174">
        <f t="shared" si="6"/>
        <v>0</v>
      </c>
      <c r="G20" s="174">
        <f t="shared" si="6"/>
        <v>0</v>
      </c>
      <c r="H20" s="174">
        <f t="shared" si="6"/>
        <v>0</v>
      </c>
      <c r="I20" s="174">
        <f t="shared" si="6"/>
        <v>0</v>
      </c>
      <c r="J20" s="174">
        <f t="shared" si="6"/>
        <v>0</v>
      </c>
      <c r="K20" s="174">
        <f t="shared" si="6"/>
        <v>0</v>
      </c>
      <c r="L20" s="174">
        <f t="shared" si="6"/>
        <v>0</v>
      </c>
      <c r="M20" s="174">
        <f t="shared" si="6"/>
        <v>0</v>
      </c>
      <c r="O20" s="170">
        <f t="shared" si="7"/>
        <v>1</v>
      </c>
      <c r="P20" s="170">
        <f t="shared" si="7"/>
        <v>0.99999999999999989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71">
        <f t="shared" si="8"/>
        <v>702662969.97000003</v>
      </c>
      <c r="C21" s="171">
        <f t="shared" si="6"/>
        <v>684549084.77999997</v>
      </c>
      <c r="D21" s="171">
        <f t="shared" si="6"/>
        <v>772166444.52999997</v>
      </c>
      <c r="E21" s="171">
        <f t="shared" si="6"/>
        <v>107073771.98999999</v>
      </c>
      <c r="F21" s="171">
        <f t="shared" si="6"/>
        <v>0</v>
      </c>
      <c r="G21" s="171">
        <f t="shared" si="6"/>
        <v>0</v>
      </c>
      <c r="H21" s="171">
        <f t="shared" si="6"/>
        <v>0</v>
      </c>
      <c r="I21" s="171">
        <f t="shared" si="6"/>
        <v>0</v>
      </c>
      <c r="J21" s="171">
        <f t="shared" si="6"/>
        <v>0</v>
      </c>
      <c r="K21" s="171">
        <f t="shared" si="6"/>
        <v>0</v>
      </c>
      <c r="L21" s="171">
        <f t="shared" si="6"/>
        <v>0</v>
      </c>
      <c r="M21" s="171">
        <f t="shared" si="6"/>
        <v>0</v>
      </c>
      <c r="O21" s="170">
        <f t="shared" si="7"/>
        <v>0.99999999999999989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0"/>
      <c r="H23" s="160"/>
      <c r="I23" s="160"/>
      <c r="J23" s="240"/>
      <c r="K23" s="240"/>
      <c r="L23" s="160"/>
    </row>
    <row r="24" spans="1:26" ht="15.65" customHeight="1" x14ac:dyDescent="0.35">
      <c r="A24" s="157" t="s">
        <v>419</v>
      </c>
      <c r="G24" s="240"/>
      <c r="H24" s="240"/>
      <c r="I24" s="240"/>
      <c r="J24" s="240"/>
      <c r="K24" s="240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413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414</v>
      </c>
      <c r="B27" s="172">
        <v>1398443632.5700002</v>
      </c>
      <c r="C27" s="172">
        <v>1376767619.4499998</v>
      </c>
      <c r="D27" s="172">
        <v>1612029736.8799999</v>
      </c>
      <c r="E27" s="172">
        <v>248353621.05000001</v>
      </c>
      <c r="F27" s="172"/>
      <c r="G27" s="172"/>
      <c r="H27" s="172"/>
      <c r="I27" s="172"/>
      <c r="J27" s="172"/>
      <c r="K27" s="172"/>
      <c r="L27" s="172"/>
      <c r="M27" s="172"/>
      <c r="O27" s="164">
        <f t="shared" ref="O27:Z30" si="9">B27/B39</f>
        <v>0.7946202738111946</v>
      </c>
      <c r="P27" s="164">
        <f t="shared" si="9"/>
        <v>0.7965271772653707</v>
      </c>
      <c r="Q27" s="164">
        <f t="shared" si="9"/>
        <v>0.82090942399115807</v>
      </c>
      <c r="R27" s="164">
        <f t="shared" si="9"/>
        <v>0.85722570145258503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415</v>
      </c>
      <c r="B28" s="173">
        <v>2352041711.6500001</v>
      </c>
      <c r="C28" s="173">
        <v>2238702328.4700003</v>
      </c>
      <c r="D28" s="173">
        <v>2525769297.7600002</v>
      </c>
      <c r="E28" s="173">
        <v>412581040.38</v>
      </c>
      <c r="F28" s="173"/>
      <c r="G28" s="173"/>
      <c r="H28" s="173"/>
      <c r="I28" s="173"/>
      <c r="J28" s="173"/>
      <c r="K28" s="173"/>
      <c r="L28" s="173"/>
      <c r="M28" s="173"/>
      <c r="O28" s="164">
        <f t="shared" si="9"/>
        <v>0.71027087978931069</v>
      </c>
      <c r="P28" s="164">
        <f t="shared" si="9"/>
        <v>0.70433280542695698</v>
      </c>
      <c r="Q28" s="164">
        <f t="shared" si="9"/>
        <v>0.69076174079832942</v>
      </c>
      <c r="R28" s="164">
        <f t="shared" si="9"/>
        <v>0.80490039734981966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416</v>
      </c>
      <c r="B29" s="174">
        <v>66514700.550000004</v>
      </c>
      <c r="C29" s="174">
        <v>56503442.230000004</v>
      </c>
      <c r="D29" s="174">
        <v>62810953.340000004</v>
      </c>
      <c r="E29" s="174">
        <v>10955990.810000001</v>
      </c>
      <c r="F29" s="174"/>
      <c r="G29" s="174"/>
      <c r="H29" s="174"/>
      <c r="I29" s="174"/>
      <c r="J29" s="174"/>
      <c r="K29" s="174"/>
      <c r="L29" s="174"/>
      <c r="M29" s="174"/>
      <c r="O29" s="164">
        <f t="shared" si="9"/>
        <v>0.93203659824373897</v>
      </c>
      <c r="P29" s="164">
        <f t="shared" si="9"/>
        <v>0.9359335826867613</v>
      </c>
      <c r="Q29" s="164">
        <f t="shared" si="9"/>
        <v>0.93169314856975782</v>
      </c>
      <c r="R29" s="164">
        <f t="shared" si="9"/>
        <v>0.94620531295523425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71">
        <f t="shared" ref="B30:D30" si="10">SUM(B27:B29)</f>
        <v>3817000044.7700005</v>
      </c>
      <c r="C30" s="171">
        <f t="shared" si="10"/>
        <v>3671973390.1500001</v>
      </c>
      <c r="D30" s="171">
        <f t="shared" si="10"/>
        <v>4200609987.9800005</v>
      </c>
      <c r="E30" s="171">
        <f t="shared" ref="E30:M30" si="11">SUM(E27:E29)</f>
        <v>671890652.24000001</v>
      </c>
      <c r="F30" s="171">
        <f t="shared" si="11"/>
        <v>0</v>
      </c>
      <c r="G30" s="171">
        <f t="shared" si="11"/>
        <v>0</v>
      </c>
      <c r="H30" s="171">
        <f t="shared" si="11"/>
        <v>0</v>
      </c>
      <c r="I30" s="171">
        <f t="shared" si="11"/>
        <v>0</v>
      </c>
      <c r="J30" s="171">
        <f t="shared" si="11"/>
        <v>0</v>
      </c>
      <c r="K30" s="171">
        <f t="shared" si="11"/>
        <v>0</v>
      </c>
      <c r="L30" s="171">
        <f t="shared" si="11"/>
        <v>0</v>
      </c>
      <c r="M30" s="171">
        <f t="shared" si="11"/>
        <v>0</v>
      </c>
      <c r="O30" s="164">
        <f t="shared" si="9"/>
        <v>0.74221345102066572</v>
      </c>
      <c r="P30" s="164">
        <f t="shared" si="9"/>
        <v>0.73922829027096704</v>
      </c>
      <c r="Q30" s="164">
        <f t="shared" si="9"/>
        <v>0.73855235911091943</v>
      </c>
      <c r="R30" s="164">
        <f t="shared" si="9"/>
        <v>0.82553693090072933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2" spans="1:26" x14ac:dyDescent="0.35">
      <c r="A32" s="159" t="s">
        <v>417</v>
      </c>
    </row>
    <row r="33" spans="1:29" x14ac:dyDescent="0.35">
      <c r="A33" s="161" t="s">
        <v>414</v>
      </c>
      <c r="B33" s="172">
        <v>361445560.61999995</v>
      </c>
      <c r="C33" s="172">
        <v>351695211.12999994</v>
      </c>
      <c r="D33" s="172">
        <v>351682324.12</v>
      </c>
      <c r="E33" s="172">
        <v>41364268.449999996</v>
      </c>
      <c r="F33" s="172"/>
      <c r="G33" s="172"/>
      <c r="H33" s="172"/>
      <c r="I33" s="172"/>
      <c r="J33" s="172"/>
      <c r="K33" s="172"/>
      <c r="L33" s="172"/>
      <c r="M33" s="172"/>
      <c r="O33" s="164">
        <f t="shared" ref="O33:Z36" si="12">B33/B39</f>
        <v>0.20537972618880546</v>
      </c>
      <c r="P33" s="164">
        <f t="shared" si="12"/>
        <v>0.20347282273462933</v>
      </c>
      <c r="Q33" s="164">
        <f t="shared" si="12"/>
        <v>0.17909057600884187</v>
      </c>
      <c r="R33" s="164">
        <f t="shared" si="12"/>
        <v>0.14277429854741502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29" x14ac:dyDescent="0.35">
      <c r="A34" s="165" t="s">
        <v>415</v>
      </c>
      <c r="B34" s="173">
        <v>959429698.16999984</v>
      </c>
      <c r="C34" s="173">
        <v>939769994.87</v>
      </c>
      <c r="D34" s="173">
        <v>1130729243.7499998</v>
      </c>
      <c r="E34" s="173">
        <v>100005413.47</v>
      </c>
      <c r="F34" s="173"/>
      <c r="G34" s="173"/>
      <c r="H34" s="173"/>
      <c r="I34" s="173"/>
      <c r="J34" s="173"/>
      <c r="K34" s="173"/>
      <c r="L34" s="173"/>
      <c r="M34" s="173"/>
      <c r="O34" s="164">
        <f t="shared" si="12"/>
        <v>0.28972912021068942</v>
      </c>
      <c r="P34" s="164">
        <f t="shared" si="12"/>
        <v>0.29566719457304302</v>
      </c>
      <c r="Q34" s="164">
        <f t="shared" si="12"/>
        <v>0.30923825920167053</v>
      </c>
      <c r="R34" s="164">
        <f t="shared" si="12"/>
        <v>0.19509960265018034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C34" s="160"/>
    </row>
    <row r="35" spans="1:29" x14ac:dyDescent="0.35">
      <c r="A35" s="167" t="s">
        <v>416</v>
      </c>
      <c r="B35" s="174">
        <v>4850201.51</v>
      </c>
      <c r="C35" s="174">
        <v>3867767.09</v>
      </c>
      <c r="D35" s="174">
        <v>4604969.42</v>
      </c>
      <c r="E35" s="174">
        <v>622881.82999999996</v>
      </c>
      <c r="F35" s="174"/>
      <c r="G35" s="174"/>
      <c r="H35" s="174"/>
      <c r="I35" s="174"/>
      <c r="J35" s="174"/>
      <c r="K35" s="174"/>
      <c r="L35" s="174"/>
      <c r="M35" s="174"/>
      <c r="O35" s="164">
        <f t="shared" si="12"/>
        <v>6.7963401756261019E-2</v>
      </c>
      <c r="P35" s="164">
        <f t="shared" si="12"/>
        <v>6.4066417313238602E-2</v>
      </c>
      <c r="Q35" s="164">
        <f t="shared" si="12"/>
        <v>6.8306851430242135E-2</v>
      </c>
      <c r="R35" s="164">
        <f t="shared" si="12"/>
        <v>5.3794687044765692E-2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29" x14ac:dyDescent="0.35">
      <c r="B36" s="171">
        <f t="shared" ref="B36:D36" si="13">SUM(B33:B35)</f>
        <v>1325725460.2999997</v>
      </c>
      <c r="C36" s="171">
        <f t="shared" si="13"/>
        <v>1295332973.0899999</v>
      </c>
      <c r="D36" s="171">
        <f t="shared" si="13"/>
        <v>1487016537.29</v>
      </c>
      <c r="E36" s="171">
        <f t="shared" ref="E36:M36" si="14">SUM(E33:E35)</f>
        <v>141992563.75</v>
      </c>
      <c r="F36" s="171">
        <f t="shared" si="14"/>
        <v>0</v>
      </c>
      <c r="G36" s="171">
        <f t="shared" si="14"/>
        <v>0</v>
      </c>
      <c r="H36" s="171">
        <f t="shared" si="14"/>
        <v>0</v>
      </c>
      <c r="I36" s="171">
        <f t="shared" si="14"/>
        <v>0</v>
      </c>
      <c r="J36" s="171">
        <f t="shared" si="14"/>
        <v>0</v>
      </c>
      <c r="K36" s="171">
        <f t="shared" si="14"/>
        <v>0</v>
      </c>
      <c r="L36" s="171">
        <f t="shared" si="14"/>
        <v>0</v>
      </c>
      <c r="M36" s="171">
        <f t="shared" si="14"/>
        <v>0</v>
      </c>
      <c r="O36" s="164">
        <f t="shared" si="12"/>
        <v>0.2577865489793344</v>
      </c>
      <c r="P36" s="164">
        <f t="shared" si="12"/>
        <v>0.26077170972903302</v>
      </c>
      <c r="Q36" s="164">
        <f t="shared" si="12"/>
        <v>0.26144764088908051</v>
      </c>
      <c r="R36" s="164">
        <f t="shared" si="12"/>
        <v>0.17446306909927067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8" spans="1:29" x14ac:dyDescent="0.35">
      <c r="A38" s="159" t="s">
        <v>418</v>
      </c>
    </row>
    <row r="39" spans="1:29" x14ac:dyDescent="0.35">
      <c r="A39" s="161" t="s">
        <v>414</v>
      </c>
      <c r="B39" s="172">
        <f>B27+B33</f>
        <v>1759889193.1900001</v>
      </c>
      <c r="C39" s="172">
        <f t="shared" ref="C39:M42" si="15">C27+C33</f>
        <v>1728462830.5799997</v>
      </c>
      <c r="D39" s="172">
        <f t="shared" si="15"/>
        <v>1963712061</v>
      </c>
      <c r="E39" s="172">
        <f t="shared" si="15"/>
        <v>289717889.5</v>
      </c>
      <c r="F39" s="172">
        <f t="shared" si="15"/>
        <v>0</v>
      </c>
      <c r="G39" s="172">
        <f t="shared" si="15"/>
        <v>0</v>
      </c>
      <c r="H39" s="172">
        <f t="shared" si="15"/>
        <v>0</v>
      </c>
      <c r="I39" s="172">
        <f t="shared" si="15"/>
        <v>0</v>
      </c>
      <c r="J39" s="172">
        <f t="shared" si="15"/>
        <v>0</v>
      </c>
      <c r="K39" s="172">
        <f t="shared" si="15"/>
        <v>0</v>
      </c>
      <c r="L39" s="172">
        <f t="shared" si="15"/>
        <v>0</v>
      </c>
      <c r="M39" s="172">
        <f t="shared" si="15"/>
        <v>0</v>
      </c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29" x14ac:dyDescent="0.35">
      <c r="A40" s="165" t="s">
        <v>415</v>
      </c>
      <c r="B40" s="173">
        <f t="shared" ref="B40:B42" si="17">B28+B34</f>
        <v>3311471409.8199997</v>
      </c>
      <c r="C40" s="173">
        <f t="shared" si="15"/>
        <v>3178472323.3400002</v>
      </c>
      <c r="D40" s="173">
        <f t="shared" si="15"/>
        <v>3656498541.5100002</v>
      </c>
      <c r="E40" s="173">
        <f t="shared" si="15"/>
        <v>512586453.85000002</v>
      </c>
      <c r="F40" s="173">
        <f t="shared" si="15"/>
        <v>0</v>
      </c>
      <c r="G40" s="173">
        <f t="shared" si="15"/>
        <v>0</v>
      </c>
      <c r="H40" s="173">
        <f t="shared" si="15"/>
        <v>0</v>
      </c>
      <c r="I40" s="173">
        <f t="shared" si="15"/>
        <v>0</v>
      </c>
      <c r="J40" s="173">
        <f t="shared" si="15"/>
        <v>0</v>
      </c>
      <c r="K40" s="173">
        <f t="shared" si="15"/>
        <v>0</v>
      </c>
      <c r="L40" s="173">
        <f t="shared" si="15"/>
        <v>0</v>
      </c>
      <c r="M40" s="173">
        <f t="shared" si="15"/>
        <v>0</v>
      </c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1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29" x14ac:dyDescent="0.35">
      <c r="A41" s="167" t="s">
        <v>416</v>
      </c>
      <c r="B41" s="174">
        <f t="shared" si="17"/>
        <v>71364902.060000002</v>
      </c>
      <c r="C41" s="174">
        <f t="shared" si="15"/>
        <v>60371209.320000008</v>
      </c>
      <c r="D41" s="174">
        <f t="shared" si="15"/>
        <v>67415922.760000005</v>
      </c>
      <c r="E41" s="174">
        <f t="shared" si="15"/>
        <v>11578872.640000001</v>
      </c>
      <c r="F41" s="174">
        <f t="shared" si="15"/>
        <v>0</v>
      </c>
      <c r="G41" s="174">
        <f t="shared" si="15"/>
        <v>0</v>
      </c>
      <c r="H41" s="174">
        <f t="shared" si="15"/>
        <v>0</v>
      </c>
      <c r="I41" s="174">
        <f t="shared" si="15"/>
        <v>0</v>
      </c>
      <c r="J41" s="174">
        <f t="shared" si="15"/>
        <v>0</v>
      </c>
      <c r="K41" s="174">
        <f t="shared" si="15"/>
        <v>0</v>
      </c>
      <c r="L41" s="174">
        <f t="shared" si="15"/>
        <v>0</v>
      </c>
      <c r="M41" s="174">
        <f t="shared" si="15"/>
        <v>0</v>
      </c>
      <c r="O41" s="170">
        <f t="shared" si="16"/>
        <v>1</v>
      </c>
      <c r="P41" s="170">
        <f t="shared" si="16"/>
        <v>0.99999999999999989</v>
      </c>
      <c r="Q41" s="170">
        <f t="shared" si="16"/>
        <v>1</v>
      </c>
      <c r="R41" s="170">
        <f t="shared" si="16"/>
        <v>0.99999999999999989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29" x14ac:dyDescent="0.35">
      <c r="B42" s="171">
        <f t="shared" si="17"/>
        <v>5142725505.0699997</v>
      </c>
      <c r="C42" s="171">
        <f t="shared" si="15"/>
        <v>4967306363.2399998</v>
      </c>
      <c r="D42" s="171">
        <f t="shared" si="15"/>
        <v>5687626525.2700005</v>
      </c>
      <c r="E42" s="171">
        <f t="shared" si="15"/>
        <v>813883215.99000001</v>
      </c>
      <c r="F42" s="171">
        <f t="shared" si="15"/>
        <v>0</v>
      </c>
      <c r="G42" s="171">
        <f t="shared" si="15"/>
        <v>0</v>
      </c>
      <c r="H42" s="171">
        <f t="shared" si="15"/>
        <v>0</v>
      </c>
      <c r="I42" s="171">
        <f t="shared" si="15"/>
        <v>0</v>
      </c>
      <c r="J42" s="171">
        <f t="shared" si="15"/>
        <v>0</v>
      </c>
      <c r="K42" s="171">
        <f t="shared" si="15"/>
        <v>0</v>
      </c>
      <c r="L42" s="171">
        <f t="shared" si="15"/>
        <v>0</v>
      </c>
      <c r="M42" s="171">
        <f t="shared" si="15"/>
        <v>0</v>
      </c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1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29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29" ht="15.65" customHeight="1" x14ac:dyDescent="0.35">
      <c r="A45" s="157" t="s">
        <v>420</v>
      </c>
    </row>
    <row r="46" spans="1:29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29" x14ac:dyDescent="0.35">
      <c r="A47" s="159" t="s">
        <v>413</v>
      </c>
      <c r="B47" s="160"/>
      <c r="C47" s="160"/>
      <c r="D47" s="160"/>
      <c r="J47" s="160"/>
      <c r="K47" s="160"/>
      <c r="L47" s="160"/>
      <c r="M47" s="160"/>
    </row>
    <row r="48" spans="1:29" x14ac:dyDescent="0.35">
      <c r="A48" s="161" t="s">
        <v>414</v>
      </c>
      <c r="B48" s="172">
        <v>78411410.37000002</v>
      </c>
      <c r="C48" s="172">
        <v>64645383.260000005</v>
      </c>
      <c r="D48" s="172">
        <v>92159069.789999992</v>
      </c>
      <c r="E48" s="172">
        <v>16200387.710000001</v>
      </c>
      <c r="F48" s="172"/>
      <c r="G48" s="172"/>
      <c r="H48" s="172"/>
      <c r="I48" s="172"/>
      <c r="J48" s="172"/>
      <c r="K48" s="172"/>
      <c r="L48" s="172"/>
      <c r="M48" s="172"/>
      <c r="O48" s="164">
        <f t="shared" ref="O48:Z51" si="18">B48/B66</f>
        <v>0.75456609909856565</v>
      </c>
      <c r="P48" s="164">
        <f t="shared" si="18"/>
        <v>0.73457298459532527</v>
      </c>
      <c r="Q48" s="164">
        <f t="shared" si="18"/>
        <v>0.77565693548193682</v>
      </c>
      <c r="R48" s="164">
        <f t="shared" si="18"/>
        <v>0.81247297548231456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415</v>
      </c>
      <c r="B49" s="173">
        <v>50654060.109999999</v>
      </c>
      <c r="C49" s="173">
        <v>43744176.610000014</v>
      </c>
      <c r="D49" s="173">
        <v>58744931.140000015</v>
      </c>
      <c r="E49" s="173">
        <v>12263611.909999998</v>
      </c>
      <c r="F49" s="173"/>
      <c r="G49" s="173"/>
      <c r="H49" s="173"/>
      <c r="I49" s="173"/>
      <c r="J49" s="173"/>
      <c r="K49" s="173"/>
      <c r="L49" s="173"/>
      <c r="M49" s="173"/>
      <c r="O49" s="164">
        <f t="shared" si="18"/>
        <v>0.83182990148447067</v>
      </c>
      <c r="P49" s="164">
        <f t="shared" si="18"/>
        <v>0.81339565486524357</v>
      </c>
      <c r="Q49" s="164">
        <f t="shared" si="18"/>
        <v>0.83691022596560416</v>
      </c>
      <c r="R49" s="164">
        <f t="shared" si="18"/>
        <v>0.86124718913351661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416</v>
      </c>
      <c r="B50" s="174">
        <v>2700367.05</v>
      </c>
      <c r="C50" s="174">
        <v>2040492.1</v>
      </c>
      <c r="D50" s="174">
        <v>2760036.87</v>
      </c>
      <c r="E50" s="174">
        <v>492246.56000000006</v>
      </c>
      <c r="F50" s="174"/>
      <c r="G50" s="174"/>
      <c r="H50" s="174"/>
      <c r="I50" s="174"/>
      <c r="J50" s="174"/>
      <c r="K50" s="174"/>
      <c r="L50" s="174"/>
      <c r="M50" s="174"/>
      <c r="O50" s="164">
        <f t="shared" si="18"/>
        <v>0.79628436807066894</v>
      </c>
      <c r="P50" s="164">
        <f t="shared" si="18"/>
        <v>0.80516842553078893</v>
      </c>
      <c r="Q50" s="164">
        <f t="shared" si="18"/>
        <v>0.82947396026159359</v>
      </c>
      <c r="R50" s="164">
        <f t="shared" si="18"/>
        <v>0.84301282369756536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71">
        <f t="shared" ref="B51:D51" si="19">SUM(B48:B50)</f>
        <v>131765837.53000002</v>
      </c>
      <c r="C51" s="171">
        <f t="shared" si="19"/>
        <v>110430051.97000001</v>
      </c>
      <c r="D51" s="171">
        <f t="shared" si="19"/>
        <v>153664037.80000001</v>
      </c>
      <c r="E51" s="171">
        <f t="shared" ref="E51:M51" si="20">SUM(E48:E50)</f>
        <v>28956246.179999996</v>
      </c>
      <c r="F51" s="171">
        <f t="shared" si="20"/>
        <v>0</v>
      </c>
      <c r="G51" s="171">
        <f t="shared" si="20"/>
        <v>0</v>
      </c>
      <c r="H51" s="171">
        <f t="shared" si="20"/>
        <v>0</v>
      </c>
      <c r="I51" s="171">
        <f t="shared" si="20"/>
        <v>0</v>
      </c>
      <c r="J51" s="171">
        <f t="shared" si="20"/>
        <v>0</v>
      </c>
      <c r="K51" s="171">
        <f t="shared" si="20"/>
        <v>0</v>
      </c>
      <c r="L51" s="171">
        <f t="shared" si="20"/>
        <v>0</v>
      </c>
      <c r="M51" s="171">
        <f t="shared" si="20"/>
        <v>0</v>
      </c>
      <c r="O51" s="164">
        <f t="shared" si="18"/>
        <v>0.78337930436929726</v>
      </c>
      <c r="P51" s="164">
        <f t="shared" si="18"/>
        <v>0.76518570439927136</v>
      </c>
      <c r="Q51" s="164">
        <f t="shared" si="18"/>
        <v>0.79894245101879136</v>
      </c>
      <c r="R51" s="164">
        <f t="shared" si="18"/>
        <v>0.83296455768298494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3" spans="1:26" x14ac:dyDescent="0.35">
      <c r="A53" s="159" t="s">
        <v>421</v>
      </c>
    </row>
    <row r="54" spans="1:26" x14ac:dyDescent="0.35">
      <c r="A54" s="161" t="s">
        <v>414</v>
      </c>
      <c r="B54" s="172">
        <v>2800375.21</v>
      </c>
      <c r="C54" s="172">
        <v>2821627.1</v>
      </c>
      <c r="D54" s="172">
        <v>2864880.02</v>
      </c>
      <c r="E54" s="172">
        <v>1135156.3799999999</v>
      </c>
      <c r="F54" s="172"/>
      <c r="G54" s="172"/>
      <c r="H54" s="172"/>
      <c r="I54" s="172"/>
      <c r="J54" s="172"/>
      <c r="K54" s="172"/>
      <c r="L54" s="172"/>
      <c r="M54" s="172"/>
      <c r="O54" s="164">
        <f t="shared" ref="O54:Z57" si="21">B54/B66</f>
        <v>2.6948478394293495E-2</v>
      </c>
      <c r="P54" s="164">
        <f t="shared" si="21"/>
        <v>3.2062475860430872E-2</v>
      </c>
      <c r="Q54" s="164">
        <f t="shared" si="21"/>
        <v>2.411226656150291E-2</v>
      </c>
      <c r="R54" s="164">
        <f t="shared" si="21"/>
        <v>5.6929741325081704E-2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415</v>
      </c>
      <c r="B55" s="173">
        <v>1273856.67</v>
      </c>
      <c r="C55" s="173">
        <v>1283539.18</v>
      </c>
      <c r="D55" s="173">
        <v>1296951.5199999998</v>
      </c>
      <c r="E55" s="173">
        <v>625081.64</v>
      </c>
      <c r="F55" s="173"/>
      <c r="G55" s="173"/>
      <c r="H55" s="173"/>
      <c r="I55" s="173"/>
      <c r="J55" s="173"/>
      <c r="K55" s="173"/>
      <c r="L55" s="173"/>
      <c r="M55" s="173"/>
      <c r="O55" s="164">
        <f t="shared" si="21"/>
        <v>2.091899575296326E-2</v>
      </c>
      <c r="P55" s="164">
        <f t="shared" si="21"/>
        <v>2.3866609747150463E-2</v>
      </c>
      <c r="Q55" s="164">
        <f t="shared" si="21"/>
        <v>1.8477032292077231E-2</v>
      </c>
      <c r="R55" s="164">
        <f t="shared" si="21"/>
        <v>4.3898144313421025E-2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416</v>
      </c>
      <c r="B56" s="174">
        <v>473.70000000000005</v>
      </c>
      <c r="C56" s="174">
        <v>519.9</v>
      </c>
      <c r="D56" s="174">
        <v>164</v>
      </c>
      <c r="E56" s="174">
        <v>316</v>
      </c>
      <c r="F56" s="174"/>
      <c r="G56" s="174"/>
      <c r="H56" s="174"/>
      <c r="I56" s="174"/>
      <c r="J56" s="174"/>
      <c r="K56" s="174"/>
      <c r="L56" s="174"/>
      <c r="M56" s="174"/>
      <c r="O56" s="164">
        <f t="shared" si="21"/>
        <v>1.3968467921984012E-4</v>
      </c>
      <c r="P56" s="164">
        <f t="shared" si="21"/>
        <v>2.0515005396661774E-4</v>
      </c>
      <c r="Q56" s="164">
        <f t="shared" si="21"/>
        <v>4.9286924736951552E-5</v>
      </c>
      <c r="R56" s="164">
        <f t="shared" si="21"/>
        <v>5.4117605674772131E-4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71">
        <f t="shared" ref="B57:D57" si="22">SUM(B54:B56)</f>
        <v>4074705.58</v>
      </c>
      <c r="C57" s="171">
        <f t="shared" si="22"/>
        <v>4105686.18</v>
      </c>
      <c r="D57" s="171">
        <f t="shared" si="22"/>
        <v>4161995.54</v>
      </c>
      <c r="E57" s="171">
        <f t="shared" ref="E57:M57" si="23">SUM(E54:E56)</f>
        <v>1760554.02</v>
      </c>
      <c r="F57" s="171">
        <f t="shared" si="23"/>
        <v>0</v>
      </c>
      <c r="G57" s="171">
        <f t="shared" si="23"/>
        <v>0</v>
      </c>
      <c r="H57" s="171">
        <f t="shared" si="23"/>
        <v>0</v>
      </c>
      <c r="I57" s="171">
        <f t="shared" si="23"/>
        <v>0</v>
      </c>
      <c r="J57" s="171">
        <f t="shared" si="23"/>
        <v>0</v>
      </c>
      <c r="K57" s="171">
        <f t="shared" si="23"/>
        <v>0</v>
      </c>
      <c r="L57" s="171">
        <f t="shared" si="23"/>
        <v>0</v>
      </c>
      <c r="M57" s="171">
        <f t="shared" si="23"/>
        <v>0</v>
      </c>
      <c r="O57" s="164">
        <f t="shared" si="21"/>
        <v>2.4225095689490387E-2</v>
      </c>
      <c r="P57" s="164">
        <f t="shared" si="21"/>
        <v>2.8448889732833958E-2</v>
      </c>
      <c r="Q57" s="164">
        <f t="shared" si="21"/>
        <v>2.1639382678364565E-2</v>
      </c>
      <c r="R57" s="164">
        <f t="shared" si="21"/>
        <v>5.0644655092040018E-2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</row>
    <row r="59" spans="1:26" x14ac:dyDescent="0.35">
      <c r="A59" s="159" t="s">
        <v>417</v>
      </c>
    </row>
    <row r="60" spans="1:26" x14ac:dyDescent="0.35">
      <c r="A60" s="161" t="s">
        <v>414</v>
      </c>
      <c r="B60" s="172">
        <v>22704107.890000001</v>
      </c>
      <c r="C60" s="172">
        <v>20537020.030000001</v>
      </c>
      <c r="D60" s="172">
        <v>23790265.050000001</v>
      </c>
      <c r="E60" s="172">
        <v>2604057.8400000003</v>
      </c>
      <c r="F60" s="172"/>
      <c r="G60" s="172"/>
      <c r="H60" s="172"/>
      <c r="I60" s="172"/>
      <c r="J60" s="172"/>
      <c r="K60" s="172"/>
      <c r="L60" s="172"/>
      <c r="M60" s="172"/>
      <c r="O60" s="164">
        <f t="shared" ref="O60:Z63" si="24">B60/B66</f>
        <v>0.21848542250714093</v>
      </c>
      <c r="P60" s="164">
        <f t="shared" si="24"/>
        <v>0.23336453954424394</v>
      </c>
      <c r="Q60" s="164">
        <f t="shared" si="24"/>
        <v>0.20023079795656029</v>
      </c>
      <c r="R60" s="164">
        <f t="shared" si="24"/>
        <v>0.13059728319260386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415</v>
      </c>
      <c r="B61" s="173">
        <v>8966816.6500000004</v>
      </c>
      <c r="C61" s="173">
        <v>8751987.0500000007</v>
      </c>
      <c r="D61" s="173">
        <v>10150748.900000002</v>
      </c>
      <c r="E61" s="173">
        <v>1350670.09</v>
      </c>
      <c r="F61" s="173"/>
      <c r="G61" s="173"/>
      <c r="H61" s="173"/>
      <c r="I61" s="173"/>
      <c r="J61" s="173"/>
      <c r="K61" s="173"/>
      <c r="L61" s="173"/>
      <c r="M61" s="173"/>
      <c r="O61" s="164">
        <f t="shared" si="24"/>
        <v>0.14725110276256612</v>
      </c>
      <c r="P61" s="164">
        <f t="shared" si="24"/>
        <v>0.16273773538760591</v>
      </c>
      <c r="Q61" s="164">
        <f t="shared" si="24"/>
        <v>0.14461274174231856</v>
      </c>
      <c r="R61" s="164">
        <f t="shared" si="24"/>
        <v>9.485466655306235E-2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416</v>
      </c>
      <c r="B62" s="174">
        <v>690368.66999999993</v>
      </c>
      <c r="C62" s="174">
        <v>493230.56999999995</v>
      </c>
      <c r="D62" s="174">
        <v>567253.6399999999</v>
      </c>
      <c r="E62" s="174">
        <v>91350.93</v>
      </c>
      <c r="F62" s="174"/>
      <c r="G62" s="174"/>
      <c r="H62" s="174"/>
      <c r="I62" s="174"/>
      <c r="J62" s="174"/>
      <c r="K62" s="174"/>
      <c r="L62" s="174"/>
      <c r="M62" s="174"/>
      <c r="O62" s="164">
        <f t="shared" si="24"/>
        <v>0.20357594725011113</v>
      </c>
      <c r="P62" s="164">
        <f t="shared" si="24"/>
        <v>0.1946264244152445</v>
      </c>
      <c r="Q62" s="164">
        <f t="shared" si="24"/>
        <v>0.17047675281366956</v>
      </c>
      <c r="R62" s="164">
        <f t="shared" si="24"/>
        <v>0.15644600024568708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71">
        <f t="shared" ref="B63:D63" si="25">SUM(B60:B62)</f>
        <v>32361293.210000001</v>
      </c>
      <c r="C63" s="171">
        <f t="shared" si="25"/>
        <v>29782237.650000002</v>
      </c>
      <c r="D63" s="171">
        <f t="shared" si="25"/>
        <v>34508267.590000004</v>
      </c>
      <c r="E63" s="171">
        <f t="shared" ref="E63:M63" si="26">SUM(E60:E62)</f>
        <v>4046078.8600000008</v>
      </c>
      <c r="F63" s="171">
        <f t="shared" si="26"/>
        <v>0</v>
      </c>
      <c r="G63" s="171">
        <f t="shared" si="26"/>
        <v>0</v>
      </c>
      <c r="H63" s="171">
        <f t="shared" si="26"/>
        <v>0</v>
      </c>
      <c r="I63" s="171">
        <f t="shared" si="26"/>
        <v>0</v>
      </c>
      <c r="J63" s="171">
        <f t="shared" si="26"/>
        <v>0</v>
      </c>
      <c r="K63" s="171">
        <f t="shared" si="26"/>
        <v>0</v>
      </c>
      <c r="L63" s="171">
        <f t="shared" si="26"/>
        <v>0</v>
      </c>
      <c r="M63" s="171">
        <f t="shared" si="26"/>
        <v>0</v>
      </c>
      <c r="O63" s="164">
        <f t="shared" si="24"/>
        <v>0.19239559994121233</v>
      </c>
      <c r="P63" s="164">
        <f t="shared" si="24"/>
        <v>0.20636540586789467</v>
      </c>
      <c r="Q63" s="164">
        <f t="shared" si="24"/>
        <v>0.1794181663028441</v>
      </c>
      <c r="R63" s="164">
        <f t="shared" si="24"/>
        <v>0.11639078722497508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5" spans="1:26" x14ac:dyDescent="0.35">
      <c r="A65" s="159" t="s">
        <v>418</v>
      </c>
    </row>
    <row r="66" spans="1:26" x14ac:dyDescent="0.35">
      <c r="A66" s="161" t="s">
        <v>414</v>
      </c>
      <c r="B66" s="172">
        <f>B48+B54+B60</f>
        <v>103915893.47000001</v>
      </c>
      <c r="C66" s="172">
        <f t="shared" ref="C66:M69" si="27">C48+C54+C60</f>
        <v>88004030.390000001</v>
      </c>
      <c r="D66" s="172">
        <f t="shared" si="27"/>
        <v>118814214.85999998</v>
      </c>
      <c r="E66" s="172">
        <f t="shared" si="27"/>
        <v>19939601.93</v>
      </c>
      <c r="F66" s="172">
        <f t="shared" si="27"/>
        <v>0</v>
      </c>
      <c r="G66" s="172">
        <f t="shared" si="27"/>
        <v>0</v>
      </c>
      <c r="H66" s="172">
        <f t="shared" si="27"/>
        <v>0</v>
      </c>
      <c r="I66" s="172">
        <f t="shared" si="27"/>
        <v>0</v>
      </c>
      <c r="J66" s="172">
        <f t="shared" si="27"/>
        <v>0</v>
      </c>
      <c r="K66" s="172">
        <f t="shared" si="27"/>
        <v>0</v>
      </c>
      <c r="L66" s="172">
        <f t="shared" si="27"/>
        <v>0</v>
      </c>
      <c r="M66" s="172">
        <f t="shared" si="27"/>
        <v>0</v>
      </c>
      <c r="O66" s="170">
        <f t="shared" ref="O66:Z69" si="28">O48+O54+O60</f>
        <v>1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415</v>
      </c>
      <c r="B67" s="173">
        <f t="shared" ref="B67:B69" si="29">B49+B55+B61</f>
        <v>60894733.43</v>
      </c>
      <c r="C67" s="173">
        <f t="shared" si="27"/>
        <v>53779702.840000018</v>
      </c>
      <c r="D67" s="173">
        <f t="shared" si="27"/>
        <v>70192631.560000017</v>
      </c>
      <c r="E67" s="173">
        <f t="shared" si="27"/>
        <v>14239363.639999999</v>
      </c>
      <c r="F67" s="173">
        <f t="shared" si="27"/>
        <v>0</v>
      </c>
      <c r="G67" s="173">
        <f t="shared" si="27"/>
        <v>0</v>
      </c>
      <c r="H67" s="173">
        <f t="shared" si="27"/>
        <v>0</v>
      </c>
      <c r="I67" s="173">
        <f t="shared" si="27"/>
        <v>0</v>
      </c>
      <c r="J67" s="173">
        <f t="shared" si="27"/>
        <v>0</v>
      </c>
      <c r="K67" s="173">
        <f t="shared" si="27"/>
        <v>0</v>
      </c>
      <c r="L67" s="173">
        <f t="shared" si="27"/>
        <v>0</v>
      </c>
      <c r="M67" s="173">
        <f t="shared" si="27"/>
        <v>0</v>
      </c>
      <c r="O67" s="170">
        <f t="shared" si="28"/>
        <v>1</v>
      </c>
      <c r="P67" s="170">
        <f t="shared" si="28"/>
        <v>1</v>
      </c>
      <c r="Q67" s="170">
        <f t="shared" si="28"/>
        <v>0.99999999999999989</v>
      </c>
      <c r="R67" s="170">
        <f t="shared" si="28"/>
        <v>1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416</v>
      </c>
      <c r="B68" s="174">
        <f t="shared" si="29"/>
        <v>3391209.42</v>
      </c>
      <c r="C68" s="174">
        <f t="shared" si="27"/>
        <v>2534242.5699999998</v>
      </c>
      <c r="D68" s="174">
        <f t="shared" si="27"/>
        <v>3327454.51</v>
      </c>
      <c r="E68" s="174">
        <f t="shared" si="27"/>
        <v>583913.49</v>
      </c>
      <c r="F68" s="174">
        <f t="shared" si="27"/>
        <v>0</v>
      </c>
      <c r="G68" s="174">
        <f t="shared" si="27"/>
        <v>0</v>
      </c>
      <c r="H68" s="174">
        <f t="shared" si="27"/>
        <v>0</v>
      </c>
      <c r="I68" s="174">
        <f t="shared" si="27"/>
        <v>0</v>
      </c>
      <c r="J68" s="174">
        <f t="shared" si="27"/>
        <v>0</v>
      </c>
      <c r="K68" s="174">
        <f t="shared" si="27"/>
        <v>0</v>
      </c>
      <c r="L68" s="174">
        <f t="shared" si="27"/>
        <v>0</v>
      </c>
      <c r="M68" s="174">
        <f t="shared" si="27"/>
        <v>0</v>
      </c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1.0000000000000002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71">
        <f t="shared" si="29"/>
        <v>168201836.32000002</v>
      </c>
      <c r="C69" s="171">
        <f t="shared" si="27"/>
        <v>144317975.80000001</v>
      </c>
      <c r="D69" s="171">
        <f t="shared" si="27"/>
        <v>192334300.93000001</v>
      </c>
      <c r="E69" s="171">
        <f t="shared" si="27"/>
        <v>34762879.059999995</v>
      </c>
      <c r="F69" s="171">
        <f t="shared" si="27"/>
        <v>0</v>
      </c>
      <c r="G69" s="171">
        <f t="shared" si="27"/>
        <v>0</v>
      </c>
      <c r="H69" s="171">
        <f t="shared" si="27"/>
        <v>0</v>
      </c>
      <c r="I69" s="171">
        <f t="shared" si="27"/>
        <v>0</v>
      </c>
      <c r="J69" s="171">
        <f t="shared" si="27"/>
        <v>0</v>
      </c>
      <c r="K69" s="171">
        <f t="shared" si="27"/>
        <v>0</v>
      </c>
      <c r="L69" s="171">
        <f t="shared" si="27"/>
        <v>0</v>
      </c>
      <c r="M69" s="171">
        <f t="shared" si="27"/>
        <v>0</v>
      </c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1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4" tint="0.59999389629810485"/>
  </sheetPr>
  <dimension ref="B1:BD239"/>
  <sheetViews>
    <sheetView showGridLines="0" tabSelected="1" zoomScale="70" zoomScaleNormal="70" workbookViewId="0">
      <pane xSplit="2" ySplit="4" topLeftCell="C227" activePane="bottomRight" state="frozen"/>
      <selection activeCell="B212" sqref="B212"/>
      <selection pane="topRight" activeCell="B212" sqref="B212"/>
      <selection pane="bottomLeft" activeCell="B212" sqref="B212"/>
      <selection pane="bottomRight" activeCell="M236" sqref="M236"/>
    </sheetView>
  </sheetViews>
  <sheetFormatPr baseColWidth="10" defaultColWidth="11.54296875" defaultRowHeight="14.5" outlineLevelCol="1" x14ac:dyDescent="0.35"/>
  <cols>
    <col min="1" max="1" width="1.36328125" customWidth="1"/>
    <col min="2" max="2" width="60.1796875" bestFit="1" customWidth="1"/>
    <col min="3" max="3" width="1.453125" customWidth="1"/>
    <col min="4" max="8" width="15.54296875" customWidth="1" outlineLevel="1"/>
    <col min="9" max="9" width="1.54296875" customWidth="1"/>
    <col min="10" max="14" width="14.08984375" customWidth="1" outlineLevel="1"/>
    <col min="15" max="15" width="1.6328125" customWidth="1"/>
    <col min="16" max="17" width="8.54296875" hidden="1" customWidth="1"/>
    <col min="18" max="18" width="8.54296875" customWidth="1"/>
    <col min="19" max="19" width="8" bestFit="1" customWidth="1"/>
    <col min="20" max="22" width="7.81640625" hidden="1" customWidth="1"/>
    <col min="23" max="23" width="8.54296875" hidden="1" customWidth="1"/>
    <col min="24" max="24" width="7.81640625" hidden="1" customWidth="1"/>
    <col min="25" max="25" width="8.54296875" hidden="1" customWidth="1"/>
    <col min="26" max="26" width="7.81640625" hidden="1" customWidth="1"/>
    <col min="27" max="27" width="4.08984375" bestFit="1" customWidth="1"/>
    <col min="28" max="28" width="8.54296875" bestFit="1" customWidth="1"/>
    <col min="29" max="29" width="2.6328125" customWidth="1"/>
    <col min="30" max="30" width="8.54296875" hidden="1" customWidth="1"/>
    <col min="31" max="31" width="9.08984375" customWidth="1"/>
    <col min="32" max="32" width="8.54296875" customWidth="1"/>
    <col min="33" max="33" width="9.36328125" hidden="1" customWidth="1"/>
    <col min="34" max="34" width="8.36328125" hidden="1" customWidth="1"/>
    <col min="35" max="35" width="7.54296875" hidden="1" customWidth="1"/>
    <col min="36" max="36" width="8.81640625" hidden="1" customWidth="1"/>
    <col min="37" max="37" width="8.54296875" hidden="1" customWidth="1"/>
    <col min="38" max="38" width="8.453125" hidden="1" customWidth="1"/>
    <col min="39" max="39" width="8.90625" hidden="1" customWidth="1"/>
    <col min="40" max="40" width="8" hidden="1" customWidth="1"/>
    <col min="41" max="41" width="3.6328125" customWidth="1"/>
    <col min="42" max="42" width="6" bestFit="1" customWidth="1"/>
    <col min="43" max="43" width="9.08984375" bestFit="1" customWidth="1"/>
    <col min="44" max="55" width="11.54296875" customWidth="1"/>
  </cols>
  <sheetData>
    <row r="1" spans="2:43" ht="23" customHeight="1" x14ac:dyDescent="0.35"/>
    <row r="2" spans="2:43" x14ac:dyDescent="0.35">
      <c r="D2" s="250" t="s">
        <v>71</v>
      </c>
      <c r="E2" s="251"/>
      <c r="F2" s="251"/>
      <c r="G2" s="251"/>
      <c r="H2" s="251"/>
      <c r="J2" s="252" t="s">
        <v>72</v>
      </c>
      <c r="K2" s="251"/>
      <c r="L2" s="251"/>
      <c r="M2" s="251"/>
      <c r="N2" s="251"/>
      <c r="P2" s="250" t="s">
        <v>73</v>
      </c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D2" s="253" t="s">
        <v>454</v>
      </c>
      <c r="AE2" s="251"/>
      <c r="AF2" s="251"/>
      <c r="AG2" s="251"/>
      <c r="AH2" s="251"/>
      <c r="AI2" s="251"/>
      <c r="AJ2" s="251"/>
      <c r="AK2" s="251"/>
      <c r="AL2" s="251"/>
      <c r="AM2" s="251"/>
      <c r="AN2" s="251"/>
    </row>
    <row r="3" spans="2:43" ht="5" customHeight="1" x14ac:dyDescent="0.35"/>
    <row r="4" spans="2:43" ht="17.399999999999999" customHeight="1" x14ac:dyDescent="0.35">
      <c r="B4" s="76" t="s">
        <v>74</v>
      </c>
      <c r="D4" s="77" t="s">
        <v>19</v>
      </c>
      <c r="E4" s="77" t="s">
        <v>20</v>
      </c>
      <c r="F4" s="77" t="s">
        <v>21</v>
      </c>
      <c r="G4" s="77" t="s">
        <v>22</v>
      </c>
      <c r="H4" s="77" t="s">
        <v>44</v>
      </c>
      <c r="J4" s="78" t="s">
        <v>19</v>
      </c>
      <c r="K4" s="78" t="s">
        <v>20</v>
      </c>
      <c r="L4" s="78" t="s">
        <v>21</v>
      </c>
      <c r="M4" s="78" t="s">
        <v>22</v>
      </c>
      <c r="N4" s="78" t="s">
        <v>44</v>
      </c>
      <c r="P4" s="79" t="s">
        <v>19</v>
      </c>
      <c r="Q4" s="79" t="s">
        <v>20</v>
      </c>
      <c r="R4" s="79" t="s">
        <v>21</v>
      </c>
      <c r="S4" s="79" t="s">
        <v>22</v>
      </c>
      <c r="T4" s="79" t="s">
        <v>23</v>
      </c>
      <c r="U4" s="79" t="s">
        <v>24</v>
      </c>
      <c r="V4" s="79" t="s">
        <v>25</v>
      </c>
      <c r="W4" s="79" t="s">
        <v>26</v>
      </c>
      <c r="X4" s="79" t="s">
        <v>27</v>
      </c>
      <c r="Y4" s="79" t="s">
        <v>28</v>
      </c>
      <c r="Z4" s="79" t="s">
        <v>29</v>
      </c>
      <c r="AA4" s="79" t="s">
        <v>30</v>
      </c>
      <c r="AB4" s="79" t="s">
        <v>44</v>
      </c>
      <c r="AD4" s="76" t="s">
        <v>75</v>
      </c>
      <c r="AE4" s="76" t="s">
        <v>76</v>
      </c>
      <c r="AF4" s="76" t="s">
        <v>77</v>
      </c>
      <c r="AG4" s="76" t="s">
        <v>78</v>
      </c>
      <c r="AH4" s="76" t="s">
        <v>79</v>
      </c>
      <c r="AI4" s="76" t="s">
        <v>80</v>
      </c>
      <c r="AJ4" s="76" t="s">
        <v>81</v>
      </c>
      <c r="AK4" s="76" t="s">
        <v>82</v>
      </c>
      <c r="AL4" s="76" t="s">
        <v>83</v>
      </c>
      <c r="AM4" s="76" t="s">
        <v>84</v>
      </c>
      <c r="AN4" s="76" t="s">
        <v>289</v>
      </c>
      <c r="AP4" s="76" t="s">
        <v>85</v>
      </c>
      <c r="AQ4" s="76" t="s">
        <v>86</v>
      </c>
    </row>
    <row r="5" spans="2:43" x14ac:dyDescent="0.35">
      <c r="B5" s="80" t="s">
        <v>87</v>
      </c>
      <c r="D5" s="137">
        <v>112747135</v>
      </c>
      <c r="E5" s="137">
        <v>105746923</v>
      </c>
      <c r="F5" s="137">
        <v>112493875</v>
      </c>
      <c r="G5" s="137">
        <v>22696559</v>
      </c>
      <c r="H5" s="137">
        <f>+SUM(D5:G5)</f>
        <v>353684492</v>
      </c>
      <c r="J5" s="137">
        <v>16444200</v>
      </c>
      <c r="K5" s="137">
        <v>15425572</v>
      </c>
      <c r="L5" s="137">
        <v>16357079</v>
      </c>
      <c r="M5" s="137">
        <v>3383435</v>
      </c>
      <c r="N5" s="137">
        <f>+SUM(J5:M5)</f>
        <v>51610286</v>
      </c>
      <c r="P5" s="81">
        <f>+IFERROR(J5/D5,"")</f>
        <v>0.14585026927735237</v>
      </c>
      <c r="Q5" s="81">
        <f>+IFERROR(K5/E5,"")</f>
        <v>0.14587253758674379</v>
      </c>
      <c r="R5" s="81">
        <f>+IFERROR(L5/F5,"")</f>
        <v>0.14540417422726348</v>
      </c>
      <c r="S5" s="81">
        <f>+IFERROR(M5/G5,"")</f>
        <v>0.1490725973042874</v>
      </c>
      <c r="T5" s="81" t="str">
        <f>+IFERROR(#REF!/#REF!,"")</f>
        <v/>
      </c>
      <c r="U5" s="81" t="str">
        <f>+IFERROR(#REF!/#REF!,"")</f>
        <v/>
      </c>
      <c r="V5" s="81" t="str">
        <f>+IFERROR(#REF!/#REF!,"")</f>
        <v/>
      </c>
      <c r="W5" s="81" t="str">
        <f>+IFERROR(#REF!/#REF!,"")</f>
        <v/>
      </c>
      <c r="X5" s="81" t="str">
        <f>+IFERROR(#REF!/#REF!,"")</f>
        <v/>
      </c>
      <c r="Y5" s="81" t="str">
        <f>+IFERROR(#REF!/#REF!,"")</f>
        <v/>
      </c>
      <c r="Z5" s="81" t="str">
        <f>+IFERROR(#REF!/#REF!,"")</f>
        <v/>
      </c>
      <c r="AA5" s="81" t="str">
        <f>+IFERROR(#REF!/#REF!,"")</f>
        <v/>
      </c>
      <c r="AB5" s="81">
        <f>+IFERROR(N5/H5,"")</f>
        <v>0.14592182345388216</v>
      </c>
      <c r="AD5" s="138">
        <f t="shared" ref="AD5:AN28" si="0">+IFERROR(Q5-P5,"")</f>
        <v>2.2268309391421104E-5</v>
      </c>
      <c r="AE5" s="138">
        <f t="shared" si="0"/>
        <v>-4.6836335948030605E-4</v>
      </c>
      <c r="AF5" s="138">
        <f t="shared" si="0"/>
        <v>3.668423077023919E-3</v>
      </c>
      <c r="AG5" s="138" t="str">
        <f t="shared" si="0"/>
        <v/>
      </c>
      <c r="AH5" s="138" t="str">
        <f t="shared" si="0"/>
        <v/>
      </c>
      <c r="AI5" s="138" t="str">
        <f t="shared" si="0"/>
        <v/>
      </c>
      <c r="AJ5" s="138" t="str">
        <f t="shared" si="0"/>
        <v/>
      </c>
      <c r="AK5" s="138" t="str">
        <f t="shared" si="0"/>
        <v/>
      </c>
      <c r="AL5" s="138" t="str">
        <f t="shared" si="0"/>
        <v/>
      </c>
      <c r="AM5" s="138" t="str">
        <f t="shared" si="0"/>
        <v/>
      </c>
      <c r="AN5" s="138" t="str">
        <f t="shared" si="0"/>
        <v/>
      </c>
      <c r="AP5" s="82">
        <f t="shared" ref="AP5:AP36" si="1">+N5/$N$235</f>
        <v>6.1831178093230292E-2</v>
      </c>
      <c r="AQ5" s="82">
        <f>+AP5</f>
        <v>6.1831178093230292E-2</v>
      </c>
    </row>
    <row r="6" spans="2:43" x14ac:dyDescent="0.35">
      <c r="B6" s="80" t="s">
        <v>88</v>
      </c>
      <c r="D6" s="137">
        <v>218028733</v>
      </c>
      <c r="E6" s="137">
        <v>221668455</v>
      </c>
      <c r="F6" s="137">
        <v>279100660</v>
      </c>
      <c r="G6" s="137">
        <v>44383520</v>
      </c>
      <c r="H6" s="137">
        <f>+SUM(D6:G6)</f>
        <v>763181368</v>
      </c>
      <c r="J6" s="137">
        <v>23632419</v>
      </c>
      <c r="K6" s="137">
        <v>23060673</v>
      </c>
      <c r="L6" s="137">
        <v>27604143</v>
      </c>
      <c r="M6" s="137">
        <v>4754247</v>
      </c>
      <c r="N6" s="137">
        <f>+SUM(J6:M6)</f>
        <v>79051482</v>
      </c>
      <c r="P6" s="81">
        <f>+IFERROR(J6/D6,"")</f>
        <v>0.10839130547073353</v>
      </c>
      <c r="Q6" s="81">
        <f>+IFERROR(K6/E6,"")</f>
        <v>0.10403227198024184</v>
      </c>
      <c r="R6" s="81">
        <f>+IFERROR(L6/F6,"")</f>
        <v>9.8903897253413878E-2</v>
      </c>
      <c r="S6" s="81">
        <f>+IFERROR(M6/G6,"")</f>
        <v>0.10711739402372773</v>
      </c>
      <c r="T6" s="81" t="str">
        <f>+IFERROR(#REF!/#REF!,"")</f>
        <v/>
      </c>
      <c r="U6" s="81" t="str">
        <f>+IFERROR(#REF!/#REF!,"")</f>
        <v/>
      </c>
      <c r="V6" s="81" t="str">
        <f>+IFERROR(#REF!/#REF!,"")</f>
        <v/>
      </c>
      <c r="W6" s="81" t="str">
        <f>+IFERROR(#REF!/#REF!,"")</f>
        <v/>
      </c>
      <c r="X6" s="81" t="str">
        <f>+IFERROR(#REF!/#REF!,"")</f>
        <v/>
      </c>
      <c r="Y6" s="81" t="str">
        <f>+IFERROR(#REF!/#REF!,"")</f>
        <v/>
      </c>
      <c r="Z6" s="81" t="str">
        <f>+IFERROR(#REF!/#REF!,"")</f>
        <v/>
      </c>
      <c r="AA6" s="81" t="str">
        <f>+IFERROR(#REF!/#REF!,"")</f>
        <v/>
      </c>
      <c r="AB6" s="81">
        <f>+IFERROR(N6/H6,"")</f>
        <v>0.10358151458435499</v>
      </c>
      <c r="AD6" s="138">
        <f t="shared" si="0"/>
        <v>-4.3590334904916872E-3</v>
      </c>
      <c r="AE6" s="138">
        <f t="shared" si="0"/>
        <v>-5.1283747268279639E-3</v>
      </c>
      <c r="AF6" s="138">
        <f t="shared" si="0"/>
        <v>8.2134967703138551E-3</v>
      </c>
      <c r="AG6" s="138" t="str">
        <f t="shared" si="0"/>
        <v/>
      </c>
      <c r="AH6" s="138" t="str">
        <f t="shared" si="0"/>
        <v/>
      </c>
      <c r="AI6" s="138" t="str">
        <f t="shared" si="0"/>
        <v/>
      </c>
      <c r="AJ6" s="138" t="str">
        <f t="shared" si="0"/>
        <v/>
      </c>
      <c r="AK6" s="138" t="str">
        <f t="shared" si="0"/>
        <v/>
      </c>
      <c r="AL6" s="138" t="str">
        <f t="shared" si="0"/>
        <v/>
      </c>
      <c r="AM6" s="138" t="str">
        <f t="shared" si="0"/>
        <v/>
      </c>
      <c r="AN6" s="138" t="str">
        <f t="shared" si="0"/>
        <v/>
      </c>
      <c r="AP6" s="82">
        <f t="shared" si="1"/>
        <v>9.4706823792369388E-2</v>
      </c>
      <c r="AQ6" s="82">
        <f t="shared" ref="AQ6:AQ69" si="2">+AP6+AQ5</f>
        <v>0.15653800188559969</v>
      </c>
    </row>
    <row r="7" spans="2:43" x14ac:dyDescent="0.35">
      <c r="B7" s="80" t="s">
        <v>89</v>
      </c>
      <c r="D7" s="137">
        <v>117317466</v>
      </c>
      <c r="E7" s="137">
        <v>113475422</v>
      </c>
      <c r="F7" s="137">
        <v>161999821</v>
      </c>
      <c r="G7" s="137">
        <v>25795153</v>
      </c>
      <c r="H7" s="137">
        <f>+SUM(D7:G7)</f>
        <v>418587862</v>
      </c>
      <c r="J7" s="137">
        <v>17639568</v>
      </c>
      <c r="K7" s="137">
        <v>16883400</v>
      </c>
      <c r="L7" s="137">
        <v>23696855</v>
      </c>
      <c r="M7" s="137">
        <v>3830189</v>
      </c>
      <c r="N7" s="137">
        <f>+SUM(J7:M7)</f>
        <v>62050012</v>
      </c>
      <c r="P7" s="81">
        <f>+IFERROR(J7/D7,"")</f>
        <v>0.15035756056988139</v>
      </c>
      <c r="Q7" s="81">
        <f>+IFERROR(K7/E7,"")</f>
        <v>0.14878464166451832</v>
      </c>
      <c r="R7" s="81">
        <f>+IFERROR(L7/F7,"")</f>
        <v>0.14627704434315394</v>
      </c>
      <c r="S7" s="81">
        <f>+IFERROR(M7/G7,"")</f>
        <v>0.14848483356543765</v>
      </c>
      <c r="T7" s="81" t="str">
        <f>+IFERROR(#REF!/#REF!,"")</f>
        <v/>
      </c>
      <c r="U7" s="81" t="str">
        <f>+IFERROR(#REF!/#REF!,"")</f>
        <v/>
      </c>
      <c r="V7" s="81" t="str">
        <f>+IFERROR(#REF!/#REF!,"")</f>
        <v/>
      </c>
      <c r="W7" s="81" t="str">
        <f>+IFERROR(#REF!/#REF!,"")</f>
        <v/>
      </c>
      <c r="X7" s="81" t="str">
        <f>+IFERROR(#REF!/#REF!,"")</f>
        <v/>
      </c>
      <c r="Y7" s="81" t="str">
        <f>+IFERROR(#REF!/#REF!,"")</f>
        <v/>
      </c>
      <c r="Z7" s="81" t="str">
        <f>+IFERROR(#REF!/#REF!,"")</f>
        <v/>
      </c>
      <c r="AA7" s="81" t="str">
        <f>+IFERROR(#REF!/#REF!,"")</f>
        <v/>
      </c>
      <c r="AB7" s="81">
        <f>+IFERROR(N7/H7,"")</f>
        <v>0.14823652961059822</v>
      </c>
      <c r="AD7" s="138">
        <f t="shared" si="0"/>
        <v>-1.5729189053630688E-3</v>
      </c>
      <c r="AE7" s="138">
        <f t="shared" si="0"/>
        <v>-2.5075973213643798E-3</v>
      </c>
      <c r="AF7" s="138">
        <f t="shared" si="0"/>
        <v>2.207789222283707E-3</v>
      </c>
      <c r="AG7" s="138" t="str">
        <f t="shared" si="0"/>
        <v/>
      </c>
      <c r="AH7" s="138" t="str">
        <f t="shared" si="0"/>
        <v/>
      </c>
      <c r="AI7" s="138" t="str">
        <f t="shared" si="0"/>
        <v/>
      </c>
      <c r="AJ7" s="138" t="str">
        <f t="shared" si="0"/>
        <v/>
      </c>
      <c r="AK7" s="138" t="str">
        <f t="shared" si="0"/>
        <v/>
      </c>
      <c r="AL7" s="138" t="str">
        <f t="shared" si="0"/>
        <v/>
      </c>
      <c r="AM7" s="138" t="str">
        <f t="shared" si="0"/>
        <v/>
      </c>
      <c r="AN7" s="138" t="str">
        <f t="shared" si="0"/>
        <v/>
      </c>
      <c r="AP7" s="82">
        <f t="shared" si="1"/>
        <v>7.4338385620631456E-2</v>
      </c>
      <c r="AQ7" s="82">
        <f t="shared" si="2"/>
        <v>0.23087638750623113</v>
      </c>
    </row>
    <row r="8" spans="2:43" x14ac:dyDescent="0.35">
      <c r="B8" s="80" t="s">
        <v>90</v>
      </c>
      <c r="D8" s="137">
        <v>124428472</v>
      </c>
      <c r="E8" s="137">
        <v>113953819</v>
      </c>
      <c r="F8" s="137">
        <v>133352894</v>
      </c>
      <c r="G8" s="137">
        <v>19237324</v>
      </c>
      <c r="H8" s="137">
        <f>+SUM(D8:G8)</f>
        <v>390972509</v>
      </c>
      <c r="J8" s="137">
        <v>16268628</v>
      </c>
      <c r="K8" s="137">
        <v>14763094</v>
      </c>
      <c r="L8" s="137">
        <v>17030464</v>
      </c>
      <c r="M8" s="137">
        <v>2584882</v>
      </c>
      <c r="N8" s="137">
        <f>+SUM(J8:M8)</f>
        <v>50647068</v>
      </c>
      <c r="P8" s="81">
        <f>+IFERROR(J8/D8,"")</f>
        <v>0.1307468277839175</v>
      </c>
      <c r="Q8" s="81">
        <f>+IFERROR(K8/E8,"")</f>
        <v>0.12955330615115235</v>
      </c>
      <c r="R8" s="81">
        <f>+IFERROR(L8/F8,"")</f>
        <v>0.12770974434195631</v>
      </c>
      <c r="S8" s="81">
        <f>+IFERROR(M8/G8,"")</f>
        <v>0.13436806491381026</v>
      </c>
      <c r="T8" s="81" t="str">
        <f>+IFERROR(#REF!/#REF!,"")</f>
        <v/>
      </c>
      <c r="U8" s="81" t="str">
        <f>+IFERROR(#REF!/#REF!,"")</f>
        <v/>
      </c>
      <c r="V8" s="81" t="str">
        <f>+IFERROR(#REF!/#REF!,"")</f>
        <v/>
      </c>
      <c r="W8" s="81" t="str">
        <f>+IFERROR(#REF!/#REF!,"")</f>
        <v/>
      </c>
      <c r="X8" s="81" t="str">
        <f>+IFERROR(#REF!/#REF!,"")</f>
        <v/>
      </c>
      <c r="Y8" s="81" t="str">
        <f>+IFERROR(#REF!/#REF!,"")</f>
        <v/>
      </c>
      <c r="Z8" s="81" t="str">
        <f>+IFERROR(#REF!/#REF!,"")</f>
        <v/>
      </c>
      <c r="AA8" s="81" t="str">
        <f>+IFERROR(#REF!/#REF!,"")</f>
        <v/>
      </c>
      <c r="AB8" s="81">
        <f>+IFERROR(N8/H8,"")</f>
        <v>0.12954125119830356</v>
      </c>
      <c r="AD8" s="138">
        <f t="shared" si="0"/>
        <v>-1.1935216327651488E-3</v>
      </c>
      <c r="AE8" s="138">
        <f t="shared" si="0"/>
        <v>-1.8435618091960371E-3</v>
      </c>
      <c r="AF8" s="138">
        <f t="shared" si="0"/>
        <v>6.6583205718539484E-3</v>
      </c>
      <c r="AG8" s="138" t="str">
        <f t="shared" si="0"/>
        <v/>
      </c>
      <c r="AH8" s="138" t="str">
        <f t="shared" si="0"/>
        <v/>
      </c>
      <c r="AI8" s="138" t="str">
        <f t="shared" si="0"/>
        <v/>
      </c>
      <c r="AJ8" s="138" t="str">
        <f t="shared" si="0"/>
        <v/>
      </c>
      <c r="AK8" s="138" t="str">
        <f t="shared" si="0"/>
        <v/>
      </c>
      <c r="AL8" s="138" t="str">
        <f t="shared" si="0"/>
        <v/>
      </c>
      <c r="AM8" s="138" t="str">
        <f t="shared" si="0"/>
        <v/>
      </c>
      <c r="AN8" s="138" t="str">
        <f t="shared" si="0"/>
        <v/>
      </c>
      <c r="AP8" s="82">
        <f t="shared" si="1"/>
        <v>6.0677204567476044E-2</v>
      </c>
      <c r="AQ8" s="82">
        <f t="shared" si="2"/>
        <v>0.29155359207370718</v>
      </c>
    </row>
    <row r="9" spans="2:43" x14ac:dyDescent="0.35">
      <c r="B9" s="80" t="s">
        <v>91</v>
      </c>
      <c r="D9" s="137">
        <v>199865960</v>
      </c>
      <c r="E9" s="137">
        <v>192640480</v>
      </c>
      <c r="F9" s="137">
        <v>237284601</v>
      </c>
      <c r="G9" s="137">
        <v>36535890</v>
      </c>
      <c r="H9" s="137">
        <f>+SUM(D9:G9)</f>
        <v>666326931</v>
      </c>
      <c r="J9" s="137">
        <v>25658586</v>
      </c>
      <c r="K9" s="137">
        <v>24176350</v>
      </c>
      <c r="L9" s="137">
        <v>29590805</v>
      </c>
      <c r="M9" s="137">
        <v>4848464</v>
      </c>
      <c r="N9" s="137">
        <f>+SUM(J9:M9)</f>
        <v>84274205</v>
      </c>
      <c r="P9" s="81">
        <f>+IFERROR(J9/D9,"")</f>
        <v>0.12837896958541614</v>
      </c>
      <c r="Q9" s="81">
        <f>+IFERROR(K9/E9,"")</f>
        <v>0.12549984302364695</v>
      </c>
      <c r="R9" s="81">
        <f>+IFERROR(L9/F9,"")</f>
        <v>0.12470596437903697</v>
      </c>
      <c r="S9" s="81">
        <f>+IFERROR(M9/G9,"")</f>
        <v>0.13270414378847759</v>
      </c>
      <c r="T9" s="81" t="str">
        <f>+IFERROR(#REF!/#REF!,"")</f>
        <v/>
      </c>
      <c r="U9" s="81" t="str">
        <f>+IFERROR(#REF!/#REF!,"")</f>
        <v/>
      </c>
      <c r="V9" s="81" t="str">
        <f>+IFERROR(#REF!/#REF!,"")</f>
        <v/>
      </c>
      <c r="W9" s="81" t="str">
        <f>+IFERROR(#REF!/#REF!,"")</f>
        <v/>
      </c>
      <c r="X9" s="81" t="str">
        <f>+IFERROR(#REF!/#REF!,"")</f>
        <v/>
      </c>
      <c r="Y9" s="81" t="str">
        <f>+IFERROR(#REF!/#REF!,"")</f>
        <v/>
      </c>
      <c r="Z9" s="81" t="str">
        <f>+IFERROR(#REF!/#REF!,"")</f>
        <v/>
      </c>
      <c r="AA9" s="81" t="str">
        <f>+IFERROR(#REF!/#REF!,"")</f>
        <v/>
      </c>
      <c r="AB9" s="81">
        <f>+IFERROR(N9/H9,"")</f>
        <v>0.12647575998995605</v>
      </c>
      <c r="AD9" s="138">
        <f t="shared" si="0"/>
        <v>-2.8791265617691963E-3</v>
      </c>
      <c r="AE9" s="138">
        <f t="shared" si="0"/>
        <v>-7.9387864460997437E-4</v>
      </c>
      <c r="AF9" s="138">
        <f t="shared" si="0"/>
        <v>7.9981794094406145E-3</v>
      </c>
      <c r="AG9" s="138" t="str">
        <f t="shared" si="0"/>
        <v/>
      </c>
      <c r="AH9" s="138" t="str">
        <f t="shared" si="0"/>
        <v/>
      </c>
      <c r="AI9" s="138" t="str">
        <f t="shared" si="0"/>
        <v/>
      </c>
      <c r="AJ9" s="138" t="str">
        <f t="shared" si="0"/>
        <v/>
      </c>
      <c r="AK9" s="138" t="str">
        <f t="shared" si="0"/>
        <v/>
      </c>
      <c r="AL9" s="138" t="str">
        <f t="shared" si="0"/>
        <v/>
      </c>
      <c r="AM9" s="138" t="str">
        <f t="shared" si="0"/>
        <v/>
      </c>
      <c r="AN9" s="138" t="str">
        <f t="shared" si="0"/>
        <v/>
      </c>
      <c r="AP9" s="82">
        <f t="shared" si="1"/>
        <v>0.1009638539499742</v>
      </c>
      <c r="AQ9" s="82">
        <f t="shared" si="2"/>
        <v>0.39251744602368138</v>
      </c>
    </row>
    <row r="10" spans="2:43" x14ac:dyDescent="0.35">
      <c r="B10" s="83" t="s">
        <v>92</v>
      </c>
      <c r="D10" s="137">
        <v>61180609</v>
      </c>
      <c r="E10" s="137">
        <v>57980926</v>
      </c>
      <c r="F10" s="137">
        <v>64349617</v>
      </c>
      <c r="G10" s="137">
        <v>9556156</v>
      </c>
      <c r="H10" s="137">
        <f>+SUM(D10:G10)</f>
        <v>193067308</v>
      </c>
      <c r="J10" s="137">
        <v>5752791</v>
      </c>
      <c r="K10" s="137">
        <v>5810603</v>
      </c>
      <c r="L10" s="137">
        <v>6165874</v>
      </c>
      <c r="M10" s="137">
        <v>881717</v>
      </c>
      <c r="N10" s="137">
        <f>+SUM(J10:M10)</f>
        <v>18610985</v>
      </c>
      <c r="P10" s="84">
        <f>+IFERROR(J10/D10,"")</f>
        <v>9.4029645896463704E-2</v>
      </c>
      <c r="Q10" s="84">
        <f>+IFERROR(K10/E10,"")</f>
        <v>0.10021576750947372</v>
      </c>
      <c r="R10" s="84">
        <f>+IFERROR(L10/F10,"")</f>
        <v>9.5818348071908491E-2</v>
      </c>
      <c r="S10" s="84">
        <f>+IFERROR(M10/G10,"")</f>
        <v>9.2266911507095525E-2</v>
      </c>
      <c r="T10" s="84" t="str">
        <f>+IFERROR(#REF!/#REF!,"")</f>
        <v/>
      </c>
      <c r="U10" s="84" t="str">
        <f>+IFERROR(#REF!/#REF!,"")</f>
        <v/>
      </c>
      <c r="V10" s="84" t="str">
        <f>+IFERROR(#REF!/#REF!,"")</f>
        <v/>
      </c>
      <c r="W10" s="84" t="str">
        <f>+IFERROR(#REF!/#REF!,"")</f>
        <v/>
      </c>
      <c r="X10" s="84" t="str">
        <f>+IFERROR(#REF!/#REF!,"")</f>
        <v/>
      </c>
      <c r="Y10" s="84" t="str">
        <f>+IFERROR(#REF!/#REF!,"")</f>
        <v/>
      </c>
      <c r="Z10" s="84" t="str">
        <f>+IFERROR(#REF!/#REF!,"")</f>
        <v/>
      </c>
      <c r="AA10" s="84" t="str">
        <f>+IFERROR(#REF!/#REF!,"")</f>
        <v/>
      </c>
      <c r="AB10" s="84">
        <f>+IFERROR(N10/H10,"")</f>
        <v>9.6396356238623263E-2</v>
      </c>
      <c r="AD10" s="139">
        <f t="shared" si="0"/>
        <v>6.1861216130100205E-3</v>
      </c>
      <c r="AE10" s="139">
        <f t="shared" si="0"/>
        <v>-4.3974194375652337E-3</v>
      </c>
      <c r="AF10" s="139">
        <f t="shared" si="0"/>
        <v>-3.5514365648129653E-3</v>
      </c>
      <c r="AG10" s="139" t="str">
        <f t="shared" si="0"/>
        <v/>
      </c>
      <c r="AH10" s="139" t="str">
        <f t="shared" si="0"/>
        <v/>
      </c>
      <c r="AI10" s="139" t="str">
        <f t="shared" si="0"/>
        <v/>
      </c>
      <c r="AJ10" s="139" t="str">
        <f t="shared" si="0"/>
        <v/>
      </c>
      <c r="AK10" s="139" t="str">
        <f t="shared" si="0"/>
        <v/>
      </c>
      <c r="AL10" s="139" t="str">
        <f t="shared" si="0"/>
        <v/>
      </c>
      <c r="AM10" s="139" t="str">
        <f t="shared" si="0"/>
        <v/>
      </c>
      <c r="AN10" s="139" t="str">
        <f t="shared" si="0"/>
        <v/>
      </c>
      <c r="AP10" s="82">
        <f t="shared" si="1"/>
        <v>2.2296701243342026E-2</v>
      </c>
      <c r="AQ10" s="82">
        <f t="shared" si="2"/>
        <v>0.41481414726702343</v>
      </c>
    </row>
    <row r="11" spans="2:43" x14ac:dyDescent="0.35">
      <c r="B11" s="83" t="s">
        <v>93</v>
      </c>
      <c r="D11" s="137">
        <v>44302578</v>
      </c>
      <c r="E11" s="137">
        <v>42971012</v>
      </c>
      <c r="F11" s="137">
        <v>47042979</v>
      </c>
      <c r="G11" s="137">
        <v>8179163</v>
      </c>
      <c r="H11" s="137">
        <f>+SUM(D11:G11)</f>
        <v>142495732</v>
      </c>
      <c r="J11" s="137">
        <v>8260175</v>
      </c>
      <c r="K11" s="137">
        <v>8227434</v>
      </c>
      <c r="L11" s="137">
        <v>8952779</v>
      </c>
      <c r="M11" s="137">
        <v>1449726</v>
      </c>
      <c r="N11" s="137">
        <f>+SUM(J11:M11)</f>
        <v>26890114</v>
      </c>
      <c r="P11" s="84">
        <f>+IFERROR(J11/D11,"")</f>
        <v>0.18644908203761867</v>
      </c>
      <c r="Q11" s="84">
        <f>+IFERROR(K11/E11,"")</f>
        <v>0.19146474837502081</v>
      </c>
      <c r="R11" s="84">
        <f>+IFERROR(L11/F11,"")</f>
        <v>0.1903106306256668</v>
      </c>
      <c r="S11" s="84">
        <f>+IFERROR(M11/G11,"")</f>
        <v>0.1772462536814586</v>
      </c>
      <c r="T11" s="84" t="str">
        <f>+IFERROR(#REF!/#REF!,"")</f>
        <v/>
      </c>
      <c r="U11" s="84" t="str">
        <f>+IFERROR(#REF!/#REF!,"")</f>
        <v/>
      </c>
      <c r="V11" s="84" t="str">
        <f>+IFERROR(#REF!/#REF!,"")</f>
        <v/>
      </c>
      <c r="W11" s="84" t="str">
        <f>+IFERROR(#REF!/#REF!,"")</f>
        <v/>
      </c>
      <c r="X11" s="84" t="str">
        <f>+IFERROR(#REF!/#REF!,"")</f>
        <v/>
      </c>
      <c r="Y11" s="84" t="str">
        <f>+IFERROR(#REF!/#REF!,"")</f>
        <v/>
      </c>
      <c r="Z11" s="84" t="str">
        <f>+IFERROR(#REF!/#REF!,"")</f>
        <v/>
      </c>
      <c r="AA11" s="84" t="str">
        <f>+IFERROR(#REF!/#REF!,"")</f>
        <v/>
      </c>
      <c r="AB11" s="84">
        <f>+IFERROR(N11/H11,"")</f>
        <v>0.18870820636227897</v>
      </c>
      <c r="AD11" s="139">
        <f t="shared" si="0"/>
        <v>5.015666337402136E-3</v>
      </c>
      <c r="AE11" s="139">
        <f t="shared" si="0"/>
        <v>-1.1541177493540056E-3</v>
      </c>
      <c r="AF11" s="139">
        <f t="shared" si="0"/>
        <v>-1.30643769442082E-2</v>
      </c>
      <c r="AG11" s="139" t="str">
        <f t="shared" si="0"/>
        <v/>
      </c>
      <c r="AH11" s="139" t="str">
        <f t="shared" si="0"/>
        <v/>
      </c>
      <c r="AI11" s="139" t="str">
        <f t="shared" si="0"/>
        <v/>
      </c>
      <c r="AJ11" s="139" t="str">
        <f t="shared" si="0"/>
        <v/>
      </c>
      <c r="AK11" s="139" t="str">
        <f t="shared" si="0"/>
        <v/>
      </c>
      <c r="AL11" s="139" t="str">
        <f t="shared" si="0"/>
        <v/>
      </c>
      <c r="AM11" s="139" t="str">
        <f t="shared" si="0"/>
        <v/>
      </c>
      <c r="AN11" s="139" t="str">
        <f t="shared" si="0"/>
        <v/>
      </c>
      <c r="AP11" s="82">
        <f t="shared" si="1"/>
        <v>3.2215427515384532E-2</v>
      </c>
      <c r="AQ11" s="82">
        <f t="shared" si="2"/>
        <v>0.44702957478240796</v>
      </c>
    </row>
    <row r="12" spans="2:43" x14ac:dyDescent="0.35">
      <c r="B12" s="83" t="s">
        <v>94</v>
      </c>
      <c r="D12" s="137">
        <v>40835754</v>
      </c>
      <c r="E12" s="137">
        <v>38364263</v>
      </c>
      <c r="F12" s="137">
        <v>43961313</v>
      </c>
      <c r="G12" s="137">
        <v>4789975</v>
      </c>
      <c r="H12" s="137">
        <f>+SUM(D12:G12)</f>
        <v>127951305</v>
      </c>
      <c r="J12" s="137">
        <v>5989752</v>
      </c>
      <c r="K12" s="137">
        <v>5651230</v>
      </c>
      <c r="L12" s="137">
        <v>6402144</v>
      </c>
      <c r="M12" s="137">
        <v>530856</v>
      </c>
      <c r="N12" s="137">
        <f>+SUM(J12:M12)</f>
        <v>18573982</v>
      </c>
      <c r="P12" s="84">
        <f>+IFERROR(J12/D12,"")</f>
        <v>0.14667910870459255</v>
      </c>
      <c r="Q12" s="84">
        <f>+IFERROR(K12/E12,"")</f>
        <v>0.14730453703750285</v>
      </c>
      <c r="R12" s="84">
        <f>+IFERROR(L12/F12,"")</f>
        <v>0.14563131906456026</v>
      </c>
      <c r="S12" s="84">
        <f>+IFERROR(M12/G12,"")</f>
        <v>0.11082646569136582</v>
      </c>
      <c r="T12" s="84" t="str">
        <f>+IFERROR(#REF!/#REF!,"")</f>
        <v/>
      </c>
      <c r="U12" s="84" t="str">
        <f>+IFERROR(#REF!/#REF!,"")</f>
        <v/>
      </c>
      <c r="V12" s="84" t="str">
        <f>+IFERROR(#REF!/#REF!,"")</f>
        <v/>
      </c>
      <c r="W12" s="84" t="str">
        <f>+IFERROR(#REF!/#REF!,"")</f>
        <v/>
      </c>
      <c r="X12" s="84" t="str">
        <f>+IFERROR(#REF!/#REF!,"")</f>
        <v/>
      </c>
      <c r="Y12" s="84" t="str">
        <f>+IFERROR(#REF!/#REF!,"")</f>
        <v/>
      </c>
      <c r="Z12" s="84" t="str">
        <f>+IFERROR(#REF!/#REF!,"")</f>
        <v/>
      </c>
      <c r="AA12" s="84" t="str">
        <f>+IFERROR(#REF!/#REF!,"")</f>
        <v/>
      </c>
      <c r="AB12" s="84">
        <f>+IFERROR(N12/H12,"")</f>
        <v>0.14516445924486662</v>
      </c>
      <c r="AD12" s="139">
        <f t="shared" si="0"/>
        <v>6.2542833291029387E-4</v>
      </c>
      <c r="AE12" s="139">
        <f t="shared" si="0"/>
        <v>-1.6732179729425922E-3</v>
      </c>
      <c r="AF12" s="139">
        <f t="shared" si="0"/>
        <v>-3.480485337319443E-2</v>
      </c>
      <c r="AG12" s="139" t="str">
        <f t="shared" si="0"/>
        <v/>
      </c>
      <c r="AH12" s="139" t="str">
        <f t="shared" si="0"/>
        <v/>
      </c>
      <c r="AI12" s="139" t="str">
        <f t="shared" si="0"/>
        <v/>
      </c>
      <c r="AJ12" s="139" t="str">
        <f t="shared" si="0"/>
        <v/>
      </c>
      <c r="AK12" s="139" t="str">
        <f t="shared" si="0"/>
        <v/>
      </c>
      <c r="AL12" s="139" t="str">
        <f t="shared" si="0"/>
        <v/>
      </c>
      <c r="AM12" s="139" t="str">
        <f t="shared" si="0"/>
        <v/>
      </c>
      <c r="AN12" s="139" t="str">
        <f t="shared" si="0"/>
        <v/>
      </c>
      <c r="AP12" s="82">
        <f t="shared" si="1"/>
        <v>2.2252370175636183E-2</v>
      </c>
      <c r="AQ12" s="82">
        <f t="shared" si="2"/>
        <v>0.46928194495804415</v>
      </c>
    </row>
    <row r="13" spans="2:43" x14ac:dyDescent="0.35">
      <c r="B13" s="83" t="s">
        <v>95</v>
      </c>
      <c r="D13" s="137">
        <v>29810171</v>
      </c>
      <c r="E13" s="137">
        <v>23451798</v>
      </c>
      <c r="F13" s="137">
        <v>29807710</v>
      </c>
      <c r="G13" s="137">
        <v>4953820</v>
      </c>
      <c r="H13" s="137">
        <f>+SUM(D13:G13)</f>
        <v>88023499</v>
      </c>
      <c r="J13" s="137">
        <v>5090481</v>
      </c>
      <c r="K13" s="137">
        <v>3914784</v>
      </c>
      <c r="L13" s="137">
        <v>5073293</v>
      </c>
      <c r="M13" s="137">
        <v>816679</v>
      </c>
      <c r="N13" s="137">
        <f>+SUM(J13:M13)</f>
        <v>14895237</v>
      </c>
      <c r="P13" s="84">
        <f>+IFERROR(J13/D13,"")</f>
        <v>0.17076322708782851</v>
      </c>
      <c r="Q13" s="84">
        <f>+IFERROR(K13/E13,"")</f>
        <v>0.16692894932832017</v>
      </c>
      <c r="R13" s="84">
        <f>+IFERROR(L13/F13,"")</f>
        <v>0.170200696397006</v>
      </c>
      <c r="S13" s="84">
        <f>+IFERROR(M13/G13,"")</f>
        <v>0.1648584324824075</v>
      </c>
      <c r="T13" s="84" t="str">
        <f>+IFERROR(#REF!/#REF!,"")</f>
        <v/>
      </c>
      <c r="U13" s="84" t="str">
        <f>+IFERROR(#REF!/#REF!,"")</f>
        <v/>
      </c>
      <c r="V13" s="84" t="str">
        <f>+IFERROR(#REF!/#REF!,"")</f>
        <v/>
      </c>
      <c r="W13" s="84" t="str">
        <f>+IFERROR(#REF!/#REF!,"")</f>
        <v/>
      </c>
      <c r="X13" s="84" t="str">
        <f>+IFERROR(#REF!/#REF!,"")</f>
        <v/>
      </c>
      <c r="Y13" s="84" t="str">
        <f>+IFERROR(#REF!/#REF!,"")</f>
        <v/>
      </c>
      <c r="Z13" s="84" t="str">
        <f>+IFERROR(#REF!/#REF!,"")</f>
        <v/>
      </c>
      <c r="AA13" s="84" t="str">
        <f>+IFERROR(#REF!/#REF!,"")</f>
        <v/>
      </c>
      <c r="AB13" s="84">
        <f>+IFERROR(N13/H13,"")</f>
        <v>0.16921886961117052</v>
      </c>
      <c r="AD13" s="139">
        <f t="shared" si="0"/>
        <v>-3.8342777595083422E-3</v>
      </c>
      <c r="AE13" s="139">
        <f t="shared" si="0"/>
        <v>3.2717470686858263E-3</v>
      </c>
      <c r="AF13" s="139">
        <f t="shared" si="0"/>
        <v>-5.342263914598494E-3</v>
      </c>
      <c r="AG13" s="139" t="str">
        <f t="shared" si="0"/>
        <v/>
      </c>
      <c r="AH13" s="139" t="str">
        <f t="shared" si="0"/>
        <v/>
      </c>
      <c r="AI13" s="139" t="str">
        <f t="shared" si="0"/>
        <v/>
      </c>
      <c r="AJ13" s="139" t="str">
        <f t="shared" si="0"/>
        <v/>
      </c>
      <c r="AK13" s="139" t="str">
        <f t="shared" si="0"/>
        <v/>
      </c>
      <c r="AL13" s="139" t="str">
        <f t="shared" si="0"/>
        <v/>
      </c>
      <c r="AM13" s="139" t="str">
        <f t="shared" si="0"/>
        <v/>
      </c>
      <c r="AN13" s="139" t="str">
        <f t="shared" si="0"/>
        <v/>
      </c>
      <c r="AP13" s="82">
        <f t="shared" si="1"/>
        <v>1.7845087153515741E-2</v>
      </c>
      <c r="AQ13" s="82">
        <f t="shared" si="2"/>
        <v>0.48712703211155989</v>
      </c>
    </row>
    <row r="14" spans="2:43" x14ac:dyDescent="0.35">
      <c r="B14" s="83" t="s">
        <v>96</v>
      </c>
      <c r="D14" s="137">
        <v>41265349</v>
      </c>
      <c r="E14" s="137">
        <v>40481871</v>
      </c>
      <c r="F14" s="137">
        <v>44454149</v>
      </c>
      <c r="G14" s="137">
        <v>7230281</v>
      </c>
      <c r="H14" s="137">
        <f>+SUM(D14:G14)</f>
        <v>133431650</v>
      </c>
      <c r="J14" s="137">
        <v>6347059</v>
      </c>
      <c r="K14" s="137">
        <v>5762253</v>
      </c>
      <c r="L14" s="137">
        <v>6052361</v>
      </c>
      <c r="M14" s="137">
        <v>1004234</v>
      </c>
      <c r="N14" s="137">
        <f>+SUM(J14:M14)</f>
        <v>19165907</v>
      </c>
      <c r="P14" s="84">
        <f>+IFERROR(J14/D14,"")</f>
        <v>0.15381086441314237</v>
      </c>
      <c r="Q14" s="84">
        <f>+IFERROR(K14/E14,"")</f>
        <v>0.14234156815528609</v>
      </c>
      <c r="R14" s="84">
        <f>+IFERROR(L14/F14,"")</f>
        <v>0.13614839415776467</v>
      </c>
      <c r="S14" s="84">
        <f>+IFERROR(M14/G14,"")</f>
        <v>0.13889280375133414</v>
      </c>
      <c r="T14" s="84" t="str">
        <f>+IFERROR(#REF!/#REF!,"")</f>
        <v/>
      </c>
      <c r="U14" s="84" t="str">
        <f>+IFERROR(#REF!/#REF!,"")</f>
        <v/>
      </c>
      <c r="V14" s="84" t="str">
        <f>+IFERROR(#REF!/#REF!,"")</f>
        <v/>
      </c>
      <c r="W14" s="84" t="str">
        <f>+IFERROR(#REF!/#REF!,"")</f>
        <v/>
      </c>
      <c r="X14" s="84" t="str">
        <f>+IFERROR(#REF!/#REF!,"")</f>
        <v/>
      </c>
      <c r="Y14" s="84" t="str">
        <f>+IFERROR(#REF!/#REF!,"")</f>
        <v/>
      </c>
      <c r="Z14" s="84" t="str">
        <f>+IFERROR(#REF!/#REF!,"")</f>
        <v/>
      </c>
      <c r="AA14" s="84" t="str">
        <f>+IFERROR(#REF!/#REF!,"")</f>
        <v/>
      </c>
      <c r="AB14" s="84">
        <f>+IFERROR(N14/H14,"")</f>
        <v>0.14363838714427948</v>
      </c>
      <c r="AD14" s="139">
        <f t="shared" si="0"/>
        <v>-1.1469296257856282E-2</v>
      </c>
      <c r="AE14" s="139">
        <f t="shared" si="0"/>
        <v>-6.1931739975214228E-3</v>
      </c>
      <c r="AF14" s="139">
        <f t="shared" si="0"/>
        <v>2.7444095935694746E-3</v>
      </c>
      <c r="AG14" s="139" t="str">
        <f t="shared" si="0"/>
        <v/>
      </c>
      <c r="AH14" s="139" t="str">
        <f t="shared" si="0"/>
        <v/>
      </c>
      <c r="AI14" s="139" t="str">
        <f t="shared" si="0"/>
        <v/>
      </c>
      <c r="AJ14" s="139" t="str">
        <f t="shared" si="0"/>
        <v/>
      </c>
      <c r="AK14" s="139" t="str">
        <f t="shared" si="0"/>
        <v/>
      </c>
      <c r="AL14" s="139" t="str">
        <f t="shared" si="0"/>
        <v/>
      </c>
      <c r="AM14" s="139" t="str">
        <f t="shared" si="0"/>
        <v/>
      </c>
      <c r="AN14" s="139" t="str">
        <f t="shared" si="0"/>
        <v/>
      </c>
      <c r="AP14" s="82">
        <f t="shared" si="1"/>
        <v>2.2961519900030956E-2</v>
      </c>
      <c r="AQ14" s="82">
        <f t="shared" si="2"/>
        <v>0.51008855201159087</v>
      </c>
    </row>
    <row r="15" spans="2:43" x14ac:dyDescent="0.35">
      <c r="B15" s="83" t="s">
        <v>97</v>
      </c>
      <c r="D15" s="137">
        <v>28889629</v>
      </c>
      <c r="E15" s="137">
        <v>28686154</v>
      </c>
      <c r="F15" s="137">
        <v>24141681</v>
      </c>
      <c r="G15" s="137">
        <v>5312933</v>
      </c>
      <c r="H15" s="137">
        <f>+SUM(D15:G15)</f>
        <v>87030397</v>
      </c>
      <c r="J15" s="137">
        <v>3655956</v>
      </c>
      <c r="K15" s="137">
        <v>3959817</v>
      </c>
      <c r="L15" s="137">
        <v>3062413</v>
      </c>
      <c r="M15" s="137">
        <v>717503</v>
      </c>
      <c r="N15" s="137">
        <f>+SUM(J15:M15)</f>
        <v>11395689</v>
      </c>
      <c r="P15" s="84">
        <f>+IFERROR(J15/D15,"")</f>
        <v>0.12654908098681364</v>
      </c>
      <c r="Q15" s="84">
        <f>+IFERROR(K15/E15,"")</f>
        <v>0.13803931332168126</v>
      </c>
      <c r="R15" s="84">
        <f>+IFERROR(L15/F15,"")</f>
        <v>0.12685168857959808</v>
      </c>
      <c r="S15" s="84">
        <f>+IFERROR(M15/G15,"")</f>
        <v>0.13504838099784056</v>
      </c>
      <c r="T15" s="84" t="str">
        <f>+IFERROR(#REF!/#REF!,"")</f>
        <v/>
      </c>
      <c r="U15" s="84" t="str">
        <f>+IFERROR(#REF!/#REF!,"")</f>
        <v/>
      </c>
      <c r="V15" s="84" t="str">
        <f>+IFERROR(#REF!/#REF!,"")</f>
        <v/>
      </c>
      <c r="W15" s="84" t="str">
        <f>+IFERROR(#REF!/#REF!,"")</f>
        <v/>
      </c>
      <c r="X15" s="84" t="str">
        <f>+IFERROR(#REF!/#REF!,"")</f>
        <v/>
      </c>
      <c r="Y15" s="84" t="str">
        <f>+IFERROR(#REF!/#REF!,"")</f>
        <v/>
      </c>
      <c r="Z15" s="84" t="str">
        <f>+IFERROR(#REF!/#REF!,"")</f>
        <v/>
      </c>
      <c r="AA15" s="84" t="str">
        <f>+IFERROR(#REF!/#REF!,"")</f>
        <v/>
      </c>
      <c r="AB15" s="84">
        <f>+IFERROR(N15/H15,"")</f>
        <v>0.13093918208829955</v>
      </c>
      <c r="AD15" s="139">
        <f t="shared" si="0"/>
        <v>1.1490232334867623E-2</v>
      </c>
      <c r="AE15" s="139">
        <f t="shared" si="0"/>
        <v>-1.118762474208318E-2</v>
      </c>
      <c r="AF15" s="139">
        <f t="shared" si="0"/>
        <v>8.1966924182424739E-3</v>
      </c>
      <c r="AG15" s="139" t="str">
        <f t="shared" si="0"/>
        <v/>
      </c>
      <c r="AH15" s="139" t="str">
        <f t="shared" si="0"/>
        <v/>
      </c>
      <c r="AI15" s="139" t="str">
        <f t="shared" si="0"/>
        <v/>
      </c>
      <c r="AJ15" s="139" t="str">
        <f t="shared" si="0"/>
        <v/>
      </c>
      <c r="AK15" s="139" t="str">
        <f t="shared" si="0"/>
        <v/>
      </c>
      <c r="AL15" s="139" t="str">
        <f t="shared" si="0"/>
        <v/>
      </c>
      <c r="AM15" s="139" t="str">
        <f t="shared" si="0"/>
        <v/>
      </c>
      <c r="AN15" s="139" t="str">
        <f t="shared" si="0"/>
        <v/>
      </c>
      <c r="AP15" s="82">
        <f t="shared" si="1"/>
        <v>1.3652489274213002E-2</v>
      </c>
      <c r="AQ15" s="82">
        <f t="shared" si="2"/>
        <v>0.5237410412858039</v>
      </c>
    </row>
    <row r="16" spans="2:43" x14ac:dyDescent="0.35">
      <c r="B16" s="83" t="s">
        <v>98</v>
      </c>
      <c r="D16" s="137">
        <v>58123330</v>
      </c>
      <c r="E16" s="137">
        <v>61140886</v>
      </c>
      <c r="F16" s="137">
        <v>73496361</v>
      </c>
      <c r="G16" s="137">
        <v>10703936</v>
      </c>
      <c r="H16" s="137">
        <f>+SUM(D16:G16)</f>
        <v>203464513</v>
      </c>
      <c r="J16" s="137">
        <v>4327858</v>
      </c>
      <c r="K16" s="137">
        <v>4549660</v>
      </c>
      <c r="L16" s="137">
        <v>4900475</v>
      </c>
      <c r="M16" s="137">
        <v>821212</v>
      </c>
      <c r="N16" s="137">
        <f>+SUM(J16:M16)</f>
        <v>14599205</v>
      </c>
      <c r="P16" s="84">
        <f>+IFERROR(J16/D16,"")</f>
        <v>7.4459911364335107E-2</v>
      </c>
      <c r="Q16" s="84">
        <f>+IFERROR(K16/E16,"")</f>
        <v>7.4412726043911109E-2</v>
      </c>
      <c r="R16" s="84">
        <f>+IFERROR(L16/F16,"")</f>
        <v>6.6676430415377977E-2</v>
      </c>
      <c r="S16" s="84">
        <f>+IFERROR(M16/G16,"")</f>
        <v>7.672056335164934E-2</v>
      </c>
      <c r="T16" s="84" t="str">
        <f>+IFERROR(#REF!/#REF!,"")</f>
        <v/>
      </c>
      <c r="U16" s="84" t="str">
        <f>+IFERROR(#REF!/#REF!,"")</f>
        <v/>
      </c>
      <c r="V16" s="84" t="str">
        <f>+IFERROR(#REF!/#REF!,"")</f>
        <v/>
      </c>
      <c r="W16" s="84" t="str">
        <f>+IFERROR(#REF!/#REF!,"")</f>
        <v/>
      </c>
      <c r="X16" s="84" t="str">
        <f>+IFERROR(#REF!/#REF!,"")</f>
        <v/>
      </c>
      <c r="Y16" s="84" t="str">
        <f>+IFERROR(#REF!/#REF!,"")</f>
        <v/>
      </c>
      <c r="Z16" s="84" t="str">
        <f>+IFERROR(#REF!/#REF!,"")</f>
        <v/>
      </c>
      <c r="AA16" s="84" t="str">
        <f>+IFERROR(#REF!/#REF!,"")</f>
        <v/>
      </c>
      <c r="AB16" s="84">
        <f>+IFERROR(N16/H16,"")</f>
        <v>7.1753077648484084E-2</v>
      </c>
      <c r="AD16" s="139">
        <f t="shared" si="0"/>
        <v>-4.7185320423998034E-5</v>
      </c>
      <c r="AE16" s="139">
        <f t="shared" si="0"/>
        <v>-7.7362956285331325E-3</v>
      </c>
      <c r="AF16" s="139">
        <f t="shared" si="0"/>
        <v>1.0044132936271363E-2</v>
      </c>
      <c r="AG16" s="139" t="str">
        <f t="shared" si="0"/>
        <v/>
      </c>
      <c r="AH16" s="139" t="str">
        <f t="shared" si="0"/>
        <v/>
      </c>
      <c r="AI16" s="139" t="str">
        <f t="shared" si="0"/>
        <v/>
      </c>
      <c r="AJ16" s="139" t="str">
        <f t="shared" si="0"/>
        <v/>
      </c>
      <c r="AK16" s="139" t="str">
        <f t="shared" si="0"/>
        <v/>
      </c>
      <c r="AL16" s="139" t="str">
        <f t="shared" si="0"/>
        <v/>
      </c>
      <c r="AM16" s="139" t="str">
        <f t="shared" si="0"/>
        <v/>
      </c>
      <c r="AN16" s="139" t="str">
        <f t="shared" si="0"/>
        <v/>
      </c>
      <c r="AP16" s="82">
        <f t="shared" si="1"/>
        <v>1.7490429027550401E-2</v>
      </c>
      <c r="AQ16" s="82">
        <f t="shared" si="2"/>
        <v>0.54123147031335428</v>
      </c>
    </row>
    <row r="17" spans="2:43" x14ac:dyDescent="0.35">
      <c r="B17" s="83" t="s">
        <v>99</v>
      </c>
      <c r="D17" s="137">
        <v>27328000</v>
      </c>
      <c r="E17" s="137">
        <v>29527339</v>
      </c>
      <c r="F17" s="137">
        <v>35273494</v>
      </c>
      <c r="G17" s="137">
        <v>5889923</v>
      </c>
      <c r="H17" s="137">
        <f>+SUM(D17:G17)</f>
        <v>98018756</v>
      </c>
      <c r="J17" s="137">
        <v>3851373</v>
      </c>
      <c r="K17" s="137">
        <v>4136697</v>
      </c>
      <c r="L17" s="137">
        <v>4763525</v>
      </c>
      <c r="M17" s="137">
        <v>797055</v>
      </c>
      <c r="N17" s="137">
        <f>+SUM(J17:M17)</f>
        <v>13548650</v>
      </c>
      <c r="P17" s="84">
        <f>+IFERROR(J17/D17,"")</f>
        <v>0.14093138905152225</v>
      </c>
      <c r="Q17" s="84">
        <f>+IFERROR(K17/E17,"")</f>
        <v>0.14009718247892233</v>
      </c>
      <c r="R17" s="84">
        <f>+IFERROR(L17/F17,"")</f>
        <v>0.13504545367691673</v>
      </c>
      <c r="S17" s="84">
        <f>+IFERROR(M17/G17,"")</f>
        <v>0.13532519864860712</v>
      </c>
      <c r="T17" s="84" t="str">
        <f>+IFERROR(#REF!/#REF!,"")</f>
        <v/>
      </c>
      <c r="U17" s="84" t="str">
        <f>+IFERROR(#REF!/#REF!,"")</f>
        <v/>
      </c>
      <c r="V17" s="84" t="str">
        <f>+IFERROR(#REF!/#REF!,"")</f>
        <v/>
      </c>
      <c r="W17" s="84" t="str">
        <f>+IFERROR(#REF!/#REF!,"")</f>
        <v/>
      </c>
      <c r="X17" s="84" t="str">
        <f>+IFERROR(#REF!/#REF!,"")</f>
        <v/>
      </c>
      <c r="Y17" s="84" t="str">
        <f>+IFERROR(#REF!/#REF!,"")</f>
        <v/>
      </c>
      <c r="Z17" s="84" t="str">
        <f>+IFERROR(#REF!/#REF!,"")</f>
        <v/>
      </c>
      <c r="AA17" s="84" t="str">
        <f>+IFERROR(#REF!/#REF!,"")</f>
        <v/>
      </c>
      <c r="AB17" s="84">
        <f>+IFERROR(N17/H17,"")</f>
        <v>0.13822507602524561</v>
      </c>
      <c r="AD17" s="139">
        <f t="shared" si="0"/>
        <v>-8.3420657259991593E-4</v>
      </c>
      <c r="AE17" s="139">
        <f t="shared" si="0"/>
        <v>-5.0517288020056061E-3</v>
      </c>
      <c r="AF17" s="139">
        <f t="shared" si="0"/>
        <v>2.7974497169039325E-4</v>
      </c>
      <c r="AG17" s="139" t="str">
        <f t="shared" si="0"/>
        <v/>
      </c>
      <c r="AH17" s="139" t="str">
        <f t="shared" si="0"/>
        <v/>
      </c>
      <c r="AI17" s="139" t="str">
        <f t="shared" si="0"/>
        <v/>
      </c>
      <c r="AJ17" s="139" t="str">
        <f t="shared" si="0"/>
        <v/>
      </c>
      <c r="AK17" s="139" t="str">
        <f t="shared" si="0"/>
        <v/>
      </c>
      <c r="AL17" s="139" t="str">
        <f t="shared" si="0"/>
        <v/>
      </c>
      <c r="AM17" s="139" t="str">
        <f t="shared" si="0"/>
        <v/>
      </c>
      <c r="AN17" s="139" t="str">
        <f t="shared" si="0"/>
        <v/>
      </c>
      <c r="AP17" s="82">
        <f t="shared" si="1"/>
        <v>1.6231822297455289E-2</v>
      </c>
      <c r="AQ17" s="82">
        <f t="shared" si="2"/>
        <v>0.55746329261080962</v>
      </c>
    </row>
    <row r="18" spans="2:43" x14ac:dyDescent="0.35">
      <c r="B18" s="83" t="s">
        <v>100</v>
      </c>
      <c r="D18" s="137">
        <v>47853968</v>
      </c>
      <c r="E18" s="137">
        <v>44632788</v>
      </c>
      <c r="F18" s="137">
        <v>7770791</v>
      </c>
      <c r="G18" s="137">
        <v>825194</v>
      </c>
      <c r="H18" s="137">
        <f>+SUM(D18:G18)</f>
        <v>101082741</v>
      </c>
      <c r="J18" s="137">
        <v>904900</v>
      </c>
      <c r="K18" s="137">
        <v>866821</v>
      </c>
      <c r="L18" s="137">
        <v>171959</v>
      </c>
      <c r="M18" s="137">
        <v>20198</v>
      </c>
      <c r="N18" s="137">
        <f>+SUM(J18:M18)</f>
        <v>1963878</v>
      </c>
      <c r="P18" s="84">
        <f>+IFERROR(J18/D18,"")</f>
        <v>1.8909612678304964E-2</v>
      </c>
      <c r="Q18" s="84">
        <f>+IFERROR(K18/E18,"")</f>
        <v>1.9421170821773446E-2</v>
      </c>
      <c r="R18" s="84">
        <f>+IFERROR(L18/F18,"")</f>
        <v>2.2128892669999747E-2</v>
      </c>
      <c r="S18" s="84">
        <f>+IFERROR(M18/G18,"")</f>
        <v>2.4476668516736671E-2</v>
      </c>
      <c r="T18" s="84" t="str">
        <f>+IFERROR(#REF!/#REF!,"")</f>
        <v/>
      </c>
      <c r="U18" s="84" t="str">
        <f>+IFERROR(#REF!/#REF!,"")</f>
        <v/>
      </c>
      <c r="V18" s="84" t="str">
        <f>+IFERROR(#REF!/#REF!,"")</f>
        <v/>
      </c>
      <c r="W18" s="84" t="str">
        <f>+IFERROR(#REF!/#REF!,"")</f>
        <v/>
      </c>
      <c r="X18" s="84" t="str">
        <f>+IFERROR(#REF!/#REF!,"")</f>
        <v/>
      </c>
      <c r="Y18" s="84" t="str">
        <f>+IFERROR(#REF!/#REF!,"")</f>
        <v/>
      </c>
      <c r="Z18" s="84" t="str">
        <f>+IFERROR(#REF!/#REF!,"")</f>
        <v/>
      </c>
      <c r="AA18" s="84" t="str">
        <f>+IFERROR(#REF!/#REF!,"")</f>
        <v/>
      </c>
      <c r="AB18" s="84">
        <f>+IFERROR(N18/H18,"")</f>
        <v>1.9428420525319946E-2</v>
      </c>
      <c r="AD18" s="139">
        <f t="shared" si="0"/>
        <v>5.1155814346848238E-4</v>
      </c>
      <c r="AE18" s="139">
        <f t="shared" si="0"/>
        <v>2.7077218482263014E-3</v>
      </c>
      <c r="AF18" s="139">
        <f t="shared" si="0"/>
        <v>2.3477758467369235E-3</v>
      </c>
      <c r="AG18" s="139" t="str">
        <f t="shared" si="0"/>
        <v/>
      </c>
      <c r="AH18" s="139" t="str">
        <f t="shared" si="0"/>
        <v/>
      </c>
      <c r="AI18" s="139" t="str">
        <f t="shared" si="0"/>
        <v/>
      </c>
      <c r="AJ18" s="139" t="str">
        <f t="shared" si="0"/>
        <v/>
      </c>
      <c r="AK18" s="139" t="str">
        <f t="shared" si="0"/>
        <v/>
      </c>
      <c r="AL18" s="139" t="str">
        <f t="shared" si="0"/>
        <v/>
      </c>
      <c r="AM18" s="139" t="str">
        <f t="shared" si="0"/>
        <v/>
      </c>
      <c r="AN18" s="139" t="str">
        <f t="shared" si="0"/>
        <v/>
      </c>
      <c r="AP18" s="82">
        <f t="shared" si="1"/>
        <v>2.3528040586982394E-3</v>
      </c>
      <c r="AQ18" s="82">
        <f t="shared" si="2"/>
        <v>0.55981609666950782</v>
      </c>
    </row>
    <row r="19" spans="2:43" x14ac:dyDescent="0.35">
      <c r="B19" s="83" t="s">
        <v>101</v>
      </c>
      <c r="D19" s="137">
        <v>28943825</v>
      </c>
      <c r="E19" s="137">
        <v>25649339</v>
      </c>
      <c r="F19" s="137">
        <v>31541641</v>
      </c>
      <c r="G19" s="137">
        <v>3962135</v>
      </c>
      <c r="H19" s="137">
        <f>+SUM(D19:G19)</f>
        <v>90096940</v>
      </c>
      <c r="J19" s="137">
        <v>7228038</v>
      </c>
      <c r="K19" s="137">
        <v>6798897</v>
      </c>
      <c r="L19" s="137">
        <v>8151056</v>
      </c>
      <c r="M19" s="137">
        <v>839170</v>
      </c>
      <c r="N19" s="137">
        <f>+SUM(J19:M19)</f>
        <v>23017161</v>
      </c>
      <c r="P19" s="84">
        <f>+IFERROR(J19/D19,"")</f>
        <v>0.24972642696671915</v>
      </c>
      <c r="Q19" s="84">
        <f>+IFERROR(K19/E19,"")</f>
        <v>0.26507104140188564</v>
      </c>
      <c r="R19" s="84">
        <f>+IFERROR(L19/F19,"")</f>
        <v>0.2584220649775324</v>
      </c>
      <c r="S19" s="84">
        <f>+IFERROR(M19/G19,"")</f>
        <v>0.21179742739709778</v>
      </c>
      <c r="T19" s="84" t="str">
        <f>+IFERROR(#REF!/#REF!,"")</f>
        <v/>
      </c>
      <c r="U19" s="84" t="str">
        <f>+IFERROR(#REF!/#REF!,"")</f>
        <v/>
      </c>
      <c r="V19" s="84" t="str">
        <f>+IFERROR(#REF!/#REF!,"")</f>
        <v/>
      </c>
      <c r="W19" s="84" t="str">
        <f>+IFERROR(#REF!/#REF!,"")</f>
        <v/>
      </c>
      <c r="X19" s="84" t="str">
        <f>+IFERROR(#REF!/#REF!,"")</f>
        <v/>
      </c>
      <c r="Y19" s="84" t="str">
        <f>+IFERROR(#REF!/#REF!,"")</f>
        <v/>
      </c>
      <c r="Z19" s="84" t="str">
        <f>+IFERROR(#REF!/#REF!,"")</f>
        <v/>
      </c>
      <c r="AA19" s="84" t="str">
        <f>+IFERROR(#REF!/#REF!,"")</f>
        <v/>
      </c>
      <c r="AB19" s="84">
        <f>+IFERROR(N19/H19,"")</f>
        <v>0.25547106261322527</v>
      </c>
      <c r="AD19" s="139">
        <f t="shared" si="0"/>
        <v>1.5344614435166493E-2</v>
      </c>
      <c r="AE19" s="139">
        <f t="shared" si="0"/>
        <v>-6.6489764243532479E-3</v>
      </c>
      <c r="AF19" s="139">
        <f t="shared" si="0"/>
        <v>-4.6624637580434614E-2</v>
      </c>
      <c r="AG19" s="139" t="str">
        <f t="shared" si="0"/>
        <v/>
      </c>
      <c r="AH19" s="139" t="str">
        <f t="shared" si="0"/>
        <v/>
      </c>
      <c r="AI19" s="139" t="str">
        <f t="shared" si="0"/>
        <v/>
      </c>
      <c r="AJ19" s="139" t="str">
        <f t="shared" si="0"/>
        <v/>
      </c>
      <c r="AK19" s="139" t="str">
        <f t="shared" si="0"/>
        <v/>
      </c>
      <c r="AL19" s="139" t="str">
        <f t="shared" si="0"/>
        <v/>
      </c>
      <c r="AM19" s="139" t="str">
        <f t="shared" si="0"/>
        <v/>
      </c>
      <c r="AN19" s="139" t="str">
        <f t="shared" si="0"/>
        <v/>
      </c>
      <c r="AP19" s="82">
        <f t="shared" si="1"/>
        <v>2.7575475574608415E-2</v>
      </c>
      <c r="AQ19" s="82">
        <f t="shared" si="2"/>
        <v>0.5873915722441162</v>
      </c>
    </row>
    <row r="20" spans="2:43" x14ac:dyDescent="0.35">
      <c r="B20" s="83" t="s">
        <v>102</v>
      </c>
      <c r="D20" s="137">
        <v>4953857</v>
      </c>
      <c r="E20" s="137">
        <v>4801619</v>
      </c>
      <c r="F20" s="137">
        <v>4707941</v>
      </c>
      <c r="G20" s="137">
        <v>667278</v>
      </c>
      <c r="H20" s="137">
        <f>+SUM(D20:G20)</f>
        <v>15130695</v>
      </c>
      <c r="J20" s="137">
        <v>1017759</v>
      </c>
      <c r="K20" s="137">
        <v>1006154</v>
      </c>
      <c r="L20" s="137">
        <v>1047983</v>
      </c>
      <c r="M20" s="137">
        <v>118076</v>
      </c>
      <c r="N20" s="137">
        <f>+SUM(J20:M20)</f>
        <v>3189972</v>
      </c>
      <c r="P20" s="84">
        <f>+IFERROR(J20/D20,"")</f>
        <v>0.20544779552578929</v>
      </c>
      <c r="Q20" s="84">
        <f>+IFERROR(K20/E20,"")</f>
        <v>0.20954473897241743</v>
      </c>
      <c r="R20" s="84">
        <f>+IFERROR(L20/F20,"")</f>
        <v>0.2225990087811211</v>
      </c>
      <c r="S20" s="84">
        <f>+IFERROR(M20/G20,"")</f>
        <v>0.1769517352587677</v>
      </c>
      <c r="T20" s="84" t="str">
        <f>+IFERROR(#REF!/#REF!,"")</f>
        <v/>
      </c>
      <c r="U20" s="84" t="str">
        <f>+IFERROR(#REF!/#REF!,"")</f>
        <v/>
      </c>
      <c r="V20" s="84" t="str">
        <f>+IFERROR(#REF!/#REF!,"")</f>
        <v/>
      </c>
      <c r="W20" s="84" t="str">
        <f>+IFERROR(#REF!/#REF!,"")</f>
        <v/>
      </c>
      <c r="X20" s="84" t="str">
        <f>+IFERROR(#REF!/#REF!,"")</f>
        <v/>
      </c>
      <c r="Y20" s="84" t="str">
        <f>+IFERROR(#REF!/#REF!,"")</f>
        <v/>
      </c>
      <c r="Z20" s="84" t="str">
        <f>+IFERROR(#REF!/#REF!,"")</f>
        <v/>
      </c>
      <c r="AA20" s="84" t="str">
        <f>+IFERROR(#REF!/#REF!,"")</f>
        <v/>
      </c>
      <c r="AB20" s="84">
        <f>+IFERROR(N20/H20,"")</f>
        <v>0.21082785688297861</v>
      </c>
      <c r="AD20" s="139">
        <f t="shared" si="0"/>
        <v>4.0969434466281429E-3</v>
      </c>
      <c r="AE20" s="139">
        <f t="shared" si="0"/>
        <v>1.3054269808703667E-2</v>
      </c>
      <c r="AF20" s="139">
        <f t="shared" si="0"/>
        <v>-4.5647273522353399E-2</v>
      </c>
      <c r="AG20" s="139" t="str">
        <f t="shared" si="0"/>
        <v/>
      </c>
      <c r="AH20" s="139" t="str">
        <f t="shared" si="0"/>
        <v/>
      </c>
      <c r="AI20" s="139" t="str">
        <f t="shared" si="0"/>
        <v/>
      </c>
      <c r="AJ20" s="139" t="str">
        <f t="shared" si="0"/>
        <v/>
      </c>
      <c r="AK20" s="139" t="str">
        <f t="shared" si="0"/>
        <v/>
      </c>
      <c r="AL20" s="139" t="str">
        <f t="shared" si="0"/>
        <v/>
      </c>
      <c r="AM20" s="139" t="str">
        <f t="shared" si="0"/>
        <v/>
      </c>
      <c r="AN20" s="139" t="str">
        <f t="shared" si="0"/>
        <v/>
      </c>
      <c r="AP20" s="82">
        <f t="shared" si="1"/>
        <v>3.8217135019251399E-3</v>
      </c>
      <c r="AQ20" s="82">
        <f t="shared" si="2"/>
        <v>0.59121328574604137</v>
      </c>
    </row>
    <row r="21" spans="2:43" x14ac:dyDescent="0.35">
      <c r="B21" s="83" t="s">
        <v>103</v>
      </c>
      <c r="D21" s="137">
        <v>21554835</v>
      </c>
      <c r="E21" s="137">
        <v>20602941</v>
      </c>
      <c r="F21" s="137">
        <v>22343319</v>
      </c>
      <c r="G21" s="137">
        <v>3537133</v>
      </c>
      <c r="H21" s="137">
        <f>+SUM(D21:G21)</f>
        <v>68038228</v>
      </c>
      <c r="J21" s="137">
        <v>3420639</v>
      </c>
      <c r="K21" s="137">
        <v>3241459</v>
      </c>
      <c r="L21" s="137">
        <v>3523702</v>
      </c>
      <c r="M21" s="137">
        <v>557075</v>
      </c>
      <c r="N21" s="137">
        <f>+SUM(J21:M21)</f>
        <v>10742875</v>
      </c>
      <c r="P21" s="84">
        <f>+IFERROR(J21/D21,"")</f>
        <v>0.15869474296602132</v>
      </c>
      <c r="Q21" s="84">
        <f>+IFERROR(K21/E21,"")</f>
        <v>0.1573299171220264</v>
      </c>
      <c r="R21" s="84">
        <f>+IFERROR(L21/F21,"")</f>
        <v>0.15770718754899396</v>
      </c>
      <c r="S21" s="84">
        <f>+IFERROR(M21/G21,"")</f>
        <v>0.15749337104372382</v>
      </c>
      <c r="T21" s="84" t="str">
        <f>+IFERROR(#REF!/#REF!,"")</f>
        <v/>
      </c>
      <c r="U21" s="84" t="str">
        <f>+IFERROR(#REF!/#REF!,"")</f>
        <v/>
      </c>
      <c r="V21" s="84" t="str">
        <f>+IFERROR(#REF!/#REF!,"")</f>
        <v/>
      </c>
      <c r="W21" s="84" t="str">
        <f>+IFERROR(#REF!/#REF!,"")</f>
        <v/>
      </c>
      <c r="X21" s="84" t="str">
        <f>+IFERROR(#REF!/#REF!,"")</f>
        <v/>
      </c>
      <c r="Y21" s="84" t="str">
        <f>+IFERROR(#REF!/#REF!,"")</f>
        <v/>
      </c>
      <c r="Z21" s="84" t="str">
        <f>+IFERROR(#REF!/#REF!,"")</f>
        <v/>
      </c>
      <c r="AA21" s="84" t="str">
        <f>+IFERROR(#REF!/#REF!,"")</f>
        <v/>
      </c>
      <c r="AB21" s="84">
        <f>+IFERROR(N21/H21,"")</f>
        <v>0.15789469120212832</v>
      </c>
      <c r="AD21" s="139">
        <f t="shared" si="0"/>
        <v>-1.3648258439949157E-3</v>
      </c>
      <c r="AE21" s="139">
        <f t="shared" si="0"/>
        <v>3.7727042696755753E-4</v>
      </c>
      <c r="AF21" s="139">
        <f t="shared" si="0"/>
        <v>-2.1381650527013685E-4</v>
      </c>
      <c r="AG21" s="139" t="str">
        <f t="shared" si="0"/>
        <v/>
      </c>
      <c r="AH21" s="139" t="str">
        <f t="shared" si="0"/>
        <v/>
      </c>
      <c r="AI21" s="139" t="str">
        <f t="shared" si="0"/>
        <v/>
      </c>
      <c r="AJ21" s="139" t="str">
        <f t="shared" si="0"/>
        <v/>
      </c>
      <c r="AK21" s="139" t="str">
        <f t="shared" si="0"/>
        <v/>
      </c>
      <c r="AL21" s="139" t="str">
        <f t="shared" si="0"/>
        <v/>
      </c>
      <c r="AM21" s="139" t="str">
        <f t="shared" si="0"/>
        <v/>
      </c>
      <c r="AN21" s="139" t="str">
        <f t="shared" si="0"/>
        <v/>
      </c>
      <c r="AP21" s="82">
        <f t="shared" si="1"/>
        <v>1.2870392102812826E-2</v>
      </c>
      <c r="AQ21" s="82">
        <f t="shared" si="2"/>
        <v>0.60408367784885419</v>
      </c>
    </row>
    <row r="22" spans="2:43" x14ac:dyDescent="0.35">
      <c r="B22" s="83" t="s">
        <v>104</v>
      </c>
      <c r="D22" s="137">
        <v>23065050</v>
      </c>
      <c r="E22" s="137">
        <v>20902165</v>
      </c>
      <c r="F22" s="137">
        <v>24445187</v>
      </c>
      <c r="G22" s="137">
        <v>2144058</v>
      </c>
      <c r="H22" s="137">
        <f>+SUM(D22:G22)</f>
        <v>70556460</v>
      </c>
      <c r="J22" s="137">
        <v>3084711</v>
      </c>
      <c r="K22" s="137">
        <v>2837093</v>
      </c>
      <c r="L22" s="137">
        <v>2974049</v>
      </c>
      <c r="M22" s="137">
        <v>266751</v>
      </c>
      <c r="N22" s="137">
        <f>+SUM(J22:M22)</f>
        <v>9162604</v>
      </c>
      <c r="P22" s="84">
        <f>+IFERROR(J22/D22,"")</f>
        <v>0.13373961903399298</v>
      </c>
      <c r="Q22" s="84">
        <f>+IFERROR(K22/E22,"")</f>
        <v>0.1357320162767828</v>
      </c>
      <c r="R22" s="84">
        <f>+IFERROR(L22/F22,"")</f>
        <v>0.12166194515100252</v>
      </c>
      <c r="S22" s="84">
        <f>+IFERROR(M22/G22,"")</f>
        <v>0.12441407835049238</v>
      </c>
      <c r="T22" s="84" t="str">
        <f>+IFERROR(#REF!/#REF!,"")</f>
        <v/>
      </c>
      <c r="U22" s="84" t="str">
        <f>+IFERROR(#REF!/#REF!,"")</f>
        <v/>
      </c>
      <c r="V22" s="84" t="str">
        <f>+IFERROR(#REF!/#REF!,"")</f>
        <v/>
      </c>
      <c r="W22" s="84" t="str">
        <f>+IFERROR(#REF!/#REF!,"")</f>
        <v/>
      </c>
      <c r="X22" s="84" t="str">
        <f>+IFERROR(#REF!/#REF!,"")</f>
        <v/>
      </c>
      <c r="Y22" s="84" t="str">
        <f>+IFERROR(#REF!/#REF!,"")</f>
        <v/>
      </c>
      <c r="Z22" s="84" t="str">
        <f>+IFERROR(#REF!/#REF!,"")</f>
        <v/>
      </c>
      <c r="AA22" s="84" t="str">
        <f>+IFERROR(#REF!/#REF!,"")</f>
        <v/>
      </c>
      <c r="AB22" s="84">
        <f>+IFERROR(N22/H22,"")</f>
        <v>0.12986201405229231</v>
      </c>
      <c r="AD22" s="139">
        <f t="shared" si="0"/>
        <v>1.9923972427898229E-3</v>
      </c>
      <c r="AE22" s="139">
        <f t="shared" si="0"/>
        <v>-1.4070071125780279E-2</v>
      </c>
      <c r="AF22" s="139">
        <f t="shared" si="0"/>
        <v>2.752133199489859E-3</v>
      </c>
      <c r="AG22" s="139" t="str">
        <f t="shared" si="0"/>
        <v/>
      </c>
      <c r="AH22" s="139" t="str">
        <f t="shared" si="0"/>
        <v/>
      </c>
      <c r="AI22" s="139" t="str">
        <f t="shared" si="0"/>
        <v/>
      </c>
      <c r="AJ22" s="139" t="str">
        <f t="shared" si="0"/>
        <v/>
      </c>
      <c r="AK22" s="139" t="str">
        <f t="shared" si="0"/>
        <v/>
      </c>
      <c r="AL22" s="139" t="str">
        <f t="shared" si="0"/>
        <v/>
      </c>
      <c r="AM22" s="139" t="str">
        <f t="shared" si="0"/>
        <v/>
      </c>
      <c r="AN22" s="139" t="str">
        <f t="shared" si="0"/>
        <v/>
      </c>
      <c r="AP22" s="82">
        <f t="shared" si="1"/>
        <v>1.0977164507899534E-2</v>
      </c>
      <c r="AQ22" s="82">
        <f t="shared" si="2"/>
        <v>0.61506084235675373</v>
      </c>
    </row>
    <row r="23" spans="2:43" x14ac:dyDescent="0.35">
      <c r="B23" s="83" t="s">
        <v>105</v>
      </c>
      <c r="D23" s="137">
        <v>8717272</v>
      </c>
      <c r="E23" s="137">
        <v>8893096</v>
      </c>
      <c r="F23" s="137">
        <v>9489626</v>
      </c>
      <c r="G23" s="137">
        <v>1400371</v>
      </c>
      <c r="H23" s="137">
        <f>+SUM(D23:G23)</f>
        <v>28500365</v>
      </c>
      <c r="J23" s="137">
        <v>1827236</v>
      </c>
      <c r="K23" s="137">
        <v>2212261</v>
      </c>
      <c r="L23" s="137">
        <v>2232796</v>
      </c>
      <c r="M23" s="137">
        <v>376043</v>
      </c>
      <c r="N23" s="137">
        <f>+SUM(J23:M23)</f>
        <v>6648336</v>
      </c>
      <c r="P23" s="84">
        <f>+IFERROR(J23/D23,"")</f>
        <v>0.20961098839178127</v>
      </c>
      <c r="Q23" s="84">
        <f>+IFERROR(K23/E23,"")</f>
        <v>0.24876162362353899</v>
      </c>
      <c r="R23" s="84">
        <f>+IFERROR(L23/F23,"")</f>
        <v>0.23528809249173782</v>
      </c>
      <c r="S23" s="84">
        <f>+IFERROR(M23/G23,"")</f>
        <v>0.26853098214687393</v>
      </c>
      <c r="T23" s="84" t="str">
        <f>+IFERROR(#REF!/#REF!,"")</f>
        <v/>
      </c>
      <c r="U23" s="84" t="str">
        <f>+IFERROR(#REF!/#REF!,"")</f>
        <v/>
      </c>
      <c r="V23" s="84" t="str">
        <f>+IFERROR(#REF!/#REF!,"")</f>
        <v/>
      </c>
      <c r="W23" s="84" t="str">
        <f>+IFERROR(#REF!/#REF!,"")</f>
        <v/>
      </c>
      <c r="X23" s="84" t="str">
        <f>+IFERROR(#REF!/#REF!,"")</f>
        <v/>
      </c>
      <c r="Y23" s="84" t="str">
        <f>+IFERROR(#REF!/#REF!,"")</f>
        <v/>
      </c>
      <c r="Z23" s="84" t="str">
        <f>+IFERROR(#REF!/#REF!,"")</f>
        <v/>
      </c>
      <c r="AA23" s="84" t="str">
        <f>+IFERROR(#REF!/#REF!,"")</f>
        <v/>
      </c>
      <c r="AB23" s="84">
        <f>+IFERROR(N23/H23,"")</f>
        <v>0.23327195985033877</v>
      </c>
      <c r="AD23" s="139">
        <f t="shared" si="0"/>
        <v>3.9150635231757713E-2</v>
      </c>
      <c r="AE23" s="139">
        <f t="shared" si="0"/>
        <v>-1.3473531131801164E-2</v>
      </c>
      <c r="AF23" s="139">
        <f t="shared" si="0"/>
        <v>3.324288965513611E-2</v>
      </c>
      <c r="AG23" s="139" t="str">
        <f t="shared" si="0"/>
        <v/>
      </c>
      <c r="AH23" s="139" t="str">
        <f t="shared" si="0"/>
        <v/>
      </c>
      <c r="AI23" s="139" t="str">
        <f t="shared" si="0"/>
        <v/>
      </c>
      <c r="AJ23" s="139" t="str">
        <f t="shared" si="0"/>
        <v/>
      </c>
      <c r="AK23" s="139" t="str">
        <f t="shared" si="0"/>
        <v/>
      </c>
      <c r="AL23" s="139" t="str">
        <f t="shared" si="0"/>
        <v/>
      </c>
      <c r="AM23" s="139" t="str">
        <f t="shared" si="0"/>
        <v/>
      </c>
      <c r="AN23" s="139" t="str">
        <f t="shared" si="0"/>
        <v/>
      </c>
      <c r="AP23" s="82">
        <f t="shared" si="1"/>
        <v>7.9649713090067797E-3</v>
      </c>
      <c r="AQ23" s="82">
        <f t="shared" si="2"/>
        <v>0.62302581366576049</v>
      </c>
    </row>
    <row r="24" spans="2:43" x14ac:dyDescent="0.35">
      <c r="B24" s="83" t="s">
        <v>106</v>
      </c>
      <c r="D24" s="137">
        <v>18601849</v>
      </c>
      <c r="E24" s="137">
        <v>17928684</v>
      </c>
      <c r="F24" s="137">
        <v>19133468</v>
      </c>
      <c r="G24" s="137">
        <v>2076356</v>
      </c>
      <c r="H24" s="137">
        <f>+SUM(D24:G24)</f>
        <v>57740357</v>
      </c>
      <c r="J24" s="137">
        <v>2246074</v>
      </c>
      <c r="K24" s="137">
        <v>1930031</v>
      </c>
      <c r="L24" s="137">
        <v>2502149</v>
      </c>
      <c r="M24" s="137">
        <v>311164</v>
      </c>
      <c r="N24" s="137">
        <f>+SUM(J24:M24)</f>
        <v>6989418</v>
      </c>
      <c r="P24" s="84">
        <f>+IFERROR(J24/D24,"")</f>
        <v>0.12074466360844022</v>
      </c>
      <c r="Q24" s="84">
        <f>+IFERROR(K24/E24,"")</f>
        <v>0.10765045554933089</v>
      </c>
      <c r="R24" s="84">
        <f>+IFERROR(L24/F24,"")</f>
        <v>0.13077341755294963</v>
      </c>
      <c r="S24" s="84">
        <f>+IFERROR(M24/G24,"")</f>
        <v>0.14986062120368568</v>
      </c>
      <c r="T24" s="84" t="str">
        <f>+IFERROR(#REF!/#REF!,"")</f>
        <v/>
      </c>
      <c r="U24" s="84" t="str">
        <f>+IFERROR(#REF!/#REF!,"")</f>
        <v/>
      </c>
      <c r="V24" s="84" t="str">
        <f>+IFERROR(#REF!/#REF!,"")</f>
        <v/>
      </c>
      <c r="W24" s="84" t="str">
        <f>+IFERROR(#REF!/#REF!,"")</f>
        <v/>
      </c>
      <c r="X24" s="84" t="str">
        <f>+IFERROR(#REF!/#REF!,"")</f>
        <v/>
      </c>
      <c r="Y24" s="84" t="str">
        <f>+IFERROR(#REF!/#REF!,"")</f>
        <v/>
      </c>
      <c r="Z24" s="84" t="str">
        <f>+IFERROR(#REF!/#REF!,"")</f>
        <v/>
      </c>
      <c r="AA24" s="84" t="str">
        <f>+IFERROR(#REF!/#REF!,"")</f>
        <v/>
      </c>
      <c r="AB24" s="84">
        <f>+IFERROR(N24/H24,"")</f>
        <v>0.12104909569575401</v>
      </c>
      <c r="AD24" s="139">
        <f t="shared" si="0"/>
        <v>-1.3094208059109325E-2</v>
      </c>
      <c r="AE24" s="139">
        <f t="shared" si="0"/>
        <v>2.3122962003618741E-2</v>
      </c>
      <c r="AF24" s="139">
        <f t="shared" si="0"/>
        <v>1.9087203650736045E-2</v>
      </c>
      <c r="AG24" s="139" t="str">
        <f t="shared" si="0"/>
        <v/>
      </c>
      <c r="AH24" s="139" t="str">
        <f t="shared" si="0"/>
        <v/>
      </c>
      <c r="AI24" s="139" t="str">
        <f t="shared" si="0"/>
        <v/>
      </c>
      <c r="AJ24" s="139" t="str">
        <f t="shared" si="0"/>
        <v/>
      </c>
      <c r="AK24" s="139" t="str">
        <f t="shared" si="0"/>
        <v/>
      </c>
      <c r="AL24" s="139" t="str">
        <f t="shared" si="0"/>
        <v/>
      </c>
      <c r="AM24" s="139" t="str">
        <f t="shared" si="0"/>
        <v/>
      </c>
      <c r="AN24" s="139" t="str">
        <f t="shared" si="0"/>
        <v/>
      </c>
      <c r="AP24" s="82">
        <f t="shared" si="1"/>
        <v>8.3736011291630792E-3</v>
      </c>
      <c r="AQ24" s="82">
        <f t="shared" si="2"/>
        <v>0.63139941479492356</v>
      </c>
    </row>
    <row r="25" spans="2:43" x14ac:dyDescent="0.35">
      <c r="B25" s="83" t="s">
        <v>107</v>
      </c>
      <c r="D25" s="137">
        <v>4235724</v>
      </c>
      <c r="E25" s="137">
        <v>3952499</v>
      </c>
      <c r="F25" s="137">
        <v>4257135</v>
      </c>
      <c r="G25" s="137">
        <v>714563</v>
      </c>
      <c r="H25" s="137">
        <f>+SUM(D25:G25)</f>
        <v>13159921</v>
      </c>
      <c r="J25" s="137">
        <v>958464</v>
      </c>
      <c r="K25" s="137">
        <v>944994</v>
      </c>
      <c r="L25" s="137">
        <v>1096648</v>
      </c>
      <c r="M25" s="137">
        <v>112518</v>
      </c>
      <c r="N25" s="137">
        <f>+SUM(J25:M25)</f>
        <v>3112624</v>
      </c>
      <c r="P25" s="84">
        <f>+IFERROR(J25/D25,"")</f>
        <v>0.22628103247520376</v>
      </c>
      <c r="Q25" s="84">
        <f>+IFERROR(K25/E25,"")</f>
        <v>0.23908772652440899</v>
      </c>
      <c r="R25" s="84">
        <f>+IFERROR(L25/F25,"")</f>
        <v>0.2576023546352183</v>
      </c>
      <c r="S25" s="84">
        <f>+IFERROR(M25/G25,"")</f>
        <v>0.15746407244707605</v>
      </c>
      <c r="T25" s="84" t="str">
        <f>+IFERROR(#REF!/#REF!,"")</f>
        <v/>
      </c>
      <c r="U25" s="84" t="str">
        <f>+IFERROR(#REF!/#REF!,"")</f>
        <v/>
      </c>
      <c r="V25" s="84" t="str">
        <f>+IFERROR(#REF!/#REF!,"")</f>
        <v/>
      </c>
      <c r="W25" s="84" t="str">
        <f>+IFERROR(#REF!/#REF!,"")</f>
        <v/>
      </c>
      <c r="X25" s="84" t="str">
        <f>+IFERROR(#REF!/#REF!,"")</f>
        <v/>
      </c>
      <c r="Y25" s="84" t="str">
        <f>+IFERROR(#REF!/#REF!,"")</f>
        <v/>
      </c>
      <c r="Z25" s="84" t="str">
        <f>+IFERROR(#REF!/#REF!,"")</f>
        <v/>
      </c>
      <c r="AA25" s="84" t="str">
        <f>+IFERROR(#REF!/#REF!,"")</f>
        <v/>
      </c>
      <c r="AB25" s="84">
        <f>+IFERROR(N25/H25,"")</f>
        <v>0.23652300040402979</v>
      </c>
      <c r="AD25" s="139">
        <f t="shared" si="0"/>
        <v>1.2806694049205231E-2</v>
      </c>
      <c r="AE25" s="139">
        <f t="shared" si="0"/>
        <v>1.8514628110809311E-2</v>
      </c>
      <c r="AF25" s="139">
        <f t="shared" si="0"/>
        <v>-0.10013828218814225</v>
      </c>
      <c r="AG25" s="139" t="str">
        <f t="shared" si="0"/>
        <v/>
      </c>
      <c r="AH25" s="139" t="str">
        <f t="shared" si="0"/>
        <v/>
      </c>
      <c r="AI25" s="139" t="str">
        <f t="shared" si="0"/>
        <v/>
      </c>
      <c r="AJ25" s="139" t="str">
        <f t="shared" si="0"/>
        <v/>
      </c>
      <c r="AK25" s="139" t="str">
        <f t="shared" si="0"/>
        <v/>
      </c>
      <c r="AL25" s="139" t="str">
        <f t="shared" si="0"/>
        <v/>
      </c>
      <c r="AM25" s="139" t="str">
        <f t="shared" si="0"/>
        <v/>
      </c>
      <c r="AN25" s="139" t="str">
        <f t="shared" si="0"/>
        <v/>
      </c>
      <c r="AP25" s="82">
        <f t="shared" si="1"/>
        <v>3.7290475174127659E-3</v>
      </c>
      <c r="AQ25" s="82">
        <f t="shared" si="2"/>
        <v>0.63512846231233633</v>
      </c>
    </row>
    <row r="26" spans="2:43" x14ac:dyDescent="0.35">
      <c r="B26" s="83" t="s">
        <v>108</v>
      </c>
      <c r="D26" s="137">
        <v>9351755</v>
      </c>
      <c r="E26" s="137">
        <v>8609082</v>
      </c>
      <c r="F26" s="137">
        <v>9825731</v>
      </c>
      <c r="G26" s="137">
        <v>1209424</v>
      </c>
      <c r="H26" s="137">
        <f>+SUM(D26:G26)</f>
        <v>28995992</v>
      </c>
      <c r="J26" s="137">
        <v>2286774</v>
      </c>
      <c r="K26" s="137">
        <v>2091300</v>
      </c>
      <c r="L26" s="137">
        <v>2328485</v>
      </c>
      <c r="M26" s="137">
        <v>318986</v>
      </c>
      <c r="N26" s="137">
        <f>+SUM(J26:M26)</f>
        <v>7025545</v>
      </c>
      <c r="P26" s="84">
        <f>+IFERROR(J26/D26,"")</f>
        <v>0.24452886116028488</v>
      </c>
      <c r="Q26" s="84">
        <f>+IFERROR(K26/E26,"")</f>
        <v>0.24291788601850928</v>
      </c>
      <c r="R26" s="84">
        <f>+IFERROR(L26/F26,"")</f>
        <v>0.23697829708547893</v>
      </c>
      <c r="S26" s="84">
        <f>+IFERROR(M26/G26,"")</f>
        <v>0.26375034727275132</v>
      </c>
      <c r="T26" s="84" t="str">
        <f>+IFERROR(#REF!/#REF!,"")</f>
        <v/>
      </c>
      <c r="U26" s="84" t="str">
        <f>+IFERROR(#REF!/#REF!,"")</f>
        <v/>
      </c>
      <c r="V26" s="84" t="str">
        <f>+IFERROR(#REF!/#REF!,"")</f>
        <v/>
      </c>
      <c r="W26" s="84" t="str">
        <f>+IFERROR(#REF!/#REF!,"")</f>
        <v/>
      </c>
      <c r="X26" s="84" t="str">
        <f>+IFERROR(#REF!/#REF!,"")</f>
        <v/>
      </c>
      <c r="Y26" s="84" t="str">
        <f>+IFERROR(#REF!/#REF!,"")</f>
        <v/>
      </c>
      <c r="Z26" s="84" t="str">
        <f>+IFERROR(#REF!/#REF!,"")</f>
        <v/>
      </c>
      <c r="AA26" s="84" t="str">
        <f>+IFERROR(#REF!/#REF!,"")</f>
        <v/>
      </c>
      <c r="AB26" s="84">
        <f>+IFERROR(N26/H26,"")</f>
        <v>0.24229365906846712</v>
      </c>
      <c r="AD26" s="139">
        <f t="shared" si="0"/>
        <v>-1.6109751417756057E-3</v>
      </c>
      <c r="AE26" s="139">
        <f t="shared" si="0"/>
        <v>-5.9395889330303431E-3</v>
      </c>
      <c r="AF26" s="139">
        <f t="shared" si="0"/>
        <v>2.6772050187272384E-2</v>
      </c>
      <c r="AG26" s="139" t="str">
        <f t="shared" si="0"/>
        <v/>
      </c>
      <c r="AH26" s="139" t="str">
        <f t="shared" si="0"/>
        <v/>
      </c>
      <c r="AI26" s="139" t="str">
        <f t="shared" si="0"/>
        <v/>
      </c>
      <c r="AJ26" s="139" t="str">
        <f t="shared" si="0"/>
        <v/>
      </c>
      <c r="AK26" s="139" t="str">
        <f t="shared" si="0"/>
        <v/>
      </c>
      <c r="AL26" s="139" t="str">
        <f t="shared" si="0"/>
        <v/>
      </c>
      <c r="AM26" s="139" t="str">
        <f t="shared" si="0"/>
        <v/>
      </c>
      <c r="AN26" s="139" t="str">
        <f t="shared" si="0"/>
        <v/>
      </c>
      <c r="AP26" s="82">
        <f t="shared" si="1"/>
        <v>8.4168827139807674E-3</v>
      </c>
      <c r="AQ26" s="82">
        <f t="shared" si="2"/>
        <v>0.64354534502631711</v>
      </c>
    </row>
    <row r="27" spans="2:43" x14ac:dyDescent="0.35">
      <c r="B27" s="83" t="s">
        <v>109</v>
      </c>
      <c r="D27" s="137">
        <v>12478342</v>
      </c>
      <c r="E27" s="137">
        <v>11014210</v>
      </c>
      <c r="F27" s="137">
        <v>12379224</v>
      </c>
      <c r="G27" s="137">
        <v>1180362</v>
      </c>
      <c r="H27" s="137">
        <f>+SUM(D27:G27)</f>
        <v>37052138</v>
      </c>
      <c r="J27" s="137">
        <v>2114629</v>
      </c>
      <c r="K27" s="137">
        <v>1819657</v>
      </c>
      <c r="L27" s="137">
        <v>2105813</v>
      </c>
      <c r="M27" s="137">
        <v>197148</v>
      </c>
      <c r="N27" s="137">
        <f>+SUM(J27:M27)</f>
        <v>6237247</v>
      </c>
      <c r="P27" s="84">
        <f>+IFERROR(J27/D27,"")</f>
        <v>0.16946394000100334</v>
      </c>
      <c r="Q27" s="84">
        <f>+IFERROR(K27/E27,"")</f>
        <v>0.16520994242891682</v>
      </c>
      <c r="R27" s="84">
        <f>+IFERROR(L27/F27,"")</f>
        <v>0.1701086433204537</v>
      </c>
      <c r="S27" s="84">
        <f>+IFERROR(M27/G27,"")</f>
        <v>0.16702333690850774</v>
      </c>
      <c r="T27" s="84" t="str">
        <f>+IFERROR(#REF!/#REF!,"")</f>
        <v/>
      </c>
      <c r="U27" s="84" t="str">
        <f>+IFERROR(#REF!/#REF!,"")</f>
        <v/>
      </c>
      <c r="V27" s="84" t="str">
        <f>+IFERROR(#REF!/#REF!,"")</f>
        <v/>
      </c>
      <c r="W27" s="84" t="str">
        <f>+IFERROR(#REF!/#REF!,"")</f>
        <v/>
      </c>
      <c r="X27" s="84" t="str">
        <f>+IFERROR(#REF!/#REF!,"")</f>
        <v/>
      </c>
      <c r="Y27" s="84" t="str">
        <f>+IFERROR(#REF!/#REF!,"")</f>
        <v/>
      </c>
      <c r="Z27" s="84" t="str">
        <f>+IFERROR(#REF!/#REF!,"")</f>
        <v/>
      </c>
      <c r="AA27" s="84" t="str">
        <f>+IFERROR(#REF!/#REF!,"")</f>
        <v/>
      </c>
      <c r="AB27" s="84">
        <f>+IFERROR(N27/H27,"")</f>
        <v>0.16833703361463245</v>
      </c>
      <c r="AD27" s="139">
        <f t="shared" si="0"/>
        <v>-4.2539975720865264E-3</v>
      </c>
      <c r="AE27" s="139">
        <f t="shared" si="0"/>
        <v>4.8987008915368779E-3</v>
      </c>
      <c r="AF27" s="139">
        <f t="shared" si="0"/>
        <v>-3.0853064119459594E-3</v>
      </c>
      <c r="AG27" s="139" t="str">
        <f t="shared" si="0"/>
        <v/>
      </c>
      <c r="AH27" s="139" t="str">
        <f t="shared" si="0"/>
        <v/>
      </c>
      <c r="AI27" s="139" t="str">
        <f t="shared" si="0"/>
        <v/>
      </c>
      <c r="AJ27" s="139" t="str">
        <f t="shared" si="0"/>
        <v/>
      </c>
      <c r="AK27" s="139" t="str">
        <f t="shared" si="0"/>
        <v/>
      </c>
      <c r="AL27" s="139" t="str">
        <f t="shared" si="0"/>
        <v/>
      </c>
      <c r="AM27" s="139" t="str">
        <f t="shared" si="0"/>
        <v/>
      </c>
      <c r="AN27" s="139" t="str">
        <f t="shared" si="0"/>
        <v/>
      </c>
      <c r="AP27" s="82">
        <f t="shared" si="1"/>
        <v>7.4724703147056063E-3</v>
      </c>
      <c r="AQ27" s="82">
        <f t="shared" si="2"/>
        <v>0.65101781534102277</v>
      </c>
    </row>
    <row r="28" spans="2:43" x14ac:dyDescent="0.35">
      <c r="B28" s="83" t="s">
        <v>110</v>
      </c>
      <c r="D28" s="137">
        <v>9647288</v>
      </c>
      <c r="E28" s="137"/>
      <c r="F28" s="137"/>
      <c r="G28" s="137"/>
      <c r="H28" s="137">
        <f>+SUM(D28:G28)</f>
        <v>9647288</v>
      </c>
      <c r="J28" s="137">
        <v>1691122</v>
      </c>
      <c r="K28" s="137"/>
      <c r="L28" s="137"/>
      <c r="M28" s="137"/>
      <c r="N28" s="137">
        <f>+SUM(J28:M28)</f>
        <v>1691122</v>
      </c>
      <c r="P28" s="84">
        <f>+IFERROR(J28/D28,"")</f>
        <v>0.17529506738059442</v>
      </c>
      <c r="Q28" s="84" t="str">
        <f>+IFERROR(K28/E28,"")</f>
        <v/>
      </c>
      <c r="R28" s="84" t="str">
        <f>+IFERROR(L28/F28,"")</f>
        <v/>
      </c>
      <c r="S28" s="84" t="str">
        <f>+IFERROR(M28/G28,"")</f>
        <v/>
      </c>
      <c r="T28" s="84" t="str">
        <f>+IFERROR(#REF!/#REF!,"")</f>
        <v/>
      </c>
      <c r="U28" s="84" t="str">
        <f>+IFERROR(#REF!/#REF!,"")</f>
        <v/>
      </c>
      <c r="V28" s="84" t="str">
        <f>+IFERROR(#REF!/#REF!,"")</f>
        <v/>
      </c>
      <c r="W28" s="84" t="str">
        <f>+IFERROR(#REF!/#REF!,"")</f>
        <v/>
      </c>
      <c r="X28" s="84" t="str">
        <f>+IFERROR(#REF!/#REF!,"")</f>
        <v/>
      </c>
      <c r="Y28" s="84" t="str">
        <f>+IFERROR(#REF!/#REF!,"")</f>
        <v/>
      </c>
      <c r="Z28" s="84" t="str">
        <f>+IFERROR(#REF!/#REF!,"")</f>
        <v/>
      </c>
      <c r="AA28" s="84" t="str">
        <f>+IFERROR(#REF!/#REF!,"")</f>
        <v/>
      </c>
      <c r="AB28" s="84">
        <f>+IFERROR(N28/H28,"")</f>
        <v>0.17529506738059442</v>
      </c>
      <c r="AD28" s="139" t="str">
        <f t="shared" si="0"/>
        <v/>
      </c>
      <c r="AE28" s="139" t="str">
        <f t="shared" si="0"/>
        <v/>
      </c>
      <c r="AF28" s="139" t="str">
        <f t="shared" ref="AF28:AN56" si="3">+IFERROR(S28-R28,"")</f>
        <v/>
      </c>
      <c r="AG28" s="139" t="str">
        <f t="shared" si="3"/>
        <v/>
      </c>
      <c r="AH28" s="139" t="str">
        <f t="shared" si="3"/>
        <v/>
      </c>
      <c r="AI28" s="139" t="str">
        <f t="shared" si="3"/>
        <v/>
      </c>
      <c r="AJ28" s="139" t="str">
        <f t="shared" si="3"/>
        <v/>
      </c>
      <c r="AK28" s="139" t="str">
        <f t="shared" si="3"/>
        <v/>
      </c>
      <c r="AL28" s="139" t="str">
        <f t="shared" si="3"/>
        <v/>
      </c>
      <c r="AM28" s="139" t="str">
        <f t="shared" si="3"/>
        <v/>
      </c>
      <c r="AN28" s="139" t="str">
        <f t="shared" si="3"/>
        <v/>
      </c>
      <c r="AP28" s="82">
        <f t="shared" si="1"/>
        <v>2.0260315077382015E-3</v>
      </c>
      <c r="AQ28" s="82">
        <f t="shared" si="2"/>
        <v>0.65304384684876093</v>
      </c>
    </row>
    <row r="29" spans="2:43" x14ac:dyDescent="0.35">
      <c r="B29" s="83" t="s">
        <v>111</v>
      </c>
      <c r="D29" s="137">
        <v>1159782</v>
      </c>
      <c r="E29" s="137">
        <v>1138481</v>
      </c>
      <c r="F29" s="137">
        <v>1483011</v>
      </c>
      <c r="G29" s="137">
        <v>149157</v>
      </c>
      <c r="H29" s="137">
        <f>+SUM(D29:G29)</f>
        <v>3930431</v>
      </c>
      <c r="J29" s="137">
        <v>265052</v>
      </c>
      <c r="K29" s="137">
        <v>245988</v>
      </c>
      <c r="L29" s="137">
        <v>524609</v>
      </c>
      <c r="M29" s="137">
        <v>66868</v>
      </c>
      <c r="N29" s="137">
        <f>+SUM(J29:M29)</f>
        <v>1102517</v>
      </c>
      <c r="P29" s="84">
        <f>+IFERROR(J29/D29,"")</f>
        <v>0.22853605246503222</v>
      </c>
      <c r="Q29" s="84">
        <f>+IFERROR(K29/E29,"")</f>
        <v>0.21606684696538633</v>
      </c>
      <c r="R29" s="84">
        <f>+IFERROR(L29/F29,"")</f>
        <v>0.35374585893159255</v>
      </c>
      <c r="S29" s="84">
        <f>+IFERROR(M29/G29,"")</f>
        <v>0.44830614721400941</v>
      </c>
      <c r="T29" s="84" t="str">
        <f>+IFERROR(#REF!/#REF!,"")</f>
        <v/>
      </c>
      <c r="U29" s="84" t="str">
        <f>+IFERROR(#REF!/#REF!,"")</f>
        <v/>
      </c>
      <c r="V29" s="84" t="str">
        <f>+IFERROR(#REF!/#REF!,"")</f>
        <v/>
      </c>
      <c r="W29" s="84" t="str">
        <f>+IFERROR(#REF!/#REF!,"")</f>
        <v/>
      </c>
      <c r="X29" s="84" t="str">
        <f>+IFERROR(#REF!/#REF!,"")</f>
        <v/>
      </c>
      <c r="Y29" s="84" t="str">
        <f>+IFERROR(#REF!/#REF!,"")</f>
        <v/>
      </c>
      <c r="Z29" s="84" t="str">
        <f>+IFERROR(#REF!/#REF!,"")</f>
        <v/>
      </c>
      <c r="AA29" s="84" t="str">
        <f>+IFERROR(#REF!/#REF!,"")</f>
        <v/>
      </c>
      <c r="AB29" s="84">
        <f>+IFERROR(N29/H29,"")</f>
        <v>0.2805079137631471</v>
      </c>
      <c r="AD29" s="139">
        <f t="shared" ref="AD29:AH60" si="4">+IFERROR(Q29-P29,"")</f>
        <v>-1.2469205499645891E-2</v>
      </c>
      <c r="AE29" s="139">
        <f t="shared" si="4"/>
        <v>0.13767901196620622</v>
      </c>
      <c r="AF29" s="139">
        <f t="shared" si="3"/>
        <v>9.456028828241686E-2</v>
      </c>
      <c r="AG29" s="139" t="str">
        <f t="shared" si="3"/>
        <v/>
      </c>
      <c r="AH29" s="139" t="str">
        <f t="shared" si="3"/>
        <v/>
      </c>
      <c r="AI29" s="139" t="str">
        <f t="shared" si="3"/>
        <v/>
      </c>
      <c r="AJ29" s="139" t="str">
        <f t="shared" si="3"/>
        <v/>
      </c>
      <c r="AK29" s="139" t="str">
        <f t="shared" si="3"/>
        <v/>
      </c>
      <c r="AL29" s="139" t="str">
        <f t="shared" si="3"/>
        <v/>
      </c>
      <c r="AM29" s="139" t="str">
        <f t="shared" si="3"/>
        <v/>
      </c>
      <c r="AN29" s="139" t="str">
        <f t="shared" si="3"/>
        <v/>
      </c>
      <c r="AP29" s="82">
        <f t="shared" si="1"/>
        <v>1.3208592755679358E-3</v>
      </c>
      <c r="AQ29" s="82">
        <f t="shared" si="2"/>
        <v>0.65436470612432884</v>
      </c>
    </row>
    <row r="30" spans="2:43" x14ac:dyDescent="0.35">
      <c r="B30" s="83" t="s">
        <v>112</v>
      </c>
      <c r="D30" s="137">
        <v>9016427</v>
      </c>
      <c r="E30" s="137">
        <v>8774382</v>
      </c>
      <c r="F30" s="137">
        <v>9834394</v>
      </c>
      <c r="G30" s="137">
        <v>1247851</v>
      </c>
      <c r="H30" s="137">
        <f>+SUM(D30:G30)</f>
        <v>28873054</v>
      </c>
      <c r="J30" s="137">
        <v>1468391</v>
      </c>
      <c r="K30" s="137">
        <v>1448560</v>
      </c>
      <c r="L30" s="137">
        <v>1592636</v>
      </c>
      <c r="M30" s="137">
        <v>194304</v>
      </c>
      <c r="N30" s="137">
        <f>+SUM(J30:M30)</f>
        <v>4703891</v>
      </c>
      <c r="P30" s="84">
        <f>+IFERROR(J30/D30,"")</f>
        <v>0.16285730478381291</v>
      </c>
      <c r="Q30" s="84">
        <f>+IFERROR(K30/E30,"")</f>
        <v>0.16508968950747757</v>
      </c>
      <c r="R30" s="84">
        <f>+IFERROR(L30/F30,"")</f>
        <v>0.16194551489395279</v>
      </c>
      <c r="S30" s="84">
        <f>+IFERROR(M30/G30,"")</f>
        <v>0.15571089817614442</v>
      </c>
      <c r="T30" s="84" t="str">
        <f>+IFERROR(#REF!/#REF!,"")</f>
        <v/>
      </c>
      <c r="U30" s="84" t="str">
        <f>+IFERROR(#REF!/#REF!,"")</f>
        <v/>
      </c>
      <c r="V30" s="84" t="str">
        <f>+IFERROR(#REF!/#REF!,"")</f>
        <v/>
      </c>
      <c r="W30" s="84" t="str">
        <f>+IFERROR(#REF!/#REF!,"")</f>
        <v/>
      </c>
      <c r="X30" s="84" t="str">
        <f>+IFERROR(#REF!/#REF!,"")</f>
        <v/>
      </c>
      <c r="Y30" s="84" t="str">
        <f>+IFERROR(#REF!/#REF!,"")</f>
        <v/>
      </c>
      <c r="Z30" s="84" t="str">
        <f>+IFERROR(#REF!/#REF!,"")</f>
        <v/>
      </c>
      <c r="AA30" s="84" t="str">
        <f>+IFERROR(#REF!/#REF!,"")</f>
        <v/>
      </c>
      <c r="AB30" s="84">
        <f>+IFERROR(N30/H30,"")</f>
        <v>0.16291629558826717</v>
      </c>
      <c r="AD30" s="139">
        <f t="shared" si="4"/>
        <v>2.2323847236646599E-3</v>
      </c>
      <c r="AE30" s="139">
        <f t="shared" si="4"/>
        <v>-3.1441746135247861E-3</v>
      </c>
      <c r="AF30" s="139">
        <f t="shared" si="3"/>
        <v>-6.2346167178083667E-3</v>
      </c>
      <c r="AG30" s="139" t="str">
        <f t="shared" si="3"/>
        <v/>
      </c>
      <c r="AH30" s="139" t="str">
        <f t="shared" si="3"/>
        <v/>
      </c>
      <c r="AI30" s="139" t="str">
        <f t="shared" si="3"/>
        <v/>
      </c>
      <c r="AJ30" s="139" t="str">
        <f t="shared" si="3"/>
        <v/>
      </c>
      <c r="AK30" s="139" t="str">
        <f t="shared" si="3"/>
        <v/>
      </c>
      <c r="AL30" s="139" t="str">
        <f t="shared" si="3"/>
        <v/>
      </c>
      <c r="AM30" s="139" t="str">
        <f t="shared" si="3"/>
        <v/>
      </c>
      <c r="AN30" s="139" t="str">
        <f t="shared" si="3"/>
        <v/>
      </c>
      <c r="AP30" s="82">
        <f t="shared" si="1"/>
        <v>5.6354487582599934E-3</v>
      </c>
      <c r="AQ30" s="82">
        <f t="shared" si="2"/>
        <v>0.66000015488258879</v>
      </c>
    </row>
    <row r="31" spans="2:43" x14ac:dyDescent="0.35">
      <c r="B31" s="83" t="s">
        <v>113</v>
      </c>
      <c r="D31" s="137">
        <v>22215252</v>
      </c>
      <c r="E31" s="137">
        <v>25929673</v>
      </c>
      <c r="F31" s="137">
        <v>29102748</v>
      </c>
      <c r="G31" s="137">
        <v>2420230</v>
      </c>
      <c r="H31" s="137">
        <f>+SUM(D31:G31)</f>
        <v>79667903</v>
      </c>
      <c r="J31" s="137">
        <v>3033338</v>
      </c>
      <c r="K31" s="137">
        <v>2883407</v>
      </c>
      <c r="L31" s="137">
        <v>2679303</v>
      </c>
      <c r="M31" s="137">
        <v>359022</v>
      </c>
      <c r="N31" s="137">
        <f>+SUM(J31:M31)</f>
        <v>8955070</v>
      </c>
      <c r="P31" s="84">
        <f>+IFERROR(J31/D31,"")</f>
        <v>0.13654303808932711</v>
      </c>
      <c r="Q31" s="84">
        <f>+IFERROR(K31/E31,"")</f>
        <v>0.11120105525434124</v>
      </c>
      <c r="R31" s="84">
        <f>+IFERROR(L31/F31,"")</f>
        <v>9.2063574202683546E-2</v>
      </c>
      <c r="S31" s="84">
        <f>+IFERROR(M31/G31,"")</f>
        <v>0.14834209971779541</v>
      </c>
      <c r="T31" s="84" t="str">
        <f>+IFERROR(#REF!/#REF!,"")</f>
        <v/>
      </c>
      <c r="U31" s="84" t="str">
        <f>+IFERROR(#REF!/#REF!,"")</f>
        <v/>
      </c>
      <c r="V31" s="84" t="str">
        <f>+IFERROR(#REF!/#REF!,"")</f>
        <v/>
      </c>
      <c r="W31" s="84" t="str">
        <f>+IFERROR(#REF!/#REF!,"")</f>
        <v/>
      </c>
      <c r="X31" s="84" t="str">
        <f>+IFERROR(#REF!/#REF!,"")</f>
        <v/>
      </c>
      <c r="Y31" s="84" t="str">
        <f>+IFERROR(#REF!/#REF!,"")</f>
        <v/>
      </c>
      <c r="Z31" s="84" t="str">
        <f>+IFERROR(#REF!/#REF!,"")</f>
        <v/>
      </c>
      <c r="AA31" s="84" t="str">
        <f>+IFERROR(#REF!/#REF!,"")</f>
        <v/>
      </c>
      <c r="AB31" s="84">
        <f>+IFERROR(N31/H31,"")</f>
        <v>0.11240499200788553</v>
      </c>
      <c r="AD31" s="139">
        <f t="shared" si="4"/>
        <v>-2.5341982834985871E-2</v>
      </c>
      <c r="AE31" s="139">
        <f t="shared" si="4"/>
        <v>-1.913748105165769E-2</v>
      </c>
      <c r="AF31" s="139">
        <f t="shared" si="3"/>
        <v>5.6278525515111866E-2</v>
      </c>
      <c r="AG31" s="139" t="str">
        <f t="shared" si="3"/>
        <v/>
      </c>
      <c r="AH31" s="139" t="str">
        <f t="shared" si="3"/>
        <v/>
      </c>
      <c r="AI31" s="139" t="str">
        <f t="shared" si="3"/>
        <v/>
      </c>
      <c r="AJ31" s="139" t="str">
        <f t="shared" si="3"/>
        <v/>
      </c>
      <c r="AK31" s="139" t="str">
        <f t="shared" si="3"/>
        <v/>
      </c>
      <c r="AL31" s="139" t="str">
        <f t="shared" si="3"/>
        <v/>
      </c>
      <c r="AM31" s="139" t="str">
        <f t="shared" si="3"/>
        <v/>
      </c>
      <c r="AN31" s="139" t="str">
        <f t="shared" si="3"/>
        <v/>
      </c>
      <c r="AP31" s="82">
        <f t="shared" si="1"/>
        <v>1.072853051051381E-2</v>
      </c>
      <c r="AQ31" s="82">
        <f t="shared" si="2"/>
        <v>0.6707286853931026</v>
      </c>
    </row>
    <row r="32" spans="2:43" x14ac:dyDescent="0.35">
      <c r="B32" s="83" t="s">
        <v>114</v>
      </c>
      <c r="D32" s="137">
        <v>1113153</v>
      </c>
      <c r="E32" s="137">
        <v>1099169</v>
      </c>
      <c r="F32" s="137">
        <v>1385540</v>
      </c>
      <c r="G32" s="137">
        <v>103535</v>
      </c>
      <c r="H32" s="137">
        <f>+SUM(D32:G32)</f>
        <v>3701397</v>
      </c>
      <c r="J32" s="137">
        <v>196730</v>
      </c>
      <c r="K32" s="137">
        <v>202677</v>
      </c>
      <c r="L32" s="137">
        <v>300604</v>
      </c>
      <c r="M32" s="137">
        <v>39298</v>
      </c>
      <c r="N32" s="137">
        <f>+SUM(J32:M32)</f>
        <v>739309</v>
      </c>
      <c r="P32" s="84">
        <f>+IFERROR(J32/D32,"")</f>
        <v>0.17673221920077473</v>
      </c>
      <c r="Q32" s="84">
        <f>+IFERROR(K32/E32,"")</f>
        <v>0.18439111728951599</v>
      </c>
      <c r="R32" s="84">
        <f>+IFERROR(L32/F32,"")</f>
        <v>0.21695800915166649</v>
      </c>
      <c r="S32" s="84">
        <f>+IFERROR(M32/G32,"")</f>
        <v>0.37956246679866712</v>
      </c>
      <c r="T32" s="84" t="str">
        <f>+IFERROR(#REF!/#REF!,"")</f>
        <v/>
      </c>
      <c r="U32" s="84" t="str">
        <f>+IFERROR(#REF!/#REF!,"")</f>
        <v/>
      </c>
      <c r="V32" s="84" t="str">
        <f>+IFERROR(#REF!/#REF!,"")</f>
        <v/>
      </c>
      <c r="W32" s="84" t="str">
        <f>+IFERROR(#REF!/#REF!,"")</f>
        <v/>
      </c>
      <c r="X32" s="84" t="str">
        <f>+IFERROR(#REF!/#REF!,"")</f>
        <v/>
      </c>
      <c r="Y32" s="84" t="str">
        <f>+IFERROR(#REF!/#REF!,"")</f>
        <v/>
      </c>
      <c r="Z32" s="84" t="str">
        <f>+IFERROR(#REF!/#REF!,"")</f>
        <v/>
      </c>
      <c r="AA32" s="84" t="str">
        <f>+IFERROR(#REF!/#REF!,"")</f>
        <v/>
      </c>
      <c r="AB32" s="84">
        <f>+IFERROR(N32/H32,"")</f>
        <v>0.1997378287171033</v>
      </c>
      <c r="AD32" s="139">
        <f t="shared" si="4"/>
        <v>7.6588980887412617E-3</v>
      </c>
      <c r="AE32" s="139">
        <f t="shared" si="4"/>
        <v>3.2566891862150504E-2</v>
      </c>
      <c r="AF32" s="139">
        <f t="shared" si="3"/>
        <v>0.16260445764700063</v>
      </c>
      <c r="AG32" s="139" t="str">
        <f t="shared" si="3"/>
        <v/>
      </c>
      <c r="AH32" s="139" t="str">
        <f t="shared" si="3"/>
        <v/>
      </c>
      <c r="AI32" s="139" t="str">
        <f t="shared" si="3"/>
        <v/>
      </c>
      <c r="AJ32" s="139" t="str">
        <f t="shared" si="3"/>
        <v/>
      </c>
      <c r="AK32" s="139" t="str">
        <f t="shared" si="3"/>
        <v/>
      </c>
      <c r="AL32" s="139" t="str">
        <f t="shared" si="3"/>
        <v/>
      </c>
      <c r="AM32" s="139" t="str">
        <f t="shared" si="3"/>
        <v/>
      </c>
      <c r="AN32" s="139" t="str">
        <f t="shared" si="3"/>
        <v/>
      </c>
      <c r="AP32" s="82">
        <f t="shared" si="1"/>
        <v>8.8572162620699274E-4</v>
      </c>
      <c r="AQ32" s="82">
        <f t="shared" si="2"/>
        <v>0.67161440701930963</v>
      </c>
    </row>
    <row r="33" spans="2:43" x14ac:dyDescent="0.35">
      <c r="B33" s="83" t="s">
        <v>115</v>
      </c>
      <c r="D33" s="137">
        <v>5600896</v>
      </c>
      <c r="E33" s="137">
        <v>4752845</v>
      </c>
      <c r="F33" s="137">
        <v>5177079</v>
      </c>
      <c r="G33" s="137">
        <v>823307</v>
      </c>
      <c r="H33" s="137">
        <f>+SUM(D33:G33)</f>
        <v>16354127</v>
      </c>
      <c r="J33" s="137">
        <v>1009498</v>
      </c>
      <c r="K33" s="137">
        <v>965043</v>
      </c>
      <c r="L33" s="137">
        <v>937199</v>
      </c>
      <c r="M33" s="137">
        <v>124665</v>
      </c>
      <c r="N33" s="137">
        <f>+SUM(J33:M33)</f>
        <v>3036405</v>
      </c>
      <c r="P33" s="84">
        <f>+IFERROR(J33/D33,"")</f>
        <v>0.18023866181410975</v>
      </c>
      <c r="Q33" s="84">
        <f>+IFERROR(K33/E33,"")</f>
        <v>0.20304533390001148</v>
      </c>
      <c r="R33" s="84">
        <f>+IFERROR(L33/F33,"")</f>
        <v>0.18102852979450382</v>
      </c>
      <c r="S33" s="84">
        <f>+IFERROR(M33/G33,"")</f>
        <v>0.15141982273926979</v>
      </c>
      <c r="T33" s="84" t="str">
        <f>+IFERROR(#REF!/#REF!,"")</f>
        <v/>
      </c>
      <c r="U33" s="84" t="str">
        <f>+IFERROR(#REF!/#REF!,"")</f>
        <v/>
      </c>
      <c r="V33" s="84" t="str">
        <f>+IFERROR(#REF!/#REF!,"")</f>
        <v/>
      </c>
      <c r="W33" s="84" t="str">
        <f>+IFERROR(#REF!/#REF!,"")</f>
        <v/>
      </c>
      <c r="X33" s="84" t="str">
        <f>+IFERROR(#REF!/#REF!,"")</f>
        <v/>
      </c>
      <c r="Y33" s="84" t="str">
        <f>+IFERROR(#REF!/#REF!,"")</f>
        <v/>
      </c>
      <c r="Z33" s="84" t="str">
        <f>+IFERROR(#REF!/#REF!,"")</f>
        <v/>
      </c>
      <c r="AA33" s="84" t="str">
        <f>+IFERROR(#REF!/#REF!,"")</f>
        <v/>
      </c>
      <c r="AB33" s="84">
        <f>+IFERROR(N33/H33,"")</f>
        <v>0.18566597899111337</v>
      </c>
      <c r="AD33" s="139">
        <f t="shared" si="4"/>
        <v>2.280667208590173E-2</v>
      </c>
      <c r="AE33" s="139">
        <f t="shared" si="4"/>
        <v>-2.2016804105507659E-2</v>
      </c>
      <c r="AF33" s="139">
        <f t="shared" si="3"/>
        <v>-2.9608707055234024E-2</v>
      </c>
      <c r="AG33" s="139" t="str">
        <f t="shared" si="3"/>
        <v/>
      </c>
      <c r="AH33" s="139" t="str">
        <f t="shared" si="3"/>
        <v/>
      </c>
      <c r="AI33" s="139" t="str">
        <f t="shared" si="3"/>
        <v/>
      </c>
      <c r="AJ33" s="139" t="str">
        <f t="shared" si="3"/>
        <v/>
      </c>
      <c r="AK33" s="139" t="str">
        <f t="shared" si="3"/>
        <v/>
      </c>
      <c r="AL33" s="139" t="str">
        <f t="shared" si="3"/>
        <v/>
      </c>
      <c r="AM33" s="139" t="str">
        <f t="shared" si="3"/>
        <v/>
      </c>
      <c r="AN33" s="139" t="str">
        <f t="shared" si="3"/>
        <v/>
      </c>
      <c r="AP33" s="82">
        <f t="shared" si="1"/>
        <v>3.6377341198646899E-3</v>
      </c>
      <c r="AQ33" s="82">
        <f t="shared" si="2"/>
        <v>0.67525214113917431</v>
      </c>
    </row>
    <row r="34" spans="2:43" x14ac:dyDescent="0.35">
      <c r="B34" s="83" t="s">
        <v>116</v>
      </c>
      <c r="D34" s="137">
        <v>7427920</v>
      </c>
      <c r="E34" s="137">
        <v>6728802</v>
      </c>
      <c r="F34" s="137">
        <v>7463989</v>
      </c>
      <c r="G34" s="137">
        <v>1618177</v>
      </c>
      <c r="H34" s="137">
        <f>+SUM(D34:G34)</f>
        <v>23238888</v>
      </c>
      <c r="J34" s="137">
        <v>1177725</v>
      </c>
      <c r="K34" s="137">
        <v>1054491</v>
      </c>
      <c r="L34" s="137">
        <v>1168884</v>
      </c>
      <c r="M34" s="137">
        <v>249775</v>
      </c>
      <c r="N34" s="137">
        <f>+SUM(J34:M34)</f>
        <v>3650875</v>
      </c>
      <c r="P34" s="84">
        <f>+IFERROR(J34/D34,"")</f>
        <v>0.15855380779545283</v>
      </c>
      <c r="Q34" s="84">
        <f>+IFERROR(K34/E34,"")</f>
        <v>0.15671303747680493</v>
      </c>
      <c r="R34" s="84">
        <f>+IFERROR(L34/F34,"")</f>
        <v>0.15660312468306156</v>
      </c>
      <c r="S34" s="84">
        <f>+IFERROR(M34/G34,"")</f>
        <v>0.15435579667737212</v>
      </c>
      <c r="T34" s="84" t="str">
        <f>+IFERROR(#REF!/#REF!,"")</f>
        <v/>
      </c>
      <c r="U34" s="84" t="str">
        <f>+IFERROR(#REF!/#REF!,"")</f>
        <v/>
      </c>
      <c r="V34" s="84" t="str">
        <f>+IFERROR(#REF!/#REF!,"")</f>
        <v/>
      </c>
      <c r="W34" s="84" t="str">
        <f>+IFERROR(#REF!/#REF!,"")</f>
        <v/>
      </c>
      <c r="X34" s="84" t="str">
        <f>+IFERROR(#REF!/#REF!,"")</f>
        <v/>
      </c>
      <c r="Y34" s="84" t="str">
        <f>+IFERROR(#REF!/#REF!,"")</f>
        <v/>
      </c>
      <c r="Z34" s="84" t="str">
        <f>+IFERROR(#REF!/#REF!,"")</f>
        <v/>
      </c>
      <c r="AA34" s="84" t="str">
        <f>+IFERROR(#REF!/#REF!,"")</f>
        <v/>
      </c>
      <c r="AB34" s="84">
        <f>+IFERROR(N34/H34,"")</f>
        <v>0.15710196632472259</v>
      </c>
      <c r="AD34" s="139">
        <f t="shared" si="4"/>
        <v>-1.8407703186479052E-3</v>
      </c>
      <c r="AE34" s="139">
        <f t="shared" si="4"/>
        <v>-1.0991279374336638E-4</v>
      </c>
      <c r="AF34" s="139">
        <f t="shared" si="3"/>
        <v>-2.2473280056894418E-3</v>
      </c>
      <c r="AG34" s="139" t="str">
        <f t="shared" si="3"/>
        <v/>
      </c>
      <c r="AH34" s="139" t="str">
        <f t="shared" si="3"/>
        <v/>
      </c>
      <c r="AI34" s="139" t="str">
        <f t="shared" si="3"/>
        <v/>
      </c>
      <c r="AJ34" s="139" t="str">
        <f t="shared" si="3"/>
        <v/>
      </c>
      <c r="AK34" s="139" t="str">
        <f t="shared" si="3"/>
        <v/>
      </c>
      <c r="AL34" s="139" t="str">
        <f t="shared" si="3"/>
        <v/>
      </c>
      <c r="AM34" s="139" t="str">
        <f t="shared" si="3"/>
        <v/>
      </c>
      <c r="AN34" s="139" t="str">
        <f t="shared" si="3"/>
        <v/>
      </c>
      <c r="AP34" s="82">
        <f t="shared" si="1"/>
        <v>4.3738936521514745E-3</v>
      </c>
      <c r="AQ34" s="82">
        <f t="shared" si="2"/>
        <v>0.67962603479132577</v>
      </c>
    </row>
    <row r="35" spans="2:43" x14ac:dyDescent="0.35">
      <c r="B35" s="83" t="s">
        <v>117</v>
      </c>
      <c r="D35" s="137">
        <v>4680577</v>
      </c>
      <c r="E35" s="137">
        <v>4298700</v>
      </c>
      <c r="F35" s="137">
        <v>4843100</v>
      </c>
      <c r="G35" s="137">
        <v>642834</v>
      </c>
      <c r="H35" s="137">
        <f>+SUM(D35:G35)</f>
        <v>14465211</v>
      </c>
      <c r="J35" s="137">
        <v>1222256</v>
      </c>
      <c r="K35" s="137">
        <v>1058637</v>
      </c>
      <c r="L35" s="137">
        <v>1233144</v>
      </c>
      <c r="M35" s="137">
        <v>146100</v>
      </c>
      <c r="N35" s="137">
        <f>+SUM(J35:M35)</f>
        <v>3660137</v>
      </c>
      <c r="P35" s="84">
        <f>+IFERROR(J35/D35,"")</f>
        <v>0.26113361664598189</v>
      </c>
      <c r="Q35" s="84">
        <f>+IFERROR(K35/E35,"")</f>
        <v>0.24626910461302254</v>
      </c>
      <c r="R35" s="84">
        <f>+IFERROR(L35/F35,"")</f>
        <v>0.25461873593359624</v>
      </c>
      <c r="S35" s="84">
        <f>+IFERROR(M35/G35,"")</f>
        <v>0.22727484856121488</v>
      </c>
      <c r="T35" s="84" t="str">
        <f>+IFERROR(#REF!/#REF!,"")</f>
        <v/>
      </c>
      <c r="U35" s="84" t="str">
        <f>+IFERROR(#REF!/#REF!,"")</f>
        <v/>
      </c>
      <c r="V35" s="84" t="str">
        <f>+IFERROR(#REF!/#REF!,"")</f>
        <v/>
      </c>
      <c r="W35" s="84" t="str">
        <f>+IFERROR(#REF!/#REF!,"")</f>
        <v/>
      </c>
      <c r="X35" s="84" t="str">
        <f>+IFERROR(#REF!/#REF!,"")</f>
        <v/>
      </c>
      <c r="Y35" s="84" t="str">
        <f>+IFERROR(#REF!/#REF!,"")</f>
        <v/>
      </c>
      <c r="Z35" s="84" t="str">
        <f>+IFERROR(#REF!/#REF!,"")</f>
        <v/>
      </c>
      <c r="AA35" s="84" t="str">
        <f>+IFERROR(#REF!/#REF!,"")</f>
        <v/>
      </c>
      <c r="AB35" s="84">
        <f>+IFERROR(N35/H35,"")</f>
        <v>0.25303032219854932</v>
      </c>
      <c r="AD35" s="139">
        <f t="shared" si="4"/>
        <v>-1.4864512032959354E-2</v>
      </c>
      <c r="AE35" s="139">
        <f t="shared" si="4"/>
        <v>8.3496313205737027E-3</v>
      </c>
      <c r="AF35" s="139">
        <f t="shared" si="3"/>
        <v>-2.7343887372381359E-2</v>
      </c>
      <c r="AG35" s="139" t="str">
        <f t="shared" si="3"/>
        <v/>
      </c>
      <c r="AH35" s="139" t="str">
        <f t="shared" si="3"/>
        <v/>
      </c>
      <c r="AI35" s="139" t="str">
        <f t="shared" si="3"/>
        <v/>
      </c>
      <c r="AJ35" s="139" t="str">
        <f t="shared" si="3"/>
        <v/>
      </c>
      <c r="AK35" s="139" t="str">
        <f t="shared" si="3"/>
        <v/>
      </c>
      <c r="AL35" s="139" t="str">
        <f t="shared" si="3"/>
        <v/>
      </c>
      <c r="AM35" s="139" t="str">
        <f t="shared" si="3"/>
        <v/>
      </c>
      <c r="AN35" s="139" t="str">
        <f t="shared" si="3"/>
        <v/>
      </c>
      <c r="AP35" s="82">
        <f t="shared" si="1"/>
        <v>4.3849898970259853E-3</v>
      </c>
      <c r="AQ35" s="82">
        <f t="shared" si="2"/>
        <v>0.68401102468835173</v>
      </c>
    </row>
    <row r="36" spans="2:43" x14ac:dyDescent="0.35">
      <c r="B36" s="83" t="s">
        <v>118</v>
      </c>
      <c r="D36" s="137">
        <v>6626740</v>
      </c>
      <c r="E36" s="137">
        <v>6130290</v>
      </c>
      <c r="F36" s="137">
        <v>6696715</v>
      </c>
      <c r="G36" s="137">
        <v>876603</v>
      </c>
      <c r="H36" s="137">
        <f>+SUM(D36:G36)</f>
        <v>20330348</v>
      </c>
      <c r="J36" s="137">
        <v>1145757</v>
      </c>
      <c r="K36" s="137">
        <v>1025436</v>
      </c>
      <c r="L36" s="137">
        <v>1096483</v>
      </c>
      <c r="M36" s="137">
        <v>136679</v>
      </c>
      <c r="N36" s="137">
        <f>+SUM(J36:M36)</f>
        <v>3404355</v>
      </c>
      <c r="P36" s="84">
        <f>+IFERROR(J36/D36,"")</f>
        <v>0.17289904236472231</v>
      </c>
      <c r="Q36" s="84">
        <f>+IFERROR(K36/E36,"")</f>
        <v>0.16727365263307281</v>
      </c>
      <c r="R36" s="84">
        <f>+IFERROR(L36/F36,"")</f>
        <v>0.16373445786478893</v>
      </c>
      <c r="S36" s="84">
        <f>+IFERROR(M36/G36,"")</f>
        <v>0.15591892795256235</v>
      </c>
      <c r="T36" s="84" t="str">
        <f>+IFERROR(#REF!/#REF!,"")</f>
        <v/>
      </c>
      <c r="U36" s="84" t="str">
        <f>+IFERROR(#REF!/#REF!,"")</f>
        <v/>
      </c>
      <c r="V36" s="84" t="str">
        <f>+IFERROR(#REF!/#REF!,"")</f>
        <v/>
      </c>
      <c r="W36" s="84" t="str">
        <f>+IFERROR(#REF!/#REF!,"")</f>
        <v/>
      </c>
      <c r="X36" s="84" t="str">
        <f>+IFERROR(#REF!/#REF!,"")</f>
        <v/>
      </c>
      <c r="Y36" s="84" t="str">
        <f>+IFERROR(#REF!/#REF!,"")</f>
        <v/>
      </c>
      <c r="Z36" s="84" t="str">
        <f>+IFERROR(#REF!/#REF!,"")</f>
        <v/>
      </c>
      <c r="AA36" s="84" t="str">
        <f>+IFERROR(#REF!/#REF!,"")</f>
        <v/>
      </c>
      <c r="AB36" s="84">
        <f>+IFERROR(N36/H36,"")</f>
        <v>0.16745188031213237</v>
      </c>
      <c r="AD36" s="139">
        <f t="shared" si="4"/>
        <v>-5.6253897316494994E-3</v>
      </c>
      <c r="AE36" s="139">
        <f t="shared" si="4"/>
        <v>-3.5391947682838765E-3</v>
      </c>
      <c r="AF36" s="139">
        <f t="shared" si="3"/>
        <v>-7.8155299122265875E-3</v>
      </c>
      <c r="AG36" s="139" t="str">
        <f t="shared" si="3"/>
        <v/>
      </c>
      <c r="AH36" s="139" t="str">
        <f t="shared" si="3"/>
        <v/>
      </c>
      <c r="AI36" s="139" t="str">
        <f t="shared" si="3"/>
        <v/>
      </c>
      <c r="AJ36" s="139" t="str">
        <f t="shared" si="3"/>
        <v/>
      </c>
      <c r="AK36" s="139" t="str">
        <f t="shared" si="3"/>
        <v/>
      </c>
      <c r="AL36" s="139" t="str">
        <f t="shared" si="3"/>
        <v/>
      </c>
      <c r="AM36" s="139" t="str">
        <f t="shared" si="3"/>
        <v/>
      </c>
      <c r="AN36" s="139" t="str">
        <f t="shared" si="3"/>
        <v/>
      </c>
      <c r="AP36" s="82">
        <f t="shared" si="1"/>
        <v>4.0785528740836467E-3</v>
      </c>
      <c r="AQ36" s="82">
        <f t="shared" si="2"/>
        <v>0.68808957756243538</v>
      </c>
    </row>
    <row r="37" spans="2:43" x14ac:dyDescent="0.35">
      <c r="B37" s="83" t="s">
        <v>119</v>
      </c>
      <c r="D37" s="137">
        <v>29494326</v>
      </c>
      <c r="E37" s="137">
        <v>29102138</v>
      </c>
      <c r="F37" s="137">
        <v>33089035</v>
      </c>
      <c r="G37" s="137">
        <v>5962442</v>
      </c>
      <c r="H37" s="137">
        <f>+SUM(D37:G37)</f>
        <v>97647941</v>
      </c>
      <c r="J37" s="137">
        <v>4191009</v>
      </c>
      <c r="K37" s="137">
        <v>4135700</v>
      </c>
      <c r="L37" s="137">
        <v>4603253</v>
      </c>
      <c r="M37" s="137">
        <v>859446</v>
      </c>
      <c r="N37" s="137">
        <f>+SUM(J37:M37)</f>
        <v>13789408</v>
      </c>
      <c r="P37" s="84">
        <f>+IFERROR(J37/D37,"")</f>
        <v>0.14209543218583806</v>
      </c>
      <c r="Q37" s="84">
        <f>+IFERROR(K37/E37,"")</f>
        <v>0.14210983399226546</v>
      </c>
      <c r="R37" s="84">
        <f>+IFERROR(L37/F37,"")</f>
        <v>0.13911717280361907</v>
      </c>
      <c r="S37" s="84">
        <f>+IFERROR(M37/G37,"")</f>
        <v>0.14414328894100772</v>
      </c>
      <c r="T37" s="84" t="str">
        <f>+IFERROR(#REF!/#REF!,"")</f>
        <v/>
      </c>
      <c r="U37" s="84" t="str">
        <f>+IFERROR(#REF!/#REF!,"")</f>
        <v/>
      </c>
      <c r="V37" s="84" t="str">
        <f>+IFERROR(#REF!/#REF!,"")</f>
        <v/>
      </c>
      <c r="W37" s="84" t="str">
        <f>+IFERROR(#REF!/#REF!,"")</f>
        <v/>
      </c>
      <c r="X37" s="84" t="str">
        <f>+IFERROR(#REF!/#REF!,"")</f>
        <v/>
      </c>
      <c r="Y37" s="84" t="str">
        <f>+IFERROR(#REF!/#REF!,"")</f>
        <v/>
      </c>
      <c r="Z37" s="84" t="str">
        <f>+IFERROR(#REF!/#REF!,"")</f>
        <v/>
      </c>
      <c r="AA37" s="84" t="str">
        <f>+IFERROR(#REF!/#REF!,"")</f>
        <v/>
      </c>
      <c r="AB37" s="84">
        <f>+IFERROR(N37/H37,"")</f>
        <v>0.14121555312671671</v>
      </c>
      <c r="AD37" s="139">
        <f t="shared" si="4"/>
        <v>1.4401806427394304E-5</v>
      </c>
      <c r="AE37" s="139">
        <f t="shared" si="4"/>
        <v>-2.9926611886463839E-3</v>
      </c>
      <c r="AF37" s="139">
        <f t="shared" si="3"/>
        <v>5.0261161373886531E-3</v>
      </c>
      <c r="AG37" s="139" t="str">
        <f t="shared" si="3"/>
        <v/>
      </c>
      <c r="AH37" s="139" t="str">
        <f t="shared" si="3"/>
        <v/>
      </c>
      <c r="AI37" s="139" t="str">
        <f t="shared" si="3"/>
        <v/>
      </c>
      <c r="AJ37" s="139" t="str">
        <f t="shared" si="3"/>
        <v/>
      </c>
      <c r="AK37" s="139" t="str">
        <f t="shared" si="3"/>
        <v/>
      </c>
      <c r="AL37" s="139" t="str">
        <f t="shared" si="3"/>
        <v/>
      </c>
      <c r="AM37" s="139" t="str">
        <f t="shared" si="3"/>
        <v/>
      </c>
      <c r="AN37" s="139" t="str">
        <f t="shared" si="3"/>
        <v/>
      </c>
      <c r="AP37" s="82">
        <f t="shared" ref="AP37:AP68" si="5">+N37/$N$235</f>
        <v>1.652025997004191E-2</v>
      </c>
      <c r="AQ37" s="82">
        <f t="shared" si="2"/>
        <v>0.7046098375324773</v>
      </c>
    </row>
    <row r="38" spans="2:43" x14ac:dyDescent="0.35">
      <c r="B38" s="83" t="s">
        <v>120</v>
      </c>
      <c r="D38" s="137">
        <v>10809942</v>
      </c>
      <c r="E38" s="137">
        <v>9672335</v>
      </c>
      <c r="F38" s="137">
        <v>11027495</v>
      </c>
      <c r="G38" s="137">
        <v>859765</v>
      </c>
      <c r="H38" s="137">
        <f>+SUM(D38:G38)</f>
        <v>32369537</v>
      </c>
      <c r="J38" s="137">
        <v>1740067</v>
      </c>
      <c r="K38" s="137">
        <v>1491074</v>
      </c>
      <c r="L38" s="137">
        <v>1747585</v>
      </c>
      <c r="M38" s="137">
        <v>194401</v>
      </c>
      <c r="N38" s="137">
        <f>+SUM(J38:M38)</f>
        <v>5173127</v>
      </c>
      <c r="P38" s="84">
        <f>+IFERROR(J38/D38,"")</f>
        <v>0.16096913378443659</v>
      </c>
      <c r="Q38" s="84">
        <f>+IFERROR(K38/E38,"")</f>
        <v>0.15415863904631094</v>
      </c>
      <c r="R38" s="84">
        <f>+IFERROR(L38/F38,"")</f>
        <v>0.15847524755168785</v>
      </c>
      <c r="S38" s="84">
        <f>+IFERROR(M38/G38,"")</f>
        <v>0.22610946014317865</v>
      </c>
      <c r="T38" s="84" t="str">
        <f>+IFERROR(#REF!/#REF!,"")</f>
        <v/>
      </c>
      <c r="U38" s="84" t="str">
        <f>+IFERROR(#REF!/#REF!,"")</f>
        <v/>
      </c>
      <c r="V38" s="84" t="str">
        <f>+IFERROR(#REF!/#REF!,"")</f>
        <v/>
      </c>
      <c r="W38" s="84" t="str">
        <f>+IFERROR(#REF!/#REF!,"")</f>
        <v/>
      </c>
      <c r="X38" s="84" t="str">
        <f>+IFERROR(#REF!/#REF!,"")</f>
        <v/>
      </c>
      <c r="Y38" s="84" t="str">
        <f>+IFERROR(#REF!/#REF!,"")</f>
        <v/>
      </c>
      <c r="Z38" s="84" t="str">
        <f>+IFERROR(#REF!/#REF!,"")</f>
        <v/>
      </c>
      <c r="AA38" s="84" t="str">
        <f>+IFERROR(#REF!/#REF!,"")</f>
        <v/>
      </c>
      <c r="AB38" s="84">
        <f>+IFERROR(N38/H38,"")</f>
        <v>0.15981467390157605</v>
      </c>
      <c r="AD38" s="139">
        <f t="shared" si="4"/>
        <v>-6.8104947381256442E-3</v>
      </c>
      <c r="AE38" s="139">
        <f t="shared" si="4"/>
        <v>4.3166085053769065E-3</v>
      </c>
      <c r="AF38" s="139">
        <f t="shared" si="3"/>
        <v>6.76342125914908E-2</v>
      </c>
      <c r="AG38" s="139" t="str">
        <f t="shared" si="3"/>
        <v/>
      </c>
      <c r="AH38" s="139" t="str">
        <f t="shared" si="3"/>
        <v/>
      </c>
      <c r="AI38" s="139" t="str">
        <f t="shared" si="3"/>
        <v/>
      </c>
      <c r="AJ38" s="139" t="str">
        <f t="shared" si="3"/>
        <v/>
      </c>
      <c r="AK38" s="139" t="str">
        <f t="shared" si="3"/>
        <v/>
      </c>
      <c r="AL38" s="139" t="str">
        <f t="shared" si="3"/>
        <v/>
      </c>
      <c r="AM38" s="139" t="str">
        <f t="shared" si="3"/>
        <v/>
      </c>
      <c r="AN38" s="139" t="str">
        <f t="shared" si="3"/>
        <v/>
      </c>
      <c r="AP38" s="82">
        <f t="shared" si="5"/>
        <v>6.1976121743618729E-3</v>
      </c>
      <c r="AQ38" s="82">
        <f t="shared" si="2"/>
        <v>0.71080744970683918</v>
      </c>
    </row>
    <row r="39" spans="2:43" x14ac:dyDescent="0.35">
      <c r="B39" s="83" t="s">
        <v>121</v>
      </c>
      <c r="D39" s="137">
        <v>7608618</v>
      </c>
      <c r="E39" s="137">
        <v>7465366</v>
      </c>
      <c r="F39" s="137">
        <v>8725279</v>
      </c>
      <c r="G39" s="137">
        <v>1548146</v>
      </c>
      <c r="H39" s="137">
        <f>+SUM(D39:G39)</f>
        <v>25347409</v>
      </c>
      <c r="J39" s="137">
        <v>1101908</v>
      </c>
      <c r="K39" s="137">
        <v>1283700</v>
      </c>
      <c r="L39" s="137">
        <v>1286903</v>
      </c>
      <c r="M39" s="137">
        <v>172021</v>
      </c>
      <c r="N39" s="137">
        <f>+SUM(J39:M39)</f>
        <v>3844532</v>
      </c>
      <c r="P39" s="84">
        <f>+IFERROR(J39/D39,"")</f>
        <v>0.14482367231473572</v>
      </c>
      <c r="Q39" s="84">
        <f>+IFERROR(K39/E39,"")</f>
        <v>0.17195406092614884</v>
      </c>
      <c r="R39" s="84">
        <f>+IFERROR(L39/F39,"")</f>
        <v>0.14749132950361815</v>
      </c>
      <c r="S39" s="84">
        <f>+IFERROR(M39/G39,"")</f>
        <v>0.11111419723979521</v>
      </c>
      <c r="T39" s="84" t="str">
        <f>+IFERROR(#REF!/#REF!,"")</f>
        <v/>
      </c>
      <c r="U39" s="84" t="str">
        <f>+IFERROR(#REF!/#REF!,"")</f>
        <v/>
      </c>
      <c r="V39" s="84" t="str">
        <f>+IFERROR(#REF!/#REF!,"")</f>
        <v/>
      </c>
      <c r="W39" s="84" t="str">
        <f>+IFERROR(#REF!/#REF!,"")</f>
        <v/>
      </c>
      <c r="X39" s="84" t="str">
        <f>+IFERROR(#REF!/#REF!,"")</f>
        <v/>
      </c>
      <c r="Y39" s="84" t="str">
        <f>+IFERROR(#REF!/#REF!,"")</f>
        <v/>
      </c>
      <c r="Z39" s="84" t="str">
        <f>+IFERROR(#REF!/#REF!,"")</f>
        <v/>
      </c>
      <c r="AA39" s="84" t="str">
        <f>+IFERROR(#REF!/#REF!,"")</f>
        <v/>
      </c>
      <c r="AB39" s="84">
        <f>+IFERROR(N39/H39,"")</f>
        <v>0.15167356947607544</v>
      </c>
      <c r="AD39" s="139">
        <f t="shared" si="4"/>
        <v>2.713038861141312E-2</v>
      </c>
      <c r="AE39" s="139">
        <f t="shared" si="4"/>
        <v>-2.4462731422530692E-2</v>
      </c>
      <c r="AF39" s="139">
        <f t="shared" si="3"/>
        <v>-3.6377132263822942E-2</v>
      </c>
      <c r="AG39" s="139" t="str">
        <f t="shared" si="3"/>
        <v/>
      </c>
      <c r="AH39" s="139" t="str">
        <f t="shared" si="3"/>
        <v/>
      </c>
      <c r="AI39" s="139" t="str">
        <f t="shared" si="3"/>
        <v/>
      </c>
      <c r="AJ39" s="139" t="str">
        <f t="shared" si="3"/>
        <v/>
      </c>
      <c r="AK39" s="139" t="str">
        <f t="shared" si="3"/>
        <v/>
      </c>
      <c r="AL39" s="139" t="str">
        <f t="shared" si="3"/>
        <v/>
      </c>
      <c r="AM39" s="139" t="str">
        <f t="shared" si="3"/>
        <v/>
      </c>
      <c r="AN39" s="139" t="str">
        <f t="shared" si="3"/>
        <v/>
      </c>
      <c r="AP39" s="82">
        <f t="shared" si="5"/>
        <v>4.60590245086266E-3</v>
      </c>
      <c r="AQ39" s="82">
        <f t="shared" si="2"/>
        <v>0.71541335215770185</v>
      </c>
    </row>
    <row r="40" spans="2:43" x14ac:dyDescent="0.35">
      <c r="B40" s="83" t="s">
        <v>122</v>
      </c>
      <c r="D40" s="137">
        <v>6461385</v>
      </c>
      <c r="E40" s="137">
        <v>6045951</v>
      </c>
      <c r="F40" s="137">
        <v>6398201</v>
      </c>
      <c r="G40" s="137">
        <v>863152</v>
      </c>
      <c r="H40" s="137">
        <f>+SUM(D40:G40)</f>
        <v>19768689</v>
      </c>
      <c r="J40" s="137">
        <v>1216091</v>
      </c>
      <c r="K40" s="137">
        <v>1122072</v>
      </c>
      <c r="L40" s="137">
        <v>1109459</v>
      </c>
      <c r="M40" s="137">
        <v>182334</v>
      </c>
      <c r="N40" s="137">
        <f>+SUM(J40:M40)</f>
        <v>3629956</v>
      </c>
      <c r="P40" s="84">
        <f>+IFERROR(J40/D40,"")</f>
        <v>0.18820902948825988</v>
      </c>
      <c r="Q40" s="84">
        <f>+IFERROR(K40/E40,"")</f>
        <v>0.1855906539765208</v>
      </c>
      <c r="R40" s="84">
        <f>+IFERROR(L40/F40,"")</f>
        <v>0.17340171088716969</v>
      </c>
      <c r="S40" s="84">
        <f>+IFERROR(M40/G40,"")</f>
        <v>0.211242052384748</v>
      </c>
      <c r="T40" s="84" t="str">
        <f>+IFERROR(#REF!/#REF!,"")</f>
        <v/>
      </c>
      <c r="U40" s="84" t="str">
        <f>+IFERROR(#REF!/#REF!,"")</f>
        <v/>
      </c>
      <c r="V40" s="84" t="str">
        <f>+IFERROR(#REF!/#REF!,"")</f>
        <v/>
      </c>
      <c r="W40" s="84" t="str">
        <f>+IFERROR(#REF!/#REF!,"")</f>
        <v/>
      </c>
      <c r="X40" s="84" t="str">
        <f>+IFERROR(#REF!/#REF!,"")</f>
        <v/>
      </c>
      <c r="Y40" s="84" t="str">
        <f>+IFERROR(#REF!/#REF!,"")</f>
        <v/>
      </c>
      <c r="Z40" s="84" t="str">
        <f>+IFERROR(#REF!/#REF!,"")</f>
        <v/>
      </c>
      <c r="AA40" s="84" t="str">
        <f>+IFERROR(#REF!/#REF!,"")</f>
        <v/>
      </c>
      <c r="AB40" s="84">
        <f>+IFERROR(N40/H40,"")</f>
        <v>0.18362148344789075</v>
      </c>
      <c r="AD40" s="139">
        <f t="shared" si="4"/>
        <v>-2.6183755117390739E-3</v>
      </c>
      <c r="AE40" s="139">
        <f t="shared" si="4"/>
        <v>-1.2188943089351117E-2</v>
      </c>
      <c r="AF40" s="139">
        <f t="shared" si="3"/>
        <v>3.7840341497578311E-2</v>
      </c>
      <c r="AG40" s="139" t="str">
        <f t="shared" si="3"/>
        <v/>
      </c>
      <c r="AH40" s="139" t="str">
        <f t="shared" si="3"/>
        <v/>
      </c>
      <c r="AI40" s="139" t="str">
        <f t="shared" si="3"/>
        <v/>
      </c>
      <c r="AJ40" s="139" t="str">
        <f t="shared" si="3"/>
        <v/>
      </c>
      <c r="AK40" s="139" t="str">
        <f t="shared" si="3"/>
        <v/>
      </c>
      <c r="AL40" s="139" t="str">
        <f t="shared" si="3"/>
        <v/>
      </c>
      <c r="AM40" s="139" t="str">
        <f t="shared" si="3"/>
        <v/>
      </c>
      <c r="AN40" s="139" t="str">
        <f t="shared" si="3"/>
        <v/>
      </c>
      <c r="AP40" s="82">
        <f t="shared" si="5"/>
        <v>4.348831857017608E-3</v>
      </c>
      <c r="AQ40" s="82">
        <f t="shared" si="2"/>
        <v>0.71976218401471947</v>
      </c>
    </row>
    <row r="41" spans="2:43" x14ac:dyDescent="0.35">
      <c r="B41" s="83" t="s">
        <v>123</v>
      </c>
      <c r="D41" s="137">
        <v>4774438</v>
      </c>
      <c r="E41" s="137">
        <v>4118762</v>
      </c>
      <c r="F41" s="137">
        <v>4497395</v>
      </c>
      <c r="G41" s="137">
        <v>405663</v>
      </c>
      <c r="H41" s="137">
        <f>+SUM(D41:G41)</f>
        <v>13796258</v>
      </c>
      <c r="J41" s="137">
        <v>897101</v>
      </c>
      <c r="K41" s="137">
        <v>708825</v>
      </c>
      <c r="L41" s="137">
        <v>731016</v>
      </c>
      <c r="M41" s="137">
        <v>97444</v>
      </c>
      <c r="N41" s="137">
        <f>+SUM(J41:M41)</f>
        <v>2434386</v>
      </c>
      <c r="P41" s="84">
        <f>+IFERROR(J41/D41,"")</f>
        <v>0.18789666972322189</v>
      </c>
      <c r="Q41" s="84">
        <f>+IFERROR(K41/E41,"")</f>
        <v>0.17209661543929947</v>
      </c>
      <c r="R41" s="84">
        <f>+IFERROR(L41/F41,"")</f>
        <v>0.16254209381208456</v>
      </c>
      <c r="S41" s="84">
        <f>+IFERROR(M41/G41,"")</f>
        <v>0.24020923771702127</v>
      </c>
      <c r="T41" s="84" t="str">
        <f>+IFERROR(#REF!/#REF!,"")</f>
        <v/>
      </c>
      <c r="U41" s="84" t="str">
        <f>+IFERROR(#REF!/#REF!,"")</f>
        <v/>
      </c>
      <c r="V41" s="84" t="str">
        <f>+IFERROR(#REF!/#REF!,"")</f>
        <v/>
      </c>
      <c r="W41" s="84" t="str">
        <f>+IFERROR(#REF!/#REF!,"")</f>
        <v/>
      </c>
      <c r="X41" s="84" t="str">
        <f>+IFERROR(#REF!/#REF!,"")</f>
        <v/>
      </c>
      <c r="Y41" s="84" t="str">
        <f>+IFERROR(#REF!/#REF!,"")</f>
        <v/>
      </c>
      <c r="Z41" s="84" t="str">
        <f>+IFERROR(#REF!/#REF!,"")</f>
        <v/>
      </c>
      <c r="AA41" s="84" t="str">
        <f>+IFERROR(#REF!/#REF!,"")</f>
        <v/>
      </c>
      <c r="AB41" s="84">
        <f>+IFERROR(N41/H41,"")</f>
        <v>0.17645262940139275</v>
      </c>
      <c r="AD41" s="139">
        <f t="shared" si="4"/>
        <v>-1.5800054283922421E-2</v>
      </c>
      <c r="AE41" s="139">
        <f t="shared" si="4"/>
        <v>-9.5545216272149014E-3</v>
      </c>
      <c r="AF41" s="139">
        <f t="shared" si="3"/>
        <v>7.7667143904936703E-2</v>
      </c>
      <c r="AG41" s="139" t="str">
        <f t="shared" si="3"/>
        <v/>
      </c>
      <c r="AH41" s="139" t="str">
        <f t="shared" si="3"/>
        <v/>
      </c>
      <c r="AI41" s="139" t="str">
        <f t="shared" si="3"/>
        <v/>
      </c>
      <c r="AJ41" s="139" t="str">
        <f t="shared" si="3"/>
        <v/>
      </c>
      <c r="AK41" s="139" t="str">
        <f t="shared" si="3"/>
        <v/>
      </c>
      <c r="AL41" s="139" t="str">
        <f t="shared" si="3"/>
        <v/>
      </c>
      <c r="AM41" s="139" t="str">
        <f t="shared" si="3"/>
        <v/>
      </c>
      <c r="AN41" s="139" t="str">
        <f t="shared" si="3"/>
        <v/>
      </c>
      <c r="AP41" s="82">
        <f t="shared" si="5"/>
        <v>2.9164913814596284E-3</v>
      </c>
      <c r="AQ41" s="82">
        <f t="shared" si="2"/>
        <v>0.72267867539617914</v>
      </c>
    </row>
    <row r="42" spans="2:43" x14ac:dyDescent="0.35">
      <c r="B42" s="83" t="s">
        <v>124</v>
      </c>
      <c r="D42" s="137">
        <v>1860067</v>
      </c>
      <c r="E42" s="137"/>
      <c r="F42" s="137"/>
      <c r="G42" s="137"/>
      <c r="H42" s="137">
        <f>+SUM(D42:G42)</f>
        <v>1860067</v>
      </c>
      <c r="J42" s="137">
        <v>323405</v>
      </c>
      <c r="K42" s="137"/>
      <c r="L42" s="137"/>
      <c r="M42" s="137"/>
      <c r="N42" s="137">
        <f>+SUM(J42:M42)</f>
        <v>323405</v>
      </c>
      <c r="P42" s="84">
        <f>+IFERROR(J42/D42,"")</f>
        <v>0.17386739294874862</v>
      </c>
      <c r="Q42" s="84" t="str">
        <f>+IFERROR(K42/E42,"")</f>
        <v/>
      </c>
      <c r="R42" s="84" t="str">
        <f>+IFERROR(L42/F42,"")</f>
        <v/>
      </c>
      <c r="S42" s="84" t="str">
        <f>+IFERROR(M42/G42,"")</f>
        <v/>
      </c>
      <c r="T42" s="84" t="str">
        <f>+IFERROR(#REF!/#REF!,"")</f>
        <v/>
      </c>
      <c r="U42" s="84" t="str">
        <f>+IFERROR(#REF!/#REF!,"")</f>
        <v/>
      </c>
      <c r="V42" s="84" t="str">
        <f>+IFERROR(#REF!/#REF!,"")</f>
        <v/>
      </c>
      <c r="W42" s="84" t="str">
        <f>+IFERROR(#REF!/#REF!,"")</f>
        <v/>
      </c>
      <c r="X42" s="84" t="str">
        <f>+IFERROR(#REF!/#REF!,"")</f>
        <v/>
      </c>
      <c r="Y42" s="84" t="str">
        <f>+IFERROR(#REF!/#REF!,"")</f>
        <v/>
      </c>
      <c r="Z42" s="84" t="str">
        <f>+IFERROR(#REF!/#REF!,"")</f>
        <v/>
      </c>
      <c r="AA42" s="84" t="str">
        <f>+IFERROR(#REF!/#REF!,"")</f>
        <v/>
      </c>
      <c r="AB42" s="84">
        <f>+IFERROR(N42/H42,"")</f>
        <v>0.17386739294874862</v>
      </c>
      <c r="AD42" s="139" t="str">
        <f t="shared" si="4"/>
        <v/>
      </c>
      <c r="AE42" s="139" t="str">
        <f t="shared" si="4"/>
        <v/>
      </c>
      <c r="AF42" s="139" t="str">
        <f t="shared" si="3"/>
        <v/>
      </c>
      <c r="AG42" s="139" t="str">
        <f t="shared" si="3"/>
        <v/>
      </c>
      <c r="AH42" s="139" t="str">
        <f t="shared" si="3"/>
        <v/>
      </c>
      <c r="AI42" s="139" t="str">
        <f t="shared" si="3"/>
        <v/>
      </c>
      <c r="AJ42" s="139" t="str">
        <f t="shared" si="3"/>
        <v/>
      </c>
      <c r="AK42" s="139" t="str">
        <f t="shared" si="3"/>
        <v/>
      </c>
      <c r="AL42" s="139" t="str">
        <f t="shared" si="3"/>
        <v/>
      </c>
      <c r="AM42" s="139" t="str">
        <f t="shared" si="3"/>
        <v/>
      </c>
      <c r="AN42" s="139" t="str">
        <f t="shared" si="3"/>
        <v/>
      </c>
      <c r="AP42" s="82">
        <f t="shared" si="5"/>
        <v>3.8745207014045886E-4</v>
      </c>
      <c r="AQ42" s="82">
        <f t="shared" si="2"/>
        <v>0.7230661274663196</v>
      </c>
    </row>
    <row r="43" spans="2:43" x14ac:dyDescent="0.35">
      <c r="B43" s="83" t="s">
        <v>125</v>
      </c>
      <c r="D43" s="137">
        <v>55434809</v>
      </c>
      <c r="E43" s="137">
        <v>29011381</v>
      </c>
      <c r="F43" s="137">
        <v>36492485</v>
      </c>
      <c r="G43" s="137">
        <v>4195202</v>
      </c>
      <c r="H43" s="137">
        <f>+SUM(D43:G43)</f>
        <v>125133877</v>
      </c>
      <c r="J43" s="137">
        <v>10984246</v>
      </c>
      <c r="K43" s="137">
        <v>7272848</v>
      </c>
      <c r="L43" s="137">
        <v>9483730</v>
      </c>
      <c r="M43" s="137">
        <v>1234483</v>
      </c>
      <c r="N43" s="137">
        <f>+SUM(J43:M43)</f>
        <v>28975307</v>
      </c>
      <c r="P43" s="84">
        <f>+IFERROR(J43/D43,"")</f>
        <v>0.19814708841154302</v>
      </c>
      <c r="Q43" s="84">
        <f>+IFERROR(K43/E43,"")</f>
        <v>0.25068947941499237</v>
      </c>
      <c r="R43" s="84">
        <f>+IFERROR(L43/F43,"")</f>
        <v>0.25988172633351769</v>
      </c>
      <c r="S43" s="84">
        <f>+IFERROR(M43/G43,"")</f>
        <v>0.29426068160722652</v>
      </c>
      <c r="T43" s="84" t="str">
        <f>+IFERROR(#REF!/#REF!,"")</f>
        <v/>
      </c>
      <c r="U43" s="84" t="str">
        <f>+IFERROR(#REF!/#REF!,"")</f>
        <v/>
      </c>
      <c r="V43" s="84" t="str">
        <f>+IFERROR(#REF!/#REF!,"")</f>
        <v/>
      </c>
      <c r="W43" s="84" t="str">
        <f>+IFERROR(#REF!/#REF!,"")</f>
        <v/>
      </c>
      <c r="X43" s="84" t="str">
        <f>+IFERROR(#REF!/#REF!,"")</f>
        <v/>
      </c>
      <c r="Y43" s="84" t="str">
        <f>+IFERROR(#REF!/#REF!,"")</f>
        <v/>
      </c>
      <c r="Z43" s="84" t="str">
        <f>+IFERROR(#REF!/#REF!,"")</f>
        <v/>
      </c>
      <c r="AA43" s="84" t="str">
        <f>+IFERROR(#REF!/#REF!,"")</f>
        <v/>
      </c>
      <c r="AB43" s="84">
        <f>+IFERROR(N43/H43,"")</f>
        <v>0.23155445747117706</v>
      </c>
      <c r="AD43" s="139">
        <f t="shared" si="4"/>
        <v>5.2542391003449346E-2</v>
      </c>
      <c r="AE43" s="139">
        <f t="shared" si="4"/>
        <v>9.1922469185253264E-3</v>
      </c>
      <c r="AF43" s="139">
        <f t="shared" si="3"/>
        <v>3.4378955273708822E-2</v>
      </c>
      <c r="AG43" s="139" t="str">
        <f t="shared" si="3"/>
        <v/>
      </c>
      <c r="AH43" s="139" t="str">
        <f t="shared" si="3"/>
        <v/>
      </c>
      <c r="AI43" s="139" t="str">
        <f t="shared" si="3"/>
        <v/>
      </c>
      <c r="AJ43" s="139" t="str">
        <f t="shared" si="3"/>
        <v/>
      </c>
      <c r="AK43" s="139" t="str">
        <f t="shared" si="3"/>
        <v/>
      </c>
      <c r="AL43" s="139" t="str">
        <f t="shared" si="3"/>
        <v/>
      </c>
      <c r="AM43" s="139" t="str">
        <f t="shared" si="3"/>
        <v/>
      </c>
      <c r="AN43" s="139" t="str">
        <f t="shared" si="3"/>
        <v/>
      </c>
      <c r="AP43" s="82">
        <f t="shared" si="5"/>
        <v>3.4713571775653838E-2</v>
      </c>
      <c r="AQ43" s="82">
        <f t="shared" si="2"/>
        <v>0.75777969924197341</v>
      </c>
    </row>
    <row r="44" spans="2:43" x14ac:dyDescent="0.35">
      <c r="B44" s="83" t="s">
        <v>126</v>
      </c>
      <c r="D44" s="137">
        <v>6151597</v>
      </c>
      <c r="E44" s="137">
        <v>6192149</v>
      </c>
      <c r="F44" s="137">
        <v>6346066</v>
      </c>
      <c r="G44" s="137">
        <v>1461458</v>
      </c>
      <c r="H44" s="137">
        <f>+SUM(D44:G44)</f>
        <v>20151270</v>
      </c>
      <c r="J44" s="137">
        <v>1223258</v>
      </c>
      <c r="K44" s="137">
        <v>1227000</v>
      </c>
      <c r="L44" s="137">
        <v>1292782</v>
      </c>
      <c r="M44" s="137">
        <v>257664</v>
      </c>
      <c r="N44" s="137">
        <f>+SUM(J44:M44)</f>
        <v>4000704</v>
      </c>
      <c r="P44" s="84">
        <f>+IFERROR(J44/D44,"")</f>
        <v>0.19885210295797986</v>
      </c>
      <c r="Q44" s="84">
        <f>+IFERROR(K44/E44,"")</f>
        <v>0.1981541464845242</v>
      </c>
      <c r="R44" s="84">
        <f>+IFERROR(L44/F44,"")</f>
        <v>0.20371392292484825</v>
      </c>
      <c r="S44" s="84">
        <f>+IFERROR(M44/G44,"")</f>
        <v>0.17630612716889571</v>
      </c>
      <c r="T44" s="84" t="str">
        <f>+IFERROR(#REF!/#REF!,"")</f>
        <v/>
      </c>
      <c r="U44" s="84" t="str">
        <f>+IFERROR(#REF!/#REF!,"")</f>
        <v/>
      </c>
      <c r="V44" s="84" t="str">
        <f>+IFERROR(#REF!/#REF!,"")</f>
        <v/>
      </c>
      <c r="W44" s="84" t="str">
        <f>+IFERROR(#REF!/#REF!,"")</f>
        <v/>
      </c>
      <c r="X44" s="84" t="str">
        <f>+IFERROR(#REF!/#REF!,"")</f>
        <v/>
      </c>
      <c r="Y44" s="84" t="str">
        <f>+IFERROR(#REF!/#REF!,"")</f>
        <v/>
      </c>
      <c r="Z44" s="84" t="str">
        <f>+IFERROR(#REF!/#REF!,"")</f>
        <v/>
      </c>
      <c r="AA44" s="84" t="str">
        <f>+IFERROR(#REF!/#REF!,"")</f>
        <v/>
      </c>
      <c r="AB44" s="84">
        <f>+IFERROR(N44/H44,"")</f>
        <v>0.19853359118308672</v>
      </c>
      <c r="AD44" s="139">
        <f t="shared" si="4"/>
        <v>-6.9795647345566314E-4</v>
      </c>
      <c r="AE44" s="139">
        <f t="shared" si="4"/>
        <v>5.5597764403240435E-3</v>
      </c>
      <c r="AF44" s="139">
        <f t="shared" si="3"/>
        <v>-2.7407795755952535E-2</v>
      </c>
      <c r="AG44" s="139" t="str">
        <f t="shared" si="3"/>
        <v/>
      </c>
      <c r="AH44" s="139" t="str">
        <f t="shared" si="3"/>
        <v/>
      </c>
      <c r="AI44" s="139" t="str">
        <f t="shared" si="3"/>
        <v/>
      </c>
      <c r="AJ44" s="139" t="str">
        <f t="shared" si="3"/>
        <v/>
      </c>
      <c r="AK44" s="139" t="str">
        <f t="shared" si="3"/>
        <v/>
      </c>
      <c r="AL44" s="139" t="str">
        <f t="shared" si="3"/>
        <v/>
      </c>
      <c r="AM44" s="139" t="str">
        <f t="shared" si="3"/>
        <v/>
      </c>
      <c r="AN44" s="139" t="str">
        <f t="shared" si="3"/>
        <v/>
      </c>
      <c r="AP44" s="82">
        <f t="shared" si="5"/>
        <v>4.7930027266715556E-3</v>
      </c>
      <c r="AQ44" s="82">
        <f t="shared" si="2"/>
        <v>0.76257270196864502</v>
      </c>
    </row>
    <row r="45" spans="2:43" x14ac:dyDescent="0.35">
      <c r="B45" s="83" t="s">
        <v>127</v>
      </c>
      <c r="D45" s="137">
        <v>3367819</v>
      </c>
      <c r="E45" s="137">
        <v>3475149</v>
      </c>
      <c r="F45" s="137">
        <v>3809724</v>
      </c>
      <c r="G45" s="137">
        <v>564531</v>
      </c>
      <c r="H45" s="137">
        <f>+SUM(D45:G45)</f>
        <v>11217223</v>
      </c>
      <c r="J45" s="137">
        <v>595081</v>
      </c>
      <c r="K45" s="137">
        <v>584195</v>
      </c>
      <c r="L45" s="137">
        <v>634621</v>
      </c>
      <c r="M45" s="137">
        <v>90019</v>
      </c>
      <c r="N45" s="137">
        <f>+SUM(J45:M45)</f>
        <v>1903916</v>
      </c>
      <c r="P45" s="84">
        <f>+IFERROR(J45/D45,"")</f>
        <v>0.17669625356944657</v>
      </c>
      <c r="Q45" s="84">
        <f>+IFERROR(K45/E45,"")</f>
        <v>0.16810646104670621</v>
      </c>
      <c r="R45" s="84">
        <f>+IFERROR(L45/F45,"")</f>
        <v>0.16657925875995216</v>
      </c>
      <c r="S45" s="84">
        <f>+IFERROR(M45/G45,"")</f>
        <v>0.1594580279913769</v>
      </c>
      <c r="T45" s="84" t="str">
        <f>+IFERROR(#REF!/#REF!,"")</f>
        <v/>
      </c>
      <c r="U45" s="84" t="str">
        <f>+IFERROR(#REF!/#REF!,"")</f>
        <v/>
      </c>
      <c r="V45" s="84" t="str">
        <f>+IFERROR(#REF!/#REF!,"")</f>
        <v/>
      </c>
      <c r="W45" s="84" t="str">
        <f>+IFERROR(#REF!/#REF!,"")</f>
        <v/>
      </c>
      <c r="X45" s="84" t="str">
        <f>+IFERROR(#REF!/#REF!,"")</f>
        <v/>
      </c>
      <c r="Y45" s="84" t="str">
        <f>+IFERROR(#REF!/#REF!,"")</f>
        <v/>
      </c>
      <c r="Z45" s="84" t="str">
        <f>+IFERROR(#REF!/#REF!,"")</f>
        <v/>
      </c>
      <c r="AA45" s="84" t="str">
        <f>+IFERROR(#REF!/#REF!,"")</f>
        <v/>
      </c>
      <c r="AB45" s="84">
        <f>+IFERROR(N45/H45,"")</f>
        <v>0.1697314923666936</v>
      </c>
      <c r="AD45" s="139">
        <f t="shared" si="4"/>
        <v>-8.5897925227403638E-3</v>
      </c>
      <c r="AE45" s="139">
        <f t="shared" si="4"/>
        <v>-1.5272022867540425E-3</v>
      </c>
      <c r="AF45" s="139">
        <f t="shared" si="3"/>
        <v>-7.1212307685752652E-3</v>
      </c>
      <c r="AG45" s="139" t="str">
        <f t="shared" si="3"/>
        <v/>
      </c>
      <c r="AH45" s="139" t="str">
        <f t="shared" si="3"/>
        <v/>
      </c>
      <c r="AI45" s="139" t="str">
        <f t="shared" si="3"/>
        <v/>
      </c>
      <c r="AJ45" s="139" t="str">
        <f t="shared" si="3"/>
        <v/>
      </c>
      <c r="AK45" s="139" t="str">
        <f t="shared" si="3"/>
        <v/>
      </c>
      <c r="AL45" s="139" t="str">
        <f t="shared" si="3"/>
        <v/>
      </c>
      <c r="AM45" s="139" t="str">
        <f t="shared" si="3"/>
        <v/>
      </c>
      <c r="AN45" s="139" t="str">
        <f t="shared" si="3"/>
        <v/>
      </c>
      <c r="AP45" s="82">
        <f t="shared" si="5"/>
        <v>2.2809671946121485E-3</v>
      </c>
      <c r="AQ45" s="82">
        <f t="shared" si="2"/>
        <v>0.76485366916325714</v>
      </c>
    </row>
    <row r="46" spans="2:43" x14ac:dyDescent="0.35">
      <c r="B46" s="83" t="s">
        <v>128</v>
      </c>
      <c r="D46" s="137">
        <v>2363062</v>
      </c>
      <c r="E46" s="137">
        <v>2882099</v>
      </c>
      <c r="F46" s="137">
        <v>2872607</v>
      </c>
      <c r="G46" s="137">
        <v>312363</v>
      </c>
      <c r="H46" s="137">
        <f>+SUM(D46:G46)</f>
        <v>8430131</v>
      </c>
      <c r="J46" s="137">
        <v>457515</v>
      </c>
      <c r="K46" s="137">
        <v>462861</v>
      </c>
      <c r="L46" s="137">
        <v>499185</v>
      </c>
      <c r="M46" s="137">
        <v>40130</v>
      </c>
      <c r="N46" s="137">
        <f>+SUM(J46:M46)</f>
        <v>1459691</v>
      </c>
      <c r="P46" s="84">
        <f>+IFERROR(J46/D46,"")</f>
        <v>0.19361108595542564</v>
      </c>
      <c r="Q46" s="84">
        <f>+IFERROR(K46/E46,"")</f>
        <v>0.16059857763387031</v>
      </c>
      <c r="R46" s="84">
        <f>+IFERROR(L46/F46,"")</f>
        <v>0.17377420579981878</v>
      </c>
      <c r="S46" s="84">
        <f>+IFERROR(M46/G46,"")</f>
        <v>0.12847232226608146</v>
      </c>
      <c r="T46" s="84" t="str">
        <f>+IFERROR(#REF!/#REF!,"")</f>
        <v/>
      </c>
      <c r="U46" s="84" t="str">
        <f>+IFERROR(#REF!/#REF!,"")</f>
        <v/>
      </c>
      <c r="V46" s="84" t="str">
        <f>+IFERROR(#REF!/#REF!,"")</f>
        <v/>
      </c>
      <c r="W46" s="84" t="str">
        <f>+IFERROR(#REF!/#REF!,"")</f>
        <v/>
      </c>
      <c r="X46" s="84" t="str">
        <f>+IFERROR(#REF!/#REF!,"")</f>
        <v/>
      </c>
      <c r="Y46" s="84" t="str">
        <f>+IFERROR(#REF!/#REF!,"")</f>
        <v/>
      </c>
      <c r="Z46" s="84" t="str">
        <f>+IFERROR(#REF!/#REF!,"")</f>
        <v/>
      </c>
      <c r="AA46" s="84" t="str">
        <f>+IFERROR(#REF!/#REF!,"")</f>
        <v/>
      </c>
      <c r="AB46" s="84">
        <f>+IFERROR(N46/H46,"")</f>
        <v>0.17315163904333158</v>
      </c>
      <c r="AD46" s="139">
        <f t="shared" si="4"/>
        <v>-3.3012508321555334E-2</v>
      </c>
      <c r="AE46" s="139">
        <f t="shared" si="4"/>
        <v>1.3175628165948472E-2</v>
      </c>
      <c r="AF46" s="139">
        <f t="shared" si="3"/>
        <v>-4.5301883533737319E-2</v>
      </c>
      <c r="AG46" s="139" t="str">
        <f t="shared" si="3"/>
        <v/>
      </c>
      <c r="AH46" s="139" t="str">
        <f t="shared" si="3"/>
        <v/>
      </c>
      <c r="AI46" s="139" t="str">
        <f t="shared" si="3"/>
        <v/>
      </c>
      <c r="AJ46" s="139" t="str">
        <f t="shared" si="3"/>
        <v/>
      </c>
      <c r="AK46" s="139" t="str">
        <f t="shared" si="3"/>
        <v/>
      </c>
      <c r="AL46" s="139" t="str">
        <f t="shared" si="3"/>
        <v/>
      </c>
      <c r="AM46" s="139" t="str">
        <f t="shared" si="3"/>
        <v/>
      </c>
      <c r="AN46" s="139" t="str">
        <f t="shared" si="3"/>
        <v/>
      </c>
      <c r="AP46" s="82">
        <f t="shared" si="5"/>
        <v>1.7487679526148221E-3</v>
      </c>
      <c r="AQ46" s="82">
        <f t="shared" si="2"/>
        <v>0.76660243711587195</v>
      </c>
    </row>
    <row r="47" spans="2:43" x14ac:dyDescent="0.35">
      <c r="B47" s="83" t="s">
        <v>129</v>
      </c>
      <c r="D47" s="137">
        <v>8366023</v>
      </c>
      <c r="E47" s="137">
        <v>7578544</v>
      </c>
      <c r="F47" s="137">
        <v>8199457</v>
      </c>
      <c r="G47" s="137">
        <v>726222</v>
      </c>
      <c r="H47" s="137">
        <f>+SUM(D47:G47)</f>
        <v>24870246</v>
      </c>
      <c r="J47" s="137">
        <v>1003517</v>
      </c>
      <c r="K47" s="137">
        <v>907026</v>
      </c>
      <c r="L47" s="137">
        <v>1033792</v>
      </c>
      <c r="M47" s="137">
        <v>99620</v>
      </c>
      <c r="N47" s="137">
        <f>+SUM(J47:M47)</f>
        <v>3043955</v>
      </c>
      <c r="P47" s="84">
        <f>+IFERROR(J47/D47,"")</f>
        <v>0.11995149905755698</v>
      </c>
      <c r="Q47" s="84">
        <f>+IFERROR(K47/E47,"")</f>
        <v>0.11968341148378897</v>
      </c>
      <c r="R47" s="84">
        <f>+IFERROR(L47/F47,"")</f>
        <v>0.12608054411407976</v>
      </c>
      <c r="S47" s="84">
        <f>+IFERROR(M47/G47,"")</f>
        <v>0.13717568457028292</v>
      </c>
      <c r="T47" s="84" t="str">
        <f>+IFERROR(#REF!/#REF!,"")</f>
        <v/>
      </c>
      <c r="U47" s="84" t="str">
        <f>+IFERROR(#REF!/#REF!,"")</f>
        <v/>
      </c>
      <c r="V47" s="84" t="str">
        <f>+IFERROR(#REF!/#REF!,"")</f>
        <v/>
      </c>
      <c r="W47" s="84" t="str">
        <f>+IFERROR(#REF!/#REF!,"")</f>
        <v/>
      </c>
      <c r="X47" s="84" t="str">
        <f>+IFERROR(#REF!/#REF!,"")</f>
        <v/>
      </c>
      <c r="Y47" s="84" t="str">
        <f>+IFERROR(#REF!/#REF!,"")</f>
        <v/>
      </c>
      <c r="Z47" s="84" t="str">
        <f>+IFERROR(#REF!/#REF!,"")</f>
        <v/>
      </c>
      <c r="AA47" s="84" t="str">
        <f>+IFERROR(#REF!/#REF!,"")</f>
        <v/>
      </c>
      <c r="AB47" s="84">
        <f>+IFERROR(N47/H47,"")</f>
        <v>0.12239344154456695</v>
      </c>
      <c r="AD47" s="139">
        <f t="shared" si="4"/>
        <v>-2.6808757376800552E-4</v>
      </c>
      <c r="AE47" s="139">
        <f t="shared" si="4"/>
        <v>6.3971326302907916E-3</v>
      </c>
      <c r="AF47" s="139">
        <f t="shared" si="3"/>
        <v>1.1095140456203162E-2</v>
      </c>
      <c r="AG47" s="139" t="str">
        <f t="shared" si="3"/>
        <v/>
      </c>
      <c r="AH47" s="139" t="str">
        <f t="shared" si="3"/>
        <v/>
      </c>
      <c r="AI47" s="139" t="str">
        <f t="shared" si="3"/>
        <v/>
      </c>
      <c r="AJ47" s="139" t="str">
        <f t="shared" si="3"/>
        <v/>
      </c>
      <c r="AK47" s="139" t="str">
        <f t="shared" si="3"/>
        <v/>
      </c>
      <c r="AL47" s="139" t="str">
        <f t="shared" si="3"/>
        <v/>
      </c>
      <c r="AM47" s="139" t="str">
        <f t="shared" si="3"/>
        <v/>
      </c>
      <c r="AN47" s="139" t="str">
        <f t="shared" si="3"/>
        <v/>
      </c>
      <c r="AP47" s="82">
        <f t="shared" si="5"/>
        <v>3.6467793205559608E-3</v>
      </c>
      <c r="AQ47" s="82">
        <f t="shared" si="2"/>
        <v>0.77024921643642796</v>
      </c>
    </row>
    <row r="48" spans="2:43" x14ac:dyDescent="0.35">
      <c r="B48" s="83" t="s">
        <v>130</v>
      </c>
      <c r="D48" s="137">
        <v>8326890</v>
      </c>
      <c r="E48" s="137">
        <v>12194767</v>
      </c>
      <c r="F48" s="137">
        <v>12036829</v>
      </c>
      <c r="G48" s="137">
        <v>979308</v>
      </c>
      <c r="H48" s="137">
        <f>+SUM(D48:G48)</f>
        <v>33537794</v>
      </c>
      <c r="J48" s="137">
        <v>1172782</v>
      </c>
      <c r="K48" s="137">
        <v>1267775</v>
      </c>
      <c r="L48" s="137">
        <v>1270193</v>
      </c>
      <c r="M48" s="137">
        <v>101563</v>
      </c>
      <c r="N48" s="137">
        <f>+SUM(J48:M48)</f>
        <v>3812313</v>
      </c>
      <c r="P48" s="84">
        <f>+IFERROR(J48/D48,"")</f>
        <v>0.14084273960626356</v>
      </c>
      <c r="Q48" s="84">
        <f>+IFERROR(K48/E48,"")</f>
        <v>0.10396057587652147</v>
      </c>
      <c r="R48" s="84">
        <f>+IFERROR(L48/F48,"")</f>
        <v>0.10552554996004346</v>
      </c>
      <c r="S48" s="84">
        <f>+IFERROR(M48/G48,"")</f>
        <v>0.10370894550029204</v>
      </c>
      <c r="T48" s="84" t="str">
        <f>+IFERROR(#REF!/#REF!,"")</f>
        <v/>
      </c>
      <c r="U48" s="84" t="str">
        <f>+IFERROR(#REF!/#REF!,"")</f>
        <v/>
      </c>
      <c r="V48" s="84" t="str">
        <f>+IFERROR(#REF!/#REF!,"")</f>
        <v/>
      </c>
      <c r="W48" s="84" t="str">
        <f>+IFERROR(#REF!/#REF!,"")</f>
        <v/>
      </c>
      <c r="X48" s="84" t="str">
        <f>+IFERROR(#REF!/#REF!,"")</f>
        <v/>
      </c>
      <c r="Y48" s="84" t="str">
        <f>+IFERROR(#REF!/#REF!,"")</f>
        <v/>
      </c>
      <c r="Z48" s="84" t="str">
        <f>+IFERROR(#REF!/#REF!,"")</f>
        <v/>
      </c>
      <c r="AA48" s="84" t="str">
        <f>+IFERROR(#REF!/#REF!,"")</f>
        <v/>
      </c>
      <c r="AB48" s="84">
        <f>+IFERROR(N48/H48,"")</f>
        <v>0.11367214552036428</v>
      </c>
      <c r="AD48" s="139">
        <f t="shared" si="4"/>
        <v>-3.6882163729742096E-2</v>
      </c>
      <c r="AE48" s="139">
        <f t="shared" si="4"/>
        <v>1.5649740835219916E-3</v>
      </c>
      <c r="AF48" s="139">
        <f t="shared" si="3"/>
        <v>-1.8166044597514169E-3</v>
      </c>
      <c r="AG48" s="139" t="str">
        <f t="shared" si="3"/>
        <v/>
      </c>
      <c r="AH48" s="139" t="str">
        <f t="shared" si="3"/>
        <v/>
      </c>
      <c r="AI48" s="139" t="str">
        <f t="shared" si="3"/>
        <v/>
      </c>
      <c r="AJ48" s="139" t="str">
        <f t="shared" si="3"/>
        <v/>
      </c>
      <c r="AK48" s="139" t="str">
        <f t="shared" si="3"/>
        <v/>
      </c>
      <c r="AL48" s="139" t="str">
        <f t="shared" si="3"/>
        <v/>
      </c>
      <c r="AM48" s="139" t="str">
        <f t="shared" si="3"/>
        <v/>
      </c>
      <c r="AN48" s="139" t="str">
        <f t="shared" si="3"/>
        <v/>
      </c>
      <c r="AP48" s="82">
        <f t="shared" si="5"/>
        <v>4.5673028056875528E-3</v>
      </c>
      <c r="AQ48" s="82">
        <f t="shared" si="2"/>
        <v>0.77481651924211548</v>
      </c>
    </row>
    <row r="49" spans="2:43" x14ac:dyDescent="0.35">
      <c r="B49" s="83" t="s">
        <v>131</v>
      </c>
      <c r="D49" s="137">
        <v>3684849</v>
      </c>
      <c r="E49" s="137">
        <v>3526914</v>
      </c>
      <c r="F49" s="137">
        <v>4088692</v>
      </c>
      <c r="G49" s="137">
        <v>437020</v>
      </c>
      <c r="H49" s="137">
        <f>+SUM(D49:G49)</f>
        <v>11737475</v>
      </c>
      <c r="J49" s="137">
        <v>624117</v>
      </c>
      <c r="K49" s="137">
        <v>602778</v>
      </c>
      <c r="L49" s="137">
        <v>651167</v>
      </c>
      <c r="M49" s="137">
        <v>87825</v>
      </c>
      <c r="N49" s="137">
        <f>+SUM(J49:M49)</f>
        <v>1965887</v>
      </c>
      <c r="P49" s="84">
        <f>+IFERROR(J49/D49,"")</f>
        <v>0.16937383322898714</v>
      </c>
      <c r="Q49" s="84">
        <f>+IFERROR(K49/E49,"")</f>
        <v>0.17090805162813724</v>
      </c>
      <c r="R49" s="84">
        <f>+IFERROR(L49/F49,"")</f>
        <v>0.15926046765077928</v>
      </c>
      <c r="S49" s="84">
        <f>+IFERROR(M49/G49,"")</f>
        <v>0.20096334263878082</v>
      </c>
      <c r="T49" s="84" t="str">
        <f>+IFERROR(#REF!/#REF!,"")</f>
        <v/>
      </c>
      <c r="U49" s="84" t="str">
        <f>+IFERROR(#REF!/#REF!,"")</f>
        <v/>
      </c>
      <c r="V49" s="84" t="str">
        <f>+IFERROR(#REF!/#REF!,"")</f>
        <v/>
      </c>
      <c r="W49" s="84" t="str">
        <f>+IFERROR(#REF!/#REF!,"")</f>
        <v/>
      </c>
      <c r="X49" s="84" t="str">
        <f>+IFERROR(#REF!/#REF!,"")</f>
        <v/>
      </c>
      <c r="Y49" s="84" t="str">
        <f>+IFERROR(#REF!/#REF!,"")</f>
        <v/>
      </c>
      <c r="Z49" s="84" t="str">
        <f>+IFERROR(#REF!/#REF!,"")</f>
        <v/>
      </c>
      <c r="AA49" s="84" t="str">
        <f>+IFERROR(#REF!/#REF!,"")</f>
        <v/>
      </c>
      <c r="AB49" s="84">
        <f>+IFERROR(N49/H49,"")</f>
        <v>0.16748806706723551</v>
      </c>
      <c r="AD49" s="139">
        <f t="shared" si="4"/>
        <v>1.5342183991501057E-3</v>
      </c>
      <c r="AE49" s="139">
        <f t="shared" si="4"/>
        <v>-1.1647583977357961E-2</v>
      </c>
      <c r="AF49" s="139">
        <f t="shared" si="3"/>
        <v>4.1702874988001543E-2</v>
      </c>
      <c r="AG49" s="139" t="str">
        <f t="shared" si="3"/>
        <v/>
      </c>
      <c r="AH49" s="139" t="str">
        <f t="shared" si="3"/>
        <v/>
      </c>
      <c r="AI49" s="139" t="str">
        <f t="shared" si="3"/>
        <v/>
      </c>
      <c r="AJ49" s="139" t="str">
        <f t="shared" si="3"/>
        <v/>
      </c>
      <c r="AK49" s="139" t="str">
        <f t="shared" si="3"/>
        <v/>
      </c>
      <c r="AL49" s="139" t="str">
        <f t="shared" si="3"/>
        <v/>
      </c>
      <c r="AM49" s="139" t="str">
        <f t="shared" si="3"/>
        <v/>
      </c>
      <c r="AN49" s="139" t="str">
        <f t="shared" si="3"/>
        <v/>
      </c>
      <c r="AP49" s="82">
        <f t="shared" si="5"/>
        <v>2.355210920709996E-3</v>
      </c>
      <c r="AQ49" s="82">
        <f t="shared" si="2"/>
        <v>0.77717173016282548</v>
      </c>
    </row>
    <row r="50" spans="2:43" x14ac:dyDescent="0.35">
      <c r="B50" s="83" t="s">
        <v>132</v>
      </c>
      <c r="D50" s="137">
        <v>1302841</v>
      </c>
      <c r="E50" s="137">
        <v>2233035</v>
      </c>
      <c r="F50" s="137">
        <v>8615086</v>
      </c>
      <c r="G50" s="137">
        <v>1392447</v>
      </c>
      <c r="H50" s="137">
        <f>+SUM(D50:G50)</f>
        <v>13543409</v>
      </c>
      <c r="J50" s="137">
        <v>224750</v>
      </c>
      <c r="K50" s="137">
        <v>418083</v>
      </c>
      <c r="L50" s="137">
        <v>1259672</v>
      </c>
      <c r="M50" s="137">
        <v>164991</v>
      </c>
      <c r="N50" s="137">
        <f>+SUM(J50:M50)</f>
        <v>2067496</v>
      </c>
      <c r="P50" s="84">
        <f>+IFERROR(J50/D50,"")</f>
        <v>0.17250761988607974</v>
      </c>
      <c r="Q50" s="84">
        <f>+IFERROR(K50/E50,"")</f>
        <v>0.18722635337108465</v>
      </c>
      <c r="R50" s="84">
        <f>+IFERROR(L50/F50,"")</f>
        <v>0.14621699655696996</v>
      </c>
      <c r="S50" s="84">
        <f>+IFERROR(M50/G50,"")</f>
        <v>0.11848996766124671</v>
      </c>
      <c r="T50" s="84" t="str">
        <f>+IFERROR(#REF!/#REF!,"")</f>
        <v/>
      </c>
      <c r="U50" s="84" t="str">
        <f>+IFERROR(#REF!/#REF!,"")</f>
        <v/>
      </c>
      <c r="V50" s="84" t="str">
        <f>+IFERROR(#REF!/#REF!,"")</f>
        <v/>
      </c>
      <c r="W50" s="84" t="str">
        <f>+IFERROR(#REF!/#REF!,"")</f>
        <v/>
      </c>
      <c r="X50" s="84" t="str">
        <f>+IFERROR(#REF!/#REF!,"")</f>
        <v/>
      </c>
      <c r="Y50" s="84" t="str">
        <f>+IFERROR(#REF!/#REF!,"")</f>
        <v/>
      </c>
      <c r="Z50" s="84" t="str">
        <f>+IFERROR(#REF!/#REF!,"")</f>
        <v/>
      </c>
      <c r="AA50" s="84" t="str">
        <f>+IFERROR(#REF!/#REF!,"")</f>
        <v/>
      </c>
      <c r="AB50" s="84">
        <f>+IFERROR(N50/H50,"")</f>
        <v>0.15265698613990022</v>
      </c>
      <c r="AD50" s="139">
        <f t="shared" si="4"/>
        <v>1.4718733485004909E-2</v>
      </c>
      <c r="AE50" s="139">
        <f t="shared" si="4"/>
        <v>-4.1009356814114689E-2</v>
      </c>
      <c r="AF50" s="139">
        <f t="shared" si="3"/>
        <v>-2.7727028895723246E-2</v>
      </c>
      <c r="AG50" s="139" t="str">
        <f t="shared" si="3"/>
        <v/>
      </c>
      <c r="AH50" s="139" t="str">
        <f t="shared" si="3"/>
        <v/>
      </c>
      <c r="AI50" s="139" t="str">
        <f t="shared" si="3"/>
        <v/>
      </c>
      <c r="AJ50" s="139" t="str">
        <f t="shared" si="3"/>
        <v/>
      </c>
      <c r="AK50" s="139" t="str">
        <f t="shared" si="3"/>
        <v/>
      </c>
      <c r="AL50" s="139" t="str">
        <f t="shared" si="3"/>
        <v/>
      </c>
      <c r="AM50" s="139" t="str">
        <f t="shared" si="3"/>
        <v/>
      </c>
      <c r="AN50" s="139" t="str">
        <f t="shared" si="3"/>
        <v/>
      </c>
      <c r="AP50" s="82">
        <f t="shared" si="5"/>
        <v>2.4769425494569289E-3</v>
      </c>
      <c r="AQ50" s="82">
        <f t="shared" si="2"/>
        <v>0.77964867271228244</v>
      </c>
    </row>
    <row r="51" spans="2:43" x14ac:dyDescent="0.35">
      <c r="B51" s="83" t="s">
        <v>133</v>
      </c>
      <c r="D51" s="137">
        <v>5011967</v>
      </c>
      <c r="E51" s="137">
        <v>4721562</v>
      </c>
      <c r="F51" s="137">
        <v>5076709</v>
      </c>
      <c r="G51" s="137">
        <v>692096</v>
      </c>
      <c r="H51" s="137">
        <f>+SUM(D51:G51)</f>
        <v>15502334</v>
      </c>
      <c r="J51" s="137">
        <v>1057787</v>
      </c>
      <c r="K51" s="137">
        <v>1061540</v>
      </c>
      <c r="L51" s="137">
        <v>1081419</v>
      </c>
      <c r="M51" s="137">
        <v>155720</v>
      </c>
      <c r="N51" s="137">
        <f>+SUM(J51:M51)</f>
        <v>3356466</v>
      </c>
      <c r="P51" s="84">
        <f>+IFERROR(J51/D51,"")</f>
        <v>0.21105226750295841</v>
      </c>
      <c r="Q51" s="84">
        <f>+IFERROR(K51/E51,"")</f>
        <v>0.22482813950129216</v>
      </c>
      <c r="R51" s="84">
        <f>+IFERROR(L51/F51,"")</f>
        <v>0.21301575489160399</v>
      </c>
      <c r="S51" s="84">
        <f>+IFERROR(M51/G51,"")</f>
        <v>0.22499768818198632</v>
      </c>
      <c r="T51" s="84" t="str">
        <f>+IFERROR(#REF!/#REF!,"")</f>
        <v/>
      </c>
      <c r="U51" s="84" t="str">
        <f>+IFERROR(#REF!/#REF!,"")</f>
        <v/>
      </c>
      <c r="V51" s="84" t="str">
        <f>+IFERROR(#REF!/#REF!,"")</f>
        <v/>
      </c>
      <c r="W51" s="84" t="str">
        <f>+IFERROR(#REF!/#REF!,"")</f>
        <v/>
      </c>
      <c r="X51" s="84" t="str">
        <f>+IFERROR(#REF!/#REF!,"")</f>
        <v/>
      </c>
      <c r="Y51" s="84" t="str">
        <f>+IFERROR(#REF!/#REF!,"")</f>
        <v/>
      </c>
      <c r="Z51" s="84" t="str">
        <f>+IFERROR(#REF!/#REF!,"")</f>
        <v/>
      </c>
      <c r="AA51" s="84" t="str">
        <f>+IFERROR(#REF!/#REF!,"")</f>
        <v/>
      </c>
      <c r="AB51" s="84">
        <f>+IFERROR(N51/H51,"")</f>
        <v>0.21651359079219942</v>
      </c>
      <c r="AD51" s="139">
        <f t="shared" si="4"/>
        <v>1.3775871998333744E-2</v>
      </c>
      <c r="AE51" s="139">
        <f t="shared" si="4"/>
        <v>-1.181238460968817E-2</v>
      </c>
      <c r="AF51" s="139">
        <f t="shared" si="3"/>
        <v>1.1981933290382329E-2</v>
      </c>
      <c r="AG51" s="139" t="str">
        <f t="shared" si="3"/>
        <v/>
      </c>
      <c r="AH51" s="139" t="str">
        <f t="shared" si="3"/>
        <v/>
      </c>
      <c r="AI51" s="139" t="str">
        <f t="shared" si="3"/>
        <v/>
      </c>
      <c r="AJ51" s="139" t="str">
        <f t="shared" si="3"/>
        <v/>
      </c>
      <c r="AK51" s="139" t="str">
        <f t="shared" si="3"/>
        <v/>
      </c>
      <c r="AL51" s="139" t="str">
        <f t="shared" si="3"/>
        <v/>
      </c>
      <c r="AM51" s="139" t="str">
        <f t="shared" si="3"/>
        <v/>
      </c>
      <c r="AN51" s="139" t="str">
        <f t="shared" si="3"/>
        <v/>
      </c>
      <c r="AP51" s="82">
        <f t="shared" si="5"/>
        <v>4.0211799448248032E-3</v>
      </c>
      <c r="AQ51" s="82">
        <f t="shared" si="2"/>
        <v>0.7836698526571072</v>
      </c>
    </row>
    <row r="52" spans="2:43" x14ac:dyDescent="0.35">
      <c r="B52" s="83" t="s">
        <v>134</v>
      </c>
      <c r="D52" s="137">
        <v>4823234</v>
      </c>
      <c r="E52" s="137">
        <v>4151876</v>
      </c>
      <c r="F52" s="137">
        <v>5045361</v>
      </c>
      <c r="G52" s="137">
        <v>694868</v>
      </c>
      <c r="H52" s="137">
        <f>+SUM(D52:G52)</f>
        <v>14715339</v>
      </c>
      <c r="J52" s="137">
        <v>1149652</v>
      </c>
      <c r="K52" s="137">
        <v>953227</v>
      </c>
      <c r="L52" s="137">
        <v>1265381</v>
      </c>
      <c r="M52" s="137">
        <v>175878</v>
      </c>
      <c r="N52" s="137">
        <f>+SUM(J52:M52)</f>
        <v>3544138</v>
      </c>
      <c r="P52" s="84">
        <f>+IFERROR(J52/D52,"")</f>
        <v>0.23835708572298173</v>
      </c>
      <c r="Q52" s="84">
        <f>+IFERROR(K52/E52,"")</f>
        <v>0.22958946750818185</v>
      </c>
      <c r="R52" s="84">
        <f>+IFERROR(L52/F52,"")</f>
        <v>0.25080088421819569</v>
      </c>
      <c r="S52" s="84">
        <f>+IFERROR(M52/G52,"")</f>
        <v>0.25310994318345353</v>
      </c>
      <c r="T52" s="84" t="str">
        <f>+IFERROR(#REF!/#REF!,"")</f>
        <v/>
      </c>
      <c r="U52" s="84" t="str">
        <f>+IFERROR(#REF!/#REF!,"")</f>
        <v/>
      </c>
      <c r="V52" s="84" t="str">
        <f>+IFERROR(#REF!/#REF!,"")</f>
        <v/>
      </c>
      <c r="W52" s="84" t="str">
        <f>+IFERROR(#REF!/#REF!,"")</f>
        <v/>
      </c>
      <c r="X52" s="84" t="str">
        <f>+IFERROR(#REF!/#REF!,"")</f>
        <v/>
      </c>
      <c r="Y52" s="84" t="str">
        <f>+IFERROR(#REF!/#REF!,"")</f>
        <v/>
      </c>
      <c r="Z52" s="84" t="str">
        <f>+IFERROR(#REF!/#REF!,"")</f>
        <v/>
      </c>
      <c r="AA52" s="84" t="str">
        <f>+IFERROR(#REF!/#REF!,"")</f>
        <v/>
      </c>
      <c r="AB52" s="84">
        <f>+IFERROR(N52/H52,"")</f>
        <v>0.24084650717187012</v>
      </c>
      <c r="AD52" s="139">
        <f t="shared" si="4"/>
        <v>-8.7676182147998771E-3</v>
      </c>
      <c r="AE52" s="139">
        <f t="shared" si="4"/>
        <v>2.1211416710013836E-2</v>
      </c>
      <c r="AF52" s="139">
        <f t="shared" si="3"/>
        <v>2.3090589652578486E-3</v>
      </c>
      <c r="AG52" s="139" t="str">
        <f t="shared" si="3"/>
        <v/>
      </c>
      <c r="AH52" s="139" t="str">
        <f t="shared" si="3"/>
        <v/>
      </c>
      <c r="AI52" s="139" t="str">
        <f t="shared" si="3"/>
        <v/>
      </c>
      <c r="AJ52" s="139" t="str">
        <f t="shared" si="3"/>
        <v/>
      </c>
      <c r="AK52" s="139" t="str">
        <f t="shared" si="3"/>
        <v/>
      </c>
      <c r="AL52" s="139" t="str">
        <f t="shared" si="3"/>
        <v/>
      </c>
      <c r="AM52" s="139" t="str">
        <f t="shared" si="3"/>
        <v/>
      </c>
      <c r="AN52" s="139" t="str">
        <f t="shared" si="3"/>
        <v/>
      </c>
      <c r="AP52" s="82">
        <f t="shared" si="5"/>
        <v>4.2460184751734378E-3</v>
      </c>
      <c r="AQ52" s="82">
        <f t="shared" si="2"/>
        <v>0.78791587113228068</v>
      </c>
    </row>
    <row r="53" spans="2:43" x14ac:dyDescent="0.35">
      <c r="B53" s="83" t="s">
        <v>135</v>
      </c>
      <c r="D53" s="137">
        <v>46959441</v>
      </c>
      <c r="E53" s="137">
        <v>49624464</v>
      </c>
      <c r="F53" s="137">
        <v>69113168</v>
      </c>
      <c r="G53" s="137">
        <v>8839435</v>
      </c>
      <c r="H53" s="137">
        <f>+SUM(D53:G53)</f>
        <v>174536508</v>
      </c>
      <c r="J53" s="137">
        <v>8364972</v>
      </c>
      <c r="K53" s="137">
        <v>9414182</v>
      </c>
      <c r="L53" s="137">
        <v>14035882</v>
      </c>
      <c r="M53" s="137">
        <v>1751102</v>
      </c>
      <c r="N53" s="137">
        <f>+SUM(J53:M53)</f>
        <v>33566138</v>
      </c>
      <c r="P53" s="84">
        <f>+IFERROR(J53/D53,"")</f>
        <v>0.17813184786420264</v>
      </c>
      <c r="Q53" s="84">
        <f>+IFERROR(K53/E53,"")</f>
        <v>0.18970848732995887</v>
      </c>
      <c r="R53" s="84">
        <f>+IFERROR(L53/F53,"")</f>
        <v>0.2030854959506414</v>
      </c>
      <c r="S53" s="84">
        <f>+IFERROR(M53/G53,"")</f>
        <v>0.19810112297901394</v>
      </c>
      <c r="T53" s="84" t="str">
        <f>+IFERROR(#REF!/#REF!,"")</f>
        <v/>
      </c>
      <c r="U53" s="84" t="str">
        <f>+IFERROR(#REF!/#REF!,"")</f>
        <v/>
      </c>
      <c r="V53" s="84" t="str">
        <f>+IFERROR(#REF!/#REF!,"")</f>
        <v/>
      </c>
      <c r="W53" s="84" t="str">
        <f>+IFERROR(#REF!/#REF!,"")</f>
        <v/>
      </c>
      <c r="X53" s="84" t="str">
        <f>+IFERROR(#REF!/#REF!,"")</f>
        <v/>
      </c>
      <c r="Y53" s="84" t="str">
        <f>+IFERROR(#REF!/#REF!,"")</f>
        <v/>
      </c>
      <c r="Z53" s="84" t="str">
        <f>+IFERROR(#REF!/#REF!,"")</f>
        <v/>
      </c>
      <c r="AA53" s="84" t="str">
        <f>+IFERROR(#REF!/#REF!,"")</f>
        <v/>
      </c>
      <c r="AB53" s="84">
        <f>+IFERROR(N53/H53,"")</f>
        <v>0.19231585634794526</v>
      </c>
      <c r="AD53" s="139">
        <f t="shared" si="4"/>
        <v>1.1576639465756239E-2</v>
      </c>
      <c r="AE53" s="139">
        <f t="shared" si="4"/>
        <v>1.3377008620682529E-2</v>
      </c>
      <c r="AF53" s="139">
        <f t="shared" si="3"/>
        <v>-4.9843729716274598E-3</v>
      </c>
      <c r="AG53" s="139" t="str">
        <f t="shared" si="3"/>
        <v/>
      </c>
      <c r="AH53" s="139" t="str">
        <f t="shared" si="3"/>
        <v/>
      </c>
      <c r="AI53" s="139" t="str">
        <f t="shared" si="3"/>
        <v/>
      </c>
      <c r="AJ53" s="139" t="str">
        <f t="shared" si="3"/>
        <v/>
      </c>
      <c r="AK53" s="139" t="str">
        <f t="shared" si="3"/>
        <v/>
      </c>
      <c r="AL53" s="139" t="str">
        <f t="shared" si="3"/>
        <v/>
      </c>
      <c r="AM53" s="139" t="str">
        <f t="shared" si="3"/>
        <v/>
      </c>
      <c r="AN53" s="139" t="str">
        <f t="shared" si="3"/>
        <v/>
      </c>
      <c r="AP53" s="82">
        <f t="shared" si="5"/>
        <v>4.0213570151111828E-2</v>
      </c>
      <c r="AQ53" s="82">
        <f t="shared" si="2"/>
        <v>0.8281294412833925</v>
      </c>
    </row>
    <row r="54" spans="2:43" x14ac:dyDescent="0.35">
      <c r="B54" s="83" t="s">
        <v>136</v>
      </c>
      <c r="D54" s="137">
        <v>1087658</v>
      </c>
      <c r="E54" s="137">
        <v>1107103</v>
      </c>
      <c r="F54" s="137">
        <v>1324607</v>
      </c>
      <c r="G54" s="137">
        <v>125892</v>
      </c>
      <c r="H54" s="137">
        <f>+SUM(D54:G54)</f>
        <v>3645260</v>
      </c>
      <c r="J54" s="137">
        <v>191247</v>
      </c>
      <c r="K54" s="137">
        <v>286596</v>
      </c>
      <c r="L54" s="137">
        <v>304486</v>
      </c>
      <c r="M54" s="137">
        <v>8046</v>
      </c>
      <c r="N54" s="137">
        <f>+SUM(J54:M54)</f>
        <v>790375</v>
      </c>
      <c r="P54" s="84">
        <f>+IFERROR(J54/D54,"")</f>
        <v>0.17583376392211522</v>
      </c>
      <c r="Q54" s="84">
        <f>+IFERROR(K54/E54,"")</f>
        <v>0.25887022255381836</v>
      </c>
      <c r="R54" s="84">
        <f>+IFERROR(L54/F54,"")</f>
        <v>0.2298689347104462</v>
      </c>
      <c r="S54" s="84">
        <f>+IFERROR(M54/G54,"")</f>
        <v>6.391192450672005E-2</v>
      </c>
      <c r="T54" s="84" t="str">
        <f>+IFERROR(#REF!/#REF!,"")</f>
        <v/>
      </c>
      <c r="U54" s="84" t="str">
        <f>+IFERROR(#REF!/#REF!,"")</f>
        <v/>
      </c>
      <c r="V54" s="84" t="str">
        <f>+IFERROR(#REF!/#REF!,"")</f>
        <v/>
      </c>
      <c r="W54" s="84" t="str">
        <f>+IFERROR(#REF!/#REF!,"")</f>
        <v/>
      </c>
      <c r="X54" s="84" t="str">
        <f>+IFERROR(#REF!/#REF!,"")</f>
        <v/>
      </c>
      <c r="Y54" s="84" t="str">
        <f>+IFERROR(#REF!/#REF!,"")</f>
        <v/>
      </c>
      <c r="Z54" s="84" t="str">
        <f>+IFERROR(#REF!/#REF!,"")</f>
        <v/>
      </c>
      <c r="AA54" s="84" t="str">
        <f>+IFERROR(#REF!/#REF!,"")</f>
        <v/>
      </c>
      <c r="AB54" s="84">
        <f>+IFERROR(N54/H54,"")</f>
        <v>0.21682266834190153</v>
      </c>
      <c r="AD54" s="139">
        <f t="shared" si="4"/>
        <v>8.3036458631703142E-2</v>
      </c>
      <c r="AE54" s="139">
        <f t="shared" si="4"/>
        <v>-2.9001287843372164E-2</v>
      </c>
      <c r="AF54" s="139">
        <f t="shared" si="3"/>
        <v>-0.16595701020372616</v>
      </c>
      <c r="AG54" s="139" t="str">
        <f t="shared" si="3"/>
        <v/>
      </c>
      <c r="AH54" s="139" t="str">
        <f t="shared" si="3"/>
        <v/>
      </c>
      <c r="AI54" s="139" t="str">
        <f t="shared" si="3"/>
        <v/>
      </c>
      <c r="AJ54" s="139" t="str">
        <f t="shared" si="3"/>
        <v/>
      </c>
      <c r="AK54" s="139" t="str">
        <f t="shared" si="3"/>
        <v/>
      </c>
      <c r="AL54" s="139" t="str">
        <f t="shared" si="3"/>
        <v/>
      </c>
      <c r="AM54" s="139" t="str">
        <f t="shared" si="3"/>
        <v/>
      </c>
      <c r="AN54" s="139" t="str">
        <f t="shared" si="3"/>
        <v/>
      </c>
      <c r="AP54" s="82">
        <f t="shared" si="5"/>
        <v>9.4690072799513052E-4</v>
      </c>
      <c r="AQ54" s="82">
        <f t="shared" si="2"/>
        <v>0.82907634201138758</v>
      </c>
    </row>
    <row r="55" spans="2:43" x14ac:dyDescent="0.35">
      <c r="B55" s="83" t="s">
        <v>137</v>
      </c>
      <c r="D55" s="137">
        <v>2607780</v>
      </c>
      <c r="E55" s="137">
        <v>2848461</v>
      </c>
      <c r="F55" s="137">
        <v>3119669</v>
      </c>
      <c r="G55" s="137">
        <v>383287</v>
      </c>
      <c r="H55" s="137">
        <f>+SUM(D55:G55)</f>
        <v>8959197</v>
      </c>
      <c r="J55" s="137">
        <v>532879</v>
      </c>
      <c r="K55" s="137">
        <v>588193</v>
      </c>
      <c r="L55" s="137">
        <v>635172</v>
      </c>
      <c r="M55" s="137">
        <v>79832</v>
      </c>
      <c r="N55" s="137">
        <f>+SUM(J55:M55)</f>
        <v>1836076</v>
      </c>
      <c r="P55" s="84">
        <f>+IFERROR(J55/D55,"")</f>
        <v>0.20434200737792299</v>
      </c>
      <c r="Q55" s="84">
        <f>+IFERROR(K55/E55,"")</f>
        <v>0.20649501608061335</v>
      </c>
      <c r="R55" s="84">
        <f>+IFERROR(L55/F55,"")</f>
        <v>0.20360236935392825</v>
      </c>
      <c r="S55" s="84">
        <f>+IFERROR(M55/G55,"")</f>
        <v>0.20828256632758221</v>
      </c>
      <c r="T55" s="84" t="str">
        <f>+IFERROR(#REF!/#REF!,"")</f>
        <v/>
      </c>
      <c r="U55" s="84" t="str">
        <f>+IFERROR(#REF!/#REF!,"")</f>
        <v/>
      </c>
      <c r="V55" s="84" t="str">
        <f>+IFERROR(#REF!/#REF!,"")</f>
        <v/>
      </c>
      <c r="W55" s="84" t="str">
        <f>+IFERROR(#REF!/#REF!,"")</f>
        <v/>
      </c>
      <c r="X55" s="84" t="str">
        <f>+IFERROR(#REF!/#REF!,"")</f>
        <v/>
      </c>
      <c r="Y55" s="84" t="str">
        <f>+IFERROR(#REF!/#REF!,"")</f>
        <v/>
      </c>
      <c r="Z55" s="84" t="str">
        <f>+IFERROR(#REF!/#REF!,"")</f>
        <v/>
      </c>
      <c r="AA55" s="84" t="str">
        <f>+IFERROR(#REF!/#REF!,"")</f>
        <v/>
      </c>
      <c r="AB55" s="84">
        <f>+IFERROR(N55/H55,"")</f>
        <v>0.20493756304275931</v>
      </c>
      <c r="AD55" s="139">
        <f t="shared" si="4"/>
        <v>2.1530087026903622E-3</v>
      </c>
      <c r="AE55" s="139">
        <f t="shared" si="4"/>
        <v>-2.8926467266850997E-3</v>
      </c>
      <c r="AF55" s="139">
        <f t="shared" si="3"/>
        <v>4.6801969736539606E-3</v>
      </c>
      <c r="AG55" s="139" t="str">
        <f t="shared" si="3"/>
        <v/>
      </c>
      <c r="AH55" s="139" t="str">
        <f t="shared" si="3"/>
        <v/>
      </c>
      <c r="AI55" s="139" t="str">
        <f t="shared" si="3"/>
        <v/>
      </c>
      <c r="AJ55" s="139" t="str">
        <f t="shared" si="3"/>
        <v/>
      </c>
      <c r="AK55" s="139" t="str">
        <f t="shared" si="3"/>
        <v/>
      </c>
      <c r="AL55" s="139" t="str">
        <f t="shared" si="3"/>
        <v/>
      </c>
      <c r="AM55" s="139" t="str">
        <f t="shared" si="3"/>
        <v/>
      </c>
      <c r="AN55" s="139" t="str">
        <f t="shared" si="3"/>
        <v/>
      </c>
      <c r="AP55" s="82">
        <f t="shared" si="5"/>
        <v>2.199692172771643E-3</v>
      </c>
      <c r="AQ55" s="82">
        <f t="shared" si="2"/>
        <v>0.83127603418415918</v>
      </c>
    </row>
    <row r="56" spans="2:43" x14ac:dyDescent="0.35">
      <c r="B56" s="83" t="s">
        <v>138</v>
      </c>
      <c r="D56" s="137">
        <v>29858618</v>
      </c>
      <c r="E56" s="137">
        <v>53429301</v>
      </c>
      <c r="F56" s="137">
        <v>35969565</v>
      </c>
      <c r="G56" s="137">
        <v>1537141</v>
      </c>
      <c r="H56" s="137">
        <f>+SUM(D56:G56)</f>
        <v>120794625</v>
      </c>
      <c r="J56" s="137">
        <v>4039090</v>
      </c>
      <c r="K56" s="137">
        <v>6506500</v>
      </c>
      <c r="L56" s="137">
        <v>4417535</v>
      </c>
      <c r="M56" s="137">
        <v>120030</v>
      </c>
      <c r="N56" s="137">
        <f>+SUM(J56:M56)</f>
        <v>15083155</v>
      </c>
      <c r="P56" s="84">
        <f>+IFERROR(J56/D56,"")</f>
        <v>0.13527384288181055</v>
      </c>
      <c r="Q56" s="84">
        <f>+IFERROR(K56/E56,"")</f>
        <v>0.12177774887977666</v>
      </c>
      <c r="R56" s="84">
        <f>+IFERROR(L56/F56,"")</f>
        <v>0.12281313382577744</v>
      </c>
      <c r="S56" s="84">
        <f>+IFERROR(M56/G56,"")</f>
        <v>7.808652556922234E-2</v>
      </c>
      <c r="T56" s="84" t="str">
        <f>+IFERROR(#REF!/#REF!,"")</f>
        <v/>
      </c>
      <c r="U56" s="84" t="str">
        <f>+IFERROR(#REF!/#REF!,"")</f>
        <v/>
      </c>
      <c r="V56" s="84" t="str">
        <f>+IFERROR(#REF!/#REF!,"")</f>
        <v/>
      </c>
      <c r="W56" s="84" t="str">
        <f>+IFERROR(#REF!/#REF!,"")</f>
        <v/>
      </c>
      <c r="X56" s="84" t="str">
        <f>+IFERROR(#REF!/#REF!,"")</f>
        <v/>
      </c>
      <c r="Y56" s="84" t="str">
        <f>+IFERROR(#REF!/#REF!,"")</f>
        <v/>
      </c>
      <c r="Z56" s="84" t="str">
        <f>+IFERROR(#REF!/#REF!,"")</f>
        <v/>
      </c>
      <c r="AA56" s="84" t="str">
        <f>+IFERROR(#REF!/#REF!,"")</f>
        <v/>
      </c>
      <c r="AB56" s="84">
        <f>+IFERROR(N56/H56,"")</f>
        <v>0.12486611055748549</v>
      </c>
      <c r="AD56" s="139">
        <f t="shared" si="4"/>
        <v>-1.3496094002033887E-2</v>
      </c>
      <c r="AE56" s="139">
        <f t="shared" si="4"/>
        <v>1.035384946000778E-3</v>
      </c>
      <c r="AF56" s="139">
        <f t="shared" si="3"/>
        <v>-4.4726608256555098E-2</v>
      </c>
      <c r="AG56" s="139" t="str">
        <f t="shared" si="3"/>
        <v/>
      </c>
      <c r="AH56" s="139" t="str">
        <f t="shared" si="3"/>
        <v/>
      </c>
      <c r="AI56" s="139" t="str">
        <f t="shared" ref="AI56:AN86" si="6">+IFERROR(V56-U56,"")</f>
        <v/>
      </c>
      <c r="AJ56" s="139" t="str">
        <f t="shared" si="6"/>
        <v/>
      </c>
      <c r="AK56" s="139" t="str">
        <f t="shared" si="6"/>
        <v/>
      </c>
      <c r="AL56" s="139" t="str">
        <f t="shared" si="6"/>
        <v/>
      </c>
      <c r="AM56" s="139" t="str">
        <f t="shared" si="6"/>
        <v/>
      </c>
      <c r="AN56" s="139" t="str">
        <f t="shared" si="6"/>
        <v/>
      </c>
      <c r="AP56" s="82">
        <f t="shared" si="5"/>
        <v>1.8070220401661733E-2</v>
      </c>
      <c r="AQ56" s="82">
        <f t="shared" si="2"/>
        <v>0.84934625458582091</v>
      </c>
    </row>
    <row r="57" spans="2:43" x14ac:dyDescent="0.35">
      <c r="B57" s="83" t="s">
        <v>139</v>
      </c>
      <c r="D57" s="137">
        <v>2827833</v>
      </c>
      <c r="E57" s="137">
        <v>2775763</v>
      </c>
      <c r="F57" s="137">
        <v>3032666</v>
      </c>
      <c r="G57" s="137">
        <v>465106</v>
      </c>
      <c r="H57" s="137">
        <f>+SUM(D57:G57)</f>
        <v>9101368</v>
      </c>
      <c r="J57" s="137">
        <v>409711</v>
      </c>
      <c r="K57" s="137">
        <v>406361</v>
      </c>
      <c r="L57" s="137">
        <v>451950</v>
      </c>
      <c r="M57" s="137">
        <v>70922</v>
      </c>
      <c r="N57" s="137">
        <f>+SUM(J57:M57)</f>
        <v>1338944</v>
      </c>
      <c r="P57" s="84">
        <f>+IFERROR(J57/D57,"")</f>
        <v>0.14488514703661778</v>
      </c>
      <c r="Q57" s="84">
        <f>+IFERROR(K57/E57,"")</f>
        <v>0.14639614405120321</v>
      </c>
      <c r="R57" s="84">
        <f>+IFERROR(L57/F57,"")</f>
        <v>0.14902729149863519</v>
      </c>
      <c r="S57" s="84">
        <f>+IFERROR(M57/G57,"")</f>
        <v>0.15248566993330553</v>
      </c>
      <c r="T57" s="84" t="str">
        <f>+IFERROR(#REF!/#REF!,"")</f>
        <v/>
      </c>
      <c r="U57" s="84" t="str">
        <f>+IFERROR(#REF!/#REF!,"")</f>
        <v/>
      </c>
      <c r="V57" s="84" t="str">
        <f>+IFERROR(#REF!/#REF!,"")</f>
        <v/>
      </c>
      <c r="W57" s="84" t="str">
        <f>+IFERROR(#REF!/#REF!,"")</f>
        <v/>
      </c>
      <c r="X57" s="84" t="str">
        <f>+IFERROR(#REF!/#REF!,"")</f>
        <v/>
      </c>
      <c r="Y57" s="84" t="str">
        <f>+IFERROR(#REF!/#REF!,"")</f>
        <v/>
      </c>
      <c r="Z57" s="84" t="str">
        <f>+IFERROR(#REF!/#REF!,"")</f>
        <v/>
      </c>
      <c r="AA57" s="84" t="str">
        <f>+IFERROR(#REF!/#REF!,"")</f>
        <v/>
      </c>
      <c r="AB57" s="84">
        <f>+IFERROR(N57/H57,"")</f>
        <v>0.14711458760924731</v>
      </c>
      <c r="AD57" s="139">
        <f t="shared" si="4"/>
        <v>1.5109970145854301E-3</v>
      </c>
      <c r="AE57" s="139">
        <f t="shared" si="4"/>
        <v>2.6311474474319807E-3</v>
      </c>
      <c r="AF57" s="139">
        <f t="shared" si="4"/>
        <v>3.4583784346703395E-3</v>
      </c>
      <c r="AG57" s="139" t="str">
        <f t="shared" si="4"/>
        <v/>
      </c>
      <c r="AH57" s="139" t="str">
        <f t="shared" si="4"/>
        <v/>
      </c>
      <c r="AI57" s="139" t="str">
        <f t="shared" si="6"/>
        <v/>
      </c>
      <c r="AJ57" s="139" t="str">
        <f t="shared" si="6"/>
        <v/>
      </c>
      <c r="AK57" s="139" t="str">
        <f t="shared" si="6"/>
        <v/>
      </c>
      <c r="AL57" s="139" t="str">
        <f t="shared" si="6"/>
        <v/>
      </c>
      <c r="AM57" s="139" t="str">
        <f t="shared" si="6"/>
        <v/>
      </c>
      <c r="AN57" s="139" t="str">
        <f t="shared" si="6"/>
        <v/>
      </c>
      <c r="AP57" s="82">
        <f t="shared" si="5"/>
        <v>1.6041082376653006E-3</v>
      </c>
      <c r="AQ57" s="82">
        <f t="shared" si="2"/>
        <v>0.85095036282348624</v>
      </c>
    </row>
    <row r="58" spans="2:43" x14ac:dyDescent="0.35">
      <c r="B58" s="83" t="s">
        <v>140</v>
      </c>
      <c r="D58" s="137">
        <v>569623</v>
      </c>
      <c r="E58" s="137">
        <v>535983</v>
      </c>
      <c r="F58" s="137">
        <v>607612</v>
      </c>
      <c r="G58" s="137">
        <v>112615</v>
      </c>
      <c r="H58" s="137">
        <f>+SUM(D58:G58)</f>
        <v>1825833</v>
      </c>
      <c r="J58" s="137">
        <v>84501</v>
      </c>
      <c r="K58" s="137">
        <v>100687</v>
      </c>
      <c r="L58" s="137">
        <v>95861</v>
      </c>
      <c r="M58" s="137">
        <v>14867</v>
      </c>
      <c r="N58" s="137">
        <f>+SUM(J58:M58)</f>
        <v>295916</v>
      </c>
      <c r="P58" s="84">
        <f>+IFERROR(J58/D58,"")</f>
        <v>0.14834548464510738</v>
      </c>
      <c r="Q58" s="84">
        <f>+IFERROR(K58/E58,"")</f>
        <v>0.187854838679585</v>
      </c>
      <c r="R58" s="84">
        <f>+IFERROR(L58/F58,"")</f>
        <v>0.15776679854907408</v>
      </c>
      <c r="S58" s="84">
        <f>+IFERROR(M58/G58,"")</f>
        <v>0.13201616125738133</v>
      </c>
      <c r="T58" s="84" t="str">
        <f>+IFERROR(#REF!/#REF!,"")</f>
        <v/>
      </c>
      <c r="U58" s="84" t="str">
        <f>+IFERROR(#REF!/#REF!,"")</f>
        <v/>
      </c>
      <c r="V58" s="84" t="str">
        <f>+IFERROR(#REF!/#REF!,"")</f>
        <v/>
      </c>
      <c r="W58" s="84" t="str">
        <f>+IFERROR(#REF!/#REF!,"")</f>
        <v/>
      </c>
      <c r="X58" s="84" t="str">
        <f>+IFERROR(#REF!/#REF!,"")</f>
        <v/>
      </c>
      <c r="Y58" s="84" t="str">
        <f>+IFERROR(#REF!/#REF!,"")</f>
        <v/>
      </c>
      <c r="Z58" s="84" t="str">
        <f>+IFERROR(#REF!/#REF!,"")</f>
        <v/>
      </c>
      <c r="AA58" s="84" t="str">
        <f>+IFERROR(#REF!/#REF!,"")</f>
        <v/>
      </c>
      <c r="AB58" s="84">
        <f>+IFERROR(N58/H58,"")</f>
        <v>0.16207177764888683</v>
      </c>
      <c r="AD58" s="139">
        <f t="shared" si="4"/>
        <v>3.9509354034477612E-2</v>
      </c>
      <c r="AE58" s="139">
        <f t="shared" si="4"/>
        <v>-3.0088040130510918E-2</v>
      </c>
      <c r="AF58" s="139">
        <f t="shared" si="4"/>
        <v>-2.5750637291692746E-2</v>
      </c>
      <c r="AG58" s="139" t="str">
        <f t="shared" si="4"/>
        <v/>
      </c>
      <c r="AH58" s="139" t="str">
        <f t="shared" si="4"/>
        <v/>
      </c>
      <c r="AI58" s="139" t="str">
        <f t="shared" si="6"/>
        <v/>
      </c>
      <c r="AJ58" s="139" t="str">
        <f t="shared" si="6"/>
        <v/>
      </c>
      <c r="AK58" s="139" t="str">
        <f t="shared" si="6"/>
        <v/>
      </c>
      <c r="AL58" s="139" t="str">
        <f t="shared" si="6"/>
        <v/>
      </c>
      <c r="AM58" s="139" t="str">
        <f t="shared" si="6"/>
        <v/>
      </c>
      <c r="AN58" s="139" t="str">
        <f t="shared" si="6"/>
        <v/>
      </c>
      <c r="AP58" s="82">
        <f t="shared" si="5"/>
        <v>3.5451915334544618E-4</v>
      </c>
      <c r="AQ58" s="82">
        <f t="shared" si="2"/>
        <v>0.85130488197683174</v>
      </c>
    </row>
    <row r="59" spans="2:43" x14ac:dyDescent="0.35">
      <c r="B59" s="83" t="s">
        <v>141</v>
      </c>
      <c r="D59" s="137">
        <v>2103572</v>
      </c>
      <c r="E59" s="137">
        <v>1908003</v>
      </c>
      <c r="F59" s="137">
        <v>2007421</v>
      </c>
      <c r="G59" s="137">
        <v>334529</v>
      </c>
      <c r="H59" s="137">
        <f>+SUM(D59:G59)</f>
        <v>6353525</v>
      </c>
      <c r="J59" s="137">
        <v>533244</v>
      </c>
      <c r="K59" s="137">
        <v>439962</v>
      </c>
      <c r="L59" s="137">
        <v>452825</v>
      </c>
      <c r="M59" s="137">
        <v>71099</v>
      </c>
      <c r="N59" s="137">
        <f>+SUM(J59:M59)</f>
        <v>1497130</v>
      </c>
      <c r="P59" s="84">
        <f>+IFERROR(J59/D59,"")</f>
        <v>0.25349453215768225</v>
      </c>
      <c r="Q59" s="84">
        <f>+IFERROR(K59/E59,"")</f>
        <v>0.23058768775520794</v>
      </c>
      <c r="R59" s="84">
        <f>+IFERROR(L59/F59,"")</f>
        <v>0.22557550209945995</v>
      </c>
      <c r="S59" s="84">
        <f>+IFERROR(M59/G59,"")</f>
        <v>0.21253463825258798</v>
      </c>
      <c r="T59" s="84" t="str">
        <f>+IFERROR(#REF!/#REF!,"")</f>
        <v/>
      </c>
      <c r="U59" s="84" t="str">
        <f>+IFERROR(#REF!/#REF!,"")</f>
        <v/>
      </c>
      <c r="V59" s="84" t="str">
        <f>+IFERROR(#REF!/#REF!,"")</f>
        <v/>
      </c>
      <c r="W59" s="84" t="str">
        <f>+IFERROR(#REF!/#REF!,"")</f>
        <v/>
      </c>
      <c r="X59" s="84" t="str">
        <f>+IFERROR(#REF!/#REF!,"")</f>
        <v/>
      </c>
      <c r="Y59" s="84" t="str">
        <f>+IFERROR(#REF!/#REF!,"")</f>
        <v/>
      </c>
      <c r="Z59" s="84" t="str">
        <f>+IFERROR(#REF!/#REF!,"")</f>
        <v/>
      </c>
      <c r="AA59" s="84" t="str">
        <f>+IFERROR(#REF!/#REF!,"")</f>
        <v/>
      </c>
      <c r="AB59" s="84">
        <f>+IFERROR(N59/H59,"")</f>
        <v>0.23563769718384675</v>
      </c>
      <c r="AD59" s="139">
        <f t="shared" si="4"/>
        <v>-2.2906844402474313E-2</v>
      </c>
      <c r="AE59" s="139">
        <f t="shared" si="4"/>
        <v>-5.012185655747986E-3</v>
      </c>
      <c r="AF59" s="139">
        <f t="shared" si="4"/>
        <v>-1.3040863846871975E-2</v>
      </c>
      <c r="AG59" s="139" t="str">
        <f t="shared" si="4"/>
        <v/>
      </c>
      <c r="AH59" s="139" t="str">
        <f t="shared" si="4"/>
        <v/>
      </c>
      <c r="AI59" s="139" t="str">
        <f t="shared" si="6"/>
        <v/>
      </c>
      <c r="AJ59" s="139" t="str">
        <f t="shared" si="6"/>
        <v/>
      </c>
      <c r="AK59" s="139" t="str">
        <f t="shared" si="6"/>
        <v/>
      </c>
      <c r="AL59" s="139" t="str">
        <f t="shared" si="6"/>
        <v/>
      </c>
      <c r="AM59" s="139" t="str">
        <f t="shared" si="6"/>
        <v/>
      </c>
      <c r="AN59" s="139" t="str">
        <f t="shared" si="6"/>
        <v/>
      </c>
      <c r="AP59" s="82">
        <f t="shared" si="5"/>
        <v>1.7936213656850857E-3</v>
      </c>
      <c r="AQ59" s="82">
        <f t="shared" si="2"/>
        <v>0.8530985033425168</v>
      </c>
    </row>
    <row r="60" spans="2:43" x14ac:dyDescent="0.35">
      <c r="B60" s="83" t="s">
        <v>142</v>
      </c>
      <c r="D60" s="137">
        <v>3140991</v>
      </c>
      <c r="E60" s="137">
        <v>3089175</v>
      </c>
      <c r="F60" s="137">
        <v>2996174</v>
      </c>
      <c r="G60" s="137">
        <v>527470</v>
      </c>
      <c r="H60" s="137">
        <f>+SUM(D60:G60)</f>
        <v>9753810</v>
      </c>
      <c r="J60" s="137">
        <v>629313</v>
      </c>
      <c r="K60" s="137">
        <v>648207</v>
      </c>
      <c r="L60" s="137">
        <v>581963</v>
      </c>
      <c r="M60" s="137">
        <v>95422</v>
      </c>
      <c r="N60" s="137">
        <f>+SUM(J60:M60)</f>
        <v>1954905</v>
      </c>
      <c r="P60" s="84">
        <f>+IFERROR(J60/D60,"")</f>
        <v>0.20035491983262607</v>
      </c>
      <c r="Q60" s="84">
        <f>+IFERROR(K60/E60,"")</f>
        <v>0.2098317511957076</v>
      </c>
      <c r="R60" s="84">
        <f>+IFERROR(L60/F60,"")</f>
        <v>0.19423538152323597</v>
      </c>
      <c r="S60" s="84">
        <f>+IFERROR(M60/G60,"")</f>
        <v>0.18090507517015186</v>
      </c>
      <c r="T60" s="84" t="str">
        <f>+IFERROR(#REF!/#REF!,"")</f>
        <v/>
      </c>
      <c r="U60" s="84" t="str">
        <f>+IFERROR(#REF!/#REF!,"")</f>
        <v/>
      </c>
      <c r="V60" s="84" t="str">
        <f>+IFERROR(#REF!/#REF!,"")</f>
        <v/>
      </c>
      <c r="W60" s="84" t="str">
        <f>+IFERROR(#REF!/#REF!,"")</f>
        <v/>
      </c>
      <c r="X60" s="84" t="str">
        <f>+IFERROR(#REF!/#REF!,"")</f>
        <v/>
      </c>
      <c r="Y60" s="84" t="str">
        <f>+IFERROR(#REF!/#REF!,"")</f>
        <v/>
      </c>
      <c r="Z60" s="84" t="str">
        <f>+IFERROR(#REF!/#REF!,"")</f>
        <v/>
      </c>
      <c r="AA60" s="84" t="str">
        <f>+IFERROR(#REF!/#REF!,"")</f>
        <v/>
      </c>
      <c r="AB60" s="84">
        <f>+IFERROR(N60/H60,"")</f>
        <v>0.20042475709491983</v>
      </c>
      <c r="AD60" s="139">
        <f t="shared" si="4"/>
        <v>9.4768313630815282E-3</v>
      </c>
      <c r="AE60" s="139">
        <f t="shared" si="4"/>
        <v>-1.5596369672471633E-2</v>
      </c>
      <c r="AF60" s="139">
        <f t="shared" si="4"/>
        <v>-1.3330306353084104E-2</v>
      </c>
      <c r="AG60" s="139" t="str">
        <f t="shared" si="4"/>
        <v/>
      </c>
      <c r="AH60" s="139" t="str">
        <f t="shared" si="4"/>
        <v/>
      </c>
      <c r="AI60" s="139" t="str">
        <f t="shared" si="6"/>
        <v/>
      </c>
      <c r="AJ60" s="139" t="str">
        <f t="shared" si="6"/>
        <v/>
      </c>
      <c r="AK60" s="139" t="str">
        <f t="shared" si="6"/>
        <v/>
      </c>
      <c r="AL60" s="139" t="str">
        <f t="shared" si="6"/>
        <v/>
      </c>
      <c r="AM60" s="139" t="str">
        <f t="shared" si="6"/>
        <v/>
      </c>
      <c r="AN60" s="139" t="str">
        <f t="shared" si="6"/>
        <v/>
      </c>
      <c r="AP60" s="82">
        <f t="shared" si="5"/>
        <v>2.3420540473336336E-3</v>
      </c>
      <c r="AQ60" s="82">
        <f t="shared" si="2"/>
        <v>0.85544055738985048</v>
      </c>
    </row>
    <row r="61" spans="2:43" x14ac:dyDescent="0.35">
      <c r="B61" s="83" t="s">
        <v>143</v>
      </c>
      <c r="D61" s="137">
        <v>2381200</v>
      </c>
      <c r="E61" s="137">
        <v>1941872</v>
      </c>
      <c r="F61" s="137">
        <v>1941014</v>
      </c>
      <c r="G61" s="137">
        <v>253585</v>
      </c>
      <c r="H61" s="137">
        <f>+SUM(D61:G61)</f>
        <v>6517671</v>
      </c>
      <c r="J61" s="137">
        <v>447316</v>
      </c>
      <c r="K61" s="137">
        <v>370026</v>
      </c>
      <c r="L61" s="137">
        <v>337978</v>
      </c>
      <c r="M61" s="137">
        <v>60633</v>
      </c>
      <c r="N61" s="137">
        <f>+SUM(J61:M61)</f>
        <v>1215953</v>
      </c>
      <c r="P61" s="84">
        <f>+IFERROR(J61/D61,"")</f>
        <v>0.18785318326894004</v>
      </c>
      <c r="Q61" s="84">
        <f>+IFERROR(K61/E61,"")</f>
        <v>0.19055117948041889</v>
      </c>
      <c r="R61" s="84">
        <f>+IFERROR(L61/F61,"")</f>
        <v>0.17412445247690125</v>
      </c>
      <c r="S61" s="84">
        <f>+IFERROR(M61/G61,"")</f>
        <v>0.23910325926218035</v>
      </c>
      <c r="T61" s="84" t="str">
        <f>+IFERROR(#REF!/#REF!,"")</f>
        <v/>
      </c>
      <c r="U61" s="84" t="str">
        <f>+IFERROR(#REF!/#REF!,"")</f>
        <v/>
      </c>
      <c r="V61" s="84" t="str">
        <f>+IFERROR(#REF!/#REF!,"")</f>
        <v/>
      </c>
      <c r="W61" s="84" t="str">
        <f>+IFERROR(#REF!/#REF!,"")</f>
        <v/>
      </c>
      <c r="X61" s="84" t="str">
        <f>+IFERROR(#REF!/#REF!,"")</f>
        <v/>
      </c>
      <c r="Y61" s="84" t="str">
        <f>+IFERROR(#REF!/#REF!,"")</f>
        <v/>
      </c>
      <c r="Z61" s="84" t="str">
        <f>+IFERROR(#REF!/#REF!,"")</f>
        <v/>
      </c>
      <c r="AA61" s="84" t="str">
        <f>+IFERROR(#REF!/#REF!,"")</f>
        <v/>
      </c>
      <c r="AB61" s="84">
        <f>+IFERROR(N61/H61,"")</f>
        <v>0.18656250062330548</v>
      </c>
      <c r="AD61" s="139">
        <f t="shared" ref="AD61:AN91" si="7">+IFERROR(Q61-P61,"")</f>
        <v>2.6979962114788425E-3</v>
      </c>
      <c r="AE61" s="139">
        <f t="shared" si="7"/>
        <v>-1.6426727003517633E-2</v>
      </c>
      <c r="AF61" s="139">
        <f t="shared" si="7"/>
        <v>6.4978806785279092E-2</v>
      </c>
      <c r="AG61" s="139" t="str">
        <f t="shared" si="7"/>
        <v/>
      </c>
      <c r="AH61" s="139" t="str">
        <f t="shared" si="7"/>
        <v/>
      </c>
      <c r="AI61" s="139" t="str">
        <f t="shared" si="6"/>
        <v/>
      </c>
      <c r="AJ61" s="139" t="str">
        <f t="shared" si="6"/>
        <v/>
      </c>
      <c r="AK61" s="139" t="str">
        <f t="shared" si="6"/>
        <v/>
      </c>
      <c r="AL61" s="139" t="str">
        <f t="shared" si="6"/>
        <v/>
      </c>
      <c r="AM61" s="139" t="str">
        <f t="shared" si="6"/>
        <v/>
      </c>
      <c r="AN61" s="139" t="str">
        <f t="shared" si="6"/>
        <v/>
      </c>
      <c r="AP61" s="82">
        <f t="shared" si="5"/>
        <v>1.4567601213447577E-3</v>
      </c>
      <c r="AQ61" s="82">
        <f t="shared" si="2"/>
        <v>0.85689731751119524</v>
      </c>
    </row>
    <row r="62" spans="2:43" x14ac:dyDescent="0.35">
      <c r="B62" s="83" t="s">
        <v>144</v>
      </c>
      <c r="D62" s="137">
        <v>8241866</v>
      </c>
      <c r="E62" s="137">
        <v>22786394</v>
      </c>
      <c r="F62" s="137">
        <v>20616619</v>
      </c>
      <c r="G62" s="137">
        <v>1214415</v>
      </c>
      <c r="H62" s="137">
        <f>+SUM(D62:G62)</f>
        <v>52859294</v>
      </c>
      <c r="J62" s="137">
        <v>1405259</v>
      </c>
      <c r="K62" s="137">
        <v>3908129</v>
      </c>
      <c r="L62" s="137">
        <v>3199792</v>
      </c>
      <c r="M62" s="137">
        <v>193579</v>
      </c>
      <c r="N62" s="137">
        <f>+SUM(J62:M62)</f>
        <v>8706759</v>
      </c>
      <c r="P62" s="84">
        <f>+IFERROR(J62/D62,"")</f>
        <v>0.1705025294029289</v>
      </c>
      <c r="Q62" s="84">
        <f>+IFERROR(K62/E62,"")</f>
        <v>0.17151151691663016</v>
      </c>
      <c r="R62" s="84">
        <f>+IFERROR(L62/F62,"")</f>
        <v>0.15520449788590457</v>
      </c>
      <c r="S62" s="84">
        <f>+IFERROR(M62/G62,"")</f>
        <v>0.15940102847873255</v>
      </c>
      <c r="T62" s="84" t="str">
        <f>+IFERROR(#REF!/#REF!,"")</f>
        <v/>
      </c>
      <c r="U62" s="84" t="str">
        <f>+IFERROR(#REF!/#REF!,"")</f>
        <v/>
      </c>
      <c r="V62" s="84" t="str">
        <f>+IFERROR(#REF!/#REF!,"")</f>
        <v/>
      </c>
      <c r="W62" s="84" t="str">
        <f>+IFERROR(#REF!/#REF!,"")</f>
        <v/>
      </c>
      <c r="X62" s="84" t="str">
        <f>+IFERROR(#REF!/#REF!,"")</f>
        <v/>
      </c>
      <c r="Y62" s="84" t="str">
        <f>+IFERROR(#REF!/#REF!,"")</f>
        <v/>
      </c>
      <c r="Z62" s="84" t="str">
        <f>+IFERROR(#REF!/#REF!,"")</f>
        <v/>
      </c>
      <c r="AA62" s="84" t="str">
        <f>+IFERROR(#REF!/#REF!,"")</f>
        <v/>
      </c>
      <c r="AB62" s="84">
        <f>+IFERROR(N62/H62,"")</f>
        <v>0.16471576408114721</v>
      </c>
      <c r="AD62" s="139">
        <f t="shared" si="7"/>
        <v>1.0089875137012649E-3</v>
      </c>
      <c r="AE62" s="139">
        <f t="shared" si="7"/>
        <v>-1.6307019030725595E-2</v>
      </c>
      <c r="AF62" s="139">
        <f t="shared" si="7"/>
        <v>4.196530592827985E-3</v>
      </c>
      <c r="AG62" s="139" t="str">
        <f t="shared" si="7"/>
        <v/>
      </c>
      <c r="AH62" s="139" t="str">
        <f t="shared" si="7"/>
        <v/>
      </c>
      <c r="AI62" s="139" t="str">
        <f t="shared" si="6"/>
        <v/>
      </c>
      <c r="AJ62" s="139" t="str">
        <f t="shared" si="6"/>
        <v/>
      </c>
      <c r="AK62" s="139" t="str">
        <f t="shared" si="6"/>
        <v/>
      </c>
      <c r="AL62" s="139" t="str">
        <f t="shared" si="6"/>
        <v/>
      </c>
      <c r="AM62" s="139" t="str">
        <f t="shared" si="6"/>
        <v/>
      </c>
      <c r="AN62" s="139" t="str">
        <f t="shared" si="6"/>
        <v/>
      </c>
      <c r="AP62" s="82">
        <f t="shared" si="5"/>
        <v>1.0431044043116438E-2</v>
      </c>
      <c r="AQ62" s="82">
        <f t="shared" si="2"/>
        <v>0.8673283615543117</v>
      </c>
    </row>
    <row r="63" spans="2:43" x14ac:dyDescent="0.35">
      <c r="B63" s="83" t="s">
        <v>145</v>
      </c>
      <c r="D63" s="137">
        <v>7947340</v>
      </c>
      <c r="E63" s="137">
        <v>6554363</v>
      </c>
      <c r="F63" s="137">
        <v>2246860</v>
      </c>
      <c r="G63" s="137">
        <v>313251</v>
      </c>
      <c r="H63" s="137">
        <f>+SUM(D63:G63)</f>
        <v>17061814</v>
      </c>
      <c r="J63" s="137">
        <v>1251522</v>
      </c>
      <c r="K63" s="137">
        <v>959035</v>
      </c>
      <c r="L63" s="137">
        <v>433032</v>
      </c>
      <c r="M63" s="137">
        <v>75928</v>
      </c>
      <c r="N63" s="137">
        <f>+SUM(J63:M63)</f>
        <v>2719517</v>
      </c>
      <c r="P63" s="84">
        <f>+IFERROR(J63/D63,"")</f>
        <v>0.15747684130790932</v>
      </c>
      <c r="Q63" s="84">
        <f>+IFERROR(K63/E63,"")</f>
        <v>0.14632009243308616</v>
      </c>
      <c r="R63" s="84">
        <f>+IFERROR(L63/F63,"")</f>
        <v>0.19272762877971925</v>
      </c>
      <c r="S63" s="84">
        <f>+IFERROR(M63/G63,"")</f>
        <v>0.24238709533249694</v>
      </c>
      <c r="T63" s="84" t="str">
        <f>+IFERROR(#REF!/#REF!,"")</f>
        <v/>
      </c>
      <c r="U63" s="84" t="str">
        <f>+IFERROR(#REF!/#REF!,"")</f>
        <v/>
      </c>
      <c r="V63" s="84" t="str">
        <f>+IFERROR(#REF!/#REF!,"")</f>
        <v/>
      </c>
      <c r="W63" s="84" t="str">
        <f>+IFERROR(#REF!/#REF!,"")</f>
        <v/>
      </c>
      <c r="X63" s="84" t="str">
        <f>+IFERROR(#REF!/#REF!,"")</f>
        <v/>
      </c>
      <c r="Y63" s="84" t="str">
        <f>+IFERROR(#REF!/#REF!,"")</f>
        <v/>
      </c>
      <c r="Z63" s="84" t="str">
        <f>+IFERROR(#REF!/#REF!,"")</f>
        <v/>
      </c>
      <c r="AA63" s="84" t="str">
        <f>+IFERROR(#REF!/#REF!,"")</f>
        <v/>
      </c>
      <c r="AB63" s="84">
        <f>+IFERROR(N63/H63,"")</f>
        <v>0.15939202009821465</v>
      </c>
      <c r="AD63" s="139">
        <f t="shared" si="7"/>
        <v>-1.1156748874823152E-2</v>
      </c>
      <c r="AE63" s="139">
        <f t="shared" si="7"/>
        <v>4.6407536346633083E-2</v>
      </c>
      <c r="AF63" s="139">
        <f t="shared" si="7"/>
        <v>4.9659466552777698E-2</v>
      </c>
      <c r="AG63" s="139" t="str">
        <f t="shared" si="7"/>
        <v/>
      </c>
      <c r="AH63" s="139" t="str">
        <f t="shared" si="7"/>
        <v/>
      </c>
      <c r="AI63" s="139" t="str">
        <f t="shared" si="6"/>
        <v/>
      </c>
      <c r="AJ63" s="139" t="str">
        <f t="shared" si="6"/>
        <v/>
      </c>
      <c r="AK63" s="139" t="str">
        <f t="shared" si="6"/>
        <v/>
      </c>
      <c r="AL63" s="139" t="str">
        <f t="shared" si="6"/>
        <v/>
      </c>
      <c r="AM63" s="139" t="str">
        <f t="shared" si="6"/>
        <v/>
      </c>
      <c r="AN63" s="139" t="str">
        <f t="shared" si="6"/>
        <v/>
      </c>
      <c r="AP63" s="82">
        <f t="shared" si="5"/>
        <v>3.2580896752745637E-3</v>
      </c>
      <c r="AQ63" s="82">
        <f t="shared" si="2"/>
        <v>0.87058645122958622</v>
      </c>
    </row>
    <row r="64" spans="2:43" x14ac:dyDescent="0.35">
      <c r="B64" s="83" t="s">
        <v>146</v>
      </c>
      <c r="D64" s="137">
        <v>1403061</v>
      </c>
      <c r="E64" s="137">
        <v>1416732</v>
      </c>
      <c r="F64" s="137">
        <v>1850690</v>
      </c>
      <c r="G64" s="137">
        <v>317099</v>
      </c>
      <c r="H64" s="137">
        <f>+SUM(D64:G64)</f>
        <v>4987582</v>
      </c>
      <c r="J64" s="137">
        <v>208718</v>
      </c>
      <c r="K64" s="137">
        <v>212075</v>
      </c>
      <c r="L64" s="137">
        <v>311951</v>
      </c>
      <c r="M64" s="137">
        <v>41551</v>
      </c>
      <c r="N64" s="137">
        <f>+SUM(J64:M64)</f>
        <v>774295</v>
      </c>
      <c r="P64" s="84">
        <f>+IFERROR(J64/D64,"")</f>
        <v>0.14875903471053648</v>
      </c>
      <c r="Q64" s="84">
        <f>+IFERROR(K64/E64,"")</f>
        <v>0.14969309650660817</v>
      </c>
      <c r="R64" s="84">
        <f>+IFERROR(L64/F64,"")</f>
        <v>0.16855929410111903</v>
      </c>
      <c r="S64" s="84">
        <f>+IFERROR(M64/G64,"")</f>
        <v>0.13103478724310075</v>
      </c>
      <c r="T64" s="84" t="str">
        <f>+IFERROR(#REF!/#REF!,"")</f>
        <v/>
      </c>
      <c r="U64" s="84" t="str">
        <f>+IFERROR(#REF!/#REF!,"")</f>
        <v/>
      </c>
      <c r="V64" s="84" t="str">
        <f>+IFERROR(#REF!/#REF!,"")</f>
        <v/>
      </c>
      <c r="W64" s="84" t="str">
        <f>+IFERROR(#REF!/#REF!,"")</f>
        <v/>
      </c>
      <c r="X64" s="84" t="str">
        <f>+IFERROR(#REF!/#REF!,"")</f>
        <v/>
      </c>
      <c r="Y64" s="84" t="str">
        <f>+IFERROR(#REF!/#REF!,"")</f>
        <v/>
      </c>
      <c r="Z64" s="84" t="str">
        <f>+IFERROR(#REF!/#REF!,"")</f>
        <v/>
      </c>
      <c r="AA64" s="84" t="str">
        <f>+IFERROR(#REF!/#REF!,"")</f>
        <v/>
      </c>
      <c r="AB64" s="84">
        <f>+IFERROR(N64/H64,"")</f>
        <v>0.15524456540263398</v>
      </c>
      <c r="AD64" s="139">
        <f t="shared" si="7"/>
        <v>9.3406179607169459E-4</v>
      </c>
      <c r="AE64" s="139">
        <f t="shared" si="7"/>
        <v>1.8866197594510858E-2</v>
      </c>
      <c r="AF64" s="139">
        <f t="shared" si="7"/>
        <v>-3.7524506858018281E-2</v>
      </c>
      <c r="AG64" s="139" t="str">
        <f t="shared" si="7"/>
        <v/>
      </c>
      <c r="AH64" s="139" t="str">
        <f t="shared" si="7"/>
        <v/>
      </c>
      <c r="AI64" s="139" t="str">
        <f t="shared" si="6"/>
        <v/>
      </c>
      <c r="AJ64" s="139" t="str">
        <f t="shared" si="6"/>
        <v/>
      </c>
      <c r="AK64" s="139" t="str">
        <f t="shared" si="6"/>
        <v/>
      </c>
      <c r="AL64" s="139" t="str">
        <f t="shared" si="6"/>
        <v/>
      </c>
      <c r="AM64" s="139" t="str">
        <f t="shared" si="6"/>
        <v/>
      </c>
      <c r="AN64" s="139" t="str">
        <f t="shared" si="6"/>
        <v/>
      </c>
      <c r="AP64" s="82">
        <f t="shared" si="5"/>
        <v>9.2763624758246345E-4</v>
      </c>
      <c r="AQ64" s="82">
        <f t="shared" si="2"/>
        <v>0.87151408747716863</v>
      </c>
    </row>
    <row r="65" spans="2:43" x14ac:dyDescent="0.35">
      <c r="B65" s="83" t="s">
        <v>147</v>
      </c>
      <c r="D65" s="137">
        <v>2873554</v>
      </c>
      <c r="E65" s="137">
        <v>2432206</v>
      </c>
      <c r="F65" s="137">
        <v>3782175</v>
      </c>
      <c r="G65" s="137">
        <v>458853</v>
      </c>
      <c r="H65" s="137">
        <f>+SUM(D65:G65)</f>
        <v>9546788</v>
      </c>
      <c r="J65" s="137">
        <v>436800</v>
      </c>
      <c r="K65" s="137">
        <v>324209</v>
      </c>
      <c r="L65" s="137">
        <v>523517</v>
      </c>
      <c r="M65" s="137">
        <v>46365</v>
      </c>
      <c r="N65" s="137">
        <f>+SUM(J65:M65)</f>
        <v>1330891</v>
      </c>
      <c r="P65" s="84">
        <f>+IFERROR(J65/D65,"")</f>
        <v>0.15200688763809556</v>
      </c>
      <c r="Q65" s="84">
        <f>+IFERROR(K65/E65,"")</f>
        <v>0.13329833081572859</v>
      </c>
      <c r="R65" s="84">
        <f>+IFERROR(L65/F65,"")</f>
        <v>0.13841691619240251</v>
      </c>
      <c r="S65" s="84">
        <f>+IFERROR(M65/G65,"")</f>
        <v>0.1010454328510438</v>
      </c>
      <c r="T65" s="84" t="str">
        <f>+IFERROR(#REF!/#REF!,"")</f>
        <v/>
      </c>
      <c r="U65" s="84" t="str">
        <f>+IFERROR(#REF!/#REF!,"")</f>
        <v/>
      </c>
      <c r="V65" s="84" t="str">
        <f>+IFERROR(#REF!/#REF!,"")</f>
        <v/>
      </c>
      <c r="W65" s="84" t="str">
        <f>+IFERROR(#REF!/#REF!,"")</f>
        <v/>
      </c>
      <c r="X65" s="84" t="str">
        <f>+IFERROR(#REF!/#REF!,"")</f>
        <v/>
      </c>
      <c r="Y65" s="84" t="str">
        <f>+IFERROR(#REF!/#REF!,"")</f>
        <v/>
      </c>
      <c r="Z65" s="84" t="str">
        <f>+IFERROR(#REF!/#REF!,"")</f>
        <v/>
      </c>
      <c r="AA65" s="84" t="str">
        <f>+IFERROR(#REF!/#REF!,"")</f>
        <v/>
      </c>
      <c r="AB65" s="84">
        <f>+IFERROR(N65/H65,"")</f>
        <v>0.13940720166824697</v>
      </c>
      <c r="AD65" s="139">
        <f t="shared" si="7"/>
        <v>-1.8708556822366967E-2</v>
      </c>
      <c r="AE65" s="139">
        <f t="shared" si="7"/>
        <v>5.1185853766739231E-3</v>
      </c>
      <c r="AF65" s="139">
        <f t="shared" si="7"/>
        <v>-3.7371483341358716E-2</v>
      </c>
      <c r="AG65" s="139" t="str">
        <f t="shared" si="7"/>
        <v/>
      </c>
      <c r="AH65" s="139" t="str">
        <f t="shared" si="7"/>
        <v/>
      </c>
      <c r="AI65" s="139" t="str">
        <f t="shared" si="6"/>
        <v/>
      </c>
      <c r="AJ65" s="139" t="str">
        <f t="shared" si="6"/>
        <v/>
      </c>
      <c r="AK65" s="139" t="str">
        <f t="shared" si="6"/>
        <v/>
      </c>
      <c r="AL65" s="139" t="str">
        <f t="shared" si="6"/>
        <v/>
      </c>
      <c r="AM65" s="139" t="str">
        <f t="shared" si="6"/>
        <v/>
      </c>
      <c r="AN65" s="139" t="str">
        <f t="shared" si="6"/>
        <v/>
      </c>
      <c r="AP65" s="82">
        <f t="shared" si="5"/>
        <v>1.5944604229412205E-3</v>
      </c>
      <c r="AQ65" s="82">
        <f t="shared" si="2"/>
        <v>0.87310854790010983</v>
      </c>
    </row>
    <row r="66" spans="2:43" x14ac:dyDescent="0.35">
      <c r="B66" s="83" t="s">
        <v>148</v>
      </c>
      <c r="D66" s="137">
        <v>15393342</v>
      </c>
      <c r="E66" s="137">
        <v>14907478</v>
      </c>
      <c r="F66" s="137">
        <v>18144696</v>
      </c>
      <c r="G66" s="137">
        <v>4356847</v>
      </c>
      <c r="H66" s="137">
        <f>+SUM(D66:G66)</f>
        <v>52802363</v>
      </c>
      <c r="J66" s="137">
        <v>8932167</v>
      </c>
      <c r="K66" s="137">
        <v>8423161</v>
      </c>
      <c r="L66" s="137">
        <v>10034673</v>
      </c>
      <c r="M66" s="137">
        <v>2041299</v>
      </c>
      <c r="N66" s="137">
        <f>+SUM(J66:M66)</f>
        <v>29431300</v>
      </c>
      <c r="P66" s="84">
        <f>+IFERROR(J66/D66,"")</f>
        <v>0.58026171314845076</v>
      </c>
      <c r="Q66" s="84">
        <f>+IFERROR(K66/E66,"")</f>
        <v>0.56502924237084229</v>
      </c>
      <c r="R66" s="84">
        <f>+IFERROR(L66/F66,"")</f>
        <v>0.55303615998857192</v>
      </c>
      <c r="S66" s="84">
        <f>+IFERROR(M66/G66,"")</f>
        <v>0.46852666618772704</v>
      </c>
      <c r="T66" s="84" t="str">
        <f>+IFERROR(#REF!/#REF!,"")</f>
        <v/>
      </c>
      <c r="U66" s="84" t="str">
        <f>+IFERROR(#REF!/#REF!,"")</f>
        <v/>
      </c>
      <c r="V66" s="84" t="str">
        <f>+IFERROR(#REF!/#REF!,"")</f>
        <v/>
      </c>
      <c r="W66" s="84" t="str">
        <f>+IFERROR(#REF!/#REF!,"")</f>
        <v/>
      </c>
      <c r="X66" s="84" t="str">
        <f>+IFERROR(#REF!/#REF!,"")</f>
        <v/>
      </c>
      <c r="Y66" s="84" t="str">
        <f>+IFERROR(#REF!/#REF!,"")</f>
        <v/>
      </c>
      <c r="Z66" s="84" t="str">
        <f>+IFERROR(#REF!/#REF!,"")</f>
        <v/>
      </c>
      <c r="AA66" s="84" t="str">
        <f>+IFERROR(#REF!/#REF!,"")</f>
        <v/>
      </c>
      <c r="AB66" s="84">
        <f>+IFERROR(N66/H66,"")</f>
        <v>0.55738603971189693</v>
      </c>
      <c r="AD66" s="139">
        <f t="shared" si="7"/>
        <v>-1.5232470777608476E-2</v>
      </c>
      <c r="AE66" s="139">
        <f t="shared" si="7"/>
        <v>-1.199308238227037E-2</v>
      </c>
      <c r="AF66" s="139">
        <f t="shared" si="7"/>
        <v>-8.4509493800844881E-2</v>
      </c>
      <c r="AG66" s="139" t="str">
        <f t="shared" si="7"/>
        <v/>
      </c>
      <c r="AH66" s="139" t="str">
        <f t="shared" si="7"/>
        <v/>
      </c>
      <c r="AI66" s="139" t="str">
        <f t="shared" si="6"/>
        <v/>
      </c>
      <c r="AJ66" s="139" t="str">
        <f t="shared" si="6"/>
        <v/>
      </c>
      <c r="AK66" s="139" t="str">
        <f t="shared" si="6"/>
        <v/>
      </c>
      <c r="AL66" s="139" t="str">
        <f t="shared" si="6"/>
        <v/>
      </c>
      <c r="AM66" s="139" t="str">
        <f t="shared" si="6"/>
        <v/>
      </c>
      <c r="AN66" s="139" t="str">
        <f t="shared" si="6"/>
        <v/>
      </c>
      <c r="AP66" s="82">
        <f t="shared" si="5"/>
        <v>3.525986955033128E-2</v>
      </c>
      <c r="AQ66" s="82">
        <f t="shared" si="2"/>
        <v>0.90836841745044117</v>
      </c>
    </row>
    <row r="67" spans="2:43" x14ac:dyDescent="0.35">
      <c r="B67" s="83" t="s">
        <v>149</v>
      </c>
      <c r="D67" s="137">
        <v>1129615</v>
      </c>
      <c r="E67" s="137">
        <v>1169624</v>
      </c>
      <c r="F67" s="137">
        <v>1161125</v>
      </c>
      <c r="G67" s="137">
        <v>155861</v>
      </c>
      <c r="H67" s="137">
        <f>+SUM(D67:G67)</f>
        <v>3616225</v>
      </c>
      <c r="J67" s="137">
        <v>220703</v>
      </c>
      <c r="K67" s="137">
        <v>201241</v>
      </c>
      <c r="L67" s="137">
        <v>210046</v>
      </c>
      <c r="M67" s="137">
        <v>29449</v>
      </c>
      <c r="N67" s="137">
        <f>+SUM(J67:M67)</f>
        <v>661439</v>
      </c>
      <c r="P67" s="84">
        <f>+IFERROR(J67/D67,"")</f>
        <v>0.19537895654714216</v>
      </c>
      <c r="Q67" s="84">
        <f>+IFERROR(K67/E67,"")</f>
        <v>0.17205614795866023</v>
      </c>
      <c r="R67" s="84">
        <f>+IFERROR(L67/F67,"")</f>
        <v>0.18089869738400258</v>
      </c>
      <c r="S67" s="84">
        <f>+IFERROR(M67/G67,"")</f>
        <v>0.18894399496987702</v>
      </c>
      <c r="T67" s="84" t="str">
        <f>+IFERROR(#REF!/#REF!,"")</f>
        <v/>
      </c>
      <c r="U67" s="84" t="str">
        <f>+IFERROR(#REF!/#REF!,"")</f>
        <v/>
      </c>
      <c r="V67" s="84" t="str">
        <f>+IFERROR(#REF!/#REF!,"")</f>
        <v/>
      </c>
      <c r="W67" s="84" t="str">
        <f>+IFERROR(#REF!/#REF!,"")</f>
        <v/>
      </c>
      <c r="X67" s="84" t="str">
        <f>+IFERROR(#REF!/#REF!,"")</f>
        <v/>
      </c>
      <c r="Y67" s="84" t="str">
        <f>+IFERROR(#REF!/#REF!,"")</f>
        <v/>
      </c>
      <c r="Z67" s="84" t="str">
        <f>+IFERROR(#REF!/#REF!,"")</f>
        <v/>
      </c>
      <c r="AA67" s="84" t="str">
        <f>+IFERROR(#REF!/#REF!,"")</f>
        <v/>
      </c>
      <c r="AB67" s="84">
        <f>+IFERROR(N67/H67,"")</f>
        <v>0.18290869622327149</v>
      </c>
      <c r="AD67" s="139">
        <f t="shared" si="7"/>
        <v>-2.332280858848193E-2</v>
      </c>
      <c r="AE67" s="139">
        <f t="shared" si="7"/>
        <v>8.8425494253423498E-3</v>
      </c>
      <c r="AF67" s="139">
        <f t="shared" si="7"/>
        <v>8.0452975858744391E-3</v>
      </c>
      <c r="AG67" s="139" t="str">
        <f t="shared" si="7"/>
        <v/>
      </c>
      <c r="AH67" s="139" t="str">
        <f t="shared" si="7"/>
        <v/>
      </c>
      <c r="AI67" s="139" t="str">
        <f t="shared" si="6"/>
        <v/>
      </c>
      <c r="AJ67" s="139" t="str">
        <f t="shared" si="6"/>
        <v/>
      </c>
      <c r="AK67" s="139" t="str">
        <f t="shared" si="6"/>
        <v/>
      </c>
      <c r="AL67" s="139" t="str">
        <f t="shared" si="6"/>
        <v/>
      </c>
      <c r="AM67" s="139" t="str">
        <f t="shared" si="6"/>
        <v/>
      </c>
      <c r="AN67" s="139" t="str">
        <f t="shared" si="6"/>
        <v/>
      </c>
      <c r="AP67" s="82">
        <f t="shared" si="5"/>
        <v>7.9243026490510339E-4</v>
      </c>
      <c r="AQ67" s="82">
        <f t="shared" si="2"/>
        <v>0.90916084771534622</v>
      </c>
    </row>
    <row r="68" spans="2:43" x14ac:dyDescent="0.35">
      <c r="B68" s="83" t="s">
        <v>150</v>
      </c>
      <c r="D68" s="137">
        <v>2119723</v>
      </c>
      <c r="E68" s="137">
        <v>1481010</v>
      </c>
      <c r="F68" s="137">
        <v>1820775</v>
      </c>
      <c r="G68" s="137">
        <v>157111</v>
      </c>
      <c r="H68" s="137">
        <f>+SUM(D68:G68)</f>
        <v>5578619</v>
      </c>
      <c r="J68" s="137">
        <v>293347</v>
      </c>
      <c r="K68" s="137">
        <v>236900</v>
      </c>
      <c r="L68" s="137">
        <v>294275</v>
      </c>
      <c r="M68" s="137">
        <v>27251</v>
      </c>
      <c r="N68" s="137">
        <f>+SUM(J68:M68)</f>
        <v>851773</v>
      </c>
      <c r="P68" s="84">
        <f>+IFERROR(J68/D68,"")</f>
        <v>0.13838930841435415</v>
      </c>
      <c r="Q68" s="84">
        <f>+IFERROR(K68/E68,"")</f>
        <v>0.15995840676295231</v>
      </c>
      <c r="R68" s="84">
        <f>+IFERROR(L68/F68,"")</f>
        <v>0.16162073842182587</v>
      </c>
      <c r="S68" s="84">
        <f>+IFERROR(M68/G68,"")</f>
        <v>0.17345061771613701</v>
      </c>
      <c r="T68" s="84" t="str">
        <f>+IFERROR(#REF!/#REF!,"")</f>
        <v/>
      </c>
      <c r="U68" s="84" t="str">
        <f>+IFERROR(#REF!/#REF!,"")</f>
        <v/>
      </c>
      <c r="V68" s="84" t="str">
        <f>+IFERROR(#REF!/#REF!,"")</f>
        <v/>
      </c>
      <c r="W68" s="84" t="str">
        <f>+IFERROR(#REF!/#REF!,"")</f>
        <v/>
      </c>
      <c r="X68" s="84" t="str">
        <f>+IFERROR(#REF!/#REF!,"")</f>
        <v/>
      </c>
      <c r="Y68" s="84" t="str">
        <f>+IFERROR(#REF!/#REF!,"")</f>
        <v/>
      </c>
      <c r="Z68" s="84" t="str">
        <f>+IFERROR(#REF!/#REF!,"")</f>
        <v/>
      </c>
      <c r="AA68" s="84" t="str">
        <f>+IFERROR(#REF!/#REF!,"")</f>
        <v/>
      </c>
      <c r="AB68" s="84">
        <f>+IFERROR(N68/H68,"")</f>
        <v>0.15268527927790013</v>
      </c>
      <c r="AD68" s="139">
        <f t="shared" si="7"/>
        <v>2.1569098348598159E-2</v>
      </c>
      <c r="AE68" s="139">
        <f t="shared" si="7"/>
        <v>1.6623316588735559E-3</v>
      </c>
      <c r="AF68" s="139">
        <f t="shared" si="7"/>
        <v>1.1829879294311146E-2</v>
      </c>
      <c r="AG68" s="139" t="str">
        <f t="shared" si="7"/>
        <v/>
      </c>
      <c r="AH68" s="139" t="str">
        <f t="shared" si="7"/>
        <v/>
      </c>
      <c r="AI68" s="139" t="str">
        <f t="shared" si="6"/>
        <v/>
      </c>
      <c r="AJ68" s="139" t="str">
        <f t="shared" si="6"/>
        <v/>
      </c>
      <c r="AK68" s="139" t="str">
        <f t="shared" si="6"/>
        <v/>
      </c>
      <c r="AL68" s="139" t="str">
        <f t="shared" si="6"/>
        <v/>
      </c>
      <c r="AM68" s="139" t="str">
        <f t="shared" si="6"/>
        <v/>
      </c>
      <c r="AN68" s="139" t="str">
        <f t="shared" si="6"/>
        <v/>
      </c>
      <c r="AP68" s="82">
        <f t="shared" si="5"/>
        <v>1.0204579772723028E-3</v>
      </c>
      <c r="AQ68" s="82">
        <f t="shared" si="2"/>
        <v>0.91018130569261857</v>
      </c>
    </row>
    <row r="69" spans="2:43" x14ac:dyDescent="0.35">
      <c r="B69" s="83" t="s">
        <v>151</v>
      </c>
      <c r="D69" s="137">
        <v>59504</v>
      </c>
      <c r="E69" s="137"/>
      <c r="F69" s="137"/>
      <c r="G69" s="137"/>
      <c r="H69" s="137">
        <f>+SUM(D69:G69)</f>
        <v>59504</v>
      </c>
      <c r="J69" s="137">
        <v>9149</v>
      </c>
      <c r="K69" s="137"/>
      <c r="L69" s="137"/>
      <c r="M69" s="137"/>
      <c r="N69" s="137">
        <f>+SUM(J69:M69)</f>
        <v>9149</v>
      </c>
      <c r="P69" s="84">
        <f>+IFERROR(J69/D69,"")</f>
        <v>0.15375436945415435</v>
      </c>
      <c r="Q69" s="84" t="str">
        <f>+IFERROR(K69/E69,"")</f>
        <v/>
      </c>
      <c r="R69" s="84" t="str">
        <f>+IFERROR(L69/F69,"")</f>
        <v/>
      </c>
      <c r="S69" s="84" t="str">
        <f>+IFERROR(M69/G69,"")</f>
        <v/>
      </c>
      <c r="T69" s="84" t="str">
        <f>+IFERROR(#REF!/#REF!,"")</f>
        <v/>
      </c>
      <c r="U69" s="84" t="str">
        <f>+IFERROR(#REF!/#REF!,"")</f>
        <v/>
      </c>
      <c r="V69" s="84" t="str">
        <f>+IFERROR(#REF!/#REF!,"")</f>
        <v/>
      </c>
      <c r="W69" s="84" t="str">
        <f>+IFERROR(#REF!/#REF!,"")</f>
        <v/>
      </c>
      <c r="X69" s="84" t="str">
        <f>+IFERROR(#REF!/#REF!,"")</f>
        <v/>
      </c>
      <c r="Y69" s="84" t="str">
        <f>+IFERROR(#REF!/#REF!,"")</f>
        <v/>
      </c>
      <c r="Z69" s="84" t="str">
        <f>+IFERROR(#REF!/#REF!,"")</f>
        <v/>
      </c>
      <c r="AA69" s="84" t="str">
        <f>+IFERROR(#REF!/#REF!,"")</f>
        <v/>
      </c>
      <c r="AB69" s="84">
        <f>+IFERROR(N69/H69,"")</f>
        <v>0.15375436945415435</v>
      </c>
      <c r="AD69" s="139" t="str">
        <f t="shared" si="7"/>
        <v/>
      </c>
      <c r="AE69" s="139" t="str">
        <f t="shared" si="7"/>
        <v/>
      </c>
      <c r="AF69" s="139" t="str">
        <f t="shared" si="7"/>
        <v/>
      </c>
      <c r="AG69" s="139" t="str">
        <f t="shared" si="7"/>
        <v/>
      </c>
      <c r="AH69" s="139" t="str">
        <f t="shared" si="7"/>
        <v/>
      </c>
      <c r="AI69" s="139" t="str">
        <f t="shared" si="6"/>
        <v/>
      </c>
      <c r="AJ69" s="139" t="str">
        <f t="shared" si="6"/>
        <v/>
      </c>
      <c r="AK69" s="139" t="str">
        <f t="shared" si="6"/>
        <v/>
      </c>
      <c r="AL69" s="139" t="str">
        <f t="shared" si="6"/>
        <v/>
      </c>
      <c r="AM69" s="139" t="str">
        <f t="shared" si="6"/>
        <v/>
      </c>
      <c r="AN69" s="139" t="str">
        <f t="shared" si="6"/>
        <v/>
      </c>
      <c r="AP69" s="82">
        <f t="shared" ref="AP69:AP100" si="8">+N69/$N$235</f>
        <v>1.0960866374097674E-5</v>
      </c>
      <c r="AQ69" s="82">
        <f t="shared" si="2"/>
        <v>0.91019226655899266</v>
      </c>
    </row>
    <row r="70" spans="2:43" x14ac:dyDescent="0.35">
      <c r="B70" s="83" t="s">
        <v>152</v>
      </c>
      <c r="D70" s="137">
        <v>3261574</v>
      </c>
      <c r="E70" s="137">
        <v>3025581</v>
      </c>
      <c r="F70" s="137">
        <v>3299654</v>
      </c>
      <c r="G70" s="137">
        <v>248095</v>
      </c>
      <c r="H70" s="137">
        <f>+SUM(D70:G70)</f>
        <v>9834904</v>
      </c>
      <c r="J70" s="137">
        <v>294904</v>
      </c>
      <c r="K70" s="137">
        <v>243152</v>
      </c>
      <c r="L70" s="137">
        <v>257953</v>
      </c>
      <c r="M70" s="137">
        <v>27597</v>
      </c>
      <c r="N70" s="137">
        <f>+SUM(J70:M70)</f>
        <v>823606</v>
      </c>
      <c r="P70" s="84">
        <f>+IFERROR(J70/D70,"")</f>
        <v>9.0417694033616894E-2</v>
      </c>
      <c r="Q70" s="84">
        <f>+IFERROR(K70/E70,"")</f>
        <v>8.0365390977798976E-2</v>
      </c>
      <c r="R70" s="84">
        <f>+IFERROR(L70/F70,"")</f>
        <v>7.8175772368860488E-2</v>
      </c>
      <c r="S70" s="84">
        <f>+IFERROR(M70/G70,"")</f>
        <v>0.11123561538926621</v>
      </c>
      <c r="T70" s="84" t="str">
        <f>+IFERROR(#REF!/#REF!,"")</f>
        <v/>
      </c>
      <c r="U70" s="84" t="str">
        <f>+IFERROR(#REF!/#REF!,"")</f>
        <v/>
      </c>
      <c r="V70" s="84" t="str">
        <f>+IFERROR(#REF!/#REF!,"")</f>
        <v/>
      </c>
      <c r="W70" s="84" t="str">
        <f>+IFERROR(#REF!/#REF!,"")</f>
        <v/>
      </c>
      <c r="X70" s="84" t="str">
        <f>+IFERROR(#REF!/#REF!,"")</f>
        <v/>
      </c>
      <c r="Y70" s="84" t="str">
        <f>+IFERROR(#REF!/#REF!,"")</f>
        <v/>
      </c>
      <c r="Z70" s="84" t="str">
        <f>+IFERROR(#REF!/#REF!,"")</f>
        <v/>
      </c>
      <c r="AA70" s="84" t="str">
        <f>+IFERROR(#REF!/#REF!,"")</f>
        <v/>
      </c>
      <c r="AB70" s="84">
        <f>+IFERROR(N70/H70,"")</f>
        <v>8.3743166176304312E-2</v>
      </c>
      <c r="AD70" s="139">
        <f t="shared" si="7"/>
        <v>-1.0052303055817918E-2</v>
      </c>
      <c r="AE70" s="139">
        <f t="shared" si="7"/>
        <v>-2.1896186089384873E-3</v>
      </c>
      <c r="AF70" s="139">
        <f t="shared" si="7"/>
        <v>3.3059843020405724E-2</v>
      </c>
      <c r="AG70" s="139" t="str">
        <f t="shared" si="7"/>
        <v/>
      </c>
      <c r="AH70" s="139" t="str">
        <f t="shared" si="7"/>
        <v/>
      </c>
      <c r="AI70" s="139" t="str">
        <f t="shared" si="6"/>
        <v/>
      </c>
      <c r="AJ70" s="139" t="str">
        <f t="shared" si="6"/>
        <v/>
      </c>
      <c r="AK70" s="139" t="str">
        <f t="shared" si="6"/>
        <v/>
      </c>
      <c r="AL70" s="139" t="str">
        <f t="shared" si="6"/>
        <v/>
      </c>
      <c r="AM70" s="139" t="str">
        <f t="shared" si="6"/>
        <v/>
      </c>
      <c r="AN70" s="139" t="str">
        <f t="shared" si="6"/>
        <v/>
      </c>
      <c r="AP70" s="82">
        <f t="shared" si="8"/>
        <v>9.8671278947481565E-4</v>
      </c>
      <c r="AQ70" s="82">
        <f t="shared" ref="AQ70:AQ133" si="9">+AP70+AQ69</f>
        <v>0.91117897934846748</v>
      </c>
    </row>
    <row r="71" spans="2:43" x14ac:dyDescent="0.35">
      <c r="B71" s="83" t="s">
        <v>153</v>
      </c>
      <c r="D71" s="137">
        <v>254131</v>
      </c>
      <c r="E71" s="137">
        <v>245277</v>
      </c>
      <c r="F71" s="137">
        <v>232776</v>
      </c>
      <c r="G71" s="137">
        <v>44099</v>
      </c>
      <c r="H71" s="137">
        <f>+SUM(D71:G71)</f>
        <v>776283</v>
      </c>
      <c r="J71" s="137">
        <v>24240</v>
      </c>
      <c r="K71" s="137">
        <v>32995</v>
      </c>
      <c r="L71" s="137">
        <v>20680</v>
      </c>
      <c r="M71" s="137">
        <v>6263</v>
      </c>
      <c r="N71" s="137">
        <f>+SUM(J71:M71)</f>
        <v>84178</v>
      </c>
      <c r="P71" s="84">
        <f>+IFERROR(J71/D71,"")</f>
        <v>9.5383876819435651E-2</v>
      </c>
      <c r="Q71" s="84">
        <f>+IFERROR(K71/E71,"")</f>
        <v>0.1345213778707339</v>
      </c>
      <c r="R71" s="84">
        <f>+IFERROR(L71/F71,"")</f>
        <v>8.8840773962951508E-2</v>
      </c>
      <c r="S71" s="84">
        <f>+IFERROR(M71/G71,"")</f>
        <v>0.14202136102859475</v>
      </c>
      <c r="T71" s="84" t="str">
        <f>+IFERROR(#REF!/#REF!,"")</f>
        <v/>
      </c>
      <c r="U71" s="84" t="str">
        <f>+IFERROR(#REF!/#REF!,"")</f>
        <v/>
      </c>
      <c r="V71" s="84" t="str">
        <f>+IFERROR(#REF!/#REF!,"")</f>
        <v/>
      </c>
      <c r="W71" s="84" t="str">
        <f>+IFERROR(#REF!/#REF!,"")</f>
        <v/>
      </c>
      <c r="X71" s="84" t="str">
        <f>+IFERROR(#REF!/#REF!,"")</f>
        <v/>
      </c>
      <c r="Y71" s="84" t="str">
        <f>+IFERROR(#REF!/#REF!,"")</f>
        <v/>
      </c>
      <c r="Z71" s="84" t="str">
        <f>+IFERROR(#REF!/#REF!,"")</f>
        <v/>
      </c>
      <c r="AA71" s="84" t="str">
        <f>+IFERROR(#REF!/#REF!,"")</f>
        <v/>
      </c>
      <c r="AB71" s="84">
        <f>+IFERROR(N71/H71,"")</f>
        <v>0.10843725806181509</v>
      </c>
      <c r="AD71" s="139">
        <f t="shared" si="7"/>
        <v>3.9137501051298249E-2</v>
      </c>
      <c r="AE71" s="139">
        <f t="shared" si="7"/>
        <v>-4.5680603907782391E-2</v>
      </c>
      <c r="AF71" s="139">
        <f t="shared" si="7"/>
        <v>5.3180587065643242E-2</v>
      </c>
      <c r="AG71" s="139" t="str">
        <f t="shared" si="7"/>
        <v/>
      </c>
      <c r="AH71" s="139" t="str">
        <f t="shared" si="7"/>
        <v/>
      </c>
      <c r="AI71" s="139" t="str">
        <f t="shared" si="6"/>
        <v/>
      </c>
      <c r="AJ71" s="139" t="str">
        <f t="shared" si="6"/>
        <v/>
      </c>
      <c r="AK71" s="139" t="str">
        <f t="shared" si="6"/>
        <v/>
      </c>
      <c r="AL71" s="139" t="str">
        <f t="shared" si="6"/>
        <v/>
      </c>
      <c r="AM71" s="139" t="str">
        <f t="shared" si="6"/>
        <v/>
      </c>
      <c r="AN71" s="139" t="str">
        <f t="shared" si="6"/>
        <v/>
      </c>
      <c r="AP71" s="82">
        <f t="shared" si="8"/>
        <v>1.0084859652845053E-4</v>
      </c>
      <c r="AQ71" s="82">
        <f t="shared" si="9"/>
        <v>0.91127982794499596</v>
      </c>
    </row>
    <row r="72" spans="2:43" x14ac:dyDescent="0.35">
      <c r="B72" s="83" t="s">
        <v>154</v>
      </c>
      <c r="D72" s="137">
        <v>891268</v>
      </c>
      <c r="E72" s="137">
        <v>962161</v>
      </c>
      <c r="F72" s="137">
        <v>1078607</v>
      </c>
      <c r="G72" s="137">
        <v>148719</v>
      </c>
      <c r="H72" s="137">
        <f>+SUM(D72:G72)</f>
        <v>3080755</v>
      </c>
      <c r="J72" s="137">
        <v>187719</v>
      </c>
      <c r="K72" s="137">
        <v>206023</v>
      </c>
      <c r="L72" s="137">
        <v>267895</v>
      </c>
      <c r="M72" s="137">
        <v>44649</v>
      </c>
      <c r="N72" s="137">
        <f>+SUM(J72:M72)</f>
        <v>706286</v>
      </c>
      <c r="P72" s="84">
        <f>+IFERROR(J72/D72,"")</f>
        <v>0.21062015016807514</v>
      </c>
      <c r="Q72" s="84">
        <f>+IFERROR(K72/E72,"")</f>
        <v>0.21412528672436318</v>
      </c>
      <c r="R72" s="84">
        <f>+IFERROR(L72/F72,"")</f>
        <v>0.24837127888100113</v>
      </c>
      <c r="S72" s="84">
        <f>+IFERROR(M72/G72,"")</f>
        <v>0.30022391221027578</v>
      </c>
      <c r="T72" s="84" t="str">
        <f>+IFERROR(#REF!/#REF!,"")</f>
        <v/>
      </c>
      <c r="U72" s="84" t="str">
        <f>+IFERROR(#REF!/#REF!,"")</f>
        <v/>
      </c>
      <c r="V72" s="84" t="str">
        <f>+IFERROR(#REF!/#REF!,"")</f>
        <v/>
      </c>
      <c r="W72" s="84" t="str">
        <f>+IFERROR(#REF!/#REF!,"")</f>
        <v/>
      </c>
      <c r="X72" s="84" t="str">
        <f>+IFERROR(#REF!/#REF!,"")</f>
        <v/>
      </c>
      <c r="Y72" s="84" t="str">
        <f>+IFERROR(#REF!/#REF!,"")</f>
        <v/>
      </c>
      <c r="Z72" s="84" t="str">
        <f>+IFERROR(#REF!/#REF!,"")</f>
        <v/>
      </c>
      <c r="AA72" s="84" t="str">
        <f>+IFERROR(#REF!/#REF!,"")</f>
        <v/>
      </c>
      <c r="AB72" s="84">
        <f>+IFERROR(N72/H72,"")</f>
        <v>0.22925743851750627</v>
      </c>
      <c r="AD72" s="139">
        <f t="shared" si="7"/>
        <v>3.5051365562880354E-3</v>
      </c>
      <c r="AE72" s="139">
        <f t="shared" si="7"/>
        <v>3.4245992156637955E-2</v>
      </c>
      <c r="AF72" s="139">
        <f t="shared" si="7"/>
        <v>5.1852633329274644E-2</v>
      </c>
      <c r="AG72" s="139" t="str">
        <f t="shared" si="7"/>
        <v/>
      </c>
      <c r="AH72" s="139" t="str">
        <f t="shared" si="7"/>
        <v/>
      </c>
      <c r="AI72" s="139" t="str">
        <f t="shared" si="6"/>
        <v/>
      </c>
      <c r="AJ72" s="139" t="str">
        <f t="shared" si="6"/>
        <v/>
      </c>
      <c r="AK72" s="139" t="str">
        <f t="shared" si="6"/>
        <v/>
      </c>
      <c r="AL72" s="139" t="str">
        <f t="shared" si="6"/>
        <v/>
      </c>
      <c r="AM72" s="139" t="str">
        <f t="shared" si="6"/>
        <v/>
      </c>
      <c r="AN72" s="139" t="str">
        <f t="shared" si="6"/>
        <v/>
      </c>
      <c r="AP72" s="82">
        <f t="shared" si="8"/>
        <v>8.4615875701125258E-4</v>
      </c>
      <c r="AQ72" s="82">
        <f t="shared" si="9"/>
        <v>0.91212598670200717</v>
      </c>
    </row>
    <row r="73" spans="2:43" x14ac:dyDescent="0.35">
      <c r="B73" s="83" t="s">
        <v>155</v>
      </c>
      <c r="D73" s="137">
        <v>810970</v>
      </c>
      <c r="E73" s="137">
        <v>738078</v>
      </c>
      <c r="F73" s="137">
        <v>731198</v>
      </c>
      <c r="G73" s="137">
        <v>75946</v>
      </c>
      <c r="H73" s="137">
        <f>+SUM(D73:G73)</f>
        <v>2356192</v>
      </c>
      <c r="J73" s="137">
        <v>129427</v>
      </c>
      <c r="K73" s="137">
        <v>134448</v>
      </c>
      <c r="L73" s="137">
        <v>112094</v>
      </c>
      <c r="M73" s="137">
        <v>9660</v>
      </c>
      <c r="N73" s="137">
        <f>+SUM(J73:M73)</f>
        <v>385629</v>
      </c>
      <c r="P73" s="84">
        <f>+IFERROR(J73/D73,"")</f>
        <v>0.15959529945620676</v>
      </c>
      <c r="Q73" s="84">
        <f>+IFERROR(K73/E73,"")</f>
        <v>0.18215960914700072</v>
      </c>
      <c r="R73" s="84">
        <f>+IFERROR(L73/F73,"")</f>
        <v>0.15330184163523422</v>
      </c>
      <c r="S73" s="84">
        <f>+IFERROR(M73/G73,"")</f>
        <v>0.12719563900666264</v>
      </c>
      <c r="T73" s="84" t="str">
        <f>+IFERROR(#REF!/#REF!,"")</f>
        <v/>
      </c>
      <c r="U73" s="84" t="str">
        <f>+IFERROR(#REF!/#REF!,"")</f>
        <v/>
      </c>
      <c r="V73" s="84" t="str">
        <f>+IFERROR(#REF!/#REF!,"")</f>
        <v/>
      </c>
      <c r="W73" s="84" t="str">
        <f>+IFERROR(#REF!/#REF!,"")</f>
        <v/>
      </c>
      <c r="X73" s="84" t="str">
        <f>+IFERROR(#REF!/#REF!,"")</f>
        <v/>
      </c>
      <c r="Y73" s="84" t="str">
        <f>+IFERROR(#REF!/#REF!,"")</f>
        <v/>
      </c>
      <c r="Z73" s="84" t="str">
        <f>+IFERROR(#REF!/#REF!,"")</f>
        <v/>
      </c>
      <c r="AA73" s="84" t="str">
        <f>+IFERROR(#REF!/#REF!,"")</f>
        <v/>
      </c>
      <c r="AB73" s="84">
        <f>+IFERROR(N73/H73,"")</f>
        <v>0.16366620377286742</v>
      </c>
      <c r="AD73" s="139">
        <f t="shared" si="7"/>
        <v>2.2564309690793954E-2</v>
      </c>
      <c r="AE73" s="139">
        <f t="shared" si="7"/>
        <v>-2.8857767511766497E-2</v>
      </c>
      <c r="AF73" s="139">
        <f t="shared" si="7"/>
        <v>-2.6106202628571579E-2</v>
      </c>
      <c r="AG73" s="139" t="str">
        <f t="shared" si="7"/>
        <v/>
      </c>
      <c r="AH73" s="139" t="str">
        <f t="shared" si="7"/>
        <v/>
      </c>
      <c r="AI73" s="139" t="str">
        <f t="shared" si="6"/>
        <v/>
      </c>
      <c r="AJ73" s="139" t="str">
        <f t="shared" si="6"/>
        <v/>
      </c>
      <c r="AK73" s="139" t="str">
        <f t="shared" si="6"/>
        <v/>
      </c>
      <c r="AL73" s="139" t="str">
        <f t="shared" si="6"/>
        <v/>
      </c>
      <c r="AM73" s="139" t="str">
        <f t="shared" si="6"/>
        <v/>
      </c>
      <c r="AN73" s="139" t="str">
        <f t="shared" si="6"/>
        <v/>
      </c>
      <c r="AP73" s="82">
        <f t="shared" si="8"/>
        <v>4.6199890031445095E-4</v>
      </c>
      <c r="AQ73" s="82">
        <f t="shared" si="9"/>
        <v>0.91258798560232157</v>
      </c>
    </row>
    <row r="74" spans="2:43" x14ac:dyDescent="0.35">
      <c r="B74" s="83" t="s">
        <v>156</v>
      </c>
      <c r="D74" s="137">
        <v>6154417</v>
      </c>
      <c r="E74" s="137">
        <v>5435931</v>
      </c>
      <c r="F74" s="137">
        <v>5076801</v>
      </c>
      <c r="G74" s="137">
        <v>586033</v>
      </c>
      <c r="H74" s="137">
        <f>+SUM(D74:G74)</f>
        <v>17253182</v>
      </c>
      <c r="J74" s="137">
        <v>1153233</v>
      </c>
      <c r="K74" s="137">
        <v>1016190</v>
      </c>
      <c r="L74" s="137">
        <v>918585</v>
      </c>
      <c r="M74" s="137">
        <v>123959</v>
      </c>
      <c r="N74" s="137">
        <f>+SUM(J74:M74)</f>
        <v>3211967</v>
      </c>
      <c r="P74" s="84">
        <f>+IFERROR(J74/D74,"")</f>
        <v>0.18738298038628193</v>
      </c>
      <c r="Q74" s="84">
        <f>+IFERROR(K74/E74,"")</f>
        <v>0.18693945894456718</v>
      </c>
      <c r="R74" s="84">
        <f>+IFERROR(L74/F74,"")</f>
        <v>0.18093775982158844</v>
      </c>
      <c r="S74" s="84">
        <f>+IFERROR(M74/G74,"")</f>
        <v>0.21152221803209034</v>
      </c>
      <c r="T74" s="84" t="str">
        <f>+IFERROR(#REF!/#REF!,"")</f>
        <v/>
      </c>
      <c r="U74" s="84" t="str">
        <f>+IFERROR(#REF!/#REF!,"")</f>
        <v/>
      </c>
      <c r="V74" s="84" t="str">
        <f>+IFERROR(#REF!/#REF!,"")</f>
        <v/>
      </c>
      <c r="W74" s="84" t="str">
        <f>+IFERROR(#REF!/#REF!,"")</f>
        <v/>
      </c>
      <c r="X74" s="84" t="str">
        <f>+IFERROR(#REF!/#REF!,"")</f>
        <v/>
      </c>
      <c r="Y74" s="84" t="str">
        <f>+IFERROR(#REF!/#REF!,"")</f>
        <v/>
      </c>
      <c r="Z74" s="84" t="str">
        <f>+IFERROR(#REF!/#REF!,"")</f>
        <v/>
      </c>
      <c r="AA74" s="84" t="str">
        <f>+IFERROR(#REF!/#REF!,"")</f>
        <v/>
      </c>
      <c r="AB74" s="84">
        <f>+IFERROR(N74/H74,"")</f>
        <v>0.18616664450650319</v>
      </c>
      <c r="AD74" s="139">
        <f t="shared" si="7"/>
        <v>-4.4352144171475039E-4</v>
      </c>
      <c r="AE74" s="139">
        <f t="shared" si="7"/>
        <v>-6.0016991229787375E-3</v>
      </c>
      <c r="AF74" s="139">
        <f t="shared" si="7"/>
        <v>3.0584458210501902E-2</v>
      </c>
      <c r="AG74" s="139" t="str">
        <f t="shared" si="7"/>
        <v/>
      </c>
      <c r="AH74" s="139" t="str">
        <f t="shared" si="7"/>
        <v/>
      </c>
      <c r="AI74" s="139" t="str">
        <f t="shared" si="6"/>
        <v/>
      </c>
      <c r="AJ74" s="139" t="str">
        <f t="shared" si="6"/>
        <v/>
      </c>
      <c r="AK74" s="139" t="str">
        <f t="shared" si="6"/>
        <v/>
      </c>
      <c r="AL74" s="139" t="str">
        <f t="shared" si="6"/>
        <v/>
      </c>
      <c r="AM74" s="139" t="str">
        <f t="shared" si="6"/>
        <v/>
      </c>
      <c r="AN74" s="139" t="str">
        <f t="shared" si="6"/>
        <v/>
      </c>
      <c r="AP74" s="82">
        <f t="shared" si="8"/>
        <v>3.8480643879124912E-3</v>
      </c>
      <c r="AQ74" s="82">
        <f t="shared" si="9"/>
        <v>0.91643604999023409</v>
      </c>
    </row>
    <row r="75" spans="2:43" x14ac:dyDescent="0.35">
      <c r="B75" s="83" t="s">
        <v>157</v>
      </c>
      <c r="D75" s="137">
        <v>487209</v>
      </c>
      <c r="E75" s="137">
        <v>495917</v>
      </c>
      <c r="F75" s="137">
        <v>580374</v>
      </c>
      <c r="G75" s="137">
        <v>52018</v>
      </c>
      <c r="H75" s="137">
        <f>+SUM(D75:G75)</f>
        <v>1615518</v>
      </c>
      <c r="J75" s="137">
        <v>89271</v>
      </c>
      <c r="K75" s="137">
        <v>58232</v>
      </c>
      <c r="L75" s="137">
        <v>87903</v>
      </c>
      <c r="M75" s="137">
        <v>7979</v>
      </c>
      <c r="N75" s="137">
        <f>+SUM(J75:M75)</f>
        <v>243385</v>
      </c>
      <c r="P75" s="84">
        <f>+IFERROR(J75/D75,"")</f>
        <v>0.18322937384161622</v>
      </c>
      <c r="Q75" s="84">
        <f>+IFERROR(K75/E75,"")</f>
        <v>0.11742287519887401</v>
      </c>
      <c r="R75" s="84">
        <f>+IFERROR(L75/F75,"")</f>
        <v>0.15145923146109233</v>
      </c>
      <c r="S75" s="84">
        <f>+IFERROR(M75/G75,"")</f>
        <v>0.1533892114268138</v>
      </c>
      <c r="T75" s="84" t="str">
        <f>+IFERROR(#REF!/#REF!,"")</f>
        <v/>
      </c>
      <c r="U75" s="84" t="str">
        <f>+IFERROR(#REF!/#REF!,"")</f>
        <v/>
      </c>
      <c r="V75" s="84" t="str">
        <f>+IFERROR(#REF!/#REF!,"")</f>
        <v/>
      </c>
      <c r="W75" s="84" t="str">
        <f>+IFERROR(#REF!/#REF!,"")</f>
        <v/>
      </c>
      <c r="X75" s="84" t="str">
        <f>+IFERROR(#REF!/#REF!,"")</f>
        <v/>
      </c>
      <c r="Y75" s="84" t="str">
        <f>+IFERROR(#REF!/#REF!,"")</f>
        <v/>
      </c>
      <c r="Z75" s="84" t="str">
        <f>+IFERROR(#REF!/#REF!,"")</f>
        <v/>
      </c>
      <c r="AA75" s="84" t="str">
        <f>+IFERROR(#REF!/#REF!,"")</f>
        <v/>
      </c>
      <c r="AB75" s="84">
        <f>+IFERROR(N75/H75,"")</f>
        <v>0.15065446500750843</v>
      </c>
      <c r="AD75" s="139">
        <f t="shared" si="7"/>
        <v>-6.5806498642742212E-2</v>
      </c>
      <c r="AE75" s="139">
        <f t="shared" si="7"/>
        <v>3.403635626221832E-2</v>
      </c>
      <c r="AF75" s="139">
        <f t="shared" si="7"/>
        <v>1.9299799657214733E-3</v>
      </c>
      <c r="AG75" s="139" t="str">
        <f t="shared" si="7"/>
        <v/>
      </c>
      <c r="AH75" s="139" t="str">
        <f t="shared" si="7"/>
        <v/>
      </c>
      <c r="AI75" s="139" t="str">
        <f t="shared" si="6"/>
        <v/>
      </c>
      <c r="AJ75" s="139" t="str">
        <f t="shared" si="6"/>
        <v/>
      </c>
      <c r="AK75" s="139" t="str">
        <f t="shared" si="6"/>
        <v/>
      </c>
      <c r="AL75" s="139" t="str">
        <f t="shared" si="6"/>
        <v/>
      </c>
      <c r="AM75" s="139" t="str">
        <f t="shared" si="6"/>
        <v/>
      </c>
      <c r="AN75" s="139" t="str">
        <f t="shared" si="6"/>
        <v/>
      </c>
      <c r="AP75" s="82">
        <f t="shared" si="8"/>
        <v>2.9158492321125392E-4</v>
      </c>
      <c r="AQ75" s="82">
        <f t="shared" si="9"/>
        <v>0.91672763491344533</v>
      </c>
    </row>
    <row r="76" spans="2:43" x14ac:dyDescent="0.35">
      <c r="B76" s="83" t="s">
        <v>158</v>
      </c>
      <c r="D76" s="137">
        <v>2067583</v>
      </c>
      <c r="E76" s="137">
        <v>2237154</v>
      </c>
      <c r="F76" s="137">
        <v>2336589</v>
      </c>
      <c r="G76" s="137">
        <v>388900</v>
      </c>
      <c r="H76" s="137">
        <f>+SUM(D76:G76)</f>
        <v>7030226</v>
      </c>
      <c r="J76" s="137">
        <v>440597</v>
      </c>
      <c r="K76" s="137">
        <v>443851</v>
      </c>
      <c r="L76" s="137">
        <v>472924</v>
      </c>
      <c r="M76" s="137">
        <v>66644</v>
      </c>
      <c r="N76" s="137">
        <f>+SUM(J76:M76)</f>
        <v>1424016</v>
      </c>
      <c r="P76" s="84">
        <f>+IFERROR(J76/D76,"")</f>
        <v>0.21309761204266045</v>
      </c>
      <c r="Q76" s="84">
        <f>+IFERROR(K76/E76,"")</f>
        <v>0.19839984194203886</v>
      </c>
      <c r="R76" s="84">
        <f>+IFERROR(L76/F76,"")</f>
        <v>0.20239930942069828</v>
      </c>
      <c r="S76" s="84">
        <f>+IFERROR(M76/G76,"")</f>
        <v>0.17136538956029829</v>
      </c>
      <c r="T76" s="84" t="str">
        <f>+IFERROR(#REF!/#REF!,"")</f>
        <v/>
      </c>
      <c r="U76" s="84" t="str">
        <f>+IFERROR(#REF!/#REF!,"")</f>
        <v/>
      </c>
      <c r="V76" s="84" t="str">
        <f>+IFERROR(#REF!/#REF!,"")</f>
        <v/>
      </c>
      <c r="W76" s="84" t="str">
        <f>+IFERROR(#REF!/#REF!,"")</f>
        <v/>
      </c>
      <c r="X76" s="84" t="str">
        <f>+IFERROR(#REF!/#REF!,"")</f>
        <v/>
      </c>
      <c r="Y76" s="84" t="str">
        <f>+IFERROR(#REF!/#REF!,"")</f>
        <v/>
      </c>
      <c r="Z76" s="84" t="str">
        <f>+IFERROR(#REF!/#REF!,"")</f>
        <v/>
      </c>
      <c r="AA76" s="84" t="str">
        <f>+IFERROR(#REF!/#REF!,"")</f>
        <v/>
      </c>
      <c r="AB76" s="84">
        <f>+IFERROR(N76/H76,"")</f>
        <v>0.20255621938754173</v>
      </c>
      <c r="AD76" s="139">
        <f t="shared" si="7"/>
        <v>-1.4697770100621593E-2</v>
      </c>
      <c r="AE76" s="139">
        <f t="shared" si="7"/>
        <v>3.9994674786594242E-3</v>
      </c>
      <c r="AF76" s="139">
        <f t="shared" si="7"/>
        <v>-3.1033919860399994E-2</v>
      </c>
      <c r="AG76" s="139" t="str">
        <f t="shared" si="7"/>
        <v/>
      </c>
      <c r="AH76" s="139" t="str">
        <f t="shared" si="7"/>
        <v/>
      </c>
      <c r="AI76" s="139" t="str">
        <f t="shared" si="6"/>
        <v/>
      </c>
      <c r="AJ76" s="139" t="str">
        <f t="shared" si="6"/>
        <v/>
      </c>
      <c r="AK76" s="139" t="str">
        <f t="shared" si="6"/>
        <v/>
      </c>
      <c r="AL76" s="139" t="str">
        <f t="shared" si="6"/>
        <v/>
      </c>
      <c r="AM76" s="139" t="str">
        <f t="shared" si="6"/>
        <v/>
      </c>
      <c r="AN76" s="139" t="str">
        <f t="shared" si="6"/>
        <v/>
      </c>
      <c r="AP76" s="82">
        <f t="shared" si="8"/>
        <v>1.7060278817987837E-3</v>
      </c>
      <c r="AQ76" s="82">
        <f t="shared" si="9"/>
        <v>0.91843366279524408</v>
      </c>
    </row>
    <row r="77" spans="2:43" x14ac:dyDescent="0.35">
      <c r="B77" s="83" t="s">
        <v>159</v>
      </c>
      <c r="D77" s="137">
        <v>779639</v>
      </c>
      <c r="E77" s="137">
        <v>705288</v>
      </c>
      <c r="F77" s="137">
        <v>716813</v>
      </c>
      <c r="G77" s="137">
        <v>113443</v>
      </c>
      <c r="H77" s="137">
        <f>+SUM(D77:G77)</f>
        <v>2315183</v>
      </c>
      <c r="J77" s="137">
        <v>128285</v>
      </c>
      <c r="K77" s="137">
        <v>112151</v>
      </c>
      <c r="L77" s="137">
        <v>104832</v>
      </c>
      <c r="M77" s="137">
        <v>14683</v>
      </c>
      <c r="N77" s="137">
        <f>+SUM(J77:M77)</f>
        <v>359951</v>
      </c>
      <c r="P77" s="84">
        <f>+IFERROR(J77/D77,"")</f>
        <v>0.16454410310412895</v>
      </c>
      <c r="Q77" s="84">
        <f>+IFERROR(K77/E77,"")</f>
        <v>0.1590144735200372</v>
      </c>
      <c r="R77" s="84">
        <f>+IFERROR(L77/F77,"")</f>
        <v>0.14624734763459926</v>
      </c>
      <c r="S77" s="84">
        <f>+IFERROR(M77/G77,"")</f>
        <v>0.12943063917562123</v>
      </c>
      <c r="T77" s="84" t="str">
        <f>+IFERROR(#REF!/#REF!,"")</f>
        <v/>
      </c>
      <c r="U77" s="84" t="str">
        <f>+IFERROR(#REF!/#REF!,"")</f>
        <v/>
      </c>
      <c r="V77" s="84" t="str">
        <f>+IFERROR(#REF!/#REF!,"")</f>
        <v/>
      </c>
      <c r="W77" s="84" t="str">
        <f>+IFERROR(#REF!/#REF!,"")</f>
        <v/>
      </c>
      <c r="X77" s="84" t="str">
        <f>+IFERROR(#REF!/#REF!,"")</f>
        <v/>
      </c>
      <c r="Y77" s="84" t="str">
        <f>+IFERROR(#REF!/#REF!,"")</f>
        <v/>
      </c>
      <c r="Z77" s="84" t="str">
        <f>+IFERROR(#REF!/#REF!,"")</f>
        <v/>
      </c>
      <c r="AA77" s="84" t="str">
        <f>+IFERROR(#REF!/#REF!,"")</f>
        <v/>
      </c>
      <c r="AB77" s="84">
        <f>+IFERROR(N77/H77,"")</f>
        <v>0.15547410291108738</v>
      </c>
      <c r="AD77" s="139">
        <f t="shared" si="7"/>
        <v>-5.5296295840917553E-3</v>
      </c>
      <c r="AE77" s="139">
        <f t="shared" si="7"/>
        <v>-1.2767125885437935E-2</v>
      </c>
      <c r="AF77" s="139">
        <f t="shared" si="7"/>
        <v>-1.6816708458978036E-2</v>
      </c>
      <c r="AG77" s="139" t="str">
        <f t="shared" si="7"/>
        <v/>
      </c>
      <c r="AH77" s="139" t="str">
        <f t="shared" si="7"/>
        <v/>
      </c>
      <c r="AI77" s="139" t="str">
        <f t="shared" si="6"/>
        <v/>
      </c>
      <c r="AJ77" s="139" t="str">
        <f t="shared" si="6"/>
        <v/>
      </c>
      <c r="AK77" s="139" t="str">
        <f t="shared" si="6"/>
        <v/>
      </c>
      <c r="AL77" s="139" t="str">
        <f t="shared" si="6"/>
        <v/>
      </c>
      <c r="AM77" s="139" t="str">
        <f t="shared" si="6"/>
        <v/>
      </c>
      <c r="AN77" s="139" t="str">
        <f t="shared" si="6"/>
        <v/>
      </c>
      <c r="AP77" s="82">
        <f t="shared" si="8"/>
        <v>4.3123563364551662E-4</v>
      </c>
      <c r="AQ77" s="82">
        <f t="shared" si="9"/>
        <v>0.91886489842888963</v>
      </c>
    </row>
    <row r="78" spans="2:43" x14ac:dyDescent="0.35">
      <c r="B78" s="83" t="s">
        <v>160</v>
      </c>
      <c r="D78" s="137">
        <v>16475560</v>
      </c>
      <c r="E78" s="137">
        <v>26398296</v>
      </c>
      <c r="F78" s="137">
        <v>29311418</v>
      </c>
      <c r="G78" s="137">
        <v>3490952</v>
      </c>
      <c r="H78" s="137">
        <f>+SUM(D78:G78)</f>
        <v>75676226</v>
      </c>
      <c r="J78" s="137">
        <v>2735756</v>
      </c>
      <c r="K78" s="137">
        <v>4222723</v>
      </c>
      <c r="L78" s="137">
        <v>4538975</v>
      </c>
      <c r="M78" s="137">
        <v>543633</v>
      </c>
      <c r="N78" s="137">
        <f>+SUM(J78:M78)</f>
        <v>12041087</v>
      </c>
      <c r="P78" s="84">
        <f>+IFERROR(J78/D78,"")</f>
        <v>0.16604934824673637</v>
      </c>
      <c r="Q78" s="84">
        <f>+IFERROR(K78/E78,"")</f>
        <v>0.15996195360488419</v>
      </c>
      <c r="R78" s="84">
        <f>+IFERROR(L78/F78,"")</f>
        <v>0.15485347723538997</v>
      </c>
      <c r="S78" s="84">
        <f>+IFERROR(M78/G78,"")</f>
        <v>0.1557262889893645</v>
      </c>
      <c r="T78" s="84" t="str">
        <f>+IFERROR(#REF!/#REF!,"")</f>
        <v/>
      </c>
      <c r="U78" s="84" t="str">
        <f>+IFERROR(#REF!/#REF!,"")</f>
        <v/>
      </c>
      <c r="V78" s="84" t="str">
        <f>+IFERROR(#REF!/#REF!,"")</f>
        <v/>
      </c>
      <c r="W78" s="84" t="str">
        <f>+IFERROR(#REF!/#REF!,"")</f>
        <v/>
      </c>
      <c r="X78" s="84" t="str">
        <f>+IFERROR(#REF!/#REF!,"")</f>
        <v/>
      </c>
      <c r="Y78" s="84" t="str">
        <f>+IFERROR(#REF!/#REF!,"")</f>
        <v/>
      </c>
      <c r="Z78" s="84" t="str">
        <f>+IFERROR(#REF!/#REF!,"")</f>
        <v/>
      </c>
      <c r="AA78" s="84" t="str">
        <f>+IFERROR(#REF!/#REF!,"")</f>
        <v/>
      </c>
      <c r="AB78" s="84">
        <f>+IFERROR(N78/H78,"")</f>
        <v>0.15911320683460087</v>
      </c>
      <c r="AD78" s="139">
        <f t="shared" si="7"/>
        <v>-6.0873946418521785E-3</v>
      </c>
      <c r="AE78" s="139">
        <f t="shared" si="7"/>
        <v>-5.1084763694942137E-3</v>
      </c>
      <c r="AF78" s="139">
        <f t="shared" si="7"/>
        <v>8.7281175397452282E-4</v>
      </c>
      <c r="AG78" s="139" t="str">
        <f t="shared" si="7"/>
        <v/>
      </c>
      <c r="AH78" s="139" t="str">
        <f t="shared" si="7"/>
        <v/>
      </c>
      <c r="AI78" s="139" t="str">
        <f t="shared" si="6"/>
        <v/>
      </c>
      <c r="AJ78" s="139" t="str">
        <f t="shared" si="6"/>
        <v/>
      </c>
      <c r="AK78" s="139" t="str">
        <f t="shared" si="6"/>
        <v/>
      </c>
      <c r="AL78" s="139" t="str">
        <f t="shared" si="6"/>
        <v/>
      </c>
      <c r="AM78" s="139" t="str">
        <f t="shared" si="6"/>
        <v/>
      </c>
      <c r="AN78" s="139" t="str">
        <f t="shared" si="6"/>
        <v/>
      </c>
      <c r="AP78" s="82">
        <f t="shared" si="8"/>
        <v>1.4425701782258677E-2</v>
      </c>
      <c r="AQ78" s="82">
        <f t="shared" si="9"/>
        <v>0.93329060021114829</v>
      </c>
    </row>
    <row r="79" spans="2:43" x14ac:dyDescent="0.35">
      <c r="B79" s="83" t="s">
        <v>161</v>
      </c>
      <c r="D79" s="137">
        <v>3722341</v>
      </c>
      <c r="E79" s="137">
        <v>4126552</v>
      </c>
      <c r="F79" s="137">
        <v>5504299</v>
      </c>
      <c r="G79" s="137">
        <v>1001784</v>
      </c>
      <c r="H79" s="137">
        <f>+SUM(D79:G79)</f>
        <v>14354976</v>
      </c>
      <c r="J79" s="137">
        <v>555940</v>
      </c>
      <c r="K79" s="137">
        <v>638583</v>
      </c>
      <c r="L79" s="137">
        <v>792430</v>
      </c>
      <c r="M79" s="137">
        <v>179394</v>
      </c>
      <c r="N79" s="137">
        <f>+SUM(J79:M79)</f>
        <v>2166347</v>
      </c>
      <c r="P79" s="84">
        <f>+IFERROR(J79/D79,"")</f>
        <v>0.14935224902823249</v>
      </c>
      <c r="Q79" s="84">
        <f>+IFERROR(K79/E79,"")</f>
        <v>0.15474977656891273</v>
      </c>
      <c r="R79" s="84">
        <f>+IFERROR(L79/F79,"")</f>
        <v>0.14396565302865996</v>
      </c>
      <c r="S79" s="84">
        <f>+IFERROR(M79/G79,"")</f>
        <v>0.17907453103663065</v>
      </c>
      <c r="T79" s="84" t="str">
        <f>+IFERROR(#REF!/#REF!,"")</f>
        <v/>
      </c>
      <c r="U79" s="84" t="str">
        <f>+IFERROR(#REF!/#REF!,"")</f>
        <v/>
      </c>
      <c r="V79" s="84" t="str">
        <f>+IFERROR(#REF!/#REF!,"")</f>
        <v/>
      </c>
      <c r="W79" s="84" t="str">
        <f>+IFERROR(#REF!/#REF!,"")</f>
        <v/>
      </c>
      <c r="X79" s="84" t="str">
        <f>+IFERROR(#REF!/#REF!,"")</f>
        <v/>
      </c>
      <c r="Y79" s="84" t="str">
        <f>+IFERROR(#REF!/#REF!,"")</f>
        <v/>
      </c>
      <c r="Z79" s="84" t="str">
        <f>+IFERROR(#REF!/#REF!,"")</f>
        <v/>
      </c>
      <c r="AA79" s="84" t="str">
        <f>+IFERROR(#REF!/#REF!,"")</f>
        <v/>
      </c>
      <c r="AB79" s="84">
        <f>+IFERROR(N79/H79,"")</f>
        <v>0.15091261733910249</v>
      </c>
      <c r="AD79" s="139">
        <f t="shared" si="7"/>
        <v>5.3975275406802359E-3</v>
      </c>
      <c r="AE79" s="139">
        <f t="shared" si="7"/>
        <v>-1.0784123540252766E-2</v>
      </c>
      <c r="AF79" s="139">
        <f t="shared" si="7"/>
        <v>3.510887800797069E-2</v>
      </c>
      <c r="AG79" s="139" t="str">
        <f t="shared" si="7"/>
        <v/>
      </c>
      <c r="AH79" s="139" t="str">
        <f t="shared" si="7"/>
        <v/>
      </c>
      <c r="AI79" s="139" t="str">
        <f t="shared" si="6"/>
        <v/>
      </c>
      <c r="AJ79" s="139" t="str">
        <f t="shared" si="6"/>
        <v/>
      </c>
      <c r="AK79" s="139" t="str">
        <f t="shared" si="6"/>
        <v/>
      </c>
      <c r="AL79" s="139" t="str">
        <f t="shared" si="6"/>
        <v/>
      </c>
      <c r="AM79" s="139" t="str">
        <f t="shared" si="6"/>
        <v/>
      </c>
      <c r="AN79" s="139" t="str">
        <f t="shared" si="6"/>
        <v/>
      </c>
      <c r="AP79" s="82">
        <f t="shared" si="8"/>
        <v>2.595369984361938E-3</v>
      </c>
      <c r="AQ79" s="82">
        <f t="shared" si="9"/>
        <v>0.93588597019551023</v>
      </c>
    </row>
    <row r="80" spans="2:43" x14ac:dyDescent="0.35">
      <c r="B80" s="83" t="s">
        <v>162</v>
      </c>
      <c r="D80" s="137">
        <v>788872</v>
      </c>
      <c r="E80" s="137">
        <v>724715</v>
      </c>
      <c r="F80" s="137">
        <v>702055</v>
      </c>
      <c r="G80" s="137">
        <v>74520</v>
      </c>
      <c r="H80" s="137">
        <f>+SUM(D80:G80)</f>
        <v>2290162</v>
      </c>
      <c r="J80" s="137">
        <v>124859</v>
      </c>
      <c r="K80" s="137">
        <v>121443</v>
      </c>
      <c r="L80" s="137">
        <v>144443</v>
      </c>
      <c r="M80" s="137">
        <v>9035</v>
      </c>
      <c r="N80" s="137">
        <f>+SUM(J80:M80)</f>
        <v>399780</v>
      </c>
      <c r="P80" s="84">
        <f>+IFERROR(J80/D80,"")</f>
        <v>0.15827536026123376</v>
      </c>
      <c r="Q80" s="84">
        <f>+IFERROR(K80/E80,"")</f>
        <v>0.1675734599118274</v>
      </c>
      <c r="R80" s="84">
        <f>+IFERROR(L80/F80,"")</f>
        <v>0.20574313978249567</v>
      </c>
      <c r="S80" s="84">
        <f>+IFERROR(M80/G80,"")</f>
        <v>0.12124261943102523</v>
      </c>
      <c r="T80" s="84" t="str">
        <f>+IFERROR(#REF!/#REF!,"")</f>
        <v/>
      </c>
      <c r="U80" s="84" t="str">
        <f>+IFERROR(#REF!/#REF!,"")</f>
        <v/>
      </c>
      <c r="V80" s="84" t="str">
        <f>+IFERROR(#REF!/#REF!,"")</f>
        <v/>
      </c>
      <c r="W80" s="84" t="str">
        <f>+IFERROR(#REF!/#REF!,"")</f>
        <v/>
      </c>
      <c r="X80" s="84" t="str">
        <f>+IFERROR(#REF!/#REF!,"")</f>
        <v/>
      </c>
      <c r="Y80" s="84" t="str">
        <f>+IFERROR(#REF!/#REF!,"")</f>
        <v/>
      </c>
      <c r="Z80" s="84" t="str">
        <f>+IFERROR(#REF!/#REF!,"")</f>
        <v/>
      </c>
      <c r="AA80" s="84" t="str">
        <f>+IFERROR(#REF!/#REF!,"")</f>
        <v/>
      </c>
      <c r="AB80" s="84">
        <f>+IFERROR(N80/H80,"")</f>
        <v>0.17456407014001629</v>
      </c>
      <c r="AD80" s="139">
        <f t="shared" si="7"/>
        <v>9.2980996505936386E-3</v>
      </c>
      <c r="AE80" s="139">
        <f t="shared" si="7"/>
        <v>3.8169679870668272E-2</v>
      </c>
      <c r="AF80" s="139">
        <f t="shared" si="7"/>
        <v>-8.4500520351470446E-2</v>
      </c>
      <c r="AG80" s="139" t="str">
        <f t="shared" si="7"/>
        <v/>
      </c>
      <c r="AH80" s="139" t="str">
        <f t="shared" si="7"/>
        <v/>
      </c>
      <c r="AI80" s="139" t="str">
        <f t="shared" si="6"/>
        <v/>
      </c>
      <c r="AJ80" s="139" t="str">
        <f t="shared" si="6"/>
        <v/>
      </c>
      <c r="AK80" s="139" t="str">
        <f t="shared" si="6"/>
        <v/>
      </c>
      <c r="AL80" s="139" t="str">
        <f t="shared" si="6"/>
        <v/>
      </c>
      <c r="AM80" s="139" t="str">
        <f t="shared" si="6"/>
        <v/>
      </c>
      <c r="AN80" s="139" t="str">
        <f t="shared" si="6"/>
        <v/>
      </c>
      <c r="AP80" s="82">
        <f t="shared" si="8"/>
        <v>4.7895236190149395E-4</v>
      </c>
      <c r="AQ80" s="82">
        <f t="shared" si="9"/>
        <v>0.93636492255741177</v>
      </c>
    </row>
    <row r="81" spans="2:43" x14ac:dyDescent="0.35">
      <c r="B81" s="83" t="s">
        <v>163</v>
      </c>
      <c r="D81" s="137">
        <v>725914</v>
      </c>
      <c r="E81" s="137">
        <v>754466</v>
      </c>
      <c r="F81" s="137">
        <v>764971</v>
      </c>
      <c r="G81" s="137">
        <v>84734</v>
      </c>
      <c r="H81" s="137">
        <f>+SUM(D81:G81)</f>
        <v>2330085</v>
      </c>
      <c r="J81" s="137">
        <v>184233</v>
      </c>
      <c r="K81" s="137">
        <v>181607</v>
      </c>
      <c r="L81" s="137">
        <v>172520</v>
      </c>
      <c r="M81" s="137">
        <v>9717</v>
      </c>
      <c r="N81" s="137">
        <f>+SUM(J81:M81)</f>
        <v>548077</v>
      </c>
      <c r="P81" s="84">
        <f>+IFERROR(J81/D81,"")</f>
        <v>0.25379452662436597</v>
      </c>
      <c r="Q81" s="84">
        <f>+IFERROR(K81/E81,"")</f>
        <v>0.24070932288532551</v>
      </c>
      <c r="R81" s="84">
        <f>+IFERROR(L81/F81,"")</f>
        <v>0.22552488917880548</v>
      </c>
      <c r="S81" s="84">
        <f>+IFERROR(M81/G81,"")</f>
        <v>0.11467651710057356</v>
      </c>
      <c r="T81" s="84" t="str">
        <f>+IFERROR(#REF!/#REF!,"")</f>
        <v/>
      </c>
      <c r="U81" s="84" t="str">
        <f>+IFERROR(#REF!/#REF!,"")</f>
        <v/>
      </c>
      <c r="V81" s="84" t="str">
        <f>+IFERROR(#REF!/#REF!,"")</f>
        <v/>
      </c>
      <c r="W81" s="84" t="str">
        <f>+IFERROR(#REF!/#REF!,"")</f>
        <v/>
      </c>
      <c r="X81" s="84" t="str">
        <f>+IFERROR(#REF!/#REF!,"")</f>
        <v/>
      </c>
      <c r="Y81" s="84" t="str">
        <f>+IFERROR(#REF!/#REF!,"")</f>
        <v/>
      </c>
      <c r="Z81" s="84" t="str">
        <f>+IFERROR(#REF!/#REF!,"")</f>
        <v/>
      </c>
      <c r="AA81" s="84" t="str">
        <f>+IFERROR(#REF!/#REF!,"")</f>
        <v/>
      </c>
      <c r="AB81" s="84">
        <f>+IFERROR(N81/H81,"")</f>
        <v>0.23521759935796333</v>
      </c>
      <c r="AD81" s="139">
        <f t="shared" si="7"/>
        <v>-1.3085203739040457E-2</v>
      </c>
      <c r="AE81" s="139">
        <f t="shared" si="7"/>
        <v>-1.5184433706520034E-2</v>
      </c>
      <c r="AF81" s="139">
        <f t="shared" si="7"/>
        <v>-0.11084837207823192</v>
      </c>
      <c r="AG81" s="139" t="str">
        <f t="shared" si="7"/>
        <v/>
      </c>
      <c r="AH81" s="139" t="str">
        <f t="shared" si="7"/>
        <v/>
      </c>
      <c r="AI81" s="139" t="str">
        <f t="shared" si="6"/>
        <v/>
      </c>
      <c r="AJ81" s="139" t="str">
        <f t="shared" si="6"/>
        <v/>
      </c>
      <c r="AK81" s="139" t="str">
        <f t="shared" si="6"/>
        <v/>
      </c>
      <c r="AL81" s="139" t="str">
        <f t="shared" si="6"/>
        <v/>
      </c>
      <c r="AM81" s="139" t="str">
        <f t="shared" si="6"/>
        <v/>
      </c>
      <c r="AN81" s="139" t="str">
        <f t="shared" si="6"/>
        <v/>
      </c>
      <c r="AP81" s="82">
        <f t="shared" si="8"/>
        <v>6.5661807407545419E-4</v>
      </c>
      <c r="AQ81" s="82">
        <f t="shared" si="9"/>
        <v>0.93702154063148724</v>
      </c>
    </row>
    <row r="82" spans="2:43" x14ac:dyDescent="0.35">
      <c r="B82" s="83" t="s">
        <v>164</v>
      </c>
      <c r="D82" s="137">
        <v>1102048</v>
      </c>
      <c r="E82" s="137">
        <v>983588</v>
      </c>
      <c r="F82" s="137">
        <v>955650</v>
      </c>
      <c r="G82" s="137">
        <v>148692</v>
      </c>
      <c r="H82" s="137">
        <f>+SUM(D82:G82)</f>
        <v>3189978</v>
      </c>
      <c r="J82" s="137">
        <v>285336</v>
      </c>
      <c r="K82" s="137">
        <v>307950</v>
      </c>
      <c r="L82" s="137">
        <v>215959</v>
      </c>
      <c r="M82" s="137">
        <v>49631</v>
      </c>
      <c r="N82" s="137">
        <f>+SUM(J82:M82)</f>
        <v>858876</v>
      </c>
      <c r="P82" s="84">
        <f>+IFERROR(J82/D82,"")</f>
        <v>0.2589143122622608</v>
      </c>
      <c r="Q82" s="84">
        <f>+IFERROR(K82/E82,"")</f>
        <v>0.31308840693461082</v>
      </c>
      <c r="R82" s="84">
        <f>+IFERROR(L82/F82,"")</f>
        <v>0.22598126929315127</v>
      </c>
      <c r="S82" s="84">
        <f>+IFERROR(M82/G82,"")</f>
        <v>0.33378392919592176</v>
      </c>
      <c r="T82" s="84" t="str">
        <f>+IFERROR(#REF!/#REF!,"")</f>
        <v/>
      </c>
      <c r="U82" s="84" t="str">
        <f>+IFERROR(#REF!/#REF!,"")</f>
        <v/>
      </c>
      <c r="V82" s="84" t="str">
        <f>+IFERROR(#REF!/#REF!,"")</f>
        <v/>
      </c>
      <c r="W82" s="84" t="str">
        <f>+IFERROR(#REF!/#REF!,"")</f>
        <v/>
      </c>
      <c r="X82" s="84" t="str">
        <f>+IFERROR(#REF!/#REF!,"")</f>
        <v/>
      </c>
      <c r="Y82" s="84" t="str">
        <f>+IFERROR(#REF!/#REF!,"")</f>
        <v/>
      </c>
      <c r="Z82" s="84" t="str">
        <f>+IFERROR(#REF!/#REF!,"")</f>
        <v/>
      </c>
      <c r="AA82" s="84" t="str">
        <f>+IFERROR(#REF!/#REF!,"")</f>
        <v/>
      </c>
      <c r="AB82" s="84">
        <f>+IFERROR(N82/H82,"")</f>
        <v>0.2692419822331063</v>
      </c>
      <c r="AD82" s="139">
        <f t="shared" si="7"/>
        <v>5.4174094672350015E-2</v>
      </c>
      <c r="AE82" s="139">
        <f t="shared" si="7"/>
        <v>-8.7107137641459553E-2</v>
      </c>
      <c r="AF82" s="139">
        <f t="shared" si="7"/>
        <v>0.10780265990277049</v>
      </c>
      <c r="AG82" s="139" t="str">
        <f t="shared" si="7"/>
        <v/>
      </c>
      <c r="AH82" s="139" t="str">
        <f t="shared" si="7"/>
        <v/>
      </c>
      <c r="AI82" s="139" t="str">
        <f t="shared" si="6"/>
        <v/>
      </c>
      <c r="AJ82" s="139" t="str">
        <f t="shared" si="6"/>
        <v/>
      </c>
      <c r="AK82" s="139" t="str">
        <f t="shared" si="6"/>
        <v/>
      </c>
      <c r="AL82" s="139" t="str">
        <f t="shared" si="6"/>
        <v/>
      </c>
      <c r="AM82" s="139" t="str">
        <f t="shared" si="6"/>
        <v/>
      </c>
      <c r="AN82" s="139" t="str">
        <f t="shared" si="6"/>
        <v/>
      </c>
      <c r="AP82" s="82">
        <f t="shared" si="8"/>
        <v>1.0289676541610573E-3</v>
      </c>
      <c r="AQ82" s="82">
        <f t="shared" si="9"/>
        <v>0.93805050828564829</v>
      </c>
    </row>
    <row r="83" spans="2:43" x14ac:dyDescent="0.35">
      <c r="B83" s="83" t="s">
        <v>165</v>
      </c>
      <c r="D83" s="137">
        <v>782363</v>
      </c>
      <c r="E83" s="137">
        <v>786072</v>
      </c>
      <c r="F83" s="137">
        <v>935610</v>
      </c>
      <c r="G83" s="137">
        <v>166029</v>
      </c>
      <c r="H83" s="137">
        <f>+SUM(D83:G83)</f>
        <v>2670074</v>
      </c>
      <c r="J83" s="137">
        <v>269334</v>
      </c>
      <c r="K83" s="137">
        <v>261568</v>
      </c>
      <c r="L83" s="137">
        <v>256893</v>
      </c>
      <c r="M83" s="137">
        <v>52364</v>
      </c>
      <c r="N83" s="137">
        <f>+SUM(J83:M83)</f>
        <v>840159</v>
      </c>
      <c r="P83" s="84">
        <f>+IFERROR(J83/D83,"")</f>
        <v>0.34425707759697227</v>
      </c>
      <c r="Q83" s="84">
        <f>+IFERROR(K83/E83,"")</f>
        <v>0.33275323380046612</v>
      </c>
      <c r="R83" s="84">
        <f>+IFERROR(L83/F83,"")</f>
        <v>0.27457273864110043</v>
      </c>
      <c r="S83" s="84">
        <f>+IFERROR(M83/G83,"")</f>
        <v>0.31539068475989135</v>
      </c>
      <c r="T83" s="84" t="str">
        <f>+IFERROR(#REF!/#REF!,"")</f>
        <v/>
      </c>
      <c r="U83" s="84" t="str">
        <f>+IFERROR(#REF!/#REF!,"")</f>
        <v/>
      </c>
      <c r="V83" s="84" t="str">
        <f>+IFERROR(#REF!/#REF!,"")</f>
        <v/>
      </c>
      <c r="W83" s="84" t="str">
        <f>+IFERROR(#REF!/#REF!,"")</f>
        <v/>
      </c>
      <c r="X83" s="84" t="str">
        <f>+IFERROR(#REF!/#REF!,"")</f>
        <v/>
      </c>
      <c r="Y83" s="84" t="str">
        <f>+IFERROR(#REF!/#REF!,"")</f>
        <v/>
      </c>
      <c r="Z83" s="84" t="str">
        <f>+IFERROR(#REF!/#REF!,"")</f>
        <v/>
      </c>
      <c r="AA83" s="84" t="str">
        <f>+IFERROR(#REF!/#REF!,"")</f>
        <v/>
      </c>
      <c r="AB83" s="84">
        <f>+IFERROR(N83/H83,"")</f>
        <v>0.31465757128828642</v>
      </c>
      <c r="AD83" s="139">
        <f t="shared" si="7"/>
        <v>-1.1503843796506152E-2</v>
      </c>
      <c r="AE83" s="139">
        <f t="shared" si="7"/>
        <v>-5.8180495159365686E-2</v>
      </c>
      <c r="AF83" s="139">
        <f t="shared" si="7"/>
        <v>4.0817946118790915E-2</v>
      </c>
      <c r="AG83" s="139" t="str">
        <f t="shared" si="7"/>
        <v/>
      </c>
      <c r="AH83" s="139" t="str">
        <f t="shared" si="7"/>
        <v/>
      </c>
      <c r="AI83" s="139" t="str">
        <f t="shared" si="6"/>
        <v/>
      </c>
      <c r="AJ83" s="139" t="str">
        <f t="shared" si="6"/>
        <v/>
      </c>
      <c r="AK83" s="139" t="str">
        <f t="shared" si="6"/>
        <v/>
      </c>
      <c r="AL83" s="139" t="str">
        <f t="shared" si="6"/>
        <v/>
      </c>
      <c r="AM83" s="139" t="str">
        <f t="shared" si="6"/>
        <v/>
      </c>
      <c r="AN83" s="139" t="str">
        <f t="shared" si="6"/>
        <v/>
      </c>
      <c r="AP83" s="82">
        <f t="shared" si="8"/>
        <v>1.006543942725492E-3</v>
      </c>
      <c r="AQ83" s="82">
        <f t="shared" si="9"/>
        <v>0.93905705222837377</v>
      </c>
    </row>
    <row r="84" spans="2:43" x14ac:dyDescent="0.35">
      <c r="B84" s="83" t="s">
        <v>166</v>
      </c>
      <c r="D84" s="137">
        <v>2631011</v>
      </c>
      <c r="E84" s="137">
        <v>1566702</v>
      </c>
      <c r="F84" s="137">
        <v>1571765</v>
      </c>
      <c r="G84" s="137">
        <v>236519</v>
      </c>
      <c r="H84" s="137">
        <f>+SUM(D84:G84)</f>
        <v>6005997</v>
      </c>
      <c r="J84" s="137">
        <v>439730</v>
      </c>
      <c r="K84" s="137">
        <v>221192</v>
      </c>
      <c r="L84" s="137">
        <v>248987</v>
      </c>
      <c r="M84" s="137">
        <v>23873</v>
      </c>
      <c r="N84" s="137">
        <f>+SUM(J84:M84)</f>
        <v>933782</v>
      </c>
      <c r="P84" s="84">
        <f>+IFERROR(J84/D84,"")</f>
        <v>0.16713347074565632</v>
      </c>
      <c r="Q84" s="84">
        <f>+IFERROR(K84/E84,"")</f>
        <v>0.14118319884700473</v>
      </c>
      <c r="R84" s="84">
        <f>+IFERROR(L84/F84,"")</f>
        <v>0.15841235808151982</v>
      </c>
      <c r="S84" s="84">
        <f>+IFERROR(M84/G84,"")</f>
        <v>0.1009348086200263</v>
      </c>
      <c r="T84" s="84" t="str">
        <f>+IFERROR(#REF!/#REF!,"")</f>
        <v/>
      </c>
      <c r="U84" s="84" t="str">
        <f>+IFERROR(#REF!/#REF!,"")</f>
        <v/>
      </c>
      <c r="V84" s="84" t="str">
        <f>+IFERROR(#REF!/#REF!,"")</f>
        <v/>
      </c>
      <c r="W84" s="84" t="str">
        <f>+IFERROR(#REF!/#REF!,"")</f>
        <v/>
      </c>
      <c r="X84" s="84" t="str">
        <f>+IFERROR(#REF!/#REF!,"")</f>
        <v/>
      </c>
      <c r="Y84" s="84" t="str">
        <f>+IFERROR(#REF!/#REF!,"")</f>
        <v/>
      </c>
      <c r="Z84" s="84" t="str">
        <f>+IFERROR(#REF!/#REF!,"")</f>
        <v/>
      </c>
      <c r="AA84" s="84" t="str">
        <f>+IFERROR(#REF!/#REF!,"")</f>
        <v/>
      </c>
      <c r="AB84" s="84">
        <f>+IFERROR(N84/H84,"")</f>
        <v>0.15547493613466673</v>
      </c>
      <c r="AD84" s="139">
        <f t="shared" si="7"/>
        <v>-2.5950271898651595E-2</v>
      </c>
      <c r="AE84" s="139">
        <f t="shared" si="7"/>
        <v>1.7229159234515096E-2</v>
      </c>
      <c r="AF84" s="139">
        <f t="shared" si="7"/>
        <v>-5.7477549461493527E-2</v>
      </c>
      <c r="AG84" s="139" t="str">
        <f t="shared" si="7"/>
        <v/>
      </c>
      <c r="AH84" s="139" t="str">
        <f t="shared" si="7"/>
        <v/>
      </c>
      <c r="AI84" s="139" t="str">
        <f t="shared" si="6"/>
        <v/>
      </c>
      <c r="AJ84" s="139" t="str">
        <f t="shared" si="6"/>
        <v/>
      </c>
      <c r="AK84" s="139" t="str">
        <f t="shared" si="6"/>
        <v/>
      </c>
      <c r="AL84" s="139" t="str">
        <f t="shared" si="6"/>
        <v/>
      </c>
      <c r="AM84" s="139" t="str">
        <f t="shared" si="6"/>
        <v/>
      </c>
      <c r="AN84" s="139" t="str">
        <f t="shared" si="6"/>
        <v/>
      </c>
      <c r="AP84" s="82">
        <f t="shared" si="8"/>
        <v>1.1187080254167312E-3</v>
      </c>
      <c r="AQ84" s="82">
        <f t="shared" si="9"/>
        <v>0.94017576025379046</v>
      </c>
    </row>
    <row r="85" spans="2:43" x14ac:dyDescent="0.35">
      <c r="B85" s="83" t="s">
        <v>167</v>
      </c>
      <c r="D85" s="137">
        <v>406807</v>
      </c>
      <c r="E85" s="137">
        <v>338113</v>
      </c>
      <c r="F85" s="137">
        <v>486398</v>
      </c>
      <c r="G85" s="137">
        <v>65175</v>
      </c>
      <c r="H85" s="137">
        <f>+SUM(D85:G85)</f>
        <v>1296493</v>
      </c>
      <c r="J85" s="137">
        <v>71941</v>
      </c>
      <c r="K85" s="137">
        <v>54305</v>
      </c>
      <c r="L85" s="137">
        <v>58356</v>
      </c>
      <c r="M85" s="137">
        <v>6926</v>
      </c>
      <c r="N85" s="137">
        <f>+SUM(J85:M85)</f>
        <v>191528</v>
      </c>
      <c r="P85" s="84">
        <f>+IFERROR(J85/D85,"")</f>
        <v>0.1768430730051351</v>
      </c>
      <c r="Q85" s="84">
        <f>+IFERROR(K85/E85,"")</f>
        <v>0.16061198475066027</v>
      </c>
      <c r="R85" s="84">
        <f>+IFERROR(L85/F85,"")</f>
        <v>0.11997582226900604</v>
      </c>
      <c r="S85" s="84">
        <f>+IFERROR(M85/G85,"")</f>
        <v>0.10626774069812045</v>
      </c>
      <c r="T85" s="84" t="str">
        <f>+IFERROR(#REF!/#REF!,"")</f>
        <v/>
      </c>
      <c r="U85" s="84" t="str">
        <f>+IFERROR(#REF!/#REF!,"")</f>
        <v/>
      </c>
      <c r="V85" s="84" t="str">
        <f>+IFERROR(#REF!/#REF!,"")</f>
        <v/>
      </c>
      <c r="W85" s="84" t="str">
        <f>+IFERROR(#REF!/#REF!,"")</f>
        <v/>
      </c>
      <c r="X85" s="84" t="str">
        <f>+IFERROR(#REF!/#REF!,"")</f>
        <v/>
      </c>
      <c r="Y85" s="84" t="str">
        <f>+IFERROR(#REF!/#REF!,"")</f>
        <v/>
      </c>
      <c r="Z85" s="84" t="str">
        <f>+IFERROR(#REF!/#REF!,"")</f>
        <v/>
      </c>
      <c r="AA85" s="84" t="str">
        <f>+IFERROR(#REF!/#REF!,"")</f>
        <v/>
      </c>
      <c r="AB85" s="84">
        <f>+IFERROR(N85/H85,"")</f>
        <v>0.14772775479697925</v>
      </c>
      <c r="AD85" s="139">
        <f t="shared" si="7"/>
        <v>-1.6231088254474835E-2</v>
      </c>
      <c r="AE85" s="139">
        <f t="shared" si="7"/>
        <v>-4.0636162481654234E-2</v>
      </c>
      <c r="AF85" s="139">
        <f t="shared" si="7"/>
        <v>-1.3708081570885586E-2</v>
      </c>
      <c r="AG85" s="139" t="str">
        <f t="shared" si="7"/>
        <v/>
      </c>
      <c r="AH85" s="139" t="str">
        <f t="shared" si="7"/>
        <v/>
      </c>
      <c r="AI85" s="139" t="str">
        <f t="shared" si="6"/>
        <v/>
      </c>
      <c r="AJ85" s="139" t="str">
        <f t="shared" si="6"/>
        <v/>
      </c>
      <c r="AK85" s="139" t="str">
        <f t="shared" si="6"/>
        <v/>
      </c>
      <c r="AL85" s="139" t="str">
        <f t="shared" si="6"/>
        <v/>
      </c>
      <c r="AM85" s="139" t="str">
        <f t="shared" si="6"/>
        <v/>
      </c>
      <c r="AN85" s="139" t="str">
        <f t="shared" si="6"/>
        <v/>
      </c>
      <c r="AP85" s="82">
        <f t="shared" si="8"/>
        <v>2.2945817192022945E-4</v>
      </c>
      <c r="AQ85" s="82">
        <f t="shared" si="9"/>
        <v>0.94040521842571068</v>
      </c>
    </row>
    <row r="86" spans="2:43" x14ac:dyDescent="0.35">
      <c r="B86" s="83" t="s">
        <v>168</v>
      </c>
      <c r="D86" s="137">
        <v>1110855</v>
      </c>
      <c r="E86" s="137">
        <v>1012071</v>
      </c>
      <c r="F86" s="137">
        <v>1138293</v>
      </c>
      <c r="G86" s="137">
        <v>132774</v>
      </c>
      <c r="H86" s="137">
        <f>+SUM(D86:G86)</f>
        <v>3393993</v>
      </c>
      <c r="J86" s="137">
        <v>188586</v>
      </c>
      <c r="K86" s="137">
        <v>168895</v>
      </c>
      <c r="L86" s="137">
        <v>179749</v>
      </c>
      <c r="M86" s="137">
        <v>24308</v>
      </c>
      <c r="N86" s="137">
        <f>+SUM(J86:M86)</f>
        <v>561538</v>
      </c>
      <c r="P86" s="84">
        <f>+IFERROR(J86/D86,"")</f>
        <v>0.16976653118543825</v>
      </c>
      <c r="Q86" s="84">
        <f>+IFERROR(K86/E86,"")</f>
        <v>0.1668805844649239</v>
      </c>
      <c r="R86" s="84">
        <f>+IFERROR(L86/F86,"")</f>
        <v>0.15791101236676322</v>
      </c>
      <c r="S86" s="84">
        <f>+IFERROR(M86/G86,"")</f>
        <v>0.18307801226143672</v>
      </c>
      <c r="T86" s="84" t="str">
        <f>+IFERROR(#REF!/#REF!,"")</f>
        <v/>
      </c>
      <c r="U86" s="84" t="str">
        <f>+IFERROR(#REF!/#REF!,"")</f>
        <v/>
      </c>
      <c r="V86" s="84" t="str">
        <f>+IFERROR(#REF!/#REF!,"")</f>
        <v/>
      </c>
      <c r="W86" s="84" t="str">
        <f>+IFERROR(#REF!/#REF!,"")</f>
        <v/>
      </c>
      <c r="X86" s="84" t="str">
        <f>+IFERROR(#REF!/#REF!,"")</f>
        <v/>
      </c>
      <c r="Y86" s="84" t="str">
        <f>+IFERROR(#REF!/#REF!,"")</f>
        <v/>
      </c>
      <c r="Z86" s="84" t="str">
        <f>+IFERROR(#REF!/#REF!,"")</f>
        <v/>
      </c>
      <c r="AA86" s="84" t="str">
        <f>+IFERROR(#REF!/#REF!,"")</f>
        <v/>
      </c>
      <c r="AB86" s="84">
        <f>+IFERROR(N86/H86,"")</f>
        <v>0.16545054748197771</v>
      </c>
      <c r="AD86" s="139">
        <f t="shared" si="7"/>
        <v>-2.885946720514343E-3</v>
      </c>
      <c r="AE86" s="139">
        <f t="shared" si="7"/>
        <v>-8.969572098160683E-3</v>
      </c>
      <c r="AF86" s="139">
        <f t="shared" si="7"/>
        <v>2.5166999894673497E-2</v>
      </c>
      <c r="AG86" s="139" t="str">
        <f t="shared" si="7"/>
        <v/>
      </c>
      <c r="AH86" s="139" t="str">
        <f t="shared" si="7"/>
        <v/>
      </c>
      <c r="AI86" s="139" t="str">
        <f t="shared" si="6"/>
        <v/>
      </c>
      <c r="AJ86" s="139" t="str">
        <f t="shared" si="6"/>
        <v/>
      </c>
      <c r="AK86" s="139" t="str">
        <f t="shared" si="6"/>
        <v/>
      </c>
      <c r="AL86" s="139" t="str">
        <f t="shared" si="6"/>
        <v/>
      </c>
      <c r="AM86" s="139" t="str">
        <f t="shared" si="6"/>
        <v/>
      </c>
      <c r="AN86" s="139" t="str">
        <f t="shared" si="6"/>
        <v/>
      </c>
      <c r="AP86" s="82">
        <f t="shared" si="8"/>
        <v>6.7274488818210292E-4</v>
      </c>
      <c r="AQ86" s="82">
        <f t="shared" si="9"/>
        <v>0.94107796331389282</v>
      </c>
    </row>
    <row r="87" spans="2:43" x14ac:dyDescent="0.35">
      <c r="B87" s="83" t="s">
        <v>169</v>
      </c>
      <c r="D87" s="137">
        <v>1465022</v>
      </c>
      <c r="E87" s="137">
        <v>1038601</v>
      </c>
      <c r="F87" s="137">
        <v>1485737</v>
      </c>
      <c r="G87" s="137">
        <v>102215</v>
      </c>
      <c r="H87" s="137">
        <f>+SUM(D87:G87)</f>
        <v>4091575</v>
      </c>
      <c r="J87" s="137">
        <v>236763</v>
      </c>
      <c r="K87" s="137">
        <v>132569</v>
      </c>
      <c r="L87" s="137">
        <v>178887</v>
      </c>
      <c r="M87" s="137">
        <v>14927</v>
      </c>
      <c r="N87" s="137">
        <f>+SUM(J87:M87)</f>
        <v>563146</v>
      </c>
      <c r="P87" s="84">
        <f>+IFERROR(J87/D87,"")</f>
        <v>0.16161054236728187</v>
      </c>
      <c r="Q87" s="84">
        <f>+IFERROR(K87/E87,"")</f>
        <v>0.127641895203259</v>
      </c>
      <c r="R87" s="84">
        <f>+IFERROR(L87/F87,"")</f>
        <v>0.12040287076380275</v>
      </c>
      <c r="S87" s="84">
        <f>+IFERROR(M87/G87,"")</f>
        <v>0.14603531771266448</v>
      </c>
      <c r="T87" s="84" t="str">
        <f>+IFERROR(#REF!/#REF!,"")</f>
        <v/>
      </c>
      <c r="U87" s="84" t="str">
        <f>+IFERROR(#REF!/#REF!,"")</f>
        <v/>
      </c>
      <c r="V87" s="84" t="str">
        <f>+IFERROR(#REF!/#REF!,"")</f>
        <v/>
      </c>
      <c r="W87" s="84" t="str">
        <f>+IFERROR(#REF!/#REF!,"")</f>
        <v/>
      </c>
      <c r="X87" s="84" t="str">
        <f>+IFERROR(#REF!/#REF!,"")</f>
        <v/>
      </c>
      <c r="Y87" s="84" t="str">
        <f>+IFERROR(#REF!/#REF!,"")</f>
        <v/>
      </c>
      <c r="Z87" s="84" t="str">
        <f>+IFERROR(#REF!/#REF!,"")</f>
        <v/>
      </c>
      <c r="AA87" s="84" t="str">
        <f>+IFERROR(#REF!/#REF!,"")</f>
        <v/>
      </c>
      <c r="AB87" s="84">
        <f>+IFERROR(N87/H87,"")</f>
        <v>0.13763550710912056</v>
      </c>
      <c r="AD87" s="139">
        <f t="shared" si="7"/>
        <v>-3.3968647164022869E-2</v>
      </c>
      <c r="AE87" s="139">
        <f t="shared" si="7"/>
        <v>-7.2390244394562459E-3</v>
      </c>
      <c r="AF87" s="139">
        <f t="shared" si="7"/>
        <v>2.5632446948861728E-2</v>
      </c>
      <c r="AG87" s="139" t="str">
        <f t="shared" si="7"/>
        <v/>
      </c>
      <c r="AH87" s="139" t="str">
        <f t="shared" si="7"/>
        <v/>
      </c>
      <c r="AI87" s="139" t="str">
        <f t="shared" si="7"/>
        <v/>
      </c>
      <c r="AJ87" s="139" t="str">
        <f t="shared" si="7"/>
        <v/>
      </c>
      <c r="AK87" s="139" t="str">
        <f t="shared" si="7"/>
        <v/>
      </c>
      <c r="AL87" s="139" t="str">
        <f t="shared" si="7"/>
        <v/>
      </c>
      <c r="AM87" s="139" t="str">
        <f t="shared" si="7"/>
        <v/>
      </c>
      <c r="AN87" s="139" t="str">
        <f t="shared" si="7"/>
        <v/>
      </c>
      <c r="AP87" s="82">
        <f t="shared" si="8"/>
        <v>6.7467133622336963E-4</v>
      </c>
      <c r="AQ87" s="82">
        <f t="shared" si="9"/>
        <v>0.94175263465011616</v>
      </c>
    </row>
    <row r="88" spans="2:43" x14ac:dyDescent="0.35">
      <c r="B88" s="83" t="s">
        <v>170</v>
      </c>
      <c r="D88" s="137">
        <v>74629</v>
      </c>
      <c r="E88" s="137">
        <v>71594</v>
      </c>
      <c r="F88" s="137">
        <v>79837</v>
      </c>
      <c r="G88" s="137">
        <v>11357</v>
      </c>
      <c r="H88" s="137">
        <f>+SUM(D88:G88)</f>
        <v>237417</v>
      </c>
      <c r="J88" s="137">
        <v>11674</v>
      </c>
      <c r="K88" s="137">
        <v>12361</v>
      </c>
      <c r="L88" s="137">
        <v>11977</v>
      </c>
      <c r="M88" s="137">
        <v>2577</v>
      </c>
      <c r="N88" s="137">
        <f>+SUM(J88:M88)</f>
        <v>38589</v>
      </c>
      <c r="P88" s="84">
        <f>+IFERROR(J88/D88,"")</f>
        <v>0.15642712618419113</v>
      </c>
      <c r="Q88" s="84">
        <f>+IFERROR(K88/E88,"")</f>
        <v>0.17265413302790736</v>
      </c>
      <c r="R88" s="84">
        <f>+IFERROR(L88/F88,"")</f>
        <v>0.15001816200508536</v>
      </c>
      <c r="S88" s="84">
        <f>+IFERROR(M88/G88,"")</f>
        <v>0.22690851457251035</v>
      </c>
      <c r="T88" s="84" t="str">
        <f>+IFERROR(#REF!/#REF!,"")</f>
        <v/>
      </c>
      <c r="U88" s="84" t="str">
        <f>+IFERROR(#REF!/#REF!,"")</f>
        <v/>
      </c>
      <c r="V88" s="84" t="str">
        <f>+IFERROR(#REF!/#REF!,"")</f>
        <v/>
      </c>
      <c r="W88" s="84" t="str">
        <f>+IFERROR(#REF!/#REF!,"")</f>
        <v/>
      </c>
      <c r="X88" s="84" t="str">
        <f>+IFERROR(#REF!/#REF!,"")</f>
        <v/>
      </c>
      <c r="Y88" s="84" t="str">
        <f>+IFERROR(#REF!/#REF!,"")</f>
        <v/>
      </c>
      <c r="Z88" s="84" t="str">
        <f>+IFERROR(#REF!/#REF!,"")</f>
        <v/>
      </c>
      <c r="AA88" s="84" t="str">
        <f>+IFERROR(#REF!/#REF!,"")</f>
        <v/>
      </c>
      <c r="AB88" s="84">
        <f>+IFERROR(N88/H88,"")</f>
        <v>0.16253680233513185</v>
      </c>
      <c r="AD88" s="139">
        <f t="shared" si="7"/>
        <v>1.6227006843716224E-2</v>
      </c>
      <c r="AE88" s="139">
        <f t="shared" si="7"/>
        <v>-2.2635971022821999E-2</v>
      </c>
      <c r="AF88" s="139">
        <f t="shared" si="7"/>
        <v>7.6890352567424991E-2</v>
      </c>
      <c r="AG88" s="139" t="str">
        <f t="shared" si="7"/>
        <v/>
      </c>
      <c r="AH88" s="139" t="str">
        <f t="shared" si="7"/>
        <v/>
      </c>
      <c r="AI88" s="139" t="str">
        <f t="shared" si="7"/>
        <v/>
      </c>
      <c r="AJ88" s="139" t="str">
        <f t="shared" si="7"/>
        <v/>
      </c>
      <c r="AK88" s="139" t="str">
        <f t="shared" si="7"/>
        <v/>
      </c>
      <c r="AL88" s="139" t="str">
        <f t="shared" si="7"/>
        <v/>
      </c>
      <c r="AM88" s="139" t="str">
        <f t="shared" si="7"/>
        <v/>
      </c>
      <c r="AN88" s="139" t="str">
        <f t="shared" si="7"/>
        <v/>
      </c>
      <c r="AP88" s="82">
        <f t="shared" si="8"/>
        <v>4.623115887092088E-5</v>
      </c>
      <c r="AQ88" s="82">
        <f t="shared" si="9"/>
        <v>0.94179886580898708</v>
      </c>
    </row>
    <row r="89" spans="2:43" x14ac:dyDescent="0.35">
      <c r="B89" s="83" t="s">
        <v>171</v>
      </c>
      <c r="D89" s="137">
        <v>1016037</v>
      </c>
      <c r="E89" s="137">
        <v>942007</v>
      </c>
      <c r="F89" s="137">
        <v>896956</v>
      </c>
      <c r="G89" s="137">
        <v>215701</v>
      </c>
      <c r="H89" s="137">
        <f>+SUM(D89:G89)</f>
        <v>3070701</v>
      </c>
      <c r="J89" s="137">
        <v>231058</v>
      </c>
      <c r="K89" s="137">
        <v>177660</v>
      </c>
      <c r="L89" s="137">
        <v>171782</v>
      </c>
      <c r="M89" s="137">
        <v>37302</v>
      </c>
      <c r="N89" s="137">
        <f>+SUM(J89:M89)</f>
        <v>617802</v>
      </c>
      <c r="P89" s="84">
        <f>+IFERROR(J89/D89,"")</f>
        <v>0.22741100963842853</v>
      </c>
      <c r="Q89" s="84">
        <f>+IFERROR(K89/E89,"")</f>
        <v>0.18859732464833065</v>
      </c>
      <c r="R89" s="84">
        <f>+IFERROR(L89/F89,"")</f>
        <v>0.19151664072708138</v>
      </c>
      <c r="S89" s="84">
        <f>+IFERROR(M89/G89,"")</f>
        <v>0.17293382969944507</v>
      </c>
      <c r="T89" s="84" t="str">
        <f>+IFERROR(#REF!/#REF!,"")</f>
        <v/>
      </c>
      <c r="U89" s="84" t="str">
        <f>+IFERROR(#REF!/#REF!,"")</f>
        <v/>
      </c>
      <c r="V89" s="84" t="str">
        <f>+IFERROR(#REF!/#REF!,"")</f>
        <v/>
      </c>
      <c r="W89" s="84" t="str">
        <f>+IFERROR(#REF!/#REF!,"")</f>
        <v/>
      </c>
      <c r="X89" s="84" t="str">
        <f>+IFERROR(#REF!/#REF!,"")</f>
        <v/>
      </c>
      <c r="Y89" s="84" t="str">
        <f>+IFERROR(#REF!/#REF!,"")</f>
        <v/>
      </c>
      <c r="Z89" s="84" t="str">
        <f>+IFERROR(#REF!/#REF!,"")</f>
        <v/>
      </c>
      <c r="AA89" s="84" t="str">
        <f>+IFERROR(#REF!/#REF!,"")</f>
        <v/>
      </c>
      <c r="AB89" s="84">
        <f>+IFERROR(N89/H89,"")</f>
        <v>0.20119249643648143</v>
      </c>
      <c r="AD89" s="139">
        <f t="shared" si="7"/>
        <v>-3.881368499009788E-2</v>
      </c>
      <c r="AE89" s="139">
        <f t="shared" si="7"/>
        <v>2.9193160787507333E-3</v>
      </c>
      <c r="AF89" s="139">
        <f t="shared" si="7"/>
        <v>-1.8582811027636315E-2</v>
      </c>
      <c r="AG89" s="139" t="str">
        <f t="shared" si="7"/>
        <v/>
      </c>
      <c r="AH89" s="139" t="str">
        <f t="shared" si="7"/>
        <v/>
      </c>
      <c r="AI89" s="139" t="str">
        <f t="shared" si="7"/>
        <v/>
      </c>
      <c r="AJ89" s="139" t="str">
        <f t="shared" si="7"/>
        <v/>
      </c>
      <c r="AK89" s="139" t="str">
        <f t="shared" si="7"/>
        <v/>
      </c>
      <c r="AL89" s="139" t="str">
        <f t="shared" si="7"/>
        <v/>
      </c>
      <c r="AM89" s="139" t="str">
        <f t="shared" si="7"/>
        <v/>
      </c>
      <c r="AN89" s="139" t="str">
        <f t="shared" si="7"/>
        <v/>
      </c>
      <c r="AP89" s="82">
        <f t="shared" si="8"/>
        <v>7.4015140098921089E-4</v>
      </c>
      <c r="AQ89" s="82">
        <f t="shared" si="9"/>
        <v>0.94253901720997635</v>
      </c>
    </row>
    <row r="90" spans="2:43" x14ac:dyDescent="0.35">
      <c r="B90" s="83" t="s">
        <v>172</v>
      </c>
      <c r="D90" s="137">
        <v>496849</v>
      </c>
      <c r="E90" s="137">
        <v>450197</v>
      </c>
      <c r="F90" s="137">
        <v>590632</v>
      </c>
      <c r="G90" s="137">
        <v>75801</v>
      </c>
      <c r="H90" s="137">
        <f>+SUM(D90:G90)</f>
        <v>1613479</v>
      </c>
      <c r="J90" s="137">
        <v>121983</v>
      </c>
      <c r="K90" s="137">
        <v>128143</v>
      </c>
      <c r="L90" s="137">
        <v>151154</v>
      </c>
      <c r="M90" s="137">
        <v>28166</v>
      </c>
      <c r="N90" s="137">
        <f>+SUM(J90:M90)</f>
        <v>429446</v>
      </c>
      <c r="P90" s="84">
        <f>+IFERROR(J90/D90,"")</f>
        <v>0.24551322433978937</v>
      </c>
      <c r="Q90" s="84">
        <f>+IFERROR(K90/E90,"")</f>
        <v>0.28463761420000577</v>
      </c>
      <c r="R90" s="84">
        <f>+IFERROR(L90/F90,"")</f>
        <v>0.2559190832870552</v>
      </c>
      <c r="S90" s="84">
        <f>+IFERROR(M90/G90,"")</f>
        <v>0.37157821136924313</v>
      </c>
      <c r="T90" s="84" t="str">
        <f>+IFERROR(#REF!/#REF!,"")</f>
        <v/>
      </c>
      <c r="U90" s="84" t="str">
        <f>+IFERROR(#REF!/#REF!,"")</f>
        <v/>
      </c>
      <c r="V90" s="84" t="str">
        <f>+IFERROR(#REF!/#REF!,"")</f>
        <v/>
      </c>
      <c r="W90" s="84" t="str">
        <f>+IFERROR(#REF!/#REF!,"")</f>
        <v/>
      </c>
      <c r="X90" s="84" t="str">
        <f>+IFERROR(#REF!/#REF!,"")</f>
        <v/>
      </c>
      <c r="Y90" s="84" t="str">
        <f>+IFERROR(#REF!/#REF!,"")</f>
        <v/>
      </c>
      <c r="Z90" s="84" t="str">
        <f>+IFERROR(#REF!/#REF!,"")</f>
        <v/>
      </c>
      <c r="AA90" s="84" t="str">
        <f>+IFERROR(#REF!/#REF!,"")</f>
        <v/>
      </c>
      <c r="AB90" s="84">
        <f>+IFERROR(N90/H90,"")</f>
        <v>0.26616150566570745</v>
      </c>
      <c r="AD90" s="139">
        <f t="shared" si="7"/>
        <v>3.9124389860216408E-2</v>
      </c>
      <c r="AE90" s="139">
        <f t="shared" si="7"/>
        <v>-2.8718530912950568E-2</v>
      </c>
      <c r="AF90" s="139">
        <f t="shared" si="7"/>
        <v>0.11565912808218792</v>
      </c>
      <c r="AG90" s="139" t="str">
        <f t="shared" si="7"/>
        <v/>
      </c>
      <c r="AH90" s="139" t="str">
        <f t="shared" si="7"/>
        <v/>
      </c>
      <c r="AI90" s="139" t="str">
        <f t="shared" si="7"/>
        <v/>
      </c>
      <c r="AJ90" s="139" t="str">
        <f t="shared" si="7"/>
        <v/>
      </c>
      <c r="AK90" s="139" t="str">
        <f t="shared" si="7"/>
        <v/>
      </c>
      <c r="AL90" s="139" t="str">
        <f t="shared" si="7"/>
        <v/>
      </c>
      <c r="AM90" s="139" t="str">
        <f t="shared" si="7"/>
        <v/>
      </c>
      <c r="AN90" s="139" t="str">
        <f t="shared" si="7"/>
        <v/>
      </c>
      <c r="AP90" s="82">
        <f t="shared" si="8"/>
        <v>5.1449341139914195E-4</v>
      </c>
      <c r="AQ90" s="82">
        <f t="shared" si="9"/>
        <v>0.94305351062137555</v>
      </c>
    </row>
    <row r="91" spans="2:43" x14ac:dyDescent="0.35">
      <c r="B91" s="83" t="s">
        <v>173</v>
      </c>
      <c r="D91" s="137">
        <v>1201899</v>
      </c>
      <c r="E91" s="137">
        <v>1174312</v>
      </c>
      <c r="F91" s="137">
        <v>1629088</v>
      </c>
      <c r="G91" s="137">
        <v>179135</v>
      </c>
      <c r="H91" s="137">
        <f>+SUM(D91:G91)</f>
        <v>4184434</v>
      </c>
      <c r="J91" s="137">
        <v>221845</v>
      </c>
      <c r="K91" s="137">
        <v>212160</v>
      </c>
      <c r="L91" s="137">
        <v>297039</v>
      </c>
      <c r="M91" s="137">
        <v>33961</v>
      </c>
      <c r="N91" s="137">
        <f>+SUM(J91:M91)</f>
        <v>765005</v>
      </c>
      <c r="P91" s="84">
        <f>+IFERROR(J91/D91,"")</f>
        <v>0.18457873748126921</v>
      </c>
      <c r="Q91" s="84">
        <f>+IFERROR(K91/E91,"")</f>
        <v>0.18066748870828195</v>
      </c>
      <c r="R91" s="84">
        <f>+IFERROR(L91/F91,"")</f>
        <v>0.1823345331866664</v>
      </c>
      <c r="S91" s="84">
        <f>+IFERROR(M91/G91,"")</f>
        <v>0.18958327518352081</v>
      </c>
      <c r="T91" s="84" t="str">
        <f>+IFERROR(#REF!/#REF!,"")</f>
        <v/>
      </c>
      <c r="U91" s="84" t="str">
        <f>+IFERROR(#REF!/#REF!,"")</f>
        <v/>
      </c>
      <c r="V91" s="84" t="str">
        <f>+IFERROR(#REF!/#REF!,"")</f>
        <v/>
      </c>
      <c r="W91" s="84" t="str">
        <f>+IFERROR(#REF!/#REF!,"")</f>
        <v/>
      </c>
      <c r="X91" s="84" t="str">
        <f>+IFERROR(#REF!/#REF!,"")</f>
        <v/>
      </c>
      <c r="Y91" s="84" t="str">
        <f>+IFERROR(#REF!/#REF!,"")</f>
        <v/>
      </c>
      <c r="Z91" s="84" t="str">
        <f>+IFERROR(#REF!/#REF!,"")</f>
        <v/>
      </c>
      <c r="AA91" s="84" t="str">
        <f>+IFERROR(#REF!/#REF!,"")</f>
        <v/>
      </c>
      <c r="AB91" s="84">
        <f>+IFERROR(N91/H91,"")</f>
        <v>0.18282161936357463</v>
      </c>
      <c r="AD91" s="139">
        <f t="shared" si="7"/>
        <v>-3.9112487729872636E-3</v>
      </c>
      <c r="AE91" s="139">
        <f t="shared" si="7"/>
        <v>1.6670444783844496E-3</v>
      </c>
      <c r="AF91" s="139">
        <f t="shared" si="7"/>
        <v>7.2487419968544076E-3</v>
      </c>
      <c r="AG91" s="139" t="str">
        <f t="shared" si="7"/>
        <v/>
      </c>
      <c r="AH91" s="139" t="str">
        <f t="shared" si="7"/>
        <v/>
      </c>
      <c r="AI91" s="139" t="str">
        <f t="shared" si="7"/>
        <v/>
      </c>
      <c r="AJ91" s="139" t="str">
        <f t="shared" si="7"/>
        <v/>
      </c>
      <c r="AK91" s="139" t="str">
        <f t="shared" si="7"/>
        <v/>
      </c>
      <c r="AL91" s="139" t="str">
        <f t="shared" si="7"/>
        <v/>
      </c>
      <c r="AM91" s="139" t="str">
        <f t="shared" si="7"/>
        <v/>
      </c>
      <c r="AN91" s="139" t="str">
        <f t="shared" si="7"/>
        <v/>
      </c>
      <c r="AP91" s="82">
        <f t="shared" si="8"/>
        <v>9.1650645759280695E-4</v>
      </c>
      <c r="AQ91" s="82">
        <f t="shared" si="9"/>
        <v>0.94397001707896833</v>
      </c>
    </row>
    <row r="92" spans="2:43" x14ac:dyDescent="0.35">
      <c r="B92" s="83" t="s">
        <v>174</v>
      </c>
      <c r="D92" s="137">
        <v>2327681</v>
      </c>
      <c r="E92" s="137">
        <v>2027813</v>
      </c>
      <c r="F92" s="137">
        <v>1880338</v>
      </c>
      <c r="G92" s="137">
        <v>407868</v>
      </c>
      <c r="H92" s="137">
        <f>+SUM(D92:G92)</f>
        <v>6643700</v>
      </c>
      <c r="J92" s="137">
        <v>369406</v>
      </c>
      <c r="K92" s="137">
        <v>306548</v>
      </c>
      <c r="L92" s="137">
        <v>302439</v>
      </c>
      <c r="M92" s="137">
        <v>69224</v>
      </c>
      <c r="N92" s="137">
        <f>+SUM(J92:M92)</f>
        <v>1047617</v>
      </c>
      <c r="P92" s="84">
        <f>+IFERROR(J92/D92,"")</f>
        <v>0.1587012997055868</v>
      </c>
      <c r="Q92" s="84">
        <f>+IFERROR(K92/E92,"")</f>
        <v>0.15117173033213616</v>
      </c>
      <c r="R92" s="84">
        <f>+IFERROR(L92/F92,"")</f>
        <v>0.16084289101214783</v>
      </c>
      <c r="S92" s="84">
        <f>+IFERROR(M92/G92,"")</f>
        <v>0.16972157658850412</v>
      </c>
      <c r="T92" s="84" t="str">
        <f>+IFERROR(#REF!/#REF!,"")</f>
        <v/>
      </c>
      <c r="U92" s="84" t="str">
        <f>+IFERROR(#REF!/#REF!,"")</f>
        <v/>
      </c>
      <c r="V92" s="84" t="str">
        <f>+IFERROR(#REF!/#REF!,"")</f>
        <v/>
      </c>
      <c r="W92" s="84" t="str">
        <f>+IFERROR(#REF!/#REF!,"")</f>
        <v/>
      </c>
      <c r="X92" s="84" t="str">
        <f>+IFERROR(#REF!/#REF!,"")</f>
        <v/>
      </c>
      <c r="Y92" s="84" t="str">
        <f>+IFERROR(#REF!/#REF!,"")</f>
        <v/>
      </c>
      <c r="Z92" s="84" t="str">
        <f>+IFERROR(#REF!/#REF!,"")</f>
        <v/>
      </c>
      <c r="AA92" s="84" t="str">
        <f>+IFERROR(#REF!/#REF!,"")</f>
        <v/>
      </c>
      <c r="AB92" s="84">
        <f>+IFERROR(N92/H92,"")</f>
        <v>0.15768577750349955</v>
      </c>
      <c r="AD92" s="139">
        <f t="shared" ref="AD92:AN115" si="10">+IFERROR(Q92-P92,"")</f>
        <v>-7.5295693734506453E-3</v>
      </c>
      <c r="AE92" s="139">
        <f t="shared" si="10"/>
        <v>9.6711606800116701E-3</v>
      </c>
      <c r="AF92" s="139">
        <f t="shared" si="10"/>
        <v>8.8786855763562933E-3</v>
      </c>
      <c r="AG92" s="139" t="str">
        <f t="shared" si="10"/>
        <v/>
      </c>
      <c r="AH92" s="139" t="str">
        <f t="shared" si="10"/>
        <v/>
      </c>
      <c r="AI92" s="139" t="str">
        <f t="shared" si="10"/>
        <v/>
      </c>
      <c r="AJ92" s="139" t="str">
        <f t="shared" si="10"/>
        <v/>
      </c>
      <c r="AK92" s="139" t="str">
        <f t="shared" si="10"/>
        <v/>
      </c>
      <c r="AL92" s="139" t="str">
        <f t="shared" si="10"/>
        <v/>
      </c>
      <c r="AM92" s="139" t="str">
        <f t="shared" si="10"/>
        <v/>
      </c>
      <c r="AN92" s="139" t="str">
        <f t="shared" si="10"/>
        <v/>
      </c>
      <c r="AP92" s="82">
        <f t="shared" si="8"/>
        <v>1.2550868890843898E-3</v>
      </c>
      <c r="AQ92" s="82">
        <f t="shared" si="9"/>
        <v>0.9452251039680527</v>
      </c>
    </row>
    <row r="93" spans="2:43" x14ac:dyDescent="0.35">
      <c r="B93" s="83" t="s">
        <v>175</v>
      </c>
      <c r="D93" s="137">
        <v>986067</v>
      </c>
      <c r="E93" s="137">
        <v>1073874</v>
      </c>
      <c r="F93" s="137">
        <v>1218728</v>
      </c>
      <c r="G93" s="137">
        <v>139679</v>
      </c>
      <c r="H93" s="137">
        <f>+SUM(D93:G93)</f>
        <v>3418348</v>
      </c>
      <c r="J93" s="137">
        <v>342042</v>
      </c>
      <c r="K93" s="137">
        <v>413502</v>
      </c>
      <c r="L93" s="137">
        <v>466479</v>
      </c>
      <c r="M93" s="137">
        <v>62037</v>
      </c>
      <c r="N93" s="137">
        <f>+SUM(J93:M93)</f>
        <v>1284060</v>
      </c>
      <c r="P93" s="84">
        <f>+IFERROR(J93/D93,"")</f>
        <v>0.34687500950746752</v>
      </c>
      <c r="Q93" s="84">
        <f>+IFERROR(K93/E93,"")</f>
        <v>0.38505634739271088</v>
      </c>
      <c r="R93" s="84">
        <f>+IFERROR(L93/F93,"")</f>
        <v>0.38275890928902923</v>
      </c>
      <c r="S93" s="84">
        <f>+IFERROR(M93/G93,"")</f>
        <v>0.44413977763300139</v>
      </c>
      <c r="T93" s="84" t="str">
        <f>+IFERROR(#REF!/#REF!,"")</f>
        <v/>
      </c>
      <c r="U93" s="84" t="str">
        <f>+IFERROR(#REF!/#REF!,"")</f>
        <v/>
      </c>
      <c r="V93" s="84" t="str">
        <f>+IFERROR(#REF!/#REF!,"")</f>
        <v/>
      </c>
      <c r="W93" s="84" t="str">
        <f>+IFERROR(#REF!/#REF!,"")</f>
        <v/>
      </c>
      <c r="X93" s="84" t="str">
        <f>+IFERROR(#REF!/#REF!,"")</f>
        <v/>
      </c>
      <c r="Y93" s="84" t="str">
        <f>+IFERROR(#REF!/#REF!,"")</f>
        <v/>
      </c>
      <c r="Z93" s="84" t="str">
        <f>+IFERROR(#REF!/#REF!,"")</f>
        <v/>
      </c>
      <c r="AA93" s="84" t="str">
        <f>+IFERROR(#REF!/#REF!,"")</f>
        <v/>
      </c>
      <c r="AB93" s="84">
        <f>+IFERROR(N93/H93,"")</f>
        <v>0.37563758868318847</v>
      </c>
      <c r="AD93" s="139">
        <f t="shared" si="10"/>
        <v>3.818133788524336E-2</v>
      </c>
      <c r="AE93" s="139">
        <f t="shared" si="10"/>
        <v>-2.2974381036816593E-3</v>
      </c>
      <c r="AF93" s="139">
        <f t="shared" si="10"/>
        <v>6.1380868343972161E-2</v>
      </c>
      <c r="AG93" s="139" t="str">
        <f t="shared" si="10"/>
        <v/>
      </c>
      <c r="AH93" s="139" t="str">
        <f t="shared" si="10"/>
        <v/>
      </c>
      <c r="AI93" s="139" t="str">
        <f t="shared" si="10"/>
        <v/>
      </c>
      <c r="AJ93" s="139" t="str">
        <f t="shared" si="10"/>
        <v/>
      </c>
      <c r="AK93" s="139" t="str">
        <f t="shared" si="10"/>
        <v/>
      </c>
      <c r="AL93" s="139" t="str">
        <f t="shared" si="10"/>
        <v/>
      </c>
      <c r="AM93" s="139" t="str">
        <f t="shared" si="10"/>
        <v/>
      </c>
      <c r="AN93" s="139" t="str">
        <f t="shared" si="10"/>
        <v/>
      </c>
      <c r="AP93" s="82">
        <f t="shared" si="8"/>
        <v>1.5383550198189812E-3</v>
      </c>
      <c r="AQ93" s="82">
        <f t="shared" si="9"/>
        <v>0.94676345898787173</v>
      </c>
    </row>
    <row r="94" spans="2:43" x14ac:dyDescent="0.35">
      <c r="B94" s="83" t="s">
        <v>176</v>
      </c>
      <c r="D94" s="137">
        <v>4710733</v>
      </c>
      <c r="E94" s="137">
        <v>4418482</v>
      </c>
      <c r="F94" s="137">
        <v>4966124</v>
      </c>
      <c r="G94" s="137">
        <v>779980</v>
      </c>
      <c r="H94" s="137">
        <f>+SUM(D94:G94)</f>
        <v>14875319</v>
      </c>
      <c r="J94" s="137">
        <v>571170</v>
      </c>
      <c r="K94" s="137">
        <v>539219</v>
      </c>
      <c r="L94" s="137">
        <v>595216</v>
      </c>
      <c r="M94" s="137">
        <v>97310</v>
      </c>
      <c r="N94" s="137">
        <f>+SUM(J94:M94)</f>
        <v>1802915</v>
      </c>
      <c r="P94" s="84">
        <f>+IFERROR(J94/D94,"")</f>
        <v>0.12124864644207176</v>
      </c>
      <c r="Q94" s="84">
        <f>+IFERROR(K94/E94,"")</f>
        <v>0.12203716117888451</v>
      </c>
      <c r="R94" s="84">
        <f>+IFERROR(L94/F94,"")</f>
        <v>0.11985524324402694</v>
      </c>
      <c r="S94" s="84">
        <f>+IFERROR(M94/G94,"")</f>
        <v>0.12475960922074925</v>
      </c>
      <c r="T94" s="84" t="str">
        <f>+IFERROR(#REF!/#REF!,"")</f>
        <v/>
      </c>
      <c r="U94" s="84" t="str">
        <f>+IFERROR(#REF!/#REF!,"")</f>
        <v/>
      </c>
      <c r="V94" s="84" t="str">
        <f>+IFERROR(#REF!/#REF!,"")</f>
        <v/>
      </c>
      <c r="W94" s="84" t="str">
        <f>+IFERROR(#REF!/#REF!,"")</f>
        <v/>
      </c>
      <c r="X94" s="84" t="str">
        <f>+IFERROR(#REF!/#REF!,"")</f>
        <v/>
      </c>
      <c r="Y94" s="84" t="str">
        <f>+IFERROR(#REF!/#REF!,"")</f>
        <v/>
      </c>
      <c r="Z94" s="84" t="str">
        <f>+IFERROR(#REF!/#REF!,"")</f>
        <v/>
      </c>
      <c r="AA94" s="84" t="str">
        <f>+IFERROR(#REF!/#REF!,"")</f>
        <v/>
      </c>
      <c r="AB94" s="84">
        <f>+IFERROR(N94/H94,"")</f>
        <v>0.12120177053009754</v>
      </c>
      <c r="AD94" s="139">
        <f t="shared" si="10"/>
        <v>7.8851473681275375E-4</v>
      </c>
      <c r="AE94" s="139">
        <f t="shared" si="10"/>
        <v>-2.1819179348575718E-3</v>
      </c>
      <c r="AF94" s="139">
        <f t="shared" si="10"/>
        <v>4.904365976722308E-3</v>
      </c>
      <c r="AG94" s="139" t="str">
        <f t="shared" si="10"/>
        <v/>
      </c>
      <c r="AH94" s="139" t="str">
        <f t="shared" si="10"/>
        <v/>
      </c>
      <c r="AI94" s="139" t="str">
        <f t="shared" si="10"/>
        <v/>
      </c>
      <c r="AJ94" s="139" t="str">
        <f t="shared" si="10"/>
        <v/>
      </c>
      <c r="AK94" s="139" t="str">
        <f t="shared" si="10"/>
        <v/>
      </c>
      <c r="AL94" s="139" t="str">
        <f t="shared" si="10"/>
        <v/>
      </c>
      <c r="AM94" s="139" t="str">
        <f t="shared" si="10"/>
        <v/>
      </c>
      <c r="AN94" s="139" t="str">
        <f t="shared" si="10"/>
        <v/>
      </c>
      <c r="AP94" s="82">
        <f t="shared" si="8"/>
        <v>2.1599639740798237E-3</v>
      </c>
      <c r="AQ94" s="82">
        <f t="shared" si="9"/>
        <v>0.94892342296195153</v>
      </c>
    </row>
    <row r="95" spans="2:43" x14ac:dyDescent="0.35">
      <c r="B95" s="83" t="s">
        <v>177</v>
      </c>
      <c r="D95" s="137">
        <v>883466</v>
      </c>
      <c r="E95" s="137">
        <v>745543</v>
      </c>
      <c r="F95" s="137">
        <v>918132</v>
      </c>
      <c r="G95" s="137">
        <v>191245</v>
      </c>
      <c r="H95" s="137">
        <f>+SUM(D95:G95)</f>
        <v>2738386</v>
      </c>
      <c r="J95" s="137">
        <v>149206</v>
      </c>
      <c r="K95" s="137">
        <v>116662</v>
      </c>
      <c r="L95" s="137">
        <v>179751</v>
      </c>
      <c r="M95" s="137">
        <v>40908</v>
      </c>
      <c r="N95" s="137">
        <f>+SUM(J95:M95)</f>
        <v>486527</v>
      </c>
      <c r="P95" s="84">
        <f>+IFERROR(J95/D95,"")</f>
        <v>0.16888708790151516</v>
      </c>
      <c r="Q95" s="84">
        <f>+IFERROR(K95/E95,"")</f>
        <v>0.15647923728074706</v>
      </c>
      <c r="R95" s="84">
        <f>+IFERROR(L95/F95,"")</f>
        <v>0.19577903830821711</v>
      </c>
      <c r="S95" s="84">
        <f>+IFERROR(M95/G95,"")</f>
        <v>0.21390363146748934</v>
      </c>
      <c r="T95" s="84" t="str">
        <f>+IFERROR(#REF!/#REF!,"")</f>
        <v/>
      </c>
      <c r="U95" s="84" t="str">
        <f>+IFERROR(#REF!/#REF!,"")</f>
        <v/>
      </c>
      <c r="V95" s="84" t="str">
        <f>+IFERROR(#REF!/#REF!,"")</f>
        <v/>
      </c>
      <c r="W95" s="84" t="str">
        <f>+IFERROR(#REF!/#REF!,"")</f>
        <v/>
      </c>
      <c r="X95" s="84" t="str">
        <f>+IFERROR(#REF!/#REF!,"")</f>
        <v/>
      </c>
      <c r="Y95" s="84" t="str">
        <f>+IFERROR(#REF!/#REF!,"")</f>
        <v/>
      </c>
      <c r="Z95" s="84" t="str">
        <f>+IFERROR(#REF!/#REF!,"")</f>
        <v/>
      </c>
      <c r="AA95" s="84" t="str">
        <f>+IFERROR(#REF!/#REF!,"")</f>
        <v/>
      </c>
      <c r="AB95" s="84">
        <f>+IFERROR(N95/H95,"")</f>
        <v>0.17766925480921975</v>
      </c>
      <c r="AD95" s="139">
        <f t="shared" si="10"/>
        <v>-1.2407850620768102E-2</v>
      </c>
      <c r="AE95" s="139">
        <f t="shared" si="10"/>
        <v>3.9299801027470049E-2</v>
      </c>
      <c r="AF95" s="139">
        <f t="shared" si="10"/>
        <v>1.8124593159272229E-2</v>
      </c>
      <c r="AG95" s="139" t="str">
        <f t="shared" si="10"/>
        <v/>
      </c>
      <c r="AH95" s="139" t="str">
        <f t="shared" si="10"/>
        <v/>
      </c>
      <c r="AI95" s="139" t="str">
        <f t="shared" si="10"/>
        <v/>
      </c>
      <c r="AJ95" s="139" t="str">
        <f t="shared" si="10"/>
        <v/>
      </c>
      <c r="AK95" s="139" t="str">
        <f t="shared" si="10"/>
        <v/>
      </c>
      <c r="AL95" s="139" t="str">
        <f t="shared" si="10"/>
        <v/>
      </c>
      <c r="AM95" s="139" t="str">
        <f t="shared" si="10"/>
        <v/>
      </c>
      <c r="AN95" s="139" t="str">
        <f t="shared" si="10"/>
        <v/>
      </c>
      <c r="AP95" s="82">
        <f t="shared" si="8"/>
        <v>5.8287872274462988E-4</v>
      </c>
      <c r="AQ95" s="82">
        <f t="shared" si="9"/>
        <v>0.94950630168469619</v>
      </c>
    </row>
    <row r="96" spans="2:43" x14ac:dyDescent="0.35">
      <c r="B96" s="83" t="s">
        <v>178</v>
      </c>
      <c r="D96" s="137">
        <v>2123549</v>
      </c>
      <c r="E96" s="137">
        <v>1702450</v>
      </c>
      <c r="F96" s="137">
        <v>1538257</v>
      </c>
      <c r="G96" s="137">
        <v>296424</v>
      </c>
      <c r="H96" s="137">
        <f>+SUM(D96:G96)</f>
        <v>5660680</v>
      </c>
      <c r="J96" s="137">
        <v>298855</v>
      </c>
      <c r="K96" s="137">
        <v>245588</v>
      </c>
      <c r="L96" s="137">
        <v>228133</v>
      </c>
      <c r="M96" s="137">
        <v>46717</v>
      </c>
      <c r="N96" s="137">
        <f>+SUM(J96:M96)</f>
        <v>819293</v>
      </c>
      <c r="P96" s="84">
        <f>+IFERROR(J96/D96,"")</f>
        <v>0.14073374337017888</v>
      </c>
      <c r="Q96" s="84">
        <f>+IFERROR(K96/E96,"")</f>
        <v>0.14425563158976767</v>
      </c>
      <c r="R96" s="84">
        <f>+IFERROR(L96/F96,"")</f>
        <v>0.1483061673049432</v>
      </c>
      <c r="S96" s="84">
        <f>+IFERROR(M96/G96,"")</f>
        <v>0.15760194856017057</v>
      </c>
      <c r="T96" s="84" t="str">
        <f>+IFERROR(#REF!/#REF!,"")</f>
        <v/>
      </c>
      <c r="U96" s="84" t="str">
        <f>+IFERROR(#REF!/#REF!,"")</f>
        <v/>
      </c>
      <c r="V96" s="84" t="str">
        <f>+IFERROR(#REF!/#REF!,"")</f>
        <v/>
      </c>
      <c r="W96" s="84" t="str">
        <f>+IFERROR(#REF!/#REF!,"")</f>
        <v/>
      </c>
      <c r="X96" s="84" t="str">
        <f>+IFERROR(#REF!/#REF!,"")</f>
        <v/>
      </c>
      <c r="Y96" s="84" t="str">
        <f>+IFERROR(#REF!/#REF!,"")</f>
        <v/>
      </c>
      <c r="Z96" s="84" t="str">
        <f>+IFERROR(#REF!/#REF!,"")</f>
        <v/>
      </c>
      <c r="AA96" s="84" t="str">
        <f>+IFERROR(#REF!/#REF!,"")</f>
        <v/>
      </c>
      <c r="AB96" s="84">
        <f>+IFERROR(N96/H96,"")</f>
        <v>0.14473402488746934</v>
      </c>
      <c r="AD96" s="139">
        <f t="shared" si="10"/>
        <v>3.5218882195887924E-3</v>
      </c>
      <c r="AE96" s="139">
        <f t="shared" si="10"/>
        <v>4.0505357151755239E-3</v>
      </c>
      <c r="AF96" s="139">
        <f t="shared" si="10"/>
        <v>9.29578125522737E-3</v>
      </c>
      <c r="AG96" s="139" t="str">
        <f t="shared" si="10"/>
        <v/>
      </c>
      <c r="AH96" s="139" t="str">
        <f t="shared" si="10"/>
        <v/>
      </c>
      <c r="AI96" s="139" t="str">
        <f t="shared" si="10"/>
        <v/>
      </c>
      <c r="AJ96" s="139" t="str">
        <f t="shared" si="10"/>
        <v/>
      </c>
      <c r="AK96" s="139" t="str">
        <f t="shared" si="10"/>
        <v/>
      </c>
      <c r="AL96" s="139" t="str">
        <f t="shared" si="10"/>
        <v/>
      </c>
      <c r="AM96" s="139" t="str">
        <f t="shared" si="10"/>
        <v/>
      </c>
      <c r="AN96" s="139" t="str">
        <f t="shared" si="10"/>
        <v/>
      </c>
      <c r="AP96" s="82">
        <f t="shared" si="8"/>
        <v>9.8154564370243804E-4</v>
      </c>
      <c r="AQ96" s="82">
        <f t="shared" si="9"/>
        <v>0.95048784732839864</v>
      </c>
    </row>
    <row r="97" spans="2:43" x14ac:dyDescent="0.35">
      <c r="B97" s="83" t="s">
        <v>179</v>
      </c>
      <c r="D97" s="137">
        <v>499843</v>
      </c>
      <c r="E97" s="137">
        <v>513786</v>
      </c>
      <c r="F97" s="137">
        <v>486372</v>
      </c>
      <c r="G97" s="137">
        <v>85257</v>
      </c>
      <c r="H97" s="137">
        <f>+SUM(D97:G97)</f>
        <v>1585258</v>
      </c>
      <c r="J97" s="137">
        <v>96810</v>
      </c>
      <c r="K97" s="137">
        <v>92280</v>
      </c>
      <c r="L97" s="137">
        <v>105179</v>
      </c>
      <c r="M97" s="137">
        <v>13952</v>
      </c>
      <c r="N97" s="137">
        <f>+SUM(J97:M97)</f>
        <v>308221</v>
      </c>
      <c r="P97" s="84">
        <f>+IFERROR(J97/D97,"")</f>
        <v>0.1936808157761537</v>
      </c>
      <c r="Q97" s="84">
        <f>+IFERROR(K97/E97,"")</f>
        <v>0.17960785229648141</v>
      </c>
      <c r="R97" s="84">
        <f>+IFERROR(L97/F97,"")</f>
        <v>0.21625216912157771</v>
      </c>
      <c r="S97" s="84">
        <f>+IFERROR(M97/G97,"")</f>
        <v>0.1636463868069484</v>
      </c>
      <c r="T97" s="84" t="str">
        <f>+IFERROR(#REF!/#REF!,"")</f>
        <v/>
      </c>
      <c r="U97" s="84" t="str">
        <f>+IFERROR(#REF!/#REF!,"")</f>
        <v/>
      </c>
      <c r="V97" s="84" t="str">
        <f>+IFERROR(#REF!/#REF!,"")</f>
        <v/>
      </c>
      <c r="W97" s="84" t="str">
        <f>+IFERROR(#REF!/#REF!,"")</f>
        <v/>
      </c>
      <c r="X97" s="84" t="str">
        <f>+IFERROR(#REF!/#REF!,"")</f>
        <v/>
      </c>
      <c r="Y97" s="84" t="str">
        <f>+IFERROR(#REF!/#REF!,"")</f>
        <v/>
      </c>
      <c r="Z97" s="84" t="str">
        <f>+IFERROR(#REF!/#REF!,"")</f>
        <v/>
      </c>
      <c r="AA97" s="84" t="str">
        <f>+IFERROR(#REF!/#REF!,"")</f>
        <v/>
      </c>
      <c r="AB97" s="84">
        <f>+IFERROR(N97/H97,"")</f>
        <v>0.19442955026878905</v>
      </c>
      <c r="AD97" s="139">
        <f t="shared" si="10"/>
        <v>-1.4072963479672296E-2</v>
      </c>
      <c r="AE97" s="139">
        <f t="shared" si="10"/>
        <v>3.6644316825096307E-2</v>
      </c>
      <c r="AF97" s="139">
        <f t="shared" si="10"/>
        <v>-5.2605782314629312E-2</v>
      </c>
      <c r="AG97" s="139" t="str">
        <f t="shared" si="10"/>
        <v/>
      </c>
      <c r="AH97" s="139" t="str">
        <f t="shared" si="10"/>
        <v/>
      </c>
      <c r="AI97" s="139" t="str">
        <f t="shared" si="10"/>
        <v/>
      </c>
      <c r="AJ97" s="139" t="str">
        <f t="shared" si="10"/>
        <v/>
      </c>
      <c r="AK97" s="139" t="str">
        <f t="shared" si="10"/>
        <v/>
      </c>
      <c r="AL97" s="139" t="str">
        <f t="shared" si="10"/>
        <v/>
      </c>
      <c r="AM97" s="139" t="str">
        <f t="shared" si="10"/>
        <v/>
      </c>
      <c r="AN97" s="139" t="str">
        <f t="shared" si="10"/>
        <v/>
      </c>
      <c r="AP97" s="82">
        <f t="shared" si="8"/>
        <v>3.6926103341247777E-4</v>
      </c>
      <c r="AQ97" s="82">
        <f t="shared" si="9"/>
        <v>0.95085710836181114</v>
      </c>
    </row>
    <row r="98" spans="2:43" x14ac:dyDescent="0.35">
      <c r="B98" s="83" t="s">
        <v>180</v>
      </c>
      <c r="D98" s="137">
        <v>14204997</v>
      </c>
      <c r="E98" s="137">
        <v>12401195</v>
      </c>
      <c r="F98" s="137">
        <v>14730868</v>
      </c>
      <c r="G98" s="137">
        <v>1517613</v>
      </c>
      <c r="H98" s="137">
        <f>+SUM(D98:G98)</f>
        <v>42854673</v>
      </c>
      <c r="J98" s="137">
        <v>2077260</v>
      </c>
      <c r="K98" s="137">
        <v>1956357</v>
      </c>
      <c r="L98" s="137">
        <v>2066064</v>
      </c>
      <c r="M98" s="137">
        <v>249709</v>
      </c>
      <c r="N98" s="137">
        <f>+SUM(J98:M98)</f>
        <v>6349390</v>
      </c>
      <c r="P98" s="84">
        <f>+IFERROR(J98/D98,"")</f>
        <v>0.14623445538214475</v>
      </c>
      <c r="Q98" s="84">
        <f>+IFERROR(K98/E98,"")</f>
        <v>0.15775552275405716</v>
      </c>
      <c r="R98" s="84">
        <f>+IFERROR(L98/F98,"")</f>
        <v>0.14025405699107479</v>
      </c>
      <c r="S98" s="84">
        <f>+IFERROR(M98/G98,"")</f>
        <v>0.16454063058236851</v>
      </c>
      <c r="T98" s="84" t="str">
        <f>+IFERROR(#REF!/#REF!,"")</f>
        <v/>
      </c>
      <c r="U98" s="84" t="str">
        <f>+IFERROR(#REF!/#REF!,"")</f>
        <v/>
      </c>
      <c r="V98" s="84" t="str">
        <f>+IFERROR(#REF!/#REF!,"")</f>
        <v/>
      </c>
      <c r="W98" s="84" t="str">
        <f>+IFERROR(#REF!/#REF!,"")</f>
        <v/>
      </c>
      <c r="X98" s="84" t="str">
        <f>+IFERROR(#REF!/#REF!,"")</f>
        <v/>
      </c>
      <c r="Y98" s="84" t="str">
        <f>+IFERROR(#REF!/#REF!,"")</f>
        <v/>
      </c>
      <c r="Z98" s="84" t="str">
        <f>+IFERROR(#REF!/#REF!,"")</f>
        <v/>
      </c>
      <c r="AA98" s="84" t="str">
        <f>+IFERROR(#REF!/#REF!,"")</f>
        <v/>
      </c>
      <c r="AB98" s="84">
        <f>+IFERROR(N98/H98,"")</f>
        <v>0.14816097185014104</v>
      </c>
      <c r="AD98" s="139">
        <f t="shared" si="10"/>
        <v>1.1521067371912413E-2</v>
      </c>
      <c r="AE98" s="139">
        <f t="shared" si="10"/>
        <v>-1.7501465762982366E-2</v>
      </c>
      <c r="AF98" s="139">
        <f t="shared" si="10"/>
        <v>2.4286573591293714E-2</v>
      </c>
      <c r="AG98" s="139" t="str">
        <f t="shared" si="10"/>
        <v/>
      </c>
      <c r="AH98" s="139" t="str">
        <f t="shared" si="10"/>
        <v/>
      </c>
      <c r="AI98" s="139" t="str">
        <f t="shared" si="10"/>
        <v/>
      </c>
      <c r="AJ98" s="139" t="str">
        <f t="shared" si="10"/>
        <v/>
      </c>
      <c r="AK98" s="139" t="str">
        <f t="shared" si="10"/>
        <v/>
      </c>
      <c r="AL98" s="139" t="str">
        <f t="shared" si="10"/>
        <v/>
      </c>
      <c r="AM98" s="139" t="str">
        <f t="shared" si="10"/>
        <v/>
      </c>
      <c r="AN98" s="139" t="str">
        <f t="shared" si="10"/>
        <v/>
      </c>
      <c r="AP98" s="82">
        <f t="shared" si="8"/>
        <v>7.6068220949865586E-3</v>
      </c>
      <c r="AQ98" s="82">
        <f t="shared" si="9"/>
        <v>0.95846393045679767</v>
      </c>
    </row>
    <row r="99" spans="2:43" x14ac:dyDescent="0.35">
      <c r="B99" s="83" t="s">
        <v>181</v>
      </c>
      <c r="D99" s="137">
        <v>2914347</v>
      </c>
      <c r="E99" s="137">
        <v>2293418</v>
      </c>
      <c r="F99" s="137">
        <v>3358003</v>
      </c>
      <c r="G99" s="137">
        <v>230762</v>
      </c>
      <c r="H99" s="137">
        <f>+SUM(D99:G99)</f>
        <v>8796530</v>
      </c>
      <c r="J99" s="137">
        <v>500945</v>
      </c>
      <c r="K99" s="137">
        <v>448120</v>
      </c>
      <c r="L99" s="137">
        <v>492479</v>
      </c>
      <c r="M99" s="137">
        <v>57062</v>
      </c>
      <c r="N99" s="137">
        <f>+SUM(J99:M99)</f>
        <v>1498606</v>
      </c>
      <c r="P99" s="84">
        <f>+IFERROR(J99/D99,"")</f>
        <v>0.17188927742646981</v>
      </c>
      <c r="Q99" s="84">
        <f>+IFERROR(K99/E99,"")</f>
        <v>0.19539394911873892</v>
      </c>
      <c r="R99" s="84">
        <f>+IFERROR(L99/F99,"")</f>
        <v>0.1466582966125998</v>
      </c>
      <c r="S99" s="84">
        <f>+IFERROR(M99/G99,"")</f>
        <v>0.2472764146609927</v>
      </c>
      <c r="T99" s="84" t="str">
        <f>+IFERROR(#REF!/#REF!,"")</f>
        <v/>
      </c>
      <c r="U99" s="84" t="str">
        <f>+IFERROR(#REF!/#REF!,"")</f>
        <v/>
      </c>
      <c r="V99" s="84" t="str">
        <f>+IFERROR(#REF!/#REF!,"")</f>
        <v/>
      </c>
      <c r="W99" s="84" t="str">
        <f>+IFERROR(#REF!/#REF!,"")</f>
        <v/>
      </c>
      <c r="X99" s="84" t="str">
        <f>+IFERROR(#REF!/#REF!,"")</f>
        <v/>
      </c>
      <c r="Y99" s="84" t="str">
        <f>+IFERROR(#REF!/#REF!,"")</f>
        <v/>
      </c>
      <c r="Z99" s="84" t="str">
        <f>+IFERROR(#REF!/#REF!,"")</f>
        <v/>
      </c>
      <c r="AA99" s="84" t="str">
        <f>+IFERROR(#REF!/#REF!,"")</f>
        <v/>
      </c>
      <c r="AB99" s="84">
        <f>+IFERROR(N99/H99,"")</f>
        <v>0.17036331371574928</v>
      </c>
      <c r="AD99" s="139">
        <f t="shared" si="10"/>
        <v>2.3504671692269108E-2</v>
      </c>
      <c r="AE99" s="139">
        <f t="shared" si="10"/>
        <v>-4.8735652506139121E-2</v>
      </c>
      <c r="AF99" s="139">
        <f t="shared" si="10"/>
        <v>0.10061811804839291</v>
      </c>
      <c r="AG99" s="139" t="str">
        <f t="shared" si="10"/>
        <v/>
      </c>
      <c r="AH99" s="139" t="str">
        <f t="shared" si="10"/>
        <v/>
      </c>
      <c r="AI99" s="139" t="str">
        <f t="shared" si="10"/>
        <v/>
      </c>
      <c r="AJ99" s="139" t="str">
        <f t="shared" si="10"/>
        <v/>
      </c>
      <c r="AK99" s="139" t="str">
        <f t="shared" si="10"/>
        <v/>
      </c>
      <c r="AL99" s="139" t="str">
        <f t="shared" si="10"/>
        <v/>
      </c>
      <c r="AM99" s="139" t="str">
        <f t="shared" si="10"/>
        <v/>
      </c>
      <c r="AN99" s="139" t="str">
        <f t="shared" si="10"/>
        <v/>
      </c>
      <c r="AP99" s="82">
        <f t="shared" si="8"/>
        <v>1.7953896724692336E-3</v>
      </c>
      <c r="AQ99" s="82">
        <f t="shared" si="9"/>
        <v>0.96025932012926696</v>
      </c>
    </row>
    <row r="100" spans="2:43" x14ac:dyDescent="0.35">
      <c r="B100" s="83" t="s">
        <v>182</v>
      </c>
      <c r="D100" s="137">
        <v>970881</v>
      </c>
      <c r="E100" s="137">
        <v>724083</v>
      </c>
      <c r="F100" s="137">
        <v>829531</v>
      </c>
      <c r="G100" s="137">
        <v>51240</v>
      </c>
      <c r="H100" s="137">
        <f>+SUM(D100:G100)</f>
        <v>2575735</v>
      </c>
      <c r="J100" s="137">
        <v>116396</v>
      </c>
      <c r="K100" s="137">
        <v>72589</v>
      </c>
      <c r="L100" s="137">
        <v>94065</v>
      </c>
      <c r="M100" s="137">
        <v>13166</v>
      </c>
      <c r="N100" s="137">
        <f>+SUM(J100:M100)</f>
        <v>296216</v>
      </c>
      <c r="P100" s="84">
        <f>+IFERROR(J100/D100,"")</f>
        <v>0.11988698923966995</v>
      </c>
      <c r="Q100" s="84">
        <f>+IFERROR(K100/E100,"")</f>
        <v>0.10024955702592106</v>
      </c>
      <c r="R100" s="84">
        <f>+IFERROR(L100/F100,"")</f>
        <v>0.1133954005335545</v>
      </c>
      <c r="S100" s="84">
        <f>+IFERROR(M100/G100,"")</f>
        <v>0.25694769711163151</v>
      </c>
      <c r="T100" s="84" t="str">
        <f>+IFERROR(#REF!/#REF!,"")</f>
        <v/>
      </c>
      <c r="U100" s="84" t="str">
        <f>+IFERROR(#REF!/#REF!,"")</f>
        <v/>
      </c>
      <c r="V100" s="84" t="str">
        <f>+IFERROR(#REF!/#REF!,"")</f>
        <v/>
      </c>
      <c r="W100" s="84" t="str">
        <f>+IFERROR(#REF!/#REF!,"")</f>
        <v/>
      </c>
      <c r="X100" s="84" t="str">
        <f>+IFERROR(#REF!/#REF!,"")</f>
        <v/>
      </c>
      <c r="Y100" s="84" t="str">
        <f>+IFERROR(#REF!/#REF!,"")</f>
        <v/>
      </c>
      <c r="Z100" s="84" t="str">
        <f>+IFERROR(#REF!/#REF!,"")</f>
        <v/>
      </c>
      <c r="AA100" s="84" t="str">
        <f>+IFERROR(#REF!/#REF!,"")</f>
        <v/>
      </c>
      <c r="AB100" s="84">
        <f>+IFERROR(N100/H100,"")</f>
        <v>0.11500251384556252</v>
      </c>
      <c r="AD100" s="139">
        <f t="shared" si="10"/>
        <v>-1.963743221374889E-2</v>
      </c>
      <c r="AE100" s="139">
        <f t="shared" si="10"/>
        <v>1.314584350763344E-2</v>
      </c>
      <c r="AF100" s="139">
        <f t="shared" si="10"/>
        <v>0.143552296578077</v>
      </c>
      <c r="AG100" s="139" t="str">
        <f t="shared" si="10"/>
        <v/>
      </c>
      <c r="AH100" s="139" t="str">
        <f t="shared" si="10"/>
        <v/>
      </c>
      <c r="AI100" s="139" t="str">
        <f t="shared" si="10"/>
        <v/>
      </c>
      <c r="AJ100" s="139" t="str">
        <f t="shared" si="10"/>
        <v/>
      </c>
      <c r="AK100" s="139" t="str">
        <f t="shared" si="10"/>
        <v/>
      </c>
      <c r="AL100" s="139" t="str">
        <f t="shared" si="10"/>
        <v/>
      </c>
      <c r="AM100" s="139" t="str">
        <f t="shared" si="10"/>
        <v/>
      </c>
      <c r="AN100" s="139" t="str">
        <f t="shared" si="10"/>
        <v/>
      </c>
      <c r="AP100" s="82">
        <f t="shared" si="8"/>
        <v>3.5487856529344371E-4</v>
      </c>
      <c r="AQ100" s="82">
        <f t="shared" si="9"/>
        <v>0.96061419869456044</v>
      </c>
    </row>
    <row r="101" spans="2:43" x14ac:dyDescent="0.35">
      <c r="B101" s="83" t="s">
        <v>183</v>
      </c>
      <c r="D101" s="137">
        <v>546759</v>
      </c>
      <c r="E101" s="137">
        <v>454534</v>
      </c>
      <c r="F101" s="137">
        <v>425218</v>
      </c>
      <c r="G101" s="137">
        <v>37346</v>
      </c>
      <c r="H101" s="137">
        <f>+SUM(D101:G101)</f>
        <v>1463857</v>
      </c>
      <c r="J101" s="137">
        <v>91022</v>
      </c>
      <c r="K101" s="137">
        <v>120238</v>
      </c>
      <c r="L101" s="137">
        <v>58149</v>
      </c>
      <c r="M101" s="137">
        <v>11887</v>
      </c>
      <c r="N101" s="137">
        <f>+SUM(J101:M101)</f>
        <v>281296</v>
      </c>
      <c r="P101" s="84">
        <f>+IFERROR(J101/D101,"")</f>
        <v>0.16647554041177193</v>
      </c>
      <c r="Q101" s="84">
        <f>+IFERROR(K101/E101,"")</f>
        <v>0.26453026616270731</v>
      </c>
      <c r="R101" s="84">
        <f>+IFERROR(L101/F101,"")</f>
        <v>0.13675103123574261</v>
      </c>
      <c r="S101" s="84">
        <f>+IFERROR(M101/G101,"")</f>
        <v>0.31829379317731482</v>
      </c>
      <c r="T101" s="84" t="str">
        <f>+IFERROR(#REF!/#REF!,"")</f>
        <v/>
      </c>
      <c r="U101" s="84" t="str">
        <f>+IFERROR(#REF!/#REF!,"")</f>
        <v/>
      </c>
      <c r="V101" s="84" t="str">
        <f>+IFERROR(#REF!/#REF!,"")</f>
        <v/>
      </c>
      <c r="W101" s="84" t="str">
        <f>+IFERROR(#REF!/#REF!,"")</f>
        <v/>
      </c>
      <c r="X101" s="84" t="str">
        <f>+IFERROR(#REF!/#REF!,"")</f>
        <v/>
      </c>
      <c r="Y101" s="84" t="str">
        <f>+IFERROR(#REF!/#REF!,"")</f>
        <v/>
      </c>
      <c r="Z101" s="84" t="str">
        <f>+IFERROR(#REF!/#REF!,"")</f>
        <v/>
      </c>
      <c r="AA101" s="84" t="str">
        <f>+IFERROR(#REF!/#REF!,"")</f>
        <v/>
      </c>
      <c r="AB101" s="84">
        <f>+IFERROR(N101/H101,"")</f>
        <v>0.19216084631217392</v>
      </c>
      <c r="AD101" s="139">
        <f t="shared" si="10"/>
        <v>9.8054725750935379E-2</v>
      </c>
      <c r="AE101" s="139">
        <f t="shared" si="10"/>
        <v>-0.12777923492696469</v>
      </c>
      <c r="AF101" s="139">
        <f t="shared" si="10"/>
        <v>0.18154276194157221</v>
      </c>
      <c r="AG101" s="139" t="str">
        <f t="shared" si="10"/>
        <v/>
      </c>
      <c r="AH101" s="139" t="str">
        <f t="shared" si="10"/>
        <v/>
      </c>
      <c r="AI101" s="139" t="str">
        <f t="shared" si="10"/>
        <v/>
      </c>
      <c r="AJ101" s="139" t="str">
        <f t="shared" si="10"/>
        <v/>
      </c>
      <c r="AK101" s="139" t="str">
        <f t="shared" si="10"/>
        <v/>
      </c>
      <c r="AL101" s="139" t="str">
        <f t="shared" si="10"/>
        <v/>
      </c>
      <c r="AM101" s="139" t="str">
        <f t="shared" si="10"/>
        <v/>
      </c>
      <c r="AN101" s="139" t="str">
        <f t="shared" si="10"/>
        <v/>
      </c>
      <c r="AP101" s="82">
        <f t="shared" ref="AP101:AP131" si="11">+N101/$N$235</f>
        <v>3.3700381107970042E-4</v>
      </c>
      <c r="AQ101" s="82">
        <f t="shared" si="9"/>
        <v>0.96095120250564015</v>
      </c>
    </row>
    <row r="102" spans="2:43" x14ac:dyDescent="0.35">
      <c r="B102" s="83" t="s">
        <v>184</v>
      </c>
      <c r="D102" s="137">
        <v>375574</v>
      </c>
      <c r="E102" s="137">
        <v>331622</v>
      </c>
      <c r="F102" s="137">
        <v>376431</v>
      </c>
      <c r="G102" s="137">
        <v>42227</v>
      </c>
      <c r="H102" s="137">
        <f>+SUM(D102:G102)</f>
        <v>1125854</v>
      </c>
      <c r="J102" s="137">
        <v>58643</v>
      </c>
      <c r="K102" s="137">
        <v>41597</v>
      </c>
      <c r="L102" s="137">
        <v>58993</v>
      </c>
      <c r="M102" s="137">
        <v>6002</v>
      </c>
      <c r="N102" s="137">
        <f>+SUM(J102:M102)</f>
        <v>165235</v>
      </c>
      <c r="P102" s="84">
        <f>+IFERROR(J102/D102,"")</f>
        <v>0.15614233147129461</v>
      </c>
      <c r="Q102" s="84">
        <f>+IFERROR(K102/E102,"")</f>
        <v>0.12543498320376814</v>
      </c>
      <c r="R102" s="84">
        <f>+IFERROR(L102/F102,"")</f>
        <v>0.15671663598375266</v>
      </c>
      <c r="S102" s="84">
        <f>+IFERROR(M102/G102,"")</f>
        <v>0.14213654770644374</v>
      </c>
      <c r="T102" s="84" t="str">
        <f>+IFERROR(#REF!/#REF!,"")</f>
        <v/>
      </c>
      <c r="U102" s="84" t="str">
        <f>+IFERROR(#REF!/#REF!,"")</f>
        <v/>
      </c>
      <c r="V102" s="84" t="str">
        <f>+IFERROR(#REF!/#REF!,"")</f>
        <v/>
      </c>
      <c r="W102" s="84" t="str">
        <f>+IFERROR(#REF!/#REF!,"")</f>
        <v/>
      </c>
      <c r="X102" s="84" t="str">
        <f>+IFERROR(#REF!/#REF!,"")</f>
        <v/>
      </c>
      <c r="Y102" s="84" t="str">
        <f>+IFERROR(#REF!/#REF!,"")</f>
        <v/>
      </c>
      <c r="Z102" s="84" t="str">
        <f>+IFERROR(#REF!/#REF!,"")</f>
        <v/>
      </c>
      <c r="AA102" s="84" t="str">
        <f>+IFERROR(#REF!/#REF!,"")</f>
        <v/>
      </c>
      <c r="AB102" s="84">
        <f>+IFERROR(N102/H102,"")</f>
        <v>0.14676414526217432</v>
      </c>
      <c r="AD102" s="139">
        <f t="shared" si="10"/>
        <v>-3.0707348267526469E-2</v>
      </c>
      <c r="AE102" s="139">
        <f t="shared" si="10"/>
        <v>3.1281652779984515E-2</v>
      </c>
      <c r="AF102" s="139">
        <f t="shared" si="10"/>
        <v>-1.4580088277308917E-2</v>
      </c>
      <c r="AG102" s="139" t="str">
        <f t="shared" si="10"/>
        <v/>
      </c>
      <c r="AH102" s="139" t="str">
        <f t="shared" si="10"/>
        <v/>
      </c>
      <c r="AI102" s="139" t="str">
        <f t="shared" si="10"/>
        <v/>
      </c>
      <c r="AJ102" s="139" t="str">
        <f t="shared" si="10"/>
        <v/>
      </c>
      <c r="AK102" s="139" t="str">
        <f t="shared" si="10"/>
        <v/>
      </c>
      <c r="AL102" s="139" t="str">
        <f t="shared" si="10"/>
        <v/>
      </c>
      <c r="AM102" s="139" t="str">
        <f t="shared" si="10"/>
        <v/>
      </c>
      <c r="AN102" s="139" t="str">
        <f t="shared" si="10"/>
        <v/>
      </c>
      <c r="AP102" s="82">
        <f t="shared" si="11"/>
        <v>1.9795811075790022E-4</v>
      </c>
      <c r="AQ102" s="82">
        <f t="shared" si="9"/>
        <v>0.96114916061639799</v>
      </c>
    </row>
    <row r="103" spans="2:43" x14ac:dyDescent="0.35">
      <c r="B103" s="83" t="s">
        <v>185</v>
      </c>
      <c r="D103" s="137">
        <v>338407</v>
      </c>
      <c r="E103" s="137">
        <v>347515</v>
      </c>
      <c r="F103" s="137">
        <v>329209</v>
      </c>
      <c r="G103" s="137">
        <v>43382</v>
      </c>
      <c r="H103" s="137">
        <f>+SUM(D103:G103)</f>
        <v>1058513</v>
      </c>
      <c r="J103" s="137">
        <v>85895</v>
      </c>
      <c r="K103" s="137">
        <v>55886</v>
      </c>
      <c r="L103" s="137">
        <v>62067</v>
      </c>
      <c r="M103" s="137">
        <v>10346</v>
      </c>
      <c r="N103" s="137">
        <f>+SUM(J103:M103)</f>
        <v>214194</v>
      </c>
      <c r="P103" s="84">
        <f>+IFERROR(J103/D103,"")</f>
        <v>0.25382158170487018</v>
      </c>
      <c r="Q103" s="84">
        <f>+IFERROR(K103/E103,"")</f>
        <v>0.16081607988144397</v>
      </c>
      <c r="R103" s="84">
        <f>+IFERROR(L103/F103,"")</f>
        <v>0.18853372781424566</v>
      </c>
      <c r="S103" s="84">
        <f>+IFERROR(M103/G103,"")</f>
        <v>0.23848600802176018</v>
      </c>
      <c r="T103" s="84" t="str">
        <f>+IFERROR(#REF!/#REF!,"")</f>
        <v/>
      </c>
      <c r="U103" s="84" t="str">
        <f>+IFERROR(#REF!/#REF!,"")</f>
        <v/>
      </c>
      <c r="V103" s="84" t="str">
        <f>+IFERROR(#REF!/#REF!,"")</f>
        <v/>
      </c>
      <c r="W103" s="84" t="str">
        <f>+IFERROR(#REF!/#REF!,"")</f>
        <v/>
      </c>
      <c r="X103" s="84" t="str">
        <f>+IFERROR(#REF!/#REF!,"")</f>
        <v/>
      </c>
      <c r="Y103" s="84" t="str">
        <f>+IFERROR(#REF!/#REF!,"")</f>
        <v/>
      </c>
      <c r="Z103" s="84" t="str">
        <f>+IFERROR(#REF!/#REF!,"")</f>
        <v/>
      </c>
      <c r="AA103" s="84" t="str">
        <f>+IFERROR(#REF!/#REF!,"")</f>
        <v/>
      </c>
      <c r="AB103" s="84">
        <f>+IFERROR(N103/H103,"")</f>
        <v>0.20235367917068567</v>
      </c>
      <c r="AD103" s="139">
        <f t="shared" si="10"/>
        <v>-9.3005501823426207E-2</v>
      </c>
      <c r="AE103" s="139">
        <f t="shared" si="10"/>
        <v>2.7717647932801681E-2</v>
      </c>
      <c r="AF103" s="139">
        <f t="shared" si="10"/>
        <v>4.9952280207514521E-2</v>
      </c>
      <c r="AG103" s="139" t="str">
        <f t="shared" si="10"/>
        <v/>
      </c>
      <c r="AH103" s="139" t="str">
        <f t="shared" si="10"/>
        <v/>
      </c>
      <c r="AI103" s="139" t="str">
        <f t="shared" si="10"/>
        <v/>
      </c>
      <c r="AJ103" s="139" t="str">
        <f t="shared" si="10"/>
        <v/>
      </c>
      <c r="AK103" s="139" t="str">
        <f t="shared" si="10"/>
        <v/>
      </c>
      <c r="AL103" s="139" t="str">
        <f t="shared" si="10"/>
        <v/>
      </c>
      <c r="AM103" s="139" t="str">
        <f t="shared" si="10"/>
        <v/>
      </c>
      <c r="AN103" s="139" t="str">
        <f t="shared" si="10"/>
        <v/>
      </c>
      <c r="AP103" s="82">
        <f t="shared" si="11"/>
        <v>2.566129426312687E-4</v>
      </c>
      <c r="AQ103" s="82">
        <f t="shared" si="9"/>
        <v>0.96140577355902923</v>
      </c>
    </row>
    <row r="104" spans="2:43" x14ac:dyDescent="0.35">
      <c r="B104" s="83" t="s">
        <v>186</v>
      </c>
      <c r="D104" s="137">
        <v>505261</v>
      </c>
      <c r="E104" s="137">
        <v>471447</v>
      </c>
      <c r="F104" s="137">
        <v>509399</v>
      </c>
      <c r="G104" s="137">
        <v>67352</v>
      </c>
      <c r="H104" s="137">
        <f>+SUM(D104:G104)</f>
        <v>1553459</v>
      </c>
      <c r="J104" s="137">
        <v>134365</v>
      </c>
      <c r="K104" s="137">
        <v>125782</v>
      </c>
      <c r="L104" s="137">
        <v>169144</v>
      </c>
      <c r="M104" s="137">
        <v>6281</v>
      </c>
      <c r="N104" s="137">
        <f>+SUM(J104:M104)</f>
        <v>435572</v>
      </c>
      <c r="P104" s="84">
        <f>+IFERROR(J104/D104,"")</f>
        <v>0.26593186491733978</v>
      </c>
      <c r="Q104" s="84">
        <f>+IFERROR(K104/E104,"")</f>
        <v>0.2667998735806994</v>
      </c>
      <c r="R104" s="84">
        <f>+IFERROR(L104/F104,"")</f>
        <v>0.3320461956148324</v>
      </c>
      <c r="S104" s="84">
        <f>+IFERROR(M104/G104,"")</f>
        <v>9.3256324979213684E-2</v>
      </c>
      <c r="T104" s="84" t="str">
        <f>+IFERROR(#REF!/#REF!,"")</f>
        <v/>
      </c>
      <c r="U104" s="84" t="str">
        <f>+IFERROR(#REF!/#REF!,"")</f>
        <v/>
      </c>
      <c r="V104" s="84" t="str">
        <f>+IFERROR(#REF!/#REF!,"")</f>
        <v/>
      </c>
      <c r="W104" s="84" t="str">
        <f>+IFERROR(#REF!/#REF!,"")</f>
        <v/>
      </c>
      <c r="X104" s="84" t="str">
        <f>+IFERROR(#REF!/#REF!,"")</f>
        <v/>
      </c>
      <c r="Y104" s="84" t="str">
        <f>+IFERROR(#REF!/#REF!,"")</f>
        <v/>
      </c>
      <c r="Z104" s="84" t="str">
        <f>+IFERROR(#REF!/#REF!,"")</f>
        <v/>
      </c>
      <c r="AA104" s="84" t="str">
        <f>+IFERROR(#REF!/#REF!,"")</f>
        <v/>
      </c>
      <c r="AB104" s="84">
        <f>+IFERROR(N104/H104,"")</f>
        <v>0.28038847500963976</v>
      </c>
      <c r="AD104" s="139">
        <f t="shared" si="10"/>
        <v>8.6800866335962068E-4</v>
      </c>
      <c r="AE104" s="139">
        <f t="shared" si="10"/>
        <v>6.5246322034132997E-2</v>
      </c>
      <c r="AF104" s="139">
        <f t="shared" si="10"/>
        <v>-0.23878987063561871</v>
      </c>
      <c r="AG104" s="139" t="str">
        <f t="shared" si="10"/>
        <v/>
      </c>
      <c r="AH104" s="139" t="str">
        <f t="shared" si="10"/>
        <v/>
      </c>
      <c r="AI104" s="139" t="str">
        <f t="shared" si="10"/>
        <v/>
      </c>
      <c r="AJ104" s="139" t="str">
        <f t="shared" si="10"/>
        <v/>
      </c>
      <c r="AK104" s="139" t="str">
        <f t="shared" si="10"/>
        <v/>
      </c>
      <c r="AL104" s="139" t="str">
        <f t="shared" si="10"/>
        <v/>
      </c>
      <c r="AM104" s="139" t="str">
        <f t="shared" si="10"/>
        <v/>
      </c>
      <c r="AN104" s="139" t="str">
        <f t="shared" si="10"/>
        <v/>
      </c>
      <c r="AP104" s="82">
        <f t="shared" si="11"/>
        <v>5.2183260337725123E-4</v>
      </c>
      <c r="AQ104" s="82">
        <f t="shared" si="9"/>
        <v>0.96192760616240647</v>
      </c>
    </row>
    <row r="105" spans="2:43" x14ac:dyDescent="0.35">
      <c r="B105" s="83" t="s">
        <v>187</v>
      </c>
      <c r="D105" s="137">
        <v>364999</v>
      </c>
      <c r="E105" s="137">
        <v>337489</v>
      </c>
      <c r="F105" s="137">
        <v>450729</v>
      </c>
      <c r="G105" s="137">
        <v>54348</v>
      </c>
      <c r="H105" s="137">
        <f>+SUM(D105:G105)</f>
        <v>1207565</v>
      </c>
      <c r="J105" s="137">
        <v>68687</v>
      </c>
      <c r="K105" s="137">
        <v>67429</v>
      </c>
      <c r="L105" s="137">
        <v>81057</v>
      </c>
      <c r="M105" s="137">
        <v>24795</v>
      </c>
      <c r="N105" s="137">
        <f>+SUM(J105:M105)</f>
        <v>241968</v>
      </c>
      <c r="P105" s="84">
        <f>+IFERROR(J105/D105,"")</f>
        <v>0.1881840772166499</v>
      </c>
      <c r="Q105" s="84">
        <f>+IFERROR(K105/E105,"")</f>
        <v>0.19979614150387123</v>
      </c>
      <c r="R105" s="84">
        <f>+IFERROR(L105/F105,"")</f>
        <v>0.1798353334265157</v>
      </c>
      <c r="S105" s="84">
        <f>+IFERROR(M105/G105,"")</f>
        <v>0.45622654007507174</v>
      </c>
      <c r="T105" s="84" t="str">
        <f>+IFERROR(#REF!/#REF!,"")</f>
        <v/>
      </c>
      <c r="U105" s="84" t="str">
        <f>+IFERROR(#REF!/#REF!,"")</f>
        <v/>
      </c>
      <c r="V105" s="84" t="str">
        <f>+IFERROR(#REF!/#REF!,"")</f>
        <v/>
      </c>
      <c r="W105" s="84" t="str">
        <f>+IFERROR(#REF!/#REF!,"")</f>
        <v/>
      </c>
      <c r="X105" s="84" t="str">
        <f>+IFERROR(#REF!/#REF!,"")</f>
        <v/>
      </c>
      <c r="Y105" s="84" t="str">
        <f>+IFERROR(#REF!/#REF!,"")</f>
        <v/>
      </c>
      <c r="Z105" s="84" t="str">
        <f>+IFERROR(#REF!/#REF!,"")</f>
        <v/>
      </c>
      <c r="AA105" s="84" t="str">
        <f>+IFERROR(#REF!/#REF!,"")</f>
        <v/>
      </c>
      <c r="AB105" s="84">
        <f>+IFERROR(N105/H105,"")</f>
        <v>0.20037679131144079</v>
      </c>
      <c r="AD105" s="139">
        <f t="shared" si="10"/>
        <v>1.1612064287221335E-2</v>
      </c>
      <c r="AE105" s="139">
        <f t="shared" si="10"/>
        <v>-1.9960808077355535E-2</v>
      </c>
      <c r="AF105" s="139">
        <f t="shared" si="10"/>
        <v>0.27639120664855604</v>
      </c>
      <c r="AG105" s="139" t="str">
        <f t="shared" si="10"/>
        <v/>
      </c>
      <c r="AH105" s="139" t="str">
        <f t="shared" si="10"/>
        <v/>
      </c>
      <c r="AI105" s="139" t="str">
        <f t="shared" si="10"/>
        <v/>
      </c>
      <c r="AJ105" s="139" t="str">
        <f t="shared" si="10"/>
        <v/>
      </c>
      <c r="AK105" s="139" t="str">
        <f t="shared" si="10"/>
        <v/>
      </c>
      <c r="AL105" s="139" t="str">
        <f t="shared" si="10"/>
        <v/>
      </c>
      <c r="AM105" s="139" t="str">
        <f t="shared" si="10"/>
        <v/>
      </c>
      <c r="AN105" s="139" t="str">
        <f t="shared" si="10"/>
        <v/>
      </c>
      <c r="AP105" s="82">
        <f t="shared" si="11"/>
        <v>2.89887300776879E-4</v>
      </c>
      <c r="AQ105" s="82">
        <f t="shared" si="9"/>
        <v>0.9622174934631833</v>
      </c>
    </row>
    <row r="106" spans="2:43" x14ac:dyDescent="0.35">
      <c r="B106" s="83" t="s">
        <v>188</v>
      </c>
      <c r="D106" s="137">
        <v>145313</v>
      </c>
      <c r="E106" s="137">
        <v>133473</v>
      </c>
      <c r="F106" s="137">
        <v>172819</v>
      </c>
      <c r="G106" s="137">
        <v>17191</v>
      </c>
      <c r="H106" s="137">
        <f>+SUM(D106:G106)</f>
        <v>468796</v>
      </c>
      <c r="J106" s="137">
        <v>22394</v>
      </c>
      <c r="K106" s="137">
        <v>31961</v>
      </c>
      <c r="L106" s="137">
        <v>23614</v>
      </c>
      <c r="M106" s="137">
        <v>130</v>
      </c>
      <c r="N106" s="137">
        <f>+SUM(J106:M106)</f>
        <v>78099</v>
      </c>
      <c r="P106" s="84">
        <f>+IFERROR(J106/D106,"")</f>
        <v>0.15410871704527468</v>
      </c>
      <c r="Q106" s="84">
        <f>+IFERROR(K106/E106,"")</f>
        <v>0.23945666913907682</v>
      </c>
      <c r="R106" s="84">
        <f>+IFERROR(L106/F106,"")</f>
        <v>0.13664006851098548</v>
      </c>
      <c r="S106" s="84">
        <f>+IFERROR(M106/G106,"")</f>
        <v>7.5620964458146707E-3</v>
      </c>
      <c r="T106" s="84" t="str">
        <f>+IFERROR(#REF!/#REF!,"")</f>
        <v/>
      </c>
      <c r="U106" s="84" t="str">
        <f>+IFERROR(#REF!/#REF!,"")</f>
        <v/>
      </c>
      <c r="V106" s="84" t="str">
        <f>+IFERROR(#REF!/#REF!,"")</f>
        <v/>
      </c>
      <c r="W106" s="84" t="str">
        <f>+IFERROR(#REF!/#REF!,"")</f>
        <v/>
      </c>
      <c r="X106" s="84" t="str">
        <f>+IFERROR(#REF!/#REF!,"")</f>
        <v/>
      </c>
      <c r="Y106" s="84" t="str">
        <f>+IFERROR(#REF!/#REF!,"")</f>
        <v/>
      </c>
      <c r="Z106" s="84" t="str">
        <f>+IFERROR(#REF!/#REF!,"")</f>
        <v/>
      </c>
      <c r="AA106" s="84" t="str">
        <f>+IFERROR(#REF!/#REF!,"")</f>
        <v/>
      </c>
      <c r="AB106" s="84">
        <f>+IFERROR(N106/H106,"")</f>
        <v>0.16659485149190692</v>
      </c>
      <c r="AD106" s="139">
        <f t="shared" si="10"/>
        <v>8.5347952093802137E-2</v>
      </c>
      <c r="AE106" s="139">
        <f t="shared" si="10"/>
        <v>-0.10281660062809134</v>
      </c>
      <c r="AF106" s="139">
        <f t="shared" si="10"/>
        <v>-0.1290779720651708</v>
      </c>
      <c r="AG106" s="139" t="str">
        <f t="shared" si="10"/>
        <v/>
      </c>
      <c r="AH106" s="139" t="str">
        <f t="shared" si="10"/>
        <v/>
      </c>
      <c r="AI106" s="139" t="str">
        <f t="shared" si="10"/>
        <v/>
      </c>
      <c r="AJ106" s="139" t="str">
        <f t="shared" si="10"/>
        <v/>
      </c>
      <c r="AK106" s="139" t="str">
        <f t="shared" si="10"/>
        <v/>
      </c>
      <c r="AL106" s="139" t="str">
        <f t="shared" si="10"/>
        <v/>
      </c>
      <c r="AM106" s="139" t="str">
        <f t="shared" si="10"/>
        <v/>
      </c>
      <c r="AN106" s="139" t="str">
        <f t="shared" si="10"/>
        <v/>
      </c>
      <c r="AP106" s="82">
        <f t="shared" si="11"/>
        <v>9.3565712422194144E-5</v>
      </c>
      <c r="AQ106" s="82">
        <f t="shared" si="9"/>
        <v>0.96231105917560544</v>
      </c>
    </row>
    <row r="107" spans="2:43" x14ac:dyDescent="0.35">
      <c r="B107" s="83" t="s">
        <v>189</v>
      </c>
      <c r="D107" s="137">
        <v>421715</v>
      </c>
      <c r="E107" s="137">
        <v>510053</v>
      </c>
      <c r="F107" s="137">
        <v>435691</v>
      </c>
      <c r="G107" s="137">
        <v>47322</v>
      </c>
      <c r="H107" s="137">
        <f>+SUM(D107:G107)</f>
        <v>1414781</v>
      </c>
      <c r="J107" s="137">
        <v>68274</v>
      </c>
      <c r="K107" s="137">
        <v>93533</v>
      </c>
      <c r="L107" s="137">
        <v>78433</v>
      </c>
      <c r="M107" s="137">
        <v>12906</v>
      </c>
      <c r="N107" s="137">
        <f>+SUM(J107:M107)</f>
        <v>253146</v>
      </c>
      <c r="P107" s="84">
        <f>+IFERROR(J107/D107,"")</f>
        <v>0.16189606724920858</v>
      </c>
      <c r="Q107" s="84">
        <f>+IFERROR(K107/E107,"")</f>
        <v>0.1833789821842044</v>
      </c>
      <c r="R107" s="84">
        <f>+IFERROR(L107/F107,"")</f>
        <v>0.1800197846639017</v>
      </c>
      <c r="S107" s="84">
        <f>+IFERROR(M107/G107,"")</f>
        <v>0.27272727272727271</v>
      </c>
      <c r="T107" s="84" t="str">
        <f>+IFERROR(#REF!/#REF!,"")</f>
        <v/>
      </c>
      <c r="U107" s="84" t="str">
        <f>+IFERROR(#REF!/#REF!,"")</f>
        <v/>
      </c>
      <c r="V107" s="84" t="str">
        <f>+IFERROR(#REF!/#REF!,"")</f>
        <v/>
      </c>
      <c r="W107" s="84" t="str">
        <f>+IFERROR(#REF!/#REF!,"")</f>
        <v/>
      </c>
      <c r="X107" s="84" t="str">
        <f>+IFERROR(#REF!/#REF!,"")</f>
        <v/>
      </c>
      <c r="Y107" s="84" t="str">
        <f>+IFERROR(#REF!/#REF!,"")</f>
        <v/>
      </c>
      <c r="Z107" s="84" t="str">
        <f>+IFERROR(#REF!/#REF!,"")</f>
        <v/>
      </c>
      <c r="AA107" s="84" t="str">
        <f>+IFERROR(#REF!/#REF!,"")</f>
        <v/>
      </c>
      <c r="AB107" s="84">
        <f>+IFERROR(N107/H107,"")</f>
        <v>0.17892945975384175</v>
      </c>
      <c r="AD107" s="139">
        <f t="shared" si="10"/>
        <v>2.1482914934995823E-2</v>
      </c>
      <c r="AE107" s="139">
        <f t="shared" si="10"/>
        <v>-3.359197520302698E-3</v>
      </c>
      <c r="AF107" s="139">
        <f t="shared" si="10"/>
        <v>9.2707488063371007E-2</v>
      </c>
      <c r="AG107" s="139" t="str">
        <f t="shared" si="10"/>
        <v/>
      </c>
      <c r="AH107" s="139" t="str">
        <f t="shared" si="10"/>
        <v/>
      </c>
      <c r="AI107" s="139" t="str">
        <f t="shared" si="10"/>
        <v/>
      </c>
      <c r="AJ107" s="139" t="str">
        <f t="shared" si="10"/>
        <v/>
      </c>
      <c r="AK107" s="139" t="str">
        <f t="shared" si="10"/>
        <v/>
      </c>
      <c r="AL107" s="139" t="str">
        <f t="shared" si="10"/>
        <v/>
      </c>
      <c r="AM107" s="139" t="str">
        <f t="shared" si="10"/>
        <v/>
      </c>
      <c r="AN107" s="139" t="str">
        <f t="shared" si="10"/>
        <v/>
      </c>
      <c r="AP107" s="82">
        <f t="shared" si="11"/>
        <v>3.0327898995926656E-4</v>
      </c>
      <c r="AQ107" s="82">
        <f t="shared" si="9"/>
        <v>0.96261433816556474</v>
      </c>
    </row>
    <row r="108" spans="2:43" x14ac:dyDescent="0.35">
      <c r="B108" s="83" t="s">
        <v>190</v>
      </c>
      <c r="D108" s="137">
        <v>1264736</v>
      </c>
      <c r="E108" s="137">
        <v>879654</v>
      </c>
      <c r="F108" s="137">
        <v>973946</v>
      </c>
      <c r="G108" s="137">
        <v>85209</v>
      </c>
      <c r="H108" s="137">
        <f>+SUM(D108:G108)</f>
        <v>3203545</v>
      </c>
      <c r="J108" s="137">
        <v>154135</v>
      </c>
      <c r="K108" s="137">
        <v>100495</v>
      </c>
      <c r="L108" s="137">
        <v>113255</v>
      </c>
      <c r="M108" s="137">
        <v>9444</v>
      </c>
      <c r="N108" s="137">
        <f>+SUM(J108:M108)</f>
        <v>377329</v>
      </c>
      <c r="P108" s="84">
        <f>+IFERROR(J108/D108,"")</f>
        <v>0.12187128380942742</v>
      </c>
      <c r="Q108" s="84">
        <f>+IFERROR(K108/E108,"")</f>
        <v>0.11424378221437065</v>
      </c>
      <c r="R108" s="84">
        <f>+IFERROR(L108/F108,"")</f>
        <v>0.11628468108088127</v>
      </c>
      <c r="S108" s="84">
        <f>+IFERROR(M108/G108,"")</f>
        <v>0.11083336267295708</v>
      </c>
      <c r="T108" s="84" t="str">
        <f>+IFERROR(#REF!/#REF!,"")</f>
        <v/>
      </c>
      <c r="U108" s="84" t="str">
        <f>+IFERROR(#REF!/#REF!,"")</f>
        <v/>
      </c>
      <c r="V108" s="84" t="str">
        <f>+IFERROR(#REF!/#REF!,"")</f>
        <v/>
      </c>
      <c r="W108" s="84" t="str">
        <f>+IFERROR(#REF!/#REF!,"")</f>
        <v/>
      </c>
      <c r="X108" s="84" t="str">
        <f>+IFERROR(#REF!/#REF!,"")</f>
        <v/>
      </c>
      <c r="Y108" s="84" t="str">
        <f>+IFERROR(#REF!/#REF!,"")</f>
        <v/>
      </c>
      <c r="Z108" s="84" t="str">
        <f>+IFERROR(#REF!/#REF!,"")</f>
        <v/>
      </c>
      <c r="AA108" s="84" t="str">
        <f>+IFERROR(#REF!/#REF!,"")</f>
        <v/>
      </c>
      <c r="AB108" s="84">
        <f>+IFERROR(N108/H108,"")</f>
        <v>0.11778482899412994</v>
      </c>
      <c r="AD108" s="139">
        <f t="shared" si="10"/>
        <v>-7.6275015950567765E-3</v>
      </c>
      <c r="AE108" s="139">
        <f t="shared" si="10"/>
        <v>2.0408988665106265E-3</v>
      </c>
      <c r="AF108" s="139">
        <f t="shared" si="10"/>
        <v>-5.4513184079241911E-3</v>
      </c>
      <c r="AG108" s="139" t="str">
        <f t="shared" si="10"/>
        <v/>
      </c>
      <c r="AH108" s="139" t="str">
        <f t="shared" si="10"/>
        <v/>
      </c>
      <c r="AI108" s="139" t="str">
        <f t="shared" si="10"/>
        <v/>
      </c>
      <c r="AJ108" s="139" t="str">
        <f t="shared" si="10"/>
        <v/>
      </c>
      <c r="AK108" s="139" t="str">
        <f t="shared" si="10"/>
        <v/>
      </c>
      <c r="AL108" s="139" t="str">
        <f t="shared" si="10"/>
        <v/>
      </c>
      <c r="AM108" s="139" t="str">
        <f t="shared" si="10"/>
        <v/>
      </c>
      <c r="AN108" s="139" t="str">
        <f t="shared" si="10"/>
        <v/>
      </c>
      <c r="AP108" s="82">
        <f t="shared" si="11"/>
        <v>4.5205516975318626E-4</v>
      </c>
      <c r="AQ108" s="82">
        <f t="shared" si="9"/>
        <v>0.96306639333531796</v>
      </c>
    </row>
    <row r="109" spans="2:43" x14ac:dyDescent="0.35">
      <c r="B109" s="83" t="s">
        <v>191</v>
      </c>
      <c r="D109" s="137"/>
      <c r="E109" s="137"/>
      <c r="F109" s="137"/>
      <c r="G109" s="137"/>
      <c r="H109" s="137">
        <f>+SUM(D109:G109)</f>
        <v>0</v>
      </c>
      <c r="J109" s="137"/>
      <c r="K109" s="137"/>
      <c r="L109" s="137"/>
      <c r="M109" s="137"/>
      <c r="N109" s="137">
        <f>+SUM(J109:M109)</f>
        <v>0</v>
      </c>
      <c r="P109" s="84" t="str">
        <f>+IFERROR(J109/D109,"")</f>
        <v/>
      </c>
      <c r="Q109" s="84" t="str">
        <f>+IFERROR(K109/E109,"")</f>
        <v/>
      </c>
      <c r="R109" s="84" t="str">
        <f>+IFERROR(L109/F109,"")</f>
        <v/>
      </c>
      <c r="S109" s="84" t="str">
        <f>+IFERROR(M109/G109,"")</f>
        <v/>
      </c>
      <c r="T109" s="84" t="str">
        <f>+IFERROR(#REF!/#REF!,"")</f>
        <v/>
      </c>
      <c r="U109" s="84" t="str">
        <f>+IFERROR(#REF!/#REF!,"")</f>
        <v/>
      </c>
      <c r="V109" s="84" t="str">
        <f>+IFERROR(#REF!/#REF!,"")</f>
        <v/>
      </c>
      <c r="W109" s="84" t="str">
        <f>+IFERROR(#REF!/#REF!,"")</f>
        <v/>
      </c>
      <c r="X109" s="84" t="str">
        <f>+IFERROR(#REF!/#REF!,"")</f>
        <v/>
      </c>
      <c r="Y109" s="84" t="str">
        <f>+IFERROR(#REF!/#REF!,"")</f>
        <v/>
      </c>
      <c r="Z109" s="84" t="str">
        <f>+IFERROR(#REF!/#REF!,"")</f>
        <v/>
      </c>
      <c r="AA109" s="84" t="str">
        <f>+IFERROR(#REF!/#REF!,"")</f>
        <v/>
      </c>
      <c r="AB109" s="84" t="str">
        <f>+IFERROR(N109/H109,"")</f>
        <v/>
      </c>
      <c r="AD109" s="139" t="str">
        <f t="shared" si="10"/>
        <v/>
      </c>
      <c r="AE109" s="139" t="str">
        <f t="shared" si="10"/>
        <v/>
      </c>
      <c r="AF109" s="139" t="str">
        <f t="shared" si="10"/>
        <v/>
      </c>
      <c r="AG109" s="139" t="str">
        <f t="shared" si="10"/>
        <v/>
      </c>
      <c r="AH109" s="139" t="str">
        <f t="shared" si="10"/>
        <v/>
      </c>
      <c r="AI109" s="139" t="str">
        <f t="shared" si="10"/>
        <v/>
      </c>
      <c r="AJ109" s="139" t="str">
        <f t="shared" si="10"/>
        <v/>
      </c>
      <c r="AK109" s="139" t="str">
        <f t="shared" si="10"/>
        <v/>
      </c>
      <c r="AL109" s="139" t="str">
        <f t="shared" si="10"/>
        <v/>
      </c>
      <c r="AM109" s="139" t="str">
        <f t="shared" si="10"/>
        <v/>
      </c>
      <c r="AN109" s="139" t="str">
        <f t="shared" si="10"/>
        <v/>
      </c>
      <c r="AP109" s="82">
        <f t="shared" si="11"/>
        <v>0</v>
      </c>
      <c r="AQ109" s="82">
        <f t="shared" si="9"/>
        <v>0.96306639333531796</v>
      </c>
    </row>
    <row r="110" spans="2:43" x14ac:dyDescent="0.35">
      <c r="B110" s="83" t="s">
        <v>192</v>
      </c>
      <c r="D110" s="137">
        <v>462963</v>
      </c>
      <c r="E110" s="137">
        <v>904492</v>
      </c>
      <c r="F110" s="137">
        <v>667775</v>
      </c>
      <c r="G110" s="137">
        <v>64196</v>
      </c>
      <c r="H110" s="137">
        <f>+SUM(D110:G110)</f>
        <v>2099426</v>
      </c>
      <c r="J110" s="137">
        <v>71447</v>
      </c>
      <c r="K110" s="137">
        <v>149154</v>
      </c>
      <c r="L110" s="137">
        <v>102366</v>
      </c>
      <c r="M110" s="137">
        <v>8862</v>
      </c>
      <c r="N110" s="137">
        <f>+SUM(J110:M110)</f>
        <v>331829</v>
      </c>
      <c r="P110" s="84">
        <f>+IFERROR(J110/D110,"")</f>
        <v>0.15432550765395939</v>
      </c>
      <c r="Q110" s="84">
        <f>+IFERROR(K110/E110,"")</f>
        <v>0.16490361440454973</v>
      </c>
      <c r="R110" s="84">
        <f>+IFERROR(L110/F110,"")</f>
        <v>0.15329414847815506</v>
      </c>
      <c r="S110" s="84">
        <f>+IFERROR(M110/G110,"")</f>
        <v>0.13804598417346875</v>
      </c>
      <c r="T110" s="84" t="str">
        <f>+IFERROR(#REF!/#REF!,"")</f>
        <v/>
      </c>
      <c r="U110" s="84" t="str">
        <f>+IFERROR(#REF!/#REF!,"")</f>
        <v/>
      </c>
      <c r="V110" s="84" t="str">
        <f>+IFERROR(#REF!/#REF!,"")</f>
        <v/>
      </c>
      <c r="W110" s="84" t="str">
        <f>+IFERROR(#REF!/#REF!,"")</f>
        <v/>
      </c>
      <c r="X110" s="84" t="str">
        <f>+IFERROR(#REF!/#REF!,"")</f>
        <v/>
      </c>
      <c r="Y110" s="84" t="str">
        <f>+IFERROR(#REF!/#REF!,"")</f>
        <v/>
      </c>
      <c r="Z110" s="84" t="str">
        <f>+IFERROR(#REF!/#REF!,"")</f>
        <v/>
      </c>
      <c r="AA110" s="84" t="str">
        <f>+IFERROR(#REF!/#REF!,"")</f>
        <v/>
      </c>
      <c r="AB110" s="84">
        <f>+IFERROR(N110/H110,"")</f>
        <v>0.15805701177369433</v>
      </c>
      <c r="AD110" s="139">
        <f t="shared" si="10"/>
        <v>1.0578106750590344E-2</v>
      </c>
      <c r="AE110" s="139">
        <f t="shared" si="10"/>
        <v>-1.1609465926394669E-2</v>
      </c>
      <c r="AF110" s="139">
        <f t="shared" si="10"/>
        <v>-1.5248164304686312E-2</v>
      </c>
      <c r="AG110" s="139" t="str">
        <f t="shared" si="10"/>
        <v/>
      </c>
      <c r="AH110" s="139" t="str">
        <f t="shared" si="10"/>
        <v/>
      </c>
      <c r="AI110" s="139" t="str">
        <f t="shared" si="10"/>
        <v/>
      </c>
      <c r="AJ110" s="139" t="str">
        <f t="shared" si="10"/>
        <v/>
      </c>
      <c r="AK110" s="139" t="str">
        <f t="shared" si="10"/>
        <v/>
      </c>
      <c r="AL110" s="139" t="str">
        <f t="shared" si="10"/>
        <v/>
      </c>
      <c r="AM110" s="139" t="str">
        <f t="shared" si="10"/>
        <v/>
      </c>
      <c r="AN110" s="139" t="str">
        <f t="shared" si="10"/>
        <v/>
      </c>
      <c r="AP110" s="82">
        <f t="shared" si="11"/>
        <v>3.9754435764022917E-4</v>
      </c>
      <c r="AQ110" s="82">
        <f t="shared" si="9"/>
        <v>0.96346393769295824</v>
      </c>
    </row>
    <row r="111" spans="2:43" x14ac:dyDescent="0.35">
      <c r="B111" s="83" t="s">
        <v>193</v>
      </c>
      <c r="D111" s="137">
        <v>244170</v>
      </c>
      <c r="E111" s="137">
        <v>222784</v>
      </c>
      <c r="F111" s="137">
        <v>243500</v>
      </c>
      <c r="G111" s="137">
        <v>21798</v>
      </c>
      <c r="H111" s="137">
        <f>+SUM(D111:G111)</f>
        <v>732252</v>
      </c>
      <c r="J111" s="137">
        <v>43714</v>
      </c>
      <c r="K111" s="137">
        <v>33360</v>
      </c>
      <c r="L111" s="137">
        <v>31676</v>
      </c>
      <c r="M111" s="137">
        <v>4702</v>
      </c>
      <c r="N111" s="137">
        <f>+SUM(J111:M111)</f>
        <v>113452</v>
      </c>
      <c r="P111" s="84">
        <f>+IFERROR(J111/D111,"")</f>
        <v>0.17903100298972027</v>
      </c>
      <c r="Q111" s="84">
        <f>+IFERROR(K111/E111,"")</f>
        <v>0.14974145360528585</v>
      </c>
      <c r="R111" s="84">
        <f>+IFERROR(L111/F111,"")</f>
        <v>0.13008624229979465</v>
      </c>
      <c r="S111" s="84">
        <f>+IFERROR(M111/G111,"")</f>
        <v>0.21570786310670703</v>
      </c>
      <c r="T111" s="84" t="str">
        <f>+IFERROR(#REF!/#REF!,"")</f>
        <v/>
      </c>
      <c r="U111" s="84" t="str">
        <f>+IFERROR(#REF!/#REF!,"")</f>
        <v/>
      </c>
      <c r="V111" s="84" t="str">
        <f>+IFERROR(#REF!/#REF!,"")</f>
        <v/>
      </c>
      <c r="W111" s="84" t="str">
        <f>+IFERROR(#REF!/#REF!,"")</f>
        <v/>
      </c>
      <c r="X111" s="84" t="str">
        <f>+IFERROR(#REF!/#REF!,"")</f>
        <v/>
      </c>
      <c r="Y111" s="84" t="str">
        <f>+IFERROR(#REF!/#REF!,"")</f>
        <v/>
      </c>
      <c r="Z111" s="84" t="str">
        <f>+IFERROR(#REF!/#REF!,"")</f>
        <v/>
      </c>
      <c r="AA111" s="84" t="str">
        <f>+IFERROR(#REF!/#REF!,"")</f>
        <v/>
      </c>
      <c r="AB111" s="84">
        <f>+IFERROR(N111/H111,"")</f>
        <v>0.15493573250738818</v>
      </c>
      <c r="AD111" s="139">
        <f t="shared" si="10"/>
        <v>-2.9289549384434427E-2</v>
      </c>
      <c r="AE111" s="139">
        <f t="shared" si="10"/>
        <v>-1.9655211305491194E-2</v>
      </c>
      <c r="AF111" s="139">
        <f t="shared" si="10"/>
        <v>8.562162080691238E-2</v>
      </c>
      <c r="AG111" s="139" t="str">
        <f t="shared" si="10"/>
        <v/>
      </c>
      <c r="AH111" s="139" t="str">
        <f t="shared" si="10"/>
        <v/>
      </c>
      <c r="AI111" s="139" t="str">
        <f t="shared" si="10"/>
        <v/>
      </c>
      <c r="AJ111" s="139" t="str">
        <f t="shared" si="10"/>
        <v/>
      </c>
      <c r="AK111" s="139" t="str">
        <f t="shared" si="10"/>
        <v/>
      </c>
      <c r="AL111" s="139" t="str">
        <f t="shared" si="10"/>
        <v/>
      </c>
      <c r="AM111" s="139" t="str">
        <f t="shared" si="10"/>
        <v/>
      </c>
      <c r="AN111" s="139" t="str">
        <f t="shared" si="10"/>
        <v/>
      </c>
      <c r="AP111" s="82">
        <f t="shared" si="11"/>
        <v>1.3592001441404845E-4</v>
      </c>
      <c r="AQ111" s="82">
        <f t="shared" si="9"/>
        <v>0.96359985770737233</v>
      </c>
    </row>
    <row r="112" spans="2:43" x14ac:dyDescent="0.35">
      <c r="B112" s="83" t="s">
        <v>194</v>
      </c>
      <c r="D112" s="137">
        <v>859089</v>
      </c>
      <c r="E112" s="137">
        <v>928078</v>
      </c>
      <c r="F112" s="137">
        <v>1262312</v>
      </c>
      <c r="G112" s="137">
        <v>235064</v>
      </c>
      <c r="H112" s="137">
        <f>+SUM(D112:G112)</f>
        <v>3284543</v>
      </c>
      <c r="J112" s="137">
        <v>101192</v>
      </c>
      <c r="K112" s="137">
        <v>156537</v>
      </c>
      <c r="L112" s="137">
        <v>130070</v>
      </c>
      <c r="M112" s="137">
        <v>26595</v>
      </c>
      <c r="N112" s="137">
        <f>+SUM(J112:M112)</f>
        <v>414394</v>
      </c>
      <c r="P112" s="84">
        <f>+IFERROR(J112/D112,"")</f>
        <v>0.11778989138494382</v>
      </c>
      <c r="Q112" s="84">
        <f>+IFERROR(K112/E112,"")</f>
        <v>0.16866793523820195</v>
      </c>
      <c r="R112" s="84">
        <f>+IFERROR(L112/F112,"")</f>
        <v>0.10304108651426906</v>
      </c>
      <c r="S112" s="84">
        <f>+IFERROR(M112/G112,"")</f>
        <v>0.11313940033352619</v>
      </c>
      <c r="T112" s="84" t="str">
        <f>+IFERROR(#REF!/#REF!,"")</f>
        <v/>
      </c>
      <c r="U112" s="84" t="str">
        <f>+IFERROR(#REF!/#REF!,"")</f>
        <v/>
      </c>
      <c r="V112" s="84" t="str">
        <f>+IFERROR(#REF!/#REF!,"")</f>
        <v/>
      </c>
      <c r="W112" s="84" t="str">
        <f>+IFERROR(#REF!/#REF!,"")</f>
        <v/>
      </c>
      <c r="X112" s="84" t="str">
        <f>+IFERROR(#REF!/#REF!,"")</f>
        <v/>
      </c>
      <c r="Y112" s="84" t="str">
        <f>+IFERROR(#REF!/#REF!,"")</f>
        <v/>
      </c>
      <c r="Z112" s="84" t="str">
        <f>+IFERROR(#REF!/#REF!,"")</f>
        <v/>
      </c>
      <c r="AA112" s="84" t="str">
        <f>+IFERROR(#REF!/#REF!,"")</f>
        <v/>
      </c>
      <c r="AB112" s="84">
        <f>+IFERROR(N112/H112,"")</f>
        <v>0.12616488808336501</v>
      </c>
      <c r="AD112" s="139">
        <f t="shared" si="10"/>
        <v>5.0878043853258129E-2</v>
      </c>
      <c r="AE112" s="139">
        <f t="shared" si="10"/>
        <v>-6.5626848723932887E-2</v>
      </c>
      <c r="AF112" s="139">
        <f t="shared" si="10"/>
        <v>1.0098313819257132E-2</v>
      </c>
      <c r="AG112" s="139" t="str">
        <f t="shared" si="10"/>
        <v/>
      </c>
      <c r="AH112" s="139" t="str">
        <f t="shared" si="10"/>
        <v/>
      </c>
      <c r="AI112" s="139" t="str">
        <f t="shared" si="10"/>
        <v/>
      </c>
      <c r="AJ112" s="139" t="str">
        <f t="shared" si="10"/>
        <v/>
      </c>
      <c r="AK112" s="139" t="str">
        <f t="shared" si="10"/>
        <v/>
      </c>
      <c r="AL112" s="139" t="str">
        <f t="shared" si="10"/>
        <v/>
      </c>
      <c r="AM112" s="139" t="str">
        <f t="shared" si="10"/>
        <v/>
      </c>
      <c r="AN112" s="139" t="str">
        <f t="shared" si="10"/>
        <v/>
      </c>
      <c r="AP112" s="82">
        <f t="shared" si="11"/>
        <v>4.964605159282797E-4</v>
      </c>
      <c r="AQ112" s="82">
        <f t="shared" si="9"/>
        <v>0.96409631822330066</v>
      </c>
    </row>
    <row r="113" spans="2:43" x14ac:dyDescent="0.35">
      <c r="B113" s="83" t="s">
        <v>195</v>
      </c>
      <c r="D113" s="137">
        <v>453213</v>
      </c>
      <c r="E113" s="137">
        <v>329465</v>
      </c>
      <c r="F113" s="137">
        <v>277591</v>
      </c>
      <c r="G113" s="137">
        <v>69069</v>
      </c>
      <c r="H113" s="137">
        <f>+SUM(D113:G113)</f>
        <v>1129338</v>
      </c>
      <c r="J113" s="137">
        <v>69686</v>
      </c>
      <c r="K113" s="137">
        <v>49792</v>
      </c>
      <c r="L113" s="137">
        <v>40668</v>
      </c>
      <c r="M113" s="137">
        <v>9609</v>
      </c>
      <c r="N113" s="137">
        <f>+SUM(J113:M113)</f>
        <v>169755</v>
      </c>
      <c r="P113" s="84">
        <f>+IFERROR(J113/D113,"")</f>
        <v>0.15375993186426692</v>
      </c>
      <c r="Q113" s="84">
        <f>+IFERROR(K113/E113,"")</f>
        <v>0.15112986204907958</v>
      </c>
      <c r="R113" s="84">
        <f>+IFERROR(L113/F113,"")</f>
        <v>0.14650330882485382</v>
      </c>
      <c r="S113" s="84">
        <f>+IFERROR(M113/G113,"")</f>
        <v>0.1391217478174</v>
      </c>
      <c r="T113" s="84" t="str">
        <f>+IFERROR(#REF!/#REF!,"")</f>
        <v/>
      </c>
      <c r="U113" s="84" t="str">
        <f>+IFERROR(#REF!/#REF!,"")</f>
        <v/>
      </c>
      <c r="V113" s="84" t="str">
        <f>+IFERROR(#REF!/#REF!,"")</f>
        <v/>
      </c>
      <c r="W113" s="84" t="str">
        <f>+IFERROR(#REF!/#REF!,"")</f>
        <v/>
      </c>
      <c r="X113" s="84" t="str">
        <f>+IFERROR(#REF!/#REF!,"")</f>
        <v/>
      </c>
      <c r="Y113" s="84" t="str">
        <f>+IFERROR(#REF!/#REF!,"")</f>
        <v/>
      </c>
      <c r="Z113" s="84" t="str">
        <f>+IFERROR(#REF!/#REF!,"")</f>
        <v/>
      </c>
      <c r="AA113" s="84" t="str">
        <f>+IFERROR(#REF!/#REF!,"")</f>
        <v/>
      </c>
      <c r="AB113" s="84">
        <f>+IFERROR(N113/H113,"")</f>
        <v>0.15031372361507361</v>
      </c>
      <c r="AD113" s="139">
        <f t="shared" si="10"/>
        <v>-2.6300698151873469E-3</v>
      </c>
      <c r="AE113" s="139">
        <f t="shared" si="10"/>
        <v>-4.6265532242257545E-3</v>
      </c>
      <c r="AF113" s="139">
        <f t="shared" si="10"/>
        <v>-7.381561007453824E-3</v>
      </c>
      <c r="AG113" s="139" t="str">
        <f t="shared" si="10"/>
        <v/>
      </c>
      <c r="AH113" s="139" t="str">
        <f t="shared" si="10"/>
        <v/>
      </c>
      <c r="AI113" s="139" t="str">
        <f t="shared" si="10"/>
        <v/>
      </c>
      <c r="AJ113" s="139" t="str">
        <f t="shared" si="10"/>
        <v/>
      </c>
      <c r="AK113" s="139" t="str">
        <f t="shared" si="10"/>
        <v/>
      </c>
      <c r="AL113" s="139" t="str">
        <f t="shared" si="10"/>
        <v/>
      </c>
      <c r="AM113" s="139" t="str">
        <f t="shared" si="10"/>
        <v/>
      </c>
      <c r="AN113" s="139" t="str">
        <f t="shared" si="10"/>
        <v/>
      </c>
      <c r="AP113" s="82">
        <f t="shared" si="11"/>
        <v>2.0337325077439617E-4</v>
      </c>
      <c r="AQ113" s="82">
        <f t="shared" si="9"/>
        <v>0.96429969147407502</v>
      </c>
    </row>
    <row r="114" spans="2:43" x14ac:dyDescent="0.35">
      <c r="B114" s="83" t="s">
        <v>196</v>
      </c>
      <c r="D114" s="137">
        <v>283166</v>
      </c>
      <c r="E114" s="137">
        <v>310461</v>
      </c>
      <c r="F114" s="137">
        <v>430300</v>
      </c>
      <c r="G114" s="137">
        <v>28713</v>
      </c>
      <c r="H114" s="137">
        <f>+SUM(D114:G114)</f>
        <v>1052640</v>
      </c>
      <c r="J114" s="137">
        <v>45713</v>
      </c>
      <c r="K114" s="137">
        <v>53527</v>
      </c>
      <c r="L114" s="137">
        <v>60637</v>
      </c>
      <c r="M114" s="137">
        <v>6469</v>
      </c>
      <c r="N114" s="137">
        <f>+SUM(J114:M114)</f>
        <v>166346</v>
      </c>
      <c r="P114" s="84">
        <f>+IFERROR(J114/D114,"")</f>
        <v>0.16143534181363581</v>
      </c>
      <c r="Q114" s="84">
        <f>+IFERROR(K114/E114,"")</f>
        <v>0.17241134957369847</v>
      </c>
      <c r="R114" s="84">
        <f>+IFERROR(L114/F114,"")</f>
        <v>0.14091796421101557</v>
      </c>
      <c r="S114" s="84">
        <f>+IFERROR(M114/G114,"")</f>
        <v>0.22529864521296974</v>
      </c>
      <c r="T114" s="84" t="str">
        <f>+IFERROR(#REF!/#REF!,"")</f>
        <v/>
      </c>
      <c r="U114" s="84" t="str">
        <f>+IFERROR(#REF!/#REF!,"")</f>
        <v/>
      </c>
      <c r="V114" s="84" t="str">
        <f>+IFERROR(#REF!/#REF!,"")</f>
        <v/>
      </c>
      <c r="W114" s="84" t="str">
        <f>+IFERROR(#REF!/#REF!,"")</f>
        <v/>
      </c>
      <c r="X114" s="84" t="str">
        <f>+IFERROR(#REF!/#REF!,"")</f>
        <v/>
      </c>
      <c r="Y114" s="84" t="str">
        <f>+IFERROR(#REF!/#REF!,"")</f>
        <v/>
      </c>
      <c r="Z114" s="84" t="str">
        <f>+IFERROR(#REF!/#REF!,"")</f>
        <v/>
      </c>
      <c r="AA114" s="84" t="str">
        <f>+IFERROR(#REF!/#REF!,"")</f>
        <v/>
      </c>
      <c r="AB114" s="84">
        <f>+IFERROR(N114/H114,"")</f>
        <v>0.15802743578051376</v>
      </c>
      <c r="AD114" s="139">
        <f t="shared" si="10"/>
        <v>1.0976007760062662E-2</v>
      </c>
      <c r="AE114" s="139">
        <f t="shared" si="10"/>
        <v>-3.1493385362682896E-2</v>
      </c>
      <c r="AF114" s="139">
        <f t="shared" si="10"/>
        <v>8.4380681001954172E-2</v>
      </c>
      <c r="AG114" s="139" t="str">
        <f t="shared" si="10"/>
        <v/>
      </c>
      <c r="AH114" s="139" t="str">
        <f t="shared" si="10"/>
        <v/>
      </c>
      <c r="AI114" s="139" t="str">
        <f t="shared" si="10"/>
        <v/>
      </c>
      <c r="AJ114" s="139" t="str">
        <f t="shared" si="10"/>
        <v/>
      </c>
      <c r="AK114" s="139" t="str">
        <f t="shared" si="10"/>
        <v/>
      </c>
      <c r="AL114" s="139" t="str">
        <f t="shared" si="10"/>
        <v/>
      </c>
      <c r="AM114" s="139" t="str">
        <f t="shared" si="10"/>
        <v/>
      </c>
      <c r="AN114" s="139" t="str">
        <f t="shared" si="10"/>
        <v/>
      </c>
      <c r="AP114" s="82">
        <f t="shared" si="11"/>
        <v>1.9928913300531771E-4</v>
      </c>
      <c r="AQ114" s="82">
        <f t="shared" si="9"/>
        <v>0.96449898060708028</v>
      </c>
    </row>
    <row r="115" spans="2:43" x14ac:dyDescent="0.35">
      <c r="B115" s="83" t="s">
        <v>197</v>
      </c>
      <c r="D115" s="137">
        <v>16843</v>
      </c>
      <c r="E115" s="137">
        <v>6101</v>
      </c>
      <c r="F115" s="137">
        <v>159975</v>
      </c>
      <c r="G115" s="137"/>
      <c r="H115" s="137">
        <f>+SUM(D115:G115)</f>
        <v>182919</v>
      </c>
      <c r="J115" s="137">
        <v>731</v>
      </c>
      <c r="K115" s="137">
        <v>1653</v>
      </c>
      <c r="L115" s="137">
        <v>7464</v>
      </c>
      <c r="M115" s="137"/>
      <c r="N115" s="137">
        <f>+SUM(J115:M115)</f>
        <v>9848</v>
      </c>
      <c r="P115" s="84">
        <f>+IFERROR(J115/D115,"")</f>
        <v>4.3400819331473016E-2</v>
      </c>
      <c r="Q115" s="84">
        <f>+IFERROR(K115/E115,"")</f>
        <v>0.27093919029667268</v>
      </c>
      <c r="R115" s="84">
        <f>+IFERROR(L115/F115,"")</f>
        <v>4.6657290201594002E-2</v>
      </c>
      <c r="S115" s="84" t="str">
        <f>+IFERROR(M115/G115,"")</f>
        <v/>
      </c>
      <c r="T115" s="84" t="str">
        <f>+IFERROR(#REF!/#REF!,"")</f>
        <v/>
      </c>
      <c r="U115" s="84" t="str">
        <f>+IFERROR(#REF!/#REF!,"")</f>
        <v/>
      </c>
      <c r="V115" s="84" t="str">
        <f>+IFERROR(#REF!/#REF!,"")</f>
        <v/>
      </c>
      <c r="W115" s="84" t="str">
        <f>+IFERROR(#REF!/#REF!,"")</f>
        <v/>
      </c>
      <c r="X115" s="84" t="str">
        <f>+IFERROR(#REF!/#REF!,"")</f>
        <v/>
      </c>
      <c r="Y115" s="84" t="str">
        <f>+IFERROR(#REF!/#REF!,"")</f>
        <v/>
      </c>
      <c r="Z115" s="84" t="str">
        <f>+IFERROR(#REF!/#REF!,"")</f>
        <v/>
      </c>
      <c r="AA115" s="84" t="str">
        <f>+IFERROR(#REF!/#REF!,"")</f>
        <v/>
      </c>
      <c r="AB115" s="84">
        <f>+IFERROR(N115/H115,"")</f>
        <v>5.3838037601342668E-2</v>
      </c>
      <c r="AD115" s="139">
        <f t="shared" si="10"/>
        <v>0.22753837096519966</v>
      </c>
      <c r="AE115" s="139">
        <f t="shared" si="10"/>
        <v>-0.22428190009507867</v>
      </c>
      <c r="AF115" s="139" t="str">
        <f t="shared" ref="AF115:AN143" si="12">+IFERROR(S115-R115,"")</f>
        <v/>
      </c>
      <c r="AG115" s="139" t="str">
        <f t="shared" si="12"/>
        <v/>
      </c>
      <c r="AH115" s="139" t="str">
        <f t="shared" si="12"/>
        <v/>
      </c>
      <c r="AI115" s="139" t="str">
        <f t="shared" si="12"/>
        <v/>
      </c>
      <c r="AJ115" s="139" t="str">
        <f t="shared" si="12"/>
        <v/>
      </c>
      <c r="AK115" s="139" t="str">
        <f t="shared" si="12"/>
        <v/>
      </c>
      <c r="AL115" s="139" t="str">
        <f t="shared" si="12"/>
        <v/>
      </c>
      <c r="AM115" s="139" t="str">
        <f t="shared" si="12"/>
        <v/>
      </c>
      <c r="AN115" s="139" t="str">
        <f t="shared" si="12"/>
        <v/>
      </c>
      <c r="AP115" s="82">
        <f t="shared" si="11"/>
        <v>1.1798296212931893E-5</v>
      </c>
      <c r="AQ115" s="82">
        <f t="shared" si="9"/>
        <v>0.96451077890329318</v>
      </c>
    </row>
    <row r="116" spans="2:43" x14ac:dyDescent="0.35">
      <c r="B116" s="83" t="s">
        <v>198</v>
      </c>
      <c r="D116" s="137">
        <v>803366</v>
      </c>
      <c r="E116" s="137">
        <v>761066</v>
      </c>
      <c r="F116" s="137">
        <v>649461</v>
      </c>
      <c r="G116" s="137">
        <v>67825</v>
      </c>
      <c r="H116" s="137">
        <f>+SUM(D116:G116)</f>
        <v>2281718</v>
      </c>
      <c r="J116" s="137">
        <v>134413</v>
      </c>
      <c r="K116" s="137">
        <v>117707</v>
      </c>
      <c r="L116" s="137">
        <v>140137</v>
      </c>
      <c r="M116" s="137">
        <v>15662</v>
      </c>
      <c r="N116" s="137">
        <f>+SUM(J116:M116)</f>
        <v>407919</v>
      </c>
      <c r="P116" s="84">
        <f>+IFERROR(J116/D116,"")</f>
        <v>0.16731228356689229</v>
      </c>
      <c r="Q116" s="84">
        <f>+IFERROR(K116/E116,"")</f>
        <v>0.15466069959766959</v>
      </c>
      <c r="R116" s="84">
        <f>+IFERROR(L116/F116,"")</f>
        <v>0.21577431131353539</v>
      </c>
      <c r="S116" s="84">
        <f>+IFERROR(M116/G116,"")</f>
        <v>0.23091780316992261</v>
      </c>
      <c r="T116" s="84" t="str">
        <f>+IFERROR(#REF!/#REF!,"")</f>
        <v/>
      </c>
      <c r="U116" s="84" t="str">
        <f>+IFERROR(#REF!/#REF!,"")</f>
        <v/>
      </c>
      <c r="V116" s="84" t="str">
        <f>+IFERROR(#REF!/#REF!,"")</f>
        <v/>
      </c>
      <c r="W116" s="84" t="str">
        <f>+IFERROR(#REF!/#REF!,"")</f>
        <v/>
      </c>
      <c r="X116" s="84" t="str">
        <f>+IFERROR(#REF!/#REF!,"")</f>
        <v/>
      </c>
      <c r="Y116" s="84" t="str">
        <f>+IFERROR(#REF!/#REF!,"")</f>
        <v/>
      </c>
      <c r="Z116" s="84" t="str">
        <f>+IFERROR(#REF!/#REF!,"")</f>
        <v/>
      </c>
      <c r="AA116" s="84" t="str">
        <f>+IFERROR(#REF!/#REF!,"")</f>
        <v/>
      </c>
      <c r="AB116" s="84">
        <f>+IFERROR(N116/H116,"")</f>
        <v>0.17877713196810474</v>
      </c>
      <c r="AD116" s="139">
        <f t="shared" ref="AD116:AH147" si="13">+IFERROR(Q116-P116,"")</f>
        <v>-1.2651583969222696E-2</v>
      </c>
      <c r="AE116" s="139">
        <f t="shared" si="13"/>
        <v>6.1113611715865795E-2</v>
      </c>
      <c r="AF116" s="139">
        <f t="shared" si="12"/>
        <v>1.514349185638722E-2</v>
      </c>
      <c r="AG116" s="139" t="str">
        <f t="shared" si="12"/>
        <v/>
      </c>
      <c r="AH116" s="139" t="str">
        <f t="shared" si="12"/>
        <v/>
      </c>
      <c r="AI116" s="139" t="str">
        <f t="shared" si="12"/>
        <v/>
      </c>
      <c r="AJ116" s="139" t="str">
        <f t="shared" si="12"/>
        <v/>
      </c>
      <c r="AK116" s="139" t="str">
        <f t="shared" si="12"/>
        <v/>
      </c>
      <c r="AL116" s="139" t="str">
        <f t="shared" si="12"/>
        <v/>
      </c>
      <c r="AM116" s="139" t="str">
        <f t="shared" si="12"/>
        <v/>
      </c>
      <c r="AN116" s="139" t="str">
        <f t="shared" si="12"/>
        <v/>
      </c>
      <c r="AP116" s="82">
        <f t="shared" si="11"/>
        <v>4.8870320805066659E-4</v>
      </c>
      <c r="AQ116" s="82">
        <f t="shared" si="9"/>
        <v>0.96499948211134379</v>
      </c>
    </row>
    <row r="117" spans="2:43" x14ac:dyDescent="0.35">
      <c r="B117" s="83" t="s">
        <v>199</v>
      </c>
      <c r="D117" s="137">
        <v>124305</v>
      </c>
      <c r="E117" s="137">
        <v>110018</v>
      </c>
      <c r="F117" s="137">
        <v>164387</v>
      </c>
      <c r="G117" s="137">
        <v>7281</v>
      </c>
      <c r="H117" s="137">
        <f>+SUM(D117:G117)</f>
        <v>405991</v>
      </c>
      <c r="J117" s="137">
        <v>24454</v>
      </c>
      <c r="K117" s="137">
        <v>24444</v>
      </c>
      <c r="L117" s="137">
        <v>21467</v>
      </c>
      <c r="M117" s="137">
        <v>363</v>
      </c>
      <c r="N117" s="137">
        <f>+SUM(J117:M117)</f>
        <v>70728</v>
      </c>
      <c r="P117" s="84">
        <f>+IFERROR(J117/D117,"")</f>
        <v>0.19672579542254937</v>
      </c>
      <c r="Q117" s="84">
        <f>+IFERROR(K117/E117,"")</f>
        <v>0.22218182479230672</v>
      </c>
      <c r="R117" s="84">
        <f>+IFERROR(L117/F117,"")</f>
        <v>0.13058818519712628</v>
      </c>
      <c r="S117" s="84">
        <f>+IFERROR(M117/G117,"")</f>
        <v>4.9855789039967034E-2</v>
      </c>
      <c r="T117" s="84" t="str">
        <f>+IFERROR(#REF!/#REF!,"")</f>
        <v/>
      </c>
      <c r="U117" s="84" t="str">
        <f>+IFERROR(#REF!/#REF!,"")</f>
        <v/>
      </c>
      <c r="V117" s="84" t="str">
        <f>+IFERROR(#REF!/#REF!,"")</f>
        <v/>
      </c>
      <c r="W117" s="84" t="str">
        <f>+IFERROR(#REF!/#REF!,"")</f>
        <v/>
      </c>
      <c r="X117" s="84" t="str">
        <f>+IFERROR(#REF!/#REF!,"")</f>
        <v/>
      </c>
      <c r="Y117" s="84" t="str">
        <f>+IFERROR(#REF!/#REF!,"")</f>
        <v/>
      </c>
      <c r="Z117" s="84" t="str">
        <f>+IFERROR(#REF!/#REF!,"")</f>
        <v/>
      </c>
      <c r="AA117" s="84" t="str">
        <f>+IFERROR(#REF!/#REF!,"")</f>
        <v/>
      </c>
      <c r="AB117" s="84">
        <f>+IFERROR(N117/H117,"")</f>
        <v>0.17421075836656477</v>
      </c>
      <c r="AD117" s="139">
        <f t="shared" si="13"/>
        <v>2.5456029369757355E-2</v>
      </c>
      <c r="AE117" s="139">
        <f t="shared" si="13"/>
        <v>-9.1593639595180437E-2</v>
      </c>
      <c r="AF117" s="139">
        <f t="shared" si="12"/>
        <v>-8.0732396157159242E-2</v>
      </c>
      <c r="AG117" s="139" t="str">
        <f t="shared" si="12"/>
        <v/>
      </c>
      <c r="AH117" s="139" t="str">
        <f t="shared" si="12"/>
        <v/>
      </c>
      <c r="AI117" s="139" t="str">
        <f t="shared" si="12"/>
        <v/>
      </c>
      <c r="AJ117" s="139" t="str">
        <f t="shared" si="12"/>
        <v/>
      </c>
      <c r="AK117" s="139" t="str">
        <f t="shared" si="12"/>
        <v/>
      </c>
      <c r="AL117" s="139" t="str">
        <f t="shared" si="12"/>
        <v/>
      </c>
      <c r="AM117" s="139" t="str">
        <f t="shared" si="12"/>
        <v/>
      </c>
      <c r="AN117" s="139" t="str">
        <f t="shared" si="12"/>
        <v/>
      </c>
      <c r="AP117" s="82">
        <f t="shared" si="11"/>
        <v>8.47349608598951E-5</v>
      </c>
      <c r="AQ117" s="82">
        <f t="shared" si="9"/>
        <v>0.96508421707220371</v>
      </c>
    </row>
    <row r="118" spans="2:43" x14ac:dyDescent="0.35">
      <c r="B118" s="83" t="s">
        <v>200</v>
      </c>
      <c r="D118" s="137">
        <v>108958</v>
      </c>
      <c r="E118" s="137">
        <v>80843</v>
      </c>
      <c r="F118" s="137">
        <v>114212</v>
      </c>
      <c r="G118" s="137">
        <v>6669</v>
      </c>
      <c r="H118" s="137">
        <f>+SUM(D118:G118)</f>
        <v>310682</v>
      </c>
      <c r="J118" s="137">
        <v>15351</v>
      </c>
      <c r="K118" s="137">
        <v>10853</v>
      </c>
      <c r="L118" s="137">
        <v>24267</v>
      </c>
      <c r="M118" s="137">
        <v>1399</v>
      </c>
      <c r="N118" s="137">
        <f>+SUM(J118:M118)</f>
        <v>51870</v>
      </c>
      <c r="P118" s="84">
        <f>+IFERROR(J118/D118,"")</f>
        <v>0.14088914994768625</v>
      </c>
      <c r="Q118" s="84">
        <f>+IFERROR(K118/E118,"")</f>
        <v>0.13424786314213971</v>
      </c>
      <c r="R118" s="84">
        <f>+IFERROR(L118/F118,"")</f>
        <v>0.21247329527545267</v>
      </c>
      <c r="S118" s="84">
        <f>+IFERROR(M118/G118,"")</f>
        <v>0.20977657819763082</v>
      </c>
      <c r="T118" s="84" t="str">
        <f>+IFERROR(#REF!/#REF!,"")</f>
        <v/>
      </c>
      <c r="U118" s="84" t="str">
        <f>+IFERROR(#REF!/#REF!,"")</f>
        <v/>
      </c>
      <c r="V118" s="84" t="str">
        <f>+IFERROR(#REF!/#REF!,"")</f>
        <v/>
      </c>
      <c r="W118" s="84" t="str">
        <f>+IFERROR(#REF!/#REF!,"")</f>
        <v/>
      </c>
      <c r="X118" s="84" t="str">
        <f>+IFERROR(#REF!/#REF!,"")</f>
        <v/>
      </c>
      <c r="Y118" s="84" t="str">
        <f>+IFERROR(#REF!/#REF!,"")</f>
        <v/>
      </c>
      <c r="Z118" s="84" t="str">
        <f>+IFERROR(#REF!/#REF!,"")</f>
        <v/>
      </c>
      <c r="AA118" s="84" t="str">
        <f>+IFERROR(#REF!/#REF!,"")</f>
        <v/>
      </c>
      <c r="AB118" s="84">
        <f>+IFERROR(N118/H118,"")</f>
        <v>0.16695527903129245</v>
      </c>
      <c r="AD118" s="139">
        <f t="shared" si="13"/>
        <v>-6.6412868055465424E-3</v>
      </c>
      <c r="AE118" s="139">
        <f t="shared" si="13"/>
        <v>7.8225432133312955E-2</v>
      </c>
      <c r="AF118" s="139">
        <f t="shared" si="12"/>
        <v>-2.6967170778218474E-3</v>
      </c>
      <c r="AG118" s="139" t="str">
        <f t="shared" si="12"/>
        <v/>
      </c>
      <c r="AH118" s="139" t="str">
        <f t="shared" si="12"/>
        <v/>
      </c>
      <c r="AI118" s="139" t="str">
        <f t="shared" si="12"/>
        <v/>
      </c>
      <c r="AJ118" s="139" t="str">
        <f t="shared" si="12"/>
        <v/>
      </c>
      <c r="AK118" s="139" t="str">
        <f t="shared" si="12"/>
        <v/>
      </c>
      <c r="AL118" s="139" t="str">
        <f t="shared" si="12"/>
        <v/>
      </c>
      <c r="AM118" s="139" t="str">
        <f t="shared" si="12"/>
        <v/>
      </c>
      <c r="AN118" s="139" t="str">
        <f t="shared" si="12"/>
        <v/>
      </c>
      <c r="AP118" s="82">
        <f t="shared" si="11"/>
        <v>6.2142325808771051E-5</v>
      </c>
      <c r="AQ118" s="82">
        <f t="shared" si="9"/>
        <v>0.96514635939801252</v>
      </c>
    </row>
    <row r="119" spans="2:43" x14ac:dyDescent="0.35">
      <c r="B119" s="83" t="s">
        <v>201</v>
      </c>
      <c r="D119" s="137">
        <v>119115</v>
      </c>
      <c r="E119" s="137">
        <v>94550</v>
      </c>
      <c r="F119" s="137">
        <v>97513</v>
      </c>
      <c r="G119" s="137">
        <v>11943</v>
      </c>
      <c r="H119" s="137">
        <f>+SUM(D119:G119)</f>
        <v>323121</v>
      </c>
      <c r="J119" s="137">
        <v>19883</v>
      </c>
      <c r="K119" s="137">
        <v>20370</v>
      </c>
      <c r="L119" s="137">
        <v>15571</v>
      </c>
      <c r="M119" s="137">
        <v>80</v>
      </c>
      <c r="N119" s="137">
        <f>+SUM(J119:M119)</f>
        <v>55904</v>
      </c>
      <c r="P119" s="84">
        <f>+IFERROR(J119/D119,"")</f>
        <v>0.16692272173949543</v>
      </c>
      <c r="Q119" s="84">
        <f>+IFERROR(K119/E119,"")</f>
        <v>0.21544156530936012</v>
      </c>
      <c r="R119" s="84">
        <f>+IFERROR(L119/F119,"")</f>
        <v>0.15968127326612863</v>
      </c>
      <c r="S119" s="84">
        <f>+IFERROR(M119/G119,"")</f>
        <v>6.69848446788914E-3</v>
      </c>
      <c r="T119" s="84" t="str">
        <f>+IFERROR(#REF!/#REF!,"")</f>
        <v/>
      </c>
      <c r="U119" s="84" t="str">
        <f>+IFERROR(#REF!/#REF!,"")</f>
        <v/>
      </c>
      <c r="V119" s="84" t="str">
        <f>+IFERROR(#REF!/#REF!,"")</f>
        <v/>
      </c>
      <c r="W119" s="84" t="str">
        <f>+IFERROR(#REF!/#REF!,"")</f>
        <v/>
      </c>
      <c r="X119" s="84" t="str">
        <f>+IFERROR(#REF!/#REF!,"")</f>
        <v/>
      </c>
      <c r="Y119" s="84" t="str">
        <f>+IFERROR(#REF!/#REF!,"")</f>
        <v/>
      </c>
      <c r="Z119" s="84" t="str">
        <f>+IFERROR(#REF!/#REF!,"")</f>
        <v/>
      </c>
      <c r="AA119" s="84" t="str">
        <f>+IFERROR(#REF!/#REF!,"")</f>
        <v/>
      </c>
      <c r="AB119" s="84">
        <f>+IFERROR(N119/H119,"")</f>
        <v>0.17301258661615926</v>
      </c>
      <c r="AD119" s="139">
        <f t="shared" si="13"/>
        <v>4.8518843569864689E-2</v>
      </c>
      <c r="AE119" s="139">
        <f t="shared" si="13"/>
        <v>-5.5760292043231491E-2</v>
      </c>
      <c r="AF119" s="139">
        <f t="shared" si="12"/>
        <v>-0.15298278879823948</v>
      </c>
      <c r="AG119" s="139" t="str">
        <f t="shared" si="12"/>
        <v/>
      </c>
      <c r="AH119" s="139" t="str">
        <f t="shared" si="12"/>
        <v/>
      </c>
      <c r="AI119" s="139" t="str">
        <f t="shared" si="12"/>
        <v/>
      </c>
      <c r="AJ119" s="139" t="str">
        <f t="shared" si="12"/>
        <v/>
      </c>
      <c r="AK119" s="139" t="str">
        <f t="shared" si="12"/>
        <v/>
      </c>
      <c r="AL119" s="139" t="str">
        <f t="shared" si="12"/>
        <v/>
      </c>
      <c r="AM119" s="139" t="str">
        <f t="shared" si="12"/>
        <v/>
      </c>
      <c r="AN119" s="139" t="str">
        <f t="shared" si="12"/>
        <v/>
      </c>
      <c r="AP119" s="82">
        <f t="shared" si="11"/>
        <v>6.6975218469511025E-5</v>
      </c>
      <c r="AQ119" s="82">
        <f t="shared" si="9"/>
        <v>0.96521333461648207</v>
      </c>
    </row>
    <row r="120" spans="2:43" x14ac:dyDescent="0.35">
      <c r="B120" s="83" t="s">
        <v>202</v>
      </c>
      <c r="D120" s="137">
        <v>273499</v>
      </c>
      <c r="E120" s="137">
        <v>257024</v>
      </c>
      <c r="F120" s="137">
        <v>362516</v>
      </c>
      <c r="G120" s="137">
        <v>33887</v>
      </c>
      <c r="H120" s="137">
        <f>+SUM(D120:G120)</f>
        <v>926926</v>
      </c>
      <c r="J120" s="137">
        <v>69451</v>
      </c>
      <c r="K120" s="137">
        <v>65017</v>
      </c>
      <c r="L120" s="137">
        <v>61549</v>
      </c>
      <c r="M120" s="137">
        <v>15921</v>
      </c>
      <c r="N120" s="137">
        <f>+SUM(J120:M120)</f>
        <v>211938</v>
      </c>
      <c r="P120" s="84">
        <f>+IFERROR(J120/D120,"")</f>
        <v>0.25393511493643489</v>
      </c>
      <c r="Q120" s="84">
        <f>+IFERROR(K120/E120,"")</f>
        <v>0.25296081299800799</v>
      </c>
      <c r="R120" s="84">
        <f>+IFERROR(L120/F120,"")</f>
        <v>0.16978285096381954</v>
      </c>
      <c r="S120" s="84">
        <f>+IFERROR(M120/G120,"")</f>
        <v>0.46982618703337564</v>
      </c>
      <c r="T120" s="84" t="str">
        <f>+IFERROR(#REF!/#REF!,"")</f>
        <v/>
      </c>
      <c r="U120" s="84" t="str">
        <f>+IFERROR(#REF!/#REF!,"")</f>
        <v/>
      </c>
      <c r="V120" s="84" t="str">
        <f>+IFERROR(#REF!/#REF!,"")</f>
        <v/>
      </c>
      <c r="W120" s="84" t="str">
        <f>+IFERROR(#REF!/#REF!,"")</f>
        <v/>
      </c>
      <c r="X120" s="84" t="str">
        <f>+IFERROR(#REF!/#REF!,"")</f>
        <v/>
      </c>
      <c r="Y120" s="84" t="str">
        <f>+IFERROR(#REF!/#REF!,"")</f>
        <v/>
      </c>
      <c r="Z120" s="84" t="str">
        <f>+IFERROR(#REF!/#REF!,"")</f>
        <v/>
      </c>
      <c r="AA120" s="84" t="str">
        <f>+IFERROR(#REF!/#REF!,"")</f>
        <v/>
      </c>
      <c r="AB120" s="84">
        <f>+IFERROR(N120/H120,"")</f>
        <v>0.22864608393766062</v>
      </c>
      <c r="AD120" s="139">
        <f t="shared" si="13"/>
        <v>-9.7430193842690249E-4</v>
      </c>
      <c r="AE120" s="139">
        <f t="shared" si="13"/>
        <v>-8.3177962034188452E-2</v>
      </c>
      <c r="AF120" s="139">
        <f t="shared" si="12"/>
        <v>0.30004333606955613</v>
      </c>
      <c r="AG120" s="139" t="str">
        <f t="shared" si="12"/>
        <v/>
      </c>
      <c r="AH120" s="139" t="str">
        <f t="shared" si="12"/>
        <v/>
      </c>
      <c r="AI120" s="139" t="str">
        <f t="shared" si="12"/>
        <v/>
      </c>
      <c r="AJ120" s="139" t="str">
        <f t="shared" si="12"/>
        <v/>
      </c>
      <c r="AK120" s="139" t="str">
        <f t="shared" si="12"/>
        <v/>
      </c>
      <c r="AL120" s="139" t="str">
        <f t="shared" si="12"/>
        <v/>
      </c>
      <c r="AM120" s="139" t="str">
        <f t="shared" si="12"/>
        <v/>
      </c>
      <c r="AN120" s="139" t="str">
        <f t="shared" si="12"/>
        <v/>
      </c>
      <c r="AP120" s="82">
        <f t="shared" si="11"/>
        <v>2.5391016478232731E-4</v>
      </c>
      <c r="AQ120" s="82">
        <f t="shared" si="9"/>
        <v>0.96546724478126444</v>
      </c>
    </row>
    <row r="121" spans="2:43" x14ac:dyDescent="0.35">
      <c r="B121" s="83" t="s">
        <v>203</v>
      </c>
      <c r="D121" s="137">
        <v>4576574</v>
      </c>
      <c r="E121" s="137">
        <v>4232054</v>
      </c>
      <c r="F121" s="137">
        <v>4306243</v>
      </c>
      <c r="G121" s="137">
        <v>780372</v>
      </c>
      <c r="H121" s="137">
        <f>+SUM(D121:G121)</f>
        <v>13895243</v>
      </c>
      <c r="J121" s="137">
        <v>629199</v>
      </c>
      <c r="K121" s="137">
        <v>585066</v>
      </c>
      <c r="L121" s="137">
        <v>565930</v>
      </c>
      <c r="M121" s="137">
        <v>109176</v>
      </c>
      <c r="N121" s="137">
        <f>+SUM(J121:M121)</f>
        <v>1889371</v>
      </c>
      <c r="P121" s="84">
        <f>+IFERROR(J121/D121,"")</f>
        <v>0.13748253606300259</v>
      </c>
      <c r="Q121" s="84">
        <f>+IFERROR(K121/E121,"")</f>
        <v>0.13824634562791496</v>
      </c>
      <c r="R121" s="84">
        <f>+IFERROR(L121/F121,"")</f>
        <v>0.13142082320946588</v>
      </c>
      <c r="S121" s="84">
        <f>+IFERROR(M121/G121,"")</f>
        <v>0.13990250803462964</v>
      </c>
      <c r="T121" s="84" t="str">
        <f>+IFERROR(#REF!/#REF!,"")</f>
        <v/>
      </c>
      <c r="U121" s="84" t="str">
        <f>+IFERROR(#REF!/#REF!,"")</f>
        <v/>
      </c>
      <c r="V121" s="84" t="str">
        <f>+IFERROR(#REF!/#REF!,"")</f>
        <v/>
      </c>
      <c r="W121" s="84" t="str">
        <f>+IFERROR(#REF!/#REF!,"")</f>
        <v/>
      </c>
      <c r="X121" s="84" t="str">
        <f>+IFERROR(#REF!/#REF!,"")</f>
        <v/>
      </c>
      <c r="Y121" s="84" t="str">
        <f>+IFERROR(#REF!/#REF!,"")</f>
        <v/>
      </c>
      <c r="Z121" s="84" t="str">
        <f>+IFERROR(#REF!/#REF!,"")</f>
        <v/>
      </c>
      <c r="AA121" s="84" t="str">
        <f>+IFERROR(#REF!/#REF!,"")</f>
        <v/>
      </c>
      <c r="AB121" s="84">
        <f>+IFERROR(N121/H121,"")</f>
        <v>0.13597250512279635</v>
      </c>
      <c r="AD121" s="139">
        <f t="shared" si="13"/>
        <v>7.6380956491237106E-4</v>
      </c>
      <c r="AE121" s="139">
        <f t="shared" si="13"/>
        <v>-6.8255224184490815E-3</v>
      </c>
      <c r="AF121" s="139">
        <f t="shared" si="12"/>
        <v>8.48168482516376E-3</v>
      </c>
      <c r="AG121" s="139" t="str">
        <f t="shared" si="12"/>
        <v/>
      </c>
      <c r="AH121" s="139" t="str">
        <f t="shared" si="12"/>
        <v/>
      </c>
      <c r="AI121" s="139" t="str">
        <f t="shared" si="12"/>
        <v/>
      </c>
      <c r="AJ121" s="139" t="str">
        <f t="shared" si="12"/>
        <v/>
      </c>
      <c r="AK121" s="139" t="str">
        <f t="shared" si="12"/>
        <v/>
      </c>
      <c r="AL121" s="139" t="str">
        <f t="shared" si="12"/>
        <v/>
      </c>
      <c r="AM121" s="139" t="str">
        <f t="shared" si="12"/>
        <v/>
      </c>
      <c r="AN121" s="139" t="str">
        <f t="shared" si="12"/>
        <v/>
      </c>
      <c r="AP121" s="82">
        <f t="shared" si="11"/>
        <v>2.2635417053334019E-3</v>
      </c>
      <c r="AQ121" s="82">
        <f t="shared" si="9"/>
        <v>0.96773078648659783</v>
      </c>
    </row>
    <row r="122" spans="2:43" x14ac:dyDescent="0.35">
      <c r="B122" s="83" t="s">
        <v>204</v>
      </c>
      <c r="D122" s="137">
        <v>6549604</v>
      </c>
      <c r="E122" s="137">
        <v>4988517</v>
      </c>
      <c r="F122" s="137">
        <v>6289361</v>
      </c>
      <c r="G122" s="137">
        <v>3135871</v>
      </c>
      <c r="H122" s="137">
        <f>+SUM(D122:G122)</f>
        <v>20963353</v>
      </c>
      <c r="J122" s="137">
        <v>1134185</v>
      </c>
      <c r="K122" s="137">
        <v>834390</v>
      </c>
      <c r="L122" s="137">
        <v>1052510</v>
      </c>
      <c r="M122" s="137">
        <v>511957</v>
      </c>
      <c r="N122" s="137">
        <f>+SUM(J122:M122)</f>
        <v>3533042</v>
      </c>
      <c r="P122" s="84">
        <f>+IFERROR(J122/D122,"")</f>
        <v>0.17316848469006677</v>
      </c>
      <c r="Q122" s="84">
        <f>+IFERROR(K122/E122,"")</f>
        <v>0.16726213421744379</v>
      </c>
      <c r="R122" s="84">
        <f>+IFERROR(L122/F122,"")</f>
        <v>0.16734768444679834</v>
      </c>
      <c r="S122" s="84">
        <f>+IFERROR(M122/G122,"")</f>
        <v>0.16325831005165711</v>
      </c>
      <c r="T122" s="84" t="str">
        <f>+IFERROR(#REF!/#REF!,"")</f>
        <v/>
      </c>
      <c r="U122" s="84" t="str">
        <f>+IFERROR(#REF!/#REF!,"")</f>
        <v/>
      </c>
      <c r="V122" s="84" t="str">
        <f>+IFERROR(#REF!/#REF!,"")</f>
        <v/>
      </c>
      <c r="W122" s="84" t="str">
        <f>+IFERROR(#REF!/#REF!,"")</f>
        <v/>
      </c>
      <c r="X122" s="84" t="str">
        <f>+IFERROR(#REF!/#REF!,"")</f>
        <v/>
      </c>
      <c r="Y122" s="84" t="str">
        <f>+IFERROR(#REF!/#REF!,"")</f>
        <v/>
      </c>
      <c r="Z122" s="84" t="str">
        <f>+IFERROR(#REF!/#REF!,"")</f>
        <v/>
      </c>
      <c r="AA122" s="84" t="str">
        <f>+IFERROR(#REF!/#REF!,"")</f>
        <v/>
      </c>
      <c r="AB122" s="84">
        <f>+IFERROR(N122/H122,"")</f>
        <v>0.16853420347403394</v>
      </c>
      <c r="AD122" s="139">
        <f t="shared" si="13"/>
        <v>-5.9063504726229732E-3</v>
      </c>
      <c r="AE122" s="139">
        <f t="shared" si="13"/>
        <v>8.555022935455292E-5</v>
      </c>
      <c r="AF122" s="139">
        <f t="shared" si="12"/>
        <v>-4.089374395141232E-3</v>
      </c>
      <c r="AG122" s="139" t="str">
        <f t="shared" si="12"/>
        <v/>
      </c>
      <c r="AH122" s="139" t="str">
        <f t="shared" si="12"/>
        <v/>
      </c>
      <c r="AI122" s="139" t="str">
        <f t="shared" si="12"/>
        <v/>
      </c>
      <c r="AJ122" s="139" t="str">
        <f t="shared" si="12"/>
        <v/>
      </c>
      <c r="AK122" s="139" t="str">
        <f t="shared" si="12"/>
        <v/>
      </c>
      <c r="AL122" s="139" t="str">
        <f t="shared" si="12"/>
        <v/>
      </c>
      <c r="AM122" s="139" t="str">
        <f t="shared" si="12"/>
        <v/>
      </c>
      <c r="AN122" s="139" t="str">
        <f t="shared" si="12"/>
        <v/>
      </c>
      <c r="AP122" s="82">
        <f t="shared" si="11"/>
        <v>4.2327250252568362E-3</v>
      </c>
      <c r="AQ122" s="82">
        <f t="shared" si="9"/>
        <v>0.97196351151185467</v>
      </c>
    </row>
    <row r="123" spans="2:43" x14ac:dyDescent="0.35">
      <c r="B123" s="83" t="s">
        <v>205</v>
      </c>
      <c r="D123" s="137">
        <v>349711</v>
      </c>
      <c r="E123" s="137">
        <v>354363</v>
      </c>
      <c r="F123" s="137">
        <v>380050</v>
      </c>
      <c r="G123" s="137">
        <v>41469</v>
      </c>
      <c r="H123" s="137">
        <f>+SUM(D123:G123)</f>
        <v>1125593</v>
      </c>
      <c r="J123" s="137">
        <v>50465</v>
      </c>
      <c r="K123" s="137">
        <v>62576</v>
      </c>
      <c r="L123" s="137">
        <v>54277</v>
      </c>
      <c r="M123" s="137">
        <v>8159</v>
      </c>
      <c r="N123" s="137">
        <f>+SUM(J123:M123)</f>
        <v>175477</v>
      </c>
      <c r="P123" s="84">
        <f>+IFERROR(J123/D123,"")</f>
        <v>0.14430486887744451</v>
      </c>
      <c r="Q123" s="84">
        <f>+IFERROR(K123/E123,"")</f>
        <v>0.17658728478989058</v>
      </c>
      <c r="R123" s="84">
        <f>+IFERROR(L123/F123,"")</f>
        <v>0.14281541902381265</v>
      </c>
      <c r="S123" s="84">
        <f>+IFERROR(M123/G123,"")</f>
        <v>0.19674937905423329</v>
      </c>
      <c r="T123" s="84" t="str">
        <f>+IFERROR(#REF!/#REF!,"")</f>
        <v/>
      </c>
      <c r="U123" s="84" t="str">
        <f>+IFERROR(#REF!/#REF!,"")</f>
        <v/>
      </c>
      <c r="V123" s="84" t="str">
        <f>+IFERROR(#REF!/#REF!,"")</f>
        <v/>
      </c>
      <c r="W123" s="84" t="str">
        <f>+IFERROR(#REF!/#REF!,"")</f>
        <v/>
      </c>
      <c r="X123" s="84" t="str">
        <f>+IFERROR(#REF!/#REF!,"")</f>
        <v/>
      </c>
      <c r="Y123" s="84" t="str">
        <f>+IFERROR(#REF!/#REF!,"")</f>
        <v/>
      </c>
      <c r="Z123" s="84" t="str">
        <f>+IFERROR(#REF!/#REF!,"")</f>
        <v/>
      </c>
      <c r="AA123" s="84" t="str">
        <f>+IFERROR(#REF!/#REF!,"")</f>
        <v/>
      </c>
      <c r="AB123" s="84">
        <f>+IFERROR(N123/H123,"")</f>
        <v>0.15589738031419884</v>
      </c>
      <c r="AD123" s="139">
        <f t="shared" si="13"/>
        <v>3.2282415912446072E-2</v>
      </c>
      <c r="AE123" s="139">
        <f t="shared" si="13"/>
        <v>-3.3771865766077935E-2</v>
      </c>
      <c r="AF123" s="139">
        <f t="shared" si="12"/>
        <v>5.3933960030420641E-2</v>
      </c>
      <c r="AG123" s="139" t="str">
        <f t="shared" si="12"/>
        <v/>
      </c>
      <c r="AH123" s="139" t="str">
        <f t="shared" si="12"/>
        <v/>
      </c>
      <c r="AI123" s="139" t="str">
        <f t="shared" si="12"/>
        <v/>
      </c>
      <c r="AJ123" s="139" t="str">
        <f t="shared" si="12"/>
        <v/>
      </c>
      <c r="AK123" s="139" t="str">
        <f t="shared" si="12"/>
        <v/>
      </c>
      <c r="AL123" s="139" t="str">
        <f t="shared" si="12"/>
        <v/>
      </c>
      <c r="AM123" s="139" t="str">
        <f t="shared" si="12"/>
        <v/>
      </c>
      <c r="AN123" s="139" t="str">
        <f t="shared" si="12"/>
        <v/>
      </c>
      <c r="AP123" s="82">
        <f t="shared" si="11"/>
        <v>2.1022843466253553E-4</v>
      </c>
      <c r="AQ123" s="82">
        <f t="shared" si="9"/>
        <v>0.97217373994651723</v>
      </c>
    </row>
    <row r="124" spans="2:43" x14ac:dyDescent="0.35">
      <c r="B124" s="83" t="s">
        <v>206</v>
      </c>
      <c r="D124" s="137">
        <v>645788</v>
      </c>
      <c r="E124" s="137">
        <v>610496</v>
      </c>
      <c r="F124" s="137">
        <v>772417</v>
      </c>
      <c r="G124" s="137">
        <v>90717</v>
      </c>
      <c r="H124" s="137">
        <f>+SUM(D124:G124)</f>
        <v>2119418</v>
      </c>
      <c r="J124" s="137">
        <v>112236</v>
      </c>
      <c r="K124" s="137">
        <v>109647</v>
      </c>
      <c r="L124" s="137">
        <v>135682</v>
      </c>
      <c r="M124" s="137">
        <v>11383</v>
      </c>
      <c r="N124" s="137">
        <f>+SUM(J124:M124)</f>
        <v>368948</v>
      </c>
      <c r="P124" s="84">
        <f>+IFERROR(J124/D124,"")</f>
        <v>0.17379697361982571</v>
      </c>
      <c r="Q124" s="84">
        <f>+IFERROR(K124/E124,"")</f>
        <v>0.17960314236293112</v>
      </c>
      <c r="R124" s="84">
        <f>+IFERROR(L124/F124,"")</f>
        <v>0.17565900284431854</v>
      </c>
      <c r="S124" s="84">
        <f>+IFERROR(M124/G124,"")</f>
        <v>0.12547813529988866</v>
      </c>
      <c r="T124" s="84" t="str">
        <f>+IFERROR(#REF!/#REF!,"")</f>
        <v/>
      </c>
      <c r="U124" s="84" t="str">
        <f>+IFERROR(#REF!/#REF!,"")</f>
        <v/>
      </c>
      <c r="V124" s="84" t="str">
        <f>+IFERROR(#REF!/#REF!,"")</f>
        <v/>
      </c>
      <c r="W124" s="84" t="str">
        <f>+IFERROR(#REF!/#REF!,"")</f>
        <v/>
      </c>
      <c r="X124" s="84" t="str">
        <f>+IFERROR(#REF!/#REF!,"")</f>
        <v/>
      </c>
      <c r="Y124" s="84" t="str">
        <f>+IFERROR(#REF!/#REF!,"")</f>
        <v/>
      </c>
      <c r="Z124" s="84" t="str">
        <f>+IFERROR(#REF!/#REF!,"")</f>
        <v/>
      </c>
      <c r="AA124" s="84" t="str">
        <f>+IFERROR(#REF!/#REF!,"")</f>
        <v/>
      </c>
      <c r="AB124" s="84">
        <f>+IFERROR(N124/H124,"")</f>
        <v>0.17407986532151751</v>
      </c>
      <c r="AD124" s="139">
        <f t="shared" si="13"/>
        <v>5.806168743105411E-3</v>
      </c>
      <c r="AE124" s="139">
        <f t="shared" si="13"/>
        <v>-3.9441395186125827E-3</v>
      </c>
      <c r="AF124" s="139">
        <f t="shared" si="12"/>
        <v>-5.018086754442988E-2</v>
      </c>
      <c r="AG124" s="139" t="str">
        <f t="shared" si="12"/>
        <v/>
      </c>
      <c r="AH124" s="139" t="str">
        <f t="shared" si="12"/>
        <v/>
      </c>
      <c r="AI124" s="139" t="str">
        <f t="shared" si="12"/>
        <v/>
      </c>
      <c r="AJ124" s="139" t="str">
        <f t="shared" si="12"/>
        <v/>
      </c>
      <c r="AK124" s="139" t="str">
        <f t="shared" si="12"/>
        <v/>
      </c>
      <c r="AL124" s="139" t="str">
        <f t="shared" si="12"/>
        <v/>
      </c>
      <c r="AM124" s="139" t="str">
        <f t="shared" si="12"/>
        <v/>
      </c>
      <c r="AN124" s="139" t="str">
        <f t="shared" si="12"/>
        <v/>
      </c>
      <c r="AP124" s="82">
        <f t="shared" si="11"/>
        <v>4.4201439796596223E-4</v>
      </c>
      <c r="AQ124" s="82">
        <f t="shared" si="9"/>
        <v>0.97261575434448322</v>
      </c>
    </row>
    <row r="125" spans="2:43" x14ac:dyDescent="0.35">
      <c r="B125" s="83" t="s">
        <v>207</v>
      </c>
      <c r="D125" s="137">
        <v>218867</v>
      </c>
      <c r="E125" s="137">
        <v>182725</v>
      </c>
      <c r="F125" s="137">
        <v>206193</v>
      </c>
      <c r="G125" s="137">
        <v>11992</v>
      </c>
      <c r="H125" s="137">
        <f>+SUM(D125:G125)</f>
        <v>619777</v>
      </c>
      <c r="J125" s="137">
        <v>76265</v>
      </c>
      <c r="K125" s="137">
        <v>30282</v>
      </c>
      <c r="L125" s="137">
        <v>23721</v>
      </c>
      <c r="M125" s="137">
        <v>2291</v>
      </c>
      <c r="N125" s="137">
        <f>+SUM(J125:M125)</f>
        <v>132559</v>
      </c>
      <c r="P125" s="84">
        <f>+IFERROR(J125/D125,"")</f>
        <v>0.34845362708859717</v>
      </c>
      <c r="Q125" s="84">
        <f>+IFERROR(K125/E125,"")</f>
        <v>0.16572444930907101</v>
      </c>
      <c r="R125" s="84">
        <f>+IFERROR(L125/F125,"")</f>
        <v>0.11504270271056728</v>
      </c>
      <c r="S125" s="84">
        <f>+IFERROR(M125/G125,"")</f>
        <v>0.19104402935290193</v>
      </c>
      <c r="T125" s="84" t="str">
        <f>+IFERROR(#REF!/#REF!,"")</f>
        <v/>
      </c>
      <c r="U125" s="84" t="str">
        <f>+IFERROR(#REF!/#REF!,"")</f>
        <v/>
      </c>
      <c r="V125" s="84" t="str">
        <f>+IFERROR(#REF!/#REF!,"")</f>
        <v/>
      </c>
      <c r="W125" s="84" t="str">
        <f>+IFERROR(#REF!/#REF!,"")</f>
        <v/>
      </c>
      <c r="X125" s="84" t="str">
        <f>+IFERROR(#REF!/#REF!,"")</f>
        <v/>
      </c>
      <c r="Y125" s="84" t="str">
        <f>+IFERROR(#REF!/#REF!,"")</f>
        <v/>
      </c>
      <c r="Z125" s="84" t="str">
        <f>+IFERROR(#REF!/#REF!,"")</f>
        <v/>
      </c>
      <c r="AA125" s="84" t="str">
        <f>+IFERROR(#REF!/#REF!,"")</f>
        <v/>
      </c>
      <c r="AB125" s="84">
        <f>+IFERROR(N125/H125,"")</f>
        <v>0.2138817671517336</v>
      </c>
      <c r="AD125" s="139">
        <f t="shared" si="13"/>
        <v>-0.18272917777952616</v>
      </c>
      <c r="AE125" s="139">
        <f t="shared" si="13"/>
        <v>-5.0681746598503732E-2</v>
      </c>
      <c r="AF125" s="139">
        <f t="shared" si="12"/>
        <v>7.6001326642334652E-2</v>
      </c>
      <c r="AG125" s="139" t="str">
        <f t="shared" si="12"/>
        <v/>
      </c>
      <c r="AH125" s="139" t="str">
        <f t="shared" si="12"/>
        <v/>
      </c>
      <c r="AI125" s="139" t="str">
        <f t="shared" si="12"/>
        <v/>
      </c>
      <c r="AJ125" s="139" t="str">
        <f t="shared" si="12"/>
        <v/>
      </c>
      <c r="AK125" s="139" t="str">
        <f t="shared" si="12"/>
        <v/>
      </c>
      <c r="AL125" s="139" t="str">
        <f t="shared" si="12"/>
        <v/>
      </c>
      <c r="AM125" s="139" t="str">
        <f t="shared" si="12"/>
        <v/>
      </c>
      <c r="AN125" s="139" t="str">
        <f t="shared" si="12"/>
        <v/>
      </c>
      <c r="AP125" s="82">
        <f t="shared" si="11"/>
        <v>1.5881096138201044E-4</v>
      </c>
      <c r="AQ125" s="82">
        <f t="shared" si="9"/>
        <v>0.97277456530586526</v>
      </c>
    </row>
    <row r="126" spans="2:43" x14ac:dyDescent="0.35">
      <c r="B126" s="83" t="s">
        <v>208</v>
      </c>
      <c r="D126" s="137">
        <v>200213</v>
      </c>
      <c r="E126" s="137">
        <v>187036</v>
      </c>
      <c r="F126" s="137">
        <v>237075</v>
      </c>
      <c r="G126" s="137">
        <v>33859</v>
      </c>
      <c r="H126" s="137">
        <f>+SUM(D126:G126)</f>
        <v>658183</v>
      </c>
      <c r="J126" s="137">
        <v>41799</v>
      </c>
      <c r="K126" s="137">
        <v>35556</v>
      </c>
      <c r="L126" s="137">
        <v>60899</v>
      </c>
      <c r="M126" s="137">
        <v>3120</v>
      </c>
      <c r="N126" s="137">
        <f>+SUM(J126:M126)</f>
        <v>141374</v>
      </c>
      <c r="P126" s="84">
        <f>+IFERROR(J126/D126,"")</f>
        <v>0.20877265712016702</v>
      </c>
      <c r="Q126" s="84">
        <f>+IFERROR(K126/E126,"")</f>
        <v>0.1901024401719455</v>
      </c>
      <c r="R126" s="84">
        <f>+IFERROR(L126/F126,"")</f>
        <v>0.25687651587050514</v>
      </c>
      <c r="S126" s="84">
        <f>+IFERROR(M126/G126,"")</f>
        <v>9.2146844265926342E-2</v>
      </c>
      <c r="T126" s="84" t="str">
        <f>+IFERROR(#REF!/#REF!,"")</f>
        <v/>
      </c>
      <c r="U126" s="84" t="str">
        <f>+IFERROR(#REF!/#REF!,"")</f>
        <v/>
      </c>
      <c r="V126" s="84" t="str">
        <f>+IFERROR(#REF!/#REF!,"")</f>
        <v/>
      </c>
      <c r="W126" s="84" t="str">
        <f>+IFERROR(#REF!/#REF!,"")</f>
        <v/>
      </c>
      <c r="X126" s="84" t="str">
        <f>+IFERROR(#REF!/#REF!,"")</f>
        <v/>
      </c>
      <c r="Y126" s="84" t="str">
        <f>+IFERROR(#REF!/#REF!,"")</f>
        <v/>
      </c>
      <c r="Z126" s="84" t="str">
        <f>+IFERROR(#REF!/#REF!,"")</f>
        <v/>
      </c>
      <c r="AA126" s="84" t="str">
        <f>+IFERROR(#REF!/#REF!,"")</f>
        <v/>
      </c>
      <c r="AB126" s="84">
        <f>+IFERROR(N126/H126,"")</f>
        <v>0.21479436570072458</v>
      </c>
      <c r="AD126" s="139">
        <f t="shared" si="13"/>
        <v>-1.8670216948221519E-2</v>
      </c>
      <c r="AE126" s="139">
        <f t="shared" si="13"/>
        <v>6.6774075698559643E-2</v>
      </c>
      <c r="AF126" s="139">
        <f t="shared" si="12"/>
        <v>-0.1647296716045788</v>
      </c>
      <c r="AG126" s="139" t="str">
        <f t="shared" si="12"/>
        <v/>
      </c>
      <c r="AH126" s="139" t="str">
        <f t="shared" si="12"/>
        <v/>
      </c>
      <c r="AI126" s="139" t="str">
        <f t="shared" si="12"/>
        <v/>
      </c>
      <c r="AJ126" s="139" t="str">
        <f t="shared" si="12"/>
        <v/>
      </c>
      <c r="AK126" s="139" t="str">
        <f t="shared" si="12"/>
        <v/>
      </c>
      <c r="AL126" s="139" t="str">
        <f t="shared" si="12"/>
        <v/>
      </c>
      <c r="AM126" s="139" t="str">
        <f t="shared" si="12"/>
        <v/>
      </c>
      <c r="AN126" s="139" t="str">
        <f t="shared" si="12"/>
        <v/>
      </c>
      <c r="AP126" s="82">
        <f t="shared" si="11"/>
        <v>1.693716824540042E-4</v>
      </c>
      <c r="AQ126" s="82">
        <f t="shared" si="9"/>
        <v>0.97294393698831927</v>
      </c>
    </row>
    <row r="127" spans="2:43" x14ac:dyDescent="0.35">
      <c r="B127" s="83" t="s">
        <v>209</v>
      </c>
      <c r="D127" s="137">
        <v>559167</v>
      </c>
      <c r="E127" s="137">
        <v>423395</v>
      </c>
      <c r="F127" s="137">
        <v>411799</v>
      </c>
      <c r="G127" s="137">
        <v>45707</v>
      </c>
      <c r="H127" s="137">
        <f>+SUM(D127:G127)</f>
        <v>1440068</v>
      </c>
      <c r="J127" s="137">
        <v>78416</v>
      </c>
      <c r="K127" s="137">
        <v>66042</v>
      </c>
      <c r="L127" s="137">
        <v>79131</v>
      </c>
      <c r="M127" s="137">
        <v>2281</v>
      </c>
      <c r="N127" s="137">
        <f>+SUM(J127:M127)</f>
        <v>225870</v>
      </c>
      <c r="P127" s="84">
        <f>+IFERROR(J127/D127,"")</f>
        <v>0.14023717422523146</v>
      </c>
      <c r="Q127" s="84">
        <f>+IFERROR(K127/E127,"")</f>
        <v>0.15598200262166534</v>
      </c>
      <c r="R127" s="84">
        <f>+IFERROR(L127/F127,"")</f>
        <v>0.19215928159126175</v>
      </c>
      <c r="S127" s="84">
        <f>+IFERROR(M127/G127,"")</f>
        <v>4.9904828582055263E-2</v>
      </c>
      <c r="T127" s="84" t="str">
        <f>+IFERROR(#REF!/#REF!,"")</f>
        <v/>
      </c>
      <c r="U127" s="84" t="str">
        <f>+IFERROR(#REF!/#REF!,"")</f>
        <v/>
      </c>
      <c r="V127" s="84" t="str">
        <f>+IFERROR(#REF!/#REF!,"")</f>
        <v/>
      </c>
      <c r="W127" s="84" t="str">
        <f>+IFERROR(#REF!/#REF!,"")</f>
        <v/>
      </c>
      <c r="X127" s="84" t="str">
        <f>+IFERROR(#REF!/#REF!,"")</f>
        <v/>
      </c>
      <c r="Y127" s="84" t="str">
        <f>+IFERROR(#REF!/#REF!,"")</f>
        <v/>
      </c>
      <c r="Z127" s="84" t="str">
        <f>+IFERROR(#REF!/#REF!,"")</f>
        <v/>
      </c>
      <c r="AA127" s="84" t="str">
        <f>+IFERROR(#REF!/#REF!,"")</f>
        <v/>
      </c>
      <c r="AB127" s="84">
        <f>+IFERROR(N127/H127,"")</f>
        <v>0.15684676001411044</v>
      </c>
      <c r="AD127" s="139">
        <f t="shared" si="13"/>
        <v>1.5744828396433874E-2</v>
      </c>
      <c r="AE127" s="139">
        <f t="shared" si="13"/>
        <v>3.617727896959641E-2</v>
      </c>
      <c r="AF127" s="139">
        <f t="shared" si="12"/>
        <v>-0.14225445300920647</v>
      </c>
      <c r="AG127" s="139" t="str">
        <f t="shared" si="12"/>
        <v/>
      </c>
      <c r="AH127" s="139" t="str">
        <f t="shared" si="12"/>
        <v/>
      </c>
      <c r="AI127" s="139" t="str">
        <f t="shared" si="12"/>
        <v/>
      </c>
      <c r="AJ127" s="139" t="str">
        <f t="shared" si="12"/>
        <v/>
      </c>
      <c r="AK127" s="139" t="str">
        <f t="shared" si="12"/>
        <v/>
      </c>
      <c r="AL127" s="139" t="str">
        <f t="shared" si="12"/>
        <v/>
      </c>
      <c r="AM127" s="139" t="str">
        <f t="shared" si="12"/>
        <v/>
      </c>
      <c r="AN127" s="139" t="str">
        <f t="shared" si="12"/>
        <v/>
      </c>
      <c r="AP127" s="82">
        <f t="shared" si="11"/>
        <v>2.7060125564733211E-4</v>
      </c>
      <c r="AQ127" s="82">
        <f t="shared" si="9"/>
        <v>0.97321453824396664</v>
      </c>
    </row>
    <row r="128" spans="2:43" x14ac:dyDescent="0.35">
      <c r="B128" s="83" t="s">
        <v>210</v>
      </c>
      <c r="D128" s="137">
        <v>55321</v>
      </c>
      <c r="E128" s="137">
        <v>47764</v>
      </c>
      <c r="F128" s="137">
        <v>50587</v>
      </c>
      <c r="G128" s="137">
        <v>6003</v>
      </c>
      <c r="H128" s="137">
        <f>+SUM(D128:G128)</f>
        <v>159675</v>
      </c>
      <c r="J128" s="137">
        <v>12923</v>
      </c>
      <c r="K128" s="137">
        <v>7560</v>
      </c>
      <c r="L128" s="137">
        <v>10557</v>
      </c>
      <c r="M128" s="137">
        <v>1111</v>
      </c>
      <c r="N128" s="137">
        <f>+SUM(J128:M128)</f>
        <v>32151</v>
      </c>
      <c r="P128" s="84">
        <f>+IFERROR(J128/D128,"")</f>
        <v>0.23360026029898232</v>
      </c>
      <c r="Q128" s="84">
        <f>+IFERROR(K128/E128,"")</f>
        <v>0.15827820115568211</v>
      </c>
      <c r="R128" s="84">
        <f>+IFERROR(L128/F128,"")</f>
        <v>0.20868997963903771</v>
      </c>
      <c r="S128" s="84">
        <f>+IFERROR(M128/G128,"")</f>
        <v>0.18507412960186573</v>
      </c>
      <c r="T128" s="84" t="str">
        <f>+IFERROR(#REF!/#REF!,"")</f>
        <v/>
      </c>
      <c r="U128" s="84" t="str">
        <f>+IFERROR(#REF!/#REF!,"")</f>
        <v/>
      </c>
      <c r="V128" s="84" t="str">
        <f>+IFERROR(#REF!/#REF!,"")</f>
        <v/>
      </c>
      <c r="W128" s="84" t="str">
        <f>+IFERROR(#REF!/#REF!,"")</f>
        <v/>
      </c>
      <c r="X128" s="84" t="str">
        <f>+IFERROR(#REF!/#REF!,"")</f>
        <v/>
      </c>
      <c r="Y128" s="84" t="str">
        <f>+IFERROR(#REF!/#REF!,"")</f>
        <v/>
      </c>
      <c r="Z128" s="84" t="str">
        <f>+IFERROR(#REF!/#REF!,"")</f>
        <v/>
      </c>
      <c r="AA128" s="84" t="str">
        <f>+IFERROR(#REF!/#REF!,"")</f>
        <v/>
      </c>
      <c r="AB128" s="84">
        <f>+IFERROR(N128/H128,"")</f>
        <v>0.20135274776890558</v>
      </c>
      <c r="AD128" s="139">
        <f t="shared" si="13"/>
        <v>-7.5322059143300202E-2</v>
      </c>
      <c r="AE128" s="139">
        <f t="shared" si="13"/>
        <v>5.0411778483355596E-2</v>
      </c>
      <c r="AF128" s="139">
        <f t="shared" si="12"/>
        <v>-2.3615850037171982E-2</v>
      </c>
      <c r="AG128" s="139" t="str">
        <f t="shared" si="12"/>
        <v/>
      </c>
      <c r="AH128" s="139" t="str">
        <f t="shared" si="12"/>
        <v/>
      </c>
      <c r="AI128" s="139" t="str">
        <f t="shared" si="12"/>
        <v/>
      </c>
      <c r="AJ128" s="139" t="str">
        <f t="shared" si="12"/>
        <v/>
      </c>
      <c r="AK128" s="139" t="str">
        <f t="shared" si="12"/>
        <v/>
      </c>
      <c r="AL128" s="139" t="str">
        <f t="shared" si="12"/>
        <v/>
      </c>
      <c r="AM128" s="139" t="str">
        <f t="shared" si="12"/>
        <v/>
      </c>
      <c r="AN128" s="139" t="str">
        <f t="shared" si="12"/>
        <v/>
      </c>
      <c r="AP128" s="82">
        <f t="shared" si="11"/>
        <v>3.8518178466894122E-5</v>
      </c>
      <c r="AQ128" s="82">
        <f t="shared" si="9"/>
        <v>0.97325305642243354</v>
      </c>
    </row>
    <row r="129" spans="2:43" x14ac:dyDescent="0.35">
      <c r="B129" s="83" t="s">
        <v>211</v>
      </c>
      <c r="D129" s="137">
        <v>88598</v>
      </c>
      <c r="E129" s="137">
        <v>144259</v>
      </c>
      <c r="F129" s="137">
        <v>191221</v>
      </c>
      <c r="G129" s="137">
        <v>17240</v>
      </c>
      <c r="H129" s="137">
        <f>+SUM(D129:G129)</f>
        <v>441318</v>
      </c>
      <c r="J129" s="137">
        <v>13852</v>
      </c>
      <c r="K129" s="137">
        <v>52737</v>
      </c>
      <c r="L129" s="137">
        <v>33782</v>
      </c>
      <c r="M129" s="137">
        <v>3639</v>
      </c>
      <c r="N129" s="137">
        <f>+SUM(J129:M129)</f>
        <v>104010</v>
      </c>
      <c r="P129" s="84">
        <f>+IFERROR(J129/D129,"")</f>
        <v>0.15634664439377863</v>
      </c>
      <c r="Q129" s="84">
        <f>+IFERROR(K129/E129,"")</f>
        <v>0.36557164544326526</v>
      </c>
      <c r="R129" s="84">
        <f>+IFERROR(L129/F129,"")</f>
        <v>0.17666469686906772</v>
      </c>
      <c r="S129" s="84">
        <f>+IFERROR(M129/G129,"")</f>
        <v>0.21107888631090488</v>
      </c>
      <c r="T129" s="84" t="str">
        <f>+IFERROR(#REF!/#REF!,"")</f>
        <v/>
      </c>
      <c r="U129" s="84" t="str">
        <f>+IFERROR(#REF!/#REF!,"")</f>
        <v/>
      </c>
      <c r="V129" s="84" t="str">
        <f>+IFERROR(#REF!/#REF!,"")</f>
        <v/>
      </c>
      <c r="W129" s="84" t="str">
        <f>+IFERROR(#REF!/#REF!,"")</f>
        <v/>
      </c>
      <c r="X129" s="84" t="str">
        <f>+IFERROR(#REF!/#REF!,"")</f>
        <v/>
      </c>
      <c r="Y129" s="84" t="str">
        <f>+IFERROR(#REF!/#REF!,"")</f>
        <v/>
      </c>
      <c r="Z129" s="84" t="str">
        <f>+IFERROR(#REF!/#REF!,"")</f>
        <v/>
      </c>
      <c r="AA129" s="84" t="str">
        <f>+IFERROR(#REF!/#REF!,"")</f>
        <v/>
      </c>
      <c r="AB129" s="84">
        <f>+IFERROR(N129/H129,"")</f>
        <v>0.23568039372969152</v>
      </c>
      <c r="AD129" s="139">
        <f t="shared" si="13"/>
        <v>0.20922500104948663</v>
      </c>
      <c r="AE129" s="139">
        <f t="shared" si="13"/>
        <v>-0.18890694857419754</v>
      </c>
      <c r="AF129" s="139">
        <f t="shared" si="12"/>
        <v>3.4414189441837162E-2</v>
      </c>
      <c r="AG129" s="139" t="str">
        <f t="shared" si="12"/>
        <v/>
      </c>
      <c r="AH129" s="139" t="str">
        <f t="shared" si="12"/>
        <v/>
      </c>
      <c r="AI129" s="139" t="str">
        <f t="shared" si="12"/>
        <v/>
      </c>
      <c r="AJ129" s="139" t="str">
        <f t="shared" si="12"/>
        <v/>
      </c>
      <c r="AK129" s="139" t="str">
        <f t="shared" si="12"/>
        <v/>
      </c>
      <c r="AL129" s="139" t="str">
        <f t="shared" si="12"/>
        <v/>
      </c>
      <c r="AM129" s="139" t="str">
        <f t="shared" si="12"/>
        <v/>
      </c>
      <c r="AN129" s="139" t="str">
        <f t="shared" si="12"/>
        <v/>
      </c>
      <c r="AP129" s="82">
        <f t="shared" si="11"/>
        <v>1.2460812237073985E-4</v>
      </c>
      <c r="AQ129" s="82">
        <f t="shared" si="9"/>
        <v>0.97337766454480423</v>
      </c>
    </row>
    <row r="130" spans="2:43" x14ac:dyDescent="0.35">
      <c r="B130" s="83" t="s">
        <v>212</v>
      </c>
      <c r="D130" s="137">
        <v>2869438</v>
      </c>
      <c r="E130" s="137">
        <v>10355945</v>
      </c>
      <c r="F130" s="137">
        <v>10455768</v>
      </c>
      <c r="G130" s="137">
        <v>602673</v>
      </c>
      <c r="H130" s="137">
        <f>+SUM(D130:G130)</f>
        <v>24283824</v>
      </c>
      <c r="J130" s="137">
        <v>678689</v>
      </c>
      <c r="K130" s="137">
        <v>4555506</v>
      </c>
      <c r="L130" s="137">
        <v>4342843</v>
      </c>
      <c r="M130" s="137">
        <v>221560</v>
      </c>
      <c r="N130" s="137">
        <f>+SUM(J130:M130)</f>
        <v>9798598</v>
      </c>
      <c r="P130" s="84">
        <f>+IFERROR(J130/D130,"")</f>
        <v>0.23652331920048456</v>
      </c>
      <c r="Q130" s="84">
        <f>+IFERROR(K130/E130,"")</f>
        <v>0.43989283450230759</v>
      </c>
      <c r="R130" s="84">
        <f>+IFERROR(L130/F130,"")</f>
        <v>0.4153538028005212</v>
      </c>
      <c r="S130" s="84">
        <f>+IFERROR(M130/G130,"")</f>
        <v>0.36762888000623889</v>
      </c>
      <c r="T130" s="84" t="str">
        <f>+IFERROR(#REF!/#REF!,"")</f>
        <v/>
      </c>
      <c r="U130" s="84" t="str">
        <f>+IFERROR(#REF!/#REF!,"")</f>
        <v/>
      </c>
      <c r="V130" s="84" t="str">
        <f>+IFERROR(#REF!/#REF!,"")</f>
        <v/>
      </c>
      <c r="W130" s="84" t="str">
        <f>+IFERROR(#REF!/#REF!,"")</f>
        <v/>
      </c>
      <c r="X130" s="84" t="str">
        <f>+IFERROR(#REF!/#REF!,"")</f>
        <v/>
      </c>
      <c r="Y130" s="84" t="str">
        <f>+IFERROR(#REF!/#REF!,"")</f>
        <v/>
      </c>
      <c r="Z130" s="84" t="str">
        <f>+IFERROR(#REF!/#REF!,"")</f>
        <v/>
      </c>
      <c r="AA130" s="84" t="str">
        <f>+IFERROR(#REF!/#REF!,"")</f>
        <v/>
      </c>
      <c r="AB130" s="84">
        <f>+IFERROR(N130/H130,"")</f>
        <v>0.40350308913456134</v>
      </c>
      <c r="AD130" s="139">
        <f t="shared" si="13"/>
        <v>0.20336951530182304</v>
      </c>
      <c r="AE130" s="139">
        <f t="shared" si="13"/>
        <v>-2.4539031701786396E-2</v>
      </c>
      <c r="AF130" s="139">
        <f t="shared" si="12"/>
        <v>-4.772492279428231E-2</v>
      </c>
      <c r="AG130" s="139" t="str">
        <f t="shared" si="12"/>
        <v/>
      </c>
      <c r="AH130" s="139" t="str">
        <f t="shared" si="12"/>
        <v/>
      </c>
      <c r="AI130" s="139" t="str">
        <f t="shared" si="12"/>
        <v/>
      </c>
      <c r="AJ130" s="139" t="str">
        <f t="shared" si="12"/>
        <v/>
      </c>
      <c r="AK130" s="139" t="str">
        <f t="shared" si="12"/>
        <v/>
      </c>
      <c r="AL130" s="139" t="str">
        <f t="shared" si="12"/>
        <v/>
      </c>
      <c r="AM130" s="139" t="str">
        <f t="shared" si="12"/>
        <v/>
      </c>
      <c r="AN130" s="139" t="str">
        <f t="shared" si="12"/>
        <v/>
      </c>
      <c r="AP130" s="82">
        <f t="shared" si="11"/>
        <v>1.1739110649415315E-2</v>
      </c>
      <c r="AQ130" s="82">
        <f t="shared" si="9"/>
        <v>0.98511677519421958</v>
      </c>
    </row>
    <row r="131" spans="2:43" x14ac:dyDescent="0.35">
      <c r="B131" s="83" t="s">
        <v>213</v>
      </c>
      <c r="D131" s="137">
        <v>275029</v>
      </c>
      <c r="E131" s="137">
        <v>149955</v>
      </c>
      <c r="F131" s="137">
        <v>239250</v>
      </c>
      <c r="G131" s="137">
        <v>34421</v>
      </c>
      <c r="H131" s="137">
        <f>+SUM(D131:G131)</f>
        <v>698655</v>
      </c>
      <c r="J131" s="137">
        <v>75962</v>
      </c>
      <c r="K131" s="137">
        <v>59534</v>
      </c>
      <c r="L131" s="137">
        <v>49540</v>
      </c>
      <c r="M131" s="137">
        <v>10811</v>
      </c>
      <c r="N131" s="137">
        <f>+SUM(J131:M131)</f>
        <v>195847</v>
      </c>
      <c r="P131" s="84">
        <f>+IFERROR(J131/D131,"")</f>
        <v>0.27619632838718827</v>
      </c>
      <c r="Q131" s="84">
        <f>+IFERROR(K131/E131,"")</f>
        <v>0.39701243706445266</v>
      </c>
      <c r="R131" s="84">
        <f>+IFERROR(L131/F131,"")</f>
        <v>0.20706374085684431</v>
      </c>
      <c r="S131" s="84">
        <f>+IFERROR(M131/G131,"")</f>
        <v>0.31408152000232414</v>
      </c>
      <c r="T131" s="84" t="str">
        <f>+IFERROR(#REF!/#REF!,"")</f>
        <v/>
      </c>
      <c r="U131" s="84" t="str">
        <f>+IFERROR(#REF!/#REF!,"")</f>
        <v/>
      </c>
      <c r="V131" s="84" t="str">
        <f>+IFERROR(#REF!/#REF!,"")</f>
        <v/>
      </c>
      <c r="W131" s="84" t="str">
        <f>+IFERROR(#REF!/#REF!,"")</f>
        <v/>
      </c>
      <c r="X131" s="84" t="str">
        <f>+IFERROR(#REF!/#REF!,"")</f>
        <v/>
      </c>
      <c r="Y131" s="84" t="str">
        <f>+IFERROR(#REF!/#REF!,"")</f>
        <v/>
      </c>
      <c r="Z131" s="84" t="str">
        <f>+IFERROR(#REF!/#REF!,"")</f>
        <v/>
      </c>
      <c r="AA131" s="84" t="str">
        <f>+IFERROR(#REF!/#REF!,"")</f>
        <v/>
      </c>
      <c r="AB131" s="84">
        <f>+IFERROR(N131/H131,"")</f>
        <v>0.28032004351217699</v>
      </c>
      <c r="AD131" s="139">
        <f t="shared" si="13"/>
        <v>0.12081610867726439</v>
      </c>
      <c r="AE131" s="139">
        <f t="shared" si="13"/>
        <v>-0.18994869620760835</v>
      </c>
      <c r="AF131" s="139">
        <f t="shared" si="12"/>
        <v>0.10701777914547983</v>
      </c>
      <c r="AG131" s="139" t="str">
        <f t="shared" si="12"/>
        <v/>
      </c>
      <c r="AH131" s="139" t="str">
        <f t="shared" si="12"/>
        <v/>
      </c>
      <c r="AI131" s="139" t="str">
        <f t="shared" si="12"/>
        <v/>
      </c>
      <c r="AJ131" s="139" t="str">
        <f t="shared" si="12"/>
        <v/>
      </c>
      <c r="AK131" s="139" t="str">
        <f t="shared" si="12"/>
        <v/>
      </c>
      <c r="AL131" s="139" t="str">
        <f t="shared" si="12"/>
        <v/>
      </c>
      <c r="AM131" s="139" t="str">
        <f t="shared" si="12"/>
        <v/>
      </c>
      <c r="AN131" s="139" t="str">
        <f t="shared" si="12"/>
        <v/>
      </c>
      <c r="AP131" s="82">
        <f t="shared" si="11"/>
        <v>2.3463250593156707E-4</v>
      </c>
      <c r="AQ131" s="82">
        <f t="shared" si="9"/>
        <v>0.98535140770015117</v>
      </c>
    </row>
    <row r="132" spans="2:43" x14ac:dyDescent="0.35">
      <c r="B132" s="83" t="s">
        <v>214</v>
      </c>
      <c r="D132" s="137">
        <v>154241</v>
      </c>
      <c r="E132" s="137">
        <v>168558</v>
      </c>
      <c r="F132" s="137">
        <v>139616</v>
      </c>
      <c r="G132" s="137"/>
      <c r="H132" s="137">
        <f>+SUM(D132:G132)</f>
        <v>462415</v>
      </c>
      <c r="J132" s="137">
        <v>17987</v>
      </c>
      <c r="K132" s="137">
        <v>31752</v>
      </c>
      <c r="L132" s="137">
        <v>22122</v>
      </c>
      <c r="M132" s="137"/>
      <c r="N132" s="137">
        <f>+SUM(J132:M132)</f>
        <v>71861</v>
      </c>
      <c r="P132" s="84">
        <f>+IFERROR(J132/D132,"")</f>
        <v>0.1166162045111222</v>
      </c>
      <c r="Q132" s="84">
        <f>+IFERROR(K132/E132,"")</f>
        <v>0.18837432812444382</v>
      </c>
      <c r="R132" s="84">
        <f>+IFERROR(L132/F132,"")</f>
        <v>0.15844888837955534</v>
      </c>
      <c r="S132" s="84" t="str">
        <f>+IFERROR(M132/G132,"")</f>
        <v/>
      </c>
      <c r="T132" s="84" t="str">
        <f>+IFERROR(#REF!/#REF!,"")</f>
        <v/>
      </c>
      <c r="U132" s="84" t="str">
        <f>+IFERROR(#REF!/#REF!,"")</f>
        <v/>
      </c>
      <c r="V132" s="84" t="str">
        <f>+IFERROR(#REF!/#REF!,"")</f>
        <v/>
      </c>
      <c r="W132" s="84" t="str">
        <f>+IFERROR(#REF!/#REF!,"")</f>
        <v/>
      </c>
      <c r="X132" s="84" t="str">
        <f>+IFERROR(#REF!/#REF!,"")</f>
        <v/>
      </c>
      <c r="Y132" s="84" t="str">
        <f>+IFERROR(#REF!/#REF!,"")</f>
        <v/>
      </c>
      <c r="Z132" s="84" t="str">
        <f>+IFERROR(#REF!/#REF!,"")</f>
        <v/>
      </c>
      <c r="AA132" s="84" t="str">
        <f>+IFERROR(#REF!/#REF!,"")</f>
        <v/>
      </c>
      <c r="AB132" s="84">
        <f>+IFERROR(N132/H132,"")</f>
        <v>0.15540369581436589</v>
      </c>
      <c r="AD132" s="139">
        <f t="shared" si="13"/>
        <v>7.1758123613321623E-2</v>
      </c>
      <c r="AE132" s="139">
        <f t="shared" si="13"/>
        <v>-2.9925439744888482E-2</v>
      </c>
      <c r="AF132" s="139" t="str">
        <f t="shared" si="12"/>
        <v/>
      </c>
      <c r="AG132" s="139" t="str">
        <f t="shared" si="12"/>
        <v/>
      </c>
      <c r="AH132" s="139" t="str">
        <f t="shared" si="12"/>
        <v/>
      </c>
      <c r="AI132" s="139" t="str">
        <f t="shared" si="12"/>
        <v/>
      </c>
      <c r="AJ132" s="139" t="str">
        <f t="shared" si="12"/>
        <v/>
      </c>
      <c r="AK132" s="139" t="str">
        <f t="shared" si="12"/>
        <v/>
      </c>
      <c r="AL132" s="139" t="str">
        <f t="shared" si="12"/>
        <v/>
      </c>
      <c r="AM132" s="139" t="str">
        <f t="shared" si="12"/>
        <v/>
      </c>
      <c r="AN132" s="139" t="str">
        <f t="shared" si="12"/>
        <v/>
      </c>
      <c r="AP132" s="82">
        <f t="shared" ref="AP132:AP195" si="14">+N132/$N$235</f>
        <v>8.6092339983499065E-5</v>
      </c>
      <c r="AQ132" s="82">
        <f t="shared" si="9"/>
        <v>0.98543750004013464</v>
      </c>
    </row>
    <row r="133" spans="2:43" x14ac:dyDescent="0.35">
      <c r="B133" s="83" t="s">
        <v>215</v>
      </c>
      <c r="D133" s="137">
        <v>77152</v>
      </c>
      <c r="E133" s="137">
        <v>82250</v>
      </c>
      <c r="F133" s="137">
        <v>87810</v>
      </c>
      <c r="G133" s="137">
        <v>12772</v>
      </c>
      <c r="H133" s="137">
        <f>+SUM(D133:G133)</f>
        <v>259984</v>
      </c>
      <c r="J133" s="137">
        <v>14436</v>
      </c>
      <c r="K133" s="137">
        <v>21364</v>
      </c>
      <c r="L133" s="137">
        <v>15455</v>
      </c>
      <c r="M133" s="137">
        <v>3699</v>
      </c>
      <c r="N133" s="137">
        <f>+SUM(J133:M133)</f>
        <v>54954</v>
      </c>
      <c r="P133" s="84">
        <f>+IFERROR(J133/D133,"")</f>
        <v>0.18711115719618415</v>
      </c>
      <c r="Q133" s="84">
        <f>+IFERROR(K133/E133,"")</f>
        <v>0.25974468085106384</v>
      </c>
      <c r="R133" s="84">
        <f>+IFERROR(L133/F133,"")</f>
        <v>0.17600501081881334</v>
      </c>
      <c r="S133" s="84">
        <f>+IFERROR(M133/G133,"")</f>
        <v>0.28961791418728466</v>
      </c>
      <c r="T133" s="84" t="str">
        <f>+IFERROR(#REF!/#REF!,"")</f>
        <v/>
      </c>
      <c r="U133" s="84" t="str">
        <f>+IFERROR(#REF!/#REF!,"")</f>
        <v/>
      </c>
      <c r="V133" s="84" t="str">
        <f>+IFERROR(#REF!/#REF!,"")</f>
        <v/>
      </c>
      <c r="W133" s="84" t="str">
        <f>+IFERROR(#REF!/#REF!,"")</f>
        <v/>
      </c>
      <c r="X133" s="84" t="str">
        <f>+IFERROR(#REF!/#REF!,"")</f>
        <v/>
      </c>
      <c r="Y133" s="84" t="str">
        <f>+IFERROR(#REF!/#REF!,"")</f>
        <v/>
      </c>
      <c r="Z133" s="84" t="str">
        <f>+IFERROR(#REF!/#REF!,"")</f>
        <v/>
      </c>
      <c r="AA133" s="84" t="str">
        <f>+IFERROR(#REF!/#REF!,"")</f>
        <v/>
      </c>
      <c r="AB133" s="84">
        <f>+IFERROR(N133/H133,"")</f>
        <v>0.21137454612591544</v>
      </c>
      <c r="AD133" s="139">
        <f t="shared" si="13"/>
        <v>7.2633523654879684E-2</v>
      </c>
      <c r="AE133" s="139">
        <f t="shared" si="13"/>
        <v>-8.3739670032250496E-2</v>
      </c>
      <c r="AF133" s="139">
        <f t="shared" si="12"/>
        <v>0.11361290336847132</v>
      </c>
      <c r="AG133" s="139" t="str">
        <f t="shared" si="12"/>
        <v/>
      </c>
      <c r="AH133" s="139" t="str">
        <f t="shared" si="12"/>
        <v/>
      </c>
      <c r="AI133" s="139" t="str">
        <f t="shared" si="12"/>
        <v/>
      </c>
      <c r="AJ133" s="139" t="str">
        <f t="shared" si="12"/>
        <v/>
      </c>
      <c r="AK133" s="139" t="str">
        <f t="shared" si="12"/>
        <v/>
      </c>
      <c r="AL133" s="139" t="str">
        <f t="shared" si="12"/>
        <v/>
      </c>
      <c r="AM133" s="139" t="str">
        <f t="shared" si="12"/>
        <v/>
      </c>
      <c r="AN133" s="139" t="str">
        <f t="shared" si="12"/>
        <v/>
      </c>
      <c r="AP133" s="82">
        <f t="shared" si="14"/>
        <v>6.583708063418554E-5</v>
      </c>
      <c r="AQ133" s="82">
        <f t="shared" si="9"/>
        <v>0.98550333712076887</v>
      </c>
    </row>
    <row r="134" spans="2:43" x14ac:dyDescent="0.35">
      <c r="B134" s="83" t="s">
        <v>216</v>
      </c>
      <c r="D134" s="137">
        <v>117886</v>
      </c>
      <c r="E134" s="137">
        <v>103095</v>
      </c>
      <c r="F134" s="137">
        <v>92298</v>
      </c>
      <c r="G134" s="137">
        <v>29540</v>
      </c>
      <c r="H134" s="137">
        <f>+SUM(D134:G134)</f>
        <v>342819</v>
      </c>
      <c r="J134" s="137">
        <v>14885</v>
      </c>
      <c r="K134" s="137">
        <v>10661</v>
      </c>
      <c r="L134" s="137">
        <v>12425</v>
      </c>
      <c r="M134" s="137">
        <v>5021</v>
      </c>
      <c r="N134" s="137">
        <f>+SUM(J134:M134)</f>
        <v>42992</v>
      </c>
      <c r="P134" s="84">
        <f>+IFERROR(J134/D134,"")</f>
        <v>0.12626605364504692</v>
      </c>
      <c r="Q134" s="84">
        <f>+IFERROR(K134/E134,"")</f>
        <v>0.10340947669625103</v>
      </c>
      <c r="R134" s="84">
        <f>+IFERROR(L134/F134,"")</f>
        <v>0.13461830158833343</v>
      </c>
      <c r="S134" s="84">
        <f>+IFERROR(M134/G134,"")</f>
        <v>0.16997291807718348</v>
      </c>
      <c r="T134" s="84" t="str">
        <f>+IFERROR(#REF!/#REF!,"")</f>
        <v/>
      </c>
      <c r="U134" s="84" t="str">
        <f>+IFERROR(#REF!/#REF!,"")</f>
        <v/>
      </c>
      <c r="V134" s="84" t="str">
        <f>+IFERROR(#REF!/#REF!,"")</f>
        <v/>
      </c>
      <c r="W134" s="84" t="str">
        <f>+IFERROR(#REF!/#REF!,"")</f>
        <v/>
      </c>
      <c r="X134" s="84" t="str">
        <f>+IFERROR(#REF!/#REF!,"")</f>
        <v/>
      </c>
      <c r="Y134" s="84" t="str">
        <f>+IFERROR(#REF!/#REF!,"")</f>
        <v/>
      </c>
      <c r="Z134" s="84" t="str">
        <f>+IFERROR(#REF!/#REF!,"")</f>
        <v/>
      </c>
      <c r="AA134" s="84" t="str">
        <f>+IFERROR(#REF!/#REF!,"")</f>
        <v/>
      </c>
      <c r="AB134" s="84">
        <f>+IFERROR(N134/H134,"")</f>
        <v>0.12540728489377775</v>
      </c>
      <c r="AD134" s="139">
        <f t="shared" si="13"/>
        <v>-2.2856576948795893E-2</v>
      </c>
      <c r="AE134" s="139">
        <f t="shared" si="13"/>
        <v>3.1208824892082404E-2</v>
      </c>
      <c r="AF134" s="139">
        <f t="shared" si="12"/>
        <v>3.5354616488850049E-2</v>
      </c>
      <c r="AG134" s="139" t="str">
        <f t="shared" si="12"/>
        <v/>
      </c>
      <c r="AH134" s="139" t="str">
        <f t="shared" si="12"/>
        <v/>
      </c>
      <c r="AI134" s="139" t="str">
        <f t="shared" si="12"/>
        <v/>
      </c>
      <c r="AJ134" s="139" t="str">
        <f t="shared" si="12"/>
        <v/>
      </c>
      <c r="AK134" s="139" t="str">
        <f t="shared" si="12"/>
        <v/>
      </c>
      <c r="AL134" s="139" t="str">
        <f t="shared" si="12"/>
        <v/>
      </c>
      <c r="AM134" s="139" t="str">
        <f t="shared" si="12"/>
        <v/>
      </c>
      <c r="AN134" s="139" t="str">
        <f t="shared" si="12"/>
        <v/>
      </c>
      <c r="AP134" s="82">
        <f t="shared" si="14"/>
        <v>5.1506128227697799E-5</v>
      </c>
      <c r="AQ134" s="82">
        <f t="shared" ref="AQ134:AQ197" si="15">+AP134+AQ133</f>
        <v>0.98555484324899656</v>
      </c>
    </row>
    <row r="135" spans="2:43" x14ac:dyDescent="0.35">
      <c r="B135" s="83" t="s">
        <v>217</v>
      </c>
      <c r="D135" s="137">
        <v>50147</v>
      </c>
      <c r="E135" s="137">
        <v>62222</v>
      </c>
      <c r="F135" s="137">
        <v>43002</v>
      </c>
      <c r="G135" s="137">
        <v>4522</v>
      </c>
      <c r="H135" s="137">
        <f>+SUM(D135:G135)</f>
        <v>159893</v>
      </c>
      <c r="J135" s="137">
        <v>9616</v>
      </c>
      <c r="K135" s="137">
        <v>10694</v>
      </c>
      <c r="L135" s="137">
        <v>3356</v>
      </c>
      <c r="M135" s="137">
        <v>290</v>
      </c>
      <c r="N135" s="137">
        <f>+SUM(J135:M135)</f>
        <v>23956</v>
      </c>
      <c r="P135" s="84">
        <f>+IFERROR(J135/D135,"")</f>
        <v>0.19175623666420724</v>
      </c>
      <c r="Q135" s="84">
        <f>+IFERROR(K135/E135,"")</f>
        <v>0.17186847095882485</v>
      </c>
      <c r="R135" s="84">
        <f>+IFERROR(L135/F135,"")</f>
        <v>7.8042881726431326E-2</v>
      </c>
      <c r="S135" s="84">
        <f>+IFERROR(M135/G135,"")</f>
        <v>6.4130915524104382E-2</v>
      </c>
      <c r="T135" s="84" t="str">
        <f>+IFERROR(#REF!/#REF!,"")</f>
        <v/>
      </c>
      <c r="U135" s="84" t="str">
        <f>+IFERROR(#REF!/#REF!,"")</f>
        <v/>
      </c>
      <c r="V135" s="84" t="str">
        <f>+IFERROR(#REF!/#REF!,"")</f>
        <v/>
      </c>
      <c r="W135" s="84" t="str">
        <f>+IFERROR(#REF!/#REF!,"")</f>
        <v/>
      </c>
      <c r="X135" s="84" t="str">
        <f>+IFERROR(#REF!/#REF!,"")</f>
        <v/>
      </c>
      <c r="Y135" s="84" t="str">
        <f>+IFERROR(#REF!/#REF!,"")</f>
        <v/>
      </c>
      <c r="Z135" s="84" t="str">
        <f>+IFERROR(#REF!/#REF!,"")</f>
        <v/>
      </c>
      <c r="AA135" s="84" t="str">
        <f>+IFERROR(#REF!/#REF!,"")</f>
        <v/>
      </c>
      <c r="AB135" s="84">
        <f>+IFERROR(N135/H135,"")</f>
        <v>0.1498251955995572</v>
      </c>
      <c r="AD135" s="139">
        <f t="shared" si="13"/>
        <v>-1.9887765705382393E-2</v>
      </c>
      <c r="AE135" s="139">
        <f t="shared" si="13"/>
        <v>-9.3825589232393522E-2</v>
      </c>
      <c r="AF135" s="139">
        <f t="shared" si="12"/>
        <v>-1.3911966202326945E-2</v>
      </c>
      <c r="AG135" s="139" t="str">
        <f t="shared" si="12"/>
        <v/>
      </c>
      <c r="AH135" s="139" t="str">
        <f t="shared" si="12"/>
        <v/>
      </c>
      <c r="AI135" s="139" t="str">
        <f t="shared" si="12"/>
        <v/>
      </c>
      <c r="AJ135" s="139" t="str">
        <f t="shared" si="12"/>
        <v/>
      </c>
      <c r="AK135" s="139" t="str">
        <f t="shared" si="12"/>
        <v/>
      </c>
      <c r="AL135" s="139" t="str">
        <f t="shared" si="12"/>
        <v/>
      </c>
      <c r="AM135" s="139" t="str">
        <f t="shared" si="12"/>
        <v/>
      </c>
      <c r="AN135" s="139" t="str">
        <f t="shared" si="12"/>
        <v/>
      </c>
      <c r="AP135" s="82">
        <f t="shared" si="14"/>
        <v>2.8700242087428557E-5</v>
      </c>
      <c r="AQ135" s="82">
        <f t="shared" si="15"/>
        <v>0.98558354349108401</v>
      </c>
    </row>
    <row r="136" spans="2:43" x14ac:dyDescent="0.35">
      <c r="B136" s="83" t="s">
        <v>218</v>
      </c>
      <c r="D136" s="137">
        <v>70883</v>
      </c>
      <c r="E136" s="137">
        <v>67008</v>
      </c>
      <c r="F136" s="137">
        <v>103926</v>
      </c>
      <c r="G136" s="137"/>
      <c r="H136" s="137">
        <f>+SUM(D136:G136)</f>
        <v>241817</v>
      </c>
      <c r="J136" s="137">
        <v>11577</v>
      </c>
      <c r="K136" s="137">
        <v>10461</v>
      </c>
      <c r="L136" s="137">
        <v>16803</v>
      </c>
      <c r="M136" s="137"/>
      <c r="N136" s="137">
        <f>+SUM(J136:M136)</f>
        <v>38841</v>
      </c>
      <c r="P136" s="84">
        <f>+IFERROR(J136/D136,"")</f>
        <v>0.16332548001636499</v>
      </c>
      <c r="Q136" s="84">
        <f>+IFERROR(K136/E136,"")</f>
        <v>0.1561156876790831</v>
      </c>
      <c r="R136" s="84">
        <f>+IFERROR(L136/F136,"")</f>
        <v>0.16168235090352751</v>
      </c>
      <c r="S136" s="84" t="str">
        <f>+IFERROR(M136/G136,"")</f>
        <v/>
      </c>
      <c r="T136" s="84" t="str">
        <f>+IFERROR(#REF!/#REF!,"")</f>
        <v/>
      </c>
      <c r="U136" s="84" t="str">
        <f>+IFERROR(#REF!/#REF!,"")</f>
        <v/>
      </c>
      <c r="V136" s="84" t="str">
        <f>+IFERROR(#REF!/#REF!,"")</f>
        <v/>
      </c>
      <c r="W136" s="84" t="str">
        <f>+IFERROR(#REF!/#REF!,"")</f>
        <v/>
      </c>
      <c r="X136" s="84" t="str">
        <f>+IFERROR(#REF!/#REF!,"")</f>
        <v/>
      </c>
      <c r="Y136" s="84" t="str">
        <f>+IFERROR(#REF!/#REF!,"")</f>
        <v/>
      </c>
      <c r="Z136" s="84" t="str">
        <f>+IFERROR(#REF!/#REF!,"")</f>
        <v/>
      </c>
      <c r="AA136" s="84" t="str">
        <f>+IFERROR(#REF!/#REF!,"")</f>
        <v/>
      </c>
      <c r="AB136" s="84">
        <f>+IFERROR(N136/H136,"")</f>
        <v>0.16062146168383529</v>
      </c>
      <c r="AD136" s="139">
        <f t="shared" si="13"/>
        <v>-7.2097923372818895E-3</v>
      </c>
      <c r="AE136" s="139">
        <f t="shared" si="13"/>
        <v>5.566663224444407E-3</v>
      </c>
      <c r="AF136" s="139" t="str">
        <f t="shared" si="12"/>
        <v/>
      </c>
      <c r="AG136" s="139" t="str">
        <f t="shared" si="12"/>
        <v/>
      </c>
      <c r="AH136" s="139" t="str">
        <f t="shared" si="12"/>
        <v/>
      </c>
      <c r="AI136" s="139" t="str">
        <f t="shared" si="12"/>
        <v/>
      </c>
      <c r="AJ136" s="139" t="str">
        <f t="shared" si="12"/>
        <v/>
      </c>
      <c r="AK136" s="139" t="str">
        <f t="shared" si="12"/>
        <v/>
      </c>
      <c r="AL136" s="139" t="str">
        <f t="shared" si="12"/>
        <v/>
      </c>
      <c r="AM136" s="139" t="str">
        <f t="shared" si="12"/>
        <v/>
      </c>
      <c r="AN136" s="139" t="str">
        <f t="shared" si="12"/>
        <v/>
      </c>
      <c r="AP136" s="82">
        <f t="shared" si="14"/>
        <v>4.6533064907238794E-5</v>
      </c>
      <c r="AQ136" s="82">
        <f t="shared" si="15"/>
        <v>0.98563007655599122</v>
      </c>
    </row>
    <row r="137" spans="2:43" x14ac:dyDescent="0.35">
      <c r="B137" s="83" t="s">
        <v>219</v>
      </c>
      <c r="D137" s="137">
        <v>183118</v>
      </c>
      <c r="E137" s="137">
        <v>202829</v>
      </c>
      <c r="F137" s="137">
        <v>306806</v>
      </c>
      <c r="G137" s="137">
        <v>25783</v>
      </c>
      <c r="H137" s="137">
        <f>+SUM(D137:G137)</f>
        <v>718536</v>
      </c>
      <c r="J137" s="137">
        <v>40247</v>
      </c>
      <c r="K137" s="137">
        <v>38025</v>
      </c>
      <c r="L137" s="137">
        <v>76666</v>
      </c>
      <c r="M137" s="137">
        <v>10031</v>
      </c>
      <c r="N137" s="137">
        <f>+SUM(J137:M137)</f>
        <v>164969</v>
      </c>
      <c r="P137" s="84">
        <f>+IFERROR(J137/D137,"")</f>
        <v>0.21978724101399097</v>
      </c>
      <c r="Q137" s="84">
        <f>+IFERROR(K137/E137,"")</f>
        <v>0.18747319170335602</v>
      </c>
      <c r="R137" s="84">
        <f>+IFERROR(L137/F137,"")</f>
        <v>0.24988429170224832</v>
      </c>
      <c r="S137" s="84">
        <f>+IFERROR(M137/G137,"")</f>
        <v>0.38905480355272853</v>
      </c>
      <c r="T137" s="84" t="str">
        <f>+IFERROR(#REF!/#REF!,"")</f>
        <v/>
      </c>
      <c r="U137" s="84" t="str">
        <f>+IFERROR(#REF!/#REF!,"")</f>
        <v/>
      </c>
      <c r="V137" s="84" t="str">
        <f>+IFERROR(#REF!/#REF!,"")</f>
        <v/>
      </c>
      <c r="W137" s="84" t="str">
        <f>+IFERROR(#REF!/#REF!,"")</f>
        <v/>
      </c>
      <c r="X137" s="84" t="str">
        <f>+IFERROR(#REF!/#REF!,"")</f>
        <v/>
      </c>
      <c r="Y137" s="84" t="str">
        <f>+IFERROR(#REF!/#REF!,"")</f>
        <v/>
      </c>
      <c r="Z137" s="84" t="str">
        <f>+IFERROR(#REF!/#REF!,"")</f>
        <v/>
      </c>
      <c r="AA137" s="84" t="str">
        <f>+IFERROR(#REF!/#REF!,"")</f>
        <v/>
      </c>
      <c r="AB137" s="84">
        <f>+IFERROR(N137/H137,"")</f>
        <v>0.22959044501597692</v>
      </c>
      <c r="AD137" s="139">
        <f t="shared" si="13"/>
        <v>-3.2314049310634946E-2</v>
      </c>
      <c r="AE137" s="139">
        <f t="shared" si="13"/>
        <v>6.24110999988923E-2</v>
      </c>
      <c r="AF137" s="139">
        <f t="shared" si="12"/>
        <v>0.13917051185048021</v>
      </c>
      <c r="AG137" s="139" t="str">
        <f t="shared" si="12"/>
        <v/>
      </c>
      <c r="AH137" s="139" t="str">
        <f t="shared" si="12"/>
        <v/>
      </c>
      <c r="AI137" s="139" t="str">
        <f t="shared" si="12"/>
        <v/>
      </c>
      <c r="AJ137" s="139" t="str">
        <f t="shared" si="12"/>
        <v/>
      </c>
      <c r="AK137" s="139" t="str">
        <f t="shared" si="12"/>
        <v/>
      </c>
      <c r="AL137" s="139" t="str">
        <f t="shared" si="12"/>
        <v/>
      </c>
      <c r="AM137" s="139" t="str">
        <f t="shared" si="12"/>
        <v/>
      </c>
      <c r="AN137" s="139" t="str">
        <f t="shared" si="12"/>
        <v/>
      </c>
      <c r="AP137" s="82">
        <f t="shared" si="14"/>
        <v>1.9763943216400908E-4</v>
      </c>
      <c r="AQ137" s="82">
        <f t="shared" si="15"/>
        <v>0.98582771598815522</v>
      </c>
    </row>
    <row r="138" spans="2:43" x14ac:dyDescent="0.35">
      <c r="B138" s="83" t="s">
        <v>220</v>
      </c>
      <c r="D138" s="137">
        <v>218467</v>
      </c>
      <c r="E138" s="137">
        <v>376697</v>
      </c>
      <c r="F138" s="137">
        <v>169779</v>
      </c>
      <c r="G138" s="137">
        <v>25538</v>
      </c>
      <c r="H138" s="137">
        <f>+SUM(D138:G138)</f>
        <v>790481</v>
      </c>
      <c r="J138" s="137">
        <v>43824</v>
      </c>
      <c r="K138" s="137">
        <v>53081</v>
      </c>
      <c r="L138" s="137">
        <v>38582</v>
      </c>
      <c r="M138" s="137">
        <v>13887</v>
      </c>
      <c r="N138" s="137">
        <f>+SUM(J138:M138)</f>
        <v>149374</v>
      </c>
      <c r="P138" s="84">
        <f>+IFERROR(J138/D138,"")</f>
        <v>0.20059780195635954</v>
      </c>
      <c r="Q138" s="84">
        <f>+IFERROR(K138/E138,"")</f>
        <v>0.14091166109631878</v>
      </c>
      <c r="R138" s="84">
        <f>+IFERROR(L138/F138,"")</f>
        <v>0.22724836404973525</v>
      </c>
      <c r="S138" s="84">
        <f>+IFERROR(M138/G138,"")</f>
        <v>0.54377789960059519</v>
      </c>
      <c r="T138" s="84" t="str">
        <f>+IFERROR(#REF!/#REF!,"")</f>
        <v/>
      </c>
      <c r="U138" s="84" t="str">
        <f>+IFERROR(#REF!/#REF!,"")</f>
        <v/>
      </c>
      <c r="V138" s="84" t="str">
        <f>+IFERROR(#REF!/#REF!,"")</f>
        <v/>
      </c>
      <c r="W138" s="84" t="str">
        <f>+IFERROR(#REF!/#REF!,"")</f>
        <v/>
      </c>
      <c r="X138" s="84" t="str">
        <f>+IFERROR(#REF!/#REF!,"")</f>
        <v/>
      </c>
      <c r="Y138" s="84" t="str">
        <f>+IFERROR(#REF!/#REF!,"")</f>
        <v/>
      </c>
      <c r="Z138" s="84" t="str">
        <f>+IFERROR(#REF!/#REF!,"")</f>
        <v/>
      </c>
      <c r="AA138" s="84" t="str">
        <f>+IFERROR(#REF!/#REF!,"")</f>
        <v/>
      </c>
      <c r="AB138" s="84">
        <f>+IFERROR(N138/H138,"")</f>
        <v>0.18896595870109464</v>
      </c>
      <c r="AD138" s="139">
        <f t="shared" si="13"/>
        <v>-5.9686140860040759E-2</v>
      </c>
      <c r="AE138" s="139">
        <f t="shared" si="13"/>
        <v>8.6336702953416472E-2</v>
      </c>
      <c r="AF138" s="139">
        <f t="shared" si="12"/>
        <v>0.31652953555085994</v>
      </c>
      <c r="AG138" s="139" t="str">
        <f t="shared" si="12"/>
        <v/>
      </c>
      <c r="AH138" s="139" t="str">
        <f t="shared" si="12"/>
        <v/>
      </c>
      <c r="AI138" s="139" t="str">
        <f t="shared" si="12"/>
        <v/>
      </c>
      <c r="AJ138" s="139" t="str">
        <f t="shared" si="12"/>
        <v/>
      </c>
      <c r="AK138" s="139" t="str">
        <f t="shared" si="12"/>
        <v/>
      </c>
      <c r="AL138" s="139" t="str">
        <f t="shared" si="12"/>
        <v/>
      </c>
      <c r="AM138" s="139" t="str">
        <f t="shared" si="12"/>
        <v/>
      </c>
      <c r="AN138" s="139" t="str">
        <f t="shared" si="12"/>
        <v/>
      </c>
      <c r="AP138" s="82">
        <f t="shared" si="14"/>
        <v>1.7895600106727138E-4</v>
      </c>
      <c r="AQ138" s="82">
        <f t="shared" si="15"/>
        <v>0.98600667198922254</v>
      </c>
    </row>
    <row r="139" spans="2:43" x14ac:dyDescent="0.35">
      <c r="B139" s="83" t="s">
        <v>221</v>
      </c>
      <c r="D139" s="137">
        <v>55256</v>
      </c>
      <c r="E139" s="137">
        <v>71679</v>
      </c>
      <c r="F139" s="137">
        <v>70854</v>
      </c>
      <c r="G139" s="137">
        <v>13179</v>
      </c>
      <c r="H139" s="137">
        <f>+SUM(D139:G139)</f>
        <v>210968</v>
      </c>
      <c r="J139" s="137">
        <v>8556</v>
      </c>
      <c r="K139" s="137">
        <v>9232</v>
      </c>
      <c r="L139" s="137">
        <v>8854</v>
      </c>
      <c r="M139" s="137">
        <v>5531</v>
      </c>
      <c r="N139" s="137">
        <f>+SUM(J139:M139)</f>
        <v>32173</v>
      </c>
      <c r="P139" s="84">
        <f>+IFERROR(J139/D139,"")</f>
        <v>0.15484291298682495</v>
      </c>
      <c r="Q139" s="84">
        <f>+IFERROR(K139/E139,"")</f>
        <v>0.12879643968247326</v>
      </c>
      <c r="R139" s="84">
        <f>+IFERROR(L139/F139,"")</f>
        <v>0.12496118779461993</v>
      </c>
      <c r="S139" s="84">
        <f>+IFERROR(M139/G139,"")</f>
        <v>0.41968282874269669</v>
      </c>
      <c r="T139" s="84" t="str">
        <f>+IFERROR(#REF!/#REF!,"")</f>
        <v/>
      </c>
      <c r="U139" s="84" t="str">
        <f>+IFERROR(#REF!/#REF!,"")</f>
        <v/>
      </c>
      <c r="V139" s="84" t="str">
        <f>+IFERROR(#REF!/#REF!,"")</f>
        <v/>
      </c>
      <c r="W139" s="84" t="str">
        <f>+IFERROR(#REF!/#REF!,"")</f>
        <v/>
      </c>
      <c r="X139" s="84" t="str">
        <f>+IFERROR(#REF!/#REF!,"")</f>
        <v/>
      </c>
      <c r="Y139" s="84" t="str">
        <f>+IFERROR(#REF!/#REF!,"")</f>
        <v/>
      </c>
      <c r="Z139" s="84" t="str">
        <f>+IFERROR(#REF!/#REF!,"")</f>
        <v/>
      </c>
      <c r="AA139" s="84" t="str">
        <f>+IFERROR(#REF!/#REF!,"")</f>
        <v/>
      </c>
      <c r="AB139" s="84">
        <f>+IFERROR(N139/H139,"")</f>
        <v>0.15250180122103826</v>
      </c>
      <c r="AD139" s="139">
        <f t="shared" si="13"/>
        <v>-2.6046473304351697E-2</v>
      </c>
      <c r="AE139" s="139">
        <f t="shared" si="13"/>
        <v>-3.8352518878533304E-3</v>
      </c>
      <c r="AF139" s="139">
        <f t="shared" si="12"/>
        <v>0.29472164094807674</v>
      </c>
      <c r="AG139" s="139" t="str">
        <f t="shared" si="12"/>
        <v/>
      </c>
      <c r="AH139" s="139" t="str">
        <f t="shared" si="12"/>
        <v/>
      </c>
      <c r="AI139" s="139" t="str">
        <f t="shared" si="12"/>
        <v/>
      </c>
      <c r="AJ139" s="139" t="str">
        <f t="shared" si="12"/>
        <v/>
      </c>
      <c r="AK139" s="139" t="str">
        <f t="shared" si="12"/>
        <v/>
      </c>
      <c r="AL139" s="139" t="str">
        <f t="shared" si="12"/>
        <v/>
      </c>
      <c r="AM139" s="139" t="str">
        <f t="shared" si="12"/>
        <v/>
      </c>
      <c r="AN139" s="139" t="str">
        <f t="shared" si="12"/>
        <v/>
      </c>
      <c r="AP139" s="82">
        <f t="shared" si="14"/>
        <v>3.8544535343080605E-5</v>
      </c>
      <c r="AQ139" s="82">
        <f t="shared" si="15"/>
        <v>0.98604521652456567</v>
      </c>
    </row>
    <row r="140" spans="2:43" x14ac:dyDescent="0.35">
      <c r="B140" s="83" t="s">
        <v>222</v>
      </c>
      <c r="D140" s="137">
        <v>114275</v>
      </c>
      <c r="E140" s="137">
        <v>102218</v>
      </c>
      <c r="F140" s="137">
        <v>114963</v>
      </c>
      <c r="G140" s="137">
        <v>12844</v>
      </c>
      <c r="H140" s="137">
        <f>+SUM(D140:G140)</f>
        <v>344300</v>
      </c>
      <c r="J140" s="137">
        <v>27200</v>
      </c>
      <c r="K140" s="137">
        <v>12322</v>
      </c>
      <c r="L140" s="137">
        <v>18311</v>
      </c>
      <c r="M140" s="137">
        <v>4058</v>
      </c>
      <c r="N140" s="137">
        <f>+SUM(J140:M140)</f>
        <v>61891</v>
      </c>
      <c r="P140" s="84">
        <f>+IFERROR(J140/D140,"")</f>
        <v>0.238022314591993</v>
      </c>
      <c r="Q140" s="84">
        <f>+IFERROR(K140/E140,"")</f>
        <v>0.12054628343344616</v>
      </c>
      <c r="R140" s="84">
        <f>+IFERROR(L140/F140,"")</f>
        <v>0.15927733270704489</v>
      </c>
      <c r="S140" s="84">
        <f>+IFERROR(M140/G140,"")</f>
        <v>0.31594518841482405</v>
      </c>
      <c r="T140" s="84" t="str">
        <f>+IFERROR(#REF!/#REF!,"")</f>
        <v/>
      </c>
      <c r="U140" s="84" t="str">
        <f>+IFERROR(#REF!/#REF!,"")</f>
        <v/>
      </c>
      <c r="V140" s="84" t="str">
        <f>+IFERROR(#REF!/#REF!,"")</f>
        <v/>
      </c>
      <c r="W140" s="84" t="str">
        <f>+IFERROR(#REF!/#REF!,"")</f>
        <v/>
      </c>
      <c r="X140" s="84" t="str">
        <f>+IFERROR(#REF!/#REF!,"")</f>
        <v/>
      </c>
      <c r="Y140" s="84" t="str">
        <f>+IFERROR(#REF!/#REF!,"")</f>
        <v/>
      </c>
      <c r="Z140" s="84" t="str">
        <f>+IFERROR(#REF!/#REF!,"")</f>
        <v/>
      </c>
      <c r="AA140" s="84" t="str">
        <f>+IFERROR(#REF!/#REF!,"")</f>
        <v/>
      </c>
      <c r="AB140" s="84">
        <f>+IFERROR(N140/H140,"")</f>
        <v>0.17975893116468197</v>
      </c>
      <c r="AD140" s="139">
        <f t="shared" si="13"/>
        <v>-0.11747603115854684</v>
      </c>
      <c r="AE140" s="139">
        <f t="shared" si="13"/>
        <v>3.8731049273598731E-2</v>
      </c>
      <c r="AF140" s="139">
        <f t="shared" si="12"/>
        <v>0.15666785570777916</v>
      </c>
      <c r="AG140" s="139" t="str">
        <f t="shared" si="12"/>
        <v/>
      </c>
      <c r="AH140" s="139" t="str">
        <f t="shared" si="12"/>
        <v/>
      </c>
      <c r="AI140" s="139" t="str">
        <f t="shared" si="12"/>
        <v/>
      </c>
      <c r="AJ140" s="139" t="str">
        <f t="shared" si="12"/>
        <v/>
      </c>
      <c r="AK140" s="139" t="str">
        <f t="shared" si="12"/>
        <v/>
      </c>
      <c r="AL140" s="139" t="str">
        <f t="shared" si="12"/>
        <v/>
      </c>
      <c r="AM140" s="139" t="str">
        <f t="shared" si="12"/>
        <v/>
      </c>
      <c r="AN140" s="139" t="str">
        <f t="shared" si="12"/>
        <v/>
      </c>
      <c r="AP140" s="82">
        <f t="shared" si="14"/>
        <v>7.4147882911714842E-5</v>
      </c>
      <c r="AQ140" s="82">
        <f t="shared" si="15"/>
        <v>0.98611936440747738</v>
      </c>
    </row>
    <row r="141" spans="2:43" x14ac:dyDescent="0.35">
      <c r="B141" s="83" t="s">
        <v>223</v>
      </c>
      <c r="D141" s="137">
        <v>182716</v>
      </c>
      <c r="E141" s="137">
        <v>174205</v>
      </c>
      <c r="F141" s="137">
        <v>189542</v>
      </c>
      <c r="G141" s="137">
        <v>14792</v>
      </c>
      <c r="H141" s="137">
        <f>+SUM(D141:G141)</f>
        <v>561255</v>
      </c>
      <c r="J141" s="137">
        <v>49229</v>
      </c>
      <c r="K141" s="137">
        <v>43932</v>
      </c>
      <c r="L141" s="137">
        <v>32630</v>
      </c>
      <c r="M141" s="137">
        <v>200</v>
      </c>
      <c r="N141" s="137">
        <f>+SUM(J141:M141)</f>
        <v>125991</v>
      </c>
      <c r="P141" s="84">
        <f>+IFERROR(J141/D141,"")</f>
        <v>0.26942905930515115</v>
      </c>
      <c r="Q141" s="84">
        <f>+IFERROR(K141/E141,"")</f>
        <v>0.25218564335122412</v>
      </c>
      <c r="R141" s="84">
        <f>+IFERROR(L141/F141,"")</f>
        <v>0.17215181859429574</v>
      </c>
      <c r="S141" s="84">
        <f>+IFERROR(M141/G141,"")</f>
        <v>1.3520822065981611E-2</v>
      </c>
      <c r="T141" s="84" t="str">
        <f>+IFERROR(#REF!/#REF!,"")</f>
        <v/>
      </c>
      <c r="U141" s="84" t="str">
        <f>+IFERROR(#REF!/#REF!,"")</f>
        <v/>
      </c>
      <c r="V141" s="84" t="str">
        <f>+IFERROR(#REF!/#REF!,"")</f>
        <v/>
      </c>
      <c r="W141" s="84" t="str">
        <f>+IFERROR(#REF!/#REF!,"")</f>
        <v/>
      </c>
      <c r="X141" s="84" t="str">
        <f>+IFERROR(#REF!/#REF!,"")</f>
        <v/>
      </c>
      <c r="Y141" s="84" t="str">
        <f>+IFERROR(#REF!/#REF!,"")</f>
        <v/>
      </c>
      <c r="Z141" s="84" t="str">
        <f>+IFERROR(#REF!/#REF!,"")</f>
        <v/>
      </c>
      <c r="AA141" s="84" t="str">
        <f>+IFERROR(#REF!/#REF!,"")</f>
        <v/>
      </c>
      <c r="AB141" s="84">
        <f>+IFERROR(N141/H141,"")</f>
        <v>0.22448085095010289</v>
      </c>
      <c r="AD141" s="139">
        <f t="shared" si="13"/>
        <v>-1.7243415953927033E-2</v>
      </c>
      <c r="AE141" s="139">
        <f t="shared" si="13"/>
        <v>-8.0033824756928384E-2</v>
      </c>
      <c r="AF141" s="139">
        <f t="shared" si="12"/>
        <v>-0.15863099652831414</v>
      </c>
      <c r="AG141" s="139" t="str">
        <f t="shared" si="12"/>
        <v/>
      </c>
      <c r="AH141" s="139" t="str">
        <f t="shared" si="12"/>
        <v/>
      </c>
      <c r="AI141" s="139" t="str">
        <f t="shared" si="12"/>
        <v/>
      </c>
      <c r="AJ141" s="139" t="str">
        <f t="shared" si="12"/>
        <v/>
      </c>
      <c r="AK141" s="139" t="str">
        <f t="shared" si="12"/>
        <v/>
      </c>
      <c r="AL141" s="139" t="str">
        <f t="shared" si="12"/>
        <v/>
      </c>
      <c r="AM141" s="139" t="str">
        <f t="shared" si="12"/>
        <v/>
      </c>
      <c r="AN141" s="139" t="str">
        <f t="shared" si="12"/>
        <v/>
      </c>
      <c r="AP141" s="82">
        <f t="shared" si="14"/>
        <v>1.509422358005181E-4</v>
      </c>
      <c r="AQ141" s="82">
        <f t="shared" si="15"/>
        <v>0.98627030664327786</v>
      </c>
    </row>
    <row r="142" spans="2:43" x14ac:dyDescent="0.35">
      <c r="B142" s="83" t="s">
        <v>224</v>
      </c>
      <c r="D142" s="137">
        <v>18712</v>
      </c>
      <c r="E142" s="137">
        <v>59059</v>
      </c>
      <c r="F142" s="137">
        <v>12734</v>
      </c>
      <c r="G142" s="137">
        <v>1198</v>
      </c>
      <c r="H142" s="137">
        <f>+SUM(D142:G142)</f>
        <v>91703</v>
      </c>
      <c r="J142" s="137">
        <v>2357</v>
      </c>
      <c r="K142" s="137">
        <v>4904</v>
      </c>
      <c r="L142" s="137">
        <v>2208</v>
      </c>
      <c r="M142" s="137">
        <v>310</v>
      </c>
      <c r="N142" s="137">
        <f>+SUM(J142:M142)</f>
        <v>9779</v>
      </c>
      <c r="P142" s="84">
        <f>+IFERROR(J142/D142,"")</f>
        <v>0.12596194955109022</v>
      </c>
      <c r="Q142" s="84">
        <f>+IFERROR(K142/E142,"")</f>
        <v>8.3035608459337273E-2</v>
      </c>
      <c r="R142" s="84">
        <f>+IFERROR(L142/F142,"")</f>
        <v>0.17339406313805561</v>
      </c>
      <c r="S142" s="84">
        <f>+IFERROR(M142/G142,"")</f>
        <v>0.2587646076794658</v>
      </c>
      <c r="T142" s="84" t="str">
        <f>+IFERROR(#REF!/#REF!,"")</f>
        <v/>
      </c>
      <c r="U142" s="84" t="str">
        <f>+IFERROR(#REF!/#REF!,"")</f>
        <v/>
      </c>
      <c r="V142" s="84" t="str">
        <f>+IFERROR(#REF!/#REF!,"")</f>
        <v/>
      </c>
      <c r="W142" s="84" t="str">
        <f>+IFERROR(#REF!/#REF!,"")</f>
        <v/>
      </c>
      <c r="X142" s="84" t="str">
        <f>+IFERROR(#REF!/#REF!,"")</f>
        <v/>
      </c>
      <c r="Y142" s="84" t="str">
        <f>+IFERROR(#REF!/#REF!,"")</f>
        <v/>
      </c>
      <c r="Z142" s="84" t="str">
        <f>+IFERROR(#REF!/#REF!,"")</f>
        <v/>
      </c>
      <c r="AA142" s="84" t="str">
        <f>+IFERROR(#REF!/#REF!,"")</f>
        <v/>
      </c>
      <c r="AB142" s="84">
        <f>+IFERROR(N142/H142,"")</f>
        <v>0.10663773268050118</v>
      </c>
      <c r="AD142" s="139">
        <f t="shared" si="13"/>
        <v>-4.2926341091752945E-2</v>
      </c>
      <c r="AE142" s="139">
        <f t="shared" si="13"/>
        <v>9.0358454678718336E-2</v>
      </c>
      <c r="AF142" s="139">
        <f t="shared" si="12"/>
        <v>8.5370544541410187E-2</v>
      </c>
      <c r="AG142" s="139" t="str">
        <f t="shared" si="12"/>
        <v/>
      </c>
      <c r="AH142" s="139" t="str">
        <f t="shared" si="12"/>
        <v/>
      </c>
      <c r="AI142" s="139" t="str">
        <f t="shared" si="12"/>
        <v/>
      </c>
      <c r="AJ142" s="139" t="str">
        <f t="shared" si="12"/>
        <v/>
      </c>
      <c r="AK142" s="139" t="str">
        <f t="shared" si="12"/>
        <v/>
      </c>
      <c r="AL142" s="139" t="str">
        <f t="shared" si="12"/>
        <v/>
      </c>
      <c r="AM142" s="139" t="str">
        <f t="shared" si="12"/>
        <v/>
      </c>
      <c r="AN142" s="139" t="str">
        <f t="shared" si="12"/>
        <v/>
      </c>
      <c r="AP142" s="82">
        <f t="shared" si="14"/>
        <v>1.1715631464892464E-5</v>
      </c>
      <c r="AQ142" s="82">
        <f t="shared" si="15"/>
        <v>0.98628202227474271</v>
      </c>
    </row>
    <row r="143" spans="2:43" x14ac:dyDescent="0.35">
      <c r="B143" s="83" t="s">
        <v>225</v>
      </c>
      <c r="D143" s="137">
        <v>42267</v>
      </c>
      <c r="E143" s="137">
        <v>60719</v>
      </c>
      <c r="F143" s="137">
        <v>75477</v>
      </c>
      <c r="G143" s="137">
        <v>7920</v>
      </c>
      <c r="H143" s="137">
        <f>+SUM(D143:G143)</f>
        <v>186383</v>
      </c>
      <c r="J143" s="137">
        <v>9729</v>
      </c>
      <c r="K143" s="137">
        <v>7466</v>
      </c>
      <c r="L143" s="137">
        <v>8755</v>
      </c>
      <c r="M143" s="137">
        <v>463</v>
      </c>
      <c r="N143" s="137">
        <f>+SUM(J143:M143)</f>
        <v>26413</v>
      </c>
      <c r="P143" s="84">
        <f>+IFERROR(J143/D143,"")</f>
        <v>0.23017957271630349</v>
      </c>
      <c r="Q143" s="84">
        <f>+IFERROR(K143/E143,"")</f>
        <v>0.1229598642928902</v>
      </c>
      <c r="R143" s="84">
        <f>+IFERROR(L143/F143,"")</f>
        <v>0.11599560130900805</v>
      </c>
      <c r="S143" s="84">
        <f>+IFERROR(M143/G143,"")</f>
        <v>5.8459595959595961E-2</v>
      </c>
      <c r="T143" s="84" t="str">
        <f>+IFERROR(#REF!/#REF!,"")</f>
        <v/>
      </c>
      <c r="U143" s="84" t="str">
        <f>+IFERROR(#REF!/#REF!,"")</f>
        <v/>
      </c>
      <c r="V143" s="84" t="str">
        <f>+IFERROR(#REF!/#REF!,"")</f>
        <v/>
      </c>
      <c r="W143" s="84" t="str">
        <f>+IFERROR(#REF!/#REF!,"")</f>
        <v/>
      </c>
      <c r="X143" s="84" t="str">
        <f>+IFERROR(#REF!/#REF!,"")</f>
        <v/>
      </c>
      <c r="Y143" s="84" t="str">
        <f>+IFERROR(#REF!/#REF!,"")</f>
        <v/>
      </c>
      <c r="Z143" s="84" t="str">
        <f>+IFERROR(#REF!/#REF!,"")</f>
        <v/>
      </c>
      <c r="AA143" s="84" t="str">
        <f>+IFERROR(#REF!/#REF!,"")</f>
        <v/>
      </c>
      <c r="AB143" s="84">
        <f>+IFERROR(N143/H143,"")</f>
        <v>0.14171356829753787</v>
      </c>
      <c r="AD143" s="139">
        <f t="shared" si="13"/>
        <v>-0.10721970842341329</v>
      </c>
      <c r="AE143" s="139">
        <f t="shared" si="13"/>
        <v>-6.9642629838821551E-3</v>
      </c>
      <c r="AF143" s="139">
        <f t="shared" si="12"/>
        <v>-5.7536005349412084E-2</v>
      </c>
      <c r="AG143" s="139" t="str">
        <f t="shared" si="12"/>
        <v/>
      </c>
      <c r="AH143" s="139" t="str">
        <f t="shared" si="12"/>
        <v/>
      </c>
      <c r="AI143" s="139" t="str">
        <f t="shared" ref="AI143:AN174" si="16">+IFERROR(V143-U143,"")</f>
        <v/>
      </c>
      <c r="AJ143" s="139" t="str">
        <f t="shared" si="16"/>
        <v/>
      </c>
      <c r="AK143" s="139" t="str">
        <f t="shared" si="16"/>
        <v/>
      </c>
      <c r="AL143" s="139" t="str">
        <f t="shared" si="16"/>
        <v/>
      </c>
      <c r="AM143" s="139" t="str">
        <f t="shared" si="16"/>
        <v/>
      </c>
      <c r="AN143" s="139" t="str">
        <f t="shared" si="16"/>
        <v/>
      </c>
      <c r="AP143" s="82">
        <f t="shared" si="14"/>
        <v>3.164382594152824E-5</v>
      </c>
      <c r="AQ143" s="82">
        <f t="shared" si="15"/>
        <v>0.98631366610068427</v>
      </c>
    </row>
    <row r="144" spans="2:43" x14ac:dyDescent="0.35">
      <c r="B144" s="83" t="s">
        <v>226</v>
      </c>
      <c r="D144" s="137">
        <v>119583</v>
      </c>
      <c r="E144" s="137">
        <v>132721</v>
      </c>
      <c r="F144" s="137">
        <v>160273</v>
      </c>
      <c r="G144" s="137">
        <v>13532</v>
      </c>
      <c r="H144" s="137">
        <f>+SUM(D144:G144)</f>
        <v>426109</v>
      </c>
      <c r="J144" s="137">
        <v>14079</v>
      </c>
      <c r="K144" s="137">
        <v>41381</v>
      </c>
      <c r="L144" s="137">
        <v>29971</v>
      </c>
      <c r="M144" s="137">
        <v>5900</v>
      </c>
      <c r="N144" s="137">
        <f>+SUM(J144:M144)</f>
        <v>91331</v>
      </c>
      <c r="P144" s="84">
        <f>+IFERROR(J144/D144,"")</f>
        <v>0.11773412608815634</v>
      </c>
      <c r="Q144" s="84">
        <f>+IFERROR(K144/E144,"")</f>
        <v>0.31178939278637141</v>
      </c>
      <c r="R144" s="84">
        <f>+IFERROR(L144/F144,"")</f>
        <v>0.1869996817929408</v>
      </c>
      <c r="S144" s="84">
        <f>+IFERROR(M144/G144,"")</f>
        <v>0.43600354714750222</v>
      </c>
      <c r="T144" s="84" t="str">
        <f>+IFERROR(#REF!/#REF!,"")</f>
        <v/>
      </c>
      <c r="U144" s="84" t="str">
        <f>+IFERROR(#REF!/#REF!,"")</f>
        <v/>
      </c>
      <c r="V144" s="84" t="str">
        <f>+IFERROR(#REF!/#REF!,"")</f>
        <v/>
      </c>
      <c r="W144" s="84" t="str">
        <f>+IFERROR(#REF!/#REF!,"")</f>
        <v/>
      </c>
      <c r="X144" s="84" t="str">
        <f>+IFERROR(#REF!/#REF!,"")</f>
        <v/>
      </c>
      <c r="Y144" s="84" t="str">
        <f>+IFERROR(#REF!/#REF!,"")</f>
        <v/>
      </c>
      <c r="Z144" s="84" t="str">
        <f>+IFERROR(#REF!/#REF!,"")</f>
        <v/>
      </c>
      <c r="AA144" s="84" t="str">
        <f>+IFERROR(#REF!/#REF!,"")</f>
        <v/>
      </c>
      <c r="AB144" s="84">
        <f>+IFERROR(N144/H144,"")</f>
        <v>0.2143371766379025</v>
      </c>
      <c r="AD144" s="139">
        <f t="shared" si="13"/>
        <v>0.19405526669821507</v>
      </c>
      <c r="AE144" s="139">
        <f t="shared" si="13"/>
        <v>-0.12478971099343061</v>
      </c>
      <c r="AF144" s="139">
        <f t="shared" si="13"/>
        <v>0.24900386535456143</v>
      </c>
      <c r="AG144" s="139" t="str">
        <f t="shared" si="13"/>
        <v/>
      </c>
      <c r="AH144" s="139" t="str">
        <f t="shared" si="13"/>
        <v/>
      </c>
      <c r="AI144" s="139" t="str">
        <f t="shared" si="16"/>
        <v/>
      </c>
      <c r="AJ144" s="139" t="str">
        <f t="shared" si="16"/>
        <v/>
      </c>
      <c r="AK144" s="139" t="str">
        <f t="shared" si="16"/>
        <v/>
      </c>
      <c r="AL144" s="139" t="str">
        <f t="shared" si="16"/>
        <v/>
      </c>
      <c r="AM144" s="139" t="str">
        <f t="shared" si="16"/>
        <v/>
      </c>
      <c r="AN144" s="139" t="str">
        <f t="shared" si="16"/>
        <v/>
      </c>
      <c r="AP144" s="82">
        <f t="shared" si="14"/>
        <v>1.0941817540853805E-4</v>
      </c>
      <c r="AQ144" s="82">
        <f t="shared" si="15"/>
        <v>0.98642308427609282</v>
      </c>
    </row>
    <row r="145" spans="2:43" x14ac:dyDescent="0.35">
      <c r="B145" s="83" t="s">
        <v>227</v>
      </c>
      <c r="D145" s="137">
        <v>43633</v>
      </c>
      <c r="E145" s="137">
        <v>46244</v>
      </c>
      <c r="F145" s="137">
        <v>48773</v>
      </c>
      <c r="G145" s="137">
        <v>8918</v>
      </c>
      <c r="H145" s="137">
        <f>+SUM(D145:G145)</f>
        <v>147568</v>
      </c>
      <c r="J145" s="137">
        <v>5199</v>
      </c>
      <c r="K145" s="137">
        <v>4877</v>
      </c>
      <c r="L145" s="137">
        <v>7551</v>
      </c>
      <c r="M145" s="137">
        <v>421</v>
      </c>
      <c r="N145" s="137">
        <f>+SUM(J145:M145)</f>
        <v>18048</v>
      </c>
      <c r="P145" s="84">
        <f>+IFERROR(J145/D145,"")</f>
        <v>0.11915293470538355</v>
      </c>
      <c r="Q145" s="84">
        <f>+IFERROR(K145/E145,"")</f>
        <v>0.10546233024824841</v>
      </c>
      <c r="R145" s="84">
        <f>+IFERROR(L145/F145,"")</f>
        <v>0.15481926475714022</v>
      </c>
      <c r="S145" s="84">
        <f>+IFERROR(M145/G145,"")</f>
        <v>4.7207894146669656E-2</v>
      </c>
      <c r="T145" s="84" t="str">
        <f>+IFERROR(#REF!/#REF!,"")</f>
        <v/>
      </c>
      <c r="U145" s="84" t="str">
        <f>+IFERROR(#REF!/#REF!,"")</f>
        <v/>
      </c>
      <c r="V145" s="84" t="str">
        <f>+IFERROR(#REF!/#REF!,"")</f>
        <v/>
      </c>
      <c r="W145" s="84" t="str">
        <f>+IFERROR(#REF!/#REF!,"")</f>
        <v/>
      </c>
      <c r="X145" s="84" t="str">
        <f>+IFERROR(#REF!/#REF!,"")</f>
        <v/>
      </c>
      <c r="Y145" s="84" t="str">
        <f>+IFERROR(#REF!/#REF!,"")</f>
        <v/>
      </c>
      <c r="Z145" s="84" t="str">
        <f>+IFERROR(#REF!/#REF!,"")</f>
        <v/>
      </c>
      <c r="AA145" s="84" t="str">
        <f>+IFERROR(#REF!/#REF!,"")</f>
        <v/>
      </c>
      <c r="AB145" s="84">
        <f>+IFERROR(N145/H145,"")</f>
        <v>0.1223029383064079</v>
      </c>
      <c r="AD145" s="139">
        <f t="shared" si="13"/>
        <v>-1.369060445713513E-2</v>
      </c>
      <c r="AE145" s="139">
        <f t="shared" si="13"/>
        <v>4.9356934508891809E-2</v>
      </c>
      <c r="AF145" s="139">
        <f t="shared" si="13"/>
        <v>-0.10761137061047057</v>
      </c>
      <c r="AG145" s="139" t="str">
        <f t="shared" si="13"/>
        <v/>
      </c>
      <c r="AH145" s="139" t="str">
        <f t="shared" si="13"/>
        <v/>
      </c>
      <c r="AI145" s="139" t="str">
        <f t="shared" si="16"/>
        <v/>
      </c>
      <c r="AJ145" s="139" t="str">
        <f t="shared" si="16"/>
        <v/>
      </c>
      <c r="AK145" s="139" t="str">
        <f t="shared" si="16"/>
        <v/>
      </c>
      <c r="AL145" s="139" t="str">
        <f t="shared" si="16"/>
        <v/>
      </c>
      <c r="AM145" s="139" t="str">
        <f t="shared" si="16"/>
        <v/>
      </c>
      <c r="AN145" s="139" t="str">
        <f t="shared" si="16"/>
        <v/>
      </c>
      <c r="AP145" s="82">
        <f t="shared" si="14"/>
        <v>2.1622222791530749E-5</v>
      </c>
      <c r="AQ145" s="82">
        <f t="shared" si="15"/>
        <v>0.98644470649888438</v>
      </c>
    </row>
    <row r="146" spans="2:43" x14ac:dyDescent="0.35">
      <c r="B146" s="83" t="s">
        <v>228</v>
      </c>
      <c r="D146" s="137">
        <v>35692</v>
      </c>
      <c r="E146" s="137">
        <v>44627</v>
      </c>
      <c r="F146" s="137">
        <v>62782</v>
      </c>
      <c r="G146" s="137">
        <v>11970</v>
      </c>
      <c r="H146" s="137">
        <f>+SUM(D146:G146)</f>
        <v>155071</v>
      </c>
      <c r="J146" s="137">
        <v>4453</v>
      </c>
      <c r="K146" s="137">
        <v>6000</v>
      </c>
      <c r="L146" s="137">
        <v>7605</v>
      </c>
      <c r="M146" s="137">
        <v>3049</v>
      </c>
      <c r="N146" s="137">
        <f>+SUM(J146:M146)</f>
        <v>21107</v>
      </c>
      <c r="P146" s="84">
        <f>+IFERROR(J146/D146,"")</f>
        <v>0.12476185139527064</v>
      </c>
      <c r="Q146" s="84">
        <f>+IFERROR(K146/E146,"")</f>
        <v>0.13444775584287538</v>
      </c>
      <c r="R146" s="84">
        <f>+IFERROR(L146/F146,"")</f>
        <v>0.12113344589213469</v>
      </c>
      <c r="S146" s="84">
        <f>+IFERROR(M146/G146,"")</f>
        <v>0.25472013366750207</v>
      </c>
      <c r="T146" s="84" t="str">
        <f>+IFERROR(#REF!/#REF!,"")</f>
        <v/>
      </c>
      <c r="U146" s="84" t="str">
        <f>+IFERROR(#REF!/#REF!,"")</f>
        <v/>
      </c>
      <c r="V146" s="84" t="str">
        <f>+IFERROR(#REF!/#REF!,"")</f>
        <v/>
      </c>
      <c r="W146" s="84" t="str">
        <f>+IFERROR(#REF!/#REF!,"")</f>
        <v/>
      </c>
      <c r="X146" s="84" t="str">
        <f>+IFERROR(#REF!/#REF!,"")</f>
        <v/>
      </c>
      <c r="Y146" s="84" t="str">
        <f>+IFERROR(#REF!/#REF!,"")</f>
        <v/>
      </c>
      <c r="Z146" s="84" t="str">
        <f>+IFERROR(#REF!/#REF!,"")</f>
        <v/>
      </c>
      <c r="AA146" s="84" t="str">
        <f>+IFERROR(#REF!/#REF!,"")</f>
        <v/>
      </c>
      <c r="AB146" s="84">
        <f>+IFERROR(N146/H146,"")</f>
        <v>0.13611184554171959</v>
      </c>
      <c r="AD146" s="139">
        <f t="shared" si="13"/>
        <v>9.6859044476047401E-3</v>
      </c>
      <c r="AE146" s="139">
        <f t="shared" si="13"/>
        <v>-1.3314309950740691E-2</v>
      </c>
      <c r="AF146" s="139">
        <f t="shared" si="13"/>
        <v>0.13358668777536736</v>
      </c>
      <c r="AG146" s="139" t="str">
        <f t="shared" si="13"/>
        <v/>
      </c>
      <c r="AH146" s="139" t="str">
        <f t="shared" si="13"/>
        <v/>
      </c>
      <c r="AI146" s="139" t="str">
        <f t="shared" si="16"/>
        <v/>
      </c>
      <c r="AJ146" s="139" t="str">
        <f t="shared" si="16"/>
        <v/>
      </c>
      <c r="AK146" s="139" t="str">
        <f t="shared" si="16"/>
        <v/>
      </c>
      <c r="AL146" s="139" t="str">
        <f t="shared" si="16"/>
        <v/>
      </c>
      <c r="AM146" s="139" t="str">
        <f t="shared" si="16"/>
        <v/>
      </c>
      <c r="AN146" s="139" t="str">
        <f t="shared" si="16"/>
        <v/>
      </c>
      <c r="AP146" s="82">
        <f t="shared" si="14"/>
        <v>2.5287026621278783E-5</v>
      </c>
      <c r="AQ146" s="82">
        <f t="shared" si="15"/>
        <v>0.98646999352550568</v>
      </c>
    </row>
    <row r="147" spans="2:43" x14ac:dyDescent="0.35">
      <c r="B147" s="83" t="s">
        <v>229</v>
      </c>
      <c r="D147" s="137">
        <v>48129</v>
      </c>
      <c r="E147" s="137">
        <v>37595</v>
      </c>
      <c r="F147" s="137">
        <v>24665</v>
      </c>
      <c r="G147" s="137">
        <v>5475</v>
      </c>
      <c r="H147" s="137">
        <f>+SUM(D147:G147)</f>
        <v>115864</v>
      </c>
      <c r="J147" s="137">
        <v>4041</v>
      </c>
      <c r="K147" s="137">
        <v>7428</v>
      </c>
      <c r="L147" s="137">
        <v>4759</v>
      </c>
      <c r="M147" s="137">
        <v>1135</v>
      </c>
      <c r="N147" s="137">
        <f>+SUM(J147:M147)</f>
        <v>17363</v>
      </c>
      <c r="P147" s="84">
        <f>+IFERROR(J147/D147,"")</f>
        <v>8.396185252134887E-2</v>
      </c>
      <c r="Q147" s="84">
        <f>+IFERROR(K147/E147,"")</f>
        <v>0.19757946535443544</v>
      </c>
      <c r="R147" s="84">
        <f>+IFERROR(L147/F147,"")</f>
        <v>0.19294546928846543</v>
      </c>
      <c r="S147" s="84">
        <f>+IFERROR(M147/G147,"")</f>
        <v>0.20730593607305936</v>
      </c>
      <c r="T147" s="84" t="str">
        <f>+IFERROR(#REF!/#REF!,"")</f>
        <v/>
      </c>
      <c r="U147" s="84" t="str">
        <f>+IFERROR(#REF!/#REF!,"")</f>
        <v/>
      </c>
      <c r="V147" s="84" t="str">
        <f>+IFERROR(#REF!/#REF!,"")</f>
        <v/>
      </c>
      <c r="W147" s="84" t="str">
        <f>+IFERROR(#REF!/#REF!,"")</f>
        <v/>
      </c>
      <c r="X147" s="84" t="str">
        <f>+IFERROR(#REF!/#REF!,"")</f>
        <v/>
      </c>
      <c r="Y147" s="84" t="str">
        <f>+IFERROR(#REF!/#REF!,"")</f>
        <v/>
      </c>
      <c r="Z147" s="84" t="str">
        <f>+IFERROR(#REF!/#REF!,"")</f>
        <v/>
      </c>
      <c r="AA147" s="84" t="str">
        <f>+IFERROR(#REF!/#REF!,"")</f>
        <v/>
      </c>
      <c r="AB147" s="84">
        <f>+IFERROR(N147/H147,"")</f>
        <v>0.14985672857833321</v>
      </c>
      <c r="AD147" s="139">
        <f t="shared" si="13"/>
        <v>0.11361761283308656</v>
      </c>
      <c r="AE147" s="139">
        <f t="shared" si="13"/>
        <v>-4.6339960659700086E-3</v>
      </c>
      <c r="AF147" s="139">
        <f t="shared" si="13"/>
        <v>1.4360466784593934E-2</v>
      </c>
      <c r="AG147" s="139" t="str">
        <f t="shared" si="13"/>
        <v/>
      </c>
      <c r="AH147" s="139" t="str">
        <f t="shared" si="13"/>
        <v/>
      </c>
      <c r="AI147" s="139" t="str">
        <f t="shared" si="16"/>
        <v/>
      </c>
      <c r="AJ147" s="139" t="str">
        <f t="shared" si="16"/>
        <v/>
      </c>
      <c r="AK147" s="139" t="str">
        <f t="shared" si="16"/>
        <v/>
      </c>
      <c r="AL147" s="139" t="str">
        <f t="shared" si="16"/>
        <v/>
      </c>
      <c r="AM147" s="139" t="str">
        <f t="shared" si="16"/>
        <v/>
      </c>
      <c r="AN147" s="139" t="str">
        <f t="shared" si="16"/>
        <v/>
      </c>
      <c r="AP147" s="82">
        <f t="shared" si="14"/>
        <v>2.0801565510269746E-5</v>
      </c>
      <c r="AQ147" s="82">
        <f t="shared" si="15"/>
        <v>0.986490795091016</v>
      </c>
    </row>
    <row r="148" spans="2:43" x14ac:dyDescent="0.35">
      <c r="B148" s="83" t="s">
        <v>230</v>
      </c>
      <c r="D148" s="137">
        <v>91061</v>
      </c>
      <c r="E148" s="137">
        <v>93111</v>
      </c>
      <c r="F148" s="137">
        <v>93807</v>
      </c>
      <c r="G148" s="137">
        <v>13867</v>
      </c>
      <c r="H148" s="137">
        <f>+SUM(D148:G148)</f>
        <v>291846</v>
      </c>
      <c r="J148" s="137">
        <v>25257</v>
      </c>
      <c r="K148" s="137">
        <v>23606</v>
      </c>
      <c r="L148" s="137">
        <v>19701</v>
      </c>
      <c r="M148" s="137">
        <v>501</v>
      </c>
      <c r="N148" s="137">
        <f>+SUM(J148:M148)</f>
        <v>69065</v>
      </c>
      <c r="P148" s="84">
        <f>+IFERROR(J148/D148,"")</f>
        <v>0.27736352554880794</v>
      </c>
      <c r="Q148" s="84">
        <f>+IFERROR(K148/E148,"")</f>
        <v>0.25352536220210287</v>
      </c>
      <c r="R148" s="84">
        <f>+IFERROR(L148/F148,"")</f>
        <v>0.21001631008346924</v>
      </c>
      <c r="S148" s="84">
        <f>+IFERROR(M148/G148,"")</f>
        <v>3.6128939208192108E-2</v>
      </c>
      <c r="T148" s="84" t="str">
        <f>+IFERROR(#REF!/#REF!,"")</f>
        <v/>
      </c>
      <c r="U148" s="84" t="str">
        <f>+IFERROR(#REF!/#REF!,"")</f>
        <v/>
      </c>
      <c r="V148" s="84" t="str">
        <f>+IFERROR(#REF!/#REF!,"")</f>
        <v/>
      </c>
      <c r="W148" s="84" t="str">
        <f>+IFERROR(#REF!/#REF!,"")</f>
        <v/>
      </c>
      <c r="X148" s="84" t="str">
        <f>+IFERROR(#REF!/#REF!,"")</f>
        <v/>
      </c>
      <c r="Y148" s="84" t="str">
        <f>+IFERROR(#REF!/#REF!,"")</f>
        <v/>
      </c>
      <c r="Z148" s="84" t="str">
        <f>+IFERROR(#REF!/#REF!,"")</f>
        <v/>
      </c>
      <c r="AA148" s="84" t="str">
        <f>+IFERROR(#REF!/#REF!,"")</f>
        <v/>
      </c>
      <c r="AB148" s="84">
        <f>+IFERROR(N148/H148,"")</f>
        <v>0.23664878052123381</v>
      </c>
      <c r="AD148" s="139">
        <f t="shared" ref="AD148:AN179" si="17">+IFERROR(Q148-P148,"")</f>
        <v>-2.3838163346705077E-2</v>
      </c>
      <c r="AE148" s="139">
        <f t="shared" si="17"/>
        <v>-4.3509052118633623E-2</v>
      </c>
      <c r="AF148" s="139">
        <f t="shared" si="17"/>
        <v>-0.17388737087527714</v>
      </c>
      <c r="AG148" s="139" t="str">
        <f t="shared" si="17"/>
        <v/>
      </c>
      <c r="AH148" s="139" t="str">
        <f t="shared" si="17"/>
        <v/>
      </c>
      <c r="AI148" s="139" t="str">
        <f t="shared" si="16"/>
        <v/>
      </c>
      <c r="AJ148" s="139" t="str">
        <f t="shared" si="16"/>
        <v/>
      </c>
      <c r="AK148" s="139" t="str">
        <f t="shared" si="16"/>
        <v/>
      </c>
      <c r="AL148" s="139" t="str">
        <f t="shared" si="16"/>
        <v/>
      </c>
      <c r="AM148" s="139" t="str">
        <f t="shared" si="16"/>
        <v/>
      </c>
      <c r="AN148" s="139" t="str">
        <f t="shared" si="16"/>
        <v/>
      </c>
      <c r="AP148" s="82">
        <f t="shared" si="14"/>
        <v>8.2742620628162186E-5</v>
      </c>
      <c r="AQ148" s="82">
        <f t="shared" si="15"/>
        <v>0.98657353771164413</v>
      </c>
    </row>
    <row r="149" spans="2:43" x14ac:dyDescent="0.35">
      <c r="B149" s="83" t="s">
        <v>231</v>
      </c>
      <c r="D149" s="137">
        <v>553694</v>
      </c>
      <c r="E149" s="137">
        <v>2840972</v>
      </c>
      <c r="F149" s="137">
        <v>2045376</v>
      </c>
      <c r="G149" s="137">
        <v>63535</v>
      </c>
      <c r="H149" s="137">
        <f>+SUM(D149:G149)</f>
        <v>5503577</v>
      </c>
      <c r="J149" s="137">
        <v>70804</v>
      </c>
      <c r="K149" s="137">
        <v>443877</v>
      </c>
      <c r="L149" s="137">
        <v>300690</v>
      </c>
      <c r="M149" s="137">
        <v>5825</v>
      </c>
      <c r="N149" s="137">
        <f>+SUM(J149:M149)</f>
        <v>821196</v>
      </c>
      <c r="P149" s="84">
        <f>+IFERROR(J149/D149,"")</f>
        <v>0.12787568584813994</v>
      </c>
      <c r="Q149" s="84">
        <f>+IFERROR(K149/E149,"")</f>
        <v>0.15624124419388857</v>
      </c>
      <c r="R149" s="84">
        <f>+IFERROR(L149/F149,"")</f>
        <v>0.14700964517037454</v>
      </c>
      <c r="S149" s="84">
        <f>+IFERROR(M149/G149,"")</f>
        <v>9.1681750216416155E-2</v>
      </c>
      <c r="T149" s="84" t="str">
        <f>+IFERROR(#REF!/#REF!,"")</f>
        <v/>
      </c>
      <c r="U149" s="84" t="str">
        <f>+IFERROR(#REF!/#REF!,"")</f>
        <v/>
      </c>
      <c r="V149" s="84" t="str">
        <f>+IFERROR(#REF!/#REF!,"")</f>
        <v/>
      </c>
      <c r="W149" s="84" t="str">
        <f>+IFERROR(#REF!/#REF!,"")</f>
        <v/>
      </c>
      <c r="X149" s="84" t="str">
        <f>+IFERROR(#REF!/#REF!,"")</f>
        <v/>
      </c>
      <c r="Y149" s="84" t="str">
        <f>+IFERROR(#REF!/#REF!,"")</f>
        <v/>
      </c>
      <c r="Z149" s="84" t="str">
        <f>+IFERROR(#REF!/#REF!,"")</f>
        <v/>
      </c>
      <c r="AA149" s="84" t="str">
        <f>+IFERROR(#REF!/#REF!,"")</f>
        <v/>
      </c>
      <c r="AB149" s="84">
        <f>+IFERROR(N149/H149,"")</f>
        <v>0.14921132201838913</v>
      </c>
      <c r="AD149" s="139">
        <f t="shared" si="17"/>
        <v>2.8365558345748637E-2</v>
      </c>
      <c r="AE149" s="139">
        <f t="shared" si="17"/>
        <v>-9.2315990235140311E-3</v>
      </c>
      <c r="AF149" s="139">
        <f t="shared" si="17"/>
        <v>-5.5327894953958387E-2</v>
      </c>
      <c r="AG149" s="139" t="str">
        <f t="shared" si="17"/>
        <v/>
      </c>
      <c r="AH149" s="139" t="str">
        <f t="shared" si="17"/>
        <v/>
      </c>
      <c r="AI149" s="139" t="str">
        <f t="shared" si="16"/>
        <v/>
      </c>
      <c r="AJ149" s="139" t="str">
        <f t="shared" si="16"/>
        <v/>
      </c>
      <c r="AK149" s="139" t="str">
        <f t="shared" si="16"/>
        <v/>
      </c>
      <c r="AL149" s="139" t="str">
        <f t="shared" si="16"/>
        <v/>
      </c>
      <c r="AM149" s="139" t="str">
        <f t="shared" si="16"/>
        <v/>
      </c>
      <c r="AN149" s="139" t="str">
        <f t="shared" si="16"/>
        <v/>
      </c>
      <c r="AP149" s="82">
        <f t="shared" si="14"/>
        <v>9.8382551349256902E-4</v>
      </c>
      <c r="AQ149" s="82">
        <f t="shared" si="15"/>
        <v>0.98755736322513665</v>
      </c>
    </row>
    <row r="150" spans="2:43" x14ac:dyDescent="0.35">
      <c r="B150" s="83" t="s">
        <v>232</v>
      </c>
      <c r="D150" s="137">
        <v>435117</v>
      </c>
      <c r="E150" s="137">
        <v>258387</v>
      </c>
      <c r="F150" s="137">
        <v>258450</v>
      </c>
      <c r="G150" s="137">
        <v>19019</v>
      </c>
      <c r="H150" s="137">
        <f>+SUM(D150:G150)</f>
        <v>970973</v>
      </c>
      <c r="J150" s="137">
        <v>66489</v>
      </c>
      <c r="K150" s="137">
        <v>28305</v>
      </c>
      <c r="L150" s="137">
        <v>27715</v>
      </c>
      <c r="M150" s="137">
        <v>2168</v>
      </c>
      <c r="N150" s="137">
        <f>+SUM(J150:M150)</f>
        <v>124677</v>
      </c>
      <c r="P150" s="84">
        <f>+IFERROR(J150/D150,"")</f>
        <v>0.15280717600093768</v>
      </c>
      <c r="Q150" s="84">
        <f>+IFERROR(K150/E150,"")</f>
        <v>0.10954498484830894</v>
      </c>
      <c r="R150" s="84">
        <f>+IFERROR(L150/F150,"")</f>
        <v>0.10723544205842522</v>
      </c>
      <c r="S150" s="84">
        <f>+IFERROR(M150/G150,"")</f>
        <v>0.11399127188600873</v>
      </c>
      <c r="T150" s="84" t="str">
        <f>+IFERROR(#REF!/#REF!,"")</f>
        <v/>
      </c>
      <c r="U150" s="84" t="str">
        <f>+IFERROR(#REF!/#REF!,"")</f>
        <v/>
      </c>
      <c r="V150" s="84" t="str">
        <f>+IFERROR(#REF!/#REF!,"")</f>
        <v/>
      </c>
      <c r="W150" s="84" t="str">
        <f>+IFERROR(#REF!/#REF!,"")</f>
        <v/>
      </c>
      <c r="X150" s="84" t="str">
        <f>+IFERROR(#REF!/#REF!,"")</f>
        <v/>
      </c>
      <c r="Y150" s="84" t="str">
        <f>+IFERROR(#REF!/#REF!,"")</f>
        <v/>
      </c>
      <c r="Z150" s="84" t="str">
        <f>+IFERROR(#REF!/#REF!,"")</f>
        <v/>
      </c>
      <c r="AA150" s="84" t="str">
        <f>+IFERROR(#REF!/#REF!,"")</f>
        <v/>
      </c>
      <c r="AB150" s="84">
        <f>+IFERROR(N150/H150,"")</f>
        <v>0.12840418837598985</v>
      </c>
      <c r="AD150" s="139">
        <f t="shared" si="17"/>
        <v>-4.3262191152628748E-2</v>
      </c>
      <c r="AE150" s="139">
        <f t="shared" si="17"/>
        <v>-2.3095427898837118E-3</v>
      </c>
      <c r="AF150" s="139">
        <f t="shared" si="17"/>
        <v>6.7558298275835066E-3</v>
      </c>
      <c r="AG150" s="139" t="str">
        <f t="shared" si="17"/>
        <v/>
      </c>
      <c r="AH150" s="139" t="str">
        <f t="shared" si="17"/>
        <v/>
      </c>
      <c r="AI150" s="139" t="str">
        <f t="shared" si="16"/>
        <v/>
      </c>
      <c r="AJ150" s="139" t="str">
        <f t="shared" si="16"/>
        <v/>
      </c>
      <c r="AK150" s="139" t="str">
        <f t="shared" si="16"/>
        <v/>
      </c>
      <c r="AL150" s="139" t="str">
        <f t="shared" si="16"/>
        <v/>
      </c>
      <c r="AM150" s="139" t="str">
        <f t="shared" si="16"/>
        <v/>
      </c>
      <c r="AN150" s="139" t="str">
        <f t="shared" si="16"/>
        <v/>
      </c>
      <c r="AP150" s="82">
        <f t="shared" si="14"/>
        <v>1.4936801146828895E-4</v>
      </c>
      <c r="AQ150" s="82">
        <f t="shared" si="15"/>
        <v>0.98770673123660491</v>
      </c>
    </row>
    <row r="151" spans="2:43" x14ac:dyDescent="0.35">
      <c r="B151" s="83" t="s">
        <v>233</v>
      </c>
      <c r="D151" s="137">
        <v>8500528</v>
      </c>
      <c r="E151" s="137">
        <v>3665044</v>
      </c>
      <c r="F151" s="137">
        <v>3456065</v>
      </c>
      <c r="G151" s="137">
        <v>367809</v>
      </c>
      <c r="H151" s="137">
        <f>+SUM(D151:G151)</f>
        <v>15989446</v>
      </c>
      <c r="J151" s="137">
        <v>799883</v>
      </c>
      <c r="K151" s="137">
        <v>315386</v>
      </c>
      <c r="L151" s="137">
        <v>336227</v>
      </c>
      <c r="M151" s="137">
        <v>60058</v>
      </c>
      <c r="N151" s="137">
        <f>+SUM(J151:M151)</f>
        <v>1511554</v>
      </c>
      <c r="P151" s="84">
        <f>+IFERROR(J151/D151,"")</f>
        <v>9.4098037204277188E-2</v>
      </c>
      <c r="Q151" s="84">
        <f>+IFERROR(K151/E151,"")</f>
        <v>8.6052445755085069E-2</v>
      </c>
      <c r="R151" s="84">
        <f>+IFERROR(L151/F151,"")</f>
        <v>9.7286075348698597E-2</v>
      </c>
      <c r="S151" s="84">
        <f>+IFERROR(M151/G151,"")</f>
        <v>0.16328583585502257</v>
      </c>
      <c r="T151" s="84" t="str">
        <f>+IFERROR(#REF!/#REF!,"")</f>
        <v/>
      </c>
      <c r="U151" s="84" t="str">
        <f>+IFERROR(#REF!/#REF!,"")</f>
        <v/>
      </c>
      <c r="V151" s="84" t="str">
        <f>+IFERROR(#REF!/#REF!,"")</f>
        <v/>
      </c>
      <c r="W151" s="84" t="str">
        <f>+IFERROR(#REF!/#REF!,"")</f>
        <v/>
      </c>
      <c r="X151" s="84" t="str">
        <f>+IFERROR(#REF!/#REF!,"")</f>
        <v/>
      </c>
      <c r="Y151" s="84" t="str">
        <f>+IFERROR(#REF!/#REF!,"")</f>
        <v/>
      </c>
      <c r="Z151" s="84" t="str">
        <f>+IFERROR(#REF!/#REF!,"")</f>
        <v/>
      </c>
      <c r="AA151" s="84" t="str">
        <f>+IFERROR(#REF!/#REF!,"")</f>
        <v/>
      </c>
      <c r="AB151" s="84">
        <f>+IFERROR(N151/H151,"")</f>
        <v>9.453448230789234E-2</v>
      </c>
      <c r="AD151" s="139">
        <f t="shared" si="17"/>
        <v>-8.0455914491921188E-3</v>
      </c>
      <c r="AE151" s="139">
        <f t="shared" si="17"/>
        <v>1.1233629593613528E-2</v>
      </c>
      <c r="AF151" s="139">
        <f t="shared" si="17"/>
        <v>6.5999760506323973E-2</v>
      </c>
      <c r="AG151" s="139" t="str">
        <f t="shared" si="17"/>
        <v/>
      </c>
      <c r="AH151" s="139" t="str">
        <f t="shared" si="17"/>
        <v/>
      </c>
      <c r="AI151" s="139" t="str">
        <f t="shared" si="16"/>
        <v/>
      </c>
      <c r="AJ151" s="139" t="str">
        <f t="shared" si="16"/>
        <v/>
      </c>
      <c r="AK151" s="139" t="str">
        <f t="shared" si="16"/>
        <v/>
      </c>
      <c r="AL151" s="139" t="str">
        <f t="shared" si="16"/>
        <v/>
      </c>
      <c r="AM151" s="139" t="str">
        <f t="shared" si="16"/>
        <v/>
      </c>
      <c r="AN151" s="139" t="str">
        <f t="shared" si="16"/>
        <v/>
      </c>
      <c r="AP151" s="82">
        <f t="shared" si="14"/>
        <v>1.8109018921448066E-3</v>
      </c>
      <c r="AQ151" s="82">
        <f t="shared" si="15"/>
        <v>0.98951763312874974</v>
      </c>
    </row>
    <row r="152" spans="2:43" x14ac:dyDescent="0.35">
      <c r="B152" s="83" t="s">
        <v>234</v>
      </c>
      <c r="D152" s="137">
        <v>51213</v>
      </c>
      <c r="E152" s="137">
        <v>51161</v>
      </c>
      <c r="F152" s="137">
        <v>63791</v>
      </c>
      <c r="G152" s="137">
        <v>6592</v>
      </c>
      <c r="H152" s="137">
        <f>+SUM(D152:G152)</f>
        <v>172757</v>
      </c>
      <c r="J152" s="137">
        <v>10187</v>
      </c>
      <c r="K152" s="137">
        <v>7345</v>
      </c>
      <c r="L152" s="137">
        <v>9377</v>
      </c>
      <c r="M152" s="137">
        <v>559</v>
      </c>
      <c r="N152" s="137">
        <f>+SUM(J152:M152)</f>
        <v>27468</v>
      </c>
      <c r="P152" s="84">
        <f>+IFERROR(J152/D152,"")</f>
        <v>0.1989143381563275</v>
      </c>
      <c r="Q152" s="84">
        <f>+IFERROR(K152/E152,"")</f>
        <v>0.14356638845995973</v>
      </c>
      <c r="R152" s="84">
        <f>+IFERROR(L152/F152,"")</f>
        <v>0.14699565769465911</v>
      </c>
      <c r="S152" s="84">
        <f>+IFERROR(M152/G152,"")</f>
        <v>8.4799757281553395E-2</v>
      </c>
      <c r="T152" s="84" t="str">
        <f>+IFERROR(#REF!/#REF!,"")</f>
        <v/>
      </c>
      <c r="U152" s="84" t="str">
        <f>+IFERROR(#REF!/#REF!,"")</f>
        <v/>
      </c>
      <c r="V152" s="84" t="str">
        <f>+IFERROR(#REF!/#REF!,"")</f>
        <v/>
      </c>
      <c r="W152" s="84" t="str">
        <f>+IFERROR(#REF!/#REF!,"")</f>
        <v/>
      </c>
      <c r="X152" s="84" t="str">
        <f>+IFERROR(#REF!/#REF!,"")</f>
        <v/>
      </c>
      <c r="Y152" s="84" t="str">
        <f>+IFERROR(#REF!/#REF!,"")</f>
        <v/>
      </c>
      <c r="Z152" s="84" t="str">
        <f>+IFERROR(#REF!/#REF!,"")</f>
        <v/>
      </c>
      <c r="AA152" s="84" t="str">
        <f>+IFERROR(#REF!/#REF!,"")</f>
        <v/>
      </c>
      <c r="AB152" s="84">
        <f>+IFERROR(N152/H152,"")</f>
        <v>0.15899789878268319</v>
      </c>
      <c r="AD152" s="139">
        <f t="shared" si="17"/>
        <v>-5.5347949696367776E-2</v>
      </c>
      <c r="AE152" s="139">
        <f t="shared" si="17"/>
        <v>3.4292692346993836E-3</v>
      </c>
      <c r="AF152" s="139">
        <f t="shared" si="17"/>
        <v>-6.2195900413105715E-2</v>
      </c>
      <c r="AG152" s="139" t="str">
        <f t="shared" si="17"/>
        <v/>
      </c>
      <c r="AH152" s="139" t="str">
        <f t="shared" si="17"/>
        <v/>
      </c>
      <c r="AI152" s="139" t="str">
        <f t="shared" si="16"/>
        <v/>
      </c>
      <c r="AJ152" s="139" t="str">
        <f t="shared" si="16"/>
        <v/>
      </c>
      <c r="AK152" s="139" t="str">
        <f t="shared" si="16"/>
        <v/>
      </c>
      <c r="AL152" s="139" t="str">
        <f t="shared" si="16"/>
        <v/>
      </c>
      <c r="AM152" s="139" t="str">
        <f t="shared" si="16"/>
        <v/>
      </c>
      <c r="AN152" s="139" t="str">
        <f t="shared" si="16"/>
        <v/>
      </c>
      <c r="AP152" s="82">
        <f t="shared" si="14"/>
        <v>3.2907757958652848E-5</v>
      </c>
      <c r="AQ152" s="82">
        <f t="shared" si="15"/>
        <v>0.98955054088670835</v>
      </c>
    </row>
    <row r="153" spans="2:43" x14ac:dyDescent="0.35">
      <c r="B153" s="83" t="s">
        <v>235</v>
      </c>
      <c r="D153" s="137">
        <v>30013</v>
      </c>
      <c r="E153" s="137">
        <v>26551</v>
      </c>
      <c r="F153" s="137">
        <v>18085</v>
      </c>
      <c r="G153" s="137"/>
      <c r="H153" s="137">
        <f>+SUM(D153:G153)</f>
        <v>74649</v>
      </c>
      <c r="J153" s="137">
        <v>11804</v>
      </c>
      <c r="K153" s="137">
        <v>304</v>
      </c>
      <c r="L153" s="137">
        <v>2749</v>
      </c>
      <c r="M153" s="137"/>
      <c r="N153" s="137">
        <f>+SUM(J153:M153)</f>
        <v>14857</v>
      </c>
      <c r="P153" s="84">
        <f>+IFERROR(J153/D153,"")</f>
        <v>0.3932962382967381</v>
      </c>
      <c r="Q153" s="84">
        <f>+IFERROR(K153/E153,"")</f>
        <v>1.1449662912884637E-2</v>
      </c>
      <c r="R153" s="84">
        <f>+IFERROR(L153/F153,"")</f>
        <v>0.15200442355543267</v>
      </c>
      <c r="S153" s="84" t="str">
        <f>+IFERROR(M153/G153,"")</f>
        <v/>
      </c>
      <c r="T153" s="84" t="str">
        <f>+IFERROR(#REF!/#REF!,"")</f>
        <v/>
      </c>
      <c r="U153" s="84" t="str">
        <f>+IFERROR(#REF!/#REF!,"")</f>
        <v/>
      </c>
      <c r="V153" s="84" t="str">
        <f>+IFERROR(#REF!/#REF!,"")</f>
        <v/>
      </c>
      <c r="W153" s="84" t="str">
        <f>+IFERROR(#REF!/#REF!,"")</f>
        <v/>
      </c>
      <c r="X153" s="84" t="str">
        <f>+IFERROR(#REF!/#REF!,"")</f>
        <v/>
      </c>
      <c r="Y153" s="84" t="str">
        <f>+IFERROR(#REF!/#REF!,"")</f>
        <v/>
      </c>
      <c r="Z153" s="84" t="str">
        <f>+IFERROR(#REF!/#REF!,"")</f>
        <v/>
      </c>
      <c r="AA153" s="84" t="str">
        <f>+IFERROR(#REF!/#REF!,"")</f>
        <v/>
      </c>
      <c r="AB153" s="84">
        <f>+IFERROR(N153/H153,"")</f>
        <v>0.19902476925343943</v>
      </c>
      <c r="AD153" s="139">
        <f t="shared" si="17"/>
        <v>-0.38184657538385347</v>
      </c>
      <c r="AE153" s="139">
        <f t="shared" si="17"/>
        <v>0.14055476064254804</v>
      </c>
      <c r="AF153" s="139" t="str">
        <f t="shared" si="17"/>
        <v/>
      </c>
      <c r="AG153" s="139" t="str">
        <f t="shared" si="17"/>
        <v/>
      </c>
      <c r="AH153" s="139" t="str">
        <f t="shared" si="17"/>
        <v/>
      </c>
      <c r="AI153" s="139" t="str">
        <f t="shared" si="16"/>
        <v/>
      </c>
      <c r="AJ153" s="139" t="str">
        <f t="shared" si="16"/>
        <v/>
      </c>
      <c r="AK153" s="139" t="str">
        <f t="shared" si="16"/>
        <v/>
      </c>
      <c r="AL153" s="139" t="str">
        <f t="shared" si="16"/>
        <v/>
      </c>
      <c r="AM153" s="139" t="str">
        <f t="shared" si="16"/>
        <v/>
      </c>
      <c r="AN153" s="139" t="str">
        <f t="shared" si="16"/>
        <v/>
      </c>
      <c r="AP153" s="82">
        <f t="shared" si="14"/>
        <v>1.7799277704663803E-5</v>
      </c>
      <c r="AQ153" s="82">
        <f t="shared" si="15"/>
        <v>0.98956834016441297</v>
      </c>
    </row>
    <row r="154" spans="2:43" x14ac:dyDescent="0.35">
      <c r="B154" s="83" t="s">
        <v>236</v>
      </c>
      <c r="D154" s="137">
        <v>46186</v>
      </c>
      <c r="E154" s="137">
        <v>40411</v>
      </c>
      <c r="F154" s="137">
        <v>56738</v>
      </c>
      <c r="G154" s="137">
        <v>12625</v>
      </c>
      <c r="H154" s="137">
        <f>+SUM(D154:G154)</f>
        <v>155960</v>
      </c>
      <c r="J154" s="137">
        <v>26387</v>
      </c>
      <c r="K154" s="137">
        <v>26196</v>
      </c>
      <c r="L154" s="137">
        <v>28282</v>
      </c>
      <c r="M154" s="137">
        <v>4107</v>
      </c>
      <c r="N154" s="137">
        <f>+SUM(J154:M154)</f>
        <v>84972</v>
      </c>
      <c r="P154" s="84">
        <f>+IFERROR(J154/D154,"")</f>
        <v>0.57132031351491797</v>
      </c>
      <c r="Q154" s="84">
        <f>+IFERROR(K154/E154,"")</f>
        <v>0.64823934077355172</v>
      </c>
      <c r="R154" s="84">
        <f>+IFERROR(L154/F154,"")</f>
        <v>0.49846663611688813</v>
      </c>
      <c r="S154" s="84">
        <f>+IFERROR(M154/G154,"")</f>
        <v>0.32530693069306932</v>
      </c>
      <c r="T154" s="84" t="str">
        <f>+IFERROR(#REF!/#REF!,"")</f>
        <v/>
      </c>
      <c r="U154" s="84" t="str">
        <f>+IFERROR(#REF!/#REF!,"")</f>
        <v/>
      </c>
      <c r="V154" s="84" t="str">
        <f>+IFERROR(#REF!/#REF!,"")</f>
        <v/>
      </c>
      <c r="W154" s="84" t="str">
        <f>+IFERROR(#REF!/#REF!,"")</f>
        <v/>
      </c>
      <c r="X154" s="84" t="str">
        <f>+IFERROR(#REF!/#REF!,"")</f>
        <v/>
      </c>
      <c r="Y154" s="84" t="str">
        <f>+IFERROR(#REF!/#REF!,"")</f>
        <v/>
      </c>
      <c r="Z154" s="84" t="str">
        <f>+IFERROR(#REF!/#REF!,"")</f>
        <v/>
      </c>
      <c r="AA154" s="84" t="str">
        <f>+IFERROR(#REF!/#REF!,"")</f>
        <v/>
      </c>
      <c r="AB154" s="84">
        <f>+IFERROR(N154/H154,"")</f>
        <v>0.54483200820723265</v>
      </c>
      <c r="AD154" s="139">
        <f t="shared" si="17"/>
        <v>7.6919027258633754E-2</v>
      </c>
      <c r="AE154" s="139">
        <f t="shared" si="17"/>
        <v>-0.14977270465666359</v>
      </c>
      <c r="AF154" s="139">
        <f t="shared" si="17"/>
        <v>-0.17315970542381881</v>
      </c>
      <c r="AG154" s="139" t="str">
        <f t="shared" si="17"/>
        <v/>
      </c>
      <c r="AH154" s="139" t="str">
        <f t="shared" si="17"/>
        <v/>
      </c>
      <c r="AI154" s="139" t="str">
        <f t="shared" si="16"/>
        <v/>
      </c>
      <c r="AJ154" s="139" t="str">
        <f t="shared" si="16"/>
        <v/>
      </c>
      <c r="AK154" s="139" t="str">
        <f t="shared" si="16"/>
        <v/>
      </c>
      <c r="AL154" s="139" t="str">
        <f t="shared" si="16"/>
        <v/>
      </c>
      <c r="AM154" s="139" t="str">
        <f t="shared" si="16"/>
        <v/>
      </c>
      <c r="AN154" s="139" t="str">
        <f t="shared" si="16"/>
        <v/>
      </c>
      <c r="AP154" s="82">
        <f t="shared" si="14"/>
        <v>1.017998401508173E-4</v>
      </c>
      <c r="AQ154" s="82">
        <f t="shared" si="15"/>
        <v>0.98967014000456377</v>
      </c>
    </row>
    <row r="155" spans="2:43" x14ac:dyDescent="0.35">
      <c r="B155" s="83" t="s">
        <v>237</v>
      </c>
      <c r="D155" s="137">
        <v>534996</v>
      </c>
      <c r="E155" s="137">
        <v>544457</v>
      </c>
      <c r="F155" s="137">
        <v>751344</v>
      </c>
      <c r="G155" s="137">
        <v>62191</v>
      </c>
      <c r="H155" s="137">
        <f>+SUM(D155:G155)</f>
        <v>1892988</v>
      </c>
      <c r="J155" s="137">
        <v>90160</v>
      </c>
      <c r="K155" s="137">
        <v>82474</v>
      </c>
      <c r="L155" s="137">
        <v>138672</v>
      </c>
      <c r="M155" s="137">
        <v>8526</v>
      </c>
      <c r="N155" s="137">
        <f>+SUM(J155:M155)</f>
        <v>319832</v>
      </c>
      <c r="P155" s="84">
        <f>+IFERROR(J155/D155,"")</f>
        <v>0.16852462448317371</v>
      </c>
      <c r="Q155" s="84">
        <f>+IFERROR(K155/E155,"")</f>
        <v>0.15147936384324198</v>
      </c>
      <c r="R155" s="84">
        <f>+IFERROR(L155/F155,"")</f>
        <v>0.18456525905577206</v>
      </c>
      <c r="S155" s="84">
        <f>+IFERROR(M155/G155,"")</f>
        <v>0.13709379170619543</v>
      </c>
      <c r="T155" s="84" t="str">
        <f>+IFERROR(#REF!/#REF!,"")</f>
        <v/>
      </c>
      <c r="U155" s="84" t="str">
        <f>+IFERROR(#REF!/#REF!,"")</f>
        <v/>
      </c>
      <c r="V155" s="84" t="str">
        <f>+IFERROR(#REF!/#REF!,"")</f>
        <v/>
      </c>
      <c r="W155" s="84" t="str">
        <f>+IFERROR(#REF!/#REF!,"")</f>
        <v/>
      </c>
      <c r="X155" s="84" t="str">
        <f>+IFERROR(#REF!/#REF!,"")</f>
        <v/>
      </c>
      <c r="Y155" s="84" t="str">
        <f>+IFERROR(#REF!/#REF!,"")</f>
        <v/>
      </c>
      <c r="Z155" s="84" t="str">
        <f>+IFERROR(#REF!/#REF!,"")</f>
        <v/>
      </c>
      <c r="AA155" s="84" t="str">
        <f>+IFERROR(#REF!/#REF!,"")</f>
        <v/>
      </c>
      <c r="AB155" s="84">
        <f>+IFERROR(N155/H155,"")</f>
        <v>0.16895616876599323</v>
      </c>
      <c r="AD155" s="139">
        <f t="shared" si="17"/>
        <v>-1.7045260639931725E-2</v>
      </c>
      <c r="AE155" s="139">
        <f t="shared" si="17"/>
        <v>3.3085895212530081E-2</v>
      </c>
      <c r="AF155" s="139">
        <f t="shared" si="17"/>
        <v>-4.7471467349576635E-2</v>
      </c>
      <c r="AG155" s="139" t="str">
        <f t="shared" si="17"/>
        <v/>
      </c>
      <c r="AH155" s="139" t="str">
        <f t="shared" si="17"/>
        <v/>
      </c>
      <c r="AI155" s="139" t="str">
        <f t="shared" si="16"/>
        <v/>
      </c>
      <c r="AJ155" s="139" t="str">
        <f t="shared" si="16"/>
        <v/>
      </c>
      <c r="AK155" s="139" t="str">
        <f t="shared" si="16"/>
        <v/>
      </c>
      <c r="AL155" s="139" t="str">
        <f t="shared" si="16"/>
        <v/>
      </c>
      <c r="AM155" s="139" t="str">
        <f t="shared" si="16"/>
        <v/>
      </c>
      <c r="AN155" s="139" t="str">
        <f t="shared" si="16"/>
        <v/>
      </c>
      <c r="AP155" s="82">
        <f t="shared" si="14"/>
        <v>3.8317147383980839E-4</v>
      </c>
      <c r="AQ155" s="82">
        <f t="shared" si="15"/>
        <v>0.99005331147840359</v>
      </c>
    </row>
    <row r="156" spans="2:43" x14ac:dyDescent="0.35">
      <c r="B156" s="83" t="s">
        <v>238</v>
      </c>
      <c r="D156" s="137">
        <v>1369902</v>
      </c>
      <c r="E156" s="137">
        <v>1494672</v>
      </c>
      <c r="F156" s="137">
        <v>1603056</v>
      </c>
      <c r="G156" s="137">
        <v>169047</v>
      </c>
      <c r="H156" s="137">
        <f>+SUM(D156:G156)</f>
        <v>4636677</v>
      </c>
      <c r="J156" s="137">
        <v>211210</v>
      </c>
      <c r="K156" s="137">
        <v>270710</v>
      </c>
      <c r="L156" s="137">
        <v>180440</v>
      </c>
      <c r="M156" s="137">
        <v>18716</v>
      </c>
      <c r="N156" s="137">
        <f>+SUM(J156:M156)</f>
        <v>681076</v>
      </c>
      <c r="P156" s="84">
        <f>+IFERROR(J156/D156,"")</f>
        <v>0.15417891206816253</v>
      </c>
      <c r="Q156" s="84">
        <f>+IFERROR(K156/E156,"")</f>
        <v>0.18111665970861834</v>
      </c>
      <c r="R156" s="84">
        <f>+IFERROR(L156/F156,"")</f>
        <v>0.11256001038017387</v>
      </c>
      <c r="S156" s="84">
        <f>+IFERROR(M156/G156,"")</f>
        <v>0.11071477163155809</v>
      </c>
      <c r="T156" s="84" t="str">
        <f>+IFERROR(#REF!/#REF!,"")</f>
        <v/>
      </c>
      <c r="U156" s="84" t="str">
        <f>+IFERROR(#REF!/#REF!,"")</f>
        <v/>
      </c>
      <c r="V156" s="84" t="str">
        <f>+IFERROR(#REF!/#REF!,"")</f>
        <v/>
      </c>
      <c r="W156" s="84" t="str">
        <f>+IFERROR(#REF!/#REF!,"")</f>
        <v/>
      </c>
      <c r="X156" s="84" t="str">
        <f>+IFERROR(#REF!/#REF!,"")</f>
        <v/>
      </c>
      <c r="Y156" s="84" t="str">
        <f>+IFERROR(#REF!/#REF!,"")</f>
        <v/>
      </c>
      <c r="Z156" s="84" t="str">
        <f>+IFERROR(#REF!/#REF!,"")</f>
        <v/>
      </c>
      <c r="AA156" s="84" t="str">
        <f>+IFERROR(#REF!/#REF!,"")</f>
        <v/>
      </c>
      <c r="AB156" s="84">
        <f>+IFERROR(N156/H156,"")</f>
        <v>0.14688881714210414</v>
      </c>
      <c r="AD156" s="139">
        <f t="shared" si="17"/>
        <v>2.6937747640455811E-2</v>
      </c>
      <c r="AE156" s="139">
        <f t="shared" si="17"/>
        <v>-6.8556649328444477E-2</v>
      </c>
      <c r="AF156" s="139">
        <f t="shared" si="17"/>
        <v>-1.8452387486157795E-3</v>
      </c>
      <c r="AG156" s="139" t="str">
        <f t="shared" si="17"/>
        <v/>
      </c>
      <c r="AH156" s="139" t="str">
        <f t="shared" si="17"/>
        <v/>
      </c>
      <c r="AI156" s="139" t="str">
        <f t="shared" si="16"/>
        <v/>
      </c>
      <c r="AJ156" s="139" t="str">
        <f t="shared" si="16"/>
        <v/>
      </c>
      <c r="AK156" s="139" t="str">
        <f t="shared" si="16"/>
        <v/>
      </c>
      <c r="AL156" s="139" t="str">
        <f t="shared" si="16"/>
        <v/>
      </c>
      <c r="AM156" s="139" t="str">
        <f t="shared" si="16"/>
        <v/>
      </c>
      <c r="AN156" s="139" t="str">
        <f t="shared" si="16"/>
        <v/>
      </c>
      <c r="AP156" s="82">
        <f t="shared" si="14"/>
        <v>8.1595617298119432E-4</v>
      </c>
      <c r="AQ156" s="82">
        <f t="shared" si="15"/>
        <v>0.99086926765138483</v>
      </c>
    </row>
    <row r="157" spans="2:43" x14ac:dyDescent="0.35">
      <c r="B157" s="83" t="s">
        <v>239</v>
      </c>
      <c r="D157" s="137">
        <v>51492</v>
      </c>
      <c r="E157" s="137">
        <v>108340</v>
      </c>
      <c r="F157" s="137">
        <v>154354</v>
      </c>
      <c r="G157" s="137">
        <v>10973</v>
      </c>
      <c r="H157" s="137">
        <f>+SUM(D157:G157)</f>
        <v>325159</v>
      </c>
      <c r="J157" s="137">
        <v>5997</v>
      </c>
      <c r="K157" s="137">
        <v>18892</v>
      </c>
      <c r="L157" s="137">
        <v>21175</v>
      </c>
      <c r="M157" s="137">
        <v>7293</v>
      </c>
      <c r="N157" s="137">
        <f>+SUM(J157:M157)</f>
        <v>53357</v>
      </c>
      <c r="P157" s="84">
        <f>+IFERROR(J157/D157,"")</f>
        <v>0.11646469354462829</v>
      </c>
      <c r="Q157" s="84">
        <f>+IFERROR(K157/E157,"")</f>
        <v>0.17437696141775891</v>
      </c>
      <c r="R157" s="84">
        <f>+IFERROR(L157/F157,"")</f>
        <v>0.13718465345893208</v>
      </c>
      <c r="S157" s="84">
        <f>+IFERROR(M157/G157,"")</f>
        <v>0.66463136790303468</v>
      </c>
      <c r="T157" s="84" t="str">
        <f>+IFERROR(#REF!/#REF!,"")</f>
        <v/>
      </c>
      <c r="U157" s="84" t="str">
        <f>+IFERROR(#REF!/#REF!,"")</f>
        <v/>
      </c>
      <c r="V157" s="84" t="str">
        <f>+IFERROR(#REF!/#REF!,"")</f>
        <v/>
      </c>
      <c r="W157" s="84" t="str">
        <f>+IFERROR(#REF!/#REF!,"")</f>
        <v/>
      </c>
      <c r="X157" s="84" t="str">
        <f>+IFERROR(#REF!/#REF!,"")</f>
        <v/>
      </c>
      <c r="Y157" s="84" t="str">
        <f>+IFERROR(#REF!/#REF!,"")</f>
        <v/>
      </c>
      <c r="Z157" s="84" t="str">
        <f>+IFERROR(#REF!/#REF!,"")</f>
        <v/>
      </c>
      <c r="AA157" s="84" t="str">
        <f>+IFERROR(#REF!/#REF!,"")</f>
        <v/>
      </c>
      <c r="AB157" s="84">
        <f>+IFERROR(N157/H157,"")</f>
        <v>0.16409510424130963</v>
      </c>
      <c r="AD157" s="139">
        <f t="shared" si="17"/>
        <v>5.7912267873130613E-2</v>
      </c>
      <c r="AE157" s="139">
        <f t="shared" si="17"/>
        <v>-3.7192307958826831E-2</v>
      </c>
      <c r="AF157" s="139">
        <f t="shared" si="17"/>
        <v>0.52744671444410263</v>
      </c>
      <c r="AG157" s="139" t="str">
        <f t="shared" si="17"/>
        <v/>
      </c>
      <c r="AH157" s="139" t="str">
        <f t="shared" si="17"/>
        <v/>
      </c>
      <c r="AI157" s="139" t="str">
        <f t="shared" si="16"/>
        <v/>
      </c>
      <c r="AJ157" s="139" t="str">
        <f t="shared" si="16"/>
        <v/>
      </c>
      <c r="AK157" s="139" t="str">
        <f t="shared" si="16"/>
        <v/>
      </c>
      <c r="AL157" s="139" t="str">
        <f t="shared" si="16"/>
        <v/>
      </c>
      <c r="AM157" s="139" t="str">
        <f t="shared" si="16"/>
        <v/>
      </c>
      <c r="AN157" s="139" t="str">
        <f t="shared" si="16"/>
        <v/>
      </c>
      <c r="AP157" s="82">
        <f t="shared" si="14"/>
        <v>6.3923811031012088E-5</v>
      </c>
      <c r="AQ157" s="82">
        <f t="shared" si="15"/>
        <v>0.99093319146241587</v>
      </c>
    </row>
    <row r="158" spans="2:43" x14ac:dyDescent="0.35">
      <c r="B158" s="83" t="s">
        <v>240</v>
      </c>
      <c r="D158" s="137">
        <v>499281</v>
      </c>
      <c r="E158" s="137">
        <v>453599</v>
      </c>
      <c r="F158" s="137">
        <v>491888</v>
      </c>
      <c r="G158" s="137">
        <v>103679</v>
      </c>
      <c r="H158" s="137">
        <f>+SUM(D158:G158)</f>
        <v>1548447</v>
      </c>
      <c r="J158" s="137">
        <v>81673</v>
      </c>
      <c r="K158" s="137">
        <v>73605</v>
      </c>
      <c r="L158" s="137">
        <v>88027</v>
      </c>
      <c r="M158" s="137">
        <v>14805</v>
      </c>
      <c r="N158" s="137">
        <f>+SUM(J158:M158)</f>
        <v>258110</v>
      </c>
      <c r="P158" s="84">
        <f>+IFERROR(J158/D158,"")</f>
        <v>0.16358122980846457</v>
      </c>
      <c r="Q158" s="84">
        <f>+IFERROR(K158/E158,"")</f>
        <v>0.16226887625413636</v>
      </c>
      <c r="R158" s="84">
        <f>+IFERROR(L158/F158,"")</f>
        <v>0.1789574049377094</v>
      </c>
      <c r="S158" s="84">
        <f>+IFERROR(M158/G158,"")</f>
        <v>0.14279651617010194</v>
      </c>
      <c r="T158" s="84" t="str">
        <f>+IFERROR(#REF!/#REF!,"")</f>
        <v/>
      </c>
      <c r="U158" s="84" t="str">
        <f>+IFERROR(#REF!/#REF!,"")</f>
        <v/>
      </c>
      <c r="V158" s="84" t="str">
        <f>+IFERROR(#REF!/#REF!,"")</f>
        <v/>
      </c>
      <c r="W158" s="84" t="str">
        <f>+IFERROR(#REF!/#REF!,"")</f>
        <v/>
      </c>
      <c r="X158" s="84" t="str">
        <f>+IFERROR(#REF!/#REF!,"")</f>
        <v/>
      </c>
      <c r="Y158" s="84" t="str">
        <f>+IFERROR(#REF!/#REF!,"")</f>
        <v/>
      </c>
      <c r="Z158" s="84" t="str">
        <f>+IFERROR(#REF!/#REF!,"")</f>
        <v/>
      </c>
      <c r="AA158" s="84" t="str">
        <f>+IFERROR(#REF!/#REF!,"")</f>
        <v/>
      </c>
      <c r="AB158" s="84">
        <f>+IFERROR(N158/H158,"")</f>
        <v>0.16668959286304277</v>
      </c>
      <c r="AD158" s="139">
        <f t="shared" si="17"/>
        <v>-1.3123535543282105E-3</v>
      </c>
      <c r="AE158" s="139">
        <f t="shared" si="17"/>
        <v>1.668852868357304E-2</v>
      </c>
      <c r="AF158" s="139">
        <f t="shared" si="17"/>
        <v>-3.6160888767607452E-2</v>
      </c>
      <c r="AG158" s="139" t="str">
        <f t="shared" si="17"/>
        <v/>
      </c>
      <c r="AH158" s="139" t="str">
        <f t="shared" si="17"/>
        <v/>
      </c>
      <c r="AI158" s="139" t="str">
        <f t="shared" si="16"/>
        <v/>
      </c>
      <c r="AJ158" s="139" t="str">
        <f t="shared" si="16"/>
        <v/>
      </c>
      <c r="AK158" s="139" t="str">
        <f t="shared" si="16"/>
        <v/>
      </c>
      <c r="AL158" s="139" t="str">
        <f t="shared" si="16"/>
        <v/>
      </c>
      <c r="AM158" s="139" t="str">
        <f t="shared" si="16"/>
        <v/>
      </c>
      <c r="AN158" s="139" t="str">
        <f t="shared" si="16"/>
        <v/>
      </c>
      <c r="AP158" s="82">
        <f t="shared" si="14"/>
        <v>3.0922605965879885E-4</v>
      </c>
      <c r="AQ158" s="82">
        <f t="shared" si="15"/>
        <v>0.99124241752207465</v>
      </c>
    </row>
    <row r="159" spans="2:43" x14ac:dyDescent="0.35">
      <c r="B159" s="83" t="s">
        <v>241</v>
      </c>
      <c r="D159" s="137">
        <v>12093</v>
      </c>
      <c r="E159" s="137">
        <v>14059</v>
      </c>
      <c r="F159" s="137">
        <v>18479</v>
      </c>
      <c r="G159" s="137"/>
      <c r="H159" s="137">
        <f>+SUM(D159:G159)</f>
        <v>44631</v>
      </c>
      <c r="J159" s="137">
        <v>530</v>
      </c>
      <c r="K159" s="137">
        <v>2064</v>
      </c>
      <c r="L159" s="137">
        <v>1674</v>
      </c>
      <c r="M159" s="137"/>
      <c r="N159" s="137">
        <f>+SUM(J159:M159)</f>
        <v>4268</v>
      </c>
      <c r="P159" s="84">
        <f>+IFERROR(J159/D159,"")</f>
        <v>4.3827007359629536E-2</v>
      </c>
      <c r="Q159" s="84">
        <f>+IFERROR(K159/E159,"")</f>
        <v>0.14680987267942244</v>
      </c>
      <c r="R159" s="84">
        <f>+IFERROR(L159/F159,"")</f>
        <v>9.0589317603766442E-2</v>
      </c>
      <c r="S159" s="84" t="str">
        <f>+IFERROR(M159/G159,"")</f>
        <v/>
      </c>
      <c r="T159" s="84" t="str">
        <f>+IFERROR(#REF!/#REF!,"")</f>
        <v/>
      </c>
      <c r="U159" s="84" t="str">
        <f>+IFERROR(#REF!/#REF!,"")</f>
        <v/>
      </c>
      <c r="V159" s="84" t="str">
        <f>+IFERROR(#REF!/#REF!,"")</f>
        <v/>
      </c>
      <c r="W159" s="84" t="str">
        <f>+IFERROR(#REF!/#REF!,"")</f>
        <v/>
      </c>
      <c r="X159" s="84" t="str">
        <f>+IFERROR(#REF!/#REF!,"")</f>
        <v/>
      </c>
      <c r="Y159" s="84" t="str">
        <f>+IFERROR(#REF!/#REF!,"")</f>
        <v/>
      </c>
      <c r="Z159" s="84" t="str">
        <f>+IFERROR(#REF!/#REF!,"")</f>
        <v/>
      </c>
      <c r="AA159" s="84" t="str">
        <f>+IFERROR(#REF!/#REF!,"")</f>
        <v/>
      </c>
      <c r="AB159" s="84">
        <f>+IFERROR(N159/H159,"")</f>
        <v>9.5628598955882688E-2</v>
      </c>
      <c r="AD159" s="139">
        <f t="shared" si="17"/>
        <v>0.10298286531979291</v>
      </c>
      <c r="AE159" s="139">
        <f t="shared" si="17"/>
        <v>-5.6220555075656001E-2</v>
      </c>
      <c r="AF159" s="139" t="str">
        <f t="shared" si="17"/>
        <v/>
      </c>
      <c r="AG159" s="139" t="str">
        <f t="shared" si="17"/>
        <v/>
      </c>
      <c r="AH159" s="139" t="str">
        <f t="shared" si="17"/>
        <v/>
      </c>
      <c r="AI159" s="139" t="str">
        <f t="shared" si="16"/>
        <v/>
      </c>
      <c r="AJ159" s="139" t="str">
        <f t="shared" si="16"/>
        <v/>
      </c>
      <c r="AK159" s="139" t="str">
        <f t="shared" si="16"/>
        <v/>
      </c>
      <c r="AL159" s="139" t="str">
        <f t="shared" si="16"/>
        <v/>
      </c>
      <c r="AM159" s="139" t="str">
        <f t="shared" si="16"/>
        <v/>
      </c>
      <c r="AN159" s="139" t="str">
        <f t="shared" si="16"/>
        <v/>
      </c>
      <c r="AP159" s="82">
        <f t="shared" si="14"/>
        <v>5.1132339801780383E-6</v>
      </c>
      <c r="AQ159" s="82">
        <f t="shared" si="15"/>
        <v>0.99124753075605487</v>
      </c>
    </row>
    <row r="160" spans="2:43" x14ac:dyDescent="0.35">
      <c r="B160" s="83" t="s">
        <v>242</v>
      </c>
      <c r="D160" s="137">
        <v>3754</v>
      </c>
      <c r="E160" s="137">
        <v>11254</v>
      </c>
      <c r="F160" s="137">
        <v>2307</v>
      </c>
      <c r="G160" s="137"/>
      <c r="H160" s="137">
        <f>+SUM(D160:G160)</f>
        <v>17315</v>
      </c>
      <c r="J160" s="137">
        <v>73</v>
      </c>
      <c r="K160" s="137">
        <v>290</v>
      </c>
      <c r="L160" s="137">
        <v>476</v>
      </c>
      <c r="M160" s="137"/>
      <c r="N160" s="137">
        <f>+SUM(J160:M160)</f>
        <v>839</v>
      </c>
      <c r="P160" s="84">
        <f>+IFERROR(J160/D160,"")</f>
        <v>1.9445924347362812E-2</v>
      </c>
      <c r="Q160" s="84">
        <f>+IFERROR(K160/E160,"")</f>
        <v>2.5768615603341035E-2</v>
      </c>
      <c r="R160" s="84">
        <f>+IFERROR(L160/F160,"")</f>
        <v>0.20632856523623755</v>
      </c>
      <c r="S160" s="84" t="str">
        <f>+IFERROR(M160/G160,"")</f>
        <v/>
      </c>
      <c r="T160" s="84" t="str">
        <f>+IFERROR(#REF!/#REF!,"")</f>
        <v/>
      </c>
      <c r="U160" s="84" t="str">
        <f>+IFERROR(#REF!/#REF!,"")</f>
        <v/>
      </c>
      <c r="V160" s="84" t="str">
        <f>+IFERROR(#REF!/#REF!,"")</f>
        <v/>
      </c>
      <c r="W160" s="84" t="str">
        <f>+IFERROR(#REF!/#REF!,"")</f>
        <v/>
      </c>
      <c r="X160" s="84" t="str">
        <f>+IFERROR(#REF!/#REF!,"")</f>
        <v/>
      </c>
      <c r="Y160" s="84" t="str">
        <f>+IFERROR(#REF!/#REF!,"")</f>
        <v/>
      </c>
      <c r="Z160" s="84" t="str">
        <f>+IFERROR(#REF!/#REF!,"")</f>
        <v/>
      </c>
      <c r="AA160" s="84" t="str">
        <f>+IFERROR(#REF!/#REF!,"")</f>
        <v/>
      </c>
      <c r="AB160" s="84">
        <f>+IFERROR(N160/H160,"")</f>
        <v>4.8455096736933295E-2</v>
      </c>
      <c r="AD160" s="139">
        <f t="shared" si="17"/>
        <v>6.3226912559782231E-3</v>
      </c>
      <c r="AE160" s="139">
        <f t="shared" si="17"/>
        <v>0.18055994963289651</v>
      </c>
      <c r="AF160" s="139" t="str">
        <f t="shared" si="17"/>
        <v/>
      </c>
      <c r="AG160" s="139" t="str">
        <f t="shared" si="17"/>
        <v/>
      </c>
      <c r="AH160" s="139" t="str">
        <f t="shared" si="17"/>
        <v/>
      </c>
      <c r="AI160" s="139" t="str">
        <f t="shared" si="16"/>
        <v/>
      </c>
      <c r="AJ160" s="139" t="str">
        <f t="shared" si="16"/>
        <v/>
      </c>
      <c r="AK160" s="139" t="str">
        <f t="shared" si="16"/>
        <v/>
      </c>
      <c r="AL160" s="139" t="str">
        <f t="shared" si="16"/>
        <v/>
      </c>
      <c r="AM160" s="139" t="str">
        <f t="shared" si="16"/>
        <v/>
      </c>
      <c r="AN160" s="139" t="str">
        <f t="shared" si="16"/>
        <v/>
      </c>
      <c r="AP160" s="82">
        <f t="shared" si="14"/>
        <v>1.005155414566395E-6</v>
      </c>
      <c r="AQ160" s="82">
        <f t="shared" si="15"/>
        <v>0.99124853591146944</v>
      </c>
    </row>
    <row r="161" spans="2:43" x14ac:dyDescent="0.35">
      <c r="B161" s="83" t="s">
        <v>243</v>
      </c>
      <c r="D161" s="137"/>
      <c r="E161" s="137">
        <v>47113</v>
      </c>
      <c r="F161" s="137">
        <v>165745</v>
      </c>
      <c r="G161" s="137">
        <v>43426</v>
      </c>
      <c r="H161" s="137">
        <f>+SUM(D161:G161)</f>
        <v>256284</v>
      </c>
      <c r="J161" s="137"/>
      <c r="K161" s="137">
        <v>10439</v>
      </c>
      <c r="L161" s="137">
        <v>19578</v>
      </c>
      <c r="M161" s="137">
        <v>12444</v>
      </c>
      <c r="N161" s="137">
        <f>+SUM(J161:M161)</f>
        <v>42461</v>
      </c>
      <c r="P161" s="84" t="str">
        <f>+IFERROR(J161/D161,"")</f>
        <v/>
      </c>
      <c r="Q161" s="84">
        <f>+IFERROR(K161/E161,"")</f>
        <v>0.22157366332010273</v>
      </c>
      <c r="R161" s="84">
        <f>+IFERROR(L161/F161,"")</f>
        <v>0.11812121029291985</v>
      </c>
      <c r="S161" s="84">
        <f>+IFERROR(M161/G161,"")</f>
        <v>0.28655644084189197</v>
      </c>
      <c r="T161" s="84" t="str">
        <f>+IFERROR(#REF!/#REF!,"")</f>
        <v/>
      </c>
      <c r="U161" s="84" t="str">
        <f>+IFERROR(#REF!/#REF!,"")</f>
        <v/>
      </c>
      <c r="V161" s="84" t="str">
        <f>+IFERROR(#REF!/#REF!,"")</f>
        <v/>
      </c>
      <c r="W161" s="84" t="str">
        <f>+IFERROR(#REF!/#REF!,"")</f>
        <v/>
      </c>
      <c r="X161" s="84" t="str">
        <f>+IFERROR(#REF!/#REF!,"")</f>
        <v/>
      </c>
      <c r="Y161" s="84" t="str">
        <f>+IFERROR(#REF!/#REF!,"")</f>
        <v/>
      </c>
      <c r="Z161" s="84" t="str">
        <f>+IFERROR(#REF!/#REF!,"")</f>
        <v/>
      </c>
      <c r="AA161" s="84" t="str">
        <f>+IFERROR(#REF!/#REF!,"")</f>
        <v/>
      </c>
      <c r="AB161" s="84">
        <f>+IFERROR(N161/H161,"")</f>
        <v>0.16567948057623574</v>
      </c>
      <c r="AD161" s="139" t="str">
        <f t="shared" si="17"/>
        <v/>
      </c>
      <c r="AE161" s="139">
        <f t="shared" si="17"/>
        <v>-0.10345245302718288</v>
      </c>
      <c r="AF161" s="139">
        <f t="shared" si="17"/>
        <v>0.16843523054897214</v>
      </c>
      <c r="AG161" s="139" t="str">
        <f t="shared" si="17"/>
        <v/>
      </c>
      <c r="AH161" s="139" t="str">
        <f t="shared" si="17"/>
        <v/>
      </c>
      <c r="AI161" s="139" t="str">
        <f t="shared" si="16"/>
        <v/>
      </c>
      <c r="AJ161" s="139" t="str">
        <f t="shared" si="16"/>
        <v/>
      </c>
      <c r="AK161" s="139" t="str">
        <f t="shared" si="16"/>
        <v/>
      </c>
      <c r="AL161" s="139" t="str">
        <f t="shared" si="16"/>
        <v/>
      </c>
      <c r="AM161" s="139" t="str">
        <f t="shared" si="16"/>
        <v/>
      </c>
      <c r="AN161" s="139" t="str">
        <f t="shared" si="16"/>
        <v/>
      </c>
      <c r="AP161" s="82">
        <f t="shared" si="14"/>
        <v>5.086996907974219E-5</v>
      </c>
      <c r="AQ161" s="82">
        <f t="shared" si="15"/>
        <v>0.99129940588054921</v>
      </c>
    </row>
    <row r="162" spans="2:43" x14ac:dyDescent="0.35">
      <c r="B162" s="83" t="s">
        <v>244</v>
      </c>
      <c r="D162" s="137">
        <v>28105</v>
      </c>
      <c r="E162" s="137">
        <v>41110</v>
      </c>
      <c r="F162" s="137">
        <v>35670</v>
      </c>
      <c r="G162" s="137">
        <v>2510</v>
      </c>
      <c r="H162" s="137">
        <f>+SUM(D162:G162)</f>
        <v>107395</v>
      </c>
      <c r="J162" s="137">
        <v>26178</v>
      </c>
      <c r="K162" s="137">
        <v>35032</v>
      </c>
      <c r="L162" s="137">
        <v>28144</v>
      </c>
      <c r="M162" s="137">
        <v>2010</v>
      </c>
      <c r="N162" s="137">
        <f>+SUM(J162:M162)</f>
        <v>91364</v>
      </c>
      <c r="P162" s="84">
        <f>+IFERROR(J162/D162,"")</f>
        <v>0.93143568760007112</v>
      </c>
      <c r="Q162" s="84">
        <f>+IFERROR(K162/E162,"")</f>
        <v>0.85215276088542935</v>
      </c>
      <c r="R162" s="84">
        <f>+IFERROR(L162/F162,"")</f>
        <v>0.78901037286234932</v>
      </c>
      <c r="S162" s="84">
        <f>+IFERROR(M162/G162,"")</f>
        <v>0.80079681274900394</v>
      </c>
      <c r="T162" s="84" t="str">
        <f>+IFERROR(#REF!/#REF!,"")</f>
        <v/>
      </c>
      <c r="U162" s="84" t="str">
        <f>+IFERROR(#REF!/#REF!,"")</f>
        <v/>
      </c>
      <c r="V162" s="84" t="str">
        <f>+IFERROR(#REF!/#REF!,"")</f>
        <v/>
      </c>
      <c r="W162" s="84" t="str">
        <f>+IFERROR(#REF!/#REF!,"")</f>
        <v/>
      </c>
      <c r="X162" s="84" t="str">
        <f>+IFERROR(#REF!/#REF!,"")</f>
        <v/>
      </c>
      <c r="Y162" s="84" t="str">
        <f>+IFERROR(#REF!/#REF!,"")</f>
        <v/>
      </c>
      <c r="Z162" s="84" t="str">
        <f>+IFERROR(#REF!/#REF!,"")</f>
        <v/>
      </c>
      <c r="AA162" s="84" t="str">
        <f>+IFERROR(#REF!/#REF!,"")</f>
        <v/>
      </c>
      <c r="AB162" s="84">
        <f>+IFERROR(N162/H162,"")</f>
        <v>0.8507286186507752</v>
      </c>
      <c r="AD162" s="139">
        <f t="shared" si="17"/>
        <v>-7.9282926714641766E-2</v>
      </c>
      <c r="AE162" s="139">
        <f t="shared" si="17"/>
        <v>-6.3142388023080032E-2</v>
      </c>
      <c r="AF162" s="139">
        <f t="shared" si="17"/>
        <v>1.1786439886654621E-2</v>
      </c>
      <c r="AG162" s="139" t="str">
        <f t="shared" si="17"/>
        <v/>
      </c>
      <c r="AH162" s="139" t="str">
        <f t="shared" si="17"/>
        <v/>
      </c>
      <c r="AI162" s="139" t="str">
        <f t="shared" si="16"/>
        <v/>
      </c>
      <c r="AJ162" s="139" t="str">
        <f t="shared" si="16"/>
        <v/>
      </c>
      <c r="AK162" s="139" t="str">
        <f t="shared" si="16"/>
        <v/>
      </c>
      <c r="AL162" s="139" t="str">
        <f t="shared" si="16"/>
        <v/>
      </c>
      <c r="AM162" s="139" t="str">
        <f t="shared" si="16"/>
        <v/>
      </c>
      <c r="AN162" s="139" t="str">
        <f t="shared" si="16"/>
        <v/>
      </c>
      <c r="AP162" s="82">
        <f t="shared" si="14"/>
        <v>1.0945771072281778E-4</v>
      </c>
      <c r="AQ162" s="82">
        <f t="shared" si="15"/>
        <v>0.991408863591272</v>
      </c>
    </row>
    <row r="163" spans="2:43" x14ac:dyDescent="0.35">
      <c r="B163" s="83" t="s">
        <v>245</v>
      </c>
      <c r="D163" s="137">
        <v>10273</v>
      </c>
      <c r="E163" s="137">
        <v>15138</v>
      </c>
      <c r="F163" s="137">
        <v>30100</v>
      </c>
      <c r="G163" s="137">
        <v>6990</v>
      </c>
      <c r="H163" s="137">
        <f>+SUM(D163:G163)</f>
        <v>62501</v>
      </c>
      <c r="J163" s="137">
        <v>722</v>
      </c>
      <c r="K163" s="137">
        <v>10682</v>
      </c>
      <c r="L163" s="137">
        <v>9246</v>
      </c>
      <c r="M163" s="137">
        <v>6990</v>
      </c>
      <c r="N163" s="137">
        <f>+SUM(J163:M163)</f>
        <v>27640</v>
      </c>
      <c r="P163" s="84">
        <f>+IFERROR(J163/D163,"")</f>
        <v>7.0281319964956679E-2</v>
      </c>
      <c r="Q163" s="84">
        <f>+IFERROR(K163/E163,"")</f>
        <v>0.70564143215748443</v>
      </c>
      <c r="R163" s="84">
        <f>+IFERROR(L163/F163,"")</f>
        <v>0.30717607973421929</v>
      </c>
      <c r="S163" s="84">
        <f>+IFERROR(M163/G163,"")</f>
        <v>1</v>
      </c>
      <c r="T163" s="84" t="str">
        <f>+IFERROR(#REF!/#REF!,"")</f>
        <v/>
      </c>
      <c r="U163" s="84" t="str">
        <f>+IFERROR(#REF!/#REF!,"")</f>
        <v/>
      </c>
      <c r="V163" s="84" t="str">
        <f>+IFERROR(#REF!/#REF!,"")</f>
        <v/>
      </c>
      <c r="W163" s="84" t="str">
        <f>+IFERROR(#REF!/#REF!,"")</f>
        <v/>
      </c>
      <c r="X163" s="84" t="str">
        <f>+IFERROR(#REF!/#REF!,"")</f>
        <v/>
      </c>
      <c r="Y163" s="84" t="str">
        <f>+IFERROR(#REF!/#REF!,"")</f>
        <v/>
      </c>
      <c r="Z163" s="84" t="str">
        <f>+IFERROR(#REF!/#REF!,"")</f>
        <v/>
      </c>
      <c r="AA163" s="84" t="str">
        <f>+IFERROR(#REF!/#REF!,"")</f>
        <v/>
      </c>
      <c r="AB163" s="84">
        <f>+IFERROR(N163/H163,"")</f>
        <v>0.44223292427321165</v>
      </c>
      <c r="AD163" s="139">
        <f t="shared" si="17"/>
        <v>0.63536011219252775</v>
      </c>
      <c r="AE163" s="139">
        <f t="shared" si="17"/>
        <v>-0.39846535242326514</v>
      </c>
      <c r="AF163" s="139">
        <f t="shared" si="17"/>
        <v>0.69282392026578066</v>
      </c>
      <c r="AG163" s="139" t="str">
        <f t="shared" si="17"/>
        <v/>
      </c>
      <c r="AH163" s="139" t="str">
        <f t="shared" si="17"/>
        <v/>
      </c>
      <c r="AI163" s="139" t="str">
        <f t="shared" si="16"/>
        <v/>
      </c>
      <c r="AJ163" s="139" t="str">
        <f t="shared" si="16"/>
        <v/>
      </c>
      <c r="AK163" s="139" t="str">
        <f t="shared" si="16"/>
        <v/>
      </c>
      <c r="AL163" s="139" t="str">
        <f t="shared" si="16"/>
        <v/>
      </c>
      <c r="AM163" s="139" t="str">
        <f t="shared" si="16"/>
        <v/>
      </c>
      <c r="AN163" s="139" t="str">
        <f t="shared" si="16"/>
        <v/>
      </c>
      <c r="AP163" s="82">
        <f t="shared" si="14"/>
        <v>3.3113820808838093E-5</v>
      </c>
      <c r="AQ163" s="82">
        <f t="shared" si="15"/>
        <v>0.99144197741208084</v>
      </c>
    </row>
    <row r="164" spans="2:43" x14ac:dyDescent="0.35">
      <c r="B164" s="83" t="s">
        <v>246</v>
      </c>
      <c r="D164" s="137">
        <v>20485</v>
      </c>
      <c r="E164" s="137">
        <v>11632</v>
      </c>
      <c r="F164" s="137">
        <v>15011</v>
      </c>
      <c r="G164" s="137"/>
      <c r="H164" s="137">
        <f>+SUM(D164:G164)</f>
        <v>47128</v>
      </c>
      <c r="J164" s="137">
        <v>3667</v>
      </c>
      <c r="K164" s="137">
        <v>2227</v>
      </c>
      <c r="L164" s="137">
        <v>2320</v>
      </c>
      <c r="M164" s="137"/>
      <c r="N164" s="137">
        <f>+SUM(J164:M164)</f>
        <v>8214</v>
      </c>
      <c r="P164" s="84">
        <f>+IFERROR(J164/D164,"")</f>
        <v>0.17900903099829144</v>
      </c>
      <c r="Q164" s="84">
        <f>+IFERROR(K164/E164,"")</f>
        <v>0.19145460797799174</v>
      </c>
      <c r="R164" s="84">
        <f>+IFERROR(L164/F164,"")</f>
        <v>0.15455332755978948</v>
      </c>
      <c r="S164" s="84" t="str">
        <f>+IFERROR(M164/G164,"")</f>
        <v/>
      </c>
      <c r="T164" s="84" t="str">
        <f>+IFERROR(#REF!/#REF!,"")</f>
        <v/>
      </c>
      <c r="U164" s="84" t="str">
        <f>+IFERROR(#REF!/#REF!,"")</f>
        <v/>
      </c>
      <c r="V164" s="84" t="str">
        <f>+IFERROR(#REF!/#REF!,"")</f>
        <v/>
      </c>
      <c r="W164" s="84" t="str">
        <f>+IFERROR(#REF!/#REF!,"")</f>
        <v/>
      </c>
      <c r="X164" s="84" t="str">
        <f>+IFERROR(#REF!/#REF!,"")</f>
        <v/>
      </c>
      <c r="Y164" s="84" t="str">
        <f>+IFERROR(#REF!/#REF!,"")</f>
        <v/>
      </c>
      <c r="Z164" s="84" t="str">
        <f>+IFERROR(#REF!/#REF!,"")</f>
        <v/>
      </c>
      <c r="AA164" s="84" t="str">
        <f>+IFERROR(#REF!/#REF!,"")</f>
        <v/>
      </c>
      <c r="AB164" s="84">
        <f>+IFERROR(N164/H164,"")</f>
        <v>0.17429129180105246</v>
      </c>
      <c r="AD164" s="139">
        <f t="shared" si="17"/>
        <v>1.2445576979700307E-2</v>
      </c>
      <c r="AE164" s="139">
        <f t="shared" si="17"/>
        <v>-3.6901280418202259E-2</v>
      </c>
      <c r="AF164" s="139" t="str">
        <f t="shared" si="17"/>
        <v/>
      </c>
      <c r="AG164" s="139" t="str">
        <f t="shared" si="17"/>
        <v/>
      </c>
      <c r="AH164" s="139" t="str">
        <f t="shared" si="17"/>
        <v/>
      </c>
      <c r="AI164" s="139" t="str">
        <f t="shared" si="16"/>
        <v/>
      </c>
      <c r="AJ164" s="139" t="str">
        <f t="shared" si="16"/>
        <v/>
      </c>
      <c r="AK164" s="139" t="str">
        <f t="shared" si="16"/>
        <v/>
      </c>
      <c r="AL164" s="139" t="str">
        <f t="shared" si="16"/>
        <v/>
      </c>
      <c r="AM164" s="139" t="str">
        <f t="shared" si="16"/>
        <v/>
      </c>
      <c r="AN164" s="139" t="str">
        <f t="shared" si="16"/>
        <v/>
      </c>
      <c r="AP164" s="82">
        <f t="shared" si="14"/>
        <v>9.8406991361720721E-6</v>
      </c>
      <c r="AQ164" s="82">
        <f t="shared" si="15"/>
        <v>0.99145181811121696</v>
      </c>
    </row>
    <row r="165" spans="2:43" x14ac:dyDescent="0.35">
      <c r="B165" s="83" t="s">
        <v>247</v>
      </c>
      <c r="D165" s="137">
        <v>604120</v>
      </c>
      <c r="E165" s="137">
        <v>928624</v>
      </c>
      <c r="F165" s="137">
        <v>617946</v>
      </c>
      <c r="G165" s="137">
        <v>61787</v>
      </c>
      <c r="H165" s="137">
        <f>+SUM(D165:G165)</f>
        <v>2212477</v>
      </c>
      <c r="J165" s="137">
        <v>75391</v>
      </c>
      <c r="K165" s="137">
        <v>183240</v>
      </c>
      <c r="L165" s="137">
        <v>105997</v>
      </c>
      <c r="M165" s="137">
        <v>9854</v>
      </c>
      <c r="N165" s="137">
        <f>+SUM(J165:M165)</f>
        <v>374482</v>
      </c>
      <c r="P165" s="84">
        <f>+IFERROR(J165/D165,"")</f>
        <v>0.12479474276633781</v>
      </c>
      <c r="Q165" s="84">
        <f>+IFERROR(K165/E165,"")</f>
        <v>0.19732421302917005</v>
      </c>
      <c r="R165" s="84">
        <f>+IFERROR(L165/F165,"")</f>
        <v>0.17153116939020563</v>
      </c>
      <c r="S165" s="84">
        <f>+IFERROR(M165/G165,"")</f>
        <v>0.15948338647288265</v>
      </c>
      <c r="T165" s="84" t="str">
        <f>+IFERROR(#REF!/#REF!,"")</f>
        <v/>
      </c>
      <c r="U165" s="84" t="str">
        <f>+IFERROR(#REF!/#REF!,"")</f>
        <v/>
      </c>
      <c r="V165" s="84" t="str">
        <f>+IFERROR(#REF!/#REF!,"")</f>
        <v/>
      </c>
      <c r="W165" s="84" t="str">
        <f>+IFERROR(#REF!/#REF!,"")</f>
        <v/>
      </c>
      <c r="X165" s="84" t="str">
        <f>+IFERROR(#REF!/#REF!,"")</f>
        <v/>
      </c>
      <c r="Y165" s="84" t="str">
        <f>+IFERROR(#REF!/#REF!,"")</f>
        <v/>
      </c>
      <c r="Z165" s="84" t="str">
        <f>+IFERROR(#REF!/#REF!,"")</f>
        <v/>
      </c>
      <c r="AA165" s="84" t="str">
        <f>+IFERROR(#REF!/#REF!,"")</f>
        <v/>
      </c>
      <c r="AB165" s="84">
        <f>+IFERROR(N165/H165,"")</f>
        <v>0.16925916066020122</v>
      </c>
      <c r="AD165" s="139">
        <f t="shared" si="17"/>
        <v>7.2529470262832241E-2</v>
      </c>
      <c r="AE165" s="139">
        <f t="shared" si="17"/>
        <v>-2.5793043638964425E-2</v>
      </c>
      <c r="AF165" s="139">
        <f t="shared" si="17"/>
        <v>-1.2047782917322974E-2</v>
      </c>
      <c r="AG165" s="139" t="str">
        <f t="shared" si="17"/>
        <v/>
      </c>
      <c r="AH165" s="139" t="str">
        <f t="shared" si="17"/>
        <v/>
      </c>
      <c r="AI165" s="139" t="str">
        <f t="shared" si="16"/>
        <v/>
      </c>
      <c r="AJ165" s="139" t="str">
        <f t="shared" si="16"/>
        <v/>
      </c>
      <c r="AK165" s="139" t="str">
        <f t="shared" si="16"/>
        <v/>
      </c>
      <c r="AL165" s="139" t="str">
        <f t="shared" si="16"/>
        <v/>
      </c>
      <c r="AM165" s="139" t="str">
        <f t="shared" si="16"/>
        <v/>
      </c>
      <c r="AN165" s="139" t="str">
        <f t="shared" si="16"/>
        <v/>
      </c>
      <c r="AP165" s="82">
        <f t="shared" si="14"/>
        <v>4.4864435036668981E-4</v>
      </c>
      <c r="AQ165" s="82">
        <f t="shared" si="15"/>
        <v>0.9919004624615837</v>
      </c>
    </row>
    <row r="166" spans="2:43" x14ac:dyDescent="0.35">
      <c r="B166" s="83" t="s">
        <v>248</v>
      </c>
      <c r="D166" s="137">
        <v>66569</v>
      </c>
      <c r="E166" s="137">
        <v>52818</v>
      </c>
      <c r="F166" s="137">
        <v>66999</v>
      </c>
      <c r="G166" s="137"/>
      <c r="H166" s="137">
        <f>+SUM(D166:G166)</f>
        <v>186386</v>
      </c>
      <c r="J166" s="137">
        <v>7360</v>
      </c>
      <c r="K166" s="137">
        <v>17443</v>
      </c>
      <c r="L166" s="137">
        <v>6761</v>
      </c>
      <c r="M166" s="137"/>
      <c r="N166" s="137">
        <f>+SUM(J166:M166)</f>
        <v>31564</v>
      </c>
      <c r="P166" s="84">
        <f>+IFERROR(J166/D166,"")</f>
        <v>0.11056197329087113</v>
      </c>
      <c r="Q166" s="84">
        <f>+IFERROR(K166/E166,"")</f>
        <v>0.3302472641902382</v>
      </c>
      <c r="R166" s="84">
        <f>+IFERROR(L166/F166,"")</f>
        <v>0.10091195390975985</v>
      </c>
      <c r="S166" s="84" t="str">
        <f>+IFERROR(M166/G166,"")</f>
        <v/>
      </c>
      <c r="T166" s="84" t="str">
        <f>+IFERROR(#REF!/#REF!,"")</f>
        <v/>
      </c>
      <c r="U166" s="84" t="str">
        <f>+IFERROR(#REF!/#REF!,"")</f>
        <v/>
      </c>
      <c r="V166" s="84" t="str">
        <f>+IFERROR(#REF!/#REF!,"")</f>
        <v/>
      </c>
      <c r="W166" s="84" t="str">
        <f>+IFERROR(#REF!/#REF!,"")</f>
        <v/>
      </c>
      <c r="X166" s="84" t="str">
        <f>+IFERROR(#REF!/#REF!,"")</f>
        <v/>
      </c>
      <c r="Y166" s="84" t="str">
        <f>+IFERROR(#REF!/#REF!,"")</f>
        <v/>
      </c>
      <c r="Z166" s="84" t="str">
        <f>+IFERROR(#REF!/#REF!,"")</f>
        <v/>
      </c>
      <c r="AA166" s="84" t="str">
        <f>+IFERROR(#REF!/#REF!,"")</f>
        <v/>
      </c>
      <c r="AB166" s="84">
        <f>+IFERROR(N166/H166,"")</f>
        <v>0.16934748318006718</v>
      </c>
      <c r="AD166" s="139">
        <f t="shared" si="17"/>
        <v>0.21968529089936706</v>
      </c>
      <c r="AE166" s="139">
        <f t="shared" si="17"/>
        <v>-0.22933531028047835</v>
      </c>
      <c r="AF166" s="139" t="str">
        <f t="shared" si="17"/>
        <v/>
      </c>
      <c r="AG166" s="139" t="str">
        <f t="shared" si="17"/>
        <v/>
      </c>
      <c r="AH166" s="139" t="str">
        <f t="shared" si="17"/>
        <v/>
      </c>
      <c r="AI166" s="139" t="str">
        <f t="shared" si="16"/>
        <v/>
      </c>
      <c r="AJ166" s="139" t="str">
        <f t="shared" si="16"/>
        <v/>
      </c>
      <c r="AK166" s="139" t="str">
        <f t="shared" si="16"/>
        <v/>
      </c>
      <c r="AL166" s="139" t="str">
        <f t="shared" si="16"/>
        <v/>
      </c>
      <c r="AM166" s="139" t="str">
        <f t="shared" si="16"/>
        <v/>
      </c>
      <c r="AN166" s="139" t="str">
        <f t="shared" si="16"/>
        <v/>
      </c>
      <c r="AP166" s="82">
        <f t="shared" si="14"/>
        <v>3.7814929088645639E-5</v>
      </c>
      <c r="AQ166" s="82">
        <f t="shared" si="15"/>
        <v>0.99193827739067231</v>
      </c>
    </row>
    <row r="167" spans="2:43" x14ac:dyDescent="0.35">
      <c r="B167" s="83" t="s">
        <v>249</v>
      </c>
      <c r="D167" s="137">
        <v>16079</v>
      </c>
      <c r="E167" s="137">
        <v>12304</v>
      </c>
      <c r="F167" s="137">
        <v>8967</v>
      </c>
      <c r="G167" s="137">
        <v>2093</v>
      </c>
      <c r="H167" s="137">
        <f>+SUM(D167:G167)</f>
        <v>39443</v>
      </c>
      <c r="J167" s="137">
        <v>10210</v>
      </c>
      <c r="K167" s="137">
        <v>8407</v>
      </c>
      <c r="L167" s="137">
        <v>6763</v>
      </c>
      <c r="M167" s="137">
        <v>1568</v>
      </c>
      <c r="N167" s="137">
        <f>+SUM(J167:M167)</f>
        <v>26948</v>
      </c>
      <c r="P167" s="84">
        <f>+IFERROR(J167/D167,"")</f>
        <v>0.63498973816779647</v>
      </c>
      <c r="Q167" s="84">
        <f>+IFERROR(K167/E167,"")</f>
        <v>0.68327373211963593</v>
      </c>
      <c r="R167" s="84">
        <f>+IFERROR(L167/F167,"")</f>
        <v>0.75420988067358086</v>
      </c>
      <c r="S167" s="84">
        <f>+IFERROR(M167/G167,"")</f>
        <v>0.74916387959866215</v>
      </c>
      <c r="T167" s="84" t="str">
        <f>+IFERROR(#REF!/#REF!,"")</f>
        <v/>
      </c>
      <c r="U167" s="84" t="str">
        <f>+IFERROR(#REF!/#REF!,"")</f>
        <v/>
      </c>
      <c r="V167" s="84" t="str">
        <f>+IFERROR(#REF!/#REF!,"")</f>
        <v/>
      </c>
      <c r="W167" s="84" t="str">
        <f>+IFERROR(#REF!/#REF!,"")</f>
        <v/>
      </c>
      <c r="X167" s="84" t="str">
        <f>+IFERROR(#REF!/#REF!,"")</f>
        <v/>
      </c>
      <c r="Y167" s="84" t="str">
        <f>+IFERROR(#REF!/#REF!,"")</f>
        <v/>
      </c>
      <c r="Z167" s="84" t="str">
        <f>+IFERROR(#REF!/#REF!,"")</f>
        <v/>
      </c>
      <c r="AA167" s="84" t="str">
        <f>+IFERROR(#REF!/#REF!,"")</f>
        <v/>
      </c>
      <c r="AB167" s="84">
        <f>+IFERROR(N167/H167,"")</f>
        <v>0.68321375148949115</v>
      </c>
      <c r="AD167" s="139">
        <f t="shared" si="17"/>
        <v>4.8283993951839466E-2</v>
      </c>
      <c r="AE167" s="139">
        <f t="shared" si="17"/>
        <v>7.0936148553944922E-2</v>
      </c>
      <c r="AF167" s="139">
        <f t="shared" si="17"/>
        <v>-5.0460010749187045E-3</v>
      </c>
      <c r="AG167" s="139" t="str">
        <f t="shared" si="17"/>
        <v/>
      </c>
      <c r="AH167" s="139" t="str">
        <f t="shared" si="17"/>
        <v/>
      </c>
      <c r="AI167" s="139" t="str">
        <f t="shared" si="16"/>
        <v/>
      </c>
      <c r="AJ167" s="139" t="str">
        <f t="shared" si="16"/>
        <v/>
      </c>
      <c r="AK167" s="139" t="str">
        <f t="shared" si="16"/>
        <v/>
      </c>
      <c r="AL167" s="139" t="str">
        <f t="shared" si="16"/>
        <v/>
      </c>
      <c r="AM167" s="139" t="str">
        <f t="shared" si="16"/>
        <v/>
      </c>
      <c r="AN167" s="139" t="str">
        <f t="shared" si="16"/>
        <v/>
      </c>
      <c r="AP167" s="82">
        <f t="shared" si="14"/>
        <v>3.228477724879048E-5</v>
      </c>
      <c r="AQ167" s="82">
        <f t="shared" si="15"/>
        <v>0.99197056216792112</v>
      </c>
    </row>
    <row r="168" spans="2:43" x14ac:dyDescent="0.35">
      <c r="B168" s="83" t="s">
        <v>250</v>
      </c>
      <c r="D168" s="137">
        <v>2751</v>
      </c>
      <c r="E168" s="137"/>
      <c r="F168" s="137">
        <v>6884</v>
      </c>
      <c r="G168" s="137"/>
      <c r="H168" s="137">
        <f>+SUM(D168:G168)</f>
        <v>9635</v>
      </c>
      <c r="J168" s="137">
        <v>1365</v>
      </c>
      <c r="K168" s="137"/>
      <c r="L168" s="137">
        <v>527</v>
      </c>
      <c r="M168" s="137"/>
      <c r="N168" s="137">
        <f>+SUM(J168:M168)</f>
        <v>1892</v>
      </c>
      <c r="P168" s="84">
        <f>+IFERROR(J168/D168,"")</f>
        <v>0.49618320610687022</v>
      </c>
      <c r="Q168" s="84" t="str">
        <f>+IFERROR(K168/E168,"")</f>
        <v/>
      </c>
      <c r="R168" s="84">
        <f>+IFERROR(L168/F168,"")</f>
        <v>7.655432887855898E-2</v>
      </c>
      <c r="S168" s="84" t="str">
        <f>+IFERROR(M168/G168,"")</f>
        <v/>
      </c>
      <c r="T168" s="84" t="str">
        <f>+IFERROR(#REF!/#REF!,"")</f>
        <v/>
      </c>
      <c r="U168" s="84" t="str">
        <f>+IFERROR(#REF!/#REF!,"")</f>
        <v/>
      </c>
      <c r="V168" s="84" t="str">
        <f>+IFERROR(#REF!/#REF!,"")</f>
        <v/>
      </c>
      <c r="W168" s="84" t="str">
        <f>+IFERROR(#REF!/#REF!,"")</f>
        <v/>
      </c>
      <c r="X168" s="84" t="str">
        <f>+IFERROR(#REF!/#REF!,"")</f>
        <v/>
      </c>
      <c r="Y168" s="84" t="str">
        <f>+IFERROR(#REF!/#REF!,"")</f>
        <v/>
      </c>
      <c r="Z168" s="84" t="str">
        <f>+IFERROR(#REF!/#REF!,"")</f>
        <v/>
      </c>
      <c r="AA168" s="84" t="str">
        <f>+IFERROR(#REF!/#REF!,"")</f>
        <v/>
      </c>
      <c r="AB168" s="84">
        <f>+IFERROR(N168/H168,"")</f>
        <v>0.19636741048261547</v>
      </c>
      <c r="AD168" s="139" t="str">
        <f t="shared" si="17"/>
        <v/>
      </c>
      <c r="AE168" s="139" t="str">
        <f t="shared" si="17"/>
        <v/>
      </c>
      <c r="AF168" s="139" t="str">
        <f t="shared" si="17"/>
        <v/>
      </c>
      <c r="AG168" s="139" t="str">
        <f t="shared" si="17"/>
        <v/>
      </c>
      <c r="AH168" s="139" t="str">
        <f t="shared" si="17"/>
        <v/>
      </c>
      <c r="AI168" s="139" t="str">
        <f t="shared" si="16"/>
        <v/>
      </c>
      <c r="AJ168" s="139" t="str">
        <f t="shared" si="16"/>
        <v/>
      </c>
      <c r="AK168" s="139" t="str">
        <f t="shared" si="16"/>
        <v/>
      </c>
      <c r="AL168" s="139" t="str">
        <f t="shared" si="16"/>
        <v/>
      </c>
      <c r="AM168" s="139" t="str">
        <f t="shared" si="16"/>
        <v/>
      </c>
      <c r="AN168" s="139" t="str">
        <f t="shared" si="16"/>
        <v/>
      </c>
      <c r="AP168" s="82">
        <f t="shared" si="14"/>
        <v>2.2666913520376868E-6</v>
      </c>
      <c r="AQ168" s="82">
        <f t="shared" si="15"/>
        <v>0.99197282885927318</v>
      </c>
    </row>
    <row r="169" spans="2:43" x14ac:dyDescent="0.35">
      <c r="B169" s="83" t="s">
        <v>251</v>
      </c>
      <c r="D169" s="137">
        <v>26949</v>
      </c>
      <c r="E169" s="137">
        <v>17669</v>
      </c>
      <c r="F169" s="137">
        <v>443998</v>
      </c>
      <c r="G169" s="137">
        <v>233321</v>
      </c>
      <c r="H169" s="137">
        <f>+SUM(D169:G169)</f>
        <v>721937</v>
      </c>
      <c r="J169" s="137">
        <v>9223</v>
      </c>
      <c r="K169" s="137">
        <v>3267</v>
      </c>
      <c r="L169" s="137">
        <v>78667</v>
      </c>
      <c r="M169" s="137">
        <v>40556</v>
      </c>
      <c r="N169" s="137">
        <f>+SUM(J169:M169)</f>
        <v>131713</v>
      </c>
      <c r="P169" s="84">
        <f>+IFERROR(J169/D169,"")</f>
        <v>0.34223904412037554</v>
      </c>
      <c r="Q169" s="84">
        <f>+IFERROR(K169/E169,"")</f>
        <v>0.18490010753296734</v>
      </c>
      <c r="R169" s="84">
        <f>+IFERROR(L169/F169,"")</f>
        <v>0.17717872603029744</v>
      </c>
      <c r="S169" s="84">
        <f>+IFERROR(M169/G169,"")</f>
        <v>0.17382061623257231</v>
      </c>
      <c r="T169" s="84" t="str">
        <f>+IFERROR(#REF!/#REF!,"")</f>
        <v/>
      </c>
      <c r="U169" s="84" t="str">
        <f>+IFERROR(#REF!/#REF!,"")</f>
        <v/>
      </c>
      <c r="V169" s="84" t="str">
        <f>+IFERROR(#REF!/#REF!,"")</f>
        <v/>
      </c>
      <c r="W169" s="84" t="str">
        <f>+IFERROR(#REF!/#REF!,"")</f>
        <v/>
      </c>
      <c r="X169" s="84" t="str">
        <f>+IFERROR(#REF!/#REF!,"")</f>
        <v/>
      </c>
      <c r="Y169" s="84" t="str">
        <f>+IFERROR(#REF!/#REF!,"")</f>
        <v/>
      </c>
      <c r="Z169" s="84" t="str">
        <f>+IFERROR(#REF!/#REF!,"")</f>
        <v/>
      </c>
      <c r="AA169" s="84" t="str">
        <f>+IFERROR(#REF!/#REF!,"")</f>
        <v/>
      </c>
      <c r="AB169" s="84">
        <f>+IFERROR(N169/H169,"")</f>
        <v>0.18244389745919659</v>
      </c>
      <c r="AD169" s="139">
        <f t="shared" si="17"/>
        <v>-0.15733893658740819</v>
      </c>
      <c r="AE169" s="139">
        <f t="shared" si="17"/>
        <v>-7.7213815026699051E-3</v>
      </c>
      <c r="AF169" s="139">
        <f t="shared" si="17"/>
        <v>-3.358109797725134E-3</v>
      </c>
      <c r="AG169" s="139" t="str">
        <f t="shared" si="17"/>
        <v/>
      </c>
      <c r="AH169" s="139" t="str">
        <f t="shared" si="17"/>
        <v/>
      </c>
      <c r="AI169" s="139" t="str">
        <f t="shared" si="16"/>
        <v/>
      </c>
      <c r="AJ169" s="139" t="str">
        <f t="shared" si="16"/>
        <v/>
      </c>
      <c r="AK169" s="139" t="str">
        <f t="shared" si="16"/>
        <v/>
      </c>
      <c r="AL169" s="139" t="str">
        <f t="shared" si="16"/>
        <v/>
      </c>
      <c r="AM169" s="139" t="str">
        <f t="shared" si="16"/>
        <v/>
      </c>
      <c r="AN169" s="139" t="str">
        <f t="shared" si="16"/>
        <v/>
      </c>
      <c r="AP169" s="82">
        <f t="shared" si="14"/>
        <v>1.5779741968865744E-4</v>
      </c>
      <c r="AQ169" s="82">
        <f t="shared" si="15"/>
        <v>0.99213062627896187</v>
      </c>
    </row>
    <row r="170" spans="2:43" x14ac:dyDescent="0.35">
      <c r="B170" s="83" t="s">
        <v>252</v>
      </c>
      <c r="D170" s="137">
        <v>122</v>
      </c>
      <c r="E170" s="137"/>
      <c r="F170" s="137"/>
      <c r="G170" s="137"/>
      <c r="H170" s="137">
        <f>+SUM(D170:G170)</f>
        <v>122</v>
      </c>
      <c r="J170" s="137">
        <v>122</v>
      </c>
      <c r="K170" s="137"/>
      <c r="L170" s="137"/>
      <c r="M170" s="137"/>
      <c r="N170" s="137">
        <f>+SUM(J170:M170)</f>
        <v>122</v>
      </c>
      <c r="P170" s="84">
        <f>+IFERROR(J170/D170,"")</f>
        <v>1</v>
      </c>
      <c r="Q170" s="84" t="str">
        <f>+IFERROR(K170/E170,"")</f>
        <v/>
      </c>
      <c r="R170" s="84" t="str">
        <f>+IFERROR(L170/F170,"")</f>
        <v/>
      </c>
      <c r="S170" s="84" t="str">
        <f>+IFERROR(M170/G170,"")</f>
        <v/>
      </c>
      <c r="T170" s="84" t="str">
        <f>+IFERROR(#REF!/#REF!,"")</f>
        <v/>
      </c>
      <c r="U170" s="84" t="str">
        <f>+IFERROR(#REF!/#REF!,"")</f>
        <v/>
      </c>
      <c r="V170" s="84" t="str">
        <f>+IFERROR(#REF!/#REF!,"")</f>
        <v/>
      </c>
      <c r="W170" s="84" t="str">
        <f>+IFERROR(#REF!/#REF!,"")</f>
        <v/>
      </c>
      <c r="X170" s="84" t="str">
        <f>+IFERROR(#REF!/#REF!,"")</f>
        <v/>
      </c>
      <c r="Y170" s="84" t="str">
        <f>+IFERROR(#REF!/#REF!,"")</f>
        <v/>
      </c>
      <c r="Z170" s="84" t="str">
        <f>+IFERROR(#REF!/#REF!,"")</f>
        <v/>
      </c>
      <c r="AA170" s="84" t="str">
        <f>+IFERROR(#REF!/#REF!,"")</f>
        <v/>
      </c>
      <c r="AB170" s="84">
        <f>+IFERROR(N170/H170,"")</f>
        <v>1</v>
      </c>
      <c r="AD170" s="139" t="str">
        <f t="shared" si="17"/>
        <v/>
      </c>
      <c r="AE170" s="139" t="str">
        <f t="shared" si="17"/>
        <v/>
      </c>
      <c r="AF170" s="139" t="str">
        <f t="shared" si="17"/>
        <v/>
      </c>
      <c r="AG170" s="139" t="str">
        <f t="shared" si="17"/>
        <v/>
      </c>
      <c r="AH170" s="139" t="str">
        <f t="shared" si="17"/>
        <v/>
      </c>
      <c r="AI170" s="139" t="str">
        <f t="shared" si="16"/>
        <v/>
      </c>
      <c r="AJ170" s="139" t="str">
        <f t="shared" si="16"/>
        <v/>
      </c>
      <c r="AK170" s="139" t="str">
        <f t="shared" si="16"/>
        <v/>
      </c>
      <c r="AL170" s="139" t="str">
        <f t="shared" si="16"/>
        <v/>
      </c>
      <c r="AM170" s="139" t="str">
        <f t="shared" si="16"/>
        <v/>
      </c>
      <c r="AN170" s="139" t="str">
        <f t="shared" si="16"/>
        <v/>
      </c>
      <c r="AP170" s="82">
        <f t="shared" si="14"/>
        <v>1.4616085885232444E-7</v>
      </c>
      <c r="AQ170" s="82">
        <f t="shared" si="15"/>
        <v>0.99213077243982073</v>
      </c>
    </row>
    <row r="171" spans="2:43" x14ac:dyDescent="0.35">
      <c r="B171" s="83" t="s">
        <v>253</v>
      </c>
      <c r="D171" s="137">
        <v>2615</v>
      </c>
      <c r="E171" s="137">
        <v>8190</v>
      </c>
      <c r="F171" s="137">
        <v>3516</v>
      </c>
      <c r="G171" s="137">
        <v>336</v>
      </c>
      <c r="H171" s="137">
        <f>+SUM(D171:G171)</f>
        <v>14657</v>
      </c>
      <c r="J171" s="137">
        <v>555</v>
      </c>
      <c r="K171" s="137">
        <v>600</v>
      </c>
      <c r="L171" s="137">
        <v>930</v>
      </c>
      <c r="M171" s="137">
        <v>105</v>
      </c>
      <c r="N171" s="137">
        <f>+SUM(J171:M171)</f>
        <v>2190</v>
      </c>
      <c r="P171" s="84">
        <f>+IFERROR(J171/D171,"")</f>
        <v>0.21223709369024857</v>
      </c>
      <c r="Q171" s="84">
        <f>+IFERROR(K171/E171,"")</f>
        <v>7.3260073260073263E-2</v>
      </c>
      <c r="R171" s="84">
        <f>+IFERROR(L171/F171,"")</f>
        <v>0.26450511945392491</v>
      </c>
      <c r="S171" s="84">
        <f>+IFERROR(M171/G171,"")</f>
        <v>0.3125</v>
      </c>
      <c r="T171" s="84" t="str">
        <f>+IFERROR(#REF!/#REF!,"")</f>
        <v/>
      </c>
      <c r="U171" s="84" t="str">
        <f>+IFERROR(#REF!/#REF!,"")</f>
        <v/>
      </c>
      <c r="V171" s="84" t="str">
        <f>+IFERROR(#REF!/#REF!,"")</f>
        <v/>
      </c>
      <c r="W171" s="84" t="str">
        <f>+IFERROR(#REF!/#REF!,"")</f>
        <v/>
      </c>
      <c r="X171" s="84" t="str">
        <f>+IFERROR(#REF!/#REF!,"")</f>
        <v/>
      </c>
      <c r="Y171" s="84" t="str">
        <f>+IFERROR(#REF!/#REF!,"")</f>
        <v/>
      </c>
      <c r="Z171" s="84" t="str">
        <f>+IFERROR(#REF!/#REF!,"")</f>
        <v/>
      </c>
      <c r="AA171" s="84" t="str">
        <f>+IFERROR(#REF!/#REF!,"")</f>
        <v/>
      </c>
      <c r="AB171" s="84">
        <f>+IFERROR(N171/H171,"")</f>
        <v>0.14941666098110118</v>
      </c>
      <c r="AD171" s="139">
        <f t="shared" si="17"/>
        <v>-0.13897702043017529</v>
      </c>
      <c r="AE171" s="139">
        <f t="shared" si="17"/>
        <v>0.19124504619385163</v>
      </c>
      <c r="AF171" s="139">
        <f t="shared" si="17"/>
        <v>4.7994880546075092E-2</v>
      </c>
      <c r="AG171" s="139" t="str">
        <f t="shared" si="17"/>
        <v/>
      </c>
      <c r="AH171" s="139" t="str">
        <f t="shared" si="17"/>
        <v/>
      </c>
      <c r="AI171" s="139" t="str">
        <f t="shared" si="16"/>
        <v/>
      </c>
      <c r="AJ171" s="139" t="str">
        <f t="shared" si="16"/>
        <v/>
      </c>
      <c r="AK171" s="139" t="str">
        <f t="shared" si="16"/>
        <v/>
      </c>
      <c r="AL171" s="139" t="str">
        <f t="shared" si="16"/>
        <v/>
      </c>
      <c r="AM171" s="139" t="str">
        <f t="shared" si="16"/>
        <v/>
      </c>
      <c r="AN171" s="139" t="str">
        <f t="shared" si="16"/>
        <v/>
      </c>
      <c r="AP171" s="82">
        <f t="shared" si="14"/>
        <v>2.6237072203818894E-6</v>
      </c>
      <c r="AQ171" s="82">
        <f t="shared" si="15"/>
        <v>0.9921333961470411</v>
      </c>
    </row>
    <row r="172" spans="2:43" x14ac:dyDescent="0.35">
      <c r="B172" s="83" t="s">
        <v>254</v>
      </c>
      <c r="D172" s="137">
        <v>1582</v>
      </c>
      <c r="E172" s="137"/>
      <c r="F172" s="137">
        <v>6294</v>
      </c>
      <c r="G172" s="137"/>
      <c r="H172" s="137">
        <f>+SUM(D172:G172)</f>
        <v>7876</v>
      </c>
      <c r="J172" s="137">
        <v>316</v>
      </c>
      <c r="K172" s="137"/>
      <c r="L172" s="137">
        <v>1423</v>
      </c>
      <c r="M172" s="137"/>
      <c r="N172" s="137">
        <f>+SUM(J172:M172)</f>
        <v>1739</v>
      </c>
      <c r="P172" s="84">
        <f>+IFERROR(J172/D172,"")</f>
        <v>0.19974715549936789</v>
      </c>
      <c r="Q172" s="84" t="str">
        <f>+IFERROR(K172/E172,"")</f>
        <v/>
      </c>
      <c r="R172" s="84">
        <f>+IFERROR(L172/F172,"")</f>
        <v>0.22608833809977757</v>
      </c>
      <c r="S172" s="84" t="str">
        <f>+IFERROR(M172/G172,"")</f>
        <v/>
      </c>
      <c r="T172" s="84" t="str">
        <f>+IFERROR(#REF!/#REF!,"")</f>
        <v/>
      </c>
      <c r="U172" s="84" t="str">
        <f>+IFERROR(#REF!/#REF!,"")</f>
        <v/>
      </c>
      <c r="V172" s="84" t="str">
        <f>+IFERROR(#REF!/#REF!,"")</f>
        <v/>
      </c>
      <c r="W172" s="84" t="str">
        <f>+IFERROR(#REF!/#REF!,"")</f>
        <v/>
      </c>
      <c r="X172" s="84" t="str">
        <f>+IFERROR(#REF!/#REF!,"")</f>
        <v/>
      </c>
      <c r="Y172" s="84" t="str">
        <f>+IFERROR(#REF!/#REF!,"")</f>
        <v/>
      </c>
      <c r="Z172" s="84" t="str">
        <f>+IFERROR(#REF!/#REF!,"")</f>
        <v/>
      </c>
      <c r="AA172" s="84" t="str">
        <f>+IFERROR(#REF!/#REF!,"")</f>
        <v/>
      </c>
      <c r="AB172" s="84">
        <f>+IFERROR(N172/H172,"")</f>
        <v>0.22079735906551548</v>
      </c>
      <c r="AD172" s="139" t="str">
        <f t="shared" si="17"/>
        <v/>
      </c>
      <c r="AE172" s="139" t="str">
        <f t="shared" si="17"/>
        <v/>
      </c>
      <c r="AF172" s="139" t="str">
        <f t="shared" si="17"/>
        <v/>
      </c>
      <c r="AG172" s="139" t="str">
        <f t="shared" si="17"/>
        <v/>
      </c>
      <c r="AH172" s="139" t="str">
        <f t="shared" si="17"/>
        <v/>
      </c>
      <c r="AI172" s="139" t="str">
        <f t="shared" si="16"/>
        <v/>
      </c>
      <c r="AJ172" s="139" t="str">
        <f t="shared" si="16"/>
        <v/>
      </c>
      <c r="AK172" s="139" t="str">
        <f t="shared" si="16"/>
        <v/>
      </c>
      <c r="AL172" s="139" t="str">
        <f t="shared" si="16"/>
        <v/>
      </c>
      <c r="AM172" s="139" t="str">
        <f t="shared" si="16"/>
        <v/>
      </c>
      <c r="AN172" s="139" t="str">
        <f t="shared" si="16"/>
        <v/>
      </c>
      <c r="AP172" s="82">
        <f t="shared" si="14"/>
        <v>2.0833912585589525E-6</v>
      </c>
      <c r="AQ172" s="82">
        <f t="shared" si="15"/>
        <v>0.99213547953829961</v>
      </c>
    </row>
    <row r="173" spans="2:43" x14ac:dyDescent="0.35">
      <c r="B173" s="83" t="s">
        <v>255</v>
      </c>
      <c r="D173" s="137">
        <v>35301</v>
      </c>
      <c r="E173" s="137">
        <v>45147</v>
      </c>
      <c r="F173" s="137">
        <v>53248</v>
      </c>
      <c r="G173" s="137">
        <v>2879</v>
      </c>
      <c r="H173" s="137">
        <f>+SUM(D173:G173)</f>
        <v>136575</v>
      </c>
      <c r="J173" s="137">
        <v>8892</v>
      </c>
      <c r="K173" s="137">
        <v>10856</v>
      </c>
      <c r="L173" s="137">
        <v>11548</v>
      </c>
      <c r="M173" s="137">
        <v>2439</v>
      </c>
      <c r="N173" s="137">
        <f>+SUM(J173:M173)</f>
        <v>33735</v>
      </c>
      <c r="P173" s="84">
        <f>+IFERROR(J173/D173,"")</f>
        <v>0.25189088127815074</v>
      </c>
      <c r="Q173" s="84">
        <f>+IFERROR(K173/E173,"")</f>
        <v>0.2404589452233814</v>
      </c>
      <c r="R173" s="84">
        <f>+IFERROR(L173/F173,"")</f>
        <v>0.21687199519230768</v>
      </c>
      <c r="S173" s="84">
        <f>+IFERROR(M173/G173,"")</f>
        <v>0.84716915595692954</v>
      </c>
      <c r="T173" s="84" t="str">
        <f>+IFERROR(#REF!/#REF!,"")</f>
        <v/>
      </c>
      <c r="U173" s="84" t="str">
        <f>+IFERROR(#REF!/#REF!,"")</f>
        <v/>
      </c>
      <c r="V173" s="84" t="str">
        <f>+IFERROR(#REF!/#REF!,"")</f>
        <v/>
      </c>
      <c r="W173" s="84" t="str">
        <f>+IFERROR(#REF!/#REF!,"")</f>
        <v/>
      </c>
      <c r="X173" s="84" t="str">
        <f>+IFERROR(#REF!/#REF!,"")</f>
        <v/>
      </c>
      <c r="Y173" s="84" t="str">
        <f>+IFERROR(#REF!/#REF!,"")</f>
        <v/>
      </c>
      <c r="Z173" s="84" t="str">
        <f>+IFERROR(#REF!/#REF!,"")</f>
        <v/>
      </c>
      <c r="AA173" s="84" t="str">
        <f>+IFERROR(#REF!/#REF!,"")</f>
        <v/>
      </c>
      <c r="AB173" s="84">
        <f>+IFERROR(N173/H173,"")</f>
        <v>0.24700713893465129</v>
      </c>
      <c r="AD173" s="139">
        <f t="shared" si="17"/>
        <v>-1.1431936054769332E-2</v>
      </c>
      <c r="AE173" s="139">
        <f t="shared" si="17"/>
        <v>-2.3586950031073722E-2</v>
      </c>
      <c r="AF173" s="139">
        <f t="shared" si="17"/>
        <v>0.63029716076462183</v>
      </c>
      <c r="AG173" s="139" t="str">
        <f t="shared" si="17"/>
        <v/>
      </c>
      <c r="AH173" s="139" t="str">
        <f t="shared" si="17"/>
        <v/>
      </c>
      <c r="AI173" s="139" t="str">
        <f t="shared" si="16"/>
        <v/>
      </c>
      <c r="AJ173" s="139" t="str">
        <f t="shared" si="16"/>
        <v/>
      </c>
      <c r="AK173" s="139" t="str">
        <f t="shared" si="16"/>
        <v/>
      </c>
      <c r="AL173" s="139" t="str">
        <f t="shared" si="16"/>
        <v/>
      </c>
      <c r="AM173" s="139" t="str">
        <f t="shared" si="16"/>
        <v/>
      </c>
      <c r="AN173" s="139" t="str">
        <f t="shared" si="16"/>
        <v/>
      </c>
      <c r="AP173" s="82">
        <f t="shared" si="14"/>
        <v>4.041587355232102E-5</v>
      </c>
      <c r="AQ173" s="82">
        <f t="shared" si="15"/>
        <v>0.99217589541185192</v>
      </c>
    </row>
    <row r="174" spans="2:43" x14ac:dyDescent="0.35">
      <c r="B174" s="83" t="s">
        <v>256</v>
      </c>
      <c r="D174" s="137"/>
      <c r="E174" s="137"/>
      <c r="F174" s="137"/>
      <c r="G174" s="137"/>
      <c r="H174" s="137">
        <f>+SUM(D174:G174)</f>
        <v>0</v>
      </c>
      <c r="J174" s="137"/>
      <c r="K174" s="137"/>
      <c r="L174" s="137"/>
      <c r="M174" s="137"/>
      <c r="N174" s="137">
        <f>+SUM(J174:M174)</f>
        <v>0</v>
      </c>
      <c r="P174" s="84" t="str">
        <f>+IFERROR(J174/D174,"")</f>
        <v/>
      </c>
      <c r="Q174" s="84" t="str">
        <f>+IFERROR(K174/E174,"")</f>
        <v/>
      </c>
      <c r="R174" s="84" t="str">
        <f>+IFERROR(L174/F174,"")</f>
        <v/>
      </c>
      <c r="S174" s="84" t="str">
        <f>+IFERROR(M174/G174,"")</f>
        <v/>
      </c>
      <c r="T174" s="84" t="str">
        <f>+IFERROR(#REF!/#REF!,"")</f>
        <v/>
      </c>
      <c r="U174" s="84" t="str">
        <f>+IFERROR(#REF!/#REF!,"")</f>
        <v/>
      </c>
      <c r="V174" s="84" t="str">
        <f>+IFERROR(#REF!/#REF!,"")</f>
        <v/>
      </c>
      <c r="W174" s="84" t="str">
        <f>+IFERROR(#REF!/#REF!,"")</f>
        <v/>
      </c>
      <c r="X174" s="84" t="str">
        <f>+IFERROR(#REF!/#REF!,"")</f>
        <v/>
      </c>
      <c r="Y174" s="84" t="str">
        <f>+IFERROR(#REF!/#REF!,"")</f>
        <v/>
      </c>
      <c r="Z174" s="84" t="str">
        <f>+IFERROR(#REF!/#REF!,"")</f>
        <v/>
      </c>
      <c r="AA174" s="84" t="str">
        <f>+IFERROR(#REF!/#REF!,"")</f>
        <v/>
      </c>
      <c r="AB174" s="84" t="str">
        <f>+IFERROR(N174/H174,"")</f>
        <v/>
      </c>
      <c r="AD174" s="139" t="str">
        <f t="shared" si="17"/>
        <v/>
      </c>
      <c r="AE174" s="139" t="str">
        <f t="shared" si="17"/>
        <v/>
      </c>
      <c r="AF174" s="139" t="str">
        <f t="shared" si="17"/>
        <v/>
      </c>
      <c r="AG174" s="139" t="str">
        <f t="shared" si="17"/>
        <v/>
      </c>
      <c r="AH174" s="139" t="str">
        <f t="shared" si="17"/>
        <v/>
      </c>
      <c r="AI174" s="139" t="str">
        <f t="shared" si="16"/>
        <v/>
      </c>
      <c r="AJ174" s="139" t="str">
        <f t="shared" si="16"/>
        <v/>
      </c>
      <c r="AK174" s="139" t="str">
        <f t="shared" si="16"/>
        <v/>
      </c>
      <c r="AL174" s="139" t="str">
        <f t="shared" si="16"/>
        <v/>
      </c>
      <c r="AM174" s="139" t="str">
        <f t="shared" si="16"/>
        <v/>
      </c>
      <c r="AN174" s="139" t="str">
        <f t="shared" si="16"/>
        <v/>
      </c>
      <c r="AP174" s="82">
        <f t="shared" si="14"/>
        <v>0</v>
      </c>
      <c r="AQ174" s="82">
        <f t="shared" si="15"/>
        <v>0.99217589541185192</v>
      </c>
    </row>
    <row r="175" spans="2:43" x14ac:dyDescent="0.35">
      <c r="B175" s="83" t="s">
        <v>257</v>
      </c>
      <c r="D175" s="137">
        <v>200962</v>
      </c>
      <c r="E175" s="137"/>
      <c r="F175" s="137">
        <v>22543</v>
      </c>
      <c r="G175" s="137">
        <v>1090</v>
      </c>
      <c r="H175" s="137">
        <f>+SUM(D175:G175)</f>
        <v>224595</v>
      </c>
      <c r="J175" s="137">
        <v>40319</v>
      </c>
      <c r="K175" s="137"/>
      <c r="L175" s="137">
        <v>9883</v>
      </c>
      <c r="M175" s="137">
        <v>500</v>
      </c>
      <c r="N175" s="137">
        <f>+SUM(J175:M175)</f>
        <v>50702</v>
      </c>
      <c r="P175" s="84">
        <f>+IFERROR(J175/D175,"")</f>
        <v>0.20062996984504533</v>
      </c>
      <c r="Q175" s="84" t="str">
        <f>+IFERROR(K175/E175,"")</f>
        <v/>
      </c>
      <c r="R175" s="84">
        <f>+IFERROR(L175/F175,"")</f>
        <v>0.43840660071862664</v>
      </c>
      <c r="S175" s="84">
        <f>+IFERROR(M175/G175,"")</f>
        <v>0.45871559633027525</v>
      </c>
      <c r="T175" s="84" t="str">
        <f>+IFERROR(#REF!/#REF!,"")</f>
        <v/>
      </c>
      <c r="U175" s="84" t="str">
        <f>+IFERROR(#REF!/#REF!,"")</f>
        <v/>
      </c>
      <c r="V175" s="84" t="str">
        <f>+IFERROR(#REF!/#REF!,"")</f>
        <v/>
      </c>
      <c r="W175" s="84" t="str">
        <f>+IFERROR(#REF!/#REF!,"")</f>
        <v/>
      </c>
      <c r="X175" s="84" t="str">
        <f>+IFERROR(#REF!/#REF!,"")</f>
        <v/>
      </c>
      <c r="Y175" s="84" t="str">
        <f>+IFERROR(#REF!/#REF!,"")</f>
        <v/>
      </c>
      <c r="Z175" s="84" t="str">
        <f>+IFERROR(#REF!/#REF!,"")</f>
        <v/>
      </c>
      <c r="AA175" s="84" t="str">
        <f>+IFERROR(#REF!/#REF!,"")</f>
        <v/>
      </c>
      <c r="AB175" s="84">
        <f>+IFERROR(N175/H175,"")</f>
        <v>0.22574856964758788</v>
      </c>
      <c r="AD175" s="139" t="str">
        <f t="shared" si="17"/>
        <v/>
      </c>
      <c r="AE175" s="139" t="str">
        <f t="shared" si="17"/>
        <v/>
      </c>
      <c r="AF175" s="139">
        <f t="shared" si="17"/>
        <v>2.0308995611648617E-2</v>
      </c>
      <c r="AG175" s="139" t="str">
        <f t="shared" si="17"/>
        <v/>
      </c>
      <c r="AH175" s="139" t="str">
        <f t="shared" si="17"/>
        <v/>
      </c>
      <c r="AI175" s="139" t="str">
        <f t="shared" si="17"/>
        <v/>
      </c>
      <c r="AJ175" s="139" t="str">
        <f t="shared" si="17"/>
        <v/>
      </c>
      <c r="AK175" s="139" t="str">
        <f t="shared" si="17"/>
        <v/>
      </c>
      <c r="AL175" s="139" t="str">
        <f t="shared" si="17"/>
        <v/>
      </c>
      <c r="AM175" s="139" t="str">
        <f t="shared" si="17"/>
        <v/>
      </c>
      <c r="AN175" s="139" t="str">
        <f t="shared" si="17"/>
        <v/>
      </c>
      <c r="AP175" s="82">
        <f t="shared" si="14"/>
        <v>6.0743015291234043E-5</v>
      </c>
      <c r="AQ175" s="82">
        <f t="shared" si="15"/>
        <v>0.99223663842714316</v>
      </c>
    </row>
    <row r="176" spans="2:43" x14ac:dyDescent="0.35">
      <c r="B176" s="83" t="s">
        <v>258</v>
      </c>
      <c r="D176" s="137"/>
      <c r="E176" s="137"/>
      <c r="F176" s="137"/>
      <c r="G176" s="137"/>
      <c r="H176" s="137">
        <f>+SUM(D176:G176)</f>
        <v>0</v>
      </c>
      <c r="J176" s="137"/>
      <c r="K176" s="137"/>
      <c r="L176" s="137"/>
      <c r="M176" s="137"/>
      <c r="N176" s="137">
        <f>+SUM(J176:M176)</f>
        <v>0</v>
      </c>
      <c r="P176" s="84" t="str">
        <f>+IFERROR(J176/D176,"")</f>
        <v/>
      </c>
      <c r="Q176" s="84" t="str">
        <f>+IFERROR(K176/E176,"")</f>
        <v/>
      </c>
      <c r="R176" s="84" t="str">
        <f>+IFERROR(L176/F176,"")</f>
        <v/>
      </c>
      <c r="S176" s="84" t="str">
        <f>+IFERROR(M176/G176,"")</f>
        <v/>
      </c>
      <c r="T176" s="84" t="str">
        <f>+IFERROR(#REF!/#REF!,"")</f>
        <v/>
      </c>
      <c r="U176" s="84" t="str">
        <f>+IFERROR(#REF!/#REF!,"")</f>
        <v/>
      </c>
      <c r="V176" s="84" t="str">
        <f>+IFERROR(#REF!/#REF!,"")</f>
        <v/>
      </c>
      <c r="W176" s="84" t="str">
        <f>+IFERROR(#REF!/#REF!,"")</f>
        <v/>
      </c>
      <c r="X176" s="84" t="str">
        <f>+IFERROR(#REF!/#REF!,"")</f>
        <v/>
      </c>
      <c r="Y176" s="84" t="str">
        <f>+IFERROR(#REF!/#REF!,"")</f>
        <v/>
      </c>
      <c r="Z176" s="84" t="str">
        <f>+IFERROR(#REF!/#REF!,"")</f>
        <v/>
      </c>
      <c r="AA176" s="84" t="str">
        <f>+IFERROR(#REF!/#REF!,"")</f>
        <v/>
      </c>
      <c r="AB176" s="84" t="str">
        <f>+IFERROR(N176/H176,"")</f>
        <v/>
      </c>
      <c r="AD176" s="139" t="str">
        <f t="shared" si="17"/>
        <v/>
      </c>
      <c r="AE176" s="139" t="str">
        <f t="shared" si="17"/>
        <v/>
      </c>
      <c r="AF176" s="139" t="str">
        <f t="shared" si="17"/>
        <v/>
      </c>
      <c r="AG176" s="139" t="str">
        <f t="shared" si="17"/>
        <v/>
      </c>
      <c r="AH176" s="139" t="str">
        <f t="shared" si="17"/>
        <v/>
      </c>
      <c r="AI176" s="139" t="str">
        <f t="shared" si="17"/>
        <v/>
      </c>
      <c r="AJ176" s="139" t="str">
        <f t="shared" si="17"/>
        <v/>
      </c>
      <c r="AK176" s="139" t="str">
        <f t="shared" si="17"/>
        <v/>
      </c>
      <c r="AL176" s="139" t="str">
        <f t="shared" si="17"/>
        <v/>
      </c>
      <c r="AM176" s="139" t="str">
        <f t="shared" si="17"/>
        <v/>
      </c>
      <c r="AN176" s="139" t="str">
        <f t="shared" si="17"/>
        <v/>
      </c>
      <c r="AP176" s="82">
        <f t="shared" si="14"/>
        <v>0</v>
      </c>
      <c r="AQ176" s="82">
        <f t="shared" si="15"/>
        <v>0.99223663842714316</v>
      </c>
    </row>
    <row r="177" spans="2:43" x14ac:dyDescent="0.35">
      <c r="B177" s="83" t="s">
        <v>259</v>
      </c>
      <c r="D177" s="137">
        <v>16352</v>
      </c>
      <c r="E177" s="137">
        <v>480</v>
      </c>
      <c r="F177" s="137">
        <v>13725</v>
      </c>
      <c r="G177" s="137"/>
      <c r="H177" s="137">
        <f>+SUM(D177:G177)</f>
        <v>30557</v>
      </c>
      <c r="J177" s="137">
        <v>1813</v>
      </c>
      <c r="K177" s="137">
        <v>200</v>
      </c>
      <c r="L177" s="137">
        <v>580</v>
      </c>
      <c r="M177" s="137"/>
      <c r="N177" s="137">
        <f>+SUM(J177:M177)</f>
        <v>2593</v>
      </c>
      <c r="P177" s="84">
        <f>+IFERROR(J177/D177,"")</f>
        <v>0.11087328767123288</v>
      </c>
      <c r="Q177" s="84">
        <f>+IFERROR(K177/E177,"")</f>
        <v>0.41666666666666669</v>
      </c>
      <c r="R177" s="84">
        <f>+IFERROR(L177/F177,"")</f>
        <v>4.2258652094717672E-2</v>
      </c>
      <c r="S177" s="84" t="str">
        <f>+IFERROR(M177/G177,"")</f>
        <v/>
      </c>
      <c r="T177" s="84" t="str">
        <f>+IFERROR(#REF!/#REF!,"")</f>
        <v/>
      </c>
      <c r="U177" s="84" t="str">
        <f>+IFERROR(#REF!/#REF!,"")</f>
        <v/>
      </c>
      <c r="V177" s="84" t="str">
        <f>+IFERROR(#REF!/#REF!,"")</f>
        <v/>
      </c>
      <c r="W177" s="84" t="str">
        <f>+IFERROR(#REF!/#REF!,"")</f>
        <v/>
      </c>
      <c r="X177" s="84" t="str">
        <f>+IFERROR(#REF!/#REF!,"")</f>
        <v/>
      </c>
      <c r="Y177" s="84" t="str">
        <f>+IFERROR(#REF!/#REF!,"")</f>
        <v/>
      </c>
      <c r="Z177" s="84" t="str">
        <f>+IFERROR(#REF!/#REF!,"")</f>
        <v/>
      </c>
      <c r="AA177" s="84" t="str">
        <f>+IFERROR(#REF!/#REF!,"")</f>
        <v/>
      </c>
      <c r="AB177" s="84">
        <f>+IFERROR(N177/H177,"")</f>
        <v>8.4857806721864062E-2</v>
      </c>
      <c r="AD177" s="139">
        <f t="shared" si="17"/>
        <v>0.3057933789954338</v>
      </c>
      <c r="AE177" s="139">
        <f t="shared" si="17"/>
        <v>-0.374408014571949</v>
      </c>
      <c r="AF177" s="139" t="str">
        <f t="shared" si="17"/>
        <v/>
      </c>
      <c r="AG177" s="139" t="str">
        <f t="shared" si="17"/>
        <v/>
      </c>
      <c r="AH177" s="139" t="str">
        <f t="shared" si="17"/>
        <v/>
      </c>
      <c r="AI177" s="139" t="str">
        <f t="shared" si="17"/>
        <v/>
      </c>
      <c r="AJ177" s="139" t="str">
        <f t="shared" si="17"/>
        <v/>
      </c>
      <c r="AK177" s="139" t="str">
        <f t="shared" si="17"/>
        <v/>
      </c>
      <c r="AL177" s="139" t="str">
        <f t="shared" si="17"/>
        <v/>
      </c>
      <c r="AM177" s="139" t="str">
        <f t="shared" si="17"/>
        <v/>
      </c>
      <c r="AN177" s="139" t="str">
        <f t="shared" si="17"/>
        <v/>
      </c>
      <c r="AP177" s="82">
        <f t="shared" si="14"/>
        <v>3.1065172705252231E-6</v>
      </c>
      <c r="AQ177" s="82">
        <f t="shared" si="15"/>
        <v>0.99223974494441369</v>
      </c>
    </row>
    <row r="178" spans="2:43" x14ac:dyDescent="0.35">
      <c r="B178" s="83" t="s">
        <v>260</v>
      </c>
      <c r="D178" s="137">
        <v>3309</v>
      </c>
      <c r="E178" s="137">
        <v>1631</v>
      </c>
      <c r="F178" s="137"/>
      <c r="G178" s="137"/>
      <c r="H178" s="137">
        <f>+SUM(D178:G178)</f>
        <v>4940</v>
      </c>
      <c r="J178" s="137">
        <v>45</v>
      </c>
      <c r="K178" s="137">
        <v>215</v>
      </c>
      <c r="L178" s="137"/>
      <c r="M178" s="137"/>
      <c r="N178" s="137">
        <f>+SUM(J178:M178)</f>
        <v>260</v>
      </c>
      <c r="P178" s="84">
        <f>+IFERROR(J178/D178,"")</f>
        <v>1.3599274705349048E-2</v>
      </c>
      <c r="Q178" s="84">
        <f>+IFERROR(K178/E178,"")</f>
        <v>0.13182096873083998</v>
      </c>
      <c r="R178" s="84" t="str">
        <f>+IFERROR(L178/F178,"")</f>
        <v/>
      </c>
      <c r="S178" s="84" t="str">
        <f>+IFERROR(M178/G178,"")</f>
        <v/>
      </c>
      <c r="T178" s="84" t="str">
        <f>+IFERROR(#REF!/#REF!,"")</f>
        <v/>
      </c>
      <c r="U178" s="84" t="str">
        <f>+IFERROR(#REF!/#REF!,"")</f>
        <v/>
      </c>
      <c r="V178" s="84" t="str">
        <f>+IFERROR(#REF!/#REF!,"")</f>
        <v/>
      </c>
      <c r="W178" s="84" t="str">
        <f>+IFERROR(#REF!/#REF!,"")</f>
        <v/>
      </c>
      <c r="X178" s="84" t="str">
        <f>+IFERROR(#REF!/#REF!,"")</f>
        <v/>
      </c>
      <c r="Y178" s="84" t="str">
        <f>+IFERROR(#REF!/#REF!,"")</f>
        <v/>
      </c>
      <c r="Z178" s="84" t="str">
        <f>+IFERROR(#REF!/#REF!,"")</f>
        <v/>
      </c>
      <c r="AA178" s="84" t="str">
        <f>+IFERROR(#REF!/#REF!,"")</f>
        <v/>
      </c>
      <c r="AB178" s="84">
        <f>+IFERROR(N178/H178,"")</f>
        <v>5.2631578947368418E-2</v>
      </c>
      <c r="AD178" s="139">
        <f t="shared" si="17"/>
        <v>0.11822169402549093</v>
      </c>
      <c r="AE178" s="139" t="str">
        <f t="shared" si="17"/>
        <v/>
      </c>
      <c r="AF178" s="139" t="str">
        <f t="shared" si="17"/>
        <v/>
      </c>
      <c r="AG178" s="139" t="str">
        <f t="shared" si="17"/>
        <v/>
      </c>
      <c r="AH178" s="139" t="str">
        <f t="shared" si="17"/>
        <v/>
      </c>
      <c r="AI178" s="139" t="str">
        <f t="shared" si="17"/>
        <v/>
      </c>
      <c r="AJ178" s="139" t="str">
        <f t="shared" si="17"/>
        <v/>
      </c>
      <c r="AK178" s="139" t="str">
        <f t="shared" si="17"/>
        <v/>
      </c>
      <c r="AL178" s="139" t="str">
        <f t="shared" si="17"/>
        <v/>
      </c>
      <c r="AM178" s="139" t="str">
        <f t="shared" si="17"/>
        <v/>
      </c>
      <c r="AN178" s="139" t="str">
        <f t="shared" si="17"/>
        <v/>
      </c>
      <c r="AP178" s="82">
        <f t="shared" si="14"/>
        <v>3.1149035493118319E-7</v>
      </c>
      <c r="AQ178" s="82">
        <f t="shared" si="15"/>
        <v>0.99224005643476865</v>
      </c>
    </row>
    <row r="179" spans="2:43" x14ac:dyDescent="0.35">
      <c r="B179" s="83" t="s">
        <v>261</v>
      </c>
      <c r="D179" s="137">
        <v>5514</v>
      </c>
      <c r="E179" s="137">
        <v>847</v>
      </c>
      <c r="F179" s="137"/>
      <c r="G179" s="137"/>
      <c r="H179" s="137">
        <f>+SUM(D179:G179)</f>
        <v>6361</v>
      </c>
      <c r="J179" s="137">
        <v>1787</v>
      </c>
      <c r="K179" s="137">
        <v>847</v>
      </c>
      <c r="L179" s="137"/>
      <c r="M179" s="137"/>
      <c r="N179" s="137">
        <f>+SUM(J179:M179)</f>
        <v>2634</v>
      </c>
      <c r="P179" s="84">
        <f>+IFERROR(J179/D179,"")</f>
        <v>0.32408414943779468</v>
      </c>
      <c r="Q179" s="84">
        <f>+IFERROR(K179/E179,"")</f>
        <v>1</v>
      </c>
      <c r="R179" s="84" t="str">
        <f>+IFERROR(L179/F179,"")</f>
        <v/>
      </c>
      <c r="S179" s="84" t="str">
        <f>+IFERROR(M179/G179,"")</f>
        <v/>
      </c>
      <c r="T179" s="84" t="str">
        <f>+IFERROR(#REF!/#REF!,"")</f>
        <v/>
      </c>
      <c r="U179" s="84" t="str">
        <f>+IFERROR(#REF!/#REF!,"")</f>
        <v/>
      </c>
      <c r="V179" s="84" t="str">
        <f>+IFERROR(#REF!/#REF!,"")</f>
        <v/>
      </c>
      <c r="W179" s="84" t="str">
        <f>+IFERROR(#REF!/#REF!,"")</f>
        <v/>
      </c>
      <c r="X179" s="84" t="str">
        <f>+IFERROR(#REF!/#REF!,"")</f>
        <v/>
      </c>
      <c r="Y179" s="84" t="str">
        <f>+IFERROR(#REF!/#REF!,"")</f>
        <v/>
      </c>
      <c r="Z179" s="84" t="str">
        <f>+IFERROR(#REF!/#REF!,"")</f>
        <v/>
      </c>
      <c r="AA179" s="84" t="str">
        <f>+IFERROR(#REF!/#REF!,"")</f>
        <v/>
      </c>
      <c r="AB179" s="84">
        <f>+IFERROR(N179/H179,"")</f>
        <v>0.41408583556044648</v>
      </c>
      <c r="AD179" s="139">
        <f t="shared" si="17"/>
        <v>0.67591585056220538</v>
      </c>
      <c r="AE179" s="139" t="str">
        <f t="shared" si="17"/>
        <v/>
      </c>
      <c r="AF179" s="139" t="str">
        <f t="shared" si="17"/>
        <v/>
      </c>
      <c r="AG179" s="139" t="str">
        <f t="shared" si="17"/>
        <v/>
      </c>
      <c r="AH179" s="139" t="str">
        <f t="shared" si="17"/>
        <v/>
      </c>
      <c r="AI179" s="139" t="str">
        <f t="shared" si="17"/>
        <v/>
      </c>
      <c r="AJ179" s="139" t="str">
        <f t="shared" si="17"/>
        <v/>
      </c>
      <c r="AK179" s="139" t="str">
        <f t="shared" si="17"/>
        <v/>
      </c>
      <c r="AL179" s="139" t="str">
        <f t="shared" si="17"/>
        <v/>
      </c>
      <c r="AM179" s="139" t="str">
        <f t="shared" si="17"/>
        <v/>
      </c>
      <c r="AN179" s="139" t="str">
        <f t="shared" si="17"/>
        <v/>
      </c>
      <c r="AP179" s="82">
        <f t="shared" si="14"/>
        <v>3.1556369034182175E-6</v>
      </c>
      <c r="AQ179" s="82">
        <f t="shared" si="15"/>
        <v>0.9922432120716721</v>
      </c>
    </row>
    <row r="180" spans="2:43" x14ac:dyDescent="0.35">
      <c r="B180" s="83" t="s">
        <v>262</v>
      </c>
      <c r="D180" s="137">
        <v>184279</v>
      </c>
      <c r="E180" s="137">
        <v>302653</v>
      </c>
      <c r="F180" s="137">
        <v>239602</v>
      </c>
      <c r="G180" s="137">
        <v>46198</v>
      </c>
      <c r="H180" s="137">
        <f>+SUM(D180:G180)</f>
        <v>772732</v>
      </c>
      <c r="J180" s="137">
        <v>17886</v>
      </c>
      <c r="K180" s="137">
        <v>42048</v>
      </c>
      <c r="L180" s="137">
        <v>32712</v>
      </c>
      <c r="M180" s="137">
        <v>4974</v>
      </c>
      <c r="N180" s="137">
        <f>+SUM(J180:M180)</f>
        <v>97620</v>
      </c>
      <c r="P180" s="84">
        <f>+IFERROR(J180/D180,"")</f>
        <v>9.7059350224388025E-2</v>
      </c>
      <c r="Q180" s="84">
        <f>+IFERROR(K180/E180,"")</f>
        <v>0.13893138346555295</v>
      </c>
      <c r="R180" s="84">
        <f>+IFERROR(L180/F180,"")</f>
        <v>0.13652640629043164</v>
      </c>
      <c r="S180" s="84">
        <f>+IFERROR(M180/G180,"")</f>
        <v>0.10766699857136673</v>
      </c>
      <c r="T180" s="84" t="str">
        <f>+IFERROR(#REF!/#REF!,"")</f>
        <v/>
      </c>
      <c r="U180" s="84" t="str">
        <f>+IFERROR(#REF!/#REF!,"")</f>
        <v/>
      </c>
      <c r="V180" s="84" t="str">
        <f>+IFERROR(#REF!/#REF!,"")</f>
        <v/>
      </c>
      <c r="W180" s="84" t="str">
        <f>+IFERROR(#REF!/#REF!,"")</f>
        <v/>
      </c>
      <c r="X180" s="84" t="str">
        <f>+IFERROR(#REF!/#REF!,"")</f>
        <v/>
      </c>
      <c r="Y180" s="84" t="str">
        <f>+IFERROR(#REF!/#REF!,"")</f>
        <v/>
      </c>
      <c r="Z180" s="84" t="str">
        <f>+IFERROR(#REF!/#REF!,"")</f>
        <v/>
      </c>
      <c r="AA180" s="84" t="str">
        <f>+IFERROR(#REF!/#REF!,"")</f>
        <v/>
      </c>
      <c r="AB180" s="84">
        <f>+IFERROR(N180/H180,"")</f>
        <v>0.12633099185746158</v>
      </c>
      <c r="AD180" s="139">
        <f t="shared" ref="AD180:AN203" si="18">+IFERROR(Q180-P180,"")</f>
        <v>4.1872033241164924E-2</v>
      </c>
      <c r="AE180" s="139">
        <f t="shared" si="18"/>
        <v>-2.4049771751213089E-3</v>
      </c>
      <c r="AF180" s="139">
        <f t="shared" si="18"/>
        <v>-2.8859407719064908E-2</v>
      </c>
      <c r="AG180" s="139" t="str">
        <f t="shared" si="18"/>
        <v/>
      </c>
      <c r="AH180" s="139" t="str">
        <f t="shared" si="18"/>
        <v/>
      </c>
      <c r="AI180" s="139" t="str">
        <f t="shared" si="18"/>
        <v/>
      </c>
      <c r="AJ180" s="139" t="str">
        <f t="shared" si="18"/>
        <v/>
      </c>
      <c r="AK180" s="139" t="str">
        <f t="shared" si="18"/>
        <v/>
      </c>
      <c r="AL180" s="139" t="str">
        <f t="shared" si="18"/>
        <v/>
      </c>
      <c r="AM180" s="139" t="str">
        <f t="shared" si="18"/>
        <v/>
      </c>
      <c r="AN180" s="139" t="str">
        <f t="shared" si="18"/>
        <v/>
      </c>
      <c r="AP180" s="82">
        <f t="shared" si="14"/>
        <v>1.1695264787839271E-4</v>
      </c>
      <c r="AQ180" s="82">
        <f t="shared" si="15"/>
        <v>0.99236016471955046</v>
      </c>
    </row>
    <row r="181" spans="2:43" x14ac:dyDescent="0.35">
      <c r="B181" s="83" t="s">
        <v>263</v>
      </c>
      <c r="D181" s="137">
        <v>615</v>
      </c>
      <c r="E181" s="137">
        <v>508</v>
      </c>
      <c r="F181" s="137">
        <v>1351</v>
      </c>
      <c r="G181" s="137"/>
      <c r="H181" s="137">
        <f>+SUM(D181:G181)</f>
        <v>2474</v>
      </c>
      <c r="J181" s="137">
        <v>149</v>
      </c>
      <c r="K181" s="137">
        <v>86</v>
      </c>
      <c r="L181" s="137">
        <v>293</v>
      </c>
      <c r="M181" s="137"/>
      <c r="N181" s="137">
        <f>+SUM(J181:M181)</f>
        <v>528</v>
      </c>
      <c r="P181" s="84">
        <f>+IFERROR(J181/D181,"")</f>
        <v>0.24227642276422764</v>
      </c>
      <c r="Q181" s="84">
        <f>+IFERROR(K181/E181,"")</f>
        <v>0.16929133858267717</v>
      </c>
      <c r="R181" s="84">
        <f>+IFERROR(L181/F181,"")</f>
        <v>0.21687638786084382</v>
      </c>
      <c r="S181" s="84" t="str">
        <f>+IFERROR(M181/G181,"")</f>
        <v/>
      </c>
      <c r="T181" s="84" t="str">
        <f>+IFERROR(#REF!/#REF!,"")</f>
        <v/>
      </c>
      <c r="U181" s="84" t="str">
        <f>+IFERROR(#REF!/#REF!,"")</f>
        <v/>
      </c>
      <c r="V181" s="84" t="str">
        <f>+IFERROR(#REF!/#REF!,"")</f>
        <v/>
      </c>
      <c r="W181" s="84" t="str">
        <f>+IFERROR(#REF!/#REF!,"")</f>
        <v/>
      </c>
      <c r="X181" s="84" t="str">
        <f>+IFERROR(#REF!/#REF!,"")</f>
        <v/>
      </c>
      <c r="Y181" s="84" t="str">
        <f>+IFERROR(#REF!/#REF!,"")</f>
        <v/>
      </c>
      <c r="Z181" s="84" t="str">
        <f>+IFERROR(#REF!/#REF!,"")</f>
        <v/>
      </c>
      <c r="AA181" s="84" t="str">
        <f>+IFERROR(#REF!/#REF!,"")</f>
        <v/>
      </c>
      <c r="AB181" s="84">
        <f>+IFERROR(N181/H181,"")</f>
        <v>0.21341956345998384</v>
      </c>
      <c r="AD181" s="139">
        <f t="shared" si="18"/>
        <v>-7.2985084181550475E-2</v>
      </c>
      <c r="AE181" s="139">
        <f t="shared" si="18"/>
        <v>4.7585049278166647E-2</v>
      </c>
      <c r="AF181" s="139" t="str">
        <f t="shared" si="18"/>
        <v/>
      </c>
      <c r="AG181" s="139" t="str">
        <f t="shared" si="18"/>
        <v/>
      </c>
      <c r="AH181" s="139" t="str">
        <f t="shared" si="18"/>
        <v/>
      </c>
      <c r="AI181" s="139" t="str">
        <f t="shared" si="18"/>
        <v/>
      </c>
      <c r="AJ181" s="139" t="str">
        <f t="shared" si="18"/>
        <v/>
      </c>
      <c r="AK181" s="139" t="str">
        <f t="shared" si="18"/>
        <v/>
      </c>
      <c r="AL181" s="139" t="str">
        <f t="shared" si="18"/>
        <v/>
      </c>
      <c r="AM181" s="139" t="str">
        <f t="shared" si="18"/>
        <v/>
      </c>
      <c r="AN181" s="139" t="str">
        <f t="shared" si="18"/>
        <v/>
      </c>
      <c r="AP181" s="82">
        <f t="shared" si="14"/>
        <v>6.3256502847563353E-7</v>
      </c>
      <c r="AQ181" s="82">
        <f t="shared" si="15"/>
        <v>0.99236079728457893</v>
      </c>
    </row>
    <row r="182" spans="2:43" x14ac:dyDescent="0.35">
      <c r="B182" s="83" t="s">
        <v>264</v>
      </c>
      <c r="D182" s="137">
        <v>17593</v>
      </c>
      <c r="E182" s="137">
        <v>8880</v>
      </c>
      <c r="F182" s="137">
        <v>6076</v>
      </c>
      <c r="G182" s="137">
        <v>1346</v>
      </c>
      <c r="H182" s="137">
        <f>+SUM(D182:G182)</f>
        <v>33895</v>
      </c>
      <c r="J182" s="137">
        <v>1577</v>
      </c>
      <c r="K182" s="137">
        <v>1572</v>
      </c>
      <c r="L182" s="137">
        <v>1420</v>
      </c>
      <c r="M182" s="137">
        <v>192</v>
      </c>
      <c r="N182" s="137">
        <f>+SUM(J182:M182)</f>
        <v>4761</v>
      </c>
      <c r="P182" s="84">
        <f>+IFERROR(J182/D182,"")</f>
        <v>8.963792417438754E-2</v>
      </c>
      <c r="Q182" s="84">
        <f>+IFERROR(K182/E182,"")</f>
        <v>0.17702702702702702</v>
      </c>
      <c r="R182" s="84">
        <f>+IFERROR(L182/F182,"")</f>
        <v>0.23370638578011849</v>
      </c>
      <c r="S182" s="84">
        <f>+IFERROR(M182/G182,"")</f>
        <v>0.1426448736998514</v>
      </c>
      <c r="T182" s="84" t="str">
        <f>+IFERROR(#REF!/#REF!,"")</f>
        <v/>
      </c>
      <c r="U182" s="84" t="str">
        <f>+IFERROR(#REF!/#REF!,"")</f>
        <v/>
      </c>
      <c r="V182" s="84" t="str">
        <f>+IFERROR(#REF!/#REF!,"")</f>
        <v/>
      </c>
      <c r="W182" s="84" t="str">
        <f>+IFERROR(#REF!/#REF!,"")</f>
        <v/>
      </c>
      <c r="X182" s="84" t="str">
        <f>+IFERROR(#REF!/#REF!,"")</f>
        <v/>
      </c>
      <c r="Y182" s="84" t="str">
        <f>+IFERROR(#REF!/#REF!,"")</f>
        <v/>
      </c>
      <c r="Z182" s="84" t="str">
        <f>+IFERROR(#REF!/#REF!,"")</f>
        <v/>
      </c>
      <c r="AA182" s="84" t="str">
        <f>+IFERROR(#REF!/#REF!,"")</f>
        <v/>
      </c>
      <c r="AB182" s="84">
        <f>+IFERROR(N182/H182,"")</f>
        <v>0.14046319516152825</v>
      </c>
      <c r="AD182" s="139">
        <f t="shared" si="18"/>
        <v>8.7389102852639483E-2</v>
      </c>
      <c r="AE182" s="139">
        <f t="shared" si="18"/>
        <v>5.6679358753091463E-2</v>
      </c>
      <c r="AF182" s="139">
        <f t="shared" si="18"/>
        <v>-9.1061512080267082E-2</v>
      </c>
      <c r="AG182" s="139" t="str">
        <f t="shared" si="18"/>
        <v/>
      </c>
      <c r="AH182" s="139" t="str">
        <f t="shared" si="18"/>
        <v/>
      </c>
      <c r="AI182" s="139" t="str">
        <f t="shared" si="18"/>
        <v/>
      </c>
      <c r="AJ182" s="139" t="str">
        <f t="shared" si="18"/>
        <v/>
      </c>
      <c r="AK182" s="139" t="str">
        <f t="shared" si="18"/>
        <v/>
      </c>
      <c r="AL182" s="139" t="str">
        <f t="shared" si="18"/>
        <v/>
      </c>
      <c r="AM182" s="139" t="str">
        <f t="shared" si="18"/>
        <v/>
      </c>
      <c r="AN182" s="139" t="str">
        <f t="shared" si="18"/>
        <v/>
      </c>
      <c r="AP182" s="82">
        <f t="shared" si="14"/>
        <v>5.7038676147206279E-6</v>
      </c>
      <c r="AQ182" s="82">
        <f t="shared" si="15"/>
        <v>0.9923665011521936</v>
      </c>
    </row>
    <row r="183" spans="2:43" x14ac:dyDescent="0.35">
      <c r="B183" s="83" t="s">
        <v>265</v>
      </c>
      <c r="D183" s="137">
        <v>154571</v>
      </c>
      <c r="E183" s="137"/>
      <c r="F183" s="137"/>
      <c r="G183" s="137"/>
      <c r="H183" s="137">
        <f>+SUM(D183:G183)</f>
        <v>154571</v>
      </c>
      <c r="J183" s="137">
        <v>26372</v>
      </c>
      <c r="K183" s="137"/>
      <c r="L183" s="137"/>
      <c r="M183" s="137"/>
      <c r="N183" s="137">
        <f>+SUM(J183:M183)</f>
        <v>26372</v>
      </c>
      <c r="P183" s="84">
        <f>+IFERROR(J183/D183,"")</f>
        <v>0.17061415142555847</v>
      </c>
      <c r="Q183" s="84" t="str">
        <f>+IFERROR(K183/E183,"")</f>
        <v/>
      </c>
      <c r="R183" s="84" t="str">
        <f>+IFERROR(L183/F183,"")</f>
        <v/>
      </c>
      <c r="S183" s="84" t="str">
        <f>+IFERROR(M183/G183,"")</f>
        <v/>
      </c>
      <c r="T183" s="84" t="str">
        <f>+IFERROR(#REF!/#REF!,"")</f>
        <v/>
      </c>
      <c r="U183" s="84" t="str">
        <f>+IFERROR(#REF!/#REF!,"")</f>
        <v/>
      </c>
      <c r="V183" s="84" t="str">
        <f>+IFERROR(#REF!/#REF!,"")</f>
        <v/>
      </c>
      <c r="W183" s="84" t="str">
        <f>+IFERROR(#REF!/#REF!,"")</f>
        <v/>
      </c>
      <c r="X183" s="84" t="str">
        <f>+IFERROR(#REF!/#REF!,"")</f>
        <v/>
      </c>
      <c r="Y183" s="84" t="str">
        <f>+IFERROR(#REF!/#REF!,"")</f>
        <v/>
      </c>
      <c r="Z183" s="84" t="str">
        <f>+IFERROR(#REF!/#REF!,"")</f>
        <v/>
      </c>
      <c r="AA183" s="84" t="str">
        <f>+IFERROR(#REF!/#REF!,"")</f>
        <v/>
      </c>
      <c r="AB183" s="84">
        <f>+IFERROR(N183/H183,"")</f>
        <v>0.17061415142555847</v>
      </c>
      <c r="AD183" s="139" t="str">
        <f t="shared" si="18"/>
        <v/>
      </c>
      <c r="AE183" s="139" t="str">
        <f t="shared" si="18"/>
        <v/>
      </c>
      <c r="AF183" s="139" t="str">
        <f t="shared" si="18"/>
        <v/>
      </c>
      <c r="AG183" s="139" t="str">
        <f t="shared" si="18"/>
        <v/>
      </c>
      <c r="AH183" s="139" t="str">
        <f t="shared" si="18"/>
        <v/>
      </c>
      <c r="AI183" s="139" t="str">
        <f t="shared" si="18"/>
        <v/>
      </c>
      <c r="AJ183" s="139" t="str">
        <f t="shared" si="18"/>
        <v/>
      </c>
      <c r="AK183" s="139" t="str">
        <f t="shared" si="18"/>
        <v/>
      </c>
      <c r="AL183" s="139" t="str">
        <f t="shared" si="18"/>
        <v/>
      </c>
      <c r="AM183" s="139" t="str">
        <f t="shared" si="18"/>
        <v/>
      </c>
      <c r="AN183" s="139" t="str">
        <f t="shared" si="18"/>
        <v/>
      </c>
      <c r="AP183" s="82">
        <f t="shared" si="14"/>
        <v>3.1594706308635246E-5</v>
      </c>
      <c r="AQ183" s="82">
        <f t="shared" si="15"/>
        <v>0.99239809585850225</v>
      </c>
    </row>
    <row r="184" spans="2:43" x14ac:dyDescent="0.35">
      <c r="B184" s="83" t="s">
        <v>266</v>
      </c>
      <c r="D184" s="137">
        <v>4623</v>
      </c>
      <c r="E184" s="137">
        <v>14718</v>
      </c>
      <c r="F184" s="137">
        <v>71202</v>
      </c>
      <c r="G184" s="137">
        <v>12877</v>
      </c>
      <c r="H184" s="137">
        <f>+SUM(D184:G184)</f>
        <v>103420</v>
      </c>
      <c r="J184" s="137">
        <v>198</v>
      </c>
      <c r="K184" s="137">
        <v>3237</v>
      </c>
      <c r="L184" s="137">
        <v>28275</v>
      </c>
      <c r="M184" s="137">
        <v>5622</v>
      </c>
      <c r="N184" s="137">
        <f>+SUM(J184:M184)</f>
        <v>37332</v>
      </c>
      <c r="P184" s="84">
        <f>+IFERROR(J184/D184,"")</f>
        <v>4.2829331602855292E-2</v>
      </c>
      <c r="Q184" s="84">
        <f>+IFERROR(K184/E184,"")</f>
        <v>0.21993477374643294</v>
      </c>
      <c r="R184" s="84">
        <f>+IFERROR(L184/F184,"")</f>
        <v>0.3971096317519171</v>
      </c>
      <c r="S184" s="84">
        <f>+IFERROR(M184/G184,"")</f>
        <v>0.43659237400015533</v>
      </c>
      <c r="T184" s="84" t="str">
        <f>+IFERROR(#REF!/#REF!,"")</f>
        <v/>
      </c>
      <c r="U184" s="84" t="str">
        <f>+IFERROR(#REF!/#REF!,"")</f>
        <v/>
      </c>
      <c r="V184" s="84" t="str">
        <f>+IFERROR(#REF!/#REF!,"")</f>
        <v/>
      </c>
      <c r="W184" s="84" t="str">
        <f>+IFERROR(#REF!/#REF!,"")</f>
        <v/>
      </c>
      <c r="X184" s="84" t="str">
        <f>+IFERROR(#REF!/#REF!,"")</f>
        <v/>
      </c>
      <c r="Y184" s="84" t="str">
        <f>+IFERROR(#REF!/#REF!,"")</f>
        <v/>
      </c>
      <c r="Z184" s="84" t="str">
        <f>+IFERROR(#REF!/#REF!,"")</f>
        <v/>
      </c>
      <c r="AA184" s="84" t="str">
        <f>+IFERROR(#REF!/#REF!,"")</f>
        <v/>
      </c>
      <c r="AB184" s="84">
        <f>+IFERROR(N184/H184,"")</f>
        <v>0.36097466640881842</v>
      </c>
      <c r="AD184" s="139">
        <f t="shared" si="18"/>
        <v>0.17710544214357765</v>
      </c>
      <c r="AE184" s="139">
        <f t="shared" si="18"/>
        <v>0.17717485800548416</v>
      </c>
      <c r="AF184" s="139">
        <f t="shared" si="18"/>
        <v>3.9482742248238223E-2</v>
      </c>
      <c r="AG184" s="139" t="str">
        <f t="shared" si="18"/>
        <v/>
      </c>
      <c r="AH184" s="139" t="str">
        <f t="shared" si="18"/>
        <v/>
      </c>
      <c r="AI184" s="139" t="str">
        <f t="shared" si="18"/>
        <v/>
      </c>
      <c r="AJ184" s="139" t="str">
        <f t="shared" si="18"/>
        <v/>
      </c>
      <c r="AK184" s="139" t="str">
        <f t="shared" si="18"/>
        <v/>
      </c>
      <c r="AL184" s="139" t="str">
        <f t="shared" si="18"/>
        <v/>
      </c>
      <c r="AM184" s="139" t="str">
        <f t="shared" si="18"/>
        <v/>
      </c>
      <c r="AN184" s="139" t="str">
        <f t="shared" si="18"/>
        <v/>
      </c>
      <c r="AP184" s="82">
        <f t="shared" si="14"/>
        <v>4.4725222808811273E-5</v>
      </c>
      <c r="AQ184" s="82">
        <f t="shared" si="15"/>
        <v>0.9924428210813111</v>
      </c>
    </row>
    <row r="185" spans="2:43" x14ac:dyDescent="0.35">
      <c r="B185" s="83" t="s">
        <v>267</v>
      </c>
      <c r="D185" s="137"/>
      <c r="E185" s="137"/>
      <c r="F185" s="137"/>
      <c r="G185" s="137"/>
      <c r="H185" s="137">
        <f>+SUM(D185:G185)</f>
        <v>0</v>
      </c>
      <c r="J185" s="137"/>
      <c r="K185" s="137"/>
      <c r="L185" s="137"/>
      <c r="M185" s="137"/>
      <c r="N185" s="137">
        <f>+SUM(J185:M185)</f>
        <v>0</v>
      </c>
      <c r="P185" s="84" t="str">
        <f>+IFERROR(J185/D185,"")</f>
        <v/>
      </c>
      <c r="Q185" s="84" t="str">
        <f>+IFERROR(K185/E185,"")</f>
        <v/>
      </c>
      <c r="R185" s="84" t="str">
        <f>+IFERROR(L185/F185,"")</f>
        <v/>
      </c>
      <c r="S185" s="84" t="str">
        <f>+IFERROR(M185/G185,"")</f>
        <v/>
      </c>
      <c r="T185" s="84" t="str">
        <f>+IFERROR(#REF!/#REF!,"")</f>
        <v/>
      </c>
      <c r="U185" s="84" t="str">
        <f>+IFERROR(#REF!/#REF!,"")</f>
        <v/>
      </c>
      <c r="V185" s="84" t="str">
        <f>+IFERROR(#REF!/#REF!,"")</f>
        <v/>
      </c>
      <c r="W185" s="84" t="str">
        <f>+IFERROR(#REF!/#REF!,"")</f>
        <v/>
      </c>
      <c r="X185" s="84" t="str">
        <f>+IFERROR(#REF!/#REF!,"")</f>
        <v/>
      </c>
      <c r="Y185" s="84" t="str">
        <f>+IFERROR(#REF!/#REF!,"")</f>
        <v/>
      </c>
      <c r="Z185" s="84" t="str">
        <f>+IFERROR(#REF!/#REF!,"")</f>
        <v/>
      </c>
      <c r="AA185" s="84" t="str">
        <f>+IFERROR(#REF!/#REF!,"")</f>
        <v/>
      </c>
      <c r="AB185" s="84" t="str">
        <f>+IFERROR(N185/H185,"")</f>
        <v/>
      </c>
      <c r="AD185" s="139" t="str">
        <f t="shared" si="18"/>
        <v/>
      </c>
      <c r="AE185" s="139" t="str">
        <f t="shared" si="18"/>
        <v/>
      </c>
      <c r="AF185" s="139" t="str">
        <f t="shared" si="18"/>
        <v/>
      </c>
      <c r="AG185" s="139" t="str">
        <f t="shared" si="18"/>
        <v/>
      </c>
      <c r="AH185" s="139" t="str">
        <f t="shared" si="18"/>
        <v/>
      </c>
      <c r="AI185" s="139" t="str">
        <f t="shared" si="18"/>
        <v/>
      </c>
      <c r="AJ185" s="139" t="str">
        <f t="shared" si="18"/>
        <v/>
      </c>
      <c r="AK185" s="139" t="str">
        <f t="shared" si="18"/>
        <v/>
      </c>
      <c r="AL185" s="139" t="str">
        <f t="shared" si="18"/>
        <v/>
      </c>
      <c r="AM185" s="139" t="str">
        <f t="shared" si="18"/>
        <v/>
      </c>
      <c r="AN185" s="139" t="str">
        <f t="shared" si="18"/>
        <v/>
      </c>
      <c r="AP185" s="82">
        <f t="shared" si="14"/>
        <v>0</v>
      </c>
      <c r="AQ185" s="82">
        <f t="shared" si="15"/>
        <v>0.9924428210813111</v>
      </c>
    </row>
    <row r="186" spans="2:43" x14ac:dyDescent="0.35">
      <c r="B186" s="83" t="s">
        <v>268</v>
      </c>
      <c r="D186" s="137">
        <v>741</v>
      </c>
      <c r="E186" s="137">
        <v>567</v>
      </c>
      <c r="F186" s="137">
        <v>182</v>
      </c>
      <c r="G186" s="137"/>
      <c r="H186" s="137">
        <f>+SUM(D186:G186)</f>
        <v>1490</v>
      </c>
      <c r="J186" s="137">
        <v>244</v>
      </c>
      <c r="K186" s="137">
        <v>35</v>
      </c>
      <c r="L186" s="137">
        <v>79</v>
      </c>
      <c r="M186" s="137"/>
      <c r="N186" s="137">
        <f>+SUM(J186:M186)</f>
        <v>358</v>
      </c>
      <c r="P186" s="84">
        <f>+IFERROR(J186/D186,"")</f>
        <v>0.32928475033738192</v>
      </c>
      <c r="Q186" s="84">
        <f>+IFERROR(K186/E186,"")</f>
        <v>6.1728395061728392E-2</v>
      </c>
      <c r="R186" s="84">
        <f>+IFERROR(L186/F186,"")</f>
        <v>0.43406593406593408</v>
      </c>
      <c r="S186" s="84" t="str">
        <f>+IFERROR(M186/G186,"")</f>
        <v/>
      </c>
      <c r="T186" s="84" t="str">
        <f>+IFERROR(#REF!/#REF!,"")</f>
        <v/>
      </c>
      <c r="U186" s="84" t="str">
        <f>+IFERROR(#REF!/#REF!,"")</f>
        <v/>
      </c>
      <c r="V186" s="84" t="str">
        <f>+IFERROR(#REF!/#REF!,"")</f>
        <v/>
      </c>
      <c r="W186" s="84" t="str">
        <f>+IFERROR(#REF!/#REF!,"")</f>
        <v/>
      </c>
      <c r="X186" s="84" t="str">
        <f>+IFERROR(#REF!/#REF!,"")</f>
        <v/>
      </c>
      <c r="Y186" s="84" t="str">
        <f>+IFERROR(#REF!/#REF!,"")</f>
        <v/>
      </c>
      <c r="Z186" s="84" t="str">
        <f>+IFERROR(#REF!/#REF!,"")</f>
        <v/>
      </c>
      <c r="AA186" s="84" t="str">
        <f>+IFERROR(#REF!/#REF!,"")</f>
        <v/>
      </c>
      <c r="AB186" s="84">
        <f>+IFERROR(N186/H186,"")</f>
        <v>0.24026845637583893</v>
      </c>
      <c r="AD186" s="139">
        <f t="shared" si="18"/>
        <v>-0.26755635527565352</v>
      </c>
      <c r="AE186" s="139">
        <f t="shared" si="18"/>
        <v>0.37233753900420569</v>
      </c>
      <c r="AF186" s="139" t="str">
        <f t="shared" si="18"/>
        <v/>
      </c>
      <c r="AG186" s="139" t="str">
        <f t="shared" si="18"/>
        <v/>
      </c>
      <c r="AH186" s="139" t="str">
        <f t="shared" si="18"/>
        <v/>
      </c>
      <c r="AI186" s="139" t="str">
        <f t="shared" si="18"/>
        <v/>
      </c>
      <c r="AJ186" s="139" t="str">
        <f t="shared" si="18"/>
        <v/>
      </c>
      <c r="AK186" s="139" t="str">
        <f t="shared" si="18"/>
        <v/>
      </c>
      <c r="AL186" s="139" t="str">
        <f t="shared" si="18"/>
        <v/>
      </c>
      <c r="AM186" s="139" t="str">
        <f t="shared" si="18"/>
        <v/>
      </c>
      <c r="AN186" s="139" t="str">
        <f t="shared" si="18"/>
        <v/>
      </c>
      <c r="AP186" s="82">
        <f t="shared" si="14"/>
        <v>4.288982579437061E-7</v>
      </c>
      <c r="AQ186" s="82">
        <f t="shared" si="15"/>
        <v>0.99244324997956901</v>
      </c>
    </row>
    <row r="187" spans="2:43" x14ac:dyDescent="0.35">
      <c r="B187" s="83" t="s">
        <v>269</v>
      </c>
      <c r="D187" s="137"/>
      <c r="E187" s="137">
        <v>21012</v>
      </c>
      <c r="F187" s="137">
        <v>24864</v>
      </c>
      <c r="G187" s="137"/>
      <c r="H187" s="137">
        <f>+SUM(D187:G187)</f>
        <v>45876</v>
      </c>
      <c r="J187" s="137"/>
      <c r="K187" s="137">
        <v>1570</v>
      </c>
      <c r="L187" s="137">
        <v>2400</v>
      </c>
      <c r="M187" s="137"/>
      <c r="N187" s="137">
        <f>+SUM(J187:M187)</f>
        <v>3970</v>
      </c>
      <c r="P187" s="84" t="str">
        <f>+IFERROR(J187/D187,"")</f>
        <v/>
      </c>
      <c r="Q187" s="84">
        <f>+IFERROR(K187/E187,"")</f>
        <v>7.4719208071578141E-2</v>
      </c>
      <c r="R187" s="84">
        <f>+IFERROR(L187/F187,"")</f>
        <v>9.6525096525096526E-2</v>
      </c>
      <c r="S187" s="84" t="str">
        <f>+IFERROR(M187/G187,"")</f>
        <v/>
      </c>
      <c r="T187" s="84" t="str">
        <f>+IFERROR(#REF!/#REF!,"")</f>
        <v/>
      </c>
      <c r="U187" s="84" t="str">
        <f>+IFERROR(#REF!/#REF!,"")</f>
        <v/>
      </c>
      <c r="V187" s="84" t="str">
        <f>+IFERROR(#REF!/#REF!,"")</f>
        <v/>
      </c>
      <c r="W187" s="84" t="str">
        <f>+IFERROR(#REF!/#REF!,"")</f>
        <v/>
      </c>
      <c r="X187" s="84" t="str">
        <f>+IFERROR(#REF!/#REF!,"")</f>
        <v/>
      </c>
      <c r="Y187" s="84" t="str">
        <f>+IFERROR(#REF!/#REF!,"")</f>
        <v/>
      </c>
      <c r="Z187" s="84" t="str">
        <f>+IFERROR(#REF!/#REF!,"")</f>
        <v/>
      </c>
      <c r="AA187" s="84" t="str">
        <f>+IFERROR(#REF!/#REF!,"")</f>
        <v/>
      </c>
      <c r="AB187" s="84">
        <f>+IFERROR(N187/H187,"")</f>
        <v>8.6537623158078295E-2</v>
      </c>
      <c r="AD187" s="139" t="str">
        <f t="shared" si="18"/>
        <v/>
      </c>
      <c r="AE187" s="139">
        <f t="shared" si="18"/>
        <v>2.1805888453518385E-2</v>
      </c>
      <c r="AF187" s="139" t="str">
        <f t="shared" si="18"/>
        <v/>
      </c>
      <c r="AG187" s="139" t="str">
        <f t="shared" si="18"/>
        <v/>
      </c>
      <c r="AH187" s="139" t="str">
        <f t="shared" si="18"/>
        <v/>
      </c>
      <c r="AI187" s="139" t="str">
        <f t="shared" si="18"/>
        <v/>
      </c>
      <c r="AJ187" s="139" t="str">
        <f t="shared" si="18"/>
        <v/>
      </c>
      <c r="AK187" s="139" t="str">
        <f t="shared" si="18"/>
        <v/>
      </c>
      <c r="AL187" s="139" t="str">
        <f t="shared" si="18"/>
        <v/>
      </c>
      <c r="AM187" s="139" t="str">
        <f t="shared" si="18"/>
        <v/>
      </c>
      <c r="AN187" s="139" t="str">
        <f t="shared" si="18"/>
        <v/>
      </c>
      <c r="AP187" s="82">
        <f t="shared" si="14"/>
        <v>4.7562181118338358E-6</v>
      </c>
      <c r="AQ187" s="82">
        <f t="shared" si="15"/>
        <v>0.99244800619768081</v>
      </c>
    </row>
    <row r="188" spans="2:43" x14ac:dyDescent="0.35">
      <c r="B188" s="83" t="s">
        <v>270</v>
      </c>
      <c r="D188" s="137"/>
      <c r="E188" s="137"/>
      <c r="F188" s="137"/>
      <c r="G188" s="137"/>
      <c r="H188" s="137">
        <f>+SUM(D188:G188)</f>
        <v>0</v>
      </c>
      <c r="J188" s="137"/>
      <c r="K188" s="137"/>
      <c r="L188" s="137"/>
      <c r="M188" s="137"/>
      <c r="N188" s="137">
        <f>+SUM(J188:M188)</f>
        <v>0</v>
      </c>
      <c r="P188" s="84" t="str">
        <f>+IFERROR(J188/D188,"")</f>
        <v/>
      </c>
      <c r="Q188" s="84" t="str">
        <f>+IFERROR(K188/E188,"")</f>
        <v/>
      </c>
      <c r="R188" s="84" t="str">
        <f>+IFERROR(L188/F188,"")</f>
        <v/>
      </c>
      <c r="S188" s="84" t="str">
        <f>+IFERROR(M188/G188,"")</f>
        <v/>
      </c>
      <c r="T188" s="84" t="str">
        <f>+IFERROR(#REF!/#REF!,"")</f>
        <v/>
      </c>
      <c r="U188" s="84" t="str">
        <f>+IFERROR(#REF!/#REF!,"")</f>
        <v/>
      </c>
      <c r="V188" s="84" t="str">
        <f>+IFERROR(#REF!/#REF!,"")</f>
        <v/>
      </c>
      <c r="W188" s="84" t="str">
        <f>+IFERROR(#REF!/#REF!,"")</f>
        <v/>
      </c>
      <c r="X188" s="84" t="str">
        <f>+IFERROR(#REF!/#REF!,"")</f>
        <v/>
      </c>
      <c r="Y188" s="84" t="str">
        <f>+IFERROR(#REF!/#REF!,"")</f>
        <v/>
      </c>
      <c r="Z188" s="84" t="str">
        <f>+IFERROR(#REF!/#REF!,"")</f>
        <v/>
      </c>
      <c r="AA188" s="84" t="str">
        <f>+IFERROR(#REF!/#REF!,"")</f>
        <v/>
      </c>
      <c r="AB188" s="84" t="str">
        <f>+IFERROR(N188/H188,"")</f>
        <v/>
      </c>
      <c r="AD188" s="139" t="str">
        <f t="shared" si="18"/>
        <v/>
      </c>
      <c r="AE188" s="139" t="str">
        <f t="shared" si="18"/>
        <v/>
      </c>
      <c r="AF188" s="139" t="str">
        <f t="shared" si="18"/>
        <v/>
      </c>
      <c r="AG188" s="139" t="str">
        <f t="shared" si="18"/>
        <v/>
      </c>
      <c r="AH188" s="139" t="str">
        <f t="shared" si="18"/>
        <v/>
      </c>
      <c r="AI188" s="139" t="str">
        <f t="shared" si="18"/>
        <v/>
      </c>
      <c r="AJ188" s="139" t="str">
        <f t="shared" si="18"/>
        <v/>
      </c>
      <c r="AK188" s="139" t="str">
        <f t="shared" si="18"/>
        <v/>
      </c>
      <c r="AL188" s="139" t="str">
        <f t="shared" si="18"/>
        <v/>
      </c>
      <c r="AM188" s="139" t="str">
        <f t="shared" si="18"/>
        <v/>
      </c>
      <c r="AN188" s="139" t="str">
        <f t="shared" si="18"/>
        <v/>
      </c>
      <c r="AP188" s="82">
        <f t="shared" si="14"/>
        <v>0</v>
      </c>
      <c r="AQ188" s="82">
        <f t="shared" si="15"/>
        <v>0.99244800619768081</v>
      </c>
    </row>
    <row r="189" spans="2:43" x14ac:dyDescent="0.35">
      <c r="B189" s="83" t="s">
        <v>271</v>
      </c>
      <c r="D189" s="137">
        <v>32077</v>
      </c>
      <c r="E189" s="137">
        <v>40822</v>
      </c>
      <c r="F189" s="137">
        <v>58587</v>
      </c>
      <c r="G189" s="137">
        <v>12819</v>
      </c>
      <c r="H189" s="137">
        <f>+SUM(D189:G189)</f>
        <v>144305</v>
      </c>
      <c r="J189" s="137">
        <v>-44</v>
      </c>
      <c r="K189" s="137">
        <v>5967</v>
      </c>
      <c r="L189" s="137">
        <v>7861</v>
      </c>
      <c r="M189" s="137">
        <v>2226</v>
      </c>
      <c r="N189" s="137">
        <f>+SUM(J189:M189)</f>
        <v>16010</v>
      </c>
      <c r="P189" s="84">
        <f>+IFERROR(J189/D189,"")</f>
        <v>-1.3716993484428094E-3</v>
      </c>
      <c r="Q189" s="84">
        <f>+IFERROR(K189/E189,"")</f>
        <v>0.14617118220567341</v>
      </c>
      <c r="R189" s="84">
        <f>+IFERROR(L189/F189,"")</f>
        <v>0.13417652380220868</v>
      </c>
      <c r="S189" s="84">
        <f>+IFERROR(M189/G189,"")</f>
        <v>0.17364849052188158</v>
      </c>
      <c r="T189" s="84" t="str">
        <f>+IFERROR(#REF!/#REF!,"")</f>
        <v/>
      </c>
      <c r="U189" s="84" t="str">
        <f>+IFERROR(#REF!/#REF!,"")</f>
        <v/>
      </c>
      <c r="V189" s="84" t="str">
        <f>+IFERROR(#REF!/#REF!,"")</f>
        <v/>
      </c>
      <c r="W189" s="84" t="str">
        <f>+IFERROR(#REF!/#REF!,"")</f>
        <v/>
      </c>
      <c r="X189" s="84" t="str">
        <f>+IFERROR(#REF!/#REF!,"")</f>
        <v/>
      </c>
      <c r="Y189" s="84" t="str">
        <f>+IFERROR(#REF!/#REF!,"")</f>
        <v/>
      </c>
      <c r="Z189" s="84" t="str">
        <f>+IFERROR(#REF!/#REF!,"")</f>
        <v/>
      </c>
      <c r="AA189" s="84" t="str">
        <f>+IFERROR(#REF!/#REF!,"")</f>
        <v/>
      </c>
      <c r="AB189" s="84">
        <f>+IFERROR(N189/H189,"")</f>
        <v>0.11094556668168117</v>
      </c>
      <c r="AD189" s="139">
        <f t="shared" si="18"/>
        <v>0.14754288155411621</v>
      </c>
      <c r="AE189" s="139">
        <f t="shared" si="18"/>
        <v>-1.1994658403464725E-2</v>
      </c>
      <c r="AF189" s="139">
        <f t="shared" si="18"/>
        <v>3.9471966719672902E-2</v>
      </c>
      <c r="AG189" s="139" t="str">
        <f t="shared" si="18"/>
        <v/>
      </c>
      <c r="AH189" s="139" t="str">
        <f t="shared" si="18"/>
        <v/>
      </c>
      <c r="AI189" s="139" t="str">
        <f t="shared" si="18"/>
        <v/>
      </c>
      <c r="AJ189" s="139" t="str">
        <f t="shared" si="18"/>
        <v/>
      </c>
      <c r="AK189" s="139" t="str">
        <f t="shared" si="18"/>
        <v/>
      </c>
      <c r="AL189" s="139" t="str">
        <f t="shared" si="18"/>
        <v/>
      </c>
      <c r="AM189" s="139" t="str">
        <f t="shared" si="18"/>
        <v/>
      </c>
      <c r="AN189" s="139" t="str">
        <f t="shared" si="18"/>
        <v/>
      </c>
      <c r="AP189" s="82">
        <f t="shared" si="14"/>
        <v>1.9180617624800935E-5</v>
      </c>
      <c r="AQ189" s="82">
        <f t="shared" si="15"/>
        <v>0.99246718681530566</v>
      </c>
    </row>
    <row r="190" spans="2:43" x14ac:dyDescent="0.35">
      <c r="B190" s="83" t="s">
        <v>272</v>
      </c>
      <c r="D190" s="137"/>
      <c r="E190" s="137"/>
      <c r="F190" s="137">
        <v>657</v>
      </c>
      <c r="G190" s="137"/>
      <c r="H190" s="137">
        <f>+SUM(D190:G190)</f>
        <v>657</v>
      </c>
      <c r="J190" s="137"/>
      <c r="K190" s="137"/>
      <c r="L190" s="137">
        <v>382</v>
      </c>
      <c r="M190" s="137"/>
      <c r="N190" s="137">
        <f>+SUM(J190:M190)</f>
        <v>382</v>
      </c>
      <c r="P190" s="84" t="str">
        <f>+IFERROR(J190/D190,"")</f>
        <v/>
      </c>
      <c r="Q190" s="84" t="str">
        <f>+IFERROR(K190/E190,"")</f>
        <v/>
      </c>
      <c r="R190" s="84">
        <f>+IFERROR(L190/F190,"")</f>
        <v>0.58143074581430743</v>
      </c>
      <c r="S190" s="84" t="str">
        <f>+IFERROR(M190/G190,"")</f>
        <v/>
      </c>
      <c r="T190" s="84" t="str">
        <f>+IFERROR(#REF!/#REF!,"")</f>
        <v/>
      </c>
      <c r="U190" s="84" t="str">
        <f>+IFERROR(#REF!/#REF!,"")</f>
        <v/>
      </c>
      <c r="V190" s="84" t="str">
        <f>+IFERROR(#REF!/#REF!,"")</f>
        <v/>
      </c>
      <c r="W190" s="84" t="str">
        <f>+IFERROR(#REF!/#REF!,"")</f>
        <v/>
      </c>
      <c r="X190" s="84" t="str">
        <f>+IFERROR(#REF!/#REF!,"")</f>
        <v/>
      </c>
      <c r="Y190" s="84" t="str">
        <f>+IFERROR(#REF!/#REF!,"")</f>
        <v/>
      </c>
      <c r="Z190" s="84" t="str">
        <f>+IFERROR(#REF!/#REF!,"")</f>
        <v/>
      </c>
      <c r="AA190" s="84" t="str">
        <f>+IFERROR(#REF!/#REF!,"")</f>
        <v/>
      </c>
      <c r="AB190" s="84">
        <f>+IFERROR(N190/H190,"")</f>
        <v>0.58143074581430743</v>
      </c>
      <c r="AD190" s="139" t="str">
        <f t="shared" si="18"/>
        <v/>
      </c>
      <c r="AE190" s="139" t="str">
        <f t="shared" si="18"/>
        <v/>
      </c>
      <c r="AF190" s="139" t="str">
        <f t="shared" si="18"/>
        <v/>
      </c>
      <c r="AG190" s="139" t="str">
        <f t="shared" si="18"/>
        <v/>
      </c>
      <c r="AH190" s="139" t="str">
        <f t="shared" si="18"/>
        <v/>
      </c>
      <c r="AI190" s="139" t="str">
        <f t="shared" si="18"/>
        <v/>
      </c>
      <c r="AJ190" s="139" t="str">
        <f t="shared" si="18"/>
        <v/>
      </c>
      <c r="AK190" s="139" t="str">
        <f t="shared" si="18"/>
        <v/>
      </c>
      <c r="AL190" s="139" t="str">
        <f t="shared" si="18"/>
        <v/>
      </c>
      <c r="AM190" s="139" t="str">
        <f t="shared" si="18"/>
        <v/>
      </c>
      <c r="AN190" s="139" t="str">
        <f t="shared" si="18"/>
        <v/>
      </c>
      <c r="AP190" s="82">
        <f t="shared" si="14"/>
        <v>4.5765121378350762E-7</v>
      </c>
      <c r="AQ190" s="82">
        <f t="shared" si="15"/>
        <v>0.99246764446651947</v>
      </c>
    </row>
    <row r="191" spans="2:43" x14ac:dyDescent="0.35">
      <c r="B191" s="83" t="s">
        <v>273</v>
      </c>
      <c r="D191" s="137">
        <v>22023</v>
      </c>
      <c r="E191" s="137">
        <v>5907</v>
      </c>
      <c r="F191" s="137">
        <v>4118</v>
      </c>
      <c r="G191" s="137"/>
      <c r="H191" s="137">
        <f>+SUM(D191:G191)</f>
        <v>32048</v>
      </c>
      <c r="J191" s="137">
        <v>46</v>
      </c>
      <c r="K191" s="137">
        <v>2450</v>
      </c>
      <c r="L191" s="137">
        <v>1225</v>
      </c>
      <c r="M191" s="137"/>
      <c r="N191" s="137">
        <f>+SUM(J191:M191)</f>
        <v>3721</v>
      </c>
      <c r="P191" s="84">
        <f>+IFERROR(J191/D191,"")</f>
        <v>2.0887254234209689E-3</v>
      </c>
      <c r="Q191" s="84">
        <f>+IFERROR(K191/E191,"")</f>
        <v>0.41476214660572203</v>
      </c>
      <c r="R191" s="84">
        <f>+IFERROR(L191/F191,"")</f>
        <v>0.29747450218552696</v>
      </c>
      <c r="S191" s="84" t="str">
        <f>+IFERROR(M191/G191,"")</f>
        <v/>
      </c>
      <c r="T191" s="84" t="str">
        <f>+IFERROR(#REF!/#REF!,"")</f>
        <v/>
      </c>
      <c r="U191" s="84" t="str">
        <f>+IFERROR(#REF!/#REF!,"")</f>
        <v/>
      </c>
      <c r="V191" s="84" t="str">
        <f>+IFERROR(#REF!/#REF!,"")</f>
        <v/>
      </c>
      <c r="W191" s="84" t="str">
        <f>+IFERROR(#REF!/#REF!,"")</f>
        <v/>
      </c>
      <c r="X191" s="84" t="str">
        <f>+IFERROR(#REF!/#REF!,"")</f>
        <v/>
      </c>
      <c r="Y191" s="84" t="str">
        <f>+IFERROR(#REF!/#REF!,"")</f>
        <v/>
      </c>
      <c r="Z191" s="84" t="str">
        <f>+IFERROR(#REF!/#REF!,"")</f>
        <v/>
      </c>
      <c r="AA191" s="84" t="str">
        <f>+IFERROR(#REF!/#REF!,"")</f>
        <v/>
      </c>
      <c r="AB191" s="84">
        <f>+IFERROR(N191/H191,"")</f>
        <v>0.11610708936595107</v>
      </c>
      <c r="AD191" s="139">
        <f t="shared" si="18"/>
        <v>0.41267342118230105</v>
      </c>
      <c r="AE191" s="139">
        <f t="shared" si="18"/>
        <v>-0.11728764442019507</v>
      </c>
      <c r="AF191" s="139" t="str">
        <f t="shared" si="18"/>
        <v/>
      </c>
      <c r="AG191" s="139" t="str">
        <f t="shared" si="18"/>
        <v/>
      </c>
      <c r="AH191" s="139" t="str">
        <f t="shared" si="18"/>
        <v/>
      </c>
      <c r="AI191" s="139" t="str">
        <f t="shared" si="18"/>
        <v/>
      </c>
      <c r="AJ191" s="139" t="str">
        <f t="shared" si="18"/>
        <v/>
      </c>
      <c r="AK191" s="139" t="str">
        <f t="shared" si="18"/>
        <v/>
      </c>
      <c r="AL191" s="139" t="str">
        <f t="shared" si="18"/>
        <v/>
      </c>
      <c r="AM191" s="139" t="str">
        <f t="shared" si="18"/>
        <v/>
      </c>
      <c r="AN191" s="139" t="str">
        <f t="shared" si="18"/>
        <v/>
      </c>
      <c r="AP191" s="82">
        <f t="shared" si="14"/>
        <v>4.4579061949958951E-6</v>
      </c>
      <c r="AQ191" s="82">
        <f t="shared" si="15"/>
        <v>0.99247210237271444</v>
      </c>
    </row>
    <row r="192" spans="2:43" x14ac:dyDescent="0.35">
      <c r="B192" s="83" t="s">
        <v>274</v>
      </c>
      <c r="D192" s="137"/>
      <c r="E192" s="137"/>
      <c r="F192" s="137"/>
      <c r="G192" s="137"/>
      <c r="H192" s="137">
        <f>+SUM(D192:G192)</f>
        <v>0</v>
      </c>
      <c r="J192" s="137"/>
      <c r="K192" s="137"/>
      <c r="L192" s="137"/>
      <c r="M192" s="137"/>
      <c r="N192" s="137">
        <f>+SUM(J192:M192)</f>
        <v>0</v>
      </c>
      <c r="P192" s="84" t="str">
        <f>+IFERROR(J192/D192,"")</f>
        <v/>
      </c>
      <c r="Q192" s="84" t="str">
        <f>+IFERROR(K192/E192,"")</f>
        <v/>
      </c>
      <c r="R192" s="84" t="str">
        <f>+IFERROR(L192/F192,"")</f>
        <v/>
      </c>
      <c r="S192" s="84" t="str">
        <f>+IFERROR(M192/G192,"")</f>
        <v/>
      </c>
      <c r="T192" s="84" t="str">
        <f>+IFERROR(#REF!/#REF!,"")</f>
        <v/>
      </c>
      <c r="U192" s="84" t="str">
        <f>+IFERROR(#REF!/#REF!,"")</f>
        <v/>
      </c>
      <c r="V192" s="84" t="str">
        <f>+IFERROR(#REF!/#REF!,"")</f>
        <v/>
      </c>
      <c r="W192" s="84" t="str">
        <f>+IFERROR(#REF!/#REF!,"")</f>
        <v/>
      </c>
      <c r="X192" s="84" t="str">
        <f>+IFERROR(#REF!/#REF!,"")</f>
        <v/>
      </c>
      <c r="Y192" s="84" t="str">
        <f>+IFERROR(#REF!/#REF!,"")</f>
        <v/>
      </c>
      <c r="Z192" s="84" t="str">
        <f>+IFERROR(#REF!/#REF!,"")</f>
        <v/>
      </c>
      <c r="AA192" s="84" t="str">
        <f>+IFERROR(#REF!/#REF!,"")</f>
        <v/>
      </c>
      <c r="AB192" s="84" t="str">
        <f>+IFERROR(N192/H192,"")</f>
        <v/>
      </c>
      <c r="AD192" s="139" t="str">
        <f t="shared" si="18"/>
        <v/>
      </c>
      <c r="AE192" s="139" t="str">
        <f t="shared" si="18"/>
        <v/>
      </c>
      <c r="AF192" s="139" t="str">
        <f t="shared" si="18"/>
        <v/>
      </c>
      <c r="AG192" s="139" t="str">
        <f t="shared" si="18"/>
        <v/>
      </c>
      <c r="AH192" s="139" t="str">
        <f t="shared" si="18"/>
        <v/>
      </c>
      <c r="AI192" s="139" t="str">
        <f t="shared" si="18"/>
        <v/>
      </c>
      <c r="AJ192" s="139" t="str">
        <f t="shared" si="18"/>
        <v/>
      </c>
      <c r="AK192" s="139" t="str">
        <f t="shared" si="18"/>
        <v/>
      </c>
      <c r="AL192" s="139" t="str">
        <f t="shared" si="18"/>
        <v/>
      </c>
      <c r="AM192" s="139" t="str">
        <f t="shared" si="18"/>
        <v/>
      </c>
      <c r="AN192" s="139" t="str">
        <f t="shared" si="18"/>
        <v/>
      </c>
      <c r="AP192" s="82">
        <f t="shared" si="14"/>
        <v>0</v>
      </c>
      <c r="AQ192" s="82">
        <f t="shared" si="15"/>
        <v>0.99247210237271444</v>
      </c>
    </row>
    <row r="193" spans="2:43" x14ac:dyDescent="0.35">
      <c r="B193" s="83" t="s">
        <v>275</v>
      </c>
      <c r="D193" s="137">
        <v>36693</v>
      </c>
      <c r="E193" s="137">
        <v>40306</v>
      </c>
      <c r="F193" s="137">
        <v>37694</v>
      </c>
      <c r="G193" s="137">
        <v>7741</v>
      </c>
      <c r="H193" s="137">
        <f>+SUM(D193:G193)</f>
        <v>122434</v>
      </c>
      <c r="J193" s="137">
        <v>8643</v>
      </c>
      <c r="K193" s="137">
        <v>7424</v>
      </c>
      <c r="L193" s="137">
        <v>7104</v>
      </c>
      <c r="M193" s="137">
        <v>2050</v>
      </c>
      <c r="N193" s="137">
        <f>+SUM(J193:M193)</f>
        <v>25221</v>
      </c>
      <c r="P193" s="84">
        <f>+IFERROR(J193/D193,"")</f>
        <v>0.23554901479846294</v>
      </c>
      <c r="Q193" s="84">
        <f>+IFERROR(K193/E193,"")</f>
        <v>0.18419093931424602</v>
      </c>
      <c r="R193" s="84">
        <f>+IFERROR(L193/F193,"")</f>
        <v>0.18846500769353214</v>
      </c>
      <c r="S193" s="84">
        <f>+IFERROR(M193/G193,"")</f>
        <v>0.2648236661929983</v>
      </c>
      <c r="T193" s="84" t="str">
        <f>+IFERROR(#REF!/#REF!,"")</f>
        <v/>
      </c>
      <c r="U193" s="84" t="str">
        <f>+IFERROR(#REF!/#REF!,"")</f>
        <v/>
      </c>
      <c r="V193" s="84" t="str">
        <f>+IFERROR(#REF!/#REF!,"")</f>
        <v/>
      </c>
      <c r="W193" s="84" t="str">
        <f>+IFERROR(#REF!/#REF!,"")</f>
        <v/>
      </c>
      <c r="X193" s="84" t="str">
        <f>+IFERROR(#REF!/#REF!,"")</f>
        <v/>
      </c>
      <c r="Y193" s="84" t="str">
        <f>+IFERROR(#REF!/#REF!,"")</f>
        <v/>
      </c>
      <c r="Z193" s="84" t="str">
        <f>+IFERROR(#REF!/#REF!,"")</f>
        <v/>
      </c>
      <c r="AA193" s="84" t="str">
        <f>+IFERROR(#REF!/#REF!,"")</f>
        <v/>
      </c>
      <c r="AB193" s="84">
        <f>+IFERROR(N193/H193,"")</f>
        <v>0.20599670026299885</v>
      </c>
      <c r="AD193" s="139">
        <f t="shared" si="18"/>
        <v>-5.135807548421692E-2</v>
      </c>
      <c r="AE193" s="139">
        <f t="shared" si="18"/>
        <v>4.2740683792861223E-3</v>
      </c>
      <c r="AF193" s="139">
        <f t="shared" si="18"/>
        <v>7.6358658499466159E-2</v>
      </c>
      <c r="AG193" s="139" t="str">
        <f t="shared" si="18"/>
        <v/>
      </c>
      <c r="AH193" s="139" t="str">
        <f t="shared" si="18"/>
        <v/>
      </c>
      <c r="AI193" s="139" t="str">
        <f t="shared" si="18"/>
        <v/>
      </c>
      <c r="AJ193" s="139" t="str">
        <f t="shared" si="18"/>
        <v/>
      </c>
      <c r="AK193" s="139" t="str">
        <f t="shared" si="18"/>
        <v/>
      </c>
      <c r="AL193" s="139" t="str">
        <f t="shared" si="18"/>
        <v/>
      </c>
      <c r="AM193" s="139" t="str">
        <f t="shared" si="18"/>
        <v/>
      </c>
      <c r="AN193" s="139" t="str">
        <f t="shared" si="18"/>
        <v/>
      </c>
      <c r="AP193" s="82">
        <f t="shared" si="14"/>
        <v>3.0215762468151429E-5</v>
      </c>
      <c r="AQ193" s="82">
        <f t="shared" si="15"/>
        <v>0.99250231813518264</v>
      </c>
    </row>
    <row r="194" spans="2:43" x14ac:dyDescent="0.35">
      <c r="B194" s="83" t="s">
        <v>276</v>
      </c>
      <c r="D194" s="137">
        <v>29738</v>
      </c>
      <c r="E194" s="137">
        <v>22869</v>
      </c>
      <c r="F194" s="137">
        <v>22194</v>
      </c>
      <c r="G194" s="137">
        <v>3603</v>
      </c>
      <c r="H194" s="137">
        <f>+SUM(D194:G194)</f>
        <v>78404</v>
      </c>
      <c r="J194" s="137">
        <v>23080</v>
      </c>
      <c r="K194" s="137">
        <v>18565</v>
      </c>
      <c r="L194" s="137">
        <v>10280</v>
      </c>
      <c r="M194" s="137">
        <v>2831</v>
      </c>
      <c r="N194" s="137">
        <f>+SUM(J194:M194)</f>
        <v>54756</v>
      </c>
      <c r="P194" s="84">
        <f>+IFERROR(J194/D194,"")</f>
        <v>0.77611137265451613</v>
      </c>
      <c r="Q194" s="84">
        <f>+IFERROR(K194/E194,"")</f>
        <v>0.81179762997944815</v>
      </c>
      <c r="R194" s="84">
        <f>+IFERROR(L194/F194,"")</f>
        <v>0.46318824907632694</v>
      </c>
      <c r="S194" s="84">
        <f>+IFERROR(M194/G194,"")</f>
        <v>0.78573411046350261</v>
      </c>
      <c r="T194" s="84" t="str">
        <f>+IFERROR(#REF!/#REF!,"")</f>
        <v/>
      </c>
      <c r="U194" s="84" t="str">
        <f>+IFERROR(#REF!/#REF!,"")</f>
        <v/>
      </c>
      <c r="V194" s="84" t="str">
        <f>+IFERROR(#REF!/#REF!,"")</f>
        <v/>
      </c>
      <c r="W194" s="84" t="str">
        <f>+IFERROR(#REF!/#REF!,"")</f>
        <v/>
      </c>
      <c r="X194" s="84" t="str">
        <f>+IFERROR(#REF!/#REF!,"")</f>
        <v/>
      </c>
      <c r="Y194" s="84" t="str">
        <f>+IFERROR(#REF!/#REF!,"")</f>
        <v/>
      </c>
      <c r="Z194" s="84" t="str">
        <f>+IFERROR(#REF!/#REF!,"")</f>
        <v/>
      </c>
      <c r="AA194" s="84" t="str">
        <f>+IFERROR(#REF!/#REF!,"")</f>
        <v/>
      </c>
      <c r="AB194" s="84">
        <f>+IFERROR(N194/H194,"")</f>
        <v>0.69838273557471553</v>
      </c>
      <c r="AD194" s="139">
        <f t="shared" si="18"/>
        <v>3.5686257324932025E-2</v>
      </c>
      <c r="AE194" s="139">
        <f t="shared" si="18"/>
        <v>-0.34860938090312121</v>
      </c>
      <c r="AF194" s="139">
        <f t="shared" si="18"/>
        <v>0.32254586138717567</v>
      </c>
      <c r="AG194" s="139" t="str">
        <f t="shared" si="18"/>
        <v/>
      </c>
      <c r="AH194" s="139" t="str">
        <f t="shared" si="18"/>
        <v/>
      </c>
      <c r="AI194" s="139" t="str">
        <f t="shared" si="18"/>
        <v/>
      </c>
      <c r="AJ194" s="139" t="str">
        <f t="shared" si="18"/>
        <v/>
      </c>
      <c r="AK194" s="139" t="str">
        <f t="shared" si="18"/>
        <v/>
      </c>
      <c r="AL194" s="139" t="str">
        <f t="shared" si="18"/>
        <v/>
      </c>
      <c r="AM194" s="139" t="str">
        <f t="shared" si="18"/>
        <v/>
      </c>
      <c r="AN194" s="139" t="str">
        <f t="shared" si="18"/>
        <v/>
      </c>
      <c r="AP194" s="82">
        <f t="shared" si="14"/>
        <v>6.559986874850718E-5</v>
      </c>
      <c r="AQ194" s="82">
        <f t="shared" si="15"/>
        <v>0.99256791800393118</v>
      </c>
    </row>
    <row r="195" spans="2:43" x14ac:dyDescent="0.35">
      <c r="B195" s="83" t="s">
        <v>277</v>
      </c>
      <c r="D195" s="137"/>
      <c r="E195" s="137"/>
      <c r="F195" s="137"/>
      <c r="G195" s="137"/>
      <c r="H195" s="137">
        <f>+SUM(D195:G195)</f>
        <v>0</v>
      </c>
      <c r="J195" s="137"/>
      <c r="K195" s="137"/>
      <c r="L195" s="137"/>
      <c r="M195" s="137"/>
      <c r="N195" s="137">
        <f>+SUM(J195:M195)</f>
        <v>0</v>
      </c>
      <c r="P195" s="84" t="str">
        <f>+IFERROR(J195/D195,"")</f>
        <v/>
      </c>
      <c r="Q195" s="84" t="str">
        <f>+IFERROR(K195/E195,"")</f>
        <v/>
      </c>
      <c r="R195" s="84" t="str">
        <f>+IFERROR(L195/F195,"")</f>
        <v/>
      </c>
      <c r="S195" s="84" t="str">
        <f>+IFERROR(M195/G195,"")</f>
        <v/>
      </c>
      <c r="T195" s="84" t="str">
        <f>+IFERROR(#REF!/#REF!,"")</f>
        <v/>
      </c>
      <c r="U195" s="84" t="str">
        <f>+IFERROR(#REF!/#REF!,"")</f>
        <v/>
      </c>
      <c r="V195" s="84" t="str">
        <f>+IFERROR(#REF!/#REF!,"")</f>
        <v/>
      </c>
      <c r="W195" s="84" t="str">
        <f>+IFERROR(#REF!/#REF!,"")</f>
        <v/>
      </c>
      <c r="X195" s="84" t="str">
        <f>+IFERROR(#REF!/#REF!,"")</f>
        <v/>
      </c>
      <c r="Y195" s="84" t="str">
        <f>+IFERROR(#REF!/#REF!,"")</f>
        <v/>
      </c>
      <c r="Z195" s="84" t="str">
        <f>+IFERROR(#REF!/#REF!,"")</f>
        <v/>
      </c>
      <c r="AA195" s="84" t="str">
        <f>+IFERROR(#REF!/#REF!,"")</f>
        <v/>
      </c>
      <c r="AB195" s="84" t="str">
        <f>+IFERROR(N195/H195,"")</f>
        <v/>
      </c>
      <c r="AD195" s="139" t="str">
        <f t="shared" si="18"/>
        <v/>
      </c>
      <c r="AE195" s="139" t="str">
        <f t="shared" si="18"/>
        <v/>
      </c>
      <c r="AF195" s="139" t="str">
        <f t="shared" si="18"/>
        <v/>
      </c>
      <c r="AG195" s="139" t="str">
        <f t="shared" si="18"/>
        <v/>
      </c>
      <c r="AH195" s="139" t="str">
        <f t="shared" si="18"/>
        <v/>
      </c>
      <c r="AI195" s="139" t="str">
        <f t="shared" si="18"/>
        <v/>
      </c>
      <c r="AJ195" s="139" t="str">
        <f t="shared" si="18"/>
        <v/>
      </c>
      <c r="AK195" s="139" t="str">
        <f t="shared" si="18"/>
        <v/>
      </c>
      <c r="AL195" s="139" t="str">
        <f t="shared" si="18"/>
        <v/>
      </c>
      <c r="AM195" s="139" t="str">
        <f t="shared" si="18"/>
        <v/>
      </c>
      <c r="AN195" s="139" t="str">
        <f t="shared" si="18"/>
        <v/>
      </c>
      <c r="AP195" s="82">
        <f t="shared" si="14"/>
        <v>0</v>
      </c>
      <c r="AQ195" s="82">
        <f t="shared" si="15"/>
        <v>0.99256791800393118</v>
      </c>
    </row>
    <row r="196" spans="2:43" x14ac:dyDescent="0.35">
      <c r="B196" s="83" t="s">
        <v>278</v>
      </c>
      <c r="D196" s="137">
        <v>7671</v>
      </c>
      <c r="E196" s="137"/>
      <c r="F196" s="137"/>
      <c r="G196" s="137"/>
      <c r="H196" s="137">
        <f>+SUM(D196:G196)</f>
        <v>7671</v>
      </c>
      <c r="J196" s="137">
        <v>2841</v>
      </c>
      <c r="K196" s="137"/>
      <c r="L196" s="137"/>
      <c r="M196" s="137"/>
      <c r="N196" s="137">
        <f>+SUM(J196:M196)</f>
        <v>2841</v>
      </c>
      <c r="P196" s="84">
        <f>+IFERROR(J196/D196,"")</f>
        <v>0.37035588580367618</v>
      </c>
      <c r="Q196" s="84" t="str">
        <f>+IFERROR(K196/E196,"")</f>
        <v/>
      </c>
      <c r="R196" s="84" t="str">
        <f>+IFERROR(L196/F196,"")</f>
        <v/>
      </c>
      <c r="S196" s="84" t="str">
        <f>+IFERROR(M196/G196,"")</f>
        <v/>
      </c>
      <c r="T196" s="84" t="str">
        <f>+IFERROR(#REF!/#REF!,"")</f>
        <v/>
      </c>
      <c r="U196" s="84" t="str">
        <f>+IFERROR(#REF!/#REF!,"")</f>
        <v/>
      </c>
      <c r="V196" s="84" t="str">
        <f>+IFERROR(#REF!/#REF!,"")</f>
        <v/>
      </c>
      <c r="W196" s="84" t="str">
        <f>+IFERROR(#REF!/#REF!,"")</f>
        <v/>
      </c>
      <c r="X196" s="84" t="str">
        <f>+IFERROR(#REF!/#REF!,"")</f>
        <v/>
      </c>
      <c r="Y196" s="84" t="str">
        <f>+IFERROR(#REF!/#REF!,"")</f>
        <v/>
      </c>
      <c r="Z196" s="84" t="str">
        <f>+IFERROR(#REF!/#REF!,"")</f>
        <v/>
      </c>
      <c r="AA196" s="84" t="str">
        <f>+IFERROR(#REF!/#REF!,"")</f>
        <v/>
      </c>
      <c r="AB196" s="84">
        <f>+IFERROR(N196/H196,"")</f>
        <v>0.37035588580367618</v>
      </c>
      <c r="AD196" s="139" t="str">
        <f t="shared" si="18"/>
        <v/>
      </c>
      <c r="AE196" s="139" t="str">
        <f t="shared" si="18"/>
        <v/>
      </c>
      <c r="AF196" s="139" t="str">
        <f t="shared" si="18"/>
        <v/>
      </c>
      <c r="AG196" s="139" t="str">
        <f t="shared" si="18"/>
        <v/>
      </c>
      <c r="AH196" s="139" t="str">
        <f t="shared" si="18"/>
        <v/>
      </c>
      <c r="AI196" s="139" t="str">
        <f t="shared" si="18"/>
        <v/>
      </c>
      <c r="AJ196" s="139" t="str">
        <f t="shared" si="18"/>
        <v/>
      </c>
      <c r="AK196" s="139" t="str">
        <f t="shared" si="18"/>
        <v/>
      </c>
      <c r="AL196" s="139" t="str">
        <f t="shared" si="18"/>
        <v/>
      </c>
      <c r="AM196" s="139" t="str">
        <f t="shared" si="18"/>
        <v/>
      </c>
      <c r="AN196" s="139" t="str">
        <f t="shared" si="18"/>
        <v/>
      </c>
      <c r="AP196" s="82">
        <f t="shared" ref="AP196:AP234" si="19">+N196/$N$235</f>
        <v>3.4036311475365055E-6</v>
      </c>
      <c r="AQ196" s="82">
        <f t="shared" si="15"/>
        <v>0.99257132163507877</v>
      </c>
    </row>
    <row r="197" spans="2:43" x14ac:dyDescent="0.35">
      <c r="B197" s="83" t="s">
        <v>279</v>
      </c>
      <c r="D197" s="137">
        <v>262899</v>
      </c>
      <c r="E197" s="137">
        <v>282473</v>
      </c>
      <c r="F197" s="137">
        <v>361024</v>
      </c>
      <c r="G197" s="137">
        <v>16440</v>
      </c>
      <c r="H197" s="137">
        <f>+SUM(D197:G197)</f>
        <v>922836</v>
      </c>
      <c r="J197" s="137">
        <v>23941</v>
      </c>
      <c r="K197" s="137">
        <v>67483</v>
      </c>
      <c r="L197" s="137">
        <v>57565</v>
      </c>
      <c r="M197" s="137">
        <v>2731</v>
      </c>
      <c r="N197" s="137">
        <f>+SUM(J197:M197)</f>
        <v>151720</v>
      </c>
      <c r="P197" s="84">
        <f>+IFERROR(J197/D197,"")</f>
        <v>9.1065390130810692E-2</v>
      </c>
      <c r="Q197" s="84">
        <f>+IFERROR(K197/E197,"")</f>
        <v>0.23890070909432051</v>
      </c>
      <c r="R197" s="84">
        <f>+IFERROR(L197/F197,"")</f>
        <v>0.1594492332919695</v>
      </c>
      <c r="S197" s="84">
        <f>+IFERROR(M197/G197,"")</f>
        <v>0.1661192214111922</v>
      </c>
      <c r="T197" s="84" t="str">
        <f>+IFERROR(#REF!/#REF!,"")</f>
        <v/>
      </c>
      <c r="U197" s="84" t="str">
        <f>+IFERROR(#REF!/#REF!,"")</f>
        <v/>
      </c>
      <c r="V197" s="84" t="str">
        <f>+IFERROR(#REF!/#REF!,"")</f>
        <v/>
      </c>
      <c r="W197" s="84" t="str">
        <f>+IFERROR(#REF!/#REF!,"")</f>
        <v/>
      </c>
      <c r="X197" s="84" t="str">
        <f>+IFERROR(#REF!/#REF!,"")</f>
        <v/>
      </c>
      <c r="Y197" s="84" t="str">
        <f>+IFERROR(#REF!/#REF!,"")</f>
        <v/>
      </c>
      <c r="Z197" s="84" t="str">
        <f>+IFERROR(#REF!/#REF!,"")</f>
        <v/>
      </c>
      <c r="AA197" s="84" t="str">
        <f>+IFERROR(#REF!/#REF!,"")</f>
        <v/>
      </c>
      <c r="AB197" s="84">
        <f>+IFERROR(N197/H197,"")</f>
        <v>0.16440624336285103</v>
      </c>
      <c r="AD197" s="139">
        <f t="shared" si="18"/>
        <v>0.14783531896350982</v>
      </c>
      <c r="AE197" s="139">
        <f t="shared" si="18"/>
        <v>-7.9451475802351013E-2</v>
      </c>
      <c r="AF197" s="139">
        <f t="shared" si="18"/>
        <v>6.6699881192227028E-3</v>
      </c>
      <c r="AG197" s="139" t="str">
        <f t="shared" si="18"/>
        <v/>
      </c>
      <c r="AH197" s="139" t="str">
        <f t="shared" si="18"/>
        <v/>
      </c>
      <c r="AI197" s="139" t="str">
        <f t="shared" si="18"/>
        <v/>
      </c>
      <c r="AJ197" s="139" t="str">
        <f t="shared" si="18"/>
        <v/>
      </c>
      <c r="AK197" s="139" t="str">
        <f t="shared" si="18"/>
        <v/>
      </c>
      <c r="AL197" s="139" t="str">
        <f t="shared" si="18"/>
        <v/>
      </c>
      <c r="AM197" s="139" t="str">
        <f t="shared" si="18"/>
        <v/>
      </c>
      <c r="AN197" s="139" t="str">
        <f t="shared" si="18"/>
        <v/>
      </c>
      <c r="AP197" s="82">
        <f t="shared" si="19"/>
        <v>1.8176660250061199E-4</v>
      </c>
      <c r="AQ197" s="82">
        <f t="shared" si="15"/>
        <v>0.99275308823757935</v>
      </c>
    </row>
    <row r="198" spans="2:43" x14ac:dyDescent="0.35">
      <c r="B198" s="83" t="s">
        <v>280</v>
      </c>
      <c r="D198" s="137"/>
      <c r="E198" s="137">
        <v>4914</v>
      </c>
      <c r="F198" s="137">
        <v>1125</v>
      </c>
      <c r="G198" s="137"/>
      <c r="H198" s="137">
        <f>+SUM(D198:G198)</f>
        <v>6039</v>
      </c>
      <c r="J198" s="137"/>
      <c r="K198" s="137">
        <v>461</v>
      </c>
      <c r="L198" s="137">
        <v>475</v>
      </c>
      <c r="M198" s="137"/>
      <c r="N198" s="137">
        <f>+SUM(J198:M198)</f>
        <v>936</v>
      </c>
      <c r="P198" s="84" t="str">
        <f>+IFERROR(J198/D198,"")</f>
        <v/>
      </c>
      <c r="Q198" s="84">
        <f>+IFERROR(K198/E198,"")</f>
        <v>9.3813593813593818E-2</v>
      </c>
      <c r="R198" s="84">
        <f>+IFERROR(L198/F198,"")</f>
        <v>0.42222222222222222</v>
      </c>
      <c r="S198" s="84" t="str">
        <f>+IFERROR(M198/G198,"")</f>
        <v/>
      </c>
      <c r="T198" s="84" t="str">
        <f>+IFERROR(#REF!/#REF!,"")</f>
        <v/>
      </c>
      <c r="U198" s="84" t="str">
        <f>+IFERROR(#REF!/#REF!,"")</f>
        <v/>
      </c>
      <c r="V198" s="84" t="str">
        <f>+IFERROR(#REF!/#REF!,"")</f>
        <v/>
      </c>
      <c r="W198" s="84" t="str">
        <f>+IFERROR(#REF!/#REF!,"")</f>
        <v/>
      </c>
      <c r="X198" s="84" t="str">
        <f>+IFERROR(#REF!/#REF!,"")</f>
        <v/>
      </c>
      <c r="Y198" s="84" t="str">
        <f>+IFERROR(#REF!/#REF!,"")</f>
        <v/>
      </c>
      <c r="Z198" s="84" t="str">
        <f>+IFERROR(#REF!/#REF!,"")</f>
        <v/>
      </c>
      <c r="AA198" s="84" t="str">
        <f>+IFERROR(#REF!/#REF!,"")</f>
        <v/>
      </c>
      <c r="AB198" s="84">
        <f>+IFERROR(N198/H198,"")</f>
        <v>0.15499254843517138</v>
      </c>
      <c r="AD198" s="139" t="str">
        <f t="shared" si="18"/>
        <v/>
      </c>
      <c r="AE198" s="139">
        <f t="shared" si="18"/>
        <v>0.32840862840862839</v>
      </c>
      <c r="AF198" s="139" t="str">
        <f t="shared" si="18"/>
        <v/>
      </c>
      <c r="AG198" s="139" t="str">
        <f t="shared" si="18"/>
        <v/>
      </c>
      <c r="AH198" s="139" t="str">
        <f t="shared" si="18"/>
        <v/>
      </c>
      <c r="AI198" s="139" t="str">
        <f t="shared" si="18"/>
        <v/>
      </c>
      <c r="AJ198" s="139" t="str">
        <f t="shared" si="18"/>
        <v/>
      </c>
      <c r="AK198" s="139" t="str">
        <f t="shared" si="18"/>
        <v/>
      </c>
      <c r="AL198" s="139" t="str">
        <f t="shared" si="18"/>
        <v/>
      </c>
      <c r="AM198" s="139" t="str">
        <f t="shared" si="18"/>
        <v/>
      </c>
      <c r="AN198" s="139" t="str">
        <f t="shared" si="18"/>
        <v/>
      </c>
      <c r="AP198" s="82">
        <f t="shared" si="19"/>
        <v>1.1213652777522596E-6</v>
      </c>
      <c r="AQ198" s="82">
        <f t="shared" ref="AQ198:AQ234" si="20">+AP198+AQ197</f>
        <v>0.9927542096028571</v>
      </c>
    </row>
    <row r="199" spans="2:43" x14ac:dyDescent="0.35">
      <c r="B199" s="83" t="s">
        <v>281</v>
      </c>
      <c r="D199" s="137">
        <v>98688</v>
      </c>
      <c r="E199" s="137">
        <v>54361</v>
      </c>
      <c r="F199" s="137">
        <v>63785</v>
      </c>
      <c r="G199" s="137"/>
      <c r="H199" s="137">
        <f>+SUM(D199:G199)</f>
        <v>216834</v>
      </c>
      <c r="J199" s="137">
        <v>7376</v>
      </c>
      <c r="K199" s="137">
        <v>5901</v>
      </c>
      <c r="L199" s="137">
        <v>5345</v>
      </c>
      <c r="M199" s="137"/>
      <c r="N199" s="137">
        <f>+SUM(J199:M199)</f>
        <v>18622</v>
      </c>
      <c r="P199" s="84">
        <f>+IFERROR(J199/D199,"")</f>
        <v>7.4740596627756159E-2</v>
      </c>
      <c r="Q199" s="84">
        <f>+IFERROR(K199/E199,"")</f>
        <v>0.10855208697411747</v>
      </c>
      <c r="R199" s="84">
        <f>+IFERROR(L199/F199,"")</f>
        <v>8.3797130986909149E-2</v>
      </c>
      <c r="S199" s="84" t="str">
        <f>+IFERROR(M199/G199,"")</f>
        <v/>
      </c>
      <c r="T199" s="84" t="str">
        <f>+IFERROR(#REF!/#REF!,"")</f>
        <v/>
      </c>
      <c r="U199" s="84" t="str">
        <f>+IFERROR(#REF!/#REF!,"")</f>
        <v/>
      </c>
      <c r="V199" s="84" t="str">
        <f>+IFERROR(#REF!/#REF!,"")</f>
        <v/>
      </c>
      <c r="W199" s="84" t="str">
        <f>+IFERROR(#REF!/#REF!,"")</f>
        <v/>
      </c>
      <c r="X199" s="84" t="str">
        <f>+IFERROR(#REF!/#REF!,"")</f>
        <v/>
      </c>
      <c r="Y199" s="84" t="str">
        <f>+IFERROR(#REF!/#REF!,"")</f>
        <v/>
      </c>
      <c r="Z199" s="84" t="str">
        <f>+IFERROR(#REF!/#REF!,"")</f>
        <v/>
      </c>
      <c r="AA199" s="84" t="str">
        <f>+IFERROR(#REF!/#REF!,"")</f>
        <v/>
      </c>
      <c r="AB199" s="84">
        <f>+IFERROR(N199/H199,"")</f>
        <v>8.5881365468515089E-2</v>
      </c>
      <c r="AD199" s="139">
        <f t="shared" si="18"/>
        <v>3.3811490346361314E-2</v>
      </c>
      <c r="AE199" s="139">
        <f t="shared" si="18"/>
        <v>-2.4754955987208324E-2</v>
      </c>
      <c r="AF199" s="139" t="str">
        <f t="shared" si="18"/>
        <v/>
      </c>
      <c r="AG199" s="139" t="str">
        <f t="shared" si="18"/>
        <v/>
      </c>
      <c r="AH199" s="139" t="str">
        <f t="shared" si="18"/>
        <v/>
      </c>
      <c r="AI199" s="139" t="str">
        <f t="shared" si="18"/>
        <v/>
      </c>
      <c r="AJ199" s="139" t="str">
        <f t="shared" si="18"/>
        <v/>
      </c>
      <c r="AK199" s="139" t="str">
        <f t="shared" si="18"/>
        <v/>
      </c>
      <c r="AL199" s="139" t="str">
        <f t="shared" si="18"/>
        <v/>
      </c>
      <c r="AM199" s="139" t="str">
        <f t="shared" si="18"/>
        <v/>
      </c>
      <c r="AN199" s="139" t="str">
        <f t="shared" si="18"/>
        <v/>
      </c>
      <c r="AP199" s="82">
        <f t="shared" si="19"/>
        <v>2.2309897652032668E-5</v>
      </c>
      <c r="AQ199" s="82">
        <f t="shared" si="20"/>
        <v>0.99277651950050916</v>
      </c>
    </row>
    <row r="200" spans="2:43" x14ac:dyDescent="0.35">
      <c r="B200" s="83" t="s">
        <v>282</v>
      </c>
      <c r="D200" s="137">
        <v>212737</v>
      </c>
      <c r="E200" s="137">
        <v>239832</v>
      </c>
      <c r="F200" s="137">
        <v>249468</v>
      </c>
      <c r="G200" s="137">
        <v>48283</v>
      </c>
      <c r="H200" s="137">
        <f>+SUM(D200:G200)</f>
        <v>750320</v>
      </c>
      <c r="J200" s="137">
        <v>41297</v>
      </c>
      <c r="K200" s="137">
        <v>43573</v>
      </c>
      <c r="L200" s="137">
        <v>47911</v>
      </c>
      <c r="M200" s="137">
        <v>8478</v>
      </c>
      <c r="N200" s="137">
        <f>+SUM(J200:M200)</f>
        <v>141259</v>
      </c>
      <c r="P200" s="84">
        <f>+IFERROR(J200/D200,"")</f>
        <v>0.19412232004775851</v>
      </c>
      <c r="Q200" s="84">
        <f>+IFERROR(K200/E200,"")</f>
        <v>0.18168134360719171</v>
      </c>
      <c r="R200" s="84">
        <f>+IFERROR(L200/F200,"")</f>
        <v>0.19205268812032003</v>
      </c>
      <c r="S200" s="84">
        <f>+IFERROR(M200/G200,"")</f>
        <v>0.17558975208665575</v>
      </c>
      <c r="T200" s="84" t="str">
        <f>+IFERROR(#REF!/#REF!,"")</f>
        <v/>
      </c>
      <c r="U200" s="84" t="str">
        <f>+IFERROR(#REF!/#REF!,"")</f>
        <v/>
      </c>
      <c r="V200" s="84" t="str">
        <f>+IFERROR(#REF!/#REF!,"")</f>
        <v/>
      </c>
      <c r="W200" s="84" t="str">
        <f>+IFERROR(#REF!/#REF!,"")</f>
        <v/>
      </c>
      <c r="X200" s="84" t="str">
        <f>+IFERROR(#REF!/#REF!,"")</f>
        <v/>
      </c>
      <c r="Y200" s="84" t="str">
        <f>+IFERROR(#REF!/#REF!,"")</f>
        <v/>
      </c>
      <c r="Z200" s="84" t="str">
        <f>+IFERROR(#REF!/#REF!,"")</f>
        <v/>
      </c>
      <c r="AA200" s="84" t="str">
        <f>+IFERROR(#REF!/#REF!,"")</f>
        <v/>
      </c>
      <c r="AB200" s="84">
        <f>+IFERROR(N200/H200,"")</f>
        <v>0.18826500693037637</v>
      </c>
      <c r="AD200" s="139">
        <f t="shared" si="18"/>
        <v>-1.2440976440566798E-2</v>
      </c>
      <c r="AE200" s="139">
        <f t="shared" si="18"/>
        <v>1.0371344513128322E-2</v>
      </c>
      <c r="AF200" s="139">
        <f t="shared" si="18"/>
        <v>-1.6462936033664277E-2</v>
      </c>
      <c r="AG200" s="139" t="str">
        <f t="shared" si="18"/>
        <v/>
      </c>
      <c r="AH200" s="139" t="str">
        <f t="shared" si="18"/>
        <v/>
      </c>
      <c r="AI200" s="139" t="str">
        <f t="shared" si="18"/>
        <v/>
      </c>
      <c r="AJ200" s="139" t="str">
        <f t="shared" si="18"/>
        <v/>
      </c>
      <c r="AK200" s="139" t="str">
        <f t="shared" si="18"/>
        <v/>
      </c>
      <c r="AL200" s="139" t="str">
        <f t="shared" si="18"/>
        <v/>
      </c>
      <c r="AM200" s="139" t="str">
        <f t="shared" si="18"/>
        <v/>
      </c>
      <c r="AN200" s="139" t="str">
        <f t="shared" si="18"/>
        <v/>
      </c>
      <c r="AP200" s="82">
        <f t="shared" si="19"/>
        <v>1.6923390787393849E-4</v>
      </c>
      <c r="AQ200" s="82">
        <f t="shared" si="20"/>
        <v>0.99294575340838309</v>
      </c>
    </row>
    <row r="201" spans="2:43" x14ac:dyDescent="0.35">
      <c r="B201" s="83" t="s">
        <v>283</v>
      </c>
      <c r="D201" s="137">
        <v>1951</v>
      </c>
      <c r="E201" s="137">
        <v>2391</v>
      </c>
      <c r="F201" s="137">
        <v>4863</v>
      </c>
      <c r="G201" s="137">
        <v>646</v>
      </c>
      <c r="H201" s="137">
        <f>+SUM(D201:G201)</f>
        <v>9851</v>
      </c>
      <c r="J201" s="137">
        <v>256</v>
      </c>
      <c r="K201" s="137">
        <v>442</v>
      </c>
      <c r="L201" s="137">
        <v>912</v>
      </c>
      <c r="M201" s="137">
        <v>102</v>
      </c>
      <c r="N201" s="137">
        <f>+SUM(J201:M201)</f>
        <v>1712</v>
      </c>
      <c r="P201" s="84">
        <f>+IFERROR(J201/D201,"")</f>
        <v>0.13121476166068682</v>
      </c>
      <c r="Q201" s="84">
        <f>+IFERROR(K201/E201,"")</f>
        <v>0.18485989125888749</v>
      </c>
      <c r="R201" s="84">
        <f>+IFERROR(L201/F201,"")</f>
        <v>0.18753855644663789</v>
      </c>
      <c r="S201" s="84">
        <f>+IFERROR(M201/G201,"")</f>
        <v>0.15789473684210525</v>
      </c>
      <c r="T201" s="84" t="str">
        <f>+IFERROR(#REF!/#REF!,"")</f>
        <v/>
      </c>
      <c r="U201" s="84" t="str">
        <f>+IFERROR(#REF!/#REF!,"")</f>
        <v/>
      </c>
      <c r="V201" s="84" t="str">
        <f>+IFERROR(#REF!/#REF!,"")</f>
        <v/>
      </c>
      <c r="W201" s="84" t="str">
        <f>+IFERROR(#REF!/#REF!,"")</f>
        <v/>
      </c>
      <c r="X201" s="84" t="str">
        <f>+IFERROR(#REF!/#REF!,"")</f>
        <v/>
      </c>
      <c r="Y201" s="84" t="str">
        <f>+IFERROR(#REF!/#REF!,"")</f>
        <v/>
      </c>
      <c r="Z201" s="84" t="str">
        <f>+IFERROR(#REF!/#REF!,"")</f>
        <v/>
      </c>
      <c r="AA201" s="84" t="str">
        <f>+IFERROR(#REF!/#REF!,"")</f>
        <v/>
      </c>
      <c r="AB201" s="84">
        <f>+IFERROR(N201/H201,"")</f>
        <v>0.17378946299868034</v>
      </c>
      <c r="AD201" s="139">
        <f t="shared" si="18"/>
        <v>5.3645129598200669E-2</v>
      </c>
      <c r="AE201" s="139">
        <f t="shared" si="18"/>
        <v>2.6786651877503953E-3</v>
      </c>
      <c r="AF201" s="139">
        <f t="shared" si="18"/>
        <v>-2.9643819604532634E-2</v>
      </c>
      <c r="AG201" s="139" t="str">
        <f t="shared" si="18"/>
        <v/>
      </c>
      <c r="AH201" s="139" t="str">
        <f t="shared" si="18"/>
        <v/>
      </c>
      <c r="AI201" s="139" t="str">
        <f t="shared" si="18"/>
        <v/>
      </c>
      <c r="AJ201" s="139" t="str">
        <f t="shared" si="18"/>
        <v/>
      </c>
      <c r="AK201" s="139" t="str">
        <f t="shared" si="18"/>
        <v/>
      </c>
      <c r="AL201" s="139" t="str">
        <f t="shared" si="18"/>
        <v/>
      </c>
      <c r="AM201" s="139" t="str">
        <f t="shared" si="18"/>
        <v/>
      </c>
      <c r="AN201" s="139" t="str">
        <f t="shared" si="18"/>
        <v/>
      </c>
      <c r="AP201" s="82">
        <f t="shared" si="19"/>
        <v>2.0510441832391756E-6</v>
      </c>
      <c r="AQ201" s="82">
        <f t="shared" si="20"/>
        <v>0.99294780445256636</v>
      </c>
    </row>
    <row r="202" spans="2:43" x14ac:dyDescent="0.35">
      <c r="B202" s="83" t="s">
        <v>284</v>
      </c>
      <c r="D202" s="137">
        <v>43778</v>
      </c>
      <c r="E202" s="137">
        <v>61429</v>
      </c>
      <c r="F202" s="137">
        <v>60107</v>
      </c>
      <c r="G202" s="137">
        <v>2920</v>
      </c>
      <c r="H202" s="137">
        <f>+SUM(D202:G202)</f>
        <v>168234</v>
      </c>
      <c r="J202" s="137">
        <v>7888</v>
      </c>
      <c r="K202" s="137">
        <v>7422</v>
      </c>
      <c r="L202" s="137">
        <v>3160</v>
      </c>
      <c r="M202" s="137">
        <v>155</v>
      </c>
      <c r="N202" s="137">
        <f>+SUM(J202:M202)</f>
        <v>18625</v>
      </c>
      <c r="P202" s="84">
        <f>+IFERROR(J202/D202,"")</f>
        <v>0.18018182648819042</v>
      </c>
      <c r="Q202" s="84">
        <f>+IFERROR(K202/E202,"")</f>
        <v>0.12082241286688697</v>
      </c>
      <c r="R202" s="84">
        <f>+IFERROR(L202/F202,"")</f>
        <v>5.257291164090705E-2</v>
      </c>
      <c r="S202" s="84">
        <f>+IFERROR(M202/G202,"")</f>
        <v>5.3082191780821915E-2</v>
      </c>
      <c r="T202" s="84" t="str">
        <f>+IFERROR(#REF!/#REF!,"")</f>
        <v/>
      </c>
      <c r="U202" s="84" t="str">
        <f>+IFERROR(#REF!/#REF!,"")</f>
        <v/>
      </c>
      <c r="V202" s="84" t="str">
        <f>+IFERROR(#REF!/#REF!,"")</f>
        <v/>
      </c>
      <c r="W202" s="84" t="str">
        <f>+IFERROR(#REF!/#REF!,"")</f>
        <v/>
      </c>
      <c r="X202" s="84" t="str">
        <f>+IFERROR(#REF!/#REF!,"")</f>
        <v/>
      </c>
      <c r="Y202" s="84" t="str">
        <f>+IFERROR(#REF!/#REF!,"")</f>
        <v/>
      </c>
      <c r="Z202" s="84" t="str">
        <f>+IFERROR(#REF!/#REF!,"")</f>
        <v/>
      </c>
      <c r="AA202" s="84" t="str">
        <f>+IFERROR(#REF!/#REF!,"")</f>
        <v/>
      </c>
      <c r="AB202" s="84">
        <f>+IFERROR(N202/H202,"")</f>
        <v>0.11070889356491553</v>
      </c>
      <c r="AD202" s="139">
        <f t="shared" si="18"/>
        <v>-5.9359413621303453E-2</v>
      </c>
      <c r="AE202" s="139">
        <f t="shared" si="18"/>
        <v>-6.8249501225979919E-2</v>
      </c>
      <c r="AF202" s="139">
        <f t="shared" si="18"/>
        <v>5.0928013991486526E-4</v>
      </c>
      <c r="AG202" s="139" t="str">
        <f t="shared" si="18"/>
        <v/>
      </c>
      <c r="AH202" s="139" t="str">
        <f t="shared" si="18"/>
        <v/>
      </c>
      <c r="AI202" s="139" t="str">
        <f t="shared" si="18"/>
        <v/>
      </c>
      <c r="AJ202" s="139" t="str">
        <f t="shared" si="18"/>
        <v/>
      </c>
      <c r="AK202" s="139" t="str">
        <f t="shared" si="18"/>
        <v/>
      </c>
      <c r="AL202" s="139" t="str">
        <f t="shared" si="18"/>
        <v/>
      </c>
      <c r="AM202" s="139" t="str">
        <f t="shared" si="18"/>
        <v/>
      </c>
      <c r="AN202" s="139" t="str">
        <f t="shared" si="18"/>
        <v/>
      </c>
      <c r="AP202" s="82">
        <f t="shared" si="19"/>
        <v>2.2313491771512643E-5</v>
      </c>
      <c r="AQ202" s="82">
        <f t="shared" si="20"/>
        <v>0.99297011794433787</v>
      </c>
    </row>
    <row r="203" spans="2:43" x14ac:dyDescent="0.35">
      <c r="B203" s="83" t="s">
        <v>296</v>
      </c>
      <c r="D203" s="137">
        <v>60844</v>
      </c>
      <c r="E203" s="137">
        <v>98467</v>
      </c>
      <c r="F203" s="137">
        <v>109876</v>
      </c>
      <c r="G203" s="137">
        <v>19140</v>
      </c>
      <c r="H203" s="137">
        <f>+SUM(D203:G203)</f>
        <v>288327</v>
      </c>
      <c r="J203" s="137">
        <v>55122</v>
      </c>
      <c r="K203" s="137">
        <v>93272</v>
      </c>
      <c r="L203" s="137">
        <v>107377</v>
      </c>
      <c r="M203" s="137">
        <v>16103</v>
      </c>
      <c r="N203" s="137">
        <f>+SUM(J203:M203)</f>
        <v>271874</v>
      </c>
      <c r="P203" s="84">
        <f>+IFERROR(J203/D203,"")</f>
        <v>0.90595621589639075</v>
      </c>
      <c r="Q203" s="84">
        <f>+IFERROR(K203/E203,"")</f>
        <v>0.94724120771425957</v>
      </c>
      <c r="R203" s="84">
        <f>+IFERROR(L203/F203,"")</f>
        <v>0.97725617969347267</v>
      </c>
      <c r="S203" s="84">
        <f>+IFERROR(M203/G203,"")</f>
        <v>0.84132706374085686</v>
      </c>
      <c r="T203" s="84" t="str">
        <f>+IFERROR(#REF!/#REF!,"")</f>
        <v/>
      </c>
      <c r="U203" s="84" t="str">
        <f>+IFERROR(#REF!/#REF!,"")</f>
        <v/>
      </c>
      <c r="V203" s="84" t="str">
        <f>+IFERROR(#REF!/#REF!,"")</f>
        <v/>
      </c>
      <c r="W203" s="84" t="str">
        <f>+IFERROR(#REF!/#REF!,"")</f>
        <v/>
      </c>
      <c r="X203" s="84" t="str">
        <f>+IFERROR(#REF!/#REF!,"")</f>
        <v/>
      </c>
      <c r="Y203" s="84" t="str">
        <f>+IFERROR(#REF!/#REF!,"")</f>
        <v/>
      </c>
      <c r="Z203" s="84" t="str">
        <f>+IFERROR(#REF!/#REF!,"")</f>
        <v/>
      </c>
      <c r="AA203" s="84" t="str">
        <f>+IFERROR(#REF!/#REF!,"")</f>
        <v/>
      </c>
      <c r="AB203" s="84">
        <f>+IFERROR(N203/H203,"")</f>
        <v>0.94293631883243678</v>
      </c>
      <c r="AD203" s="139">
        <f t="shared" si="18"/>
        <v>4.1284991817868821E-2</v>
      </c>
      <c r="AE203" s="139">
        <f t="shared" si="18"/>
        <v>3.0014971979213101E-2</v>
      </c>
      <c r="AF203" s="139">
        <f t="shared" ref="AF203:AN218" si="21">+IFERROR(S203-R203,"")</f>
        <v>-0.13592911595261581</v>
      </c>
      <c r="AG203" s="139" t="str">
        <f t="shared" si="21"/>
        <v/>
      </c>
      <c r="AH203" s="139" t="str">
        <f t="shared" si="21"/>
        <v/>
      </c>
      <c r="AI203" s="139" t="str">
        <f t="shared" si="21"/>
        <v/>
      </c>
      <c r="AJ203" s="139" t="str">
        <f t="shared" si="21"/>
        <v/>
      </c>
      <c r="AK203" s="139" t="str">
        <f t="shared" si="21"/>
        <v/>
      </c>
      <c r="AL203" s="139" t="str">
        <f t="shared" si="21"/>
        <v/>
      </c>
      <c r="AM203" s="139" t="str">
        <f t="shared" si="21"/>
        <v/>
      </c>
      <c r="AN203" s="139" t="str">
        <f t="shared" si="21"/>
        <v/>
      </c>
      <c r="AP203" s="82">
        <f t="shared" si="19"/>
        <v>3.2571587983292502E-4</v>
      </c>
      <c r="AQ203" s="82">
        <f t="shared" si="20"/>
        <v>0.99329583382417075</v>
      </c>
    </row>
    <row r="204" spans="2:43" x14ac:dyDescent="0.35">
      <c r="B204" s="83" t="s">
        <v>298</v>
      </c>
      <c r="D204" s="137"/>
      <c r="E204" s="137"/>
      <c r="F204" s="137"/>
      <c r="G204" s="137"/>
      <c r="H204" s="137">
        <f>+SUM(D204:G204)</f>
        <v>0</v>
      </c>
      <c r="J204" s="137"/>
      <c r="K204" s="137"/>
      <c r="L204" s="137"/>
      <c r="M204" s="137"/>
      <c r="N204" s="137">
        <f>+SUM(J204:M204)</f>
        <v>0</v>
      </c>
      <c r="P204" s="84" t="str">
        <f>+IFERROR(J204/D204,"")</f>
        <v/>
      </c>
      <c r="Q204" s="84" t="str">
        <f>+IFERROR(K204/E204,"")</f>
        <v/>
      </c>
      <c r="R204" s="84" t="str">
        <f>+IFERROR(L204/F204,"")</f>
        <v/>
      </c>
      <c r="S204" s="84" t="str">
        <f>+IFERROR(M204/G204,"")</f>
        <v/>
      </c>
      <c r="T204" s="84" t="str">
        <f>+IFERROR(#REF!/#REF!,"")</f>
        <v/>
      </c>
      <c r="U204" s="84" t="str">
        <f>+IFERROR(#REF!/#REF!,"")</f>
        <v/>
      </c>
      <c r="V204" s="84" t="str">
        <f>+IFERROR(#REF!/#REF!,"")</f>
        <v/>
      </c>
      <c r="W204" s="84" t="str">
        <f>+IFERROR(#REF!/#REF!,"")</f>
        <v/>
      </c>
      <c r="X204" s="84" t="str">
        <f>+IFERROR(#REF!/#REF!,"")</f>
        <v/>
      </c>
      <c r="Y204" s="84" t="str">
        <f>+IFERROR(#REF!/#REF!,"")</f>
        <v/>
      </c>
      <c r="Z204" s="84" t="str">
        <f>+IFERROR(#REF!/#REF!,"")</f>
        <v/>
      </c>
      <c r="AA204" s="84" t="str">
        <f>+IFERROR(#REF!/#REF!,"")</f>
        <v/>
      </c>
      <c r="AB204" s="84" t="str">
        <f>+IFERROR(N204/H204,"")</f>
        <v/>
      </c>
      <c r="AD204" s="139" t="str">
        <f t="shared" ref="AD204:AF234" si="22">+IFERROR(Q204-P204,"")</f>
        <v/>
      </c>
      <c r="AE204" s="139" t="str">
        <f t="shared" si="22"/>
        <v/>
      </c>
      <c r="AF204" s="139" t="str">
        <f t="shared" si="21"/>
        <v/>
      </c>
      <c r="AG204" s="139"/>
      <c r="AH204" s="139"/>
      <c r="AI204" s="139"/>
      <c r="AJ204" s="139"/>
      <c r="AK204" s="139"/>
      <c r="AL204" s="139"/>
      <c r="AM204" s="139"/>
      <c r="AN204" s="139"/>
      <c r="AP204" s="82">
        <f t="shared" si="19"/>
        <v>0</v>
      </c>
      <c r="AQ204" s="82">
        <f t="shared" si="20"/>
        <v>0.99329583382417075</v>
      </c>
    </row>
    <row r="205" spans="2:43" x14ac:dyDescent="0.35">
      <c r="B205" s="83" t="s">
        <v>292</v>
      </c>
      <c r="D205" s="137"/>
      <c r="E205" s="137">
        <v>7760</v>
      </c>
      <c r="F205" s="137">
        <v>13450</v>
      </c>
      <c r="G205" s="137"/>
      <c r="H205" s="137">
        <f>+SUM(D205:G205)</f>
        <v>21210</v>
      </c>
      <c r="J205" s="137"/>
      <c r="K205" s="137">
        <v>6260</v>
      </c>
      <c r="L205" s="137">
        <v>10450</v>
      </c>
      <c r="M205" s="137"/>
      <c r="N205" s="137">
        <f>+SUM(J205:M205)</f>
        <v>16710</v>
      </c>
      <c r="P205" s="84" t="str">
        <f>+IFERROR(J205/D205,"")</f>
        <v/>
      </c>
      <c r="Q205" s="84">
        <f>+IFERROR(K205/E205,"")</f>
        <v>0.80670103092783507</v>
      </c>
      <c r="R205" s="84">
        <f>+IFERROR(L205/F205,"")</f>
        <v>0.77695167286245348</v>
      </c>
      <c r="S205" s="84" t="str">
        <f>+IFERROR(M205/G205,"")</f>
        <v/>
      </c>
      <c r="T205" s="84" t="str">
        <f>+IFERROR(#REF!/#REF!,"")</f>
        <v/>
      </c>
      <c r="U205" s="84" t="str">
        <f>+IFERROR(#REF!/#REF!,"")</f>
        <v/>
      </c>
      <c r="V205" s="84" t="str">
        <f>+IFERROR(#REF!/#REF!,"")</f>
        <v/>
      </c>
      <c r="W205" s="84" t="str">
        <f>+IFERROR(#REF!/#REF!,"")</f>
        <v/>
      </c>
      <c r="X205" s="84" t="str">
        <f>+IFERROR(#REF!/#REF!,"")</f>
        <v/>
      </c>
      <c r="Y205" s="84" t="str">
        <f>+IFERROR(#REF!/#REF!,"")</f>
        <v/>
      </c>
      <c r="Z205" s="84" t="str">
        <f>+IFERROR(#REF!/#REF!,"")</f>
        <v/>
      </c>
      <c r="AA205" s="84" t="str">
        <f>+IFERROR(#REF!/#REF!,"")</f>
        <v/>
      </c>
      <c r="AB205" s="84">
        <f>+IFERROR(N205/H205,"")</f>
        <v>0.78783592644978784</v>
      </c>
      <c r="AD205" s="139" t="str">
        <f t="shared" si="22"/>
        <v/>
      </c>
      <c r="AE205" s="139">
        <f t="shared" si="22"/>
        <v>-2.9749358065381593E-2</v>
      </c>
      <c r="AF205" s="139" t="str">
        <f t="shared" si="21"/>
        <v/>
      </c>
      <c r="AG205" s="139"/>
      <c r="AH205" s="139"/>
      <c r="AI205" s="139"/>
      <c r="AJ205" s="139"/>
      <c r="AK205" s="139"/>
      <c r="AL205" s="139"/>
      <c r="AM205" s="139"/>
      <c r="AN205" s="139"/>
      <c r="AP205" s="82">
        <f t="shared" si="19"/>
        <v>2.0019245503461814E-5</v>
      </c>
      <c r="AQ205" s="82">
        <f t="shared" si="20"/>
        <v>0.99331585306967418</v>
      </c>
    </row>
    <row r="206" spans="2:43" x14ac:dyDescent="0.35">
      <c r="B206" s="83" t="s">
        <v>300</v>
      </c>
      <c r="D206" s="137"/>
      <c r="E206" s="137"/>
      <c r="F206" s="137">
        <v>5267</v>
      </c>
      <c r="G206" s="137">
        <v>840</v>
      </c>
      <c r="H206" s="137">
        <f>+SUM(D206:G206)</f>
        <v>6107</v>
      </c>
      <c r="J206" s="137"/>
      <c r="K206" s="137"/>
      <c r="L206" s="137">
        <v>6</v>
      </c>
      <c r="M206" s="137">
        <v>262</v>
      </c>
      <c r="N206" s="137">
        <f>+SUM(J206:M206)</f>
        <v>268</v>
      </c>
      <c r="P206" s="84" t="str">
        <f>+IFERROR(J206/D206,"")</f>
        <v/>
      </c>
      <c r="Q206" s="84" t="str">
        <f>+IFERROR(K206/E206,"")</f>
        <v/>
      </c>
      <c r="R206" s="84">
        <f>+IFERROR(L206/F206,"")</f>
        <v>1.139168407062844E-3</v>
      </c>
      <c r="S206" s="84">
        <f>+IFERROR(M206/G206,"")</f>
        <v>0.31190476190476191</v>
      </c>
      <c r="T206" s="84" t="str">
        <f>+IFERROR(#REF!/#REF!,"")</f>
        <v/>
      </c>
      <c r="U206" s="84" t="str">
        <f>+IFERROR(#REF!/#REF!,"")</f>
        <v/>
      </c>
      <c r="V206" s="84" t="str">
        <f>+IFERROR(#REF!/#REF!,"")</f>
        <v/>
      </c>
      <c r="W206" s="84" t="str">
        <f>+IFERROR(#REF!/#REF!,"")</f>
        <v/>
      </c>
      <c r="X206" s="84" t="str">
        <f>+IFERROR(#REF!/#REF!,"")</f>
        <v/>
      </c>
      <c r="Y206" s="84" t="str">
        <f>+IFERROR(#REF!/#REF!,"")</f>
        <v/>
      </c>
      <c r="Z206" s="84" t="str">
        <f>+IFERROR(#REF!/#REF!,"")</f>
        <v/>
      </c>
      <c r="AA206" s="84" t="str">
        <f>+IFERROR(#REF!/#REF!,"")</f>
        <v/>
      </c>
      <c r="AB206" s="84">
        <f>+IFERROR(N206/H206,"")</f>
        <v>4.3884067463566399E-2</v>
      </c>
      <c r="AD206" s="139" t="str">
        <f t="shared" si="22"/>
        <v/>
      </c>
      <c r="AE206" s="139" t="str">
        <f t="shared" si="22"/>
        <v/>
      </c>
      <c r="AF206" s="139">
        <f t="shared" si="21"/>
        <v>0.31076559349769906</v>
      </c>
      <c r="AG206" s="139"/>
      <c r="AH206" s="139"/>
      <c r="AI206" s="139"/>
      <c r="AJ206" s="139"/>
      <c r="AK206" s="139"/>
      <c r="AL206" s="139"/>
      <c r="AM206" s="139"/>
      <c r="AN206" s="139"/>
      <c r="AP206" s="82">
        <f t="shared" si="19"/>
        <v>3.210746735444504E-7</v>
      </c>
      <c r="AQ206" s="82">
        <f t="shared" si="20"/>
        <v>0.9933161741443477</v>
      </c>
    </row>
    <row r="207" spans="2:43" x14ac:dyDescent="0.35">
      <c r="B207" s="83" t="s">
        <v>455</v>
      </c>
      <c r="D207" s="137"/>
      <c r="E207" s="137"/>
      <c r="F207" s="137"/>
      <c r="G207" s="137"/>
      <c r="H207" s="137">
        <f>+SUM(D207:G207)</f>
        <v>0</v>
      </c>
      <c r="J207" s="137"/>
      <c r="K207" s="137"/>
      <c r="L207" s="137"/>
      <c r="M207" s="137"/>
      <c r="N207" s="137">
        <f>+SUM(J207:M207)</f>
        <v>0</v>
      </c>
      <c r="P207" s="84" t="str">
        <f>+IFERROR(J207/D207,"")</f>
        <v/>
      </c>
      <c r="Q207" s="84" t="str">
        <f>+IFERROR(K207/E207,"")</f>
        <v/>
      </c>
      <c r="R207" s="84" t="str">
        <f>+IFERROR(L207/F207,"")</f>
        <v/>
      </c>
      <c r="S207" s="84" t="str">
        <f>+IFERROR(M207/G207,"")</f>
        <v/>
      </c>
      <c r="T207" s="84" t="str">
        <f>+IFERROR(#REF!/#REF!,"")</f>
        <v/>
      </c>
      <c r="U207" s="84" t="str">
        <f>+IFERROR(#REF!/#REF!,"")</f>
        <v/>
      </c>
      <c r="V207" s="84" t="str">
        <f>+IFERROR(#REF!/#REF!,"")</f>
        <v/>
      </c>
      <c r="W207" s="84" t="str">
        <f>+IFERROR(#REF!/#REF!,"")</f>
        <v/>
      </c>
      <c r="X207" s="84" t="str">
        <f>+IFERROR(#REF!/#REF!,"")</f>
        <v/>
      </c>
      <c r="Y207" s="84" t="str">
        <f>+IFERROR(#REF!/#REF!,"")</f>
        <v/>
      </c>
      <c r="Z207" s="84" t="str">
        <f>+IFERROR(#REF!/#REF!,"")</f>
        <v/>
      </c>
      <c r="AA207" s="84" t="str">
        <f>+IFERROR(#REF!/#REF!,"")</f>
        <v/>
      </c>
      <c r="AB207" s="84" t="str">
        <f>+IFERROR(N207/H207,"")</f>
        <v/>
      </c>
      <c r="AD207" s="139" t="str">
        <f t="shared" si="22"/>
        <v/>
      </c>
      <c r="AE207" s="139" t="str">
        <f t="shared" si="22"/>
        <v/>
      </c>
      <c r="AF207" s="139" t="str">
        <f t="shared" si="21"/>
        <v/>
      </c>
      <c r="AG207" s="139"/>
      <c r="AH207" s="139"/>
      <c r="AI207" s="139"/>
      <c r="AJ207" s="139"/>
      <c r="AK207" s="139"/>
      <c r="AL207" s="139"/>
      <c r="AM207" s="139"/>
      <c r="AN207" s="139"/>
      <c r="AP207" s="82">
        <f t="shared" si="19"/>
        <v>0</v>
      </c>
      <c r="AQ207" s="82">
        <f t="shared" si="20"/>
        <v>0.9933161741443477</v>
      </c>
    </row>
    <row r="208" spans="2:43" x14ac:dyDescent="0.35">
      <c r="B208" s="83" t="s">
        <v>302</v>
      </c>
      <c r="D208" s="137"/>
      <c r="E208" s="137"/>
      <c r="F208" s="137"/>
      <c r="G208" s="137"/>
      <c r="H208" s="137">
        <f>+SUM(D208:G208)</f>
        <v>0</v>
      </c>
      <c r="J208" s="137"/>
      <c r="K208" s="137"/>
      <c r="L208" s="137"/>
      <c r="M208" s="137"/>
      <c r="N208" s="137">
        <f>+SUM(J208:M208)</f>
        <v>0</v>
      </c>
      <c r="P208" s="84" t="str">
        <f>+IFERROR(J208/D208,"")</f>
        <v/>
      </c>
      <c r="Q208" s="84" t="str">
        <f>+IFERROR(K208/E208,"")</f>
        <v/>
      </c>
      <c r="R208" s="84" t="str">
        <f>+IFERROR(L208/F208,"")</f>
        <v/>
      </c>
      <c r="S208" s="84" t="str">
        <f>+IFERROR(M208/G208,"")</f>
        <v/>
      </c>
      <c r="T208" s="84" t="str">
        <f>+IFERROR(#REF!/#REF!,"")</f>
        <v/>
      </c>
      <c r="U208" s="84" t="str">
        <f>+IFERROR(#REF!/#REF!,"")</f>
        <v/>
      </c>
      <c r="V208" s="84" t="str">
        <f>+IFERROR(#REF!/#REF!,"")</f>
        <v/>
      </c>
      <c r="W208" s="84" t="str">
        <f>+IFERROR(#REF!/#REF!,"")</f>
        <v/>
      </c>
      <c r="X208" s="84" t="str">
        <f>+IFERROR(#REF!/#REF!,"")</f>
        <v/>
      </c>
      <c r="Y208" s="84" t="str">
        <f>+IFERROR(#REF!/#REF!,"")</f>
        <v/>
      </c>
      <c r="Z208" s="84" t="str">
        <f>+IFERROR(#REF!/#REF!,"")</f>
        <v/>
      </c>
      <c r="AA208" s="84" t="str">
        <f>+IFERROR(#REF!/#REF!,"")</f>
        <v/>
      </c>
      <c r="AB208" s="84" t="str">
        <f>+IFERROR(N208/H208,"")</f>
        <v/>
      </c>
      <c r="AD208" s="139" t="str">
        <f t="shared" si="22"/>
        <v/>
      </c>
      <c r="AE208" s="139" t="str">
        <f t="shared" si="22"/>
        <v/>
      </c>
      <c r="AF208" s="139" t="str">
        <f t="shared" si="21"/>
        <v/>
      </c>
      <c r="AG208" s="139"/>
      <c r="AH208" s="139"/>
      <c r="AI208" s="139"/>
      <c r="AJ208" s="139"/>
      <c r="AK208" s="139"/>
      <c r="AL208" s="139"/>
      <c r="AM208" s="139"/>
      <c r="AN208" s="139"/>
      <c r="AP208" s="82">
        <f t="shared" si="19"/>
        <v>0</v>
      </c>
      <c r="AQ208" s="82">
        <f t="shared" si="20"/>
        <v>0.9933161741443477</v>
      </c>
    </row>
    <row r="209" spans="2:43" x14ac:dyDescent="0.35">
      <c r="B209" s="83" t="s">
        <v>456</v>
      </c>
      <c r="D209" s="137"/>
      <c r="E209" s="137"/>
      <c r="F209" s="137">
        <v>23350</v>
      </c>
      <c r="G209" s="137"/>
      <c r="H209" s="137">
        <f>+SUM(D209:G209)</f>
        <v>23350</v>
      </c>
      <c r="J209" s="137"/>
      <c r="K209" s="137"/>
      <c r="L209" s="137">
        <v>10200</v>
      </c>
      <c r="M209" s="137"/>
      <c r="N209" s="137">
        <f>+SUM(J209:M209)</f>
        <v>10200</v>
      </c>
      <c r="P209" s="84" t="str">
        <f>+IFERROR(J209/D209,"")</f>
        <v/>
      </c>
      <c r="Q209" s="84" t="str">
        <f>+IFERROR(K209/E209,"")</f>
        <v/>
      </c>
      <c r="R209" s="84">
        <f>+IFERROR(L209/F209,"")</f>
        <v>0.43683083511777304</v>
      </c>
      <c r="S209" s="84" t="str">
        <f>+IFERROR(M209/G209,"")</f>
        <v/>
      </c>
      <c r="T209" s="84" t="str">
        <f>+IFERROR(#REF!/#REF!,"")</f>
        <v/>
      </c>
      <c r="U209" s="84" t="str">
        <f>+IFERROR(#REF!/#REF!,"")</f>
        <v/>
      </c>
      <c r="V209" s="84" t="str">
        <f>+IFERROR(#REF!/#REF!,"")</f>
        <v/>
      </c>
      <c r="W209" s="84" t="str">
        <f>+IFERROR(#REF!/#REF!,"")</f>
        <v/>
      </c>
      <c r="X209" s="84" t="str">
        <f>+IFERROR(#REF!/#REF!,"")</f>
        <v/>
      </c>
      <c r="Y209" s="84" t="str">
        <f>+IFERROR(#REF!/#REF!,"")</f>
        <v/>
      </c>
      <c r="Z209" s="84" t="str">
        <f>+IFERROR(#REF!/#REF!,"")</f>
        <v/>
      </c>
      <c r="AA209" s="84" t="str">
        <f>+IFERROR(#REF!/#REF!,"")</f>
        <v/>
      </c>
      <c r="AB209" s="84">
        <f>+IFERROR(N209/H209,"")</f>
        <v>0.43683083511777304</v>
      </c>
      <c r="AD209" s="139" t="str">
        <f t="shared" si="22"/>
        <v/>
      </c>
      <c r="AE209" s="139" t="str">
        <f t="shared" si="22"/>
        <v/>
      </c>
      <c r="AF209" s="139" t="str">
        <f t="shared" si="21"/>
        <v/>
      </c>
      <c r="AG209" s="139"/>
      <c r="AH209" s="139"/>
      <c r="AI209" s="139"/>
      <c r="AJ209" s="139"/>
      <c r="AK209" s="139"/>
      <c r="AL209" s="139"/>
      <c r="AM209" s="139"/>
      <c r="AN209" s="139"/>
      <c r="AP209" s="82">
        <f t="shared" si="19"/>
        <v>1.2220006231915649E-5</v>
      </c>
      <c r="AQ209" s="82">
        <f t="shared" si="20"/>
        <v>0.99332839415057961</v>
      </c>
    </row>
    <row r="210" spans="2:43" x14ac:dyDescent="0.35">
      <c r="B210" s="83" t="s">
        <v>290</v>
      </c>
      <c r="D210" s="137">
        <v>4701</v>
      </c>
      <c r="E210" s="137"/>
      <c r="F210" s="137"/>
      <c r="G210" s="137"/>
      <c r="H210" s="137">
        <f>+SUM(D210:G210)</f>
        <v>4701</v>
      </c>
      <c r="J210" s="137">
        <v>864</v>
      </c>
      <c r="K210" s="137"/>
      <c r="L210" s="137"/>
      <c r="M210" s="137"/>
      <c r="N210" s="137">
        <f>+SUM(J210:M210)</f>
        <v>864</v>
      </c>
      <c r="P210" s="84">
        <f>+IFERROR(J210/D210,"")</f>
        <v>0.18379068283343969</v>
      </c>
      <c r="Q210" s="84" t="str">
        <f>+IFERROR(K210/E210,"")</f>
        <v/>
      </c>
      <c r="R210" s="84" t="str">
        <f>+IFERROR(L210/F210,"")</f>
        <v/>
      </c>
      <c r="S210" s="84" t="str">
        <f>+IFERROR(M210/G210,"")</f>
        <v/>
      </c>
      <c r="T210" s="84" t="str">
        <f>+IFERROR(#REF!/#REF!,"")</f>
        <v/>
      </c>
      <c r="U210" s="84" t="str">
        <f>+IFERROR(#REF!/#REF!,"")</f>
        <v/>
      </c>
      <c r="V210" s="84" t="str">
        <f>+IFERROR(#REF!/#REF!,"")</f>
        <v/>
      </c>
      <c r="W210" s="84" t="str">
        <f>+IFERROR(#REF!/#REF!,"")</f>
        <v/>
      </c>
      <c r="X210" s="84" t="str">
        <f>+IFERROR(#REF!/#REF!,"")</f>
        <v/>
      </c>
      <c r="Y210" s="84" t="str">
        <f>+IFERROR(#REF!/#REF!,"")</f>
        <v/>
      </c>
      <c r="Z210" s="84" t="str">
        <f>+IFERROR(#REF!/#REF!,"")</f>
        <v/>
      </c>
      <c r="AA210" s="84" t="str">
        <f>+IFERROR(#REF!/#REF!,"")</f>
        <v/>
      </c>
      <c r="AB210" s="84">
        <f>+IFERROR(N210/H210,"")</f>
        <v>0.18379068283343969</v>
      </c>
      <c r="AD210" s="139" t="str">
        <f t="shared" si="22"/>
        <v/>
      </c>
      <c r="AE210" s="139" t="str">
        <f t="shared" si="22"/>
        <v/>
      </c>
      <c r="AF210" s="139" t="str">
        <f t="shared" si="21"/>
        <v/>
      </c>
      <c r="AG210" s="139"/>
      <c r="AH210" s="139"/>
      <c r="AI210" s="139"/>
      <c r="AJ210" s="139"/>
      <c r="AK210" s="139"/>
      <c r="AL210" s="139"/>
      <c r="AM210" s="139"/>
      <c r="AN210" s="139"/>
      <c r="AP210" s="82">
        <f t="shared" si="19"/>
        <v>1.0351064102328549E-6</v>
      </c>
      <c r="AQ210" s="82">
        <f t="shared" si="20"/>
        <v>0.99332942925698986</v>
      </c>
    </row>
    <row r="211" spans="2:43" x14ac:dyDescent="0.35">
      <c r="B211" s="83" t="s">
        <v>457</v>
      </c>
      <c r="D211" s="137"/>
      <c r="E211" s="137"/>
      <c r="F211" s="137"/>
      <c r="G211" s="137"/>
      <c r="H211" s="137">
        <f>+SUM(D211:G211)</f>
        <v>0</v>
      </c>
      <c r="J211" s="137"/>
      <c r="K211" s="137"/>
      <c r="L211" s="137"/>
      <c r="M211" s="137"/>
      <c r="N211" s="137">
        <f>+SUM(J211:M211)</f>
        <v>0</v>
      </c>
      <c r="P211" s="84" t="str">
        <f>+IFERROR(J211/D211,"")</f>
        <v/>
      </c>
      <c r="Q211" s="84" t="str">
        <f>+IFERROR(K211/E211,"")</f>
        <v/>
      </c>
      <c r="R211" s="84" t="str">
        <f>+IFERROR(L211/F211,"")</f>
        <v/>
      </c>
      <c r="S211" s="84" t="str">
        <f>+IFERROR(M211/G211,"")</f>
        <v/>
      </c>
      <c r="T211" s="84" t="str">
        <f>+IFERROR(#REF!/#REF!,"")</f>
        <v/>
      </c>
      <c r="U211" s="84" t="str">
        <f>+IFERROR(#REF!/#REF!,"")</f>
        <v/>
      </c>
      <c r="V211" s="84" t="str">
        <f>+IFERROR(#REF!/#REF!,"")</f>
        <v/>
      </c>
      <c r="W211" s="84" t="str">
        <f>+IFERROR(#REF!/#REF!,"")</f>
        <v/>
      </c>
      <c r="X211" s="84" t="str">
        <f>+IFERROR(#REF!/#REF!,"")</f>
        <v/>
      </c>
      <c r="Y211" s="84" t="str">
        <f>+IFERROR(#REF!/#REF!,"")</f>
        <v/>
      </c>
      <c r="Z211" s="84" t="str">
        <f>+IFERROR(#REF!/#REF!,"")</f>
        <v/>
      </c>
      <c r="AA211" s="84" t="str">
        <f>+IFERROR(#REF!/#REF!,"")</f>
        <v/>
      </c>
      <c r="AB211" s="84" t="str">
        <f>+IFERROR(N211/H211,"")</f>
        <v/>
      </c>
      <c r="AD211" s="139" t="str">
        <f t="shared" si="22"/>
        <v/>
      </c>
      <c r="AE211" s="139" t="str">
        <f t="shared" si="22"/>
        <v/>
      </c>
      <c r="AF211" s="139" t="str">
        <f t="shared" si="21"/>
        <v/>
      </c>
      <c r="AG211" s="139"/>
      <c r="AH211" s="139"/>
      <c r="AI211" s="139"/>
      <c r="AJ211" s="139"/>
      <c r="AK211" s="139"/>
      <c r="AL211" s="139"/>
      <c r="AM211" s="139"/>
      <c r="AN211" s="139"/>
      <c r="AP211" s="82">
        <f t="shared" si="19"/>
        <v>0</v>
      </c>
      <c r="AQ211" s="82">
        <f t="shared" si="20"/>
        <v>0.99332942925698986</v>
      </c>
    </row>
    <row r="212" spans="2:43" x14ac:dyDescent="0.35">
      <c r="B212" s="83" t="s">
        <v>297</v>
      </c>
      <c r="D212" s="137"/>
      <c r="E212" s="137"/>
      <c r="F212" s="137">
        <v>10581</v>
      </c>
      <c r="G212" s="137">
        <v>1230</v>
      </c>
      <c r="H212" s="137">
        <f>+SUM(D212:G212)</f>
        <v>11811</v>
      </c>
      <c r="J212" s="137"/>
      <c r="K212" s="137"/>
      <c r="L212" s="137">
        <v>4760</v>
      </c>
      <c r="M212" s="137">
        <v>550</v>
      </c>
      <c r="N212" s="137">
        <f>+SUM(J212:M212)</f>
        <v>5310</v>
      </c>
      <c r="P212" s="84" t="str">
        <f>+IFERROR(J212/D212,"")</f>
        <v/>
      </c>
      <c r="Q212" s="84" t="str">
        <f>+IFERROR(K212/E212,"")</f>
        <v/>
      </c>
      <c r="R212" s="84">
        <f>+IFERROR(L212/F212,"")</f>
        <v>0.44986296191286268</v>
      </c>
      <c r="S212" s="84">
        <f>+IFERROR(M212/G212,"")</f>
        <v>0.44715447154471544</v>
      </c>
      <c r="T212" s="84" t="str">
        <f>+IFERROR(#REF!/#REF!,"")</f>
        <v/>
      </c>
      <c r="U212" s="84" t="str">
        <f>+IFERROR(#REF!/#REF!,"")</f>
        <v/>
      </c>
      <c r="V212" s="84" t="str">
        <f>+IFERROR(#REF!/#REF!,"")</f>
        <v/>
      </c>
      <c r="W212" s="84" t="str">
        <f>+IFERROR(#REF!/#REF!,"")</f>
        <v/>
      </c>
      <c r="X212" s="84" t="str">
        <f>+IFERROR(#REF!/#REF!,"")</f>
        <v/>
      </c>
      <c r="Y212" s="84" t="str">
        <f>+IFERROR(#REF!/#REF!,"")</f>
        <v/>
      </c>
      <c r="Z212" s="84" t="str">
        <f>+IFERROR(#REF!/#REF!,"")</f>
        <v/>
      </c>
      <c r="AA212" s="84" t="str">
        <f>+IFERROR(#REF!/#REF!,"")</f>
        <v/>
      </c>
      <c r="AB212" s="84">
        <f>+IFERROR(N212/H212,"")</f>
        <v>0.44958089916179833</v>
      </c>
      <c r="AD212" s="139" t="str">
        <f t="shared" si="22"/>
        <v/>
      </c>
      <c r="AE212" s="139" t="str">
        <f t="shared" si="22"/>
        <v/>
      </c>
      <c r="AF212" s="139">
        <f t="shared" si="21"/>
        <v>-2.7084903681472428E-3</v>
      </c>
      <c r="AG212" s="139"/>
      <c r="AH212" s="139"/>
      <c r="AI212" s="139"/>
      <c r="AJ212" s="139"/>
      <c r="AK212" s="139"/>
      <c r="AL212" s="139"/>
      <c r="AM212" s="139"/>
      <c r="AN212" s="139"/>
      <c r="AP212" s="82">
        <f t="shared" si="19"/>
        <v>6.3615914795560876E-6</v>
      </c>
      <c r="AQ212" s="82">
        <f t="shared" si="20"/>
        <v>0.99333579084846946</v>
      </c>
    </row>
    <row r="213" spans="2:43" x14ac:dyDescent="0.35">
      <c r="B213" s="83" t="s">
        <v>303</v>
      </c>
      <c r="D213" s="137"/>
      <c r="E213" s="137"/>
      <c r="F213" s="137"/>
      <c r="G213" s="137"/>
      <c r="H213" s="137">
        <f>+SUM(D213:G213)</f>
        <v>0</v>
      </c>
      <c r="J213" s="137"/>
      <c r="K213" s="137"/>
      <c r="L213" s="137"/>
      <c r="M213" s="137"/>
      <c r="N213" s="137">
        <f>+SUM(J213:M213)</f>
        <v>0</v>
      </c>
      <c r="P213" s="84" t="str">
        <f>+IFERROR(J213/D213,"")</f>
        <v/>
      </c>
      <c r="Q213" s="84" t="str">
        <f>+IFERROR(K213/E213,"")</f>
        <v/>
      </c>
      <c r="R213" s="84" t="str">
        <f>+IFERROR(L213/F213,"")</f>
        <v/>
      </c>
      <c r="S213" s="84" t="str">
        <f>+IFERROR(M213/G213,"")</f>
        <v/>
      </c>
      <c r="T213" s="84" t="str">
        <f>+IFERROR(#REF!/#REF!,"")</f>
        <v/>
      </c>
      <c r="U213" s="84" t="str">
        <f>+IFERROR(#REF!/#REF!,"")</f>
        <v/>
      </c>
      <c r="V213" s="84" t="str">
        <f>+IFERROR(#REF!/#REF!,"")</f>
        <v/>
      </c>
      <c r="W213" s="84" t="str">
        <f>+IFERROR(#REF!/#REF!,"")</f>
        <v/>
      </c>
      <c r="X213" s="84" t="str">
        <f>+IFERROR(#REF!/#REF!,"")</f>
        <v/>
      </c>
      <c r="Y213" s="84" t="str">
        <f>+IFERROR(#REF!/#REF!,"")</f>
        <v/>
      </c>
      <c r="Z213" s="84" t="str">
        <f>+IFERROR(#REF!/#REF!,"")</f>
        <v/>
      </c>
      <c r="AA213" s="84" t="str">
        <f>+IFERROR(#REF!/#REF!,"")</f>
        <v/>
      </c>
      <c r="AB213" s="84" t="str">
        <f>+IFERROR(N213/H213,"")</f>
        <v/>
      </c>
      <c r="AD213" s="139" t="str">
        <f t="shared" si="22"/>
        <v/>
      </c>
      <c r="AE213" s="139" t="str">
        <f t="shared" si="22"/>
        <v/>
      </c>
      <c r="AF213" s="139" t="str">
        <f t="shared" si="21"/>
        <v/>
      </c>
      <c r="AG213" s="139"/>
      <c r="AH213" s="139"/>
      <c r="AI213" s="139"/>
      <c r="AJ213" s="139"/>
      <c r="AK213" s="139"/>
      <c r="AL213" s="139"/>
      <c r="AM213" s="139"/>
      <c r="AN213" s="139"/>
      <c r="AP213" s="82">
        <f t="shared" si="19"/>
        <v>0</v>
      </c>
      <c r="AQ213" s="82">
        <f t="shared" si="20"/>
        <v>0.99333579084846946</v>
      </c>
    </row>
    <row r="214" spans="2:43" x14ac:dyDescent="0.35">
      <c r="B214" s="83" t="s">
        <v>293</v>
      </c>
      <c r="D214" s="137"/>
      <c r="E214" s="137"/>
      <c r="F214" s="137"/>
      <c r="G214" s="137"/>
      <c r="H214" s="137">
        <f>+SUM(D214:G214)</f>
        <v>0</v>
      </c>
      <c r="J214" s="137"/>
      <c r="K214" s="137"/>
      <c r="L214" s="137"/>
      <c r="M214" s="137"/>
      <c r="N214" s="137">
        <f>+SUM(J214:M214)</f>
        <v>0</v>
      </c>
      <c r="P214" s="84" t="str">
        <f>+IFERROR(J214/D214,"")</f>
        <v/>
      </c>
      <c r="Q214" s="84" t="str">
        <f>+IFERROR(K214/E214,"")</f>
        <v/>
      </c>
      <c r="R214" s="84" t="str">
        <f>+IFERROR(L214/F214,"")</f>
        <v/>
      </c>
      <c r="S214" s="84" t="str">
        <f>+IFERROR(M214/G214,"")</f>
        <v/>
      </c>
      <c r="T214" s="84" t="str">
        <f>+IFERROR(#REF!/#REF!,"")</f>
        <v/>
      </c>
      <c r="U214" s="84" t="str">
        <f>+IFERROR(#REF!/#REF!,"")</f>
        <v/>
      </c>
      <c r="V214" s="84" t="str">
        <f>+IFERROR(#REF!/#REF!,"")</f>
        <v/>
      </c>
      <c r="W214" s="84" t="str">
        <f>+IFERROR(#REF!/#REF!,"")</f>
        <v/>
      </c>
      <c r="X214" s="84" t="str">
        <f>+IFERROR(#REF!/#REF!,"")</f>
        <v/>
      </c>
      <c r="Y214" s="84" t="str">
        <f>+IFERROR(#REF!/#REF!,"")</f>
        <v/>
      </c>
      <c r="Z214" s="84" t="str">
        <f>+IFERROR(#REF!/#REF!,"")</f>
        <v/>
      </c>
      <c r="AA214" s="84" t="str">
        <f>+IFERROR(#REF!/#REF!,"")</f>
        <v/>
      </c>
      <c r="AB214" s="84" t="str">
        <f>+IFERROR(N214/H214,"")</f>
        <v/>
      </c>
      <c r="AD214" s="139" t="str">
        <f t="shared" si="22"/>
        <v/>
      </c>
      <c r="AE214" s="139" t="str">
        <f t="shared" si="22"/>
        <v/>
      </c>
      <c r="AF214" s="139" t="str">
        <f t="shared" si="21"/>
        <v/>
      </c>
      <c r="AG214" s="139"/>
      <c r="AH214" s="139"/>
      <c r="AI214" s="139"/>
      <c r="AJ214" s="139"/>
      <c r="AK214" s="139"/>
      <c r="AL214" s="139"/>
      <c r="AM214" s="139"/>
      <c r="AN214" s="139"/>
      <c r="AP214" s="82">
        <f t="shared" si="19"/>
        <v>0</v>
      </c>
      <c r="AQ214" s="82">
        <f t="shared" si="20"/>
        <v>0.99333579084846946</v>
      </c>
    </row>
    <row r="215" spans="2:43" x14ac:dyDescent="0.35">
      <c r="B215" s="83" t="s">
        <v>458</v>
      </c>
      <c r="D215" s="137">
        <v>96133</v>
      </c>
      <c r="E215" s="137">
        <v>87875</v>
      </c>
      <c r="F215" s="137">
        <v>154321</v>
      </c>
      <c r="G215" s="137">
        <v>7534</v>
      </c>
      <c r="H215" s="137">
        <f>+SUM(D215:G215)</f>
        <v>345863</v>
      </c>
      <c r="J215" s="137">
        <v>12996</v>
      </c>
      <c r="K215" s="137">
        <v>21848</v>
      </c>
      <c r="L215" s="137">
        <v>58779</v>
      </c>
      <c r="M215" s="137">
        <v>3773</v>
      </c>
      <c r="N215" s="137">
        <f>+SUM(J215:M215)</f>
        <v>97396</v>
      </c>
      <c r="P215" s="84">
        <f>+IFERROR(J215/D215,"")</f>
        <v>0.13518770869524513</v>
      </c>
      <c r="Q215" s="84">
        <f>+IFERROR(K215/E215,"")</f>
        <v>0.24862588904694169</v>
      </c>
      <c r="R215" s="84">
        <f>+IFERROR(L215/F215,"")</f>
        <v>0.38088788952896885</v>
      </c>
      <c r="S215" s="84">
        <f>+IFERROR(M215/G215,"")</f>
        <v>0.5007963897000266</v>
      </c>
      <c r="T215" s="84" t="str">
        <f>+IFERROR(#REF!/#REF!,"")</f>
        <v/>
      </c>
      <c r="U215" s="84" t="str">
        <f>+IFERROR(#REF!/#REF!,"")</f>
        <v/>
      </c>
      <c r="V215" s="84" t="str">
        <f>+IFERROR(#REF!/#REF!,"")</f>
        <v/>
      </c>
      <c r="W215" s="84" t="str">
        <f>+IFERROR(#REF!/#REF!,"")</f>
        <v/>
      </c>
      <c r="X215" s="84" t="str">
        <f>+IFERROR(#REF!/#REF!,"")</f>
        <v/>
      </c>
      <c r="Y215" s="84" t="str">
        <f>+IFERROR(#REF!/#REF!,"")</f>
        <v/>
      </c>
      <c r="Z215" s="84" t="str">
        <f>+IFERROR(#REF!/#REF!,"")</f>
        <v/>
      </c>
      <c r="AA215" s="84" t="str">
        <f>+IFERROR(#REF!/#REF!,"")</f>
        <v/>
      </c>
      <c r="AB215" s="84">
        <f>+IFERROR(N215/H215,"")</f>
        <v>0.28160283117881935</v>
      </c>
      <c r="AD215" s="139">
        <f t="shared" si="22"/>
        <v>0.11343818035169656</v>
      </c>
      <c r="AE215" s="139">
        <f t="shared" si="22"/>
        <v>0.13226200048202716</v>
      </c>
      <c r="AF215" s="139">
        <f t="shared" si="21"/>
        <v>0.11990850017105775</v>
      </c>
      <c r="AG215" s="139"/>
      <c r="AH215" s="139"/>
      <c r="AI215" s="139"/>
      <c r="AJ215" s="139"/>
      <c r="AK215" s="139"/>
      <c r="AL215" s="139"/>
      <c r="AM215" s="139"/>
      <c r="AN215" s="139"/>
      <c r="AP215" s="82">
        <f t="shared" si="19"/>
        <v>1.1668428695722123E-4</v>
      </c>
      <c r="AQ215" s="82">
        <f t="shared" si="20"/>
        <v>0.99345247513542667</v>
      </c>
    </row>
    <row r="216" spans="2:43" x14ac:dyDescent="0.35">
      <c r="B216" s="83" t="s">
        <v>301</v>
      </c>
      <c r="D216" s="137"/>
      <c r="E216" s="137"/>
      <c r="F216" s="137"/>
      <c r="G216" s="137"/>
      <c r="H216" s="137">
        <f>+SUM(D216:G216)</f>
        <v>0</v>
      </c>
      <c r="J216" s="137"/>
      <c r="K216" s="137"/>
      <c r="L216" s="137"/>
      <c r="M216" s="137"/>
      <c r="N216" s="137">
        <f>+SUM(J216:M216)</f>
        <v>0</v>
      </c>
      <c r="P216" s="84" t="str">
        <f>+IFERROR(J216/D216,"")</f>
        <v/>
      </c>
      <c r="Q216" s="84" t="str">
        <f>+IFERROR(K216/E216,"")</f>
        <v/>
      </c>
      <c r="R216" s="84" t="str">
        <f>+IFERROR(L216/F216,"")</f>
        <v/>
      </c>
      <c r="S216" s="84" t="str">
        <f>+IFERROR(M216/G216,"")</f>
        <v/>
      </c>
      <c r="T216" s="84" t="str">
        <f>+IFERROR(#REF!/#REF!,"")</f>
        <v/>
      </c>
      <c r="U216" s="84" t="str">
        <f>+IFERROR(#REF!/#REF!,"")</f>
        <v/>
      </c>
      <c r="V216" s="84" t="str">
        <f>+IFERROR(#REF!/#REF!,"")</f>
        <v/>
      </c>
      <c r="W216" s="84" t="str">
        <f>+IFERROR(#REF!/#REF!,"")</f>
        <v/>
      </c>
      <c r="X216" s="84" t="str">
        <f>+IFERROR(#REF!/#REF!,"")</f>
        <v/>
      </c>
      <c r="Y216" s="84" t="str">
        <f>+IFERROR(#REF!/#REF!,"")</f>
        <v/>
      </c>
      <c r="Z216" s="84" t="str">
        <f>+IFERROR(#REF!/#REF!,"")</f>
        <v/>
      </c>
      <c r="AA216" s="84" t="str">
        <f>+IFERROR(#REF!/#REF!,"")</f>
        <v/>
      </c>
      <c r="AB216" s="84" t="str">
        <f>+IFERROR(N216/H216,"")</f>
        <v/>
      </c>
      <c r="AD216" s="139" t="str">
        <f t="shared" si="22"/>
        <v/>
      </c>
      <c r="AE216" s="139" t="str">
        <f t="shared" si="22"/>
        <v/>
      </c>
      <c r="AF216" s="139" t="str">
        <f t="shared" si="21"/>
        <v/>
      </c>
      <c r="AG216" s="139"/>
      <c r="AH216" s="139"/>
      <c r="AI216" s="139"/>
      <c r="AJ216" s="139"/>
      <c r="AK216" s="139"/>
      <c r="AL216" s="139"/>
      <c r="AM216" s="139"/>
      <c r="AN216" s="139"/>
      <c r="AP216" s="82">
        <f t="shared" si="19"/>
        <v>0</v>
      </c>
      <c r="AQ216" s="82">
        <f t="shared" si="20"/>
        <v>0.99345247513542667</v>
      </c>
    </row>
    <row r="217" spans="2:43" x14ac:dyDescent="0.35">
      <c r="B217" s="83" t="s">
        <v>295</v>
      </c>
      <c r="D217" s="137">
        <v>2291</v>
      </c>
      <c r="E217" s="137">
        <v>1892</v>
      </c>
      <c r="F217" s="137">
        <v>3026</v>
      </c>
      <c r="G217" s="137"/>
      <c r="H217" s="137">
        <f>+SUM(D217:G217)</f>
        <v>7209</v>
      </c>
      <c r="J217" s="137">
        <v>340</v>
      </c>
      <c r="K217" s="137">
        <v>510</v>
      </c>
      <c r="L217" s="137">
        <v>554</v>
      </c>
      <c r="M217" s="137"/>
      <c r="N217" s="137">
        <f>+SUM(J217:M217)</f>
        <v>1404</v>
      </c>
      <c r="P217" s="84">
        <f>+IFERROR(J217/D217,"")</f>
        <v>0.14840680925360106</v>
      </c>
      <c r="Q217" s="84">
        <f>+IFERROR(K217/E217,"")</f>
        <v>0.26955602536997886</v>
      </c>
      <c r="R217" s="84">
        <f>+IFERROR(L217/F217,"")</f>
        <v>0.1830799735624587</v>
      </c>
      <c r="S217" s="84" t="str">
        <f>+IFERROR(M217/G217,"")</f>
        <v/>
      </c>
      <c r="T217" s="84" t="str">
        <f>+IFERROR(#REF!/#REF!,"")</f>
        <v/>
      </c>
      <c r="U217" s="84" t="str">
        <f>+IFERROR(#REF!/#REF!,"")</f>
        <v/>
      </c>
      <c r="V217" s="84" t="str">
        <f>+IFERROR(#REF!/#REF!,"")</f>
        <v/>
      </c>
      <c r="W217" s="84" t="str">
        <f>+IFERROR(#REF!/#REF!,"")</f>
        <v/>
      </c>
      <c r="X217" s="84" t="str">
        <f>+IFERROR(#REF!/#REF!,"")</f>
        <v/>
      </c>
      <c r="Y217" s="84" t="str">
        <f>+IFERROR(#REF!/#REF!,"")</f>
        <v/>
      </c>
      <c r="Z217" s="84" t="str">
        <f>+IFERROR(#REF!/#REF!,"")</f>
        <v/>
      </c>
      <c r="AA217" s="84" t="str">
        <f>+IFERROR(#REF!/#REF!,"")</f>
        <v/>
      </c>
      <c r="AB217" s="84">
        <f>+IFERROR(N217/H217,"")</f>
        <v>0.19475655430711611</v>
      </c>
      <c r="AD217" s="139">
        <f t="shared" si="22"/>
        <v>0.1211492161163778</v>
      </c>
      <c r="AE217" s="139">
        <f t="shared" si="22"/>
        <v>-8.647605180752016E-2</v>
      </c>
      <c r="AF217" s="139" t="str">
        <f t="shared" si="21"/>
        <v/>
      </c>
      <c r="AG217" s="139"/>
      <c r="AH217" s="139"/>
      <c r="AI217" s="139"/>
      <c r="AJ217" s="139"/>
      <c r="AK217" s="139"/>
      <c r="AL217" s="139"/>
      <c r="AM217" s="139"/>
      <c r="AN217" s="139"/>
      <c r="AP217" s="82">
        <f t="shared" si="19"/>
        <v>1.6820479166283893E-6</v>
      </c>
      <c r="AQ217" s="82">
        <f t="shared" si="20"/>
        <v>0.99345415718334329</v>
      </c>
    </row>
    <row r="218" spans="2:43" x14ac:dyDescent="0.35">
      <c r="B218" s="83" t="s">
        <v>459</v>
      </c>
      <c r="D218" s="137">
        <v>92357</v>
      </c>
      <c r="E218" s="137">
        <v>76269</v>
      </c>
      <c r="F218" s="137">
        <v>87687</v>
      </c>
      <c r="G218" s="137">
        <v>11667</v>
      </c>
      <c r="H218" s="137">
        <f>+SUM(D218:G218)</f>
        <v>267980</v>
      </c>
      <c r="J218" s="137">
        <v>8530</v>
      </c>
      <c r="K218" s="137">
        <v>8171</v>
      </c>
      <c r="L218" s="137">
        <v>8429</v>
      </c>
      <c r="M218" s="137">
        <v>1127</v>
      </c>
      <c r="N218" s="137">
        <f>+SUM(J218:M218)</f>
        <v>26257</v>
      </c>
      <c r="P218" s="84">
        <f>+IFERROR(J218/D218,"")</f>
        <v>9.2358998235109416E-2</v>
      </c>
      <c r="Q218" s="84">
        <f>+IFERROR(K218/E218,"")</f>
        <v>0.10713396006241067</v>
      </c>
      <c r="R218" s="84">
        <f>+IFERROR(L218/F218,"")</f>
        <v>9.6125993590840147E-2</v>
      </c>
      <c r="S218" s="84">
        <f>+IFERROR(M218/G218,"")</f>
        <v>9.6597240078854896E-2</v>
      </c>
      <c r="T218" s="84" t="str">
        <f>+IFERROR(#REF!/#REF!,"")</f>
        <v/>
      </c>
      <c r="U218" s="84" t="str">
        <f>+IFERROR(#REF!/#REF!,"")</f>
        <v/>
      </c>
      <c r="V218" s="84" t="str">
        <f>+IFERROR(#REF!/#REF!,"")</f>
        <v/>
      </c>
      <c r="W218" s="84" t="str">
        <f>+IFERROR(#REF!/#REF!,"")</f>
        <v/>
      </c>
      <c r="X218" s="84" t="str">
        <f>+IFERROR(#REF!/#REF!,"")</f>
        <v/>
      </c>
      <c r="Y218" s="84" t="str">
        <f>+IFERROR(#REF!/#REF!,"")</f>
        <v/>
      </c>
      <c r="Z218" s="84" t="str">
        <f>+IFERROR(#REF!/#REF!,"")</f>
        <v/>
      </c>
      <c r="AA218" s="84" t="str">
        <f>+IFERROR(#REF!/#REF!,"")</f>
        <v/>
      </c>
      <c r="AB218" s="84">
        <f>+IFERROR(N218/H218,"")</f>
        <v>9.7981192626315397E-2</v>
      </c>
      <c r="AD218" s="139">
        <f t="shared" si="22"/>
        <v>1.4774961827301258E-2</v>
      </c>
      <c r="AE218" s="139">
        <f t="shared" si="22"/>
        <v>-1.1007966471570527E-2</v>
      </c>
      <c r="AF218" s="139">
        <f t="shared" si="21"/>
        <v>4.7124648801474822E-4</v>
      </c>
      <c r="AG218" s="139"/>
      <c r="AH218" s="139"/>
      <c r="AI218" s="139"/>
      <c r="AJ218" s="139"/>
      <c r="AK218" s="139"/>
      <c r="AL218" s="139"/>
      <c r="AM218" s="139"/>
      <c r="AN218" s="139"/>
      <c r="AP218" s="82">
        <f t="shared" si="19"/>
        <v>3.1456931728569527E-5</v>
      </c>
      <c r="AQ218" s="82">
        <f t="shared" si="20"/>
        <v>0.99348561411507186</v>
      </c>
    </row>
    <row r="219" spans="2:43" x14ac:dyDescent="0.35">
      <c r="B219" s="83" t="s">
        <v>305</v>
      </c>
      <c r="D219" s="137"/>
      <c r="E219" s="137"/>
      <c r="F219" s="137"/>
      <c r="G219" s="137"/>
      <c r="H219" s="137">
        <f>+SUM(D219:G219)</f>
        <v>0</v>
      </c>
      <c r="J219" s="137"/>
      <c r="K219" s="137"/>
      <c r="L219" s="137"/>
      <c r="M219" s="137"/>
      <c r="N219" s="137">
        <f>+SUM(J219:M219)</f>
        <v>0</v>
      </c>
      <c r="P219" s="84" t="str">
        <f>+IFERROR(J219/D219,"")</f>
        <v/>
      </c>
      <c r="Q219" s="84" t="str">
        <f>+IFERROR(K219/E219,"")</f>
        <v/>
      </c>
      <c r="R219" s="84" t="str">
        <f>+IFERROR(L219/F219,"")</f>
        <v/>
      </c>
      <c r="S219" s="84" t="str">
        <f>+IFERROR(M219/G219,"")</f>
        <v/>
      </c>
      <c r="T219" s="84" t="str">
        <f>+IFERROR(#REF!/#REF!,"")</f>
        <v/>
      </c>
      <c r="U219" s="84" t="str">
        <f>+IFERROR(#REF!/#REF!,"")</f>
        <v/>
      </c>
      <c r="V219" s="84" t="str">
        <f>+IFERROR(#REF!/#REF!,"")</f>
        <v/>
      </c>
      <c r="W219" s="84" t="str">
        <f>+IFERROR(#REF!/#REF!,"")</f>
        <v/>
      </c>
      <c r="X219" s="84" t="str">
        <f>+IFERROR(#REF!/#REF!,"")</f>
        <v/>
      </c>
      <c r="Y219" s="84" t="str">
        <f>+IFERROR(#REF!/#REF!,"")</f>
        <v/>
      </c>
      <c r="Z219" s="84" t="str">
        <f>+IFERROR(#REF!/#REF!,"")</f>
        <v/>
      </c>
      <c r="AA219" s="84" t="str">
        <f>+IFERROR(#REF!/#REF!,"")</f>
        <v/>
      </c>
      <c r="AB219" s="84" t="str">
        <f>+IFERROR(N219/H219,"")</f>
        <v/>
      </c>
      <c r="AD219" s="139" t="str">
        <f t="shared" si="22"/>
        <v/>
      </c>
      <c r="AE219" s="139" t="str">
        <f t="shared" si="22"/>
        <v/>
      </c>
      <c r="AF219" s="139" t="str">
        <f t="shared" si="22"/>
        <v/>
      </c>
      <c r="AG219" s="139"/>
      <c r="AH219" s="139"/>
      <c r="AI219" s="139"/>
      <c r="AJ219" s="139"/>
      <c r="AK219" s="139"/>
      <c r="AL219" s="139"/>
      <c r="AM219" s="139"/>
      <c r="AN219" s="139"/>
      <c r="AP219" s="82">
        <f t="shared" si="19"/>
        <v>0</v>
      </c>
      <c r="AQ219" s="82">
        <f t="shared" si="20"/>
        <v>0.99348561411507186</v>
      </c>
    </row>
    <row r="220" spans="2:43" x14ac:dyDescent="0.35">
      <c r="B220" s="83" t="s">
        <v>299</v>
      </c>
      <c r="D220" s="137">
        <v>5290</v>
      </c>
      <c r="E220" s="137">
        <v>13442</v>
      </c>
      <c r="F220" s="137">
        <v>17475</v>
      </c>
      <c r="G220" s="137">
        <v>1533</v>
      </c>
      <c r="H220" s="137">
        <f>+SUM(D220:G220)</f>
        <v>37740</v>
      </c>
      <c r="J220" s="137">
        <v>572</v>
      </c>
      <c r="K220" s="137">
        <v>390</v>
      </c>
      <c r="L220" s="137">
        <v>6924</v>
      </c>
      <c r="M220" s="137">
        <v>380</v>
      </c>
      <c r="N220" s="137">
        <f>+SUM(J220:M220)</f>
        <v>8266</v>
      </c>
      <c r="P220" s="84">
        <f>+IFERROR(J220/D220,"")</f>
        <v>0.10812854442344046</v>
      </c>
      <c r="Q220" s="84">
        <f>+IFERROR(K220/E220,"")</f>
        <v>2.9013539651837523E-2</v>
      </c>
      <c r="R220" s="84">
        <f>+IFERROR(L220/F220,"")</f>
        <v>0.39622317596566525</v>
      </c>
      <c r="S220" s="84">
        <f>+IFERROR(M220/G220,"")</f>
        <v>0.24787997390737115</v>
      </c>
      <c r="T220" s="84" t="str">
        <f>+IFERROR(#REF!/#REF!,"")</f>
        <v/>
      </c>
      <c r="U220" s="84" t="str">
        <f>+IFERROR(#REF!/#REF!,"")</f>
        <v/>
      </c>
      <c r="V220" s="84" t="str">
        <f>+IFERROR(#REF!/#REF!,"")</f>
        <v/>
      </c>
      <c r="W220" s="84" t="str">
        <f>+IFERROR(#REF!/#REF!,"")</f>
        <v/>
      </c>
      <c r="X220" s="84" t="str">
        <f>+IFERROR(#REF!/#REF!,"")</f>
        <v/>
      </c>
      <c r="Y220" s="84" t="str">
        <f>+IFERROR(#REF!/#REF!,"")</f>
        <v/>
      </c>
      <c r="Z220" s="84" t="str">
        <f>+IFERROR(#REF!/#REF!,"")</f>
        <v/>
      </c>
      <c r="AA220" s="84" t="str">
        <f>+IFERROR(#REF!/#REF!,"")</f>
        <v/>
      </c>
      <c r="AB220" s="84">
        <f>+IFERROR(N220/H220,"")</f>
        <v>0.21902490726020138</v>
      </c>
      <c r="AD220" s="139">
        <f t="shared" si="22"/>
        <v>-7.9115004771602937E-2</v>
      </c>
      <c r="AE220" s="139">
        <f t="shared" si="22"/>
        <v>0.36720963631382775</v>
      </c>
      <c r="AF220" s="139">
        <f t="shared" si="22"/>
        <v>-0.1483432020582941</v>
      </c>
      <c r="AG220" s="139"/>
      <c r="AH220" s="139"/>
      <c r="AI220" s="139"/>
      <c r="AJ220" s="139"/>
      <c r="AK220" s="139"/>
      <c r="AL220" s="139"/>
      <c r="AM220" s="139"/>
      <c r="AN220" s="139"/>
      <c r="AP220" s="82">
        <f t="shared" si="19"/>
        <v>9.9029972071583092E-6</v>
      </c>
      <c r="AQ220" s="82">
        <f t="shared" si="20"/>
        <v>0.99349551711227901</v>
      </c>
    </row>
    <row r="221" spans="2:43" x14ac:dyDescent="0.35">
      <c r="B221" s="83" t="s">
        <v>294</v>
      </c>
      <c r="D221" s="137"/>
      <c r="E221" s="137"/>
      <c r="F221" s="137"/>
      <c r="G221" s="137"/>
      <c r="H221" s="137">
        <f>+SUM(D221:G221)</f>
        <v>0</v>
      </c>
      <c r="J221" s="137"/>
      <c r="K221" s="137"/>
      <c r="L221" s="137"/>
      <c r="M221" s="137"/>
      <c r="N221" s="137">
        <f>+SUM(J221:M221)</f>
        <v>0</v>
      </c>
      <c r="P221" s="84" t="str">
        <f>+IFERROR(J221/D221,"")</f>
        <v/>
      </c>
      <c r="Q221" s="84" t="str">
        <f>+IFERROR(K221/E221,"")</f>
        <v/>
      </c>
      <c r="R221" s="84" t="str">
        <f>+IFERROR(L221/F221,"")</f>
        <v/>
      </c>
      <c r="S221" s="84" t="str">
        <f>+IFERROR(M221/G221,"")</f>
        <v/>
      </c>
      <c r="T221" s="84" t="str">
        <f>+IFERROR(#REF!/#REF!,"")</f>
        <v/>
      </c>
      <c r="U221" s="84" t="str">
        <f>+IFERROR(#REF!/#REF!,"")</f>
        <v/>
      </c>
      <c r="V221" s="84" t="str">
        <f>+IFERROR(#REF!/#REF!,"")</f>
        <v/>
      </c>
      <c r="W221" s="84" t="str">
        <f>+IFERROR(#REF!/#REF!,"")</f>
        <v/>
      </c>
      <c r="X221" s="84" t="str">
        <f>+IFERROR(#REF!/#REF!,"")</f>
        <v/>
      </c>
      <c r="Y221" s="84" t="str">
        <f>+IFERROR(#REF!/#REF!,"")</f>
        <v/>
      </c>
      <c r="Z221" s="84" t="str">
        <f>+IFERROR(#REF!/#REF!,"")</f>
        <v/>
      </c>
      <c r="AA221" s="84" t="str">
        <f>+IFERROR(#REF!/#REF!,"")</f>
        <v/>
      </c>
      <c r="AB221" s="84" t="str">
        <f>+IFERROR(N221/H221,"")</f>
        <v/>
      </c>
      <c r="AD221" s="139" t="str">
        <f t="shared" si="22"/>
        <v/>
      </c>
      <c r="AE221" s="139" t="str">
        <f t="shared" si="22"/>
        <v/>
      </c>
      <c r="AF221" s="139" t="str">
        <f t="shared" si="22"/>
        <v/>
      </c>
      <c r="AG221" s="139"/>
      <c r="AH221" s="139"/>
      <c r="AI221" s="139"/>
      <c r="AJ221" s="139"/>
      <c r="AK221" s="139"/>
      <c r="AL221" s="139"/>
      <c r="AM221" s="139"/>
      <c r="AN221" s="139"/>
      <c r="AP221" s="82">
        <f t="shared" si="19"/>
        <v>0</v>
      </c>
      <c r="AQ221" s="82">
        <f t="shared" si="20"/>
        <v>0.99349551711227901</v>
      </c>
    </row>
    <row r="222" spans="2:43" x14ac:dyDescent="0.35">
      <c r="B222" s="83" t="s">
        <v>304</v>
      </c>
      <c r="D222" s="137">
        <v>62448</v>
      </c>
      <c r="E222" s="137">
        <v>48014</v>
      </c>
      <c r="F222" s="137">
        <v>174934</v>
      </c>
      <c r="G222" s="137">
        <v>21023</v>
      </c>
      <c r="H222" s="137">
        <f>+SUM(D222:G222)</f>
        <v>306419</v>
      </c>
      <c r="J222" s="137">
        <v>8155</v>
      </c>
      <c r="K222" s="137">
        <v>6734</v>
      </c>
      <c r="L222" s="137">
        <v>6818</v>
      </c>
      <c r="M222" s="137">
        <v>1211</v>
      </c>
      <c r="N222" s="137">
        <f>+SUM(J222:M222)</f>
        <v>22918</v>
      </c>
      <c r="P222" s="84">
        <f>+IFERROR(J222/D222,"")</f>
        <v>0.13058864975659748</v>
      </c>
      <c r="Q222" s="84">
        <f>+IFERROR(K222/E222,"")</f>
        <v>0.14025076019494315</v>
      </c>
      <c r="R222" s="84">
        <f>+IFERROR(L222/F222,"")</f>
        <v>3.8974699029348213E-2</v>
      </c>
      <c r="S222" s="84">
        <f>+IFERROR(M222/G222,"")</f>
        <v>5.7603577034676307E-2</v>
      </c>
      <c r="T222" s="84" t="str">
        <f>+IFERROR(#REF!/#REF!,"")</f>
        <v/>
      </c>
      <c r="U222" s="84" t="str">
        <f>+IFERROR(#REF!/#REF!,"")</f>
        <v/>
      </c>
      <c r="V222" s="84" t="str">
        <f>+IFERROR(#REF!/#REF!,"")</f>
        <v/>
      </c>
      <c r="W222" s="84" t="str">
        <f>+IFERROR(#REF!/#REF!,"")</f>
        <v/>
      </c>
      <c r="X222" s="84" t="str">
        <f>+IFERROR(#REF!/#REF!,"")</f>
        <v/>
      </c>
      <c r="Y222" s="84" t="str">
        <f>+IFERROR(#REF!/#REF!,"")</f>
        <v/>
      </c>
      <c r="Z222" s="84" t="str">
        <f>+IFERROR(#REF!/#REF!,"")</f>
        <v/>
      </c>
      <c r="AA222" s="84" t="str">
        <f>+IFERROR(#REF!/#REF!,"")</f>
        <v/>
      </c>
      <c r="AB222" s="84">
        <f>+IFERROR(N222/H222,"")</f>
        <v>7.4793012182664917E-2</v>
      </c>
      <c r="AD222" s="139">
        <f t="shared" si="22"/>
        <v>9.6621104383456669E-3</v>
      </c>
      <c r="AE222" s="139">
        <f t="shared" si="22"/>
        <v>-0.10127606116559493</v>
      </c>
      <c r="AF222" s="139">
        <f t="shared" si="22"/>
        <v>1.8628878005328094E-2</v>
      </c>
      <c r="AG222" s="139"/>
      <c r="AH222" s="139"/>
      <c r="AI222" s="139"/>
      <c r="AJ222" s="139"/>
      <c r="AK222" s="139"/>
      <c r="AL222" s="139"/>
      <c r="AM222" s="139"/>
      <c r="AN222" s="139"/>
      <c r="AP222" s="82">
        <f t="shared" si="19"/>
        <v>2.7456676747357141E-5</v>
      </c>
      <c r="AQ222" s="82">
        <f t="shared" si="20"/>
        <v>0.99352297378902632</v>
      </c>
    </row>
    <row r="223" spans="2:43" x14ac:dyDescent="0.35">
      <c r="B223" s="83" t="s">
        <v>291</v>
      </c>
      <c r="D223" s="137">
        <v>2110</v>
      </c>
      <c r="E223" s="137"/>
      <c r="F223" s="137">
        <v>8000</v>
      </c>
      <c r="G223" s="137"/>
      <c r="H223" s="137">
        <f>+SUM(D223:G223)</f>
        <v>10110</v>
      </c>
      <c r="J223" s="137">
        <v>2110</v>
      </c>
      <c r="K223" s="137"/>
      <c r="L223" s="137">
        <v>8000</v>
      </c>
      <c r="M223" s="137"/>
      <c r="N223" s="137">
        <f>+SUM(J223:M223)</f>
        <v>10110</v>
      </c>
      <c r="P223" s="84">
        <f>+IFERROR(J223/D223,"")</f>
        <v>1</v>
      </c>
      <c r="Q223" s="84" t="str">
        <f>+IFERROR(K223/E223,"")</f>
        <v/>
      </c>
      <c r="R223" s="84">
        <f>+IFERROR(L223/F223,"")</f>
        <v>1</v>
      </c>
      <c r="S223" s="84" t="str">
        <f>+IFERROR(M223/G223,"")</f>
        <v/>
      </c>
      <c r="T223" s="84" t="str">
        <f>+IFERROR(#REF!/#REF!,"")</f>
        <v/>
      </c>
      <c r="U223" s="84" t="str">
        <f>+IFERROR(#REF!/#REF!,"")</f>
        <v/>
      </c>
      <c r="V223" s="84" t="str">
        <f>+IFERROR(#REF!/#REF!,"")</f>
        <v/>
      </c>
      <c r="W223" s="84" t="str">
        <f>+IFERROR(#REF!/#REF!,"")</f>
        <v/>
      </c>
      <c r="X223" s="84" t="str">
        <f>+IFERROR(#REF!/#REF!,"")</f>
        <v/>
      </c>
      <c r="Y223" s="84" t="str">
        <f>+IFERROR(#REF!/#REF!,"")</f>
        <v/>
      </c>
      <c r="Z223" s="84" t="str">
        <f>+IFERROR(#REF!/#REF!,"")</f>
        <v/>
      </c>
      <c r="AA223" s="84" t="str">
        <f>+IFERROR(#REF!/#REF!,"")</f>
        <v/>
      </c>
      <c r="AB223" s="84">
        <f>+IFERROR(N223/H223,"")</f>
        <v>1</v>
      </c>
      <c r="AD223" s="139" t="str">
        <f t="shared" si="22"/>
        <v/>
      </c>
      <c r="AE223" s="139" t="str">
        <f t="shared" si="22"/>
        <v/>
      </c>
      <c r="AF223" s="139" t="str">
        <f t="shared" si="22"/>
        <v/>
      </c>
      <c r="AG223" s="139"/>
      <c r="AH223" s="139"/>
      <c r="AI223" s="139"/>
      <c r="AJ223" s="139"/>
      <c r="AK223" s="139"/>
      <c r="AL223" s="139"/>
      <c r="AM223" s="139"/>
      <c r="AN223" s="139"/>
      <c r="AP223" s="82">
        <f t="shared" si="19"/>
        <v>1.2112182647516393E-5</v>
      </c>
      <c r="AQ223" s="82">
        <f t="shared" si="20"/>
        <v>0.99353508597167384</v>
      </c>
    </row>
    <row r="224" spans="2:43" x14ac:dyDescent="0.35">
      <c r="B224" s="83" t="s">
        <v>460</v>
      </c>
      <c r="D224" s="137"/>
      <c r="E224" s="137"/>
      <c r="F224" s="137"/>
      <c r="G224" s="137"/>
      <c r="H224" s="137">
        <f>+SUM(D224:G224)</f>
        <v>0</v>
      </c>
      <c r="J224" s="137"/>
      <c r="K224" s="137"/>
      <c r="L224" s="137"/>
      <c r="M224" s="137"/>
      <c r="N224" s="137">
        <f>+SUM(J224:M224)</f>
        <v>0</v>
      </c>
      <c r="P224" s="84" t="str">
        <f>+IFERROR(J224/D224,"")</f>
        <v/>
      </c>
      <c r="Q224" s="84" t="str">
        <f>+IFERROR(K224/E224,"")</f>
        <v/>
      </c>
      <c r="R224" s="84" t="str">
        <f>+IFERROR(L224/F224,"")</f>
        <v/>
      </c>
      <c r="S224" s="84" t="str">
        <f>+IFERROR(M224/G224,"")</f>
        <v/>
      </c>
      <c r="T224" s="84" t="str">
        <f>+IFERROR(#REF!/#REF!,"")</f>
        <v/>
      </c>
      <c r="U224" s="84" t="str">
        <f>+IFERROR(#REF!/#REF!,"")</f>
        <v/>
      </c>
      <c r="V224" s="84" t="str">
        <f>+IFERROR(#REF!/#REF!,"")</f>
        <v/>
      </c>
      <c r="W224" s="84" t="str">
        <f>+IFERROR(#REF!/#REF!,"")</f>
        <v/>
      </c>
      <c r="X224" s="84" t="str">
        <f>+IFERROR(#REF!/#REF!,"")</f>
        <v/>
      </c>
      <c r="Y224" s="84" t="str">
        <f>+IFERROR(#REF!/#REF!,"")</f>
        <v/>
      </c>
      <c r="Z224" s="84" t="str">
        <f>+IFERROR(#REF!/#REF!,"")</f>
        <v/>
      </c>
      <c r="AA224" s="84" t="str">
        <f>+IFERROR(#REF!/#REF!,"")</f>
        <v/>
      </c>
      <c r="AB224" s="84" t="str">
        <f>+IFERROR(N224/H224,"")</f>
        <v/>
      </c>
      <c r="AD224" s="139" t="str">
        <f t="shared" si="22"/>
        <v/>
      </c>
      <c r="AE224" s="139" t="str">
        <f t="shared" si="22"/>
        <v/>
      </c>
      <c r="AF224" s="139" t="str">
        <f t="shared" si="22"/>
        <v/>
      </c>
      <c r="AG224" s="139"/>
      <c r="AH224" s="139"/>
      <c r="AI224" s="139"/>
      <c r="AJ224" s="139"/>
      <c r="AK224" s="139"/>
      <c r="AL224" s="139"/>
      <c r="AM224" s="139"/>
      <c r="AN224" s="139"/>
      <c r="AP224" s="82">
        <f t="shared" si="19"/>
        <v>0</v>
      </c>
      <c r="AQ224" s="82">
        <f t="shared" si="20"/>
        <v>0.99353508597167384</v>
      </c>
    </row>
    <row r="225" spans="2:43" x14ac:dyDescent="0.35">
      <c r="B225" s="83" t="s">
        <v>461</v>
      </c>
      <c r="D225" s="137">
        <v>11669154</v>
      </c>
      <c r="E225" s="137">
        <v>9108259</v>
      </c>
      <c r="F225" s="137">
        <v>7988161</v>
      </c>
      <c r="G225" s="137">
        <v>1445704</v>
      </c>
      <c r="H225" s="137">
        <f>+SUM(D225:G225)</f>
        <v>30211278</v>
      </c>
      <c r="J225" s="137">
        <v>1907911</v>
      </c>
      <c r="K225" s="137">
        <v>1603146</v>
      </c>
      <c r="L225" s="137">
        <v>1583210</v>
      </c>
      <c r="M225" s="137">
        <v>284126</v>
      </c>
      <c r="N225" s="137">
        <f>+SUM(J225:M225)</f>
        <v>5378393</v>
      </c>
      <c r="P225" s="84">
        <f>+IFERROR(J225/D225,"")</f>
        <v>0.16350037029248221</v>
      </c>
      <c r="Q225" s="84">
        <f>+IFERROR(K225/E225,"")</f>
        <v>0.17601014639570525</v>
      </c>
      <c r="R225" s="84">
        <f>+IFERROR(L225/F225,"")</f>
        <v>0.1981945531643641</v>
      </c>
      <c r="S225" s="84">
        <f>+IFERROR(M225/G225,"")</f>
        <v>0.19653124014321049</v>
      </c>
      <c r="T225" s="84" t="str">
        <f>+IFERROR(#REF!/#REF!,"")</f>
        <v/>
      </c>
      <c r="U225" s="84" t="str">
        <f>+IFERROR(#REF!/#REF!,"")</f>
        <v/>
      </c>
      <c r="V225" s="84" t="str">
        <f>+IFERROR(#REF!/#REF!,"")</f>
        <v/>
      </c>
      <c r="W225" s="84" t="str">
        <f>+IFERROR(#REF!/#REF!,"")</f>
        <v/>
      </c>
      <c r="X225" s="84" t="str">
        <f>+IFERROR(#REF!/#REF!,"")</f>
        <v/>
      </c>
      <c r="Y225" s="84" t="str">
        <f>+IFERROR(#REF!/#REF!,"")</f>
        <v/>
      </c>
      <c r="Z225" s="84" t="str">
        <f>+IFERROR(#REF!/#REF!,"")</f>
        <v/>
      </c>
      <c r="AA225" s="84" t="str">
        <f>+IFERROR(#REF!/#REF!,"")</f>
        <v/>
      </c>
      <c r="AB225" s="84">
        <f>+IFERROR(N225/H225,"")</f>
        <v>0.17802600075375824</v>
      </c>
      <c r="AD225" s="139">
        <f t="shared" si="22"/>
        <v>1.2509776103223041E-2</v>
      </c>
      <c r="AE225" s="139">
        <f t="shared" si="22"/>
        <v>2.2184406768658849E-2</v>
      </c>
      <c r="AF225" s="139">
        <f t="shared" si="22"/>
        <v>-1.6633130211536062E-3</v>
      </c>
      <c r="AG225" s="139"/>
      <c r="AH225" s="139"/>
      <c r="AI225" s="139"/>
      <c r="AJ225" s="139"/>
      <c r="AK225" s="139"/>
      <c r="AL225" s="139"/>
      <c r="AM225" s="139"/>
      <c r="AN225" s="139"/>
      <c r="AP225" s="82">
        <f t="shared" si="19"/>
        <v>6.4435290174207358E-3</v>
      </c>
      <c r="AQ225" s="82">
        <f t="shared" si="20"/>
        <v>0.99997861498909457</v>
      </c>
    </row>
    <row r="226" spans="2:43" x14ac:dyDescent="0.35">
      <c r="B226" s="83" t="s">
        <v>462</v>
      </c>
      <c r="D226" s="137"/>
      <c r="E226" s="137"/>
      <c r="F226" s="137"/>
      <c r="G226" s="137"/>
      <c r="H226" s="137">
        <f>+SUM(D226:G226)</f>
        <v>0</v>
      </c>
      <c r="J226" s="137"/>
      <c r="K226" s="137"/>
      <c r="L226" s="137"/>
      <c r="M226" s="137"/>
      <c r="N226" s="137">
        <f>+SUM(J226:M226)</f>
        <v>0</v>
      </c>
      <c r="P226" s="84" t="str">
        <f>+IFERROR(J226/D226,"")</f>
        <v/>
      </c>
      <c r="Q226" s="84" t="str">
        <f>+IFERROR(K226/E226,"")</f>
        <v/>
      </c>
      <c r="R226" s="84" t="str">
        <f>+IFERROR(L226/F226,"")</f>
        <v/>
      </c>
      <c r="S226" s="84" t="str">
        <f>+IFERROR(M226/G226,"")</f>
        <v/>
      </c>
      <c r="T226" s="84" t="str">
        <f>+IFERROR(#REF!/#REF!,"")</f>
        <v/>
      </c>
      <c r="U226" s="84" t="str">
        <f>+IFERROR(#REF!/#REF!,"")</f>
        <v/>
      </c>
      <c r="V226" s="84" t="str">
        <f>+IFERROR(#REF!/#REF!,"")</f>
        <v/>
      </c>
      <c r="W226" s="84" t="str">
        <f>+IFERROR(#REF!/#REF!,"")</f>
        <v/>
      </c>
      <c r="X226" s="84" t="str">
        <f>+IFERROR(#REF!/#REF!,"")</f>
        <v/>
      </c>
      <c r="Y226" s="84" t="str">
        <f>+IFERROR(#REF!/#REF!,"")</f>
        <v/>
      </c>
      <c r="Z226" s="84" t="str">
        <f>+IFERROR(#REF!/#REF!,"")</f>
        <v/>
      </c>
      <c r="AA226" s="84" t="str">
        <f>+IFERROR(#REF!/#REF!,"")</f>
        <v/>
      </c>
      <c r="AB226" s="84" t="str">
        <f>+IFERROR(N226/H226,"")</f>
        <v/>
      </c>
      <c r="AD226" s="139" t="str">
        <f t="shared" si="22"/>
        <v/>
      </c>
      <c r="AE226" s="139" t="str">
        <f t="shared" si="22"/>
        <v/>
      </c>
      <c r="AF226" s="139" t="str">
        <f t="shared" si="22"/>
        <v/>
      </c>
      <c r="AG226" s="139"/>
      <c r="AH226" s="139"/>
      <c r="AI226" s="139"/>
      <c r="AJ226" s="139"/>
      <c r="AK226" s="139"/>
      <c r="AL226" s="139"/>
      <c r="AM226" s="139"/>
      <c r="AN226" s="139"/>
      <c r="AP226" s="82">
        <f t="shared" si="19"/>
        <v>0</v>
      </c>
      <c r="AQ226" s="82">
        <f t="shared" si="20"/>
        <v>0.99997861498909457</v>
      </c>
    </row>
    <row r="227" spans="2:43" x14ac:dyDescent="0.35">
      <c r="B227" s="83" t="s">
        <v>463</v>
      </c>
      <c r="D227" s="137"/>
      <c r="E227" s="137"/>
      <c r="F227" s="137"/>
      <c r="G227" s="137"/>
      <c r="H227" s="137">
        <f>+SUM(D227:G227)</f>
        <v>0</v>
      </c>
      <c r="J227" s="137"/>
      <c r="K227" s="137"/>
      <c r="L227" s="137"/>
      <c r="M227" s="137"/>
      <c r="N227" s="137">
        <f>+SUM(J227:M227)</f>
        <v>0</v>
      </c>
      <c r="P227" s="84" t="str">
        <f>+IFERROR(J227/D227,"")</f>
        <v/>
      </c>
      <c r="Q227" s="84" t="str">
        <f>+IFERROR(K227/E227,"")</f>
        <v/>
      </c>
      <c r="R227" s="84" t="str">
        <f>+IFERROR(L227/F227,"")</f>
        <v/>
      </c>
      <c r="S227" s="84" t="str">
        <f>+IFERROR(M227/G227,"")</f>
        <v/>
      </c>
      <c r="T227" s="84" t="str">
        <f>+IFERROR(#REF!/#REF!,"")</f>
        <v/>
      </c>
      <c r="U227" s="84" t="str">
        <f>+IFERROR(#REF!/#REF!,"")</f>
        <v/>
      </c>
      <c r="V227" s="84" t="str">
        <f>+IFERROR(#REF!/#REF!,"")</f>
        <v/>
      </c>
      <c r="W227" s="84" t="str">
        <f>+IFERROR(#REF!/#REF!,"")</f>
        <v/>
      </c>
      <c r="X227" s="84" t="str">
        <f>+IFERROR(#REF!/#REF!,"")</f>
        <v/>
      </c>
      <c r="Y227" s="84" t="str">
        <f>+IFERROR(#REF!/#REF!,"")</f>
        <v/>
      </c>
      <c r="Z227" s="84" t="str">
        <f>+IFERROR(#REF!/#REF!,"")</f>
        <v/>
      </c>
      <c r="AA227" s="84" t="str">
        <f>+IFERROR(#REF!/#REF!,"")</f>
        <v/>
      </c>
      <c r="AB227" s="84" t="str">
        <f>+IFERROR(N227/H227,"")</f>
        <v/>
      </c>
      <c r="AD227" s="139" t="str">
        <f t="shared" si="22"/>
        <v/>
      </c>
      <c r="AE227" s="139" t="str">
        <f t="shared" si="22"/>
        <v/>
      </c>
      <c r="AF227" s="139" t="str">
        <f t="shared" si="22"/>
        <v/>
      </c>
      <c r="AG227" s="139"/>
      <c r="AH227" s="139"/>
      <c r="AI227" s="139"/>
      <c r="AJ227" s="139"/>
      <c r="AK227" s="139"/>
      <c r="AL227" s="139"/>
      <c r="AM227" s="139"/>
      <c r="AN227" s="139"/>
      <c r="AP227" s="82">
        <f t="shared" si="19"/>
        <v>0</v>
      </c>
      <c r="AQ227" s="82">
        <f t="shared" si="20"/>
        <v>0.99997861498909457</v>
      </c>
    </row>
    <row r="228" spans="2:43" x14ac:dyDescent="0.35">
      <c r="B228" s="83" t="s">
        <v>464</v>
      </c>
      <c r="D228" s="137">
        <v>9717</v>
      </c>
      <c r="E228" s="137">
        <v>7685</v>
      </c>
      <c r="F228" s="137">
        <v>5070</v>
      </c>
      <c r="G228" s="137">
        <v>3230</v>
      </c>
      <c r="H228" s="137">
        <f>+SUM(D228:G228)</f>
        <v>25702</v>
      </c>
      <c r="J228" s="137">
        <v>2000</v>
      </c>
      <c r="K228" s="137">
        <v>1900</v>
      </c>
      <c r="L228" s="137">
        <v>1000</v>
      </c>
      <c r="M228" s="137">
        <v>3030</v>
      </c>
      <c r="N228" s="137">
        <f>+SUM(J228:M228)</f>
        <v>7930</v>
      </c>
      <c r="P228" s="84">
        <f>+IFERROR(J228/D228,"")</f>
        <v>0.20582484305855717</v>
      </c>
      <c r="Q228" s="84">
        <f>+IFERROR(K228/E228,"")</f>
        <v>0.24723487312947301</v>
      </c>
      <c r="R228" s="84">
        <f>+IFERROR(L228/F228,"")</f>
        <v>0.19723865877712032</v>
      </c>
      <c r="S228" s="84">
        <f>+IFERROR(M228/G228,"")</f>
        <v>0.9380804953560371</v>
      </c>
      <c r="T228" s="84" t="str">
        <f>+IFERROR(#REF!/#REF!,"")</f>
        <v/>
      </c>
      <c r="U228" s="84" t="str">
        <f>+IFERROR(#REF!/#REF!,"")</f>
        <v/>
      </c>
      <c r="V228" s="84" t="str">
        <f>+IFERROR(#REF!/#REF!,"")</f>
        <v/>
      </c>
      <c r="W228" s="84" t="str">
        <f>+IFERROR(#REF!/#REF!,"")</f>
        <v/>
      </c>
      <c r="X228" s="84" t="str">
        <f>+IFERROR(#REF!/#REF!,"")</f>
        <v/>
      </c>
      <c r="Y228" s="84" t="str">
        <f>+IFERROR(#REF!/#REF!,"")</f>
        <v/>
      </c>
      <c r="Z228" s="84" t="str">
        <f>+IFERROR(#REF!/#REF!,"")</f>
        <v/>
      </c>
      <c r="AA228" s="84" t="str">
        <f>+IFERROR(#REF!/#REF!,"")</f>
        <v/>
      </c>
      <c r="AB228" s="84">
        <f>+IFERROR(N228/H228,"")</f>
        <v>0.30853630067699012</v>
      </c>
      <c r="AD228" s="139">
        <f t="shared" si="22"/>
        <v>4.1410030070915843E-2</v>
      </c>
      <c r="AE228" s="139">
        <f t="shared" si="22"/>
        <v>-4.9996214352352686E-2</v>
      </c>
      <c r="AF228" s="139">
        <f t="shared" si="22"/>
        <v>0.74084183657891678</v>
      </c>
      <c r="AG228" s="139"/>
      <c r="AH228" s="139"/>
      <c r="AI228" s="139"/>
      <c r="AJ228" s="139"/>
      <c r="AK228" s="139"/>
      <c r="AL228" s="139"/>
      <c r="AM228" s="139"/>
      <c r="AN228" s="139"/>
      <c r="AP228" s="82">
        <f t="shared" si="19"/>
        <v>9.500455825401088E-6</v>
      </c>
      <c r="AQ228" s="82">
        <f t="shared" si="20"/>
        <v>0.99998811544491994</v>
      </c>
    </row>
    <row r="229" spans="2:43" x14ac:dyDescent="0.35">
      <c r="B229" s="83" t="s">
        <v>465</v>
      </c>
      <c r="D229" s="137"/>
      <c r="E229" s="137"/>
      <c r="F229" s="137"/>
      <c r="G229" s="137"/>
      <c r="H229" s="137">
        <f>+SUM(D229:G229)</f>
        <v>0</v>
      </c>
      <c r="J229" s="137"/>
      <c r="K229" s="137"/>
      <c r="L229" s="137"/>
      <c r="M229" s="137"/>
      <c r="N229" s="137">
        <f>+SUM(J229:M229)</f>
        <v>0</v>
      </c>
      <c r="P229" s="84" t="str">
        <f>+IFERROR(J229/D229,"")</f>
        <v/>
      </c>
      <c r="Q229" s="84" t="str">
        <f>+IFERROR(K229/E229,"")</f>
        <v/>
      </c>
      <c r="R229" s="84" t="str">
        <f>+IFERROR(L229/F229,"")</f>
        <v/>
      </c>
      <c r="S229" s="84" t="str">
        <f>+IFERROR(M229/G229,"")</f>
        <v/>
      </c>
      <c r="T229" s="84" t="str">
        <f>+IFERROR(#REF!/#REF!,"")</f>
        <v/>
      </c>
      <c r="U229" s="84" t="str">
        <f>+IFERROR(#REF!/#REF!,"")</f>
        <v/>
      </c>
      <c r="V229" s="84" t="str">
        <f>+IFERROR(#REF!/#REF!,"")</f>
        <v/>
      </c>
      <c r="W229" s="84" t="str">
        <f>+IFERROR(#REF!/#REF!,"")</f>
        <v/>
      </c>
      <c r="X229" s="84" t="str">
        <f>+IFERROR(#REF!/#REF!,"")</f>
        <v/>
      </c>
      <c r="Y229" s="84" t="str">
        <f>+IFERROR(#REF!/#REF!,"")</f>
        <v/>
      </c>
      <c r="Z229" s="84" t="str">
        <f>+IFERROR(#REF!/#REF!,"")</f>
        <v/>
      </c>
      <c r="AA229" s="84" t="str">
        <f>+IFERROR(#REF!/#REF!,"")</f>
        <v/>
      </c>
      <c r="AB229" s="84" t="str">
        <f>+IFERROR(N229/H229,"")</f>
        <v/>
      </c>
      <c r="AD229" s="139" t="str">
        <f t="shared" si="22"/>
        <v/>
      </c>
      <c r="AE229" s="139" t="str">
        <f t="shared" si="22"/>
        <v/>
      </c>
      <c r="AF229" s="139" t="str">
        <f t="shared" si="22"/>
        <v/>
      </c>
      <c r="AG229" s="139"/>
      <c r="AH229" s="139"/>
      <c r="AI229" s="139"/>
      <c r="AJ229" s="139"/>
      <c r="AK229" s="139"/>
      <c r="AL229" s="139"/>
      <c r="AM229" s="139"/>
      <c r="AN229" s="139"/>
      <c r="AP229" s="82">
        <f t="shared" si="19"/>
        <v>0</v>
      </c>
      <c r="AQ229" s="82">
        <f t="shared" si="20"/>
        <v>0.99998811544491994</v>
      </c>
    </row>
    <row r="230" spans="2:43" x14ac:dyDescent="0.35">
      <c r="B230" s="83" t="s">
        <v>466</v>
      </c>
      <c r="D230" s="137">
        <v>428</v>
      </c>
      <c r="E230" s="137"/>
      <c r="F230" s="137">
        <v>42103</v>
      </c>
      <c r="G230" s="137"/>
      <c r="H230" s="137">
        <f>+SUM(D230:G230)</f>
        <v>42531</v>
      </c>
      <c r="J230" s="137">
        <v>98</v>
      </c>
      <c r="K230" s="137"/>
      <c r="L230" s="137">
        <v>3382</v>
      </c>
      <c r="M230" s="137"/>
      <c r="N230" s="137">
        <f>+SUM(J230:M230)</f>
        <v>3480</v>
      </c>
      <c r="P230" s="84">
        <f>+IFERROR(J230/D230,"")</f>
        <v>0.22897196261682243</v>
      </c>
      <c r="Q230" s="84" t="str">
        <f>+IFERROR(K230/E230,"")</f>
        <v/>
      </c>
      <c r="R230" s="84">
        <f>+IFERROR(L230/F230,"")</f>
        <v>8.0326817566444192E-2</v>
      </c>
      <c r="S230" s="84" t="str">
        <f>+IFERROR(M230/G230,"")</f>
        <v/>
      </c>
      <c r="T230" s="84" t="str">
        <f>+IFERROR(#REF!/#REF!,"")</f>
        <v/>
      </c>
      <c r="U230" s="84" t="str">
        <f>+IFERROR(#REF!/#REF!,"")</f>
        <v/>
      </c>
      <c r="V230" s="84" t="str">
        <f>+IFERROR(#REF!/#REF!,"")</f>
        <v/>
      </c>
      <c r="W230" s="84" t="str">
        <f>+IFERROR(#REF!/#REF!,"")</f>
        <v/>
      </c>
      <c r="X230" s="84" t="str">
        <f>+IFERROR(#REF!/#REF!,"")</f>
        <v/>
      </c>
      <c r="Y230" s="84" t="str">
        <f>+IFERROR(#REF!/#REF!,"")</f>
        <v/>
      </c>
      <c r="Z230" s="84" t="str">
        <f>+IFERROR(#REF!/#REF!,"")</f>
        <v/>
      </c>
      <c r="AA230" s="84" t="str">
        <f>+IFERROR(#REF!/#REF!,"")</f>
        <v/>
      </c>
      <c r="AB230" s="84">
        <f>+IFERROR(N230/H230,"")</f>
        <v>8.1822670522677582E-2</v>
      </c>
      <c r="AD230" s="139" t="str">
        <f t="shared" si="22"/>
        <v/>
      </c>
      <c r="AE230" s="139" t="str">
        <f t="shared" si="22"/>
        <v/>
      </c>
      <c r="AF230" s="139" t="str">
        <f t="shared" si="22"/>
        <v/>
      </c>
      <c r="AG230" s="139"/>
      <c r="AH230" s="139"/>
      <c r="AI230" s="139"/>
      <c r="AJ230" s="139"/>
      <c r="AK230" s="139"/>
      <c r="AL230" s="139"/>
      <c r="AM230" s="139"/>
      <c r="AN230" s="139"/>
      <c r="AP230" s="82">
        <f t="shared" si="19"/>
        <v>4.1691785967712215E-6</v>
      </c>
      <c r="AQ230" s="82">
        <f t="shared" si="20"/>
        <v>0.99999228462351675</v>
      </c>
    </row>
    <row r="231" spans="2:43" x14ac:dyDescent="0.35">
      <c r="B231" s="83" t="s">
        <v>467</v>
      </c>
      <c r="D231" s="137"/>
      <c r="E231" s="137"/>
      <c r="F231" s="137"/>
      <c r="G231" s="137"/>
      <c r="H231" s="137">
        <f>+SUM(D231:G231)</f>
        <v>0</v>
      </c>
      <c r="J231" s="137"/>
      <c r="K231" s="137"/>
      <c r="L231" s="137"/>
      <c r="M231" s="137"/>
      <c r="N231" s="137">
        <f>+SUM(J231:M231)</f>
        <v>0</v>
      </c>
      <c r="P231" s="84" t="str">
        <f>+IFERROR(J231/D231,"")</f>
        <v/>
      </c>
      <c r="Q231" s="84" t="str">
        <f>+IFERROR(K231/E231,"")</f>
        <v/>
      </c>
      <c r="R231" s="84" t="str">
        <f>+IFERROR(L231/F231,"")</f>
        <v/>
      </c>
      <c r="S231" s="84" t="str">
        <f>+IFERROR(M231/G231,"")</f>
        <v/>
      </c>
      <c r="T231" s="84" t="str">
        <f>+IFERROR(#REF!/#REF!,"")</f>
        <v/>
      </c>
      <c r="U231" s="84" t="str">
        <f>+IFERROR(#REF!/#REF!,"")</f>
        <v/>
      </c>
      <c r="V231" s="84" t="str">
        <f>+IFERROR(#REF!/#REF!,"")</f>
        <v/>
      </c>
      <c r="W231" s="84" t="str">
        <f>+IFERROR(#REF!/#REF!,"")</f>
        <v/>
      </c>
      <c r="X231" s="84" t="str">
        <f>+IFERROR(#REF!/#REF!,"")</f>
        <v/>
      </c>
      <c r="Y231" s="84" t="str">
        <f>+IFERROR(#REF!/#REF!,"")</f>
        <v/>
      </c>
      <c r="Z231" s="84" t="str">
        <f>+IFERROR(#REF!/#REF!,"")</f>
        <v/>
      </c>
      <c r="AA231" s="84" t="str">
        <f>+IFERROR(#REF!/#REF!,"")</f>
        <v/>
      </c>
      <c r="AB231" s="84" t="str">
        <f>+IFERROR(N231/H231,"")</f>
        <v/>
      </c>
      <c r="AD231" s="139" t="str">
        <f t="shared" si="22"/>
        <v/>
      </c>
      <c r="AE231" s="139" t="str">
        <f t="shared" si="22"/>
        <v/>
      </c>
      <c r="AF231" s="139" t="str">
        <f t="shared" si="22"/>
        <v/>
      </c>
      <c r="AG231" s="139"/>
      <c r="AH231" s="139"/>
      <c r="AI231" s="139"/>
      <c r="AJ231" s="139"/>
      <c r="AK231" s="139"/>
      <c r="AL231" s="139"/>
      <c r="AM231" s="139"/>
      <c r="AN231" s="139"/>
      <c r="AP231" s="82">
        <f t="shared" si="19"/>
        <v>0</v>
      </c>
      <c r="AQ231" s="82">
        <f t="shared" si="20"/>
        <v>0.99999228462351675</v>
      </c>
    </row>
    <row r="232" spans="2:43" x14ac:dyDescent="0.35">
      <c r="B232" s="83" t="s">
        <v>468</v>
      </c>
      <c r="D232" s="137"/>
      <c r="E232" s="137">
        <v>717</v>
      </c>
      <c r="F232" s="137">
        <v>6569</v>
      </c>
      <c r="G232" s="137">
        <v>177</v>
      </c>
      <c r="H232" s="137">
        <f>+SUM(D232:G232)</f>
        <v>7463</v>
      </c>
      <c r="J232" s="137"/>
      <c r="K232" s="137">
        <v>214</v>
      </c>
      <c r="L232" s="137">
        <v>6054</v>
      </c>
      <c r="M232" s="137">
        <v>172</v>
      </c>
      <c r="N232" s="137">
        <f>+SUM(J232:M232)</f>
        <v>6440</v>
      </c>
      <c r="P232" s="84" t="str">
        <f>+IFERROR(J232/D232,"")</f>
        <v/>
      </c>
      <c r="Q232" s="84">
        <f>+IFERROR(K232/E232,"")</f>
        <v>0.29846582984658299</v>
      </c>
      <c r="R232" s="84">
        <f>+IFERROR(L232/F232,"")</f>
        <v>0.92160146140965138</v>
      </c>
      <c r="S232" s="84">
        <f>+IFERROR(M232/G232,"")</f>
        <v>0.97175141242937857</v>
      </c>
      <c r="T232" s="84" t="str">
        <f>+IFERROR(#REF!/#REF!,"")</f>
        <v/>
      </c>
      <c r="U232" s="84" t="str">
        <f>+IFERROR(#REF!/#REF!,"")</f>
        <v/>
      </c>
      <c r="V232" s="84" t="str">
        <f>+IFERROR(#REF!/#REF!,"")</f>
        <v/>
      </c>
      <c r="W232" s="84" t="str">
        <f>+IFERROR(#REF!/#REF!,"")</f>
        <v/>
      </c>
      <c r="X232" s="84" t="str">
        <f>+IFERROR(#REF!/#REF!,"")</f>
        <v/>
      </c>
      <c r="Y232" s="84" t="str">
        <f>+IFERROR(#REF!/#REF!,"")</f>
        <v/>
      </c>
      <c r="Z232" s="84" t="str">
        <f>+IFERROR(#REF!/#REF!,"")</f>
        <v/>
      </c>
      <c r="AA232" s="84" t="str">
        <f>+IFERROR(#REF!/#REF!,"")</f>
        <v/>
      </c>
      <c r="AB232" s="84">
        <f>+IFERROR(N232/H232,"")</f>
        <v>0.86292375720219749</v>
      </c>
      <c r="AD232" s="139" t="str">
        <f t="shared" si="22"/>
        <v/>
      </c>
      <c r="AE232" s="139">
        <f t="shared" si="22"/>
        <v>0.62313563156306839</v>
      </c>
      <c r="AF232" s="139">
        <f t="shared" si="22"/>
        <v>5.014995101972719E-2</v>
      </c>
      <c r="AG232" s="139"/>
      <c r="AH232" s="139"/>
      <c r="AI232" s="139"/>
      <c r="AJ232" s="139"/>
      <c r="AK232" s="139"/>
      <c r="AL232" s="139"/>
      <c r="AM232" s="139"/>
      <c r="AN232" s="139"/>
      <c r="AP232" s="82">
        <f t="shared" si="19"/>
        <v>7.715376483680077E-6</v>
      </c>
      <c r="AQ232" s="82">
        <f t="shared" si="20"/>
        <v>1.0000000000000004</v>
      </c>
    </row>
    <row r="233" spans="2:43" x14ac:dyDescent="0.35">
      <c r="B233" s="83" t="s">
        <v>469</v>
      </c>
      <c r="D233" s="137"/>
      <c r="E233" s="137"/>
      <c r="F233" s="137"/>
      <c r="G233" s="137"/>
      <c r="H233" s="137">
        <f>+SUM(D233:G233)</f>
        <v>0</v>
      </c>
      <c r="J233" s="137"/>
      <c r="K233" s="137"/>
      <c r="L233" s="137"/>
      <c r="M233" s="137"/>
      <c r="N233" s="137">
        <f>+SUM(J233:M233)</f>
        <v>0</v>
      </c>
      <c r="P233" s="84" t="str">
        <f>+IFERROR(J233/D233,"")</f>
        <v/>
      </c>
      <c r="Q233" s="84" t="str">
        <f>+IFERROR(K233/E233,"")</f>
        <v/>
      </c>
      <c r="R233" s="84" t="str">
        <f>+IFERROR(L233/F233,"")</f>
        <v/>
      </c>
      <c r="S233" s="84" t="str">
        <f>+IFERROR(M233/G233,"")</f>
        <v/>
      </c>
      <c r="T233" s="84" t="str">
        <f>+IFERROR(#REF!/#REF!,"")</f>
        <v/>
      </c>
      <c r="U233" s="84" t="str">
        <f>+IFERROR(#REF!/#REF!,"")</f>
        <v/>
      </c>
      <c r="V233" s="84" t="str">
        <f>+IFERROR(#REF!/#REF!,"")</f>
        <v/>
      </c>
      <c r="W233" s="84" t="str">
        <f>+IFERROR(#REF!/#REF!,"")</f>
        <v/>
      </c>
      <c r="X233" s="84" t="str">
        <f>+IFERROR(#REF!/#REF!,"")</f>
        <v/>
      </c>
      <c r="Y233" s="84" t="str">
        <f>+IFERROR(#REF!/#REF!,"")</f>
        <v/>
      </c>
      <c r="Z233" s="84" t="str">
        <f>+IFERROR(#REF!/#REF!,"")</f>
        <v/>
      </c>
      <c r="AA233" s="84" t="str">
        <f>+IFERROR(#REF!/#REF!,"")</f>
        <v/>
      </c>
      <c r="AB233" s="84" t="str">
        <f>+IFERROR(N233/H233,"")</f>
        <v/>
      </c>
      <c r="AD233" s="139" t="str">
        <f t="shared" si="22"/>
        <v/>
      </c>
      <c r="AE233" s="139" t="str">
        <f t="shared" si="22"/>
        <v/>
      </c>
      <c r="AF233" s="139"/>
      <c r="AG233" s="139"/>
      <c r="AH233" s="139"/>
      <c r="AI233" s="139"/>
      <c r="AJ233" s="139"/>
      <c r="AK233" s="139"/>
      <c r="AL233" s="139"/>
      <c r="AM233" s="139"/>
      <c r="AN233" s="139"/>
      <c r="AP233" s="82">
        <f t="shared" si="19"/>
        <v>0</v>
      </c>
      <c r="AQ233" s="82">
        <f t="shared" si="20"/>
        <v>1.0000000000000004</v>
      </c>
    </row>
    <row r="234" spans="2:43" x14ac:dyDescent="0.35">
      <c r="B234" s="83" t="s">
        <v>470</v>
      </c>
      <c r="D234" s="137"/>
      <c r="E234" s="137"/>
      <c r="F234" s="137"/>
      <c r="G234" s="137"/>
      <c r="H234" s="137">
        <f>+SUM(D234:G234)</f>
        <v>0</v>
      </c>
      <c r="J234" s="137"/>
      <c r="K234" s="137"/>
      <c r="L234" s="137"/>
      <c r="M234" s="137"/>
      <c r="N234" s="137">
        <f>+SUM(J234:M234)</f>
        <v>0</v>
      </c>
      <c r="P234" s="84" t="str">
        <f>+IFERROR(J234/D234,"")</f>
        <v/>
      </c>
      <c r="Q234" s="84" t="str">
        <f>+IFERROR(K234/E234,"")</f>
        <v/>
      </c>
      <c r="R234" s="84" t="str">
        <f>+IFERROR(L234/F234,"")</f>
        <v/>
      </c>
      <c r="S234" s="84" t="str">
        <f>+IFERROR(M234/G234,"")</f>
        <v/>
      </c>
      <c r="T234" s="84" t="str">
        <f>+IFERROR(#REF!/#REF!,"")</f>
        <v/>
      </c>
      <c r="U234" s="84" t="str">
        <f>+IFERROR(#REF!/#REF!,"")</f>
        <v/>
      </c>
      <c r="V234" s="84" t="str">
        <f>+IFERROR(#REF!/#REF!,"")</f>
        <v/>
      </c>
      <c r="W234" s="84" t="str">
        <f>+IFERROR(#REF!/#REF!,"")</f>
        <v/>
      </c>
      <c r="X234" s="84" t="str">
        <f>+IFERROR(#REF!/#REF!,"")</f>
        <v/>
      </c>
      <c r="Y234" s="84" t="str">
        <f>+IFERROR(#REF!/#REF!,"")</f>
        <v/>
      </c>
      <c r="Z234" s="84" t="str">
        <f>+IFERROR(#REF!/#REF!,"")</f>
        <v/>
      </c>
      <c r="AA234" s="84" t="str">
        <f>+IFERROR(#REF!/#REF!,"")</f>
        <v/>
      </c>
      <c r="AB234" s="84" t="str">
        <f>+IFERROR(N234/H234,"")</f>
        <v/>
      </c>
      <c r="AD234" s="139" t="str">
        <f t="shared" si="22"/>
        <v/>
      </c>
      <c r="AE234" s="139" t="str">
        <f t="shared" si="22"/>
        <v/>
      </c>
      <c r="AF234" s="139"/>
      <c r="AG234" s="139"/>
      <c r="AH234" s="139"/>
      <c r="AI234" s="139"/>
      <c r="AJ234" s="139"/>
      <c r="AK234" s="139"/>
      <c r="AL234" s="139"/>
      <c r="AM234" s="139"/>
      <c r="AN234" s="139"/>
      <c r="AP234" s="82">
        <f t="shared" si="19"/>
        <v>0</v>
      </c>
      <c r="AQ234" s="82">
        <f t="shared" si="20"/>
        <v>1.0000000000000004</v>
      </c>
    </row>
    <row r="235" spans="2:43" s="86" customFormat="1" ht="15.65" customHeight="1" x14ac:dyDescent="0.35">
      <c r="B235" s="85" t="s">
        <v>286</v>
      </c>
      <c r="D235" s="140">
        <f>+SUM(D5:D234)</f>
        <v>1770211334</v>
      </c>
      <c r="E235" s="140">
        <f>+SUM(E5:E234)</f>
        <v>1728699037</v>
      </c>
      <c r="F235" s="140">
        <f t="shared" ref="F235:G235" si="23">+SUM(F5:F203)</f>
        <v>1959894334</v>
      </c>
      <c r="G235" s="140">
        <f>+SUM(G5:G234)</f>
        <v>291630939</v>
      </c>
      <c r="H235" s="140">
        <f>+SUM(H5:H234)</f>
        <v>5758975638</v>
      </c>
      <c r="J235" s="140">
        <f>+SUM(J5:J234)</f>
        <v>256028690</v>
      </c>
      <c r="K235" s="140">
        <f>+SUM(K5:K234)</f>
        <v>250316708</v>
      </c>
      <c r="L235" s="140">
        <f t="shared" ref="L235:M235" si="24">+SUM(L5:L203)</f>
        <v>283530487</v>
      </c>
      <c r="M235" s="140">
        <f>+SUM(M5:M234)</f>
        <v>43112341</v>
      </c>
      <c r="N235" s="140">
        <f>+SUM(N5:N234)</f>
        <v>834696792</v>
      </c>
      <c r="P235" s="87">
        <f>+IFERROR(J235/D235,"")</f>
        <v>0.14463170870196224</v>
      </c>
      <c r="Q235" s="87">
        <f>+IFERROR(K235/E235,"")</f>
        <v>0.14480062905247051</v>
      </c>
      <c r="R235" s="87">
        <f>+IFERROR(L235/F235,"")</f>
        <v>0.14466621086726403</v>
      </c>
      <c r="S235" s="87">
        <f>+IFERROR(M235/G235,"")</f>
        <v>0.14783184921267906</v>
      </c>
      <c r="T235" s="87" t="str">
        <f>+IFERROR(#REF!/#REF!,"")</f>
        <v/>
      </c>
      <c r="U235" s="87" t="str">
        <f>+IFERROR(#REF!/#REF!,"")</f>
        <v/>
      </c>
      <c r="V235" s="87" t="str">
        <f>+IFERROR(#REF!/#REF!,"")</f>
        <v/>
      </c>
      <c r="W235" s="87" t="str">
        <f>+IFERROR(#REF!/#REF!,"")</f>
        <v/>
      </c>
      <c r="X235" s="87" t="str">
        <f>+IFERROR(#REF!/#REF!,"")</f>
        <v/>
      </c>
      <c r="Y235" s="244" t="str">
        <f>+IFERROR(#REF!/#REF!,"")</f>
        <v/>
      </c>
      <c r="Z235" s="244" t="str">
        <f>+IFERROR(#REF!/#REF!,"")</f>
        <v/>
      </c>
      <c r="AA235" s="244" t="str">
        <f>+IFERROR(#REF!/#REF!,"")</f>
        <v/>
      </c>
      <c r="AB235" s="244">
        <f>+IFERROR(N235/H235,"")</f>
        <v>0.14493841343803232</v>
      </c>
      <c r="AC235" s="243"/>
      <c r="AD235" s="87">
        <f t="shared" ref="AD235:AN235" si="25">+IFERROR(Q235-P235,"")</f>
        <v>1.6892035050827814E-4</v>
      </c>
      <c r="AE235" s="87">
        <f t="shared" si="25"/>
        <v>-1.344181852064863E-4</v>
      </c>
      <c r="AF235" s="87">
        <f t="shared" si="25"/>
        <v>3.1656383454150283E-3</v>
      </c>
      <c r="AG235" s="87" t="str">
        <f t="shared" si="25"/>
        <v/>
      </c>
      <c r="AH235" s="87" t="str">
        <f t="shared" si="25"/>
        <v/>
      </c>
      <c r="AI235" s="87" t="str">
        <f t="shared" si="25"/>
        <v/>
      </c>
      <c r="AJ235" s="87" t="str">
        <f t="shared" si="25"/>
        <v/>
      </c>
      <c r="AK235" s="244" t="str">
        <f t="shared" si="25"/>
        <v/>
      </c>
      <c r="AL235" s="244" t="str">
        <f t="shared" si="25"/>
        <v/>
      </c>
      <c r="AM235" s="244" t="str">
        <f t="shared" si="25"/>
        <v/>
      </c>
      <c r="AN235" s="244" t="str">
        <f t="shared" si="25"/>
        <v/>
      </c>
      <c r="AO235" s="243"/>
      <c r="AP235" s="245">
        <f>+N235/$N$235</f>
        <v>1</v>
      </c>
      <c r="AQ235" s="88"/>
    </row>
    <row r="237" spans="2:43" x14ac:dyDescent="0.35">
      <c r="J237" s="89"/>
      <c r="L237" s="89"/>
      <c r="M237" s="89"/>
      <c r="N237" s="89"/>
    </row>
    <row r="238" spans="2:43" x14ac:dyDescent="0.35">
      <c r="J238" s="89"/>
      <c r="K238" s="89"/>
      <c r="L238" s="89"/>
      <c r="M238" s="89"/>
      <c r="N238" s="89"/>
    </row>
    <row r="239" spans="2:43" x14ac:dyDescent="0.35">
      <c r="E239" s="218"/>
      <c r="K239" s="218"/>
    </row>
  </sheetData>
  <mergeCells count="4">
    <mergeCell ref="D2:H2"/>
    <mergeCell ref="J2:N2"/>
    <mergeCell ref="P2:AB2"/>
    <mergeCell ref="AD2:AN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BG241"/>
  <sheetViews>
    <sheetView showGridLines="0" zoomScale="70" zoomScaleNormal="70" workbookViewId="0">
      <pane xSplit="2" ySplit="4" topLeftCell="C5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B1" sqref="B1"/>
    </sheetView>
  </sheetViews>
  <sheetFormatPr baseColWidth="10" defaultColWidth="11.54296875" defaultRowHeight="14.5" outlineLevelCol="1" x14ac:dyDescent="0.35"/>
  <cols>
    <col min="1" max="1" width="0.90625" style="154" customWidth="1"/>
    <col min="2" max="2" width="48.08984375" style="154" customWidth="1"/>
    <col min="3" max="3" width="0.54296875" style="154" customWidth="1"/>
    <col min="4" max="5" width="18.1796875" style="154" hidden="1" customWidth="1" outlineLevel="1"/>
    <col min="6" max="7" width="18.1796875" style="154" customWidth="1" outlineLevel="1"/>
    <col min="8" max="14" width="18.1796875" style="154" hidden="1" customWidth="1" outlineLevel="1"/>
    <col min="15" max="15" width="16.36328125" style="154" hidden="1" customWidth="1" outlineLevel="1"/>
    <col min="16" max="16" width="19.36328125" style="154" bestFit="1" customWidth="1" outlineLevel="1"/>
    <col min="17" max="17" width="0.6328125" style="154" customWidth="1"/>
    <col min="18" max="19" width="16.36328125" style="154" hidden="1" customWidth="1" outlineLevel="1"/>
    <col min="20" max="21" width="16.36328125" style="154" customWidth="1" outlineLevel="1"/>
    <col min="22" max="29" width="16.36328125" style="154" hidden="1" customWidth="1" outlineLevel="1"/>
    <col min="30" max="30" width="18.1796875" style="154" bestFit="1" customWidth="1" outlineLevel="1"/>
    <col min="31" max="31" width="0.6328125" style="154" customWidth="1"/>
    <col min="32" max="33" width="8.54296875" style="154" hidden="1" customWidth="1"/>
    <col min="34" max="35" width="8.54296875" style="154" customWidth="1"/>
    <col min="36" max="38" width="8.36328125" style="154" hidden="1" customWidth="1"/>
    <col min="39" max="41" width="8.54296875" style="154" hidden="1" customWidth="1"/>
    <col min="42" max="42" width="8.36328125" style="154" hidden="1" customWidth="1"/>
    <col min="43" max="43" width="8.54296875" style="154" hidden="1" customWidth="1"/>
    <col min="44" max="44" width="8.54296875" style="154" bestFit="1" customWidth="1"/>
    <col min="45" max="45" width="0.6328125" style="154" customWidth="1"/>
    <col min="46" max="46" width="8.54296875" style="154" hidden="1" customWidth="1"/>
    <col min="47" max="47" width="9.08984375" style="154" customWidth="1"/>
    <col min="48" max="48" width="8.54296875" style="154" customWidth="1"/>
    <col min="49" max="49" width="9.36328125" style="154" hidden="1" customWidth="1"/>
    <col min="50" max="50" width="9.453125" style="154" hidden="1" customWidth="1"/>
    <col min="51" max="51" width="8.6328125" style="154" hidden="1" customWidth="1"/>
    <col min="52" max="52" width="9.81640625" style="154" hidden="1" customWidth="1"/>
    <col min="53" max="53" width="9.6328125" style="154" hidden="1" customWidth="1"/>
    <col min="54" max="54" width="9.453125" style="154" hidden="1" customWidth="1"/>
    <col min="55" max="55" width="10.08984375" style="154" hidden="1" customWidth="1"/>
    <col min="56" max="56" width="9" style="154" hidden="1" customWidth="1"/>
    <col min="57" max="57" width="0.6328125" style="154" customWidth="1"/>
    <col min="58" max="58" width="6.453125" style="154" bestFit="1" customWidth="1"/>
    <col min="59" max="59" width="9.08984375" style="154" bestFit="1" customWidth="1"/>
    <col min="60" max="60" width="11.54296875" style="154" customWidth="1"/>
    <col min="61" max="16384" width="11.54296875" style="154"/>
  </cols>
  <sheetData>
    <row r="1" spans="2:59" ht="23" customHeight="1" x14ac:dyDescent="0.35">
      <c r="J1" s="223"/>
      <c r="K1" s="223"/>
      <c r="L1" s="223"/>
      <c r="M1" s="223"/>
    </row>
    <row r="2" spans="2:59" x14ac:dyDescent="0.35">
      <c r="D2" s="254" t="s">
        <v>287</v>
      </c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R2" s="256" t="s">
        <v>288</v>
      </c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F2" s="254" t="s">
        <v>73</v>
      </c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T2" s="257" t="s">
        <v>454</v>
      </c>
      <c r="AU2" s="255"/>
      <c r="AV2" s="255"/>
      <c r="AW2" s="255"/>
      <c r="AX2" s="255"/>
      <c r="AY2" s="255"/>
      <c r="AZ2" s="255"/>
      <c r="BA2" s="255"/>
      <c r="BB2" s="255"/>
      <c r="BC2" s="255"/>
      <c r="BD2" s="255"/>
    </row>
    <row r="3" spans="2:59" ht="5" customHeight="1" x14ac:dyDescent="0.35"/>
    <row r="4" spans="2:59" ht="17.399999999999999" customHeight="1" x14ac:dyDescent="0.35">
      <c r="B4" s="1" t="s">
        <v>74</v>
      </c>
      <c r="D4" s="6" t="s">
        <v>19</v>
      </c>
      <c r="E4" s="6" t="s">
        <v>20</v>
      </c>
      <c r="F4" s="233" t="s">
        <v>21</v>
      </c>
      <c r="G4" s="233" t="s">
        <v>22</v>
      </c>
      <c r="H4" s="233" t="s">
        <v>23</v>
      </c>
      <c r="I4" s="233" t="s">
        <v>24</v>
      </c>
      <c r="J4" s="233" t="s">
        <v>25</v>
      </c>
      <c r="K4" s="233" t="s">
        <v>26</v>
      </c>
      <c r="L4" s="233" t="s">
        <v>27</v>
      </c>
      <c r="M4" s="233" t="s">
        <v>28</v>
      </c>
      <c r="N4" s="233" t="s">
        <v>29</v>
      </c>
      <c r="O4" s="233" t="s">
        <v>30</v>
      </c>
      <c r="P4" s="233" t="s">
        <v>44</v>
      </c>
      <c r="R4" s="5" t="s">
        <v>19</v>
      </c>
      <c r="S4" s="5" t="s">
        <v>20</v>
      </c>
      <c r="T4" s="232" t="s">
        <v>21</v>
      </c>
      <c r="U4" s="232" t="s">
        <v>22</v>
      </c>
      <c r="V4" s="232" t="s">
        <v>23</v>
      </c>
      <c r="W4" s="232" t="s">
        <v>24</v>
      </c>
      <c r="X4" s="232" t="s">
        <v>25</v>
      </c>
      <c r="Y4" s="232" t="s">
        <v>26</v>
      </c>
      <c r="Z4" s="232" t="s">
        <v>27</v>
      </c>
      <c r="AA4" s="232" t="s">
        <v>28</v>
      </c>
      <c r="AB4" s="232" t="s">
        <v>29</v>
      </c>
      <c r="AC4" s="232" t="s">
        <v>30</v>
      </c>
      <c r="AD4" s="232" t="s">
        <v>44</v>
      </c>
      <c r="AF4" s="4" t="s">
        <v>19</v>
      </c>
      <c r="AG4" s="4" t="s">
        <v>20</v>
      </c>
      <c r="AH4" s="231" t="s">
        <v>21</v>
      </c>
      <c r="AI4" s="231" t="s">
        <v>22</v>
      </c>
      <c r="AJ4" s="231" t="s">
        <v>23</v>
      </c>
      <c r="AK4" s="231" t="s">
        <v>24</v>
      </c>
      <c r="AL4" s="231" t="s">
        <v>25</v>
      </c>
      <c r="AM4" s="231" t="s">
        <v>26</v>
      </c>
      <c r="AN4" s="231" t="s">
        <v>27</v>
      </c>
      <c r="AO4" s="231" t="s">
        <v>28</v>
      </c>
      <c r="AP4" s="231" t="s">
        <v>29</v>
      </c>
      <c r="AQ4" s="231" t="s">
        <v>30</v>
      </c>
      <c r="AR4" s="231" t="s">
        <v>44</v>
      </c>
      <c r="AT4" s="230" t="s">
        <v>75</v>
      </c>
      <c r="AU4" s="230" t="s">
        <v>76</v>
      </c>
      <c r="AV4" s="230" t="s">
        <v>77</v>
      </c>
      <c r="AW4" s="230" t="s">
        <v>78</v>
      </c>
      <c r="AX4" s="1" t="s">
        <v>79</v>
      </c>
      <c r="AY4" s="1" t="s">
        <v>80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289</v>
      </c>
      <c r="BF4" s="230" t="s">
        <v>85</v>
      </c>
      <c r="BG4" s="230" t="s">
        <v>86</v>
      </c>
    </row>
    <row r="5" spans="2:59" x14ac:dyDescent="0.35">
      <c r="B5" s="3" t="s">
        <v>100</v>
      </c>
      <c r="D5" s="141">
        <v>456590839</v>
      </c>
      <c r="E5" s="141">
        <v>450253497</v>
      </c>
      <c r="F5" s="141">
        <v>572168564</v>
      </c>
      <c r="G5" s="141">
        <v>145351582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7" si="0">+SUM(D5:O5)</f>
        <v>1624364482</v>
      </c>
      <c r="R5" s="141">
        <v>95002792</v>
      </c>
      <c r="S5" s="141">
        <v>93701433</v>
      </c>
      <c r="T5" s="141">
        <v>113466850</v>
      </c>
      <c r="U5" s="141">
        <v>28315597</v>
      </c>
      <c r="V5" s="141"/>
      <c r="W5" s="141"/>
      <c r="X5" s="141"/>
      <c r="Y5" s="141"/>
      <c r="Z5" s="141"/>
      <c r="AA5" s="141"/>
      <c r="AB5" s="141"/>
      <c r="AC5" s="141"/>
      <c r="AD5" s="141">
        <f t="shared" ref="AD5:AD67" si="1">+SUM(R5:AC5)</f>
        <v>330486672</v>
      </c>
      <c r="AF5" s="2">
        <f t="shared" ref="AF5:AR24" si="2">+IFERROR(R5/D5,"")</f>
        <v>0.20806986011386006</v>
      </c>
      <c r="AG5" s="2">
        <f t="shared" si="2"/>
        <v>0.20810817378282351</v>
      </c>
      <c r="AH5" s="2">
        <f t="shared" si="2"/>
        <v>0.19831017839700818</v>
      </c>
      <c r="AI5" s="2">
        <f t="shared" si="2"/>
        <v>0.19480762858157263</v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  <c r="AO5" s="2" t="str">
        <f t="shared" si="2"/>
        <v/>
      </c>
      <c r="AP5" s="2" t="str">
        <f t="shared" si="2"/>
        <v/>
      </c>
      <c r="AQ5" s="2" t="str">
        <f t="shared" si="2"/>
        <v/>
      </c>
      <c r="AR5" s="2">
        <f t="shared" si="2"/>
        <v>0.20345598273183615</v>
      </c>
      <c r="AT5" s="142">
        <f t="shared" ref="AT5:BD28" si="3">+IFERROR(AG5-AF5,"")</f>
        <v>3.831366896345223E-5</v>
      </c>
      <c r="AU5" s="142">
        <f t="shared" si="3"/>
        <v>-9.7979953858153279E-3</v>
      </c>
      <c r="AV5" s="142">
        <f t="shared" si="3"/>
        <v>-3.5025498154355461E-3</v>
      </c>
      <c r="AW5" s="142" t="str">
        <f t="shared" si="3"/>
        <v/>
      </c>
      <c r="AX5" s="142" t="str">
        <f t="shared" si="3"/>
        <v/>
      </c>
      <c r="AY5" s="142" t="str">
        <f t="shared" si="3"/>
        <v/>
      </c>
      <c r="AZ5" s="142" t="str">
        <f t="shared" si="3"/>
        <v/>
      </c>
      <c r="BA5" s="142" t="str">
        <f t="shared" si="3"/>
        <v/>
      </c>
      <c r="BB5" s="142" t="str">
        <f t="shared" si="3"/>
        <v/>
      </c>
      <c r="BC5" s="142" t="str">
        <f t="shared" si="3"/>
        <v/>
      </c>
      <c r="BD5" s="142" t="str">
        <f t="shared" si="3"/>
        <v/>
      </c>
      <c r="BF5" s="9">
        <f t="shared" ref="BF5:BF36" si="4">+AD5/$AD$236</f>
        <v>0.23756760577827887</v>
      </c>
      <c r="BG5" s="9">
        <f>+BF5</f>
        <v>0.23756760577827887</v>
      </c>
    </row>
    <row r="6" spans="2:59" x14ac:dyDescent="0.35">
      <c r="B6" s="3" t="s">
        <v>87</v>
      </c>
      <c r="D6" s="141">
        <v>229861859</v>
      </c>
      <c r="E6" s="141">
        <v>212321066</v>
      </c>
      <c r="F6" s="141">
        <v>214321316</v>
      </c>
      <c r="G6" s="141">
        <v>44204687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700708928</v>
      </c>
      <c r="R6" s="141">
        <v>26359246</v>
      </c>
      <c r="S6" s="141">
        <v>23915527</v>
      </c>
      <c r="T6" s="141">
        <v>23594728</v>
      </c>
      <c r="U6" s="141">
        <v>4888900</v>
      </c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78758401</v>
      </c>
      <c r="AF6" s="2">
        <f t="shared" si="2"/>
        <v>0.11467429226699154</v>
      </c>
      <c r="AG6" s="2">
        <f t="shared" si="2"/>
        <v>0.11263850286056871</v>
      </c>
      <c r="AH6" s="2">
        <f t="shared" si="2"/>
        <v>0.11009044009416218</v>
      </c>
      <c r="AI6" s="2">
        <f t="shared" si="2"/>
        <v>0.11059686951295458</v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  <c r="AO6" s="2" t="str">
        <f t="shared" si="2"/>
        <v/>
      </c>
      <c r="AP6" s="2" t="str">
        <f t="shared" si="2"/>
        <v/>
      </c>
      <c r="AQ6" s="2" t="str">
        <f t="shared" si="2"/>
        <v/>
      </c>
      <c r="AR6" s="2">
        <f t="shared" si="2"/>
        <v>0.1123981697005008</v>
      </c>
      <c r="AT6" s="142">
        <f t="shared" si="3"/>
        <v>-2.0357894064228221E-3</v>
      </c>
      <c r="AU6" s="142">
        <f t="shared" si="3"/>
        <v>-2.5480627664065392E-3</v>
      </c>
      <c r="AV6" s="142">
        <f t="shared" si="3"/>
        <v>5.0642941879240622E-4</v>
      </c>
      <c r="AW6" s="142" t="str">
        <f t="shared" si="3"/>
        <v/>
      </c>
      <c r="AX6" s="142" t="str">
        <f t="shared" si="3"/>
        <v/>
      </c>
      <c r="AY6" s="142" t="str">
        <f t="shared" si="3"/>
        <v/>
      </c>
      <c r="AZ6" s="142" t="str">
        <f t="shared" si="3"/>
        <v/>
      </c>
      <c r="BA6" s="142" t="str">
        <f t="shared" si="3"/>
        <v/>
      </c>
      <c r="BB6" s="142" t="str">
        <f t="shared" si="3"/>
        <v/>
      </c>
      <c r="BC6" s="142" t="str">
        <f t="shared" si="3"/>
        <v/>
      </c>
      <c r="BD6" s="142" t="str">
        <f t="shared" si="3"/>
        <v/>
      </c>
      <c r="BF6" s="9">
        <f t="shared" si="4"/>
        <v>5.6614823972373697E-2</v>
      </c>
      <c r="BG6" s="9">
        <f t="shared" ref="BG6:BG69" si="5">+BF6+BG5</f>
        <v>0.29418242975065256</v>
      </c>
    </row>
    <row r="7" spans="2:59" x14ac:dyDescent="0.35">
      <c r="B7" s="3" t="s">
        <v>88</v>
      </c>
      <c r="D7" s="141">
        <v>338459161</v>
      </c>
      <c r="E7" s="141">
        <v>337340779</v>
      </c>
      <c r="F7" s="141">
        <v>416028207</v>
      </c>
      <c r="G7" s="141">
        <v>74644211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1166472358</v>
      </c>
      <c r="R7" s="141">
        <v>41887467</v>
      </c>
      <c r="S7" s="141">
        <v>41305766</v>
      </c>
      <c r="T7" s="141">
        <v>51598404</v>
      </c>
      <c r="U7" s="141">
        <v>9123702</v>
      </c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143915339</v>
      </c>
      <c r="AF7" s="2">
        <f t="shared" si="2"/>
        <v>0.12375929455193561</v>
      </c>
      <c r="AG7" s="2">
        <f t="shared" si="2"/>
        <v>0.12244522029754369</v>
      </c>
      <c r="AH7" s="2">
        <f t="shared" si="2"/>
        <v>0.12402621536669027</v>
      </c>
      <c r="AI7" s="2">
        <f t="shared" si="2"/>
        <v>0.12222919738544762</v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  <c r="AO7" s="2" t="str">
        <f t="shared" si="2"/>
        <v/>
      </c>
      <c r="AP7" s="2" t="str">
        <f t="shared" si="2"/>
        <v/>
      </c>
      <c r="AQ7" s="2" t="str">
        <f t="shared" si="2"/>
        <v/>
      </c>
      <c r="AR7" s="2">
        <f t="shared" si="2"/>
        <v>0.12337655325733832</v>
      </c>
      <c r="AT7" s="142">
        <f t="shared" si="3"/>
        <v>-1.3140742543919226E-3</v>
      </c>
      <c r="AU7" s="142">
        <f t="shared" si="3"/>
        <v>1.5809950691465791E-3</v>
      </c>
      <c r="AV7" s="142">
        <f t="shared" si="3"/>
        <v>-1.7970179812426545E-3</v>
      </c>
      <c r="AW7" s="142" t="str">
        <f t="shared" si="3"/>
        <v/>
      </c>
      <c r="AX7" s="142" t="str">
        <f t="shared" si="3"/>
        <v/>
      </c>
      <c r="AY7" s="142" t="str">
        <f t="shared" si="3"/>
        <v/>
      </c>
      <c r="AZ7" s="142" t="str">
        <f t="shared" si="3"/>
        <v/>
      </c>
      <c r="BA7" s="142" t="str">
        <f t="shared" si="3"/>
        <v/>
      </c>
      <c r="BB7" s="142" t="str">
        <f t="shared" si="3"/>
        <v/>
      </c>
      <c r="BC7" s="142" t="str">
        <f t="shared" si="3"/>
        <v/>
      </c>
      <c r="BD7" s="142" t="str">
        <f t="shared" si="3"/>
        <v/>
      </c>
      <c r="BF7" s="9">
        <f t="shared" si="4"/>
        <v>0.10345234896794676</v>
      </c>
      <c r="BG7" s="9">
        <f t="shared" si="5"/>
        <v>0.39763477871859931</v>
      </c>
    </row>
    <row r="8" spans="2:59" x14ac:dyDescent="0.35">
      <c r="B8" s="3" t="s">
        <v>89</v>
      </c>
      <c r="D8" s="141">
        <v>352927887</v>
      </c>
      <c r="E8" s="141">
        <v>331879983</v>
      </c>
      <c r="F8" s="141">
        <v>466846975</v>
      </c>
      <c r="G8" s="141">
        <v>75443058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1227097903</v>
      </c>
      <c r="R8" s="141">
        <v>28840965</v>
      </c>
      <c r="S8" s="141">
        <v>27348435</v>
      </c>
      <c r="T8" s="141">
        <v>38109946</v>
      </c>
      <c r="U8" s="141">
        <v>6210417</v>
      </c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100509763</v>
      </c>
      <c r="AF8" s="2">
        <f t="shared" si="2"/>
        <v>8.1719144511807881E-2</v>
      </c>
      <c r="AG8" s="2">
        <f t="shared" si="2"/>
        <v>8.2404593229113185E-2</v>
      </c>
      <c r="AH8" s="2">
        <f t="shared" si="2"/>
        <v>8.16326291928956E-2</v>
      </c>
      <c r="AI8" s="2">
        <f t="shared" si="2"/>
        <v>8.2319263887739011E-2</v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  <c r="AO8" s="2" t="str">
        <f t="shared" si="2"/>
        <v/>
      </c>
      <c r="AP8" s="2" t="str">
        <f t="shared" si="2"/>
        <v/>
      </c>
      <c r="AQ8" s="2" t="str">
        <f t="shared" si="2"/>
        <v/>
      </c>
      <c r="AR8" s="2">
        <f t="shared" si="2"/>
        <v>8.1908511744885601E-2</v>
      </c>
      <c r="AT8" s="142">
        <f t="shared" si="3"/>
        <v>6.8544871730530366E-4</v>
      </c>
      <c r="AU8" s="142">
        <f t="shared" si="3"/>
        <v>-7.7196403621758447E-4</v>
      </c>
      <c r="AV8" s="142">
        <f t="shared" si="3"/>
        <v>6.8663469484341044E-4</v>
      </c>
      <c r="AW8" s="142" t="str">
        <f t="shared" si="3"/>
        <v/>
      </c>
      <c r="AX8" s="142" t="str">
        <f t="shared" si="3"/>
        <v/>
      </c>
      <c r="AY8" s="142" t="str">
        <f t="shared" si="3"/>
        <v/>
      </c>
      <c r="AZ8" s="142" t="str">
        <f t="shared" si="3"/>
        <v/>
      </c>
      <c r="BA8" s="142" t="str">
        <f t="shared" si="3"/>
        <v/>
      </c>
      <c r="BB8" s="142" t="str">
        <f t="shared" si="3"/>
        <v/>
      </c>
      <c r="BC8" s="142" t="str">
        <f t="shared" si="3"/>
        <v/>
      </c>
      <c r="BD8" s="142" t="str">
        <f t="shared" si="3"/>
        <v/>
      </c>
      <c r="BF8" s="9">
        <f t="shared" si="4"/>
        <v>7.225061031584426E-2</v>
      </c>
      <c r="BG8" s="9">
        <f t="shared" si="5"/>
        <v>0.46988538903444355</v>
      </c>
    </row>
    <row r="9" spans="2:59" x14ac:dyDescent="0.35">
      <c r="B9" s="3" t="s">
        <v>90</v>
      </c>
      <c r="D9" s="141">
        <v>247077093</v>
      </c>
      <c r="E9" s="141">
        <v>222092065</v>
      </c>
      <c r="F9" s="141">
        <v>245291025</v>
      </c>
      <c r="G9" s="141">
        <v>38729018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753189201</v>
      </c>
      <c r="R9" s="141">
        <v>26591545</v>
      </c>
      <c r="S9" s="141">
        <v>23478885</v>
      </c>
      <c r="T9" s="141">
        <v>25916477</v>
      </c>
      <c r="U9" s="141">
        <v>4168963</v>
      </c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80155870</v>
      </c>
      <c r="AF9" s="2">
        <f t="shared" si="2"/>
        <v>0.1076244854475441</v>
      </c>
      <c r="AG9" s="2">
        <f t="shared" si="2"/>
        <v>0.10571690168219203</v>
      </c>
      <c r="AH9" s="2">
        <f t="shared" si="2"/>
        <v>0.10565603450024313</v>
      </c>
      <c r="AI9" s="2">
        <f t="shared" si="2"/>
        <v>0.1076444282682303</v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  <c r="AO9" s="2" t="str">
        <f t="shared" si="2"/>
        <v/>
      </c>
      <c r="AP9" s="2" t="str">
        <f t="shared" si="2"/>
        <v/>
      </c>
      <c r="AQ9" s="2" t="str">
        <f t="shared" si="2"/>
        <v/>
      </c>
      <c r="AR9" s="2">
        <f t="shared" si="2"/>
        <v>0.10642195864409373</v>
      </c>
      <c r="AT9" s="142">
        <f t="shared" si="3"/>
        <v>-1.9075837653520777E-3</v>
      </c>
      <c r="AU9" s="142">
        <f t="shared" si="3"/>
        <v>-6.0867181948892624E-5</v>
      </c>
      <c r="AV9" s="142">
        <f t="shared" si="3"/>
        <v>1.9883937679871649E-3</v>
      </c>
      <c r="AW9" s="142" t="str">
        <f t="shared" si="3"/>
        <v/>
      </c>
      <c r="AX9" s="142" t="str">
        <f t="shared" si="3"/>
        <v/>
      </c>
      <c r="AY9" s="142" t="str">
        <f t="shared" si="3"/>
        <v/>
      </c>
      <c r="AZ9" s="142" t="str">
        <f t="shared" si="3"/>
        <v/>
      </c>
      <c r="BA9" s="142" t="str">
        <f t="shared" si="3"/>
        <v/>
      </c>
      <c r="BB9" s="142" t="str">
        <f t="shared" si="3"/>
        <v/>
      </c>
      <c r="BC9" s="142" t="str">
        <f t="shared" si="3"/>
        <v/>
      </c>
      <c r="BD9" s="142" t="str">
        <f t="shared" si="3"/>
        <v/>
      </c>
      <c r="BF9" s="9">
        <f t="shared" si="4"/>
        <v>5.7619382983695538E-2</v>
      </c>
      <c r="BG9" s="9">
        <f t="shared" si="5"/>
        <v>0.52750477201813906</v>
      </c>
    </row>
    <row r="10" spans="2:59" x14ac:dyDescent="0.35">
      <c r="B10" s="3" t="s">
        <v>91</v>
      </c>
      <c r="D10" s="141">
        <v>313825395</v>
      </c>
      <c r="E10" s="141">
        <v>303628607</v>
      </c>
      <c r="F10" s="141">
        <v>339312511</v>
      </c>
      <c r="G10" s="141">
        <v>55936322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1012702835</v>
      </c>
      <c r="R10" s="141">
        <v>34488189</v>
      </c>
      <c r="S10" s="141">
        <v>32682831</v>
      </c>
      <c r="T10" s="141">
        <v>36508962</v>
      </c>
      <c r="U10" s="141">
        <v>6414746</v>
      </c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110094728</v>
      </c>
      <c r="AF10" s="2">
        <f t="shared" si="2"/>
        <v>0.10989610640018473</v>
      </c>
      <c r="AG10" s="2">
        <f t="shared" si="2"/>
        <v>0.10764081593932287</v>
      </c>
      <c r="AH10" s="2">
        <f t="shared" si="2"/>
        <v>0.10759686370656696</v>
      </c>
      <c r="AI10" s="2">
        <f t="shared" si="2"/>
        <v>0.11467943852296902</v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>
        <f t="shared" si="2"/>
        <v>0.10871375510664982</v>
      </c>
      <c r="AT10" s="142">
        <f t="shared" si="3"/>
        <v>-2.2552904608618557E-3</v>
      </c>
      <c r="AU10" s="142">
        <f t="shared" si="3"/>
        <v>-4.3952232755911647E-5</v>
      </c>
      <c r="AV10" s="142">
        <f t="shared" si="3"/>
        <v>7.0825748164020652E-3</v>
      </c>
      <c r="AW10" s="142" t="str">
        <f t="shared" si="3"/>
        <v/>
      </c>
      <c r="AX10" s="142" t="str">
        <f t="shared" si="3"/>
        <v/>
      </c>
      <c r="AY10" s="142" t="str">
        <f t="shared" si="3"/>
        <v/>
      </c>
      <c r="AZ10" s="142" t="str">
        <f t="shared" si="3"/>
        <v/>
      </c>
      <c r="BA10" s="142" t="str">
        <f t="shared" si="3"/>
        <v/>
      </c>
      <c r="BB10" s="142" t="str">
        <f t="shared" si="3"/>
        <v/>
      </c>
      <c r="BC10" s="142" t="str">
        <f t="shared" si="3"/>
        <v/>
      </c>
      <c r="BD10" s="142" t="str">
        <f t="shared" si="3"/>
        <v/>
      </c>
      <c r="BF10" s="9">
        <f t="shared" si="4"/>
        <v>7.9140682985759978E-2</v>
      </c>
      <c r="BG10" s="9">
        <f t="shared" si="5"/>
        <v>0.60664545500389899</v>
      </c>
    </row>
    <row r="11" spans="2:59" x14ac:dyDescent="0.35">
      <c r="B11" s="3" t="s">
        <v>93</v>
      </c>
      <c r="D11" s="141">
        <v>154034974</v>
      </c>
      <c r="E11" s="141">
        <v>145274365</v>
      </c>
      <c r="F11" s="141">
        <v>156972983</v>
      </c>
      <c r="G11" s="141">
        <v>29243795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485526117</v>
      </c>
      <c r="R11" s="141">
        <v>16847137</v>
      </c>
      <c r="S11" s="141">
        <v>15694798</v>
      </c>
      <c r="T11" s="141">
        <v>16704206</v>
      </c>
      <c r="U11" s="141">
        <v>3107841</v>
      </c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52353982</v>
      </c>
      <c r="AF11" s="2">
        <f t="shared" si="2"/>
        <v>0.10937215466404403</v>
      </c>
      <c r="AG11" s="2">
        <f t="shared" si="2"/>
        <v>0.10803556429243384</v>
      </c>
      <c r="AH11" s="2">
        <f t="shared" si="2"/>
        <v>0.10641452867083503</v>
      </c>
      <c r="AI11" s="2">
        <f t="shared" si="2"/>
        <v>0.10627351887810731</v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  <c r="AO11" s="2" t="str">
        <f t="shared" si="2"/>
        <v/>
      </c>
      <c r="AP11" s="2" t="str">
        <f t="shared" si="2"/>
        <v/>
      </c>
      <c r="AQ11" s="2" t="str">
        <f t="shared" si="2"/>
        <v/>
      </c>
      <c r="AR11" s="2">
        <f t="shared" si="2"/>
        <v>0.10782938376927724</v>
      </c>
      <c r="AT11" s="142">
        <f t="shared" si="3"/>
        <v>-1.3365903716101857E-3</v>
      </c>
      <c r="AU11" s="142">
        <f t="shared" si="3"/>
        <v>-1.621035621598807E-3</v>
      </c>
      <c r="AV11" s="142">
        <f t="shared" si="3"/>
        <v>-1.4100979272772818E-4</v>
      </c>
      <c r="AW11" s="142" t="str">
        <f t="shared" si="3"/>
        <v/>
      </c>
      <c r="AX11" s="142" t="str">
        <f t="shared" si="3"/>
        <v/>
      </c>
      <c r="AY11" s="142" t="str">
        <f t="shared" si="3"/>
        <v/>
      </c>
      <c r="AZ11" s="142" t="str">
        <f t="shared" si="3"/>
        <v/>
      </c>
      <c r="BA11" s="142" t="str">
        <f t="shared" si="3"/>
        <v/>
      </c>
      <c r="BB11" s="142" t="str">
        <f t="shared" si="3"/>
        <v/>
      </c>
      <c r="BC11" s="142" t="str">
        <f t="shared" si="3"/>
        <v/>
      </c>
      <c r="BD11" s="142" t="str">
        <f t="shared" si="3"/>
        <v/>
      </c>
      <c r="BF11" s="9">
        <f t="shared" si="4"/>
        <v>3.763422615935056E-2</v>
      </c>
      <c r="BG11" s="9">
        <f t="shared" si="5"/>
        <v>0.64427968116324952</v>
      </c>
    </row>
    <row r="12" spans="2:59" x14ac:dyDescent="0.35">
      <c r="B12" s="3" t="s">
        <v>92</v>
      </c>
      <c r="D12" s="141">
        <v>72257989</v>
      </c>
      <c r="E12" s="141">
        <v>63426048</v>
      </c>
      <c r="F12" s="141">
        <v>67841030</v>
      </c>
      <c r="G12" s="141">
        <v>11070300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214595367</v>
      </c>
      <c r="R12" s="141">
        <v>8935085</v>
      </c>
      <c r="S12" s="141">
        <v>7638159</v>
      </c>
      <c r="T12" s="141">
        <v>8706323</v>
      </c>
      <c r="U12" s="141">
        <v>1578046</v>
      </c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26857613</v>
      </c>
      <c r="AF12" s="2">
        <f t="shared" si="2"/>
        <v>0.12365532342728221</v>
      </c>
      <c r="AG12" s="2">
        <f t="shared" si="2"/>
        <v>0.12042621668624222</v>
      </c>
      <c r="AH12" s="2">
        <f t="shared" si="2"/>
        <v>0.12833418065733967</v>
      </c>
      <c r="AI12" s="2">
        <f t="shared" si="2"/>
        <v>0.1425477177673595</v>
      </c>
      <c r="AJ12" s="2" t="str">
        <f t="shared" si="2"/>
        <v/>
      </c>
      <c r="AK12" s="2" t="str">
        <f t="shared" si="2"/>
        <v/>
      </c>
      <c r="AL12" s="2" t="str">
        <f t="shared" si="2"/>
        <v/>
      </c>
      <c r="AM12" s="2" t="str">
        <f t="shared" si="2"/>
        <v/>
      </c>
      <c r="AN12" s="2" t="str">
        <f t="shared" si="2"/>
        <v/>
      </c>
      <c r="AO12" s="2" t="str">
        <f t="shared" si="2"/>
        <v/>
      </c>
      <c r="AP12" s="2" t="str">
        <f t="shared" si="2"/>
        <v/>
      </c>
      <c r="AQ12" s="2" t="str">
        <f t="shared" si="2"/>
        <v/>
      </c>
      <c r="AR12" s="2">
        <f t="shared" si="2"/>
        <v>0.12515467307362699</v>
      </c>
      <c r="AT12" s="142">
        <f t="shared" si="3"/>
        <v>-3.2291067410399887E-3</v>
      </c>
      <c r="AU12" s="142">
        <f t="shared" si="3"/>
        <v>7.9079639710974564E-3</v>
      </c>
      <c r="AV12" s="142">
        <f t="shared" si="3"/>
        <v>1.4213537110019825E-2</v>
      </c>
      <c r="AW12" s="142" t="str">
        <f t="shared" si="3"/>
        <v/>
      </c>
      <c r="AX12" s="142" t="str">
        <f t="shared" si="3"/>
        <v/>
      </c>
      <c r="AY12" s="142" t="str">
        <f t="shared" si="3"/>
        <v/>
      </c>
      <c r="AZ12" s="142" t="str">
        <f t="shared" si="3"/>
        <v/>
      </c>
      <c r="BA12" s="142" t="str">
        <f t="shared" si="3"/>
        <v/>
      </c>
      <c r="BB12" s="142" t="str">
        <f t="shared" si="3"/>
        <v/>
      </c>
      <c r="BC12" s="142" t="str">
        <f t="shared" si="3"/>
        <v/>
      </c>
      <c r="BD12" s="142" t="str">
        <f t="shared" si="3"/>
        <v/>
      </c>
      <c r="BF12" s="9">
        <f t="shared" si="4"/>
        <v>1.9306372564790078E-2</v>
      </c>
      <c r="BG12" s="9">
        <f t="shared" si="5"/>
        <v>0.66358605372803958</v>
      </c>
    </row>
    <row r="13" spans="2:59" x14ac:dyDescent="0.35">
      <c r="B13" s="3" t="s">
        <v>94</v>
      </c>
      <c r="D13" s="141">
        <v>57550755</v>
      </c>
      <c r="E13" s="141">
        <v>52209821</v>
      </c>
      <c r="F13" s="141">
        <v>54495523</v>
      </c>
      <c r="G13" s="141">
        <v>5587239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169843338</v>
      </c>
      <c r="R13" s="141">
        <v>6858970</v>
      </c>
      <c r="S13" s="141">
        <v>6569200</v>
      </c>
      <c r="T13" s="141">
        <v>6316838</v>
      </c>
      <c r="U13" s="141">
        <v>561354</v>
      </c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20306362</v>
      </c>
      <c r="AF13" s="2">
        <f t="shared" si="2"/>
        <v>0.11918123402551366</v>
      </c>
      <c r="AG13" s="2">
        <f t="shared" si="2"/>
        <v>0.12582307072073662</v>
      </c>
      <c r="AH13" s="2">
        <f t="shared" si="2"/>
        <v>0.11591480643281467</v>
      </c>
      <c r="AI13" s="2">
        <f t="shared" si="2"/>
        <v>0.10047073339801645</v>
      </c>
      <c r="AJ13" s="2" t="str">
        <f t="shared" si="2"/>
        <v/>
      </c>
      <c r="AK13" s="2" t="str">
        <f t="shared" si="2"/>
        <v/>
      </c>
      <c r="AL13" s="2" t="str">
        <f t="shared" si="2"/>
        <v/>
      </c>
      <c r="AM13" s="2" t="str">
        <f t="shared" si="2"/>
        <v/>
      </c>
      <c r="AN13" s="2" t="str">
        <f t="shared" si="2"/>
        <v/>
      </c>
      <c r="AO13" s="2" t="str">
        <f t="shared" si="2"/>
        <v/>
      </c>
      <c r="AP13" s="2" t="str">
        <f t="shared" si="2"/>
        <v/>
      </c>
      <c r="AQ13" s="2" t="str">
        <f t="shared" si="2"/>
        <v/>
      </c>
      <c r="AR13" s="2">
        <f t="shared" si="2"/>
        <v>0.11955936711512347</v>
      </c>
      <c r="AT13" s="143">
        <f t="shared" si="3"/>
        <v>6.6418366952229607E-3</v>
      </c>
      <c r="AU13" s="143">
        <f t="shared" si="3"/>
        <v>-9.9082642879219501E-3</v>
      </c>
      <c r="AV13" s="143">
        <f t="shared" si="3"/>
        <v>-1.5444073034798222E-2</v>
      </c>
      <c r="AW13" s="143" t="str">
        <f t="shared" si="3"/>
        <v/>
      </c>
      <c r="AX13" s="143" t="str">
        <f t="shared" si="3"/>
        <v/>
      </c>
      <c r="AY13" s="143" t="str">
        <f t="shared" si="3"/>
        <v/>
      </c>
      <c r="AZ13" s="143" t="str">
        <f t="shared" si="3"/>
        <v/>
      </c>
      <c r="BA13" s="143" t="str">
        <f t="shared" si="3"/>
        <v/>
      </c>
      <c r="BB13" s="143" t="str">
        <f t="shared" si="3"/>
        <v/>
      </c>
      <c r="BC13" s="143" t="str">
        <f t="shared" si="3"/>
        <v/>
      </c>
      <c r="BD13" s="143" t="str">
        <f t="shared" si="3"/>
        <v/>
      </c>
      <c r="BF13" s="9">
        <f t="shared" si="4"/>
        <v>1.4597060066637187E-2</v>
      </c>
      <c r="BG13" s="9">
        <f t="shared" si="5"/>
        <v>0.67818311379467677</v>
      </c>
    </row>
    <row r="14" spans="2:59" x14ac:dyDescent="0.35">
      <c r="B14" s="3" t="s">
        <v>95</v>
      </c>
      <c r="D14" s="141">
        <v>49195189</v>
      </c>
      <c r="E14" s="141">
        <v>39878010</v>
      </c>
      <c r="F14" s="141">
        <v>48339358</v>
      </c>
      <c r="G14" s="141">
        <v>7405843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144818400</v>
      </c>
      <c r="R14" s="141">
        <v>6021384</v>
      </c>
      <c r="S14" s="141">
        <v>4732111</v>
      </c>
      <c r="T14" s="141">
        <v>6129293</v>
      </c>
      <c r="U14" s="141">
        <v>808818</v>
      </c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17691606</v>
      </c>
      <c r="AF14" s="2">
        <f t="shared" si="2"/>
        <v>0.122397822274857</v>
      </c>
      <c r="AG14" s="2">
        <f t="shared" si="2"/>
        <v>0.11866467258521676</v>
      </c>
      <c r="AH14" s="2">
        <f t="shared" si="2"/>
        <v>0.12679715357411242</v>
      </c>
      <c r="AI14" s="2">
        <f t="shared" si="2"/>
        <v>0.1092134953441492</v>
      </c>
      <c r="AJ14" s="2" t="str">
        <f t="shared" si="2"/>
        <v/>
      </c>
      <c r="AK14" s="2" t="str">
        <f t="shared" si="2"/>
        <v/>
      </c>
      <c r="AL14" s="2" t="str">
        <f t="shared" si="2"/>
        <v/>
      </c>
      <c r="AM14" s="2" t="str">
        <f t="shared" si="2"/>
        <v/>
      </c>
      <c r="AN14" s="2" t="str">
        <f t="shared" si="2"/>
        <v/>
      </c>
      <c r="AO14" s="2" t="str">
        <f t="shared" si="2"/>
        <v/>
      </c>
      <c r="AP14" s="2" t="str">
        <f t="shared" si="2"/>
        <v/>
      </c>
      <c r="AQ14" s="2" t="str">
        <f t="shared" si="2"/>
        <v/>
      </c>
      <c r="AR14" s="2">
        <f t="shared" si="2"/>
        <v>0.1221640758356673</v>
      </c>
      <c r="AT14" s="143">
        <f t="shared" si="3"/>
        <v>-3.7331496896402389E-3</v>
      </c>
      <c r="AU14" s="143">
        <f t="shared" si="3"/>
        <v>8.1324809888956573E-3</v>
      </c>
      <c r="AV14" s="143">
        <f t="shared" si="3"/>
        <v>-1.7583658229963217E-2</v>
      </c>
      <c r="AW14" s="143" t="str">
        <f t="shared" si="3"/>
        <v/>
      </c>
      <c r="AX14" s="143" t="str">
        <f t="shared" si="3"/>
        <v/>
      </c>
      <c r="AY14" s="143" t="str">
        <f t="shared" si="3"/>
        <v/>
      </c>
      <c r="AZ14" s="143" t="str">
        <f t="shared" si="3"/>
        <v/>
      </c>
      <c r="BA14" s="143" t="str">
        <f t="shared" si="3"/>
        <v/>
      </c>
      <c r="BB14" s="143" t="str">
        <f t="shared" si="3"/>
        <v/>
      </c>
      <c r="BC14" s="143" t="str">
        <f t="shared" si="3"/>
        <v/>
      </c>
      <c r="BD14" s="143" t="str">
        <f t="shared" si="3"/>
        <v/>
      </c>
      <c r="BF14" s="9">
        <f t="shared" si="4"/>
        <v>1.2717464381718344E-2</v>
      </c>
      <c r="BG14" s="9">
        <f t="shared" si="5"/>
        <v>0.69090057817639516</v>
      </c>
    </row>
    <row r="15" spans="2:59" x14ac:dyDescent="0.35">
      <c r="B15" s="3" t="s">
        <v>103</v>
      </c>
      <c r="D15" s="141">
        <v>72377139</v>
      </c>
      <c r="E15" s="141">
        <v>66316836</v>
      </c>
      <c r="F15" s="141">
        <v>68025430</v>
      </c>
      <c r="G15" s="141">
        <v>11670087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218389492</v>
      </c>
      <c r="R15" s="141">
        <v>7996127</v>
      </c>
      <c r="S15" s="141">
        <v>7464730</v>
      </c>
      <c r="T15" s="141">
        <v>7593551</v>
      </c>
      <c r="U15" s="141">
        <v>1265528</v>
      </c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24319936</v>
      </c>
      <c r="AF15" s="2">
        <f t="shared" si="2"/>
        <v>0.1104786277888105</v>
      </c>
      <c r="AG15" s="2">
        <f t="shared" si="2"/>
        <v>0.11256161255944117</v>
      </c>
      <c r="AH15" s="2">
        <f t="shared" si="2"/>
        <v>0.11162812201260616</v>
      </c>
      <c r="AI15" s="2">
        <f t="shared" si="2"/>
        <v>0.10844203646468102</v>
      </c>
      <c r="AJ15" s="2" t="str">
        <f t="shared" si="2"/>
        <v/>
      </c>
      <c r="AK15" s="2" t="str">
        <f t="shared" si="2"/>
        <v/>
      </c>
      <c r="AL15" s="2" t="str">
        <f t="shared" si="2"/>
        <v/>
      </c>
      <c r="AM15" s="2" t="str">
        <f t="shared" si="2"/>
        <v/>
      </c>
      <c r="AN15" s="2" t="str">
        <f t="shared" si="2"/>
        <v/>
      </c>
      <c r="AO15" s="2" t="str">
        <f t="shared" si="2"/>
        <v/>
      </c>
      <c r="AP15" s="2" t="str">
        <f t="shared" si="2"/>
        <v/>
      </c>
      <c r="AQ15" s="2" t="str">
        <f t="shared" si="2"/>
        <v/>
      </c>
      <c r="AR15" s="2">
        <f t="shared" si="2"/>
        <v>0.11136037625839616</v>
      </c>
      <c r="AT15" s="143">
        <f t="shared" si="3"/>
        <v>2.0829847706306664E-3</v>
      </c>
      <c r="AU15" s="143">
        <f t="shared" si="3"/>
        <v>-9.3349054683500299E-4</v>
      </c>
      <c r="AV15" s="143">
        <f t="shared" si="3"/>
        <v>-3.186085547925141E-3</v>
      </c>
      <c r="AW15" s="143" t="str">
        <f t="shared" si="3"/>
        <v/>
      </c>
      <c r="AX15" s="143" t="str">
        <f t="shared" si="3"/>
        <v/>
      </c>
      <c r="AY15" s="143" t="str">
        <f t="shared" si="3"/>
        <v/>
      </c>
      <c r="AZ15" s="143" t="str">
        <f t="shared" si="3"/>
        <v/>
      </c>
      <c r="BA15" s="143" t="str">
        <f t="shared" si="3"/>
        <v/>
      </c>
      <c r="BB15" s="143" t="str">
        <f t="shared" si="3"/>
        <v/>
      </c>
      <c r="BC15" s="143" t="str">
        <f t="shared" si="3"/>
        <v/>
      </c>
      <c r="BD15" s="143" t="str">
        <f t="shared" si="3"/>
        <v/>
      </c>
      <c r="BF15" s="9">
        <f t="shared" si="4"/>
        <v>1.7482184480350157E-2</v>
      </c>
      <c r="BG15" s="9">
        <f t="shared" si="5"/>
        <v>0.70838276265674527</v>
      </c>
    </row>
    <row r="16" spans="2:59" x14ac:dyDescent="0.35">
      <c r="B16" s="3" t="s">
        <v>96</v>
      </c>
      <c r="D16" s="141">
        <v>64343504</v>
      </c>
      <c r="E16" s="141">
        <v>62128206</v>
      </c>
      <c r="F16" s="141">
        <v>65644386</v>
      </c>
      <c r="G16" s="141">
        <v>11333695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203449791</v>
      </c>
      <c r="R16" s="141">
        <v>7936862</v>
      </c>
      <c r="S16" s="141">
        <v>7103942</v>
      </c>
      <c r="T16" s="141">
        <v>7267756</v>
      </c>
      <c r="U16" s="141">
        <v>1306889</v>
      </c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23615449</v>
      </c>
      <c r="AF16" s="2">
        <f t="shared" si="2"/>
        <v>0.12335141088990118</v>
      </c>
      <c r="AG16" s="2">
        <f t="shared" si="2"/>
        <v>0.1143432662452864</v>
      </c>
      <c r="AH16" s="2">
        <f t="shared" si="2"/>
        <v>0.11071405253146857</v>
      </c>
      <c r="AI16" s="2">
        <f t="shared" si="2"/>
        <v>0.11531005554675682</v>
      </c>
      <c r="AJ16" s="2" t="str">
        <f t="shared" si="2"/>
        <v/>
      </c>
      <c r="AK16" s="2" t="str">
        <f t="shared" si="2"/>
        <v/>
      </c>
      <c r="AL16" s="2" t="str">
        <f t="shared" si="2"/>
        <v/>
      </c>
      <c r="AM16" s="2" t="str">
        <f t="shared" si="2"/>
        <v/>
      </c>
      <c r="AN16" s="2" t="str">
        <f t="shared" si="2"/>
        <v/>
      </c>
      <c r="AO16" s="2" t="str">
        <f t="shared" si="2"/>
        <v/>
      </c>
      <c r="AP16" s="2" t="str">
        <f t="shared" si="2"/>
        <v/>
      </c>
      <c r="AQ16" s="2" t="str">
        <f t="shared" si="2"/>
        <v/>
      </c>
      <c r="AR16" s="2">
        <f t="shared" si="2"/>
        <v>0.1160750713182104</v>
      </c>
      <c r="AT16" s="143">
        <f t="shared" si="3"/>
        <v>-9.0081446446147739E-3</v>
      </c>
      <c r="AU16" s="143">
        <f t="shared" si="3"/>
        <v>-3.6292137138178304E-3</v>
      </c>
      <c r="AV16" s="143">
        <f t="shared" si="3"/>
        <v>4.5960030152882442E-3</v>
      </c>
      <c r="AW16" s="143" t="str">
        <f t="shared" si="3"/>
        <v/>
      </c>
      <c r="AX16" s="143" t="str">
        <f t="shared" si="3"/>
        <v/>
      </c>
      <c r="AY16" s="143" t="str">
        <f t="shared" si="3"/>
        <v/>
      </c>
      <c r="AZ16" s="143" t="str">
        <f t="shared" si="3"/>
        <v/>
      </c>
      <c r="BA16" s="143" t="str">
        <f t="shared" si="3"/>
        <v/>
      </c>
      <c r="BB16" s="143" t="str">
        <f t="shared" si="3"/>
        <v/>
      </c>
      <c r="BC16" s="143" t="str">
        <f t="shared" si="3"/>
        <v/>
      </c>
      <c r="BD16" s="143" t="str">
        <f t="shared" si="3"/>
        <v/>
      </c>
      <c r="BF16" s="9">
        <f t="shared" si="4"/>
        <v>1.6975769837729037E-2</v>
      </c>
      <c r="BG16" s="9">
        <f t="shared" si="5"/>
        <v>0.72535853249447435</v>
      </c>
    </row>
    <row r="17" spans="2:59" x14ac:dyDescent="0.35">
      <c r="B17" s="3" t="s">
        <v>98</v>
      </c>
      <c r="D17" s="141">
        <v>55419720</v>
      </c>
      <c r="E17" s="141">
        <v>46816626</v>
      </c>
      <c r="F17" s="141">
        <v>50920657</v>
      </c>
      <c r="G17" s="141">
        <v>9468840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162625843</v>
      </c>
      <c r="R17" s="141">
        <v>6170128</v>
      </c>
      <c r="S17" s="141">
        <v>5125334</v>
      </c>
      <c r="T17" s="141">
        <v>5395425</v>
      </c>
      <c r="U17" s="141">
        <v>1060336</v>
      </c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17751223</v>
      </c>
      <c r="AF17" s="2">
        <f t="shared" si="2"/>
        <v>0.11133452135810142</v>
      </c>
      <c r="AG17" s="2">
        <f t="shared" si="2"/>
        <v>0.1094767914287544</v>
      </c>
      <c r="AH17" s="2">
        <f t="shared" si="2"/>
        <v>0.10595748990434276</v>
      </c>
      <c r="AI17" s="2">
        <f t="shared" si="2"/>
        <v>0.11198161548827523</v>
      </c>
      <c r="AJ17" s="2" t="str">
        <f t="shared" si="2"/>
        <v/>
      </c>
      <c r="AK17" s="2" t="str">
        <f t="shared" si="2"/>
        <v/>
      </c>
      <c r="AL17" s="2" t="str">
        <f t="shared" si="2"/>
        <v/>
      </c>
      <c r="AM17" s="2" t="str">
        <f t="shared" si="2"/>
        <v/>
      </c>
      <c r="AN17" s="2" t="str">
        <f t="shared" si="2"/>
        <v/>
      </c>
      <c r="AO17" s="2" t="str">
        <f t="shared" si="2"/>
        <v/>
      </c>
      <c r="AP17" s="2" t="str">
        <f t="shared" si="2"/>
        <v/>
      </c>
      <c r="AQ17" s="2" t="str">
        <f t="shared" si="2"/>
        <v/>
      </c>
      <c r="AR17" s="2">
        <f t="shared" si="2"/>
        <v>0.10915376469408986</v>
      </c>
      <c r="AT17" s="143">
        <f t="shared" si="3"/>
        <v>-1.8577299293470184E-3</v>
      </c>
      <c r="AU17" s="143">
        <f t="shared" si="3"/>
        <v>-3.5193015244116416E-3</v>
      </c>
      <c r="AV17" s="143">
        <f t="shared" si="3"/>
        <v>6.024125583932477E-3</v>
      </c>
      <c r="AW17" s="143" t="str">
        <f t="shared" si="3"/>
        <v/>
      </c>
      <c r="AX17" s="143" t="str">
        <f t="shared" si="3"/>
        <v/>
      </c>
      <c r="AY17" s="143" t="str">
        <f t="shared" si="3"/>
        <v/>
      </c>
      <c r="AZ17" s="143" t="str">
        <f t="shared" si="3"/>
        <v/>
      </c>
      <c r="BA17" s="143" t="str">
        <f t="shared" si="3"/>
        <v/>
      </c>
      <c r="BB17" s="143" t="str">
        <f t="shared" si="3"/>
        <v/>
      </c>
      <c r="BC17" s="143" t="str">
        <f t="shared" si="3"/>
        <v/>
      </c>
      <c r="BD17" s="143" t="str">
        <f t="shared" si="3"/>
        <v/>
      </c>
      <c r="BF17" s="9">
        <f t="shared" si="4"/>
        <v>1.2760319568186147E-2</v>
      </c>
      <c r="BG17" s="9">
        <f t="shared" si="5"/>
        <v>0.73811885206266048</v>
      </c>
    </row>
    <row r="18" spans="2:59" x14ac:dyDescent="0.35">
      <c r="B18" s="3" t="s">
        <v>97</v>
      </c>
      <c r="D18" s="141">
        <v>26576456</v>
      </c>
      <c r="E18" s="141">
        <v>25034617</v>
      </c>
      <c r="F18" s="141">
        <v>21544022</v>
      </c>
      <c r="G18" s="141">
        <v>4795718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77950813</v>
      </c>
      <c r="R18" s="141">
        <v>3754805</v>
      </c>
      <c r="S18" s="141">
        <v>3608612</v>
      </c>
      <c r="T18" s="141">
        <v>2791837</v>
      </c>
      <c r="U18" s="141">
        <v>638181</v>
      </c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10793435</v>
      </c>
      <c r="AF18" s="2">
        <f t="shared" si="2"/>
        <v>0.14128313421473504</v>
      </c>
      <c r="AG18" s="2">
        <f t="shared" si="2"/>
        <v>0.14414488546000123</v>
      </c>
      <c r="AH18" s="2">
        <f t="shared" si="2"/>
        <v>0.12958754869448239</v>
      </c>
      <c r="AI18" s="2">
        <f t="shared" si="2"/>
        <v>0.13307308728328063</v>
      </c>
      <c r="AJ18" s="2" t="str">
        <f t="shared" si="2"/>
        <v/>
      </c>
      <c r="AK18" s="2" t="str">
        <f t="shared" si="2"/>
        <v/>
      </c>
      <c r="AL18" s="2" t="str">
        <f t="shared" si="2"/>
        <v/>
      </c>
      <c r="AM18" s="2" t="str">
        <f t="shared" si="2"/>
        <v/>
      </c>
      <c r="AN18" s="2" t="str">
        <f t="shared" si="2"/>
        <v/>
      </c>
      <c r="AO18" s="2" t="str">
        <f t="shared" si="2"/>
        <v/>
      </c>
      <c r="AP18" s="2" t="str">
        <f t="shared" si="2"/>
        <v/>
      </c>
      <c r="AQ18" s="2" t="str">
        <f t="shared" si="2"/>
        <v/>
      </c>
      <c r="AR18" s="2">
        <f t="shared" si="2"/>
        <v>0.138464687982151</v>
      </c>
      <c r="AT18" s="143">
        <f t="shared" si="3"/>
        <v>2.861751245266192E-3</v>
      </c>
      <c r="AU18" s="143">
        <f t="shared" si="3"/>
        <v>-1.4557336765518847E-2</v>
      </c>
      <c r="AV18" s="143">
        <f t="shared" si="3"/>
        <v>3.4855385887982426E-3</v>
      </c>
      <c r="AW18" s="143" t="str">
        <f t="shared" si="3"/>
        <v/>
      </c>
      <c r="AX18" s="143" t="str">
        <f t="shared" si="3"/>
        <v/>
      </c>
      <c r="AY18" s="143" t="str">
        <f t="shared" si="3"/>
        <v/>
      </c>
      <c r="AZ18" s="143" t="str">
        <f t="shared" si="3"/>
        <v/>
      </c>
      <c r="BA18" s="143" t="str">
        <f t="shared" si="3"/>
        <v/>
      </c>
      <c r="BB18" s="143" t="str">
        <f t="shared" si="3"/>
        <v/>
      </c>
      <c r="BC18" s="143" t="str">
        <f t="shared" si="3"/>
        <v/>
      </c>
      <c r="BD18" s="143" t="str">
        <f t="shared" si="3"/>
        <v/>
      </c>
      <c r="BF18" s="9">
        <f t="shared" si="4"/>
        <v>7.7587713161197539E-3</v>
      </c>
      <c r="BG18" s="9">
        <f t="shared" si="5"/>
        <v>0.74587762337878027</v>
      </c>
    </row>
    <row r="19" spans="2:59" x14ac:dyDescent="0.35">
      <c r="B19" s="3" t="s">
        <v>99</v>
      </c>
      <c r="D19" s="141">
        <v>52236244</v>
      </c>
      <c r="E19" s="141">
        <v>57366295</v>
      </c>
      <c r="F19" s="141">
        <v>70363902</v>
      </c>
      <c r="G19" s="141">
        <v>10325837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190292278</v>
      </c>
      <c r="R19" s="141">
        <v>5622177</v>
      </c>
      <c r="S19" s="141">
        <v>6088469</v>
      </c>
      <c r="T19" s="141">
        <v>7162582</v>
      </c>
      <c r="U19" s="141">
        <v>1116548</v>
      </c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19989776</v>
      </c>
      <c r="AF19" s="2">
        <f t="shared" si="2"/>
        <v>0.10762980967774023</v>
      </c>
      <c r="AG19" s="2">
        <f t="shared" si="2"/>
        <v>0.10613320940458155</v>
      </c>
      <c r="AH19" s="2">
        <f t="shared" si="2"/>
        <v>0.10179341674371611</v>
      </c>
      <c r="AI19" s="2">
        <f t="shared" si="2"/>
        <v>0.10813147641203323</v>
      </c>
      <c r="AJ19" s="2" t="str">
        <f t="shared" si="2"/>
        <v/>
      </c>
      <c r="AK19" s="2" t="str">
        <f t="shared" si="2"/>
        <v/>
      </c>
      <c r="AL19" s="2" t="str">
        <f t="shared" si="2"/>
        <v/>
      </c>
      <c r="AM19" s="2" t="str">
        <f t="shared" si="2"/>
        <v/>
      </c>
      <c r="AN19" s="2" t="str">
        <f t="shared" si="2"/>
        <v/>
      </c>
      <c r="AO19" s="2" t="str">
        <f t="shared" si="2"/>
        <v/>
      </c>
      <c r="AP19" s="2" t="str">
        <f t="shared" si="2"/>
        <v/>
      </c>
      <c r="AQ19" s="2" t="str">
        <f t="shared" si="2"/>
        <v/>
      </c>
      <c r="AR19" s="2">
        <f t="shared" si="2"/>
        <v>0.10504775185885368</v>
      </c>
      <c r="AT19" s="143">
        <f t="shared" si="3"/>
        <v>-1.4966002731586769E-3</v>
      </c>
      <c r="AU19" s="143">
        <f t="shared" si="3"/>
        <v>-4.3397926608654408E-3</v>
      </c>
      <c r="AV19" s="143">
        <f t="shared" si="3"/>
        <v>6.338059668317117E-3</v>
      </c>
      <c r="AW19" s="143" t="str">
        <f t="shared" si="3"/>
        <v/>
      </c>
      <c r="AX19" s="143" t="str">
        <f t="shared" si="3"/>
        <v/>
      </c>
      <c r="AY19" s="143" t="str">
        <f t="shared" si="3"/>
        <v/>
      </c>
      <c r="AZ19" s="143" t="str">
        <f t="shared" si="3"/>
        <v/>
      </c>
      <c r="BA19" s="143" t="str">
        <f t="shared" si="3"/>
        <v/>
      </c>
      <c r="BB19" s="143" t="str">
        <f t="shared" si="3"/>
        <v/>
      </c>
      <c r="BC19" s="143" t="str">
        <f t="shared" si="3"/>
        <v/>
      </c>
      <c r="BD19" s="143" t="str">
        <f t="shared" si="3"/>
        <v/>
      </c>
      <c r="BF19" s="9">
        <f t="shared" si="4"/>
        <v>1.4369484843746136E-2</v>
      </c>
      <c r="BG19" s="9">
        <f t="shared" si="5"/>
        <v>0.76024710822252639</v>
      </c>
    </row>
    <row r="20" spans="2:59" x14ac:dyDescent="0.35">
      <c r="B20" s="3" t="s">
        <v>106</v>
      </c>
      <c r="D20" s="141">
        <v>26938169</v>
      </c>
      <c r="E20" s="141">
        <v>24178004</v>
      </c>
      <c r="F20" s="141">
        <v>26989895</v>
      </c>
      <c r="G20" s="141">
        <v>3215247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81321315</v>
      </c>
      <c r="R20" s="141">
        <v>3101953</v>
      </c>
      <c r="S20" s="141">
        <v>2834368</v>
      </c>
      <c r="T20" s="141">
        <v>3133555</v>
      </c>
      <c r="U20" s="141">
        <v>425001</v>
      </c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9494877</v>
      </c>
      <c r="AF20" s="2">
        <f t="shared" si="2"/>
        <v>0.11515084785458135</v>
      </c>
      <c r="AG20" s="2">
        <f t="shared" si="2"/>
        <v>0.11722919724887133</v>
      </c>
      <c r="AH20" s="2">
        <f t="shared" si="2"/>
        <v>0.11610104448350021</v>
      </c>
      <c r="AI20" s="2">
        <f t="shared" si="2"/>
        <v>0.13218300180359394</v>
      </c>
      <c r="AJ20" s="2" t="str">
        <f t="shared" si="2"/>
        <v/>
      </c>
      <c r="AK20" s="2" t="str">
        <f t="shared" si="2"/>
        <v/>
      </c>
      <c r="AL20" s="2" t="str">
        <f t="shared" si="2"/>
        <v/>
      </c>
      <c r="AM20" s="2" t="str">
        <f t="shared" si="2"/>
        <v/>
      </c>
      <c r="AN20" s="2" t="str">
        <f t="shared" si="2"/>
        <v/>
      </c>
      <c r="AO20" s="2" t="str">
        <f t="shared" si="2"/>
        <v/>
      </c>
      <c r="AP20" s="2" t="str">
        <f t="shared" si="2"/>
        <v/>
      </c>
      <c r="AQ20" s="2" t="str">
        <f t="shared" si="2"/>
        <v/>
      </c>
      <c r="AR20" s="2">
        <f t="shared" si="2"/>
        <v>0.11675754382476476</v>
      </c>
      <c r="AT20" s="143">
        <f t="shared" si="3"/>
        <v>2.0783493942899828E-3</v>
      </c>
      <c r="AU20" s="143">
        <f t="shared" si="3"/>
        <v>-1.128152765371121E-3</v>
      </c>
      <c r="AV20" s="143">
        <f t="shared" si="3"/>
        <v>1.6081957320093723E-2</v>
      </c>
      <c r="AW20" s="143" t="str">
        <f t="shared" si="3"/>
        <v/>
      </c>
      <c r="AX20" s="143" t="str">
        <f t="shared" si="3"/>
        <v/>
      </c>
      <c r="AY20" s="143" t="str">
        <f t="shared" si="3"/>
        <v/>
      </c>
      <c r="AZ20" s="143" t="str">
        <f t="shared" si="3"/>
        <v/>
      </c>
      <c r="BA20" s="143" t="str">
        <f t="shared" si="3"/>
        <v/>
      </c>
      <c r="BB20" s="143" t="str">
        <f t="shared" si="3"/>
        <v/>
      </c>
      <c r="BC20" s="143" t="str">
        <f t="shared" si="3"/>
        <v/>
      </c>
      <c r="BD20" s="143" t="str">
        <f t="shared" si="3"/>
        <v/>
      </c>
      <c r="BF20" s="9">
        <f t="shared" si="4"/>
        <v>6.8253136575784426E-3</v>
      </c>
      <c r="BG20" s="9">
        <f t="shared" si="5"/>
        <v>0.76707242188010483</v>
      </c>
    </row>
    <row r="21" spans="2:59" x14ac:dyDescent="0.35">
      <c r="B21" s="3" t="s">
        <v>101</v>
      </c>
      <c r="D21" s="141">
        <v>36780760</v>
      </c>
      <c r="E21" s="141">
        <v>31907945</v>
      </c>
      <c r="F21" s="141">
        <v>36021480</v>
      </c>
      <c r="G21" s="141">
        <v>5518087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110228272</v>
      </c>
      <c r="R21" s="141">
        <v>4646038</v>
      </c>
      <c r="S21" s="141">
        <v>4091600</v>
      </c>
      <c r="T21" s="141">
        <v>4568231</v>
      </c>
      <c r="U21" s="141">
        <v>719981</v>
      </c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14025850</v>
      </c>
      <c r="AF21" s="2">
        <f t="shared" si="2"/>
        <v>0.12631707447045684</v>
      </c>
      <c r="AG21" s="2">
        <f t="shared" si="2"/>
        <v>0.12823138563138428</v>
      </c>
      <c r="AH21" s="2">
        <f t="shared" si="2"/>
        <v>0.12681963650577377</v>
      </c>
      <c r="AI21" s="2">
        <f t="shared" si="2"/>
        <v>0.13047655827100951</v>
      </c>
      <c r="AJ21" s="2" t="str">
        <f t="shared" si="2"/>
        <v/>
      </c>
      <c r="AK21" s="2" t="str">
        <f t="shared" si="2"/>
        <v/>
      </c>
      <c r="AL21" s="2" t="str">
        <f t="shared" si="2"/>
        <v/>
      </c>
      <c r="AM21" s="2" t="str">
        <f t="shared" si="2"/>
        <v/>
      </c>
      <c r="AN21" s="2" t="str">
        <f t="shared" si="2"/>
        <v/>
      </c>
      <c r="AO21" s="2" t="str">
        <f t="shared" si="2"/>
        <v/>
      </c>
      <c r="AP21" s="2" t="str">
        <f t="shared" si="2"/>
        <v/>
      </c>
      <c r="AQ21" s="2" t="str">
        <f t="shared" si="2"/>
        <v/>
      </c>
      <c r="AR21" s="2">
        <f t="shared" si="2"/>
        <v>0.12724367120624008</v>
      </c>
      <c r="AT21" s="143">
        <f t="shared" si="3"/>
        <v>1.9143111609274399E-3</v>
      </c>
      <c r="AU21" s="143">
        <f t="shared" si="3"/>
        <v>-1.4117491256105119E-3</v>
      </c>
      <c r="AV21" s="143">
        <f t="shared" si="3"/>
        <v>3.6569217652357433E-3</v>
      </c>
      <c r="AW21" s="143" t="str">
        <f t="shared" si="3"/>
        <v/>
      </c>
      <c r="AX21" s="143" t="str">
        <f t="shared" si="3"/>
        <v/>
      </c>
      <c r="AY21" s="143" t="str">
        <f t="shared" si="3"/>
        <v/>
      </c>
      <c r="AZ21" s="143" t="str">
        <f t="shared" si="3"/>
        <v/>
      </c>
      <c r="BA21" s="143" t="str">
        <f t="shared" si="3"/>
        <v/>
      </c>
      <c r="BB21" s="143" t="str">
        <f t="shared" si="3"/>
        <v/>
      </c>
      <c r="BC21" s="143" t="str">
        <f t="shared" si="3"/>
        <v/>
      </c>
      <c r="BD21" s="143" t="str">
        <f t="shared" si="3"/>
        <v/>
      </c>
      <c r="BF21" s="9">
        <f t="shared" si="4"/>
        <v>1.0082366055310311E-2</v>
      </c>
      <c r="BG21" s="9">
        <f t="shared" si="5"/>
        <v>0.77715478793541515</v>
      </c>
    </row>
    <row r="22" spans="2:59" x14ac:dyDescent="0.35">
      <c r="B22" s="3" t="s">
        <v>116</v>
      </c>
      <c r="D22" s="141">
        <v>28641304</v>
      </c>
      <c r="E22" s="141">
        <v>25547377</v>
      </c>
      <c r="F22" s="141">
        <v>26124768</v>
      </c>
      <c r="G22" s="141">
        <v>5531777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85845226</v>
      </c>
      <c r="R22" s="141">
        <v>3057251</v>
      </c>
      <c r="S22" s="141">
        <v>2780900</v>
      </c>
      <c r="T22" s="141">
        <v>2765010</v>
      </c>
      <c r="U22" s="141">
        <v>583618</v>
      </c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9186779</v>
      </c>
      <c r="AF22" s="2">
        <f t="shared" si="2"/>
        <v>0.10674273070807111</v>
      </c>
      <c r="AG22" s="2">
        <f t="shared" si="2"/>
        <v>0.10885266225178421</v>
      </c>
      <c r="AH22" s="2">
        <f t="shared" si="2"/>
        <v>0.10583864323694664</v>
      </c>
      <c r="AI22" s="2">
        <f t="shared" si="2"/>
        <v>0.10550280678342601</v>
      </c>
      <c r="AJ22" s="2" t="str">
        <f t="shared" si="2"/>
        <v/>
      </c>
      <c r="AK22" s="2" t="str">
        <f t="shared" si="2"/>
        <v/>
      </c>
      <c r="AL22" s="2" t="str">
        <f t="shared" si="2"/>
        <v/>
      </c>
      <c r="AM22" s="2" t="str">
        <f t="shared" si="2"/>
        <v/>
      </c>
      <c r="AN22" s="2" t="str">
        <f t="shared" si="2"/>
        <v/>
      </c>
      <c r="AO22" s="2" t="str">
        <f t="shared" si="2"/>
        <v/>
      </c>
      <c r="AP22" s="2" t="str">
        <f t="shared" si="2"/>
        <v/>
      </c>
      <c r="AQ22" s="2" t="str">
        <f t="shared" si="2"/>
        <v/>
      </c>
      <c r="AR22" s="2">
        <f t="shared" si="2"/>
        <v>0.10701560736761297</v>
      </c>
      <c r="AT22" s="143">
        <f t="shared" si="3"/>
        <v>2.1099315437130978E-3</v>
      </c>
      <c r="AU22" s="143">
        <f t="shared" si="3"/>
        <v>-3.0140190148375684E-3</v>
      </c>
      <c r="AV22" s="143">
        <f t="shared" si="3"/>
        <v>-3.3583645352062985E-4</v>
      </c>
      <c r="AW22" s="143" t="str">
        <f t="shared" si="3"/>
        <v/>
      </c>
      <c r="AX22" s="143" t="str">
        <f t="shared" si="3"/>
        <v/>
      </c>
      <c r="AY22" s="143" t="str">
        <f t="shared" si="3"/>
        <v/>
      </c>
      <c r="AZ22" s="143" t="str">
        <f t="shared" si="3"/>
        <v/>
      </c>
      <c r="BA22" s="143" t="str">
        <f t="shared" si="3"/>
        <v/>
      </c>
      <c r="BB22" s="143" t="str">
        <f t="shared" si="3"/>
        <v/>
      </c>
      <c r="BC22" s="143" t="str">
        <f t="shared" si="3"/>
        <v/>
      </c>
      <c r="BD22" s="143" t="str">
        <f t="shared" si="3"/>
        <v/>
      </c>
      <c r="BF22" s="9">
        <f t="shared" si="4"/>
        <v>6.603839963156429E-3</v>
      </c>
      <c r="BG22" s="9">
        <f t="shared" si="5"/>
        <v>0.78375862789857154</v>
      </c>
    </row>
    <row r="23" spans="2:59" x14ac:dyDescent="0.35">
      <c r="B23" s="3" t="s">
        <v>104</v>
      </c>
      <c r="D23" s="141">
        <v>22248417</v>
      </c>
      <c r="E23" s="141">
        <v>20226779</v>
      </c>
      <c r="F23" s="141">
        <v>21900808</v>
      </c>
      <c r="G23" s="141">
        <v>1815836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66191840</v>
      </c>
      <c r="R23" s="141">
        <v>2672173</v>
      </c>
      <c r="S23" s="141">
        <v>2596110</v>
      </c>
      <c r="T23" s="141">
        <v>2947580</v>
      </c>
      <c r="U23" s="141">
        <v>219263</v>
      </c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8435126</v>
      </c>
      <c r="AF23" s="2">
        <f t="shared" si="2"/>
        <v>0.12010620800572014</v>
      </c>
      <c r="AG23" s="2">
        <f t="shared" si="2"/>
        <v>0.12835014413318108</v>
      </c>
      <c r="AH23" s="2">
        <f t="shared" si="2"/>
        <v>0.13458772845275846</v>
      </c>
      <c r="AI23" s="2">
        <f t="shared" si="2"/>
        <v>0.12075044222055296</v>
      </c>
      <c r="AJ23" s="2" t="str">
        <f t="shared" si="2"/>
        <v/>
      </c>
      <c r="AK23" s="2" t="str">
        <f t="shared" si="2"/>
        <v/>
      </c>
      <c r="AL23" s="2" t="str">
        <f t="shared" si="2"/>
        <v/>
      </c>
      <c r="AM23" s="2" t="str">
        <f t="shared" si="2"/>
        <v/>
      </c>
      <c r="AN23" s="2" t="str">
        <f t="shared" si="2"/>
        <v/>
      </c>
      <c r="AO23" s="2" t="str">
        <f t="shared" si="2"/>
        <v/>
      </c>
      <c r="AP23" s="2" t="str">
        <f t="shared" si="2"/>
        <v/>
      </c>
      <c r="AQ23" s="2" t="str">
        <f t="shared" si="2"/>
        <v/>
      </c>
      <c r="AR23" s="2">
        <f t="shared" si="2"/>
        <v>0.12743452969429464</v>
      </c>
      <c r="AT23" s="143">
        <f t="shared" si="3"/>
        <v>8.243936127460938E-3</v>
      </c>
      <c r="AU23" s="143">
        <f t="shared" si="3"/>
        <v>6.2375843195773828E-3</v>
      </c>
      <c r="AV23" s="143">
        <f t="shared" si="3"/>
        <v>-1.3837286232205495E-2</v>
      </c>
      <c r="AW23" s="143" t="str">
        <f t="shared" si="3"/>
        <v/>
      </c>
      <c r="AX23" s="143" t="str">
        <f t="shared" si="3"/>
        <v/>
      </c>
      <c r="AY23" s="143" t="str">
        <f t="shared" si="3"/>
        <v/>
      </c>
      <c r="AZ23" s="143" t="str">
        <f t="shared" si="3"/>
        <v/>
      </c>
      <c r="BA23" s="143" t="str">
        <f t="shared" si="3"/>
        <v/>
      </c>
      <c r="BB23" s="143" t="str">
        <f t="shared" si="3"/>
        <v/>
      </c>
      <c r="BC23" s="143" t="str">
        <f t="shared" si="3"/>
        <v/>
      </c>
      <c r="BD23" s="143" t="str">
        <f t="shared" si="3"/>
        <v/>
      </c>
      <c r="BF23" s="9">
        <f t="shared" si="4"/>
        <v>6.0635204322494135E-3</v>
      </c>
      <c r="BG23" s="9">
        <f t="shared" si="5"/>
        <v>0.78982214833082098</v>
      </c>
    </row>
    <row r="24" spans="2:59" x14ac:dyDescent="0.35">
      <c r="B24" s="3" t="s">
        <v>126</v>
      </c>
      <c r="D24" s="141">
        <v>12497425</v>
      </c>
      <c r="E24" s="141">
        <v>11128566</v>
      </c>
      <c r="F24" s="141">
        <v>11661067</v>
      </c>
      <c r="G24" s="141">
        <v>2574359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37861417</v>
      </c>
      <c r="R24" s="141">
        <v>2161136</v>
      </c>
      <c r="S24" s="141">
        <v>1834963</v>
      </c>
      <c r="T24" s="141">
        <v>1969148</v>
      </c>
      <c r="U24" s="141">
        <v>634794</v>
      </c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6600041</v>
      </c>
      <c r="AF24" s="2">
        <f t="shared" si="2"/>
        <v>0.17292650285958908</v>
      </c>
      <c r="AG24" s="2">
        <f t="shared" si="2"/>
        <v>0.16488764140860557</v>
      </c>
      <c r="AH24" s="2">
        <f t="shared" si="2"/>
        <v>0.16886516474007052</v>
      </c>
      <c r="AI24" s="2">
        <f t="shared" si="2"/>
        <v>0.24658332423721788</v>
      </c>
      <c r="AJ24" s="2" t="str">
        <f t="shared" si="2"/>
        <v/>
      </c>
      <c r="AK24" s="2" t="str">
        <f t="shared" si="2"/>
        <v/>
      </c>
      <c r="AL24" s="2" t="str">
        <f t="shared" si="2"/>
        <v/>
      </c>
      <c r="AM24" s="2" t="str">
        <f t="shared" si="2"/>
        <v/>
      </c>
      <c r="AN24" s="2" t="str">
        <f t="shared" ref="AN24:AR54" si="6">+IFERROR(Z24/L24,"")</f>
        <v/>
      </c>
      <c r="AO24" s="2" t="str">
        <f t="shared" si="6"/>
        <v/>
      </c>
      <c r="AP24" s="2" t="str">
        <f t="shared" si="6"/>
        <v/>
      </c>
      <c r="AQ24" s="2" t="str">
        <f t="shared" si="6"/>
        <v/>
      </c>
      <c r="AR24" s="2">
        <f t="shared" si="6"/>
        <v>0.17432102448780509</v>
      </c>
      <c r="AT24" s="143">
        <f t="shared" si="3"/>
        <v>-8.0388614509835088E-3</v>
      </c>
      <c r="AU24" s="143">
        <f t="shared" si="3"/>
        <v>3.9775233314649494E-3</v>
      </c>
      <c r="AV24" s="143">
        <f t="shared" si="3"/>
        <v>7.771815949714736E-2</v>
      </c>
      <c r="AW24" s="143" t="str">
        <f t="shared" si="3"/>
        <v/>
      </c>
      <c r="AX24" s="143" t="str">
        <f t="shared" si="3"/>
        <v/>
      </c>
      <c r="AY24" s="143" t="str">
        <f t="shared" si="3"/>
        <v/>
      </c>
      <c r="AZ24" s="143" t="str">
        <f t="shared" si="3"/>
        <v/>
      </c>
      <c r="BA24" s="143" t="str">
        <f t="shared" si="3"/>
        <v/>
      </c>
      <c r="BB24" s="143" t="str">
        <f t="shared" si="3"/>
        <v/>
      </c>
      <c r="BC24" s="143" t="str">
        <f t="shared" si="3"/>
        <v/>
      </c>
      <c r="BD24" s="143" t="str">
        <f t="shared" si="3"/>
        <v/>
      </c>
      <c r="BF24" s="9">
        <f t="shared" si="4"/>
        <v>4.7443847853824413E-3</v>
      </c>
      <c r="BG24" s="9">
        <f t="shared" si="5"/>
        <v>0.7945665331162034</v>
      </c>
    </row>
    <row r="25" spans="2:59" x14ac:dyDescent="0.35">
      <c r="B25" s="3" t="s">
        <v>119</v>
      </c>
      <c r="D25" s="141">
        <v>67606300</v>
      </c>
      <c r="E25" s="141">
        <v>65505007</v>
      </c>
      <c r="F25" s="141">
        <v>70832981</v>
      </c>
      <c r="G25" s="141">
        <v>12706027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216650315</v>
      </c>
      <c r="R25" s="141">
        <v>7738430</v>
      </c>
      <c r="S25" s="141">
        <v>7385861</v>
      </c>
      <c r="T25" s="141">
        <v>7820780</v>
      </c>
      <c r="U25" s="141">
        <v>1418742</v>
      </c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24363813</v>
      </c>
      <c r="AF25" s="2">
        <f t="shared" ref="AF25:AM55" si="7">+IFERROR(R25/D25,"")</f>
        <v>0.11446314914438448</v>
      </c>
      <c r="AG25" s="2">
        <f t="shared" si="7"/>
        <v>0.11275261752128353</v>
      </c>
      <c r="AH25" s="2">
        <f t="shared" si="7"/>
        <v>0.11041156096479972</v>
      </c>
      <c r="AI25" s="2">
        <f t="shared" si="7"/>
        <v>0.11165897884523621</v>
      </c>
      <c r="AJ25" s="2" t="str">
        <f t="shared" si="7"/>
        <v/>
      </c>
      <c r="AK25" s="2" t="str">
        <f t="shared" si="7"/>
        <v/>
      </c>
      <c r="AL25" s="2" t="str">
        <f t="shared" si="7"/>
        <v/>
      </c>
      <c r="AM25" s="2" t="str">
        <f t="shared" si="7"/>
        <v/>
      </c>
      <c r="AN25" s="2" t="str">
        <f t="shared" si="6"/>
        <v/>
      </c>
      <c r="AO25" s="2" t="str">
        <f t="shared" si="6"/>
        <v/>
      </c>
      <c r="AP25" s="2" t="str">
        <f t="shared" si="6"/>
        <v/>
      </c>
      <c r="AQ25" s="2" t="str">
        <f t="shared" si="6"/>
        <v/>
      </c>
      <c r="AR25" s="2">
        <f t="shared" si="6"/>
        <v>0.11245685472462849</v>
      </c>
      <c r="AT25" s="143">
        <f t="shared" si="3"/>
        <v>-1.7105316231009471E-3</v>
      </c>
      <c r="AU25" s="143">
        <f t="shared" si="3"/>
        <v>-2.3410565564838115E-3</v>
      </c>
      <c r="AV25" s="143">
        <f t="shared" si="3"/>
        <v>1.2474178804364883E-3</v>
      </c>
      <c r="AW25" s="143" t="str">
        <f t="shared" si="3"/>
        <v/>
      </c>
      <c r="AX25" s="143" t="str">
        <f t="shared" si="3"/>
        <v/>
      </c>
      <c r="AY25" s="143" t="str">
        <f t="shared" si="3"/>
        <v/>
      </c>
      <c r="AZ25" s="143" t="str">
        <f t="shared" si="3"/>
        <v/>
      </c>
      <c r="BA25" s="143" t="str">
        <f t="shared" si="3"/>
        <v/>
      </c>
      <c r="BB25" s="143" t="str">
        <f t="shared" si="3"/>
        <v/>
      </c>
      <c r="BC25" s="143" t="str">
        <f t="shared" si="3"/>
        <v/>
      </c>
      <c r="BD25" s="143" t="str">
        <f t="shared" si="3"/>
        <v/>
      </c>
      <c r="BF25" s="9">
        <f t="shared" si="4"/>
        <v>1.7513725098238474E-2</v>
      </c>
      <c r="BG25" s="9">
        <f t="shared" si="5"/>
        <v>0.81208025821444185</v>
      </c>
    </row>
    <row r="26" spans="2:59" x14ac:dyDescent="0.35">
      <c r="B26" s="3" t="s">
        <v>102</v>
      </c>
      <c r="D26" s="141">
        <v>8178101</v>
      </c>
      <c r="E26" s="141">
        <v>7487729</v>
      </c>
      <c r="F26" s="141">
        <v>7223250</v>
      </c>
      <c r="G26" s="141">
        <v>1188336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24077416</v>
      </c>
      <c r="R26" s="141">
        <v>856869</v>
      </c>
      <c r="S26" s="141">
        <v>795944</v>
      </c>
      <c r="T26" s="141">
        <v>829623</v>
      </c>
      <c r="U26" s="141">
        <v>108170</v>
      </c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2590606</v>
      </c>
      <c r="AF26" s="2">
        <f t="shared" si="7"/>
        <v>0.10477603541457851</v>
      </c>
      <c r="AG26" s="2">
        <f t="shared" si="7"/>
        <v>0.10629978729198132</v>
      </c>
      <c r="AH26" s="2">
        <f t="shared" si="7"/>
        <v>0.11485453223964281</v>
      </c>
      <c r="AI26" s="2">
        <f t="shared" si="7"/>
        <v>9.1026443699425072E-2</v>
      </c>
      <c r="AJ26" s="2" t="str">
        <f t="shared" si="7"/>
        <v/>
      </c>
      <c r="AK26" s="2" t="str">
        <f t="shared" si="7"/>
        <v/>
      </c>
      <c r="AL26" s="2" t="str">
        <f t="shared" si="7"/>
        <v/>
      </c>
      <c r="AM26" s="2" t="str">
        <f t="shared" si="7"/>
        <v/>
      </c>
      <c r="AN26" s="2" t="str">
        <f t="shared" si="6"/>
        <v/>
      </c>
      <c r="AO26" s="2" t="str">
        <f t="shared" si="6"/>
        <v/>
      </c>
      <c r="AP26" s="2" t="str">
        <f t="shared" si="6"/>
        <v/>
      </c>
      <c r="AQ26" s="2" t="str">
        <f t="shared" si="6"/>
        <v/>
      </c>
      <c r="AR26" s="2">
        <f t="shared" si="6"/>
        <v>0.10759485154054738</v>
      </c>
      <c r="AT26" s="143">
        <f t="shared" si="3"/>
        <v>1.5237518774028069E-3</v>
      </c>
      <c r="AU26" s="143">
        <f t="shared" si="3"/>
        <v>8.554744947661494E-3</v>
      </c>
      <c r="AV26" s="143">
        <f t="shared" si="3"/>
        <v>-2.3828088540217743E-2</v>
      </c>
      <c r="AW26" s="143" t="str">
        <f t="shared" si="3"/>
        <v/>
      </c>
      <c r="AX26" s="143" t="str">
        <f t="shared" si="3"/>
        <v/>
      </c>
      <c r="AY26" s="143" t="str">
        <f t="shared" si="3"/>
        <v/>
      </c>
      <c r="AZ26" s="143" t="str">
        <f t="shared" si="3"/>
        <v/>
      </c>
      <c r="BA26" s="143" t="str">
        <f t="shared" si="3"/>
        <v/>
      </c>
      <c r="BB26" s="143" t="str">
        <f t="shared" si="3"/>
        <v/>
      </c>
      <c r="BC26" s="143" t="str">
        <f t="shared" si="3"/>
        <v/>
      </c>
      <c r="BD26" s="143" t="str">
        <f t="shared" si="3"/>
        <v/>
      </c>
      <c r="BF26" s="9">
        <f t="shared" si="4"/>
        <v>1.8622356575240162E-3</v>
      </c>
      <c r="BG26" s="9">
        <f t="shared" si="5"/>
        <v>0.81394249387196582</v>
      </c>
    </row>
    <row r="27" spans="2:59" x14ac:dyDescent="0.35">
      <c r="B27" s="3" t="s">
        <v>113</v>
      </c>
      <c r="D27" s="141">
        <v>19358396</v>
      </c>
      <c r="E27" s="141">
        <v>21917490</v>
      </c>
      <c r="F27" s="141">
        <v>22303979</v>
      </c>
      <c r="G27" s="141">
        <v>1849793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65429658</v>
      </c>
      <c r="R27" s="141">
        <v>2381328</v>
      </c>
      <c r="S27" s="141">
        <v>2524748</v>
      </c>
      <c r="T27" s="141">
        <v>2620956</v>
      </c>
      <c r="U27" s="141">
        <v>320589</v>
      </c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7847621</v>
      </c>
      <c r="AF27" s="2">
        <f t="shared" si="7"/>
        <v>0.12301267109113792</v>
      </c>
      <c r="AG27" s="2">
        <f t="shared" si="7"/>
        <v>0.11519329996272383</v>
      </c>
      <c r="AH27" s="2">
        <f t="shared" si="7"/>
        <v>0.11751069170213978</v>
      </c>
      <c r="AI27" s="2">
        <f t="shared" si="7"/>
        <v>0.17331074341831762</v>
      </c>
      <c r="AJ27" s="2" t="str">
        <f t="shared" si="7"/>
        <v/>
      </c>
      <c r="AK27" s="2" t="str">
        <f t="shared" si="7"/>
        <v/>
      </c>
      <c r="AL27" s="2" t="str">
        <f t="shared" si="7"/>
        <v/>
      </c>
      <c r="AM27" s="2" t="str">
        <f t="shared" si="7"/>
        <v/>
      </c>
      <c r="AN27" s="2" t="str">
        <f t="shared" si="6"/>
        <v/>
      </c>
      <c r="AO27" s="2" t="str">
        <f t="shared" si="6"/>
        <v/>
      </c>
      <c r="AP27" s="2" t="str">
        <f t="shared" si="6"/>
        <v/>
      </c>
      <c r="AQ27" s="2" t="str">
        <f t="shared" si="6"/>
        <v/>
      </c>
      <c r="AR27" s="2">
        <f t="shared" si="6"/>
        <v>0.11993981383793875</v>
      </c>
      <c r="AT27" s="143">
        <f t="shared" si="3"/>
        <v>-7.8193711284140904E-3</v>
      </c>
      <c r="AU27" s="143">
        <f t="shared" si="3"/>
        <v>2.3173917394159471E-3</v>
      </c>
      <c r="AV27" s="143">
        <f t="shared" si="3"/>
        <v>5.5800051716177843E-2</v>
      </c>
      <c r="AW27" s="143" t="str">
        <f t="shared" si="3"/>
        <v/>
      </c>
      <c r="AX27" s="143" t="str">
        <f t="shared" si="3"/>
        <v/>
      </c>
      <c r="AY27" s="143" t="str">
        <f t="shared" si="3"/>
        <v/>
      </c>
      <c r="AZ27" s="143" t="str">
        <f t="shared" si="3"/>
        <v/>
      </c>
      <c r="BA27" s="143" t="str">
        <f t="shared" si="3"/>
        <v/>
      </c>
      <c r="BB27" s="143" t="str">
        <f t="shared" si="3"/>
        <v/>
      </c>
      <c r="BC27" s="143" t="str">
        <f t="shared" si="3"/>
        <v/>
      </c>
      <c r="BD27" s="143" t="str">
        <f t="shared" si="3"/>
        <v/>
      </c>
      <c r="BF27" s="9">
        <f t="shared" si="4"/>
        <v>5.641197331023814E-3</v>
      </c>
      <c r="BG27" s="9">
        <f t="shared" si="5"/>
        <v>0.81958369120298968</v>
      </c>
    </row>
    <row r="28" spans="2:59" x14ac:dyDescent="0.35">
      <c r="B28" s="3" t="s">
        <v>110</v>
      </c>
      <c r="D28" s="141">
        <v>14962013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14962013</v>
      </c>
      <c r="R28" s="141">
        <v>1780020</v>
      </c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1780020</v>
      </c>
      <c r="AF28" s="2">
        <f t="shared" si="7"/>
        <v>0.11896928575052033</v>
      </c>
      <c r="AG28" s="2" t="str">
        <f t="shared" si="7"/>
        <v/>
      </c>
      <c r="AH28" s="2" t="str">
        <f t="shared" si="7"/>
        <v/>
      </c>
      <c r="AI28" s="2" t="str">
        <f t="shared" si="7"/>
        <v/>
      </c>
      <c r="AJ28" s="2" t="str">
        <f t="shared" si="7"/>
        <v/>
      </c>
      <c r="AK28" s="2" t="str">
        <f t="shared" si="7"/>
        <v/>
      </c>
      <c r="AL28" s="2" t="str">
        <f t="shared" si="7"/>
        <v/>
      </c>
      <c r="AM28" s="2" t="str">
        <f t="shared" si="7"/>
        <v/>
      </c>
      <c r="AN28" s="2" t="str">
        <f t="shared" si="6"/>
        <v/>
      </c>
      <c r="AO28" s="2" t="str">
        <f t="shared" si="6"/>
        <v/>
      </c>
      <c r="AP28" s="2" t="str">
        <f t="shared" si="6"/>
        <v/>
      </c>
      <c r="AQ28" s="2" t="str">
        <f t="shared" si="6"/>
        <v/>
      </c>
      <c r="AR28" s="2">
        <f t="shared" si="6"/>
        <v>0.11896928575052033</v>
      </c>
      <c r="AT28" s="143" t="str">
        <f t="shared" si="3"/>
        <v/>
      </c>
      <c r="AU28" s="143" t="str">
        <f t="shared" si="3"/>
        <v/>
      </c>
      <c r="AV28" s="143" t="str">
        <f t="shared" ref="AV28:BD55" si="8">+IFERROR(AI28-AH28,"")</f>
        <v/>
      </c>
      <c r="AW28" s="143" t="str">
        <f t="shared" si="8"/>
        <v/>
      </c>
      <c r="AX28" s="143" t="str">
        <f t="shared" si="8"/>
        <v/>
      </c>
      <c r="AY28" s="143" t="str">
        <f t="shared" si="8"/>
        <v/>
      </c>
      <c r="AZ28" s="143" t="str">
        <f t="shared" si="8"/>
        <v/>
      </c>
      <c r="BA28" s="143" t="str">
        <f t="shared" si="8"/>
        <v/>
      </c>
      <c r="BB28" s="143" t="str">
        <f t="shared" si="8"/>
        <v/>
      </c>
      <c r="BC28" s="143" t="str">
        <f t="shared" si="8"/>
        <v/>
      </c>
      <c r="BD28" s="143" t="str">
        <f t="shared" si="8"/>
        <v/>
      </c>
      <c r="BF28" s="9">
        <f t="shared" si="4"/>
        <v>1.2795526278816228E-3</v>
      </c>
      <c r="BG28" s="9">
        <f t="shared" si="5"/>
        <v>0.82086324383087128</v>
      </c>
    </row>
    <row r="29" spans="2:59" x14ac:dyDescent="0.35">
      <c r="B29" s="3" t="s">
        <v>105</v>
      </c>
      <c r="D29" s="141">
        <v>17818213</v>
      </c>
      <c r="E29" s="141">
        <v>17828135</v>
      </c>
      <c r="F29" s="141">
        <v>21258432</v>
      </c>
      <c r="G29" s="141">
        <v>2808494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59713274</v>
      </c>
      <c r="R29" s="141">
        <v>1437341</v>
      </c>
      <c r="S29" s="141">
        <v>1432740</v>
      </c>
      <c r="T29" s="141">
        <v>1668189</v>
      </c>
      <c r="U29" s="141">
        <v>253803</v>
      </c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4792073</v>
      </c>
      <c r="AF29" s="2">
        <f t="shared" si="7"/>
        <v>8.0666955771602905E-2</v>
      </c>
      <c r="AG29" s="2">
        <f t="shared" si="7"/>
        <v>8.0363986474188132E-2</v>
      </c>
      <c r="AH29" s="2">
        <f t="shared" si="7"/>
        <v>7.8471874125053062E-2</v>
      </c>
      <c r="AI29" s="2">
        <f t="shared" si="7"/>
        <v>9.0369785372516373E-2</v>
      </c>
      <c r="AJ29" s="2" t="str">
        <f t="shared" si="7"/>
        <v/>
      </c>
      <c r="AK29" s="2" t="str">
        <f t="shared" si="7"/>
        <v/>
      </c>
      <c r="AL29" s="2" t="str">
        <f t="shared" si="7"/>
        <v/>
      </c>
      <c r="AM29" s="2" t="str">
        <f t="shared" si="7"/>
        <v/>
      </c>
      <c r="AN29" s="2" t="str">
        <f t="shared" si="6"/>
        <v/>
      </c>
      <c r="AO29" s="2" t="str">
        <f t="shared" si="6"/>
        <v/>
      </c>
      <c r="AP29" s="2" t="str">
        <f t="shared" si="6"/>
        <v/>
      </c>
      <c r="AQ29" s="2" t="str">
        <f t="shared" si="6"/>
        <v/>
      </c>
      <c r="AR29" s="2">
        <f t="shared" si="6"/>
        <v>8.0251385981616075E-2</v>
      </c>
      <c r="AT29" s="143">
        <f t="shared" ref="AT29:AU44" si="9">+IFERROR(AG29-AF29,"")</f>
        <v>-3.0296929741477352E-4</v>
      </c>
      <c r="AU29" s="143">
        <f t="shared" si="9"/>
        <v>-1.8921123491350694E-3</v>
      </c>
      <c r="AV29" s="143">
        <f t="shared" si="8"/>
        <v>1.1897911247463311E-2</v>
      </c>
      <c r="AW29" s="143" t="str">
        <f t="shared" si="8"/>
        <v/>
      </c>
      <c r="AX29" s="143" t="str">
        <f t="shared" si="8"/>
        <v/>
      </c>
      <c r="AY29" s="143" t="str">
        <f t="shared" si="8"/>
        <v/>
      </c>
      <c r="AZ29" s="143" t="str">
        <f t="shared" si="8"/>
        <v/>
      </c>
      <c r="BA29" s="143" t="str">
        <f t="shared" si="8"/>
        <v/>
      </c>
      <c r="BB29" s="143" t="str">
        <f t="shared" si="8"/>
        <v/>
      </c>
      <c r="BC29" s="143" t="str">
        <f t="shared" si="8"/>
        <v/>
      </c>
      <c r="BD29" s="143" t="str">
        <f t="shared" si="8"/>
        <v/>
      </c>
      <c r="BF29" s="9">
        <f t="shared" si="4"/>
        <v>3.4447419692759476E-3</v>
      </c>
      <c r="BG29" s="9">
        <f t="shared" si="5"/>
        <v>0.82430798580014719</v>
      </c>
    </row>
    <row r="30" spans="2:59" x14ac:dyDescent="0.35">
      <c r="B30" s="3" t="s">
        <v>111</v>
      </c>
      <c r="D30" s="141">
        <v>1386395</v>
      </c>
      <c r="E30" s="141">
        <v>1346597</v>
      </c>
      <c r="F30" s="141">
        <v>1293575</v>
      </c>
      <c r="G30" s="141">
        <v>116591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4143158</v>
      </c>
      <c r="R30" s="141">
        <v>117773</v>
      </c>
      <c r="S30" s="141">
        <v>111252</v>
      </c>
      <c r="T30" s="141">
        <v>128470</v>
      </c>
      <c r="U30" s="141">
        <v>9039</v>
      </c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366534</v>
      </c>
      <c r="AF30" s="2">
        <f t="shared" si="7"/>
        <v>8.4949094594253441E-2</v>
      </c>
      <c r="AG30" s="2">
        <f t="shared" si="7"/>
        <v>8.2617145292912433E-2</v>
      </c>
      <c r="AH30" s="2">
        <f t="shared" si="7"/>
        <v>9.9313916858319001E-2</v>
      </c>
      <c r="AI30" s="2">
        <f t="shared" si="7"/>
        <v>7.7527424929883099E-2</v>
      </c>
      <c r="AJ30" s="2" t="str">
        <f t="shared" si="7"/>
        <v/>
      </c>
      <c r="AK30" s="2" t="str">
        <f t="shared" si="7"/>
        <v/>
      </c>
      <c r="AL30" s="2" t="str">
        <f t="shared" si="7"/>
        <v/>
      </c>
      <c r="AM30" s="2" t="str">
        <f t="shared" si="7"/>
        <v/>
      </c>
      <c r="AN30" s="2" t="str">
        <f t="shared" si="6"/>
        <v/>
      </c>
      <c r="AO30" s="2" t="str">
        <f t="shared" si="6"/>
        <v/>
      </c>
      <c r="AP30" s="2" t="str">
        <f t="shared" si="6"/>
        <v/>
      </c>
      <c r="AQ30" s="2" t="str">
        <f t="shared" si="6"/>
        <v/>
      </c>
      <c r="AR30" s="2">
        <f t="shared" si="6"/>
        <v>8.8467299581623485E-2</v>
      </c>
      <c r="AT30" s="143">
        <f t="shared" si="9"/>
        <v>-2.3319493013410075E-3</v>
      </c>
      <c r="AU30" s="143">
        <f t="shared" si="9"/>
        <v>1.6696771565406568E-2</v>
      </c>
      <c r="AV30" s="143">
        <f t="shared" si="8"/>
        <v>-2.1786491928435903E-2</v>
      </c>
      <c r="AW30" s="143" t="str">
        <f t="shared" si="8"/>
        <v/>
      </c>
      <c r="AX30" s="143" t="str">
        <f t="shared" si="8"/>
        <v/>
      </c>
      <c r="AY30" s="143" t="str">
        <f t="shared" si="8"/>
        <v/>
      </c>
      <c r="AZ30" s="143" t="str">
        <f t="shared" si="8"/>
        <v/>
      </c>
      <c r="BA30" s="143" t="str">
        <f t="shared" si="8"/>
        <v/>
      </c>
      <c r="BB30" s="143" t="str">
        <f t="shared" si="8"/>
        <v/>
      </c>
      <c r="BC30" s="143" t="str">
        <f t="shared" si="8"/>
        <v/>
      </c>
      <c r="BD30" s="143" t="str">
        <f t="shared" si="8"/>
        <v/>
      </c>
      <c r="BF30" s="9">
        <f t="shared" si="4"/>
        <v>2.6347992882549791E-4</v>
      </c>
      <c r="BG30" s="9">
        <f t="shared" si="5"/>
        <v>0.82457146572897266</v>
      </c>
    </row>
    <row r="31" spans="2:59" x14ac:dyDescent="0.35">
      <c r="B31" s="3" t="s">
        <v>112</v>
      </c>
      <c r="D31" s="141">
        <v>7052280</v>
      </c>
      <c r="E31" s="141">
        <v>6727339</v>
      </c>
      <c r="F31" s="141">
        <v>7092825</v>
      </c>
      <c r="G31" s="141">
        <v>1037864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21910308</v>
      </c>
      <c r="R31" s="141">
        <v>994482</v>
      </c>
      <c r="S31" s="141">
        <v>901855</v>
      </c>
      <c r="T31" s="141">
        <v>939239</v>
      </c>
      <c r="U31" s="141">
        <v>151975</v>
      </c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2987551</v>
      </c>
      <c r="AF31" s="2">
        <f t="shared" si="7"/>
        <v>0.14101567152750599</v>
      </c>
      <c r="AG31" s="2">
        <f t="shared" si="7"/>
        <v>0.13405820637253452</v>
      </c>
      <c r="AH31" s="2">
        <f t="shared" si="7"/>
        <v>0.13242100291491754</v>
      </c>
      <c r="AI31" s="2">
        <f t="shared" si="7"/>
        <v>0.14643055352146331</v>
      </c>
      <c r="AJ31" s="2" t="str">
        <f t="shared" si="7"/>
        <v/>
      </c>
      <c r="AK31" s="2" t="str">
        <f t="shared" si="7"/>
        <v/>
      </c>
      <c r="AL31" s="2" t="str">
        <f t="shared" si="7"/>
        <v/>
      </c>
      <c r="AM31" s="2" t="str">
        <f t="shared" si="7"/>
        <v/>
      </c>
      <c r="AN31" s="2" t="str">
        <f t="shared" si="6"/>
        <v/>
      </c>
      <c r="AO31" s="2" t="str">
        <f t="shared" si="6"/>
        <v/>
      </c>
      <c r="AP31" s="2" t="str">
        <f t="shared" si="6"/>
        <v/>
      </c>
      <c r="AQ31" s="2" t="str">
        <f t="shared" si="6"/>
        <v/>
      </c>
      <c r="AR31" s="2">
        <f t="shared" si="6"/>
        <v>0.13635367426144809</v>
      </c>
      <c r="AT31" s="143">
        <f t="shared" si="9"/>
        <v>-6.9574651549714761E-3</v>
      </c>
      <c r="AU31" s="143">
        <f t="shared" si="9"/>
        <v>-1.6372034576169758E-3</v>
      </c>
      <c r="AV31" s="143">
        <f t="shared" si="8"/>
        <v>1.4009550606545768E-2</v>
      </c>
      <c r="AW31" s="143" t="str">
        <f t="shared" si="8"/>
        <v/>
      </c>
      <c r="AX31" s="143" t="str">
        <f t="shared" si="8"/>
        <v/>
      </c>
      <c r="AY31" s="143" t="str">
        <f t="shared" si="8"/>
        <v/>
      </c>
      <c r="AZ31" s="143" t="str">
        <f t="shared" si="8"/>
        <v/>
      </c>
      <c r="BA31" s="143" t="str">
        <f t="shared" si="8"/>
        <v/>
      </c>
      <c r="BB31" s="143" t="str">
        <f t="shared" si="8"/>
        <v/>
      </c>
      <c r="BC31" s="143" t="str">
        <f t="shared" si="8"/>
        <v/>
      </c>
      <c r="BD31" s="143" t="str">
        <f t="shared" si="8"/>
        <v/>
      </c>
      <c r="BF31" s="9">
        <f t="shared" si="4"/>
        <v>2.1475762817161439E-3</v>
      </c>
      <c r="BG31" s="9">
        <f t="shared" si="5"/>
        <v>0.8267190420106888</v>
      </c>
    </row>
    <row r="32" spans="2:59" x14ac:dyDescent="0.35">
      <c r="B32" s="3" t="s">
        <v>118</v>
      </c>
      <c r="D32" s="141">
        <v>6782256</v>
      </c>
      <c r="E32" s="141">
        <v>5988928</v>
      </c>
      <c r="F32" s="141">
        <v>6341614</v>
      </c>
      <c r="G32" s="141">
        <v>924145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20036943</v>
      </c>
      <c r="R32" s="141">
        <v>853252</v>
      </c>
      <c r="S32" s="141">
        <v>682310</v>
      </c>
      <c r="T32" s="141">
        <v>724549</v>
      </c>
      <c r="U32" s="141">
        <v>114614</v>
      </c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2374725</v>
      </c>
      <c r="AF32" s="2">
        <f t="shared" si="7"/>
        <v>0.12580651629782186</v>
      </c>
      <c r="AG32" s="2">
        <f t="shared" si="7"/>
        <v>0.11392856952028811</v>
      </c>
      <c r="AH32" s="2">
        <f t="shared" si="7"/>
        <v>0.11425309077468292</v>
      </c>
      <c r="AI32" s="2">
        <f t="shared" si="7"/>
        <v>0.12402166326712799</v>
      </c>
      <c r="AJ32" s="2" t="str">
        <f t="shared" si="7"/>
        <v/>
      </c>
      <c r="AK32" s="2" t="str">
        <f t="shared" si="7"/>
        <v/>
      </c>
      <c r="AL32" s="2" t="str">
        <f t="shared" si="7"/>
        <v/>
      </c>
      <c r="AM32" s="2" t="str">
        <f t="shared" si="7"/>
        <v/>
      </c>
      <c r="AN32" s="2" t="str">
        <f t="shared" si="6"/>
        <v/>
      </c>
      <c r="AO32" s="2" t="str">
        <f t="shared" si="6"/>
        <v/>
      </c>
      <c r="AP32" s="2" t="str">
        <f t="shared" si="6"/>
        <v/>
      </c>
      <c r="AQ32" s="2" t="str">
        <f t="shared" si="6"/>
        <v/>
      </c>
      <c r="AR32" s="2">
        <f t="shared" si="6"/>
        <v>0.11851733071257427</v>
      </c>
      <c r="AT32" s="143">
        <f t="shared" si="9"/>
        <v>-1.1877946777533746E-2</v>
      </c>
      <c r="AU32" s="143">
        <f t="shared" si="9"/>
        <v>3.2452125439480506E-4</v>
      </c>
      <c r="AV32" s="143">
        <f t="shared" si="8"/>
        <v>9.768572492445074E-3</v>
      </c>
      <c r="AW32" s="143" t="str">
        <f t="shared" si="8"/>
        <v/>
      </c>
      <c r="AX32" s="143" t="str">
        <f t="shared" si="8"/>
        <v/>
      </c>
      <c r="AY32" s="143" t="str">
        <f t="shared" si="8"/>
        <v/>
      </c>
      <c r="AZ32" s="143" t="str">
        <f t="shared" si="8"/>
        <v/>
      </c>
      <c r="BA32" s="143" t="str">
        <f t="shared" si="8"/>
        <v/>
      </c>
      <c r="BB32" s="143" t="str">
        <f t="shared" si="8"/>
        <v/>
      </c>
      <c r="BC32" s="143" t="str">
        <f t="shared" si="8"/>
        <v/>
      </c>
      <c r="BD32" s="143" t="str">
        <f t="shared" si="8"/>
        <v/>
      </c>
      <c r="BF32" s="9">
        <f t="shared" si="4"/>
        <v>1.7070513894485381E-3</v>
      </c>
      <c r="BG32" s="9">
        <f t="shared" si="5"/>
        <v>0.82842609340013729</v>
      </c>
    </row>
    <row r="33" spans="2:59" x14ac:dyDescent="0.35">
      <c r="B33" s="3" t="s">
        <v>124</v>
      </c>
      <c r="D33" s="141">
        <v>3736418</v>
      </c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3736418</v>
      </c>
      <c r="R33" s="141">
        <v>449523</v>
      </c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449523</v>
      </c>
      <c r="AF33" s="2">
        <f t="shared" si="7"/>
        <v>0.12030854149616023</v>
      </c>
      <c r="AG33" s="2" t="str">
        <f t="shared" si="7"/>
        <v/>
      </c>
      <c r="AH33" s="2" t="str">
        <f t="shared" si="7"/>
        <v/>
      </c>
      <c r="AI33" s="2" t="str">
        <f t="shared" si="7"/>
        <v/>
      </c>
      <c r="AJ33" s="2" t="str">
        <f t="shared" si="7"/>
        <v/>
      </c>
      <c r="AK33" s="2" t="str">
        <f t="shared" si="7"/>
        <v/>
      </c>
      <c r="AL33" s="2" t="str">
        <f t="shared" si="7"/>
        <v/>
      </c>
      <c r="AM33" s="2" t="str">
        <f t="shared" si="7"/>
        <v/>
      </c>
      <c r="AN33" s="2" t="str">
        <f t="shared" si="6"/>
        <v/>
      </c>
      <c r="AO33" s="2" t="str">
        <f t="shared" si="6"/>
        <v/>
      </c>
      <c r="AP33" s="2" t="str">
        <f t="shared" si="6"/>
        <v/>
      </c>
      <c r="AQ33" s="2" t="str">
        <f t="shared" si="6"/>
        <v/>
      </c>
      <c r="AR33" s="2">
        <f t="shared" si="6"/>
        <v>0.12030854149616023</v>
      </c>
      <c r="AT33" s="143" t="str">
        <f t="shared" si="9"/>
        <v/>
      </c>
      <c r="AU33" s="143" t="str">
        <f t="shared" si="9"/>
        <v/>
      </c>
      <c r="AV33" s="143" t="str">
        <f t="shared" si="8"/>
        <v/>
      </c>
      <c r="AW33" s="143" t="str">
        <f t="shared" si="8"/>
        <v/>
      </c>
      <c r="AX33" s="143" t="str">
        <f t="shared" si="8"/>
        <v/>
      </c>
      <c r="AY33" s="143" t="str">
        <f t="shared" si="8"/>
        <v/>
      </c>
      <c r="AZ33" s="143" t="str">
        <f t="shared" si="8"/>
        <v/>
      </c>
      <c r="BA33" s="143" t="str">
        <f t="shared" si="8"/>
        <v/>
      </c>
      <c r="BB33" s="143" t="str">
        <f t="shared" si="8"/>
        <v/>
      </c>
      <c r="BC33" s="143" t="str">
        <f t="shared" si="8"/>
        <v/>
      </c>
      <c r="BD33" s="143" t="str">
        <f t="shared" si="8"/>
        <v/>
      </c>
      <c r="BF33" s="9">
        <f t="shared" si="4"/>
        <v>3.2313588383458094E-4</v>
      </c>
      <c r="BG33" s="9">
        <f t="shared" si="5"/>
        <v>0.82874922928397188</v>
      </c>
    </row>
    <row r="34" spans="2:59" x14ac:dyDescent="0.35">
      <c r="B34" s="3" t="s">
        <v>125</v>
      </c>
      <c r="D34" s="141">
        <v>35127775</v>
      </c>
      <c r="E34" s="141">
        <v>15324416</v>
      </c>
      <c r="F34" s="141">
        <v>18779046</v>
      </c>
      <c r="G34" s="141">
        <v>2226988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71458225</v>
      </c>
      <c r="R34" s="141">
        <v>6153532</v>
      </c>
      <c r="S34" s="141">
        <v>3909788</v>
      </c>
      <c r="T34" s="141">
        <v>3151374</v>
      </c>
      <c r="U34" s="141">
        <v>265079</v>
      </c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13479773</v>
      </c>
      <c r="AF34" s="2">
        <f t="shared" si="7"/>
        <v>0.17517568362926489</v>
      </c>
      <c r="AG34" s="2">
        <f t="shared" si="7"/>
        <v>0.25513455129383072</v>
      </c>
      <c r="AH34" s="2">
        <f t="shared" si="7"/>
        <v>0.16781331703431579</v>
      </c>
      <c r="AI34" s="2">
        <f t="shared" si="7"/>
        <v>0.11903027766651639</v>
      </c>
      <c r="AJ34" s="2" t="str">
        <f t="shared" si="7"/>
        <v/>
      </c>
      <c r="AK34" s="2" t="str">
        <f t="shared" si="7"/>
        <v/>
      </c>
      <c r="AL34" s="2" t="str">
        <f t="shared" si="7"/>
        <v/>
      </c>
      <c r="AM34" s="2" t="str">
        <f t="shared" si="7"/>
        <v/>
      </c>
      <c r="AN34" s="2" t="str">
        <f t="shared" si="6"/>
        <v/>
      </c>
      <c r="AO34" s="2" t="str">
        <f t="shared" si="6"/>
        <v/>
      </c>
      <c r="AP34" s="2" t="str">
        <f t="shared" si="6"/>
        <v/>
      </c>
      <c r="AQ34" s="2" t="str">
        <f t="shared" si="6"/>
        <v/>
      </c>
      <c r="AR34" s="2">
        <f t="shared" si="6"/>
        <v>0.18863850872310362</v>
      </c>
      <c r="AT34" s="143">
        <f t="shared" si="9"/>
        <v>7.9958867664565836E-2</v>
      </c>
      <c r="AU34" s="143">
        <f t="shared" si="9"/>
        <v>-8.7321234259514935E-2</v>
      </c>
      <c r="AV34" s="143">
        <f t="shared" si="8"/>
        <v>-4.8783039367799402E-2</v>
      </c>
      <c r="AW34" s="143" t="str">
        <f t="shared" si="8"/>
        <v/>
      </c>
      <c r="AX34" s="143" t="str">
        <f t="shared" si="8"/>
        <v/>
      </c>
      <c r="AY34" s="143" t="str">
        <f t="shared" si="8"/>
        <v/>
      </c>
      <c r="AZ34" s="143" t="str">
        <f t="shared" si="8"/>
        <v/>
      </c>
      <c r="BA34" s="143" t="str">
        <f t="shared" si="8"/>
        <v/>
      </c>
      <c r="BB34" s="143" t="str">
        <f t="shared" si="8"/>
        <v/>
      </c>
      <c r="BC34" s="143" t="str">
        <f t="shared" si="8"/>
        <v/>
      </c>
      <c r="BD34" s="143" t="str">
        <f t="shared" si="8"/>
        <v/>
      </c>
      <c r="BF34" s="9">
        <f t="shared" si="4"/>
        <v>9.6898231286152662E-3</v>
      </c>
      <c r="BG34" s="9">
        <f t="shared" si="5"/>
        <v>0.83843905241258709</v>
      </c>
    </row>
    <row r="35" spans="2:59" x14ac:dyDescent="0.35">
      <c r="B35" s="3" t="s">
        <v>108</v>
      </c>
      <c r="D35" s="141">
        <v>12624659</v>
      </c>
      <c r="E35" s="141">
        <v>11817624</v>
      </c>
      <c r="F35" s="141">
        <v>12917063</v>
      </c>
      <c r="G35" s="141">
        <v>1656356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39015702</v>
      </c>
      <c r="R35" s="141">
        <v>1216141</v>
      </c>
      <c r="S35" s="141">
        <v>1077901</v>
      </c>
      <c r="T35" s="141">
        <v>1126231</v>
      </c>
      <c r="U35" s="141">
        <v>173878</v>
      </c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3594151</v>
      </c>
      <c r="AF35" s="2">
        <f t="shared" si="7"/>
        <v>9.6330601880019101E-2</v>
      </c>
      <c r="AG35" s="2">
        <f t="shared" si="7"/>
        <v>9.1211312866274985E-2</v>
      </c>
      <c r="AH35" s="2">
        <f t="shared" si="7"/>
        <v>8.7189402110990716E-2</v>
      </c>
      <c r="AI35" s="2">
        <f t="shared" si="7"/>
        <v>0.10497622491783168</v>
      </c>
      <c r="AJ35" s="2" t="str">
        <f t="shared" si="7"/>
        <v/>
      </c>
      <c r="AK35" s="2" t="str">
        <f t="shared" si="7"/>
        <v/>
      </c>
      <c r="AL35" s="2" t="str">
        <f t="shared" si="7"/>
        <v/>
      </c>
      <c r="AM35" s="2" t="str">
        <f t="shared" si="7"/>
        <v/>
      </c>
      <c r="AN35" s="2" t="str">
        <f t="shared" si="6"/>
        <v/>
      </c>
      <c r="AO35" s="2" t="str">
        <f t="shared" si="6"/>
        <v/>
      </c>
      <c r="AP35" s="2" t="str">
        <f t="shared" si="6"/>
        <v/>
      </c>
      <c r="AQ35" s="2" t="str">
        <f t="shared" si="6"/>
        <v/>
      </c>
      <c r="AR35" s="2">
        <f t="shared" si="6"/>
        <v>9.2120628766336185E-2</v>
      </c>
      <c r="AT35" s="143">
        <f t="shared" si="9"/>
        <v>-5.119289013744116E-3</v>
      </c>
      <c r="AU35" s="143">
        <f t="shared" si="9"/>
        <v>-4.0219107552842692E-3</v>
      </c>
      <c r="AV35" s="143">
        <f t="shared" si="8"/>
        <v>1.7786822806840963E-2</v>
      </c>
      <c r="AW35" s="143" t="str">
        <f t="shared" si="8"/>
        <v/>
      </c>
      <c r="AX35" s="143" t="str">
        <f t="shared" si="8"/>
        <v/>
      </c>
      <c r="AY35" s="143" t="str">
        <f t="shared" si="8"/>
        <v/>
      </c>
      <c r="AZ35" s="143" t="str">
        <f t="shared" si="8"/>
        <v/>
      </c>
      <c r="BA35" s="143" t="str">
        <f t="shared" si="8"/>
        <v/>
      </c>
      <c r="BB35" s="143" t="str">
        <f t="shared" si="8"/>
        <v/>
      </c>
      <c r="BC35" s="143" t="str">
        <f t="shared" si="8"/>
        <v/>
      </c>
      <c r="BD35" s="143" t="str">
        <f t="shared" si="8"/>
        <v/>
      </c>
      <c r="BF35" s="9">
        <f t="shared" si="4"/>
        <v>2.5836256654719401E-3</v>
      </c>
      <c r="BG35" s="9">
        <f t="shared" si="5"/>
        <v>0.84102267807805908</v>
      </c>
    </row>
    <row r="36" spans="2:59" x14ac:dyDescent="0.35">
      <c r="B36" s="3" t="s">
        <v>120</v>
      </c>
      <c r="D36" s="141">
        <v>7510377</v>
      </c>
      <c r="E36" s="141">
        <v>6963525</v>
      </c>
      <c r="F36" s="141">
        <v>7232857</v>
      </c>
      <c r="G36" s="141">
        <v>550060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22256819</v>
      </c>
      <c r="R36" s="141">
        <v>949309</v>
      </c>
      <c r="S36" s="141">
        <v>912910</v>
      </c>
      <c r="T36" s="141">
        <v>939290</v>
      </c>
      <c r="U36" s="141">
        <v>76549</v>
      </c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2878058</v>
      </c>
      <c r="AF36" s="2">
        <f t="shared" si="7"/>
        <v>0.12639964678204568</v>
      </c>
      <c r="AG36" s="2">
        <f t="shared" si="7"/>
        <v>0.13109883284686993</v>
      </c>
      <c r="AH36" s="2">
        <f t="shared" si="7"/>
        <v>0.12986431226277528</v>
      </c>
      <c r="AI36" s="2">
        <f t="shared" si="7"/>
        <v>0.13916481838344907</v>
      </c>
      <c r="AJ36" s="2" t="str">
        <f t="shared" si="7"/>
        <v/>
      </c>
      <c r="AK36" s="2" t="str">
        <f t="shared" si="7"/>
        <v/>
      </c>
      <c r="AL36" s="2" t="str">
        <f t="shared" si="7"/>
        <v/>
      </c>
      <c r="AM36" s="2" t="str">
        <f t="shared" si="7"/>
        <v/>
      </c>
      <c r="AN36" s="2" t="str">
        <f t="shared" si="6"/>
        <v/>
      </c>
      <c r="AO36" s="2" t="str">
        <f t="shared" si="6"/>
        <v/>
      </c>
      <c r="AP36" s="2" t="str">
        <f t="shared" si="6"/>
        <v/>
      </c>
      <c r="AQ36" s="2" t="str">
        <f t="shared" si="6"/>
        <v/>
      </c>
      <c r="AR36" s="2">
        <f t="shared" si="6"/>
        <v>0.1293112910699413</v>
      </c>
      <c r="AT36" s="143">
        <f t="shared" si="9"/>
        <v>4.6991860648242512E-3</v>
      </c>
      <c r="AU36" s="143">
        <f t="shared" si="9"/>
        <v>-1.2345205840946505E-3</v>
      </c>
      <c r="AV36" s="143">
        <f t="shared" si="8"/>
        <v>9.3005061206737905E-3</v>
      </c>
      <c r="AW36" s="143" t="str">
        <f t="shared" si="8"/>
        <v/>
      </c>
      <c r="AX36" s="143" t="str">
        <f t="shared" si="8"/>
        <v/>
      </c>
      <c r="AY36" s="143" t="str">
        <f t="shared" si="8"/>
        <v/>
      </c>
      <c r="AZ36" s="143" t="str">
        <f t="shared" si="8"/>
        <v/>
      </c>
      <c r="BA36" s="143" t="str">
        <f t="shared" si="8"/>
        <v/>
      </c>
      <c r="BB36" s="143" t="str">
        <f t="shared" si="8"/>
        <v/>
      </c>
      <c r="BC36" s="143" t="str">
        <f t="shared" si="8"/>
        <v/>
      </c>
      <c r="BD36" s="143" t="str">
        <f t="shared" si="8"/>
        <v/>
      </c>
      <c r="BF36" s="9">
        <f t="shared" si="4"/>
        <v>2.0688681459173088E-3</v>
      </c>
      <c r="BG36" s="9">
        <f t="shared" si="5"/>
        <v>0.84309154622397642</v>
      </c>
    </row>
    <row r="37" spans="2:59" x14ac:dyDescent="0.35">
      <c r="B37" s="3" t="s">
        <v>109</v>
      </c>
      <c r="D37" s="141">
        <v>15997835</v>
      </c>
      <c r="E37" s="141">
        <v>14358346</v>
      </c>
      <c r="F37" s="141">
        <v>14282715</v>
      </c>
      <c r="G37" s="141">
        <v>1598421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46237317</v>
      </c>
      <c r="R37" s="141">
        <v>1675354</v>
      </c>
      <c r="S37" s="141">
        <v>1474112</v>
      </c>
      <c r="T37" s="141">
        <v>1340020</v>
      </c>
      <c r="U37" s="141">
        <v>142367</v>
      </c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4631853</v>
      </c>
      <c r="AF37" s="2">
        <f t="shared" si="7"/>
        <v>0.10472379543857029</v>
      </c>
      <c r="AG37" s="2">
        <f t="shared" si="7"/>
        <v>0.10266586416011983</v>
      </c>
      <c r="AH37" s="2">
        <f t="shared" si="7"/>
        <v>9.3821097739470408E-2</v>
      </c>
      <c r="AI37" s="2">
        <f t="shared" si="7"/>
        <v>8.9067273265303698E-2</v>
      </c>
      <c r="AJ37" s="2" t="str">
        <f t="shared" si="7"/>
        <v/>
      </c>
      <c r="AK37" s="2" t="str">
        <f t="shared" si="7"/>
        <v/>
      </c>
      <c r="AL37" s="2" t="str">
        <f t="shared" si="7"/>
        <v/>
      </c>
      <c r="AM37" s="2" t="str">
        <f t="shared" si="7"/>
        <v/>
      </c>
      <c r="AN37" s="2" t="str">
        <f t="shared" si="6"/>
        <v/>
      </c>
      <c r="AO37" s="2" t="str">
        <f t="shared" si="6"/>
        <v/>
      </c>
      <c r="AP37" s="2" t="str">
        <f t="shared" si="6"/>
        <v/>
      </c>
      <c r="AQ37" s="2" t="str">
        <f t="shared" si="6"/>
        <v/>
      </c>
      <c r="AR37" s="2">
        <f t="shared" si="6"/>
        <v>0.10017564384196427</v>
      </c>
      <c r="AT37" s="143">
        <f t="shared" si="9"/>
        <v>-2.0579312784504561E-3</v>
      </c>
      <c r="AU37" s="143">
        <f t="shared" si="9"/>
        <v>-8.844766420649422E-3</v>
      </c>
      <c r="AV37" s="143">
        <f t="shared" si="8"/>
        <v>-4.7538244741667096E-3</v>
      </c>
      <c r="AW37" s="143" t="str">
        <f t="shared" si="8"/>
        <v/>
      </c>
      <c r="AX37" s="143" t="str">
        <f t="shared" si="8"/>
        <v/>
      </c>
      <c r="AY37" s="143" t="str">
        <f t="shared" si="8"/>
        <v/>
      </c>
      <c r="AZ37" s="143" t="str">
        <f t="shared" si="8"/>
        <v/>
      </c>
      <c r="BA37" s="143" t="str">
        <f t="shared" si="8"/>
        <v/>
      </c>
      <c r="BB37" s="143" t="str">
        <f t="shared" si="8"/>
        <v/>
      </c>
      <c r="BC37" s="143" t="str">
        <f t="shared" si="8"/>
        <v/>
      </c>
      <c r="BD37" s="143" t="str">
        <f t="shared" si="8"/>
        <v/>
      </c>
      <c r="BF37" s="9">
        <f t="shared" ref="BF37:BF67" si="10">+AD37/$AD$236</f>
        <v>3.3295691498474054E-3</v>
      </c>
      <c r="BG37" s="9">
        <f t="shared" si="5"/>
        <v>0.84642111537382381</v>
      </c>
    </row>
    <row r="38" spans="2:59" x14ac:dyDescent="0.35">
      <c r="B38" s="3" t="s">
        <v>130</v>
      </c>
      <c r="D38" s="141">
        <v>16475048</v>
      </c>
      <c r="E38" s="141">
        <v>17999997</v>
      </c>
      <c r="F38" s="141">
        <v>18848898</v>
      </c>
      <c r="G38" s="141">
        <v>1397158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54721101</v>
      </c>
      <c r="R38" s="141">
        <v>1881566</v>
      </c>
      <c r="S38" s="141">
        <v>2319936</v>
      </c>
      <c r="T38" s="141">
        <v>2115666</v>
      </c>
      <c r="U38" s="141">
        <v>173342</v>
      </c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6490510</v>
      </c>
      <c r="AF38" s="2">
        <f t="shared" si="7"/>
        <v>0.1142070117185698</v>
      </c>
      <c r="AG38" s="2">
        <f t="shared" si="7"/>
        <v>0.12888535481422581</v>
      </c>
      <c r="AH38" s="2">
        <f t="shared" si="7"/>
        <v>0.11224348500373868</v>
      </c>
      <c r="AI38" s="2">
        <f t="shared" si="7"/>
        <v>0.12406757145576949</v>
      </c>
      <c r="AJ38" s="2" t="str">
        <f t="shared" si="7"/>
        <v/>
      </c>
      <c r="AK38" s="2" t="str">
        <f t="shared" si="7"/>
        <v/>
      </c>
      <c r="AL38" s="2" t="str">
        <f t="shared" si="7"/>
        <v/>
      </c>
      <c r="AM38" s="2" t="str">
        <f t="shared" si="7"/>
        <v/>
      </c>
      <c r="AN38" s="2" t="str">
        <f t="shared" si="6"/>
        <v/>
      </c>
      <c r="AO38" s="2" t="str">
        <f t="shared" si="6"/>
        <v/>
      </c>
      <c r="AP38" s="2" t="str">
        <f t="shared" si="6"/>
        <v/>
      </c>
      <c r="AQ38" s="2" t="str">
        <f t="shared" si="6"/>
        <v/>
      </c>
      <c r="AR38" s="2">
        <f t="shared" si="6"/>
        <v>0.11861073482421343</v>
      </c>
      <c r="AT38" s="143">
        <f t="shared" si="9"/>
        <v>1.4678343095656007E-2</v>
      </c>
      <c r="AU38" s="143">
        <f t="shared" si="9"/>
        <v>-1.6641869810487125E-2</v>
      </c>
      <c r="AV38" s="143">
        <f t="shared" si="8"/>
        <v>1.1824086452030813E-2</v>
      </c>
      <c r="AW38" s="143" t="str">
        <f t="shared" si="8"/>
        <v/>
      </c>
      <c r="AX38" s="143" t="str">
        <f t="shared" si="8"/>
        <v/>
      </c>
      <c r="AY38" s="143" t="str">
        <f t="shared" si="8"/>
        <v/>
      </c>
      <c r="AZ38" s="143" t="str">
        <f t="shared" si="8"/>
        <v/>
      </c>
      <c r="BA38" s="143" t="str">
        <f t="shared" si="8"/>
        <v/>
      </c>
      <c r="BB38" s="143" t="str">
        <f t="shared" si="8"/>
        <v/>
      </c>
      <c r="BC38" s="143" t="str">
        <f t="shared" si="8"/>
        <v/>
      </c>
      <c r="BD38" s="143" t="str">
        <f t="shared" si="8"/>
        <v/>
      </c>
      <c r="BF38" s="9">
        <f t="shared" si="10"/>
        <v>4.6656493335984718E-3</v>
      </c>
      <c r="BG38" s="9">
        <f t="shared" si="5"/>
        <v>0.85108676470742228</v>
      </c>
    </row>
    <row r="39" spans="2:59" x14ac:dyDescent="0.35">
      <c r="B39" s="3" t="s">
        <v>153</v>
      </c>
      <c r="D39" s="141">
        <v>5278984</v>
      </c>
      <c r="E39" s="141">
        <v>5158166</v>
      </c>
      <c r="F39" s="141">
        <v>5785072</v>
      </c>
      <c r="G39" s="141">
        <v>935216</v>
      </c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17157438</v>
      </c>
      <c r="R39" s="141">
        <v>459124</v>
      </c>
      <c r="S39" s="141">
        <v>514427</v>
      </c>
      <c r="T39" s="141">
        <v>540622</v>
      </c>
      <c r="U39" s="141">
        <v>72849</v>
      </c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1587022</v>
      </c>
      <c r="AF39" s="2">
        <f t="shared" si="7"/>
        <v>8.697203855893483E-2</v>
      </c>
      <c r="AG39" s="2">
        <f t="shared" si="7"/>
        <v>9.9730601923241707E-2</v>
      </c>
      <c r="AH39" s="2">
        <f t="shared" si="7"/>
        <v>9.3451213744617179E-2</v>
      </c>
      <c r="AI39" s="2">
        <f t="shared" si="7"/>
        <v>7.7895373902927237E-2</v>
      </c>
      <c r="AJ39" s="2" t="str">
        <f t="shared" si="7"/>
        <v/>
      </c>
      <c r="AK39" s="2" t="str">
        <f t="shared" si="7"/>
        <v/>
      </c>
      <c r="AL39" s="2" t="str">
        <f t="shared" si="7"/>
        <v/>
      </c>
      <c r="AM39" s="2" t="str">
        <f t="shared" si="7"/>
        <v/>
      </c>
      <c r="AN39" s="2" t="str">
        <f t="shared" si="6"/>
        <v/>
      </c>
      <c r="AO39" s="2" t="str">
        <f t="shared" si="6"/>
        <v/>
      </c>
      <c r="AP39" s="2" t="str">
        <f t="shared" si="6"/>
        <v/>
      </c>
      <c r="AQ39" s="2" t="str">
        <f t="shared" si="6"/>
        <v/>
      </c>
      <c r="AR39" s="2">
        <f t="shared" si="6"/>
        <v>9.2497609491580271E-2</v>
      </c>
      <c r="AT39" s="143">
        <f t="shared" si="9"/>
        <v>1.2758563364306877E-2</v>
      </c>
      <c r="AU39" s="143">
        <f t="shared" si="9"/>
        <v>-6.2793881786245287E-3</v>
      </c>
      <c r="AV39" s="143">
        <f t="shared" si="8"/>
        <v>-1.5555839841689942E-2</v>
      </c>
      <c r="AW39" s="143" t="str">
        <f t="shared" si="8"/>
        <v/>
      </c>
      <c r="AX39" s="143" t="str">
        <f t="shared" si="8"/>
        <v/>
      </c>
      <c r="AY39" s="143" t="str">
        <f t="shared" si="8"/>
        <v/>
      </c>
      <c r="AZ39" s="143" t="str">
        <f t="shared" si="8"/>
        <v/>
      </c>
      <c r="BA39" s="143" t="str">
        <f t="shared" si="8"/>
        <v/>
      </c>
      <c r="BB39" s="143" t="str">
        <f t="shared" si="8"/>
        <v/>
      </c>
      <c r="BC39" s="143" t="str">
        <f t="shared" si="8"/>
        <v/>
      </c>
      <c r="BD39" s="143" t="str">
        <f t="shared" si="8"/>
        <v/>
      </c>
      <c r="BF39" s="9">
        <f t="shared" si="10"/>
        <v>1.1408176147492438E-3</v>
      </c>
      <c r="BG39" s="9">
        <f t="shared" si="5"/>
        <v>0.85222758232217155</v>
      </c>
    </row>
    <row r="40" spans="2:59" x14ac:dyDescent="0.35">
      <c r="B40" s="3" t="s">
        <v>107</v>
      </c>
      <c r="D40" s="141">
        <v>5578643</v>
      </c>
      <c r="E40" s="141">
        <v>5093001</v>
      </c>
      <c r="F40" s="141">
        <v>5316870</v>
      </c>
      <c r="G40" s="141">
        <v>651525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16640039</v>
      </c>
      <c r="R40" s="141">
        <v>466159</v>
      </c>
      <c r="S40" s="141">
        <v>417583</v>
      </c>
      <c r="T40" s="141">
        <v>445421</v>
      </c>
      <c r="U40" s="141">
        <v>59094</v>
      </c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1388257</v>
      </c>
      <c r="AF40" s="2">
        <f t="shared" si="7"/>
        <v>8.3561360710839541E-2</v>
      </c>
      <c r="AG40" s="2">
        <f t="shared" si="7"/>
        <v>8.1991540940204014E-2</v>
      </c>
      <c r="AH40" s="2">
        <f t="shared" si="7"/>
        <v>8.3775040578385404E-2</v>
      </c>
      <c r="AI40" s="2">
        <f t="shared" si="7"/>
        <v>9.0701047542304597E-2</v>
      </c>
      <c r="AJ40" s="2" t="str">
        <f t="shared" si="7"/>
        <v/>
      </c>
      <c r="AK40" s="2" t="str">
        <f t="shared" si="7"/>
        <v/>
      </c>
      <c r="AL40" s="2" t="str">
        <f t="shared" si="7"/>
        <v/>
      </c>
      <c r="AM40" s="2" t="str">
        <f t="shared" si="7"/>
        <v/>
      </c>
      <c r="AN40" s="2" t="str">
        <f t="shared" si="6"/>
        <v/>
      </c>
      <c r="AO40" s="2" t="str">
        <f t="shared" si="6"/>
        <v/>
      </c>
      <c r="AP40" s="2" t="str">
        <f t="shared" si="6"/>
        <v/>
      </c>
      <c r="AQ40" s="2" t="str">
        <f t="shared" si="6"/>
        <v/>
      </c>
      <c r="AR40" s="2">
        <f t="shared" si="6"/>
        <v>8.342871071395927E-2</v>
      </c>
      <c r="AT40" s="143">
        <f t="shared" si="9"/>
        <v>-1.5698197706355277E-3</v>
      </c>
      <c r="AU40" s="143">
        <f t="shared" si="9"/>
        <v>1.7834996381813906E-3</v>
      </c>
      <c r="AV40" s="143">
        <f t="shared" si="8"/>
        <v>6.9260069639191929E-3</v>
      </c>
      <c r="AW40" s="143" t="str">
        <f t="shared" si="8"/>
        <v/>
      </c>
      <c r="AX40" s="143" t="str">
        <f t="shared" si="8"/>
        <v/>
      </c>
      <c r="AY40" s="143" t="str">
        <f t="shared" si="8"/>
        <v/>
      </c>
      <c r="AZ40" s="143" t="str">
        <f t="shared" si="8"/>
        <v/>
      </c>
      <c r="BA40" s="143" t="str">
        <f t="shared" si="8"/>
        <v/>
      </c>
      <c r="BB40" s="143" t="str">
        <f t="shared" si="8"/>
        <v/>
      </c>
      <c r="BC40" s="143" t="str">
        <f t="shared" si="8"/>
        <v/>
      </c>
      <c r="BD40" s="143" t="str">
        <f t="shared" si="8"/>
        <v/>
      </c>
      <c r="BF40" s="9">
        <f t="shared" si="10"/>
        <v>9.9793704145181416E-4</v>
      </c>
      <c r="BG40" s="9">
        <f t="shared" si="5"/>
        <v>0.85322551936362334</v>
      </c>
    </row>
    <row r="41" spans="2:59" x14ac:dyDescent="0.35">
      <c r="B41" s="3" t="s">
        <v>129</v>
      </c>
      <c r="D41" s="141">
        <v>10207779</v>
      </c>
      <c r="E41" s="141">
        <v>9325983</v>
      </c>
      <c r="F41" s="141">
        <v>9312989</v>
      </c>
      <c r="G41" s="141">
        <v>863076</v>
      </c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29709827</v>
      </c>
      <c r="R41" s="141">
        <v>1045267</v>
      </c>
      <c r="S41" s="141">
        <v>986529</v>
      </c>
      <c r="T41" s="141">
        <v>994048</v>
      </c>
      <c r="U41" s="141">
        <v>86628</v>
      </c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3112472</v>
      </c>
      <c r="AF41" s="2">
        <f t="shared" si="7"/>
        <v>0.10239906251888878</v>
      </c>
      <c r="AG41" s="2">
        <f t="shared" si="7"/>
        <v>0.10578284348148607</v>
      </c>
      <c r="AH41" s="2">
        <f t="shared" si="7"/>
        <v>0.1067378045866907</v>
      </c>
      <c r="AI41" s="2">
        <f t="shared" si="7"/>
        <v>0.10037123034356187</v>
      </c>
      <c r="AJ41" s="2" t="str">
        <f t="shared" si="7"/>
        <v/>
      </c>
      <c r="AK41" s="2" t="str">
        <f t="shared" si="7"/>
        <v/>
      </c>
      <c r="AL41" s="2" t="str">
        <f t="shared" si="7"/>
        <v/>
      </c>
      <c r="AM41" s="2" t="str">
        <f t="shared" si="7"/>
        <v/>
      </c>
      <c r="AN41" s="2" t="str">
        <f t="shared" si="6"/>
        <v/>
      </c>
      <c r="AO41" s="2" t="str">
        <f t="shared" si="6"/>
        <v/>
      </c>
      <c r="AP41" s="2" t="str">
        <f t="shared" si="6"/>
        <v/>
      </c>
      <c r="AQ41" s="2" t="str">
        <f t="shared" si="6"/>
        <v/>
      </c>
      <c r="AR41" s="2">
        <f t="shared" si="6"/>
        <v>0.10476237374253307</v>
      </c>
      <c r="AT41" s="143">
        <f t="shared" si="9"/>
        <v>3.3837809625972964E-3</v>
      </c>
      <c r="AU41" s="143">
        <f t="shared" si="9"/>
        <v>9.5496110520462696E-4</v>
      </c>
      <c r="AV41" s="143">
        <f t="shared" si="8"/>
        <v>-6.3665742431288364E-3</v>
      </c>
      <c r="AW41" s="143" t="str">
        <f t="shared" si="8"/>
        <v/>
      </c>
      <c r="AX41" s="143" t="str">
        <f t="shared" si="8"/>
        <v/>
      </c>
      <c r="AY41" s="143" t="str">
        <f t="shared" si="8"/>
        <v/>
      </c>
      <c r="AZ41" s="143" t="str">
        <f t="shared" si="8"/>
        <v/>
      </c>
      <c r="BA41" s="143" t="str">
        <f t="shared" si="8"/>
        <v/>
      </c>
      <c r="BB41" s="143" t="str">
        <f t="shared" si="8"/>
        <v/>
      </c>
      <c r="BC41" s="143" t="str">
        <f t="shared" si="8"/>
        <v/>
      </c>
      <c r="BD41" s="143" t="str">
        <f t="shared" si="8"/>
        <v/>
      </c>
      <c r="BF41" s="9">
        <f t="shared" si="10"/>
        <v>2.2373747074796745E-3</v>
      </c>
      <c r="BG41" s="9">
        <f t="shared" si="5"/>
        <v>0.85546289407110299</v>
      </c>
    </row>
    <row r="42" spans="2:59" x14ac:dyDescent="0.35">
      <c r="B42" s="3" t="s">
        <v>122</v>
      </c>
      <c r="D42" s="141">
        <v>9476729</v>
      </c>
      <c r="E42" s="141">
        <v>8701845</v>
      </c>
      <c r="F42" s="141">
        <v>8592481</v>
      </c>
      <c r="G42" s="141">
        <v>1450045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28221100</v>
      </c>
      <c r="R42" s="141">
        <v>976917</v>
      </c>
      <c r="S42" s="141">
        <v>905202</v>
      </c>
      <c r="T42" s="141">
        <v>862131</v>
      </c>
      <c r="U42" s="141">
        <v>154746</v>
      </c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2898996</v>
      </c>
      <c r="AF42" s="2">
        <f t="shared" si="7"/>
        <v>0.10308588543578696</v>
      </c>
      <c r="AG42" s="2">
        <f t="shared" si="7"/>
        <v>0.10402414660339272</v>
      </c>
      <c r="AH42" s="2">
        <f t="shared" si="7"/>
        <v>0.10033551427114008</v>
      </c>
      <c r="AI42" s="2">
        <f t="shared" si="7"/>
        <v>0.10671806737032299</v>
      </c>
      <c r="AJ42" s="2" t="str">
        <f t="shared" si="7"/>
        <v/>
      </c>
      <c r="AK42" s="2" t="str">
        <f t="shared" si="7"/>
        <v/>
      </c>
      <c r="AL42" s="2" t="str">
        <f t="shared" si="7"/>
        <v/>
      </c>
      <c r="AM42" s="2" t="str">
        <f t="shared" si="7"/>
        <v/>
      </c>
      <c r="AN42" s="2" t="str">
        <f t="shared" si="6"/>
        <v/>
      </c>
      <c r="AO42" s="2" t="str">
        <f t="shared" si="6"/>
        <v/>
      </c>
      <c r="AP42" s="2" t="str">
        <f t="shared" si="6"/>
        <v/>
      </c>
      <c r="AQ42" s="2" t="str">
        <f t="shared" si="6"/>
        <v/>
      </c>
      <c r="AR42" s="2">
        <f t="shared" si="6"/>
        <v>0.10272441541966826</v>
      </c>
      <c r="AT42" s="143">
        <f t="shared" si="9"/>
        <v>9.3826116760575839E-4</v>
      </c>
      <c r="AU42" s="143">
        <f t="shared" si="9"/>
        <v>-3.6886323322526393E-3</v>
      </c>
      <c r="AV42" s="143">
        <f t="shared" si="8"/>
        <v>6.382553099182911E-3</v>
      </c>
      <c r="AW42" s="143" t="str">
        <f t="shared" si="8"/>
        <v/>
      </c>
      <c r="AX42" s="143" t="str">
        <f t="shared" si="8"/>
        <v/>
      </c>
      <c r="AY42" s="143" t="str">
        <f t="shared" si="8"/>
        <v/>
      </c>
      <c r="AZ42" s="143" t="str">
        <f t="shared" si="8"/>
        <v/>
      </c>
      <c r="BA42" s="143" t="str">
        <f t="shared" si="8"/>
        <v/>
      </c>
      <c r="BB42" s="143" t="str">
        <f t="shared" si="8"/>
        <v/>
      </c>
      <c r="BC42" s="143" t="str">
        <f t="shared" si="8"/>
        <v/>
      </c>
      <c r="BD42" s="143" t="str">
        <f t="shared" si="8"/>
        <v/>
      </c>
      <c r="BF42" s="9">
        <f t="shared" si="10"/>
        <v>2.0839192537265385E-3</v>
      </c>
      <c r="BG42" s="9">
        <f t="shared" si="5"/>
        <v>0.85754681332482952</v>
      </c>
    </row>
    <row r="43" spans="2:59" x14ac:dyDescent="0.35">
      <c r="B43" s="3" t="s">
        <v>128</v>
      </c>
      <c r="D43" s="141">
        <v>1281976</v>
      </c>
      <c r="E43" s="141">
        <v>1480520</v>
      </c>
      <c r="F43" s="141">
        <v>1319055</v>
      </c>
      <c r="G43" s="141">
        <v>172959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4254510</v>
      </c>
      <c r="R43" s="141">
        <v>184234</v>
      </c>
      <c r="S43" s="141">
        <v>194460</v>
      </c>
      <c r="T43" s="141">
        <v>168022</v>
      </c>
      <c r="U43" s="141">
        <v>16566</v>
      </c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563282</v>
      </c>
      <c r="AF43" s="2">
        <f t="shared" si="7"/>
        <v>0.14371095870749531</v>
      </c>
      <c r="AG43" s="2">
        <f t="shared" si="7"/>
        <v>0.13134574338745847</v>
      </c>
      <c r="AH43" s="2">
        <f t="shared" si="7"/>
        <v>0.12738058685953202</v>
      </c>
      <c r="AI43" s="2">
        <f t="shared" si="7"/>
        <v>9.5779924722043955E-2</v>
      </c>
      <c r="AJ43" s="2" t="str">
        <f t="shared" si="7"/>
        <v/>
      </c>
      <c r="AK43" s="2" t="str">
        <f t="shared" si="7"/>
        <v/>
      </c>
      <c r="AL43" s="2" t="str">
        <f t="shared" si="7"/>
        <v/>
      </c>
      <c r="AM43" s="2" t="str">
        <f t="shared" si="7"/>
        <v/>
      </c>
      <c r="AN43" s="2" t="str">
        <f t="shared" si="6"/>
        <v/>
      </c>
      <c r="AO43" s="2" t="str">
        <f t="shared" si="6"/>
        <v/>
      </c>
      <c r="AP43" s="2" t="str">
        <f t="shared" si="6"/>
        <v/>
      </c>
      <c r="AQ43" s="2" t="str">
        <f t="shared" si="6"/>
        <v/>
      </c>
      <c r="AR43" s="2">
        <f t="shared" si="6"/>
        <v>0.13239644518405175</v>
      </c>
      <c r="AT43" s="143">
        <f t="shared" si="9"/>
        <v>-1.2365215320036843E-2</v>
      </c>
      <c r="AU43" s="143">
        <f t="shared" si="9"/>
        <v>-3.96515652792645E-3</v>
      </c>
      <c r="AV43" s="143">
        <f t="shared" si="8"/>
        <v>-3.1600662137488064E-2</v>
      </c>
      <c r="AW43" s="143" t="str">
        <f t="shared" si="8"/>
        <v/>
      </c>
      <c r="AX43" s="143" t="str">
        <f t="shared" si="8"/>
        <v/>
      </c>
      <c r="AY43" s="143" t="str">
        <f t="shared" si="8"/>
        <v/>
      </c>
      <c r="AZ43" s="143" t="str">
        <f t="shared" si="8"/>
        <v/>
      </c>
      <c r="BA43" s="143" t="str">
        <f t="shared" si="8"/>
        <v/>
      </c>
      <c r="BB43" s="143" t="str">
        <f t="shared" si="8"/>
        <v/>
      </c>
      <c r="BC43" s="143" t="str">
        <f t="shared" si="8"/>
        <v/>
      </c>
      <c r="BD43" s="143" t="str">
        <f t="shared" si="8"/>
        <v/>
      </c>
      <c r="BF43" s="9">
        <f t="shared" si="10"/>
        <v>4.0491059838564526E-4</v>
      </c>
      <c r="BG43" s="9">
        <f t="shared" si="5"/>
        <v>0.85795172392321517</v>
      </c>
    </row>
    <row r="44" spans="2:59" x14ac:dyDescent="0.35">
      <c r="B44" s="3" t="s">
        <v>133</v>
      </c>
      <c r="D44" s="141">
        <v>11160201</v>
      </c>
      <c r="E44" s="141">
        <v>11380026</v>
      </c>
      <c r="F44" s="141">
        <v>12233645</v>
      </c>
      <c r="G44" s="141">
        <v>1833125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36606997</v>
      </c>
      <c r="R44" s="141">
        <v>995678</v>
      </c>
      <c r="S44" s="141">
        <v>961819</v>
      </c>
      <c r="T44" s="141">
        <v>1030825</v>
      </c>
      <c r="U44" s="141">
        <v>181276</v>
      </c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3169598</v>
      </c>
      <c r="AF44" s="2">
        <f t="shared" si="7"/>
        <v>8.9216851918706486E-2</v>
      </c>
      <c r="AG44" s="2">
        <f t="shared" si="7"/>
        <v>8.4518172454087534E-2</v>
      </c>
      <c r="AH44" s="2">
        <f t="shared" si="7"/>
        <v>8.4261477262091558E-2</v>
      </c>
      <c r="AI44" s="2">
        <f t="shared" si="7"/>
        <v>9.8889055574497106E-2</v>
      </c>
      <c r="AJ44" s="2" t="str">
        <f t="shared" si="7"/>
        <v/>
      </c>
      <c r="AK44" s="2" t="str">
        <f t="shared" si="7"/>
        <v/>
      </c>
      <c r="AL44" s="2" t="str">
        <f t="shared" si="7"/>
        <v/>
      </c>
      <c r="AM44" s="2" t="str">
        <f t="shared" si="7"/>
        <v/>
      </c>
      <c r="AN44" s="2" t="str">
        <f t="shared" si="6"/>
        <v/>
      </c>
      <c r="AO44" s="2" t="str">
        <f t="shared" si="6"/>
        <v/>
      </c>
      <c r="AP44" s="2" t="str">
        <f t="shared" si="6"/>
        <v/>
      </c>
      <c r="AQ44" s="2" t="str">
        <f t="shared" si="6"/>
        <v/>
      </c>
      <c r="AR44" s="2">
        <f t="shared" si="6"/>
        <v>8.658448547418407E-2</v>
      </c>
      <c r="AT44" s="143">
        <f t="shared" si="9"/>
        <v>-4.6986794646189517E-3</v>
      </c>
      <c r="AU44" s="143">
        <f t="shared" si="9"/>
        <v>-2.566951919959759E-4</v>
      </c>
      <c r="AV44" s="143">
        <f t="shared" si="8"/>
        <v>1.4627578312405548E-2</v>
      </c>
      <c r="AW44" s="143" t="str">
        <f t="shared" si="8"/>
        <v/>
      </c>
      <c r="AX44" s="143" t="str">
        <f t="shared" si="8"/>
        <v/>
      </c>
      <c r="AY44" s="143" t="str">
        <f t="shared" si="8"/>
        <v/>
      </c>
      <c r="AZ44" s="143" t="str">
        <f t="shared" si="8"/>
        <v/>
      </c>
      <c r="BA44" s="143" t="str">
        <f t="shared" si="8"/>
        <v/>
      </c>
      <c r="BB44" s="143" t="str">
        <f t="shared" si="8"/>
        <v/>
      </c>
      <c r="BC44" s="143" t="str">
        <f t="shared" si="8"/>
        <v/>
      </c>
      <c r="BD44" s="143" t="str">
        <f t="shared" si="8"/>
        <v/>
      </c>
      <c r="BF44" s="9">
        <f t="shared" si="10"/>
        <v>2.2784392592377256E-3</v>
      </c>
      <c r="BG44" s="9">
        <f t="shared" si="5"/>
        <v>0.86023016318245293</v>
      </c>
    </row>
    <row r="45" spans="2:59" x14ac:dyDescent="0.35">
      <c r="B45" s="3" t="s">
        <v>127</v>
      </c>
      <c r="D45" s="141">
        <v>2980259</v>
      </c>
      <c r="E45" s="141">
        <v>3028404</v>
      </c>
      <c r="F45" s="141">
        <v>3240633</v>
      </c>
      <c r="G45" s="141">
        <v>484364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9733660</v>
      </c>
      <c r="R45" s="141">
        <v>372815</v>
      </c>
      <c r="S45" s="141">
        <v>382637</v>
      </c>
      <c r="T45" s="141">
        <v>382099</v>
      </c>
      <c r="U45" s="141">
        <v>60044</v>
      </c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1197595</v>
      </c>
      <c r="AF45" s="2">
        <f t="shared" si="7"/>
        <v>0.12509483236188532</v>
      </c>
      <c r="AG45" s="2">
        <f t="shared" si="7"/>
        <v>0.12634939063612385</v>
      </c>
      <c r="AH45" s="2">
        <f t="shared" si="7"/>
        <v>0.11790875424646975</v>
      </c>
      <c r="AI45" s="2">
        <f t="shared" si="7"/>
        <v>0.12396462164818195</v>
      </c>
      <c r="AJ45" s="2" t="str">
        <f t="shared" si="7"/>
        <v/>
      </c>
      <c r="AK45" s="2" t="str">
        <f t="shared" si="7"/>
        <v/>
      </c>
      <c r="AL45" s="2" t="str">
        <f t="shared" si="7"/>
        <v/>
      </c>
      <c r="AM45" s="2" t="str">
        <f t="shared" si="7"/>
        <v/>
      </c>
      <c r="AN45" s="2" t="str">
        <f t="shared" si="6"/>
        <v/>
      </c>
      <c r="AO45" s="2" t="str">
        <f t="shared" si="6"/>
        <v/>
      </c>
      <c r="AP45" s="2" t="str">
        <f t="shared" si="6"/>
        <v/>
      </c>
      <c r="AQ45" s="2" t="str">
        <f t="shared" si="6"/>
        <v/>
      </c>
      <c r="AR45" s="2">
        <f t="shared" si="6"/>
        <v>0.12303645288617025</v>
      </c>
      <c r="AT45" s="143">
        <f t="shared" ref="AT45:AT108" si="11">+IFERROR(AG45-AF45,"")</f>
        <v>1.2545582742385375E-3</v>
      </c>
      <c r="AU45" s="143">
        <f t="shared" ref="AU45:AU108" si="12">+IFERROR(AH45-AG45,"")</f>
        <v>-8.440636389654102E-3</v>
      </c>
      <c r="AV45" s="143">
        <f t="shared" si="8"/>
        <v>6.0558674017121977E-3</v>
      </c>
      <c r="AW45" s="143" t="str">
        <f t="shared" si="8"/>
        <v/>
      </c>
      <c r="AX45" s="143" t="str">
        <f t="shared" si="8"/>
        <v/>
      </c>
      <c r="AY45" s="143" t="str">
        <f t="shared" si="8"/>
        <v/>
      </c>
      <c r="AZ45" s="143" t="str">
        <f t="shared" si="8"/>
        <v/>
      </c>
      <c r="BA45" s="143" t="str">
        <f t="shared" si="8"/>
        <v/>
      </c>
      <c r="BB45" s="143" t="str">
        <f t="shared" si="8"/>
        <v/>
      </c>
      <c r="BC45" s="143" t="str">
        <f t="shared" si="8"/>
        <v/>
      </c>
      <c r="BD45" s="143" t="str">
        <f t="shared" si="8"/>
        <v/>
      </c>
      <c r="BF45" s="9">
        <f t="shared" si="10"/>
        <v>8.6088124256350604E-4</v>
      </c>
      <c r="BG45" s="9">
        <f t="shared" si="5"/>
        <v>0.86109104442501649</v>
      </c>
    </row>
    <row r="46" spans="2:59" x14ac:dyDescent="0.35">
      <c r="B46" s="3" t="s">
        <v>132</v>
      </c>
      <c r="D46" s="141">
        <v>2863563</v>
      </c>
      <c r="E46" s="141">
        <v>4501186</v>
      </c>
      <c r="F46" s="141">
        <v>12761238</v>
      </c>
      <c r="G46" s="141">
        <v>2136256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22262243</v>
      </c>
      <c r="R46" s="141">
        <v>218068</v>
      </c>
      <c r="S46" s="141">
        <v>354704</v>
      </c>
      <c r="T46" s="141">
        <v>1350322</v>
      </c>
      <c r="U46" s="141">
        <v>255589</v>
      </c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2178683</v>
      </c>
      <c r="AF46" s="2">
        <f t="shared" si="7"/>
        <v>7.6152681117894042E-2</v>
      </c>
      <c r="AG46" s="2">
        <f t="shared" si="7"/>
        <v>7.8802342316002943E-2</v>
      </c>
      <c r="AH46" s="2">
        <f t="shared" si="7"/>
        <v>0.1058143418373672</v>
      </c>
      <c r="AI46" s="2">
        <f t="shared" si="7"/>
        <v>0.11964343224782048</v>
      </c>
      <c r="AJ46" s="2" t="str">
        <f t="shared" si="7"/>
        <v/>
      </c>
      <c r="AK46" s="2" t="str">
        <f t="shared" si="7"/>
        <v/>
      </c>
      <c r="AL46" s="2" t="str">
        <f t="shared" si="7"/>
        <v/>
      </c>
      <c r="AM46" s="2" t="str">
        <f t="shared" si="7"/>
        <v/>
      </c>
      <c r="AN46" s="2" t="str">
        <f t="shared" si="6"/>
        <v/>
      </c>
      <c r="AO46" s="2" t="str">
        <f t="shared" si="6"/>
        <v/>
      </c>
      <c r="AP46" s="2" t="str">
        <f t="shared" si="6"/>
        <v/>
      </c>
      <c r="AQ46" s="2" t="str">
        <f t="shared" si="6"/>
        <v/>
      </c>
      <c r="AR46" s="2">
        <f t="shared" si="6"/>
        <v>9.786448741934943E-2</v>
      </c>
      <c r="AT46" s="143">
        <f t="shared" si="11"/>
        <v>2.6496611981089019E-3</v>
      </c>
      <c r="AU46" s="143">
        <f t="shared" si="12"/>
        <v>2.7011999521364252E-2</v>
      </c>
      <c r="AV46" s="143">
        <f t="shared" si="8"/>
        <v>1.3829090410453285E-2</v>
      </c>
      <c r="AW46" s="143" t="str">
        <f t="shared" si="8"/>
        <v/>
      </c>
      <c r="AX46" s="143" t="str">
        <f t="shared" si="8"/>
        <v/>
      </c>
      <c r="AY46" s="143" t="str">
        <f t="shared" si="8"/>
        <v/>
      </c>
      <c r="AZ46" s="143" t="str">
        <f t="shared" si="8"/>
        <v/>
      </c>
      <c r="BA46" s="143" t="str">
        <f t="shared" si="8"/>
        <v/>
      </c>
      <c r="BB46" s="143" t="str">
        <f t="shared" si="8"/>
        <v/>
      </c>
      <c r="BC46" s="143" t="str">
        <f t="shared" si="8"/>
        <v/>
      </c>
      <c r="BD46" s="143" t="str">
        <f t="shared" si="8"/>
        <v/>
      </c>
      <c r="BF46" s="9">
        <f t="shared" si="10"/>
        <v>1.5661282221385252E-3</v>
      </c>
      <c r="BG46" s="9">
        <f t="shared" si="5"/>
        <v>0.86265717264715502</v>
      </c>
    </row>
    <row r="47" spans="2:59" x14ac:dyDescent="0.35">
      <c r="B47" s="3" t="s">
        <v>131</v>
      </c>
      <c r="D47" s="141">
        <v>3453511</v>
      </c>
      <c r="E47" s="141">
        <v>3182667</v>
      </c>
      <c r="F47" s="141">
        <v>3347535</v>
      </c>
      <c r="G47" s="141">
        <v>350977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10334690</v>
      </c>
      <c r="R47" s="141">
        <v>399103</v>
      </c>
      <c r="S47" s="141">
        <v>377928</v>
      </c>
      <c r="T47" s="141">
        <v>363635</v>
      </c>
      <c r="U47" s="141">
        <v>32608</v>
      </c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1173274</v>
      </c>
      <c r="AF47" s="2">
        <f t="shared" si="7"/>
        <v>0.11556442125130049</v>
      </c>
      <c r="AG47" s="2">
        <f t="shared" si="7"/>
        <v>0.11874569347028766</v>
      </c>
      <c r="AH47" s="2">
        <f t="shared" si="7"/>
        <v>0.10862769171942938</v>
      </c>
      <c r="AI47" s="2">
        <f t="shared" si="7"/>
        <v>9.2906372782262089E-2</v>
      </c>
      <c r="AJ47" s="2" t="str">
        <f t="shared" si="7"/>
        <v/>
      </c>
      <c r="AK47" s="2" t="str">
        <f t="shared" si="7"/>
        <v/>
      </c>
      <c r="AL47" s="2" t="str">
        <f t="shared" si="7"/>
        <v/>
      </c>
      <c r="AM47" s="2" t="str">
        <f t="shared" si="7"/>
        <v/>
      </c>
      <c r="AN47" s="2" t="str">
        <f t="shared" si="6"/>
        <v/>
      </c>
      <c r="AO47" s="2" t="str">
        <f t="shared" si="6"/>
        <v/>
      </c>
      <c r="AP47" s="2" t="str">
        <f t="shared" si="6"/>
        <v/>
      </c>
      <c r="AQ47" s="2" t="str">
        <f t="shared" si="6"/>
        <v/>
      </c>
      <c r="AR47" s="2">
        <f t="shared" si="6"/>
        <v>0.11352774006767499</v>
      </c>
      <c r="AT47" s="143">
        <f t="shared" si="11"/>
        <v>3.1812722189871606E-3</v>
      </c>
      <c r="AU47" s="143">
        <f t="shared" si="12"/>
        <v>-1.011800175085828E-2</v>
      </c>
      <c r="AV47" s="143">
        <f t="shared" si="8"/>
        <v>-1.5721318937167286E-2</v>
      </c>
      <c r="AW47" s="143" t="str">
        <f t="shared" si="8"/>
        <v/>
      </c>
      <c r="AX47" s="143" t="str">
        <f t="shared" si="8"/>
        <v/>
      </c>
      <c r="AY47" s="143" t="str">
        <f t="shared" si="8"/>
        <v/>
      </c>
      <c r="AZ47" s="143" t="str">
        <f t="shared" si="8"/>
        <v/>
      </c>
      <c r="BA47" s="143" t="str">
        <f t="shared" si="8"/>
        <v/>
      </c>
      <c r="BB47" s="143" t="str">
        <f t="shared" si="8"/>
        <v/>
      </c>
      <c r="BC47" s="143" t="str">
        <f t="shared" si="8"/>
        <v/>
      </c>
      <c r="BD47" s="143" t="str">
        <f t="shared" si="8"/>
        <v/>
      </c>
      <c r="BF47" s="9">
        <f t="shared" si="10"/>
        <v>8.4339829323557219E-4</v>
      </c>
      <c r="BG47" s="9">
        <f t="shared" si="5"/>
        <v>0.86350057094039057</v>
      </c>
    </row>
    <row r="48" spans="2:59" x14ac:dyDescent="0.35">
      <c r="B48" s="3" t="s">
        <v>142</v>
      </c>
      <c r="D48" s="141">
        <v>15133532</v>
      </c>
      <c r="E48" s="141">
        <v>14211360</v>
      </c>
      <c r="F48" s="141">
        <v>13316186</v>
      </c>
      <c r="G48" s="141">
        <v>2389683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45050761</v>
      </c>
      <c r="R48" s="141">
        <v>1426250</v>
      </c>
      <c r="S48" s="141">
        <v>1516965</v>
      </c>
      <c r="T48" s="141">
        <v>1318657</v>
      </c>
      <c r="U48" s="141">
        <v>220467</v>
      </c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4482339</v>
      </c>
      <c r="AF48" s="2">
        <f t="shared" si="7"/>
        <v>9.4244357496980874E-2</v>
      </c>
      <c r="AG48" s="2">
        <f t="shared" si="7"/>
        <v>0.10674312662546019</v>
      </c>
      <c r="AH48" s="2">
        <f t="shared" si="7"/>
        <v>9.9026628195190425E-2</v>
      </c>
      <c r="AI48" s="2">
        <f t="shared" si="7"/>
        <v>9.2257843404334378E-2</v>
      </c>
      <c r="AJ48" s="2" t="str">
        <f t="shared" si="7"/>
        <v/>
      </c>
      <c r="AK48" s="2" t="str">
        <f t="shared" si="7"/>
        <v/>
      </c>
      <c r="AL48" s="2" t="str">
        <f t="shared" si="7"/>
        <v/>
      </c>
      <c r="AM48" s="2" t="str">
        <f t="shared" si="7"/>
        <v/>
      </c>
      <c r="AN48" s="2" t="str">
        <f t="shared" si="6"/>
        <v/>
      </c>
      <c r="AO48" s="2" t="str">
        <f t="shared" si="6"/>
        <v/>
      </c>
      <c r="AP48" s="2" t="str">
        <f t="shared" si="6"/>
        <v/>
      </c>
      <c r="AQ48" s="2" t="str">
        <f t="shared" si="6"/>
        <v/>
      </c>
      <c r="AR48" s="2">
        <f t="shared" si="6"/>
        <v>9.9495300423449007E-2</v>
      </c>
      <c r="AT48" s="143">
        <f t="shared" si="11"/>
        <v>1.2498769128479317E-2</v>
      </c>
      <c r="AU48" s="143">
        <f t="shared" si="12"/>
        <v>-7.7164984302697665E-3</v>
      </c>
      <c r="AV48" s="143">
        <f t="shared" si="8"/>
        <v>-6.7687847908560472E-3</v>
      </c>
      <c r="AW48" s="143" t="str">
        <f t="shared" si="8"/>
        <v/>
      </c>
      <c r="AX48" s="143" t="str">
        <f t="shared" si="8"/>
        <v/>
      </c>
      <c r="AY48" s="143" t="str">
        <f t="shared" si="8"/>
        <v/>
      </c>
      <c r="AZ48" s="143" t="str">
        <f t="shared" si="8"/>
        <v/>
      </c>
      <c r="BA48" s="143" t="str">
        <f t="shared" si="8"/>
        <v/>
      </c>
      <c r="BB48" s="143" t="str">
        <f t="shared" si="8"/>
        <v/>
      </c>
      <c r="BC48" s="143" t="str">
        <f t="shared" si="8"/>
        <v/>
      </c>
      <c r="BD48" s="143" t="str">
        <f t="shared" si="8"/>
        <v/>
      </c>
      <c r="BF48" s="9">
        <f t="shared" si="10"/>
        <v>3.222092249809713E-3</v>
      </c>
      <c r="BG48" s="9">
        <f t="shared" si="5"/>
        <v>0.8667226631902003</v>
      </c>
    </row>
    <row r="49" spans="2:59" x14ac:dyDescent="0.35">
      <c r="B49" s="3" t="s">
        <v>114</v>
      </c>
      <c r="D49" s="141">
        <v>2175485</v>
      </c>
      <c r="E49" s="141">
        <v>2066154</v>
      </c>
      <c r="F49" s="141">
        <v>2402709</v>
      </c>
      <c r="G49" s="141">
        <v>156695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6801043</v>
      </c>
      <c r="R49" s="141">
        <v>240751</v>
      </c>
      <c r="S49" s="141">
        <v>234621</v>
      </c>
      <c r="T49" s="141">
        <v>257408</v>
      </c>
      <c r="U49" s="141">
        <v>19396</v>
      </c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752176</v>
      </c>
      <c r="AF49" s="2">
        <f t="shared" si="7"/>
        <v>0.11066543782191098</v>
      </c>
      <c r="AG49" s="2">
        <f t="shared" si="7"/>
        <v>0.11355445915454511</v>
      </c>
      <c r="AH49" s="2">
        <f t="shared" si="7"/>
        <v>0.10713240762822297</v>
      </c>
      <c r="AI49" s="2">
        <f t="shared" si="7"/>
        <v>0.1237818692364147</v>
      </c>
      <c r="AJ49" s="2" t="str">
        <f t="shared" si="7"/>
        <v/>
      </c>
      <c r="AK49" s="2" t="str">
        <f t="shared" si="7"/>
        <v/>
      </c>
      <c r="AL49" s="2" t="str">
        <f t="shared" si="7"/>
        <v/>
      </c>
      <c r="AM49" s="2" t="str">
        <f t="shared" si="7"/>
        <v/>
      </c>
      <c r="AN49" s="2" t="str">
        <f t="shared" si="6"/>
        <v/>
      </c>
      <c r="AO49" s="2" t="str">
        <f t="shared" si="6"/>
        <v/>
      </c>
      <c r="AP49" s="2" t="str">
        <f t="shared" si="6"/>
        <v/>
      </c>
      <c r="AQ49" s="2" t="str">
        <f t="shared" si="6"/>
        <v/>
      </c>
      <c r="AR49" s="2">
        <f t="shared" si="6"/>
        <v>0.11059715399535042</v>
      </c>
      <c r="AT49" s="143">
        <f t="shared" si="11"/>
        <v>2.8890213326341341E-3</v>
      </c>
      <c r="AU49" s="143">
        <f t="shared" si="12"/>
        <v>-6.4220515263221367E-3</v>
      </c>
      <c r="AV49" s="143">
        <f t="shared" si="8"/>
        <v>1.6649461608191723E-2</v>
      </c>
      <c r="AW49" s="143" t="str">
        <f t="shared" si="8"/>
        <v/>
      </c>
      <c r="AX49" s="143" t="str">
        <f t="shared" si="8"/>
        <v/>
      </c>
      <c r="AY49" s="143" t="str">
        <f t="shared" si="8"/>
        <v/>
      </c>
      <c r="AZ49" s="143" t="str">
        <f t="shared" si="8"/>
        <v/>
      </c>
      <c r="BA49" s="143" t="str">
        <f t="shared" si="8"/>
        <v/>
      </c>
      <c r="BB49" s="143" t="str">
        <f t="shared" si="8"/>
        <v/>
      </c>
      <c r="BC49" s="143" t="str">
        <f t="shared" si="8"/>
        <v/>
      </c>
      <c r="BD49" s="143" t="str">
        <f t="shared" si="8"/>
        <v/>
      </c>
      <c r="BF49" s="9">
        <f t="shared" si="10"/>
        <v>5.4069548512347481E-4</v>
      </c>
      <c r="BG49" s="9">
        <f t="shared" si="5"/>
        <v>0.86726335867532378</v>
      </c>
    </row>
    <row r="50" spans="2:59" x14ac:dyDescent="0.35">
      <c r="B50" s="3" t="s">
        <v>138</v>
      </c>
      <c r="D50" s="141">
        <v>44594304</v>
      </c>
      <c r="E50" s="141">
        <v>64433440</v>
      </c>
      <c r="F50" s="141">
        <v>53279406</v>
      </c>
      <c r="G50" s="141">
        <v>3236958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165544108</v>
      </c>
      <c r="R50" s="141">
        <v>4589705</v>
      </c>
      <c r="S50" s="141">
        <v>7451069</v>
      </c>
      <c r="T50" s="141">
        <v>6290142</v>
      </c>
      <c r="U50" s="141">
        <v>257572</v>
      </c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18588488</v>
      </c>
      <c r="AF50" s="2">
        <f t="shared" si="7"/>
        <v>0.10292132824855837</v>
      </c>
      <c r="AG50" s="2">
        <f t="shared" si="7"/>
        <v>0.11563978269668669</v>
      </c>
      <c r="AH50" s="2">
        <f t="shared" si="7"/>
        <v>0.11805953692501751</v>
      </c>
      <c r="AI50" s="2">
        <f t="shared" si="7"/>
        <v>7.9572240356532278E-2</v>
      </c>
      <c r="AJ50" s="2" t="str">
        <f t="shared" si="7"/>
        <v/>
      </c>
      <c r="AK50" s="2" t="str">
        <f t="shared" si="7"/>
        <v/>
      </c>
      <c r="AL50" s="2" t="str">
        <f t="shared" si="7"/>
        <v/>
      </c>
      <c r="AM50" s="2" t="str">
        <f t="shared" si="7"/>
        <v/>
      </c>
      <c r="AN50" s="2" t="str">
        <f t="shared" si="6"/>
        <v/>
      </c>
      <c r="AO50" s="2" t="str">
        <f t="shared" si="6"/>
        <v/>
      </c>
      <c r="AP50" s="2" t="str">
        <f t="shared" si="6"/>
        <v/>
      </c>
      <c r="AQ50" s="2" t="str">
        <f t="shared" si="6"/>
        <v/>
      </c>
      <c r="AR50" s="2">
        <f t="shared" si="6"/>
        <v>0.11228722196503665</v>
      </c>
      <c r="AT50" s="143">
        <f t="shared" si="11"/>
        <v>1.2718454448128316E-2</v>
      </c>
      <c r="AU50" s="143">
        <f t="shared" si="12"/>
        <v>2.4197542283308227E-3</v>
      </c>
      <c r="AV50" s="143">
        <f t="shared" si="8"/>
        <v>-3.8487296568485235E-2</v>
      </c>
      <c r="AW50" s="143" t="str">
        <f t="shared" si="8"/>
        <v/>
      </c>
      <c r="AX50" s="143" t="str">
        <f t="shared" si="8"/>
        <v/>
      </c>
      <c r="AY50" s="143" t="str">
        <f t="shared" si="8"/>
        <v/>
      </c>
      <c r="AZ50" s="143" t="str">
        <f t="shared" si="8"/>
        <v/>
      </c>
      <c r="BA50" s="143" t="str">
        <f t="shared" si="8"/>
        <v/>
      </c>
      <c r="BB50" s="143" t="str">
        <f t="shared" si="8"/>
        <v/>
      </c>
      <c r="BC50" s="143" t="str">
        <f t="shared" si="8"/>
        <v/>
      </c>
      <c r="BD50" s="143" t="str">
        <f t="shared" si="8"/>
        <v/>
      </c>
      <c r="BF50" s="9">
        <f t="shared" si="10"/>
        <v>1.3362180575918255E-2</v>
      </c>
      <c r="BG50" s="9">
        <f t="shared" si="5"/>
        <v>0.88062553925124198</v>
      </c>
    </row>
    <row r="51" spans="2:59" x14ac:dyDescent="0.35">
      <c r="B51" s="3" t="s">
        <v>160</v>
      </c>
      <c r="D51" s="141">
        <v>18200655</v>
      </c>
      <c r="E51" s="141">
        <v>31966565</v>
      </c>
      <c r="F51" s="141">
        <v>34938377</v>
      </c>
      <c r="G51" s="141">
        <v>3618949</v>
      </c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88724546</v>
      </c>
      <c r="R51" s="141">
        <v>3189914</v>
      </c>
      <c r="S51" s="141">
        <v>5676856</v>
      </c>
      <c r="T51" s="141">
        <v>5968224</v>
      </c>
      <c r="U51" s="141">
        <v>641545</v>
      </c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15476539</v>
      </c>
      <c r="AF51" s="2">
        <f t="shared" si="7"/>
        <v>0.17526369243304704</v>
      </c>
      <c r="AG51" s="2">
        <f t="shared" si="7"/>
        <v>0.1775873009815099</v>
      </c>
      <c r="AH51" s="2">
        <f t="shared" si="7"/>
        <v>0.17082144370930566</v>
      </c>
      <c r="AI51" s="2">
        <f t="shared" si="7"/>
        <v>0.1772738438701402</v>
      </c>
      <c r="AJ51" s="2" t="str">
        <f t="shared" si="7"/>
        <v/>
      </c>
      <c r="AK51" s="2" t="str">
        <f t="shared" si="7"/>
        <v/>
      </c>
      <c r="AL51" s="2" t="str">
        <f t="shared" si="7"/>
        <v/>
      </c>
      <c r="AM51" s="2" t="str">
        <f t="shared" si="7"/>
        <v/>
      </c>
      <c r="AN51" s="2" t="str">
        <f t="shared" si="6"/>
        <v/>
      </c>
      <c r="AO51" s="2" t="str">
        <f t="shared" si="6"/>
        <v/>
      </c>
      <c r="AP51" s="2" t="str">
        <f t="shared" si="6"/>
        <v/>
      </c>
      <c r="AQ51" s="2" t="str">
        <f t="shared" si="6"/>
        <v/>
      </c>
      <c r="AR51" s="2">
        <f t="shared" si="6"/>
        <v>0.17443356655778211</v>
      </c>
      <c r="AT51" s="143">
        <f t="shared" si="11"/>
        <v>2.3236085484628632E-3</v>
      </c>
      <c r="AU51" s="143">
        <f t="shared" si="12"/>
        <v>-6.7658572722042454E-3</v>
      </c>
      <c r="AV51" s="143">
        <f t="shared" si="8"/>
        <v>6.4524001608345372E-3</v>
      </c>
      <c r="AW51" s="143" t="str">
        <f t="shared" si="8"/>
        <v/>
      </c>
      <c r="AX51" s="143" t="str">
        <f t="shared" si="8"/>
        <v/>
      </c>
      <c r="AY51" s="143" t="str">
        <f t="shared" si="8"/>
        <v/>
      </c>
      <c r="AZ51" s="143" t="str">
        <f t="shared" si="8"/>
        <v/>
      </c>
      <c r="BA51" s="143" t="str">
        <f t="shared" si="8"/>
        <v/>
      </c>
      <c r="BB51" s="143" t="str">
        <f t="shared" si="8"/>
        <v/>
      </c>
      <c r="BC51" s="143" t="str">
        <f t="shared" si="8"/>
        <v/>
      </c>
      <c r="BD51" s="143" t="str">
        <f t="shared" si="8"/>
        <v/>
      </c>
      <c r="BF51" s="9">
        <f t="shared" si="10"/>
        <v>1.1125181822655039E-2</v>
      </c>
      <c r="BG51" s="9">
        <f t="shared" si="5"/>
        <v>0.89175072107389708</v>
      </c>
    </row>
    <row r="52" spans="2:59" x14ac:dyDescent="0.35">
      <c r="B52" s="3" t="s">
        <v>141</v>
      </c>
      <c r="D52" s="141">
        <v>7099598</v>
      </c>
      <c r="E52" s="141">
        <v>6648618</v>
      </c>
      <c r="F52" s="141">
        <v>6385122</v>
      </c>
      <c r="G52" s="141">
        <v>1309146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21442484</v>
      </c>
      <c r="R52" s="141">
        <v>715915</v>
      </c>
      <c r="S52" s="141">
        <v>640915</v>
      </c>
      <c r="T52" s="141">
        <v>601916</v>
      </c>
      <c r="U52" s="141">
        <v>120608</v>
      </c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2079354</v>
      </c>
      <c r="AF52" s="2">
        <f t="shared" si="7"/>
        <v>0.10083880805645616</v>
      </c>
      <c r="AG52" s="2">
        <f t="shared" si="7"/>
        <v>9.639822892516911E-2</v>
      </c>
      <c r="AH52" s="2">
        <f t="shared" si="7"/>
        <v>9.4268519849738192E-2</v>
      </c>
      <c r="AI52" s="2">
        <f t="shared" si="7"/>
        <v>9.2127234090009821E-2</v>
      </c>
      <c r="AJ52" s="2" t="str">
        <f t="shared" si="7"/>
        <v/>
      </c>
      <c r="AK52" s="2" t="str">
        <f t="shared" si="7"/>
        <v/>
      </c>
      <c r="AL52" s="2" t="str">
        <f t="shared" si="7"/>
        <v/>
      </c>
      <c r="AM52" s="2" t="str">
        <f t="shared" si="7"/>
        <v/>
      </c>
      <c r="AN52" s="2" t="str">
        <f t="shared" si="6"/>
        <v/>
      </c>
      <c r="AO52" s="2" t="str">
        <f t="shared" si="6"/>
        <v/>
      </c>
      <c r="AP52" s="2" t="str">
        <f t="shared" si="6"/>
        <v/>
      </c>
      <c r="AQ52" s="2" t="str">
        <f t="shared" si="6"/>
        <v/>
      </c>
      <c r="AR52" s="2">
        <f t="shared" si="6"/>
        <v>9.6973559593188929E-2</v>
      </c>
      <c r="AT52" s="143">
        <f t="shared" si="11"/>
        <v>-4.4405791312870507E-3</v>
      </c>
      <c r="AU52" s="143">
        <f t="shared" si="12"/>
        <v>-2.1297090754309189E-3</v>
      </c>
      <c r="AV52" s="143">
        <f t="shared" si="8"/>
        <v>-2.1412857597283702E-3</v>
      </c>
      <c r="AW52" s="143" t="str">
        <f t="shared" si="8"/>
        <v/>
      </c>
      <c r="AX52" s="143" t="str">
        <f t="shared" si="8"/>
        <v/>
      </c>
      <c r="AY52" s="143" t="str">
        <f t="shared" si="8"/>
        <v/>
      </c>
      <c r="AZ52" s="143" t="str">
        <f t="shared" si="8"/>
        <v/>
      </c>
      <c r="BA52" s="143" t="str">
        <f t="shared" si="8"/>
        <v/>
      </c>
      <c r="BB52" s="143" t="str">
        <f t="shared" si="8"/>
        <v/>
      </c>
      <c r="BC52" s="143" t="str">
        <f t="shared" si="8"/>
        <v/>
      </c>
      <c r="BD52" s="143" t="str">
        <f t="shared" si="8"/>
        <v/>
      </c>
      <c r="BF52" s="9">
        <f t="shared" si="10"/>
        <v>1.4947263935215132E-3</v>
      </c>
      <c r="BG52" s="9">
        <f t="shared" si="5"/>
        <v>0.89324544746741863</v>
      </c>
    </row>
    <row r="53" spans="2:59" x14ac:dyDescent="0.35">
      <c r="B53" s="3" t="s">
        <v>115</v>
      </c>
      <c r="D53" s="141">
        <v>1429200</v>
      </c>
      <c r="E53" s="141">
        <v>1267793</v>
      </c>
      <c r="F53" s="141">
        <v>1245815</v>
      </c>
      <c r="G53" s="141">
        <v>193060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4135868</v>
      </c>
      <c r="R53" s="141">
        <v>145532</v>
      </c>
      <c r="S53" s="141">
        <v>146621</v>
      </c>
      <c r="T53" s="141">
        <v>148237</v>
      </c>
      <c r="U53" s="141">
        <v>20081</v>
      </c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460471</v>
      </c>
      <c r="AF53" s="2">
        <f t="shared" si="7"/>
        <v>0.10182759585782256</v>
      </c>
      <c r="AG53" s="2">
        <f t="shared" si="7"/>
        <v>0.11565058333655415</v>
      </c>
      <c r="AH53" s="2">
        <f t="shared" si="7"/>
        <v>0.11898797172934987</v>
      </c>
      <c r="AI53" s="2">
        <f t="shared" si="7"/>
        <v>0.10401429607375945</v>
      </c>
      <c r="AJ53" s="2" t="str">
        <f t="shared" si="7"/>
        <v/>
      </c>
      <c r="AK53" s="2" t="str">
        <f t="shared" si="7"/>
        <v/>
      </c>
      <c r="AL53" s="2" t="str">
        <f t="shared" si="7"/>
        <v/>
      </c>
      <c r="AM53" s="2" t="str">
        <f t="shared" si="7"/>
        <v/>
      </c>
      <c r="AN53" s="2" t="str">
        <f t="shared" si="6"/>
        <v/>
      </c>
      <c r="AO53" s="2" t="str">
        <f t="shared" si="6"/>
        <v/>
      </c>
      <c r="AP53" s="2" t="str">
        <f t="shared" si="6"/>
        <v/>
      </c>
      <c r="AQ53" s="2" t="str">
        <f t="shared" si="6"/>
        <v/>
      </c>
      <c r="AR53" s="2">
        <f t="shared" si="6"/>
        <v>0.1113360000851091</v>
      </c>
      <c r="AT53" s="143">
        <f t="shared" si="11"/>
        <v>1.3822987478731591E-2</v>
      </c>
      <c r="AU53" s="143">
        <f t="shared" si="12"/>
        <v>3.3373883927957232E-3</v>
      </c>
      <c r="AV53" s="143">
        <f t="shared" si="8"/>
        <v>-1.4973675655590421E-2</v>
      </c>
      <c r="AW53" s="143" t="str">
        <f t="shared" si="8"/>
        <v/>
      </c>
      <c r="AX53" s="143" t="str">
        <f t="shared" si="8"/>
        <v/>
      </c>
      <c r="AY53" s="143" t="str">
        <f t="shared" si="8"/>
        <v/>
      </c>
      <c r="AZ53" s="143" t="str">
        <f t="shared" si="8"/>
        <v/>
      </c>
      <c r="BA53" s="143" t="str">
        <f t="shared" si="8"/>
        <v/>
      </c>
      <c r="BB53" s="143" t="str">
        <f t="shared" si="8"/>
        <v/>
      </c>
      <c r="BC53" s="143" t="str">
        <f t="shared" si="8"/>
        <v/>
      </c>
      <c r="BD53" s="143" t="str">
        <f t="shared" si="8"/>
        <v/>
      </c>
      <c r="BF53" s="9">
        <f t="shared" si="10"/>
        <v>3.3100576292023615E-4</v>
      </c>
      <c r="BG53" s="9">
        <f t="shared" si="5"/>
        <v>0.89357645323033885</v>
      </c>
    </row>
    <row r="54" spans="2:59" x14ac:dyDescent="0.35">
      <c r="B54" s="3" t="s">
        <v>139</v>
      </c>
      <c r="D54" s="141">
        <v>5911946</v>
      </c>
      <c r="E54" s="141">
        <v>5948043</v>
      </c>
      <c r="F54" s="141">
        <v>7698363</v>
      </c>
      <c r="G54" s="141">
        <v>1268023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20826375</v>
      </c>
      <c r="R54" s="141">
        <v>495108</v>
      </c>
      <c r="S54" s="141">
        <v>489005</v>
      </c>
      <c r="T54" s="141">
        <v>620147</v>
      </c>
      <c r="U54" s="141">
        <v>113589</v>
      </c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1717849</v>
      </c>
      <c r="AF54" s="2">
        <f t="shared" si="7"/>
        <v>8.3747043697625118E-2</v>
      </c>
      <c r="AG54" s="2">
        <f t="shared" si="7"/>
        <v>8.2212754682506495E-2</v>
      </c>
      <c r="AH54" s="2">
        <f t="shared" si="7"/>
        <v>8.0555697360594716E-2</v>
      </c>
      <c r="AI54" s="2">
        <f t="shared" si="7"/>
        <v>8.9579605417251892E-2</v>
      </c>
      <c r="AJ54" s="2" t="str">
        <f t="shared" si="7"/>
        <v/>
      </c>
      <c r="AK54" s="2" t="str">
        <f t="shared" si="7"/>
        <v/>
      </c>
      <c r="AL54" s="2" t="str">
        <f t="shared" si="7"/>
        <v/>
      </c>
      <c r="AM54" s="2" t="str">
        <f t="shared" si="7"/>
        <v/>
      </c>
      <c r="AN54" s="2" t="str">
        <f t="shared" si="6"/>
        <v/>
      </c>
      <c r="AO54" s="2" t="str">
        <f t="shared" si="6"/>
        <v/>
      </c>
      <c r="AP54" s="2" t="str">
        <f t="shared" si="6"/>
        <v/>
      </c>
      <c r="AQ54" s="2" t="str">
        <f t="shared" si="6"/>
        <v/>
      </c>
      <c r="AR54" s="2">
        <f t="shared" si="6"/>
        <v>8.2484301756786768E-2</v>
      </c>
      <c r="AT54" s="143">
        <f t="shared" si="11"/>
        <v>-1.5342890151186228E-3</v>
      </c>
      <c r="AU54" s="143">
        <f t="shared" si="12"/>
        <v>-1.6570573219117785E-3</v>
      </c>
      <c r="AV54" s="143">
        <f t="shared" si="8"/>
        <v>9.0239080566571761E-3</v>
      </c>
      <c r="AW54" s="143" t="str">
        <f t="shared" si="8"/>
        <v/>
      </c>
      <c r="AX54" s="143" t="str">
        <f t="shared" si="8"/>
        <v/>
      </c>
      <c r="AY54" s="143" t="str">
        <f t="shared" si="8"/>
        <v/>
      </c>
      <c r="AZ54" s="143" t="str">
        <f t="shared" si="8"/>
        <v/>
      </c>
      <c r="BA54" s="143" t="str">
        <f t="shared" si="8"/>
        <v/>
      </c>
      <c r="BB54" s="143" t="str">
        <f t="shared" si="8"/>
        <v/>
      </c>
      <c r="BC54" s="143" t="str">
        <f t="shared" si="8"/>
        <v/>
      </c>
      <c r="BD54" s="143" t="str">
        <f t="shared" si="8"/>
        <v/>
      </c>
      <c r="BF54" s="9">
        <f t="shared" si="10"/>
        <v>1.2348615196760811E-3</v>
      </c>
      <c r="BG54" s="9">
        <f t="shared" si="5"/>
        <v>0.89481131475001496</v>
      </c>
    </row>
    <row r="55" spans="2:59" x14ac:dyDescent="0.35">
      <c r="B55" s="3" t="s">
        <v>123</v>
      </c>
      <c r="D55" s="141">
        <v>3019706</v>
      </c>
      <c r="E55" s="141">
        <v>2555019</v>
      </c>
      <c r="F55" s="141">
        <v>2424152</v>
      </c>
      <c r="G55" s="141">
        <v>283494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8282371</v>
      </c>
      <c r="R55" s="141">
        <v>324884</v>
      </c>
      <c r="S55" s="141">
        <v>284863</v>
      </c>
      <c r="T55" s="141">
        <v>266384</v>
      </c>
      <c r="U55" s="141">
        <v>32424</v>
      </c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908555</v>
      </c>
      <c r="AF55" s="2">
        <f t="shared" si="7"/>
        <v>0.1075879572382212</v>
      </c>
      <c r="AG55" s="2">
        <f t="shared" si="7"/>
        <v>0.11149153881047461</v>
      </c>
      <c r="AH55" s="2">
        <f t="shared" si="7"/>
        <v>0.10988749880370538</v>
      </c>
      <c r="AI55" s="2">
        <f t="shared" si="7"/>
        <v>0.11437279095853881</v>
      </c>
      <c r="AJ55" s="2" t="str">
        <f t="shared" si="7"/>
        <v/>
      </c>
      <c r="AK55" s="2" t="str">
        <f t="shared" si="7"/>
        <v/>
      </c>
      <c r="AL55" s="2" t="str">
        <f t="shared" si="7"/>
        <v/>
      </c>
      <c r="AM55" s="2" t="str">
        <f t="shared" ref="AM55:AR86" si="13">+IFERROR(Y55/K55,"")</f>
        <v/>
      </c>
      <c r="AN55" s="2" t="str">
        <f t="shared" si="13"/>
        <v/>
      </c>
      <c r="AO55" s="2" t="str">
        <f t="shared" si="13"/>
        <v/>
      </c>
      <c r="AP55" s="2" t="str">
        <f t="shared" si="13"/>
        <v/>
      </c>
      <c r="AQ55" s="2" t="str">
        <f t="shared" si="13"/>
        <v/>
      </c>
      <c r="AR55" s="2">
        <f t="shared" si="13"/>
        <v>0.10969745257728734</v>
      </c>
      <c r="AT55" s="143">
        <f t="shared" si="11"/>
        <v>3.9035815722534006E-3</v>
      </c>
      <c r="AU55" s="143">
        <f t="shared" si="12"/>
        <v>-1.6040400067692251E-3</v>
      </c>
      <c r="AV55" s="143">
        <f t="shared" si="8"/>
        <v>4.4852921548334257E-3</v>
      </c>
      <c r="AW55" s="143" t="str">
        <f t="shared" si="8"/>
        <v/>
      </c>
      <c r="AX55" s="143" t="str">
        <f t="shared" si="8"/>
        <v/>
      </c>
      <c r="AY55" s="143" t="str">
        <f t="shared" ref="AY55:BD86" si="14">+IFERROR(AL55-AK55,"")</f>
        <v/>
      </c>
      <c r="AZ55" s="143" t="str">
        <f t="shared" si="14"/>
        <v/>
      </c>
      <c r="BA55" s="143" t="str">
        <f t="shared" si="14"/>
        <v/>
      </c>
      <c r="BB55" s="143" t="str">
        <f t="shared" si="14"/>
        <v/>
      </c>
      <c r="BC55" s="143" t="str">
        <f t="shared" si="14"/>
        <v/>
      </c>
      <c r="BD55" s="143" t="str">
        <f t="shared" si="14"/>
        <v/>
      </c>
      <c r="BF55" s="9">
        <f t="shared" si="10"/>
        <v>6.5310723352826811E-4</v>
      </c>
      <c r="BG55" s="9">
        <f t="shared" si="5"/>
        <v>0.89546442198354326</v>
      </c>
    </row>
    <row r="56" spans="2:59" x14ac:dyDescent="0.35">
      <c r="B56" s="3" t="s">
        <v>158</v>
      </c>
      <c r="D56" s="141">
        <v>12994735</v>
      </c>
      <c r="E56" s="141">
        <v>12006717</v>
      </c>
      <c r="F56" s="141">
        <v>12790692</v>
      </c>
      <c r="G56" s="141">
        <v>2347280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40139424</v>
      </c>
      <c r="R56" s="141">
        <v>1194717</v>
      </c>
      <c r="S56" s="141">
        <v>1131193</v>
      </c>
      <c r="T56" s="141">
        <v>1164916</v>
      </c>
      <c r="U56" s="141">
        <v>249368</v>
      </c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3740194</v>
      </c>
      <c r="AF56" s="2">
        <f t="shared" ref="AF56:AR87" si="15">+IFERROR(R56/D56,"")</f>
        <v>9.1938542802142559E-2</v>
      </c>
      <c r="AG56" s="2">
        <f t="shared" si="15"/>
        <v>9.4213347412119397E-2</v>
      </c>
      <c r="AH56" s="2">
        <f t="shared" si="15"/>
        <v>9.107529131340196E-2</v>
      </c>
      <c r="AI56" s="2">
        <f t="shared" si="15"/>
        <v>0.10623700623700624</v>
      </c>
      <c r="AJ56" s="2" t="str">
        <f t="shared" si="15"/>
        <v/>
      </c>
      <c r="AK56" s="2" t="str">
        <f t="shared" si="15"/>
        <v/>
      </c>
      <c r="AL56" s="2" t="str">
        <f t="shared" si="15"/>
        <v/>
      </c>
      <c r="AM56" s="2" t="str">
        <f t="shared" si="13"/>
        <v/>
      </c>
      <c r="AN56" s="2" t="str">
        <f t="shared" si="13"/>
        <v/>
      </c>
      <c r="AO56" s="2" t="str">
        <f t="shared" si="13"/>
        <v/>
      </c>
      <c r="AP56" s="2" t="str">
        <f t="shared" si="13"/>
        <v/>
      </c>
      <c r="AQ56" s="2" t="str">
        <f t="shared" si="13"/>
        <v/>
      </c>
      <c r="AR56" s="2">
        <f t="shared" si="13"/>
        <v>9.3180061577365927E-2</v>
      </c>
      <c r="AT56" s="143">
        <f t="shared" si="11"/>
        <v>2.2748046099768382E-3</v>
      </c>
      <c r="AU56" s="143">
        <f t="shared" si="12"/>
        <v>-3.1380560987174372E-3</v>
      </c>
      <c r="AV56" s="143">
        <f t="shared" ref="AV56:BD87" si="16">+IFERROR(AI56-AH56,"")</f>
        <v>1.5161714923604283E-2</v>
      </c>
      <c r="AW56" s="143" t="str">
        <f t="shared" si="16"/>
        <v/>
      </c>
      <c r="AX56" s="143" t="str">
        <f t="shared" si="16"/>
        <v/>
      </c>
      <c r="AY56" s="143" t="str">
        <f t="shared" si="14"/>
        <v/>
      </c>
      <c r="AZ56" s="143" t="str">
        <f t="shared" si="14"/>
        <v/>
      </c>
      <c r="BA56" s="143" t="str">
        <f t="shared" si="14"/>
        <v/>
      </c>
      <c r="BB56" s="143" t="str">
        <f t="shared" si="14"/>
        <v/>
      </c>
      <c r="BC56" s="143" t="str">
        <f t="shared" si="14"/>
        <v/>
      </c>
      <c r="BD56" s="143" t="str">
        <f t="shared" si="14"/>
        <v/>
      </c>
      <c r="BF56" s="9">
        <f t="shared" si="10"/>
        <v>2.6886074659200898E-3</v>
      </c>
      <c r="BG56" s="9">
        <f t="shared" si="5"/>
        <v>0.89815302944946329</v>
      </c>
    </row>
    <row r="57" spans="2:59" x14ac:dyDescent="0.35">
      <c r="B57" s="3" t="s">
        <v>156</v>
      </c>
      <c r="D57" s="141">
        <v>9613454</v>
      </c>
      <c r="E57" s="141">
        <v>7949526</v>
      </c>
      <c r="F57" s="141">
        <v>7495987</v>
      </c>
      <c r="G57" s="141">
        <v>927960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25986927</v>
      </c>
      <c r="R57" s="141">
        <v>1094971</v>
      </c>
      <c r="S57" s="141">
        <v>924914</v>
      </c>
      <c r="T57" s="141">
        <v>818779</v>
      </c>
      <c r="U57" s="141">
        <v>95129</v>
      </c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2933793</v>
      </c>
      <c r="AF57" s="2">
        <f t="shared" si="15"/>
        <v>0.11389985326813859</v>
      </c>
      <c r="AG57" s="2">
        <f t="shared" si="15"/>
        <v>0.1163483206420106</v>
      </c>
      <c r="AH57" s="2">
        <f t="shared" si="15"/>
        <v>0.10922897811855864</v>
      </c>
      <c r="AI57" s="2">
        <f t="shared" si="15"/>
        <v>0.1025141169878012</v>
      </c>
      <c r="AJ57" s="2" t="str">
        <f t="shared" si="15"/>
        <v/>
      </c>
      <c r="AK57" s="2" t="str">
        <f t="shared" si="15"/>
        <v/>
      </c>
      <c r="AL57" s="2" t="str">
        <f t="shared" si="15"/>
        <v/>
      </c>
      <c r="AM57" s="2" t="str">
        <f t="shared" si="13"/>
        <v/>
      </c>
      <c r="AN57" s="2" t="str">
        <f t="shared" si="13"/>
        <v/>
      </c>
      <c r="AO57" s="2" t="str">
        <f t="shared" si="13"/>
        <v/>
      </c>
      <c r="AP57" s="2" t="str">
        <f t="shared" si="13"/>
        <v/>
      </c>
      <c r="AQ57" s="2" t="str">
        <f t="shared" si="13"/>
        <v/>
      </c>
      <c r="AR57" s="2">
        <f t="shared" si="13"/>
        <v>0.11289495676037417</v>
      </c>
      <c r="AT57" s="143">
        <f t="shared" si="11"/>
        <v>2.4484673738720125E-3</v>
      </c>
      <c r="AU57" s="143">
        <f t="shared" si="12"/>
        <v>-7.1193425234519631E-3</v>
      </c>
      <c r="AV57" s="143">
        <f t="shared" si="16"/>
        <v>-6.7148611307574352E-3</v>
      </c>
      <c r="AW57" s="143" t="str">
        <f t="shared" si="16"/>
        <v/>
      </c>
      <c r="AX57" s="143" t="str">
        <f t="shared" si="16"/>
        <v/>
      </c>
      <c r="AY57" s="143" t="str">
        <f t="shared" si="14"/>
        <v/>
      </c>
      <c r="AZ57" s="143" t="str">
        <f t="shared" si="14"/>
        <v/>
      </c>
      <c r="BA57" s="143" t="str">
        <f t="shared" si="14"/>
        <v/>
      </c>
      <c r="BB57" s="143" t="str">
        <f t="shared" si="14"/>
        <v/>
      </c>
      <c r="BC57" s="143" t="str">
        <f t="shared" si="14"/>
        <v/>
      </c>
      <c r="BD57" s="143" t="str">
        <f t="shared" si="14"/>
        <v/>
      </c>
      <c r="BF57" s="9">
        <f t="shared" si="10"/>
        <v>2.108932788851086E-3</v>
      </c>
      <c r="BG57" s="9">
        <f t="shared" si="5"/>
        <v>0.90026196223831434</v>
      </c>
    </row>
    <row r="58" spans="2:59" x14ac:dyDescent="0.35">
      <c r="B58" s="3" t="s">
        <v>137</v>
      </c>
      <c r="D58" s="141">
        <v>4460173</v>
      </c>
      <c r="E58" s="141">
        <v>5104276</v>
      </c>
      <c r="F58" s="141">
        <v>5883450</v>
      </c>
      <c r="G58" s="141">
        <v>717097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16164996</v>
      </c>
      <c r="R58" s="141">
        <v>410507</v>
      </c>
      <c r="S58" s="141">
        <v>484141</v>
      </c>
      <c r="T58" s="141">
        <v>497763</v>
      </c>
      <c r="U58" s="141">
        <v>64997</v>
      </c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1457408</v>
      </c>
      <c r="AF58" s="2">
        <f t="shared" si="15"/>
        <v>9.203835815337208E-2</v>
      </c>
      <c r="AG58" s="2">
        <f t="shared" si="15"/>
        <v>9.4850082558231574E-2</v>
      </c>
      <c r="AH58" s="2">
        <f t="shared" si="15"/>
        <v>8.4603931366800098E-2</v>
      </c>
      <c r="AI58" s="2">
        <f t="shared" si="15"/>
        <v>9.0639062776723373E-2</v>
      </c>
      <c r="AJ58" s="2" t="str">
        <f t="shared" si="15"/>
        <v/>
      </c>
      <c r="AK58" s="2" t="str">
        <f t="shared" si="15"/>
        <v/>
      </c>
      <c r="AL58" s="2" t="str">
        <f t="shared" si="15"/>
        <v/>
      </c>
      <c r="AM58" s="2" t="str">
        <f t="shared" si="13"/>
        <v/>
      </c>
      <c r="AN58" s="2" t="str">
        <f t="shared" si="13"/>
        <v/>
      </c>
      <c r="AO58" s="2" t="str">
        <f t="shared" si="13"/>
        <v/>
      </c>
      <c r="AP58" s="2" t="str">
        <f t="shared" si="13"/>
        <v/>
      </c>
      <c r="AQ58" s="2" t="str">
        <f t="shared" si="13"/>
        <v/>
      </c>
      <c r="AR58" s="2">
        <f t="shared" si="13"/>
        <v>9.015826542734684E-2</v>
      </c>
      <c r="AT58" s="143">
        <f t="shared" si="11"/>
        <v>2.8117244048594947E-3</v>
      </c>
      <c r="AU58" s="143">
        <f t="shared" si="12"/>
        <v>-1.0246151191431477E-2</v>
      </c>
      <c r="AV58" s="143">
        <f t="shared" si="16"/>
        <v>6.035131409923275E-3</v>
      </c>
      <c r="AW58" s="143" t="str">
        <f t="shared" si="16"/>
        <v/>
      </c>
      <c r="AX58" s="143" t="str">
        <f t="shared" si="16"/>
        <v/>
      </c>
      <c r="AY58" s="143" t="str">
        <f t="shared" si="14"/>
        <v/>
      </c>
      <c r="AZ58" s="143" t="str">
        <f t="shared" si="14"/>
        <v/>
      </c>
      <c r="BA58" s="143" t="str">
        <f t="shared" si="14"/>
        <v/>
      </c>
      <c r="BB58" s="143" t="str">
        <f t="shared" si="14"/>
        <v/>
      </c>
      <c r="BC58" s="143" t="str">
        <f t="shared" si="14"/>
        <v/>
      </c>
      <c r="BD58" s="143" t="str">
        <f t="shared" si="14"/>
        <v/>
      </c>
      <c r="BF58" s="9">
        <f t="shared" si="10"/>
        <v>1.0476456648215752E-3</v>
      </c>
      <c r="BG58" s="9">
        <f t="shared" si="5"/>
        <v>0.90130960790313597</v>
      </c>
    </row>
    <row r="59" spans="2:59" x14ac:dyDescent="0.35">
      <c r="B59" s="3" t="s">
        <v>143</v>
      </c>
      <c r="D59" s="141">
        <v>3160605</v>
      </c>
      <c r="E59" s="141">
        <v>2445668</v>
      </c>
      <c r="F59" s="141">
        <v>2344914</v>
      </c>
      <c r="G59" s="141">
        <v>338623</v>
      </c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8289810</v>
      </c>
      <c r="R59" s="141">
        <v>458948</v>
      </c>
      <c r="S59" s="141">
        <v>352212</v>
      </c>
      <c r="T59" s="141">
        <v>335310</v>
      </c>
      <c r="U59" s="141">
        <v>49631</v>
      </c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1196101</v>
      </c>
      <c r="AF59" s="2">
        <f t="shared" si="15"/>
        <v>0.1452089077882241</v>
      </c>
      <c r="AG59" s="2">
        <f t="shared" si="15"/>
        <v>0.14401464139858722</v>
      </c>
      <c r="AH59" s="2">
        <f t="shared" si="15"/>
        <v>0.14299458317021435</v>
      </c>
      <c r="AI59" s="2">
        <f t="shared" si="15"/>
        <v>0.14656712627317106</v>
      </c>
      <c r="AJ59" s="2" t="str">
        <f t="shared" si="15"/>
        <v/>
      </c>
      <c r="AK59" s="2" t="str">
        <f t="shared" si="15"/>
        <v/>
      </c>
      <c r="AL59" s="2" t="str">
        <f t="shared" si="15"/>
        <v/>
      </c>
      <c r="AM59" s="2" t="str">
        <f t="shared" si="13"/>
        <v/>
      </c>
      <c r="AN59" s="2" t="str">
        <f t="shared" si="13"/>
        <v/>
      </c>
      <c r="AO59" s="2" t="str">
        <f t="shared" si="13"/>
        <v/>
      </c>
      <c r="AP59" s="2" t="str">
        <f t="shared" si="13"/>
        <v/>
      </c>
      <c r="AQ59" s="2" t="str">
        <f t="shared" si="13"/>
        <v/>
      </c>
      <c r="AR59" s="2">
        <f t="shared" si="13"/>
        <v>0.14428569532956725</v>
      </c>
      <c r="AT59" s="143">
        <f t="shared" si="11"/>
        <v>-1.1942663896368777E-3</v>
      </c>
      <c r="AU59" s="143">
        <f t="shared" si="12"/>
        <v>-1.0200582283728665E-3</v>
      </c>
      <c r="AV59" s="143">
        <f t="shared" si="16"/>
        <v>3.5725431029567101E-3</v>
      </c>
      <c r="AW59" s="143" t="str">
        <f t="shared" si="16"/>
        <v/>
      </c>
      <c r="AX59" s="143" t="str">
        <f t="shared" si="16"/>
        <v/>
      </c>
      <c r="AY59" s="143" t="str">
        <f t="shared" si="14"/>
        <v/>
      </c>
      <c r="AZ59" s="143" t="str">
        <f t="shared" si="14"/>
        <v/>
      </c>
      <c r="BA59" s="143" t="str">
        <f t="shared" si="14"/>
        <v/>
      </c>
      <c r="BB59" s="143" t="str">
        <f t="shared" si="14"/>
        <v/>
      </c>
      <c r="BC59" s="143" t="str">
        <f t="shared" si="14"/>
        <v/>
      </c>
      <c r="BD59" s="143" t="str">
        <f t="shared" si="14"/>
        <v/>
      </c>
      <c r="BF59" s="9">
        <f t="shared" si="10"/>
        <v>8.5980729304268319E-4</v>
      </c>
      <c r="BG59" s="9">
        <f t="shared" si="5"/>
        <v>0.90216941519617866</v>
      </c>
    </row>
    <row r="60" spans="2:59" x14ac:dyDescent="0.35">
      <c r="B60" s="3" t="s">
        <v>144</v>
      </c>
      <c r="D60" s="141">
        <v>14861391</v>
      </c>
      <c r="E60" s="141">
        <v>38396548</v>
      </c>
      <c r="F60" s="141">
        <v>48785263</v>
      </c>
      <c r="G60" s="141">
        <v>2703682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104746884</v>
      </c>
      <c r="R60" s="141">
        <v>1783923</v>
      </c>
      <c r="S60" s="141">
        <v>5145387</v>
      </c>
      <c r="T60" s="141">
        <v>5065133</v>
      </c>
      <c r="U60" s="141">
        <v>280042</v>
      </c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12274485</v>
      </c>
      <c r="AF60" s="2">
        <f t="shared" si="15"/>
        <v>0.12003741776257687</v>
      </c>
      <c r="AG60" s="2">
        <f t="shared" si="15"/>
        <v>0.13400649975096721</v>
      </c>
      <c r="AH60" s="2">
        <f t="shared" si="15"/>
        <v>0.10382506290885425</v>
      </c>
      <c r="AI60" s="2">
        <f t="shared" si="15"/>
        <v>0.10357800954402181</v>
      </c>
      <c r="AJ60" s="2" t="str">
        <f t="shared" si="15"/>
        <v/>
      </c>
      <c r="AK60" s="2" t="str">
        <f t="shared" si="15"/>
        <v/>
      </c>
      <c r="AL60" s="2" t="str">
        <f t="shared" si="15"/>
        <v/>
      </c>
      <c r="AM60" s="2" t="str">
        <f t="shared" si="13"/>
        <v/>
      </c>
      <c r="AN60" s="2" t="str">
        <f t="shared" si="13"/>
        <v/>
      </c>
      <c r="AO60" s="2" t="str">
        <f t="shared" si="13"/>
        <v/>
      </c>
      <c r="AP60" s="2" t="str">
        <f t="shared" si="13"/>
        <v/>
      </c>
      <c r="AQ60" s="2" t="str">
        <f t="shared" si="13"/>
        <v/>
      </c>
      <c r="AR60" s="2">
        <f t="shared" si="13"/>
        <v>0.1171823402403073</v>
      </c>
      <c r="AT60" s="143">
        <f t="shared" si="11"/>
        <v>1.3969081988390336E-2</v>
      </c>
      <c r="AU60" s="143">
        <f t="shared" si="12"/>
        <v>-3.0181436842112955E-2</v>
      </c>
      <c r="AV60" s="143">
        <f t="shared" si="16"/>
        <v>-2.4705336483243912E-4</v>
      </c>
      <c r="AW60" s="143" t="str">
        <f t="shared" si="16"/>
        <v/>
      </c>
      <c r="AX60" s="143" t="str">
        <f t="shared" si="16"/>
        <v/>
      </c>
      <c r="AY60" s="143" t="str">
        <f t="shared" si="14"/>
        <v/>
      </c>
      <c r="AZ60" s="143" t="str">
        <f t="shared" si="14"/>
        <v/>
      </c>
      <c r="BA60" s="143" t="str">
        <f t="shared" si="14"/>
        <v/>
      </c>
      <c r="BB60" s="143" t="str">
        <f t="shared" si="14"/>
        <v/>
      </c>
      <c r="BC60" s="143" t="str">
        <f t="shared" si="14"/>
        <v/>
      </c>
      <c r="BD60" s="143" t="str">
        <f t="shared" si="14"/>
        <v/>
      </c>
      <c r="BF60" s="9">
        <f t="shared" si="10"/>
        <v>8.8234118367454088E-3</v>
      </c>
      <c r="BG60" s="9">
        <f t="shared" si="5"/>
        <v>0.91099282703292406</v>
      </c>
    </row>
    <row r="61" spans="2:59" x14ac:dyDescent="0.35">
      <c r="B61" s="3" t="s">
        <v>140</v>
      </c>
      <c r="D61" s="141">
        <v>691192</v>
      </c>
      <c r="E61" s="141">
        <v>691709</v>
      </c>
      <c r="F61" s="141">
        <v>785103</v>
      </c>
      <c r="G61" s="141">
        <v>123541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2291545</v>
      </c>
      <c r="R61" s="141">
        <v>77158</v>
      </c>
      <c r="S61" s="141">
        <v>80198</v>
      </c>
      <c r="T61" s="141">
        <v>83269</v>
      </c>
      <c r="U61" s="141">
        <v>15431</v>
      </c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256056</v>
      </c>
      <c r="AF61" s="2">
        <f t="shared" si="15"/>
        <v>0.11163034294378407</v>
      </c>
      <c r="AG61" s="2">
        <f t="shared" si="15"/>
        <v>0.11594181946454361</v>
      </c>
      <c r="AH61" s="2">
        <f t="shared" si="15"/>
        <v>0.10606124291971882</v>
      </c>
      <c r="AI61" s="2">
        <f t="shared" si="15"/>
        <v>0.12490590168446103</v>
      </c>
      <c r="AJ61" s="2" t="str">
        <f t="shared" si="15"/>
        <v/>
      </c>
      <c r="AK61" s="2" t="str">
        <f t="shared" si="15"/>
        <v/>
      </c>
      <c r="AL61" s="2" t="str">
        <f t="shared" si="15"/>
        <v/>
      </c>
      <c r="AM61" s="2" t="str">
        <f t="shared" si="13"/>
        <v/>
      </c>
      <c r="AN61" s="2" t="str">
        <f t="shared" si="13"/>
        <v/>
      </c>
      <c r="AO61" s="2" t="str">
        <f t="shared" si="13"/>
        <v/>
      </c>
      <c r="AP61" s="2" t="str">
        <f t="shared" si="13"/>
        <v/>
      </c>
      <c r="AQ61" s="2" t="str">
        <f t="shared" si="13"/>
        <v/>
      </c>
      <c r="AR61" s="2">
        <f t="shared" si="13"/>
        <v>0.11173945962221994</v>
      </c>
      <c r="AT61" s="143">
        <f t="shared" si="11"/>
        <v>4.3114765207595412E-3</v>
      </c>
      <c r="AU61" s="143">
        <f t="shared" si="12"/>
        <v>-9.8805765448247984E-3</v>
      </c>
      <c r="AV61" s="143">
        <f t="shared" si="16"/>
        <v>1.8844658764742214E-2</v>
      </c>
      <c r="AW61" s="143" t="str">
        <f t="shared" si="16"/>
        <v/>
      </c>
      <c r="AX61" s="143" t="str">
        <f t="shared" si="16"/>
        <v/>
      </c>
      <c r="AY61" s="143" t="str">
        <f t="shared" si="14"/>
        <v/>
      </c>
      <c r="AZ61" s="143" t="str">
        <f t="shared" si="14"/>
        <v/>
      </c>
      <c r="BA61" s="143" t="str">
        <f t="shared" si="14"/>
        <v/>
      </c>
      <c r="BB61" s="143" t="str">
        <f t="shared" si="14"/>
        <v/>
      </c>
      <c r="BC61" s="143" t="str">
        <f t="shared" si="14"/>
        <v/>
      </c>
      <c r="BD61" s="143" t="str">
        <f t="shared" si="14"/>
        <v/>
      </c>
      <c r="BF61" s="9">
        <f t="shared" si="10"/>
        <v>1.8406373393830227E-4</v>
      </c>
      <c r="BG61" s="9">
        <f t="shared" si="5"/>
        <v>0.91117689076686237</v>
      </c>
    </row>
    <row r="62" spans="2:59" x14ac:dyDescent="0.35">
      <c r="B62" s="3" t="s">
        <v>151</v>
      </c>
      <c r="D62" s="141">
        <v>145160</v>
      </c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145160</v>
      </c>
      <c r="R62" s="141">
        <v>21088</v>
      </c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21088</v>
      </c>
      <c r="AF62" s="2">
        <f t="shared" si="15"/>
        <v>0.14527418021493524</v>
      </c>
      <c r="AG62" s="2" t="str">
        <f t="shared" si="15"/>
        <v/>
      </c>
      <c r="AH62" s="2" t="str">
        <f t="shared" si="15"/>
        <v/>
      </c>
      <c r="AI62" s="2" t="str">
        <f t="shared" si="15"/>
        <v/>
      </c>
      <c r="AJ62" s="2" t="str">
        <f t="shared" si="15"/>
        <v/>
      </c>
      <c r="AK62" s="2" t="str">
        <f t="shared" si="15"/>
        <v/>
      </c>
      <c r="AL62" s="2" t="str">
        <f t="shared" si="15"/>
        <v/>
      </c>
      <c r="AM62" s="2" t="str">
        <f t="shared" si="13"/>
        <v/>
      </c>
      <c r="AN62" s="2" t="str">
        <f t="shared" si="13"/>
        <v/>
      </c>
      <c r="AO62" s="2" t="str">
        <f t="shared" si="13"/>
        <v/>
      </c>
      <c r="AP62" s="2" t="str">
        <f t="shared" si="13"/>
        <v/>
      </c>
      <c r="AQ62" s="2" t="str">
        <f t="shared" si="13"/>
        <v/>
      </c>
      <c r="AR62" s="2">
        <f t="shared" si="13"/>
        <v>0.14527418021493524</v>
      </c>
      <c r="AT62" s="143" t="str">
        <f t="shared" si="11"/>
        <v/>
      </c>
      <c r="AU62" s="143" t="str">
        <f t="shared" si="12"/>
        <v/>
      </c>
      <c r="AV62" s="143" t="str">
        <f t="shared" si="16"/>
        <v/>
      </c>
      <c r="AW62" s="143" t="str">
        <f t="shared" si="16"/>
        <v/>
      </c>
      <c r="AX62" s="143" t="str">
        <f t="shared" si="16"/>
        <v/>
      </c>
      <c r="AY62" s="143" t="str">
        <f t="shared" si="14"/>
        <v/>
      </c>
      <c r="AZ62" s="143" t="str">
        <f t="shared" si="14"/>
        <v/>
      </c>
      <c r="BA62" s="143" t="str">
        <f t="shared" si="14"/>
        <v/>
      </c>
      <c r="BB62" s="143" t="str">
        <f t="shared" si="14"/>
        <v/>
      </c>
      <c r="BC62" s="143" t="str">
        <f t="shared" si="14"/>
        <v/>
      </c>
      <c r="BD62" s="143" t="str">
        <f t="shared" si="14"/>
        <v/>
      </c>
      <c r="BF62" s="9">
        <f t="shared" si="10"/>
        <v>1.5158934066340638E-5</v>
      </c>
      <c r="BG62" s="9">
        <f t="shared" si="5"/>
        <v>0.91119204970092871</v>
      </c>
    </row>
    <row r="63" spans="2:59" x14ac:dyDescent="0.35">
      <c r="B63" s="3" t="s">
        <v>183</v>
      </c>
      <c r="D63" s="141">
        <v>1149771</v>
      </c>
      <c r="E63" s="141">
        <v>752949</v>
      </c>
      <c r="F63" s="141">
        <v>731898</v>
      </c>
      <c r="G63" s="141">
        <v>69127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2703745</v>
      </c>
      <c r="R63" s="141">
        <v>158291</v>
      </c>
      <c r="S63" s="141">
        <v>98337</v>
      </c>
      <c r="T63" s="141">
        <v>70731</v>
      </c>
      <c r="U63" s="141">
        <v>9990</v>
      </c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337349</v>
      </c>
      <c r="AF63" s="2">
        <f t="shared" si="15"/>
        <v>0.1376717624640037</v>
      </c>
      <c r="AG63" s="2">
        <f t="shared" si="15"/>
        <v>0.13060247108369891</v>
      </c>
      <c r="AH63" s="2">
        <f t="shared" si="15"/>
        <v>9.6640515481665482E-2</v>
      </c>
      <c r="AI63" s="2">
        <f t="shared" si="15"/>
        <v>0.14451661434750532</v>
      </c>
      <c r="AJ63" s="2" t="str">
        <f t="shared" si="15"/>
        <v/>
      </c>
      <c r="AK63" s="2" t="str">
        <f t="shared" si="15"/>
        <v/>
      </c>
      <c r="AL63" s="2" t="str">
        <f t="shared" si="15"/>
        <v/>
      </c>
      <c r="AM63" s="2" t="str">
        <f t="shared" si="13"/>
        <v/>
      </c>
      <c r="AN63" s="2" t="str">
        <f t="shared" si="13"/>
        <v/>
      </c>
      <c r="AO63" s="2" t="str">
        <f t="shared" si="13"/>
        <v/>
      </c>
      <c r="AP63" s="2" t="str">
        <f t="shared" si="13"/>
        <v/>
      </c>
      <c r="AQ63" s="2" t="str">
        <f t="shared" si="13"/>
        <v/>
      </c>
      <c r="AR63" s="2">
        <f t="shared" si="13"/>
        <v>0.12477101205919937</v>
      </c>
      <c r="AT63" s="143">
        <f t="shared" si="11"/>
        <v>-7.069291380304793E-3</v>
      </c>
      <c r="AU63" s="143">
        <f t="shared" si="12"/>
        <v>-3.3961955602033425E-2</v>
      </c>
      <c r="AV63" s="143">
        <f t="shared" si="16"/>
        <v>4.7876098865839836E-2</v>
      </c>
      <c r="AW63" s="143" t="str">
        <f t="shared" si="16"/>
        <v/>
      </c>
      <c r="AX63" s="143" t="str">
        <f t="shared" si="16"/>
        <v/>
      </c>
      <c r="AY63" s="143" t="str">
        <f t="shared" si="14"/>
        <v/>
      </c>
      <c r="AZ63" s="143" t="str">
        <f t="shared" si="14"/>
        <v/>
      </c>
      <c r="BA63" s="143" t="str">
        <f t="shared" si="14"/>
        <v/>
      </c>
      <c r="BB63" s="143" t="str">
        <f t="shared" si="14"/>
        <v/>
      </c>
      <c r="BC63" s="143" t="str">
        <f t="shared" si="14"/>
        <v/>
      </c>
      <c r="BD63" s="143" t="str">
        <f t="shared" si="14"/>
        <v/>
      </c>
      <c r="BF63" s="9">
        <f t="shared" si="10"/>
        <v>2.4250053340031999E-4</v>
      </c>
      <c r="BG63" s="9">
        <f t="shared" si="5"/>
        <v>0.91143455023432907</v>
      </c>
    </row>
    <row r="64" spans="2:59" x14ac:dyDescent="0.35">
      <c r="B64" s="3" t="s">
        <v>136</v>
      </c>
      <c r="D64" s="141">
        <v>3481239</v>
      </c>
      <c r="E64" s="141">
        <v>3272180</v>
      </c>
      <c r="F64" s="141">
        <v>2786294</v>
      </c>
      <c r="G64" s="141">
        <v>263374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9803087</v>
      </c>
      <c r="R64" s="141">
        <v>462725</v>
      </c>
      <c r="S64" s="141">
        <v>417007</v>
      </c>
      <c r="T64" s="141">
        <v>318447</v>
      </c>
      <c r="U64" s="141">
        <v>43078</v>
      </c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1241257</v>
      </c>
      <c r="AF64" s="2">
        <f t="shared" si="15"/>
        <v>0.13291963005125473</v>
      </c>
      <c r="AG64" s="2">
        <f t="shared" si="15"/>
        <v>0.12744011637501604</v>
      </c>
      <c r="AH64" s="2">
        <f t="shared" si="15"/>
        <v>0.11429052354130612</v>
      </c>
      <c r="AI64" s="2">
        <f t="shared" si="15"/>
        <v>0.16356208281759019</v>
      </c>
      <c r="AJ64" s="2" t="str">
        <f t="shared" si="15"/>
        <v/>
      </c>
      <c r="AK64" s="2" t="str">
        <f t="shared" si="15"/>
        <v/>
      </c>
      <c r="AL64" s="2" t="str">
        <f t="shared" si="15"/>
        <v/>
      </c>
      <c r="AM64" s="2" t="str">
        <f t="shared" si="13"/>
        <v/>
      </c>
      <c r="AN64" s="2" t="str">
        <f t="shared" si="13"/>
        <v/>
      </c>
      <c r="AO64" s="2" t="str">
        <f t="shared" si="13"/>
        <v/>
      </c>
      <c r="AP64" s="2" t="str">
        <f t="shared" si="13"/>
        <v/>
      </c>
      <c r="AQ64" s="2" t="str">
        <f t="shared" si="13"/>
        <v/>
      </c>
      <c r="AR64" s="2">
        <f t="shared" si="13"/>
        <v>0.12661899256836137</v>
      </c>
      <c r="AT64" s="143">
        <f t="shared" si="11"/>
        <v>-5.4795136762386953E-3</v>
      </c>
      <c r="AU64" s="143">
        <f t="shared" si="12"/>
        <v>-1.3149592833709922E-2</v>
      </c>
      <c r="AV64" s="143">
        <f t="shared" si="16"/>
        <v>4.9271559276284072E-2</v>
      </c>
      <c r="AW64" s="143" t="str">
        <f t="shared" si="16"/>
        <v/>
      </c>
      <c r="AX64" s="143" t="str">
        <f t="shared" si="16"/>
        <v/>
      </c>
      <c r="AY64" s="143" t="str">
        <f t="shared" si="14"/>
        <v/>
      </c>
      <c r="AZ64" s="143" t="str">
        <f t="shared" si="14"/>
        <v/>
      </c>
      <c r="BA64" s="143" t="str">
        <f t="shared" si="14"/>
        <v/>
      </c>
      <c r="BB64" s="143" t="str">
        <f t="shared" si="14"/>
        <v/>
      </c>
      <c r="BC64" s="143" t="str">
        <f t="shared" si="14"/>
        <v/>
      </c>
      <c r="BD64" s="143" t="str">
        <f t="shared" si="14"/>
        <v/>
      </c>
      <c r="BF64" s="9">
        <f t="shared" si="10"/>
        <v>8.9226730948329769E-4</v>
      </c>
      <c r="BG64" s="9">
        <f t="shared" si="5"/>
        <v>0.9123268175438124</v>
      </c>
    </row>
    <row r="65" spans="2:59" x14ac:dyDescent="0.35">
      <c r="B65" s="3" t="s">
        <v>165</v>
      </c>
      <c r="D65" s="141">
        <v>1947636</v>
      </c>
      <c r="E65" s="141">
        <v>2315963</v>
      </c>
      <c r="F65" s="141">
        <v>2971046</v>
      </c>
      <c r="G65" s="141">
        <v>277487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7512132</v>
      </c>
      <c r="R65" s="141">
        <v>491532</v>
      </c>
      <c r="S65" s="141">
        <v>485125</v>
      </c>
      <c r="T65" s="141">
        <v>460803</v>
      </c>
      <c r="U65" s="141">
        <v>34101</v>
      </c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1471561</v>
      </c>
      <c r="AF65" s="2">
        <f t="shared" si="15"/>
        <v>0.25237364682106922</v>
      </c>
      <c r="AG65" s="2">
        <f t="shared" si="15"/>
        <v>0.20947009947913675</v>
      </c>
      <c r="AH65" s="2">
        <f t="shared" si="15"/>
        <v>0.15509790154713188</v>
      </c>
      <c r="AI65" s="2">
        <f t="shared" si="15"/>
        <v>0.12289224360060111</v>
      </c>
      <c r="AJ65" s="2" t="str">
        <f t="shared" si="15"/>
        <v/>
      </c>
      <c r="AK65" s="2" t="str">
        <f t="shared" si="15"/>
        <v/>
      </c>
      <c r="AL65" s="2" t="str">
        <f t="shared" si="15"/>
        <v/>
      </c>
      <c r="AM65" s="2" t="str">
        <f t="shared" si="13"/>
        <v/>
      </c>
      <c r="AN65" s="2" t="str">
        <f t="shared" si="13"/>
        <v/>
      </c>
      <c r="AO65" s="2" t="str">
        <f t="shared" si="13"/>
        <v/>
      </c>
      <c r="AP65" s="2" t="str">
        <f t="shared" si="13"/>
        <v/>
      </c>
      <c r="AQ65" s="2" t="str">
        <f t="shared" si="13"/>
        <v/>
      </c>
      <c r="AR65" s="2">
        <f t="shared" si="13"/>
        <v>0.19589125963175302</v>
      </c>
      <c r="AT65" s="143">
        <f t="shared" si="11"/>
        <v>-4.2903547341932469E-2</v>
      </c>
      <c r="AU65" s="143">
        <f t="shared" si="12"/>
        <v>-5.4372197932004873E-2</v>
      </c>
      <c r="AV65" s="143">
        <f t="shared" si="16"/>
        <v>-3.2205657946530769E-2</v>
      </c>
      <c r="AW65" s="143" t="str">
        <f t="shared" si="16"/>
        <v/>
      </c>
      <c r="AX65" s="143" t="str">
        <f t="shared" si="16"/>
        <v/>
      </c>
      <c r="AY65" s="143" t="str">
        <f t="shared" si="14"/>
        <v/>
      </c>
      <c r="AZ65" s="143" t="str">
        <f t="shared" si="14"/>
        <v/>
      </c>
      <c r="BA65" s="143" t="str">
        <f t="shared" si="14"/>
        <v/>
      </c>
      <c r="BB65" s="143" t="str">
        <f t="shared" si="14"/>
        <v/>
      </c>
      <c r="BC65" s="143" t="str">
        <f t="shared" si="14"/>
        <v/>
      </c>
      <c r="BD65" s="143" t="str">
        <f t="shared" si="14"/>
        <v/>
      </c>
      <c r="BF65" s="9">
        <f t="shared" si="10"/>
        <v>1.0578194316008297E-3</v>
      </c>
      <c r="BG65" s="9">
        <f t="shared" si="5"/>
        <v>0.91338463697541328</v>
      </c>
    </row>
    <row r="66" spans="2:59" x14ac:dyDescent="0.35">
      <c r="B66" s="3" t="s">
        <v>146</v>
      </c>
      <c r="D66" s="141">
        <v>1685794</v>
      </c>
      <c r="E66" s="141">
        <v>1524825</v>
      </c>
      <c r="F66" s="141">
        <v>1518090</v>
      </c>
      <c r="G66" s="141">
        <v>268861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4997570</v>
      </c>
      <c r="R66" s="141">
        <v>180587</v>
      </c>
      <c r="S66" s="141">
        <v>151516</v>
      </c>
      <c r="T66" s="141">
        <v>170014</v>
      </c>
      <c r="U66" s="141">
        <v>25472</v>
      </c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527589</v>
      </c>
      <c r="AF66" s="2">
        <f t="shared" si="15"/>
        <v>0.10712281571769741</v>
      </c>
      <c r="AG66" s="2">
        <f t="shared" si="15"/>
        <v>9.9366156772088599E-2</v>
      </c>
      <c r="AH66" s="2">
        <f t="shared" si="15"/>
        <v>0.1119920426325185</v>
      </c>
      <c r="AI66" s="2">
        <f t="shared" si="15"/>
        <v>9.4740404893234792E-2</v>
      </c>
      <c r="AJ66" s="2" t="str">
        <f t="shared" si="15"/>
        <v/>
      </c>
      <c r="AK66" s="2" t="str">
        <f t="shared" si="15"/>
        <v/>
      </c>
      <c r="AL66" s="2" t="str">
        <f t="shared" si="15"/>
        <v/>
      </c>
      <c r="AM66" s="2" t="str">
        <f t="shared" si="13"/>
        <v/>
      </c>
      <c r="AN66" s="2" t="str">
        <f t="shared" si="13"/>
        <v/>
      </c>
      <c r="AO66" s="2" t="str">
        <f t="shared" si="13"/>
        <v/>
      </c>
      <c r="AP66" s="2" t="str">
        <f t="shared" si="13"/>
        <v/>
      </c>
      <c r="AQ66" s="2" t="str">
        <f t="shared" si="13"/>
        <v/>
      </c>
      <c r="AR66" s="2">
        <f t="shared" si="13"/>
        <v>0.1055691065858007</v>
      </c>
      <c r="AT66" s="143">
        <f t="shared" si="11"/>
        <v>-7.7566589456088131E-3</v>
      </c>
      <c r="AU66" s="143">
        <f t="shared" si="12"/>
        <v>1.2625885860429897E-2</v>
      </c>
      <c r="AV66" s="143">
        <f t="shared" si="16"/>
        <v>-1.7251637739283704E-2</v>
      </c>
      <c r="AW66" s="143" t="str">
        <f t="shared" si="16"/>
        <v/>
      </c>
      <c r="AX66" s="143" t="str">
        <f t="shared" si="16"/>
        <v/>
      </c>
      <c r="AY66" s="143" t="str">
        <f t="shared" si="14"/>
        <v/>
      </c>
      <c r="AZ66" s="143" t="str">
        <f t="shared" si="14"/>
        <v/>
      </c>
      <c r="BA66" s="143" t="str">
        <f t="shared" si="14"/>
        <v/>
      </c>
      <c r="BB66" s="143" t="str">
        <f t="shared" si="14"/>
        <v/>
      </c>
      <c r="BC66" s="143" t="str">
        <f t="shared" si="14"/>
        <v/>
      </c>
      <c r="BD66" s="143" t="str">
        <f t="shared" si="14"/>
        <v/>
      </c>
      <c r="BF66" s="9">
        <f t="shared" si="10"/>
        <v>3.7925298108528978E-4</v>
      </c>
      <c r="BG66" s="9">
        <f t="shared" si="5"/>
        <v>0.9137638899564986</v>
      </c>
    </row>
    <row r="67" spans="2:59" x14ac:dyDescent="0.35">
      <c r="B67" s="3" t="s">
        <v>145</v>
      </c>
      <c r="D67" s="141">
        <v>11020173</v>
      </c>
      <c r="E67" s="141">
        <v>9004367</v>
      </c>
      <c r="F67" s="141">
        <v>2832175</v>
      </c>
      <c r="G67" s="141">
        <v>437979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23294694</v>
      </c>
      <c r="R67" s="141">
        <v>1316794</v>
      </c>
      <c r="S67" s="141">
        <v>994496</v>
      </c>
      <c r="T67" s="141">
        <v>279227</v>
      </c>
      <c r="U67" s="141">
        <v>37100</v>
      </c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2627617</v>
      </c>
      <c r="AF67" s="2">
        <f t="shared" si="15"/>
        <v>0.11948941273426469</v>
      </c>
      <c r="AG67" s="2">
        <f t="shared" si="15"/>
        <v>0.11044596471911906</v>
      </c>
      <c r="AH67" s="2">
        <f t="shared" si="15"/>
        <v>9.8591012207932066E-2</v>
      </c>
      <c r="AI67" s="2">
        <f t="shared" si="15"/>
        <v>8.4707257653905785E-2</v>
      </c>
      <c r="AJ67" s="2" t="str">
        <f t="shared" si="15"/>
        <v/>
      </c>
      <c r="AK67" s="2" t="str">
        <f t="shared" si="15"/>
        <v/>
      </c>
      <c r="AL67" s="2" t="str">
        <f t="shared" si="15"/>
        <v/>
      </c>
      <c r="AM67" s="2" t="str">
        <f t="shared" si="13"/>
        <v/>
      </c>
      <c r="AN67" s="2" t="str">
        <f t="shared" si="13"/>
        <v/>
      </c>
      <c r="AO67" s="2" t="str">
        <f t="shared" si="13"/>
        <v/>
      </c>
      <c r="AP67" s="2" t="str">
        <f t="shared" si="13"/>
        <v/>
      </c>
      <c r="AQ67" s="2" t="str">
        <f t="shared" si="13"/>
        <v/>
      </c>
      <c r="AR67" s="2">
        <f t="shared" si="13"/>
        <v>0.11279894897954015</v>
      </c>
      <c r="AT67" s="143">
        <f t="shared" si="11"/>
        <v>-9.0434480151456303E-3</v>
      </c>
      <c r="AU67" s="143">
        <f t="shared" si="12"/>
        <v>-1.1854952511186997E-2</v>
      </c>
      <c r="AV67" s="143">
        <f t="shared" si="16"/>
        <v>-1.3883754554026281E-2</v>
      </c>
      <c r="AW67" s="143" t="str">
        <f t="shared" si="16"/>
        <v/>
      </c>
      <c r="AX67" s="143" t="str">
        <f t="shared" si="16"/>
        <v/>
      </c>
      <c r="AY67" s="143" t="str">
        <f t="shared" si="14"/>
        <v/>
      </c>
      <c r="AZ67" s="143" t="str">
        <f t="shared" si="14"/>
        <v/>
      </c>
      <c r="BA67" s="143" t="str">
        <f t="shared" si="14"/>
        <v/>
      </c>
      <c r="BB67" s="143" t="str">
        <f t="shared" si="14"/>
        <v/>
      </c>
      <c r="BC67" s="143" t="str">
        <f t="shared" si="14"/>
        <v/>
      </c>
      <c r="BD67" s="143" t="str">
        <f t="shared" si="14"/>
        <v/>
      </c>
      <c r="BF67" s="9">
        <f t="shared" si="10"/>
        <v>1.8888407082035181E-3</v>
      </c>
      <c r="BG67" s="9">
        <f t="shared" si="5"/>
        <v>0.9156527306647021</v>
      </c>
    </row>
    <row r="68" spans="2:59" x14ac:dyDescent="0.35">
      <c r="B68" s="3" t="s">
        <v>121</v>
      </c>
      <c r="D68" s="141">
        <v>2474277</v>
      </c>
      <c r="E68" s="141">
        <v>2255095</v>
      </c>
      <c r="F68" s="141">
        <v>2283250</v>
      </c>
      <c r="G68" s="141">
        <v>529201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ref="P68:P131" si="17">+SUM(D68:O68)</f>
        <v>7541823</v>
      </c>
      <c r="R68" s="141">
        <v>412683</v>
      </c>
      <c r="S68" s="141">
        <v>366076</v>
      </c>
      <c r="T68" s="141">
        <v>378613</v>
      </c>
      <c r="U68" s="141">
        <v>81591</v>
      </c>
      <c r="V68" s="141"/>
      <c r="W68" s="141"/>
      <c r="X68" s="141"/>
      <c r="Y68" s="141"/>
      <c r="Z68" s="141"/>
      <c r="AA68" s="141"/>
      <c r="AB68" s="141"/>
      <c r="AC68" s="141"/>
      <c r="AD68" s="141">
        <f t="shared" ref="AD68:AD131" si="18">+SUM(R68:AC68)</f>
        <v>1238963</v>
      </c>
      <c r="AF68" s="2">
        <f t="shared" si="15"/>
        <v>0.16678932876149274</v>
      </c>
      <c r="AG68" s="2">
        <f t="shared" si="15"/>
        <v>0.16233285072247511</v>
      </c>
      <c r="AH68" s="2">
        <f t="shared" si="15"/>
        <v>0.16582196430526661</v>
      </c>
      <c r="AI68" s="2">
        <f t="shared" si="15"/>
        <v>0.15417771319404158</v>
      </c>
      <c r="AJ68" s="2" t="str">
        <f t="shared" si="15"/>
        <v/>
      </c>
      <c r="AK68" s="2" t="str">
        <f t="shared" si="15"/>
        <v/>
      </c>
      <c r="AL68" s="2" t="str">
        <f t="shared" si="15"/>
        <v/>
      </c>
      <c r="AM68" s="2" t="str">
        <f t="shared" si="13"/>
        <v/>
      </c>
      <c r="AN68" s="2" t="str">
        <f t="shared" si="13"/>
        <v/>
      </c>
      <c r="AO68" s="2" t="str">
        <f t="shared" si="13"/>
        <v/>
      </c>
      <c r="AP68" s="2" t="str">
        <f t="shared" si="13"/>
        <v/>
      </c>
      <c r="AQ68" s="2" t="str">
        <f t="shared" si="13"/>
        <v/>
      </c>
      <c r="AR68" s="2">
        <f t="shared" si="13"/>
        <v>0.16427898135503843</v>
      </c>
      <c r="AT68" s="143">
        <f t="shared" si="11"/>
        <v>-4.4564780390176362E-3</v>
      </c>
      <c r="AU68" s="143">
        <f t="shared" si="12"/>
        <v>3.4891135827914976E-3</v>
      </c>
      <c r="AV68" s="143">
        <f t="shared" si="16"/>
        <v>-1.1644251111225024E-2</v>
      </c>
      <c r="AW68" s="143" t="str">
        <f t="shared" si="16"/>
        <v/>
      </c>
      <c r="AX68" s="143" t="str">
        <f t="shared" si="16"/>
        <v/>
      </c>
      <c r="AY68" s="143" t="str">
        <f t="shared" si="14"/>
        <v/>
      </c>
      <c r="AZ68" s="143" t="str">
        <f t="shared" si="14"/>
        <v/>
      </c>
      <c r="BA68" s="143" t="str">
        <f t="shared" si="14"/>
        <v/>
      </c>
      <c r="BB68" s="143" t="str">
        <f t="shared" si="14"/>
        <v/>
      </c>
      <c r="BC68" s="143" t="str">
        <f t="shared" si="14"/>
        <v/>
      </c>
      <c r="BD68" s="143" t="str">
        <f t="shared" si="14"/>
        <v/>
      </c>
      <c r="BF68" s="9">
        <f t="shared" ref="BF68:BF131" si="19">+AD68/$AD$236</f>
        <v>8.9061828659121758E-4</v>
      </c>
      <c r="BG68" s="9">
        <f t="shared" si="5"/>
        <v>0.9165433489512933</v>
      </c>
    </row>
    <row r="69" spans="2:59" x14ac:dyDescent="0.35">
      <c r="B69" s="3" t="s">
        <v>117</v>
      </c>
      <c r="D69" s="141">
        <v>2979775</v>
      </c>
      <c r="E69" s="141">
        <v>2721414</v>
      </c>
      <c r="F69" s="141">
        <v>3122756</v>
      </c>
      <c r="G69" s="141">
        <v>413593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si="17"/>
        <v>9237538</v>
      </c>
      <c r="R69" s="141">
        <v>313554</v>
      </c>
      <c r="S69" s="141">
        <v>289265</v>
      </c>
      <c r="T69" s="141">
        <v>322724</v>
      </c>
      <c r="U69" s="141">
        <v>51535</v>
      </c>
      <c r="V69" s="141"/>
      <c r="W69" s="141"/>
      <c r="X69" s="141"/>
      <c r="Y69" s="141"/>
      <c r="Z69" s="141"/>
      <c r="AA69" s="141"/>
      <c r="AB69" s="141"/>
      <c r="AC69" s="141"/>
      <c r="AD69" s="141">
        <f t="shared" si="18"/>
        <v>977078</v>
      </c>
      <c r="AF69" s="2">
        <f t="shared" si="15"/>
        <v>0.10522740810967271</v>
      </c>
      <c r="AG69" s="2">
        <f t="shared" si="15"/>
        <v>0.10629217017329962</v>
      </c>
      <c r="AH69" s="2">
        <f t="shared" si="15"/>
        <v>0.10334589061713435</v>
      </c>
      <c r="AI69" s="2">
        <f t="shared" si="15"/>
        <v>0.12460317268425723</v>
      </c>
      <c r="AJ69" s="2" t="str">
        <f t="shared" si="15"/>
        <v/>
      </c>
      <c r="AK69" s="2" t="str">
        <f t="shared" si="15"/>
        <v/>
      </c>
      <c r="AL69" s="2" t="str">
        <f t="shared" si="15"/>
        <v/>
      </c>
      <c r="AM69" s="2" t="str">
        <f t="shared" si="13"/>
        <v/>
      </c>
      <c r="AN69" s="2" t="str">
        <f t="shared" si="13"/>
        <v/>
      </c>
      <c r="AO69" s="2" t="str">
        <f t="shared" si="13"/>
        <v/>
      </c>
      <c r="AP69" s="2" t="str">
        <f t="shared" si="13"/>
        <v/>
      </c>
      <c r="AQ69" s="2" t="str">
        <f t="shared" si="13"/>
        <v/>
      </c>
      <c r="AR69" s="2">
        <f t="shared" si="13"/>
        <v>0.10577255541465702</v>
      </c>
      <c r="AT69" s="143">
        <f t="shared" si="11"/>
        <v>1.0647620636269062E-3</v>
      </c>
      <c r="AU69" s="143">
        <f t="shared" si="12"/>
        <v>-2.9462795561652627E-3</v>
      </c>
      <c r="AV69" s="143">
        <f t="shared" si="16"/>
        <v>2.1257282067122879E-2</v>
      </c>
      <c r="AW69" s="143" t="str">
        <f t="shared" si="16"/>
        <v/>
      </c>
      <c r="AX69" s="143" t="str">
        <f t="shared" si="16"/>
        <v/>
      </c>
      <c r="AY69" s="143" t="str">
        <f t="shared" si="14"/>
        <v/>
      </c>
      <c r="AZ69" s="143" t="str">
        <f t="shared" si="14"/>
        <v/>
      </c>
      <c r="BA69" s="143" t="str">
        <f t="shared" si="14"/>
        <v/>
      </c>
      <c r="BB69" s="143" t="str">
        <f t="shared" si="14"/>
        <v/>
      </c>
      <c r="BC69" s="143" t="str">
        <f t="shared" si="14"/>
        <v/>
      </c>
      <c r="BD69" s="143" t="str">
        <f t="shared" si="14"/>
        <v/>
      </c>
      <c r="BF69" s="9">
        <f t="shared" si="19"/>
        <v>7.0236442430159226E-4</v>
      </c>
      <c r="BG69" s="9">
        <f t="shared" si="5"/>
        <v>0.91724571337559491</v>
      </c>
    </row>
    <row r="70" spans="2:59" x14ac:dyDescent="0.35">
      <c r="B70" s="3" t="s">
        <v>134</v>
      </c>
      <c r="D70" s="141">
        <v>3890940</v>
      </c>
      <c r="E70" s="141">
        <v>3593240</v>
      </c>
      <c r="F70" s="141">
        <v>4068504</v>
      </c>
      <c r="G70" s="141">
        <v>567172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17"/>
        <v>12119856</v>
      </c>
      <c r="R70" s="141">
        <v>364708</v>
      </c>
      <c r="S70" s="141">
        <v>367543</v>
      </c>
      <c r="T70" s="141">
        <v>379797</v>
      </c>
      <c r="U70" s="141">
        <v>46389</v>
      </c>
      <c r="V70" s="141"/>
      <c r="W70" s="141"/>
      <c r="X70" s="141"/>
      <c r="Y70" s="141"/>
      <c r="Z70" s="141"/>
      <c r="AA70" s="141"/>
      <c r="AB70" s="141"/>
      <c r="AC70" s="141"/>
      <c r="AD70" s="141">
        <f t="shared" si="18"/>
        <v>1158437</v>
      </c>
      <c r="AF70" s="2">
        <f t="shared" si="15"/>
        <v>9.3732619881057022E-2</v>
      </c>
      <c r="AG70" s="2">
        <f t="shared" si="15"/>
        <v>0.10228735069185471</v>
      </c>
      <c r="AH70" s="2">
        <f t="shared" si="15"/>
        <v>9.33505288430342E-2</v>
      </c>
      <c r="AI70" s="2">
        <f t="shared" si="15"/>
        <v>8.1790003737843189E-2</v>
      </c>
      <c r="AJ70" s="2" t="str">
        <f t="shared" si="15"/>
        <v/>
      </c>
      <c r="AK70" s="2" t="str">
        <f t="shared" si="15"/>
        <v/>
      </c>
      <c r="AL70" s="2" t="str">
        <f t="shared" si="15"/>
        <v/>
      </c>
      <c r="AM70" s="2" t="str">
        <f t="shared" si="13"/>
        <v/>
      </c>
      <c r="AN70" s="2" t="str">
        <f t="shared" si="13"/>
        <v/>
      </c>
      <c r="AO70" s="2" t="str">
        <f t="shared" si="13"/>
        <v/>
      </c>
      <c r="AP70" s="2" t="str">
        <f t="shared" si="13"/>
        <v/>
      </c>
      <c r="AQ70" s="2" t="str">
        <f t="shared" si="13"/>
        <v/>
      </c>
      <c r="AR70" s="2">
        <f t="shared" si="13"/>
        <v>9.5581746185763261E-2</v>
      </c>
      <c r="AT70" s="143">
        <f t="shared" si="11"/>
        <v>8.5547308107976894E-3</v>
      </c>
      <c r="AU70" s="143">
        <f t="shared" si="12"/>
        <v>-8.9368218488205114E-3</v>
      </c>
      <c r="AV70" s="143">
        <f t="shared" si="16"/>
        <v>-1.1560525105191011E-2</v>
      </c>
      <c r="AW70" s="143" t="str">
        <f t="shared" si="16"/>
        <v/>
      </c>
      <c r="AX70" s="143" t="str">
        <f t="shared" si="16"/>
        <v/>
      </c>
      <c r="AY70" s="143" t="str">
        <f t="shared" si="14"/>
        <v/>
      </c>
      <c r="AZ70" s="143" t="str">
        <f t="shared" si="14"/>
        <v/>
      </c>
      <c r="BA70" s="143" t="str">
        <f t="shared" si="14"/>
        <v/>
      </c>
      <c r="BB70" s="143" t="str">
        <f t="shared" si="14"/>
        <v/>
      </c>
      <c r="BC70" s="143" t="str">
        <f t="shared" si="14"/>
        <v/>
      </c>
      <c r="BD70" s="143" t="str">
        <f t="shared" si="14"/>
        <v/>
      </c>
      <c r="BF70" s="9">
        <f t="shared" si="19"/>
        <v>8.3273283872389273E-4</v>
      </c>
      <c r="BG70" s="9">
        <f t="shared" ref="BG70:BG133" si="20">+BF70+BG69</f>
        <v>0.91807844621431878</v>
      </c>
    </row>
    <row r="71" spans="2:59" x14ac:dyDescent="0.35">
      <c r="B71" s="3" t="s">
        <v>152</v>
      </c>
      <c r="D71" s="141">
        <v>2849040</v>
      </c>
      <c r="E71" s="141">
        <v>2752581</v>
      </c>
      <c r="F71" s="141">
        <v>3096516</v>
      </c>
      <c r="G71" s="141">
        <v>237847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17"/>
        <v>8935984</v>
      </c>
      <c r="R71" s="141">
        <v>233828</v>
      </c>
      <c r="S71" s="141">
        <v>283092</v>
      </c>
      <c r="T71" s="141">
        <v>284735</v>
      </c>
      <c r="U71" s="141">
        <v>21738</v>
      </c>
      <c r="V71" s="141"/>
      <c r="W71" s="141"/>
      <c r="X71" s="141"/>
      <c r="Y71" s="141"/>
      <c r="Z71" s="141"/>
      <c r="AA71" s="141"/>
      <c r="AB71" s="141"/>
      <c r="AC71" s="141"/>
      <c r="AD71" s="141">
        <f t="shared" si="18"/>
        <v>823393</v>
      </c>
      <c r="AF71" s="2">
        <f t="shared" si="15"/>
        <v>8.207255777384663E-2</v>
      </c>
      <c r="AG71" s="2">
        <f t="shared" si="15"/>
        <v>0.10284601979015331</v>
      </c>
      <c r="AH71" s="2">
        <f t="shared" si="15"/>
        <v>9.1953343693363762E-2</v>
      </c>
      <c r="AI71" s="2">
        <f t="shared" si="15"/>
        <v>9.1394888310552577E-2</v>
      </c>
      <c r="AJ71" s="2" t="str">
        <f t="shared" si="15"/>
        <v/>
      </c>
      <c r="AK71" s="2" t="str">
        <f t="shared" si="15"/>
        <v/>
      </c>
      <c r="AL71" s="2" t="str">
        <f t="shared" si="15"/>
        <v/>
      </c>
      <c r="AM71" s="2" t="str">
        <f t="shared" si="13"/>
        <v/>
      </c>
      <c r="AN71" s="2" t="str">
        <f t="shared" si="13"/>
        <v/>
      </c>
      <c r="AO71" s="2" t="str">
        <f t="shared" si="13"/>
        <v/>
      </c>
      <c r="AP71" s="2" t="str">
        <f t="shared" si="13"/>
        <v/>
      </c>
      <c r="AQ71" s="2" t="str">
        <f t="shared" si="13"/>
        <v/>
      </c>
      <c r="AR71" s="2">
        <f t="shared" si="13"/>
        <v>9.214351771444533E-2</v>
      </c>
      <c r="AT71" s="143">
        <f t="shared" si="11"/>
        <v>2.0773462016306685E-2</v>
      </c>
      <c r="AU71" s="143">
        <f t="shared" si="12"/>
        <v>-1.0892676096789553E-2</v>
      </c>
      <c r="AV71" s="143">
        <f t="shared" si="16"/>
        <v>-5.584553828111849E-4</v>
      </c>
      <c r="AW71" s="143" t="str">
        <f t="shared" si="16"/>
        <v/>
      </c>
      <c r="AX71" s="143" t="str">
        <f t="shared" si="16"/>
        <v/>
      </c>
      <c r="AY71" s="143" t="str">
        <f t="shared" si="14"/>
        <v/>
      </c>
      <c r="AZ71" s="143" t="str">
        <f t="shared" si="14"/>
        <v/>
      </c>
      <c r="BA71" s="143" t="str">
        <f t="shared" si="14"/>
        <v/>
      </c>
      <c r="BB71" s="143" t="str">
        <f t="shared" si="14"/>
        <v/>
      </c>
      <c r="BC71" s="143" t="str">
        <f t="shared" si="14"/>
        <v/>
      </c>
      <c r="BD71" s="143" t="str">
        <f t="shared" si="14"/>
        <v/>
      </c>
      <c r="BF71" s="9">
        <f t="shared" si="19"/>
        <v>5.9188923547450769E-4</v>
      </c>
      <c r="BG71" s="9">
        <f t="shared" si="20"/>
        <v>0.91867033544979326</v>
      </c>
    </row>
    <row r="72" spans="2:59" x14ac:dyDescent="0.35">
      <c r="B72" s="3" t="s">
        <v>135</v>
      </c>
      <c r="D72" s="141">
        <v>28536949</v>
      </c>
      <c r="E72" s="141">
        <v>28471618</v>
      </c>
      <c r="F72" s="141">
        <v>32939740</v>
      </c>
      <c r="G72" s="141">
        <v>5010895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17"/>
        <v>94959202</v>
      </c>
      <c r="R72" s="141">
        <v>4156992</v>
      </c>
      <c r="S72" s="141">
        <v>4206555</v>
      </c>
      <c r="T72" s="141">
        <v>5157338</v>
      </c>
      <c r="U72" s="141">
        <v>706067</v>
      </c>
      <c r="V72" s="141"/>
      <c r="W72" s="141"/>
      <c r="X72" s="141"/>
      <c r="Y72" s="141"/>
      <c r="Z72" s="141"/>
      <c r="AA72" s="141"/>
      <c r="AB72" s="141"/>
      <c r="AC72" s="141"/>
      <c r="AD72" s="141">
        <f t="shared" si="18"/>
        <v>14226952</v>
      </c>
      <c r="AF72" s="2">
        <f t="shared" si="15"/>
        <v>0.14567051299001865</v>
      </c>
      <c r="AG72" s="2">
        <f t="shared" si="15"/>
        <v>0.14774555488908286</v>
      </c>
      <c r="AH72" s="2">
        <f t="shared" si="15"/>
        <v>0.15656887394982474</v>
      </c>
      <c r="AI72" s="2">
        <f t="shared" si="15"/>
        <v>0.14090636503059834</v>
      </c>
      <c r="AJ72" s="2" t="str">
        <f t="shared" si="15"/>
        <v/>
      </c>
      <c r="AK72" s="2" t="str">
        <f t="shared" si="15"/>
        <v/>
      </c>
      <c r="AL72" s="2" t="str">
        <f t="shared" si="15"/>
        <v/>
      </c>
      <c r="AM72" s="2" t="str">
        <f t="shared" si="13"/>
        <v/>
      </c>
      <c r="AN72" s="2" t="str">
        <f t="shared" si="13"/>
        <v/>
      </c>
      <c r="AO72" s="2" t="str">
        <f t="shared" si="13"/>
        <v/>
      </c>
      <c r="AP72" s="2" t="str">
        <f t="shared" si="13"/>
        <v/>
      </c>
      <c r="AQ72" s="2" t="str">
        <f t="shared" si="13"/>
        <v/>
      </c>
      <c r="AR72" s="2">
        <f t="shared" si="13"/>
        <v>0.14982173081024838</v>
      </c>
      <c r="AT72" s="143">
        <f t="shared" si="11"/>
        <v>2.0750418990642117E-3</v>
      </c>
      <c r="AU72" s="143">
        <f t="shared" si="12"/>
        <v>8.8233190607418799E-3</v>
      </c>
      <c r="AV72" s="143">
        <f t="shared" si="16"/>
        <v>-1.5662508919226409E-2</v>
      </c>
      <c r="AW72" s="143" t="str">
        <f t="shared" si="16"/>
        <v/>
      </c>
      <c r="AX72" s="143" t="str">
        <f t="shared" si="16"/>
        <v/>
      </c>
      <c r="AY72" s="143" t="str">
        <f t="shared" si="14"/>
        <v/>
      </c>
      <c r="AZ72" s="143" t="str">
        <f t="shared" si="14"/>
        <v/>
      </c>
      <c r="BA72" s="143" t="str">
        <f t="shared" si="14"/>
        <v/>
      </c>
      <c r="BB72" s="143" t="str">
        <f t="shared" si="14"/>
        <v/>
      </c>
      <c r="BC72" s="143" t="str">
        <f t="shared" si="14"/>
        <v/>
      </c>
      <c r="BD72" s="143" t="str">
        <f t="shared" si="14"/>
        <v/>
      </c>
      <c r="BF72" s="9">
        <f t="shared" si="19"/>
        <v>1.0226926561693526E-2</v>
      </c>
      <c r="BG72" s="9">
        <f t="shared" si="20"/>
        <v>0.92889726201148681</v>
      </c>
    </row>
    <row r="73" spans="2:59" x14ac:dyDescent="0.35">
      <c r="B73" s="3" t="s">
        <v>149</v>
      </c>
      <c r="D73" s="141">
        <v>1285668</v>
      </c>
      <c r="E73" s="141">
        <v>1205950</v>
      </c>
      <c r="F73" s="141">
        <v>1185469</v>
      </c>
      <c r="G73" s="141">
        <v>182140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17"/>
        <v>3859227</v>
      </c>
      <c r="R73" s="141">
        <v>141679</v>
      </c>
      <c r="S73" s="141">
        <v>130563</v>
      </c>
      <c r="T73" s="141">
        <v>146139</v>
      </c>
      <c r="U73" s="141">
        <v>18609</v>
      </c>
      <c r="V73" s="141"/>
      <c r="W73" s="141"/>
      <c r="X73" s="141"/>
      <c r="Y73" s="141"/>
      <c r="Z73" s="141"/>
      <c r="AA73" s="141"/>
      <c r="AB73" s="141"/>
      <c r="AC73" s="141"/>
      <c r="AD73" s="141">
        <f t="shared" si="18"/>
        <v>436990</v>
      </c>
      <c r="AF73" s="2">
        <f t="shared" si="15"/>
        <v>0.11019874493259535</v>
      </c>
      <c r="AG73" s="2">
        <f t="shared" si="15"/>
        <v>0.10826568265682657</v>
      </c>
      <c r="AH73" s="2">
        <f t="shared" si="15"/>
        <v>0.12327526067741966</v>
      </c>
      <c r="AI73" s="2">
        <f t="shared" si="15"/>
        <v>0.10216866146919952</v>
      </c>
      <c r="AJ73" s="2" t="str">
        <f t="shared" si="15"/>
        <v/>
      </c>
      <c r="AK73" s="2" t="str">
        <f t="shared" si="15"/>
        <v/>
      </c>
      <c r="AL73" s="2" t="str">
        <f t="shared" si="15"/>
        <v/>
      </c>
      <c r="AM73" s="2" t="str">
        <f t="shared" si="13"/>
        <v/>
      </c>
      <c r="AN73" s="2" t="str">
        <f t="shared" si="13"/>
        <v/>
      </c>
      <c r="AO73" s="2" t="str">
        <f t="shared" si="13"/>
        <v/>
      </c>
      <c r="AP73" s="2" t="str">
        <f t="shared" si="13"/>
        <v/>
      </c>
      <c r="AQ73" s="2" t="str">
        <f t="shared" si="13"/>
        <v/>
      </c>
      <c r="AR73" s="2">
        <f t="shared" si="13"/>
        <v>0.11323252039851504</v>
      </c>
      <c r="AT73" s="143">
        <f t="shared" si="11"/>
        <v>-1.9330622757687821E-3</v>
      </c>
      <c r="AU73" s="143">
        <f t="shared" si="12"/>
        <v>1.5009578020593092E-2</v>
      </c>
      <c r="AV73" s="143">
        <f t="shared" si="16"/>
        <v>-2.1106599208220139E-2</v>
      </c>
      <c r="AW73" s="143" t="str">
        <f t="shared" si="16"/>
        <v/>
      </c>
      <c r="AX73" s="143" t="str">
        <f t="shared" si="16"/>
        <v/>
      </c>
      <c r="AY73" s="143" t="str">
        <f t="shared" si="14"/>
        <v/>
      </c>
      <c r="AZ73" s="143" t="str">
        <f t="shared" si="14"/>
        <v/>
      </c>
      <c r="BA73" s="143" t="str">
        <f t="shared" si="14"/>
        <v/>
      </c>
      <c r="BB73" s="143" t="str">
        <f t="shared" si="14"/>
        <v/>
      </c>
      <c r="BC73" s="143" t="str">
        <f t="shared" si="14"/>
        <v/>
      </c>
      <c r="BD73" s="143" t="str">
        <f t="shared" si="14"/>
        <v/>
      </c>
      <c r="BF73" s="9">
        <f t="shared" si="19"/>
        <v>3.141266406321223E-4</v>
      </c>
      <c r="BG73" s="9">
        <f t="shared" si="20"/>
        <v>0.92921138865211894</v>
      </c>
    </row>
    <row r="74" spans="2:59" x14ac:dyDescent="0.35">
      <c r="B74" s="3" t="s">
        <v>150</v>
      </c>
      <c r="D74" s="141">
        <v>2460118</v>
      </c>
      <c r="E74" s="141">
        <v>1804572</v>
      </c>
      <c r="F74" s="141">
        <v>2011789</v>
      </c>
      <c r="G74" s="141">
        <v>225658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17"/>
        <v>6502137</v>
      </c>
      <c r="R74" s="141">
        <v>286847</v>
      </c>
      <c r="S74" s="141">
        <v>206921</v>
      </c>
      <c r="T74" s="141">
        <v>223688</v>
      </c>
      <c r="U74" s="141">
        <v>24869</v>
      </c>
      <c r="V74" s="141"/>
      <c r="W74" s="141"/>
      <c r="X74" s="141"/>
      <c r="Y74" s="141"/>
      <c r="Z74" s="141"/>
      <c r="AA74" s="141"/>
      <c r="AB74" s="141"/>
      <c r="AC74" s="141"/>
      <c r="AD74" s="141">
        <f t="shared" si="18"/>
        <v>742325</v>
      </c>
      <c r="AF74" s="2">
        <f t="shared" si="15"/>
        <v>0.11659887859037656</v>
      </c>
      <c r="AG74" s="2">
        <f t="shared" si="15"/>
        <v>0.11466486236071489</v>
      </c>
      <c r="AH74" s="2">
        <f t="shared" si="15"/>
        <v>0.11118859880434777</v>
      </c>
      <c r="AI74" s="2">
        <f t="shared" si="15"/>
        <v>0.11020659582199611</v>
      </c>
      <c r="AJ74" s="2" t="str">
        <f t="shared" si="15"/>
        <v/>
      </c>
      <c r="AK74" s="2" t="str">
        <f t="shared" si="15"/>
        <v/>
      </c>
      <c r="AL74" s="2" t="str">
        <f t="shared" si="15"/>
        <v/>
      </c>
      <c r="AM74" s="2" t="str">
        <f t="shared" si="13"/>
        <v/>
      </c>
      <c r="AN74" s="2" t="str">
        <f t="shared" si="13"/>
        <v/>
      </c>
      <c r="AO74" s="2" t="str">
        <f t="shared" si="13"/>
        <v/>
      </c>
      <c r="AP74" s="2" t="str">
        <f t="shared" si="13"/>
        <v/>
      </c>
      <c r="AQ74" s="2" t="str">
        <f t="shared" si="13"/>
        <v/>
      </c>
      <c r="AR74" s="2">
        <f t="shared" si="13"/>
        <v>0.11416631178334138</v>
      </c>
      <c r="AT74" s="143">
        <f t="shared" si="11"/>
        <v>-1.9340162296616614E-3</v>
      </c>
      <c r="AU74" s="143">
        <f t="shared" si="12"/>
        <v>-3.4762635563671263E-3</v>
      </c>
      <c r="AV74" s="143">
        <f t="shared" si="16"/>
        <v>-9.8200298235165406E-4</v>
      </c>
      <c r="AW74" s="143" t="str">
        <f t="shared" si="16"/>
        <v/>
      </c>
      <c r="AX74" s="143" t="str">
        <f t="shared" si="16"/>
        <v/>
      </c>
      <c r="AY74" s="143" t="str">
        <f t="shared" si="14"/>
        <v/>
      </c>
      <c r="AZ74" s="143" t="str">
        <f t="shared" si="14"/>
        <v/>
      </c>
      <c r="BA74" s="143" t="str">
        <f t="shared" si="14"/>
        <v/>
      </c>
      <c r="BB74" s="143" t="str">
        <f t="shared" si="14"/>
        <v/>
      </c>
      <c r="BC74" s="143" t="str">
        <f t="shared" si="14"/>
        <v/>
      </c>
      <c r="BD74" s="143" t="str">
        <f t="shared" si="14"/>
        <v/>
      </c>
      <c r="BF74" s="9">
        <f t="shared" si="19"/>
        <v>5.3361417539815603E-4</v>
      </c>
      <c r="BG74" s="9">
        <f t="shared" si="20"/>
        <v>0.92974500282751715</v>
      </c>
    </row>
    <row r="75" spans="2:59" x14ac:dyDescent="0.35">
      <c r="B75" s="3" t="s">
        <v>174</v>
      </c>
      <c r="D75" s="141">
        <v>10694331</v>
      </c>
      <c r="E75" s="141">
        <v>8967499</v>
      </c>
      <c r="F75" s="141">
        <v>7479322</v>
      </c>
      <c r="G75" s="141">
        <v>1792769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17"/>
        <v>28933921</v>
      </c>
      <c r="R75" s="141">
        <v>1039167</v>
      </c>
      <c r="S75" s="141">
        <v>838195</v>
      </c>
      <c r="T75" s="141">
        <v>707895</v>
      </c>
      <c r="U75" s="141">
        <v>174224</v>
      </c>
      <c r="V75" s="141"/>
      <c r="W75" s="141"/>
      <c r="X75" s="141"/>
      <c r="Y75" s="141"/>
      <c r="Z75" s="141"/>
      <c r="AA75" s="141"/>
      <c r="AB75" s="141"/>
      <c r="AC75" s="141"/>
      <c r="AD75" s="141">
        <f t="shared" si="18"/>
        <v>2759481</v>
      </c>
      <c r="AF75" s="2">
        <f t="shared" si="15"/>
        <v>9.7169893095697152E-2</v>
      </c>
      <c r="AG75" s="2">
        <f t="shared" si="15"/>
        <v>9.3470319874025071E-2</v>
      </c>
      <c r="AH75" s="2">
        <f t="shared" si="15"/>
        <v>9.4646947945281668E-2</v>
      </c>
      <c r="AI75" s="2">
        <f t="shared" si="15"/>
        <v>9.7181510836030743E-2</v>
      </c>
      <c r="AJ75" s="2" t="str">
        <f t="shared" si="15"/>
        <v/>
      </c>
      <c r="AK75" s="2" t="str">
        <f t="shared" si="15"/>
        <v/>
      </c>
      <c r="AL75" s="2" t="str">
        <f t="shared" si="15"/>
        <v/>
      </c>
      <c r="AM75" s="2" t="str">
        <f t="shared" si="13"/>
        <v/>
      </c>
      <c r="AN75" s="2" t="str">
        <f t="shared" si="13"/>
        <v/>
      </c>
      <c r="AO75" s="2" t="str">
        <f t="shared" si="13"/>
        <v/>
      </c>
      <c r="AP75" s="2" t="str">
        <f t="shared" si="13"/>
        <v/>
      </c>
      <c r="AQ75" s="2" t="str">
        <f t="shared" si="13"/>
        <v/>
      </c>
      <c r="AR75" s="2">
        <f t="shared" si="13"/>
        <v>9.5371830178149722E-2</v>
      </c>
      <c r="AT75" s="143">
        <f t="shared" si="11"/>
        <v>-3.6995732216720811E-3</v>
      </c>
      <c r="AU75" s="143">
        <f t="shared" si="12"/>
        <v>1.1766280712565969E-3</v>
      </c>
      <c r="AV75" s="143">
        <f t="shared" si="16"/>
        <v>2.5345628907490758E-3</v>
      </c>
      <c r="AW75" s="143" t="str">
        <f t="shared" si="16"/>
        <v/>
      </c>
      <c r="AX75" s="143" t="str">
        <f t="shared" si="16"/>
        <v/>
      </c>
      <c r="AY75" s="143" t="str">
        <f t="shared" si="14"/>
        <v/>
      </c>
      <c r="AZ75" s="143" t="str">
        <f t="shared" si="14"/>
        <v/>
      </c>
      <c r="BA75" s="143" t="str">
        <f t="shared" si="14"/>
        <v/>
      </c>
      <c r="BB75" s="143" t="str">
        <f t="shared" si="14"/>
        <v/>
      </c>
      <c r="BC75" s="143" t="str">
        <f t="shared" si="14"/>
        <v/>
      </c>
      <c r="BD75" s="143" t="str">
        <f t="shared" si="14"/>
        <v/>
      </c>
      <c r="BF75" s="9">
        <f t="shared" si="19"/>
        <v>1.9836300519878477E-3</v>
      </c>
      <c r="BG75" s="9">
        <f t="shared" si="20"/>
        <v>0.93172863287950503</v>
      </c>
    </row>
    <row r="76" spans="2:59" x14ac:dyDescent="0.35">
      <c r="B76" s="3" t="s">
        <v>191</v>
      </c>
      <c r="D76" s="141">
        <v>8839</v>
      </c>
      <c r="E76" s="141">
        <v>1231</v>
      </c>
      <c r="F76" s="141">
        <v>13422</v>
      </c>
      <c r="G76" s="141"/>
      <c r="H76" s="141"/>
      <c r="I76" s="141"/>
      <c r="J76" s="141"/>
      <c r="K76" s="141"/>
      <c r="L76" s="141"/>
      <c r="M76" s="141"/>
      <c r="N76" s="141"/>
      <c r="O76" s="141"/>
      <c r="P76" s="141">
        <f t="shared" si="17"/>
        <v>23492</v>
      </c>
      <c r="R76" s="141">
        <v>6392</v>
      </c>
      <c r="S76" s="141">
        <v>1231</v>
      </c>
      <c r="T76" s="141">
        <v>12645</v>
      </c>
      <c r="U76" s="141"/>
      <c r="V76" s="141"/>
      <c r="W76" s="141"/>
      <c r="X76" s="141"/>
      <c r="Y76" s="141"/>
      <c r="Z76" s="141"/>
      <c r="AA76" s="141"/>
      <c r="AB76" s="141"/>
      <c r="AC76" s="141"/>
      <c r="AD76" s="141">
        <f t="shared" si="18"/>
        <v>20268</v>
      </c>
      <c r="AF76" s="2">
        <f t="shared" si="15"/>
        <v>0.72315872836293693</v>
      </c>
      <c r="AG76" s="2">
        <f t="shared" si="15"/>
        <v>1</v>
      </c>
      <c r="AH76" s="2">
        <f t="shared" si="15"/>
        <v>0.94210996870809116</v>
      </c>
      <c r="AI76" s="2" t="str">
        <f t="shared" si="15"/>
        <v/>
      </c>
      <c r="AJ76" s="2" t="str">
        <f t="shared" si="15"/>
        <v/>
      </c>
      <c r="AK76" s="2" t="str">
        <f t="shared" si="15"/>
        <v/>
      </c>
      <c r="AL76" s="2" t="str">
        <f t="shared" si="15"/>
        <v/>
      </c>
      <c r="AM76" s="2" t="str">
        <f t="shared" si="13"/>
        <v/>
      </c>
      <c r="AN76" s="2" t="str">
        <f t="shared" si="13"/>
        <v/>
      </c>
      <c r="AO76" s="2" t="str">
        <f t="shared" si="13"/>
        <v/>
      </c>
      <c r="AP76" s="2" t="str">
        <f t="shared" si="13"/>
        <v/>
      </c>
      <c r="AQ76" s="2" t="str">
        <f t="shared" si="13"/>
        <v/>
      </c>
      <c r="AR76" s="2">
        <f t="shared" si="13"/>
        <v>0.8627617912480845</v>
      </c>
      <c r="AT76" s="143">
        <f t="shared" si="11"/>
        <v>0.27684127163706307</v>
      </c>
      <c r="AU76" s="143">
        <f t="shared" si="12"/>
        <v>-5.7890031291908839E-2</v>
      </c>
      <c r="AV76" s="143" t="str">
        <f t="shared" si="16"/>
        <v/>
      </c>
      <c r="AW76" s="143" t="str">
        <f t="shared" si="16"/>
        <v/>
      </c>
      <c r="AX76" s="143" t="str">
        <f t="shared" si="16"/>
        <v/>
      </c>
      <c r="AY76" s="143" t="str">
        <f t="shared" si="14"/>
        <v/>
      </c>
      <c r="AZ76" s="143" t="str">
        <f t="shared" si="14"/>
        <v/>
      </c>
      <c r="BA76" s="143" t="str">
        <f t="shared" si="14"/>
        <v/>
      </c>
      <c r="BB76" s="143" t="str">
        <f t="shared" si="14"/>
        <v/>
      </c>
      <c r="BC76" s="143" t="str">
        <f t="shared" si="14"/>
        <v/>
      </c>
      <c r="BD76" s="143" t="str">
        <f t="shared" si="14"/>
        <v/>
      </c>
      <c r="BF76" s="9">
        <f t="shared" si="19"/>
        <v>1.4569483860801975E-5</v>
      </c>
      <c r="BG76" s="9">
        <f t="shared" si="20"/>
        <v>0.93174320236336583</v>
      </c>
    </row>
    <row r="77" spans="2:59" x14ac:dyDescent="0.35">
      <c r="B77" s="3" t="s">
        <v>147</v>
      </c>
      <c r="D77" s="141">
        <v>1676016</v>
      </c>
      <c r="E77" s="141">
        <v>1401453</v>
      </c>
      <c r="F77" s="141">
        <v>1979309</v>
      </c>
      <c r="G77" s="141">
        <v>251333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17"/>
        <v>5308111</v>
      </c>
      <c r="R77" s="141">
        <v>202738</v>
      </c>
      <c r="S77" s="141">
        <v>201296</v>
      </c>
      <c r="T77" s="141">
        <v>258928</v>
      </c>
      <c r="U77" s="141">
        <v>26623</v>
      </c>
      <c r="V77" s="141"/>
      <c r="W77" s="141"/>
      <c r="X77" s="141"/>
      <c r="Y77" s="141"/>
      <c r="Z77" s="141"/>
      <c r="AA77" s="141"/>
      <c r="AB77" s="141"/>
      <c r="AC77" s="141"/>
      <c r="AD77" s="141">
        <f t="shared" si="18"/>
        <v>689585</v>
      </c>
      <c r="AF77" s="2">
        <f t="shared" si="15"/>
        <v>0.12096423900487824</v>
      </c>
      <c r="AG77" s="2">
        <f t="shared" si="15"/>
        <v>0.14363378579231698</v>
      </c>
      <c r="AH77" s="2">
        <f t="shared" si="15"/>
        <v>0.13081737111284797</v>
      </c>
      <c r="AI77" s="2">
        <f t="shared" si="15"/>
        <v>0.10592719618991538</v>
      </c>
      <c r="AJ77" s="2" t="str">
        <f t="shared" si="15"/>
        <v/>
      </c>
      <c r="AK77" s="2" t="str">
        <f t="shared" si="15"/>
        <v/>
      </c>
      <c r="AL77" s="2" t="str">
        <f t="shared" si="15"/>
        <v/>
      </c>
      <c r="AM77" s="2" t="str">
        <f t="shared" si="13"/>
        <v/>
      </c>
      <c r="AN77" s="2" t="str">
        <f t="shared" si="13"/>
        <v/>
      </c>
      <c r="AO77" s="2" t="str">
        <f t="shared" si="13"/>
        <v/>
      </c>
      <c r="AP77" s="2" t="str">
        <f t="shared" si="13"/>
        <v/>
      </c>
      <c r="AQ77" s="2" t="str">
        <f t="shared" si="13"/>
        <v/>
      </c>
      <c r="AR77" s="2">
        <f t="shared" si="13"/>
        <v>0.12991156364288539</v>
      </c>
      <c r="AT77" s="143">
        <f t="shared" si="11"/>
        <v>2.2669546787438738E-2</v>
      </c>
      <c r="AU77" s="143">
        <f t="shared" si="12"/>
        <v>-1.2816414679469007E-2</v>
      </c>
      <c r="AV77" s="143">
        <f t="shared" si="16"/>
        <v>-2.4890174922932592E-2</v>
      </c>
      <c r="AW77" s="143" t="str">
        <f t="shared" si="16"/>
        <v/>
      </c>
      <c r="AX77" s="143" t="str">
        <f t="shared" si="16"/>
        <v/>
      </c>
      <c r="AY77" s="143" t="str">
        <f t="shared" si="14"/>
        <v/>
      </c>
      <c r="AZ77" s="143" t="str">
        <f t="shared" si="14"/>
        <v/>
      </c>
      <c r="BA77" s="143" t="str">
        <f t="shared" si="14"/>
        <v/>
      </c>
      <c r="BB77" s="143" t="str">
        <f t="shared" si="14"/>
        <v/>
      </c>
      <c r="BC77" s="143" t="str">
        <f t="shared" si="14"/>
        <v/>
      </c>
      <c r="BD77" s="143" t="str">
        <f t="shared" si="14"/>
        <v/>
      </c>
      <c r="BF77" s="9">
        <f t="shared" si="19"/>
        <v>4.9570246339802296E-4</v>
      </c>
      <c r="BG77" s="9">
        <f t="shared" si="20"/>
        <v>0.93223890482676386</v>
      </c>
    </row>
    <row r="78" spans="2:59" x14ac:dyDescent="0.35">
      <c r="B78" s="3" t="s">
        <v>178</v>
      </c>
      <c r="D78" s="141">
        <v>6305905</v>
      </c>
      <c r="E78" s="141">
        <v>5125822</v>
      </c>
      <c r="F78" s="141">
        <v>4516579</v>
      </c>
      <c r="G78" s="141">
        <v>887000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17"/>
        <v>16835306</v>
      </c>
      <c r="R78" s="141">
        <v>731570</v>
      </c>
      <c r="S78" s="141">
        <v>586746</v>
      </c>
      <c r="T78" s="141">
        <v>503109</v>
      </c>
      <c r="U78" s="141">
        <v>95487</v>
      </c>
      <c r="V78" s="141"/>
      <c r="W78" s="141"/>
      <c r="X78" s="141"/>
      <c r="Y78" s="141"/>
      <c r="Z78" s="141"/>
      <c r="AA78" s="141"/>
      <c r="AB78" s="141"/>
      <c r="AC78" s="141"/>
      <c r="AD78" s="141">
        <f t="shared" si="18"/>
        <v>1916912</v>
      </c>
      <c r="AF78" s="2">
        <f t="shared" si="15"/>
        <v>0.11601348260083208</v>
      </c>
      <c r="AG78" s="2">
        <f t="shared" si="15"/>
        <v>0.11446866473318816</v>
      </c>
      <c r="AH78" s="2">
        <f t="shared" si="15"/>
        <v>0.11139160856037279</v>
      </c>
      <c r="AI78" s="2">
        <f t="shared" si="15"/>
        <v>0.10765163472378805</v>
      </c>
      <c r="AJ78" s="2" t="str">
        <f t="shared" si="15"/>
        <v/>
      </c>
      <c r="AK78" s="2" t="str">
        <f t="shared" si="15"/>
        <v/>
      </c>
      <c r="AL78" s="2" t="str">
        <f t="shared" si="15"/>
        <v/>
      </c>
      <c r="AM78" s="2" t="str">
        <f t="shared" si="13"/>
        <v/>
      </c>
      <c r="AN78" s="2" t="str">
        <f t="shared" si="13"/>
        <v/>
      </c>
      <c r="AO78" s="2" t="str">
        <f t="shared" si="13"/>
        <v/>
      </c>
      <c r="AP78" s="2" t="str">
        <f t="shared" si="13"/>
        <v/>
      </c>
      <c r="AQ78" s="2" t="str">
        <f t="shared" si="13"/>
        <v/>
      </c>
      <c r="AR78" s="2">
        <f t="shared" si="13"/>
        <v>0.1138626170501445</v>
      </c>
      <c r="AT78" s="143">
        <f t="shared" si="11"/>
        <v>-1.5448178676439189E-3</v>
      </c>
      <c r="AU78" s="143">
        <f t="shared" si="12"/>
        <v>-3.0770561728153678E-3</v>
      </c>
      <c r="AV78" s="143">
        <f t="shared" si="16"/>
        <v>-3.7399738365847396E-3</v>
      </c>
      <c r="AW78" s="143" t="str">
        <f t="shared" si="16"/>
        <v/>
      </c>
      <c r="AX78" s="143" t="str">
        <f t="shared" si="16"/>
        <v/>
      </c>
      <c r="AY78" s="143" t="str">
        <f t="shared" si="14"/>
        <v/>
      </c>
      <c r="AZ78" s="143" t="str">
        <f t="shared" si="14"/>
        <v/>
      </c>
      <c r="BA78" s="143" t="str">
        <f t="shared" si="14"/>
        <v/>
      </c>
      <c r="BB78" s="143" t="str">
        <f t="shared" si="14"/>
        <v/>
      </c>
      <c r="BC78" s="143" t="str">
        <f t="shared" si="14"/>
        <v/>
      </c>
      <c r="BD78" s="143" t="str">
        <f t="shared" si="14"/>
        <v/>
      </c>
      <c r="BF78" s="9">
        <f t="shared" si="19"/>
        <v>1.377956307804304E-3</v>
      </c>
      <c r="BG78" s="9">
        <f t="shared" si="20"/>
        <v>0.93361686113456821</v>
      </c>
    </row>
    <row r="79" spans="2:59" x14ac:dyDescent="0.35">
      <c r="B79" s="3" t="s">
        <v>176</v>
      </c>
      <c r="D79" s="141">
        <v>10938470</v>
      </c>
      <c r="E79" s="141">
        <v>10189183</v>
      </c>
      <c r="F79" s="141">
        <v>10980195</v>
      </c>
      <c r="G79" s="141">
        <v>1838635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17"/>
        <v>33946483</v>
      </c>
      <c r="R79" s="141">
        <v>1451120</v>
      </c>
      <c r="S79" s="141">
        <v>1332920</v>
      </c>
      <c r="T79" s="141">
        <v>1402291</v>
      </c>
      <c r="U79" s="141">
        <v>236398</v>
      </c>
      <c r="V79" s="141"/>
      <c r="W79" s="141"/>
      <c r="X79" s="141"/>
      <c r="Y79" s="141"/>
      <c r="Z79" s="141"/>
      <c r="AA79" s="141"/>
      <c r="AB79" s="141"/>
      <c r="AC79" s="141"/>
      <c r="AD79" s="141">
        <f t="shared" si="18"/>
        <v>4422729</v>
      </c>
      <c r="AF79" s="2">
        <f t="shared" si="15"/>
        <v>0.13266206334158251</v>
      </c>
      <c r="AG79" s="2">
        <f t="shared" si="15"/>
        <v>0.13081716169000007</v>
      </c>
      <c r="AH79" s="2">
        <f t="shared" si="15"/>
        <v>0.12771093773835529</v>
      </c>
      <c r="AI79" s="2">
        <f t="shared" si="15"/>
        <v>0.12857255518360089</v>
      </c>
      <c r="AJ79" s="2" t="str">
        <f t="shared" si="15"/>
        <v/>
      </c>
      <c r="AK79" s="2" t="str">
        <f t="shared" si="15"/>
        <v/>
      </c>
      <c r="AL79" s="2" t="str">
        <f t="shared" si="15"/>
        <v/>
      </c>
      <c r="AM79" s="2" t="str">
        <f t="shared" si="13"/>
        <v/>
      </c>
      <c r="AN79" s="2" t="str">
        <f t="shared" si="13"/>
        <v/>
      </c>
      <c r="AO79" s="2" t="str">
        <f t="shared" si="13"/>
        <v/>
      </c>
      <c r="AP79" s="2" t="str">
        <f t="shared" si="13"/>
        <v/>
      </c>
      <c r="AQ79" s="2" t="str">
        <f t="shared" si="13"/>
        <v/>
      </c>
      <c r="AR79" s="2">
        <f t="shared" si="13"/>
        <v>0.13028533765927974</v>
      </c>
      <c r="AT79" s="143">
        <f t="shared" si="11"/>
        <v>-1.8449016515824368E-3</v>
      </c>
      <c r="AU79" s="143">
        <f t="shared" si="12"/>
        <v>-3.106223951644782E-3</v>
      </c>
      <c r="AV79" s="143">
        <f t="shared" si="16"/>
        <v>8.6161744524559936E-4</v>
      </c>
      <c r="AW79" s="143" t="str">
        <f t="shared" si="16"/>
        <v/>
      </c>
      <c r="AX79" s="143" t="str">
        <f t="shared" si="16"/>
        <v/>
      </c>
      <c r="AY79" s="143" t="str">
        <f t="shared" si="14"/>
        <v/>
      </c>
      <c r="AZ79" s="143" t="str">
        <f t="shared" si="14"/>
        <v/>
      </c>
      <c r="BA79" s="143" t="str">
        <f t="shared" si="14"/>
        <v/>
      </c>
      <c r="BB79" s="143" t="str">
        <f t="shared" si="14"/>
        <v/>
      </c>
      <c r="BC79" s="143" t="str">
        <f t="shared" si="14"/>
        <v/>
      </c>
      <c r="BD79" s="143" t="str">
        <f t="shared" si="14"/>
        <v/>
      </c>
      <c r="BF79" s="9">
        <f t="shared" si="19"/>
        <v>3.1792420952339085E-3</v>
      </c>
      <c r="BG79" s="9">
        <f t="shared" si="20"/>
        <v>0.93679610322980211</v>
      </c>
    </row>
    <row r="80" spans="2:59" x14ac:dyDescent="0.35">
      <c r="B80" s="3" t="s">
        <v>197</v>
      </c>
      <c r="D80" s="141">
        <v>67282</v>
      </c>
      <c r="E80" s="141">
        <v>9934</v>
      </c>
      <c r="F80" s="141">
        <v>7784</v>
      </c>
      <c r="G80" s="141"/>
      <c r="H80" s="141"/>
      <c r="I80" s="141"/>
      <c r="J80" s="141"/>
      <c r="K80" s="141"/>
      <c r="L80" s="141"/>
      <c r="M80" s="141"/>
      <c r="N80" s="141"/>
      <c r="O80" s="141"/>
      <c r="P80" s="141">
        <f t="shared" si="17"/>
        <v>85000</v>
      </c>
      <c r="R80" s="141">
        <v>27188</v>
      </c>
      <c r="S80" s="141">
        <v>1176</v>
      </c>
      <c r="T80" s="141">
        <v>2877</v>
      </c>
      <c r="U80" s="141"/>
      <c r="V80" s="141"/>
      <c r="W80" s="141"/>
      <c r="X80" s="141"/>
      <c r="Y80" s="141"/>
      <c r="Z80" s="141"/>
      <c r="AA80" s="141"/>
      <c r="AB80" s="141"/>
      <c r="AC80" s="141"/>
      <c r="AD80" s="141">
        <f t="shared" si="18"/>
        <v>31241</v>
      </c>
      <c r="AF80" s="2">
        <f t="shared" si="15"/>
        <v>0.40409024702000534</v>
      </c>
      <c r="AG80" s="2">
        <f t="shared" si="15"/>
        <v>0.11838131669015502</v>
      </c>
      <c r="AH80" s="2">
        <f t="shared" si="15"/>
        <v>0.36960431654676257</v>
      </c>
      <c r="AI80" s="2" t="str">
        <f t="shared" si="15"/>
        <v/>
      </c>
      <c r="AJ80" s="2" t="str">
        <f t="shared" si="15"/>
        <v/>
      </c>
      <c r="AK80" s="2" t="str">
        <f t="shared" si="15"/>
        <v/>
      </c>
      <c r="AL80" s="2" t="str">
        <f t="shared" si="15"/>
        <v/>
      </c>
      <c r="AM80" s="2" t="str">
        <f t="shared" si="13"/>
        <v/>
      </c>
      <c r="AN80" s="2" t="str">
        <f t="shared" si="13"/>
        <v/>
      </c>
      <c r="AO80" s="2" t="str">
        <f t="shared" si="13"/>
        <v/>
      </c>
      <c r="AP80" s="2" t="str">
        <f t="shared" si="13"/>
        <v/>
      </c>
      <c r="AQ80" s="2" t="str">
        <f t="shared" si="13"/>
        <v/>
      </c>
      <c r="AR80" s="2">
        <f t="shared" si="13"/>
        <v>0.36754117647058826</v>
      </c>
      <c r="AT80" s="143">
        <f t="shared" si="11"/>
        <v>-0.28570893032985034</v>
      </c>
      <c r="AU80" s="143">
        <f t="shared" si="12"/>
        <v>0.25122299985660757</v>
      </c>
      <c r="AV80" s="143" t="str">
        <f t="shared" si="16"/>
        <v/>
      </c>
      <c r="AW80" s="143" t="str">
        <f t="shared" si="16"/>
        <v/>
      </c>
      <c r="AX80" s="143" t="str">
        <f t="shared" si="16"/>
        <v/>
      </c>
      <c r="AY80" s="143" t="str">
        <f t="shared" si="14"/>
        <v/>
      </c>
      <c r="AZ80" s="143" t="str">
        <f t="shared" si="14"/>
        <v/>
      </c>
      <c r="BA80" s="143" t="str">
        <f t="shared" si="14"/>
        <v/>
      </c>
      <c r="BB80" s="143" t="str">
        <f t="shared" si="14"/>
        <v/>
      </c>
      <c r="BC80" s="143" t="str">
        <f t="shared" si="14"/>
        <v/>
      </c>
      <c r="BD80" s="143" t="str">
        <f t="shared" si="14"/>
        <v/>
      </c>
      <c r="BF80" s="9">
        <f t="shared" si="19"/>
        <v>2.2457333989308986E-5</v>
      </c>
      <c r="BG80" s="9">
        <f t="shared" si="20"/>
        <v>0.93681856056379142</v>
      </c>
    </row>
    <row r="81" spans="2:59" x14ac:dyDescent="0.35">
      <c r="B81" s="3" t="s">
        <v>169</v>
      </c>
      <c r="D81" s="141">
        <v>1283706</v>
      </c>
      <c r="E81" s="141">
        <v>1173417</v>
      </c>
      <c r="F81" s="141">
        <v>1307799</v>
      </c>
      <c r="G81" s="141">
        <v>108065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17"/>
        <v>3872987</v>
      </c>
      <c r="R81" s="141">
        <v>206746</v>
      </c>
      <c r="S81" s="141">
        <v>154301</v>
      </c>
      <c r="T81" s="141">
        <v>161411</v>
      </c>
      <c r="U81" s="141">
        <v>13505</v>
      </c>
      <c r="V81" s="141"/>
      <c r="W81" s="141"/>
      <c r="X81" s="141"/>
      <c r="Y81" s="141"/>
      <c r="Z81" s="141"/>
      <c r="AA81" s="141"/>
      <c r="AB81" s="141"/>
      <c r="AC81" s="141"/>
      <c r="AD81" s="141">
        <f t="shared" si="18"/>
        <v>535963</v>
      </c>
      <c r="AF81" s="2">
        <f t="shared" si="15"/>
        <v>0.16105401080932863</v>
      </c>
      <c r="AG81" s="2">
        <f t="shared" si="15"/>
        <v>0.1314971574470116</v>
      </c>
      <c r="AH81" s="2">
        <f t="shared" si="15"/>
        <v>0.12342187140378606</v>
      </c>
      <c r="AI81" s="2">
        <f t="shared" si="15"/>
        <v>0.12497108221903484</v>
      </c>
      <c r="AJ81" s="2" t="str">
        <f t="shared" si="15"/>
        <v/>
      </c>
      <c r="AK81" s="2" t="str">
        <f t="shared" si="15"/>
        <v/>
      </c>
      <c r="AL81" s="2" t="str">
        <f t="shared" si="15"/>
        <v/>
      </c>
      <c r="AM81" s="2" t="str">
        <f t="shared" si="13"/>
        <v/>
      </c>
      <c r="AN81" s="2" t="str">
        <f t="shared" si="13"/>
        <v/>
      </c>
      <c r="AO81" s="2" t="str">
        <f t="shared" si="13"/>
        <v/>
      </c>
      <c r="AP81" s="2" t="str">
        <f t="shared" si="13"/>
        <v/>
      </c>
      <c r="AQ81" s="2" t="str">
        <f t="shared" si="13"/>
        <v/>
      </c>
      <c r="AR81" s="2">
        <f t="shared" si="13"/>
        <v>0.13838492099250527</v>
      </c>
      <c r="AT81" s="143">
        <f t="shared" si="11"/>
        <v>-2.9556853362317032E-2</v>
      </c>
      <c r="AU81" s="143">
        <f t="shared" si="12"/>
        <v>-8.0752860432255352E-3</v>
      </c>
      <c r="AV81" s="143">
        <f t="shared" si="16"/>
        <v>1.5492108152487805E-3</v>
      </c>
      <c r="AW81" s="143" t="str">
        <f t="shared" si="16"/>
        <v/>
      </c>
      <c r="AX81" s="143" t="str">
        <f t="shared" si="16"/>
        <v/>
      </c>
      <c r="AY81" s="143" t="str">
        <f t="shared" si="14"/>
        <v/>
      </c>
      <c r="AZ81" s="143" t="str">
        <f t="shared" si="14"/>
        <v/>
      </c>
      <c r="BA81" s="143" t="str">
        <f t="shared" si="14"/>
        <v/>
      </c>
      <c r="BB81" s="143" t="str">
        <f t="shared" si="14"/>
        <v/>
      </c>
      <c r="BC81" s="143" t="str">
        <f t="shared" si="14"/>
        <v/>
      </c>
      <c r="BD81" s="143" t="str">
        <f t="shared" si="14"/>
        <v/>
      </c>
      <c r="BF81" s="9">
        <f t="shared" si="19"/>
        <v>3.8527256159892484E-4</v>
      </c>
      <c r="BG81" s="9">
        <f t="shared" si="20"/>
        <v>0.93720383312539035</v>
      </c>
    </row>
    <row r="82" spans="2:59" x14ac:dyDescent="0.35">
      <c r="B82" s="3" t="s">
        <v>148</v>
      </c>
      <c r="D82" s="141">
        <v>5500895</v>
      </c>
      <c r="E82" s="141">
        <v>5578458</v>
      </c>
      <c r="F82" s="141">
        <v>6259712</v>
      </c>
      <c r="G82" s="141">
        <v>1339820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17"/>
        <v>18678885</v>
      </c>
      <c r="R82" s="141">
        <v>814880</v>
      </c>
      <c r="S82" s="141">
        <v>784535</v>
      </c>
      <c r="T82" s="141">
        <v>860085</v>
      </c>
      <c r="U82" s="141">
        <v>201956</v>
      </c>
      <c r="V82" s="141"/>
      <c r="W82" s="141"/>
      <c r="X82" s="141"/>
      <c r="Y82" s="141"/>
      <c r="Z82" s="141"/>
      <c r="AA82" s="141"/>
      <c r="AB82" s="141"/>
      <c r="AC82" s="141"/>
      <c r="AD82" s="141">
        <f t="shared" si="18"/>
        <v>2661456</v>
      </c>
      <c r="AF82" s="2">
        <f t="shared" si="15"/>
        <v>0.1481358942499357</v>
      </c>
      <c r="AG82" s="2">
        <f t="shared" si="15"/>
        <v>0.14063653432543546</v>
      </c>
      <c r="AH82" s="2">
        <f t="shared" si="15"/>
        <v>0.13740009125020447</v>
      </c>
      <c r="AI82" s="2">
        <f t="shared" si="15"/>
        <v>0.15073368064366854</v>
      </c>
      <c r="AJ82" s="2" t="str">
        <f t="shared" si="15"/>
        <v/>
      </c>
      <c r="AK82" s="2" t="str">
        <f t="shared" si="15"/>
        <v/>
      </c>
      <c r="AL82" s="2" t="str">
        <f t="shared" si="15"/>
        <v/>
      </c>
      <c r="AM82" s="2" t="str">
        <f t="shared" si="13"/>
        <v/>
      </c>
      <c r="AN82" s="2" t="str">
        <f t="shared" si="13"/>
        <v/>
      </c>
      <c r="AO82" s="2" t="str">
        <f t="shared" si="13"/>
        <v/>
      </c>
      <c r="AP82" s="2" t="str">
        <f t="shared" si="13"/>
        <v/>
      </c>
      <c r="AQ82" s="2" t="str">
        <f t="shared" si="13"/>
        <v/>
      </c>
      <c r="AR82" s="2">
        <f t="shared" si="13"/>
        <v>0.14248473610710705</v>
      </c>
      <c r="AT82" s="143">
        <f t="shared" si="11"/>
        <v>-7.4993599245002374E-3</v>
      </c>
      <c r="AU82" s="143">
        <f t="shared" si="12"/>
        <v>-3.2364430752309936E-3</v>
      </c>
      <c r="AV82" s="143">
        <f t="shared" si="16"/>
        <v>1.3333589393464074E-2</v>
      </c>
      <c r="AW82" s="143" t="str">
        <f t="shared" si="16"/>
        <v/>
      </c>
      <c r="AX82" s="143" t="str">
        <f t="shared" si="16"/>
        <v/>
      </c>
      <c r="AY82" s="143" t="str">
        <f t="shared" si="14"/>
        <v/>
      </c>
      <c r="AZ82" s="143" t="str">
        <f t="shared" si="14"/>
        <v/>
      </c>
      <c r="BA82" s="143" t="str">
        <f t="shared" si="14"/>
        <v/>
      </c>
      <c r="BB82" s="143" t="str">
        <f t="shared" si="14"/>
        <v/>
      </c>
      <c r="BC82" s="143" t="str">
        <f t="shared" si="14"/>
        <v/>
      </c>
      <c r="BD82" s="143" t="str">
        <f t="shared" si="14"/>
        <v/>
      </c>
      <c r="BF82" s="9">
        <f t="shared" si="19"/>
        <v>1.9131655929659848E-3</v>
      </c>
      <c r="BG82" s="9">
        <f t="shared" si="20"/>
        <v>0.9391169987183563</v>
      </c>
    </row>
    <row r="83" spans="2:59" x14ac:dyDescent="0.35">
      <c r="B83" s="3" t="s">
        <v>161</v>
      </c>
      <c r="D83" s="141">
        <v>3826124</v>
      </c>
      <c r="E83" s="141">
        <v>4499058</v>
      </c>
      <c r="F83" s="141">
        <v>6980343</v>
      </c>
      <c r="G83" s="141">
        <v>1549099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17"/>
        <v>16854624</v>
      </c>
      <c r="R83" s="141">
        <v>469349</v>
      </c>
      <c r="S83" s="141">
        <v>597810</v>
      </c>
      <c r="T83" s="141">
        <v>759140</v>
      </c>
      <c r="U83" s="141">
        <v>172916</v>
      </c>
      <c r="V83" s="141"/>
      <c r="W83" s="141"/>
      <c r="X83" s="141"/>
      <c r="Y83" s="141"/>
      <c r="Z83" s="141"/>
      <c r="AA83" s="141"/>
      <c r="AB83" s="141"/>
      <c r="AC83" s="141"/>
      <c r="AD83" s="141">
        <f t="shared" si="18"/>
        <v>1999215</v>
      </c>
      <c r="AF83" s="2">
        <f t="shared" si="15"/>
        <v>0.12266957369912737</v>
      </c>
      <c r="AG83" s="2">
        <f t="shared" si="15"/>
        <v>0.13287448172484106</v>
      </c>
      <c r="AH83" s="2">
        <f t="shared" si="15"/>
        <v>0.10875396810729789</v>
      </c>
      <c r="AI83" s="2">
        <f t="shared" si="15"/>
        <v>0.11162359539319308</v>
      </c>
      <c r="AJ83" s="2" t="str">
        <f t="shared" si="15"/>
        <v/>
      </c>
      <c r="AK83" s="2" t="str">
        <f t="shared" si="15"/>
        <v/>
      </c>
      <c r="AL83" s="2" t="str">
        <f t="shared" si="15"/>
        <v/>
      </c>
      <c r="AM83" s="2" t="str">
        <f t="shared" si="13"/>
        <v/>
      </c>
      <c r="AN83" s="2" t="str">
        <f t="shared" si="13"/>
        <v/>
      </c>
      <c r="AO83" s="2" t="str">
        <f t="shared" si="13"/>
        <v/>
      </c>
      <c r="AP83" s="2" t="str">
        <f t="shared" si="13"/>
        <v/>
      </c>
      <c r="AQ83" s="2" t="str">
        <f t="shared" si="13"/>
        <v/>
      </c>
      <c r="AR83" s="2">
        <f t="shared" si="13"/>
        <v>0.11861522392905353</v>
      </c>
      <c r="AT83" s="143">
        <f t="shared" si="11"/>
        <v>1.0204908025713694E-2</v>
      </c>
      <c r="AU83" s="143">
        <f t="shared" si="12"/>
        <v>-2.4120513617543179E-2</v>
      </c>
      <c r="AV83" s="143">
        <f t="shared" si="16"/>
        <v>2.869627285895196E-3</v>
      </c>
      <c r="AW83" s="143" t="str">
        <f t="shared" si="16"/>
        <v/>
      </c>
      <c r="AX83" s="143" t="str">
        <f t="shared" si="16"/>
        <v/>
      </c>
      <c r="AY83" s="143" t="str">
        <f t="shared" si="14"/>
        <v/>
      </c>
      <c r="AZ83" s="143" t="str">
        <f t="shared" si="14"/>
        <v/>
      </c>
      <c r="BA83" s="143" t="str">
        <f t="shared" si="14"/>
        <v/>
      </c>
      <c r="BB83" s="143" t="str">
        <f t="shared" si="14"/>
        <v/>
      </c>
      <c r="BC83" s="143" t="str">
        <f t="shared" si="14"/>
        <v/>
      </c>
      <c r="BD83" s="143" t="str">
        <f t="shared" si="14"/>
        <v/>
      </c>
      <c r="BF83" s="9">
        <f t="shared" si="19"/>
        <v>1.437119137397534E-3</v>
      </c>
      <c r="BG83" s="9">
        <f t="shared" si="20"/>
        <v>0.94055411785575382</v>
      </c>
    </row>
    <row r="84" spans="2:59" x14ac:dyDescent="0.35">
      <c r="B84" s="3" t="s">
        <v>154</v>
      </c>
      <c r="D84" s="141">
        <v>1207659</v>
      </c>
      <c r="E84" s="141">
        <v>1124095</v>
      </c>
      <c r="F84" s="141">
        <v>1215618</v>
      </c>
      <c r="G84" s="141">
        <v>134199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17"/>
        <v>3681571</v>
      </c>
      <c r="R84" s="141">
        <v>113666</v>
      </c>
      <c r="S84" s="141">
        <v>113690</v>
      </c>
      <c r="T84" s="141">
        <v>106976</v>
      </c>
      <c r="U84" s="141">
        <v>16480</v>
      </c>
      <c r="V84" s="141"/>
      <c r="W84" s="141"/>
      <c r="X84" s="141"/>
      <c r="Y84" s="141"/>
      <c r="Z84" s="141"/>
      <c r="AA84" s="141"/>
      <c r="AB84" s="141"/>
      <c r="AC84" s="141"/>
      <c r="AD84" s="141">
        <f t="shared" si="18"/>
        <v>350812</v>
      </c>
      <c r="AF84" s="2">
        <f t="shared" si="15"/>
        <v>9.412093976859362E-2</v>
      </c>
      <c r="AG84" s="2">
        <f t="shared" si="15"/>
        <v>0.10113913859593718</v>
      </c>
      <c r="AH84" s="2">
        <f t="shared" si="15"/>
        <v>8.8001329364981437E-2</v>
      </c>
      <c r="AI84" s="2">
        <f t="shared" si="15"/>
        <v>0.12280270344786474</v>
      </c>
      <c r="AJ84" s="2" t="str">
        <f t="shared" si="15"/>
        <v/>
      </c>
      <c r="AK84" s="2" t="str">
        <f t="shared" si="15"/>
        <v/>
      </c>
      <c r="AL84" s="2" t="str">
        <f t="shared" si="15"/>
        <v/>
      </c>
      <c r="AM84" s="2" t="str">
        <f t="shared" si="13"/>
        <v/>
      </c>
      <c r="AN84" s="2" t="str">
        <f t="shared" si="13"/>
        <v/>
      </c>
      <c r="AO84" s="2" t="str">
        <f t="shared" si="13"/>
        <v/>
      </c>
      <c r="AP84" s="2" t="str">
        <f t="shared" si="13"/>
        <v/>
      </c>
      <c r="AQ84" s="2" t="str">
        <f t="shared" si="13"/>
        <v/>
      </c>
      <c r="AR84" s="2">
        <f t="shared" si="13"/>
        <v>9.5288668886190156E-2</v>
      </c>
      <c r="AT84" s="143">
        <f t="shared" si="11"/>
        <v>7.018198827343558E-3</v>
      </c>
      <c r="AU84" s="143">
        <f t="shared" si="12"/>
        <v>-1.3137809230955741E-2</v>
      </c>
      <c r="AV84" s="143">
        <f t="shared" si="16"/>
        <v>3.4801374082883307E-2</v>
      </c>
      <c r="AW84" s="143" t="str">
        <f t="shared" si="16"/>
        <v/>
      </c>
      <c r="AX84" s="143" t="str">
        <f t="shared" si="16"/>
        <v/>
      </c>
      <c r="AY84" s="143" t="str">
        <f t="shared" si="14"/>
        <v/>
      </c>
      <c r="AZ84" s="143" t="str">
        <f t="shared" si="14"/>
        <v/>
      </c>
      <c r="BA84" s="143" t="str">
        <f t="shared" si="14"/>
        <v/>
      </c>
      <c r="BB84" s="143" t="str">
        <f t="shared" si="14"/>
        <v/>
      </c>
      <c r="BC84" s="143" t="str">
        <f t="shared" si="14"/>
        <v/>
      </c>
      <c r="BD84" s="143" t="str">
        <f t="shared" si="14"/>
        <v/>
      </c>
      <c r="BF84" s="9">
        <f t="shared" si="19"/>
        <v>2.5217829939686514E-4</v>
      </c>
      <c r="BG84" s="9">
        <f t="shared" si="20"/>
        <v>0.94080629615515066</v>
      </c>
    </row>
    <row r="85" spans="2:59" x14ac:dyDescent="0.35">
      <c r="B85" s="3" t="s">
        <v>163</v>
      </c>
      <c r="D85" s="141">
        <v>1106299</v>
      </c>
      <c r="E85" s="141">
        <v>877384</v>
      </c>
      <c r="F85" s="141">
        <v>633136</v>
      </c>
      <c r="G85" s="141">
        <v>128668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17"/>
        <v>2745487</v>
      </c>
      <c r="R85" s="141">
        <v>116708</v>
      </c>
      <c r="S85" s="141">
        <v>80689</v>
      </c>
      <c r="T85" s="141">
        <v>65519</v>
      </c>
      <c r="U85" s="141">
        <v>16975</v>
      </c>
      <c r="V85" s="141"/>
      <c r="W85" s="141"/>
      <c r="X85" s="141"/>
      <c r="Y85" s="141"/>
      <c r="Z85" s="141"/>
      <c r="AA85" s="141"/>
      <c r="AB85" s="141"/>
      <c r="AC85" s="141"/>
      <c r="AD85" s="141">
        <f t="shared" si="18"/>
        <v>279891</v>
      </c>
      <c r="AF85" s="2">
        <f t="shared" si="15"/>
        <v>0.10549408432982403</v>
      </c>
      <c r="AG85" s="2">
        <f t="shared" si="15"/>
        <v>9.1965433607177696E-2</v>
      </c>
      <c r="AH85" s="2">
        <f t="shared" si="15"/>
        <v>0.10348329584796948</v>
      </c>
      <c r="AI85" s="2">
        <f t="shared" si="15"/>
        <v>0.13192868467684274</v>
      </c>
      <c r="AJ85" s="2" t="str">
        <f t="shared" si="15"/>
        <v/>
      </c>
      <c r="AK85" s="2" t="str">
        <f t="shared" si="15"/>
        <v/>
      </c>
      <c r="AL85" s="2" t="str">
        <f t="shared" si="15"/>
        <v/>
      </c>
      <c r="AM85" s="2" t="str">
        <f t="shared" si="13"/>
        <v/>
      </c>
      <c r="AN85" s="2" t="str">
        <f t="shared" si="13"/>
        <v/>
      </c>
      <c r="AO85" s="2" t="str">
        <f t="shared" si="13"/>
        <v/>
      </c>
      <c r="AP85" s="2" t="str">
        <f t="shared" si="13"/>
        <v/>
      </c>
      <c r="AQ85" s="2" t="str">
        <f t="shared" si="13"/>
        <v/>
      </c>
      <c r="AR85" s="2">
        <f t="shared" si="13"/>
        <v>0.10194584785868591</v>
      </c>
      <c r="AT85" s="143">
        <f t="shared" si="11"/>
        <v>-1.3528650722646335E-2</v>
      </c>
      <c r="AU85" s="143">
        <f t="shared" si="12"/>
        <v>1.1517862240791779E-2</v>
      </c>
      <c r="AV85" s="143">
        <f t="shared" si="16"/>
        <v>2.8445388828873264E-2</v>
      </c>
      <c r="AW85" s="143" t="str">
        <f t="shared" si="16"/>
        <v/>
      </c>
      <c r="AX85" s="143" t="str">
        <f t="shared" si="16"/>
        <v/>
      </c>
      <c r="AY85" s="143" t="str">
        <f t="shared" si="14"/>
        <v/>
      </c>
      <c r="AZ85" s="143" t="str">
        <f t="shared" si="14"/>
        <v/>
      </c>
      <c r="BA85" s="143" t="str">
        <f t="shared" si="14"/>
        <v/>
      </c>
      <c r="BB85" s="143" t="str">
        <f t="shared" si="14"/>
        <v/>
      </c>
      <c r="BC85" s="143" t="str">
        <f t="shared" si="14"/>
        <v/>
      </c>
      <c r="BD85" s="143" t="str">
        <f t="shared" si="14"/>
        <v/>
      </c>
      <c r="BF85" s="9">
        <f t="shared" si="19"/>
        <v>2.0119732619319744E-4</v>
      </c>
      <c r="BG85" s="9">
        <f t="shared" si="20"/>
        <v>0.94100749348134383</v>
      </c>
    </row>
    <row r="86" spans="2:59" x14ac:dyDescent="0.35">
      <c r="B86" s="3" t="s">
        <v>166</v>
      </c>
      <c r="D86" s="141">
        <v>3811622</v>
      </c>
      <c r="E86" s="141">
        <v>2451553</v>
      </c>
      <c r="F86" s="141">
        <v>2425727</v>
      </c>
      <c r="G86" s="141">
        <v>438930</v>
      </c>
      <c r="H86" s="141"/>
      <c r="I86" s="141"/>
      <c r="J86" s="141"/>
      <c r="K86" s="141"/>
      <c r="L86" s="141"/>
      <c r="M86" s="141"/>
      <c r="N86" s="141"/>
      <c r="O86" s="141"/>
      <c r="P86" s="141">
        <f t="shared" si="17"/>
        <v>9127832</v>
      </c>
      <c r="R86" s="141">
        <v>453579</v>
      </c>
      <c r="S86" s="141">
        <v>294949</v>
      </c>
      <c r="T86" s="141">
        <v>282527</v>
      </c>
      <c r="U86" s="141">
        <v>50890</v>
      </c>
      <c r="V86" s="141"/>
      <c r="W86" s="141"/>
      <c r="X86" s="141"/>
      <c r="Y86" s="141"/>
      <c r="Z86" s="141"/>
      <c r="AA86" s="141"/>
      <c r="AB86" s="141"/>
      <c r="AC86" s="141"/>
      <c r="AD86" s="141">
        <f t="shared" si="18"/>
        <v>1081945</v>
      </c>
      <c r="AF86" s="2">
        <f t="shared" si="15"/>
        <v>0.11899894585559638</v>
      </c>
      <c r="AG86" s="2">
        <f t="shared" si="15"/>
        <v>0.12031108444320804</v>
      </c>
      <c r="AH86" s="2">
        <f t="shared" si="15"/>
        <v>0.11647106207747203</v>
      </c>
      <c r="AI86" s="2">
        <f t="shared" si="15"/>
        <v>0.1159410384343745</v>
      </c>
      <c r="AJ86" s="2" t="str">
        <f t="shared" si="15"/>
        <v/>
      </c>
      <c r="AK86" s="2" t="str">
        <f t="shared" si="15"/>
        <v/>
      </c>
      <c r="AL86" s="2" t="str">
        <f t="shared" si="15"/>
        <v/>
      </c>
      <c r="AM86" s="2" t="str">
        <f t="shared" si="13"/>
        <v/>
      </c>
      <c r="AN86" s="2" t="str">
        <f t="shared" si="13"/>
        <v/>
      </c>
      <c r="AO86" s="2" t="str">
        <f t="shared" si="13"/>
        <v/>
      </c>
      <c r="AP86" s="2" t="str">
        <f t="shared" si="13"/>
        <v/>
      </c>
      <c r="AQ86" s="2" t="str">
        <f t="shared" si="13"/>
        <v/>
      </c>
      <c r="AR86" s="2">
        <f t="shared" si="13"/>
        <v>0.11853252776782044</v>
      </c>
      <c r="AT86" s="143">
        <f t="shared" si="11"/>
        <v>1.3121385876116581E-3</v>
      </c>
      <c r="AU86" s="143">
        <f t="shared" si="12"/>
        <v>-3.8400223657360094E-3</v>
      </c>
      <c r="AV86" s="143">
        <f t="shared" si="16"/>
        <v>-5.3002364309752414E-4</v>
      </c>
      <c r="AW86" s="143" t="str">
        <f t="shared" si="16"/>
        <v/>
      </c>
      <c r="AX86" s="143" t="str">
        <f t="shared" si="16"/>
        <v/>
      </c>
      <c r="AY86" s="143" t="str">
        <f t="shared" si="14"/>
        <v/>
      </c>
      <c r="AZ86" s="143" t="str">
        <f t="shared" si="14"/>
        <v/>
      </c>
      <c r="BA86" s="143" t="str">
        <f t="shared" si="14"/>
        <v/>
      </c>
      <c r="BB86" s="143" t="str">
        <f t="shared" si="14"/>
        <v/>
      </c>
      <c r="BC86" s="143" t="str">
        <f t="shared" si="14"/>
        <v/>
      </c>
      <c r="BD86" s="143" t="str">
        <f t="shared" si="14"/>
        <v/>
      </c>
      <c r="BF86" s="9">
        <f t="shared" si="19"/>
        <v>7.7774719833113252E-4</v>
      </c>
      <c r="BG86" s="9">
        <f t="shared" si="20"/>
        <v>0.94178524067967495</v>
      </c>
    </row>
    <row r="87" spans="2:59" x14ac:dyDescent="0.35">
      <c r="B87" s="3" t="s">
        <v>203</v>
      </c>
      <c r="D87" s="141">
        <v>36880724</v>
      </c>
      <c r="E87" s="141">
        <v>33524150</v>
      </c>
      <c r="F87" s="141">
        <v>35210224</v>
      </c>
      <c r="G87" s="141">
        <v>4622755</v>
      </c>
      <c r="H87" s="141"/>
      <c r="I87" s="141"/>
      <c r="J87" s="141"/>
      <c r="K87" s="141"/>
      <c r="L87" s="141"/>
      <c r="M87" s="141"/>
      <c r="N87" s="141"/>
      <c r="O87" s="141"/>
      <c r="P87" s="141">
        <f t="shared" si="17"/>
        <v>110237853</v>
      </c>
      <c r="R87" s="141">
        <v>2691624</v>
      </c>
      <c r="S87" s="141">
        <v>2423381</v>
      </c>
      <c r="T87" s="141">
        <v>2445222</v>
      </c>
      <c r="U87" s="141">
        <v>368156</v>
      </c>
      <c r="V87" s="141"/>
      <c r="W87" s="141"/>
      <c r="X87" s="141"/>
      <c r="Y87" s="141"/>
      <c r="Z87" s="141"/>
      <c r="AA87" s="141"/>
      <c r="AB87" s="141"/>
      <c r="AC87" s="141"/>
      <c r="AD87" s="141">
        <f t="shared" si="18"/>
        <v>7928383</v>
      </c>
      <c r="AF87" s="2">
        <f t="shared" si="15"/>
        <v>7.2981864455806233E-2</v>
      </c>
      <c r="AG87" s="2">
        <f t="shared" si="15"/>
        <v>7.2287619522046043E-2</v>
      </c>
      <c r="AH87" s="2">
        <f t="shared" si="15"/>
        <v>6.9446363079087484E-2</v>
      </c>
      <c r="AI87" s="2">
        <f t="shared" si="15"/>
        <v>7.9639954961922055E-2</v>
      </c>
      <c r="AJ87" s="2" t="str">
        <f t="shared" si="15"/>
        <v/>
      </c>
      <c r="AK87" s="2" t="str">
        <f t="shared" si="15"/>
        <v/>
      </c>
      <c r="AL87" s="2" t="str">
        <f t="shared" si="15"/>
        <v/>
      </c>
      <c r="AM87" s="2" t="str">
        <f t="shared" si="15"/>
        <v/>
      </c>
      <c r="AN87" s="2" t="str">
        <f t="shared" si="15"/>
        <v/>
      </c>
      <c r="AO87" s="2" t="str">
        <f t="shared" si="15"/>
        <v/>
      </c>
      <c r="AP87" s="2" t="str">
        <f t="shared" si="15"/>
        <v/>
      </c>
      <c r="AQ87" s="2" t="str">
        <f t="shared" si="15"/>
        <v/>
      </c>
      <c r="AR87" s="2">
        <f t="shared" si="15"/>
        <v>7.1920694972170768E-2</v>
      </c>
      <c r="AT87" s="143">
        <f t="shared" si="11"/>
        <v>-6.9424493376019081E-4</v>
      </c>
      <c r="AU87" s="143">
        <f t="shared" si="12"/>
        <v>-2.8412564429585591E-3</v>
      </c>
      <c r="AV87" s="143">
        <f t="shared" si="16"/>
        <v>1.0193591882834571E-2</v>
      </c>
      <c r="AW87" s="143" t="str">
        <f t="shared" si="16"/>
        <v/>
      </c>
      <c r="AX87" s="143" t="str">
        <f t="shared" si="16"/>
        <v/>
      </c>
      <c r="AY87" s="143" t="str">
        <f t="shared" si="16"/>
        <v/>
      </c>
      <c r="AZ87" s="143" t="str">
        <f t="shared" si="16"/>
        <v/>
      </c>
      <c r="BA87" s="143" t="str">
        <f t="shared" si="16"/>
        <v/>
      </c>
      <c r="BB87" s="143" t="str">
        <f t="shared" si="16"/>
        <v/>
      </c>
      <c r="BC87" s="143" t="str">
        <f t="shared" si="16"/>
        <v/>
      </c>
      <c r="BD87" s="143" t="str">
        <f t="shared" si="16"/>
        <v/>
      </c>
      <c r="BF87" s="9">
        <f t="shared" si="19"/>
        <v>5.6992524255356598E-3</v>
      </c>
      <c r="BG87" s="9">
        <f t="shared" si="20"/>
        <v>0.94748449310521066</v>
      </c>
    </row>
    <row r="88" spans="2:59" x14ac:dyDescent="0.35">
      <c r="B88" s="3" t="s">
        <v>164</v>
      </c>
      <c r="D88" s="141">
        <v>1147838</v>
      </c>
      <c r="E88" s="141">
        <v>1012059</v>
      </c>
      <c r="F88" s="141">
        <v>988538</v>
      </c>
      <c r="G88" s="141">
        <v>117398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17"/>
        <v>3265833</v>
      </c>
      <c r="R88" s="141">
        <v>107962</v>
      </c>
      <c r="S88" s="141">
        <v>101851</v>
      </c>
      <c r="T88" s="141">
        <v>93437</v>
      </c>
      <c r="U88" s="141">
        <v>9611</v>
      </c>
      <c r="V88" s="141"/>
      <c r="W88" s="141"/>
      <c r="X88" s="141"/>
      <c r="Y88" s="141"/>
      <c r="Z88" s="141"/>
      <c r="AA88" s="141"/>
      <c r="AB88" s="141"/>
      <c r="AC88" s="141"/>
      <c r="AD88" s="141">
        <f t="shared" si="18"/>
        <v>312861</v>
      </c>
      <c r="AF88" s="2">
        <f t="shared" ref="AF88:AR107" si="21">+IFERROR(R88/D88,"")</f>
        <v>9.405682683444877E-2</v>
      </c>
      <c r="AG88" s="2">
        <f t="shared" si="21"/>
        <v>0.10063741343143039</v>
      </c>
      <c r="AH88" s="2">
        <f t="shared" si="21"/>
        <v>9.4520392741604273E-2</v>
      </c>
      <c r="AI88" s="2">
        <f t="shared" si="21"/>
        <v>8.1866812041090989E-2</v>
      </c>
      <c r="AJ88" s="2" t="str">
        <f t="shared" si="21"/>
        <v/>
      </c>
      <c r="AK88" s="2" t="str">
        <f t="shared" si="21"/>
        <v/>
      </c>
      <c r="AL88" s="2" t="str">
        <f t="shared" si="21"/>
        <v/>
      </c>
      <c r="AM88" s="2" t="str">
        <f t="shared" si="21"/>
        <v/>
      </c>
      <c r="AN88" s="2" t="str">
        <f t="shared" si="21"/>
        <v/>
      </c>
      <c r="AO88" s="2" t="str">
        <f t="shared" si="21"/>
        <v/>
      </c>
      <c r="AP88" s="2" t="str">
        <f t="shared" si="21"/>
        <v/>
      </c>
      <c r="AQ88" s="2" t="str">
        <f t="shared" si="21"/>
        <v/>
      </c>
      <c r="AR88" s="2">
        <f t="shared" si="21"/>
        <v>9.5798223607881969E-2</v>
      </c>
      <c r="AT88" s="143">
        <f t="shared" si="11"/>
        <v>6.5805865969816163E-3</v>
      </c>
      <c r="AU88" s="143">
        <f t="shared" si="12"/>
        <v>-6.1170206898261137E-3</v>
      </c>
      <c r="AV88" s="143">
        <f t="shared" ref="AV88:BD116" si="22">+IFERROR(AI88-AH88,"")</f>
        <v>-1.2653580700513284E-2</v>
      </c>
      <c r="AW88" s="143" t="str">
        <f t="shared" si="22"/>
        <v/>
      </c>
      <c r="AX88" s="143" t="str">
        <f t="shared" si="22"/>
        <v/>
      </c>
      <c r="AY88" s="143" t="str">
        <f t="shared" si="22"/>
        <v/>
      </c>
      <c r="AZ88" s="143" t="str">
        <f t="shared" si="22"/>
        <v/>
      </c>
      <c r="BA88" s="143" t="str">
        <f t="shared" si="22"/>
        <v/>
      </c>
      <c r="BB88" s="143" t="str">
        <f t="shared" si="22"/>
        <v/>
      </c>
      <c r="BC88" s="143" t="str">
        <f t="shared" si="22"/>
        <v/>
      </c>
      <c r="BD88" s="143" t="str">
        <f t="shared" si="22"/>
        <v/>
      </c>
      <c r="BF88" s="9">
        <f t="shared" si="19"/>
        <v>2.2489753750613612E-4</v>
      </c>
      <c r="BG88" s="9">
        <f t="shared" si="20"/>
        <v>0.94770939064271675</v>
      </c>
    </row>
    <row r="89" spans="2:59" x14ac:dyDescent="0.35">
      <c r="B89" s="3" t="s">
        <v>179</v>
      </c>
      <c r="D89" s="141">
        <v>916077</v>
      </c>
      <c r="E89" s="141">
        <v>875433</v>
      </c>
      <c r="F89" s="141">
        <v>920901</v>
      </c>
      <c r="G89" s="141">
        <v>179626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17"/>
        <v>2892037</v>
      </c>
      <c r="R89" s="141">
        <v>102262</v>
      </c>
      <c r="S89" s="141">
        <v>101945</v>
      </c>
      <c r="T89" s="141">
        <v>105234</v>
      </c>
      <c r="U89" s="141">
        <v>19989</v>
      </c>
      <c r="V89" s="141"/>
      <c r="W89" s="141"/>
      <c r="X89" s="141"/>
      <c r="Y89" s="141"/>
      <c r="Z89" s="141"/>
      <c r="AA89" s="141"/>
      <c r="AB89" s="141"/>
      <c r="AC89" s="141"/>
      <c r="AD89" s="141">
        <f t="shared" si="18"/>
        <v>329430</v>
      </c>
      <c r="AF89" s="2">
        <f t="shared" si="21"/>
        <v>0.11163035421694902</v>
      </c>
      <c r="AG89" s="2">
        <f t="shared" si="21"/>
        <v>0.11645094484672157</v>
      </c>
      <c r="AH89" s="2">
        <f t="shared" si="21"/>
        <v>0.11427286972215255</v>
      </c>
      <c r="AI89" s="2">
        <f t="shared" si="21"/>
        <v>0.11128121764109873</v>
      </c>
      <c r="AJ89" s="2" t="str">
        <f t="shared" si="21"/>
        <v/>
      </c>
      <c r="AK89" s="2" t="str">
        <f t="shared" si="21"/>
        <v/>
      </c>
      <c r="AL89" s="2" t="str">
        <f t="shared" si="21"/>
        <v/>
      </c>
      <c r="AM89" s="2" t="str">
        <f t="shared" si="21"/>
        <v/>
      </c>
      <c r="AN89" s="2" t="str">
        <f t="shared" si="21"/>
        <v/>
      </c>
      <c r="AO89" s="2" t="str">
        <f t="shared" si="21"/>
        <v/>
      </c>
      <c r="AP89" s="2" t="str">
        <f t="shared" si="21"/>
        <v/>
      </c>
      <c r="AQ89" s="2" t="str">
        <f t="shared" si="21"/>
        <v/>
      </c>
      <c r="AR89" s="2">
        <f t="shared" si="21"/>
        <v>0.11390933103552962</v>
      </c>
      <c r="AT89" s="143">
        <f t="shared" si="11"/>
        <v>4.8205906297725531E-3</v>
      </c>
      <c r="AU89" s="143">
        <f t="shared" si="12"/>
        <v>-2.1780751245690233E-3</v>
      </c>
      <c r="AV89" s="143">
        <f t="shared" si="22"/>
        <v>-2.9916520810538139E-3</v>
      </c>
      <c r="AW89" s="143" t="str">
        <f t="shared" si="22"/>
        <v/>
      </c>
      <c r="AX89" s="143" t="str">
        <f t="shared" si="22"/>
        <v/>
      </c>
      <c r="AY89" s="143" t="str">
        <f t="shared" si="22"/>
        <v/>
      </c>
      <c r="AZ89" s="143" t="str">
        <f t="shared" si="22"/>
        <v/>
      </c>
      <c r="BA89" s="143" t="str">
        <f t="shared" si="22"/>
        <v/>
      </c>
      <c r="BB89" s="143" t="str">
        <f t="shared" si="22"/>
        <v/>
      </c>
      <c r="BC89" s="143" t="str">
        <f t="shared" si="22"/>
        <v/>
      </c>
      <c r="BD89" s="143" t="str">
        <f t="shared" si="22"/>
        <v/>
      </c>
      <c r="BF89" s="9">
        <f t="shared" si="19"/>
        <v>2.3680802586658746E-4</v>
      </c>
      <c r="BG89" s="9">
        <f t="shared" si="20"/>
        <v>0.94794619866858332</v>
      </c>
    </row>
    <row r="90" spans="2:59" x14ac:dyDescent="0.35">
      <c r="B90" s="3" t="s">
        <v>168</v>
      </c>
      <c r="D90" s="141">
        <v>923532</v>
      </c>
      <c r="E90" s="141">
        <v>874472</v>
      </c>
      <c r="F90" s="141">
        <v>870511</v>
      </c>
      <c r="G90" s="141">
        <v>109738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17"/>
        <v>2778253</v>
      </c>
      <c r="R90" s="141">
        <v>122868</v>
      </c>
      <c r="S90" s="141">
        <v>106267</v>
      </c>
      <c r="T90" s="141">
        <v>100274</v>
      </c>
      <c r="U90" s="141">
        <v>16499</v>
      </c>
      <c r="V90" s="141"/>
      <c r="W90" s="141"/>
      <c r="X90" s="141"/>
      <c r="Y90" s="141"/>
      <c r="Z90" s="141"/>
      <c r="AA90" s="141"/>
      <c r="AB90" s="141"/>
      <c r="AC90" s="141"/>
      <c r="AD90" s="141">
        <f t="shared" si="18"/>
        <v>345908</v>
      </c>
      <c r="AF90" s="2">
        <f t="shared" si="21"/>
        <v>0.1330414105845818</v>
      </c>
      <c r="AG90" s="2">
        <f t="shared" si="21"/>
        <v>0.12152132944222342</v>
      </c>
      <c r="AH90" s="2">
        <f t="shared" si="21"/>
        <v>0.11518981379902149</v>
      </c>
      <c r="AI90" s="2">
        <f t="shared" si="21"/>
        <v>0.15034901310393847</v>
      </c>
      <c r="AJ90" s="2" t="str">
        <f t="shared" si="21"/>
        <v/>
      </c>
      <c r="AK90" s="2" t="str">
        <f t="shared" si="21"/>
        <v/>
      </c>
      <c r="AL90" s="2" t="str">
        <f t="shared" si="21"/>
        <v/>
      </c>
      <c r="AM90" s="2" t="str">
        <f t="shared" si="21"/>
        <v/>
      </c>
      <c r="AN90" s="2" t="str">
        <f t="shared" si="21"/>
        <v/>
      </c>
      <c r="AO90" s="2" t="str">
        <f t="shared" si="21"/>
        <v/>
      </c>
      <c r="AP90" s="2" t="str">
        <f t="shared" si="21"/>
        <v/>
      </c>
      <c r="AQ90" s="2" t="str">
        <f t="shared" si="21"/>
        <v/>
      </c>
      <c r="AR90" s="2">
        <f t="shared" si="21"/>
        <v>0.12450557958544452</v>
      </c>
      <c r="AT90" s="143">
        <f t="shared" si="11"/>
        <v>-1.1520081142358377E-2</v>
      </c>
      <c r="AU90" s="143">
        <f t="shared" si="12"/>
        <v>-6.3315156432019321E-3</v>
      </c>
      <c r="AV90" s="143">
        <f t="shared" si="22"/>
        <v>3.5159199304916983E-2</v>
      </c>
      <c r="AW90" s="143" t="str">
        <f t="shared" si="22"/>
        <v/>
      </c>
      <c r="AX90" s="143" t="str">
        <f t="shared" si="22"/>
        <v/>
      </c>
      <c r="AY90" s="143" t="str">
        <f t="shared" si="22"/>
        <v/>
      </c>
      <c r="AZ90" s="143" t="str">
        <f t="shared" si="22"/>
        <v/>
      </c>
      <c r="BA90" s="143" t="str">
        <f t="shared" si="22"/>
        <v/>
      </c>
      <c r="BB90" s="143" t="str">
        <f t="shared" si="22"/>
        <v/>
      </c>
      <c r="BC90" s="143" t="str">
        <f t="shared" si="22"/>
        <v/>
      </c>
      <c r="BD90" s="143" t="str">
        <f t="shared" si="22"/>
        <v/>
      </c>
      <c r="BF90" s="9">
        <f t="shared" si="19"/>
        <v>2.4865309963105828E-4</v>
      </c>
      <c r="BG90" s="9">
        <f t="shared" si="20"/>
        <v>0.94819485176821439</v>
      </c>
    </row>
    <row r="91" spans="2:59" x14ac:dyDescent="0.35">
      <c r="B91" s="3" t="s">
        <v>170</v>
      </c>
      <c r="D91" s="141">
        <v>101053</v>
      </c>
      <c r="E91" s="141">
        <v>106052</v>
      </c>
      <c r="F91" s="141">
        <v>96713</v>
      </c>
      <c r="G91" s="141">
        <v>13866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17"/>
        <v>317684</v>
      </c>
      <c r="R91" s="141">
        <v>13561</v>
      </c>
      <c r="S91" s="141">
        <v>15087</v>
      </c>
      <c r="T91" s="141">
        <v>14849</v>
      </c>
      <c r="U91" s="141">
        <v>2591</v>
      </c>
      <c r="V91" s="141"/>
      <c r="W91" s="141"/>
      <c r="X91" s="141"/>
      <c r="Y91" s="141"/>
      <c r="Z91" s="141"/>
      <c r="AA91" s="141"/>
      <c r="AB91" s="141"/>
      <c r="AC91" s="141"/>
      <c r="AD91" s="141">
        <f t="shared" si="18"/>
        <v>46088</v>
      </c>
      <c r="AF91" s="2">
        <f t="shared" si="21"/>
        <v>0.13419690657377811</v>
      </c>
      <c r="AG91" s="2">
        <f t="shared" si="21"/>
        <v>0.14226040055821673</v>
      </c>
      <c r="AH91" s="2">
        <f t="shared" si="21"/>
        <v>0.15353675307352682</v>
      </c>
      <c r="AI91" s="2">
        <f t="shared" si="21"/>
        <v>0.18685994518967258</v>
      </c>
      <c r="AJ91" s="2" t="str">
        <f t="shared" si="21"/>
        <v/>
      </c>
      <c r="AK91" s="2" t="str">
        <f t="shared" si="21"/>
        <v/>
      </c>
      <c r="AL91" s="2" t="str">
        <f t="shared" si="21"/>
        <v/>
      </c>
      <c r="AM91" s="2" t="str">
        <f t="shared" si="21"/>
        <v/>
      </c>
      <c r="AN91" s="2" t="str">
        <f t="shared" si="21"/>
        <v/>
      </c>
      <c r="AO91" s="2" t="str">
        <f t="shared" si="21"/>
        <v/>
      </c>
      <c r="AP91" s="2" t="str">
        <f t="shared" si="21"/>
        <v/>
      </c>
      <c r="AQ91" s="2" t="str">
        <f t="shared" si="21"/>
        <v/>
      </c>
      <c r="AR91" s="2">
        <f t="shared" si="21"/>
        <v>0.14507498016897294</v>
      </c>
      <c r="AT91" s="143">
        <f t="shared" si="11"/>
        <v>8.0634939844386189E-3</v>
      </c>
      <c r="AU91" s="143">
        <f t="shared" si="12"/>
        <v>1.127635251531009E-2</v>
      </c>
      <c r="AV91" s="143">
        <f t="shared" si="22"/>
        <v>3.3323192116145761E-2</v>
      </c>
      <c r="AW91" s="143" t="str">
        <f t="shared" si="22"/>
        <v/>
      </c>
      <c r="AX91" s="143" t="str">
        <f t="shared" si="22"/>
        <v/>
      </c>
      <c r="AY91" s="143" t="str">
        <f t="shared" si="22"/>
        <v/>
      </c>
      <c r="AZ91" s="143" t="str">
        <f t="shared" si="22"/>
        <v/>
      </c>
      <c r="BA91" s="143" t="str">
        <f t="shared" si="22"/>
        <v/>
      </c>
      <c r="BB91" s="143" t="str">
        <f t="shared" si="22"/>
        <v/>
      </c>
      <c r="BC91" s="143" t="str">
        <f t="shared" si="22"/>
        <v/>
      </c>
      <c r="BD91" s="143" t="str">
        <f t="shared" si="22"/>
        <v/>
      </c>
      <c r="BF91" s="9">
        <f t="shared" si="19"/>
        <v>3.3129976918129143E-5</v>
      </c>
      <c r="BG91" s="9">
        <f t="shared" si="20"/>
        <v>0.94822798174513256</v>
      </c>
    </row>
    <row r="92" spans="2:59" x14ac:dyDescent="0.35">
      <c r="B92" s="3" t="s">
        <v>171</v>
      </c>
      <c r="D92" s="141">
        <v>944630</v>
      </c>
      <c r="E92" s="141">
        <v>840438</v>
      </c>
      <c r="F92" s="141">
        <v>666301</v>
      </c>
      <c r="G92" s="141">
        <v>165002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17"/>
        <v>2616371</v>
      </c>
      <c r="R92" s="141">
        <v>128242</v>
      </c>
      <c r="S92" s="141">
        <v>98455</v>
      </c>
      <c r="T92" s="141">
        <v>72873</v>
      </c>
      <c r="U92" s="141">
        <v>19270</v>
      </c>
      <c r="V92" s="141"/>
      <c r="W92" s="141"/>
      <c r="X92" s="141"/>
      <c r="Y92" s="141"/>
      <c r="Z92" s="141"/>
      <c r="AA92" s="141"/>
      <c r="AB92" s="141"/>
      <c r="AC92" s="141"/>
      <c r="AD92" s="141">
        <f t="shared" si="18"/>
        <v>318840</v>
      </c>
      <c r="AF92" s="2">
        <f t="shared" si="21"/>
        <v>0.13575897441326235</v>
      </c>
      <c r="AG92" s="2">
        <f t="shared" si="21"/>
        <v>0.11714724941042647</v>
      </c>
      <c r="AH92" s="2">
        <f t="shared" si="21"/>
        <v>0.10936948916480689</v>
      </c>
      <c r="AI92" s="2">
        <f t="shared" si="21"/>
        <v>0.11678646319438553</v>
      </c>
      <c r="AJ92" s="2" t="str">
        <f t="shared" si="21"/>
        <v/>
      </c>
      <c r="AK92" s="2" t="str">
        <f t="shared" si="21"/>
        <v/>
      </c>
      <c r="AL92" s="2" t="str">
        <f t="shared" si="21"/>
        <v/>
      </c>
      <c r="AM92" s="2" t="str">
        <f t="shared" si="21"/>
        <v/>
      </c>
      <c r="AN92" s="2" t="str">
        <f t="shared" si="21"/>
        <v/>
      </c>
      <c r="AO92" s="2" t="str">
        <f t="shared" si="21"/>
        <v/>
      </c>
      <c r="AP92" s="2" t="str">
        <f t="shared" si="21"/>
        <v/>
      </c>
      <c r="AQ92" s="2" t="str">
        <f t="shared" si="21"/>
        <v/>
      </c>
      <c r="AR92" s="2">
        <f t="shared" si="21"/>
        <v>0.12186345132246153</v>
      </c>
      <c r="AT92" s="143">
        <f t="shared" si="11"/>
        <v>-1.861172500283588E-2</v>
      </c>
      <c r="AU92" s="143">
        <f t="shared" si="12"/>
        <v>-7.7777602456195749E-3</v>
      </c>
      <c r="AV92" s="143">
        <f t="shared" si="22"/>
        <v>7.4169740295786379E-3</v>
      </c>
      <c r="AW92" s="143" t="str">
        <f t="shared" si="22"/>
        <v/>
      </c>
      <c r="AX92" s="143" t="str">
        <f t="shared" si="22"/>
        <v/>
      </c>
      <c r="AY92" s="143" t="str">
        <f t="shared" si="22"/>
        <v/>
      </c>
      <c r="AZ92" s="143" t="str">
        <f t="shared" si="22"/>
        <v/>
      </c>
      <c r="BA92" s="143" t="str">
        <f t="shared" si="22"/>
        <v/>
      </c>
      <c r="BB92" s="143" t="str">
        <f t="shared" si="22"/>
        <v/>
      </c>
      <c r="BC92" s="143" t="str">
        <f t="shared" si="22"/>
        <v/>
      </c>
      <c r="BD92" s="143" t="str">
        <f t="shared" si="22"/>
        <v/>
      </c>
      <c r="BF92" s="9">
        <f t="shared" si="19"/>
        <v>2.2919549211456984E-4</v>
      </c>
      <c r="BG92" s="9">
        <f t="shared" si="20"/>
        <v>0.9484571772372471</v>
      </c>
    </row>
    <row r="93" spans="2:59" x14ac:dyDescent="0.35">
      <c r="B93" s="3" t="s">
        <v>182</v>
      </c>
      <c r="D93" s="141">
        <v>1054541</v>
      </c>
      <c r="E93" s="141">
        <v>1042680</v>
      </c>
      <c r="F93" s="141">
        <v>860752</v>
      </c>
      <c r="G93" s="141">
        <v>58727</v>
      </c>
      <c r="H93" s="141"/>
      <c r="I93" s="141"/>
      <c r="J93" s="141"/>
      <c r="K93" s="141"/>
      <c r="L93" s="141"/>
      <c r="M93" s="141"/>
      <c r="N93" s="141"/>
      <c r="O93" s="141"/>
      <c r="P93" s="141">
        <f t="shared" si="17"/>
        <v>3016700</v>
      </c>
      <c r="R93" s="141">
        <v>91292</v>
      </c>
      <c r="S93" s="141">
        <v>154453</v>
      </c>
      <c r="T93" s="141">
        <v>115969</v>
      </c>
      <c r="U93" s="141">
        <v>9494</v>
      </c>
      <c r="V93" s="141"/>
      <c r="W93" s="141"/>
      <c r="X93" s="141"/>
      <c r="Y93" s="141"/>
      <c r="Z93" s="141"/>
      <c r="AA93" s="141"/>
      <c r="AB93" s="141"/>
      <c r="AC93" s="141"/>
      <c r="AD93" s="141">
        <f t="shared" si="18"/>
        <v>371208</v>
      </c>
      <c r="AF93" s="2">
        <f t="shared" si="21"/>
        <v>8.6570365685165393E-2</v>
      </c>
      <c r="AG93" s="2">
        <f t="shared" si="21"/>
        <v>0.1481307783787931</v>
      </c>
      <c r="AH93" s="2">
        <f t="shared" si="21"/>
        <v>0.13472986411881704</v>
      </c>
      <c r="AI93" s="2">
        <f t="shared" si="21"/>
        <v>0.16166328945800057</v>
      </c>
      <c r="AJ93" s="2" t="str">
        <f t="shared" si="21"/>
        <v/>
      </c>
      <c r="AK93" s="2" t="str">
        <f t="shared" si="21"/>
        <v/>
      </c>
      <c r="AL93" s="2" t="str">
        <f t="shared" si="21"/>
        <v/>
      </c>
      <c r="AM93" s="2" t="str">
        <f t="shared" si="21"/>
        <v/>
      </c>
      <c r="AN93" s="2" t="str">
        <f t="shared" si="21"/>
        <v/>
      </c>
      <c r="AO93" s="2" t="str">
        <f t="shared" si="21"/>
        <v/>
      </c>
      <c r="AP93" s="2" t="str">
        <f t="shared" si="21"/>
        <v/>
      </c>
      <c r="AQ93" s="2" t="str">
        <f t="shared" si="21"/>
        <v/>
      </c>
      <c r="AR93" s="2">
        <f t="shared" si="21"/>
        <v>0.1230510160108728</v>
      </c>
      <c r="AT93" s="143">
        <f t="shared" si="11"/>
        <v>6.1560412693627706E-2</v>
      </c>
      <c r="AU93" s="143">
        <f t="shared" si="12"/>
        <v>-1.3400914259976054E-2</v>
      </c>
      <c r="AV93" s="143">
        <f t="shared" si="22"/>
        <v>2.6933425339183525E-2</v>
      </c>
      <c r="AW93" s="143" t="str">
        <f t="shared" si="22"/>
        <v/>
      </c>
      <c r="AX93" s="143" t="str">
        <f t="shared" si="22"/>
        <v/>
      </c>
      <c r="AY93" s="143" t="str">
        <f t="shared" si="22"/>
        <v/>
      </c>
      <c r="AZ93" s="143" t="str">
        <f t="shared" si="22"/>
        <v/>
      </c>
      <c r="BA93" s="143" t="str">
        <f t="shared" si="22"/>
        <v/>
      </c>
      <c r="BB93" s="143" t="str">
        <f t="shared" si="22"/>
        <v/>
      </c>
      <c r="BC93" s="143" t="str">
        <f t="shared" si="22"/>
        <v/>
      </c>
      <c r="BD93" s="143" t="str">
        <f t="shared" si="22"/>
        <v/>
      </c>
      <c r="BF93" s="9">
        <f t="shared" si="19"/>
        <v>2.6683979499706828E-4</v>
      </c>
      <c r="BG93" s="9">
        <f t="shared" si="20"/>
        <v>0.94872401703224418</v>
      </c>
    </row>
    <row r="94" spans="2:59" x14ac:dyDescent="0.35">
      <c r="B94" s="3" t="s">
        <v>195</v>
      </c>
      <c r="D94" s="141">
        <v>2100231</v>
      </c>
      <c r="E94" s="141">
        <v>1435649</v>
      </c>
      <c r="F94" s="141">
        <v>973546</v>
      </c>
      <c r="G94" s="141">
        <v>417849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17"/>
        <v>4927275</v>
      </c>
      <c r="R94" s="141">
        <v>230953</v>
      </c>
      <c r="S94" s="141">
        <v>134680</v>
      </c>
      <c r="T94" s="141">
        <v>99873</v>
      </c>
      <c r="U94" s="141">
        <v>42131</v>
      </c>
      <c r="V94" s="141"/>
      <c r="W94" s="141"/>
      <c r="X94" s="141"/>
      <c r="Y94" s="141"/>
      <c r="Z94" s="141"/>
      <c r="AA94" s="141"/>
      <c r="AB94" s="141"/>
      <c r="AC94" s="141"/>
      <c r="AD94" s="141">
        <f t="shared" si="18"/>
        <v>507637</v>
      </c>
      <c r="AF94" s="2">
        <f t="shared" si="21"/>
        <v>0.10996552284010663</v>
      </c>
      <c r="AG94" s="2">
        <f t="shared" si="21"/>
        <v>9.3811231018166699E-2</v>
      </c>
      <c r="AH94" s="2">
        <f t="shared" si="21"/>
        <v>0.10258683205518794</v>
      </c>
      <c r="AI94" s="2">
        <f t="shared" si="21"/>
        <v>0.10082828964530249</v>
      </c>
      <c r="AJ94" s="2" t="str">
        <f t="shared" si="21"/>
        <v/>
      </c>
      <c r="AK94" s="2" t="str">
        <f t="shared" si="21"/>
        <v/>
      </c>
      <c r="AL94" s="2" t="str">
        <f t="shared" si="21"/>
        <v/>
      </c>
      <c r="AM94" s="2" t="str">
        <f t="shared" si="21"/>
        <v/>
      </c>
      <c r="AN94" s="2" t="str">
        <f t="shared" si="21"/>
        <v/>
      </c>
      <c r="AO94" s="2" t="str">
        <f t="shared" si="21"/>
        <v/>
      </c>
      <c r="AP94" s="2" t="str">
        <f t="shared" si="21"/>
        <v/>
      </c>
      <c r="AQ94" s="2" t="str">
        <f t="shared" si="21"/>
        <v/>
      </c>
      <c r="AR94" s="2">
        <f t="shared" si="21"/>
        <v>0.10302591188841703</v>
      </c>
      <c r="AT94" s="143">
        <f t="shared" si="11"/>
        <v>-1.6154291821939934E-2</v>
      </c>
      <c r="AU94" s="143">
        <f t="shared" si="12"/>
        <v>8.7756010370212412E-3</v>
      </c>
      <c r="AV94" s="143">
        <f t="shared" si="22"/>
        <v>-1.7585424098854469E-3</v>
      </c>
      <c r="AW94" s="143" t="str">
        <f t="shared" si="22"/>
        <v/>
      </c>
      <c r="AX94" s="143" t="str">
        <f t="shared" si="22"/>
        <v/>
      </c>
      <c r="AY94" s="143" t="str">
        <f t="shared" si="22"/>
        <v/>
      </c>
      <c r="AZ94" s="143" t="str">
        <f t="shared" si="22"/>
        <v/>
      </c>
      <c r="BA94" s="143" t="str">
        <f t="shared" si="22"/>
        <v/>
      </c>
      <c r="BB94" s="143" t="str">
        <f t="shared" si="22"/>
        <v/>
      </c>
      <c r="BC94" s="143" t="str">
        <f t="shared" si="22"/>
        <v/>
      </c>
      <c r="BD94" s="143" t="str">
        <f t="shared" si="22"/>
        <v/>
      </c>
      <c r="BF94" s="9">
        <f t="shared" si="19"/>
        <v>3.649106512061344E-4</v>
      </c>
      <c r="BG94" s="9">
        <f t="shared" si="20"/>
        <v>0.94908892768345032</v>
      </c>
    </row>
    <row r="95" spans="2:59" x14ac:dyDescent="0.35">
      <c r="B95" s="3" t="s">
        <v>190</v>
      </c>
      <c r="D95" s="141">
        <v>1440046</v>
      </c>
      <c r="E95" s="141">
        <v>1086687</v>
      </c>
      <c r="F95" s="141">
        <v>1162453</v>
      </c>
      <c r="G95" s="141">
        <v>124038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17"/>
        <v>3813224</v>
      </c>
      <c r="R95" s="141">
        <v>180494</v>
      </c>
      <c r="S95" s="141">
        <v>127945</v>
      </c>
      <c r="T95" s="141">
        <v>137795</v>
      </c>
      <c r="U95" s="141">
        <v>14153</v>
      </c>
      <c r="V95" s="141"/>
      <c r="W95" s="141"/>
      <c r="X95" s="141"/>
      <c r="Y95" s="141"/>
      <c r="Z95" s="141"/>
      <c r="AA95" s="141"/>
      <c r="AB95" s="141"/>
      <c r="AC95" s="141"/>
      <c r="AD95" s="141">
        <f t="shared" si="18"/>
        <v>460387</v>
      </c>
      <c r="AF95" s="2">
        <f t="shared" si="21"/>
        <v>0.1253390516691828</v>
      </c>
      <c r="AG95" s="2">
        <f t="shared" si="21"/>
        <v>0.11773859446188277</v>
      </c>
      <c r="AH95" s="2">
        <f t="shared" si="21"/>
        <v>0.11853812584250718</v>
      </c>
      <c r="AI95" s="2">
        <f t="shared" si="21"/>
        <v>0.11410212999242168</v>
      </c>
      <c r="AJ95" s="2" t="str">
        <f t="shared" si="21"/>
        <v/>
      </c>
      <c r="AK95" s="2" t="str">
        <f t="shared" si="21"/>
        <v/>
      </c>
      <c r="AL95" s="2" t="str">
        <f t="shared" si="21"/>
        <v/>
      </c>
      <c r="AM95" s="2" t="str">
        <f t="shared" si="21"/>
        <v/>
      </c>
      <c r="AN95" s="2" t="str">
        <f t="shared" si="21"/>
        <v/>
      </c>
      <c r="AO95" s="2" t="str">
        <f t="shared" si="21"/>
        <v/>
      </c>
      <c r="AP95" s="2" t="str">
        <f t="shared" si="21"/>
        <v/>
      </c>
      <c r="AQ95" s="2" t="str">
        <f t="shared" si="21"/>
        <v/>
      </c>
      <c r="AR95" s="2">
        <f t="shared" si="21"/>
        <v>0.12073431825667728</v>
      </c>
      <c r="AT95" s="143">
        <f t="shared" si="11"/>
        <v>-7.6004572073000293E-3</v>
      </c>
      <c r="AU95" s="143">
        <f t="shared" si="12"/>
        <v>7.9953138062441309E-4</v>
      </c>
      <c r="AV95" s="143">
        <f t="shared" si="22"/>
        <v>-4.4359958500855001E-3</v>
      </c>
      <c r="AW95" s="143" t="str">
        <f t="shared" si="22"/>
        <v/>
      </c>
      <c r="AX95" s="143" t="str">
        <f t="shared" si="22"/>
        <v/>
      </c>
      <c r="AY95" s="143" t="str">
        <f t="shared" si="22"/>
        <v/>
      </c>
      <c r="AZ95" s="143" t="str">
        <f t="shared" si="22"/>
        <v/>
      </c>
      <c r="BA95" s="143" t="str">
        <f t="shared" si="22"/>
        <v/>
      </c>
      <c r="BB95" s="143" t="str">
        <f t="shared" si="22"/>
        <v/>
      </c>
      <c r="BC95" s="143" t="str">
        <f t="shared" si="22"/>
        <v/>
      </c>
      <c r="BD95" s="143" t="str">
        <f t="shared" si="22"/>
        <v/>
      </c>
      <c r="BF95" s="9">
        <f t="shared" si="19"/>
        <v>3.3094538021625412E-4</v>
      </c>
      <c r="BG95" s="9">
        <f t="shared" si="20"/>
        <v>0.9494198730636666</v>
      </c>
    </row>
    <row r="96" spans="2:59" x14ac:dyDescent="0.35">
      <c r="B96" s="3" t="s">
        <v>155</v>
      </c>
      <c r="D96" s="141">
        <v>654628</v>
      </c>
      <c r="E96" s="141">
        <v>580085</v>
      </c>
      <c r="F96" s="141">
        <v>638331</v>
      </c>
      <c r="G96" s="141">
        <v>76403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17"/>
        <v>1949447</v>
      </c>
      <c r="R96" s="141">
        <v>81292</v>
      </c>
      <c r="S96" s="141">
        <v>53458</v>
      </c>
      <c r="T96" s="141">
        <v>67176</v>
      </c>
      <c r="U96" s="141">
        <v>6089</v>
      </c>
      <c r="V96" s="141"/>
      <c r="W96" s="141"/>
      <c r="X96" s="141"/>
      <c r="Y96" s="141"/>
      <c r="Z96" s="141"/>
      <c r="AA96" s="141"/>
      <c r="AB96" s="141"/>
      <c r="AC96" s="141"/>
      <c r="AD96" s="141">
        <f t="shared" si="18"/>
        <v>208015</v>
      </c>
      <c r="AF96" s="2">
        <f t="shared" si="21"/>
        <v>0.12418045057651063</v>
      </c>
      <c r="AG96" s="2">
        <f t="shared" si="21"/>
        <v>9.2155459975693216E-2</v>
      </c>
      <c r="AH96" s="2">
        <f t="shared" si="21"/>
        <v>0.10523693820290726</v>
      </c>
      <c r="AI96" s="2">
        <f t="shared" si="21"/>
        <v>7.9695823462429483E-2</v>
      </c>
      <c r="AJ96" s="2" t="str">
        <f t="shared" si="21"/>
        <v/>
      </c>
      <c r="AK96" s="2" t="str">
        <f t="shared" si="21"/>
        <v/>
      </c>
      <c r="AL96" s="2" t="str">
        <f t="shared" si="21"/>
        <v/>
      </c>
      <c r="AM96" s="2" t="str">
        <f t="shared" si="21"/>
        <v/>
      </c>
      <c r="AN96" s="2" t="str">
        <f t="shared" si="21"/>
        <v/>
      </c>
      <c r="AO96" s="2" t="str">
        <f t="shared" si="21"/>
        <v/>
      </c>
      <c r="AP96" s="2" t="str">
        <f t="shared" si="21"/>
        <v/>
      </c>
      <c r="AQ96" s="2" t="str">
        <f t="shared" si="21"/>
        <v/>
      </c>
      <c r="AR96" s="2">
        <f t="shared" si="21"/>
        <v>0.10670461930998894</v>
      </c>
      <c r="AT96" s="143">
        <f t="shared" si="11"/>
        <v>-3.2024990600817413E-2</v>
      </c>
      <c r="AU96" s="143">
        <f t="shared" si="12"/>
        <v>1.3081478227214047E-2</v>
      </c>
      <c r="AV96" s="143">
        <f t="shared" si="22"/>
        <v>-2.554111474047778E-2</v>
      </c>
      <c r="AW96" s="143" t="str">
        <f t="shared" si="22"/>
        <v/>
      </c>
      <c r="AX96" s="143" t="str">
        <f t="shared" si="22"/>
        <v/>
      </c>
      <c r="AY96" s="143" t="str">
        <f t="shared" si="22"/>
        <v/>
      </c>
      <c r="AZ96" s="143" t="str">
        <f t="shared" si="22"/>
        <v/>
      </c>
      <c r="BA96" s="143" t="str">
        <f t="shared" si="22"/>
        <v/>
      </c>
      <c r="BB96" s="143" t="str">
        <f t="shared" si="22"/>
        <v/>
      </c>
      <c r="BC96" s="143" t="str">
        <f t="shared" si="22"/>
        <v/>
      </c>
      <c r="BD96" s="143" t="str">
        <f t="shared" si="22"/>
        <v/>
      </c>
      <c r="BF96" s="9">
        <f t="shared" si="19"/>
        <v>1.4952985915259141E-4</v>
      </c>
      <c r="BG96" s="9">
        <f t="shared" si="20"/>
        <v>0.94956940292281922</v>
      </c>
    </row>
    <row r="97" spans="2:59" x14ac:dyDescent="0.35">
      <c r="B97" s="3" t="s">
        <v>173</v>
      </c>
      <c r="D97" s="141">
        <v>870786</v>
      </c>
      <c r="E97" s="141">
        <v>887763</v>
      </c>
      <c r="F97" s="141">
        <v>1101312</v>
      </c>
      <c r="G97" s="141">
        <v>186571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17"/>
        <v>3046432</v>
      </c>
      <c r="R97" s="141">
        <v>124245</v>
      </c>
      <c r="S97" s="141">
        <v>111842</v>
      </c>
      <c r="T97" s="141">
        <v>140597</v>
      </c>
      <c r="U97" s="141">
        <v>23561</v>
      </c>
      <c r="V97" s="141"/>
      <c r="W97" s="141"/>
      <c r="X97" s="141"/>
      <c r="Y97" s="141"/>
      <c r="Z97" s="141"/>
      <c r="AA97" s="141"/>
      <c r="AB97" s="141"/>
      <c r="AC97" s="141"/>
      <c r="AD97" s="141">
        <f t="shared" si="18"/>
        <v>400245</v>
      </c>
      <c r="AF97" s="2">
        <f t="shared" si="21"/>
        <v>0.14268143952704798</v>
      </c>
      <c r="AG97" s="2">
        <f t="shared" si="21"/>
        <v>0.12598182172494235</v>
      </c>
      <c r="AH97" s="2">
        <f t="shared" si="21"/>
        <v>0.12766318718038122</v>
      </c>
      <c r="AI97" s="2">
        <f t="shared" si="21"/>
        <v>0.12628436359348452</v>
      </c>
      <c r="AJ97" s="2" t="str">
        <f t="shared" si="21"/>
        <v/>
      </c>
      <c r="AK97" s="2" t="str">
        <f t="shared" si="21"/>
        <v/>
      </c>
      <c r="AL97" s="2" t="str">
        <f t="shared" si="21"/>
        <v/>
      </c>
      <c r="AM97" s="2" t="str">
        <f t="shared" si="21"/>
        <v/>
      </c>
      <c r="AN97" s="2" t="str">
        <f t="shared" si="21"/>
        <v/>
      </c>
      <c r="AO97" s="2" t="str">
        <f t="shared" si="21"/>
        <v/>
      </c>
      <c r="AP97" s="2" t="str">
        <f t="shared" si="21"/>
        <v/>
      </c>
      <c r="AQ97" s="2" t="str">
        <f t="shared" si="21"/>
        <v/>
      </c>
      <c r="AR97" s="2">
        <f t="shared" si="21"/>
        <v>0.13138156374407831</v>
      </c>
      <c r="AT97" s="143">
        <f t="shared" si="11"/>
        <v>-1.6699617802105632E-2</v>
      </c>
      <c r="AU97" s="143">
        <f t="shared" si="12"/>
        <v>1.6813654554388713E-3</v>
      </c>
      <c r="AV97" s="143">
        <f t="shared" si="22"/>
        <v>-1.3788235868966991E-3</v>
      </c>
      <c r="AW97" s="143" t="str">
        <f t="shared" si="22"/>
        <v/>
      </c>
      <c r="AX97" s="143" t="str">
        <f t="shared" si="22"/>
        <v/>
      </c>
      <c r="AY97" s="143" t="str">
        <f t="shared" si="22"/>
        <v/>
      </c>
      <c r="AZ97" s="143" t="str">
        <f t="shared" si="22"/>
        <v/>
      </c>
      <c r="BA97" s="143" t="str">
        <f t="shared" si="22"/>
        <v/>
      </c>
      <c r="BB97" s="143" t="str">
        <f t="shared" si="22"/>
        <v/>
      </c>
      <c r="BC97" s="143" t="str">
        <f t="shared" si="22"/>
        <v/>
      </c>
      <c r="BD97" s="143" t="str">
        <f t="shared" si="22"/>
        <v/>
      </c>
      <c r="BF97" s="9">
        <f t="shared" si="19"/>
        <v>2.8771280184856359E-4</v>
      </c>
      <c r="BG97" s="9">
        <f t="shared" si="20"/>
        <v>0.9498571157246678</v>
      </c>
    </row>
    <row r="98" spans="2:59" x14ac:dyDescent="0.35">
      <c r="B98" s="3" t="s">
        <v>204</v>
      </c>
      <c r="D98" s="141">
        <v>9489365</v>
      </c>
      <c r="E98" s="141">
        <v>7143600</v>
      </c>
      <c r="F98" s="141">
        <v>7993654</v>
      </c>
      <c r="G98" s="141">
        <v>3784418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17"/>
        <v>28411037</v>
      </c>
      <c r="R98" s="141">
        <v>1919493</v>
      </c>
      <c r="S98" s="141">
        <v>1415468</v>
      </c>
      <c r="T98" s="141">
        <v>1526968</v>
      </c>
      <c r="U98" s="141">
        <v>750324</v>
      </c>
      <c r="V98" s="141"/>
      <c r="W98" s="141"/>
      <c r="X98" s="141"/>
      <c r="Y98" s="141"/>
      <c r="Z98" s="141"/>
      <c r="AA98" s="141"/>
      <c r="AB98" s="141"/>
      <c r="AC98" s="141"/>
      <c r="AD98" s="141">
        <f t="shared" si="18"/>
        <v>5612253</v>
      </c>
      <c r="AF98" s="2">
        <f t="shared" si="21"/>
        <v>0.20227834001537512</v>
      </c>
      <c r="AG98" s="2">
        <f t="shared" si="21"/>
        <v>0.19814491292905537</v>
      </c>
      <c r="AH98" s="2">
        <f t="shared" si="21"/>
        <v>0.19102252862082847</v>
      </c>
      <c r="AI98" s="2">
        <f t="shared" si="21"/>
        <v>0.19826668195743705</v>
      </c>
      <c r="AJ98" s="2" t="str">
        <f t="shared" si="21"/>
        <v/>
      </c>
      <c r="AK98" s="2" t="str">
        <f t="shared" si="21"/>
        <v/>
      </c>
      <c r="AL98" s="2" t="str">
        <f t="shared" si="21"/>
        <v/>
      </c>
      <c r="AM98" s="2" t="str">
        <f t="shared" si="21"/>
        <v/>
      </c>
      <c r="AN98" s="2" t="str">
        <f t="shared" si="21"/>
        <v/>
      </c>
      <c r="AO98" s="2" t="str">
        <f t="shared" si="21"/>
        <v/>
      </c>
      <c r="AP98" s="2" t="str">
        <f t="shared" si="21"/>
        <v/>
      </c>
      <c r="AQ98" s="2" t="str">
        <f t="shared" si="21"/>
        <v/>
      </c>
      <c r="AR98" s="2">
        <f t="shared" si="21"/>
        <v>0.19753777378840484</v>
      </c>
      <c r="AT98" s="143">
        <f t="shared" si="11"/>
        <v>-4.133427086319752E-3</v>
      </c>
      <c r="AU98" s="143">
        <f t="shared" si="12"/>
        <v>-7.1223843082268978E-3</v>
      </c>
      <c r="AV98" s="143">
        <f t="shared" si="22"/>
        <v>7.2441533366085775E-3</v>
      </c>
      <c r="AW98" s="143" t="str">
        <f t="shared" si="22"/>
        <v/>
      </c>
      <c r="AX98" s="143" t="str">
        <f t="shared" si="22"/>
        <v/>
      </c>
      <c r="AY98" s="143" t="str">
        <f t="shared" si="22"/>
        <v/>
      </c>
      <c r="AZ98" s="143" t="str">
        <f t="shared" si="22"/>
        <v/>
      </c>
      <c r="BA98" s="143" t="str">
        <f t="shared" si="22"/>
        <v/>
      </c>
      <c r="BB98" s="143" t="str">
        <f t="shared" si="22"/>
        <v/>
      </c>
      <c r="BC98" s="143" t="str">
        <f t="shared" si="22"/>
        <v/>
      </c>
      <c r="BD98" s="143" t="str">
        <f t="shared" si="22"/>
        <v/>
      </c>
      <c r="BF98" s="9">
        <f t="shared" si="19"/>
        <v>4.0343215663231433E-3</v>
      </c>
      <c r="BG98" s="9">
        <f t="shared" si="20"/>
        <v>0.95389143729099091</v>
      </c>
    </row>
    <row r="99" spans="2:59" x14ac:dyDescent="0.35">
      <c r="B99" s="3" t="s">
        <v>181</v>
      </c>
      <c r="D99" s="141">
        <v>4674230</v>
      </c>
      <c r="E99" s="141">
        <v>3563872</v>
      </c>
      <c r="F99" s="141">
        <v>5253573</v>
      </c>
      <c r="G99" s="141">
        <v>305756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17"/>
        <v>13797431</v>
      </c>
      <c r="R99" s="141">
        <v>579754</v>
      </c>
      <c r="S99" s="141">
        <v>516934</v>
      </c>
      <c r="T99" s="141">
        <v>670102</v>
      </c>
      <c r="U99" s="141">
        <v>48509</v>
      </c>
      <c r="V99" s="141"/>
      <c r="W99" s="141"/>
      <c r="X99" s="141"/>
      <c r="Y99" s="141"/>
      <c r="Z99" s="141"/>
      <c r="AA99" s="141"/>
      <c r="AB99" s="141"/>
      <c r="AC99" s="141"/>
      <c r="AD99" s="141">
        <f t="shared" si="18"/>
        <v>1815299</v>
      </c>
      <c r="AF99" s="2">
        <f t="shared" si="21"/>
        <v>0.12403197959877883</v>
      </c>
      <c r="AG99" s="2">
        <f t="shared" si="21"/>
        <v>0.14504841924738038</v>
      </c>
      <c r="AH99" s="2">
        <f t="shared" si="21"/>
        <v>0.12755166816945343</v>
      </c>
      <c r="AI99" s="2">
        <f t="shared" si="21"/>
        <v>0.15865265113358365</v>
      </c>
      <c r="AJ99" s="2" t="str">
        <f t="shared" si="21"/>
        <v/>
      </c>
      <c r="AK99" s="2" t="str">
        <f t="shared" si="21"/>
        <v/>
      </c>
      <c r="AL99" s="2" t="str">
        <f t="shared" si="21"/>
        <v/>
      </c>
      <c r="AM99" s="2" t="str">
        <f t="shared" si="21"/>
        <v/>
      </c>
      <c r="AN99" s="2" t="str">
        <f t="shared" si="21"/>
        <v/>
      </c>
      <c r="AO99" s="2" t="str">
        <f t="shared" si="21"/>
        <v/>
      </c>
      <c r="AP99" s="2" t="str">
        <f t="shared" si="21"/>
        <v/>
      </c>
      <c r="AQ99" s="2" t="str">
        <f t="shared" si="21"/>
        <v/>
      </c>
      <c r="AR99" s="2">
        <f t="shared" si="21"/>
        <v>0.1315678984007965</v>
      </c>
      <c r="AT99" s="143">
        <f t="shared" si="11"/>
        <v>2.1016439648601545E-2</v>
      </c>
      <c r="AU99" s="143">
        <f t="shared" si="12"/>
        <v>-1.7496751077926948E-2</v>
      </c>
      <c r="AV99" s="143">
        <f t="shared" si="22"/>
        <v>3.1100982964130219E-2</v>
      </c>
      <c r="AW99" s="143" t="str">
        <f t="shared" si="22"/>
        <v/>
      </c>
      <c r="AX99" s="143" t="str">
        <f t="shared" si="22"/>
        <v/>
      </c>
      <c r="AY99" s="143" t="str">
        <f t="shared" si="22"/>
        <v/>
      </c>
      <c r="AZ99" s="143" t="str">
        <f t="shared" si="22"/>
        <v/>
      </c>
      <c r="BA99" s="143" t="str">
        <f t="shared" si="22"/>
        <v/>
      </c>
      <c r="BB99" s="143" t="str">
        <f t="shared" si="22"/>
        <v/>
      </c>
      <c r="BC99" s="143" t="str">
        <f t="shared" si="22"/>
        <v/>
      </c>
      <c r="BD99" s="143" t="str">
        <f t="shared" si="22"/>
        <v/>
      </c>
      <c r="BF99" s="9">
        <f t="shared" si="19"/>
        <v>1.3049126447123528E-3</v>
      </c>
      <c r="BG99" s="9">
        <f t="shared" si="20"/>
        <v>0.95519634993570324</v>
      </c>
    </row>
    <row r="100" spans="2:59" x14ac:dyDescent="0.35">
      <c r="B100" s="3" t="s">
        <v>175</v>
      </c>
      <c r="D100" s="141">
        <v>955783</v>
      </c>
      <c r="E100" s="141">
        <v>1057565</v>
      </c>
      <c r="F100" s="141">
        <v>1391379</v>
      </c>
      <c r="G100" s="141">
        <v>177140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17"/>
        <v>3581867</v>
      </c>
      <c r="R100" s="141">
        <v>81136</v>
      </c>
      <c r="S100" s="141">
        <v>90401</v>
      </c>
      <c r="T100" s="141">
        <v>101731</v>
      </c>
      <c r="U100" s="141">
        <v>12714</v>
      </c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18"/>
        <v>285982</v>
      </c>
      <c r="AF100" s="2">
        <f t="shared" si="21"/>
        <v>8.4889561751987641E-2</v>
      </c>
      <c r="AG100" s="2">
        <f t="shared" si="21"/>
        <v>8.5480325086401313E-2</v>
      </c>
      <c r="AH100" s="2">
        <f t="shared" si="21"/>
        <v>7.3115233160770718E-2</v>
      </c>
      <c r="AI100" s="2">
        <f t="shared" si="21"/>
        <v>7.1773738286101382E-2</v>
      </c>
      <c r="AJ100" s="2" t="str">
        <f t="shared" si="21"/>
        <v/>
      </c>
      <c r="AK100" s="2" t="str">
        <f t="shared" si="21"/>
        <v/>
      </c>
      <c r="AL100" s="2" t="str">
        <f t="shared" si="21"/>
        <v/>
      </c>
      <c r="AM100" s="2" t="str">
        <f t="shared" si="21"/>
        <v/>
      </c>
      <c r="AN100" s="2" t="str">
        <f t="shared" si="21"/>
        <v/>
      </c>
      <c r="AO100" s="2" t="str">
        <f t="shared" si="21"/>
        <v/>
      </c>
      <c r="AP100" s="2" t="str">
        <f t="shared" si="21"/>
        <v/>
      </c>
      <c r="AQ100" s="2" t="str">
        <f t="shared" si="21"/>
        <v/>
      </c>
      <c r="AR100" s="2">
        <f t="shared" si="21"/>
        <v>7.9841602158874134E-2</v>
      </c>
      <c r="AT100" s="143">
        <f t="shared" si="11"/>
        <v>5.9076333441367146E-4</v>
      </c>
      <c r="AU100" s="143">
        <f t="shared" si="12"/>
        <v>-1.2365091925630595E-2</v>
      </c>
      <c r="AV100" s="143">
        <f t="shared" si="22"/>
        <v>-1.3414948746693356E-3</v>
      </c>
      <c r="AW100" s="143" t="str">
        <f t="shared" si="22"/>
        <v/>
      </c>
      <c r="AX100" s="143" t="str">
        <f t="shared" si="22"/>
        <v/>
      </c>
      <c r="AY100" s="143" t="str">
        <f t="shared" si="22"/>
        <v/>
      </c>
      <c r="AZ100" s="143" t="str">
        <f t="shared" si="22"/>
        <v/>
      </c>
      <c r="BA100" s="143" t="str">
        <f t="shared" si="22"/>
        <v/>
      </c>
      <c r="BB100" s="143" t="str">
        <f t="shared" si="22"/>
        <v/>
      </c>
      <c r="BC100" s="143" t="str">
        <f t="shared" si="22"/>
        <v/>
      </c>
      <c r="BD100" s="143" t="str">
        <f t="shared" si="22"/>
        <v/>
      </c>
      <c r="BF100" s="9">
        <f t="shared" si="19"/>
        <v>2.055757910736072E-4</v>
      </c>
      <c r="BG100" s="9">
        <f t="shared" si="20"/>
        <v>0.95540192572677685</v>
      </c>
    </row>
    <row r="101" spans="2:59" x14ac:dyDescent="0.35">
      <c r="B101" s="3" t="s">
        <v>157</v>
      </c>
      <c r="D101" s="141">
        <v>430769</v>
      </c>
      <c r="E101" s="141">
        <v>496043</v>
      </c>
      <c r="F101" s="141">
        <v>496957</v>
      </c>
      <c r="G101" s="141">
        <v>44581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17"/>
        <v>1468350</v>
      </c>
      <c r="R101" s="141">
        <v>40474</v>
      </c>
      <c r="S101" s="141">
        <v>36011</v>
      </c>
      <c r="T101" s="141">
        <v>32507</v>
      </c>
      <c r="U101" s="141">
        <v>4519</v>
      </c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18"/>
        <v>113511</v>
      </c>
      <c r="AF101" s="2">
        <f t="shared" si="21"/>
        <v>9.3957550334401965E-2</v>
      </c>
      <c r="AG101" s="2">
        <f t="shared" si="21"/>
        <v>7.2596528929951637E-2</v>
      </c>
      <c r="AH101" s="2">
        <f t="shared" si="21"/>
        <v>6.5412098028602067E-2</v>
      </c>
      <c r="AI101" s="2">
        <f t="shared" si="21"/>
        <v>0.10136605280276351</v>
      </c>
      <c r="AJ101" s="2" t="str">
        <f t="shared" si="21"/>
        <v/>
      </c>
      <c r="AK101" s="2" t="str">
        <f t="shared" si="21"/>
        <v/>
      </c>
      <c r="AL101" s="2" t="str">
        <f t="shared" si="21"/>
        <v/>
      </c>
      <c r="AM101" s="2" t="str">
        <f t="shared" si="21"/>
        <v/>
      </c>
      <c r="AN101" s="2" t="str">
        <f t="shared" si="21"/>
        <v/>
      </c>
      <c r="AO101" s="2" t="str">
        <f t="shared" si="21"/>
        <v/>
      </c>
      <c r="AP101" s="2" t="str">
        <f t="shared" si="21"/>
        <v/>
      </c>
      <c r="AQ101" s="2" t="str">
        <f t="shared" si="21"/>
        <v/>
      </c>
      <c r="AR101" s="2">
        <f t="shared" si="21"/>
        <v>7.7305138420676267E-2</v>
      </c>
      <c r="AT101" s="143">
        <f t="shared" si="11"/>
        <v>-2.1361021404450328E-2</v>
      </c>
      <c r="AU101" s="143">
        <f t="shared" si="12"/>
        <v>-7.18443090134957E-3</v>
      </c>
      <c r="AV101" s="143">
        <f t="shared" si="22"/>
        <v>3.595395477416144E-2</v>
      </c>
      <c r="AW101" s="143" t="str">
        <f t="shared" si="22"/>
        <v/>
      </c>
      <c r="AX101" s="143" t="str">
        <f t="shared" si="22"/>
        <v/>
      </c>
      <c r="AY101" s="143" t="str">
        <f t="shared" si="22"/>
        <v/>
      </c>
      <c r="AZ101" s="143" t="str">
        <f t="shared" si="22"/>
        <v/>
      </c>
      <c r="BA101" s="143" t="str">
        <f t="shared" si="22"/>
        <v/>
      </c>
      <c r="BB101" s="143" t="str">
        <f t="shared" si="22"/>
        <v/>
      </c>
      <c r="BC101" s="143" t="str">
        <f t="shared" si="22"/>
        <v/>
      </c>
      <c r="BD101" s="143" t="str">
        <f t="shared" si="22"/>
        <v/>
      </c>
      <c r="BF101" s="9">
        <f t="shared" si="19"/>
        <v>8.1596441805974586E-5</v>
      </c>
      <c r="BG101" s="9">
        <f t="shared" si="20"/>
        <v>0.95548352216858279</v>
      </c>
    </row>
    <row r="102" spans="2:59" x14ac:dyDescent="0.35">
      <c r="B102" s="3" t="s">
        <v>223</v>
      </c>
      <c r="D102" s="141">
        <v>426550</v>
      </c>
      <c r="E102" s="141">
        <v>363714</v>
      </c>
      <c r="F102" s="141">
        <v>424546</v>
      </c>
      <c r="G102" s="141">
        <v>60988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17"/>
        <v>1275798</v>
      </c>
      <c r="R102" s="141">
        <v>56195</v>
      </c>
      <c r="S102" s="141">
        <v>61540</v>
      </c>
      <c r="T102" s="141">
        <v>80395</v>
      </c>
      <c r="U102" s="141">
        <v>8247</v>
      </c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18"/>
        <v>206377</v>
      </c>
      <c r="AF102" s="2">
        <f t="shared" si="21"/>
        <v>0.13174305474153089</v>
      </c>
      <c r="AG102" s="2">
        <f t="shared" si="21"/>
        <v>0.16919887603996547</v>
      </c>
      <c r="AH102" s="2">
        <f t="shared" si="21"/>
        <v>0.18936699438930057</v>
      </c>
      <c r="AI102" s="2">
        <f t="shared" si="21"/>
        <v>0.13522332262084344</v>
      </c>
      <c r="AJ102" s="2" t="str">
        <f t="shared" si="21"/>
        <v/>
      </c>
      <c r="AK102" s="2" t="str">
        <f t="shared" si="21"/>
        <v/>
      </c>
      <c r="AL102" s="2" t="str">
        <f t="shared" si="21"/>
        <v/>
      </c>
      <c r="AM102" s="2" t="str">
        <f t="shared" si="21"/>
        <v/>
      </c>
      <c r="AN102" s="2" t="str">
        <f t="shared" si="21"/>
        <v/>
      </c>
      <c r="AO102" s="2" t="str">
        <f t="shared" si="21"/>
        <v/>
      </c>
      <c r="AP102" s="2" t="str">
        <f t="shared" si="21"/>
        <v/>
      </c>
      <c r="AQ102" s="2" t="str">
        <f t="shared" si="21"/>
        <v/>
      </c>
      <c r="AR102" s="2">
        <f t="shared" si="21"/>
        <v>0.16176306907519841</v>
      </c>
      <c r="AT102" s="143">
        <f t="shared" si="11"/>
        <v>3.7455821298434583E-2</v>
      </c>
      <c r="AU102" s="143">
        <f t="shared" si="12"/>
        <v>2.0168118349335101E-2</v>
      </c>
      <c r="AV102" s="143">
        <f t="shared" si="22"/>
        <v>-5.4143671768457136E-2</v>
      </c>
      <c r="AW102" s="143" t="str">
        <f t="shared" si="22"/>
        <v/>
      </c>
      <c r="AX102" s="143" t="str">
        <f t="shared" si="22"/>
        <v/>
      </c>
      <c r="AY102" s="143" t="str">
        <f t="shared" si="22"/>
        <v/>
      </c>
      <c r="AZ102" s="143" t="str">
        <f t="shared" si="22"/>
        <v/>
      </c>
      <c r="BA102" s="143" t="str">
        <f t="shared" si="22"/>
        <v/>
      </c>
      <c r="BB102" s="143" t="str">
        <f t="shared" si="22"/>
        <v/>
      </c>
      <c r="BC102" s="143" t="str">
        <f t="shared" si="22"/>
        <v/>
      </c>
      <c r="BD102" s="143" t="str">
        <f t="shared" si="22"/>
        <v/>
      </c>
      <c r="BF102" s="9">
        <f t="shared" si="19"/>
        <v>1.4835239642494225E-4</v>
      </c>
      <c r="BG102" s="9">
        <f t="shared" si="20"/>
        <v>0.95563187456500776</v>
      </c>
    </row>
    <row r="103" spans="2:59" x14ac:dyDescent="0.35">
      <c r="B103" s="3" t="s">
        <v>192</v>
      </c>
      <c r="D103" s="141">
        <v>418533</v>
      </c>
      <c r="E103" s="141">
        <v>943454</v>
      </c>
      <c r="F103" s="141">
        <v>669008</v>
      </c>
      <c r="G103" s="141">
        <v>87378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17"/>
        <v>2118373</v>
      </c>
      <c r="R103" s="141">
        <v>51616</v>
      </c>
      <c r="S103" s="141">
        <v>128617</v>
      </c>
      <c r="T103" s="141">
        <v>80971</v>
      </c>
      <c r="U103" s="141">
        <v>9291</v>
      </c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18"/>
        <v>270495</v>
      </c>
      <c r="AF103" s="2">
        <f t="shared" si="21"/>
        <v>0.12332599818891223</v>
      </c>
      <c r="AG103" s="2">
        <f t="shared" si="21"/>
        <v>0.1363256714158825</v>
      </c>
      <c r="AH103" s="2">
        <f t="shared" si="21"/>
        <v>0.12103143759117978</v>
      </c>
      <c r="AI103" s="2">
        <f t="shared" si="21"/>
        <v>0.10633111309482936</v>
      </c>
      <c r="AJ103" s="2" t="str">
        <f t="shared" si="21"/>
        <v/>
      </c>
      <c r="AK103" s="2" t="str">
        <f t="shared" si="21"/>
        <v/>
      </c>
      <c r="AL103" s="2" t="str">
        <f t="shared" si="21"/>
        <v/>
      </c>
      <c r="AM103" s="2" t="str">
        <f t="shared" si="21"/>
        <v/>
      </c>
      <c r="AN103" s="2" t="str">
        <f t="shared" si="21"/>
        <v/>
      </c>
      <c r="AO103" s="2" t="str">
        <f t="shared" si="21"/>
        <v/>
      </c>
      <c r="AP103" s="2" t="str">
        <f t="shared" si="21"/>
        <v/>
      </c>
      <c r="AQ103" s="2" t="str">
        <f t="shared" si="21"/>
        <v/>
      </c>
      <c r="AR103" s="2">
        <f t="shared" si="21"/>
        <v>0.1276899771664386</v>
      </c>
      <c r="AT103" s="143">
        <f t="shared" si="11"/>
        <v>1.2999673226970279E-2</v>
      </c>
      <c r="AU103" s="143">
        <f t="shared" si="12"/>
        <v>-1.5294233824702727E-2</v>
      </c>
      <c r="AV103" s="143">
        <f t="shared" si="22"/>
        <v>-1.470032449635042E-2</v>
      </c>
      <c r="AW103" s="143" t="str">
        <f t="shared" si="22"/>
        <v/>
      </c>
      <c r="AX103" s="143" t="str">
        <f t="shared" si="22"/>
        <v/>
      </c>
      <c r="AY103" s="143" t="str">
        <f t="shared" si="22"/>
        <v/>
      </c>
      <c r="AZ103" s="143" t="str">
        <f t="shared" si="22"/>
        <v/>
      </c>
      <c r="BA103" s="143" t="str">
        <f t="shared" si="22"/>
        <v/>
      </c>
      <c r="BB103" s="143" t="str">
        <f t="shared" si="22"/>
        <v/>
      </c>
      <c r="BC103" s="143" t="str">
        <f t="shared" si="22"/>
        <v/>
      </c>
      <c r="BD103" s="143" t="str">
        <f t="shared" si="22"/>
        <v/>
      </c>
      <c r="BF103" s="9">
        <f t="shared" si="19"/>
        <v>1.9444308944778125E-4</v>
      </c>
      <c r="BG103" s="9">
        <f t="shared" si="20"/>
        <v>0.95582631765445558</v>
      </c>
    </row>
    <row r="104" spans="2:59" x14ac:dyDescent="0.35">
      <c r="B104" s="3" t="s">
        <v>198</v>
      </c>
      <c r="D104" s="141">
        <v>1416424</v>
      </c>
      <c r="E104" s="141">
        <v>1128727</v>
      </c>
      <c r="F104" s="141">
        <v>978140</v>
      </c>
      <c r="G104" s="141">
        <v>102013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17"/>
        <v>3625304</v>
      </c>
      <c r="R104" s="141">
        <v>189920</v>
      </c>
      <c r="S104" s="141">
        <v>150358</v>
      </c>
      <c r="T104" s="141">
        <v>140250</v>
      </c>
      <c r="U104" s="141">
        <v>13182</v>
      </c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18"/>
        <v>493710</v>
      </c>
      <c r="AF104" s="2">
        <f t="shared" si="21"/>
        <v>0.13408414429577584</v>
      </c>
      <c r="AG104" s="2">
        <f t="shared" si="21"/>
        <v>0.13321024481561972</v>
      </c>
      <c r="AH104" s="2">
        <f t="shared" si="21"/>
        <v>0.14338438260371725</v>
      </c>
      <c r="AI104" s="2">
        <f t="shared" si="21"/>
        <v>0.12921882505170909</v>
      </c>
      <c r="AJ104" s="2" t="str">
        <f t="shared" si="21"/>
        <v/>
      </c>
      <c r="AK104" s="2" t="str">
        <f t="shared" si="21"/>
        <v/>
      </c>
      <c r="AL104" s="2" t="str">
        <f t="shared" si="21"/>
        <v/>
      </c>
      <c r="AM104" s="2" t="str">
        <f t="shared" si="21"/>
        <v/>
      </c>
      <c r="AN104" s="2" t="str">
        <f t="shared" si="21"/>
        <v/>
      </c>
      <c r="AO104" s="2" t="str">
        <f t="shared" si="21"/>
        <v/>
      </c>
      <c r="AP104" s="2" t="str">
        <f t="shared" si="21"/>
        <v/>
      </c>
      <c r="AQ104" s="2" t="str">
        <f t="shared" si="21"/>
        <v/>
      </c>
      <c r="AR104" s="2">
        <f t="shared" si="21"/>
        <v>0.13618444135995217</v>
      </c>
      <c r="AT104" s="143">
        <f t="shared" si="11"/>
        <v>-8.7389948015612062E-4</v>
      </c>
      <c r="AU104" s="143">
        <f t="shared" si="12"/>
        <v>1.0174137788097531E-2</v>
      </c>
      <c r="AV104" s="143">
        <f t="shared" si="22"/>
        <v>-1.4165557552008157E-2</v>
      </c>
      <c r="AW104" s="143" t="str">
        <f t="shared" si="22"/>
        <v/>
      </c>
      <c r="AX104" s="143" t="str">
        <f t="shared" si="22"/>
        <v/>
      </c>
      <c r="AY104" s="143" t="str">
        <f t="shared" si="22"/>
        <v/>
      </c>
      <c r="AZ104" s="143" t="str">
        <f t="shared" si="22"/>
        <v/>
      </c>
      <c r="BA104" s="143" t="str">
        <f t="shared" si="22"/>
        <v/>
      </c>
      <c r="BB104" s="143" t="str">
        <f t="shared" si="22"/>
        <v/>
      </c>
      <c r="BC104" s="143" t="str">
        <f t="shared" si="22"/>
        <v/>
      </c>
      <c r="BD104" s="143" t="str">
        <f t="shared" si="22"/>
        <v/>
      </c>
      <c r="BF104" s="9">
        <f t="shared" si="19"/>
        <v>3.5489934265426005E-4</v>
      </c>
      <c r="BG104" s="9">
        <f t="shared" si="20"/>
        <v>0.9561812169971099</v>
      </c>
    </row>
    <row r="105" spans="2:59" x14ac:dyDescent="0.35">
      <c r="B105" s="3" t="s">
        <v>180</v>
      </c>
      <c r="D105" s="141">
        <v>25630188</v>
      </c>
      <c r="E105" s="141">
        <v>23300279</v>
      </c>
      <c r="F105" s="141">
        <v>24744228</v>
      </c>
      <c r="G105" s="141">
        <v>2572524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17"/>
        <v>76247219</v>
      </c>
      <c r="R105" s="141">
        <v>2464679</v>
      </c>
      <c r="S105" s="141">
        <v>2312130</v>
      </c>
      <c r="T105" s="141">
        <v>2414720</v>
      </c>
      <c r="U105" s="141">
        <v>259755</v>
      </c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18"/>
        <v>7451284</v>
      </c>
      <c r="AF105" s="2">
        <f t="shared" si="21"/>
        <v>9.6163126076172362E-2</v>
      </c>
      <c r="AG105" s="2">
        <f t="shared" si="21"/>
        <v>9.9231858983319474E-2</v>
      </c>
      <c r="AH105" s="2">
        <f t="shared" si="21"/>
        <v>9.7587202963050609E-2</v>
      </c>
      <c r="AI105" s="2">
        <f t="shared" si="21"/>
        <v>0.10097281891247661</v>
      </c>
      <c r="AJ105" s="2" t="str">
        <f t="shared" si="21"/>
        <v/>
      </c>
      <c r="AK105" s="2" t="str">
        <f t="shared" si="21"/>
        <v/>
      </c>
      <c r="AL105" s="2" t="str">
        <f t="shared" si="21"/>
        <v/>
      </c>
      <c r="AM105" s="2" t="str">
        <f t="shared" si="21"/>
        <v/>
      </c>
      <c r="AN105" s="2" t="str">
        <f t="shared" si="21"/>
        <v/>
      </c>
      <c r="AO105" s="2" t="str">
        <f t="shared" si="21"/>
        <v/>
      </c>
      <c r="AP105" s="2" t="str">
        <f t="shared" si="21"/>
        <v/>
      </c>
      <c r="AQ105" s="2" t="str">
        <f t="shared" si="21"/>
        <v/>
      </c>
      <c r="AR105" s="2">
        <f t="shared" si="21"/>
        <v>9.7725321627796027E-2</v>
      </c>
      <c r="AT105" s="143">
        <f t="shared" si="11"/>
        <v>3.068732907147112E-3</v>
      </c>
      <c r="AU105" s="143">
        <f t="shared" si="12"/>
        <v>-1.6446560202688643E-3</v>
      </c>
      <c r="AV105" s="143">
        <f t="shared" si="22"/>
        <v>3.3856159494260046E-3</v>
      </c>
      <c r="AW105" s="143" t="str">
        <f t="shared" si="22"/>
        <v/>
      </c>
      <c r="AX105" s="143" t="str">
        <f t="shared" si="22"/>
        <v/>
      </c>
      <c r="AY105" s="143" t="str">
        <f t="shared" si="22"/>
        <v/>
      </c>
      <c r="AZ105" s="143" t="str">
        <f t="shared" si="22"/>
        <v/>
      </c>
      <c r="BA105" s="143" t="str">
        <f t="shared" si="22"/>
        <v/>
      </c>
      <c r="BB105" s="143" t="str">
        <f t="shared" si="22"/>
        <v/>
      </c>
      <c r="BC105" s="143" t="str">
        <f t="shared" si="22"/>
        <v/>
      </c>
      <c r="BD105" s="143" t="str">
        <f t="shared" si="22"/>
        <v/>
      </c>
      <c r="BF105" s="9">
        <f t="shared" si="19"/>
        <v>5.3562937625938421E-3</v>
      </c>
      <c r="BG105" s="9">
        <f t="shared" si="20"/>
        <v>0.96153751075970373</v>
      </c>
    </row>
    <row r="106" spans="2:59" x14ac:dyDescent="0.35">
      <c r="B106" s="3" t="s">
        <v>167</v>
      </c>
      <c r="D106" s="141">
        <v>399935</v>
      </c>
      <c r="E106" s="141">
        <v>348679</v>
      </c>
      <c r="F106" s="141">
        <v>337731</v>
      </c>
      <c r="G106" s="141">
        <v>44324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17"/>
        <v>1130669</v>
      </c>
      <c r="R106" s="141">
        <v>47593</v>
      </c>
      <c r="S106" s="141">
        <v>39603</v>
      </c>
      <c r="T106" s="141">
        <v>38076</v>
      </c>
      <c r="U106" s="141">
        <v>5330</v>
      </c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18"/>
        <v>130602</v>
      </c>
      <c r="AF106" s="2">
        <f t="shared" si="21"/>
        <v>0.11900183779864228</v>
      </c>
      <c r="AG106" s="2">
        <f t="shared" si="21"/>
        <v>0.11358011236696217</v>
      </c>
      <c r="AH106" s="2">
        <f t="shared" si="21"/>
        <v>0.11274061309148405</v>
      </c>
      <c r="AI106" s="2">
        <f t="shared" si="21"/>
        <v>0.12025087988448696</v>
      </c>
      <c r="AJ106" s="2" t="str">
        <f t="shared" si="21"/>
        <v/>
      </c>
      <c r="AK106" s="2" t="str">
        <f t="shared" si="21"/>
        <v/>
      </c>
      <c r="AL106" s="2" t="str">
        <f t="shared" si="21"/>
        <v/>
      </c>
      <c r="AM106" s="2" t="str">
        <f t="shared" si="21"/>
        <v/>
      </c>
      <c r="AN106" s="2" t="str">
        <f t="shared" si="21"/>
        <v/>
      </c>
      <c r="AO106" s="2" t="str">
        <f t="shared" si="21"/>
        <v/>
      </c>
      <c r="AP106" s="2" t="str">
        <f t="shared" si="21"/>
        <v/>
      </c>
      <c r="AQ106" s="2" t="str">
        <f t="shared" si="21"/>
        <v/>
      </c>
      <c r="AR106" s="2">
        <f t="shared" si="21"/>
        <v>0.11550860596690986</v>
      </c>
      <c r="AT106" s="143">
        <f t="shared" si="11"/>
        <v>-5.4217254316801106E-3</v>
      </c>
      <c r="AU106" s="143">
        <f t="shared" si="12"/>
        <v>-8.3949927547811998E-4</v>
      </c>
      <c r="AV106" s="143">
        <f t="shared" si="22"/>
        <v>7.5102667930029149E-3</v>
      </c>
      <c r="AW106" s="143" t="str">
        <f t="shared" si="22"/>
        <v/>
      </c>
      <c r="AX106" s="143" t="str">
        <f t="shared" si="22"/>
        <v/>
      </c>
      <c r="AY106" s="143" t="str">
        <f t="shared" si="22"/>
        <v/>
      </c>
      <c r="AZ106" s="143" t="str">
        <f t="shared" si="22"/>
        <v/>
      </c>
      <c r="BA106" s="143" t="str">
        <f t="shared" si="22"/>
        <v/>
      </c>
      <c r="BB106" s="143" t="str">
        <f t="shared" si="22"/>
        <v/>
      </c>
      <c r="BC106" s="143" t="str">
        <f t="shared" si="22"/>
        <v/>
      </c>
      <c r="BD106" s="143" t="str">
        <f t="shared" si="22"/>
        <v/>
      </c>
      <c r="BF106" s="9">
        <f t="shared" si="19"/>
        <v>9.3882165541171286E-5</v>
      </c>
      <c r="BG106" s="9">
        <f t="shared" si="20"/>
        <v>0.96163139292524491</v>
      </c>
    </row>
    <row r="107" spans="2:59" x14ac:dyDescent="0.35">
      <c r="B107" s="3" t="s">
        <v>187</v>
      </c>
      <c r="D107" s="141">
        <v>900933</v>
      </c>
      <c r="E107" s="141">
        <v>1016092</v>
      </c>
      <c r="F107" s="141">
        <v>782035</v>
      </c>
      <c r="G107" s="141">
        <v>92652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17"/>
        <v>2791712</v>
      </c>
      <c r="R107" s="141">
        <v>114354</v>
      </c>
      <c r="S107" s="141">
        <v>128838</v>
      </c>
      <c r="T107" s="141">
        <v>119302</v>
      </c>
      <c r="U107" s="141">
        <v>11119</v>
      </c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18"/>
        <v>373613</v>
      </c>
      <c r="AF107" s="2">
        <f t="shared" si="21"/>
        <v>0.12692841754048304</v>
      </c>
      <c r="AG107" s="2">
        <f t="shared" si="21"/>
        <v>0.1267975734480736</v>
      </c>
      <c r="AH107" s="2">
        <f t="shared" si="21"/>
        <v>0.15255327446981273</v>
      </c>
      <c r="AI107" s="2">
        <f t="shared" si="21"/>
        <v>0.12000820273712386</v>
      </c>
      <c r="AJ107" s="2" t="str">
        <f t="shared" si="21"/>
        <v/>
      </c>
      <c r="AK107" s="2" t="str">
        <f t="shared" si="21"/>
        <v/>
      </c>
      <c r="AL107" s="2" t="str">
        <f t="shared" si="21"/>
        <v/>
      </c>
      <c r="AM107" s="2" t="str">
        <f t="shared" si="21"/>
        <v/>
      </c>
      <c r="AN107" s="2" t="str">
        <f t="shared" ref="AN107:AR138" si="23">+IFERROR(Z107/L107,"")</f>
        <v/>
      </c>
      <c r="AO107" s="2" t="str">
        <f t="shared" si="23"/>
        <v/>
      </c>
      <c r="AP107" s="2" t="str">
        <f t="shared" si="23"/>
        <v/>
      </c>
      <c r="AQ107" s="2" t="str">
        <f t="shared" si="23"/>
        <v/>
      </c>
      <c r="AR107" s="2">
        <f t="shared" si="23"/>
        <v>0.13382934915922559</v>
      </c>
      <c r="AT107" s="143">
        <f t="shared" si="11"/>
        <v>-1.3084409240943229E-4</v>
      </c>
      <c r="AU107" s="143">
        <f t="shared" si="12"/>
        <v>2.575570102173913E-2</v>
      </c>
      <c r="AV107" s="143">
        <f t="shared" si="22"/>
        <v>-3.2545071732688877E-2</v>
      </c>
      <c r="AW107" s="143" t="str">
        <f t="shared" si="22"/>
        <v/>
      </c>
      <c r="AX107" s="143" t="str">
        <f t="shared" si="22"/>
        <v/>
      </c>
      <c r="AY107" s="143" t="str">
        <f t="shared" si="22"/>
        <v/>
      </c>
      <c r="AZ107" s="143" t="str">
        <f t="shared" si="22"/>
        <v/>
      </c>
      <c r="BA107" s="143" t="str">
        <f t="shared" si="22"/>
        <v/>
      </c>
      <c r="BB107" s="143" t="str">
        <f t="shared" si="22"/>
        <v/>
      </c>
      <c r="BC107" s="143" t="str">
        <f t="shared" si="22"/>
        <v/>
      </c>
      <c r="BD107" s="143" t="str">
        <f t="shared" si="22"/>
        <v/>
      </c>
      <c r="BF107" s="9">
        <f t="shared" si="19"/>
        <v>2.6856860931941031E-4</v>
      </c>
      <c r="BG107" s="9">
        <f t="shared" si="20"/>
        <v>0.96189996153456436</v>
      </c>
    </row>
    <row r="108" spans="2:59" x14ac:dyDescent="0.35">
      <c r="B108" s="3" t="s">
        <v>172</v>
      </c>
      <c r="D108" s="141">
        <v>258585</v>
      </c>
      <c r="E108" s="141">
        <v>227187</v>
      </c>
      <c r="F108" s="141">
        <v>239293</v>
      </c>
      <c r="G108" s="141">
        <v>29121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17"/>
        <v>754186</v>
      </c>
      <c r="R108" s="141">
        <v>16488</v>
      </c>
      <c r="S108" s="141">
        <v>14560</v>
      </c>
      <c r="T108" s="141">
        <v>14098</v>
      </c>
      <c r="U108" s="141">
        <v>2768</v>
      </c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18"/>
        <v>47914</v>
      </c>
      <c r="AF108" s="2">
        <f t="shared" ref="AF108:AM139" si="24">+IFERROR(R108/D108,"")</f>
        <v>6.3762399211091128E-2</v>
      </c>
      <c r="AG108" s="2">
        <f t="shared" si="24"/>
        <v>6.4088174059255154E-2</v>
      </c>
      <c r="AH108" s="2">
        <f t="shared" si="24"/>
        <v>5.8915221088790728E-2</v>
      </c>
      <c r="AI108" s="2">
        <f t="shared" si="24"/>
        <v>9.505168091755091E-2</v>
      </c>
      <c r="AJ108" s="2" t="str">
        <f t="shared" si="24"/>
        <v/>
      </c>
      <c r="AK108" s="2" t="str">
        <f t="shared" si="24"/>
        <v/>
      </c>
      <c r="AL108" s="2" t="str">
        <f t="shared" si="24"/>
        <v/>
      </c>
      <c r="AM108" s="2" t="str">
        <f t="shared" si="24"/>
        <v/>
      </c>
      <c r="AN108" s="2" t="str">
        <f t="shared" si="23"/>
        <v/>
      </c>
      <c r="AO108" s="2" t="str">
        <f t="shared" si="23"/>
        <v/>
      </c>
      <c r="AP108" s="2" t="str">
        <f t="shared" si="23"/>
        <v/>
      </c>
      <c r="AQ108" s="2" t="str">
        <f t="shared" si="23"/>
        <v/>
      </c>
      <c r="AR108" s="2">
        <f t="shared" si="23"/>
        <v>6.353074705709201E-2</v>
      </c>
      <c r="AT108" s="143">
        <f t="shared" si="11"/>
        <v>3.2577484816402602E-4</v>
      </c>
      <c r="AU108" s="143">
        <f t="shared" si="12"/>
        <v>-5.1729529704644256E-3</v>
      </c>
      <c r="AV108" s="143">
        <f t="shared" si="22"/>
        <v>3.6136459828760181E-2</v>
      </c>
      <c r="AW108" s="143" t="str">
        <f t="shared" si="22"/>
        <v/>
      </c>
      <c r="AX108" s="143" t="str">
        <f t="shared" si="22"/>
        <v/>
      </c>
      <c r="AY108" s="143" t="str">
        <f t="shared" si="22"/>
        <v/>
      </c>
      <c r="AZ108" s="143" t="str">
        <f t="shared" si="22"/>
        <v/>
      </c>
      <c r="BA108" s="143" t="str">
        <f t="shared" si="22"/>
        <v/>
      </c>
      <c r="BB108" s="143" t="str">
        <f t="shared" si="22"/>
        <v/>
      </c>
      <c r="BC108" s="143" t="str">
        <f t="shared" si="22"/>
        <v/>
      </c>
      <c r="BD108" s="143" t="str">
        <f t="shared" si="22"/>
        <v/>
      </c>
      <c r="BF108" s="9">
        <f t="shared" si="19"/>
        <v>3.4442581888023774E-5</v>
      </c>
      <c r="BG108" s="9">
        <f t="shared" si="20"/>
        <v>0.96193440411645237</v>
      </c>
    </row>
    <row r="109" spans="2:59" x14ac:dyDescent="0.35">
      <c r="B109" s="3" t="s">
        <v>162</v>
      </c>
      <c r="D109" s="141">
        <v>575232</v>
      </c>
      <c r="E109" s="141">
        <v>480447</v>
      </c>
      <c r="F109" s="141">
        <v>521981</v>
      </c>
      <c r="G109" s="141">
        <v>53801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17"/>
        <v>1631461</v>
      </c>
      <c r="R109" s="141">
        <v>54956</v>
      </c>
      <c r="S109" s="141">
        <v>50196</v>
      </c>
      <c r="T109" s="141">
        <v>38188</v>
      </c>
      <c r="U109" s="141">
        <v>7485</v>
      </c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18"/>
        <v>150825</v>
      </c>
      <c r="AF109" s="2">
        <f t="shared" si="24"/>
        <v>9.5537105028927455E-2</v>
      </c>
      <c r="AG109" s="2">
        <f t="shared" si="24"/>
        <v>0.10447770513709108</v>
      </c>
      <c r="AH109" s="2">
        <f t="shared" si="24"/>
        <v>7.3159751025420466E-2</v>
      </c>
      <c r="AI109" s="2">
        <f t="shared" si="24"/>
        <v>0.13912380810765598</v>
      </c>
      <c r="AJ109" s="2" t="str">
        <f t="shared" si="24"/>
        <v/>
      </c>
      <c r="AK109" s="2" t="str">
        <f t="shared" si="24"/>
        <v/>
      </c>
      <c r="AL109" s="2" t="str">
        <f t="shared" si="24"/>
        <v/>
      </c>
      <c r="AM109" s="2" t="str">
        <f t="shared" si="24"/>
        <v/>
      </c>
      <c r="AN109" s="2" t="str">
        <f t="shared" si="23"/>
        <v/>
      </c>
      <c r="AO109" s="2" t="str">
        <f t="shared" si="23"/>
        <v/>
      </c>
      <c r="AP109" s="2" t="str">
        <f t="shared" si="23"/>
        <v/>
      </c>
      <c r="AQ109" s="2" t="str">
        <f t="shared" si="23"/>
        <v/>
      </c>
      <c r="AR109" s="2">
        <f t="shared" si="23"/>
        <v>9.2447812114417688E-2</v>
      </c>
      <c r="AT109" s="143">
        <f t="shared" ref="AT109:AT172" si="25">+IFERROR(AG109-AF109,"")</f>
        <v>8.9406001081636238E-3</v>
      </c>
      <c r="AU109" s="143">
        <f t="shared" ref="AU109:AU172" si="26">+IFERROR(AH109-AG109,"")</f>
        <v>-3.1317954111670612E-2</v>
      </c>
      <c r="AV109" s="143">
        <f t="shared" si="22"/>
        <v>6.5964057082235517E-2</v>
      </c>
      <c r="AW109" s="143" t="str">
        <f t="shared" si="22"/>
        <v/>
      </c>
      <c r="AX109" s="143" t="str">
        <f t="shared" si="22"/>
        <v/>
      </c>
      <c r="AY109" s="143" t="str">
        <f t="shared" si="22"/>
        <v/>
      </c>
      <c r="AZ109" s="143" t="str">
        <f t="shared" si="22"/>
        <v/>
      </c>
      <c r="BA109" s="143" t="str">
        <f t="shared" si="22"/>
        <v/>
      </c>
      <c r="BB109" s="143" t="str">
        <f t="shared" si="22"/>
        <v/>
      </c>
      <c r="BC109" s="143" t="str">
        <f t="shared" si="22"/>
        <v/>
      </c>
      <c r="BD109" s="143" t="str">
        <f t="shared" si="22"/>
        <v/>
      </c>
      <c r="BF109" s="9">
        <f t="shared" si="19"/>
        <v>1.0841930152484004E-4</v>
      </c>
      <c r="BG109" s="9">
        <f t="shared" si="20"/>
        <v>0.9620428234179772</v>
      </c>
    </row>
    <row r="110" spans="2:59" x14ac:dyDescent="0.35">
      <c r="B110" s="3" t="s">
        <v>189</v>
      </c>
      <c r="D110" s="141">
        <v>529163</v>
      </c>
      <c r="E110" s="141">
        <v>438417</v>
      </c>
      <c r="F110" s="141">
        <v>415482</v>
      </c>
      <c r="G110" s="141">
        <v>46554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17"/>
        <v>1429616</v>
      </c>
      <c r="R110" s="141">
        <v>45712</v>
      </c>
      <c r="S110" s="141">
        <v>51050</v>
      </c>
      <c r="T110" s="141">
        <v>38641</v>
      </c>
      <c r="U110" s="141">
        <v>6954</v>
      </c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18"/>
        <v>142357</v>
      </c>
      <c r="AF110" s="2">
        <f t="shared" si="24"/>
        <v>8.6385480466321343E-2</v>
      </c>
      <c r="AG110" s="2">
        <f t="shared" si="24"/>
        <v>0.11644165258190262</v>
      </c>
      <c r="AH110" s="2">
        <f t="shared" si="24"/>
        <v>9.3002825633842143E-2</v>
      </c>
      <c r="AI110" s="2">
        <f t="shared" si="24"/>
        <v>0.14937491944838252</v>
      </c>
      <c r="AJ110" s="2" t="str">
        <f t="shared" si="24"/>
        <v/>
      </c>
      <c r="AK110" s="2" t="str">
        <f t="shared" si="24"/>
        <v/>
      </c>
      <c r="AL110" s="2" t="str">
        <f t="shared" si="24"/>
        <v/>
      </c>
      <c r="AM110" s="2" t="str">
        <f t="shared" si="24"/>
        <v/>
      </c>
      <c r="AN110" s="2" t="str">
        <f t="shared" si="23"/>
        <v/>
      </c>
      <c r="AO110" s="2" t="str">
        <f t="shared" si="23"/>
        <v/>
      </c>
      <c r="AP110" s="2" t="str">
        <f t="shared" si="23"/>
        <v/>
      </c>
      <c r="AQ110" s="2" t="str">
        <f t="shared" si="23"/>
        <v/>
      </c>
      <c r="AR110" s="2">
        <f t="shared" si="23"/>
        <v>9.9577089232353297E-2</v>
      </c>
      <c r="AT110" s="143">
        <f t="shared" si="25"/>
        <v>3.0056172115581273E-2</v>
      </c>
      <c r="AU110" s="143">
        <f t="shared" si="26"/>
        <v>-2.3438826948060473E-2</v>
      </c>
      <c r="AV110" s="143">
        <f t="shared" si="22"/>
        <v>5.6372093814540378E-2</v>
      </c>
      <c r="AW110" s="143" t="str">
        <f t="shared" si="22"/>
        <v/>
      </c>
      <c r="AX110" s="143" t="str">
        <f t="shared" si="22"/>
        <v/>
      </c>
      <c r="AY110" s="143" t="str">
        <f t="shared" si="22"/>
        <v/>
      </c>
      <c r="AZ110" s="143" t="str">
        <f t="shared" si="22"/>
        <v/>
      </c>
      <c r="BA110" s="143" t="str">
        <f t="shared" si="22"/>
        <v/>
      </c>
      <c r="BB110" s="143" t="str">
        <f t="shared" si="22"/>
        <v/>
      </c>
      <c r="BC110" s="143" t="str">
        <f t="shared" si="22"/>
        <v/>
      </c>
      <c r="BD110" s="143" t="str">
        <f t="shared" si="22"/>
        <v/>
      </c>
      <c r="BF110" s="9">
        <f t="shared" si="19"/>
        <v>1.0233214989008223E-4</v>
      </c>
      <c r="BG110" s="9">
        <f t="shared" si="20"/>
        <v>0.96214515556786728</v>
      </c>
    </row>
    <row r="111" spans="2:59" x14ac:dyDescent="0.35">
      <c r="B111" s="3" t="s">
        <v>185</v>
      </c>
      <c r="D111" s="141">
        <v>528193</v>
      </c>
      <c r="E111" s="141">
        <v>485467</v>
      </c>
      <c r="F111" s="141">
        <v>570952</v>
      </c>
      <c r="G111" s="141">
        <v>60880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17"/>
        <v>1645492</v>
      </c>
      <c r="R111" s="141">
        <v>50417</v>
      </c>
      <c r="S111" s="141">
        <v>34669</v>
      </c>
      <c r="T111" s="141">
        <v>46430</v>
      </c>
      <c r="U111" s="141">
        <v>4705</v>
      </c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18"/>
        <v>136221</v>
      </c>
      <c r="AF111" s="2">
        <f t="shared" si="24"/>
        <v>9.5451851879899963E-2</v>
      </c>
      <c r="AG111" s="2">
        <f t="shared" si="24"/>
        <v>7.1413710921648638E-2</v>
      </c>
      <c r="AH111" s="2">
        <f t="shared" si="24"/>
        <v>8.1320321147837299E-2</v>
      </c>
      <c r="AI111" s="2">
        <f t="shared" si="24"/>
        <v>7.7283180026281206E-2</v>
      </c>
      <c r="AJ111" s="2" t="str">
        <f t="shared" si="24"/>
        <v/>
      </c>
      <c r="AK111" s="2" t="str">
        <f t="shared" si="24"/>
        <v/>
      </c>
      <c r="AL111" s="2" t="str">
        <f t="shared" si="24"/>
        <v/>
      </c>
      <c r="AM111" s="2" t="str">
        <f t="shared" si="24"/>
        <v/>
      </c>
      <c r="AN111" s="2" t="str">
        <f t="shared" si="23"/>
        <v/>
      </c>
      <c r="AO111" s="2" t="str">
        <f t="shared" si="23"/>
        <v/>
      </c>
      <c r="AP111" s="2" t="str">
        <f t="shared" si="23"/>
        <v/>
      </c>
      <c r="AQ111" s="2" t="str">
        <f t="shared" si="23"/>
        <v/>
      </c>
      <c r="AR111" s="2">
        <f t="shared" si="23"/>
        <v>8.2784358720674425E-2</v>
      </c>
      <c r="AT111" s="143">
        <f t="shared" si="25"/>
        <v>-2.4038140958251325E-2</v>
      </c>
      <c r="AU111" s="143">
        <f t="shared" si="26"/>
        <v>9.9066102261886613E-3</v>
      </c>
      <c r="AV111" s="143">
        <f t="shared" si="22"/>
        <v>-4.0371411215560926E-3</v>
      </c>
      <c r="AW111" s="143" t="str">
        <f t="shared" si="22"/>
        <v/>
      </c>
      <c r="AX111" s="143" t="str">
        <f t="shared" si="22"/>
        <v/>
      </c>
      <c r="AY111" s="143" t="str">
        <f t="shared" si="22"/>
        <v/>
      </c>
      <c r="AZ111" s="143" t="str">
        <f t="shared" si="22"/>
        <v/>
      </c>
      <c r="BA111" s="143" t="str">
        <f t="shared" si="22"/>
        <v/>
      </c>
      <c r="BB111" s="143" t="str">
        <f t="shared" si="22"/>
        <v/>
      </c>
      <c r="BC111" s="143" t="str">
        <f t="shared" si="22"/>
        <v/>
      </c>
      <c r="BD111" s="143" t="str">
        <f t="shared" si="22"/>
        <v/>
      </c>
      <c r="BF111" s="9">
        <f t="shared" si="19"/>
        <v>9.7921337132539265E-5</v>
      </c>
      <c r="BG111" s="9">
        <f t="shared" si="20"/>
        <v>0.96224307690499977</v>
      </c>
    </row>
    <row r="112" spans="2:59" x14ac:dyDescent="0.35">
      <c r="B112" s="3" t="s">
        <v>206</v>
      </c>
      <c r="D112" s="141">
        <v>590548</v>
      </c>
      <c r="E112" s="141">
        <v>545238</v>
      </c>
      <c r="F112" s="141">
        <v>582009</v>
      </c>
      <c r="G112" s="141">
        <v>77298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17"/>
        <v>1795093</v>
      </c>
      <c r="R112" s="141">
        <v>83793</v>
      </c>
      <c r="S112" s="141">
        <v>64199</v>
      </c>
      <c r="T112" s="141">
        <v>76918</v>
      </c>
      <c r="U112" s="141">
        <v>10091</v>
      </c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18"/>
        <v>235001</v>
      </c>
      <c r="AF112" s="2">
        <f t="shared" si="24"/>
        <v>0.14189024431544939</v>
      </c>
      <c r="AG112" s="2">
        <f t="shared" si="24"/>
        <v>0.11774491139649107</v>
      </c>
      <c r="AH112" s="2">
        <f t="shared" si="24"/>
        <v>0.132159468324373</v>
      </c>
      <c r="AI112" s="2">
        <f t="shared" si="24"/>
        <v>0.13054671530958109</v>
      </c>
      <c r="AJ112" s="2" t="str">
        <f t="shared" si="24"/>
        <v/>
      </c>
      <c r="AK112" s="2" t="str">
        <f t="shared" si="24"/>
        <v/>
      </c>
      <c r="AL112" s="2" t="str">
        <f t="shared" si="24"/>
        <v/>
      </c>
      <c r="AM112" s="2" t="str">
        <f t="shared" si="24"/>
        <v/>
      </c>
      <c r="AN112" s="2" t="str">
        <f t="shared" si="23"/>
        <v/>
      </c>
      <c r="AO112" s="2" t="str">
        <f t="shared" si="23"/>
        <v/>
      </c>
      <c r="AP112" s="2" t="str">
        <f t="shared" si="23"/>
        <v/>
      </c>
      <c r="AQ112" s="2" t="str">
        <f t="shared" si="23"/>
        <v/>
      </c>
      <c r="AR112" s="2">
        <f t="shared" si="23"/>
        <v>0.13091299447995172</v>
      </c>
      <c r="AT112" s="143">
        <f t="shared" si="25"/>
        <v>-2.4145332918958318E-2</v>
      </c>
      <c r="AU112" s="143">
        <f t="shared" si="26"/>
        <v>1.4414556927881933E-2</v>
      </c>
      <c r="AV112" s="143">
        <f t="shared" si="22"/>
        <v>-1.6127530147919122E-3</v>
      </c>
      <c r="AW112" s="143" t="str">
        <f t="shared" si="22"/>
        <v/>
      </c>
      <c r="AX112" s="143" t="str">
        <f t="shared" si="22"/>
        <v/>
      </c>
      <c r="AY112" s="143" t="str">
        <f t="shared" si="22"/>
        <v/>
      </c>
      <c r="AZ112" s="143" t="str">
        <f t="shared" si="22"/>
        <v/>
      </c>
      <c r="BA112" s="143" t="str">
        <f t="shared" si="22"/>
        <v/>
      </c>
      <c r="BB112" s="143" t="str">
        <f t="shared" si="22"/>
        <v/>
      </c>
      <c r="BC112" s="143" t="str">
        <f t="shared" si="22"/>
        <v/>
      </c>
      <c r="BD112" s="143" t="str">
        <f t="shared" si="22"/>
        <v/>
      </c>
      <c r="BF112" s="9">
        <f t="shared" si="19"/>
        <v>1.6892852164852599E-4</v>
      </c>
      <c r="BG112" s="9">
        <f t="shared" si="20"/>
        <v>0.96241200542664829</v>
      </c>
    </row>
    <row r="113" spans="2:59" x14ac:dyDescent="0.35">
      <c r="B113" s="3" t="s">
        <v>188</v>
      </c>
      <c r="D113" s="141">
        <v>71942</v>
      </c>
      <c r="E113" s="141">
        <v>63606</v>
      </c>
      <c r="F113" s="141">
        <v>58380</v>
      </c>
      <c r="G113" s="141">
        <v>4417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17"/>
        <v>198345</v>
      </c>
      <c r="R113" s="141">
        <v>9955</v>
      </c>
      <c r="S113" s="141">
        <v>8799</v>
      </c>
      <c r="T113" s="141">
        <v>7701</v>
      </c>
      <c r="U113" s="141">
        <v>21</v>
      </c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18"/>
        <v>26476</v>
      </c>
      <c r="AF113" s="2">
        <f t="shared" si="24"/>
        <v>0.13837535792721914</v>
      </c>
      <c r="AG113" s="2">
        <f t="shared" si="24"/>
        <v>0.13833600603716631</v>
      </c>
      <c r="AH113" s="2">
        <f t="shared" si="24"/>
        <v>0.13191161356628983</v>
      </c>
      <c r="AI113" s="2">
        <f t="shared" si="24"/>
        <v>4.7543581616481777E-3</v>
      </c>
      <c r="AJ113" s="2" t="str">
        <f t="shared" si="24"/>
        <v/>
      </c>
      <c r="AK113" s="2" t="str">
        <f t="shared" si="24"/>
        <v/>
      </c>
      <c r="AL113" s="2" t="str">
        <f t="shared" si="24"/>
        <v/>
      </c>
      <c r="AM113" s="2" t="str">
        <f t="shared" si="24"/>
        <v/>
      </c>
      <c r="AN113" s="2" t="str">
        <f t="shared" si="23"/>
        <v/>
      </c>
      <c r="AO113" s="2" t="str">
        <f t="shared" si="23"/>
        <v/>
      </c>
      <c r="AP113" s="2" t="str">
        <f t="shared" si="23"/>
        <v/>
      </c>
      <c r="AQ113" s="2" t="str">
        <f t="shared" si="23"/>
        <v/>
      </c>
      <c r="AR113" s="2">
        <f t="shared" si="23"/>
        <v>0.13348458494038165</v>
      </c>
      <c r="AT113" s="143">
        <f t="shared" si="25"/>
        <v>-3.9351890052830019E-5</v>
      </c>
      <c r="AU113" s="143">
        <f t="shared" si="26"/>
        <v>-6.4243924708764777E-3</v>
      </c>
      <c r="AV113" s="143">
        <f t="shared" si="22"/>
        <v>-0.12715725540464165</v>
      </c>
      <c r="AW113" s="143" t="str">
        <f t="shared" si="22"/>
        <v/>
      </c>
      <c r="AX113" s="143" t="str">
        <f t="shared" si="22"/>
        <v/>
      </c>
      <c r="AY113" s="143" t="str">
        <f t="shared" si="22"/>
        <v/>
      </c>
      <c r="AZ113" s="143" t="str">
        <f t="shared" si="22"/>
        <v/>
      </c>
      <c r="BA113" s="143" t="str">
        <f t="shared" si="22"/>
        <v/>
      </c>
      <c r="BB113" s="143" t="str">
        <f t="shared" si="22"/>
        <v/>
      </c>
      <c r="BC113" s="143" t="str">
        <f t="shared" si="22"/>
        <v/>
      </c>
      <c r="BD113" s="143" t="str">
        <f t="shared" si="22"/>
        <v/>
      </c>
      <c r="BF113" s="9">
        <f t="shared" si="19"/>
        <v>1.9032053221758096E-5</v>
      </c>
      <c r="BG113" s="9">
        <f t="shared" si="20"/>
        <v>0.96243103747987002</v>
      </c>
    </row>
    <row r="114" spans="2:59" x14ac:dyDescent="0.35">
      <c r="B114" s="3" t="s">
        <v>177</v>
      </c>
      <c r="D114" s="141">
        <v>451279</v>
      </c>
      <c r="E114" s="141">
        <v>412123</v>
      </c>
      <c r="F114" s="141">
        <v>337614</v>
      </c>
      <c r="G114" s="141">
        <v>53359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17"/>
        <v>1254375</v>
      </c>
      <c r="R114" s="141">
        <v>47851</v>
      </c>
      <c r="S114" s="141">
        <v>34055</v>
      </c>
      <c r="T114" s="141">
        <v>37513</v>
      </c>
      <c r="U114" s="141">
        <v>5153</v>
      </c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18"/>
        <v>124572</v>
      </c>
      <c r="AF114" s="2">
        <f t="shared" si="24"/>
        <v>0.106034182844759</v>
      </c>
      <c r="AG114" s="2">
        <f t="shared" si="24"/>
        <v>8.2633097400533331E-2</v>
      </c>
      <c r="AH114" s="2">
        <f t="shared" si="24"/>
        <v>0.11111209843193706</v>
      </c>
      <c r="AI114" s="2">
        <f t="shared" si="24"/>
        <v>9.6572274592852184E-2</v>
      </c>
      <c r="AJ114" s="2" t="str">
        <f t="shared" si="24"/>
        <v/>
      </c>
      <c r="AK114" s="2" t="str">
        <f t="shared" si="24"/>
        <v/>
      </c>
      <c r="AL114" s="2" t="str">
        <f t="shared" si="24"/>
        <v/>
      </c>
      <c r="AM114" s="2" t="str">
        <f t="shared" si="24"/>
        <v/>
      </c>
      <c r="AN114" s="2" t="str">
        <f t="shared" si="23"/>
        <v/>
      </c>
      <c r="AO114" s="2" t="str">
        <f t="shared" si="23"/>
        <v/>
      </c>
      <c r="AP114" s="2" t="str">
        <f t="shared" si="23"/>
        <v/>
      </c>
      <c r="AQ114" s="2" t="str">
        <f t="shared" si="23"/>
        <v/>
      </c>
      <c r="AR114" s="2">
        <f t="shared" si="23"/>
        <v>9.9310014947683115E-2</v>
      </c>
      <c r="AT114" s="143">
        <f t="shared" si="25"/>
        <v>-2.3401085444225672E-2</v>
      </c>
      <c r="AU114" s="143">
        <f t="shared" si="26"/>
        <v>2.8479001031403731E-2</v>
      </c>
      <c r="AV114" s="143">
        <f t="shared" si="22"/>
        <v>-1.4539823839084878E-2</v>
      </c>
      <c r="AW114" s="143" t="str">
        <f t="shared" si="22"/>
        <v/>
      </c>
      <c r="AX114" s="143" t="str">
        <f t="shared" si="22"/>
        <v/>
      </c>
      <c r="AY114" s="143" t="str">
        <f t="shared" si="22"/>
        <v/>
      </c>
      <c r="AZ114" s="143" t="str">
        <f t="shared" si="22"/>
        <v/>
      </c>
      <c r="BA114" s="143" t="str">
        <f t="shared" si="22"/>
        <v/>
      </c>
      <c r="BB114" s="143" t="str">
        <f t="shared" si="22"/>
        <v/>
      </c>
      <c r="BC114" s="143" t="str">
        <f t="shared" si="22"/>
        <v/>
      </c>
      <c r="BD114" s="143" t="str">
        <f t="shared" si="22"/>
        <v/>
      </c>
      <c r="BF114" s="9">
        <f t="shared" si="19"/>
        <v>8.9547550005319895E-5</v>
      </c>
      <c r="BG114" s="9">
        <f t="shared" si="20"/>
        <v>0.96252058502987536</v>
      </c>
    </row>
    <row r="115" spans="2:59" x14ac:dyDescent="0.35">
      <c r="B115" s="3" t="s">
        <v>196</v>
      </c>
      <c r="D115" s="141">
        <v>207279</v>
      </c>
      <c r="E115" s="141">
        <v>210377</v>
      </c>
      <c r="F115" s="141">
        <v>364063</v>
      </c>
      <c r="G115" s="141">
        <v>28146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17"/>
        <v>809865</v>
      </c>
      <c r="R115" s="141">
        <v>22067</v>
      </c>
      <c r="S115" s="141">
        <v>23000</v>
      </c>
      <c r="T115" s="141">
        <v>41076</v>
      </c>
      <c r="U115" s="141">
        <v>5440</v>
      </c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18"/>
        <v>91583</v>
      </c>
      <c r="AF115" s="2">
        <f t="shared" si="24"/>
        <v>0.10646037466410008</v>
      </c>
      <c r="AG115" s="2">
        <f t="shared" si="24"/>
        <v>0.10932754055814087</v>
      </c>
      <c r="AH115" s="2">
        <f t="shared" si="24"/>
        <v>0.11282662616085677</v>
      </c>
      <c r="AI115" s="2">
        <f t="shared" si="24"/>
        <v>0.19327790805087758</v>
      </c>
      <c r="AJ115" s="2" t="str">
        <f t="shared" si="24"/>
        <v/>
      </c>
      <c r="AK115" s="2" t="str">
        <f t="shared" si="24"/>
        <v/>
      </c>
      <c r="AL115" s="2" t="str">
        <f t="shared" si="24"/>
        <v/>
      </c>
      <c r="AM115" s="2" t="str">
        <f t="shared" si="24"/>
        <v/>
      </c>
      <c r="AN115" s="2" t="str">
        <f t="shared" si="23"/>
        <v/>
      </c>
      <c r="AO115" s="2" t="str">
        <f t="shared" si="23"/>
        <v/>
      </c>
      <c r="AP115" s="2" t="str">
        <f t="shared" si="23"/>
        <v/>
      </c>
      <c r="AQ115" s="2" t="str">
        <f t="shared" si="23"/>
        <v/>
      </c>
      <c r="AR115" s="2">
        <f t="shared" si="23"/>
        <v>0.11308427947867855</v>
      </c>
      <c r="AT115" s="143">
        <f t="shared" si="25"/>
        <v>2.8671658940407907E-3</v>
      </c>
      <c r="AU115" s="143">
        <f t="shared" si="26"/>
        <v>3.499085602715904E-3</v>
      </c>
      <c r="AV115" s="143">
        <f t="shared" si="22"/>
        <v>8.0451281890020807E-2</v>
      </c>
      <c r="AW115" s="143" t="str">
        <f t="shared" si="22"/>
        <v/>
      </c>
      <c r="AX115" s="143" t="str">
        <f t="shared" si="22"/>
        <v/>
      </c>
      <c r="AY115" s="143" t="str">
        <f t="shared" si="22"/>
        <v/>
      </c>
      <c r="AZ115" s="143" t="str">
        <f t="shared" si="22"/>
        <v/>
      </c>
      <c r="BA115" s="143" t="str">
        <f t="shared" si="22"/>
        <v/>
      </c>
      <c r="BB115" s="143" t="str">
        <f t="shared" si="22"/>
        <v/>
      </c>
      <c r="BC115" s="143" t="str">
        <f t="shared" si="22"/>
        <v/>
      </c>
      <c r="BD115" s="143" t="str">
        <f t="shared" si="22"/>
        <v/>
      </c>
      <c r="BF115" s="9">
        <f t="shared" si="19"/>
        <v>6.5833680699813862E-5</v>
      </c>
      <c r="BG115" s="9">
        <f t="shared" si="20"/>
        <v>0.96258641871057515</v>
      </c>
    </row>
    <row r="116" spans="2:59" x14ac:dyDescent="0.35">
      <c r="B116" s="3" t="s">
        <v>159</v>
      </c>
      <c r="D116" s="141">
        <v>403227</v>
      </c>
      <c r="E116" s="141">
        <v>298598</v>
      </c>
      <c r="F116" s="141">
        <v>338888</v>
      </c>
      <c r="G116" s="141">
        <v>37951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17"/>
        <v>1078664</v>
      </c>
      <c r="R116" s="141">
        <v>59303</v>
      </c>
      <c r="S116" s="141">
        <v>36225</v>
      </c>
      <c r="T116" s="141">
        <v>31080</v>
      </c>
      <c r="U116" s="141">
        <v>5940</v>
      </c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18"/>
        <v>132548</v>
      </c>
      <c r="AF116" s="2">
        <f t="shared" si="24"/>
        <v>0.14707100466982617</v>
      </c>
      <c r="AG116" s="2">
        <f t="shared" si="24"/>
        <v>0.12131695456767962</v>
      </c>
      <c r="AH116" s="2">
        <f t="shared" si="24"/>
        <v>9.1711715965156634E-2</v>
      </c>
      <c r="AI116" s="2">
        <f t="shared" si="24"/>
        <v>0.15651761481910886</v>
      </c>
      <c r="AJ116" s="2" t="str">
        <f t="shared" si="24"/>
        <v/>
      </c>
      <c r="AK116" s="2" t="str">
        <f t="shared" si="24"/>
        <v/>
      </c>
      <c r="AL116" s="2" t="str">
        <f t="shared" si="24"/>
        <v/>
      </c>
      <c r="AM116" s="2" t="str">
        <f t="shared" si="24"/>
        <v/>
      </c>
      <c r="AN116" s="2" t="str">
        <f t="shared" si="23"/>
        <v/>
      </c>
      <c r="AO116" s="2" t="str">
        <f t="shared" si="23"/>
        <v/>
      </c>
      <c r="AP116" s="2" t="str">
        <f t="shared" si="23"/>
        <v/>
      </c>
      <c r="AQ116" s="2" t="str">
        <f t="shared" si="23"/>
        <v/>
      </c>
      <c r="AR116" s="2">
        <f t="shared" si="23"/>
        <v>0.12288163876795739</v>
      </c>
      <c r="AT116" s="143">
        <f t="shared" si="25"/>
        <v>-2.5754050102146556E-2</v>
      </c>
      <c r="AU116" s="143">
        <f t="shared" si="26"/>
        <v>-2.9605238602522982E-2</v>
      </c>
      <c r="AV116" s="143">
        <f t="shared" si="22"/>
        <v>6.4805898853952229E-2</v>
      </c>
      <c r="AW116" s="143" t="str">
        <f t="shared" si="22"/>
        <v/>
      </c>
      <c r="AX116" s="143" t="str">
        <f t="shared" si="22"/>
        <v/>
      </c>
      <c r="AY116" s="143" t="str">
        <f t="shared" ref="AY116:BD147" si="27">+IFERROR(AL116-AK116,"")</f>
        <v/>
      </c>
      <c r="AZ116" s="143" t="str">
        <f t="shared" si="27"/>
        <v/>
      </c>
      <c r="BA116" s="143" t="str">
        <f t="shared" si="27"/>
        <v/>
      </c>
      <c r="BB116" s="143" t="str">
        <f t="shared" si="27"/>
        <v/>
      </c>
      <c r="BC116" s="143" t="str">
        <f t="shared" si="27"/>
        <v/>
      </c>
      <c r="BD116" s="143" t="str">
        <f t="shared" si="27"/>
        <v/>
      </c>
      <c r="BF116" s="9">
        <f t="shared" si="19"/>
        <v>9.5281031516754496E-5</v>
      </c>
      <c r="BG116" s="9">
        <f t="shared" si="20"/>
        <v>0.96268169974209195</v>
      </c>
    </row>
    <row r="117" spans="2:59" x14ac:dyDescent="0.35">
      <c r="B117" s="3" t="s">
        <v>205</v>
      </c>
      <c r="D117" s="141">
        <v>343390</v>
      </c>
      <c r="E117" s="141">
        <v>305365</v>
      </c>
      <c r="F117" s="141">
        <v>320942</v>
      </c>
      <c r="G117" s="141">
        <v>51822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17"/>
        <v>1021519</v>
      </c>
      <c r="R117" s="141">
        <v>47243</v>
      </c>
      <c r="S117" s="141">
        <v>37283</v>
      </c>
      <c r="T117" s="141">
        <v>40001</v>
      </c>
      <c r="U117" s="141">
        <v>7453</v>
      </c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18"/>
        <v>131980</v>
      </c>
      <c r="AF117" s="2">
        <f t="shared" si="24"/>
        <v>0.13757826378170593</v>
      </c>
      <c r="AG117" s="2">
        <f t="shared" si="24"/>
        <v>0.12209323268874953</v>
      </c>
      <c r="AH117" s="2">
        <f t="shared" si="24"/>
        <v>0.12463622710645537</v>
      </c>
      <c r="AI117" s="2">
        <f t="shared" si="24"/>
        <v>0.14381922735517733</v>
      </c>
      <c r="AJ117" s="2" t="str">
        <f t="shared" si="24"/>
        <v/>
      </c>
      <c r="AK117" s="2" t="str">
        <f t="shared" si="24"/>
        <v/>
      </c>
      <c r="AL117" s="2" t="str">
        <f t="shared" si="24"/>
        <v/>
      </c>
      <c r="AM117" s="2" t="str">
        <f t="shared" si="24"/>
        <v/>
      </c>
      <c r="AN117" s="2" t="str">
        <f t="shared" si="23"/>
        <v/>
      </c>
      <c r="AO117" s="2" t="str">
        <f t="shared" si="23"/>
        <v/>
      </c>
      <c r="AP117" s="2" t="str">
        <f t="shared" si="23"/>
        <v/>
      </c>
      <c r="AQ117" s="2" t="str">
        <f t="shared" si="23"/>
        <v/>
      </c>
      <c r="AR117" s="2">
        <f t="shared" si="23"/>
        <v>0.12919975056753716</v>
      </c>
      <c r="AT117" s="143">
        <f t="shared" si="25"/>
        <v>-1.5485031092956403E-2</v>
      </c>
      <c r="AU117" s="143">
        <f t="shared" si="26"/>
        <v>2.5429944177058489E-3</v>
      </c>
      <c r="AV117" s="143">
        <f t="shared" ref="AV117:BD148" si="28">+IFERROR(AI117-AH117,"")</f>
        <v>1.9183000248721951E-2</v>
      </c>
      <c r="AW117" s="143" t="str">
        <f t="shared" si="28"/>
        <v/>
      </c>
      <c r="AX117" s="143" t="str">
        <f t="shared" si="28"/>
        <v/>
      </c>
      <c r="AY117" s="143" t="str">
        <f t="shared" si="27"/>
        <v/>
      </c>
      <c r="AZ117" s="143" t="str">
        <f t="shared" si="27"/>
        <v/>
      </c>
      <c r="BA117" s="143" t="str">
        <f t="shared" si="27"/>
        <v/>
      </c>
      <c r="BB117" s="143" t="str">
        <f t="shared" si="27"/>
        <v/>
      </c>
      <c r="BC117" s="143" t="str">
        <f t="shared" si="27"/>
        <v/>
      </c>
      <c r="BD117" s="143" t="str">
        <f t="shared" si="27"/>
        <v/>
      </c>
      <c r="BF117" s="9">
        <f t="shared" si="19"/>
        <v>9.4872729423161868E-5</v>
      </c>
      <c r="BG117" s="9">
        <f t="shared" si="20"/>
        <v>0.96277657247151516</v>
      </c>
    </row>
    <row r="118" spans="2:59" x14ac:dyDescent="0.35">
      <c r="B118" s="3" t="s">
        <v>200</v>
      </c>
      <c r="D118" s="141">
        <v>69103</v>
      </c>
      <c r="E118" s="141">
        <v>74871</v>
      </c>
      <c r="F118" s="141">
        <v>59744</v>
      </c>
      <c r="G118" s="141"/>
      <c r="H118" s="141"/>
      <c r="I118" s="141"/>
      <c r="J118" s="141"/>
      <c r="K118" s="141"/>
      <c r="L118" s="141"/>
      <c r="M118" s="141"/>
      <c r="N118" s="141"/>
      <c r="O118" s="141"/>
      <c r="P118" s="141">
        <f t="shared" si="17"/>
        <v>203718</v>
      </c>
      <c r="R118" s="141">
        <v>9690</v>
      </c>
      <c r="S118" s="141">
        <v>7254</v>
      </c>
      <c r="T118" s="141">
        <v>12400</v>
      </c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18"/>
        <v>29344</v>
      </c>
      <c r="AF118" s="2">
        <f t="shared" si="24"/>
        <v>0.14022546054440474</v>
      </c>
      <c r="AG118" s="2">
        <f t="shared" si="24"/>
        <v>9.6886645029450658E-2</v>
      </c>
      <c r="AH118" s="2">
        <f t="shared" si="24"/>
        <v>0.20755222281735405</v>
      </c>
      <c r="AI118" s="2" t="str">
        <f t="shared" si="24"/>
        <v/>
      </c>
      <c r="AJ118" s="2" t="str">
        <f t="shared" si="24"/>
        <v/>
      </c>
      <c r="AK118" s="2" t="str">
        <f t="shared" si="24"/>
        <v/>
      </c>
      <c r="AL118" s="2" t="str">
        <f t="shared" si="24"/>
        <v/>
      </c>
      <c r="AM118" s="2" t="str">
        <f t="shared" si="24"/>
        <v/>
      </c>
      <c r="AN118" s="2" t="str">
        <f t="shared" si="23"/>
        <v/>
      </c>
      <c r="AO118" s="2" t="str">
        <f t="shared" si="23"/>
        <v/>
      </c>
      <c r="AP118" s="2" t="str">
        <f t="shared" si="23"/>
        <v/>
      </c>
      <c r="AQ118" s="2" t="str">
        <f t="shared" si="23"/>
        <v/>
      </c>
      <c r="AR118" s="2">
        <f t="shared" si="23"/>
        <v>0.14404225448904859</v>
      </c>
      <c r="AT118" s="143">
        <f t="shared" si="25"/>
        <v>-4.3338815514954082E-2</v>
      </c>
      <c r="AU118" s="143">
        <f t="shared" si="26"/>
        <v>0.1106655777879034</v>
      </c>
      <c r="AV118" s="143" t="str">
        <f t="shared" si="28"/>
        <v/>
      </c>
      <c r="AW118" s="143" t="str">
        <f t="shared" si="28"/>
        <v/>
      </c>
      <c r="AX118" s="143" t="str">
        <f t="shared" si="28"/>
        <v/>
      </c>
      <c r="AY118" s="143" t="str">
        <f t="shared" si="27"/>
        <v/>
      </c>
      <c r="AZ118" s="143" t="str">
        <f t="shared" si="27"/>
        <v/>
      </c>
      <c r="BA118" s="143" t="str">
        <f t="shared" si="27"/>
        <v/>
      </c>
      <c r="BB118" s="143" t="str">
        <f t="shared" si="27"/>
        <v/>
      </c>
      <c r="BC118" s="143" t="str">
        <f t="shared" si="27"/>
        <v/>
      </c>
      <c r="BD118" s="143" t="str">
        <f t="shared" si="27"/>
        <v/>
      </c>
      <c r="BF118" s="9">
        <f t="shared" si="19"/>
        <v>2.1093691257715273E-5</v>
      </c>
      <c r="BG118" s="9">
        <f t="shared" si="20"/>
        <v>0.96279766616277285</v>
      </c>
    </row>
    <row r="119" spans="2:59" x14ac:dyDescent="0.35">
      <c r="B119" s="3" t="s">
        <v>194</v>
      </c>
      <c r="D119" s="141">
        <v>532962</v>
      </c>
      <c r="E119" s="141">
        <v>428724</v>
      </c>
      <c r="F119" s="141">
        <v>529451</v>
      </c>
      <c r="G119" s="141">
        <v>52948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17"/>
        <v>1544085</v>
      </c>
      <c r="R119" s="141">
        <v>77364</v>
      </c>
      <c r="S119" s="141">
        <v>55643</v>
      </c>
      <c r="T119" s="141">
        <v>80209</v>
      </c>
      <c r="U119" s="141">
        <v>12999</v>
      </c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18"/>
        <v>226215</v>
      </c>
      <c r="AF119" s="2">
        <f t="shared" si="24"/>
        <v>0.14515856665203147</v>
      </c>
      <c r="AG119" s="2">
        <f t="shared" si="24"/>
        <v>0.12978746233007715</v>
      </c>
      <c r="AH119" s="2">
        <f t="shared" si="24"/>
        <v>0.15149466145120133</v>
      </c>
      <c r="AI119" s="2">
        <f t="shared" si="24"/>
        <v>0.24550502379693284</v>
      </c>
      <c r="AJ119" s="2" t="str">
        <f t="shared" si="24"/>
        <v/>
      </c>
      <c r="AK119" s="2" t="str">
        <f t="shared" si="24"/>
        <v/>
      </c>
      <c r="AL119" s="2" t="str">
        <f t="shared" si="24"/>
        <v/>
      </c>
      <c r="AM119" s="2" t="str">
        <f t="shared" si="24"/>
        <v/>
      </c>
      <c r="AN119" s="2" t="str">
        <f t="shared" si="23"/>
        <v/>
      </c>
      <c r="AO119" s="2" t="str">
        <f t="shared" si="23"/>
        <v/>
      </c>
      <c r="AP119" s="2" t="str">
        <f t="shared" si="23"/>
        <v/>
      </c>
      <c r="AQ119" s="2" t="str">
        <f t="shared" si="23"/>
        <v/>
      </c>
      <c r="AR119" s="2">
        <f t="shared" si="23"/>
        <v>0.14650424037536794</v>
      </c>
      <c r="AT119" s="143">
        <f t="shared" si="25"/>
        <v>-1.5371104321954321E-2</v>
      </c>
      <c r="AU119" s="143">
        <f t="shared" si="26"/>
        <v>2.1707199121124177E-2</v>
      </c>
      <c r="AV119" s="143">
        <f t="shared" si="28"/>
        <v>9.4010362345731513E-2</v>
      </c>
      <c r="AW119" s="143" t="str">
        <f t="shared" si="28"/>
        <v/>
      </c>
      <c r="AX119" s="143" t="str">
        <f t="shared" si="28"/>
        <v/>
      </c>
      <c r="AY119" s="143" t="str">
        <f t="shared" si="27"/>
        <v/>
      </c>
      <c r="AZ119" s="143" t="str">
        <f t="shared" si="27"/>
        <v/>
      </c>
      <c r="BA119" s="143" t="str">
        <f t="shared" si="27"/>
        <v/>
      </c>
      <c r="BB119" s="143" t="str">
        <f t="shared" si="27"/>
        <v/>
      </c>
      <c r="BC119" s="143" t="str">
        <f t="shared" si="27"/>
        <v/>
      </c>
      <c r="BD119" s="143" t="str">
        <f t="shared" si="27"/>
        <v/>
      </c>
      <c r="BF119" s="9">
        <f t="shared" si="19"/>
        <v>1.6261277834869346E-4</v>
      </c>
      <c r="BG119" s="9">
        <f t="shared" si="20"/>
        <v>0.96296027894112157</v>
      </c>
    </row>
    <row r="120" spans="2:59" x14ac:dyDescent="0.35">
      <c r="B120" s="3" t="s">
        <v>213</v>
      </c>
      <c r="D120" s="141">
        <v>189535</v>
      </c>
      <c r="E120" s="141">
        <v>173066</v>
      </c>
      <c r="F120" s="141">
        <v>187504</v>
      </c>
      <c r="G120" s="141">
        <v>18973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17"/>
        <v>569078</v>
      </c>
      <c r="R120" s="141">
        <v>24611</v>
      </c>
      <c r="S120" s="141">
        <v>20784</v>
      </c>
      <c r="T120" s="141">
        <v>18923</v>
      </c>
      <c r="U120" s="141">
        <v>1076</v>
      </c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18"/>
        <v>65394</v>
      </c>
      <c r="AF120" s="2">
        <f t="shared" si="24"/>
        <v>0.12984936819057166</v>
      </c>
      <c r="AG120" s="2">
        <f t="shared" si="24"/>
        <v>0.1200929125304797</v>
      </c>
      <c r="AH120" s="2">
        <f t="shared" si="24"/>
        <v>0.10092051369570783</v>
      </c>
      <c r="AI120" s="2">
        <f t="shared" si="24"/>
        <v>5.671216992568387E-2</v>
      </c>
      <c r="AJ120" s="2" t="str">
        <f t="shared" si="24"/>
        <v/>
      </c>
      <c r="AK120" s="2" t="str">
        <f t="shared" si="24"/>
        <v/>
      </c>
      <c r="AL120" s="2" t="str">
        <f t="shared" si="24"/>
        <v/>
      </c>
      <c r="AM120" s="2" t="str">
        <f t="shared" si="24"/>
        <v/>
      </c>
      <c r="AN120" s="2" t="str">
        <f t="shared" si="23"/>
        <v/>
      </c>
      <c r="AO120" s="2" t="str">
        <f t="shared" si="23"/>
        <v/>
      </c>
      <c r="AP120" s="2" t="str">
        <f t="shared" si="23"/>
        <v/>
      </c>
      <c r="AQ120" s="2" t="str">
        <f t="shared" si="23"/>
        <v/>
      </c>
      <c r="AR120" s="2">
        <f t="shared" si="23"/>
        <v>0.11491219129890806</v>
      </c>
      <c r="AT120" s="143">
        <f t="shared" si="25"/>
        <v>-9.7564556600919644E-3</v>
      </c>
      <c r="AU120" s="143">
        <f t="shared" si="26"/>
        <v>-1.917239883477187E-2</v>
      </c>
      <c r="AV120" s="143">
        <f t="shared" si="28"/>
        <v>-4.4208343770023958E-2</v>
      </c>
      <c r="AW120" s="143" t="str">
        <f t="shared" si="28"/>
        <v/>
      </c>
      <c r="AX120" s="143" t="str">
        <f t="shared" si="28"/>
        <v/>
      </c>
      <c r="AY120" s="143" t="str">
        <f t="shared" si="27"/>
        <v/>
      </c>
      <c r="AZ120" s="143" t="str">
        <f t="shared" si="27"/>
        <v/>
      </c>
      <c r="BA120" s="143" t="str">
        <f t="shared" si="27"/>
        <v/>
      </c>
      <c r="BB120" s="143" t="str">
        <f t="shared" si="27"/>
        <v/>
      </c>
      <c r="BC120" s="143" t="str">
        <f t="shared" si="27"/>
        <v/>
      </c>
      <c r="BD120" s="143" t="str">
        <f t="shared" si="27"/>
        <v/>
      </c>
      <c r="BF120" s="9">
        <f t="shared" si="19"/>
        <v>4.7007935049994294E-5</v>
      </c>
      <c r="BG120" s="9">
        <f t="shared" si="20"/>
        <v>0.96300728687617154</v>
      </c>
    </row>
    <row r="121" spans="2:59" x14ac:dyDescent="0.35">
      <c r="B121" s="3" t="s">
        <v>184</v>
      </c>
      <c r="D121" s="141">
        <v>207876</v>
      </c>
      <c r="E121" s="141">
        <v>188416</v>
      </c>
      <c r="F121" s="141">
        <v>264796</v>
      </c>
      <c r="G121" s="141">
        <v>36565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17"/>
        <v>697653</v>
      </c>
      <c r="R121" s="141">
        <v>24572</v>
      </c>
      <c r="S121" s="141">
        <v>26072</v>
      </c>
      <c r="T121" s="141">
        <v>31678</v>
      </c>
      <c r="U121" s="141">
        <v>1272</v>
      </c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18"/>
        <v>83594</v>
      </c>
      <c r="AF121" s="2">
        <f t="shared" si="24"/>
        <v>0.11820508379995767</v>
      </c>
      <c r="AG121" s="2">
        <f t="shared" si="24"/>
        <v>0.13837466032608695</v>
      </c>
      <c r="AH121" s="2">
        <f t="shared" si="24"/>
        <v>0.11963171649118566</v>
      </c>
      <c r="AI121" s="2">
        <f t="shared" si="24"/>
        <v>3.4787364966498015E-2</v>
      </c>
      <c r="AJ121" s="2" t="str">
        <f t="shared" si="24"/>
        <v/>
      </c>
      <c r="AK121" s="2" t="str">
        <f t="shared" si="24"/>
        <v/>
      </c>
      <c r="AL121" s="2" t="str">
        <f t="shared" si="24"/>
        <v/>
      </c>
      <c r="AM121" s="2" t="str">
        <f t="shared" si="24"/>
        <v/>
      </c>
      <c r="AN121" s="2" t="str">
        <f t="shared" si="23"/>
        <v/>
      </c>
      <c r="AO121" s="2" t="str">
        <f t="shared" si="23"/>
        <v/>
      </c>
      <c r="AP121" s="2" t="str">
        <f t="shared" si="23"/>
        <v/>
      </c>
      <c r="AQ121" s="2" t="str">
        <f t="shared" si="23"/>
        <v/>
      </c>
      <c r="AR121" s="2">
        <f t="shared" si="23"/>
        <v>0.11982174519424413</v>
      </c>
      <c r="AT121" s="143">
        <f t="shared" si="25"/>
        <v>2.0169576526129274E-2</v>
      </c>
      <c r="AU121" s="143">
        <f t="shared" si="26"/>
        <v>-1.8742943834901285E-2</v>
      </c>
      <c r="AV121" s="143">
        <f t="shared" si="28"/>
        <v>-8.4844351524687639E-2</v>
      </c>
      <c r="AW121" s="143" t="str">
        <f t="shared" si="28"/>
        <v/>
      </c>
      <c r="AX121" s="143" t="str">
        <f t="shared" si="28"/>
        <v/>
      </c>
      <c r="AY121" s="143" t="str">
        <f t="shared" si="27"/>
        <v/>
      </c>
      <c r="AZ121" s="143" t="str">
        <f t="shared" si="27"/>
        <v/>
      </c>
      <c r="BA121" s="143" t="str">
        <f t="shared" si="27"/>
        <v/>
      </c>
      <c r="BB121" s="143" t="str">
        <f t="shared" si="27"/>
        <v/>
      </c>
      <c r="BC121" s="143" t="str">
        <f t="shared" si="27"/>
        <v/>
      </c>
      <c r="BD121" s="143" t="str">
        <f t="shared" si="27"/>
        <v/>
      </c>
      <c r="BF121" s="9">
        <f t="shared" si="19"/>
        <v>6.0090854246096327E-5</v>
      </c>
      <c r="BG121" s="9">
        <f t="shared" si="20"/>
        <v>0.96306737773041762</v>
      </c>
    </row>
    <row r="122" spans="2:59" x14ac:dyDescent="0.35">
      <c r="B122" s="3" t="s">
        <v>186</v>
      </c>
      <c r="D122" s="141">
        <v>306058</v>
      </c>
      <c r="E122" s="141">
        <v>277810</v>
      </c>
      <c r="F122" s="141">
        <v>273524</v>
      </c>
      <c r="G122" s="141">
        <v>24712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17"/>
        <v>882104</v>
      </c>
      <c r="R122" s="141">
        <v>44714</v>
      </c>
      <c r="S122" s="141">
        <v>34868</v>
      </c>
      <c r="T122" s="141">
        <v>32352</v>
      </c>
      <c r="U122" s="141">
        <v>2528</v>
      </c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18"/>
        <v>114462</v>
      </c>
      <c r="AF122" s="2">
        <f t="shared" si="24"/>
        <v>0.14609649151468024</v>
      </c>
      <c r="AG122" s="2">
        <f t="shared" si="24"/>
        <v>0.1255102408120658</v>
      </c>
      <c r="AH122" s="2">
        <f t="shared" si="24"/>
        <v>0.11827846916541145</v>
      </c>
      <c r="AI122" s="2">
        <f t="shared" si="24"/>
        <v>0.10229847847199741</v>
      </c>
      <c r="AJ122" s="2" t="str">
        <f t="shared" si="24"/>
        <v/>
      </c>
      <c r="AK122" s="2" t="str">
        <f t="shared" si="24"/>
        <v/>
      </c>
      <c r="AL122" s="2" t="str">
        <f t="shared" si="24"/>
        <v/>
      </c>
      <c r="AM122" s="2" t="str">
        <f t="shared" si="24"/>
        <v/>
      </c>
      <c r="AN122" s="2" t="str">
        <f t="shared" si="23"/>
        <v/>
      </c>
      <c r="AO122" s="2" t="str">
        <f t="shared" si="23"/>
        <v/>
      </c>
      <c r="AP122" s="2" t="str">
        <f t="shared" si="23"/>
        <v/>
      </c>
      <c r="AQ122" s="2" t="str">
        <f t="shared" si="23"/>
        <v/>
      </c>
      <c r="AR122" s="2">
        <f t="shared" si="23"/>
        <v>0.12976020968049118</v>
      </c>
      <c r="AT122" s="143">
        <f t="shared" si="25"/>
        <v>-2.0586250702614439E-2</v>
      </c>
      <c r="AU122" s="143">
        <f t="shared" si="26"/>
        <v>-7.231771646654353E-3</v>
      </c>
      <c r="AV122" s="143">
        <f t="shared" si="28"/>
        <v>-1.5979990693414034E-2</v>
      </c>
      <c r="AW122" s="143" t="str">
        <f t="shared" si="28"/>
        <v/>
      </c>
      <c r="AX122" s="143" t="str">
        <f t="shared" si="28"/>
        <v/>
      </c>
      <c r="AY122" s="143" t="str">
        <f t="shared" si="27"/>
        <v/>
      </c>
      <c r="AZ122" s="143" t="str">
        <f t="shared" si="27"/>
        <v/>
      </c>
      <c r="BA122" s="143" t="str">
        <f t="shared" si="27"/>
        <v/>
      </c>
      <c r="BB122" s="143" t="str">
        <f t="shared" si="27"/>
        <v/>
      </c>
      <c r="BC122" s="143" t="str">
        <f t="shared" si="27"/>
        <v/>
      </c>
      <c r="BD122" s="143" t="str">
        <f t="shared" si="27"/>
        <v/>
      </c>
      <c r="BF122" s="9">
        <f t="shared" si="19"/>
        <v>8.2280060276056626E-5</v>
      </c>
      <c r="BG122" s="9">
        <f t="shared" si="20"/>
        <v>0.96314965779069373</v>
      </c>
    </row>
    <row r="123" spans="2:59" x14ac:dyDescent="0.35">
      <c r="B123" s="3" t="s">
        <v>199</v>
      </c>
      <c r="D123" s="141">
        <v>70609</v>
      </c>
      <c r="E123" s="141">
        <v>64173</v>
      </c>
      <c r="F123" s="141">
        <v>55751</v>
      </c>
      <c r="G123" s="141">
        <v>6991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17"/>
        <v>197524</v>
      </c>
      <c r="R123" s="141">
        <v>4872</v>
      </c>
      <c r="S123" s="141">
        <v>3354</v>
      </c>
      <c r="T123" s="141">
        <v>3170</v>
      </c>
      <c r="U123" s="141">
        <v>450</v>
      </c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18"/>
        <v>11846</v>
      </c>
      <c r="AF123" s="2">
        <f t="shared" si="24"/>
        <v>6.8999702587488845E-2</v>
      </c>
      <c r="AG123" s="2">
        <f t="shared" si="24"/>
        <v>5.2264971249590952E-2</v>
      </c>
      <c r="AH123" s="2">
        <f t="shared" si="24"/>
        <v>5.6859966637369731E-2</v>
      </c>
      <c r="AI123" s="2">
        <f t="shared" si="24"/>
        <v>6.4368473751966818E-2</v>
      </c>
      <c r="AJ123" s="2" t="str">
        <f t="shared" si="24"/>
        <v/>
      </c>
      <c r="AK123" s="2" t="str">
        <f t="shared" si="24"/>
        <v/>
      </c>
      <c r="AL123" s="2" t="str">
        <f t="shared" si="24"/>
        <v/>
      </c>
      <c r="AM123" s="2" t="str">
        <f t="shared" si="24"/>
        <v/>
      </c>
      <c r="AN123" s="2" t="str">
        <f t="shared" si="23"/>
        <v/>
      </c>
      <c r="AO123" s="2" t="str">
        <f t="shared" si="23"/>
        <v/>
      </c>
      <c r="AP123" s="2" t="str">
        <f t="shared" si="23"/>
        <v/>
      </c>
      <c r="AQ123" s="2" t="str">
        <f t="shared" si="23"/>
        <v/>
      </c>
      <c r="AR123" s="2">
        <f t="shared" si="23"/>
        <v>5.9972459042951745E-2</v>
      </c>
      <c r="AT123" s="143">
        <f t="shared" si="25"/>
        <v>-1.6734731337897893E-2</v>
      </c>
      <c r="AU123" s="143">
        <f t="shared" si="26"/>
        <v>4.5949953877787789E-3</v>
      </c>
      <c r="AV123" s="143">
        <f t="shared" si="28"/>
        <v>7.5085071145970864E-3</v>
      </c>
      <c r="AW123" s="143" t="str">
        <f t="shared" si="28"/>
        <v/>
      </c>
      <c r="AX123" s="143" t="str">
        <f t="shared" si="28"/>
        <v/>
      </c>
      <c r="AY123" s="143" t="str">
        <f t="shared" si="27"/>
        <v/>
      </c>
      <c r="AZ123" s="143" t="str">
        <f t="shared" si="27"/>
        <v/>
      </c>
      <c r="BA123" s="143" t="str">
        <f t="shared" si="27"/>
        <v/>
      </c>
      <c r="BB123" s="143" t="str">
        <f t="shared" si="27"/>
        <v/>
      </c>
      <c r="BC123" s="143" t="str">
        <f t="shared" si="27"/>
        <v/>
      </c>
      <c r="BD123" s="143" t="str">
        <f t="shared" si="27"/>
        <v/>
      </c>
      <c r="BF123" s="9">
        <f t="shared" si="19"/>
        <v>8.5153989448914643E-6</v>
      </c>
      <c r="BG123" s="9">
        <f t="shared" si="20"/>
        <v>0.96315817318963859</v>
      </c>
    </row>
    <row r="124" spans="2:59" x14ac:dyDescent="0.35">
      <c r="B124" s="3" t="s">
        <v>202</v>
      </c>
      <c r="D124" s="141">
        <v>142180</v>
      </c>
      <c r="E124" s="141">
        <v>142735</v>
      </c>
      <c r="F124" s="141">
        <v>163983</v>
      </c>
      <c r="G124" s="141">
        <v>16859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17"/>
        <v>465757</v>
      </c>
      <c r="R124" s="141">
        <v>23506</v>
      </c>
      <c r="S124" s="141">
        <v>17921</v>
      </c>
      <c r="T124" s="141">
        <v>19332</v>
      </c>
      <c r="U124" s="141">
        <v>2705</v>
      </c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18"/>
        <v>63464</v>
      </c>
      <c r="AF124" s="2">
        <f t="shared" si="24"/>
        <v>0.16532564355042903</v>
      </c>
      <c r="AG124" s="2">
        <f t="shared" si="24"/>
        <v>0.12555434896836795</v>
      </c>
      <c r="AH124" s="2">
        <f t="shared" si="24"/>
        <v>0.11789026911326174</v>
      </c>
      <c r="AI124" s="2">
        <f t="shared" si="24"/>
        <v>0.16044842517349783</v>
      </c>
      <c r="AJ124" s="2" t="str">
        <f t="shared" si="24"/>
        <v/>
      </c>
      <c r="AK124" s="2" t="str">
        <f t="shared" si="24"/>
        <v/>
      </c>
      <c r="AL124" s="2" t="str">
        <f t="shared" si="24"/>
        <v/>
      </c>
      <c r="AM124" s="2" t="str">
        <f t="shared" si="24"/>
        <v/>
      </c>
      <c r="AN124" s="2" t="str">
        <f t="shared" si="23"/>
        <v/>
      </c>
      <c r="AO124" s="2" t="str">
        <f t="shared" si="23"/>
        <v/>
      </c>
      <c r="AP124" s="2" t="str">
        <f t="shared" si="23"/>
        <v/>
      </c>
      <c r="AQ124" s="2" t="str">
        <f t="shared" si="23"/>
        <v/>
      </c>
      <c r="AR124" s="2">
        <f t="shared" si="23"/>
        <v>0.13625989518139286</v>
      </c>
      <c r="AT124" s="143">
        <f t="shared" si="25"/>
        <v>-3.9771294582061079E-2</v>
      </c>
      <c r="AU124" s="143">
        <f t="shared" si="26"/>
        <v>-7.6640798551062123E-3</v>
      </c>
      <c r="AV124" s="143">
        <f t="shared" si="28"/>
        <v>4.2558156060236094E-2</v>
      </c>
      <c r="AW124" s="143" t="str">
        <f t="shared" si="28"/>
        <v/>
      </c>
      <c r="AX124" s="143" t="str">
        <f t="shared" si="28"/>
        <v/>
      </c>
      <c r="AY124" s="143" t="str">
        <f t="shared" si="27"/>
        <v/>
      </c>
      <c r="AZ124" s="143" t="str">
        <f t="shared" si="27"/>
        <v/>
      </c>
      <c r="BA124" s="143" t="str">
        <f t="shared" si="27"/>
        <v/>
      </c>
      <c r="BB124" s="143" t="str">
        <f t="shared" si="27"/>
        <v/>
      </c>
      <c r="BC124" s="143" t="str">
        <f t="shared" si="27"/>
        <v/>
      </c>
      <c r="BD124" s="143" t="str">
        <f t="shared" si="27"/>
        <v/>
      </c>
      <c r="BF124" s="9">
        <f t="shared" si="19"/>
        <v>4.5620570541836222E-5</v>
      </c>
      <c r="BG124" s="9">
        <f t="shared" si="20"/>
        <v>0.96320379376018039</v>
      </c>
    </row>
    <row r="125" spans="2:59" x14ac:dyDescent="0.35">
      <c r="B125" s="3" t="s">
        <v>212</v>
      </c>
      <c r="D125" s="141">
        <v>2632636</v>
      </c>
      <c r="E125" s="141">
        <v>7927632</v>
      </c>
      <c r="F125" s="141">
        <v>7590542</v>
      </c>
      <c r="G125" s="141">
        <v>432512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17"/>
        <v>18583322</v>
      </c>
      <c r="R125" s="141">
        <v>948103</v>
      </c>
      <c r="S125" s="141">
        <v>4468480</v>
      </c>
      <c r="T125" s="141">
        <v>4461542</v>
      </c>
      <c r="U125" s="141">
        <v>170655</v>
      </c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18"/>
        <v>10048780</v>
      </c>
      <c r="AF125" s="2">
        <f t="shared" si="24"/>
        <v>0.36013448118159896</v>
      </c>
      <c r="AG125" s="2">
        <f t="shared" si="24"/>
        <v>0.56365885802973703</v>
      </c>
      <c r="AH125" s="2">
        <f t="shared" si="24"/>
        <v>0.58777647235204022</v>
      </c>
      <c r="AI125" s="2">
        <f t="shared" si="24"/>
        <v>0.39456708715596328</v>
      </c>
      <c r="AJ125" s="2" t="str">
        <f t="shared" si="24"/>
        <v/>
      </c>
      <c r="AK125" s="2" t="str">
        <f t="shared" si="24"/>
        <v/>
      </c>
      <c r="AL125" s="2" t="str">
        <f t="shared" si="24"/>
        <v/>
      </c>
      <c r="AM125" s="2" t="str">
        <f t="shared" si="24"/>
        <v/>
      </c>
      <c r="AN125" s="2" t="str">
        <f t="shared" si="23"/>
        <v/>
      </c>
      <c r="AO125" s="2" t="str">
        <f t="shared" si="23"/>
        <v/>
      </c>
      <c r="AP125" s="2" t="str">
        <f t="shared" si="23"/>
        <v/>
      </c>
      <c r="AQ125" s="2" t="str">
        <f t="shared" si="23"/>
        <v/>
      </c>
      <c r="AR125" s="2">
        <f t="shared" si="23"/>
        <v>0.54074185444346279</v>
      </c>
      <c r="AT125" s="143">
        <f t="shared" si="25"/>
        <v>0.20352437684813807</v>
      </c>
      <c r="AU125" s="143">
        <f t="shared" si="26"/>
        <v>2.4117614322303194E-2</v>
      </c>
      <c r="AV125" s="143">
        <f t="shared" si="28"/>
        <v>-0.19320938519607694</v>
      </c>
      <c r="AW125" s="143" t="str">
        <f t="shared" si="28"/>
        <v/>
      </c>
      <c r="AX125" s="143" t="str">
        <f t="shared" si="28"/>
        <v/>
      </c>
      <c r="AY125" s="143" t="str">
        <f t="shared" si="27"/>
        <v/>
      </c>
      <c r="AZ125" s="143" t="str">
        <f t="shared" si="27"/>
        <v/>
      </c>
      <c r="BA125" s="143" t="str">
        <f t="shared" si="27"/>
        <v/>
      </c>
      <c r="BB125" s="143" t="str">
        <f t="shared" si="27"/>
        <v/>
      </c>
      <c r="BC125" s="143" t="str">
        <f t="shared" si="27"/>
        <v/>
      </c>
      <c r="BD125" s="143" t="str">
        <f t="shared" si="27"/>
        <v/>
      </c>
      <c r="BF125" s="9">
        <f t="shared" si="19"/>
        <v>7.2234822395278106E-3</v>
      </c>
      <c r="BG125" s="9">
        <f t="shared" si="20"/>
        <v>0.97042727599970824</v>
      </c>
    </row>
    <row r="126" spans="2:59" x14ac:dyDescent="0.35">
      <c r="B126" s="3" t="s">
        <v>214</v>
      </c>
      <c r="D126" s="141">
        <v>64497</v>
      </c>
      <c r="E126" s="141">
        <v>50882</v>
      </c>
      <c r="F126" s="141">
        <v>66928</v>
      </c>
      <c r="G126" s="141">
        <v>1058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17"/>
        <v>183365</v>
      </c>
      <c r="R126" s="141">
        <v>13170</v>
      </c>
      <c r="S126" s="141">
        <v>2591</v>
      </c>
      <c r="T126" s="141">
        <v>2120</v>
      </c>
      <c r="U126" s="141">
        <v>384</v>
      </c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18"/>
        <v>18265</v>
      </c>
      <c r="AF126" s="2">
        <f t="shared" si="24"/>
        <v>0.20419554397878972</v>
      </c>
      <c r="AG126" s="2">
        <f t="shared" si="24"/>
        <v>5.0921740497621951E-2</v>
      </c>
      <c r="AH126" s="2">
        <f t="shared" si="24"/>
        <v>3.1675830743485539E-2</v>
      </c>
      <c r="AI126" s="2">
        <f t="shared" si="24"/>
        <v>0.36294896030245749</v>
      </c>
      <c r="AJ126" s="2" t="str">
        <f t="shared" si="24"/>
        <v/>
      </c>
      <c r="AK126" s="2" t="str">
        <f t="shared" si="24"/>
        <v/>
      </c>
      <c r="AL126" s="2" t="str">
        <f t="shared" si="24"/>
        <v/>
      </c>
      <c r="AM126" s="2" t="str">
        <f t="shared" si="24"/>
        <v/>
      </c>
      <c r="AN126" s="2" t="str">
        <f t="shared" si="23"/>
        <v/>
      </c>
      <c r="AO126" s="2" t="str">
        <f t="shared" si="23"/>
        <v/>
      </c>
      <c r="AP126" s="2" t="str">
        <f t="shared" si="23"/>
        <v/>
      </c>
      <c r="AQ126" s="2" t="str">
        <f t="shared" si="23"/>
        <v/>
      </c>
      <c r="AR126" s="2">
        <f t="shared" si="23"/>
        <v>9.961006735200284E-2</v>
      </c>
      <c r="AT126" s="143">
        <f t="shared" si="25"/>
        <v>-0.15327380348116776</v>
      </c>
      <c r="AU126" s="143">
        <f t="shared" si="26"/>
        <v>-1.9245909754136412E-2</v>
      </c>
      <c r="AV126" s="143">
        <f t="shared" si="28"/>
        <v>0.33127312955897192</v>
      </c>
      <c r="AW126" s="143" t="str">
        <f t="shared" si="28"/>
        <v/>
      </c>
      <c r="AX126" s="143" t="str">
        <f t="shared" si="28"/>
        <v/>
      </c>
      <c r="AY126" s="143" t="str">
        <f t="shared" si="27"/>
        <v/>
      </c>
      <c r="AZ126" s="143" t="str">
        <f t="shared" si="27"/>
        <v/>
      </c>
      <c r="BA126" s="143" t="str">
        <f t="shared" si="27"/>
        <v/>
      </c>
      <c r="BB126" s="143" t="str">
        <f t="shared" si="27"/>
        <v/>
      </c>
      <c r="BC126" s="143" t="str">
        <f t="shared" si="27"/>
        <v/>
      </c>
      <c r="BD126" s="143" t="str">
        <f t="shared" si="27"/>
        <v/>
      </c>
      <c r="BF126" s="9">
        <f t="shared" si="19"/>
        <v>1.312964390751668E-5</v>
      </c>
      <c r="BG126" s="9">
        <f t="shared" si="20"/>
        <v>0.97044040564361578</v>
      </c>
    </row>
    <row r="127" spans="2:59" x14ac:dyDescent="0.35">
      <c r="B127" s="3" t="s">
        <v>215</v>
      </c>
      <c r="D127" s="141">
        <v>112531</v>
      </c>
      <c r="E127" s="141">
        <v>104152</v>
      </c>
      <c r="F127" s="141">
        <v>114791</v>
      </c>
      <c r="G127" s="141">
        <v>20093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17"/>
        <v>351567</v>
      </c>
      <c r="R127" s="141">
        <v>9806</v>
      </c>
      <c r="S127" s="141">
        <v>9369</v>
      </c>
      <c r="T127" s="141">
        <v>7434</v>
      </c>
      <c r="U127" s="141">
        <v>1361</v>
      </c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18"/>
        <v>27970</v>
      </c>
      <c r="AF127" s="2">
        <f t="shared" si="24"/>
        <v>8.7140432414179209E-2</v>
      </c>
      <c r="AG127" s="2">
        <f t="shared" si="24"/>
        <v>8.9955065673246792E-2</v>
      </c>
      <c r="AH127" s="2">
        <f t="shared" si="24"/>
        <v>6.4761174656549736E-2</v>
      </c>
      <c r="AI127" s="2">
        <f t="shared" si="24"/>
        <v>6.7735032100731604E-2</v>
      </c>
      <c r="AJ127" s="2" t="str">
        <f t="shared" si="24"/>
        <v/>
      </c>
      <c r="AK127" s="2" t="str">
        <f t="shared" si="24"/>
        <v/>
      </c>
      <c r="AL127" s="2" t="str">
        <f t="shared" si="24"/>
        <v/>
      </c>
      <c r="AM127" s="2" t="str">
        <f t="shared" si="24"/>
        <v/>
      </c>
      <c r="AN127" s="2" t="str">
        <f t="shared" si="23"/>
        <v/>
      </c>
      <c r="AO127" s="2" t="str">
        <f t="shared" si="23"/>
        <v/>
      </c>
      <c r="AP127" s="2" t="str">
        <f t="shared" si="23"/>
        <v/>
      </c>
      <c r="AQ127" s="2" t="str">
        <f t="shared" si="23"/>
        <v/>
      </c>
      <c r="AR127" s="2">
        <f t="shared" si="23"/>
        <v>7.955809276752368E-2</v>
      </c>
      <c r="AT127" s="143">
        <f t="shared" si="25"/>
        <v>2.8146332590675838E-3</v>
      </c>
      <c r="AU127" s="143">
        <f t="shared" si="26"/>
        <v>-2.5193891016697056E-2</v>
      </c>
      <c r="AV127" s="143">
        <f t="shared" si="28"/>
        <v>2.9738574441818683E-3</v>
      </c>
      <c r="AW127" s="143" t="str">
        <f t="shared" si="28"/>
        <v/>
      </c>
      <c r="AX127" s="143" t="str">
        <f t="shared" si="28"/>
        <v/>
      </c>
      <c r="AY127" s="143" t="str">
        <f t="shared" si="27"/>
        <v/>
      </c>
      <c r="AZ127" s="143" t="str">
        <f t="shared" si="27"/>
        <v/>
      </c>
      <c r="BA127" s="143" t="str">
        <f t="shared" si="27"/>
        <v/>
      </c>
      <c r="BB127" s="143" t="str">
        <f t="shared" si="27"/>
        <v/>
      </c>
      <c r="BC127" s="143" t="str">
        <f t="shared" si="27"/>
        <v/>
      </c>
      <c r="BD127" s="143" t="str">
        <f t="shared" si="27"/>
        <v/>
      </c>
      <c r="BF127" s="9">
        <f t="shared" si="19"/>
        <v>2.0106002742580977E-5</v>
      </c>
      <c r="BG127" s="9">
        <f t="shared" si="20"/>
        <v>0.97046051164635838</v>
      </c>
    </row>
    <row r="128" spans="2:59" x14ac:dyDescent="0.35">
      <c r="B128" s="3" t="s">
        <v>221</v>
      </c>
      <c r="D128" s="141">
        <v>205523</v>
      </c>
      <c r="E128" s="141">
        <v>215324</v>
      </c>
      <c r="F128" s="141">
        <v>283275</v>
      </c>
      <c r="G128" s="141">
        <v>27751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17"/>
        <v>731873</v>
      </c>
      <c r="R128" s="141">
        <v>18222</v>
      </c>
      <c r="S128" s="141">
        <v>21613</v>
      </c>
      <c r="T128" s="141">
        <v>23350</v>
      </c>
      <c r="U128" s="141">
        <v>2030</v>
      </c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18"/>
        <v>65215</v>
      </c>
      <c r="AF128" s="2">
        <f t="shared" si="24"/>
        <v>8.8661609649528281E-2</v>
      </c>
      <c r="AG128" s="2">
        <f t="shared" si="24"/>
        <v>0.100374319629953</v>
      </c>
      <c r="AH128" s="2">
        <f t="shared" si="24"/>
        <v>8.2428735327861616E-2</v>
      </c>
      <c r="AI128" s="2">
        <f t="shared" si="24"/>
        <v>7.3150517098482942E-2</v>
      </c>
      <c r="AJ128" s="2" t="str">
        <f t="shared" si="24"/>
        <v/>
      </c>
      <c r="AK128" s="2" t="str">
        <f t="shared" si="24"/>
        <v/>
      </c>
      <c r="AL128" s="2" t="str">
        <f t="shared" si="24"/>
        <v/>
      </c>
      <c r="AM128" s="2" t="str">
        <f t="shared" si="24"/>
        <v/>
      </c>
      <c r="AN128" s="2" t="str">
        <f t="shared" si="23"/>
        <v/>
      </c>
      <c r="AO128" s="2" t="str">
        <f t="shared" si="23"/>
        <v/>
      </c>
      <c r="AP128" s="2" t="str">
        <f t="shared" si="23"/>
        <v/>
      </c>
      <c r="AQ128" s="2" t="str">
        <f t="shared" si="23"/>
        <v/>
      </c>
      <c r="AR128" s="2">
        <f t="shared" si="23"/>
        <v>8.9106989873926221E-2</v>
      </c>
      <c r="AT128" s="143">
        <f t="shared" si="25"/>
        <v>1.1712709980424715E-2</v>
      </c>
      <c r="AU128" s="143">
        <f t="shared" si="26"/>
        <v>-1.794558430209138E-2</v>
      </c>
      <c r="AV128" s="143">
        <f t="shared" si="28"/>
        <v>-9.2782182293786736E-3</v>
      </c>
      <c r="AW128" s="143" t="str">
        <f t="shared" si="28"/>
        <v/>
      </c>
      <c r="AX128" s="143" t="str">
        <f t="shared" si="28"/>
        <v/>
      </c>
      <c r="AY128" s="143" t="str">
        <f t="shared" si="27"/>
        <v/>
      </c>
      <c r="AZ128" s="143" t="str">
        <f t="shared" si="27"/>
        <v/>
      </c>
      <c r="BA128" s="143" t="str">
        <f t="shared" si="27"/>
        <v/>
      </c>
      <c r="BB128" s="143" t="str">
        <f t="shared" si="27"/>
        <v/>
      </c>
      <c r="BC128" s="143" t="str">
        <f t="shared" si="27"/>
        <v/>
      </c>
      <c r="BD128" s="143" t="str">
        <f t="shared" si="27"/>
        <v/>
      </c>
      <c r="BF128" s="9">
        <f t="shared" si="19"/>
        <v>4.6879262383175492E-5</v>
      </c>
      <c r="BG128" s="9">
        <f t="shared" si="20"/>
        <v>0.97050739090874161</v>
      </c>
    </row>
    <row r="129" spans="2:59" x14ac:dyDescent="0.35">
      <c r="B129" s="3" t="s">
        <v>216</v>
      </c>
      <c r="D129" s="141">
        <v>171170</v>
      </c>
      <c r="E129" s="141">
        <v>126937</v>
      </c>
      <c r="F129" s="141">
        <v>90593</v>
      </c>
      <c r="G129" s="141">
        <v>59949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17"/>
        <v>448649</v>
      </c>
      <c r="R129" s="141">
        <v>18973</v>
      </c>
      <c r="S129" s="141">
        <v>12665</v>
      </c>
      <c r="T129" s="141">
        <v>10334</v>
      </c>
      <c r="U129" s="141">
        <v>4882</v>
      </c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18"/>
        <v>46854</v>
      </c>
      <c r="AF129" s="2">
        <f t="shared" si="24"/>
        <v>0.11084302155751592</v>
      </c>
      <c r="AG129" s="2">
        <f t="shared" si="24"/>
        <v>9.9773903589969834E-2</v>
      </c>
      <c r="AH129" s="2">
        <f t="shared" si="24"/>
        <v>0.11407062355811155</v>
      </c>
      <c r="AI129" s="2">
        <f t="shared" si="24"/>
        <v>8.143588717076182E-2</v>
      </c>
      <c r="AJ129" s="2" t="str">
        <f t="shared" si="24"/>
        <v/>
      </c>
      <c r="AK129" s="2" t="str">
        <f t="shared" si="24"/>
        <v/>
      </c>
      <c r="AL129" s="2" t="str">
        <f t="shared" si="24"/>
        <v/>
      </c>
      <c r="AM129" s="2" t="str">
        <f t="shared" si="24"/>
        <v/>
      </c>
      <c r="AN129" s="2" t="str">
        <f t="shared" si="23"/>
        <v/>
      </c>
      <c r="AO129" s="2" t="str">
        <f t="shared" si="23"/>
        <v/>
      </c>
      <c r="AP129" s="2" t="str">
        <f t="shared" si="23"/>
        <v/>
      </c>
      <c r="AQ129" s="2" t="str">
        <f t="shared" si="23"/>
        <v/>
      </c>
      <c r="AR129" s="2">
        <f t="shared" si="23"/>
        <v>0.10443353267253465</v>
      </c>
      <c r="AT129" s="143">
        <f t="shared" si="25"/>
        <v>-1.1069117967546088E-2</v>
      </c>
      <c r="AU129" s="143">
        <f t="shared" si="26"/>
        <v>1.4296719968141719E-2</v>
      </c>
      <c r="AV129" s="143">
        <f t="shared" si="28"/>
        <v>-3.2634736387349733E-2</v>
      </c>
      <c r="AW129" s="143" t="str">
        <f t="shared" si="28"/>
        <v/>
      </c>
      <c r="AX129" s="143" t="str">
        <f t="shared" si="28"/>
        <v/>
      </c>
      <c r="AY129" s="143" t="str">
        <f t="shared" si="27"/>
        <v/>
      </c>
      <c r="AZ129" s="143" t="str">
        <f t="shared" si="27"/>
        <v/>
      </c>
      <c r="BA129" s="143" t="str">
        <f t="shared" si="27"/>
        <v/>
      </c>
      <c r="BB129" s="143" t="str">
        <f t="shared" si="27"/>
        <v/>
      </c>
      <c r="BC129" s="143" t="str">
        <f t="shared" si="27"/>
        <v/>
      </c>
      <c r="BD129" s="143" t="str">
        <f t="shared" si="27"/>
        <v/>
      </c>
      <c r="BF129" s="9">
        <f t="shared" si="19"/>
        <v>3.368060967110794E-5</v>
      </c>
      <c r="BG129" s="9">
        <f t="shared" si="20"/>
        <v>0.97054107151841273</v>
      </c>
    </row>
    <row r="130" spans="2:59" x14ac:dyDescent="0.35">
      <c r="B130" s="3" t="s">
        <v>210</v>
      </c>
      <c r="D130" s="141">
        <v>32716</v>
      </c>
      <c r="E130" s="141">
        <v>33746</v>
      </c>
      <c r="F130" s="141">
        <v>22639</v>
      </c>
      <c r="G130" s="141">
        <v>1585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17"/>
        <v>90686</v>
      </c>
      <c r="R130" s="141">
        <v>2880</v>
      </c>
      <c r="S130" s="141">
        <v>6096</v>
      </c>
      <c r="T130" s="141">
        <v>3444</v>
      </c>
      <c r="U130" s="141">
        <v>20</v>
      </c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18"/>
        <v>12440</v>
      </c>
      <c r="AF130" s="2">
        <f t="shared" si="24"/>
        <v>8.8030321555202351E-2</v>
      </c>
      <c r="AG130" s="2">
        <f t="shared" si="24"/>
        <v>0.18064363183784746</v>
      </c>
      <c r="AH130" s="2">
        <f t="shared" si="24"/>
        <v>0.15212686072706391</v>
      </c>
      <c r="AI130" s="2">
        <f t="shared" si="24"/>
        <v>1.2618296529968454E-2</v>
      </c>
      <c r="AJ130" s="2" t="str">
        <f t="shared" si="24"/>
        <v/>
      </c>
      <c r="AK130" s="2" t="str">
        <f t="shared" si="24"/>
        <v/>
      </c>
      <c r="AL130" s="2" t="str">
        <f t="shared" si="24"/>
        <v/>
      </c>
      <c r="AM130" s="2" t="str">
        <f t="shared" si="24"/>
        <v/>
      </c>
      <c r="AN130" s="2" t="str">
        <f t="shared" si="23"/>
        <v/>
      </c>
      <c r="AO130" s="2" t="str">
        <f t="shared" si="23"/>
        <v/>
      </c>
      <c r="AP130" s="2" t="str">
        <f t="shared" si="23"/>
        <v/>
      </c>
      <c r="AQ130" s="2" t="str">
        <f t="shared" si="23"/>
        <v/>
      </c>
      <c r="AR130" s="2">
        <f t="shared" si="23"/>
        <v>0.13717663145358711</v>
      </c>
      <c r="AT130" s="143">
        <f t="shared" si="25"/>
        <v>9.2613310282645106E-2</v>
      </c>
      <c r="AU130" s="143">
        <f t="shared" si="26"/>
        <v>-2.8516771110783545E-2</v>
      </c>
      <c r="AV130" s="143">
        <f t="shared" si="28"/>
        <v>-0.13950856419709545</v>
      </c>
      <c r="AW130" s="143" t="str">
        <f t="shared" si="28"/>
        <v/>
      </c>
      <c r="AX130" s="143" t="str">
        <f t="shared" si="28"/>
        <v/>
      </c>
      <c r="AY130" s="143" t="str">
        <f t="shared" si="27"/>
        <v/>
      </c>
      <c r="AZ130" s="143" t="str">
        <f t="shared" si="27"/>
        <v/>
      </c>
      <c r="BA130" s="143" t="str">
        <f t="shared" si="27"/>
        <v/>
      </c>
      <c r="BB130" s="143" t="str">
        <f t="shared" si="27"/>
        <v/>
      </c>
      <c r="BC130" s="143" t="str">
        <f t="shared" si="27"/>
        <v/>
      </c>
      <c r="BD130" s="143" t="str">
        <f t="shared" si="27"/>
        <v/>
      </c>
      <c r="BF130" s="9">
        <f t="shared" si="19"/>
        <v>8.9423909230499584E-6</v>
      </c>
      <c r="BG130" s="9">
        <f t="shared" si="20"/>
        <v>0.97055001390933582</v>
      </c>
    </row>
    <row r="131" spans="2:59" x14ac:dyDescent="0.35">
      <c r="B131" s="3" t="s">
        <v>211</v>
      </c>
      <c r="D131" s="141">
        <v>32143</v>
      </c>
      <c r="E131" s="141">
        <v>53113</v>
      </c>
      <c r="F131" s="141">
        <v>267675</v>
      </c>
      <c r="G131" s="141">
        <v>61389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17"/>
        <v>414320</v>
      </c>
      <c r="R131" s="141">
        <v>6044</v>
      </c>
      <c r="S131" s="141">
        <v>6997</v>
      </c>
      <c r="T131" s="141">
        <v>22976</v>
      </c>
      <c r="U131" s="141">
        <v>5080</v>
      </c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18"/>
        <v>41097</v>
      </c>
      <c r="AF131" s="2">
        <f t="shared" si="24"/>
        <v>0.18803471984568956</v>
      </c>
      <c r="AG131" s="2">
        <f t="shared" si="24"/>
        <v>0.13173799258185379</v>
      </c>
      <c r="AH131" s="2">
        <f t="shared" si="24"/>
        <v>8.5835434762305041E-2</v>
      </c>
      <c r="AI131" s="2">
        <f t="shared" si="24"/>
        <v>8.2750981446187422E-2</v>
      </c>
      <c r="AJ131" s="2" t="str">
        <f t="shared" si="24"/>
        <v/>
      </c>
      <c r="AK131" s="2" t="str">
        <f t="shared" si="24"/>
        <v/>
      </c>
      <c r="AL131" s="2" t="str">
        <f t="shared" si="24"/>
        <v/>
      </c>
      <c r="AM131" s="2" t="str">
        <f t="shared" si="24"/>
        <v/>
      </c>
      <c r="AN131" s="2" t="str">
        <f t="shared" si="23"/>
        <v/>
      </c>
      <c r="AO131" s="2" t="str">
        <f t="shared" si="23"/>
        <v/>
      </c>
      <c r="AP131" s="2" t="str">
        <f t="shared" si="23"/>
        <v/>
      </c>
      <c r="AQ131" s="2" t="str">
        <f t="shared" si="23"/>
        <v/>
      </c>
      <c r="AR131" s="2">
        <f t="shared" si="23"/>
        <v>9.9191446225139993E-2</v>
      </c>
      <c r="AT131" s="143">
        <f t="shared" si="25"/>
        <v>-5.6296727263835777E-2</v>
      </c>
      <c r="AU131" s="143">
        <f t="shared" si="26"/>
        <v>-4.5902557819548745E-2</v>
      </c>
      <c r="AV131" s="143">
        <f t="shared" si="28"/>
        <v>-3.0844533161176191E-3</v>
      </c>
      <c r="AW131" s="143" t="str">
        <f t="shared" si="28"/>
        <v/>
      </c>
      <c r="AX131" s="143" t="str">
        <f t="shared" si="28"/>
        <v/>
      </c>
      <c r="AY131" s="143" t="str">
        <f t="shared" si="27"/>
        <v/>
      </c>
      <c r="AZ131" s="143" t="str">
        <f t="shared" si="27"/>
        <v/>
      </c>
      <c r="BA131" s="143" t="str">
        <f t="shared" si="27"/>
        <v/>
      </c>
      <c r="BB131" s="143" t="str">
        <f t="shared" si="27"/>
        <v/>
      </c>
      <c r="BC131" s="143" t="str">
        <f t="shared" si="27"/>
        <v/>
      </c>
      <c r="BD131" s="143" t="str">
        <f t="shared" si="27"/>
        <v/>
      </c>
      <c r="BF131" s="9">
        <f t="shared" si="19"/>
        <v>2.9542237923198083E-5</v>
      </c>
      <c r="BG131" s="9">
        <f t="shared" si="20"/>
        <v>0.97057955614725899</v>
      </c>
    </row>
    <row r="132" spans="2:59" x14ac:dyDescent="0.35">
      <c r="B132" s="3" t="s">
        <v>208</v>
      </c>
      <c r="D132" s="141">
        <v>293672</v>
      </c>
      <c r="E132" s="141">
        <v>229441</v>
      </c>
      <c r="F132" s="141">
        <v>232419</v>
      </c>
      <c r="G132" s="141">
        <v>27689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ref="P132:P195" si="29">+SUM(D132:O132)</f>
        <v>783221</v>
      </c>
      <c r="R132" s="141">
        <v>24949</v>
      </c>
      <c r="S132" s="141">
        <v>27478</v>
      </c>
      <c r="T132" s="141">
        <v>23013</v>
      </c>
      <c r="U132" s="141">
        <v>2521</v>
      </c>
      <c r="V132" s="141"/>
      <c r="W132" s="141"/>
      <c r="X132" s="141"/>
      <c r="Y132" s="141"/>
      <c r="Z132" s="141"/>
      <c r="AA132" s="141"/>
      <c r="AB132" s="141"/>
      <c r="AC132" s="141"/>
      <c r="AD132" s="141">
        <f t="shared" ref="AD132:AD195" si="30">+SUM(R132:AC132)</f>
        <v>77961</v>
      </c>
      <c r="AF132" s="2">
        <f t="shared" si="24"/>
        <v>8.4955324307390556E-2</v>
      </c>
      <c r="AG132" s="2">
        <f t="shared" si="24"/>
        <v>0.1197606356318182</v>
      </c>
      <c r="AH132" s="2">
        <f t="shared" si="24"/>
        <v>9.9015140758715939E-2</v>
      </c>
      <c r="AI132" s="2">
        <f t="shared" si="24"/>
        <v>9.1046986167792263E-2</v>
      </c>
      <c r="AJ132" s="2" t="str">
        <f t="shared" si="24"/>
        <v/>
      </c>
      <c r="AK132" s="2" t="str">
        <f t="shared" si="24"/>
        <v/>
      </c>
      <c r="AL132" s="2" t="str">
        <f t="shared" si="24"/>
        <v/>
      </c>
      <c r="AM132" s="2" t="str">
        <f t="shared" si="24"/>
        <v/>
      </c>
      <c r="AN132" s="2" t="str">
        <f t="shared" si="23"/>
        <v/>
      </c>
      <c r="AO132" s="2" t="str">
        <f t="shared" si="23"/>
        <v/>
      </c>
      <c r="AP132" s="2" t="str">
        <f t="shared" si="23"/>
        <v/>
      </c>
      <c r="AQ132" s="2" t="str">
        <f t="shared" si="23"/>
        <v/>
      </c>
      <c r="AR132" s="2">
        <f t="shared" si="23"/>
        <v>9.953895516080391E-2</v>
      </c>
      <c r="AT132" s="143">
        <f t="shared" si="25"/>
        <v>3.4805311324427643E-2</v>
      </c>
      <c r="AU132" s="143">
        <f t="shared" si="26"/>
        <v>-2.074549487310226E-2</v>
      </c>
      <c r="AV132" s="143">
        <f t="shared" si="28"/>
        <v>-7.9681545909236762E-3</v>
      </c>
      <c r="AW132" s="143" t="str">
        <f t="shared" si="28"/>
        <v/>
      </c>
      <c r="AX132" s="143" t="str">
        <f t="shared" si="28"/>
        <v/>
      </c>
      <c r="AY132" s="143" t="str">
        <f t="shared" si="27"/>
        <v/>
      </c>
      <c r="AZ132" s="143" t="str">
        <f t="shared" si="27"/>
        <v/>
      </c>
      <c r="BA132" s="143" t="str">
        <f t="shared" si="27"/>
        <v/>
      </c>
      <c r="BB132" s="143" t="str">
        <f t="shared" si="27"/>
        <v/>
      </c>
      <c r="BC132" s="143" t="str">
        <f t="shared" si="27"/>
        <v/>
      </c>
      <c r="BD132" s="143" t="str">
        <f t="shared" si="27"/>
        <v/>
      </c>
      <c r="BF132" s="9">
        <f t="shared" ref="BF132:BF195" si="31">+AD132/$AD$236</f>
        <v>5.6041618870731342E-5</v>
      </c>
      <c r="BG132" s="9">
        <f t="shared" si="20"/>
        <v>0.97063559776612973</v>
      </c>
    </row>
    <row r="133" spans="2:59" x14ac:dyDescent="0.35">
      <c r="B133" s="3" t="s">
        <v>224</v>
      </c>
      <c r="D133" s="141">
        <v>169760</v>
      </c>
      <c r="E133" s="141">
        <v>140063</v>
      </c>
      <c r="F133" s="141">
        <v>124206</v>
      </c>
      <c r="G133" s="141">
        <v>21933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si="29"/>
        <v>455962</v>
      </c>
      <c r="R133" s="141">
        <v>9884</v>
      </c>
      <c r="S133" s="141">
        <v>11133</v>
      </c>
      <c r="T133" s="141">
        <v>4328</v>
      </c>
      <c r="U133" s="141">
        <v>2150</v>
      </c>
      <c r="V133" s="141"/>
      <c r="W133" s="141"/>
      <c r="X133" s="141"/>
      <c r="Y133" s="141"/>
      <c r="Z133" s="141"/>
      <c r="AA133" s="141"/>
      <c r="AB133" s="141"/>
      <c r="AC133" s="141"/>
      <c r="AD133" s="141">
        <f t="shared" si="30"/>
        <v>27495</v>
      </c>
      <c r="AF133" s="2">
        <f t="shared" si="24"/>
        <v>5.8223374175306312E-2</v>
      </c>
      <c r="AG133" s="2">
        <f t="shared" si="24"/>
        <v>7.9485660024417579E-2</v>
      </c>
      <c r="AH133" s="2">
        <f t="shared" si="24"/>
        <v>3.4845337584335702E-2</v>
      </c>
      <c r="AI133" s="2">
        <f t="shared" si="24"/>
        <v>9.8025805863310986E-2</v>
      </c>
      <c r="AJ133" s="2" t="str">
        <f t="shared" si="24"/>
        <v/>
      </c>
      <c r="AK133" s="2" t="str">
        <f t="shared" si="24"/>
        <v/>
      </c>
      <c r="AL133" s="2" t="str">
        <f t="shared" si="24"/>
        <v/>
      </c>
      <c r="AM133" s="2" t="str">
        <f t="shared" si="24"/>
        <v/>
      </c>
      <c r="AN133" s="2" t="str">
        <f t="shared" si="23"/>
        <v/>
      </c>
      <c r="AO133" s="2" t="str">
        <f t="shared" si="23"/>
        <v/>
      </c>
      <c r="AP133" s="2" t="str">
        <f t="shared" si="23"/>
        <v/>
      </c>
      <c r="AQ133" s="2" t="str">
        <f t="shared" si="23"/>
        <v/>
      </c>
      <c r="AR133" s="2">
        <f t="shared" si="23"/>
        <v>6.0301077721389061E-2</v>
      </c>
      <c r="AT133" s="143">
        <f t="shared" si="25"/>
        <v>2.1262285849111266E-2</v>
      </c>
      <c r="AU133" s="143">
        <f t="shared" si="26"/>
        <v>-4.4640322440081877E-2</v>
      </c>
      <c r="AV133" s="143">
        <f t="shared" si="28"/>
        <v>6.3180468278975277E-2</v>
      </c>
      <c r="AW133" s="143" t="str">
        <f t="shared" si="28"/>
        <v/>
      </c>
      <c r="AX133" s="143" t="str">
        <f t="shared" si="28"/>
        <v/>
      </c>
      <c r="AY133" s="143" t="str">
        <f t="shared" si="27"/>
        <v/>
      </c>
      <c r="AZ133" s="143" t="str">
        <f t="shared" si="27"/>
        <v/>
      </c>
      <c r="BA133" s="143" t="str">
        <f t="shared" si="27"/>
        <v/>
      </c>
      <c r="BB133" s="143" t="str">
        <f t="shared" si="27"/>
        <v/>
      </c>
      <c r="BC133" s="143" t="str">
        <f t="shared" si="27"/>
        <v/>
      </c>
      <c r="BD133" s="143" t="str">
        <f t="shared" si="27"/>
        <v/>
      </c>
      <c r="BF133" s="9">
        <f t="shared" si="31"/>
        <v>1.9764552928396997E-5</v>
      </c>
      <c r="BG133" s="9">
        <f t="shared" si="20"/>
        <v>0.97065536231905813</v>
      </c>
    </row>
    <row r="134" spans="2:59" x14ac:dyDescent="0.35">
      <c r="B134" s="3" t="s">
        <v>193</v>
      </c>
      <c r="D134" s="141">
        <v>250417</v>
      </c>
      <c r="E134" s="141">
        <v>231571</v>
      </c>
      <c r="F134" s="141">
        <v>354581</v>
      </c>
      <c r="G134" s="141">
        <v>21781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29"/>
        <v>858350</v>
      </c>
      <c r="R134" s="141">
        <v>15910</v>
      </c>
      <c r="S134" s="141">
        <v>13061</v>
      </c>
      <c r="T134" s="141">
        <v>18938</v>
      </c>
      <c r="U134" s="141">
        <v>1510</v>
      </c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30"/>
        <v>49419</v>
      </c>
      <c r="AF134" s="2">
        <f t="shared" si="24"/>
        <v>6.3534025245889858E-2</v>
      </c>
      <c r="AG134" s="2">
        <f t="shared" si="24"/>
        <v>5.6401708331354099E-2</v>
      </c>
      <c r="AH134" s="2">
        <f t="shared" si="24"/>
        <v>5.3409517148408969E-2</v>
      </c>
      <c r="AI134" s="2">
        <f t="shared" si="24"/>
        <v>6.9326477204903356E-2</v>
      </c>
      <c r="AJ134" s="2" t="str">
        <f t="shared" si="24"/>
        <v/>
      </c>
      <c r="AK134" s="2" t="str">
        <f t="shared" si="24"/>
        <v/>
      </c>
      <c r="AL134" s="2" t="str">
        <f t="shared" si="24"/>
        <v/>
      </c>
      <c r="AM134" s="2" t="str">
        <f t="shared" si="24"/>
        <v/>
      </c>
      <c r="AN134" s="2" t="str">
        <f t="shared" si="23"/>
        <v/>
      </c>
      <c r="AO134" s="2" t="str">
        <f t="shared" si="23"/>
        <v/>
      </c>
      <c r="AP134" s="2" t="str">
        <f t="shared" si="23"/>
        <v/>
      </c>
      <c r="AQ134" s="2" t="str">
        <f t="shared" si="23"/>
        <v/>
      </c>
      <c r="AR134" s="2">
        <f t="shared" si="23"/>
        <v>5.7574416030756685E-2</v>
      </c>
      <c r="AT134" s="143">
        <f t="shared" si="25"/>
        <v>-7.1323169145357593E-3</v>
      </c>
      <c r="AU134" s="143">
        <f t="shared" si="26"/>
        <v>-2.9921911829451295E-3</v>
      </c>
      <c r="AV134" s="143">
        <f t="shared" si="28"/>
        <v>1.5916960056494386E-2</v>
      </c>
      <c r="AW134" s="143" t="str">
        <f t="shared" si="28"/>
        <v/>
      </c>
      <c r="AX134" s="143" t="str">
        <f t="shared" si="28"/>
        <v/>
      </c>
      <c r="AY134" s="143" t="str">
        <f t="shared" si="27"/>
        <v/>
      </c>
      <c r="AZ134" s="143" t="str">
        <f t="shared" si="27"/>
        <v/>
      </c>
      <c r="BA134" s="143" t="str">
        <f t="shared" si="27"/>
        <v/>
      </c>
      <c r="BB134" s="143" t="str">
        <f t="shared" si="27"/>
        <v/>
      </c>
      <c r="BC134" s="143" t="str">
        <f t="shared" si="27"/>
        <v/>
      </c>
      <c r="BD134" s="143" t="str">
        <f t="shared" si="27"/>
        <v/>
      </c>
      <c r="BF134" s="9">
        <f t="shared" si="31"/>
        <v>3.5524438667701441E-5</v>
      </c>
      <c r="BG134" s="9">
        <f t="shared" ref="BG134:BG197" si="32">+BF134+BG133</f>
        <v>0.97069088675772586</v>
      </c>
    </row>
    <row r="135" spans="2:59" x14ac:dyDescent="0.35">
      <c r="B135" s="3" t="s">
        <v>233</v>
      </c>
      <c r="D135" s="141">
        <v>13138014</v>
      </c>
      <c r="E135" s="141">
        <v>5076233</v>
      </c>
      <c r="F135" s="141">
        <v>4572322</v>
      </c>
      <c r="G135" s="141">
        <v>765004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29"/>
        <v>23551573</v>
      </c>
      <c r="R135" s="141">
        <v>1210598</v>
      </c>
      <c r="S135" s="141">
        <v>554117</v>
      </c>
      <c r="T135" s="141">
        <v>468512</v>
      </c>
      <c r="U135" s="141">
        <v>90610</v>
      </c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30"/>
        <v>2323837</v>
      </c>
      <c r="AF135" s="2">
        <f t="shared" si="24"/>
        <v>9.2144672703195471E-2</v>
      </c>
      <c r="AG135" s="2">
        <f t="shared" si="24"/>
        <v>0.10915909494304142</v>
      </c>
      <c r="AH135" s="2">
        <f t="shared" si="24"/>
        <v>0.10246697411074723</v>
      </c>
      <c r="AI135" s="2">
        <f t="shared" si="24"/>
        <v>0.11844382513032611</v>
      </c>
      <c r="AJ135" s="2" t="str">
        <f t="shared" si="24"/>
        <v/>
      </c>
      <c r="AK135" s="2" t="str">
        <f t="shared" si="24"/>
        <v/>
      </c>
      <c r="AL135" s="2" t="str">
        <f t="shared" si="24"/>
        <v/>
      </c>
      <c r="AM135" s="2" t="str">
        <f t="shared" si="24"/>
        <v/>
      </c>
      <c r="AN135" s="2" t="str">
        <f t="shared" si="23"/>
        <v/>
      </c>
      <c r="AO135" s="2" t="str">
        <f t="shared" si="23"/>
        <v/>
      </c>
      <c r="AP135" s="2" t="str">
        <f t="shared" si="23"/>
        <v/>
      </c>
      <c r="AQ135" s="2" t="str">
        <f t="shared" si="23"/>
        <v/>
      </c>
      <c r="AR135" s="2">
        <f t="shared" si="23"/>
        <v>9.8670139782170818E-2</v>
      </c>
      <c r="AT135" s="143">
        <f t="shared" si="25"/>
        <v>1.701442223984595E-2</v>
      </c>
      <c r="AU135" s="143">
        <f t="shared" si="26"/>
        <v>-6.6921208322941877E-3</v>
      </c>
      <c r="AV135" s="143">
        <f t="shared" si="28"/>
        <v>1.597685101957888E-2</v>
      </c>
      <c r="AW135" s="143" t="str">
        <f t="shared" si="28"/>
        <v/>
      </c>
      <c r="AX135" s="143" t="str">
        <f t="shared" si="28"/>
        <v/>
      </c>
      <c r="AY135" s="143" t="str">
        <f t="shared" si="27"/>
        <v/>
      </c>
      <c r="AZ135" s="143" t="str">
        <f t="shared" si="27"/>
        <v/>
      </c>
      <c r="BA135" s="143" t="str">
        <f t="shared" si="27"/>
        <v/>
      </c>
      <c r="BB135" s="143" t="str">
        <f t="shared" si="27"/>
        <v/>
      </c>
      <c r="BC135" s="143" t="str">
        <f t="shared" si="27"/>
        <v/>
      </c>
      <c r="BD135" s="143" t="str">
        <f t="shared" si="27"/>
        <v/>
      </c>
      <c r="BF135" s="9">
        <f t="shared" si="31"/>
        <v>1.6704709723028657E-3</v>
      </c>
      <c r="BG135" s="9">
        <f t="shared" si="32"/>
        <v>0.97236135773002874</v>
      </c>
    </row>
    <row r="136" spans="2:59" x14ac:dyDescent="0.35">
      <c r="B136" s="3" t="s">
        <v>201</v>
      </c>
      <c r="D136" s="141">
        <v>125897</v>
      </c>
      <c r="E136" s="141">
        <v>158407</v>
      </c>
      <c r="F136" s="141">
        <v>176150</v>
      </c>
      <c r="G136" s="141">
        <v>21477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29"/>
        <v>481931</v>
      </c>
      <c r="R136" s="141">
        <v>10611</v>
      </c>
      <c r="S136" s="141">
        <v>15551</v>
      </c>
      <c r="T136" s="141">
        <v>17228</v>
      </c>
      <c r="U136" s="141">
        <v>1558</v>
      </c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30"/>
        <v>44948</v>
      </c>
      <c r="AF136" s="2">
        <f t="shared" si="24"/>
        <v>8.4283183872530726E-2</v>
      </c>
      <c r="AG136" s="2">
        <f t="shared" si="24"/>
        <v>9.8171166678240232E-2</v>
      </c>
      <c r="AH136" s="2">
        <f t="shared" si="24"/>
        <v>9.7803008799318761E-2</v>
      </c>
      <c r="AI136" s="2">
        <f t="shared" si="24"/>
        <v>7.2542720119197282E-2</v>
      </c>
      <c r="AJ136" s="2" t="str">
        <f t="shared" si="24"/>
        <v/>
      </c>
      <c r="AK136" s="2" t="str">
        <f t="shared" si="24"/>
        <v/>
      </c>
      <c r="AL136" s="2" t="str">
        <f t="shared" si="24"/>
        <v/>
      </c>
      <c r="AM136" s="2" t="str">
        <f t="shared" si="24"/>
        <v/>
      </c>
      <c r="AN136" s="2" t="str">
        <f t="shared" si="23"/>
        <v/>
      </c>
      <c r="AO136" s="2" t="str">
        <f t="shared" si="23"/>
        <v/>
      </c>
      <c r="AP136" s="2" t="str">
        <f t="shared" si="23"/>
        <v/>
      </c>
      <c r="AQ136" s="2" t="str">
        <f t="shared" si="23"/>
        <v/>
      </c>
      <c r="AR136" s="2">
        <f t="shared" si="23"/>
        <v>9.3266463456386908E-2</v>
      </c>
      <c r="AT136" s="143">
        <f t="shared" si="25"/>
        <v>1.3887982805709506E-2</v>
      </c>
      <c r="AU136" s="143">
        <f t="shared" si="26"/>
        <v>-3.6815787892147123E-4</v>
      </c>
      <c r="AV136" s="143">
        <f t="shared" si="28"/>
        <v>-2.5260288680121479E-2</v>
      </c>
      <c r="AW136" s="143" t="str">
        <f t="shared" si="28"/>
        <v/>
      </c>
      <c r="AX136" s="143" t="str">
        <f t="shared" si="28"/>
        <v/>
      </c>
      <c r="AY136" s="143" t="str">
        <f t="shared" si="27"/>
        <v/>
      </c>
      <c r="AZ136" s="143" t="str">
        <f t="shared" si="27"/>
        <v/>
      </c>
      <c r="BA136" s="143" t="str">
        <f t="shared" si="27"/>
        <v/>
      </c>
      <c r="BB136" s="143" t="str">
        <f t="shared" si="27"/>
        <v/>
      </c>
      <c r="BC136" s="143" t="str">
        <f t="shared" si="27"/>
        <v/>
      </c>
      <c r="BD136" s="143" t="str">
        <f t="shared" si="27"/>
        <v/>
      </c>
      <c r="BF136" s="9">
        <f t="shared" si="31"/>
        <v>3.2310497364087585E-5</v>
      </c>
      <c r="BG136" s="9">
        <f t="shared" si="32"/>
        <v>0.97239366822739282</v>
      </c>
    </row>
    <row r="137" spans="2:59" x14ac:dyDescent="0.35">
      <c r="B137" s="3" t="s">
        <v>220</v>
      </c>
      <c r="D137" s="141">
        <v>216772</v>
      </c>
      <c r="E137" s="141">
        <v>253168</v>
      </c>
      <c r="F137" s="141">
        <v>172898</v>
      </c>
      <c r="G137" s="141">
        <v>20191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29"/>
        <v>663029</v>
      </c>
      <c r="R137" s="141">
        <v>30175</v>
      </c>
      <c r="S137" s="141">
        <v>32666</v>
      </c>
      <c r="T137" s="141">
        <v>19812</v>
      </c>
      <c r="U137" s="141">
        <v>1874</v>
      </c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30"/>
        <v>84527</v>
      </c>
      <c r="AF137" s="2">
        <f t="shared" si="24"/>
        <v>0.13920155739671175</v>
      </c>
      <c r="AG137" s="2">
        <f t="shared" si="24"/>
        <v>0.1290289452063452</v>
      </c>
      <c r="AH137" s="2">
        <f t="shared" si="24"/>
        <v>0.11458779164594154</v>
      </c>
      <c r="AI137" s="2">
        <f t="shared" si="24"/>
        <v>9.2813629835075032E-2</v>
      </c>
      <c r="AJ137" s="2" t="str">
        <f t="shared" si="24"/>
        <v/>
      </c>
      <c r="AK137" s="2" t="str">
        <f t="shared" si="24"/>
        <v/>
      </c>
      <c r="AL137" s="2" t="str">
        <f t="shared" si="24"/>
        <v/>
      </c>
      <c r="AM137" s="2" t="str">
        <f t="shared" si="24"/>
        <v/>
      </c>
      <c r="AN137" s="2" t="str">
        <f t="shared" si="23"/>
        <v/>
      </c>
      <c r="AO137" s="2" t="str">
        <f t="shared" si="23"/>
        <v/>
      </c>
      <c r="AP137" s="2" t="str">
        <f t="shared" si="23"/>
        <v/>
      </c>
      <c r="AQ137" s="2" t="str">
        <f t="shared" si="23"/>
        <v/>
      </c>
      <c r="AR137" s="2">
        <f t="shared" si="23"/>
        <v>0.12748612805774709</v>
      </c>
      <c r="AT137" s="143">
        <f t="shared" si="25"/>
        <v>-1.0172612190366553E-2</v>
      </c>
      <c r="AU137" s="143">
        <f t="shared" si="26"/>
        <v>-1.4441153560403652E-2</v>
      </c>
      <c r="AV137" s="143">
        <f t="shared" si="28"/>
        <v>-2.1774161810866513E-2</v>
      </c>
      <c r="AW137" s="143" t="str">
        <f t="shared" si="28"/>
        <v/>
      </c>
      <c r="AX137" s="143" t="str">
        <f t="shared" si="28"/>
        <v/>
      </c>
      <c r="AY137" s="143" t="str">
        <f t="shared" si="27"/>
        <v/>
      </c>
      <c r="AZ137" s="143" t="str">
        <f t="shared" si="27"/>
        <v/>
      </c>
      <c r="BA137" s="143" t="str">
        <f t="shared" si="27"/>
        <v/>
      </c>
      <c r="BB137" s="143" t="str">
        <f t="shared" si="27"/>
        <v/>
      </c>
      <c r="BC137" s="143" t="str">
        <f t="shared" si="27"/>
        <v/>
      </c>
      <c r="BD137" s="143" t="str">
        <f t="shared" si="27"/>
        <v/>
      </c>
      <c r="BF137" s="9">
        <f t="shared" si="31"/>
        <v>6.0761533565325071E-5</v>
      </c>
      <c r="BG137" s="9">
        <f t="shared" si="32"/>
        <v>0.97245442976095819</v>
      </c>
    </row>
    <row r="138" spans="2:59" x14ac:dyDescent="0.35">
      <c r="B138" s="3" t="s">
        <v>217</v>
      </c>
      <c r="D138" s="141">
        <v>18360</v>
      </c>
      <c r="E138" s="141">
        <v>25503</v>
      </c>
      <c r="F138" s="141">
        <v>30180</v>
      </c>
      <c r="G138" s="141">
        <v>2678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29"/>
        <v>76721</v>
      </c>
      <c r="R138" s="141">
        <v>3125</v>
      </c>
      <c r="S138" s="141">
        <v>1794</v>
      </c>
      <c r="T138" s="141">
        <v>3000</v>
      </c>
      <c r="U138" s="141">
        <v>40</v>
      </c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30"/>
        <v>7959</v>
      </c>
      <c r="AF138" s="2">
        <f t="shared" si="24"/>
        <v>0.17020697167755991</v>
      </c>
      <c r="AG138" s="2">
        <f t="shared" si="24"/>
        <v>7.0344665333490181E-2</v>
      </c>
      <c r="AH138" s="2">
        <f t="shared" si="24"/>
        <v>9.9403578528827044E-2</v>
      </c>
      <c r="AI138" s="2">
        <f t="shared" si="24"/>
        <v>1.4936519790888723E-2</v>
      </c>
      <c r="AJ138" s="2" t="str">
        <f t="shared" si="24"/>
        <v/>
      </c>
      <c r="AK138" s="2" t="str">
        <f t="shared" si="24"/>
        <v/>
      </c>
      <c r="AL138" s="2" t="str">
        <f t="shared" si="24"/>
        <v/>
      </c>
      <c r="AM138" s="2" t="str">
        <f t="shared" si="24"/>
        <v/>
      </c>
      <c r="AN138" s="2" t="str">
        <f t="shared" si="23"/>
        <v/>
      </c>
      <c r="AO138" s="2" t="str">
        <f t="shared" si="23"/>
        <v/>
      </c>
      <c r="AP138" s="2" t="str">
        <f t="shared" si="23"/>
        <v/>
      </c>
      <c r="AQ138" s="2" t="str">
        <f t="shared" si="23"/>
        <v/>
      </c>
      <c r="AR138" s="2">
        <f t="shared" si="23"/>
        <v>0.10373952372883564</v>
      </c>
      <c r="AT138" s="143">
        <f t="shared" si="25"/>
        <v>-9.9862306344069729E-2</v>
      </c>
      <c r="AU138" s="143">
        <f t="shared" si="26"/>
        <v>2.9058913195336863E-2</v>
      </c>
      <c r="AV138" s="143">
        <f t="shared" si="28"/>
        <v>-8.4467058737938319E-2</v>
      </c>
      <c r="AW138" s="143" t="str">
        <f t="shared" si="28"/>
        <v/>
      </c>
      <c r="AX138" s="143" t="str">
        <f t="shared" si="28"/>
        <v/>
      </c>
      <c r="AY138" s="143" t="str">
        <f t="shared" si="27"/>
        <v/>
      </c>
      <c r="AZ138" s="143" t="str">
        <f t="shared" si="27"/>
        <v/>
      </c>
      <c r="BA138" s="143" t="str">
        <f t="shared" si="27"/>
        <v/>
      </c>
      <c r="BB138" s="143" t="str">
        <f t="shared" si="27"/>
        <v/>
      </c>
      <c r="BC138" s="143" t="str">
        <f t="shared" si="27"/>
        <v/>
      </c>
      <c r="BD138" s="143" t="str">
        <f t="shared" si="27"/>
        <v/>
      </c>
      <c r="BF138" s="9">
        <f t="shared" si="31"/>
        <v>5.7212612022953878E-6</v>
      </c>
      <c r="BG138" s="9">
        <f t="shared" si="32"/>
        <v>0.97246015102216044</v>
      </c>
    </row>
    <row r="139" spans="2:59" x14ac:dyDescent="0.35">
      <c r="B139" s="3" t="s">
        <v>229</v>
      </c>
      <c r="D139" s="141">
        <v>9908</v>
      </c>
      <c r="E139" s="141">
        <v>10256</v>
      </c>
      <c r="F139" s="141">
        <v>17415</v>
      </c>
      <c r="G139" s="141">
        <v>1823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29"/>
        <v>39402</v>
      </c>
      <c r="R139" s="141">
        <v>825</v>
      </c>
      <c r="S139" s="141">
        <v>922</v>
      </c>
      <c r="T139" s="141">
        <v>1366</v>
      </c>
      <c r="U139" s="141">
        <v>84</v>
      </c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30"/>
        <v>3197</v>
      </c>
      <c r="AF139" s="2">
        <f t="shared" si="24"/>
        <v>8.3266047638272098E-2</v>
      </c>
      <c r="AG139" s="2">
        <f t="shared" si="24"/>
        <v>8.9898595943837756E-2</v>
      </c>
      <c r="AH139" s="2">
        <f t="shared" si="24"/>
        <v>7.8438128050531145E-2</v>
      </c>
      <c r="AI139" s="2">
        <f t="shared" si="24"/>
        <v>4.607789358200768E-2</v>
      </c>
      <c r="AJ139" s="2" t="str">
        <f t="shared" si="24"/>
        <v/>
      </c>
      <c r="AK139" s="2" t="str">
        <f t="shared" si="24"/>
        <v/>
      </c>
      <c r="AL139" s="2" t="str">
        <f t="shared" si="24"/>
        <v/>
      </c>
      <c r="AM139" s="2" t="str">
        <f t="shared" ref="AM139:AR170" si="33">+IFERROR(Y139/K139,"")</f>
        <v/>
      </c>
      <c r="AN139" s="2" t="str">
        <f t="shared" si="33"/>
        <v/>
      </c>
      <c r="AO139" s="2" t="str">
        <f t="shared" si="33"/>
        <v/>
      </c>
      <c r="AP139" s="2" t="str">
        <f t="shared" si="33"/>
        <v/>
      </c>
      <c r="AQ139" s="2" t="str">
        <f t="shared" si="33"/>
        <v/>
      </c>
      <c r="AR139" s="2">
        <f t="shared" si="33"/>
        <v>8.1138013298817313E-2</v>
      </c>
      <c r="AT139" s="143">
        <f t="shared" si="25"/>
        <v>6.6325483055656581E-3</v>
      </c>
      <c r="AU139" s="143">
        <f t="shared" si="26"/>
        <v>-1.1460467893306611E-2</v>
      </c>
      <c r="AV139" s="143">
        <f t="shared" si="28"/>
        <v>-3.2360234468523465E-2</v>
      </c>
      <c r="AW139" s="143" t="str">
        <f t="shared" si="28"/>
        <v/>
      </c>
      <c r="AX139" s="143" t="str">
        <f t="shared" si="28"/>
        <v/>
      </c>
      <c r="AY139" s="143" t="str">
        <f t="shared" si="27"/>
        <v/>
      </c>
      <c r="AZ139" s="143" t="str">
        <f t="shared" si="27"/>
        <v/>
      </c>
      <c r="BA139" s="143" t="str">
        <f t="shared" si="27"/>
        <v/>
      </c>
      <c r="BB139" s="143" t="str">
        <f t="shared" si="27"/>
        <v/>
      </c>
      <c r="BC139" s="143" t="str">
        <f t="shared" si="27"/>
        <v/>
      </c>
      <c r="BD139" s="143" t="str">
        <f t="shared" si="27"/>
        <v/>
      </c>
      <c r="BF139" s="9">
        <f t="shared" si="31"/>
        <v>2.2981369598867139E-6</v>
      </c>
      <c r="BG139" s="9">
        <f t="shared" si="32"/>
        <v>0.97246244915912028</v>
      </c>
    </row>
    <row r="140" spans="2:59" x14ac:dyDescent="0.35">
      <c r="B140" s="3" t="s">
        <v>231</v>
      </c>
      <c r="D140" s="141">
        <v>789583</v>
      </c>
      <c r="E140" s="141">
        <v>6050326</v>
      </c>
      <c r="F140" s="141">
        <v>5424653</v>
      </c>
      <c r="G140" s="141">
        <v>152018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29"/>
        <v>12416580</v>
      </c>
      <c r="R140" s="141">
        <v>86886</v>
      </c>
      <c r="S140" s="141">
        <v>681301</v>
      </c>
      <c r="T140" s="141">
        <v>560785</v>
      </c>
      <c r="U140" s="141">
        <v>18065</v>
      </c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30"/>
        <v>1347037</v>
      </c>
      <c r="AF140" s="2">
        <f t="shared" ref="AF140:AR171" si="34">+IFERROR(R140/D140,"")</f>
        <v>0.11004036307772584</v>
      </c>
      <c r="AG140" s="2">
        <f t="shared" si="34"/>
        <v>0.1126056678598806</v>
      </c>
      <c r="AH140" s="2">
        <f t="shared" si="34"/>
        <v>0.10337711923693553</v>
      </c>
      <c r="AI140" s="2">
        <f t="shared" si="34"/>
        <v>0.11883461169072083</v>
      </c>
      <c r="AJ140" s="2" t="str">
        <f t="shared" si="34"/>
        <v/>
      </c>
      <c r="AK140" s="2" t="str">
        <f t="shared" si="34"/>
        <v/>
      </c>
      <c r="AL140" s="2" t="str">
        <f t="shared" si="34"/>
        <v/>
      </c>
      <c r="AM140" s="2" t="str">
        <f t="shared" si="33"/>
        <v/>
      </c>
      <c r="AN140" s="2" t="str">
        <f t="shared" si="33"/>
        <v/>
      </c>
      <c r="AO140" s="2" t="str">
        <f t="shared" si="33"/>
        <v/>
      </c>
      <c r="AP140" s="2" t="str">
        <f t="shared" si="33"/>
        <v/>
      </c>
      <c r="AQ140" s="2" t="str">
        <f t="shared" si="33"/>
        <v/>
      </c>
      <c r="AR140" s="2">
        <f t="shared" si="33"/>
        <v>0.10848695856669066</v>
      </c>
      <c r="AT140" s="143">
        <f t="shared" si="25"/>
        <v>2.565304782154762E-3</v>
      </c>
      <c r="AU140" s="143">
        <f t="shared" si="26"/>
        <v>-9.2285486229450736E-3</v>
      </c>
      <c r="AV140" s="143">
        <f t="shared" si="28"/>
        <v>1.5457492453785304E-2</v>
      </c>
      <c r="AW140" s="143" t="str">
        <f t="shared" si="28"/>
        <v/>
      </c>
      <c r="AX140" s="143" t="str">
        <f t="shared" si="28"/>
        <v/>
      </c>
      <c r="AY140" s="143" t="str">
        <f t="shared" si="27"/>
        <v/>
      </c>
      <c r="AZ140" s="143" t="str">
        <f t="shared" si="27"/>
        <v/>
      </c>
      <c r="BA140" s="143" t="str">
        <f t="shared" si="27"/>
        <v/>
      </c>
      <c r="BB140" s="143" t="str">
        <f t="shared" si="27"/>
        <v/>
      </c>
      <c r="BC140" s="143" t="str">
        <f t="shared" si="27"/>
        <v/>
      </c>
      <c r="BD140" s="143" t="str">
        <f t="shared" si="27"/>
        <v/>
      </c>
      <c r="BF140" s="9">
        <f t="shared" si="31"/>
        <v>9.6830638599778522E-4</v>
      </c>
      <c r="BG140" s="9">
        <f t="shared" si="32"/>
        <v>0.97343075554511804</v>
      </c>
    </row>
    <row r="141" spans="2:59" x14ac:dyDescent="0.35">
      <c r="B141" s="3" t="s">
        <v>207</v>
      </c>
      <c r="D141" s="141">
        <v>79570</v>
      </c>
      <c r="E141" s="141">
        <v>71965</v>
      </c>
      <c r="F141" s="141">
        <v>84003</v>
      </c>
      <c r="G141" s="141">
        <v>8524</v>
      </c>
      <c r="H141" s="141"/>
      <c r="I141" s="141"/>
      <c r="J141" s="141"/>
      <c r="K141" s="141"/>
      <c r="L141" s="141"/>
      <c r="M141" s="141"/>
      <c r="N141" s="141"/>
      <c r="O141" s="141"/>
      <c r="P141" s="141">
        <f t="shared" si="29"/>
        <v>244062</v>
      </c>
      <c r="R141" s="141">
        <v>20435</v>
      </c>
      <c r="S141" s="141">
        <v>10361</v>
      </c>
      <c r="T141" s="141">
        <v>15489</v>
      </c>
      <c r="U141" s="141">
        <v>558</v>
      </c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30"/>
        <v>46843</v>
      </c>
      <c r="AF141" s="2">
        <f t="shared" si="34"/>
        <v>0.25681789619203216</v>
      </c>
      <c r="AG141" s="2">
        <f t="shared" si="34"/>
        <v>0.14397276453831723</v>
      </c>
      <c r="AH141" s="2">
        <f t="shared" si="34"/>
        <v>0.18438627191886003</v>
      </c>
      <c r="AI141" s="2">
        <f t="shared" si="34"/>
        <v>6.54622243078367E-2</v>
      </c>
      <c r="AJ141" s="2" t="str">
        <f t="shared" si="34"/>
        <v/>
      </c>
      <c r="AK141" s="2" t="str">
        <f t="shared" si="34"/>
        <v/>
      </c>
      <c r="AL141" s="2" t="str">
        <f t="shared" si="34"/>
        <v/>
      </c>
      <c r="AM141" s="2" t="str">
        <f t="shared" si="33"/>
        <v/>
      </c>
      <c r="AN141" s="2" t="str">
        <f t="shared" si="33"/>
        <v/>
      </c>
      <c r="AO141" s="2" t="str">
        <f t="shared" si="33"/>
        <v/>
      </c>
      <c r="AP141" s="2" t="str">
        <f t="shared" si="33"/>
        <v/>
      </c>
      <c r="AQ141" s="2" t="str">
        <f t="shared" si="33"/>
        <v/>
      </c>
      <c r="AR141" s="2">
        <f t="shared" si="33"/>
        <v>0.19193073891060469</v>
      </c>
      <c r="AT141" s="143">
        <f t="shared" si="25"/>
        <v>-0.11284513165371493</v>
      </c>
      <c r="AU141" s="143">
        <f t="shared" si="26"/>
        <v>4.0413507380542807E-2</v>
      </c>
      <c r="AV141" s="143">
        <f t="shared" si="28"/>
        <v>-0.11892404761102333</v>
      </c>
      <c r="AW141" s="143" t="str">
        <f t="shared" si="28"/>
        <v/>
      </c>
      <c r="AX141" s="143" t="str">
        <f t="shared" si="28"/>
        <v/>
      </c>
      <c r="AY141" s="143" t="str">
        <f t="shared" si="27"/>
        <v/>
      </c>
      <c r="AZ141" s="143" t="str">
        <f t="shared" si="27"/>
        <v/>
      </c>
      <c r="BA141" s="143" t="str">
        <f t="shared" si="27"/>
        <v/>
      </c>
      <c r="BB141" s="143" t="str">
        <f t="shared" si="27"/>
        <v/>
      </c>
      <c r="BC141" s="143" t="str">
        <f t="shared" si="27"/>
        <v/>
      </c>
      <c r="BD141" s="143" t="str">
        <f t="shared" si="27"/>
        <v/>
      </c>
      <c r="BF141" s="9">
        <f t="shared" si="31"/>
        <v>3.3672702412253157E-5</v>
      </c>
      <c r="BG141" s="9">
        <f t="shared" si="32"/>
        <v>0.97346442824753032</v>
      </c>
    </row>
    <row r="142" spans="2:59" x14ac:dyDescent="0.35">
      <c r="B142" s="3" t="s">
        <v>228</v>
      </c>
      <c r="D142" s="141">
        <v>114143</v>
      </c>
      <c r="E142" s="141">
        <v>127983</v>
      </c>
      <c r="F142" s="141">
        <v>174153</v>
      </c>
      <c r="G142" s="141">
        <v>37473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29"/>
        <v>453752</v>
      </c>
      <c r="R142" s="141">
        <v>12311</v>
      </c>
      <c r="S142" s="141">
        <v>12093</v>
      </c>
      <c r="T142" s="141">
        <v>15537</v>
      </c>
      <c r="U142" s="141">
        <v>3049</v>
      </c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30"/>
        <v>42990</v>
      </c>
      <c r="AF142" s="2">
        <f t="shared" si="34"/>
        <v>0.10785593509895482</v>
      </c>
      <c r="AG142" s="2">
        <f t="shared" si="34"/>
        <v>9.4489111835165604E-2</v>
      </c>
      <c r="AH142" s="2">
        <f t="shared" si="34"/>
        <v>8.9214656078276E-2</v>
      </c>
      <c r="AI142" s="2">
        <f t="shared" si="34"/>
        <v>8.1365249646412077E-2</v>
      </c>
      <c r="AJ142" s="2" t="str">
        <f t="shared" si="34"/>
        <v/>
      </c>
      <c r="AK142" s="2" t="str">
        <f t="shared" si="34"/>
        <v/>
      </c>
      <c r="AL142" s="2" t="str">
        <f t="shared" si="34"/>
        <v/>
      </c>
      <c r="AM142" s="2" t="str">
        <f t="shared" si="33"/>
        <v/>
      </c>
      <c r="AN142" s="2" t="str">
        <f t="shared" si="33"/>
        <v/>
      </c>
      <c r="AO142" s="2" t="str">
        <f t="shared" si="33"/>
        <v/>
      </c>
      <c r="AP142" s="2" t="str">
        <f t="shared" si="33"/>
        <v/>
      </c>
      <c r="AQ142" s="2" t="str">
        <f t="shared" si="33"/>
        <v/>
      </c>
      <c r="AR142" s="2">
        <f t="shared" si="33"/>
        <v>9.474338405119978E-2</v>
      </c>
      <c r="AT142" s="143">
        <f t="shared" si="25"/>
        <v>-1.3366823263789213E-2</v>
      </c>
      <c r="AU142" s="143">
        <f t="shared" si="26"/>
        <v>-5.2744557568896039E-3</v>
      </c>
      <c r="AV142" s="143">
        <f t="shared" si="28"/>
        <v>-7.8494064318639228E-3</v>
      </c>
      <c r="AW142" s="143" t="str">
        <f t="shared" si="28"/>
        <v/>
      </c>
      <c r="AX142" s="143" t="str">
        <f t="shared" si="28"/>
        <v/>
      </c>
      <c r="AY142" s="143" t="str">
        <f t="shared" si="27"/>
        <v/>
      </c>
      <c r="AZ142" s="143" t="str">
        <f t="shared" si="27"/>
        <v/>
      </c>
      <c r="BA142" s="143" t="str">
        <f t="shared" si="27"/>
        <v/>
      </c>
      <c r="BB142" s="143" t="str">
        <f t="shared" si="27"/>
        <v/>
      </c>
      <c r="BC142" s="143" t="str">
        <f t="shared" si="27"/>
        <v/>
      </c>
      <c r="BD142" s="143" t="str">
        <f t="shared" si="27"/>
        <v/>
      </c>
      <c r="BF142" s="9">
        <f t="shared" si="31"/>
        <v>3.0903005287935507E-5</v>
      </c>
      <c r="BG142" s="9">
        <f t="shared" si="32"/>
        <v>0.97349533125281829</v>
      </c>
    </row>
    <row r="143" spans="2:59" x14ac:dyDescent="0.35">
      <c r="B143" s="3" t="s">
        <v>225</v>
      </c>
      <c r="D143" s="141">
        <v>93522</v>
      </c>
      <c r="E143" s="141">
        <v>83991</v>
      </c>
      <c r="F143" s="141">
        <v>85355</v>
      </c>
      <c r="G143" s="141">
        <v>15816</v>
      </c>
      <c r="H143" s="141"/>
      <c r="I143" s="141"/>
      <c r="J143" s="141"/>
      <c r="K143" s="141"/>
      <c r="L143" s="141"/>
      <c r="M143" s="141"/>
      <c r="N143" s="141"/>
      <c r="O143" s="141"/>
      <c r="P143" s="141">
        <f t="shared" si="29"/>
        <v>278684</v>
      </c>
      <c r="R143" s="141">
        <v>10456</v>
      </c>
      <c r="S143" s="141">
        <v>7558</v>
      </c>
      <c r="T143" s="141">
        <v>10923</v>
      </c>
      <c r="U143" s="141">
        <v>1978</v>
      </c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30"/>
        <v>30915</v>
      </c>
      <c r="AF143" s="2">
        <f t="shared" si="34"/>
        <v>0.11180257051816685</v>
      </c>
      <c r="AG143" s="2">
        <f t="shared" si="34"/>
        <v>8.9985831815313541E-2</v>
      </c>
      <c r="AH143" s="2">
        <f t="shared" si="34"/>
        <v>0.12797141350828892</v>
      </c>
      <c r="AI143" s="2">
        <f t="shared" si="34"/>
        <v>0.12506322711178552</v>
      </c>
      <c r="AJ143" s="2" t="str">
        <f t="shared" si="34"/>
        <v/>
      </c>
      <c r="AK143" s="2" t="str">
        <f t="shared" si="34"/>
        <v/>
      </c>
      <c r="AL143" s="2" t="str">
        <f t="shared" si="34"/>
        <v/>
      </c>
      <c r="AM143" s="2" t="str">
        <f t="shared" si="33"/>
        <v/>
      </c>
      <c r="AN143" s="2" t="str">
        <f t="shared" si="33"/>
        <v/>
      </c>
      <c r="AO143" s="2" t="str">
        <f t="shared" si="33"/>
        <v/>
      </c>
      <c r="AP143" s="2" t="str">
        <f t="shared" si="33"/>
        <v/>
      </c>
      <c r="AQ143" s="2" t="str">
        <f t="shared" si="33"/>
        <v/>
      </c>
      <c r="AR143" s="2">
        <f t="shared" si="33"/>
        <v>0.11093209513283862</v>
      </c>
      <c r="AT143" s="143">
        <f t="shared" si="25"/>
        <v>-2.1816738702853306E-2</v>
      </c>
      <c r="AU143" s="143">
        <f t="shared" si="26"/>
        <v>3.7985581692975376E-2</v>
      </c>
      <c r="AV143" s="143">
        <f t="shared" si="28"/>
        <v>-2.9081863965033927E-3</v>
      </c>
      <c r="AW143" s="143" t="str">
        <f t="shared" si="28"/>
        <v/>
      </c>
      <c r="AX143" s="143" t="str">
        <f t="shared" si="28"/>
        <v/>
      </c>
      <c r="AY143" s="143" t="str">
        <f t="shared" si="27"/>
        <v/>
      </c>
      <c r="AZ143" s="143" t="str">
        <f t="shared" si="27"/>
        <v/>
      </c>
      <c r="BA143" s="143" t="str">
        <f t="shared" si="27"/>
        <v/>
      </c>
      <c r="BB143" s="143" t="str">
        <f t="shared" si="27"/>
        <v/>
      </c>
      <c r="BC143" s="143" t="str">
        <f t="shared" si="27"/>
        <v/>
      </c>
      <c r="BD143" s="143" t="str">
        <f t="shared" si="27"/>
        <v/>
      </c>
      <c r="BF143" s="9">
        <f t="shared" si="31"/>
        <v>2.2222991590521663E-5</v>
      </c>
      <c r="BG143" s="9">
        <f t="shared" si="32"/>
        <v>0.97351755424440878</v>
      </c>
    </row>
    <row r="144" spans="2:59" x14ac:dyDescent="0.35">
      <c r="B144" s="3" t="s">
        <v>209</v>
      </c>
      <c r="D144" s="141">
        <v>354308</v>
      </c>
      <c r="E144" s="141">
        <v>279118</v>
      </c>
      <c r="F144" s="141">
        <v>196384</v>
      </c>
      <c r="G144" s="141">
        <v>27824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29"/>
        <v>857634</v>
      </c>
      <c r="R144" s="141">
        <v>36824</v>
      </c>
      <c r="S144" s="141">
        <v>38029</v>
      </c>
      <c r="T144" s="141">
        <v>36628</v>
      </c>
      <c r="U144" s="141">
        <v>4705</v>
      </c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30"/>
        <v>116186</v>
      </c>
      <c r="AF144" s="2">
        <f t="shared" si="34"/>
        <v>0.10393217200853495</v>
      </c>
      <c r="AG144" s="2">
        <f t="shared" si="34"/>
        <v>0.13624703530406496</v>
      </c>
      <c r="AH144" s="2">
        <f t="shared" si="34"/>
        <v>0.18651213948183151</v>
      </c>
      <c r="AI144" s="2">
        <f t="shared" si="34"/>
        <v>0.16909861989649225</v>
      </c>
      <c r="AJ144" s="2" t="str">
        <f t="shared" si="34"/>
        <v/>
      </c>
      <c r="AK144" s="2" t="str">
        <f t="shared" si="34"/>
        <v/>
      </c>
      <c r="AL144" s="2" t="str">
        <f t="shared" si="34"/>
        <v/>
      </c>
      <c r="AM144" s="2" t="str">
        <f t="shared" si="33"/>
        <v/>
      </c>
      <c r="AN144" s="2" t="str">
        <f t="shared" si="33"/>
        <v/>
      </c>
      <c r="AO144" s="2" t="str">
        <f t="shared" si="33"/>
        <v/>
      </c>
      <c r="AP144" s="2" t="str">
        <f t="shared" si="33"/>
        <v/>
      </c>
      <c r="AQ144" s="2" t="str">
        <f t="shared" si="33"/>
        <v/>
      </c>
      <c r="AR144" s="2">
        <f t="shared" si="33"/>
        <v>0.13547270747195189</v>
      </c>
      <c r="AT144" s="143">
        <f t="shared" si="25"/>
        <v>3.2314863295530002E-2</v>
      </c>
      <c r="AU144" s="143">
        <f t="shared" si="26"/>
        <v>5.0265104177766556E-2</v>
      </c>
      <c r="AV144" s="143">
        <f t="shared" si="28"/>
        <v>-1.7413519585339265E-2</v>
      </c>
      <c r="AW144" s="143" t="str">
        <f t="shared" si="28"/>
        <v/>
      </c>
      <c r="AX144" s="143" t="str">
        <f t="shared" si="28"/>
        <v/>
      </c>
      <c r="AY144" s="143" t="str">
        <f t="shared" si="27"/>
        <v/>
      </c>
      <c r="AZ144" s="143" t="str">
        <f t="shared" si="27"/>
        <v/>
      </c>
      <c r="BA144" s="143" t="str">
        <f t="shared" si="27"/>
        <v/>
      </c>
      <c r="BB144" s="143" t="str">
        <f t="shared" si="27"/>
        <v/>
      </c>
      <c r="BC144" s="143" t="str">
        <f t="shared" si="27"/>
        <v/>
      </c>
      <c r="BD144" s="143" t="str">
        <f t="shared" si="27"/>
        <v/>
      </c>
      <c r="BF144" s="9">
        <f t="shared" si="31"/>
        <v>8.3519343391115955E-5</v>
      </c>
      <c r="BG144" s="9">
        <f t="shared" si="32"/>
        <v>0.9736010735877999</v>
      </c>
    </row>
    <row r="145" spans="2:59" x14ac:dyDescent="0.35">
      <c r="B145" s="3" t="s">
        <v>240</v>
      </c>
      <c r="D145" s="141">
        <v>642095</v>
      </c>
      <c r="E145" s="141">
        <v>541694</v>
      </c>
      <c r="F145" s="141">
        <v>565820</v>
      </c>
      <c r="G145" s="141">
        <v>122639</v>
      </c>
      <c r="H145" s="141"/>
      <c r="I145" s="141"/>
      <c r="J145" s="141"/>
      <c r="K145" s="141"/>
      <c r="L145" s="141"/>
      <c r="M145" s="141"/>
      <c r="N145" s="141"/>
      <c r="O145" s="141"/>
      <c r="P145" s="141">
        <f t="shared" si="29"/>
        <v>1872248</v>
      </c>
      <c r="R145" s="141">
        <v>114783</v>
      </c>
      <c r="S145" s="141">
        <v>93983</v>
      </c>
      <c r="T145" s="141">
        <v>102603</v>
      </c>
      <c r="U145" s="141">
        <v>21213</v>
      </c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30"/>
        <v>332582</v>
      </c>
      <c r="AF145" s="2">
        <f t="shared" si="34"/>
        <v>0.17876326711779408</v>
      </c>
      <c r="AG145" s="2">
        <f t="shared" si="34"/>
        <v>0.17349832193083181</v>
      </c>
      <c r="AH145" s="2">
        <f t="shared" si="34"/>
        <v>0.18133505355059912</v>
      </c>
      <c r="AI145" s="2">
        <f t="shared" si="34"/>
        <v>0.17297107771589787</v>
      </c>
      <c r="AJ145" s="2" t="str">
        <f t="shared" si="34"/>
        <v/>
      </c>
      <c r="AK145" s="2" t="str">
        <f t="shared" si="34"/>
        <v/>
      </c>
      <c r="AL145" s="2" t="str">
        <f t="shared" si="34"/>
        <v/>
      </c>
      <c r="AM145" s="2" t="str">
        <f t="shared" si="33"/>
        <v/>
      </c>
      <c r="AN145" s="2" t="str">
        <f t="shared" si="33"/>
        <v/>
      </c>
      <c r="AO145" s="2" t="str">
        <f t="shared" si="33"/>
        <v/>
      </c>
      <c r="AP145" s="2" t="str">
        <f t="shared" si="33"/>
        <v/>
      </c>
      <c r="AQ145" s="2" t="str">
        <f t="shared" si="33"/>
        <v/>
      </c>
      <c r="AR145" s="2">
        <f t="shared" si="33"/>
        <v>0.17763779157462045</v>
      </c>
      <c r="AT145" s="143">
        <f t="shared" si="25"/>
        <v>-5.2649451869622721E-3</v>
      </c>
      <c r="AU145" s="143">
        <f t="shared" si="26"/>
        <v>7.8367316197673065E-3</v>
      </c>
      <c r="AV145" s="143">
        <f t="shared" si="28"/>
        <v>-8.3639758347012483E-3</v>
      </c>
      <c r="AW145" s="143" t="str">
        <f t="shared" si="28"/>
        <v/>
      </c>
      <c r="AX145" s="143" t="str">
        <f t="shared" si="28"/>
        <v/>
      </c>
      <c r="AY145" s="143" t="str">
        <f t="shared" si="27"/>
        <v/>
      </c>
      <c r="AZ145" s="143" t="str">
        <f t="shared" si="27"/>
        <v/>
      </c>
      <c r="BA145" s="143" t="str">
        <f t="shared" si="27"/>
        <v/>
      </c>
      <c r="BB145" s="143" t="str">
        <f t="shared" si="27"/>
        <v/>
      </c>
      <c r="BC145" s="143" t="str">
        <f t="shared" si="27"/>
        <v/>
      </c>
      <c r="BD145" s="143" t="str">
        <f t="shared" si="27"/>
        <v/>
      </c>
      <c r="BF145" s="9">
        <f t="shared" si="31"/>
        <v>2.3907381494934097E-4</v>
      </c>
      <c r="BG145" s="9">
        <f t="shared" si="32"/>
        <v>0.97384014740274927</v>
      </c>
    </row>
    <row r="146" spans="2:59" x14ac:dyDescent="0.35">
      <c r="B146" s="3" t="s">
        <v>218</v>
      </c>
      <c r="D146" s="141">
        <v>45340</v>
      </c>
      <c r="E146" s="141">
        <v>26215</v>
      </c>
      <c r="F146" s="141">
        <v>24920</v>
      </c>
      <c r="G146" s="141">
        <v>23229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29"/>
        <v>119704</v>
      </c>
      <c r="R146" s="141">
        <v>8304</v>
      </c>
      <c r="S146" s="141">
        <v>2798</v>
      </c>
      <c r="T146" s="141">
        <v>2315</v>
      </c>
      <c r="U146" s="141">
        <v>2280</v>
      </c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30"/>
        <v>15697</v>
      </c>
      <c r="AF146" s="2">
        <f t="shared" si="34"/>
        <v>0.1831495368328187</v>
      </c>
      <c r="AG146" s="2">
        <f t="shared" si="34"/>
        <v>0.10673278657257296</v>
      </c>
      <c r="AH146" s="2">
        <f t="shared" si="34"/>
        <v>9.2897271268057788E-2</v>
      </c>
      <c r="AI146" s="2">
        <f t="shared" si="34"/>
        <v>9.8153170605708384E-2</v>
      </c>
      <c r="AJ146" s="2" t="str">
        <f t="shared" si="34"/>
        <v/>
      </c>
      <c r="AK146" s="2" t="str">
        <f t="shared" si="34"/>
        <v/>
      </c>
      <c r="AL146" s="2" t="str">
        <f t="shared" si="34"/>
        <v/>
      </c>
      <c r="AM146" s="2" t="str">
        <f t="shared" si="33"/>
        <v/>
      </c>
      <c r="AN146" s="2" t="str">
        <f t="shared" si="33"/>
        <v/>
      </c>
      <c r="AO146" s="2" t="str">
        <f t="shared" si="33"/>
        <v/>
      </c>
      <c r="AP146" s="2" t="str">
        <f t="shared" si="33"/>
        <v/>
      </c>
      <c r="AQ146" s="2" t="str">
        <f t="shared" si="33"/>
        <v/>
      </c>
      <c r="AR146" s="2">
        <f t="shared" si="33"/>
        <v>0.13113179175299072</v>
      </c>
      <c r="AT146" s="143">
        <f t="shared" si="25"/>
        <v>-7.6416750260245747E-2</v>
      </c>
      <c r="AU146" s="143">
        <f t="shared" si="26"/>
        <v>-1.383551530451517E-2</v>
      </c>
      <c r="AV146" s="143">
        <f t="shared" si="28"/>
        <v>5.2558993376505964E-3</v>
      </c>
      <c r="AW146" s="143" t="str">
        <f t="shared" si="28"/>
        <v/>
      </c>
      <c r="AX146" s="143" t="str">
        <f t="shared" si="28"/>
        <v/>
      </c>
      <c r="AY146" s="143" t="str">
        <f t="shared" si="27"/>
        <v/>
      </c>
      <c r="AZ146" s="143" t="str">
        <f t="shared" si="27"/>
        <v/>
      </c>
      <c r="BA146" s="143" t="str">
        <f t="shared" si="27"/>
        <v/>
      </c>
      <c r="BB146" s="143" t="str">
        <f t="shared" si="27"/>
        <v/>
      </c>
      <c r="BC146" s="143" t="str">
        <f t="shared" si="27"/>
        <v/>
      </c>
      <c r="BD146" s="143" t="str">
        <f t="shared" si="27"/>
        <v/>
      </c>
      <c r="BF146" s="9">
        <f t="shared" si="31"/>
        <v>1.1283658385780965E-5</v>
      </c>
      <c r="BG146" s="9">
        <f t="shared" si="32"/>
        <v>0.97385143106113503</v>
      </c>
    </row>
    <row r="147" spans="2:59" x14ac:dyDescent="0.35">
      <c r="B147" s="3" t="s">
        <v>219</v>
      </c>
      <c r="D147" s="141">
        <v>870504</v>
      </c>
      <c r="E147" s="141">
        <v>889278</v>
      </c>
      <c r="F147" s="141">
        <v>683641</v>
      </c>
      <c r="G147" s="141">
        <v>59512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29"/>
        <v>2502935</v>
      </c>
      <c r="R147" s="141">
        <v>103961</v>
      </c>
      <c r="S147" s="141">
        <v>108731</v>
      </c>
      <c r="T147" s="141">
        <v>72649</v>
      </c>
      <c r="U147" s="141">
        <v>7555</v>
      </c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30"/>
        <v>292896</v>
      </c>
      <c r="AF147" s="2">
        <f t="shared" si="34"/>
        <v>0.11942621745563489</v>
      </c>
      <c r="AG147" s="2">
        <f t="shared" si="34"/>
        <v>0.12226885181012012</v>
      </c>
      <c r="AH147" s="2">
        <f t="shared" si="34"/>
        <v>0.10626776334362625</v>
      </c>
      <c r="AI147" s="2">
        <f t="shared" si="34"/>
        <v>0.12694918671864497</v>
      </c>
      <c r="AJ147" s="2" t="str">
        <f t="shared" si="34"/>
        <v/>
      </c>
      <c r="AK147" s="2" t="str">
        <f t="shared" si="34"/>
        <v/>
      </c>
      <c r="AL147" s="2" t="str">
        <f t="shared" si="34"/>
        <v/>
      </c>
      <c r="AM147" s="2" t="str">
        <f t="shared" si="33"/>
        <v/>
      </c>
      <c r="AN147" s="2" t="str">
        <f t="shared" si="33"/>
        <v/>
      </c>
      <c r="AO147" s="2" t="str">
        <f t="shared" si="33"/>
        <v/>
      </c>
      <c r="AP147" s="2" t="str">
        <f t="shared" si="33"/>
        <v/>
      </c>
      <c r="AQ147" s="2" t="str">
        <f t="shared" si="33"/>
        <v/>
      </c>
      <c r="AR147" s="2">
        <f t="shared" si="33"/>
        <v>0.11702101732565967</v>
      </c>
      <c r="AT147" s="143">
        <f t="shared" si="25"/>
        <v>2.8426343544852295E-3</v>
      </c>
      <c r="AU147" s="143">
        <f t="shared" si="26"/>
        <v>-1.6001088466493868E-2</v>
      </c>
      <c r="AV147" s="143">
        <f t="shared" si="28"/>
        <v>2.0681423375018715E-2</v>
      </c>
      <c r="AW147" s="143" t="str">
        <f t="shared" si="28"/>
        <v/>
      </c>
      <c r="AX147" s="143" t="str">
        <f t="shared" si="28"/>
        <v/>
      </c>
      <c r="AY147" s="143" t="str">
        <f t="shared" si="27"/>
        <v/>
      </c>
      <c r="AZ147" s="143" t="str">
        <f t="shared" si="27"/>
        <v/>
      </c>
      <c r="BA147" s="143" t="str">
        <f t="shared" si="27"/>
        <v/>
      </c>
      <c r="BB147" s="143" t="str">
        <f t="shared" si="27"/>
        <v/>
      </c>
      <c r="BC147" s="143" t="str">
        <f t="shared" si="27"/>
        <v/>
      </c>
      <c r="BD147" s="143" t="str">
        <f t="shared" si="27"/>
        <v/>
      </c>
      <c r="BF147" s="9">
        <f t="shared" si="31"/>
        <v>2.1054586268469782E-4</v>
      </c>
      <c r="BG147" s="9">
        <f t="shared" si="32"/>
        <v>0.97406197692381968</v>
      </c>
    </row>
    <row r="148" spans="2:59" x14ac:dyDescent="0.35">
      <c r="B148" s="3" t="s">
        <v>235</v>
      </c>
      <c r="D148" s="141">
        <v>735</v>
      </c>
      <c r="E148" s="141"/>
      <c r="F148" s="141">
        <v>19078</v>
      </c>
      <c r="G148" s="141"/>
      <c r="H148" s="141"/>
      <c r="I148" s="141"/>
      <c r="J148" s="141"/>
      <c r="K148" s="141"/>
      <c r="L148" s="141"/>
      <c r="M148" s="141"/>
      <c r="N148" s="141"/>
      <c r="O148" s="141"/>
      <c r="P148" s="141">
        <f t="shared" si="29"/>
        <v>19813</v>
      </c>
      <c r="R148" s="141">
        <v>27</v>
      </c>
      <c r="S148" s="141"/>
      <c r="T148" s="141">
        <v>1883</v>
      </c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30"/>
        <v>1910</v>
      </c>
      <c r="AF148" s="2">
        <f t="shared" si="34"/>
        <v>3.6734693877551024E-2</v>
      </c>
      <c r="AG148" s="2" t="str">
        <f t="shared" si="34"/>
        <v/>
      </c>
      <c r="AH148" s="2">
        <f t="shared" si="34"/>
        <v>9.8700073382954182E-2</v>
      </c>
      <c r="AI148" s="2" t="str">
        <f t="shared" si="34"/>
        <v/>
      </c>
      <c r="AJ148" s="2" t="str">
        <f t="shared" si="34"/>
        <v/>
      </c>
      <c r="AK148" s="2" t="str">
        <f t="shared" si="34"/>
        <v/>
      </c>
      <c r="AL148" s="2" t="str">
        <f t="shared" si="34"/>
        <v/>
      </c>
      <c r="AM148" s="2" t="str">
        <f t="shared" si="33"/>
        <v/>
      </c>
      <c r="AN148" s="2" t="str">
        <f t="shared" si="33"/>
        <v/>
      </c>
      <c r="AO148" s="2" t="str">
        <f t="shared" si="33"/>
        <v/>
      </c>
      <c r="AP148" s="2" t="str">
        <f t="shared" si="33"/>
        <v/>
      </c>
      <c r="AQ148" s="2" t="str">
        <f t="shared" si="33"/>
        <v/>
      </c>
      <c r="AR148" s="2">
        <f t="shared" si="33"/>
        <v>9.6401352647251803E-2</v>
      </c>
      <c r="AT148" s="143" t="str">
        <f t="shared" si="25"/>
        <v/>
      </c>
      <c r="AU148" s="143" t="str">
        <f t="shared" si="26"/>
        <v/>
      </c>
      <c r="AV148" s="143" t="str">
        <f t="shared" si="28"/>
        <v/>
      </c>
      <c r="AW148" s="143" t="str">
        <f t="shared" si="28"/>
        <v/>
      </c>
      <c r="AX148" s="143" t="str">
        <f t="shared" si="28"/>
        <v/>
      </c>
      <c r="AY148" s="143" t="str">
        <f t="shared" si="28"/>
        <v/>
      </c>
      <c r="AZ148" s="143" t="str">
        <f t="shared" si="28"/>
        <v/>
      </c>
      <c r="BA148" s="143" t="str">
        <f t="shared" si="28"/>
        <v/>
      </c>
      <c r="BB148" s="143" t="str">
        <f t="shared" si="28"/>
        <v/>
      </c>
      <c r="BC148" s="143" t="str">
        <f t="shared" si="28"/>
        <v/>
      </c>
      <c r="BD148" s="143" t="str">
        <f t="shared" si="28"/>
        <v/>
      </c>
      <c r="BF148" s="9">
        <f t="shared" si="31"/>
        <v>1.3729876738766417E-6</v>
      </c>
      <c r="BG148" s="9">
        <f t="shared" si="32"/>
        <v>0.97406334991149357</v>
      </c>
    </row>
    <row r="149" spans="2:59" x14ac:dyDescent="0.35">
      <c r="B149" s="3" t="s">
        <v>230</v>
      </c>
      <c r="D149" s="141">
        <v>63586</v>
      </c>
      <c r="E149" s="141">
        <v>54992</v>
      </c>
      <c r="F149" s="141">
        <v>55294</v>
      </c>
      <c r="G149" s="141">
        <v>6777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29"/>
        <v>180649</v>
      </c>
      <c r="R149" s="141">
        <v>8424</v>
      </c>
      <c r="S149" s="141">
        <v>5957</v>
      </c>
      <c r="T149" s="141">
        <v>3095</v>
      </c>
      <c r="U149" s="141">
        <v>674</v>
      </c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30"/>
        <v>18150</v>
      </c>
      <c r="AF149" s="2">
        <f t="shared" si="34"/>
        <v>0.13248199289151699</v>
      </c>
      <c r="AG149" s="2">
        <f t="shared" si="34"/>
        <v>0.10832484725050917</v>
      </c>
      <c r="AH149" s="2">
        <f t="shared" si="34"/>
        <v>5.5973523347922015E-2</v>
      </c>
      <c r="AI149" s="2">
        <f t="shared" si="34"/>
        <v>9.9454035709015787E-2</v>
      </c>
      <c r="AJ149" s="2" t="str">
        <f t="shared" si="34"/>
        <v/>
      </c>
      <c r="AK149" s="2" t="str">
        <f t="shared" si="34"/>
        <v/>
      </c>
      <c r="AL149" s="2" t="str">
        <f t="shared" si="34"/>
        <v/>
      </c>
      <c r="AM149" s="2" t="str">
        <f t="shared" si="33"/>
        <v/>
      </c>
      <c r="AN149" s="2" t="str">
        <f t="shared" si="33"/>
        <v/>
      </c>
      <c r="AO149" s="2" t="str">
        <f t="shared" si="33"/>
        <v/>
      </c>
      <c r="AP149" s="2" t="str">
        <f t="shared" si="33"/>
        <v/>
      </c>
      <c r="AQ149" s="2" t="str">
        <f t="shared" si="33"/>
        <v/>
      </c>
      <c r="AR149" s="2">
        <f t="shared" si="33"/>
        <v>0.10047107927527969</v>
      </c>
      <c r="AT149" s="143">
        <f t="shared" si="25"/>
        <v>-2.4157145641007821E-2</v>
      </c>
      <c r="AU149" s="143">
        <f t="shared" si="26"/>
        <v>-5.2351323902587156E-2</v>
      </c>
      <c r="AV149" s="143">
        <f t="shared" ref="AV149:BD177" si="35">+IFERROR(AI149-AH149,"")</f>
        <v>4.3480512361093772E-2</v>
      </c>
      <c r="AW149" s="143" t="str">
        <f t="shared" si="35"/>
        <v/>
      </c>
      <c r="AX149" s="143" t="str">
        <f t="shared" si="35"/>
        <v/>
      </c>
      <c r="AY149" s="143" t="str">
        <f t="shared" si="35"/>
        <v/>
      </c>
      <c r="AZ149" s="143" t="str">
        <f t="shared" si="35"/>
        <v/>
      </c>
      <c r="BA149" s="143" t="str">
        <f t="shared" si="35"/>
        <v/>
      </c>
      <c r="BB149" s="143" t="str">
        <f t="shared" si="35"/>
        <v/>
      </c>
      <c r="BC149" s="143" t="str">
        <f t="shared" si="35"/>
        <v/>
      </c>
      <c r="BD149" s="143" t="str">
        <f t="shared" si="35"/>
        <v/>
      </c>
      <c r="BF149" s="9">
        <f t="shared" si="31"/>
        <v>1.3046977110398454E-5</v>
      </c>
      <c r="BG149" s="9">
        <f t="shared" si="32"/>
        <v>0.97407639688860392</v>
      </c>
    </row>
    <row r="150" spans="2:59" x14ac:dyDescent="0.35">
      <c r="B150" s="3" t="s">
        <v>227</v>
      </c>
      <c r="D150" s="141">
        <v>32522</v>
      </c>
      <c r="E150" s="141">
        <v>22138</v>
      </c>
      <c r="F150" s="141">
        <v>23936</v>
      </c>
      <c r="G150" s="141">
        <v>2861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29"/>
        <v>81457</v>
      </c>
      <c r="R150" s="141">
        <v>3287</v>
      </c>
      <c r="S150" s="141">
        <v>3451</v>
      </c>
      <c r="T150" s="141">
        <v>3940</v>
      </c>
      <c r="U150" s="141">
        <v>745</v>
      </c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30"/>
        <v>11423</v>
      </c>
      <c r="AF150" s="2">
        <f t="shared" si="34"/>
        <v>0.10107004489268803</v>
      </c>
      <c r="AG150" s="2">
        <f t="shared" si="34"/>
        <v>0.15588580720932332</v>
      </c>
      <c r="AH150" s="2">
        <f t="shared" si="34"/>
        <v>0.16460561497326204</v>
      </c>
      <c r="AI150" s="2">
        <f t="shared" si="34"/>
        <v>0.26039846207619716</v>
      </c>
      <c r="AJ150" s="2" t="str">
        <f t="shared" si="34"/>
        <v/>
      </c>
      <c r="AK150" s="2" t="str">
        <f t="shared" si="34"/>
        <v/>
      </c>
      <c r="AL150" s="2" t="str">
        <f t="shared" si="34"/>
        <v/>
      </c>
      <c r="AM150" s="2" t="str">
        <f t="shared" si="33"/>
        <v/>
      </c>
      <c r="AN150" s="2" t="str">
        <f t="shared" si="33"/>
        <v/>
      </c>
      <c r="AO150" s="2" t="str">
        <f t="shared" si="33"/>
        <v/>
      </c>
      <c r="AP150" s="2" t="str">
        <f t="shared" si="33"/>
        <v/>
      </c>
      <c r="AQ150" s="2" t="str">
        <f t="shared" si="33"/>
        <v/>
      </c>
      <c r="AR150" s="2">
        <f t="shared" si="33"/>
        <v>0.14023349742809088</v>
      </c>
      <c r="AT150" s="143">
        <f t="shared" si="25"/>
        <v>5.4815762316635291E-2</v>
      </c>
      <c r="AU150" s="143">
        <f t="shared" si="26"/>
        <v>8.7198077639387139E-3</v>
      </c>
      <c r="AV150" s="143">
        <f t="shared" si="35"/>
        <v>9.5792847102935119E-2</v>
      </c>
      <c r="AW150" s="143" t="str">
        <f t="shared" si="35"/>
        <v/>
      </c>
      <c r="AX150" s="143" t="str">
        <f t="shared" si="35"/>
        <v/>
      </c>
      <c r="AY150" s="143" t="str">
        <f t="shared" si="35"/>
        <v/>
      </c>
      <c r="AZ150" s="143" t="str">
        <f t="shared" si="35"/>
        <v/>
      </c>
      <c r="BA150" s="143" t="str">
        <f t="shared" si="35"/>
        <v/>
      </c>
      <c r="BB150" s="143" t="str">
        <f t="shared" si="35"/>
        <v/>
      </c>
      <c r="BC150" s="143" t="str">
        <f t="shared" si="35"/>
        <v/>
      </c>
      <c r="BD150" s="143" t="str">
        <f t="shared" si="35"/>
        <v/>
      </c>
      <c r="BF150" s="9">
        <f t="shared" si="31"/>
        <v>8.2113288998392025E-6</v>
      </c>
      <c r="BG150" s="9">
        <f t="shared" si="32"/>
        <v>0.97408460821750376</v>
      </c>
    </row>
    <row r="151" spans="2:59" x14ac:dyDescent="0.35">
      <c r="B151" s="3" t="s">
        <v>232</v>
      </c>
      <c r="D151" s="141">
        <v>165432</v>
      </c>
      <c r="E151" s="141">
        <v>110337</v>
      </c>
      <c r="F151" s="141">
        <v>102991</v>
      </c>
      <c r="G151" s="141">
        <v>10238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29"/>
        <v>388998</v>
      </c>
      <c r="R151" s="141">
        <v>16766</v>
      </c>
      <c r="S151" s="141">
        <v>13324</v>
      </c>
      <c r="T151" s="141">
        <v>9025</v>
      </c>
      <c r="U151" s="141">
        <v>1611</v>
      </c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30"/>
        <v>40726</v>
      </c>
      <c r="AF151" s="2">
        <f t="shared" si="34"/>
        <v>0.10134677692344891</v>
      </c>
      <c r="AG151" s="2">
        <f t="shared" si="34"/>
        <v>0.12075731622211951</v>
      </c>
      <c r="AH151" s="2">
        <f t="shared" si="34"/>
        <v>8.7629016127622805E-2</v>
      </c>
      <c r="AI151" s="2">
        <f t="shared" si="34"/>
        <v>0.15735495213908968</v>
      </c>
      <c r="AJ151" s="2" t="str">
        <f t="shared" si="34"/>
        <v/>
      </c>
      <c r="AK151" s="2" t="str">
        <f t="shared" si="34"/>
        <v/>
      </c>
      <c r="AL151" s="2" t="str">
        <f t="shared" si="34"/>
        <v/>
      </c>
      <c r="AM151" s="2" t="str">
        <f t="shared" si="33"/>
        <v/>
      </c>
      <c r="AN151" s="2" t="str">
        <f t="shared" si="33"/>
        <v/>
      </c>
      <c r="AO151" s="2" t="str">
        <f t="shared" si="33"/>
        <v/>
      </c>
      <c r="AP151" s="2" t="str">
        <f t="shared" si="33"/>
        <v/>
      </c>
      <c r="AQ151" s="2" t="str">
        <f t="shared" si="33"/>
        <v/>
      </c>
      <c r="AR151" s="2">
        <f t="shared" si="33"/>
        <v>0.1046946256793094</v>
      </c>
      <c r="AT151" s="143">
        <f t="shared" si="25"/>
        <v>1.9410539298670593E-2</v>
      </c>
      <c r="AU151" s="143">
        <f t="shared" si="26"/>
        <v>-3.3128300094496702E-2</v>
      </c>
      <c r="AV151" s="143">
        <f t="shared" si="35"/>
        <v>6.9725936011466871E-2</v>
      </c>
      <c r="AW151" s="143" t="str">
        <f t="shared" si="35"/>
        <v/>
      </c>
      <c r="AX151" s="143" t="str">
        <f t="shared" si="35"/>
        <v/>
      </c>
      <c r="AY151" s="143" t="str">
        <f t="shared" si="35"/>
        <v/>
      </c>
      <c r="AZ151" s="143" t="str">
        <f t="shared" si="35"/>
        <v/>
      </c>
      <c r="BA151" s="143" t="str">
        <f t="shared" si="35"/>
        <v/>
      </c>
      <c r="BB151" s="143" t="str">
        <f t="shared" si="35"/>
        <v/>
      </c>
      <c r="BC151" s="143" t="str">
        <f t="shared" si="35"/>
        <v/>
      </c>
      <c r="BD151" s="143" t="str">
        <f t="shared" si="35"/>
        <v/>
      </c>
      <c r="BF151" s="9">
        <f t="shared" si="31"/>
        <v>2.9275547647277543E-5</v>
      </c>
      <c r="BG151" s="9">
        <f t="shared" si="32"/>
        <v>0.97411388376515107</v>
      </c>
    </row>
    <row r="152" spans="2:59" x14ac:dyDescent="0.35">
      <c r="B152" s="3" t="s">
        <v>242</v>
      </c>
      <c r="D152" s="141">
        <v>16797</v>
      </c>
      <c r="E152" s="141">
        <v>17402</v>
      </c>
      <c r="F152" s="141">
        <v>34125</v>
      </c>
      <c r="G152" s="141">
        <v>7013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29"/>
        <v>75337</v>
      </c>
      <c r="R152" s="141">
        <v>1291</v>
      </c>
      <c r="S152" s="141">
        <v>1180</v>
      </c>
      <c r="T152" s="141">
        <v>3439</v>
      </c>
      <c r="U152" s="141">
        <v>445</v>
      </c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30"/>
        <v>6355</v>
      </c>
      <c r="AF152" s="2">
        <f t="shared" si="34"/>
        <v>7.685896291004346E-2</v>
      </c>
      <c r="AG152" s="2">
        <f t="shared" si="34"/>
        <v>6.7808297896793476E-2</v>
      </c>
      <c r="AH152" s="2">
        <f t="shared" si="34"/>
        <v>0.10077655677655678</v>
      </c>
      <c r="AI152" s="2">
        <f t="shared" si="34"/>
        <v>6.3453586197062595E-2</v>
      </c>
      <c r="AJ152" s="2" t="str">
        <f t="shared" si="34"/>
        <v/>
      </c>
      <c r="AK152" s="2" t="str">
        <f t="shared" si="34"/>
        <v/>
      </c>
      <c r="AL152" s="2" t="str">
        <f t="shared" si="34"/>
        <v/>
      </c>
      <c r="AM152" s="2" t="str">
        <f t="shared" si="33"/>
        <v/>
      </c>
      <c r="AN152" s="2" t="str">
        <f t="shared" si="33"/>
        <v/>
      </c>
      <c r="AO152" s="2" t="str">
        <f t="shared" si="33"/>
        <v/>
      </c>
      <c r="AP152" s="2" t="str">
        <f t="shared" si="33"/>
        <v/>
      </c>
      <c r="AQ152" s="2" t="str">
        <f t="shared" si="33"/>
        <v/>
      </c>
      <c r="AR152" s="2">
        <f t="shared" si="33"/>
        <v>8.4354301339315346E-2</v>
      </c>
      <c r="AT152" s="143">
        <f t="shared" si="25"/>
        <v>-9.0506650132499838E-3</v>
      </c>
      <c r="AU152" s="143">
        <f t="shared" si="26"/>
        <v>3.2968258879763304E-2</v>
      </c>
      <c r="AV152" s="143">
        <f t="shared" si="35"/>
        <v>-3.7322970579494186E-2</v>
      </c>
      <c r="AW152" s="143" t="str">
        <f t="shared" si="35"/>
        <v/>
      </c>
      <c r="AX152" s="143" t="str">
        <f t="shared" si="35"/>
        <v/>
      </c>
      <c r="AY152" s="143" t="str">
        <f t="shared" si="35"/>
        <v/>
      </c>
      <c r="AZ152" s="143" t="str">
        <f t="shared" si="35"/>
        <v/>
      </c>
      <c r="BA152" s="143" t="str">
        <f t="shared" si="35"/>
        <v/>
      </c>
      <c r="BB152" s="143" t="str">
        <f t="shared" si="35"/>
        <v/>
      </c>
      <c r="BC152" s="143" t="str">
        <f t="shared" si="35"/>
        <v/>
      </c>
      <c r="BD152" s="143" t="str">
        <f t="shared" si="35"/>
        <v/>
      </c>
      <c r="BF152" s="9">
        <f t="shared" si="31"/>
        <v>4.5682390929246378E-6</v>
      </c>
      <c r="BG152" s="9">
        <f t="shared" si="32"/>
        <v>0.97411845200424396</v>
      </c>
    </row>
    <row r="153" spans="2:59" x14ac:dyDescent="0.35">
      <c r="B153" s="3" t="s">
        <v>226</v>
      </c>
      <c r="D153" s="141">
        <v>97079</v>
      </c>
      <c r="E153" s="141">
        <v>144024</v>
      </c>
      <c r="F153" s="141">
        <v>199728</v>
      </c>
      <c r="G153" s="141">
        <v>25680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29"/>
        <v>466511</v>
      </c>
      <c r="R153" s="141">
        <v>9068</v>
      </c>
      <c r="S153" s="141">
        <v>13982</v>
      </c>
      <c r="T153" s="141">
        <v>13024</v>
      </c>
      <c r="U153" s="141">
        <v>1636</v>
      </c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30"/>
        <v>37710</v>
      </c>
      <c r="AF153" s="2">
        <f t="shared" si="34"/>
        <v>9.3408461150197256E-2</v>
      </c>
      <c r="AG153" s="2">
        <f t="shared" si="34"/>
        <v>9.7081042048547464E-2</v>
      </c>
      <c r="AH153" s="2">
        <f t="shared" si="34"/>
        <v>6.5208683809981571E-2</v>
      </c>
      <c r="AI153" s="2">
        <f t="shared" si="34"/>
        <v>6.3707165109034264E-2</v>
      </c>
      <c r="AJ153" s="2" t="str">
        <f t="shared" si="34"/>
        <v/>
      </c>
      <c r="AK153" s="2" t="str">
        <f t="shared" si="34"/>
        <v/>
      </c>
      <c r="AL153" s="2" t="str">
        <f t="shared" si="34"/>
        <v/>
      </c>
      <c r="AM153" s="2" t="str">
        <f t="shared" si="33"/>
        <v/>
      </c>
      <c r="AN153" s="2" t="str">
        <f t="shared" si="33"/>
        <v/>
      </c>
      <c r="AO153" s="2" t="str">
        <f t="shared" si="33"/>
        <v/>
      </c>
      <c r="AP153" s="2" t="str">
        <f t="shared" si="33"/>
        <v/>
      </c>
      <c r="AQ153" s="2" t="str">
        <f t="shared" si="33"/>
        <v/>
      </c>
      <c r="AR153" s="2">
        <f t="shared" si="33"/>
        <v>8.0834106805627304E-2</v>
      </c>
      <c r="AT153" s="143">
        <f t="shared" si="25"/>
        <v>3.6725808983502084E-3</v>
      </c>
      <c r="AU153" s="143">
        <f t="shared" si="26"/>
        <v>-3.1872358238565893E-2</v>
      </c>
      <c r="AV153" s="143">
        <f t="shared" si="35"/>
        <v>-1.5015187009473074E-3</v>
      </c>
      <c r="AW153" s="143" t="str">
        <f t="shared" si="35"/>
        <v/>
      </c>
      <c r="AX153" s="143" t="str">
        <f t="shared" si="35"/>
        <v/>
      </c>
      <c r="AY153" s="143" t="str">
        <f t="shared" si="35"/>
        <v/>
      </c>
      <c r="AZ153" s="143" t="str">
        <f t="shared" si="35"/>
        <v/>
      </c>
      <c r="BA153" s="143" t="str">
        <f t="shared" si="35"/>
        <v/>
      </c>
      <c r="BB153" s="143" t="str">
        <f t="shared" si="35"/>
        <v/>
      </c>
      <c r="BC153" s="143" t="str">
        <f t="shared" si="35"/>
        <v/>
      </c>
      <c r="BD153" s="143" t="str">
        <f t="shared" si="35"/>
        <v/>
      </c>
      <c r="BF153" s="9">
        <f t="shared" si="31"/>
        <v>2.7107521037637779E-5</v>
      </c>
      <c r="BG153" s="9">
        <f t="shared" si="32"/>
        <v>0.97414555952528159</v>
      </c>
    </row>
    <row r="154" spans="2:59" x14ac:dyDescent="0.35">
      <c r="B154" s="3" t="s">
        <v>247</v>
      </c>
      <c r="D154" s="141">
        <v>657159</v>
      </c>
      <c r="E154" s="141">
        <v>635487</v>
      </c>
      <c r="F154" s="141">
        <v>371653</v>
      </c>
      <c r="G154" s="141">
        <v>53631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29"/>
        <v>1717930</v>
      </c>
      <c r="R154" s="141">
        <v>206454</v>
      </c>
      <c r="S154" s="141">
        <v>97685</v>
      </c>
      <c r="T154" s="141">
        <v>77617</v>
      </c>
      <c r="U154" s="141">
        <v>4208</v>
      </c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30"/>
        <v>385964</v>
      </c>
      <c r="AF154" s="2">
        <f t="shared" si="34"/>
        <v>0.31416141299137651</v>
      </c>
      <c r="AG154" s="2">
        <f t="shared" si="34"/>
        <v>0.15371675581089778</v>
      </c>
      <c r="AH154" s="2">
        <f t="shared" si="34"/>
        <v>0.20884265699456214</v>
      </c>
      <c r="AI154" s="2">
        <f t="shared" si="34"/>
        <v>7.8462083496485244E-2</v>
      </c>
      <c r="AJ154" s="2" t="str">
        <f t="shared" si="34"/>
        <v/>
      </c>
      <c r="AK154" s="2" t="str">
        <f t="shared" si="34"/>
        <v/>
      </c>
      <c r="AL154" s="2" t="str">
        <f t="shared" si="34"/>
        <v/>
      </c>
      <c r="AM154" s="2" t="str">
        <f t="shared" si="33"/>
        <v/>
      </c>
      <c r="AN154" s="2" t="str">
        <f t="shared" si="33"/>
        <v/>
      </c>
      <c r="AO154" s="2" t="str">
        <f t="shared" si="33"/>
        <v/>
      </c>
      <c r="AP154" s="2" t="str">
        <f t="shared" si="33"/>
        <v/>
      </c>
      <c r="AQ154" s="2" t="str">
        <f t="shared" si="33"/>
        <v/>
      </c>
      <c r="AR154" s="2">
        <f t="shared" si="33"/>
        <v>0.2246680598161741</v>
      </c>
      <c r="AT154" s="143">
        <f t="shared" si="25"/>
        <v>-0.16044465718047873</v>
      </c>
      <c r="AU154" s="143">
        <f t="shared" si="26"/>
        <v>5.5125901183664366E-2</v>
      </c>
      <c r="AV154" s="143">
        <f t="shared" si="35"/>
        <v>-0.13038057349807691</v>
      </c>
      <c r="AW154" s="143" t="str">
        <f t="shared" si="35"/>
        <v/>
      </c>
      <c r="AX154" s="143" t="str">
        <f t="shared" si="35"/>
        <v/>
      </c>
      <c r="AY154" s="143" t="str">
        <f t="shared" si="35"/>
        <v/>
      </c>
      <c r="AZ154" s="143" t="str">
        <f t="shared" si="35"/>
        <v/>
      </c>
      <c r="BA154" s="143" t="str">
        <f t="shared" si="35"/>
        <v/>
      </c>
      <c r="BB154" s="143" t="str">
        <f t="shared" si="35"/>
        <v/>
      </c>
      <c r="BC154" s="143" t="str">
        <f t="shared" si="35"/>
        <v/>
      </c>
      <c r="BD154" s="143" t="str">
        <f t="shared" si="35"/>
        <v/>
      </c>
      <c r="BF154" s="9">
        <f t="shared" si="31"/>
        <v>2.7744702332990789E-4</v>
      </c>
      <c r="BG154" s="9">
        <f t="shared" si="32"/>
        <v>0.97442300654861147</v>
      </c>
    </row>
    <row r="155" spans="2:59" x14ac:dyDescent="0.35">
      <c r="B155" s="3" t="s">
        <v>244</v>
      </c>
      <c r="D155" s="141">
        <v>20237</v>
      </c>
      <c r="E155" s="141">
        <v>23023</v>
      </c>
      <c r="F155" s="141">
        <v>13734</v>
      </c>
      <c r="G155" s="141"/>
      <c r="H155" s="141"/>
      <c r="I155" s="141"/>
      <c r="J155" s="141"/>
      <c r="K155" s="141"/>
      <c r="L155" s="141"/>
      <c r="M155" s="141"/>
      <c r="N155" s="141"/>
      <c r="O155" s="141"/>
      <c r="P155" s="141">
        <f t="shared" si="29"/>
        <v>56994</v>
      </c>
      <c r="R155" s="141">
        <v>953</v>
      </c>
      <c r="S155" s="141">
        <v>673</v>
      </c>
      <c r="T155" s="141">
        <v>212</v>
      </c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30"/>
        <v>1838</v>
      </c>
      <c r="AF155" s="2">
        <f t="shared" si="34"/>
        <v>4.7091960270791128E-2</v>
      </c>
      <c r="AG155" s="2">
        <f t="shared" si="34"/>
        <v>2.92316379272901E-2</v>
      </c>
      <c r="AH155" s="2">
        <f t="shared" si="34"/>
        <v>1.5436143876510849E-2</v>
      </c>
      <c r="AI155" s="2" t="str">
        <f t="shared" si="34"/>
        <v/>
      </c>
      <c r="AJ155" s="2" t="str">
        <f t="shared" si="34"/>
        <v/>
      </c>
      <c r="AK155" s="2" t="str">
        <f t="shared" si="34"/>
        <v/>
      </c>
      <c r="AL155" s="2" t="str">
        <f t="shared" si="34"/>
        <v/>
      </c>
      <c r="AM155" s="2" t="str">
        <f t="shared" si="33"/>
        <v/>
      </c>
      <c r="AN155" s="2" t="str">
        <f t="shared" si="33"/>
        <v/>
      </c>
      <c r="AO155" s="2" t="str">
        <f t="shared" si="33"/>
        <v/>
      </c>
      <c r="AP155" s="2" t="str">
        <f t="shared" si="33"/>
        <v/>
      </c>
      <c r="AQ155" s="2" t="str">
        <f t="shared" si="33"/>
        <v/>
      </c>
      <c r="AR155" s="2">
        <f t="shared" si="33"/>
        <v>3.2249008667579043E-2</v>
      </c>
      <c r="AT155" s="143">
        <f t="shared" si="25"/>
        <v>-1.7860322343501028E-2</v>
      </c>
      <c r="AU155" s="143">
        <f t="shared" si="26"/>
        <v>-1.3795494050779251E-2</v>
      </c>
      <c r="AV155" s="143" t="str">
        <f t="shared" si="35"/>
        <v/>
      </c>
      <c r="AW155" s="143" t="str">
        <f t="shared" si="35"/>
        <v/>
      </c>
      <c r="AX155" s="143" t="str">
        <f t="shared" si="35"/>
        <v/>
      </c>
      <c r="AY155" s="143" t="str">
        <f t="shared" si="35"/>
        <v/>
      </c>
      <c r="AZ155" s="143" t="str">
        <f t="shared" si="35"/>
        <v/>
      </c>
      <c r="BA155" s="143" t="str">
        <f t="shared" si="35"/>
        <v/>
      </c>
      <c r="BB155" s="143" t="str">
        <f t="shared" si="35"/>
        <v/>
      </c>
      <c r="BC155" s="143" t="str">
        <f t="shared" si="35"/>
        <v/>
      </c>
      <c r="BD155" s="143" t="str">
        <f t="shared" si="35"/>
        <v/>
      </c>
      <c r="BF155" s="9">
        <f t="shared" si="31"/>
        <v>1.3212310704634907E-6</v>
      </c>
      <c r="BG155" s="9">
        <f t="shared" si="32"/>
        <v>0.97442432777968191</v>
      </c>
    </row>
    <row r="156" spans="2:59" x14ac:dyDescent="0.35">
      <c r="B156" s="3" t="s">
        <v>234</v>
      </c>
      <c r="D156" s="141">
        <v>88050</v>
      </c>
      <c r="E156" s="141">
        <v>51960</v>
      </c>
      <c r="F156" s="141">
        <v>40260</v>
      </c>
      <c r="G156" s="141">
        <v>6681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29"/>
        <v>186951</v>
      </c>
      <c r="R156" s="141">
        <v>7908</v>
      </c>
      <c r="S156" s="141">
        <v>4598</v>
      </c>
      <c r="T156" s="141">
        <v>3358</v>
      </c>
      <c r="U156" s="141">
        <v>1349</v>
      </c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30"/>
        <v>17213</v>
      </c>
      <c r="AF156" s="2">
        <f t="shared" si="34"/>
        <v>8.9812606473594542E-2</v>
      </c>
      <c r="AG156" s="2">
        <f t="shared" si="34"/>
        <v>8.8491147036181675E-2</v>
      </c>
      <c r="AH156" s="2">
        <f t="shared" si="34"/>
        <v>8.3407848981619473E-2</v>
      </c>
      <c r="AI156" s="2">
        <f t="shared" si="34"/>
        <v>0.20191588085615925</v>
      </c>
      <c r="AJ156" s="2" t="str">
        <f t="shared" si="34"/>
        <v/>
      </c>
      <c r="AK156" s="2" t="str">
        <f t="shared" si="34"/>
        <v/>
      </c>
      <c r="AL156" s="2" t="str">
        <f t="shared" si="34"/>
        <v/>
      </c>
      <c r="AM156" s="2" t="str">
        <f t="shared" si="33"/>
        <v/>
      </c>
      <c r="AN156" s="2" t="str">
        <f t="shared" si="33"/>
        <v/>
      </c>
      <c r="AO156" s="2" t="str">
        <f t="shared" si="33"/>
        <v/>
      </c>
      <c r="AP156" s="2" t="str">
        <f t="shared" si="33"/>
        <v/>
      </c>
      <c r="AQ156" s="2" t="str">
        <f t="shared" si="33"/>
        <v/>
      </c>
      <c r="AR156" s="2">
        <f t="shared" si="33"/>
        <v>9.2072254227043446E-2</v>
      </c>
      <c r="AT156" s="143">
        <f t="shared" si="25"/>
        <v>-1.3214594374128669E-3</v>
      </c>
      <c r="AU156" s="143">
        <f t="shared" si="26"/>
        <v>-5.083298054562202E-3</v>
      </c>
      <c r="AV156" s="143">
        <f t="shared" si="35"/>
        <v>0.11850803187453977</v>
      </c>
      <c r="AW156" s="143" t="str">
        <f t="shared" si="35"/>
        <v/>
      </c>
      <c r="AX156" s="143" t="str">
        <f t="shared" si="35"/>
        <v/>
      </c>
      <c r="AY156" s="143" t="str">
        <f t="shared" si="35"/>
        <v/>
      </c>
      <c r="AZ156" s="143" t="str">
        <f t="shared" si="35"/>
        <v/>
      </c>
      <c r="BA156" s="143" t="str">
        <f t="shared" si="35"/>
        <v/>
      </c>
      <c r="BB156" s="143" t="str">
        <f t="shared" si="35"/>
        <v/>
      </c>
      <c r="BC156" s="143" t="str">
        <f t="shared" si="35"/>
        <v/>
      </c>
      <c r="BD156" s="143" t="str">
        <f t="shared" si="35"/>
        <v/>
      </c>
      <c r="BF156" s="9">
        <f t="shared" si="31"/>
        <v>1.2373422424313421E-5</v>
      </c>
      <c r="BG156" s="9">
        <f t="shared" si="32"/>
        <v>0.97443670120210624</v>
      </c>
    </row>
    <row r="157" spans="2:59" x14ac:dyDescent="0.35">
      <c r="B157" s="3" t="s">
        <v>222</v>
      </c>
      <c r="D157" s="141">
        <v>27028</v>
      </c>
      <c r="E157" s="141">
        <v>21018</v>
      </c>
      <c r="F157" s="141">
        <v>36147</v>
      </c>
      <c r="G157" s="141">
        <v>7174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29"/>
        <v>91367</v>
      </c>
      <c r="R157" s="141">
        <v>1752</v>
      </c>
      <c r="S157" s="141">
        <v>3417</v>
      </c>
      <c r="T157" s="141">
        <v>4822</v>
      </c>
      <c r="U157" s="141">
        <v>449</v>
      </c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30"/>
        <v>10440</v>
      </c>
      <c r="AF157" s="2">
        <f t="shared" si="34"/>
        <v>6.4821666420008875E-2</v>
      </c>
      <c r="AG157" s="2">
        <f t="shared" si="34"/>
        <v>0.16257493576934057</v>
      </c>
      <c r="AH157" s="2">
        <f t="shared" si="34"/>
        <v>0.13339972888483137</v>
      </c>
      <c r="AI157" s="2">
        <f t="shared" si="34"/>
        <v>6.2587120156119322E-2</v>
      </c>
      <c r="AJ157" s="2" t="str">
        <f t="shared" si="34"/>
        <v/>
      </c>
      <c r="AK157" s="2" t="str">
        <f t="shared" si="34"/>
        <v/>
      </c>
      <c r="AL157" s="2" t="str">
        <f t="shared" si="34"/>
        <v/>
      </c>
      <c r="AM157" s="2" t="str">
        <f t="shared" si="33"/>
        <v/>
      </c>
      <c r="AN157" s="2" t="str">
        <f t="shared" si="33"/>
        <v/>
      </c>
      <c r="AO157" s="2" t="str">
        <f t="shared" si="33"/>
        <v/>
      </c>
      <c r="AP157" s="2" t="str">
        <f t="shared" si="33"/>
        <v/>
      </c>
      <c r="AQ157" s="2" t="str">
        <f t="shared" si="33"/>
        <v/>
      </c>
      <c r="AR157" s="2">
        <f t="shared" si="33"/>
        <v>0.11426444996552365</v>
      </c>
      <c r="AT157" s="143">
        <f t="shared" si="25"/>
        <v>9.7753269349331692E-2</v>
      </c>
      <c r="AU157" s="143">
        <f t="shared" si="26"/>
        <v>-2.9175206884509197E-2</v>
      </c>
      <c r="AV157" s="143">
        <f t="shared" si="35"/>
        <v>-7.0812608728712048E-2</v>
      </c>
      <c r="AW157" s="143" t="str">
        <f t="shared" si="35"/>
        <v/>
      </c>
      <c r="AX157" s="143" t="str">
        <f t="shared" si="35"/>
        <v/>
      </c>
      <c r="AY157" s="143" t="str">
        <f t="shared" si="35"/>
        <v/>
      </c>
      <c r="AZ157" s="143" t="str">
        <f t="shared" si="35"/>
        <v/>
      </c>
      <c r="BA157" s="143" t="str">
        <f t="shared" si="35"/>
        <v/>
      </c>
      <c r="BB157" s="143" t="str">
        <f t="shared" si="35"/>
        <v/>
      </c>
      <c r="BC157" s="143" t="str">
        <f t="shared" si="35"/>
        <v/>
      </c>
      <c r="BD157" s="143" t="str">
        <f t="shared" si="35"/>
        <v/>
      </c>
      <c r="BF157" s="9">
        <f t="shared" si="31"/>
        <v>7.504707494906879E-6</v>
      </c>
      <c r="BG157" s="9">
        <f t="shared" si="32"/>
        <v>0.97444420590960112</v>
      </c>
    </row>
    <row r="158" spans="2:59" x14ac:dyDescent="0.35">
      <c r="B158" s="3" t="s">
        <v>239</v>
      </c>
      <c r="D158" s="141">
        <v>279525</v>
      </c>
      <c r="E158" s="141">
        <v>275814</v>
      </c>
      <c r="F158" s="141">
        <v>166413</v>
      </c>
      <c r="G158" s="141">
        <v>4203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29"/>
        <v>725955</v>
      </c>
      <c r="R158" s="141">
        <v>21093</v>
      </c>
      <c r="S158" s="141">
        <v>32674</v>
      </c>
      <c r="T158" s="141">
        <v>14935</v>
      </c>
      <c r="U158" s="141">
        <v>750</v>
      </c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30"/>
        <v>69452</v>
      </c>
      <c r="AF158" s="2">
        <f t="shared" si="34"/>
        <v>7.5460155621143013E-2</v>
      </c>
      <c r="AG158" s="2">
        <f t="shared" si="34"/>
        <v>0.11846389233323906</v>
      </c>
      <c r="AH158" s="2">
        <f t="shared" si="34"/>
        <v>8.9746594316549785E-2</v>
      </c>
      <c r="AI158" s="2">
        <f t="shared" si="34"/>
        <v>0.17844396859386152</v>
      </c>
      <c r="AJ158" s="2" t="str">
        <f t="shared" si="34"/>
        <v/>
      </c>
      <c r="AK158" s="2" t="str">
        <f t="shared" si="34"/>
        <v/>
      </c>
      <c r="AL158" s="2" t="str">
        <f t="shared" si="34"/>
        <v/>
      </c>
      <c r="AM158" s="2" t="str">
        <f t="shared" si="33"/>
        <v/>
      </c>
      <c r="AN158" s="2" t="str">
        <f t="shared" si="33"/>
        <v/>
      </c>
      <c r="AO158" s="2" t="str">
        <f t="shared" si="33"/>
        <v/>
      </c>
      <c r="AP158" s="2" t="str">
        <f t="shared" si="33"/>
        <v/>
      </c>
      <c r="AQ158" s="2" t="str">
        <f t="shared" si="33"/>
        <v/>
      </c>
      <c r="AR158" s="2">
        <f t="shared" si="33"/>
        <v>9.5669841794601598E-2</v>
      </c>
      <c r="AT158" s="143">
        <f t="shared" si="25"/>
        <v>4.300373671209605E-2</v>
      </c>
      <c r="AU158" s="143">
        <f t="shared" si="26"/>
        <v>-2.8717298016689277E-2</v>
      </c>
      <c r="AV158" s="143">
        <f t="shared" si="35"/>
        <v>8.8697374277311739E-2</v>
      </c>
      <c r="AW158" s="143" t="str">
        <f t="shared" si="35"/>
        <v/>
      </c>
      <c r="AX158" s="143" t="str">
        <f t="shared" si="35"/>
        <v/>
      </c>
      <c r="AY158" s="143" t="str">
        <f t="shared" si="35"/>
        <v/>
      </c>
      <c r="AZ158" s="143" t="str">
        <f t="shared" si="35"/>
        <v/>
      </c>
      <c r="BA158" s="143" t="str">
        <f t="shared" si="35"/>
        <v/>
      </c>
      <c r="BB158" s="143" t="str">
        <f t="shared" si="35"/>
        <v/>
      </c>
      <c r="BC158" s="143" t="str">
        <f t="shared" si="35"/>
        <v/>
      </c>
      <c r="BD158" s="143" t="str">
        <f t="shared" si="35"/>
        <v/>
      </c>
      <c r="BF158" s="9">
        <f t="shared" si="31"/>
        <v>4.9924994725696607E-5</v>
      </c>
      <c r="BG158" s="9">
        <f t="shared" si="32"/>
        <v>0.97449413090432679</v>
      </c>
    </row>
    <row r="159" spans="2:59" x14ac:dyDescent="0.35">
      <c r="B159" s="3" t="s">
        <v>249</v>
      </c>
      <c r="D159" s="141">
        <v>1782</v>
      </c>
      <c r="E159" s="141">
        <v>1310</v>
      </c>
      <c r="F159" s="141">
        <v>286</v>
      </c>
      <c r="G159" s="141"/>
      <c r="H159" s="141"/>
      <c r="I159" s="141"/>
      <c r="J159" s="141"/>
      <c r="K159" s="141"/>
      <c r="L159" s="141"/>
      <c r="M159" s="141"/>
      <c r="N159" s="141"/>
      <c r="O159" s="141"/>
      <c r="P159" s="141">
        <f t="shared" si="29"/>
        <v>3378</v>
      </c>
      <c r="R159" s="141">
        <v>770</v>
      </c>
      <c r="S159" s="141">
        <v>117</v>
      </c>
      <c r="T159" s="141">
        <v>60</v>
      </c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30"/>
        <v>947</v>
      </c>
      <c r="AF159" s="2">
        <f t="shared" si="34"/>
        <v>0.43209876543209874</v>
      </c>
      <c r="AG159" s="2">
        <f t="shared" si="34"/>
        <v>8.9312977099236635E-2</v>
      </c>
      <c r="AH159" s="2">
        <f t="shared" si="34"/>
        <v>0.20979020979020979</v>
      </c>
      <c r="AI159" s="2" t="str">
        <f t="shared" si="34"/>
        <v/>
      </c>
      <c r="AJ159" s="2" t="str">
        <f t="shared" si="34"/>
        <v/>
      </c>
      <c r="AK159" s="2" t="str">
        <f t="shared" si="34"/>
        <v/>
      </c>
      <c r="AL159" s="2" t="str">
        <f t="shared" si="34"/>
        <v/>
      </c>
      <c r="AM159" s="2" t="str">
        <f t="shared" si="33"/>
        <v/>
      </c>
      <c r="AN159" s="2" t="str">
        <f t="shared" si="33"/>
        <v/>
      </c>
      <c r="AO159" s="2" t="str">
        <f t="shared" si="33"/>
        <v/>
      </c>
      <c r="AP159" s="2" t="str">
        <f t="shared" si="33"/>
        <v/>
      </c>
      <c r="AQ159" s="2" t="str">
        <f t="shared" si="33"/>
        <v/>
      </c>
      <c r="AR159" s="2">
        <f t="shared" si="33"/>
        <v>0.28034339846062761</v>
      </c>
      <c r="AT159" s="143">
        <f t="shared" si="25"/>
        <v>-0.34278578833286211</v>
      </c>
      <c r="AU159" s="143">
        <f t="shared" si="26"/>
        <v>0.12047723269097316</v>
      </c>
      <c r="AV159" s="143" t="str">
        <f t="shared" si="35"/>
        <v/>
      </c>
      <c r="AW159" s="143" t="str">
        <f t="shared" si="35"/>
        <v/>
      </c>
      <c r="AX159" s="143" t="str">
        <f t="shared" si="35"/>
        <v/>
      </c>
      <c r="AY159" s="143" t="str">
        <f t="shared" si="35"/>
        <v/>
      </c>
      <c r="AZ159" s="143" t="str">
        <f t="shared" si="35"/>
        <v/>
      </c>
      <c r="BA159" s="143" t="str">
        <f t="shared" si="35"/>
        <v/>
      </c>
      <c r="BB159" s="143" t="str">
        <f t="shared" si="35"/>
        <v/>
      </c>
      <c r="BC159" s="143" t="str">
        <f t="shared" si="35"/>
        <v/>
      </c>
      <c r="BD159" s="143" t="str">
        <f t="shared" si="35"/>
        <v/>
      </c>
      <c r="BF159" s="9">
        <f t="shared" si="31"/>
        <v>6.8074310322574855E-7</v>
      </c>
      <c r="BG159" s="9">
        <f t="shared" si="32"/>
        <v>0.97449481164743001</v>
      </c>
    </row>
    <row r="160" spans="2:59" x14ac:dyDescent="0.35">
      <c r="B160" s="3" t="s">
        <v>237</v>
      </c>
      <c r="D160" s="141">
        <v>1357358</v>
      </c>
      <c r="E160" s="141">
        <v>1356979</v>
      </c>
      <c r="F160" s="141">
        <v>1662280</v>
      </c>
      <c r="G160" s="141">
        <v>209454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29"/>
        <v>4586071</v>
      </c>
      <c r="R160" s="141">
        <v>88437</v>
      </c>
      <c r="S160" s="141">
        <v>75325</v>
      </c>
      <c r="T160" s="141">
        <v>98369</v>
      </c>
      <c r="U160" s="141">
        <v>8346</v>
      </c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30"/>
        <v>270477</v>
      </c>
      <c r="AF160" s="2">
        <f t="shared" si="34"/>
        <v>6.5153776674981845E-2</v>
      </c>
      <c r="AG160" s="2">
        <f t="shared" si="34"/>
        <v>5.5509333600593673E-2</v>
      </c>
      <c r="AH160" s="2">
        <f t="shared" si="34"/>
        <v>5.9177154270038744E-2</v>
      </c>
      <c r="AI160" s="2">
        <f t="shared" si="34"/>
        <v>3.9846457933484201E-2</v>
      </c>
      <c r="AJ160" s="2" t="str">
        <f t="shared" si="34"/>
        <v/>
      </c>
      <c r="AK160" s="2" t="str">
        <f t="shared" si="34"/>
        <v/>
      </c>
      <c r="AL160" s="2" t="str">
        <f t="shared" si="34"/>
        <v/>
      </c>
      <c r="AM160" s="2" t="str">
        <f t="shared" si="33"/>
        <v/>
      </c>
      <c r="AN160" s="2" t="str">
        <f t="shared" si="33"/>
        <v/>
      </c>
      <c r="AO160" s="2" t="str">
        <f t="shared" si="33"/>
        <v/>
      </c>
      <c r="AP160" s="2" t="str">
        <f t="shared" si="33"/>
        <v/>
      </c>
      <c r="AQ160" s="2" t="str">
        <f t="shared" si="33"/>
        <v/>
      </c>
      <c r="AR160" s="2">
        <f t="shared" si="33"/>
        <v>5.8977935579279085E-2</v>
      </c>
      <c r="AT160" s="143">
        <f t="shared" si="25"/>
        <v>-9.6444430743881718E-3</v>
      </c>
      <c r="AU160" s="143">
        <f t="shared" si="26"/>
        <v>3.667820669445071E-3</v>
      </c>
      <c r="AV160" s="143">
        <f t="shared" si="35"/>
        <v>-1.9330696336554543E-2</v>
      </c>
      <c r="AW160" s="143" t="str">
        <f t="shared" si="35"/>
        <v/>
      </c>
      <c r="AX160" s="143" t="str">
        <f t="shared" si="35"/>
        <v/>
      </c>
      <c r="AY160" s="143" t="str">
        <f t="shared" si="35"/>
        <v/>
      </c>
      <c r="AZ160" s="143" t="str">
        <f t="shared" si="35"/>
        <v/>
      </c>
      <c r="BA160" s="143" t="str">
        <f t="shared" si="35"/>
        <v/>
      </c>
      <c r="BB160" s="143" t="str">
        <f t="shared" si="35"/>
        <v/>
      </c>
      <c r="BC160" s="143" t="str">
        <f t="shared" si="35"/>
        <v/>
      </c>
      <c r="BD160" s="143" t="str">
        <f t="shared" si="35"/>
        <v/>
      </c>
      <c r="BF160" s="9">
        <f t="shared" si="31"/>
        <v>1.9443015029692795E-4</v>
      </c>
      <c r="BG160" s="9">
        <f t="shared" si="32"/>
        <v>0.97468924179772698</v>
      </c>
    </row>
    <row r="161" spans="2:59" x14ac:dyDescent="0.35">
      <c r="B161" s="3" t="s">
        <v>245</v>
      </c>
      <c r="D161" s="141">
        <v>14901</v>
      </c>
      <c r="E161" s="141">
        <v>13596</v>
      </c>
      <c r="F161" s="141">
        <v>7331</v>
      </c>
      <c r="G161" s="141"/>
      <c r="H161" s="141"/>
      <c r="I161" s="141"/>
      <c r="J161" s="141"/>
      <c r="K161" s="141"/>
      <c r="L161" s="141"/>
      <c r="M161" s="141"/>
      <c r="N161" s="141"/>
      <c r="O161" s="141"/>
      <c r="P161" s="141">
        <f t="shared" si="29"/>
        <v>35828</v>
      </c>
      <c r="R161" s="141">
        <v>1315</v>
      </c>
      <c r="S161" s="141">
        <v>1189</v>
      </c>
      <c r="T161" s="141">
        <v>2782</v>
      </c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30"/>
        <v>5286</v>
      </c>
      <c r="AF161" s="2">
        <f t="shared" si="34"/>
        <v>8.8249110797933031E-2</v>
      </c>
      <c r="AG161" s="2">
        <f t="shared" si="34"/>
        <v>8.7452191821123862E-2</v>
      </c>
      <c r="AH161" s="2">
        <f t="shared" si="34"/>
        <v>0.37948438139407992</v>
      </c>
      <c r="AI161" s="2" t="str">
        <f t="shared" si="34"/>
        <v/>
      </c>
      <c r="AJ161" s="2" t="str">
        <f t="shared" si="34"/>
        <v/>
      </c>
      <c r="AK161" s="2" t="str">
        <f t="shared" si="34"/>
        <v/>
      </c>
      <c r="AL161" s="2" t="str">
        <f t="shared" si="34"/>
        <v/>
      </c>
      <c r="AM161" s="2" t="str">
        <f t="shared" si="33"/>
        <v/>
      </c>
      <c r="AN161" s="2" t="str">
        <f t="shared" si="33"/>
        <v/>
      </c>
      <c r="AO161" s="2" t="str">
        <f t="shared" si="33"/>
        <v/>
      </c>
      <c r="AP161" s="2" t="str">
        <f t="shared" si="33"/>
        <v/>
      </c>
      <c r="AQ161" s="2" t="str">
        <f t="shared" si="33"/>
        <v/>
      </c>
      <c r="AR161" s="2">
        <f t="shared" si="33"/>
        <v>0.14753823824941387</v>
      </c>
      <c r="AT161" s="143">
        <f t="shared" si="25"/>
        <v>-7.969189768091689E-4</v>
      </c>
      <c r="AU161" s="143">
        <f t="shared" si="26"/>
        <v>0.29203218957295607</v>
      </c>
      <c r="AV161" s="143" t="str">
        <f t="shared" si="35"/>
        <v/>
      </c>
      <c r="AW161" s="143" t="str">
        <f t="shared" si="35"/>
        <v/>
      </c>
      <c r="AX161" s="143" t="str">
        <f t="shared" si="35"/>
        <v/>
      </c>
      <c r="AY161" s="143" t="str">
        <f t="shared" si="35"/>
        <v/>
      </c>
      <c r="AZ161" s="143" t="str">
        <f t="shared" si="35"/>
        <v/>
      </c>
      <c r="BA161" s="143" t="str">
        <f t="shared" si="35"/>
        <v/>
      </c>
      <c r="BB161" s="143" t="str">
        <f t="shared" si="35"/>
        <v/>
      </c>
      <c r="BC161" s="143" t="str">
        <f t="shared" si="35"/>
        <v/>
      </c>
      <c r="BD161" s="143" t="str">
        <f t="shared" si="35"/>
        <v/>
      </c>
      <c r="BF161" s="9">
        <f t="shared" si="31"/>
        <v>3.7997973005821611E-6</v>
      </c>
      <c r="BG161" s="9">
        <f t="shared" si="32"/>
        <v>0.97469304159502757</v>
      </c>
    </row>
    <row r="162" spans="2:59" x14ac:dyDescent="0.35">
      <c r="B162" s="3" t="s">
        <v>243</v>
      </c>
      <c r="D162" s="141"/>
      <c r="E162" s="141">
        <v>159095</v>
      </c>
      <c r="F162" s="141">
        <v>432079</v>
      </c>
      <c r="G162" s="141">
        <v>77647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29"/>
        <v>668821</v>
      </c>
      <c r="R162" s="141"/>
      <c r="S162" s="141">
        <v>10290</v>
      </c>
      <c r="T162" s="141">
        <v>33698</v>
      </c>
      <c r="U162" s="141">
        <v>6002</v>
      </c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30"/>
        <v>49990</v>
      </c>
      <c r="AF162" s="2" t="str">
        <f t="shared" si="34"/>
        <v/>
      </c>
      <c r="AG162" s="2">
        <f t="shared" si="34"/>
        <v>6.4678336842766901E-2</v>
      </c>
      <c r="AH162" s="2">
        <f t="shared" si="34"/>
        <v>7.7990367502239172E-2</v>
      </c>
      <c r="AI162" s="2">
        <f t="shared" si="34"/>
        <v>7.7298543407987433E-2</v>
      </c>
      <c r="AJ162" s="2" t="str">
        <f t="shared" si="34"/>
        <v/>
      </c>
      <c r="AK162" s="2" t="str">
        <f t="shared" si="34"/>
        <v/>
      </c>
      <c r="AL162" s="2" t="str">
        <f t="shared" si="34"/>
        <v/>
      </c>
      <c r="AM162" s="2" t="str">
        <f t="shared" si="33"/>
        <v/>
      </c>
      <c r="AN162" s="2" t="str">
        <f t="shared" si="33"/>
        <v/>
      </c>
      <c r="AO162" s="2" t="str">
        <f t="shared" si="33"/>
        <v/>
      </c>
      <c r="AP162" s="2" t="str">
        <f t="shared" si="33"/>
        <v/>
      </c>
      <c r="AQ162" s="2" t="str">
        <f t="shared" si="33"/>
        <v/>
      </c>
      <c r="AR162" s="2">
        <f t="shared" si="33"/>
        <v>7.4743466488043891E-2</v>
      </c>
      <c r="AT162" s="143" t="str">
        <f t="shared" si="25"/>
        <v/>
      </c>
      <c r="AU162" s="143">
        <f t="shared" si="26"/>
        <v>1.3312030659472271E-2</v>
      </c>
      <c r="AV162" s="143">
        <f t="shared" si="35"/>
        <v>-6.9182409425173896E-4</v>
      </c>
      <c r="AW162" s="143" t="str">
        <f t="shared" si="35"/>
        <v/>
      </c>
      <c r="AX162" s="143" t="str">
        <f t="shared" si="35"/>
        <v/>
      </c>
      <c r="AY162" s="143" t="str">
        <f t="shared" si="35"/>
        <v/>
      </c>
      <c r="AZ162" s="143" t="str">
        <f t="shared" si="35"/>
        <v/>
      </c>
      <c r="BA162" s="143" t="str">
        <f t="shared" si="35"/>
        <v/>
      </c>
      <c r="BB162" s="143" t="str">
        <f t="shared" si="35"/>
        <v/>
      </c>
      <c r="BC162" s="143" t="str">
        <f t="shared" si="35"/>
        <v/>
      </c>
      <c r="BD162" s="143" t="str">
        <f t="shared" si="35"/>
        <v/>
      </c>
      <c r="BF162" s="9">
        <f t="shared" si="31"/>
        <v>3.5934897286436292E-5</v>
      </c>
      <c r="BG162" s="9">
        <f t="shared" si="32"/>
        <v>0.97472897649231405</v>
      </c>
    </row>
    <row r="163" spans="2:59" x14ac:dyDescent="0.35">
      <c r="B163" s="3" t="s">
        <v>246</v>
      </c>
      <c r="D163" s="141">
        <v>70580</v>
      </c>
      <c r="E163" s="141">
        <v>57543</v>
      </c>
      <c r="F163" s="141">
        <v>26368</v>
      </c>
      <c r="G163" s="141">
        <v>4356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29"/>
        <v>158847</v>
      </c>
      <c r="R163" s="141">
        <v>4132</v>
      </c>
      <c r="S163" s="141">
        <v>4573</v>
      </c>
      <c r="T163" s="141">
        <v>2791</v>
      </c>
      <c r="U163" s="141">
        <v>373</v>
      </c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30"/>
        <v>11869</v>
      </c>
      <c r="AF163" s="2">
        <f t="shared" si="34"/>
        <v>5.8543496741286484E-2</v>
      </c>
      <c r="AG163" s="2">
        <f t="shared" si="34"/>
        <v>7.9471004292442179E-2</v>
      </c>
      <c r="AH163" s="2">
        <f t="shared" si="34"/>
        <v>0.10584799757281553</v>
      </c>
      <c r="AI163" s="2">
        <f t="shared" si="34"/>
        <v>8.5629017447199265E-2</v>
      </c>
      <c r="AJ163" s="2" t="str">
        <f t="shared" si="34"/>
        <v/>
      </c>
      <c r="AK163" s="2" t="str">
        <f t="shared" si="34"/>
        <v/>
      </c>
      <c r="AL163" s="2" t="str">
        <f t="shared" si="34"/>
        <v/>
      </c>
      <c r="AM163" s="2" t="str">
        <f t="shared" si="33"/>
        <v/>
      </c>
      <c r="AN163" s="2" t="str">
        <f t="shared" si="33"/>
        <v/>
      </c>
      <c r="AO163" s="2" t="str">
        <f t="shared" si="33"/>
        <v/>
      </c>
      <c r="AP163" s="2" t="str">
        <f t="shared" si="33"/>
        <v/>
      </c>
      <c r="AQ163" s="2" t="str">
        <f t="shared" si="33"/>
        <v/>
      </c>
      <c r="AR163" s="2">
        <f t="shared" si="33"/>
        <v>7.4719698829691469E-2</v>
      </c>
      <c r="AT163" s="143">
        <f t="shared" si="25"/>
        <v>2.0927507551155695E-2</v>
      </c>
      <c r="AU163" s="143">
        <f t="shared" si="26"/>
        <v>2.6376993280373351E-2</v>
      </c>
      <c r="AV163" s="143">
        <f t="shared" si="35"/>
        <v>-2.0218980125616265E-2</v>
      </c>
      <c r="AW163" s="143" t="str">
        <f t="shared" si="35"/>
        <v/>
      </c>
      <c r="AX163" s="143" t="str">
        <f t="shared" si="35"/>
        <v/>
      </c>
      <c r="AY163" s="143" t="str">
        <f t="shared" si="35"/>
        <v/>
      </c>
      <c r="AZ163" s="143" t="str">
        <f t="shared" si="35"/>
        <v/>
      </c>
      <c r="BA163" s="143" t="str">
        <f t="shared" si="35"/>
        <v/>
      </c>
      <c r="BB163" s="143" t="str">
        <f t="shared" si="35"/>
        <v/>
      </c>
      <c r="BC163" s="143" t="str">
        <f t="shared" si="35"/>
        <v/>
      </c>
      <c r="BD163" s="143" t="str">
        <f t="shared" si="35"/>
        <v/>
      </c>
      <c r="BF163" s="9">
        <f t="shared" si="31"/>
        <v>8.5319323043151105E-6</v>
      </c>
      <c r="BG163" s="9">
        <f t="shared" si="32"/>
        <v>0.97473750842461837</v>
      </c>
    </row>
    <row r="164" spans="2:59" x14ac:dyDescent="0.35">
      <c r="B164" s="3" t="s">
        <v>241</v>
      </c>
      <c r="D164" s="141">
        <v>10521</v>
      </c>
      <c r="E164" s="141">
        <v>22830</v>
      </c>
      <c r="F164" s="141">
        <v>15278</v>
      </c>
      <c r="G164" s="141">
        <v>1192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29"/>
        <v>49821</v>
      </c>
      <c r="R164" s="141">
        <v>846</v>
      </c>
      <c r="S164" s="141">
        <v>2820</v>
      </c>
      <c r="T164" s="141">
        <v>1554</v>
      </c>
      <c r="U164" s="141">
        <v>258</v>
      </c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30"/>
        <v>5478</v>
      </c>
      <c r="AF164" s="2">
        <f t="shared" si="34"/>
        <v>8.0410607356715139E-2</v>
      </c>
      <c r="AG164" s="2">
        <f t="shared" si="34"/>
        <v>0.12352168199737187</v>
      </c>
      <c r="AH164" s="2">
        <f t="shared" si="34"/>
        <v>0.10171488414713968</v>
      </c>
      <c r="AI164" s="2">
        <f t="shared" si="34"/>
        <v>0.21644295302013422</v>
      </c>
      <c r="AJ164" s="2" t="str">
        <f t="shared" si="34"/>
        <v/>
      </c>
      <c r="AK164" s="2" t="str">
        <f t="shared" si="34"/>
        <v/>
      </c>
      <c r="AL164" s="2" t="str">
        <f t="shared" si="34"/>
        <v/>
      </c>
      <c r="AM164" s="2" t="str">
        <f t="shared" si="33"/>
        <v/>
      </c>
      <c r="AN164" s="2" t="str">
        <f t="shared" si="33"/>
        <v/>
      </c>
      <c r="AO164" s="2" t="str">
        <f t="shared" si="33"/>
        <v/>
      </c>
      <c r="AP164" s="2" t="str">
        <f t="shared" si="33"/>
        <v/>
      </c>
      <c r="AQ164" s="2" t="str">
        <f t="shared" si="33"/>
        <v/>
      </c>
      <c r="AR164" s="2">
        <f t="shared" si="33"/>
        <v>0.10995363400975493</v>
      </c>
      <c r="AT164" s="143">
        <f t="shared" si="25"/>
        <v>4.3111074640656735E-2</v>
      </c>
      <c r="AU164" s="143">
        <f t="shared" si="26"/>
        <v>-2.1806797850232193E-2</v>
      </c>
      <c r="AV164" s="143">
        <f t="shared" si="35"/>
        <v>0.11472806887299454</v>
      </c>
      <c r="AW164" s="143" t="str">
        <f t="shared" si="35"/>
        <v/>
      </c>
      <c r="AX164" s="143" t="str">
        <f t="shared" si="35"/>
        <v/>
      </c>
      <c r="AY164" s="143" t="str">
        <f t="shared" si="35"/>
        <v/>
      </c>
      <c r="AZ164" s="143" t="str">
        <f t="shared" si="35"/>
        <v/>
      </c>
      <c r="BA164" s="143" t="str">
        <f t="shared" si="35"/>
        <v/>
      </c>
      <c r="BB164" s="143" t="str">
        <f t="shared" si="35"/>
        <v/>
      </c>
      <c r="BC164" s="143" t="str">
        <f t="shared" si="35"/>
        <v/>
      </c>
      <c r="BD164" s="143" t="str">
        <f t="shared" si="35"/>
        <v/>
      </c>
      <c r="BF164" s="9">
        <f t="shared" si="31"/>
        <v>3.9378149096838965E-6</v>
      </c>
      <c r="BG164" s="9">
        <f t="shared" si="32"/>
        <v>0.97474144623952808</v>
      </c>
    </row>
    <row r="165" spans="2:59" x14ac:dyDescent="0.35">
      <c r="B165" s="3" t="s">
        <v>236</v>
      </c>
      <c r="D165" s="141">
        <v>110875</v>
      </c>
      <c r="E165" s="141">
        <v>117610</v>
      </c>
      <c r="F165" s="141">
        <v>124105</v>
      </c>
      <c r="G165" s="141">
        <v>25323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29"/>
        <v>377913</v>
      </c>
      <c r="R165" s="141">
        <v>6446</v>
      </c>
      <c r="S165" s="141">
        <v>10216</v>
      </c>
      <c r="T165" s="141">
        <v>7765</v>
      </c>
      <c r="U165" s="141">
        <v>2040</v>
      </c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30"/>
        <v>26467</v>
      </c>
      <c r="AF165" s="2">
        <f t="shared" si="34"/>
        <v>5.8137542277339346E-2</v>
      </c>
      <c r="AG165" s="2">
        <f t="shared" si="34"/>
        <v>8.6863361959017088E-2</v>
      </c>
      <c r="AH165" s="2">
        <f t="shared" si="34"/>
        <v>6.2567986785383348E-2</v>
      </c>
      <c r="AI165" s="2">
        <f t="shared" si="34"/>
        <v>8.0559175453145365E-2</v>
      </c>
      <c r="AJ165" s="2" t="str">
        <f t="shared" si="34"/>
        <v/>
      </c>
      <c r="AK165" s="2" t="str">
        <f t="shared" si="34"/>
        <v/>
      </c>
      <c r="AL165" s="2" t="str">
        <f t="shared" si="34"/>
        <v/>
      </c>
      <c r="AM165" s="2" t="str">
        <f t="shared" si="33"/>
        <v/>
      </c>
      <c r="AN165" s="2" t="str">
        <f t="shared" si="33"/>
        <v/>
      </c>
      <c r="AO165" s="2" t="str">
        <f t="shared" si="33"/>
        <v/>
      </c>
      <c r="AP165" s="2" t="str">
        <f t="shared" si="33"/>
        <v/>
      </c>
      <c r="AQ165" s="2" t="str">
        <f t="shared" si="33"/>
        <v/>
      </c>
      <c r="AR165" s="2">
        <f t="shared" si="33"/>
        <v>7.003463760177607E-2</v>
      </c>
      <c r="AT165" s="143">
        <f t="shared" si="25"/>
        <v>2.8725819681677742E-2</v>
      </c>
      <c r="AU165" s="143">
        <f t="shared" si="26"/>
        <v>-2.429537517363374E-2</v>
      </c>
      <c r="AV165" s="143">
        <f t="shared" si="35"/>
        <v>1.7991188667762018E-2</v>
      </c>
      <c r="AW165" s="143" t="str">
        <f t="shared" si="35"/>
        <v/>
      </c>
      <c r="AX165" s="143" t="str">
        <f t="shared" si="35"/>
        <v/>
      </c>
      <c r="AY165" s="143" t="str">
        <f t="shared" si="35"/>
        <v/>
      </c>
      <c r="AZ165" s="143" t="str">
        <f t="shared" si="35"/>
        <v/>
      </c>
      <c r="BA165" s="143" t="str">
        <f t="shared" si="35"/>
        <v/>
      </c>
      <c r="BB165" s="143" t="str">
        <f t="shared" si="35"/>
        <v/>
      </c>
      <c r="BC165" s="143" t="str">
        <f t="shared" si="35"/>
        <v/>
      </c>
      <c r="BD165" s="143" t="str">
        <f t="shared" si="35"/>
        <v/>
      </c>
      <c r="BF165" s="9">
        <f t="shared" si="31"/>
        <v>1.9025583646331451E-5</v>
      </c>
      <c r="BG165" s="9">
        <f t="shared" si="32"/>
        <v>0.97476047182317438</v>
      </c>
    </row>
    <row r="166" spans="2:59" x14ac:dyDescent="0.35">
      <c r="B166" s="3" t="s">
        <v>259</v>
      </c>
      <c r="D166" s="141">
        <v>31437</v>
      </c>
      <c r="E166" s="141"/>
      <c r="F166" s="141">
        <v>874</v>
      </c>
      <c r="G166" s="141"/>
      <c r="H166" s="141"/>
      <c r="I166" s="141"/>
      <c r="J166" s="141"/>
      <c r="K166" s="141"/>
      <c r="L166" s="141"/>
      <c r="M166" s="141"/>
      <c r="N166" s="141"/>
      <c r="O166" s="141"/>
      <c r="P166" s="141">
        <f t="shared" si="29"/>
        <v>32311</v>
      </c>
      <c r="R166" s="141">
        <v>1472</v>
      </c>
      <c r="S166" s="141"/>
      <c r="T166" s="141">
        <v>200</v>
      </c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30"/>
        <v>1672</v>
      </c>
      <c r="AF166" s="2">
        <f t="shared" si="34"/>
        <v>4.6823806342844422E-2</v>
      </c>
      <c r="AG166" s="2" t="str">
        <f t="shared" si="34"/>
        <v/>
      </c>
      <c r="AH166" s="2">
        <f t="shared" si="34"/>
        <v>0.2288329519450801</v>
      </c>
      <c r="AI166" s="2" t="str">
        <f t="shared" si="34"/>
        <v/>
      </c>
      <c r="AJ166" s="2" t="str">
        <f t="shared" si="34"/>
        <v/>
      </c>
      <c r="AK166" s="2" t="str">
        <f t="shared" si="34"/>
        <v/>
      </c>
      <c r="AL166" s="2" t="str">
        <f t="shared" si="34"/>
        <v/>
      </c>
      <c r="AM166" s="2" t="str">
        <f t="shared" si="33"/>
        <v/>
      </c>
      <c r="AN166" s="2" t="str">
        <f t="shared" si="33"/>
        <v/>
      </c>
      <c r="AO166" s="2" t="str">
        <f t="shared" si="33"/>
        <v/>
      </c>
      <c r="AP166" s="2" t="str">
        <f t="shared" si="33"/>
        <v/>
      </c>
      <c r="AQ166" s="2" t="str">
        <f t="shared" si="33"/>
        <v/>
      </c>
      <c r="AR166" s="2">
        <f t="shared" si="33"/>
        <v>5.1747083036736717E-2</v>
      </c>
      <c r="AT166" s="143" t="str">
        <f t="shared" si="25"/>
        <v/>
      </c>
      <c r="AU166" s="143" t="str">
        <f t="shared" si="26"/>
        <v/>
      </c>
      <c r="AV166" s="143" t="str">
        <f t="shared" si="35"/>
        <v/>
      </c>
      <c r="AW166" s="143" t="str">
        <f t="shared" si="35"/>
        <v/>
      </c>
      <c r="AX166" s="143" t="str">
        <f t="shared" si="35"/>
        <v/>
      </c>
      <c r="AY166" s="143" t="str">
        <f t="shared" si="35"/>
        <v/>
      </c>
      <c r="AZ166" s="143" t="str">
        <f t="shared" si="35"/>
        <v/>
      </c>
      <c r="BA166" s="143" t="str">
        <f t="shared" si="35"/>
        <v/>
      </c>
      <c r="BB166" s="143" t="str">
        <f t="shared" si="35"/>
        <v/>
      </c>
      <c r="BC166" s="143" t="str">
        <f t="shared" si="35"/>
        <v/>
      </c>
      <c r="BD166" s="143" t="str">
        <f t="shared" si="35"/>
        <v/>
      </c>
      <c r="BF166" s="9">
        <f t="shared" si="31"/>
        <v>1.201903345927615E-6</v>
      </c>
      <c r="BG166" s="9">
        <f t="shared" si="32"/>
        <v>0.97476167372652034</v>
      </c>
    </row>
    <row r="167" spans="2:59" x14ac:dyDescent="0.35">
      <c r="B167" s="3" t="s">
        <v>254</v>
      </c>
      <c r="D167" s="141">
        <v>869</v>
      </c>
      <c r="E167" s="141">
        <v>1</v>
      </c>
      <c r="F167" s="141">
        <v>8149</v>
      </c>
      <c r="G167" s="141"/>
      <c r="H167" s="141"/>
      <c r="I167" s="141"/>
      <c r="J167" s="141"/>
      <c r="K167" s="141"/>
      <c r="L167" s="141"/>
      <c r="M167" s="141"/>
      <c r="N167" s="141"/>
      <c r="O167" s="141"/>
      <c r="P167" s="141">
        <f t="shared" si="29"/>
        <v>9019</v>
      </c>
      <c r="R167" s="141">
        <v>174</v>
      </c>
      <c r="S167" s="141">
        <v>1</v>
      </c>
      <c r="T167" s="141">
        <v>2134</v>
      </c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30"/>
        <v>2309</v>
      </c>
      <c r="AF167" s="2">
        <f t="shared" si="34"/>
        <v>0.2002301495972382</v>
      </c>
      <c r="AG167" s="2">
        <f t="shared" si="34"/>
        <v>1</v>
      </c>
      <c r="AH167" s="2">
        <f t="shared" si="34"/>
        <v>0.26187262240765741</v>
      </c>
      <c r="AI167" s="2" t="str">
        <f t="shared" si="34"/>
        <v/>
      </c>
      <c r="AJ167" s="2" t="str">
        <f t="shared" si="34"/>
        <v/>
      </c>
      <c r="AK167" s="2" t="str">
        <f t="shared" si="34"/>
        <v/>
      </c>
      <c r="AL167" s="2" t="str">
        <f t="shared" si="34"/>
        <v/>
      </c>
      <c r="AM167" s="2" t="str">
        <f t="shared" si="33"/>
        <v/>
      </c>
      <c r="AN167" s="2" t="str">
        <f t="shared" si="33"/>
        <v/>
      </c>
      <c r="AO167" s="2" t="str">
        <f t="shared" si="33"/>
        <v/>
      </c>
      <c r="AP167" s="2" t="str">
        <f t="shared" si="33"/>
        <v/>
      </c>
      <c r="AQ167" s="2" t="str">
        <f t="shared" si="33"/>
        <v/>
      </c>
      <c r="AR167" s="2">
        <f t="shared" si="33"/>
        <v>0.25601507927708173</v>
      </c>
      <c r="AT167" s="143">
        <f t="shared" si="25"/>
        <v>0.79976985040276183</v>
      </c>
      <c r="AU167" s="143">
        <f t="shared" si="26"/>
        <v>-0.73812737759234259</v>
      </c>
      <c r="AV167" s="143" t="str">
        <f t="shared" si="35"/>
        <v/>
      </c>
      <c r="AW167" s="143" t="str">
        <f t="shared" si="35"/>
        <v/>
      </c>
      <c r="AX167" s="143" t="str">
        <f t="shared" si="35"/>
        <v/>
      </c>
      <c r="AY167" s="143" t="str">
        <f t="shared" si="35"/>
        <v/>
      </c>
      <c r="AZ167" s="143" t="str">
        <f t="shared" si="35"/>
        <v/>
      </c>
      <c r="BA167" s="143" t="str">
        <f t="shared" si="35"/>
        <v/>
      </c>
      <c r="BB167" s="143" t="str">
        <f t="shared" si="35"/>
        <v/>
      </c>
      <c r="BC167" s="143" t="str">
        <f t="shared" si="35"/>
        <v/>
      </c>
      <c r="BD167" s="143" t="str">
        <f t="shared" si="35"/>
        <v/>
      </c>
      <c r="BF167" s="9">
        <f t="shared" si="31"/>
        <v>1.6598055177911861E-6</v>
      </c>
      <c r="BG167" s="9">
        <f t="shared" si="32"/>
        <v>0.97476333353203815</v>
      </c>
    </row>
    <row r="168" spans="2:59" x14ac:dyDescent="0.35">
      <c r="B168" s="3" t="s">
        <v>255</v>
      </c>
      <c r="D168" s="141">
        <v>9505</v>
      </c>
      <c r="E168" s="141">
        <v>28028</v>
      </c>
      <c r="F168" s="141">
        <v>44575</v>
      </c>
      <c r="G168" s="141">
        <v>3725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29"/>
        <v>85833</v>
      </c>
      <c r="R168" s="141">
        <v>1925</v>
      </c>
      <c r="S168" s="141">
        <v>1880</v>
      </c>
      <c r="T168" s="141">
        <v>4005</v>
      </c>
      <c r="U168" s="141">
        <v>111</v>
      </c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30"/>
        <v>7921</v>
      </c>
      <c r="AF168" s="2">
        <f t="shared" si="34"/>
        <v>0.20252498684902684</v>
      </c>
      <c r="AG168" s="2">
        <f t="shared" si="34"/>
        <v>6.7075781361495654E-2</v>
      </c>
      <c r="AH168" s="2">
        <f t="shared" si="34"/>
        <v>8.9848569826135732E-2</v>
      </c>
      <c r="AI168" s="2">
        <f t="shared" si="34"/>
        <v>2.9798657718120805E-2</v>
      </c>
      <c r="AJ168" s="2" t="str">
        <f t="shared" si="34"/>
        <v/>
      </c>
      <c r="AK168" s="2" t="str">
        <f t="shared" si="34"/>
        <v/>
      </c>
      <c r="AL168" s="2" t="str">
        <f t="shared" si="34"/>
        <v/>
      </c>
      <c r="AM168" s="2" t="str">
        <f t="shared" si="33"/>
        <v/>
      </c>
      <c r="AN168" s="2" t="str">
        <f t="shared" si="33"/>
        <v/>
      </c>
      <c r="AO168" s="2" t="str">
        <f t="shared" si="33"/>
        <v/>
      </c>
      <c r="AP168" s="2" t="str">
        <f t="shared" si="33"/>
        <v/>
      </c>
      <c r="AQ168" s="2" t="str">
        <f t="shared" si="33"/>
        <v/>
      </c>
      <c r="AR168" s="2">
        <f t="shared" si="33"/>
        <v>9.2283853529528267E-2</v>
      </c>
      <c r="AT168" s="143">
        <f t="shared" si="25"/>
        <v>-0.1354492054875312</v>
      </c>
      <c r="AU168" s="143">
        <f t="shared" si="26"/>
        <v>2.2772788464640079E-2</v>
      </c>
      <c r="AV168" s="143">
        <f t="shared" si="35"/>
        <v>-6.0049912108014927E-2</v>
      </c>
      <c r="AW168" s="143" t="str">
        <f t="shared" si="35"/>
        <v/>
      </c>
      <c r="AX168" s="143" t="str">
        <f t="shared" si="35"/>
        <v/>
      </c>
      <c r="AY168" s="143" t="str">
        <f t="shared" si="35"/>
        <v/>
      </c>
      <c r="AZ168" s="143" t="str">
        <f t="shared" si="35"/>
        <v/>
      </c>
      <c r="BA168" s="143" t="str">
        <f t="shared" si="35"/>
        <v/>
      </c>
      <c r="BB168" s="143" t="str">
        <f t="shared" si="35"/>
        <v/>
      </c>
      <c r="BC168" s="143" t="str">
        <f t="shared" si="35"/>
        <v/>
      </c>
      <c r="BD168" s="143" t="str">
        <f t="shared" si="35"/>
        <v/>
      </c>
      <c r="BF168" s="9">
        <f t="shared" si="31"/>
        <v>5.6939452171606693E-6</v>
      </c>
      <c r="BG168" s="9">
        <f t="shared" si="32"/>
        <v>0.97476902747725536</v>
      </c>
    </row>
    <row r="169" spans="2:59" x14ac:dyDescent="0.35">
      <c r="B169" s="3" t="s">
        <v>252</v>
      </c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>
        <f t="shared" si="29"/>
        <v>0</v>
      </c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30"/>
        <v>0</v>
      </c>
      <c r="AF169" s="2" t="str">
        <f t="shared" si="34"/>
        <v/>
      </c>
      <c r="AG169" s="2" t="str">
        <f t="shared" si="34"/>
        <v/>
      </c>
      <c r="AH169" s="2" t="str">
        <f t="shared" si="34"/>
        <v/>
      </c>
      <c r="AI169" s="2" t="str">
        <f t="shared" si="34"/>
        <v/>
      </c>
      <c r="AJ169" s="2" t="str">
        <f t="shared" si="34"/>
        <v/>
      </c>
      <c r="AK169" s="2" t="str">
        <f t="shared" si="34"/>
        <v/>
      </c>
      <c r="AL169" s="2" t="str">
        <f t="shared" si="34"/>
        <v/>
      </c>
      <c r="AM169" s="2" t="str">
        <f t="shared" si="33"/>
        <v/>
      </c>
      <c r="AN169" s="2" t="str">
        <f t="shared" si="33"/>
        <v/>
      </c>
      <c r="AO169" s="2" t="str">
        <f t="shared" si="33"/>
        <v/>
      </c>
      <c r="AP169" s="2" t="str">
        <f t="shared" si="33"/>
        <v/>
      </c>
      <c r="AQ169" s="2" t="str">
        <f t="shared" si="33"/>
        <v/>
      </c>
      <c r="AR169" s="2" t="str">
        <f t="shared" si="33"/>
        <v/>
      </c>
      <c r="AT169" s="143" t="str">
        <f t="shared" si="25"/>
        <v/>
      </c>
      <c r="AU169" s="143" t="str">
        <f t="shared" si="26"/>
        <v/>
      </c>
      <c r="AV169" s="143" t="str">
        <f t="shared" si="35"/>
        <v/>
      </c>
      <c r="AW169" s="143" t="str">
        <f t="shared" si="35"/>
        <v/>
      </c>
      <c r="AX169" s="143" t="str">
        <f t="shared" si="35"/>
        <v/>
      </c>
      <c r="AY169" s="143" t="str">
        <f t="shared" si="35"/>
        <v/>
      </c>
      <c r="AZ169" s="143" t="str">
        <f t="shared" si="35"/>
        <v/>
      </c>
      <c r="BA169" s="143" t="str">
        <f t="shared" si="35"/>
        <v/>
      </c>
      <c r="BB169" s="143" t="str">
        <f t="shared" si="35"/>
        <v/>
      </c>
      <c r="BC169" s="143" t="str">
        <f t="shared" si="35"/>
        <v/>
      </c>
      <c r="BD169" s="143" t="str">
        <f t="shared" si="35"/>
        <v/>
      </c>
      <c r="BF169" s="9">
        <f t="shared" si="31"/>
        <v>0</v>
      </c>
      <c r="BG169" s="9">
        <f t="shared" si="32"/>
        <v>0.97476902747725536</v>
      </c>
    </row>
    <row r="170" spans="2:59" x14ac:dyDescent="0.35">
      <c r="B170" s="3" t="s">
        <v>263</v>
      </c>
      <c r="D170" s="141">
        <v>4624</v>
      </c>
      <c r="E170" s="141">
        <v>1929</v>
      </c>
      <c r="F170" s="141">
        <v>9629</v>
      </c>
      <c r="G170" s="141"/>
      <c r="H170" s="141"/>
      <c r="I170" s="141"/>
      <c r="J170" s="141"/>
      <c r="K170" s="141"/>
      <c r="L170" s="141"/>
      <c r="M170" s="141"/>
      <c r="N170" s="141"/>
      <c r="O170" s="141"/>
      <c r="P170" s="141">
        <f t="shared" si="29"/>
        <v>16182</v>
      </c>
      <c r="R170" s="141">
        <v>749</v>
      </c>
      <c r="S170" s="141">
        <v>272</v>
      </c>
      <c r="T170" s="141">
        <v>1859</v>
      </c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30"/>
        <v>2880</v>
      </c>
      <c r="AF170" s="2">
        <f t="shared" si="34"/>
        <v>0.16198096885813149</v>
      </c>
      <c r="AG170" s="2">
        <f t="shared" si="34"/>
        <v>0.1410057024364956</v>
      </c>
      <c r="AH170" s="2">
        <f t="shared" si="34"/>
        <v>0.19306262332537127</v>
      </c>
      <c r="AI170" s="2" t="str">
        <f t="shared" si="34"/>
        <v/>
      </c>
      <c r="AJ170" s="2" t="str">
        <f t="shared" si="34"/>
        <v/>
      </c>
      <c r="AK170" s="2" t="str">
        <f t="shared" si="34"/>
        <v/>
      </c>
      <c r="AL170" s="2" t="str">
        <f t="shared" si="34"/>
        <v/>
      </c>
      <c r="AM170" s="2" t="str">
        <f t="shared" si="33"/>
        <v/>
      </c>
      <c r="AN170" s="2" t="str">
        <f t="shared" si="33"/>
        <v/>
      </c>
      <c r="AO170" s="2" t="str">
        <f t="shared" si="33"/>
        <v/>
      </c>
      <c r="AP170" s="2" t="str">
        <f t="shared" si="33"/>
        <v/>
      </c>
      <c r="AQ170" s="2" t="str">
        <f t="shared" si="33"/>
        <v/>
      </c>
      <c r="AR170" s="2">
        <f t="shared" si="33"/>
        <v>0.17797552836484984</v>
      </c>
      <c r="AT170" s="143">
        <f t="shared" si="25"/>
        <v>-2.0975266421635885E-2</v>
      </c>
      <c r="AU170" s="143">
        <f t="shared" si="26"/>
        <v>5.2056920888875674E-2</v>
      </c>
      <c r="AV170" s="143" t="str">
        <f t="shared" si="35"/>
        <v/>
      </c>
      <c r="AW170" s="143" t="str">
        <f t="shared" si="35"/>
        <v/>
      </c>
      <c r="AX170" s="143" t="str">
        <f t="shared" si="35"/>
        <v/>
      </c>
      <c r="AY170" s="143" t="str">
        <f t="shared" si="35"/>
        <v/>
      </c>
      <c r="AZ170" s="143" t="str">
        <f t="shared" si="35"/>
        <v/>
      </c>
      <c r="BA170" s="143" t="str">
        <f t="shared" si="35"/>
        <v/>
      </c>
      <c r="BB170" s="143" t="str">
        <f t="shared" si="35"/>
        <v/>
      </c>
      <c r="BC170" s="143" t="str">
        <f t="shared" si="35"/>
        <v/>
      </c>
      <c r="BD170" s="143" t="str">
        <f t="shared" si="35"/>
        <v/>
      </c>
      <c r="BF170" s="9">
        <f t="shared" si="31"/>
        <v>2.0702641365260357E-6</v>
      </c>
      <c r="BG170" s="9">
        <f t="shared" si="32"/>
        <v>0.97477109774139192</v>
      </c>
    </row>
    <row r="171" spans="2:59" x14ac:dyDescent="0.35">
      <c r="B171" s="3" t="s">
        <v>238</v>
      </c>
      <c r="D171" s="141">
        <v>2133672</v>
      </c>
      <c r="E171" s="141">
        <v>2071100</v>
      </c>
      <c r="F171" s="141">
        <v>2363761</v>
      </c>
      <c r="G171" s="141">
        <v>189594</v>
      </c>
      <c r="H171" s="141"/>
      <c r="I171" s="141"/>
      <c r="J171" s="141"/>
      <c r="K171" s="141"/>
      <c r="L171" s="141"/>
      <c r="M171" s="141"/>
      <c r="N171" s="141"/>
      <c r="O171" s="141"/>
      <c r="P171" s="141">
        <f t="shared" si="29"/>
        <v>6758127</v>
      </c>
      <c r="R171" s="141">
        <v>213490</v>
      </c>
      <c r="S171" s="141">
        <v>181939</v>
      </c>
      <c r="T171" s="141">
        <v>231919</v>
      </c>
      <c r="U171" s="141">
        <v>14134</v>
      </c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30"/>
        <v>641482</v>
      </c>
      <c r="AF171" s="2">
        <f t="shared" si="34"/>
        <v>0.10005755336340356</v>
      </c>
      <c r="AG171" s="2">
        <f t="shared" si="34"/>
        <v>8.7846554970788471E-2</v>
      </c>
      <c r="AH171" s="2">
        <f t="shared" si="34"/>
        <v>9.811440327511961E-2</v>
      </c>
      <c r="AI171" s="2">
        <f t="shared" si="34"/>
        <v>7.4548772640484401E-2</v>
      </c>
      <c r="AJ171" s="2" t="str">
        <f t="shared" si="34"/>
        <v/>
      </c>
      <c r="AK171" s="2" t="str">
        <f t="shared" si="34"/>
        <v/>
      </c>
      <c r="AL171" s="2" t="str">
        <f t="shared" si="34"/>
        <v/>
      </c>
      <c r="AM171" s="2" t="str">
        <f t="shared" si="34"/>
        <v/>
      </c>
      <c r="AN171" s="2" t="str">
        <f t="shared" si="34"/>
        <v/>
      </c>
      <c r="AO171" s="2" t="str">
        <f t="shared" si="34"/>
        <v/>
      </c>
      <c r="AP171" s="2" t="str">
        <f t="shared" si="34"/>
        <v/>
      </c>
      <c r="AQ171" s="2" t="str">
        <f t="shared" si="34"/>
        <v/>
      </c>
      <c r="AR171" s="2">
        <f t="shared" si="34"/>
        <v>9.4920086586120681E-2</v>
      </c>
      <c r="AT171" s="143">
        <f t="shared" si="25"/>
        <v>-1.2210998392615094E-2</v>
      </c>
      <c r="AU171" s="143">
        <f t="shared" si="26"/>
        <v>1.026784830433114E-2</v>
      </c>
      <c r="AV171" s="143">
        <f t="shared" si="35"/>
        <v>-2.356563063463521E-2</v>
      </c>
      <c r="AW171" s="143" t="str">
        <f t="shared" si="35"/>
        <v/>
      </c>
      <c r="AX171" s="143" t="str">
        <f t="shared" si="35"/>
        <v/>
      </c>
      <c r="AY171" s="143" t="str">
        <f t="shared" si="35"/>
        <v/>
      </c>
      <c r="AZ171" s="143" t="str">
        <f t="shared" si="35"/>
        <v/>
      </c>
      <c r="BA171" s="143" t="str">
        <f t="shared" si="35"/>
        <v/>
      </c>
      <c r="BB171" s="143" t="str">
        <f t="shared" si="35"/>
        <v/>
      </c>
      <c r="BC171" s="143" t="str">
        <f t="shared" si="35"/>
        <v/>
      </c>
      <c r="BD171" s="143" t="str">
        <f t="shared" si="35"/>
        <v/>
      </c>
      <c r="BF171" s="9">
        <f t="shared" si="31"/>
        <v>4.611240204260397E-4</v>
      </c>
      <c r="BG171" s="9">
        <f t="shared" si="32"/>
        <v>0.97523222176181801</v>
      </c>
    </row>
    <row r="172" spans="2:59" x14ac:dyDescent="0.35">
      <c r="B172" s="3" t="s">
        <v>261</v>
      </c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>
        <f t="shared" si="29"/>
        <v>0</v>
      </c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30"/>
        <v>0</v>
      </c>
      <c r="AF172" s="2" t="str">
        <f t="shared" ref="AF172:AR191" si="36">+IFERROR(R172/D172,"")</f>
        <v/>
      </c>
      <c r="AG172" s="2" t="str">
        <f t="shared" si="36"/>
        <v/>
      </c>
      <c r="AH172" s="2" t="str">
        <f t="shared" si="36"/>
        <v/>
      </c>
      <c r="AI172" s="2" t="str">
        <f t="shared" si="36"/>
        <v/>
      </c>
      <c r="AJ172" s="2" t="str">
        <f t="shared" si="36"/>
        <v/>
      </c>
      <c r="AK172" s="2" t="str">
        <f t="shared" si="36"/>
        <v/>
      </c>
      <c r="AL172" s="2" t="str">
        <f t="shared" si="36"/>
        <v/>
      </c>
      <c r="AM172" s="2" t="str">
        <f t="shared" si="36"/>
        <v/>
      </c>
      <c r="AN172" s="2" t="str">
        <f t="shared" si="36"/>
        <v/>
      </c>
      <c r="AO172" s="2" t="str">
        <f t="shared" si="36"/>
        <v/>
      </c>
      <c r="AP172" s="2" t="str">
        <f t="shared" si="36"/>
        <v/>
      </c>
      <c r="AQ172" s="2" t="str">
        <f t="shared" si="36"/>
        <v/>
      </c>
      <c r="AR172" s="2" t="str">
        <f t="shared" si="36"/>
        <v/>
      </c>
      <c r="AT172" s="143" t="str">
        <f t="shared" si="25"/>
        <v/>
      </c>
      <c r="AU172" s="143" t="str">
        <f t="shared" si="26"/>
        <v/>
      </c>
      <c r="AV172" s="143" t="str">
        <f t="shared" si="35"/>
        <v/>
      </c>
      <c r="AW172" s="143" t="str">
        <f t="shared" si="35"/>
        <v/>
      </c>
      <c r="AX172" s="143" t="str">
        <f t="shared" si="35"/>
        <v/>
      </c>
      <c r="AY172" s="143" t="str">
        <f t="shared" si="35"/>
        <v/>
      </c>
      <c r="AZ172" s="143" t="str">
        <f t="shared" si="35"/>
        <v/>
      </c>
      <c r="BA172" s="143" t="str">
        <f t="shared" si="35"/>
        <v/>
      </c>
      <c r="BB172" s="143" t="str">
        <f t="shared" si="35"/>
        <v/>
      </c>
      <c r="BC172" s="143" t="str">
        <f t="shared" si="35"/>
        <v/>
      </c>
      <c r="BD172" s="143" t="str">
        <f t="shared" si="35"/>
        <v/>
      </c>
      <c r="BF172" s="9">
        <f t="shared" si="31"/>
        <v>0</v>
      </c>
      <c r="BG172" s="9">
        <f t="shared" si="32"/>
        <v>0.97523222176181801</v>
      </c>
    </row>
    <row r="173" spans="2:59" x14ac:dyDescent="0.35">
      <c r="B173" s="3" t="s">
        <v>260</v>
      </c>
      <c r="D173" s="141">
        <v>17309</v>
      </c>
      <c r="E173" s="141">
        <v>8178</v>
      </c>
      <c r="F173" s="141">
        <v>27805</v>
      </c>
      <c r="G173" s="141">
        <v>2550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29"/>
        <v>55842</v>
      </c>
      <c r="R173" s="141">
        <v>1305</v>
      </c>
      <c r="S173" s="141">
        <v>540</v>
      </c>
      <c r="T173" s="141">
        <v>1125</v>
      </c>
      <c r="U173" s="141">
        <v>105</v>
      </c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30"/>
        <v>3075</v>
      </c>
      <c r="AF173" s="2">
        <f t="shared" si="36"/>
        <v>7.5394303541510194E-2</v>
      </c>
      <c r="AG173" s="2">
        <f t="shared" si="36"/>
        <v>6.6030814380044017E-2</v>
      </c>
      <c r="AH173" s="2">
        <f t="shared" si="36"/>
        <v>4.0460348858119041E-2</v>
      </c>
      <c r="AI173" s="2">
        <f t="shared" si="36"/>
        <v>4.1176470588235294E-2</v>
      </c>
      <c r="AJ173" s="2" t="str">
        <f t="shared" si="36"/>
        <v/>
      </c>
      <c r="AK173" s="2" t="str">
        <f t="shared" si="36"/>
        <v/>
      </c>
      <c r="AL173" s="2" t="str">
        <f t="shared" si="36"/>
        <v/>
      </c>
      <c r="AM173" s="2" t="str">
        <f t="shared" si="36"/>
        <v/>
      </c>
      <c r="AN173" s="2" t="str">
        <f t="shared" si="36"/>
        <v/>
      </c>
      <c r="AO173" s="2" t="str">
        <f t="shared" si="36"/>
        <v/>
      </c>
      <c r="AP173" s="2" t="str">
        <f t="shared" si="36"/>
        <v/>
      </c>
      <c r="AQ173" s="2" t="str">
        <f t="shared" si="36"/>
        <v/>
      </c>
      <c r="AR173" s="2">
        <f t="shared" si="36"/>
        <v>5.5066079295154183E-2</v>
      </c>
      <c r="AT173" s="143">
        <f t="shared" ref="AT173:AT236" si="37">+IFERROR(AG173-AF173,"")</f>
        <v>-9.3634891614661764E-3</v>
      </c>
      <c r="AU173" s="143">
        <f t="shared" ref="AU173:AV236" si="38">+IFERROR(AH173-AG173,"")</f>
        <v>-2.5570465521924976E-2</v>
      </c>
      <c r="AV173" s="143">
        <f t="shared" si="35"/>
        <v>7.161217301162523E-4</v>
      </c>
      <c r="AW173" s="143" t="str">
        <f t="shared" si="35"/>
        <v/>
      </c>
      <c r="AX173" s="143" t="str">
        <f t="shared" si="35"/>
        <v/>
      </c>
      <c r="AY173" s="143" t="str">
        <f t="shared" si="35"/>
        <v/>
      </c>
      <c r="AZ173" s="143" t="str">
        <f t="shared" si="35"/>
        <v/>
      </c>
      <c r="BA173" s="143" t="str">
        <f t="shared" si="35"/>
        <v/>
      </c>
      <c r="BB173" s="143" t="str">
        <f t="shared" si="35"/>
        <v/>
      </c>
      <c r="BC173" s="143" t="str">
        <f t="shared" si="35"/>
        <v/>
      </c>
      <c r="BD173" s="143" t="str">
        <f t="shared" si="35"/>
        <v/>
      </c>
      <c r="BF173" s="9">
        <f t="shared" si="31"/>
        <v>2.2104382707699857E-6</v>
      </c>
      <c r="BG173" s="9">
        <f t="shared" si="32"/>
        <v>0.97523443220008876</v>
      </c>
    </row>
    <row r="174" spans="2:59" x14ac:dyDescent="0.35">
      <c r="B174" s="3" t="s">
        <v>253</v>
      </c>
      <c r="D174" s="141">
        <v>2424</v>
      </c>
      <c r="E174" s="141">
        <v>3969</v>
      </c>
      <c r="F174" s="141">
        <v>5182</v>
      </c>
      <c r="G174" s="141">
        <v>727</v>
      </c>
      <c r="H174" s="141"/>
      <c r="I174" s="141"/>
      <c r="J174" s="141"/>
      <c r="K174" s="141"/>
      <c r="L174" s="141"/>
      <c r="M174" s="141"/>
      <c r="N174" s="141"/>
      <c r="O174" s="141"/>
      <c r="P174" s="141">
        <f t="shared" si="29"/>
        <v>12302</v>
      </c>
      <c r="R174" s="141">
        <v>221</v>
      </c>
      <c r="S174" s="141">
        <v>989</v>
      </c>
      <c r="T174" s="141">
        <v>1893</v>
      </c>
      <c r="U174" s="141">
        <v>76</v>
      </c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30"/>
        <v>3179</v>
      </c>
      <c r="AF174" s="2">
        <f t="shared" si="36"/>
        <v>9.1171617161716165E-2</v>
      </c>
      <c r="AG174" s="2">
        <f t="shared" si="36"/>
        <v>0.2491811539430587</v>
      </c>
      <c r="AH174" s="2">
        <f t="shared" si="36"/>
        <v>0.36530297182554999</v>
      </c>
      <c r="AI174" s="2">
        <f t="shared" si="36"/>
        <v>0.10453920220082531</v>
      </c>
      <c r="AJ174" s="2" t="str">
        <f t="shared" si="36"/>
        <v/>
      </c>
      <c r="AK174" s="2" t="str">
        <f t="shared" si="36"/>
        <v/>
      </c>
      <c r="AL174" s="2" t="str">
        <f t="shared" si="36"/>
        <v/>
      </c>
      <c r="AM174" s="2" t="str">
        <f t="shared" si="36"/>
        <v/>
      </c>
      <c r="AN174" s="2" t="str">
        <f t="shared" si="36"/>
        <v/>
      </c>
      <c r="AO174" s="2" t="str">
        <f t="shared" si="36"/>
        <v/>
      </c>
      <c r="AP174" s="2" t="str">
        <f t="shared" si="36"/>
        <v/>
      </c>
      <c r="AQ174" s="2" t="str">
        <f t="shared" si="36"/>
        <v/>
      </c>
      <c r="AR174" s="2">
        <f t="shared" si="36"/>
        <v>0.25841326613558768</v>
      </c>
      <c r="AT174" s="143">
        <f t="shared" si="37"/>
        <v>0.15800953678134255</v>
      </c>
      <c r="AU174" s="143">
        <f t="shared" si="38"/>
        <v>0.11612181788249129</v>
      </c>
      <c r="AV174" s="143">
        <f t="shared" si="35"/>
        <v>-0.2607637696247247</v>
      </c>
      <c r="AW174" s="143" t="str">
        <f t="shared" si="35"/>
        <v/>
      </c>
      <c r="AX174" s="143" t="str">
        <f t="shared" si="35"/>
        <v/>
      </c>
      <c r="AY174" s="143" t="str">
        <f t="shared" si="35"/>
        <v/>
      </c>
      <c r="AZ174" s="143" t="str">
        <f t="shared" si="35"/>
        <v/>
      </c>
      <c r="BA174" s="143" t="str">
        <f t="shared" si="35"/>
        <v/>
      </c>
      <c r="BB174" s="143" t="str">
        <f t="shared" si="35"/>
        <v/>
      </c>
      <c r="BC174" s="143" t="str">
        <f t="shared" si="35"/>
        <v/>
      </c>
      <c r="BD174" s="143" t="str">
        <f t="shared" si="35"/>
        <v/>
      </c>
      <c r="BF174" s="9">
        <f t="shared" si="31"/>
        <v>2.2851978090334262E-6</v>
      </c>
      <c r="BG174" s="9">
        <f t="shared" si="32"/>
        <v>0.97523671739789775</v>
      </c>
    </row>
    <row r="175" spans="2:59" x14ac:dyDescent="0.35">
      <c r="B175" s="3" t="s">
        <v>268</v>
      </c>
      <c r="D175" s="141">
        <v>24513</v>
      </c>
      <c r="E175" s="141">
        <v>7910</v>
      </c>
      <c r="F175" s="141">
        <v>2311</v>
      </c>
      <c r="G175" s="141"/>
      <c r="H175" s="141"/>
      <c r="I175" s="141"/>
      <c r="J175" s="141"/>
      <c r="K175" s="141"/>
      <c r="L175" s="141"/>
      <c r="M175" s="141"/>
      <c r="N175" s="141"/>
      <c r="O175" s="141"/>
      <c r="P175" s="141">
        <f t="shared" si="29"/>
        <v>34734</v>
      </c>
      <c r="R175" s="141">
        <v>491</v>
      </c>
      <c r="S175" s="141">
        <v>383</v>
      </c>
      <c r="T175" s="141">
        <v>291</v>
      </c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30"/>
        <v>1165</v>
      </c>
      <c r="AF175" s="2">
        <f t="shared" si="36"/>
        <v>2.0030188063476524E-2</v>
      </c>
      <c r="AG175" s="2">
        <f t="shared" si="36"/>
        <v>4.8419721871049308E-2</v>
      </c>
      <c r="AH175" s="2">
        <f t="shared" si="36"/>
        <v>0.12591951536131546</v>
      </c>
      <c r="AI175" s="2" t="str">
        <f t="shared" si="36"/>
        <v/>
      </c>
      <c r="AJ175" s="2" t="str">
        <f t="shared" si="36"/>
        <v/>
      </c>
      <c r="AK175" s="2" t="str">
        <f t="shared" si="36"/>
        <v/>
      </c>
      <c r="AL175" s="2" t="str">
        <f t="shared" si="36"/>
        <v/>
      </c>
      <c r="AM175" s="2" t="str">
        <f t="shared" si="36"/>
        <v/>
      </c>
      <c r="AN175" s="2" t="str">
        <f t="shared" si="36"/>
        <v/>
      </c>
      <c r="AO175" s="2" t="str">
        <f t="shared" si="36"/>
        <v/>
      </c>
      <c r="AP175" s="2" t="str">
        <f t="shared" si="36"/>
        <v/>
      </c>
      <c r="AQ175" s="2" t="str">
        <f t="shared" si="36"/>
        <v/>
      </c>
      <c r="AR175" s="2">
        <f t="shared" si="36"/>
        <v>3.3540623020671387E-2</v>
      </c>
      <c r="AT175" s="143">
        <f t="shared" si="37"/>
        <v>2.8389533807572784E-2</v>
      </c>
      <c r="AU175" s="143">
        <f t="shared" si="38"/>
        <v>7.7499793490266145E-2</v>
      </c>
      <c r="AV175" s="143" t="str">
        <f t="shared" si="35"/>
        <v/>
      </c>
      <c r="AW175" s="143" t="str">
        <f t="shared" si="35"/>
        <v/>
      </c>
      <c r="AX175" s="143" t="str">
        <f t="shared" si="35"/>
        <v/>
      </c>
      <c r="AY175" s="143" t="str">
        <f t="shared" si="35"/>
        <v/>
      </c>
      <c r="AZ175" s="143" t="str">
        <f t="shared" si="35"/>
        <v/>
      </c>
      <c r="BA175" s="143" t="str">
        <f t="shared" si="35"/>
        <v/>
      </c>
      <c r="BB175" s="143" t="str">
        <f t="shared" si="35"/>
        <v/>
      </c>
      <c r="BC175" s="143" t="str">
        <f t="shared" si="35"/>
        <v/>
      </c>
      <c r="BD175" s="143" t="str">
        <f t="shared" si="35"/>
        <v/>
      </c>
      <c r="BF175" s="9">
        <f t="shared" si="31"/>
        <v>8.3745059689334422E-7</v>
      </c>
      <c r="BG175" s="9">
        <f t="shared" si="32"/>
        <v>0.97523755484849461</v>
      </c>
    </row>
    <row r="176" spans="2:59" x14ac:dyDescent="0.35">
      <c r="B176" s="3" t="s">
        <v>264</v>
      </c>
      <c r="D176" s="141">
        <v>67315</v>
      </c>
      <c r="E176" s="141">
        <v>63351</v>
      </c>
      <c r="F176" s="141">
        <v>44369</v>
      </c>
      <c r="G176" s="141">
        <v>11556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29"/>
        <v>186591</v>
      </c>
      <c r="R176" s="141">
        <v>8325</v>
      </c>
      <c r="S176" s="141">
        <v>9033</v>
      </c>
      <c r="T176" s="141">
        <v>5785</v>
      </c>
      <c r="U176" s="141">
        <v>1498</v>
      </c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30"/>
        <v>24641</v>
      </c>
      <c r="AF176" s="2">
        <f t="shared" si="36"/>
        <v>0.12367228700883905</v>
      </c>
      <c r="AG176" s="2">
        <f t="shared" si="36"/>
        <v>0.14258654164890847</v>
      </c>
      <c r="AH176" s="2">
        <f t="shared" si="36"/>
        <v>0.13038382654556108</v>
      </c>
      <c r="AI176" s="2">
        <f t="shared" si="36"/>
        <v>0.12962962962962962</v>
      </c>
      <c r="AJ176" s="2" t="str">
        <f t="shared" si="36"/>
        <v/>
      </c>
      <c r="AK176" s="2" t="str">
        <f t="shared" si="36"/>
        <v/>
      </c>
      <c r="AL176" s="2" t="str">
        <f t="shared" si="36"/>
        <v/>
      </c>
      <c r="AM176" s="2" t="str">
        <f t="shared" si="36"/>
        <v/>
      </c>
      <c r="AN176" s="2" t="str">
        <f t="shared" si="36"/>
        <v/>
      </c>
      <c r="AO176" s="2" t="str">
        <f t="shared" si="36"/>
        <v/>
      </c>
      <c r="AP176" s="2" t="str">
        <f t="shared" si="36"/>
        <v/>
      </c>
      <c r="AQ176" s="2" t="str">
        <f t="shared" si="36"/>
        <v/>
      </c>
      <c r="AR176" s="2">
        <f t="shared" si="36"/>
        <v>0.13205888815644914</v>
      </c>
      <c r="AT176" s="143">
        <f t="shared" si="37"/>
        <v>1.8914254640069419E-2</v>
      </c>
      <c r="AU176" s="143">
        <f t="shared" si="38"/>
        <v>-1.2202715103347389E-2</v>
      </c>
      <c r="AV176" s="143">
        <f t="shared" si="35"/>
        <v>-7.5419691593145433E-4</v>
      </c>
      <c r="AW176" s="143" t="str">
        <f t="shared" si="35"/>
        <v/>
      </c>
      <c r="AX176" s="143" t="str">
        <f t="shared" si="35"/>
        <v/>
      </c>
      <c r="AY176" s="143" t="str">
        <f t="shared" si="35"/>
        <v/>
      </c>
      <c r="AZ176" s="143" t="str">
        <f t="shared" si="35"/>
        <v/>
      </c>
      <c r="BA176" s="143" t="str">
        <f t="shared" si="35"/>
        <v/>
      </c>
      <c r="BB176" s="143" t="str">
        <f t="shared" si="35"/>
        <v/>
      </c>
      <c r="BC176" s="143" t="str">
        <f t="shared" si="35"/>
        <v/>
      </c>
      <c r="BD176" s="143" t="str">
        <f t="shared" si="35"/>
        <v/>
      </c>
      <c r="BF176" s="9">
        <f t="shared" si="31"/>
        <v>1.771297867643682E-5</v>
      </c>
      <c r="BG176" s="9">
        <f t="shared" si="32"/>
        <v>0.97525526782717109</v>
      </c>
    </row>
    <row r="177" spans="2:59" x14ac:dyDescent="0.35">
      <c r="B177" s="3" t="s">
        <v>250</v>
      </c>
      <c r="D177" s="141">
        <v>88510</v>
      </c>
      <c r="E177" s="141">
        <v>134490</v>
      </c>
      <c r="F177" s="141">
        <v>70691</v>
      </c>
      <c r="G177" s="141">
        <v>8793</v>
      </c>
      <c r="H177" s="141"/>
      <c r="I177" s="141"/>
      <c r="J177" s="141"/>
      <c r="K177" s="141"/>
      <c r="L177" s="141"/>
      <c r="M177" s="141"/>
      <c r="N177" s="141"/>
      <c r="O177" s="141"/>
      <c r="P177" s="141">
        <f t="shared" si="29"/>
        <v>302484</v>
      </c>
      <c r="R177" s="141">
        <v>4407</v>
      </c>
      <c r="S177" s="141">
        <v>8304</v>
      </c>
      <c r="T177" s="141">
        <v>3432</v>
      </c>
      <c r="U177" s="141">
        <v>470</v>
      </c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30"/>
        <v>16613</v>
      </c>
      <c r="AF177" s="2">
        <f t="shared" si="36"/>
        <v>4.9790984069596658E-2</v>
      </c>
      <c r="AG177" s="2">
        <f t="shared" si="36"/>
        <v>6.1744367610974793E-2</v>
      </c>
      <c r="AH177" s="2">
        <f t="shared" si="36"/>
        <v>4.8549320281223919E-2</v>
      </c>
      <c r="AI177" s="2">
        <f t="shared" si="36"/>
        <v>5.3451609234618447E-2</v>
      </c>
      <c r="AJ177" s="2" t="str">
        <f t="shared" si="36"/>
        <v/>
      </c>
      <c r="AK177" s="2" t="str">
        <f t="shared" si="36"/>
        <v/>
      </c>
      <c r="AL177" s="2" t="str">
        <f t="shared" si="36"/>
        <v/>
      </c>
      <c r="AM177" s="2" t="str">
        <f t="shared" si="36"/>
        <v/>
      </c>
      <c r="AN177" s="2" t="str">
        <f t="shared" si="36"/>
        <v/>
      </c>
      <c r="AO177" s="2" t="str">
        <f t="shared" si="36"/>
        <v/>
      </c>
      <c r="AP177" s="2" t="str">
        <f t="shared" si="36"/>
        <v/>
      </c>
      <c r="AQ177" s="2" t="str">
        <f t="shared" si="36"/>
        <v/>
      </c>
      <c r="AR177" s="2">
        <f t="shared" si="36"/>
        <v>5.4921913225162322E-2</v>
      </c>
      <c r="AT177" s="143">
        <f t="shared" si="37"/>
        <v>1.1953383541378135E-2</v>
      </c>
      <c r="AU177" s="143">
        <f t="shared" si="38"/>
        <v>-1.3195047329750874E-2</v>
      </c>
      <c r="AV177" s="143">
        <f t="shared" si="35"/>
        <v>4.9022889533945277E-3</v>
      </c>
      <c r="AW177" s="143" t="str">
        <f t="shared" si="35"/>
        <v/>
      </c>
      <c r="AX177" s="143" t="str">
        <f t="shared" si="35"/>
        <v/>
      </c>
      <c r="AY177" s="143" t="str">
        <f t="shared" ref="AY177:BD203" si="39">+IFERROR(AL177-AK177,"")</f>
        <v/>
      </c>
      <c r="AZ177" s="143" t="str">
        <f t="shared" si="39"/>
        <v/>
      </c>
      <c r="BA177" s="143" t="str">
        <f t="shared" si="39"/>
        <v/>
      </c>
      <c r="BB177" s="143" t="str">
        <f t="shared" si="39"/>
        <v/>
      </c>
      <c r="BC177" s="143" t="str">
        <f t="shared" si="39"/>
        <v/>
      </c>
      <c r="BD177" s="143" t="str">
        <f t="shared" si="39"/>
        <v/>
      </c>
      <c r="BF177" s="9">
        <f t="shared" si="31"/>
        <v>1.1942117395870496E-5</v>
      </c>
      <c r="BG177" s="9">
        <f t="shared" si="32"/>
        <v>0.97526720994456695</v>
      </c>
    </row>
    <row r="178" spans="2:59" x14ac:dyDescent="0.35">
      <c r="B178" s="3" t="s">
        <v>256</v>
      </c>
      <c r="D178" s="141"/>
      <c r="E178" s="141"/>
      <c r="F178" s="141">
        <v>8031</v>
      </c>
      <c r="G178" s="141">
        <v>10406</v>
      </c>
      <c r="H178" s="141"/>
      <c r="I178" s="141"/>
      <c r="J178" s="141"/>
      <c r="K178" s="141"/>
      <c r="L178" s="141"/>
      <c r="M178" s="141"/>
      <c r="N178" s="141"/>
      <c r="O178" s="141"/>
      <c r="P178" s="141">
        <f t="shared" si="29"/>
        <v>18437</v>
      </c>
      <c r="R178" s="141"/>
      <c r="S178" s="141"/>
      <c r="T178" s="141">
        <v>710</v>
      </c>
      <c r="U178" s="141">
        <v>1380</v>
      </c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30"/>
        <v>2090</v>
      </c>
      <c r="AF178" s="2" t="str">
        <f t="shared" si="36"/>
        <v/>
      </c>
      <c r="AG178" s="2" t="str">
        <f t="shared" si="36"/>
        <v/>
      </c>
      <c r="AH178" s="2">
        <f t="shared" si="36"/>
        <v>8.8407421242684595E-2</v>
      </c>
      <c r="AI178" s="2">
        <f t="shared" si="36"/>
        <v>0.13261579857774361</v>
      </c>
      <c r="AJ178" s="2" t="str">
        <f t="shared" si="36"/>
        <v/>
      </c>
      <c r="AK178" s="2" t="str">
        <f t="shared" si="36"/>
        <v/>
      </c>
      <c r="AL178" s="2" t="str">
        <f t="shared" si="36"/>
        <v/>
      </c>
      <c r="AM178" s="2" t="str">
        <f t="shared" si="36"/>
        <v/>
      </c>
      <c r="AN178" s="2" t="str">
        <f t="shared" si="36"/>
        <v/>
      </c>
      <c r="AO178" s="2" t="str">
        <f t="shared" si="36"/>
        <v/>
      </c>
      <c r="AP178" s="2" t="str">
        <f t="shared" si="36"/>
        <v/>
      </c>
      <c r="AQ178" s="2" t="str">
        <f t="shared" si="36"/>
        <v/>
      </c>
      <c r="AR178" s="2">
        <f t="shared" si="36"/>
        <v>0.11335900634593481</v>
      </c>
      <c r="AT178" s="143" t="str">
        <f t="shared" si="37"/>
        <v/>
      </c>
      <c r="AU178" s="143" t="str">
        <f t="shared" si="38"/>
        <v/>
      </c>
      <c r="AV178" s="143">
        <f t="shared" ref="AV178:AX203" si="40">+IFERROR(AI178-AH178,"")</f>
        <v>4.4208377335059015E-2</v>
      </c>
      <c r="AW178" s="143" t="str">
        <f t="shared" si="40"/>
        <v/>
      </c>
      <c r="AX178" s="143" t="str">
        <f t="shared" si="40"/>
        <v/>
      </c>
      <c r="AY178" s="143" t="str">
        <f t="shared" si="39"/>
        <v/>
      </c>
      <c r="AZ178" s="143" t="str">
        <f t="shared" si="39"/>
        <v/>
      </c>
      <c r="BA178" s="143" t="str">
        <f t="shared" si="39"/>
        <v/>
      </c>
      <c r="BB178" s="143" t="str">
        <f t="shared" si="39"/>
        <v/>
      </c>
      <c r="BC178" s="143" t="str">
        <f t="shared" si="39"/>
        <v/>
      </c>
      <c r="BD178" s="143" t="str">
        <f t="shared" si="39"/>
        <v/>
      </c>
      <c r="BF178" s="9">
        <f t="shared" si="31"/>
        <v>1.5023791824095189E-6</v>
      </c>
      <c r="BG178" s="9">
        <f t="shared" si="32"/>
        <v>0.97526871232374934</v>
      </c>
    </row>
    <row r="179" spans="2:59" x14ac:dyDescent="0.35">
      <c r="B179" s="3" t="s">
        <v>273</v>
      </c>
      <c r="D179" s="141">
        <v>12529</v>
      </c>
      <c r="E179" s="141"/>
      <c r="F179" s="141">
        <v>28400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29"/>
        <v>40929</v>
      </c>
      <c r="R179" s="141">
        <v>1345</v>
      </c>
      <c r="S179" s="141"/>
      <c r="T179" s="141">
        <v>14700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30"/>
        <v>16045</v>
      </c>
      <c r="AF179" s="2">
        <f t="shared" si="36"/>
        <v>0.10735094580573071</v>
      </c>
      <c r="AG179" s="2" t="str">
        <f t="shared" si="36"/>
        <v/>
      </c>
      <c r="AH179" s="2">
        <f t="shared" si="36"/>
        <v>0.51760563380281688</v>
      </c>
      <c r="AI179" s="2" t="str">
        <f t="shared" si="36"/>
        <v/>
      </c>
      <c r="AJ179" s="2" t="str">
        <f t="shared" si="36"/>
        <v/>
      </c>
      <c r="AK179" s="2" t="str">
        <f t="shared" si="36"/>
        <v/>
      </c>
      <c r="AL179" s="2" t="str">
        <f t="shared" si="36"/>
        <v/>
      </c>
      <c r="AM179" s="2" t="str">
        <f t="shared" si="36"/>
        <v/>
      </c>
      <c r="AN179" s="2" t="str">
        <f t="shared" si="36"/>
        <v/>
      </c>
      <c r="AO179" s="2" t="str">
        <f t="shared" si="36"/>
        <v/>
      </c>
      <c r="AP179" s="2" t="str">
        <f t="shared" si="36"/>
        <v/>
      </c>
      <c r="AQ179" s="2" t="str">
        <f t="shared" si="36"/>
        <v/>
      </c>
      <c r="AR179" s="2">
        <f t="shared" si="36"/>
        <v>0.39202032788487379</v>
      </c>
      <c r="AT179" s="143" t="str">
        <f t="shared" si="37"/>
        <v/>
      </c>
      <c r="AU179" s="143" t="str">
        <f t="shared" si="38"/>
        <v/>
      </c>
      <c r="AV179" s="143" t="str">
        <f t="shared" si="40"/>
        <v/>
      </c>
      <c r="AW179" s="143" t="str">
        <f t="shared" si="40"/>
        <v/>
      </c>
      <c r="AX179" s="143" t="str">
        <f t="shared" si="40"/>
        <v/>
      </c>
      <c r="AY179" s="143" t="str">
        <f t="shared" si="39"/>
        <v/>
      </c>
      <c r="AZ179" s="143" t="str">
        <f t="shared" si="39"/>
        <v/>
      </c>
      <c r="BA179" s="143" t="str">
        <f t="shared" si="39"/>
        <v/>
      </c>
      <c r="BB179" s="143" t="str">
        <f t="shared" si="39"/>
        <v/>
      </c>
      <c r="BC179" s="143" t="str">
        <f t="shared" si="39"/>
        <v/>
      </c>
      <c r="BD179" s="143" t="str">
        <f t="shared" si="39"/>
        <v/>
      </c>
      <c r="BF179" s="9">
        <f t="shared" si="31"/>
        <v>1.1533815302277862E-5</v>
      </c>
      <c r="BG179" s="9">
        <f t="shared" si="32"/>
        <v>0.97528024613905162</v>
      </c>
    </row>
    <row r="180" spans="2:59" x14ac:dyDescent="0.35">
      <c r="B180" s="3" t="s">
        <v>276</v>
      </c>
      <c r="D180" s="141">
        <v>521809</v>
      </c>
      <c r="E180" s="141">
        <v>474618</v>
      </c>
      <c r="F180" s="141">
        <v>504698</v>
      </c>
      <c r="G180" s="141">
        <v>74789</v>
      </c>
      <c r="H180" s="141"/>
      <c r="I180" s="141"/>
      <c r="J180" s="141"/>
      <c r="K180" s="141"/>
      <c r="L180" s="141"/>
      <c r="M180" s="141"/>
      <c r="N180" s="141"/>
      <c r="O180" s="141"/>
      <c r="P180" s="141">
        <f t="shared" si="29"/>
        <v>1575914</v>
      </c>
      <c r="R180" s="141">
        <v>41021</v>
      </c>
      <c r="S180" s="141">
        <v>48455</v>
      </c>
      <c r="T180" s="141">
        <v>39888</v>
      </c>
      <c r="U180" s="141">
        <v>4598</v>
      </c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30"/>
        <v>133962</v>
      </c>
      <c r="AF180" s="2">
        <f t="shared" si="36"/>
        <v>7.8613055734952822E-2</v>
      </c>
      <c r="AG180" s="2">
        <f t="shared" si="36"/>
        <v>0.10209263028372291</v>
      </c>
      <c r="AH180" s="2">
        <f t="shared" si="36"/>
        <v>7.9033402153366961E-2</v>
      </c>
      <c r="AI180" s="2">
        <f t="shared" si="36"/>
        <v>6.1479629357258418E-2</v>
      </c>
      <c r="AJ180" s="2" t="str">
        <f t="shared" si="36"/>
        <v/>
      </c>
      <c r="AK180" s="2" t="str">
        <f t="shared" si="36"/>
        <v/>
      </c>
      <c r="AL180" s="2" t="str">
        <f t="shared" si="36"/>
        <v/>
      </c>
      <c r="AM180" s="2" t="str">
        <f t="shared" si="36"/>
        <v/>
      </c>
      <c r="AN180" s="2" t="str">
        <f t="shared" si="36"/>
        <v/>
      </c>
      <c r="AO180" s="2" t="str">
        <f t="shared" si="36"/>
        <v/>
      </c>
      <c r="AP180" s="2" t="str">
        <f t="shared" si="36"/>
        <v/>
      </c>
      <c r="AQ180" s="2" t="str">
        <f t="shared" si="36"/>
        <v/>
      </c>
      <c r="AR180" s="2">
        <f t="shared" si="36"/>
        <v>8.5005907682779644E-2</v>
      </c>
      <c r="AT180" s="143">
        <f t="shared" si="37"/>
        <v>2.3479574548770088E-2</v>
      </c>
      <c r="AU180" s="143">
        <f t="shared" si="38"/>
        <v>-2.3059228130355949E-2</v>
      </c>
      <c r="AV180" s="143">
        <f t="shared" si="40"/>
        <v>-1.7553772796108542E-2</v>
      </c>
      <c r="AW180" s="143" t="str">
        <f t="shared" si="40"/>
        <v/>
      </c>
      <c r="AX180" s="143" t="str">
        <f t="shared" si="40"/>
        <v/>
      </c>
      <c r="AY180" s="143" t="str">
        <f t="shared" si="39"/>
        <v/>
      </c>
      <c r="AZ180" s="143" t="str">
        <f t="shared" si="39"/>
        <v/>
      </c>
      <c r="BA180" s="143" t="str">
        <f t="shared" si="39"/>
        <v/>
      </c>
      <c r="BB180" s="143" t="str">
        <f t="shared" si="39"/>
        <v/>
      </c>
      <c r="BC180" s="143" t="str">
        <f t="shared" si="39"/>
        <v/>
      </c>
      <c r="BD180" s="143" t="str">
        <f t="shared" si="39"/>
        <v/>
      </c>
      <c r="BF180" s="9">
        <f t="shared" si="31"/>
        <v>9.6297473700451656E-5</v>
      </c>
      <c r="BG180" s="9">
        <f t="shared" si="32"/>
        <v>0.97537654361275206</v>
      </c>
    </row>
    <row r="181" spans="2:59" x14ac:dyDescent="0.35">
      <c r="B181" s="3" t="s">
        <v>270</v>
      </c>
      <c r="D181" s="141">
        <v>10</v>
      </c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29"/>
        <v>10</v>
      </c>
      <c r="R181" s="141">
        <v>10</v>
      </c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30"/>
        <v>10</v>
      </c>
      <c r="AF181" s="2">
        <f t="shared" si="36"/>
        <v>1</v>
      </c>
      <c r="AG181" s="2" t="str">
        <f t="shared" si="36"/>
        <v/>
      </c>
      <c r="AH181" s="2" t="str">
        <f t="shared" si="36"/>
        <v/>
      </c>
      <c r="AI181" s="2" t="str">
        <f t="shared" si="36"/>
        <v/>
      </c>
      <c r="AJ181" s="2" t="str">
        <f t="shared" si="36"/>
        <v/>
      </c>
      <c r="AK181" s="2" t="str">
        <f t="shared" si="36"/>
        <v/>
      </c>
      <c r="AL181" s="2" t="str">
        <f t="shared" si="36"/>
        <v/>
      </c>
      <c r="AM181" s="2" t="str">
        <f t="shared" si="36"/>
        <v/>
      </c>
      <c r="AN181" s="2" t="str">
        <f t="shared" si="36"/>
        <v/>
      </c>
      <c r="AO181" s="2" t="str">
        <f t="shared" si="36"/>
        <v/>
      </c>
      <c r="AP181" s="2" t="str">
        <f t="shared" si="36"/>
        <v/>
      </c>
      <c r="AQ181" s="2" t="str">
        <f t="shared" si="36"/>
        <v/>
      </c>
      <c r="AR181" s="2">
        <f t="shared" si="36"/>
        <v>1</v>
      </c>
      <c r="AT181" s="143" t="str">
        <f t="shared" si="37"/>
        <v/>
      </c>
      <c r="AU181" s="143" t="str">
        <f t="shared" si="38"/>
        <v/>
      </c>
      <c r="AV181" s="143" t="str">
        <f t="shared" si="40"/>
        <v/>
      </c>
      <c r="AW181" s="143" t="str">
        <f t="shared" si="40"/>
        <v/>
      </c>
      <c r="AX181" s="143" t="str">
        <f t="shared" si="40"/>
        <v/>
      </c>
      <c r="AY181" s="143" t="str">
        <f t="shared" si="39"/>
        <v/>
      </c>
      <c r="AZ181" s="143" t="str">
        <f t="shared" si="39"/>
        <v/>
      </c>
      <c r="BA181" s="143" t="str">
        <f t="shared" si="39"/>
        <v/>
      </c>
      <c r="BB181" s="143" t="str">
        <f t="shared" si="39"/>
        <v/>
      </c>
      <c r="BC181" s="143" t="str">
        <f t="shared" si="39"/>
        <v/>
      </c>
      <c r="BD181" s="143" t="str">
        <f t="shared" si="39"/>
        <v/>
      </c>
      <c r="BF181" s="9">
        <f t="shared" si="31"/>
        <v>7.1884171407154016E-9</v>
      </c>
      <c r="BG181" s="9">
        <f t="shared" si="32"/>
        <v>0.97537655080116925</v>
      </c>
    </row>
    <row r="182" spans="2:59" x14ac:dyDescent="0.35">
      <c r="B182" s="3" t="s">
        <v>278</v>
      </c>
      <c r="D182" s="141">
        <v>969</v>
      </c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29"/>
        <v>969</v>
      </c>
      <c r="R182" s="141">
        <v>0</v>
      </c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30"/>
        <v>0</v>
      </c>
      <c r="AF182" s="2">
        <f t="shared" si="36"/>
        <v>0</v>
      </c>
      <c r="AG182" s="2" t="str">
        <f t="shared" si="36"/>
        <v/>
      </c>
      <c r="AH182" s="2" t="str">
        <f t="shared" si="36"/>
        <v/>
      </c>
      <c r="AI182" s="2" t="str">
        <f t="shared" si="36"/>
        <v/>
      </c>
      <c r="AJ182" s="2" t="str">
        <f t="shared" si="36"/>
        <v/>
      </c>
      <c r="AK182" s="2" t="str">
        <f t="shared" si="36"/>
        <v/>
      </c>
      <c r="AL182" s="2" t="str">
        <f t="shared" si="36"/>
        <v/>
      </c>
      <c r="AM182" s="2" t="str">
        <f t="shared" si="36"/>
        <v/>
      </c>
      <c r="AN182" s="2" t="str">
        <f t="shared" si="36"/>
        <v/>
      </c>
      <c r="AO182" s="2" t="str">
        <f t="shared" si="36"/>
        <v/>
      </c>
      <c r="AP182" s="2" t="str">
        <f t="shared" si="36"/>
        <v/>
      </c>
      <c r="AQ182" s="2" t="str">
        <f t="shared" si="36"/>
        <v/>
      </c>
      <c r="AR182" s="2">
        <f t="shared" si="36"/>
        <v>0</v>
      </c>
      <c r="AT182" s="143" t="str">
        <f t="shared" si="37"/>
        <v/>
      </c>
      <c r="AU182" s="143" t="str">
        <f t="shared" si="38"/>
        <v/>
      </c>
      <c r="AV182" s="143" t="str">
        <f t="shared" si="40"/>
        <v/>
      </c>
      <c r="AW182" s="143" t="str">
        <f t="shared" si="40"/>
        <v/>
      </c>
      <c r="AX182" s="143" t="str">
        <f t="shared" si="40"/>
        <v/>
      </c>
      <c r="AY182" s="143" t="str">
        <f t="shared" si="39"/>
        <v/>
      </c>
      <c r="AZ182" s="143" t="str">
        <f t="shared" si="39"/>
        <v/>
      </c>
      <c r="BA182" s="143" t="str">
        <f t="shared" si="39"/>
        <v/>
      </c>
      <c r="BB182" s="143" t="str">
        <f t="shared" si="39"/>
        <v/>
      </c>
      <c r="BC182" s="143" t="str">
        <f t="shared" si="39"/>
        <v/>
      </c>
      <c r="BD182" s="143" t="str">
        <f t="shared" si="39"/>
        <v/>
      </c>
      <c r="BF182" s="9">
        <f t="shared" si="31"/>
        <v>0</v>
      </c>
      <c r="BG182" s="9">
        <f t="shared" si="32"/>
        <v>0.97537655080116925</v>
      </c>
    </row>
    <row r="183" spans="2:59" x14ac:dyDescent="0.35">
      <c r="B183" s="3" t="s">
        <v>266</v>
      </c>
      <c r="D183" s="141">
        <v>44895</v>
      </c>
      <c r="E183" s="141">
        <v>59231</v>
      </c>
      <c r="F183" s="141">
        <v>64694</v>
      </c>
      <c r="G183" s="141">
        <v>12971</v>
      </c>
      <c r="H183" s="141"/>
      <c r="I183" s="141"/>
      <c r="J183" s="141"/>
      <c r="K183" s="141"/>
      <c r="L183" s="141"/>
      <c r="M183" s="141"/>
      <c r="N183" s="141"/>
      <c r="O183" s="141"/>
      <c r="P183" s="141">
        <f t="shared" si="29"/>
        <v>181791</v>
      </c>
      <c r="R183" s="141">
        <v>4303</v>
      </c>
      <c r="S183" s="141">
        <v>3924</v>
      </c>
      <c r="T183" s="141">
        <v>4557</v>
      </c>
      <c r="U183" s="141">
        <v>889</v>
      </c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30"/>
        <v>13673</v>
      </c>
      <c r="AF183" s="2">
        <f t="shared" si="36"/>
        <v>9.5845862568214729E-2</v>
      </c>
      <c r="AG183" s="2">
        <f t="shared" si="36"/>
        <v>6.6249092536003112E-2</v>
      </c>
      <c r="AH183" s="2">
        <f t="shared" si="36"/>
        <v>7.0439298853062104E-2</v>
      </c>
      <c r="AI183" s="2">
        <f t="shared" si="36"/>
        <v>6.8537506745817586E-2</v>
      </c>
      <c r="AJ183" s="2" t="str">
        <f t="shared" si="36"/>
        <v/>
      </c>
      <c r="AK183" s="2" t="str">
        <f t="shared" si="36"/>
        <v/>
      </c>
      <c r="AL183" s="2" t="str">
        <f t="shared" si="36"/>
        <v/>
      </c>
      <c r="AM183" s="2" t="str">
        <f t="shared" si="36"/>
        <v/>
      </c>
      <c r="AN183" s="2" t="str">
        <f t="shared" si="36"/>
        <v/>
      </c>
      <c r="AO183" s="2" t="str">
        <f t="shared" si="36"/>
        <v/>
      </c>
      <c r="AP183" s="2" t="str">
        <f t="shared" si="36"/>
        <v/>
      </c>
      <c r="AQ183" s="2" t="str">
        <f t="shared" si="36"/>
        <v/>
      </c>
      <c r="AR183" s="2">
        <f t="shared" si="36"/>
        <v>7.5212744305273638E-2</v>
      </c>
      <c r="AT183" s="143">
        <f t="shared" si="37"/>
        <v>-2.9596770032211617E-2</v>
      </c>
      <c r="AU183" s="143">
        <f t="shared" si="38"/>
        <v>4.190206317058992E-3</v>
      </c>
      <c r="AV183" s="143">
        <f t="shared" si="40"/>
        <v>-1.9017921072445182E-3</v>
      </c>
      <c r="AW183" s="143" t="str">
        <f t="shared" si="40"/>
        <v/>
      </c>
      <c r="AX183" s="143" t="str">
        <f t="shared" si="40"/>
        <v/>
      </c>
      <c r="AY183" s="143" t="str">
        <f t="shared" si="39"/>
        <v/>
      </c>
      <c r="AZ183" s="143" t="str">
        <f t="shared" si="39"/>
        <v/>
      </c>
      <c r="BA183" s="143" t="str">
        <f t="shared" si="39"/>
        <v/>
      </c>
      <c r="BB183" s="143" t="str">
        <f t="shared" si="39"/>
        <v/>
      </c>
      <c r="BC183" s="143" t="str">
        <f t="shared" si="39"/>
        <v/>
      </c>
      <c r="BD183" s="143" t="str">
        <f t="shared" si="39"/>
        <v/>
      </c>
      <c r="BF183" s="9">
        <f t="shared" si="31"/>
        <v>9.8287227565001683E-6</v>
      </c>
      <c r="BG183" s="9">
        <f t="shared" si="32"/>
        <v>0.97538637952392571</v>
      </c>
    </row>
    <row r="184" spans="2:59" x14ac:dyDescent="0.35">
      <c r="B184" s="3" t="s">
        <v>265</v>
      </c>
      <c r="D184" s="141">
        <v>933027</v>
      </c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>
        <f t="shared" si="29"/>
        <v>933027</v>
      </c>
      <c r="R184" s="141">
        <v>264520</v>
      </c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30"/>
        <v>264520</v>
      </c>
      <c r="AF184" s="2">
        <f t="shared" si="36"/>
        <v>0.28350733687235202</v>
      </c>
      <c r="AG184" s="2" t="str">
        <f t="shared" si="36"/>
        <v/>
      </c>
      <c r="AH184" s="2" t="str">
        <f t="shared" si="36"/>
        <v/>
      </c>
      <c r="AI184" s="2" t="str">
        <f t="shared" si="36"/>
        <v/>
      </c>
      <c r="AJ184" s="2" t="str">
        <f t="shared" si="36"/>
        <v/>
      </c>
      <c r="AK184" s="2" t="str">
        <f t="shared" si="36"/>
        <v/>
      </c>
      <c r="AL184" s="2" t="str">
        <f t="shared" si="36"/>
        <v/>
      </c>
      <c r="AM184" s="2" t="str">
        <f t="shared" si="36"/>
        <v/>
      </c>
      <c r="AN184" s="2" t="str">
        <f t="shared" si="36"/>
        <v/>
      </c>
      <c r="AO184" s="2" t="str">
        <f t="shared" si="36"/>
        <v/>
      </c>
      <c r="AP184" s="2" t="str">
        <f t="shared" si="36"/>
        <v/>
      </c>
      <c r="AQ184" s="2" t="str">
        <f t="shared" si="36"/>
        <v/>
      </c>
      <c r="AR184" s="2">
        <f t="shared" si="36"/>
        <v>0.28350733687235202</v>
      </c>
      <c r="AT184" s="143" t="str">
        <f t="shared" si="37"/>
        <v/>
      </c>
      <c r="AU184" s="143" t="str">
        <f t="shared" si="38"/>
        <v/>
      </c>
      <c r="AV184" s="143" t="str">
        <f t="shared" si="40"/>
        <v/>
      </c>
      <c r="AW184" s="143" t="str">
        <f t="shared" si="40"/>
        <v/>
      </c>
      <c r="AX184" s="143" t="str">
        <f t="shared" si="40"/>
        <v/>
      </c>
      <c r="AY184" s="143" t="str">
        <f t="shared" si="39"/>
        <v/>
      </c>
      <c r="AZ184" s="143" t="str">
        <f t="shared" si="39"/>
        <v/>
      </c>
      <c r="BA184" s="143" t="str">
        <f t="shared" si="39"/>
        <v/>
      </c>
      <c r="BB184" s="143" t="str">
        <f t="shared" si="39"/>
        <v/>
      </c>
      <c r="BC184" s="143" t="str">
        <f t="shared" si="39"/>
        <v/>
      </c>
      <c r="BD184" s="143" t="str">
        <f t="shared" si="39"/>
        <v/>
      </c>
      <c r="BF184" s="9">
        <f t="shared" si="31"/>
        <v>1.9014801020620378E-4</v>
      </c>
      <c r="BG184" s="9">
        <f t="shared" si="32"/>
        <v>0.97557652753413193</v>
      </c>
    </row>
    <row r="185" spans="2:59" x14ac:dyDescent="0.35">
      <c r="B185" s="3" t="s">
        <v>257</v>
      </c>
      <c r="D185" s="141">
        <v>760343</v>
      </c>
      <c r="E185" s="141">
        <v>1559</v>
      </c>
      <c r="F185" s="141">
        <v>5017</v>
      </c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29"/>
        <v>766919</v>
      </c>
      <c r="R185" s="141">
        <v>116614</v>
      </c>
      <c r="S185" s="141">
        <v>45</v>
      </c>
      <c r="T185" s="141">
        <v>546</v>
      </c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30"/>
        <v>117205</v>
      </c>
      <c r="AF185" s="2">
        <f t="shared" si="36"/>
        <v>0.15337025526637321</v>
      </c>
      <c r="AG185" s="2">
        <f t="shared" si="36"/>
        <v>2.8864656831302116E-2</v>
      </c>
      <c r="AH185" s="2">
        <f t="shared" si="36"/>
        <v>0.10882997807454654</v>
      </c>
      <c r="AI185" s="2" t="str">
        <f t="shared" si="36"/>
        <v/>
      </c>
      <c r="AJ185" s="2" t="str">
        <f t="shared" si="36"/>
        <v/>
      </c>
      <c r="AK185" s="2" t="str">
        <f t="shared" si="36"/>
        <v/>
      </c>
      <c r="AL185" s="2" t="str">
        <f t="shared" si="36"/>
        <v/>
      </c>
      <c r="AM185" s="2" t="str">
        <f t="shared" si="36"/>
        <v/>
      </c>
      <c r="AN185" s="2" t="str">
        <f t="shared" si="36"/>
        <v/>
      </c>
      <c r="AO185" s="2" t="str">
        <f t="shared" si="36"/>
        <v/>
      </c>
      <c r="AP185" s="2" t="str">
        <f t="shared" si="36"/>
        <v/>
      </c>
      <c r="AQ185" s="2" t="str">
        <f t="shared" si="36"/>
        <v/>
      </c>
      <c r="AR185" s="2">
        <f t="shared" si="36"/>
        <v>0.15282578733868896</v>
      </c>
      <c r="AT185" s="143">
        <f t="shared" si="37"/>
        <v>-0.1245055984350711</v>
      </c>
      <c r="AU185" s="143">
        <f t="shared" si="38"/>
        <v>7.996532124324443E-2</v>
      </c>
      <c r="AV185" s="143" t="str">
        <f t="shared" si="40"/>
        <v/>
      </c>
      <c r="AW185" s="143" t="str">
        <f t="shared" si="40"/>
        <v/>
      </c>
      <c r="AX185" s="143" t="str">
        <f t="shared" si="40"/>
        <v/>
      </c>
      <c r="AY185" s="143" t="str">
        <f t="shared" si="39"/>
        <v/>
      </c>
      <c r="AZ185" s="143" t="str">
        <f t="shared" si="39"/>
        <v/>
      </c>
      <c r="BA185" s="143" t="str">
        <f t="shared" si="39"/>
        <v/>
      </c>
      <c r="BB185" s="143" t="str">
        <f t="shared" si="39"/>
        <v/>
      </c>
      <c r="BC185" s="143" t="str">
        <f t="shared" si="39"/>
        <v/>
      </c>
      <c r="BD185" s="143" t="str">
        <f t="shared" si="39"/>
        <v/>
      </c>
      <c r="BF185" s="9">
        <f t="shared" si="31"/>
        <v>8.4251843097754862E-5</v>
      </c>
      <c r="BG185" s="9">
        <f t="shared" si="32"/>
        <v>0.97566077937722973</v>
      </c>
    </row>
    <row r="186" spans="2:59" x14ac:dyDescent="0.35">
      <c r="B186" s="3" t="s">
        <v>275</v>
      </c>
      <c r="D186" s="141">
        <v>144667</v>
      </c>
      <c r="E186" s="141">
        <v>131269</v>
      </c>
      <c r="F186" s="141">
        <v>153235</v>
      </c>
      <c r="G186" s="141">
        <v>32628</v>
      </c>
      <c r="H186" s="141"/>
      <c r="I186" s="141"/>
      <c r="J186" s="141"/>
      <c r="K186" s="141"/>
      <c r="L186" s="141"/>
      <c r="M186" s="141"/>
      <c r="N186" s="141"/>
      <c r="O186" s="141"/>
      <c r="P186" s="141">
        <f t="shared" si="29"/>
        <v>461799</v>
      </c>
      <c r="R186" s="141">
        <v>14992</v>
      </c>
      <c r="S186" s="141">
        <v>15139</v>
      </c>
      <c r="T186" s="141">
        <v>14980</v>
      </c>
      <c r="U186" s="141">
        <v>2772</v>
      </c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30"/>
        <v>47883</v>
      </c>
      <c r="AF186" s="2">
        <f t="shared" si="36"/>
        <v>0.10363109762419902</v>
      </c>
      <c r="AG186" s="2">
        <f t="shared" si="36"/>
        <v>0.11532806679414027</v>
      </c>
      <c r="AH186" s="2">
        <f t="shared" si="36"/>
        <v>9.7758345025614257E-2</v>
      </c>
      <c r="AI186" s="2">
        <f t="shared" si="36"/>
        <v>8.4957705038617132E-2</v>
      </c>
      <c r="AJ186" s="2" t="str">
        <f t="shared" si="36"/>
        <v/>
      </c>
      <c r="AK186" s="2" t="str">
        <f t="shared" si="36"/>
        <v/>
      </c>
      <c r="AL186" s="2" t="str">
        <f t="shared" si="36"/>
        <v/>
      </c>
      <c r="AM186" s="2" t="str">
        <f t="shared" si="36"/>
        <v/>
      </c>
      <c r="AN186" s="2" t="str">
        <f t="shared" si="36"/>
        <v/>
      </c>
      <c r="AO186" s="2" t="str">
        <f t="shared" si="36"/>
        <v/>
      </c>
      <c r="AP186" s="2" t="str">
        <f t="shared" si="36"/>
        <v/>
      </c>
      <c r="AQ186" s="2" t="str">
        <f t="shared" si="36"/>
        <v/>
      </c>
      <c r="AR186" s="2">
        <f t="shared" si="36"/>
        <v>0.10368796814198385</v>
      </c>
      <c r="AT186" s="143">
        <f t="shared" si="37"/>
        <v>1.1696969169941257E-2</v>
      </c>
      <c r="AU186" s="143">
        <f t="shared" si="38"/>
        <v>-1.7569721768526017E-2</v>
      </c>
      <c r="AV186" s="143">
        <f t="shared" si="40"/>
        <v>-1.2800639986997125E-2</v>
      </c>
      <c r="AW186" s="143" t="str">
        <f t="shared" si="40"/>
        <v/>
      </c>
      <c r="AX186" s="143" t="str">
        <f t="shared" si="40"/>
        <v/>
      </c>
      <c r="AY186" s="143" t="str">
        <f t="shared" si="39"/>
        <v/>
      </c>
      <c r="AZ186" s="143" t="str">
        <f t="shared" si="39"/>
        <v/>
      </c>
      <c r="BA186" s="143" t="str">
        <f t="shared" si="39"/>
        <v/>
      </c>
      <c r="BB186" s="143" t="str">
        <f t="shared" si="39"/>
        <v/>
      </c>
      <c r="BC186" s="143" t="str">
        <f t="shared" si="39"/>
        <v/>
      </c>
      <c r="BD186" s="143" t="str">
        <f t="shared" si="39"/>
        <v/>
      </c>
      <c r="BF186" s="9">
        <f t="shared" si="31"/>
        <v>3.4420297794887558E-5</v>
      </c>
      <c r="BG186" s="9">
        <f t="shared" si="32"/>
        <v>0.9756951996750246</v>
      </c>
    </row>
    <row r="187" spans="2:59" x14ac:dyDescent="0.35">
      <c r="B187" s="3" t="s">
        <v>272</v>
      </c>
      <c r="D187" s="141">
        <v>150</v>
      </c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>
        <f t="shared" si="29"/>
        <v>150</v>
      </c>
      <c r="R187" s="141">
        <v>70</v>
      </c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30"/>
        <v>70</v>
      </c>
      <c r="AF187" s="2">
        <f t="shared" si="36"/>
        <v>0.46666666666666667</v>
      </c>
      <c r="AG187" s="2" t="str">
        <f t="shared" si="36"/>
        <v/>
      </c>
      <c r="AH187" s="2" t="str">
        <f t="shared" si="36"/>
        <v/>
      </c>
      <c r="AI187" s="2" t="str">
        <f t="shared" si="36"/>
        <v/>
      </c>
      <c r="AJ187" s="2" t="str">
        <f t="shared" si="36"/>
        <v/>
      </c>
      <c r="AK187" s="2" t="str">
        <f t="shared" si="36"/>
        <v/>
      </c>
      <c r="AL187" s="2" t="str">
        <f t="shared" si="36"/>
        <v/>
      </c>
      <c r="AM187" s="2" t="str">
        <f t="shared" si="36"/>
        <v/>
      </c>
      <c r="AN187" s="2" t="str">
        <f t="shared" si="36"/>
        <v/>
      </c>
      <c r="AO187" s="2" t="str">
        <f t="shared" si="36"/>
        <v/>
      </c>
      <c r="AP187" s="2" t="str">
        <f t="shared" si="36"/>
        <v/>
      </c>
      <c r="AQ187" s="2" t="str">
        <f t="shared" si="36"/>
        <v/>
      </c>
      <c r="AR187" s="2">
        <f t="shared" si="36"/>
        <v>0.46666666666666667</v>
      </c>
      <c r="AT187" s="143" t="str">
        <f t="shared" si="37"/>
        <v/>
      </c>
      <c r="AU187" s="143" t="str">
        <f t="shared" si="38"/>
        <v/>
      </c>
      <c r="AV187" s="143" t="str">
        <f t="shared" si="40"/>
        <v/>
      </c>
      <c r="AW187" s="143" t="str">
        <f t="shared" si="40"/>
        <v/>
      </c>
      <c r="AX187" s="143" t="str">
        <f t="shared" si="40"/>
        <v/>
      </c>
      <c r="AY187" s="143" t="str">
        <f t="shared" si="39"/>
        <v/>
      </c>
      <c r="AZ187" s="143" t="str">
        <f t="shared" si="39"/>
        <v/>
      </c>
      <c r="BA187" s="143" t="str">
        <f t="shared" si="39"/>
        <v/>
      </c>
      <c r="BB187" s="143" t="str">
        <f t="shared" si="39"/>
        <v/>
      </c>
      <c r="BC187" s="143" t="str">
        <f t="shared" si="39"/>
        <v/>
      </c>
      <c r="BD187" s="143" t="str">
        <f t="shared" si="39"/>
        <v/>
      </c>
      <c r="BF187" s="9">
        <f t="shared" si="31"/>
        <v>5.0318919985007811E-8</v>
      </c>
      <c r="BG187" s="9">
        <f t="shared" si="32"/>
        <v>0.97569524999394464</v>
      </c>
    </row>
    <row r="188" spans="2:59" x14ac:dyDescent="0.35">
      <c r="B188" s="3" t="s">
        <v>277</v>
      </c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29"/>
        <v>0</v>
      </c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30"/>
        <v>0</v>
      </c>
      <c r="AF188" s="2" t="str">
        <f t="shared" si="36"/>
        <v/>
      </c>
      <c r="AG188" s="2" t="str">
        <f t="shared" si="36"/>
        <v/>
      </c>
      <c r="AH188" s="2" t="str">
        <f t="shared" si="36"/>
        <v/>
      </c>
      <c r="AI188" s="2" t="str">
        <f t="shared" si="36"/>
        <v/>
      </c>
      <c r="AJ188" s="2" t="str">
        <f t="shared" si="36"/>
        <v/>
      </c>
      <c r="AK188" s="2" t="str">
        <f t="shared" si="36"/>
        <v/>
      </c>
      <c r="AL188" s="2" t="str">
        <f t="shared" si="36"/>
        <v/>
      </c>
      <c r="AM188" s="2" t="str">
        <f t="shared" si="36"/>
        <v/>
      </c>
      <c r="AN188" s="2" t="str">
        <f t="shared" si="36"/>
        <v/>
      </c>
      <c r="AO188" s="2" t="str">
        <f t="shared" si="36"/>
        <v/>
      </c>
      <c r="AP188" s="2" t="str">
        <f t="shared" si="36"/>
        <v/>
      </c>
      <c r="AQ188" s="2" t="str">
        <f t="shared" si="36"/>
        <v/>
      </c>
      <c r="AR188" s="2" t="str">
        <f t="shared" si="36"/>
        <v/>
      </c>
      <c r="AT188" s="143" t="str">
        <f t="shared" si="37"/>
        <v/>
      </c>
      <c r="AU188" s="143" t="str">
        <f t="shared" si="38"/>
        <v/>
      </c>
      <c r="AV188" s="143" t="str">
        <f t="shared" si="40"/>
        <v/>
      </c>
      <c r="AW188" s="143" t="str">
        <f t="shared" si="40"/>
        <v/>
      </c>
      <c r="AX188" s="143" t="str">
        <f t="shared" si="40"/>
        <v/>
      </c>
      <c r="AY188" s="143" t="str">
        <f t="shared" si="39"/>
        <v/>
      </c>
      <c r="AZ188" s="143" t="str">
        <f t="shared" si="39"/>
        <v/>
      </c>
      <c r="BA188" s="143" t="str">
        <f t="shared" si="39"/>
        <v/>
      </c>
      <c r="BB188" s="143" t="str">
        <f t="shared" si="39"/>
        <v/>
      </c>
      <c r="BC188" s="143" t="str">
        <f t="shared" si="39"/>
        <v/>
      </c>
      <c r="BD188" s="143" t="str">
        <f t="shared" si="39"/>
        <v/>
      </c>
      <c r="BF188" s="9">
        <f t="shared" si="31"/>
        <v>0</v>
      </c>
      <c r="BG188" s="9">
        <f t="shared" si="32"/>
        <v>0.97569524999394464</v>
      </c>
    </row>
    <row r="189" spans="2:59" x14ac:dyDescent="0.35">
      <c r="B189" s="3" t="s">
        <v>271</v>
      </c>
      <c r="D189" s="141">
        <v>145518</v>
      </c>
      <c r="E189" s="141">
        <v>132885</v>
      </c>
      <c r="F189" s="141">
        <v>162124</v>
      </c>
      <c r="G189" s="141">
        <v>24623</v>
      </c>
      <c r="H189" s="141"/>
      <c r="I189" s="141"/>
      <c r="J189" s="141"/>
      <c r="K189" s="141"/>
      <c r="L189" s="141"/>
      <c r="M189" s="141"/>
      <c r="N189" s="141"/>
      <c r="O189" s="141"/>
      <c r="P189" s="141">
        <f t="shared" si="29"/>
        <v>465150</v>
      </c>
      <c r="R189" s="141">
        <v>9982</v>
      </c>
      <c r="S189" s="141">
        <v>11709</v>
      </c>
      <c r="T189" s="141">
        <v>14109</v>
      </c>
      <c r="U189" s="141">
        <v>3073</v>
      </c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30"/>
        <v>38873</v>
      </c>
      <c r="AF189" s="2">
        <f t="shared" si="36"/>
        <v>6.859632485328275E-2</v>
      </c>
      <c r="AG189" s="2">
        <f t="shared" si="36"/>
        <v>8.8113782593972234E-2</v>
      </c>
      <c r="AH189" s="2">
        <f t="shared" si="36"/>
        <v>8.7025980113986823E-2</v>
      </c>
      <c r="AI189" s="2">
        <f t="shared" si="36"/>
        <v>0.12480201437680218</v>
      </c>
      <c r="AJ189" s="2" t="str">
        <f t="shared" si="36"/>
        <v/>
      </c>
      <c r="AK189" s="2" t="str">
        <f t="shared" si="36"/>
        <v/>
      </c>
      <c r="AL189" s="2" t="str">
        <f t="shared" si="36"/>
        <v/>
      </c>
      <c r="AM189" s="2" t="str">
        <f t="shared" si="36"/>
        <v/>
      </c>
      <c r="AN189" s="2" t="str">
        <f t="shared" si="36"/>
        <v/>
      </c>
      <c r="AO189" s="2" t="str">
        <f t="shared" si="36"/>
        <v/>
      </c>
      <c r="AP189" s="2" t="str">
        <f t="shared" si="36"/>
        <v/>
      </c>
      <c r="AQ189" s="2" t="str">
        <f t="shared" si="36"/>
        <v/>
      </c>
      <c r="AR189" s="2">
        <f t="shared" si="36"/>
        <v>8.3570891110394493E-2</v>
      </c>
      <c r="AT189" s="143">
        <f t="shared" si="37"/>
        <v>1.9517457740689484E-2</v>
      </c>
      <c r="AU189" s="143">
        <f t="shared" si="38"/>
        <v>-1.0878024799854114E-3</v>
      </c>
      <c r="AV189" s="143">
        <f t="shared" si="40"/>
        <v>3.7776034262815353E-2</v>
      </c>
      <c r="AW189" s="143" t="str">
        <f t="shared" si="40"/>
        <v/>
      </c>
      <c r="AX189" s="143" t="str">
        <f t="shared" si="40"/>
        <v/>
      </c>
      <c r="AY189" s="143" t="str">
        <f t="shared" si="39"/>
        <v/>
      </c>
      <c r="AZ189" s="143" t="str">
        <f t="shared" si="39"/>
        <v/>
      </c>
      <c r="BA189" s="143" t="str">
        <f t="shared" si="39"/>
        <v/>
      </c>
      <c r="BB189" s="143" t="str">
        <f t="shared" si="39"/>
        <v/>
      </c>
      <c r="BC189" s="143" t="str">
        <f t="shared" si="39"/>
        <v/>
      </c>
      <c r="BD189" s="143" t="str">
        <f t="shared" si="39"/>
        <v/>
      </c>
      <c r="BF189" s="9">
        <f t="shared" si="31"/>
        <v>2.7943533951102981E-5</v>
      </c>
      <c r="BG189" s="9">
        <f t="shared" si="32"/>
        <v>0.97572319352789572</v>
      </c>
    </row>
    <row r="190" spans="2:59" x14ac:dyDescent="0.35">
      <c r="B190" s="3" t="s">
        <v>280</v>
      </c>
      <c r="D190" s="141"/>
      <c r="E190" s="141">
        <v>432</v>
      </c>
      <c r="F190" s="141">
        <v>3405</v>
      </c>
      <c r="G190" s="141">
        <v>176</v>
      </c>
      <c r="H190" s="141"/>
      <c r="I190" s="141"/>
      <c r="J190" s="141"/>
      <c r="K190" s="141"/>
      <c r="L190" s="141"/>
      <c r="M190" s="141"/>
      <c r="N190" s="141"/>
      <c r="O190" s="141"/>
      <c r="P190" s="141">
        <f t="shared" si="29"/>
        <v>4013</v>
      </c>
      <c r="R190" s="141"/>
      <c r="S190" s="141">
        <v>17</v>
      </c>
      <c r="T190" s="141">
        <v>34</v>
      </c>
      <c r="U190" s="141">
        <v>5</v>
      </c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30"/>
        <v>56</v>
      </c>
      <c r="AF190" s="2" t="str">
        <f t="shared" si="36"/>
        <v/>
      </c>
      <c r="AG190" s="2">
        <f t="shared" si="36"/>
        <v>3.9351851851851853E-2</v>
      </c>
      <c r="AH190" s="2">
        <f t="shared" si="36"/>
        <v>9.9853157121879595E-3</v>
      </c>
      <c r="AI190" s="2">
        <f t="shared" si="36"/>
        <v>2.8409090909090908E-2</v>
      </c>
      <c r="AJ190" s="2" t="str">
        <f t="shared" si="36"/>
        <v/>
      </c>
      <c r="AK190" s="2" t="str">
        <f t="shared" si="36"/>
        <v/>
      </c>
      <c r="AL190" s="2" t="str">
        <f t="shared" si="36"/>
        <v/>
      </c>
      <c r="AM190" s="2" t="str">
        <f t="shared" si="36"/>
        <v/>
      </c>
      <c r="AN190" s="2" t="str">
        <f t="shared" si="36"/>
        <v/>
      </c>
      <c r="AO190" s="2" t="str">
        <f t="shared" si="36"/>
        <v/>
      </c>
      <c r="AP190" s="2" t="str">
        <f t="shared" si="36"/>
        <v/>
      </c>
      <c r="AQ190" s="2" t="str">
        <f t="shared" si="36"/>
        <v/>
      </c>
      <c r="AR190" s="2">
        <f t="shared" si="36"/>
        <v>1.3954647395963121E-2</v>
      </c>
      <c r="AT190" s="143" t="str">
        <f t="shared" si="37"/>
        <v/>
      </c>
      <c r="AU190" s="143">
        <f t="shared" si="38"/>
        <v>-2.9366536139663894E-2</v>
      </c>
      <c r="AV190" s="143">
        <f t="shared" si="40"/>
        <v>1.8423775196902949E-2</v>
      </c>
      <c r="AW190" s="143" t="str">
        <f t="shared" si="40"/>
        <v/>
      </c>
      <c r="AX190" s="143" t="str">
        <f t="shared" si="40"/>
        <v/>
      </c>
      <c r="AY190" s="143" t="str">
        <f t="shared" si="39"/>
        <v/>
      </c>
      <c r="AZ190" s="143" t="str">
        <f t="shared" si="39"/>
        <v/>
      </c>
      <c r="BA190" s="143" t="str">
        <f t="shared" si="39"/>
        <v/>
      </c>
      <c r="BB190" s="143" t="str">
        <f t="shared" si="39"/>
        <v/>
      </c>
      <c r="BC190" s="143" t="str">
        <f t="shared" si="39"/>
        <v/>
      </c>
      <c r="BD190" s="143" t="str">
        <f t="shared" si="39"/>
        <v/>
      </c>
      <c r="BF190" s="9">
        <f t="shared" si="31"/>
        <v>4.0255135988006248E-8</v>
      </c>
      <c r="BG190" s="9">
        <f t="shared" si="32"/>
        <v>0.97572323378303172</v>
      </c>
    </row>
    <row r="191" spans="2:59" x14ac:dyDescent="0.35">
      <c r="B191" s="3" t="s">
        <v>274</v>
      </c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29"/>
        <v>0</v>
      </c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30"/>
        <v>0</v>
      </c>
      <c r="AF191" s="2" t="str">
        <f t="shared" si="36"/>
        <v/>
      </c>
      <c r="AG191" s="2" t="str">
        <f t="shared" si="36"/>
        <v/>
      </c>
      <c r="AH191" s="2" t="str">
        <f t="shared" si="36"/>
        <v/>
      </c>
      <c r="AI191" s="2" t="str">
        <f t="shared" si="36"/>
        <v/>
      </c>
      <c r="AJ191" s="2" t="str">
        <f t="shared" si="36"/>
        <v/>
      </c>
      <c r="AK191" s="2" t="str">
        <f t="shared" si="36"/>
        <v/>
      </c>
      <c r="AL191" s="2" t="str">
        <f t="shared" si="36"/>
        <v/>
      </c>
      <c r="AM191" s="2" t="str">
        <f t="shared" si="36"/>
        <v/>
      </c>
      <c r="AN191" s="2" t="str">
        <f t="shared" ref="AN191:AR222" si="41">+IFERROR(Z191/L191,"")</f>
        <v/>
      </c>
      <c r="AO191" s="2" t="str">
        <f t="shared" si="41"/>
        <v/>
      </c>
      <c r="AP191" s="2" t="str">
        <f t="shared" si="41"/>
        <v/>
      </c>
      <c r="AQ191" s="2" t="str">
        <f t="shared" si="41"/>
        <v/>
      </c>
      <c r="AR191" s="2" t="str">
        <f t="shared" si="41"/>
        <v/>
      </c>
      <c r="AT191" s="143" t="str">
        <f t="shared" si="37"/>
        <v/>
      </c>
      <c r="AU191" s="143" t="str">
        <f t="shared" si="38"/>
        <v/>
      </c>
      <c r="AV191" s="143" t="str">
        <f t="shared" si="40"/>
        <v/>
      </c>
      <c r="AW191" s="143" t="str">
        <f t="shared" si="40"/>
        <v/>
      </c>
      <c r="AX191" s="143" t="str">
        <f t="shared" si="40"/>
        <v/>
      </c>
      <c r="AY191" s="143" t="str">
        <f t="shared" si="39"/>
        <v/>
      </c>
      <c r="AZ191" s="143" t="str">
        <f t="shared" si="39"/>
        <v/>
      </c>
      <c r="BA191" s="143" t="str">
        <f t="shared" si="39"/>
        <v/>
      </c>
      <c r="BB191" s="143" t="str">
        <f t="shared" si="39"/>
        <v/>
      </c>
      <c r="BC191" s="143" t="str">
        <f t="shared" si="39"/>
        <v/>
      </c>
      <c r="BD191" s="143" t="str">
        <f t="shared" si="39"/>
        <v/>
      </c>
      <c r="BF191" s="9">
        <f t="shared" si="31"/>
        <v>0</v>
      </c>
      <c r="BG191" s="9">
        <f t="shared" si="32"/>
        <v>0.97572323378303172</v>
      </c>
    </row>
    <row r="192" spans="2:59" x14ac:dyDescent="0.35">
      <c r="B192" s="3" t="s">
        <v>251</v>
      </c>
      <c r="D192" s="141">
        <v>417370</v>
      </c>
      <c r="E192" s="141">
        <v>333688</v>
      </c>
      <c r="F192" s="141">
        <v>1447920</v>
      </c>
      <c r="G192" s="141">
        <v>704525</v>
      </c>
      <c r="H192" s="141"/>
      <c r="I192" s="141"/>
      <c r="J192" s="141"/>
      <c r="K192" s="141"/>
      <c r="L192" s="141"/>
      <c r="M192" s="141"/>
      <c r="N192" s="141"/>
      <c r="O192" s="141"/>
      <c r="P192" s="141">
        <f t="shared" si="29"/>
        <v>2903503</v>
      </c>
      <c r="R192" s="141">
        <v>26797</v>
      </c>
      <c r="S192" s="141">
        <v>21737</v>
      </c>
      <c r="T192" s="141">
        <v>158864</v>
      </c>
      <c r="U192" s="141">
        <v>78252</v>
      </c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30"/>
        <v>285650</v>
      </c>
      <c r="AF192" s="2">
        <f t="shared" ref="AF192:AM223" si="42">+IFERROR(R192/D192,"")</f>
        <v>6.4204422934087263E-2</v>
      </c>
      <c r="AG192" s="2">
        <f t="shared" si="42"/>
        <v>6.5141689242645823E-2</v>
      </c>
      <c r="AH192" s="2">
        <f t="shared" si="42"/>
        <v>0.10971876899276203</v>
      </c>
      <c r="AI192" s="2">
        <f t="shared" si="42"/>
        <v>0.11107057946843618</v>
      </c>
      <c r="AJ192" s="2" t="str">
        <f t="shared" si="42"/>
        <v/>
      </c>
      <c r="AK192" s="2" t="str">
        <f t="shared" si="42"/>
        <v/>
      </c>
      <c r="AL192" s="2" t="str">
        <f t="shared" si="42"/>
        <v/>
      </c>
      <c r="AM192" s="2" t="str">
        <f t="shared" si="42"/>
        <v/>
      </c>
      <c r="AN192" s="2" t="str">
        <f t="shared" si="41"/>
        <v/>
      </c>
      <c r="AO192" s="2" t="str">
        <f t="shared" si="41"/>
        <v/>
      </c>
      <c r="AP192" s="2" t="str">
        <f t="shared" si="41"/>
        <v/>
      </c>
      <c r="AQ192" s="2" t="str">
        <f t="shared" si="41"/>
        <v/>
      </c>
      <c r="AR192" s="2">
        <f t="shared" si="41"/>
        <v>9.8381162340800063E-2</v>
      </c>
      <c r="AT192" s="143">
        <f t="shared" si="37"/>
        <v>9.3726630855855975E-4</v>
      </c>
      <c r="AU192" s="143">
        <f t="shared" si="38"/>
        <v>4.4577079750116211E-2</v>
      </c>
      <c r="AV192" s="143">
        <f t="shared" si="40"/>
        <v>1.3518104756741478E-3</v>
      </c>
      <c r="AW192" s="143" t="str">
        <f t="shared" si="40"/>
        <v/>
      </c>
      <c r="AX192" s="143" t="str">
        <f t="shared" si="40"/>
        <v/>
      </c>
      <c r="AY192" s="143" t="str">
        <f t="shared" si="39"/>
        <v/>
      </c>
      <c r="AZ192" s="143" t="str">
        <f t="shared" si="39"/>
        <v/>
      </c>
      <c r="BA192" s="143" t="str">
        <f t="shared" si="39"/>
        <v/>
      </c>
      <c r="BB192" s="143" t="str">
        <f t="shared" si="39"/>
        <v/>
      </c>
      <c r="BC192" s="143" t="str">
        <f t="shared" si="39"/>
        <v/>
      </c>
      <c r="BD192" s="143" t="str">
        <f t="shared" si="39"/>
        <v/>
      </c>
      <c r="BF192" s="9">
        <f t="shared" si="31"/>
        <v>2.0533713562453544E-4</v>
      </c>
      <c r="BG192" s="9">
        <f t="shared" si="32"/>
        <v>0.97592857091865626</v>
      </c>
    </row>
    <row r="193" spans="2:59" x14ac:dyDescent="0.35">
      <c r="B193" s="3" t="s">
        <v>258</v>
      </c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29"/>
        <v>0</v>
      </c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30"/>
        <v>0</v>
      </c>
      <c r="AF193" s="2" t="str">
        <f t="shared" si="42"/>
        <v/>
      </c>
      <c r="AG193" s="2" t="str">
        <f t="shared" si="42"/>
        <v/>
      </c>
      <c r="AH193" s="2" t="str">
        <f t="shared" si="42"/>
        <v/>
      </c>
      <c r="AI193" s="2" t="str">
        <f t="shared" si="42"/>
        <v/>
      </c>
      <c r="AJ193" s="2" t="str">
        <f t="shared" si="42"/>
        <v/>
      </c>
      <c r="AK193" s="2" t="str">
        <f t="shared" si="42"/>
        <v/>
      </c>
      <c r="AL193" s="2" t="str">
        <f t="shared" si="42"/>
        <v/>
      </c>
      <c r="AM193" s="2" t="str">
        <f t="shared" si="42"/>
        <v/>
      </c>
      <c r="AN193" s="2" t="str">
        <f t="shared" si="41"/>
        <v/>
      </c>
      <c r="AO193" s="2" t="str">
        <f t="shared" si="41"/>
        <v/>
      </c>
      <c r="AP193" s="2" t="str">
        <f t="shared" si="41"/>
        <v/>
      </c>
      <c r="AQ193" s="2" t="str">
        <f t="shared" si="41"/>
        <v/>
      </c>
      <c r="AR193" s="2" t="str">
        <f t="shared" si="41"/>
        <v/>
      </c>
      <c r="AT193" s="143" t="str">
        <f t="shared" si="37"/>
        <v/>
      </c>
      <c r="AU193" s="143" t="str">
        <f t="shared" si="38"/>
        <v/>
      </c>
      <c r="AV193" s="143" t="str">
        <f t="shared" si="40"/>
        <v/>
      </c>
      <c r="AW193" s="143" t="str">
        <f t="shared" si="40"/>
        <v/>
      </c>
      <c r="AX193" s="143" t="str">
        <f t="shared" si="40"/>
        <v/>
      </c>
      <c r="AY193" s="143" t="str">
        <f t="shared" si="39"/>
        <v/>
      </c>
      <c r="AZ193" s="143" t="str">
        <f t="shared" si="39"/>
        <v/>
      </c>
      <c r="BA193" s="143" t="str">
        <f t="shared" si="39"/>
        <v/>
      </c>
      <c r="BB193" s="143" t="str">
        <f t="shared" si="39"/>
        <v/>
      </c>
      <c r="BC193" s="143" t="str">
        <f t="shared" si="39"/>
        <v/>
      </c>
      <c r="BD193" s="143" t="str">
        <f t="shared" si="39"/>
        <v/>
      </c>
      <c r="BF193" s="9">
        <f t="shared" si="31"/>
        <v>0</v>
      </c>
      <c r="BG193" s="9">
        <f t="shared" si="32"/>
        <v>0.97592857091865626</v>
      </c>
    </row>
    <row r="194" spans="2:59" x14ac:dyDescent="0.35">
      <c r="B194" s="3" t="s">
        <v>248</v>
      </c>
      <c r="D194" s="141">
        <v>308106</v>
      </c>
      <c r="E194" s="141">
        <v>345907</v>
      </c>
      <c r="F194" s="141">
        <v>383694</v>
      </c>
      <c r="G194" s="141">
        <v>60906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29"/>
        <v>1098613</v>
      </c>
      <c r="R194" s="141">
        <v>35165</v>
      </c>
      <c r="S194" s="141">
        <v>48626</v>
      </c>
      <c r="T194" s="141">
        <v>48057</v>
      </c>
      <c r="U194" s="141">
        <v>6813</v>
      </c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30"/>
        <v>138661</v>
      </c>
      <c r="AF194" s="2">
        <f t="shared" si="42"/>
        <v>0.11413279845248064</v>
      </c>
      <c r="AG194" s="2">
        <f t="shared" si="42"/>
        <v>0.14057535696010778</v>
      </c>
      <c r="AH194" s="2">
        <f t="shared" si="42"/>
        <v>0.12524824469499132</v>
      </c>
      <c r="AI194" s="2">
        <f t="shared" si="42"/>
        <v>0.11186090040390109</v>
      </c>
      <c r="AJ194" s="2" t="str">
        <f t="shared" si="42"/>
        <v/>
      </c>
      <c r="AK194" s="2" t="str">
        <f t="shared" si="42"/>
        <v/>
      </c>
      <c r="AL194" s="2" t="str">
        <f t="shared" si="42"/>
        <v/>
      </c>
      <c r="AM194" s="2" t="str">
        <f t="shared" si="42"/>
        <v/>
      </c>
      <c r="AN194" s="2" t="str">
        <f t="shared" si="41"/>
        <v/>
      </c>
      <c r="AO194" s="2" t="str">
        <f t="shared" si="41"/>
        <v/>
      </c>
      <c r="AP194" s="2" t="str">
        <f t="shared" si="41"/>
        <v/>
      </c>
      <c r="AQ194" s="2" t="str">
        <f t="shared" si="41"/>
        <v/>
      </c>
      <c r="AR194" s="2">
        <f t="shared" si="41"/>
        <v>0.12621459968159854</v>
      </c>
      <c r="AT194" s="143">
        <f t="shared" si="37"/>
        <v>2.644255850762714E-2</v>
      </c>
      <c r="AU194" s="143">
        <f t="shared" si="38"/>
        <v>-1.532711226511646E-2</v>
      </c>
      <c r="AV194" s="143">
        <f t="shared" si="40"/>
        <v>-1.3387344291090231E-2</v>
      </c>
      <c r="AW194" s="143" t="str">
        <f t="shared" si="40"/>
        <v/>
      </c>
      <c r="AX194" s="143" t="str">
        <f t="shared" si="40"/>
        <v/>
      </c>
      <c r="AY194" s="143" t="str">
        <f t="shared" si="39"/>
        <v/>
      </c>
      <c r="AZ194" s="143" t="str">
        <f t="shared" si="39"/>
        <v/>
      </c>
      <c r="BA194" s="143" t="str">
        <f t="shared" si="39"/>
        <v/>
      </c>
      <c r="BB194" s="143" t="str">
        <f t="shared" si="39"/>
        <v/>
      </c>
      <c r="BC194" s="143" t="str">
        <f t="shared" si="39"/>
        <v/>
      </c>
      <c r="BD194" s="143" t="str">
        <f t="shared" si="39"/>
        <v/>
      </c>
      <c r="BF194" s="9">
        <f t="shared" si="31"/>
        <v>9.9675310914873827E-5</v>
      </c>
      <c r="BG194" s="9">
        <f t="shared" si="32"/>
        <v>0.97602824622957118</v>
      </c>
    </row>
    <row r="195" spans="2:59" x14ac:dyDescent="0.35">
      <c r="B195" s="3" t="s">
        <v>267</v>
      </c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29"/>
        <v>0</v>
      </c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30"/>
        <v>0</v>
      </c>
      <c r="AF195" s="2" t="str">
        <f t="shared" si="42"/>
        <v/>
      </c>
      <c r="AG195" s="2" t="str">
        <f t="shared" si="42"/>
        <v/>
      </c>
      <c r="AH195" s="2" t="str">
        <f t="shared" si="42"/>
        <v/>
      </c>
      <c r="AI195" s="2" t="str">
        <f t="shared" si="42"/>
        <v/>
      </c>
      <c r="AJ195" s="2" t="str">
        <f t="shared" si="42"/>
        <v/>
      </c>
      <c r="AK195" s="2" t="str">
        <f t="shared" si="42"/>
        <v/>
      </c>
      <c r="AL195" s="2" t="str">
        <f t="shared" si="42"/>
        <v/>
      </c>
      <c r="AM195" s="2" t="str">
        <f t="shared" si="42"/>
        <v/>
      </c>
      <c r="AN195" s="2" t="str">
        <f t="shared" si="41"/>
        <v/>
      </c>
      <c r="AO195" s="2" t="str">
        <f t="shared" si="41"/>
        <v/>
      </c>
      <c r="AP195" s="2" t="str">
        <f t="shared" si="41"/>
        <v/>
      </c>
      <c r="AQ195" s="2" t="str">
        <f t="shared" si="41"/>
        <v/>
      </c>
      <c r="AR195" s="2" t="str">
        <f t="shared" si="41"/>
        <v/>
      </c>
      <c r="AT195" s="143" t="str">
        <f t="shared" si="37"/>
        <v/>
      </c>
      <c r="AU195" s="143" t="str">
        <f t="shared" si="38"/>
        <v/>
      </c>
      <c r="AV195" s="143" t="str">
        <f t="shared" si="40"/>
        <v/>
      </c>
      <c r="AW195" s="143" t="str">
        <f t="shared" si="40"/>
        <v/>
      </c>
      <c r="AX195" s="143" t="str">
        <f t="shared" si="40"/>
        <v/>
      </c>
      <c r="AY195" s="143" t="str">
        <f t="shared" si="39"/>
        <v/>
      </c>
      <c r="AZ195" s="143" t="str">
        <f t="shared" si="39"/>
        <v/>
      </c>
      <c r="BA195" s="143" t="str">
        <f t="shared" si="39"/>
        <v/>
      </c>
      <c r="BB195" s="143" t="str">
        <f t="shared" si="39"/>
        <v/>
      </c>
      <c r="BC195" s="143" t="str">
        <f t="shared" si="39"/>
        <v/>
      </c>
      <c r="BD195" s="143" t="str">
        <f t="shared" si="39"/>
        <v/>
      </c>
      <c r="BF195" s="9">
        <f t="shared" si="31"/>
        <v>0</v>
      </c>
      <c r="BG195" s="9">
        <f t="shared" si="32"/>
        <v>0.97602824622957118</v>
      </c>
    </row>
    <row r="196" spans="2:59" x14ac:dyDescent="0.35">
      <c r="B196" s="3" t="s">
        <v>262</v>
      </c>
      <c r="D196" s="141">
        <v>382840</v>
      </c>
      <c r="E196" s="141">
        <v>427795</v>
      </c>
      <c r="F196" s="141">
        <v>459240</v>
      </c>
      <c r="G196" s="141">
        <v>70895</v>
      </c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35" si="43">+SUM(D196:O196)</f>
        <v>1340770</v>
      </c>
      <c r="R196" s="141">
        <v>14866</v>
      </c>
      <c r="S196" s="141">
        <v>43926</v>
      </c>
      <c r="T196" s="141">
        <v>27833</v>
      </c>
      <c r="U196" s="141">
        <v>2134</v>
      </c>
      <c r="V196" s="141"/>
      <c r="W196" s="141"/>
      <c r="X196" s="141"/>
      <c r="Y196" s="141"/>
      <c r="Z196" s="141"/>
      <c r="AA196" s="141"/>
      <c r="AB196" s="141"/>
      <c r="AC196" s="141"/>
      <c r="AD196" s="141">
        <f t="shared" ref="AD196:AD235" si="44">+SUM(R196:AC196)</f>
        <v>88759</v>
      </c>
      <c r="AF196" s="2">
        <f t="shared" si="42"/>
        <v>3.8830843172082331E-2</v>
      </c>
      <c r="AG196" s="2">
        <f t="shared" si="42"/>
        <v>0.10268002197314134</v>
      </c>
      <c r="AH196" s="2">
        <f t="shared" si="42"/>
        <v>6.0606654472606915E-2</v>
      </c>
      <c r="AI196" s="2">
        <f t="shared" si="42"/>
        <v>3.0100853374709077E-2</v>
      </c>
      <c r="AJ196" s="2" t="str">
        <f t="shared" si="42"/>
        <v/>
      </c>
      <c r="AK196" s="2" t="str">
        <f t="shared" si="42"/>
        <v/>
      </c>
      <c r="AL196" s="2" t="str">
        <f t="shared" si="42"/>
        <v/>
      </c>
      <c r="AM196" s="2" t="str">
        <f t="shared" si="42"/>
        <v/>
      </c>
      <c r="AN196" s="2" t="str">
        <f t="shared" si="41"/>
        <v/>
      </c>
      <c r="AO196" s="2" t="str">
        <f t="shared" si="41"/>
        <v/>
      </c>
      <c r="AP196" s="2" t="str">
        <f t="shared" si="41"/>
        <v/>
      </c>
      <c r="AQ196" s="2" t="str">
        <f t="shared" si="41"/>
        <v/>
      </c>
      <c r="AR196" s="2">
        <f t="shared" si="41"/>
        <v>6.6200019391842002E-2</v>
      </c>
      <c r="AT196" s="143">
        <f t="shared" si="37"/>
        <v>6.3849178801059003E-2</v>
      </c>
      <c r="AU196" s="143">
        <f t="shared" si="38"/>
        <v>-4.2073367500534427E-2</v>
      </c>
      <c r="AV196" s="143">
        <f t="shared" si="40"/>
        <v>-3.0505801097897838E-2</v>
      </c>
      <c r="AW196" s="143" t="str">
        <f t="shared" si="40"/>
        <v/>
      </c>
      <c r="AX196" s="143" t="str">
        <f t="shared" si="40"/>
        <v/>
      </c>
      <c r="AY196" s="143" t="str">
        <f t="shared" si="39"/>
        <v/>
      </c>
      <c r="AZ196" s="143" t="str">
        <f t="shared" si="39"/>
        <v/>
      </c>
      <c r="BA196" s="143" t="str">
        <f t="shared" si="39"/>
        <v/>
      </c>
      <c r="BB196" s="143" t="str">
        <f t="shared" si="39"/>
        <v/>
      </c>
      <c r="BC196" s="143" t="str">
        <f t="shared" si="39"/>
        <v/>
      </c>
      <c r="BD196" s="143" t="str">
        <f t="shared" si="39"/>
        <v/>
      </c>
      <c r="BF196" s="9">
        <f t="shared" ref="BF196:BF235" si="45">+AD196/$AD$236</f>
        <v>6.380367169927583E-5</v>
      </c>
      <c r="BG196" s="9">
        <f t="shared" si="32"/>
        <v>0.97609204990127041</v>
      </c>
    </row>
    <row r="197" spans="2:59" x14ac:dyDescent="0.35">
      <c r="B197" s="3" t="s">
        <v>279</v>
      </c>
      <c r="D197" s="141">
        <v>171800</v>
      </c>
      <c r="E197" s="141">
        <v>209331</v>
      </c>
      <c r="F197" s="141">
        <v>224359</v>
      </c>
      <c r="G197" s="141">
        <v>21104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43"/>
        <v>626594</v>
      </c>
      <c r="R197" s="141">
        <v>10985</v>
      </c>
      <c r="S197" s="141">
        <v>17698</v>
      </c>
      <c r="T197" s="141">
        <v>32332</v>
      </c>
      <c r="U197" s="141">
        <v>840</v>
      </c>
      <c r="V197" s="141"/>
      <c r="W197" s="141"/>
      <c r="X197" s="141"/>
      <c r="Y197" s="141"/>
      <c r="Z197" s="141"/>
      <c r="AA197" s="141"/>
      <c r="AB197" s="141"/>
      <c r="AC197" s="141"/>
      <c r="AD197" s="141">
        <f t="shared" si="44"/>
        <v>61855</v>
      </c>
      <c r="AF197" s="2">
        <f t="shared" si="42"/>
        <v>6.3940628637951108E-2</v>
      </c>
      <c r="AG197" s="2">
        <f t="shared" si="42"/>
        <v>8.4545528373723908E-2</v>
      </c>
      <c r="AH197" s="2">
        <f t="shared" si="42"/>
        <v>0.14410832638761983</v>
      </c>
      <c r="AI197" s="2">
        <f t="shared" si="42"/>
        <v>3.9802880970432143E-2</v>
      </c>
      <c r="AJ197" s="2" t="str">
        <f t="shared" si="42"/>
        <v/>
      </c>
      <c r="AK197" s="2" t="str">
        <f t="shared" si="42"/>
        <v/>
      </c>
      <c r="AL197" s="2" t="str">
        <f t="shared" si="42"/>
        <v/>
      </c>
      <c r="AM197" s="2" t="str">
        <f t="shared" si="42"/>
        <v/>
      </c>
      <c r="AN197" s="2" t="str">
        <f t="shared" si="41"/>
        <v/>
      </c>
      <c r="AO197" s="2" t="str">
        <f t="shared" si="41"/>
        <v/>
      </c>
      <c r="AP197" s="2" t="str">
        <f t="shared" si="41"/>
        <v/>
      </c>
      <c r="AQ197" s="2" t="str">
        <f t="shared" si="41"/>
        <v/>
      </c>
      <c r="AR197" s="2">
        <f t="shared" si="41"/>
        <v>9.871623411650926E-2</v>
      </c>
      <c r="AT197" s="143">
        <f t="shared" si="37"/>
        <v>2.06048997357728E-2</v>
      </c>
      <c r="AU197" s="143">
        <f t="shared" si="38"/>
        <v>5.9562798013895926E-2</v>
      </c>
      <c r="AV197" s="143">
        <f t="shared" si="40"/>
        <v>-0.1043054454171877</v>
      </c>
      <c r="AW197" s="143" t="str">
        <f t="shared" si="40"/>
        <v/>
      </c>
      <c r="AX197" s="143" t="str">
        <f t="shared" si="40"/>
        <v/>
      </c>
      <c r="AY197" s="143" t="str">
        <f t="shared" si="39"/>
        <v/>
      </c>
      <c r="AZ197" s="143" t="str">
        <f t="shared" si="39"/>
        <v/>
      </c>
      <c r="BA197" s="143" t="str">
        <f t="shared" si="39"/>
        <v/>
      </c>
      <c r="BB197" s="143" t="str">
        <f t="shared" si="39"/>
        <v/>
      </c>
      <c r="BC197" s="143" t="str">
        <f t="shared" si="39"/>
        <v/>
      </c>
      <c r="BD197" s="143" t="str">
        <f t="shared" si="39"/>
        <v/>
      </c>
      <c r="BF197" s="9">
        <f t="shared" si="45"/>
        <v>4.4463954223895115E-5</v>
      </c>
      <c r="BG197" s="9">
        <f t="shared" si="32"/>
        <v>0.97613651385549427</v>
      </c>
    </row>
    <row r="198" spans="2:59" x14ac:dyDescent="0.35">
      <c r="B198" s="3" t="s">
        <v>269</v>
      </c>
      <c r="D198" s="141">
        <v>132</v>
      </c>
      <c r="E198" s="141"/>
      <c r="F198" s="141">
        <v>2788</v>
      </c>
      <c r="G198" s="141">
        <v>2731</v>
      </c>
      <c r="H198" s="141"/>
      <c r="I198" s="141"/>
      <c r="J198" s="141"/>
      <c r="K198" s="141"/>
      <c r="L198" s="141"/>
      <c r="M198" s="141"/>
      <c r="N198" s="141"/>
      <c r="O198" s="141"/>
      <c r="P198" s="141">
        <f t="shared" si="43"/>
        <v>5651</v>
      </c>
      <c r="R198" s="141">
        <v>1</v>
      </c>
      <c r="S198" s="141"/>
      <c r="T198" s="141">
        <v>1224</v>
      </c>
      <c r="U198" s="141">
        <v>100</v>
      </c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44"/>
        <v>1325</v>
      </c>
      <c r="AF198" s="2">
        <f t="shared" si="42"/>
        <v>7.575757575757576E-3</v>
      </c>
      <c r="AG198" s="2" t="str">
        <f t="shared" si="42"/>
        <v/>
      </c>
      <c r="AH198" s="2">
        <f t="shared" si="42"/>
        <v>0.43902439024390244</v>
      </c>
      <c r="AI198" s="2">
        <f t="shared" si="42"/>
        <v>3.661662394727206E-2</v>
      </c>
      <c r="AJ198" s="2" t="str">
        <f t="shared" si="42"/>
        <v/>
      </c>
      <c r="AK198" s="2" t="str">
        <f t="shared" si="42"/>
        <v/>
      </c>
      <c r="AL198" s="2" t="str">
        <f t="shared" si="42"/>
        <v/>
      </c>
      <c r="AM198" s="2" t="str">
        <f t="shared" si="42"/>
        <v/>
      </c>
      <c r="AN198" s="2" t="str">
        <f t="shared" si="41"/>
        <v/>
      </c>
      <c r="AO198" s="2" t="str">
        <f t="shared" si="41"/>
        <v/>
      </c>
      <c r="AP198" s="2" t="str">
        <f t="shared" si="41"/>
        <v/>
      </c>
      <c r="AQ198" s="2" t="str">
        <f t="shared" si="41"/>
        <v/>
      </c>
      <c r="AR198" s="2">
        <f t="shared" si="41"/>
        <v>0.23447177490709609</v>
      </c>
      <c r="AT198" s="143" t="str">
        <f t="shared" si="37"/>
        <v/>
      </c>
      <c r="AU198" s="143" t="str">
        <f t="shared" si="38"/>
        <v/>
      </c>
      <c r="AV198" s="143">
        <f t="shared" si="40"/>
        <v>-0.40240776629663039</v>
      </c>
      <c r="AW198" s="143" t="str">
        <f t="shared" si="40"/>
        <v/>
      </c>
      <c r="AX198" s="143" t="str">
        <f t="shared" si="40"/>
        <v/>
      </c>
      <c r="AY198" s="143" t="str">
        <f t="shared" si="39"/>
        <v/>
      </c>
      <c r="AZ198" s="143" t="str">
        <f t="shared" si="39"/>
        <v/>
      </c>
      <c r="BA198" s="143" t="str">
        <f t="shared" si="39"/>
        <v/>
      </c>
      <c r="BB198" s="143" t="str">
        <f t="shared" si="39"/>
        <v/>
      </c>
      <c r="BC198" s="143" t="str">
        <f t="shared" si="39"/>
        <v/>
      </c>
      <c r="BD198" s="143" t="str">
        <f t="shared" si="39"/>
        <v/>
      </c>
      <c r="BF198" s="9">
        <f t="shared" si="45"/>
        <v>9.5246527114479065E-7</v>
      </c>
      <c r="BG198" s="9">
        <f t="shared" ref="BG198:BG235" si="46">+BF198+BG197</f>
        <v>0.97613746632076537</v>
      </c>
    </row>
    <row r="199" spans="2:59" x14ac:dyDescent="0.35">
      <c r="B199" s="3" t="s">
        <v>281</v>
      </c>
      <c r="D199" s="141">
        <v>46313</v>
      </c>
      <c r="E199" s="141">
        <v>50166</v>
      </c>
      <c r="F199" s="141">
        <v>46515</v>
      </c>
      <c r="G199" s="141">
        <v>7376</v>
      </c>
      <c r="H199" s="141"/>
      <c r="I199" s="141"/>
      <c r="J199" s="141"/>
      <c r="K199" s="141"/>
      <c r="L199" s="141"/>
      <c r="M199" s="141"/>
      <c r="N199" s="141"/>
      <c r="O199" s="141"/>
      <c r="P199" s="141">
        <f t="shared" si="43"/>
        <v>150370</v>
      </c>
      <c r="R199" s="141">
        <v>12161</v>
      </c>
      <c r="S199" s="141">
        <v>403</v>
      </c>
      <c r="T199" s="141">
        <v>2681</v>
      </c>
      <c r="U199" s="141">
        <v>228</v>
      </c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44"/>
        <v>15473</v>
      </c>
      <c r="AF199" s="2">
        <f t="shared" si="42"/>
        <v>0.26258286010407444</v>
      </c>
      <c r="AG199" s="2">
        <f t="shared" si="42"/>
        <v>8.03332934656939E-3</v>
      </c>
      <c r="AH199" s="2">
        <f t="shared" si="42"/>
        <v>5.7637321294206172E-2</v>
      </c>
      <c r="AI199" s="2">
        <f t="shared" si="42"/>
        <v>3.0911062906724511E-2</v>
      </c>
      <c r="AJ199" s="2" t="str">
        <f t="shared" si="42"/>
        <v/>
      </c>
      <c r="AK199" s="2" t="str">
        <f t="shared" si="42"/>
        <v/>
      </c>
      <c r="AL199" s="2" t="str">
        <f t="shared" si="42"/>
        <v/>
      </c>
      <c r="AM199" s="2" t="str">
        <f t="shared" si="42"/>
        <v/>
      </c>
      <c r="AN199" s="2" t="str">
        <f t="shared" si="41"/>
        <v/>
      </c>
      <c r="AO199" s="2" t="str">
        <f t="shared" si="41"/>
        <v/>
      </c>
      <c r="AP199" s="2" t="str">
        <f t="shared" si="41"/>
        <v/>
      </c>
      <c r="AQ199" s="2" t="str">
        <f t="shared" si="41"/>
        <v/>
      </c>
      <c r="AR199" s="2">
        <f t="shared" si="41"/>
        <v>0.10289951453082397</v>
      </c>
      <c r="AT199" s="143">
        <f t="shared" si="37"/>
        <v>-0.25454953075750508</v>
      </c>
      <c r="AU199" s="143">
        <f t="shared" si="38"/>
        <v>4.9603991947636782E-2</v>
      </c>
      <c r="AV199" s="143">
        <f t="shared" si="40"/>
        <v>-2.6726258387481661E-2</v>
      </c>
      <c r="AW199" s="143" t="str">
        <f t="shared" si="40"/>
        <v/>
      </c>
      <c r="AX199" s="143" t="str">
        <f t="shared" si="40"/>
        <v/>
      </c>
      <c r="AY199" s="143" t="str">
        <f t="shared" si="39"/>
        <v/>
      </c>
      <c r="AZ199" s="143" t="str">
        <f t="shared" si="39"/>
        <v/>
      </c>
      <c r="BA199" s="143" t="str">
        <f t="shared" si="39"/>
        <v/>
      </c>
      <c r="BB199" s="143" t="str">
        <f t="shared" si="39"/>
        <v/>
      </c>
      <c r="BC199" s="143" t="str">
        <f t="shared" si="39"/>
        <v/>
      </c>
      <c r="BD199" s="143" t="str">
        <f t="shared" si="39"/>
        <v/>
      </c>
      <c r="BF199" s="9">
        <f t="shared" si="45"/>
        <v>1.112263784182894E-5</v>
      </c>
      <c r="BG199" s="9">
        <f t="shared" si="46"/>
        <v>0.97614858895860723</v>
      </c>
    </row>
    <row r="200" spans="2:59" x14ac:dyDescent="0.35">
      <c r="B200" s="3" t="s">
        <v>282</v>
      </c>
      <c r="D200" s="141">
        <v>8552</v>
      </c>
      <c r="E200" s="141">
        <v>11462</v>
      </c>
      <c r="F200" s="141">
        <v>61736</v>
      </c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43"/>
        <v>81750</v>
      </c>
      <c r="R200" s="141">
        <v>1055</v>
      </c>
      <c r="S200" s="141">
        <v>759</v>
      </c>
      <c r="T200" s="141">
        <v>9031</v>
      </c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44"/>
        <v>10845</v>
      </c>
      <c r="AF200" s="2">
        <f t="shared" si="42"/>
        <v>0.12336295603367634</v>
      </c>
      <c r="AG200" s="2">
        <f t="shared" si="42"/>
        <v>6.6218809980806148E-2</v>
      </c>
      <c r="AH200" s="2">
        <f t="shared" si="42"/>
        <v>0.14628417778929637</v>
      </c>
      <c r="AI200" s="2" t="str">
        <f t="shared" si="42"/>
        <v/>
      </c>
      <c r="AJ200" s="2" t="str">
        <f t="shared" si="42"/>
        <v/>
      </c>
      <c r="AK200" s="2" t="str">
        <f t="shared" si="42"/>
        <v/>
      </c>
      <c r="AL200" s="2" t="str">
        <f t="shared" si="42"/>
        <v/>
      </c>
      <c r="AM200" s="2" t="str">
        <f t="shared" si="42"/>
        <v/>
      </c>
      <c r="AN200" s="2" t="str">
        <f t="shared" si="41"/>
        <v/>
      </c>
      <c r="AO200" s="2" t="str">
        <f t="shared" si="41"/>
        <v/>
      </c>
      <c r="AP200" s="2" t="str">
        <f t="shared" si="41"/>
        <v/>
      </c>
      <c r="AQ200" s="2" t="str">
        <f t="shared" si="41"/>
        <v/>
      </c>
      <c r="AR200" s="2">
        <f t="shared" si="41"/>
        <v>0.13266055045871561</v>
      </c>
      <c r="AT200" s="143">
        <f t="shared" si="37"/>
        <v>-5.7144146052870187E-2</v>
      </c>
      <c r="AU200" s="143">
        <f t="shared" si="38"/>
        <v>8.0065367808490218E-2</v>
      </c>
      <c r="AV200" s="143" t="str">
        <f t="shared" si="40"/>
        <v/>
      </c>
      <c r="AW200" s="143" t="str">
        <f t="shared" si="40"/>
        <v/>
      </c>
      <c r="AX200" s="143" t="str">
        <f t="shared" si="40"/>
        <v/>
      </c>
      <c r="AY200" s="143" t="str">
        <f t="shared" si="39"/>
        <v/>
      </c>
      <c r="AZ200" s="143" t="str">
        <f t="shared" si="39"/>
        <v/>
      </c>
      <c r="BA200" s="143" t="str">
        <f t="shared" si="39"/>
        <v/>
      </c>
      <c r="BB200" s="143" t="str">
        <f t="shared" si="39"/>
        <v/>
      </c>
      <c r="BC200" s="143" t="str">
        <f t="shared" si="39"/>
        <v/>
      </c>
      <c r="BD200" s="143" t="str">
        <f t="shared" si="39"/>
        <v/>
      </c>
      <c r="BF200" s="9">
        <f t="shared" si="45"/>
        <v>7.7958383891058531E-6</v>
      </c>
      <c r="BG200" s="9">
        <f t="shared" si="46"/>
        <v>0.97615638479699629</v>
      </c>
    </row>
    <row r="201" spans="2:59" x14ac:dyDescent="0.35">
      <c r="B201" s="3" t="s">
        <v>283</v>
      </c>
      <c r="D201" s="141">
        <v>20907</v>
      </c>
      <c r="E201" s="141">
        <v>20344</v>
      </c>
      <c r="F201" s="141">
        <v>25285</v>
      </c>
      <c r="G201" s="141">
        <v>3855</v>
      </c>
      <c r="H201" s="141"/>
      <c r="I201" s="141"/>
      <c r="J201" s="141"/>
      <c r="K201" s="141"/>
      <c r="L201" s="141"/>
      <c r="M201" s="141"/>
      <c r="N201" s="141"/>
      <c r="O201" s="141"/>
      <c r="P201" s="141">
        <f t="shared" si="43"/>
        <v>70391</v>
      </c>
      <c r="R201" s="141">
        <v>1846</v>
      </c>
      <c r="S201" s="141">
        <v>1965</v>
      </c>
      <c r="T201" s="141">
        <v>2444</v>
      </c>
      <c r="U201" s="141">
        <v>446</v>
      </c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44"/>
        <v>6701</v>
      </c>
      <c r="AF201" s="2">
        <f t="shared" si="42"/>
        <v>8.8295786100349161E-2</v>
      </c>
      <c r="AG201" s="2">
        <f t="shared" si="42"/>
        <v>9.6588674793550919E-2</v>
      </c>
      <c r="AH201" s="2">
        <f t="shared" si="42"/>
        <v>9.6658097686375316E-2</v>
      </c>
      <c r="AI201" s="2">
        <f t="shared" si="42"/>
        <v>0.11569390402075228</v>
      </c>
      <c r="AJ201" s="2" t="str">
        <f t="shared" si="42"/>
        <v/>
      </c>
      <c r="AK201" s="2" t="str">
        <f t="shared" si="42"/>
        <v/>
      </c>
      <c r="AL201" s="2" t="str">
        <f t="shared" si="42"/>
        <v/>
      </c>
      <c r="AM201" s="2" t="str">
        <f t="shared" si="42"/>
        <v/>
      </c>
      <c r="AN201" s="2" t="str">
        <f t="shared" si="41"/>
        <v/>
      </c>
      <c r="AO201" s="2" t="str">
        <f t="shared" si="41"/>
        <v/>
      </c>
      <c r="AP201" s="2" t="str">
        <f t="shared" si="41"/>
        <v/>
      </c>
      <c r="AQ201" s="2" t="str">
        <f t="shared" si="41"/>
        <v/>
      </c>
      <c r="AR201" s="2">
        <f t="shared" si="41"/>
        <v>9.5196829140088937E-2</v>
      </c>
      <c r="AT201" s="143">
        <f t="shared" si="37"/>
        <v>8.2928886932017581E-3</v>
      </c>
      <c r="AU201" s="143">
        <f t="shared" si="38"/>
        <v>6.9422892824397286E-5</v>
      </c>
      <c r="AV201" s="143">
        <f t="shared" si="40"/>
        <v>1.9035806334376959E-2</v>
      </c>
      <c r="AW201" s="143" t="str">
        <f t="shared" si="40"/>
        <v/>
      </c>
      <c r="AX201" s="143" t="str">
        <f t="shared" si="40"/>
        <v/>
      </c>
      <c r="AY201" s="143" t="str">
        <f t="shared" si="39"/>
        <v/>
      </c>
      <c r="AZ201" s="143" t="str">
        <f t="shared" si="39"/>
        <v/>
      </c>
      <c r="BA201" s="143" t="str">
        <f t="shared" si="39"/>
        <v/>
      </c>
      <c r="BB201" s="143" t="str">
        <f t="shared" si="39"/>
        <v/>
      </c>
      <c r="BC201" s="143" t="str">
        <f t="shared" si="39"/>
        <v/>
      </c>
      <c r="BD201" s="143" t="str">
        <f t="shared" si="39"/>
        <v/>
      </c>
      <c r="BF201" s="9">
        <f t="shared" si="45"/>
        <v>4.8169583259933902E-6</v>
      </c>
      <c r="BG201" s="9">
        <f t="shared" si="46"/>
        <v>0.97616120175532228</v>
      </c>
    </row>
    <row r="202" spans="2:59" x14ac:dyDescent="0.35">
      <c r="B202" s="3" t="s">
        <v>284</v>
      </c>
      <c r="D202" s="141">
        <v>184473</v>
      </c>
      <c r="E202" s="141">
        <v>157042</v>
      </c>
      <c r="F202" s="141">
        <v>200620</v>
      </c>
      <c r="G202" s="141">
        <v>15777</v>
      </c>
      <c r="H202" s="141"/>
      <c r="I202" s="141"/>
      <c r="J202" s="141"/>
      <c r="K202" s="141"/>
      <c r="L202" s="141"/>
      <c r="M202" s="141"/>
      <c r="N202" s="141"/>
      <c r="O202" s="141"/>
      <c r="P202" s="141">
        <f t="shared" si="43"/>
        <v>557912</v>
      </c>
      <c r="R202" s="141">
        <v>8287</v>
      </c>
      <c r="S202" s="141">
        <v>9678</v>
      </c>
      <c r="T202" s="141">
        <v>15034</v>
      </c>
      <c r="U202" s="141">
        <v>267</v>
      </c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44"/>
        <v>33266</v>
      </c>
      <c r="AF202" s="2">
        <f t="shared" si="42"/>
        <v>4.4922563193529677E-2</v>
      </c>
      <c r="AG202" s="2">
        <f t="shared" si="42"/>
        <v>6.1626825944651749E-2</v>
      </c>
      <c r="AH202" s="2">
        <f t="shared" si="42"/>
        <v>7.493769315123118E-2</v>
      </c>
      <c r="AI202" s="2">
        <f t="shared" si="42"/>
        <v>1.6923369461874883E-2</v>
      </c>
      <c r="AJ202" s="2" t="str">
        <f t="shared" si="42"/>
        <v/>
      </c>
      <c r="AK202" s="2" t="str">
        <f t="shared" si="42"/>
        <v/>
      </c>
      <c r="AL202" s="2" t="str">
        <f t="shared" si="42"/>
        <v/>
      </c>
      <c r="AM202" s="2" t="str">
        <f t="shared" si="42"/>
        <v/>
      </c>
      <c r="AN202" s="2" t="str">
        <f t="shared" si="41"/>
        <v/>
      </c>
      <c r="AO202" s="2" t="str">
        <f t="shared" si="41"/>
        <v/>
      </c>
      <c r="AP202" s="2" t="str">
        <f t="shared" si="41"/>
        <v/>
      </c>
      <c r="AQ202" s="2" t="str">
        <f t="shared" si="41"/>
        <v/>
      </c>
      <c r="AR202" s="2">
        <f t="shared" si="41"/>
        <v>5.9625890821491563E-2</v>
      </c>
      <c r="AT202" s="143">
        <f t="shared" si="37"/>
        <v>1.6704262751122072E-2</v>
      </c>
      <c r="AU202" s="143">
        <f t="shared" si="38"/>
        <v>1.3310867206579431E-2</v>
      </c>
      <c r="AV202" s="143">
        <f t="shared" si="40"/>
        <v>-5.8014323689356301E-2</v>
      </c>
      <c r="AW202" s="143" t="str">
        <f t="shared" si="40"/>
        <v/>
      </c>
      <c r="AX202" s="143" t="str">
        <f t="shared" si="40"/>
        <v/>
      </c>
      <c r="AY202" s="143" t="str">
        <f t="shared" si="39"/>
        <v/>
      </c>
      <c r="AZ202" s="143" t="str">
        <f t="shared" si="39"/>
        <v/>
      </c>
      <c r="BA202" s="143" t="str">
        <f t="shared" si="39"/>
        <v/>
      </c>
      <c r="BB202" s="143" t="str">
        <f t="shared" si="39"/>
        <v/>
      </c>
      <c r="BC202" s="143" t="str">
        <f t="shared" si="39"/>
        <v/>
      </c>
      <c r="BD202" s="143" t="str">
        <f t="shared" si="39"/>
        <v/>
      </c>
      <c r="BF202" s="9">
        <f t="shared" si="45"/>
        <v>2.3912988460303853E-5</v>
      </c>
      <c r="BG202" s="9">
        <f t="shared" si="46"/>
        <v>0.97618511474378256</v>
      </c>
    </row>
    <row r="203" spans="2:59" x14ac:dyDescent="0.35">
      <c r="B203" s="3" t="s">
        <v>285</v>
      </c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43"/>
        <v>0</v>
      </c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44"/>
        <v>0</v>
      </c>
      <c r="AF203" s="2" t="str">
        <f t="shared" si="42"/>
        <v/>
      </c>
      <c r="AG203" s="2" t="str">
        <f t="shared" si="42"/>
        <v/>
      </c>
      <c r="AH203" s="2" t="str">
        <f t="shared" si="42"/>
        <v/>
      </c>
      <c r="AI203" s="2" t="str">
        <f t="shared" si="42"/>
        <v/>
      </c>
      <c r="AJ203" s="2" t="str">
        <f t="shared" si="42"/>
        <v/>
      </c>
      <c r="AK203" s="2" t="str">
        <f t="shared" si="42"/>
        <v/>
      </c>
      <c r="AL203" s="2" t="str">
        <f t="shared" si="42"/>
        <v/>
      </c>
      <c r="AM203" s="2" t="str">
        <f t="shared" si="42"/>
        <v/>
      </c>
      <c r="AN203" s="2" t="str">
        <f t="shared" si="41"/>
        <v/>
      </c>
      <c r="AO203" s="2" t="str">
        <f t="shared" si="41"/>
        <v/>
      </c>
      <c r="AP203" s="2" t="str">
        <f t="shared" si="41"/>
        <v/>
      </c>
      <c r="AQ203" s="2" t="str">
        <f t="shared" si="41"/>
        <v/>
      </c>
      <c r="AR203" s="2" t="str">
        <f t="shared" si="41"/>
        <v/>
      </c>
      <c r="AT203" s="143" t="str">
        <f t="shared" si="37"/>
        <v/>
      </c>
      <c r="AU203" s="143" t="str">
        <f t="shared" si="38"/>
        <v/>
      </c>
      <c r="AV203" s="143" t="str">
        <f t="shared" si="40"/>
        <v/>
      </c>
      <c r="AW203" s="143" t="str">
        <f t="shared" si="40"/>
        <v/>
      </c>
      <c r="AX203" s="143" t="str">
        <f t="shared" si="40"/>
        <v/>
      </c>
      <c r="AY203" s="143" t="str">
        <f t="shared" si="39"/>
        <v/>
      </c>
      <c r="AZ203" s="143" t="str">
        <f t="shared" si="39"/>
        <v/>
      </c>
      <c r="BA203" s="143" t="str">
        <f t="shared" si="39"/>
        <v/>
      </c>
      <c r="BB203" s="143" t="str">
        <f t="shared" si="39"/>
        <v/>
      </c>
      <c r="BC203" s="143" t="str">
        <f t="shared" si="39"/>
        <v/>
      </c>
      <c r="BD203" s="143" t="str">
        <f t="shared" si="39"/>
        <v/>
      </c>
      <c r="BF203" s="9">
        <f t="shared" si="45"/>
        <v>0</v>
      </c>
      <c r="BG203" s="9">
        <f t="shared" si="46"/>
        <v>0.97618511474378256</v>
      </c>
    </row>
    <row r="204" spans="2:59" x14ac:dyDescent="0.35">
      <c r="B204" s="3" t="s">
        <v>296</v>
      </c>
      <c r="D204" s="141">
        <v>1912501</v>
      </c>
      <c r="E204" s="141">
        <v>1767804</v>
      </c>
      <c r="F204" s="141">
        <v>2029746</v>
      </c>
      <c r="G204" s="141">
        <v>229558</v>
      </c>
      <c r="H204" s="141"/>
      <c r="I204" s="141"/>
      <c r="J204" s="141"/>
      <c r="K204" s="141"/>
      <c r="L204" s="141"/>
      <c r="M204" s="141"/>
      <c r="N204" s="141"/>
      <c r="O204" s="141"/>
      <c r="P204" s="141">
        <f t="shared" si="43"/>
        <v>5939609</v>
      </c>
      <c r="R204" s="141">
        <v>141504</v>
      </c>
      <c r="S204" s="141">
        <v>140781</v>
      </c>
      <c r="T204" s="141">
        <v>150106</v>
      </c>
      <c r="U204" s="141">
        <v>18607</v>
      </c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44"/>
        <v>450998</v>
      </c>
      <c r="AF204" s="2">
        <f t="shared" si="42"/>
        <v>7.3988980920794284E-2</v>
      </c>
      <c r="AG204" s="2">
        <f t="shared" si="42"/>
        <v>7.963609087885308E-2</v>
      </c>
      <c r="AH204" s="2">
        <f t="shared" si="42"/>
        <v>7.395309560900723E-2</v>
      </c>
      <c r="AI204" s="2">
        <f t="shared" si="42"/>
        <v>8.1055768041192203E-2</v>
      </c>
      <c r="AJ204" s="2" t="str">
        <f t="shared" si="42"/>
        <v/>
      </c>
      <c r="AK204" s="2" t="str">
        <f t="shared" si="42"/>
        <v/>
      </c>
      <c r="AL204" s="2" t="str">
        <f t="shared" si="42"/>
        <v/>
      </c>
      <c r="AM204" s="2" t="str">
        <f t="shared" si="42"/>
        <v/>
      </c>
      <c r="AN204" s="2" t="str">
        <f t="shared" si="41"/>
        <v/>
      </c>
      <c r="AO204" s="2" t="str">
        <f t="shared" si="41"/>
        <v/>
      </c>
      <c r="AP204" s="2" t="str">
        <f t="shared" si="41"/>
        <v/>
      </c>
      <c r="AQ204" s="2" t="str">
        <f t="shared" si="41"/>
        <v/>
      </c>
      <c r="AR204" s="2">
        <f t="shared" si="41"/>
        <v>7.5930587350110088E-2</v>
      </c>
      <c r="AT204" s="143">
        <f t="shared" si="37"/>
        <v>5.6471099580587963E-3</v>
      </c>
      <c r="AU204" s="143">
        <f t="shared" si="38"/>
        <v>-5.6829952698458502E-3</v>
      </c>
      <c r="AV204" s="143">
        <f t="shared" si="38"/>
        <v>7.1026724321849727E-3</v>
      </c>
      <c r="AW204" s="143"/>
      <c r="AX204" s="143"/>
      <c r="AY204" s="143"/>
      <c r="AZ204" s="143"/>
      <c r="BA204" s="143"/>
      <c r="BB204" s="143"/>
      <c r="BC204" s="143"/>
      <c r="BD204" s="143"/>
      <c r="BF204" s="9">
        <f t="shared" si="45"/>
        <v>3.2419617536283646E-4</v>
      </c>
      <c r="BG204" s="9">
        <f t="shared" si="46"/>
        <v>0.97650931091914539</v>
      </c>
    </row>
    <row r="205" spans="2:59" x14ac:dyDescent="0.35">
      <c r="B205" s="3" t="s">
        <v>298</v>
      </c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43"/>
        <v>0</v>
      </c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44"/>
        <v>0</v>
      </c>
      <c r="AF205" s="2" t="str">
        <f t="shared" si="42"/>
        <v/>
      </c>
      <c r="AG205" s="2" t="str">
        <f t="shared" si="42"/>
        <v/>
      </c>
      <c r="AH205" s="2" t="str">
        <f t="shared" si="42"/>
        <v/>
      </c>
      <c r="AI205" s="2" t="str">
        <f t="shared" si="42"/>
        <v/>
      </c>
      <c r="AJ205" s="2" t="str">
        <f t="shared" si="42"/>
        <v/>
      </c>
      <c r="AK205" s="2" t="str">
        <f t="shared" si="42"/>
        <v/>
      </c>
      <c r="AL205" s="2" t="str">
        <f t="shared" si="42"/>
        <v/>
      </c>
      <c r="AM205" s="2" t="str">
        <f t="shared" si="42"/>
        <v/>
      </c>
      <c r="AN205" s="2" t="str">
        <f t="shared" si="41"/>
        <v/>
      </c>
      <c r="AO205" s="2" t="str">
        <f t="shared" si="41"/>
        <v/>
      </c>
      <c r="AP205" s="2" t="str">
        <f t="shared" si="41"/>
        <v/>
      </c>
      <c r="AQ205" s="2" t="str">
        <f t="shared" si="41"/>
        <v/>
      </c>
      <c r="AR205" s="2" t="str">
        <f t="shared" si="41"/>
        <v/>
      </c>
      <c r="AT205" s="143" t="str">
        <f t="shared" si="37"/>
        <v/>
      </c>
      <c r="AU205" s="143" t="str">
        <f t="shared" si="38"/>
        <v/>
      </c>
      <c r="AV205" s="143" t="str">
        <f t="shared" si="38"/>
        <v/>
      </c>
      <c r="AW205" s="143"/>
      <c r="AX205" s="143"/>
      <c r="AY205" s="143"/>
      <c r="AZ205" s="143"/>
      <c r="BA205" s="143"/>
      <c r="BB205" s="143"/>
      <c r="BC205" s="143"/>
      <c r="BD205" s="143"/>
      <c r="BF205" s="9">
        <f t="shared" si="45"/>
        <v>0</v>
      </c>
      <c r="BG205" s="9">
        <f t="shared" si="46"/>
        <v>0.97650931091914539</v>
      </c>
    </row>
    <row r="206" spans="2:59" x14ac:dyDescent="0.35">
      <c r="B206" s="3" t="s">
        <v>292</v>
      </c>
      <c r="D206" s="141">
        <v>15409</v>
      </c>
      <c r="E206" s="141">
        <v>13017</v>
      </c>
      <c r="F206" s="141">
        <v>12474</v>
      </c>
      <c r="G206" s="141">
        <v>903</v>
      </c>
      <c r="H206" s="141"/>
      <c r="I206" s="141"/>
      <c r="J206" s="141"/>
      <c r="K206" s="141"/>
      <c r="L206" s="141"/>
      <c r="M206" s="141"/>
      <c r="N206" s="141"/>
      <c r="O206" s="141"/>
      <c r="P206" s="141">
        <f t="shared" si="43"/>
        <v>41803</v>
      </c>
      <c r="R206" s="141">
        <v>5193</v>
      </c>
      <c r="S206" s="141">
        <v>627</v>
      </c>
      <c r="T206" s="141">
        <v>479</v>
      </c>
      <c r="U206" s="141">
        <v>78</v>
      </c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44"/>
        <v>6377</v>
      </c>
      <c r="AF206" s="2">
        <f t="shared" si="42"/>
        <v>0.33701083782205205</v>
      </c>
      <c r="AG206" s="2">
        <f t="shared" si="42"/>
        <v>4.8167780594607051E-2</v>
      </c>
      <c r="AH206" s="2">
        <f t="shared" si="42"/>
        <v>3.8399871733205068E-2</v>
      </c>
      <c r="AI206" s="2">
        <f t="shared" si="42"/>
        <v>8.6378737541528236E-2</v>
      </c>
      <c r="AJ206" s="2" t="str">
        <f t="shared" si="42"/>
        <v/>
      </c>
      <c r="AK206" s="2" t="str">
        <f t="shared" si="42"/>
        <v/>
      </c>
      <c r="AL206" s="2" t="str">
        <f t="shared" si="42"/>
        <v/>
      </c>
      <c r="AM206" s="2" t="str">
        <f t="shared" si="42"/>
        <v/>
      </c>
      <c r="AN206" s="2" t="str">
        <f t="shared" si="41"/>
        <v/>
      </c>
      <c r="AO206" s="2" t="str">
        <f t="shared" si="41"/>
        <v/>
      </c>
      <c r="AP206" s="2" t="str">
        <f t="shared" si="41"/>
        <v/>
      </c>
      <c r="AQ206" s="2" t="str">
        <f t="shared" si="41"/>
        <v/>
      </c>
      <c r="AR206" s="2">
        <f t="shared" si="41"/>
        <v>0.15254886012965577</v>
      </c>
      <c r="AT206" s="143">
        <f t="shared" si="37"/>
        <v>-0.28884305722744497</v>
      </c>
      <c r="AU206" s="143">
        <f t="shared" si="38"/>
        <v>-9.7679088614019832E-3</v>
      </c>
      <c r="AV206" s="143">
        <f t="shared" si="38"/>
        <v>4.7978865808323168E-2</v>
      </c>
      <c r="AW206" s="143"/>
      <c r="AX206" s="143"/>
      <c r="AY206" s="143"/>
      <c r="AZ206" s="143"/>
      <c r="BA206" s="143"/>
      <c r="BB206" s="143"/>
      <c r="BC206" s="143"/>
      <c r="BD206" s="143"/>
      <c r="BF206" s="9">
        <f t="shared" si="45"/>
        <v>4.5840536106342116E-6</v>
      </c>
      <c r="BG206" s="9">
        <f t="shared" si="46"/>
        <v>0.97651389497275598</v>
      </c>
    </row>
    <row r="207" spans="2:59" x14ac:dyDescent="0.35">
      <c r="B207" s="3" t="s">
        <v>300</v>
      </c>
      <c r="D207" s="141"/>
      <c r="E207" s="141">
        <v>148</v>
      </c>
      <c r="F207" s="141">
        <v>106</v>
      </c>
      <c r="G207" s="141">
        <v>57</v>
      </c>
      <c r="H207" s="141"/>
      <c r="I207" s="141"/>
      <c r="J207" s="141"/>
      <c r="K207" s="141"/>
      <c r="L207" s="141"/>
      <c r="M207" s="141"/>
      <c r="N207" s="141"/>
      <c r="O207" s="141"/>
      <c r="P207" s="141">
        <f t="shared" si="43"/>
        <v>311</v>
      </c>
      <c r="R207" s="141"/>
      <c r="S207" s="141">
        <v>6</v>
      </c>
      <c r="T207" s="141">
        <v>0</v>
      </c>
      <c r="U207" s="141">
        <v>7</v>
      </c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44"/>
        <v>13</v>
      </c>
      <c r="AF207" s="2" t="str">
        <f t="shared" si="42"/>
        <v/>
      </c>
      <c r="AG207" s="2">
        <f t="shared" si="42"/>
        <v>4.0540540540540543E-2</v>
      </c>
      <c r="AH207" s="2">
        <f t="shared" si="42"/>
        <v>0</v>
      </c>
      <c r="AI207" s="2">
        <f t="shared" si="42"/>
        <v>0.12280701754385964</v>
      </c>
      <c r="AJ207" s="2" t="str">
        <f t="shared" si="42"/>
        <v/>
      </c>
      <c r="AK207" s="2" t="str">
        <f t="shared" si="42"/>
        <v/>
      </c>
      <c r="AL207" s="2" t="str">
        <f t="shared" si="42"/>
        <v/>
      </c>
      <c r="AM207" s="2" t="str">
        <f t="shared" si="42"/>
        <v/>
      </c>
      <c r="AN207" s="2" t="str">
        <f t="shared" si="41"/>
        <v/>
      </c>
      <c r="AO207" s="2" t="str">
        <f t="shared" si="41"/>
        <v/>
      </c>
      <c r="AP207" s="2" t="str">
        <f t="shared" si="41"/>
        <v/>
      </c>
      <c r="AQ207" s="2" t="str">
        <f t="shared" si="41"/>
        <v/>
      </c>
      <c r="AR207" s="2">
        <f t="shared" si="41"/>
        <v>4.1800643086816719E-2</v>
      </c>
      <c r="AT207" s="143" t="str">
        <f t="shared" si="37"/>
        <v/>
      </c>
      <c r="AU207" s="143">
        <f t="shared" si="38"/>
        <v>-4.0540540540540543E-2</v>
      </c>
      <c r="AV207" s="143">
        <f t="shared" si="38"/>
        <v>0.12280701754385964</v>
      </c>
      <c r="AW207" s="143"/>
      <c r="AX207" s="143"/>
      <c r="AY207" s="143"/>
      <c r="AZ207" s="143"/>
      <c r="BA207" s="143"/>
      <c r="BB207" s="143"/>
      <c r="BC207" s="143"/>
      <c r="BD207" s="143"/>
      <c r="BF207" s="9">
        <f t="shared" si="45"/>
        <v>9.3449422829300214E-9</v>
      </c>
      <c r="BG207" s="9">
        <f t="shared" si="46"/>
        <v>0.97651390431769824</v>
      </c>
    </row>
    <row r="208" spans="2:59" x14ac:dyDescent="0.35">
      <c r="B208" s="3" t="s">
        <v>455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43"/>
        <v>0</v>
      </c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44"/>
        <v>0</v>
      </c>
      <c r="AF208" s="2" t="str">
        <f t="shared" si="42"/>
        <v/>
      </c>
      <c r="AG208" s="2" t="str">
        <f t="shared" si="42"/>
        <v/>
      </c>
      <c r="AH208" s="2" t="str">
        <f t="shared" si="42"/>
        <v/>
      </c>
      <c r="AI208" s="2" t="str">
        <f t="shared" si="42"/>
        <v/>
      </c>
      <c r="AJ208" s="2" t="str">
        <f t="shared" si="42"/>
        <v/>
      </c>
      <c r="AK208" s="2" t="str">
        <f t="shared" si="42"/>
        <v/>
      </c>
      <c r="AL208" s="2" t="str">
        <f t="shared" si="42"/>
        <v/>
      </c>
      <c r="AM208" s="2" t="str">
        <f t="shared" si="42"/>
        <v/>
      </c>
      <c r="AN208" s="2" t="str">
        <f t="shared" si="41"/>
        <v/>
      </c>
      <c r="AO208" s="2" t="str">
        <f t="shared" si="41"/>
        <v/>
      </c>
      <c r="AP208" s="2" t="str">
        <f t="shared" si="41"/>
        <v/>
      </c>
      <c r="AQ208" s="2" t="str">
        <f t="shared" si="41"/>
        <v/>
      </c>
      <c r="AR208" s="2" t="str">
        <f t="shared" si="41"/>
        <v/>
      </c>
      <c r="AT208" s="143" t="str">
        <f t="shared" si="37"/>
        <v/>
      </c>
      <c r="AU208" s="143" t="str">
        <f t="shared" si="38"/>
        <v/>
      </c>
      <c r="AV208" s="143" t="str">
        <f t="shared" si="38"/>
        <v/>
      </c>
      <c r="AW208" s="143"/>
      <c r="AX208" s="143"/>
      <c r="AY208" s="143"/>
      <c r="AZ208" s="143"/>
      <c r="BA208" s="143"/>
      <c r="BB208" s="143"/>
      <c r="BC208" s="143"/>
      <c r="BD208" s="143"/>
      <c r="BF208" s="9">
        <f t="shared" si="45"/>
        <v>0</v>
      </c>
      <c r="BG208" s="9">
        <f t="shared" si="46"/>
        <v>0.97651390431769824</v>
      </c>
    </row>
    <row r="209" spans="2:59" x14ac:dyDescent="0.35">
      <c r="B209" s="3" t="s">
        <v>302</v>
      </c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43"/>
        <v>0</v>
      </c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44"/>
        <v>0</v>
      </c>
      <c r="AF209" s="2" t="str">
        <f t="shared" si="42"/>
        <v/>
      </c>
      <c r="AG209" s="2" t="str">
        <f t="shared" si="42"/>
        <v/>
      </c>
      <c r="AH209" s="2" t="str">
        <f t="shared" si="42"/>
        <v/>
      </c>
      <c r="AI209" s="2" t="str">
        <f t="shared" si="42"/>
        <v/>
      </c>
      <c r="AJ209" s="2" t="str">
        <f t="shared" si="42"/>
        <v/>
      </c>
      <c r="AK209" s="2" t="str">
        <f t="shared" si="42"/>
        <v/>
      </c>
      <c r="AL209" s="2" t="str">
        <f t="shared" si="42"/>
        <v/>
      </c>
      <c r="AM209" s="2" t="str">
        <f t="shared" si="42"/>
        <v/>
      </c>
      <c r="AN209" s="2" t="str">
        <f t="shared" si="41"/>
        <v/>
      </c>
      <c r="AO209" s="2" t="str">
        <f t="shared" si="41"/>
        <v/>
      </c>
      <c r="AP209" s="2" t="str">
        <f t="shared" si="41"/>
        <v/>
      </c>
      <c r="AQ209" s="2" t="str">
        <f t="shared" si="41"/>
        <v/>
      </c>
      <c r="AR209" s="2" t="str">
        <f t="shared" si="41"/>
        <v/>
      </c>
      <c r="AT209" s="143" t="str">
        <f t="shared" si="37"/>
        <v/>
      </c>
      <c r="AU209" s="143" t="str">
        <f t="shared" si="38"/>
        <v/>
      </c>
      <c r="AV209" s="143" t="str">
        <f t="shared" si="38"/>
        <v/>
      </c>
      <c r="AW209" s="143"/>
      <c r="AX209" s="143"/>
      <c r="AY209" s="143"/>
      <c r="AZ209" s="143"/>
      <c r="BA209" s="143"/>
      <c r="BB209" s="143"/>
      <c r="BC209" s="143"/>
      <c r="BD209" s="143"/>
      <c r="BF209" s="9">
        <f t="shared" si="45"/>
        <v>0</v>
      </c>
      <c r="BG209" s="9">
        <f t="shared" si="46"/>
        <v>0.97651390431769824</v>
      </c>
    </row>
    <row r="210" spans="2:59" x14ac:dyDescent="0.35">
      <c r="B210" s="3" t="s">
        <v>456</v>
      </c>
      <c r="D210" s="141"/>
      <c r="E210" s="141"/>
      <c r="F210" s="141">
        <v>26</v>
      </c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43"/>
        <v>26</v>
      </c>
      <c r="R210" s="141"/>
      <c r="S210" s="141"/>
      <c r="T210" s="141">
        <v>10</v>
      </c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44"/>
        <v>10</v>
      </c>
      <c r="AF210" s="2" t="str">
        <f t="shared" si="42"/>
        <v/>
      </c>
      <c r="AG210" s="2" t="str">
        <f t="shared" si="42"/>
        <v/>
      </c>
      <c r="AH210" s="2">
        <f t="shared" si="42"/>
        <v>0.38461538461538464</v>
      </c>
      <c r="AI210" s="2" t="str">
        <f t="shared" si="42"/>
        <v/>
      </c>
      <c r="AJ210" s="2" t="str">
        <f t="shared" si="42"/>
        <v/>
      </c>
      <c r="AK210" s="2" t="str">
        <f t="shared" si="42"/>
        <v/>
      </c>
      <c r="AL210" s="2" t="str">
        <f t="shared" si="42"/>
        <v/>
      </c>
      <c r="AM210" s="2" t="str">
        <f t="shared" si="42"/>
        <v/>
      </c>
      <c r="AN210" s="2" t="str">
        <f t="shared" si="41"/>
        <v/>
      </c>
      <c r="AO210" s="2" t="str">
        <f t="shared" si="41"/>
        <v/>
      </c>
      <c r="AP210" s="2" t="str">
        <f t="shared" si="41"/>
        <v/>
      </c>
      <c r="AQ210" s="2" t="str">
        <f t="shared" si="41"/>
        <v/>
      </c>
      <c r="AR210" s="2">
        <f t="shared" si="41"/>
        <v>0.38461538461538464</v>
      </c>
      <c r="AT210" s="143" t="str">
        <f t="shared" si="37"/>
        <v/>
      </c>
      <c r="AU210" s="143" t="str">
        <f t="shared" si="38"/>
        <v/>
      </c>
      <c r="AV210" s="143" t="str">
        <f t="shared" si="38"/>
        <v/>
      </c>
      <c r="AW210" s="143"/>
      <c r="AX210" s="143"/>
      <c r="AY210" s="143"/>
      <c r="AZ210" s="143"/>
      <c r="BA210" s="143"/>
      <c r="BB210" s="143"/>
      <c r="BC210" s="143"/>
      <c r="BD210" s="143"/>
      <c r="BF210" s="9">
        <f t="shared" si="45"/>
        <v>7.1884171407154016E-9</v>
      </c>
      <c r="BG210" s="9">
        <f t="shared" si="46"/>
        <v>0.97651391150611544</v>
      </c>
    </row>
    <row r="211" spans="2:59" x14ac:dyDescent="0.35">
      <c r="B211" s="3" t="s">
        <v>290</v>
      </c>
      <c r="D211" s="141"/>
      <c r="E211" s="141"/>
      <c r="F211" s="141">
        <v>3604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43"/>
        <v>3604</v>
      </c>
      <c r="R211" s="141"/>
      <c r="S211" s="141"/>
      <c r="T211" s="141">
        <v>150</v>
      </c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44"/>
        <v>150</v>
      </c>
      <c r="AF211" s="2" t="str">
        <f t="shared" si="42"/>
        <v/>
      </c>
      <c r="AG211" s="2" t="str">
        <f t="shared" si="42"/>
        <v/>
      </c>
      <c r="AH211" s="2">
        <f t="shared" si="42"/>
        <v>4.1620421753607105E-2</v>
      </c>
      <c r="AI211" s="2" t="str">
        <f t="shared" si="42"/>
        <v/>
      </c>
      <c r="AJ211" s="2" t="str">
        <f t="shared" si="42"/>
        <v/>
      </c>
      <c r="AK211" s="2" t="str">
        <f t="shared" si="42"/>
        <v/>
      </c>
      <c r="AL211" s="2" t="str">
        <f t="shared" si="42"/>
        <v/>
      </c>
      <c r="AM211" s="2" t="str">
        <f t="shared" si="42"/>
        <v/>
      </c>
      <c r="AN211" s="2" t="str">
        <f t="shared" si="41"/>
        <v/>
      </c>
      <c r="AO211" s="2" t="str">
        <f t="shared" si="41"/>
        <v/>
      </c>
      <c r="AP211" s="2" t="str">
        <f t="shared" si="41"/>
        <v/>
      </c>
      <c r="AQ211" s="2" t="str">
        <f t="shared" si="41"/>
        <v/>
      </c>
      <c r="AR211" s="2">
        <f t="shared" si="41"/>
        <v>4.1620421753607105E-2</v>
      </c>
      <c r="AT211" s="143" t="str">
        <f t="shared" si="37"/>
        <v/>
      </c>
      <c r="AU211" s="143" t="str">
        <f t="shared" si="38"/>
        <v/>
      </c>
      <c r="AV211" s="143" t="str">
        <f t="shared" si="38"/>
        <v/>
      </c>
      <c r="AW211" s="143"/>
      <c r="AX211" s="143"/>
      <c r="AY211" s="143"/>
      <c r="AZ211" s="143"/>
      <c r="BA211" s="143"/>
      <c r="BB211" s="143"/>
      <c r="BC211" s="143"/>
      <c r="BD211" s="143"/>
      <c r="BF211" s="9">
        <f t="shared" si="45"/>
        <v>1.0782625711073102E-7</v>
      </c>
      <c r="BG211" s="9">
        <f t="shared" si="46"/>
        <v>0.97651401933237258</v>
      </c>
    </row>
    <row r="212" spans="2:59" x14ac:dyDescent="0.35">
      <c r="B212" s="3" t="s">
        <v>457</v>
      </c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43"/>
        <v>0</v>
      </c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44"/>
        <v>0</v>
      </c>
      <c r="AF212" s="2" t="str">
        <f t="shared" si="42"/>
        <v/>
      </c>
      <c r="AG212" s="2" t="str">
        <f t="shared" si="42"/>
        <v/>
      </c>
      <c r="AH212" s="2" t="str">
        <f t="shared" si="42"/>
        <v/>
      </c>
      <c r="AI212" s="2" t="str">
        <f t="shared" si="42"/>
        <v/>
      </c>
      <c r="AJ212" s="2" t="str">
        <f t="shared" si="42"/>
        <v/>
      </c>
      <c r="AK212" s="2" t="str">
        <f t="shared" si="42"/>
        <v/>
      </c>
      <c r="AL212" s="2" t="str">
        <f t="shared" si="42"/>
        <v/>
      </c>
      <c r="AM212" s="2" t="str">
        <f t="shared" si="42"/>
        <v/>
      </c>
      <c r="AN212" s="2" t="str">
        <f t="shared" si="41"/>
        <v/>
      </c>
      <c r="AO212" s="2" t="str">
        <f t="shared" si="41"/>
        <v/>
      </c>
      <c r="AP212" s="2" t="str">
        <f t="shared" si="41"/>
        <v/>
      </c>
      <c r="AQ212" s="2" t="str">
        <f t="shared" si="41"/>
        <v/>
      </c>
      <c r="AR212" s="2" t="str">
        <f t="shared" si="41"/>
        <v/>
      </c>
      <c r="AT212" s="143" t="str">
        <f t="shared" si="37"/>
        <v/>
      </c>
      <c r="AU212" s="143" t="str">
        <f t="shared" si="38"/>
        <v/>
      </c>
      <c r="AV212" s="143" t="str">
        <f t="shared" si="38"/>
        <v/>
      </c>
      <c r="AW212" s="143"/>
      <c r="AX212" s="143"/>
      <c r="AY212" s="143"/>
      <c r="AZ212" s="143"/>
      <c r="BA212" s="143"/>
      <c r="BB212" s="143"/>
      <c r="BC212" s="143"/>
      <c r="BD212" s="143"/>
      <c r="BF212" s="9">
        <f t="shared" si="45"/>
        <v>0</v>
      </c>
      <c r="BG212" s="9">
        <f t="shared" si="46"/>
        <v>0.97651401933237258</v>
      </c>
    </row>
    <row r="213" spans="2:59" x14ac:dyDescent="0.35">
      <c r="B213" s="3" t="s">
        <v>297</v>
      </c>
      <c r="D213" s="141"/>
      <c r="E213" s="141"/>
      <c r="F213" s="141">
        <v>21905</v>
      </c>
      <c r="G213" s="141">
        <v>1920</v>
      </c>
      <c r="H213" s="141"/>
      <c r="I213" s="141"/>
      <c r="J213" s="141"/>
      <c r="K213" s="141"/>
      <c r="L213" s="141"/>
      <c r="M213" s="141"/>
      <c r="N213" s="141"/>
      <c r="O213" s="141"/>
      <c r="P213" s="141">
        <f t="shared" si="43"/>
        <v>23825</v>
      </c>
      <c r="R213" s="141"/>
      <c r="S213" s="141"/>
      <c r="T213" s="141">
        <v>2395</v>
      </c>
      <c r="U213" s="141">
        <v>70</v>
      </c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44"/>
        <v>2465</v>
      </c>
      <c r="AF213" s="2" t="str">
        <f t="shared" si="42"/>
        <v/>
      </c>
      <c r="AG213" s="2" t="str">
        <f t="shared" si="42"/>
        <v/>
      </c>
      <c r="AH213" s="2">
        <f t="shared" si="42"/>
        <v>0.10933576808947729</v>
      </c>
      <c r="AI213" s="2">
        <f t="shared" si="42"/>
        <v>3.6458333333333336E-2</v>
      </c>
      <c r="AJ213" s="2" t="str">
        <f t="shared" si="42"/>
        <v/>
      </c>
      <c r="AK213" s="2" t="str">
        <f t="shared" si="42"/>
        <v/>
      </c>
      <c r="AL213" s="2" t="str">
        <f t="shared" si="42"/>
        <v/>
      </c>
      <c r="AM213" s="2" t="str">
        <f t="shared" si="42"/>
        <v/>
      </c>
      <c r="AN213" s="2" t="str">
        <f t="shared" si="41"/>
        <v/>
      </c>
      <c r="AO213" s="2" t="str">
        <f t="shared" si="41"/>
        <v/>
      </c>
      <c r="AP213" s="2" t="str">
        <f t="shared" si="41"/>
        <v/>
      </c>
      <c r="AQ213" s="2" t="str">
        <f t="shared" si="41"/>
        <v/>
      </c>
      <c r="AR213" s="2">
        <f t="shared" si="41"/>
        <v>0.10346274921301155</v>
      </c>
      <c r="AT213" s="143" t="str">
        <f t="shared" si="37"/>
        <v/>
      </c>
      <c r="AU213" s="143" t="str">
        <f t="shared" si="38"/>
        <v/>
      </c>
      <c r="AV213" s="143">
        <f t="shared" si="38"/>
        <v>-7.2877434756143944E-2</v>
      </c>
      <c r="AW213" s="143"/>
      <c r="AX213" s="143"/>
      <c r="AY213" s="143"/>
      <c r="AZ213" s="143"/>
      <c r="BA213" s="143"/>
      <c r="BB213" s="143"/>
      <c r="BC213" s="143"/>
      <c r="BD213" s="143"/>
      <c r="BF213" s="9">
        <f t="shared" si="45"/>
        <v>1.7719448251863464E-6</v>
      </c>
      <c r="BG213" s="9">
        <f t="shared" si="46"/>
        <v>0.97651579127719779</v>
      </c>
    </row>
    <row r="214" spans="2:59" x14ac:dyDescent="0.35">
      <c r="B214" s="3" t="s">
        <v>303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43"/>
        <v>0</v>
      </c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44"/>
        <v>0</v>
      </c>
      <c r="AF214" s="2" t="str">
        <f t="shared" si="42"/>
        <v/>
      </c>
      <c r="AG214" s="2" t="str">
        <f t="shared" si="42"/>
        <v/>
      </c>
      <c r="AH214" s="2" t="str">
        <f t="shared" si="42"/>
        <v/>
      </c>
      <c r="AI214" s="2" t="str">
        <f t="shared" si="42"/>
        <v/>
      </c>
      <c r="AJ214" s="2" t="str">
        <f t="shared" si="42"/>
        <v/>
      </c>
      <c r="AK214" s="2" t="str">
        <f t="shared" si="42"/>
        <v/>
      </c>
      <c r="AL214" s="2" t="str">
        <f t="shared" si="42"/>
        <v/>
      </c>
      <c r="AM214" s="2" t="str">
        <f t="shared" si="42"/>
        <v/>
      </c>
      <c r="AN214" s="2" t="str">
        <f t="shared" si="41"/>
        <v/>
      </c>
      <c r="AO214" s="2" t="str">
        <f t="shared" si="41"/>
        <v/>
      </c>
      <c r="AP214" s="2" t="str">
        <f t="shared" si="41"/>
        <v/>
      </c>
      <c r="AQ214" s="2" t="str">
        <f t="shared" si="41"/>
        <v/>
      </c>
      <c r="AR214" s="2" t="str">
        <f t="shared" si="41"/>
        <v/>
      </c>
      <c r="AT214" s="143" t="str">
        <f t="shared" si="37"/>
        <v/>
      </c>
      <c r="AU214" s="143" t="str">
        <f t="shared" si="38"/>
        <v/>
      </c>
      <c r="AV214" s="143" t="str">
        <f t="shared" si="38"/>
        <v/>
      </c>
      <c r="AW214" s="143"/>
      <c r="AX214" s="143"/>
      <c r="AY214" s="143"/>
      <c r="AZ214" s="143"/>
      <c r="BA214" s="143"/>
      <c r="BB214" s="143"/>
      <c r="BC214" s="143"/>
      <c r="BD214" s="143"/>
      <c r="BF214" s="9">
        <f t="shared" si="45"/>
        <v>0</v>
      </c>
      <c r="BG214" s="9">
        <f t="shared" si="46"/>
        <v>0.97651579127719779</v>
      </c>
    </row>
    <row r="215" spans="2:59" x14ac:dyDescent="0.35">
      <c r="B215" s="3" t="s">
        <v>293</v>
      </c>
      <c r="D215" s="141"/>
      <c r="E215" s="141"/>
      <c r="F215" s="141">
        <v>132</v>
      </c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43"/>
        <v>132</v>
      </c>
      <c r="R215" s="141"/>
      <c r="S215" s="141"/>
      <c r="T215" s="141">
        <v>10</v>
      </c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44"/>
        <v>10</v>
      </c>
      <c r="AF215" s="2" t="str">
        <f t="shared" si="42"/>
        <v/>
      </c>
      <c r="AG215" s="2" t="str">
        <f t="shared" si="42"/>
        <v/>
      </c>
      <c r="AH215" s="2">
        <f t="shared" si="42"/>
        <v>7.575757575757576E-2</v>
      </c>
      <c r="AI215" s="2" t="str">
        <f t="shared" si="42"/>
        <v/>
      </c>
      <c r="AJ215" s="2" t="str">
        <f t="shared" si="42"/>
        <v/>
      </c>
      <c r="AK215" s="2" t="str">
        <f t="shared" si="42"/>
        <v/>
      </c>
      <c r="AL215" s="2" t="str">
        <f t="shared" si="42"/>
        <v/>
      </c>
      <c r="AM215" s="2" t="str">
        <f t="shared" si="42"/>
        <v/>
      </c>
      <c r="AN215" s="2" t="str">
        <f t="shared" si="41"/>
        <v/>
      </c>
      <c r="AO215" s="2" t="str">
        <f t="shared" si="41"/>
        <v/>
      </c>
      <c r="AP215" s="2" t="str">
        <f t="shared" si="41"/>
        <v/>
      </c>
      <c r="AQ215" s="2" t="str">
        <f t="shared" si="41"/>
        <v/>
      </c>
      <c r="AR215" s="2">
        <f t="shared" si="41"/>
        <v>7.575757575757576E-2</v>
      </c>
      <c r="AT215" s="143" t="str">
        <f t="shared" si="37"/>
        <v/>
      </c>
      <c r="AU215" s="143" t="str">
        <f t="shared" si="38"/>
        <v/>
      </c>
      <c r="AV215" s="143" t="str">
        <f t="shared" si="38"/>
        <v/>
      </c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45"/>
        <v>7.1884171407154016E-9</v>
      </c>
      <c r="BG215" s="9">
        <f t="shared" si="46"/>
        <v>0.97651579846561498</v>
      </c>
    </row>
    <row r="216" spans="2:59" x14ac:dyDescent="0.35">
      <c r="B216" s="3" t="s">
        <v>458</v>
      </c>
      <c r="D216" s="141">
        <v>1425</v>
      </c>
      <c r="E216" s="141">
        <v>28890</v>
      </c>
      <c r="F216" s="141">
        <v>70052</v>
      </c>
      <c r="G216" s="141">
        <v>10385</v>
      </c>
      <c r="H216" s="141"/>
      <c r="I216" s="141"/>
      <c r="J216" s="141"/>
      <c r="K216" s="141"/>
      <c r="L216" s="141"/>
      <c r="M216" s="141"/>
      <c r="N216" s="141"/>
      <c r="O216" s="141"/>
      <c r="P216" s="141">
        <f t="shared" si="43"/>
        <v>110752</v>
      </c>
      <c r="R216" s="141">
        <v>362</v>
      </c>
      <c r="S216" s="141">
        <v>2184</v>
      </c>
      <c r="T216" s="141">
        <v>5228</v>
      </c>
      <c r="U216" s="141">
        <v>802</v>
      </c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44"/>
        <v>8576</v>
      </c>
      <c r="AF216" s="2">
        <f t="shared" si="42"/>
        <v>0.25403508771929822</v>
      </c>
      <c r="AG216" s="2">
        <f t="shared" si="42"/>
        <v>7.5597092419522324E-2</v>
      </c>
      <c r="AH216" s="2">
        <f t="shared" si="42"/>
        <v>7.4630274653114823E-2</v>
      </c>
      <c r="AI216" s="2">
        <f t="shared" si="42"/>
        <v>7.7226769378911889E-2</v>
      </c>
      <c r="AJ216" s="2" t="str">
        <f t="shared" si="42"/>
        <v/>
      </c>
      <c r="AK216" s="2" t="str">
        <f t="shared" si="42"/>
        <v/>
      </c>
      <c r="AL216" s="2" t="str">
        <f t="shared" si="42"/>
        <v/>
      </c>
      <c r="AM216" s="2" t="str">
        <f t="shared" si="42"/>
        <v/>
      </c>
      <c r="AN216" s="2" t="str">
        <f t="shared" si="41"/>
        <v/>
      </c>
      <c r="AO216" s="2" t="str">
        <f t="shared" si="41"/>
        <v/>
      </c>
      <c r="AP216" s="2" t="str">
        <f t="shared" si="41"/>
        <v/>
      </c>
      <c r="AQ216" s="2" t="str">
        <f t="shared" si="41"/>
        <v/>
      </c>
      <c r="AR216" s="2">
        <f t="shared" si="41"/>
        <v>7.7434267552730418E-2</v>
      </c>
      <c r="AT216" s="143">
        <f t="shared" si="37"/>
        <v>-0.17843799529977589</v>
      </c>
      <c r="AU216" s="143">
        <f t="shared" si="38"/>
        <v>-9.6681776640750172E-4</v>
      </c>
      <c r="AV216" s="143">
        <f t="shared" si="38"/>
        <v>2.5964947257970661E-3</v>
      </c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45"/>
        <v>6.1647865398775281E-6</v>
      </c>
      <c r="BG216" s="9">
        <f t="shared" si="46"/>
        <v>0.9765219632521549</v>
      </c>
    </row>
    <row r="217" spans="2:59" x14ac:dyDescent="0.35">
      <c r="B217" s="3" t="s">
        <v>301</v>
      </c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>
        <f t="shared" si="43"/>
        <v>0</v>
      </c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44"/>
        <v>0</v>
      </c>
      <c r="AF217" s="2" t="str">
        <f t="shared" si="42"/>
        <v/>
      </c>
      <c r="AG217" s="2" t="str">
        <f t="shared" si="42"/>
        <v/>
      </c>
      <c r="AH217" s="2" t="str">
        <f t="shared" si="42"/>
        <v/>
      </c>
      <c r="AI217" s="2" t="str">
        <f t="shared" si="42"/>
        <v/>
      </c>
      <c r="AJ217" s="2" t="str">
        <f t="shared" si="42"/>
        <v/>
      </c>
      <c r="AK217" s="2" t="str">
        <f t="shared" si="42"/>
        <v/>
      </c>
      <c r="AL217" s="2" t="str">
        <f t="shared" si="42"/>
        <v/>
      </c>
      <c r="AM217" s="2" t="str">
        <f t="shared" si="42"/>
        <v/>
      </c>
      <c r="AN217" s="2" t="str">
        <f t="shared" si="41"/>
        <v/>
      </c>
      <c r="AO217" s="2" t="str">
        <f t="shared" si="41"/>
        <v/>
      </c>
      <c r="AP217" s="2" t="str">
        <f t="shared" si="41"/>
        <v/>
      </c>
      <c r="AQ217" s="2" t="str">
        <f t="shared" si="41"/>
        <v/>
      </c>
      <c r="AR217" s="2" t="str">
        <f t="shared" si="41"/>
        <v/>
      </c>
      <c r="AT217" s="143" t="str">
        <f t="shared" si="37"/>
        <v/>
      </c>
      <c r="AU217" s="143" t="str">
        <f t="shared" si="38"/>
        <v/>
      </c>
      <c r="AV217" s="143" t="str">
        <f t="shared" si="38"/>
        <v/>
      </c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45"/>
        <v>0</v>
      </c>
      <c r="BG217" s="9">
        <f t="shared" si="46"/>
        <v>0.9765219632521549</v>
      </c>
    </row>
    <row r="218" spans="2:59" x14ac:dyDescent="0.35">
      <c r="B218" s="3" t="s">
        <v>295</v>
      </c>
      <c r="D218" s="141">
        <v>1927</v>
      </c>
      <c r="E218" s="141">
        <v>1962</v>
      </c>
      <c r="F218" s="141">
        <v>1399</v>
      </c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43"/>
        <v>5288</v>
      </c>
      <c r="R218" s="141">
        <v>300</v>
      </c>
      <c r="S218" s="141">
        <v>150</v>
      </c>
      <c r="T218" s="141">
        <v>130</v>
      </c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44"/>
        <v>580</v>
      </c>
      <c r="AF218" s="2">
        <f t="shared" si="42"/>
        <v>0.15568240788790866</v>
      </c>
      <c r="AG218" s="2">
        <f t="shared" si="42"/>
        <v>7.64525993883792E-2</v>
      </c>
      <c r="AH218" s="2">
        <f t="shared" si="42"/>
        <v>9.2923516797712657E-2</v>
      </c>
      <c r="AI218" s="2" t="str">
        <f t="shared" si="42"/>
        <v/>
      </c>
      <c r="AJ218" s="2" t="str">
        <f t="shared" si="42"/>
        <v/>
      </c>
      <c r="AK218" s="2" t="str">
        <f t="shared" si="42"/>
        <v/>
      </c>
      <c r="AL218" s="2" t="str">
        <f t="shared" si="42"/>
        <v/>
      </c>
      <c r="AM218" s="2" t="str">
        <f t="shared" si="42"/>
        <v/>
      </c>
      <c r="AN218" s="2" t="str">
        <f t="shared" si="41"/>
        <v/>
      </c>
      <c r="AO218" s="2" t="str">
        <f t="shared" si="41"/>
        <v/>
      </c>
      <c r="AP218" s="2" t="str">
        <f t="shared" si="41"/>
        <v/>
      </c>
      <c r="AQ218" s="2" t="str">
        <f t="shared" si="41"/>
        <v/>
      </c>
      <c r="AR218" s="2">
        <f t="shared" si="41"/>
        <v>0.10968229954614221</v>
      </c>
      <c r="AT218" s="143">
        <f t="shared" si="37"/>
        <v>-7.9229808499529458E-2</v>
      </c>
      <c r="AU218" s="143">
        <f t="shared" si="38"/>
        <v>1.6470917409333458E-2</v>
      </c>
      <c r="AV218" s="143" t="str">
        <f t="shared" si="38"/>
        <v/>
      </c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45"/>
        <v>4.1692819416149327E-7</v>
      </c>
      <c r="BG218" s="9">
        <f t="shared" si="46"/>
        <v>0.97652238018034909</v>
      </c>
    </row>
    <row r="219" spans="2:59" x14ac:dyDescent="0.35">
      <c r="B219" s="3" t="s">
        <v>459</v>
      </c>
      <c r="D219" s="141">
        <v>232731</v>
      </c>
      <c r="E219" s="141">
        <v>208734</v>
      </c>
      <c r="F219" s="141">
        <v>295735</v>
      </c>
      <c r="G219" s="141">
        <v>50067</v>
      </c>
      <c r="H219" s="141"/>
      <c r="I219" s="141"/>
      <c r="J219" s="141"/>
      <c r="K219" s="141"/>
      <c r="L219" s="141"/>
      <c r="M219" s="141"/>
      <c r="N219" s="141"/>
      <c r="O219" s="141"/>
      <c r="P219" s="141">
        <f t="shared" si="43"/>
        <v>787267</v>
      </c>
      <c r="R219" s="141">
        <v>8693</v>
      </c>
      <c r="S219" s="141">
        <v>8283</v>
      </c>
      <c r="T219" s="141">
        <v>8839</v>
      </c>
      <c r="U219" s="141">
        <v>1588</v>
      </c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44"/>
        <v>27403</v>
      </c>
      <c r="AF219" s="2">
        <f t="shared" si="42"/>
        <v>3.7352136157194356E-2</v>
      </c>
      <c r="AG219" s="2">
        <f t="shared" si="42"/>
        <v>3.9682083417172095E-2</v>
      </c>
      <c r="AH219" s="2">
        <f t="shared" si="42"/>
        <v>2.9888244543256632E-2</v>
      </c>
      <c r="AI219" s="2">
        <f t="shared" si="42"/>
        <v>3.17174985519404E-2</v>
      </c>
      <c r="AJ219" s="2" t="str">
        <f t="shared" si="42"/>
        <v/>
      </c>
      <c r="AK219" s="2" t="str">
        <f t="shared" si="42"/>
        <v/>
      </c>
      <c r="AL219" s="2" t="str">
        <f t="shared" si="42"/>
        <v/>
      </c>
      <c r="AM219" s="2" t="str">
        <f t="shared" si="42"/>
        <v/>
      </c>
      <c r="AN219" s="2" t="str">
        <f t="shared" si="41"/>
        <v/>
      </c>
      <c r="AO219" s="2" t="str">
        <f t="shared" si="41"/>
        <v/>
      </c>
      <c r="AP219" s="2" t="str">
        <f t="shared" si="41"/>
        <v/>
      </c>
      <c r="AQ219" s="2" t="str">
        <f t="shared" si="41"/>
        <v/>
      </c>
      <c r="AR219" s="2">
        <f t="shared" si="41"/>
        <v>3.480775899408968E-2</v>
      </c>
      <c r="AT219" s="143">
        <f t="shared" si="37"/>
        <v>2.3299472599777396E-3</v>
      </c>
      <c r="AU219" s="143">
        <f t="shared" si="38"/>
        <v>-9.7938388739154635E-3</v>
      </c>
      <c r="AV219" s="143">
        <f t="shared" si="38"/>
        <v>1.8292540086837679E-3</v>
      </c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45"/>
        <v>1.9698419490702415E-5</v>
      </c>
      <c r="BG219" s="9">
        <f t="shared" si="46"/>
        <v>0.97654207859983977</v>
      </c>
    </row>
    <row r="220" spans="2:59" x14ac:dyDescent="0.35">
      <c r="B220" s="3" t="s">
        <v>305</v>
      </c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43"/>
        <v>0</v>
      </c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44"/>
        <v>0</v>
      </c>
      <c r="AF220" s="2" t="str">
        <f t="shared" si="42"/>
        <v/>
      </c>
      <c r="AG220" s="2" t="str">
        <f t="shared" si="42"/>
        <v/>
      </c>
      <c r="AH220" s="2" t="str">
        <f t="shared" si="42"/>
        <v/>
      </c>
      <c r="AI220" s="2" t="str">
        <f t="shared" si="42"/>
        <v/>
      </c>
      <c r="AJ220" s="2" t="str">
        <f t="shared" si="42"/>
        <v/>
      </c>
      <c r="AK220" s="2" t="str">
        <f t="shared" si="42"/>
        <v/>
      </c>
      <c r="AL220" s="2" t="str">
        <f t="shared" si="42"/>
        <v/>
      </c>
      <c r="AM220" s="2" t="str">
        <f t="shared" si="42"/>
        <v/>
      </c>
      <c r="AN220" s="2" t="str">
        <f t="shared" si="41"/>
        <v/>
      </c>
      <c r="AO220" s="2" t="str">
        <f t="shared" si="41"/>
        <v/>
      </c>
      <c r="AP220" s="2" t="str">
        <f t="shared" si="41"/>
        <v/>
      </c>
      <c r="AQ220" s="2" t="str">
        <f t="shared" si="41"/>
        <v/>
      </c>
      <c r="AR220" s="2" t="str">
        <f t="shared" si="41"/>
        <v/>
      </c>
      <c r="AT220" s="143" t="str">
        <f t="shared" si="37"/>
        <v/>
      </c>
      <c r="AU220" s="143" t="str">
        <f t="shared" si="38"/>
        <v/>
      </c>
      <c r="AV220" s="143" t="str">
        <f t="shared" si="38"/>
        <v/>
      </c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45"/>
        <v>0</v>
      </c>
      <c r="BG220" s="9">
        <f t="shared" si="46"/>
        <v>0.97654207859983977</v>
      </c>
    </row>
    <row r="221" spans="2:59" x14ac:dyDescent="0.35">
      <c r="B221" s="3" t="s">
        <v>299</v>
      </c>
      <c r="D221" s="141">
        <v>14634</v>
      </c>
      <c r="E221" s="141">
        <v>4760</v>
      </c>
      <c r="F221" s="141">
        <v>7708</v>
      </c>
      <c r="G221" s="141">
        <v>2672</v>
      </c>
      <c r="H221" s="141"/>
      <c r="I221" s="141"/>
      <c r="J221" s="141"/>
      <c r="K221" s="141"/>
      <c r="L221" s="141"/>
      <c r="M221" s="141"/>
      <c r="N221" s="141"/>
      <c r="O221" s="141"/>
      <c r="P221" s="141">
        <f t="shared" si="43"/>
        <v>29774</v>
      </c>
      <c r="R221" s="141">
        <v>781</v>
      </c>
      <c r="S221" s="141">
        <v>359</v>
      </c>
      <c r="T221" s="141">
        <v>428</v>
      </c>
      <c r="U221" s="141">
        <v>130</v>
      </c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44"/>
        <v>1698</v>
      </c>
      <c r="AF221" s="2">
        <f t="shared" si="42"/>
        <v>5.3368867022003552E-2</v>
      </c>
      <c r="AG221" s="2">
        <f t="shared" si="42"/>
        <v>7.5420168067226886E-2</v>
      </c>
      <c r="AH221" s="2">
        <f t="shared" si="42"/>
        <v>5.5526725480020758E-2</v>
      </c>
      <c r="AI221" s="2">
        <f t="shared" si="42"/>
        <v>4.8652694610778445E-2</v>
      </c>
      <c r="AJ221" s="2" t="str">
        <f t="shared" si="42"/>
        <v/>
      </c>
      <c r="AK221" s="2" t="str">
        <f t="shared" si="42"/>
        <v/>
      </c>
      <c r="AL221" s="2" t="str">
        <f t="shared" si="42"/>
        <v/>
      </c>
      <c r="AM221" s="2" t="str">
        <f t="shared" si="42"/>
        <v/>
      </c>
      <c r="AN221" s="2" t="str">
        <f t="shared" si="41"/>
        <v/>
      </c>
      <c r="AO221" s="2" t="str">
        <f t="shared" si="41"/>
        <v/>
      </c>
      <c r="AP221" s="2" t="str">
        <f t="shared" si="41"/>
        <v/>
      </c>
      <c r="AQ221" s="2" t="str">
        <f t="shared" si="41"/>
        <v/>
      </c>
      <c r="AR221" s="2">
        <f t="shared" si="41"/>
        <v>5.7029623161147312E-2</v>
      </c>
      <c r="AT221" s="143">
        <f t="shared" si="37"/>
        <v>2.2051301045223334E-2</v>
      </c>
      <c r="AU221" s="143">
        <f t="shared" si="38"/>
        <v>-1.9893442587206128E-2</v>
      </c>
      <c r="AV221" s="143">
        <f t="shared" si="38"/>
        <v>-6.8740308692423133E-3</v>
      </c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45"/>
        <v>1.2205932304934751E-6</v>
      </c>
      <c r="BG221" s="9">
        <f t="shared" si="46"/>
        <v>0.97654329919307026</v>
      </c>
    </row>
    <row r="222" spans="2:59" x14ac:dyDescent="0.35">
      <c r="B222" s="3" t="s">
        <v>294</v>
      </c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43"/>
        <v>0</v>
      </c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44"/>
        <v>0</v>
      </c>
      <c r="AF222" s="2" t="str">
        <f t="shared" si="42"/>
        <v/>
      </c>
      <c r="AG222" s="2" t="str">
        <f t="shared" si="42"/>
        <v/>
      </c>
      <c r="AH222" s="2" t="str">
        <f t="shared" si="42"/>
        <v/>
      </c>
      <c r="AI222" s="2" t="str">
        <f t="shared" si="42"/>
        <v/>
      </c>
      <c r="AJ222" s="2" t="str">
        <f t="shared" si="42"/>
        <v/>
      </c>
      <c r="AK222" s="2" t="str">
        <f t="shared" si="42"/>
        <v/>
      </c>
      <c r="AL222" s="2" t="str">
        <f t="shared" si="42"/>
        <v/>
      </c>
      <c r="AM222" s="2" t="str">
        <f t="shared" si="42"/>
        <v/>
      </c>
      <c r="AN222" s="2" t="str">
        <f t="shared" si="41"/>
        <v/>
      </c>
      <c r="AO222" s="2" t="str">
        <f t="shared" si="41"/>
        <v/>
      </c>
      <c r="AP222" s="2" t="str">
        <f t="shared" si="41"/>
        <v/>
      </c>
      <c r="AQ222" s="2" t="str">
        <f t="shared" si="41"/>
        <v/>
      </c>
      <c r="AR222" s="2" t="str">
        <f t="shared" si="41"/>
        <v/>
      </c>
      <c r="AT222" s="143" t="str">
        <f t="shared" si="37"/>
        <v/>
      </c>
      <c r="AU222" s="143" t="str">
        <f t="shared" si="38"/>
        <v/>
      </c>
      <c r="AV222" s="143" t="str">
        <f t="shared" si="38"/>
        <v/>
      </c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45"/>
        <v>0</v>
      </c>
      <c r="BG222" s="9">
        <f t="shared" si="46"/>
        <v>0.97654329919307026</v>
      </c>
    </row>
    <row r="223" spans="2:59" x14ac:dyDescent="0.35">
      <c r="B223" s="3" t="s">
        <v>304</v>
      </c>
      <c r="D223" s="141">
        <v>10326</v>
      </c>
      <c r="E223" s="141">
        <v>6967</v>
      </c>
      <c r="F223" s="141">
        <v>23415</v>
      </c>
      <c r="G223" s="141">
        <v>3793</v>
      </c>
      <c r="H223" s="141"/>
      <c r="I223" s="141"/>
      <c r="J223" s="141"/>
      <c r="K223" s="141"/>
      <c r="L223" s="141"/>
      <c r="M223" s="141"/>
      <c r="N223" s="141"/>
      <c r="O223" s="141"/>
      <c r="P223" s="141">
        <f t="shared" si="43"/>
        <v>44501</v>
      </c>
      <c r="R223" s="141">
        <v>1014</v>
      </c>
      <c r="S223" s="141">
        <v>99</v>
      </c>
      <c r="T223" s="141">
        <v>5384</v>
      </c>
      <c r="U223" s="141">
        <v>189</v>
      </c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44"/>
        <v>6686</v>
      </c>
      <c r="AF223" s="2">
        <f t="shared" si="42"/>
        <v>9.8198721673445677E-2</v>
      </c>
      <c r="AG223" s="2">
        <f t="shared" si="42"/>
        <v>1.4209846418831634E-2</v>
      </c>
      <c r="AH223" s="2">
        <f t="shared" si="42"/>
        <v>0.22993807388426221</v>
      </c>
      <c r="AI223" s="2">
        <f t="shared" si="42"/>
        <v>4.9828631689955181E-2</v>
      </c>
      <c r="AJ223" s="2" t="str">
        <f t="shared" si="42"/>
        <v/>
      </c>
      <c r="AK223" s="2" t="str">
        <f t="shared" si="42"/>
        <v/>
      </c>
      <c r="AL223" s="2" t="str">
        <f t="shared" si="42"/>
        <v/>
      </c>
      <c r="AM223" s="2" t="str">
        <f t="shared" ref="AM223:AR235" si="47">+IFERROR(Y223/K223,"")</f>
        <v/>
      </c>
      <c r="AN223" s="2" t="str">
        <f t="shared" si="47"/>
        <v/>
      </c>
      <c r="AO223" s="2" t="str">
        <f t="shared" si="47"/>
        <v/>
      </c>
      <c r="AP223" s="2" t="str">
        <f t="shared" si="47"/>
        <v/>
      </c>
      <c r="AQ223" s="2" t="str">
        <f t="shared" si="47"/>
        <v/>
      </c>
      <c r="AR223" s="2">
        <f t="shared" si="47"/>
        <v>0.15024381474573606</v>
      </c>
      <c r="AT223" s="143">
        <f t="shared" si="37"/>
        <v>-8.3988875254614043E-2</v>
      </c>
      <c r="AU223" s="143">
        <f t="shared" si="38"/>
        <v>0.21572822746543058</v>
      </c>
      <c r="AV223" s="143">
        <f t="shared" si="38"/>
        <v>-0.18010944219430702</v>
      </c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45"/>
        <v>4.8061757002823171E-6</v>
      </c>
      <c r="BG223" s="9">
        <f t="shared" si="46"/>
        <v>0.97654810536877057</v>
      </c>
    </row>
    <row r="224" spans="2:59" x14ac:dyDescent="0.35">
      <c r="B224" s="3" t="s">
        <v>291</v>
      </c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43"/>
        <v>0</v>
      </c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44"/>
        <v>0</v>
      </c>
      <c r="AF224" s="2" t="str">
        <f t="shared" ref="AF224:AR236" si="48">+IFERROR(R224/D224,"")</f>
        <v/>
      </c>
      <c r="AG224" s="2" t="str">
        <f t="shared" si="48"/>
        <v/>
      </c>
      <c r="AH224" s="2" t="str">
        <f t="shared" si="48"/>
        <v/>
      </c>
      <c r="AI224" s="2" t="str">
        <f t="shared" si="48"/>
        <v/>
      </c>
      <c r="AJ224" s="2" t="str">
        <f t="shared" si="48"/>
        <v/>
      </c>
      <c r="AK224" s="2" t="str">
        <f t="shared" si="48"/>
        <v/>
      </c>
      <c r="AL224" s="2" t="str">
        <f t="shared" si="48"/>
        <v/>
      </c>
      <c r="AM224" s="2" t="str">
        <f t="shared" si="47"/>
        <v/>
      </c>
      <c r="AN224" s="2" t="str">
        <f t="shared" si="47"/>
        <v/>
      </c>
      <c r="AO224" s="2" t="str">
        <f t="shared" si="47"/>
        <v/>
      </c>
      <c r="AP224" s="2" t="str">
        <f t="shared" si="47"/>
        <v/>
      </c>
      <c r="AQ224" s="2" t="str">
        <f t="shared" si="47"/>
        <v/>
      </c>
      <c r="AR224" s="2" t="str">
        <f t="shared" si="47"/>
        <v/>
      </c>
      <c r="AT224" s="143" t="str">
        <f t="shared" si="37"/>
        <v/>
      </c>
      <c r="AU224" s="143" t="str">
        <f t="shared" si="38"/>
        <v/>
      </c>
      <c r="AV224" s="143" t="str">
        <f t="shared" si="38"/>
        <v/>
      </c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45"/>
        <v>0</v>
      </c>
      <c r="BG224" s="9">
        <f t="shared" si="46"/>
        <v>0.97654810536877057</v>
      </c>
    </row>
    <row r="225" spans="2:59" x14ac:dyDescent="0.35">
      <c r="B225" s="3" t="s">
        <v>460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43"/>
        <v>0</v>
      </c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44"/>
        <v>0</v>
      </c>
      <c r="AF225" s="2" t="str">
        <f t="shared" si="48"/>
        <v/>
      </c>
      <c r="AG225" s="2" t="str">
        <f t="shared" si="48"/>
        <v/>
      </c>
      <c r="AH225" s="2" t="str">
        <f t="shared" si="48"/>
        <v/>
      </c>
      <c r="AI225" s="2" t="str">
        <f t="shared" si="48"/>
        <v/>
      </c>
      <c r="AJ225" s="2" t="str">
        <f t="shared" si="48"/>
        <v/>
      </c>
      <c r="AK225" s="2" t="str">
        <f t="shared" si="48"/>
        <v/>
      </c>
      <c r="AL225" s="2" t="str">
        <f t="shared" si="48"/>
        <v/>
      </c>
      <c r="AM225" s="2" t="str">
        <f t="shared" si="47"/>
        <v/>
      </c>
      <c r="AN225" s="2" t="str">
        <f t="shared" si="47"/>
        <v/>
      </c>
      <c r="AO225" s="2" t="str">
        <f t="shared" si="47"/>
        <v/>
      </c>
      <c r="AP225" s="2" t="str">
        <f t="shared" si="47"/>
        <v/>
      </c>
      <c r="AQ225" s="2" t="str">
        <f t="shared" si="47"/>
        <v/>
      </c>
      <c r="AR225" s="2" t="str">
        <f t="shared" si="47"/>
        <v/>
      </c>
      <c r="AT225" s="143" t="str">
        <f t="shared" si="37"/>
        <v/>
      </c>
      <c r="AU225" s="143" t="str">
        <f t="shared" si="38"/>
        <v/>
      </c>
      <c r="AV225" s="143" t="str">
        <f t="shared" si="38"/>
        <v/>
      </c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45"/>
        <v>0</v>
      </c>
      <c r="BG225" s="9">
        <f t="shared" si="46"/>
        <v>0.97654810536877057</v>
      </c>
    </row>
    <row r="226" spans="2:59" x14ac:dyDescent="0.35">
      <c r="B226" s="3" t="s">
        <v>461</v>
      </c>
      <c r="D226" s="141">
        <v>59119437</v>
      </c>
      <c r="E226" s="141">
        <v>56338941</v>
      </c>
      <c r="F226" s="141">
        <v>56390165</v>
      </c>
      <c r="G226" s="141">
        <v>10048261</v>
      </c>
      <c r="H226" s="141"/>
      <c r="I226" s="141"/>
      <c r="J226" s="141"/>
      <c r="K226" s="141"/>
      <c r="L226" s="141"/>
      <c r="M226" s="141"/>
      <c r="N226" s="141"/>
      <c r="O226" s="141"/>
      <c r="P226" s="141">
        <f t="shared" si="43"/>
        <v>181896804</v>
      </c>
      <c r="R226" s="141">
        <v>10444285</v>
      </c>
      <c r="S226" s="141">
        <v>11407377</v>
      </c>
      <c r="T226" s="141">
        <v>9113773</v>
      </c>
      <c r="U226" s="141">
        <v>1648720</v>
      </c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44"/>
        <v>32614155</v>
      </c>
      <c r="AF226" s="2">
        <f t="shared" si="48"/>
        <v>0.17666414854390444</v>
      </c>
      <c r="AG226" s="2">
        <f t="shared" si="48"/>
        <v>0.20247766105507733</v>
      </c>
      <c r="AH226" s="2">
        <f t="shared" si="48"/>
        <v>0.16161990304514981</v>
      </c>
      <c r="AI226" s="2">
        <f t="shared" si="48"/>
        <v>0.16408013287075246</v>
      </c>
      <c r="AJ226" s="2" t="str">
        <f t="shared" si="48"/>
        <v/>
      </c>
      <c r="AK226" s="2" t="str">
        <f t="shared" si="48"/>
        <v/>
      </c>
      <c r="AL226" s="2" t="str">
        <f t="shared" si="48"/>
        <v/>
      </c>
      <c r="AM226" s="2" t="str">
        <f t="shared" si="47"/>
        <v/>
      </c>
      <c r="AN226" s="2" t="str">
        <f t="shared" si="47"/>
        <v/>
      </c>
      <c r="AO226" s="2" t="str">
        <f t="shared" si="47"/>
        <v/>
      </c>
      <c r="AP226" s="2" t="str">
        <f t="shared" si="47"/>
        <v/>
      </c>
      <c r="AQ226" s="2" t="str">
        <f t="shared" si="47"/>
        <v/>
      </c>
      <c r="AR226" s="2">
        <f t="shared" si="47"/>
        <v>0.17930031909741526</v>
      </c>
      <c r="AT226" s="143">
        <f t="shared" si="37"/>
        <v>2.5813512511172892E-2</v>
      </c>
      <c r="AU226" s="143">
        <f t="shared" si="38"/>
        <v>-4.0857758009927525E-2</v>
      </c>
      <c r="AV226" s="143">
        <f t="shared" si="38"/>
        <v>2.46022982560265E-3</v>
      </c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45"/>
        <v>2.3444415083194892E-2</v>
      </c>
      <c r="BG226" s="9">
        <f t="shared" si="46"/>
        <v>0.99999252045196552</v>
      </c>
    </row>
    <row r="227" spans="2:59" x14ac:dyDescent="0.35">
      <c r="B227" s="3" t="s">
        <v>462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43"/>
        <v>0</v>
      </c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44"/>
        <v>0</v>
      </c>
      <c r="AF227" s="2" t="str">
        <f t="shared" si="48"/>
        <v/>
      </c>
      <c r="AG227" s="2" t="str">
        <f t="shared" si="48"/>
        <v/>
      </c>
      <c r="AH227" s="2" t="str">
        <f t="shared" si="48"/>
        <v/>
      </c>
      <c r="AI227" s="2" t="str">
        <f t="shared" si="48"/>
        <v/>
      </c>
      <c r="AJ227" s="2" t="str">
        <f t="shared" si="48"/>
        <v/>
      </c>
      <c r="AK227" s="2" t="str">
        <f t="shared" si="48"/>
        <v/>
      </c>
      <c r="AL227" s="2" t="str">
        <f t="shared" si="48"/>
        <v/>
      </c>
      <c r="AM227" s="2" t="str">
        <f t="shared" si="47"/>
        <v/>
      </c>
      <c r="AN227" s="2" t="str">
        <f t="shared" si="47"/>
        <v/>
      </c>
      <c r="AO227" s="2" t="str">
        <f t="shared" si="47"/>
        <v/>
      </c>
      <c r="AP227" s="2" t="str">
        <f t="shared" si="47"/>
        <v/>
      </c>
      <c r="AQ227" s="2" t="str">
        <f t="shared" si="47"/>
        <v/>
      </c>
      <c r="AR227" s="2" t="str">
        <f t="shared" si="47"/>
        <v/>
      </c>
      <c r="AT227" s="143" t="str">
        <f t="shared" si="37"/>
        <v/>
      </c>
      <c r="AU227" s="143" t="str">
        <f t="shared" si="38"/>
        <v/>
      </c>
      <c r="AV227" s="143" t="str">
        <f t="shared" si="38"/>
        <v/>
      </c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45"/>
        <v>0</v>
      </c>
      <c r="BG227" s="9">
        <f t="shared" si="46"/>
        <v>0.99999252045196552</v>
      </c>
    </row>
    <row r="228" spans="2:59" x14ac:dyDescent="0.35">
      <c r="B228" s="3" t="s">
        <v>463</v>
      </c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>
        <f t="shared" si="43"/>
        <v>0</v>
      </c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44"/>
        <v>0</v>
      </c>
      <c r="AF228" s="2" t="str">
        <f t="shared" si="48"/>
        <v/>
      </c>
      <c r="AG228" s="2" t="str">
        <f t="shared" si="48"/>
        <v/>
      </c>
      <c r="AH228" s="2" t="str">
        <f t="shared" si="48"/>
        <v/>
      </c>
      <c r="AI228" s="2" t="str">
        <f t="shared" si="48"/>
        <v/>
      </c>
      <c r="AJ228" s="2" t="str">
        <f t="shared" si="48"/>
        <v/>
      </c>
      <c r="AK228" s="2" t="str">
        <f t="shared" si="48"/>
        <v/>
      </c>
      <c r="AL228" s="2" t="str">
        <f t="shared" si="48"/>
        <v/>
      </c>
      <c r="AM228" s="2" t="str">
        <f t="shared" si="47"/>
        <v/>
      </c>
      <c r="AN228" s="2" t="str">
        <f t="shared" si="47"/>
        <v/>
      </c>
      <c r="AO228" s="2" t="str">
        <f t="shared" si="47"/>
        <v/>
      </c>
      <c r="AP228" s="2" t="str">
        <f t="shared" si="47"/>
        <v/>
      </c>
      <c r="AQ228" s="2" t="str">
        <f t="shared" si="47"/>
        <v/>
      </c>
      <c r="AR228" s="2" t="str">
        <f t="shared" si="47"/>
        <v/>
      </c>
      <c r="AT228" s="143" t="str">
        <f t="shared" si="37"/>
        <v/>
      </c>
      <c r="AU228" s="143" t="str">
        <f t="shared" si="38"/>
        <v/>
      </c>
      <c r="AV228" s="143" t="str">
        <f t="shared" si="38"/>
        <v/>
      </c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45"/>
        <v>0</v>
      </c>
      <c r="BG228" s="9">
        <f t="shared" si="46"/>
        <v>0.99999252045196552</v>
      </c>
    </row>
    <row r="229" spans="2:59" x14ac:dyDescent="0.35">
      <c r="B229" s="3" t="s">
        <v>464</v>
      </c>
      <c r="D229" s="141"/>
      <c r="E229" s="141"/>
      <c r="F229" s="141">
        <v>5631</v>
      </c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43"/>
        <v>5631</v>
      </c>
      <c r="R229" s="141"/>
      <c r="S229" s="141"/>
      <c r="T229" s="141">
        <v>728</v>
      </c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44"/>
        <v>728</v>
      </c>
      <c r="AF229" s="2" t="str">
        <f t="shared" si="48"/>
        <v/>
      </c>
      <c r="AG229" s="2" t="str">
        <f t="shared" si="48"/>
        <v/>
      </c>
      <c r="AH229" s="2">
        <f t="shared" si="48"/>
        <v>0.12928431894867698</v>
      </c>
      <c r="AI229" s="2" t="str">
        <f t="shared" si="48"/>
        <v/>
      </c>
      <c r="AJ229" s="2" t="str">
        <f t="shared" si="48"/>
        <v/>
      </c>
      <c r="AK229" s="2" t="str">
        <f t="shared" si="48"/>
        <v/>
      </c>
      <c r="AL229" s="2" t="str">
        <f t="shared" si="48"/>
        <v/>
      </c>
      <c r="AM229" s="2" t="str">
        <f t="shared" si="47"/>
        <v/>
      </c>
      <c r="AN229" s="2" t="str">
        <f t="shared" si="47"/>
        <v/>
      </c>
      <c r="AO229" s="2" t="str">
        <f t="shared" si="47"/>
        <v/>
      </c>
      <c r="AP229" s="2" t="str">
        <f t="shared" si="47"/>
        <v/>
      </c>
      <c r="AQ229" s="2" t="str">
        <f t="shared" si="47"/>
        <v/>
      </c>
      <c r="AR229" s="2">
        <f t="shared" si="47"/>
        <v>0.12928431894867698</v>
      </c>
      <c r="AT229" s="143" t="str">
        <f t="shared" si="37"/>
        <v/>
      </c>
      <c r="AU229" s="143" t="str">
        <f t="shared" si="38"/>
        <v/>
      </c>
      <c r="AV229" s="143" t="str">
        <f t="shared" si="38"/>
        <v/>
      </c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45"/>
        <v>5.2331676784408122E-7</v>
      </c>
      <c r="BG229" s="9">
        <f t="shared" si="46"/>
        <v>0.99999304376873333</v>
      </c>
    </row>
    <row r="230" spans="2:59" x14ac:dyDescent="0.35">
      <c r="B230" s="3" t="s">
        <v>465</v>
      </c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43"/>
        <v>0</v>
      </c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44"/>
        <v>0</v>
      </c>
      <c r="AF230" s="2" t="str">
        <f t="shared" si="48"/>
        <v/>
      </c>
      <c r="AG230" s="2" t="str">
        <f t="shared" si="48"/>
        <v/>
      </c>
      <c r="AH230" s="2" t="str">
        <f t="shared" si="48"/>
        <v/>
      </c>
      <c r="AI230" s="2" t="str">
        <f t="shared" si="48"/>
        <v/>
      </c>
      <c r="AJ230" s="2" t="str">
        <f t="shared" si="48"/>
        <v/>
      </c>
      <c r="AK230" s="2" t="str">
        <f t="shared" si="48"/>
        <v/>
      </c>
      <c r="AL230" s="2" t="str">
        <f t="shared" si="48"/>
        <v/>
      </c>
      <c r="AM230" s="2" t="str">
        <f t="shared" si="47"/>
        <v/>
      </c>
      <c r="AN230" s="2" t="str">
        <f t="shared" si="47"/>
        <v/>
      </c>
      <c r="AO230" s="2" t="str">
        <f t="shared" si="47"/>
        <v/>
      </c>
      <c r="AP230" s="2" t="str">
        <f t="shared" si="47"/>
        <v/>
      </c>
      <c r="AQ230" s="2" t="str">
        <f t="shared" si="47"/>
        <v/>
      </c>
      <c r="AR230" s="2" t="str">
        <f t="shared" si="47"/>
        <v/>
      </c>
      <c r="AT230" s="143" t="str">
        <f t="shared" si="37"/>
        <v/>
      </c>
      <c r="AU230" s="143" t="str">
        <f t="shared" si="38"/>
        <v/>
      </c>
      <c r="AV230" s="143" t="str">
        <f t="shared" si="38"/>
        <v/>
      </c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45"/>
        <v>0</v>
      </c>
      <c r="BG230" s="9">
        <f t="shared" si="46"/>
        <v>0.99999304376873333</v>
      </c>
    </row>
    <row r="231" spans="2:59" x14ac:dyDescent="0.35">
      <c r="B231" s="3" t="s">
        <v>466</v>
      </c>
      <c r="D231" s="141">
        <v>6131</v>
      </c>
      <c r="E231" s="141">
        <v>1705</v>
      </c>
      <c r="F231" s="141">
        <v>4310</v>
      </c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43"/>
        <v>12146</v>
      </c>
      <c r="R231" s="141">
        <v>257</v>
      </c>
      <c r="S231" s="141">
        <v>340</v>
      </c>
      <c r="T231" s="141">
        <v>396</v>
      </c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44"/>
        <v>993</v>
      </c>
      <c r="AF231" s="2">
        <f t="shared" si="48"/>
        <v>4.1918121024302722E-2</v>
      </c>
      <c r="AG231" s="2">
        <f t="shared" si="48"/>
        <v>0.19941348973607037</v>
      </c>
      <c r="AH231" s="2">
        <f t="shared" si="48"/>
        <v>9.1879350348027841E-2</v>
      </c>
      <c r="AI231" s="2" t="str">
        <f t="shared" si="48"/>
        <v/>
      </c>
      <c r="AJ231" s="2" t="str">
        <f t="shared" si="48"/>
        <v/>
      </c>
      <c r="AK231" s="2" t="str">
        <f t="shared" si="48"/>
        <v/>
      </c>
      <c r="AL231" s="2" t="str">
        <f t="shared" si="48"/>
        <v/>
      </c>
      <c r="AM231" s="2" t="str">
        <f t="shared" si="47"/>
        <v/>
      </c>
      <c r="AN231" s="2" t="str">
        <f t="shared" si="47"/>
        <v/>
      </c>
      <c r="AO231" s="2" t="str">
        <f t="shared" si="47"/>
        <v/>
      </c>
      <c r="AP231" s="2" t="str">
        <f t="shared" si="47"/>
        <v/>
      </c>
      <c r="AQ231" s="2" t="str">
        <f t="shared" si="47"/>
        <v/>
      </c>
      <c r="AR231" s="2">
        <f t="shared" si="47"/>
        <v>8.175531039025194E-2</v>
      </c>
      <c r="AT231" s="143">
        <f t="shared" si="37"/>
        <v>0.15749536871176764</v>
      </c>
      <c r="AU231" s="143">
        <f t="shared" si="38"/>
        <v>-0.10753413938804253</v>
      </c>
      <c r="AV231" s="143" t="str">
        <f t="shared" si="38"/>
        <v/>
      </c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45"/>
        <v>7.1380982207303933E-7</v>
      </c>
      <c r="BG231" s="9">
        <f t="shared" si="46"/>
        <v>0.99999375757855535</v>
      </c>
    </row>
    <row r="232" spans="2:59" x14ac:dyDescent="0.35">
      <c r="B232" s="3" t="s">
        <v>467</v>
      </c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43"/>
        <v>0</v>
      </c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44"/>
        <v>0</v>
      </c>
      <c r="AF232" s="2" t="str">
        <f t="shared" si="48"/>
        <v/>
      </c>
      <c r="AG232" s="2" t="str">
        <f t="shared" si="48"/>
        <v/>
      </c>
      <c r="AH232" s="2" t="str">
        <f t="shared" si="48"/>
        <v/>
      </c>
      <c r="AI232" s="2" t="str">
        <f t="shared" si="48"/>
        <v/>
      </c>
      <c r="AJ232" s="2" t="str">
        <f t="shared" si="48"/>
        <v/>
      </c>
      <c r="AK232" s="2" t="str">
        <f t="shared" si="48"/>
        <v/>
      </c>
      <c r="AL232" s="2" t="str">
        <f t="shared" si="48"/>
        <v/>
      </c>
      <c r="AM232" s="2" t="str">
        <f t="shared" si="47"/>
        <v/>
      </c>
      <c r="AN232" s="2" t="str">
        <f t="shared" si="47"/>
        <v/>
      </c>
      <c r="AO232" s="2" t="str">
        <f t="shared" si="47"/>
        <v/>
      </c>
      <c r="AP232" s="2" t="str">
        <f t="shared" si="47"/>
        <v/>
      </c>
      <c r="AQ232" s="2" t="str">
        <f t="shared" si="47"/>
        <v/>
      </c>
      <c r="AR232" s="2" t="str">
        <f t="shared" si="47"/>
        <v/>
      </c>
      <c r="AT232" s="143" t="str">
        <f t="shared" si="37"/>
        <v/>
      </c>
      <c r="AU232" s="143" t="str">
        <f t="shared" si="38"/>
        <v/>
      </c>
      <c r="AV232" s="143" t="str">
        <f t="shared" si="38"/>
        <v/>
      </c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45"/>
        <v>0</v>
      </c>
      <c r="BG232" s="9">
        <f t="shared" si="46"/>
        <v>0.99999375757855535</v>
      </c>
    </row>
    <row r="233" spans="2:59" x14ac:dyDescent="0.35">
      <c r="B233" s="3" t="s">
        <v>468</v>
      </c>
      <c r="D233" s="141">
        <v>13500</v>
      </c>
      <c r="E233" s="141">
        <v>32657</v>
      </c>
      <c r="F233" s="141">
        <v>38007</v>
      </c>
      <c r="G233" s="141">
        <v>8260</v>
      </c>
      <c r="H233" s="141"/>
      <c r="I233" s="141"/>
      <c r="J233" s="141"/>
      <c r="K233" s="141"/>
      <c r="L233" s="141"/>
      <c r="M233" s="141"/>
      <c r="N233" s="141"/>
      <c r="O233" s="141"/>
      <c r="P233" s="141">
        <f t="shared" si="43"/>
        <v>92424</v>
      </c>
      <c r="R233" s="141">
        <v>1047</v>
      </c>
      <c r="S233" s="141">
        <v>4195</v>
      </c>
      <c r="T233" s="141">
        <v>2670</v>
      </c>
      <c r="U233" s="141">
        <v>772</v>
      </c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44"/>
        <v>8684</v>
      </c>
      <c r="AF233" s="2">
        <f t="shared" si="48"/>
        <v>7.7555555555555558E-2</v>
      </c>
      <c r="AG233" s="2">
        <f t="shared" si="48"/>
        <v>0.12845637994916864</v>
      </c>
      <c r="AH233" s="2">
        <f t="shared" si="48"/>
        <v>7.0250217065277454E-2</v>
      </c>
      <c r="AI233" s="2">
        <f t="shared" si="48"/>
        <v>9.346246973365617E-2</v>
      </c>
      <c r="AJ233" s="2" t="str">
        <f t="shared" si="48"/>
        <v/>
      </c>
      <c r="AK233" s="2" t="str">
        <f t="shared" si="48"/>
        <v/>
      </c>
      <c r="AL233" s="2" t="str">
        <f t="shared" si="48"/>
        <v/>
      </c>
      <c r="AM233" s="2" t="str">
        <f t="shared" si="47"/>
        <v/>
      </c>
      <c r="AN233" s="2" t="str">
        <f t="shared" si="47"/>
        <v/>
      </c>
      <c r="AO233" s="2" t="str">
        <f t="shared" si="47"/>
        <v/>
      </c>
      <c r="AP233" s="2" t="str">
        <f t="shared" si="47"/>
        <v/>
      </c>
      <c r="AQ233" s="2" t="str">
        <f t="shared" si="47"/>
        <v/>
      </c>
      <c r="AR233" s="2">
        <f t="shared" si="47"/>
        <v>9.3958279234830785E-2</v>
      </c>
      <c r="AT233" s="143">
        <f t="shared" si="37"/>
        <v>5.0900824393613084E-2</v>
      </c>
      <c r="AU233" s="143">
        <f t="shared" si="38"/>
        <v>-5.8206162883891188E-2</v>
      </c>
      <c r="AV233" s="143">
        <f t="shared" si="38"/>
        <v>2.3212252668378716E-2</v>
      </c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45"/>
        <v>6.2424214449972543E-6</v>
      </c>
      <c r="BG233" s="9">
        <f t="shared" si="46"/>
        <v>1.0000000000000004</v>
      </c>
    </row>
    <row r="234" spans="2:59" x14ac:dyDescent="0.35">
      <c r="B234" s="3" t="s">
        <v>469</v>
      </c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43"/>
        <v>0</v>
      </c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44"/>
        <v>0</v>
      </c>
      <c r="AF234" s="2" t="str">
        <f t="shared" si="48"/>
        <v/>
      </c>
      <c r="AG234" s="2" t="str">
        <f t="shared" si="48"/>
        <v/>
      </c>
      <c r="AH234" s="2" t="str">
        <f t="shared" si="48"/>
        <v/>
      </c>
      <c r="AI234" s="2" t="str">
        <f t="shared" si="48"/>
        <v/>
      </c>
      <c r="AJ234" s="2" t="str">
        <f t="shared" si="48"/>
        <v/>
      </c>
      <c r="AK234" s="2" t="str">
        <f t="shared" si="48"/>
        <v/>
      </c>
      <c r="AL234" s="2" t="str">
        <f t="shared" si="48"/>
        <v/>
      </c>
      <c r="AM234" s="2" t="str">
        <f t="shared" si="47"/>
        <v/>
      </c>
      <c r="AN234" s="2" t="str">
        <f t="shared" si="47"/>
        <v/>
      </c>
      <c r="AO234" s="2" t="str">
        <f t="shared" si="47"/>
        <v/>
      </c>
      <c r="AP234" s="2" t="str">
        <f t="shared" si="47"/>
        <v/>
      </c>
      <c r="AQ234" s="2" t="str">
        <f t="shared" si="47"/>
        <v/>
      </c>
      <c r="AR234" s="2" t="str">
        <f t="shared" si="47"/>
        <v/>
      </c>
      <c r="AT234" s="143" t="str">
        <f t="shared" si="37"/>
        <v/>
      </c>
      <c r="AU234" s="143" t="str">
        <f t="shared" si="38"/>
        <v/>
      </c>
      <c r="AV234" s="143"/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45"/>
        <v>0</v>
      </c>
      <c r="BG234" s="9">
        <f t="shared" si="46"/>
        <v>1.0000000000000004</v>
      </c>
    </row>
    <row r="235" spans="2:59" x14ac:dyDescent="0.35">
      <c r="B235" s="3" t="s">
        <v>470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43"/>
        <v>0</v>
      </c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44"/>
        <v>0</v>
      </c>
      <c r="AF235" s="2" t="str">
        <f t="shared" si="48"/>
        <v/>
      </c>
      <c r="AG235" s="2" t="str">
        <f t="shared" si="48"/>
        <v/>
      </c>
      <c r="AH235" s="2" t="str">
        <f t="shared" si="48"/>
        <v/>
      </c>
      <c r="AI235" s="2" t="str">
        <f t="shared" si="48"/>
        <v/>
      </c>
      <c r="AJ235" s="2" t="str">
        <f t="shared" si="48"/>
        <v/>
      </c>
      <c r="AK235" s="2" t="str">
        <f t="shared" si="48"/>
        <v/>
      </c>
      <c r="AL235" s="2" t="str">
        <f t="shared" si="48"/>
        <v/>
      </c>
      <c r="AM235" s="2" t="str">
        <f t="shared" si="47"/>
        <v/>
      </c>
      <c r="AN235" s="2" t="str">
        <f t="shared" si="47"/>
        <v/>
      </c>
      <c r="AO235" s="2" t="str">
        <f t="shared" si="47"/>
        <v/>
      </c>
      <c r="AP235" s="2" t="str">
        <f t="shared" si="47"/>
        <v/>
      </c>
      <c r="AQ235" s="2" t="str">
        <f t="shared" si="47"/>
        <v/>
      </c>
      <c r="AR235" s="2" t="str">
        <f t="shared" si="47"/>
        <v/>
      </c>
      <c r="AT235" s="143" t="str">
        <f t="shared" si="37"/>
        <v/>
      </c>
      <c r="AU235" s="143" t="str">
        <f t="shared" si="38"/>
        <v/>
      </c>
      <c r="AV235" s="143"/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45"/>
        <v>0</v>
      </c>
      <c r="BG235" s="9">
        <f t="shared" si="46"/>
        <v>1.0000000000000004</v>
      </c>
    </row>
    <row r="236" spans="2:59" s="17" customFormat="1" x14ac:dyDescent="0.35">
      <c r="B236" s="3" t="s">
        <v>286</v>
      </c>
      <c r="D236" s="144">
        <f>+SUM(D5:D235)</f>
        <v>3398961468</v>
      </c>
      <c r="E236" s="144">
        <f t="shared" ref="E236:P236" si="49">+SUM(E5:E235)</f>
        <v>3246154239</v>
      </c>
      <c r="F236" s="144">
        <f t="shared" si="49"/>
        <v>3736048013</v>
      </c>
      <c r="G236" s="144">
        <f t="shared" si="49"/>
        <v>655305262</v>
      </c>
      <c r="H236" s="144">
        <f t="shared" si="49"/>
        <v>0</v>
      </c>
      <c r="I236" s="144">
        <f t="shared" si="49"/>
        <v>0</v>
      </c>
      <c r="J236" s="144">
        <f t="shared" si="49"/>
        <v>0</v>
      </c>
      <c r="K236" s="144">
        <f t="shared" si="49"/>
        <v>0</v>
      </c>
      <c r="L236" s="144">
        <f t="shared" si="49"/>
        <v>0</v>
      </c>
      <c r="M236" s="144">
        <f t="shared" si="49"/>
        <v>0</v>
      </c>
      <c r="N236" s="144">
        <f t="shared" si="49"/>
        <v>0</v>
      </c>
      <c r="O236" s="144">
        <f t="shared" si="49"/>
        <v>0</v>
      </c>
      <c r="P236" s="144">
        <f t="shared" si="49"/>
        <v>11036468982</v>
      </c>
      <c r="R236" s="144">
        <f>+SUM(R5:R235)</f>
        <v>427439751</v>
      </c>
      <c r="S236" s="144">
        <f t="shared" ref="S236:AD236" si="50">+SUM(S5:S235)</f>
        <v>414005690</v>
      </c>
      <c r="T236" s="144">
        <f t="shared" si="50"/>
        <v>464225277</v>
      </c>
      <c r="U236" s="144">
        <f t="shared" si="50"/>
        <v>85456119</v>
      </c>
      <c r="V236" s="144">
        <f t="shared" si="50"/>
        <v>0</v>
      </c>
      <c r="W236" s="144">
        <f t="shared" si="50"/>
        <v>0</v>
      </c>
      <c r="X236" s="144">
        <f t="shared" si="50"/>
        <v>0</v>
      </c>
      <c r="Y236" s="144">
        <f t="shared" si="50"/>
        <v>0</v>
      </c>
      <c r="Z236" s="144">
        <f t="shared" si="50"/>
        <v>0</v>
      </c>
      <c r="AA236" s="144">
        <f t="shared" si="50"/>
        <v>0</v>
      </c>
      <c r="AB236" s="144">
        <f t="shared" si="50"/>
        <v>0</v>
      </c>
      <c r="AC236" s="144">
        <f t="shared" si="50"/>
        <v>0</v>
      </c>
      <c r="AD236" s="144">
        <f t="shared" si="50"/>
        <v>1391126837</v>
      </c>
      <c r="AF236" s="7">
        <f>+IFERROR(R236/D236,"")</f>
        <v>0.1257559860634466</v>
      </c>
      <c r="AG236" s="7">
        <f t="shared" si="48"/>
        <v>0.12753728243286963</v>
      </c>
      <c r="AH236" s="7">
        <f t="shared" si="48"/>
        <v>0.12425570425879856</v>
      </c>
      <c r="AI236" s="7">
        <f t="shared" si="48"/>
        <v>0.13040658141396094</v>
      </c>
      <c r="AJ236" s="7" t="str">
        <f t="shared" si="48"/>
        <v/>
      </c>
      <c r="AK236" s="7" t="str">
        <f t="shared" si="48"/>
        <v/>
      </c>
      <c r="AL236" s="7" t="str">
        <f t="shared" si="48"/>
        <v/>
      </c>
      <c r="AM236" s="7" t="str">
        <f t="shared" si="48"/>
        <v/>
      </c>
      <c r="AN236" s="7" t="str">
        <f t="shared" si="48"/>
        <v/>
      </c>
      <c r="AO236" s="7" t="str">
        <f t="shared" si="48"/>
        <v/>
      </c>
      <c r="AP236" s="7" t="str">
        <f t="shared" si="48"/>
        <v/>
      </c>
      <c r="AQ236" s="7" t="str">
        <f t="shared" si="48"/>
        <v/>
      </c>
      <c r="AR236" s="7">
        <f t="shared" si="48"/>
        <v>0.12604818074230692</v>
      </c>
      <c r="AT236" s="7">
        <f t="shared" si="37"/>
        <v>1.7812963694230355E-3</v>
      </c>
      <c r="AU236" s="7">
        <f t="shared" si="38"/>
        <v>-3.2815781740710703E-3</v>
      </c>
      <c r="AV236" s="7">
        <f>+IFERROR(AI236-AH236,"")</f>
        <v>6.150877155162382E-3</v>
      </c>
      <c r="AW236" s="7" t="str">
        <f t="shared" ref="AW236:BD236" si="51">+IFERROR(AJ236-AI236,"")</f>
        <v/>
      </c>
      <c r="AX236" s="7" t="str">
        <f t="shared" si="51"/>
        <v/>
      </c>
      <c r="AY236" s="7" t="str">
        <f t="shared" si="51"/>
        <v/>
      </c>
      <c r="AZ236" s="7" t="str">
        <f t="shared" si="51"/>
        <v/>
      </c>
      <c r="BA236" s="7" t="str">
        <f t="shared" si="51"/>
        <v/>
      </c>
      <c r="BB236" s="7" t="str">
        <f t="shared" si="51"/>
        <v/>
      </c>
      <c r="BC236" s="7" t="str">
        <f t="shared" si="51"/>
        <v/>
      </c>
      <c r="BD236" s="7" t="str">
        <f t="shared" si="51"/>
        <v/>
      </c>
      <c r="BF236" s="10">
        <f>+AD236/$AD$236</f>
        <v>1</v>
      </c>
      <c r="BG236" s="10"/>
    </row>
    <row r="238" spans="2:59" x14ac:dyDescent="0.35">
      <c r="I238" s="242"/>
      <c r="J238" s="242"/>
      <c r="K238" s="242"/>
      <c r="L238" s="242"/>
      <c r="M238" s="242"/>
    </row>
    <row r="241" spans="11:11" x14ac:dyDescent="0.35">
      <c r="K241" s="147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B1:BG258"/>
  <sheetViews>
    <sheetView showGridLines="0" zoomScale="70" zoomScaleNormal="70" workbookViewId="0">
      <pane xSplit="2" ySplit="4" topLeftCell="C5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B1" sqref="B1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51.81640625" style="154" customWidth="1"/>
    <col min="3" max="3" width="1.90625" style="154" customWidth="1"/>
    <col min="4" max="5" width="16.36328125" style="154" hidden="1" customWidth="1" outlineLevel="1"/>
    <col min="6" max="6" width="16.36328125" style="154" bestFit="1" customWidth="1" outlineLevel="1"/>
    <col min="7" max="7" width="16.36328125" style="154" customWidth="1" outlineLevel="1"/>
    <col min="8" max="15" width="16.36328125" style="154" hidden="1" customWidth="1" outlineLevel="1"/>
    <col min="16" max="16" width="16.36328125" style="154" bestFit="1" customWidth="1" outlineLevel="1"/>
    <col min="17" max="17" width="1.81640625" style="154" customWidth="1"/>
    <col min="18" max="19" width="16.36328125" style="154" hidden="1" customWidth="1" outlineLevel="1"/>
    <col min="20" max="20" width="16.36328125" style="154" bestFit="1" customWidth="1" outlineLevel="1"/>
    <col min="21" max="21" width="16.36328125" style="154" customWidth="1" outlineLevel="1"/>
    <col min="22" max="29" width="16.36328125" style="154" hidden="1" customWidth="1" outlineLevel="1"/>
    <col min="30" max="30" width="16.36328125" style="154" bestFit="1" customWidth="1" outlineLevel="1"/>
    <col min="31" max="31" width="1.6328125" style="154" customWidth="1"/>
    <col min="32" max="33" width="8.54296875" style="154" hidden="1" customWidth="1"/>
    <col min="34" max="35" width="8.54296875" style="154" customWidth="1"/>
    <col min="36" max="43" width="8.54296875" style="154" hidden="1" customWidth="1"/>
    <col min="44" max="44" width="8.54296875" style="154" bestFit="1" customWidth="1"/>
    <col min="45" max="45" width="2.453125" style="154" customWidth="1"/>
    <col min="46" max="46" width="9.6328125" style="154" hidden="1" customWidth="1"/>
    <col min="47" max="47" width="10.08984375" style="154" customWidth="1"/>
    <col min="48" max="48" width="9.453125" style="154" customWidth="1"/>
    <col min="49" max="49" width="10.453125" style="154" hidden="1" customWidth="1"/>
    <col min="50" max="50" width="9.453125" style="154" hidden="1" customWidth="1"/>
    <col min="51" max="51" width="8.6328125" style="154" hidden="1" customWidth="1"/>
    <col min="52" max="52" width="9.81640625" style="154" hidden="1" customWidth="1"/>
    <col min="53" max="53" width="9.6328125" style="154" hidden="1" customWidth="1"/>
    <col min="54" max="54" width="9.453125" style="154" hidden="1" customWidth="1"/>
    <col min="55" max="55" width="10.08984375" style="154" hidden="1" customWidth="1"/>
    <col min="56" max="56" width="9" style="154" hidden="1" customWidth="1"/>
    <col min="57" max="57" width="2.6328125" style="154" customWidth="1"/>
    <col min="58" max="58" width="6.6328125" style="154" bestFit="1" customWidth="1"/>
    <col min="59" max="59" width="10" style="154" bestFit="1" customWidth="1"/>
    <col min="60" max="79" width="11.54296875" style="154" customWidth="1"/>
    <col min="80" max="16384" width="11.54296875" style="154"/>
  </cols>
  <sheetData>
    <row r="1" spans="2:59" ht="23" customHeight="1" x14ac:dyDescent="0.35"/>
    <row r="2" spans="2:59" x14ac:dyDescent="0.35">
      <c r="D2" s="254" t="s">
        <v>71</v>
      </c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R2" s="256" t="s">
        <v>72</v>
      </c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F2" s="254" t="s">
        <v>73</v>
      </c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T2" s="257" t="s">
        <v>454</v>
      </c>
      <c r="AU2" s="255"/>
      <c r="AV2" s="255"/>
      <c r="AW2" s="255"/>
      <c r="AX2" s="255"/>
      <c r="AY2" s="255"/>
      <c r="AZ2" s="255"/>
      <c r="BA2" s="255"/>
      <c r="BB2" s="255"/>
      <c r="BC2" s="255"/>
      <c r="BD2" s="255"/>
    </row>
    <row r="3" spans="2:59" ht="5" customHeight="1" x14ac:dyDescent="0.35"/>
    <row r="4" spans="2:59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44</v>
      </c>
      <c r="AF4" s="4" t="s">
        <v>19</v>
      </c>
      <c r="AG4" s="4" t="s">
        <v>20</v>
      </c>
      <c r="AH4" s="4" t="s">
        <v>21</v>
      </c>
      <c r="AI4" s="4" t="s">
        <v>22</v>
      </c>
      <c r="AJ4" s="4" t="s">
        <v>23</v>
      </c>
      <c r="AK4" s="4" t="s">
        <v>24</v>
      </c>
      <c r="AL4" s="4" t="s">
        <v>25</v>
      </c>
      <c r="AM4" s="4" t="s">
        <v>26</v>
      </c>
      <c r="AN4" s="4" t="s">
        <v>27</v>
      </c>
      <c r="AO4" s="4" t="s">
        <v>28</v>
      </c>
      <c r="AP4" s="4" t="s">
        <v>29</v>
      </c>
      <c r="AQ4" s="4" t="s">
        <v>30</v>
      </c>
      <c r="AR4" s="4" t="s">
        <v>44</v>
      </c>
      <c r="AT4" s="1" t="s">
        <v>75</v>
      </c>
      <c r="AU4" s="1" t="s">
        <v>76</v>
      </c>
      <c r="AV4" s="1" t="s">
        <v>77</v>
      </c>
      <c r="AW4" s="1" t="s">
        <v>78</v>
      </c>
      <c r="AX4" s="1" t="s">
        <v>79</v>
      </c>
      <c r="AY4" s="1" t="s">
        <v>80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289</v>
      </c>
      <c r="BF4" s="1" t="s">
        <v>85</v>
      </c>
      <c r="BG4" s="1" t="s">
        <v>86</v>
      </c>
    </row>
    <row r="5" spans="2:59" x14ac:dyDescent="0.35">
      <c r="B5" s="3" t="s">
        <v>88</v>
      </c>
      <c r="D5" s="141">
        <v>22824513</v>
      </c>
      <c r="E5" s="141">
        <v>21450662</v>
      </c>
      <c r="F5" s="141">
        <v>24952352</v>
      </c>
      <c r="G5" s="141">
        <v>3621877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72849404</v>
      </c>
      <c r="R5" s="141">
        <v>16617374</v>
      </c>
      <c r="S5" s="141">
        <v>15526319</v>
      </c>
      <c r="T5" s="141">
        <v>17819978</v>
      </c>
      <c r="U5" s="141">
        <v>2571714</v>
      </c>
      <c r="V5" s="141"/>
      <c r="W5" s="141"/>
      <c r="X5" s="141"/>
      <c r="Y5" s="141"/>
      <c r="Z5" s="141"/>
      <c r="AA5" s="141"/>
      <c r="AB5" s="141"/>
      <c r="AC5" s="141"/>
      <c r="AD5" s="141">
        <f t="shared" ref="AD5:AD68" si="1">+SUM(R5:AC5)</f>
        <v>52535385</v>
      </c>
      <c r="AF5" s="2">
        <f t="shared" ref="AF5:AR24" si="2">+IFERROR(R5/D5,"")</f>
        <v>0.72804944403413996</v>
      </c>
      <c r="AG5" s="2">
        <f t="shared" si="2"/>
        <v>0.72381537688673669</v>
      </c>
      <c r="AH5" s="2">
        <f t="shared" si="2"/>
        <v>0.714160252308079</v>
      </c>
      <c r="AI5" s="2">
        <f t="shared" si="2"/>
        <v>0.71005006520099934</v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  <c r="AO5" s="2" t="str">
        <f t="shared" si="2"/>
        <v/>
      </c>
      <c r="AP5" s="2" t="str">
        <f t="shared" si="2"/>
        <v/>
      </c>
      <c r="AQ5" s="2" t="str">
        <f t="shared" si="2"/>
        <v/>
      </c>
      <c r="AR5" s="2">
        <f t="shared" si="2"/>
        <v>0.72115051208929593</v>
      </c>
      <c r="AT5" s="142">
        <f t="shared" ref="AT5:BD28" si="3">+IFERROR(AG5-AF5,"")</f>
        <v>-4.2340671474032643E-3</v>
      </c>
      <c r="AU5" s="142">
        <f t="shared" si="3"/>
        <v>-9.6551245786576922E-3</v>
      </c>
      <c r="AV5" s="142">
        <f t="shared" si="3"/>
        <v>-4.1101871070796658E-3</v>
      </c>
      <c r="AW5" s="142" t="str">
        <f t="shared" si="3"/>
        <v/>
      </c>
      <c r="AX5" s="142" t="str">
        <f t="shared" si="3"/>
        <v/>
      </c>
      <c r="AY5" s="142" t="str">
        <f t="shared" si="3"/>
        <v/>
      </c>
      <c r="AZ5" s="142" t="str">
        <f t="shared" si="3"/>
        <v/>
      </c>
      <c r="BA5" s="142" t="str">
        <f t="shared" si="3"/>
        <v/>
      </c>
      <c r="BB5" s="142" t="str">
        <f t="shared" si="3"/>
        <v/>
      </c>
      <c r="BC5" s="142" t="str">
        <f t="shared" si="3"/>
        <v/>
      </c>
      <c r="BD5" s="142" t="str">
        <f t="shared" si="3"/>
        <v/>
      </c>
      <c r="BF5" s="9">
        <f t="shared" ref="BF5:BF36" si="4">+AD5/$AD$256</f>
        <v>8.6723363020574568E-2</v>
      </c>
      <c r="BG5" s="9">
        <f>+BF5</f>
        <v>8.6723363020574568E-2</v>
      </c>
    </row>
    <row r="6" spans="2:59" x14ac:dyDescent="0.35">
      <c r="B6" s="3" t="s">
        <v>87</v>
      </c>
      <c r="D6" s="141">
        <v>11594720</v>
      </c>
      <c r="E6" s="141">
        <v>10824518</v>
      </c>
      <c r="F6" s="141">
        <v>11102648</v>
      </c>
      <c r="G6" s="141">
        <v>2039647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35561533</v>
      </c>
      <c r="R6" s="141">
        <v>8169004</v>
      </c>
      <c r="S6" s="141">
        <v>7744745</v>
      </c>
      <c r="T6" s="141">
        <v>7846609</v>
      </c>
      <c r="U6" s="141">
        <v>1441923</v>
      </c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25202281</v>
      </c>
      <c r="AF6" s="2">
        <f t="shared" si="2"/>
        <v>0.7045451722853161</v>
      </c>
      <c r="AG6" s="2">
        <f t="shared" si="2"/>
        <v>0.71548174246650054</v>
      </c>
      <c r="AH6" s="2">
        <f t="shared" si="2"/>
        <v>0.70673311447863607</v>
      </c>
      <c r="AI6" s="2">
        <f t="shared" si="2"/>
        <v>0.70694732961144746</v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  <c r="AO6" s="2" t="str">
        <f t="shared" si="2"/>
        <v/>
      </c>
      <c r="AP6" s="2" t="str">
        <f t="shared" si="2"/>
        <v/>
      </c>
      <c r="AQ6" s="2" t="str">
        <f t="shared" si="2"/>
        <v/>
      </c>
      <c r="AR6" s="2">
        <f t="shared" si="2"/>
        <v>0.70869501042038885</v>
      </c>
      <c r="AT6" s="142">
        <f t="shared" si="3"/>
        <v>1.0936570181184435E-2</v>
      </c>
      <c r="AU6" s="142">
        <f t="shared" si="3"/>
        <v>-8.7486279878644657E-3</v>
      </c>
      <c r="AV6" s="142">
        <f t="shared" si="3"/>
        <v>2.142151328113906E-4</v>
      </c>
      <c r="AW6" s="142" t="str">
        <f t="shared" si="3"/>
        <v/>
      </c>
      <c r="AX6" s="142" t="str">
        <f t="shared" si="3"/>
        <v/>
      </c>
      <c r="AY6" s="142" t="str">
        <f t="shared" si="3"/>
        <v/>
      </c>
      <c r="AZ6" s="142" t="str">
        <f t="shared" si="3"/>
        <v/>
      </c>
      <c r="BA6" s="142" t="str">
        <f t="shared" si="3"/>
        <v/>
      </c>
      <c r="BB6" s="142" t="str">
        <f t="shared" si="3"/>
        <v/>
      </c>
      <c r="BC6" s="142" t="str">
        <f t="shared" si="3"/>
        <v/>
      </c>
      <c r="BD6" s="142" t="str">
        <f t="shared" si="3"/>
        <v/>
      </c>
      <c r="BF6" s="9">
        <f t="shared" si="4"/>
        <v>4.1602941790747874E-2</v>
      </c>
      <c r="BG6" s="9">
        <f t="shared" ref="BG6:BG69" si="5">+BF6+BG5</f>
        <v>0.12832630481132246</v>
      </c>
    </row>
    <row r="7" spans="2:59" x14ac:dyDescent="0.35">
      <c r="B7" s="3" t="s">
        <v>89</v>
      </c>
      <c r="D7" s="141">
        <v>11293150</v>
      </c>
      <c r="E7" s="141">
        <v>10803912</v>
      </c>
      <c r="F7" s="141">
        <v>14917175</v>
      </c>
      <c r="G7" s="141">
        <v>1731062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38745299</v>
      </c>
      <c r="R7" s="141">
        <v>7189303</v>
      </c>
      <c r="S7" s="141">
        <v>7015893</v>
      </c>
      <c r="T7" s="141">
        <v>9695089</v>
      </c>
      <c r="U7" s="141">
        <v>1128199</v>
      </c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25028484</v>
      </c>
      <c r="AF7" s="2">
        <f t="shared" si="2"/>
        <v>0.63660741245799446</v>
      </c>
      <c r="AG7" s="2">
        <f t="shared" si="2"/>
        <v>0.64938450072529286</v>
      </c>
      <c r="AH7" s="2">
        <f t="shared" si="2"/>
        <v>0.64992795217593147</v>
      </c>
      <c r="AI7" s="2">
        <f t="shared" si="2"/>
        <v>0.65173806599648076</v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  <c r="AO7" s="2" t="str">
        <f t="shared" si="2"/>
        <v/>
      </c>
      <c r="AP7" s="2" t="str">
        <f t="shared" si="2"/>
        <v/>
      </c>
      <c r="AQ7" s="2" t="str">
        <f t="shared" si="2"/>
        <v/>
      </c>
      <c r="AR7" s="2">
        <f t="shared" si="2"/>
        <v>0.64597472844383008</v>
      </c>
      <c r="AT7" s="142">
        <f t="shared" si="3"/>
        <v>1.2777088267298398E-2</v>
      </c>
      <c r="AU7" s="142">
        <f t="shared" si="3"/>
        <v>5.4345145063861011E-4</v>
      </c>
      <c r="AV7" s="142">
        <f t="shared" si="3"/>
        <v>1.8101138205492973E-3</v>
      </c>
      <c r="AW7" s="142" t="str">
        <f t="shared" si="3"/>
        <v/>
      </c>
      <c r="AX7" s="142" t="str">
        <f t="shared" si="3"/>
        <v/>
      </c>
      <c r="AY7" s="142" t="str">
        <f t="shared" si="3"/>
        <v/>
      </c>
      <c r="AZ7" s="142" t="str">
        <f t="shared" si="3"/>
        <v/>
      </c>
      <c r="BA7" s="142" t="str">
        <f t="shared" si="3"/>
        <v/>
      </c>
      <c r="BB7" s="142" t="str">
        <f t="shared" si="3"/>
        <v/>
      </c>
      <c r="BC7" s="142" t="str">
        <f t="shared" si="3"/>
        <v/>
      </c>
      <c r="BD7" s="142" t="str">
        <f t="shared" si="3"/>
        <v/>
      </c>
      <c r="BF7" s="9">
        <f t="shared" si="4"/>
        <v>4.1316044486713902E-2</v>
      </c>
      <c r="BG7" s="9">
        <f t="shared" si="5"/>
        <v>0.16964234929803634</v>
      </c>
    </row>
    <row r="8" spans="2:59" x14ac:dyDescent="0.35">
      <c r="B8" s="3" t="s">
        <v>108</v>
      </c>
      <c r="D8" s="141">
        <v>13667034</v>
      </c>
      <c r="E8" s="141">
        <v>11627261</v>
      </c>
      <c r="F8" s="141">
        <v>12028165</v>
      </c>
      <c r="G8" s="141">
        <v>925231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38247691</v>
      </c>
      <c r="R8" s="141">
        <v>8386037</v>
      </c>
      <c r="S8" s="141">
        <v>7369242</v>
      </c>
      <c r="T8" s="141">
        <v>7347851</v>
      </c>
      <c r="U8" s="141">
        <v>591721</v>
      </c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23694851</v>
      </c>
      <c r="AF8" s="2">
        <f t="shared" si="2"/>
        <v>0.61359597115219</v>
      </c>
      <c r="AG8" s="2">
        <f t="shared" si="2"/>
        <v>0.6337900215708584</v>
      </c>
      <c r="AH8" s="2">
        <f t="shared" si="2"/>
        <v>0.61088711370354498</v>
      </c>
      <c r="AI8" s="2">
        <f t="shared" si="2"/>
        <v>0.63953866656002667</v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  <c r="AO8" s="2" t="str">
        <f t="shared" si="2"/>
        <v/>
      </c>
      <c r="AP8" s="2" t="str">
        <f t="shared" si="2"/>
        <v/>
      </c>
      <c r="AQ8" s="2" t="str">
        <f t="shared" si="2"/>
        <v/>
      </c>
      <c r="AR8" s="2">
        <f t="shared" si="2"/>
        <v>0.61951062614472596</v>
      </c>
      <c r="AT8" s="142">
        <f t="shared" si="3"/>
        <v>2.0194050418668397E-2</v>
      </c>
      <c r="AU8" s="142">
        <f t="shared" si="3"/>
        <v>-2.2902907867313416E-2</v>
      </c>
      <c r="AV8" s="142">
        <f t="shared" si="3"/>
        <v>2.8651552856481688E-2</v>
      </c>
      <c r="AW8" s="142" t="str">
        <f t="shared" si="3"/>
        <v/>
      </c>
      <c r="AX8" s="142" t="str">
        <f t="shared" si="3"/>
        <v/>
      </c>
      <c r="AY8" s="142" t="str">
        <f t="shared" si="3"/>
        <v/>
      </c>
      <c r="AZ8" s="142" t="str">
        <f t="shared" si="3"/>
        <v/>
      </c>
      <c r="BA8" s="142" t="str">
        <f t="shared" si="3"/>
        <v/>
      </c>
      <c r="BB8" s="142" t="str">
        <f t="shared" si="3"/>
        <v/>
      </c>
      <c r="BC8" s="142" t="str">
        <f t="shared" si="3"/>
        <v/>
      </c>
      <c r="BD8" s="142" t="str">
        <f t="shared" si="3"/>
        <v/>
      </c>
      <c r="BF8" s="9">
        <f t="shared" si="4"/>
        <v>3.9114535184074969E-2</v>
      </c>
      <c r="BG8" s="9">
        <f t="shared" si="5"/>
        <v>0.20875688448211133</v>
      </c>
    </row>
    <row r="9" spans="2:59" x14ac:dyDescent="0.35">
      <c r="B9" s="3" t="s">
        <v>98</v>
      </c>
      <c r="D9" s="141">
        <v>10680600</v>
      </c>
      <c r="E9" s="141">
        <v>10407167</v>
      </c>
      <c r="F9" s="141">
        <v>12056023</v>
      </c>
      <c r="G9" s="141">
        <v>1313740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34457530</v>
      </c>
      <c r="R9" s="141">
        <v>7510774</v>
      </c>
      <c r="S9" s="141">
        <v>7455326</v>
      </c>
      <c r="T9" s="141">
        <v>8261665</v>
      </c>
      <c r="U9" s="141">
        <v>963171</v>
      </c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24190936</v>
      </c>
      <c r="AF9" s="2">
        <f t="shared" si="2"/>
        <v>0.70321648596520792</v>
      </c>
      <c r="AG9" s="2">
        <f t="shared" si="2"/>
        <v>0.71636459758933435</v>
      </c>
      <c r="AH9" s="2">
        <f t="shared" si="2"/>
        <v>0.68527283002031436</v>
      </c>
      <c r="AI9" s="2">
        <f t="shared" si="2"/>
        <v>0.7331519174265837</v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  <c r="AO9" s="2" t="str">
        <f t="shared" si="2"/>
        <v/>
      </c>
      <c r="AP9" s="2" t="str">
        <f t="shared" si="2"/>
        <v/>
      </c>
      <c r="AQ9" s="2" t="str">
        <f t="shared" si="2"/>
        <v/>
      </c>
      <c r="AR9" s="2">
        <f t="shared" si="2"/>
        <v>0.70205078541613397</v>
      </c>
      <c r="AT9" s="142">
        <f t="shared" si="3"/>
        <v>1.3148111624126435E-2</v>
      </c>
      <c r="AU9" s="142">
        <f t="shared" si="3"/>
        <v>-3.109176756901999E-2</v>
      </c>
      <c r="AV9" s="142">
        <f t="shared" si="3"/>
        <v>4.7879087406269338E-2</v>
      </c>
      <c r="AW9" s="142" t="str">
        <f t="shared" si="3"/>
        <v/>
      </c>
      <c r="AX9" s="142" t="str">
        <f t="shared" si="3"/>
        <v/>
      </c>
      <c r="AY9" s="142" t="str">
        <f t="shared" si="3"/>
        <v/>
      </c>
      <c r="AZ9" s="142" t="str">
        <f t="shared" si="3"/>
        <v/>
      </c>
      <c r="BA9" s="142" t="str">
        <f t="shared" si="3"/>
        <v/>
      </c>
      <c r="BB9" s="142" t="str">
        <f t="shared" si="3"/>
        <v/>
      </c>
      <c r="BC9" s="142" t="str">
        <f t="shared" si="3"/>
        <v/>
      </c>
      <c r="BD9" s="142" t="str">
        <f t="shared" si="3"/>
        <v/>
      </c>
      <c r="BF9" s="9">
        <f t="shared" si="4"/>
        <v>3.993345293910925E-2</v>
      </c>
      <c r="BG9" s="9">
        <f t="shared" si="5"/>
        <v>0.24869033742122057</v>
      </c>
    </row>
    <row r="10" spans="2:59" x14ac:dyDescent="0.35">
      <c r="B10" s="3" t="s">
        <v>106</v>
      </c>
      <c r="D10" s="141">
        <v>2801541</v>
      </c>
      <c r="E10" s="141">
        <v>2558501</v>
      </c>
      <c r="F10" s="141">
        <v>3035097</v>
      </c>
      <c r="G10" s="141">
        <v>196562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8591701</v>
      </c>
      <c r="R10" s="141">
        <v>1940989</v>
      </c>
      <c r="S10" s="141">
        <v>1730435</v>
      </c>
      <c r="T10" s="141">
        <v>2012124</v>
      </c>
      <c r="U10" s="141">
        <v>135125</v>
      </c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5818673</v>
      </c>
      <c r="AF10" s="2">
        <f t="shared" si="2"/>
        <v>0.69282905372436099</v>
      </c>
      <c r="AG10" s="2">
        <f t="shared" si="2"/>
        <v>0.67634720486722499</v>
      </c>
      <c r="AH10" s="2">
        <f t="shared" si="2"/>
        <v>0.66295212311171603</v>
      </c>
      <c r="AI10" s="2">
        <f t="shared" si="2"/>
        <v>0.68744213021845524</v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>
        <f t="shared" si="2"/>
        <v>0.67724342362472811</v>
      </c>
      <c r="AT10" s="142">
        <f t="shared" si="3"/>
        <v>-1.6481848857135994E-2</v>
      </c>
      <c r="AU10" s="142">
        <f t="shared" si="3"/>
        <v>-1.3395081755508964E-2</v>
      </c>
      <c r="AV10" s="142">
        <f t="shared" si="3"/>
        <v>2.4490007106739209E-2</v>
      </c>
      <c r="AW10" s="142" t="str">
        <f t="shared" si="3"/>
        <v/>
      </c>
      <c r="AX10" s="142" t="str">
        <f t="shared" si="3"/>
        <v/>
      </c>
      <c r="AY10" s="142" t="str">
        <f t="shared" si="3"/>
        <v/>
      </c>
      <c r="AZ10" s="142" t="str">
        <f t="shared" si="3"/>
        <v/>
      </c>
      <c r="BA10" s="142" t="str">
        <f t="shared" si="3"/>
        <v/>
      </c>
      <c r="BB10" s="142" t="str">
        <f t="shared" si="3"/>
        <v/>
      </c>
      <c r="BC10" s="142" t="str">
        <f t="shared" si="3"/>
        <v/>
      </c>
      <c r="BD10" s="142" t="str">
        <f t="shared" si="3"/>
        <v/>
      </c>
      <c r="BF10" s="9">
        <f t="shared" si="4"/>
        <v>9.6052382765828351E-3</v>
      </c>
      <c r="BG10" s="9">
        <f t="shared" si="5"/>
        <v>0.25829557569780343</v>
      </c>
    </row>
    <row r="11" spans="2:59" x14ac:dyDescent="0.35">
      <c r="B11" s="3" t="s">
        <v>152</v>
      </c>
      <c r="D11" s="141">
        <v>11205796</v>
      </c>
      <c r="E11" s="141">
        <v>11131335</v>
      </c>
      <c r="F11" s="141">
        <v>11619229</v>
      </c>
      <c r="G11" s="141">
        <v>1940347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35896707</v>
      </c>
      <c r="R11" s="141">
        <v>8407853</v>
      </c>
      <c r="S11" s="141">
        <v>8389246</v>
      </c>
      <c r="T11" s="141">
        <v>8760854</v>
      </c>
      <c r="U11" s="141">
        <v>1340286</v>
      </c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26898239</v>
      </c>
      <c r="AF11" s="2">
        <f t="shared" si="2"/>
        <v>0.75031287380209311</v>
      </c>
      <c r="AG11" s="2">
        <f t="shared" si="2"/>
        <v>0.75366036508648782</v>
      </c>
      <c r="AH11" s="2">
        <f t="shared" si="2"/>
        <v>0.75399615585509161</v>
      </c>
      <c r="AI11" s="2">
        <f t="shared" si="2"/>
        <v>0.69074552129077949</v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  <c r="AO11" s="2" t="str">
        <f t="shared" si="2"/>
        <v/>
      </c>
      <c r="AP11" s="2" t="str">
        <f t="shared" si="2"/>
        <v/>
      </c>
      <c r="AQ11" s="2" t="str">
        <f t="shared" si="2"/>
        <v/>
      </c>
      <c r="AR11" s="2">
        <f t="shared" si="2"/>
        <v>0.74932330143820713</v>
      </c>
      <c r="AT11" s="142">
        <f t="shared" si="3"/>
        <v>3.3474912843947102E-3</v>
      </c>
      <c r="AU11" s="142">
        <f t="shared" si="3"/>
        <v>3.357907686037942E-4</v>
      </c>
      <c r="AV11" s="142">
        <f t="shared" si="3"/>
        <v>-6.3250634564312125E-2</v>
      </c>
      <c r="AW11" s="142" t="str">
        <f t="shared" si="3"/>
        <v/>
      </c>
      <c r="AX11" s="142" t="str">
        <f t="shared" si="3"/>
        <v/>
      </c>
      <c r="AY11" s="142" t="str">
        <f t="shared" si="3"/>
        <v/>
      </c>
      <c r="AZ11" s="142" t="str">
        <f t="shared" si="3"/>
        <v/>
      </c>
      <c r="BA11" s="142" t="str">
        <f t="shared" si="3"/>
        <v/>
      </c>
      <c r="BB11" s="142" t="str">
        <f t="shared" si="3"/>
        <v/>
      </c>
      <c r="BC11" s="142" t="str">
        <f t="shared" si="3"/>
        <v/>
      </c>
      <c r="BD11" s="142" t="str">
        <f t="shared" si="3"/>
        <v/>
      </c>
      <c r="BF11" s="9">
        <f t="shared" si="4"/>
        <v>4.4402563061281014E-2</v>
      </c>
      <c r="BG11" s="9">
        <f t="shared" si="5"/>
        <v>0.30269813875908447</v>
      </c>
    </row>
    <row r="12" spans="2:59" x14ac:dyDescent="0.35">
      <c r="B12" s="3" t="s">
        <v>130</v>
      </c>
      <c r="D12" s="141">
        <v>5750366</v>
      </c>
      <c r="E12" s="141">
        <v>5722766</v>
      </c>
      <c r="F12" s="141">
        <v>10869781</v>
      </c>
      <c r="G12" s="141">
        <v>592634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22935547</v>
      </c>
      <c r="R12" s="141">
        <v>4063947</v>
      </c>
      <c r="S12" s="141">
        <v>4215479</v>
      </c>
      <c r="T12" s="141">
        <v>7539490</v>
      </c>
      <c r="U12" s="141">
        <v>379693</v>
      </c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16198609</v>
      </c>
      <c r="AF12" s="2">
        <f t="shared" si="2"/>
        <v>0.70672840650490765</v>
      </c>
      <c r="AG12" s="2">
        <f t="shared" si="2"/>
        <v>0.73661565054381051</v>
      </c>
      <c r="AH12" s="2">
        <f t="shared" si="2"/>
        <v>0.69361931026945256</v>
      </c>
      <c r="AI12" s="2">
        <f t="shared" si="2"/>
        <v>0.64068716948403226</v>
      </c>
      <c r="AJ12" s="2" t="str">
        <f t="shared" si="2"/>
        <v/>
      </c>
      <c r="AK12" s="2" t="str">
        <f t="shared" si="2"/>
        <v/>
      </c>
      <c r="AL12" s="2" t="str">
        <f t="shared" si="2"/>
        <v/>
      </c>
      <c r="AM12" s="2" t="str">
        <f t="shared" si="2"/>
        <v/>
      </c>
      <c r="AN12" s="2" t="str">
        <f t="shared" si="2"/>
        <v/>
      </c>
      <c r="AO12" s="2" t="str">
        <f t="shared" si="2"/>
        <v/>
      </c>
      <c r="AP12" s="2" t="str">
        <f t="shared" si="2"/>
        <v/>
      </c>
      <c r="AQ12" s="2" t="str">
        <f t="shared" si="2"/>
        <v/>
      </c>
      <c r="AR12" s="2">
        <f t="shared" si="2"/>
        <v>0.7062665215702072</v>
      </c>
      <c r="AT12" s="142">
        <f t="shared" si="3"/>
        <v>2.988724403890286E-2</v>
      </c>
      <c r="AU12" s="142">
        <f t="shared" si="3"/>
        <v>-4.2996340274357947E-2</v>
      </c>
      <c r="AV12" s="142">
        <f t="shared" si="3"/>
        <v>-5.2932140785420301E-2</v>
      </c>
      <c r="AW12" s="142" t="str">
        <f t="shared" si="3"/>
        <v/>
      </c>
      <c r="AX12" s="142" t="str">
        <f t="shared" si="3"/>
        <v/>
      </c>
      <c r="AY12" s="142" t="str">
        <f t="shared" si="3"/>
        <v/>
      </c>
      <c r="AZ12" s="142" t="str">
        <f t="shared" si="3"/>
        <v/>
      </c>
      <c r="BA12" s="142" t="str">
        <f t="shared" si="3"/>
        <v/>
      </c>
      <c r="BB12" s="142" t="str">
        <f t="shared" si="3"/>
        <v/>
      </c>
      <c r="BC12" s="142" t="str">
        <f t="shared" si="3"/>
        <v/>
      </c>
      <c r="BD12" s="142" t="str">
        <f t="shared" si="3"/>
        <v/>
      </c>
      <c r="BF12" s="9">
        <f t="shared" si="4"/>
        <v>2.674003148040785E-2</v>
      </c>
      <c r="BG12" s="9">
        <f t="shared" si="5"/>
        <v>0.32943817023949229</v>
      </c>
    </row>
    <row r="13" spans="2:59" x14ac:dyDescent="0.35">
      <c r="B13" s="3" t="s">
        <v>90</v>
      </c>
      <c r="D13" s="141">
        <v>9381784</v>
      </c>
      <c r="E13" s="141">
        <v>8582842</v>
      </c>
      <c r="F13" s="141">
        <v>9906444</v>
      </c>
      <c r="G13" s="141">
        <v>1134193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29005263</v>
      </c>
      <c r="R13" s="141">
        <v>6695619</v>
      </c>
      <c r="S13" s="141">
        <v>6049443</v>
      </c>
      <c r="T13" s="141">
        <v>7038018</v>
      </c>
      <c r="U13" s="141">
        <v>796687</v>
      </c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20579767</v>
      </c>
      <c r="AF13" s="2">
        <f t="shared" si="2"/>
        <v>0.71368292000753797</v>
      </c>
      <c r="AG13" s="2">
        <f t="shared" si="2"/>
        <v>0.70482982210321476</v>
      </c>
      <c r="AH13" s="2">
        <f t="shared" si="2"/>
        <v>0.71044847172204273</v>
      </c>
      <c r="AI13" s="2">
        <f t="shared" si="2"/>
        <v>0.70242630663387973</v>
      </c>
      <c r="AJ13" s="2" t="str">
        <f t="shared" si="2"/>
        <v/>
      </c>
      <c r="AK13" s="2" t="str">
        <f t="shared" si="2"/>
        <v/>
      </c>
      <c r="AL13" s="2" t="str">
        <f t="shared" si="2"/>
        <v/>
      </c>
      <c r="AM13" s="2" t="str">
        <f t="shared" si="2"/>
        <v/>
      </c>
      <c r="AN13" s="2" t="str">
        <f t="shared" si="2"/>
        <v/>
      </c>
      <c r="AO13" s="2" t="str">
        <f t="shared" si="2"/>
        <v/>
      </c>
      <c r="AP13" s="2" t="str">
        <f t="shared" si="2"/>
        <v/>
      </c>
      <c r="AQ13" s="2" t="str">
        <f t="shared" si="2"/>
        <v/>
      </c>
      <c r="AR13" s="2">
        <f t="shared" si="2"/>
        <v>0.70951837257948669</v>
      </c>
      <c r="AT13" s="143">
        <f t="shared" si="3"/>
        <v>-8.8530979043232039E-3</v>
      </c>
      <c r="AU13" s="143">
        <f t="shared" si="3"/>
        <v>5.6186496188279644E-3</v>
      </c>
      <c r="AV13" s="143">
        <f t="shared" si="3"/>
        <v>-8.0221650881630024E-3</v>
      </c>
      <c r="AW13" s="143" t="str">
        <f t="shared" si="3"/>
        <v/>
      </c>
      <c r="AX13" s="143" t="str">
        <f t="shared" si="3"/>
        <v/>
      </c>
      <c r="AY13" s="143" t="str">
        <f t="shared" si="3"/>
        <v/>
      </c>
      <c r="AZ13" s="143" t="str">
        <f t="shared" si="3"/>
        <v/>
      </c>
      <c r="BA13" s="143" t="str">
        <f t="shared" si="3"/>
        <v/>
      </c>
      <c r="BB13" s="143" t="str">
        <f t="shared" si="3"/>
        <v/>
      </c>
      <c r="BC13" s="143" t="str">
        <f t="shared" si="3"/>
        <v/>
      </c>
      <c r="BD13" s="143" t="str">
        <f t="shared" si="3"/>
        <v/>
      </c>
      <c r="BF13" s="9">
        <f t="shared" si="4"/>
        <v>3.3972276103427068E-2</v>
      </c>
      <c r="BG13" s="9">
        <f t="shared" si="5"/>
        <v>0.36341044634291936</v>
      </c>
    </row>
    <row r="14" spans="2:59" x14ac:dyDescent="0.35">
      <c r="B14" s="3" t="s">
        <v>194</v>
      </c>
      <c r="D14" s="141">
        <v>14752988</v>
      </c>
      <c r="E14" s="141">
        <v>12500624</v>
      </c>
      <c r="F14" s="141">
        <v>14005339</v>
      </c>
      <c r="G14" s="141">
        <v>1256835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42515786</v>
      </c>
      <c r="R14" s="141">
        <v>8814458</v>
      </c>
      <c r="S14" s="141">
        <v>7416840</v>
      </c>
      <c r="T14" s="141">
        <v>8087447</v>
      </c>
      <c r="U14" s="141">
        <v>758387</v>
      </c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25077132</v>
      </c>
      <c r="AF14" s="2">
        <f t="shared" si="2"/>
        <v>0.59746933977035699</v>
      </c>
      <c r="AG14" s="2">
        <f t="shared" si="2"/>
        <v>0.59331758158632719</v>
      </c>
      <c r="AH14" s="2">
        <f t="shared" si="2"/>
        <v>0.57745456928961159</v>
      </c>
      <c r="AI14" s="2">
        <f t="shared" si="2"/>
        <v>0.60341015328185477</v>
      </c>
      <c r="AJ14" s="2" t="str">
        <f t="shared" si="2"/>
        <v/>
      </c>
      <c r="AK14" s="2" t="str">
        <f t="shared" si="2"/>
        <v/>
      </c>
      <c r="AL14" s="2" t="str">
        <f t="shared" si="2"/>
        <v/>
      </c>
      <c r="AM14" s="2" t="str">
        <f t="shared" si="2"/>
        <v/>
      </c>
      <c r="AN14" s="2" t="str">
        <f t="shared" si="2"/>
        <v/>
      </c>
      <c r="AO14" s="2" t="str">
        <f t="shared" si="2"/>
        <v/>
      </c>
      <c r="AP14" s="2" t="str">
        <f t="shared" si="2"/>
        <v/>
      </c>
      <c r="AQ14" s="2" t="str">
        <f t="shared" si="2"/>
        <v/>
      </c>
      <c r="AR14" s="2">
        <f t="shared" si="2"/>
        <v>0.58983108062497069</v>
      </c>
      <c r="AT14" s="143">
        <f t="shared" si="3"/>
        <v>-4.1517581840297968E-3</v>
      </c>
      <c r="AU14" s="143">
        <f t="shared" si="3"/>
        <v>-1.5863012296715606E-2</v>
      </c>
      <c r="AV14" s="143">
        <f t="shared" si="3"/>
        <v>2.5955583992243181E-2</v>
      </c>
      <c r="AW14" s="143" t="str">
        <f t="shared" si="3"/>
        <v/>
      </c>
      <c r="AX14" s="143" t="str">
        <f t="shared" si="3"/>
        <v/>
      </c>
      <c r="AY14" s="143" t="str">
        <f t="shared" si="3"/>
        <v/>
      </c>
      <c r="AZ14" s="143" t="str">
        <f t="shared" si="3"/>
        <v/>
      </c>
      <c r="BA14" s="143" t="str">
        <f t="shared" si="3"/>
        <v/>
      </c>
      <c r="BB14" s="143" t="str">
        <f t="shared" si="3"/>
        <v/>
      </c>
      <c r="BC14" s="143" t="str">
        <f t="shared" si="3"/>
        <v/>
      </c>
      <c r="BD14" s="143" t="str">
        <f t="shared" si="3"/>
        <v/>
      </c>
      <c r="BF14" s="9">
        <f t="shared" si="4"/>
        <v>4.1396350706307136E-2</v>
      </c>
      <c r="BG14" s="9">
        <f t="shared" si="5"/>
        <v>0.40480679704922651</v>
      </c>
    </row>
    <row r="15" spans="2:59" x14ac:dyDescent="0.35">
      <c r="B15" s="3" t="s">
        <v>138</v>
      </c>
      <c r="D15" s="141">
        <v>20267911</v>
      </c>
      <c r="E15" s="141">
        <v>23703643</v>
      </c>
      <c r="F15" s="141">
        <v>19640393</v>
      </c>
      <c r="G15" s="141">
        <v>674411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64286358</v>
      </c>
      <c r="R15" s="141">
        <v>16549859</v>
      </c>
      <c r="S15" s="141">
        <v>18517798</v>
      </c>
      <c r="T15" s="141">
        <v>15997509</v>
      </c>
      <c r="U15" s="141">
        <v>566587</v>
      </c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51631753</v>
      </c>
      <c r="AF15" s="2">
        <f t="shared" si="2"/>
        <v>0.81655475001839117</v>
      </c>
      <c r="AG15" s="2">
        <f t="shared" si="2"/>
        <v>0.78122160378470096</v>
      </c>
      <c r="AH15" s="2">
        <f t="shared" si="2"/>
        <v>0.81452081941537524</v>
      </c>
      <c r="AI15" s="2">
        <f t="shared" si="2"/>
        <v>0.84012123171181963</v>
      </c>
      <c r="AJ15" s="2" t="str">
        <f t="shared" si="2"/>
        <v/>
      </c>
      <c r="AK15" s="2" t="str">
        <f t="shared" si="2"/>
        <v/>
      </c>
      <c r="AL15" s="2" t="str">
        <f t="shared" si="2"/>
        <v/>
      </c>
      <c r="AM15" s="2" t="str">
        <f t="shared" si="2"/>
        <v/>
      </c>
      <c r="AN15" s="2" t="str">
        <f t="shared" si="2"/>
        <v/>
      </c>
      <c r="AO15" s="2" t="str">
        <f t="shared" si="2"/>
        <v/>
      </c>
      <c r="AP15" s="2" t="str">
        <f t="shared" si="2"/>
        <v/>
      </c>
      <c r="AQ15" s="2" t="str">
        <f t="shared" si="2"/>
        <v/>
      </c>
      <c r="AR15" s="2">
        <f t="shared" si="2"/>
        <v>0.80315255998792157</v>
      </c>
      <c r="AT15" s="143">
        <f t="shared" si="3"/>
        <v>-3.5333146233690216E-2</v>
      </c>
      <c r="AU15" s="143">
        <f t="shared" si="3"/>
        <v>3.3299215630674284E-2</v>
      </c>
      <c r="AV15" s="143">
        <f t="shared" si="3"/>
        <v>2.5600412296444386E-2</v>
      </c>
      <c r="AW15" s="143" t="str">
        <f t="shared" si="3"/>
        <v/>
      </c>
      <c r="AX15" s="143" t="str">
        <f t="shared" si="3"/>
        <v/>
      </c>
      <c r="AY15" s="143" t="str">
        <f t="shared" si="3"/>
        <v/>
      </c>
      <c r="AZ15" s="143" t="str">
        <f t="shared" si="3"/>
        <v/>
      </c>
      <c r="BA15" s="143" t="str">
        <f t="shared" si="3"/>
        <v/>
      </c>
      <c r="BB15" s="143" t="str">
        <f t="shared" si="3"/>
        <v/>
      </c>
      <c r="BC15" s="143" t="str">
        <f t="shared" si="3"/>
        <v/>
      </c>
      <c r="BD15" s="143" t="str">
        <f t="shared" si="3"/>
        <v/>
      </c>
      <c r="BF15" s="9">
        <f t="shared" si="4"/>
        <v>8.5231682585130766E-2</v>
      </c>
      <c r="BG15" s="9">
        <f t="shared" si="5"/>
        <v>0.49003847963435726</v>
      </c>
    </row>
    <row r="16" spans="2:59" x14ac:dyDescent="0.35">
      <c r="B16" s="3" t="s">
        <v>125</v>
      </c>
      <c r="D16" s="141">
        <v>8202705</v>
      </c>
      <c r="E16" s="141">
        <v>7285586</v>
      </c>
      <c r="F16" s="141">
        <v>6912822</v>
      </c>
      <c r="G16" s="141">
        <v>543742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22944855</v>
      </c>
      <c r="R16" s="141">
        <v>6711119</v>
      </c>
      <c r="S16" s="141">
        <v>5976698</v>
      </c>
      <c r="T16" s="141">
        <v>5653644</v>
      </c>
      <c r="U16" s="141">
        <v>415977</v>
      </c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18757438</v>
      </c>
      <c r="AF16" s="2">
        <f t="shared" si="2"/>
        <v>0.81815925356330621</v>
      </c>
      <c r="AG16" s="2">
        <f t="shared" si="2"/>
        <v>0.82034554255484737</v>
      </c>
      <c r="AH16" s="2">
        <f t="shared" si="2"/>
        <v>0.81784891900876366</v>
      </c>
      <c r="AI16" s="2">
        <f t="shared" si="2"/>
        <v>0.76502642797503229</v>
      </c>
      <c r="AJ16" s="2" t="str">
        <f t="shared" si="2"/>
        <v/>
      </c>
      <c r="AK16" s="2" t="str">
        <f t="shared" si="2"/>
        <v/>
      </c>
      <c r="AL16" s="2" t="str">
        <f t="shared" si="2"/>
        <v/>
      </c>
      <c r="AM16" s="2" t="str">
        <f t="shared" si="2"/>
        <v/>
      </c>
      <c r="AN16" s="2" t="str">
        <f t="shared" si="2"/>
        <v/>
      </c>
      <c r="AO16" s="2" t="str">
        <f t="shared" si="2"/>
        <v/>
      </c>
      <c r="AP16" s="2" t="str">
        <f t="shared" si="2"/>
        <v/>
      </c>
      <c r="AQ16" s="2" t="str">
        <f t="shared" si="2"/>
        <v/>
      </c>
      <c r="AR16" s="2">
        <f t="shared" si="2"/>
        <v>0.81750082970670335</v>
      </c>
      <c r="AT16" s="143">
        <f t="shared" si="3"/>
        <v>2.1862889915411632E-3</v>
      </c>
      <c r="AU16" s="143">
        <f t="shared" si="3"/>
        <v>-2.4966235460837094E-3</v>
      </c>
      <c r="AV16" s="143">
        <f t="shared" si="3"/>
        <v>-5.2822491033731378E-2</v>
      </c>
      <c r="AW16" s="143" t="str">
        <f t="shared" si="3"/>
        <v/>
      </c>
      <c r="AX16" s="143" t="str">
        <f t="shared" si="3"/>
        <v/>
      </c>
      <c r="AY16" s="143" t="str">
        <f t="shared" si="3"/>
        <v/>
      </c>
      <c r="AZ16" s="143" t="str">
        <f t="shared" si="3"/>
        <v/>
      </c>
      <c r="BA16" s="143" t="str">
        <f t="shared" si="3"/>
        <v/>
      </c>
      <c r="BB16" s="143" t="str">
        <f t="shared" si="3"/>
        <v/>
      </c>
      <c r="BC16" s="143" t="str">
        <f t="shared" si="3"/>
        <v/>
      </c>
      <c r="BD16" s="143" t="str">
        <f t="shared" si="3"/>
        <v/>
      </c>
      <c r="BF16" s="9">
        <f t="shared" si="4"/>
        <v>3.096404651854974E-2</v>
      </c>
      <c r="BG16" s="9">
        <f t="shared" si="5"/>
        <v>0.52100252615290699</v>
      </c>
    </row>
    <row r="17" spans="2:59" x14ac:dyDescent="0.35">
      <c r="B17" s="3" t="s">
        <v>135</v>
      </c>
      <c r="D17" s="141">
        <v>12897595</v>
      </c>
      <c r="E17" s="141">
        <v>11906501</v>
      </c>
      <c r="F17" s="141">
        <v>15120174</v>
      </c>
      <c r="G17" s="141">
        <v>1271328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41195598</v>
      </c>
      <c r="R17" s="141">
        <v>9522102</v>
      </c>
      <c r="S17" s="141">
        <v>8941174</v>
      </c>
      <c r="T17" s="141">
        <v>11515282</v>
      </c>
      <c r="U17" s="141">
        <v>947248</v>
      </c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30925806</v>
      </c>
      <c r="AF17" s="2">
        <f t="shared" si="2"/>
        <v>0.7382850833818243</v>
      </c>
      <c r="AG17" s="2">
        <f t="shared" si="2"/>
        <v>0.75094891437879185</v>
      </c>
      <c r="AH17" s="2">
        <f t="shared" si="2"/>
        <v>0.76158396060786071</v>
      </c>
      <c r="AI17" s="2">
        <f t="shared" si="2"/>
        <v>0.74508545395051473</v>
      </c>
      <c r="AJ17" s="2" t="str">
        <f t="shared" si="2"/>
        <v/>
      </c>
      <c r="AK17" s="2" t="str">
        <f t="shared" si="2"/>
        <v/>
      </c>
      <c r="AL17" s="2" t="str">
        <f t="shared" si="2"/>
        <v/>
      </c>
      <c r="AM17" s="2" t="str">
        <f t="shared" si="2"/>
        <v/>
      </c>
      <c r="AN17" s="2" t="str">
        <f t="shared" si="2"/>
        <v/>
      </c>
      <c r="AO17" s="2" t="str">
        <f t="shared" si="2"/>
        <v/>
      </c>
      <c r="AP17" s="2" t="str">
        <f t="shared" si="2"/>
        <v/>
      </c>
      <c r="AQ17" s="2" t="str">
        <f t="shared" si="2"/>
        <v/>
      </c>
      <c r="AR17" s="2">
        <f t="shared" si="2"/>
        <v>0.75070656821148707</v>
      </c>
      <c r="AT17" s="143">
        <f t="shared" si="3"/>
        <v>1.2663830996967551E-2</v>
      </c>
      <c r="AU17" s="143">
        <f t="shared" si="3"/>
        <v>1.0635046229068856E-2</v>
      </c>
      <c r="AV17" s="143">
        <f t="shared" si="3"/>
        <v>-1.6498506657345979E-2</v>
      </c>
      <c r="AW17" s="143" t="str">
        <f t="shared" si="3"/>
        <v/>
      </c>
      <c r="AX17" s="143" t="str">
        <f t="shared" si="3"/>
        <v/>
      </c>
      <c r="AY17" s="143" t="str">
        <f t="shared" si="3"/>
        <v/>
      </c>
      <c r="AZ17" s="143" t="str">
        <f t="shared" si="3"/>
        <v/>
      </c>
      <c r="BA17" s="143" t="str">
        <f t="shared" si="3"/>
        <v/>
      </c>
      <c r="BB17" s="143" t="str">
        <f t="shared" si="3"/>
        <v/>
      </c>
      <c r="BC17" s="143" t="str">
        <f t="shared" si="3"/>
        <v/>
      </c>
      <c r="BD17" s="143" t="str">
        <f t="shared" si="3"/>
        <v/>
      </c>
      <c r="BF17" s="9">
        <f t="shared" si="4"/>
        <v>5.1051113462704481E-2</v>
      </c>
      <c r="BG17" s="9">
        <f t="shared" si="5"/>
        <v>0.57205363961561151</v>
      </c>
    </row>
    <row r="18" spans="2:59" x14ac:dyDescent="0.35">
      <c r="B18" s="3" t="s">
        <v>95</v>
      </c>
      <c r="D18" s="141">
        <v>4370504</v>
      </c>
      <c r="E18" s="141">
        <v>3451182</v>
      </c>
      <c r="F18" s="141">
        <v>4319243</v>
      </c>
      <c r="G18" s="141">
        <v>549534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12690463</v>
      </c>
      <c r="R18" s="141">
        <v>3254284</v>
      </c>
      <c r="S18" s="141">
        <v>2568868</v>
      </c>
      <c r="T18" s="141">
        <v>3255046</v>
      </c>
      <c r="U18" s="141">
        <v>376528</v>
      </c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9454726</v>
      </c>
      <c r="AF18" s="2">
        <f t="shared" si="2"/>
        <v>0.74460153794619566</v>
      </c>
      <c r="AG18" s="2">
        <f t="shared" si="2"/>
        <v>0.74434440142536673</v>
      </c>
      <c r="AH18" s="2">
        <f t="shared" si="2"/>
        <v>0.75361492743057057</v>
      </c>
      <c r="AI18" s="2">
        <f t="shared" si="2"/>
        <v>0.68517689533313675</v>
      </c>
      <c r="AJ18" s="2" t="str">
        <f t="shared" si="2"/>
        <v/>
      </c>
      <c r="AK18" s="2" t="str">
        <f t="shared" si="2"/>
        <v/>
      </c>
      <c r="AL18" s="2" t="str">
        <f t="shared" si="2"/>
        <v/>
      </c>
      <c r="AM18" s="2" t="str">
        <f t="shared" si="2"/>
        <v/>
      </c>
      <c r="AN18" s="2" t="str">
        <f t="shared" si="2"/>
        <v/>
      </c>
      <c r="AO18" s="2" t="str">
        <f t="shared" si="2"/>
        <v/>
      </c>
      <c r="AP18" s="2" t="str">
        <f t="shared" si="2"/>
        <v/>
      </c>
      <c r="AQ18" s="2" t="str">
        <f t="shared" si="2"/>
        <v/>
      </c>
      <c r="AR18" s="2">
        <f t="shared" si="2"/>
        <v>0.74502608770066148</v>
      </c>
      <c r="AT18" s="143">
        <f t="shared" si="3"/>
        <v>-2.5713652082892668E-4</v>
      </c>
      <c r="AU18" s="143">
        <f t="shared" si="3"/>
        <v>9.2705260052038385E-3</v>
      </c>
      <c r="AV18" s="143">
        <f t="shared" si="3"/>
        <v>-6.8438032097433821E-2</v>
      </c>
      <c r="AW18" s="143" t="str">
        <f t="shared" si="3"/>
        <v/>
      </c>
      <c r="AX18" s="143" t="str">
        <f t="shared" si="3"/>
        <v/>
      </c>
      <c r="AY18" s="143" t="str">
        <f t="shared" si="3"/>
        <v/>
      </c>
      <c r="AZ18" s="143" t="str">
        <f t="shared" si="3"/>
        <v/>
      </c>
      <c r="BA18" s="143" t="str">
        <f t="shared" si="3"/>
        <v/>
      </c>
      <c r="BB18" s="143" t="str">
        <f t="shared" si="3"/>
        <v/>
      </c>
      <c r="BC18" s="143" t="str">
        <f t="shared" si="3"/>
        <v/>
      </c>
      <c r="BD18" s="143" t="str">
        <f t="shared" si="3"/>
        <v/>
      </c>
      <c r="BF18" s="9">
        <f t="shared" si="4"/>
        <v>1.5607492648203967E-2</v>
      </c>
      <c r="BG18" s="9">
        <f t="shared" si="5"/>
        <v>0.58766113226381544</v>
      </c>
    </row>
    <row r="19" spans="2:59" x14ac:dyDescent="0.35">
      <c r="B19" s="3" t="s">
        <v>92</v>
      </c>
      <c r="D19" s="141">
        <v>3469449</v>
      </c>
      <c r="E19" s="141">
        <v>3137842</v>
      </c>
      <c r="F19" s="141">
        <v>3553324</v>
      </c>
      <c r="G19" s="141">
        <v>403562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10564177</v>
      </c>
      <c r="R19" s="141">
        <v>2293676</v>
      </c>
      <c r="S19" s="141">
        <v>2121065</v>
      </c>
      <c r="T19" s="141">
        <v>2493313</v>
      </c>
      <c r="U19" s="141">
        <v>299089</v>
      </c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7207143</v>
      </c>
      <c r="AF19" s="2">
        <f t="shared" si="2"/>
        <v>0.66110670599279597</v>
      </c>
      <c r="AG19" s="2">
        <f t="shared" si="2"/>
        <v>0.67596297072956513</v>
      </c>
      <c r="AH19" s="2">
        <f t="shared" si="2"/>
        <v>0.70168467609483398</v>
      </c>
      <c r="AI19" s="2">
        <f t="shared" si="2"/>
        <v>0.74112280145306053</v>
      </c>
      <c r="AJ19" s="2" t="str">
        <f t="shared" si="2"/>
        <v/>
      </c>
      <c r="AK19" s="2" t="str">
        <f t="shared" si="2"/>
        <v/>
      </c>
      <c r="AL19" s="2" t="str">
        <f t="shared" si="2"/>
        <v/>
      </c>
      <c r="AM19" s="2" t="str">
        <f t="shared" si="2"/>
        <v/>
      </c>
      <c r="AN19" s="2" t="str">
        <f t="shared" si="2"/>
        <v/>
      </c>
      <c r="AO19" s="2" t="str">
        <f t="shared" si="2"/>
        <v/>
      </c>
      <c r="AP19" s="2" t="str">
        <f t="shared" si="2"/>
        <v/>
      </c>
      <c r="AQ19" s="2" t="str">
        <f t="shared" si="2"/>
        <v/>
      </c>
      <c r="AR19" s="2">
        <f t="shared" si="2"/>
        <v>0.68222474879018025</v>
      </c>
      <c r="AT19" s="143">
        <f t="shared" si="3"/>
        <v>1.4856264736769154E-2</v>
      </c>
      <c r="AU19" s="143">
        <f t="shared" si="3"/>
        <v>2.5721705365268854E-2</v>
      </c>
      <c r="AV19" s="143">
        <f t="shared" si="3"/>
        <v>3.943812535822655E-2</v>
      </c>
      <c r="AW19" s="143" t="str">
        <f t="shared" si="3"/>
        <v/>
      </c>
      <c r="AX19" s="143" t="str">
        <f t="shared" si="3"/>
        <v/>
      </c>
      <c r="AY19" s="143" t="str">
        <f t="shared" si="3"/>
        <v/>
      </c>
      <c r="AZ19" s="143" t="str">
        <f t="shared" si="3"/>
        <v/>
      </c>
      <c r="BA19" s="143" t="str">
        <f t="shared" si="3"/>
        <v/>
      </c>
      <c r="BB19" s="143" t="str">
        <f t="shared" si="3"/>
        <v/>
      </c>
      <c r="BC19" s="143" t="str">
        <f t="shared" si="3"/>
        <v/>
      </c>
      <c r="BD19" s="143" t="str">
        <f t="shared" si="3"/>
        <v/>
      </c>
      <c r="BF19" s="9">
        <f t="shared" si="4"/>
        <v>1.1897270358448746E-2</v>
      </c>
      <c r="BG19" s="9">
        <f t="shared" si="5"/>
        <v>0.59955840262226423</v>
      </c>
    </row>
    <row r="20" spans="2:59" x14ac:dyDescent="0.35">
      <c r="B20" s="3" t="s">
        <v>97</v>
      </c>
      <c r="D20" s="141">
        <v>4356962</v>
      </c>
      <c r="E20" s="141">
        <v>3828941</v>
      </c>
      <c r="F20" s="141">
        <v>3072771</v>
      </c>
      <c r="G20" s="141">
        <v>526998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11785672</v>
      </c>
      <c r="R20" s="141">
        <v>2980589</v>
      </c>
      <c r="S20" s="141">
        <v>2663025</v>
      </c>
      <c r="T20" s="141">
        <v>2223602</v>
      </c>
      <c r="U20" s="141">
        <v>370640</v>
      </c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8237856</v>
      </c>
      <c r="AF20" s="2">
        <f t="shared" si="2"/>
        <v>0.68409800223183037</v>
      </c>
      <c r="AG20" s="2">
        <f t="shared" si="2"/>
        <v>0.69549909491945683</v>
      </c>
      <c r="AH20" s="2">
        <f t="shared" si="2"/>
        <v>0.72364715756559794</v>
      </c>
      <c r="AI20" s="2">
        <f t="shared" si="2"/>
        <v>0.70330437686670533</v>
      </c>
      <c r="AJ20" s="2" t="str">
        <f t="shared" si="2"/>
        <v/>
      </c>
      <c r="AK20" s="2" t="str">
        <f t="shared" si="2"/>
        <v/>
      </c>
      <c r="AL20" s="2" t="str">
        <f t="shared" si="2"/>
        <v/>
      </c>
      <c r="AM20" s="2" t="str">
        <f t="shared" si="2"/>
        <v/>
      </c>
      <c r="AN20" s="2" t="str">
        <f t="shared" si="2"/>
        <v/>
      </c>
      <c r="AO20" s="2" t="str">
        <f t="shared" si="2"/>
        <v/>
      </c>
      <c r="AP20" s="2" t="str">
        <f t="shared" si="2"/>
        <v/>
      </c>
      <c r="AQ20" s="2" t="str">
        <f t="shared" si="2"/>
        <v/>
      </c>
      <c r="AR20" s="2">
        <f t="shared" si="2"/>
        <v>0.69897210782719899</v>
      </c>
      <c r="AT20" s="143">
        <f t="shared" si="3"/>
        <v>1.1401092687626457E-2</v>
      </c>
      <c r="AU20" s="143">
        <f t="shared" si="3"/>
        <v>2.8148062646141114E-2</v>
      </c>
      <c r="AV20" s="143">
        <f t="shared" si="3"/>
        <v>-2.0342780698892615E-2</v>
      </c>
      <c r="AW20" s="143" t="str">
        <f t="shared" si="3"/>
        <v/>
      </c>
      <c r="AX20" s="143" t="str">
        <f t="shared" si="3"/>
        <v/>
      </c>
      <c r="AY20" s="143" t="str">
        <f t="shared" si="3"/>
        <v/>
      </c>
      <c r="AZ20" s="143" t="str">
        <f t="shared" si="3"/>
        <v/>
      </c>
      <c r="BA20" s="143" t="str">
        <f t="shared" si="3"/>
        <v/>
      </c>
      <c r="BB20" s="143" t="str">
        <f t="shared" si="3"/>
        <v/>
      </c>
      <c r="BC20" s="143" t="str">
        <f t="shared" si="3"/>
        <v/>
      </c>
      <c r="BD20" s="143" t="str">
        <f t="shared" si="3"/>
        <v/>
      </c>
      <c r="BF20" s="9">
        <f t="shared" si="4"/>
        <v>1.359873114852434E-2</v>
      </c>
      <c r="BG20" s="9">
        <f t="shared" si="5"/>
        <v>0.61315713377078862</v>
      </c>
    </row>
    <row r="21" spans="2:59" x14ac:dyDescent="0.35">
      <c r="B21" s="3" t="s">
        <v>91</v>
      </c>
      <c r="D21" s="141">
        <v>20655372</v>
      </c>
      <c r="E21" s="141">
        <v>18547507</v>
      </c>
      <c r="F21" s="141">
        <v>22762500</v>
      </c>
      <c r="G21" s="141">
        <v>3058614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65023993</v>
      </c>
      <c r="R21" s="141">
        <v>14701070</v>
      </c>
      <c r="S21" s="141">
        <v>13242779</v>
      </c>
      <c r="T21" s="141">
        <v>16411646</v>
      </c>
      <c r="U21" s="141">
        <v>2097780</v>
      </c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46453275</v>
      </c>
      <c r="AF21" s="2">
        <f t="shared" si="2"/>
        <v>0.71173106928309016</v>
      </c>
      <c r="AG21" s="2">
        <f t="shared" si="2"/>
        <v>0.71399239800799108</v>
      </c>
      <c r="AH21" s="2">
        <f t="shared" si="2"/>
        <v>0.72099488193300387</v>
      </c>
      <c r="AI21" s="2">
        <f t="shared" si="2"/>
        <v>0.6858596736953404</v>
      </c>
      <c r="AJ21" s="2" t="str">
        <f t="shared" si="2"/>
        <v/>
      </c>
      <c r="AK21" s="2" t="str">
        <f t="shared" si="2"/>
        <v/>
      </c>
      <c r="AL21" s="2" t="str">
        <f t="shared" si="2"/>
        <v/>
      </c>
      <c r="AM21" s="2" t="str">
        <f t="shared" si="2"/>
        <v/>
      </c>
      <c r="AN21" s="2" t="str">
        <f t="shared" si="2"/>
        <v/>
      </c>
      <c r="AO21" s="2" t="str">
        <f t="shared" si="2"/>
        <v/>
      </c>
      <c r="AP21" s="2" t="str">
        <f t="shared" si="2"/>
        <v/>
      </c>
      <c r="AQ21" s="2" t="str">
        <f t="shared" si="2"/>
        <v/>
      </c>
      <c r="AR21" s="2">
        <f t="shared" si="2"/>
        <v>0.71440206694165953</v>
      </c>
      <c r="AT21" s="143">
        <f t="shared" si="3"/>
        <v>2.261328724900924E-3</v>
      </c>
      <c r="AU21" s="143">
        <f t="shared" si="3"/>
        <v>7.0024839250127924E-3</v>
      </c>
      <c r="AV21" s="143">
        <f t="shared" si="3"/>
        <v>-3.5135208237663473E-2</v>
      </c>
      <c r="AW21" s="143" t="str">
        <f t="shared" si="3"/>
        <v/>
      </c>
      <c r="AX21" s="143" t="str">
        <f t="shared" si="3"/>
        <v/>
      </c>
      <c r="AY21" s="143" t="str">
        <f t="shared" si="3"/>
        <v/>
      </c>
      <c r="AZ21" s="143" t="str">
        <f t="shared" si="3"/>
        <v/>
      </c>
      <c r="BA21" s="143" t="str">
        <f t="shared" si="3"/>
        <v/>
      </c>
      <c r="BB21" s="143" t="str">
        <f t="shared" si="3"/>
        <v/>
      </c>
      <c r="BC21" s="143" t="str">
        <f t="shared" si="3"/>
        <v/>
      </c>
      <c r="BD21" s="143" t="str">
        <f t="shared" si="3"/>
        <v/>
      </c>
      <c r="BF21" s="9">
        <f t="shared" si="4"/>
        <v>7.6683253226745768E-2</v>
      </c>
      <c r="BG21" s="9">
        <f t="shared" si="5"/>
        <v>0.68984038699753436</v>
      </c>
    </row>
    <row r="22" spans="2:59" x14ac:dyDescent="0.35">
      <c r="B22" s="3" t="s">
        <v>93</v>
      </c>
      <c r="D22" s="141">
        <v>4757910</v>
      </c>
      <c r="E22" s="141">
        <v>4606561</v>
      </c>
      <c r="F22" s="141">
        <v>5145138</v>
      </c>
      <c r="G22" s="141">
        <v>661456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15171065</v>
      </c>
      <c r="R22" s="141">
        <v>3606582</v>
      </c>
      <c r="S22" s="141">
        <v>3523830</v>
      </c>
      <c r="T22" s="141">
        <v>3901579</v>
      </c>
      <c r="U22" s="141">
        <v>506106</v>
      </c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11538097</v>
      </c>
      <c r="AF22" s="2">
        <f t="shared" si="2"/>
        <v>0.75801812140204416</v>
      </c>
      <c r="AG22" s="2">
        <f t="shared" si="2"/>
        <v>0.76495893574403984</v>
      </c>
      <c r="AH22" s="2">
        <f t="shared" si="2"/>
        <v>0.75830405326348871</v>
      </c>
      <c r="AI22" s="2">
        <f t="shared" si="2"/>
        <v>0.76513932899542825</v>
      </c>
      <c r="AJ22" s="2" t="str">
        <f t="shared" si="2"/>
        <v/>
      </c>
      <c r="AK22" s="2" t="str">
        <f t="shared" si="2"/>
        <v/>
      </c>
      <c r="AL22" s="2" t="str">
        <f t="shared" si="2"/>
        <v/>
      </c>
      <c r="AM22" s="2" t="str">
        <f t="shared" si="2"/>
        <v/>
      </c>
      <c r="AN22" s="2" t="str">
        <f t="shared" si="2"/>
        <v/>
      </c>
      <c r="AO22" s="2" t="str">
        <f t="shared" si="2"/>
        <v/>
      </c>
      <c r="AP22" s="2" t="str">
        <f t="shared" si="2"/>
        <v/>
      </c>
      <c r="AQ22" s="2" t="str">
        <f t="shared" si="2"/>
        <v/>
      </c>
      <c r="AR22" s="2">
        <f t="shared" si="2"/>
        <v>0.76053309375445954</v>
      </c>
      <c r="AT22" s="143">
        <f t="shared" si="3"/>
        <v>6.9408143419956714E-3</v>
      </c>
      <c r="AU22" s="143">
        <f t="shared" si="3"/>
        <v>-6.6548824805511275E-3</v>
      </c>
      <c r="AV22" s="143">
        <f t="shared" si="3"/>
        <v>6.8352757319395385E-3</v>
      </c>
      <c r="AW22" s="143" t="str">
        <f t="shared" si="3"/>
        <v/>
      </c>
      <c r="AX22" s="143" t="str">
        <f t="shared" si="3"/>
        <v/>
      </c>
      <c r="AY22" s="143" t="str">
        <f t="shared" si="3"/>
        <v/>
      </c>
      <c r="AZ22" s="143" t="str">
        <f t="shared" si="3"/>
        <v/>
      </c>
      <c r="BA22" s="143" t="str">
        <f t="shared" si="3"/>
        <v/>
      </c>
      <c r="BB22" s="143" t="str">
        <f t="shared" si="3"/>
        <v/>
      </c>
      <c r="BC22" s="143" t="str">
        <f t="shared" si="3"/>
        <v/>
      </c>
      <c r="BD22" s="143" t="str">
        <f t="shared" si="3"/>
        <v/>
      </c>
      <c r="BF22" s="9">
        <f t="shared" si="4"/>
        <v>1.9046640177807821E-2</v>
      </c>
      <c r="BG22" s="9">
        <f t="shared" si="5"/>
        <v>0.70888702717534213</v>
      </c>
    </row>
    <row r="23" spans="2:59" x14ac:dyDescent="0.35">
      <c r="B23" s="3" t="s">
        <v>94</v>
      </c>
      <c r="D23" s="141">
        <v>5306663</v>
      </c>
      <c r="E23" s="141">
        <v>4638874</v>
      </c>
      <c r="F23" s="141">
        <v>5258572</v>
      </c>
      <c r="G23" s="141">
        <v>567419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15771528</v>
      </c>
      <c r="R23" s="141">
        <v>3578043</v>
      </c>
      <c r="S23" s="141">
        <v>3081373</v>
      </c>
      <c r="T23" s="141">
        <v>3435642</v>
      </c>
      <c r="U23" s="141">
        <v>329716</v>
      </c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10424774</v>
      </c>
      <c r="AF23" s="2">
        <f t="shared" si="2"/>
        <v>0.67425480005042715</v>
      </c>
      <c r="AG23" s="2">
        <f t="shared" si="2"/>
        <v>0.66425020382101341</v>
      </c>
      <c r="AH23" s="2">
        <f t="shared" si="2"/>
        <v>0.65334124929733772</v>
      </c>
      <c r="AI23" s="2">
        <f t="shared" si="2"/>
        <v>0.5810802951610714</v>
      </c>
      <c r="AJ23" s="2" t="str">
        <f t="shared" si="2"/>
        <v/>
      </c>
      <c r="AK23" s="2" t="str">
        <f t="shared" si="2"/>
        <v/>
      </c>
      <c r="AL23" s="2" t="str">
        <f t="shared" si="2"/>
        <v/>
      </c>
      <c r="AM23" s="2" t="str">
        <f t="shared" si="2"/>
        <v/>
      </c>
      <c r="AN23" s="2" t="str">
        <f t="shared" si="2"/>
        <v/>
      </c>
      <c r="AO23" s="2" t="str">
        <f t="shared" si="2"/>
        <v/>
      </c>
      <c r="AP23" s="2" t="str">
        <f t="shared" si="2"/>
        <v/>
      </c>
      <c r="AQ23" s="2" t="str">
        <f t="shared" si="2"/>
        <v/>
      </c>
      <c r="AR23" s="2">
        <f t="shared" si="2"/>
        <v>0.66098693798089825</v>
      </c>
      <c r="AT23" s="143">
        <f t="shared" si="3"/>
        <v>-1.0004596229413742E-2</v>
      </c>
      <c r="AU23" s="143">
        <f t="shared" si="3"/>
        <v>-1.0908954523675685E-2</v>
      </c>
      <c r="AV23" s="143">
        <f t="shared" si="3"/>
        <v>-7.226095413626632E-2</v>
      </c>
      <c r="AW23" s="143" t="str">
        <f t="shared" si="3"/>
        <v/>
      </c>
      <c r="AX23" s="143" t="str">
        <f t="shared" si="3"/>
        <v/>
      </c>
      <c r="AY23" s="143" t="str">
        <f t="shared" si="3"/>
        <v/>
      </c>
      <c r="AZ23" s="143" t="str">
        <f t="shared" si="3"/>
        <v/>
      </c>
      <c r="BA23" s="143" t="str">
        <f t="shared" si="3"/>
        <v/>
      </c>
      <c r="BB23" s="143" t="str">
        <f t="shared" si="3"/>
        <v/>
      </c>
      <c r="BC23" s="143" t="str">
        <f t="shared" si="3"/>
        <v/>
      </c>
      <c r="BD23" s="143" t="str">
        <f t="shared" si="3"/>
        <v/>
      </c>
      <c r="BF23" s="9">
        <f t="shared" si="4"/>
        <v>1.7208810024128447E-2</v>
      </c>
      <c r="BG23" s="9">
        <f t="shared" si="5"/>
        <v>0.72609583719947057</v>
      </c>
    </row>
    <row r="24" spans="2:59" x14ac:dyDescent="0.35">
      <c r="B24" s="3" t="s">
        <v>101</v>
      </c>
      <c r="D24" s="141">
        <v>3771780</v>
      </c>
      <c r="E24" s="141">
        <v>3207294</v>
      </c>
      <c r="F24" s="141">
        <v>3942889</v>
      </c>
      <c r="G24" s="141">
        <v>370513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11292476</v>
      </c>
      <c r="R24" s="141">
        <v>2742359</v>
      </c>
      <c r="S24" s="141">
        <v>2558261</v>
      </c>
      <c r="T24" s="141">
        <v>3086982</v>
      </c>
      <c r="U24" s="141">
        <v>281046</v>
      </c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8668648</v>
      </c>
      <c r="AF24" s="2">
        <f t="shared" si="2"/>
        <v>0.7270728939651836</v>
      </c>
      <c r="AG24" s="2">
        <f t="shared" si="2"/>
        <v>0.79763844536858797</v>
      </c>
      <c r="AH24" s="2">
        <f t="shared" si="2"/>
        <v>0.78292389159319475</v>
      </c>
      <c r="AI24" s="2">
        <f t="shared" si="2"/>
        <v>0.75853208929241345</v>
      </c>
      <c r="AJ24" s="2" t="str">
        <f t="shared" si="2"/>
        <v/>
      </c>
      <c r="AK24" s="2" t="str">
        <f t="shared" si="2"/>
        <v/>
      </c>
      <c r="AL24" s="2" t="str">
        <f t="shared" si="2"/>
        <v/>
      </c>
      <c r="AM24" s="2" t="str">
        <f t="shared" si="2"/>
        <v/>
      </c>
      <c r="AN24" s="2" t="str">
        <f t="shared" ref="AN24:AR74" si="6">+IFERROR(Z24/L24,"")</f>
        <v/>
      </c>
      <c r="AO24" s="2" t="str">
        <f t="shared" si="6"/>
        <v/>
      </c>
      <c r="AP24" s="2" t="str">
        <f t="shared" si="6"/>
        <v/>
      </c>
      <c r="AQ24" s="2" t="str">
        <f t="shared" si="6"/>
        <v/>
      </c>
      <c r="AR24" s="2">
        <f t="shared" si="6"/>
        <v>0.76764812251980874</v>
      </c>
      <c r="AT24" s="143">
        <f t="shared" si="3"/>
        <v>7.056555140340437E-2</v>
      </c>
      <c r="AU24" s="143">
        <f t="shared" si="3"/>
        <v>-1.4714553775393213E-2</v>
      </c>
      <c r="AV24" s="143">
        <f t="shared" si="3"/>
        <v>-2.4391802300781307E-2</v>
      </c>
      <c r="AW24" s="143" t="str">
        <f t="shared" si="3"/>
        <v/>
      </c>
      <c r="AX24" s="143" t="str">
        <f t="shared" si="3"/>
        <v/>
      </c>
      <c r="AY24" s="143" t="str">
        <f t="shared" si="3"/>
        <v/>
      </c>
      <c r="AZ24" s="143" t="str">
        <f t="shared" si="3"/>
        <v/>
      </c>
      <c r="BA24" s="143" t="str">
        <f t="shared" si="3"/>
        <v/>
      </c>
      <c r="BB24" s="143" t="str">
        <f t="shared" si="3"/>
        <v/>
      </c>
      <c r="BC24" s="143" t="str">
        <f t="shared" si="3"/>
        <v/>
      </c>
      <c r="BD24" s="143" t="str">
        <f t="shared" si="3"/>
        <v/>
      </c>
      <c r="BF24" s="9">
        <f t="shared" si="4"/>
        <v>1.4309865767645516E-2</v>
      </c>
      <c r="BG24" s="9">
        <f t="shared" si="5"/>
        <v>0.74040570296711605</v>
      </c>
    </row>
    <row r="25" spans="2:59" x14ac:dyDescent="0.35">
      <c r="B25" s="3" t="s">
        <v>104</v>
      </c>
      <c r="D25" s="141">
        <v>2131307</v>
      </c>
      <c r="E25" s="141">
        <v>2138814</v>
      </c>
      <c r="F25" s="141">
        <v>2412285</v>
      </c>
      <c r="G25" s="141">
        <v>107721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6790127</v>
      </c>
      <c r="R25" s="141">
        <v>1518558</v>
      </c>
      <c r="S25" s="141">
        <v>1537913</v>
      </c>
      <c r="T25" s="141">
        <v>1683741</v>
      </c>
      <c r="U25" s="141">
        <v>83294</v>
      </c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4823506</v>
      </c>
      <c r="AF25" s="2">
        <f t="shared" ref="AF25:AM56" si="7">+IFERROR(R25/D25,"")</f>
        <v>0.71250082695735528</v>
      </c>
      <c r="AG25" s="2">
        <f t="shared" si="7"/>
        <v>0.71904943580881742</v>
      </c>
      <c r="AH25" s="2">
        <f t="shared" si="7"/>
        <v>0.69798593449778945</v>
      </c>
      <c r="AI25" s="2">
        <f t="shared" si="7"/>
        <v>0.7732382729458509</v>
      </c>
      <c r="AJ25" s="2" t="str">
        <f t="shared" si="7"/>
        <v/>
      </c>
      <c r="AK25" s="2" t="str">
        <f t="shared" si="7"/>
        <v/>
      </c>
      <c r="AL25" s="2" t="str">
        <f t="shared" si="7"/>
        <v/>
      </c>
      <c r="AM25" s="2" t="str">
        <f t="shared" si="7"/>
        <v/>
      </c>
      <c r="AN25" s="2" t="str">
        <f t="shared" si="6"/>
        <v/>
      </c>
      <c r="AO25" s="2" t="str">
        <f t="shared" si="6"/>
        <v/>
      </c>
      <c r="AP25" s="2" t="str">
        <f t="shared" si="6"/>
        <v/>
      </c>
      <c r="AQ25" s="2" t="str">
        <f t="shared" si="6"/>
        <v/>
      </c>
      <c r="AR25" s="2">
        <f t="shared" si="6"/>
        <v>0.71037051295211417</v>
      </c>
      <c r="AT25" s="143">
        <f t="shared" si="3"/>
        <v>6.5486088514621343E-3</v>
      </c>
      <c r="AU25" s="143">
        <f t="shared" si="3"/>
        <v>-2.1063501311027966E-2</v>
      </c>
      <c r="AV25" s="143">
        <f t="shared" si="3"/>
        <v>7.5252338448061451E-2</v>
      </c>
      <c r="AW25" s="143" t="str">
        <f t="shared" si="3"/>
        <v/>
      </c>
      <c r="AX25" s="143" t="str">
        <f t="shared" si="3"/>
        <v/>
      </c>
      <c r="AY25" s="143" t="str">
        <f t="shared" si="3"/>
        <v/>
      </c>
      <c r="AZ25" s="143" t="str">
        <f t="shared" si="3"/>
        <v/>
      </c>
      <c r="BA25" s="143" t="str">
        <f t="shared" si="3"/>
        <v/>
      </c>
      <c r="BB25" s="143" t="str">
        <f t="shared" si="3"/>
        <v/>
      </c>
      <c r="BC25" s="143" t="str">
        <f t="shared" si="3"/>
        <v/>
      </c>
      <c r="BD25" s="143" t="str">
        <f t="shared" si="3"/>
        <v/>
      </c>
      <c r="BF25" s="9">
        <f t="shared" si="4"/>
        <v>7.9624554358918194E-3</v>
      </c>
      <c r="BG25" s="9">
        <f t="shared" si="5"/>
        <v>0.74836815840300785</v>
      </c>
    </row>
    <row r="26" spans="2:59" x14ac:dyDescent="0.35">
      <c r="B26" s="3" t="s">
        <v>121</v>
      </c>
      <c r="D26" s="141">
        <v>1095604</v>
      </c>
      <c r="E26" s="141">
        <v>978754</v>
      </c>
      <c r="F26" s="141">
        <v>1087493</v>
      </c>
      <c r="G26" s="141">
        <v>183665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3345516</v>
      </c>
      <c r="R26" s="141">
        <v>717657</v>
      </c>
      <c r="S26" s="141">
        <v>703289</v>
      </c>
      <c r="T26" s="141">
        <v>703113</v>
      </c>
      <c r="U26" s="141">
        <v>122559</v>
      </c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2246618</v>
      </c>
      <c r="AF26" s="2">
        <f t="shared" si="7"/>
        <v>0.65503320542823862</v>
      </c>
      <c r="AG26" s="2">
        <f t="shared" si="7"/>
        <v>0.71855542863681787</v>
      </c>
      <c r="AH26" s="2">
        <f t="shared" si="7"/>
        <v>0.64654485132318096</v>
      </c>
      <c r="AI26" s="2">
        <f t="shared" si="7"/>
        <v>0.66729643644679171</v>
      </c>
      <c r="AJ26" s="2" t="str">
        <f t="shared" si="7"/>
        <v/>
      </c>
      <c r="AK26" s="2" t="str">
        <f t="shared" si="7"/>
        <v/>
      </c>
      <c r="AL26" s="2" t="str">
        <f t="shared" si="7"/>
        <v/>
      </c>
      <c r="AM26" s="2" t="str">
        <f t="shared" si="7"/>
        <v/>
      </c>
      <c r="AN26" s="2" t="str">
        <f t="shared" si="6"/>
        <v/>
      </c>
      <c r="AO26" s="2" t="str">
        <f t="shared" si="6"/>
        <v/>
      </c>
      <c r="AP26" s="2" t="str">
        <f t="shared" si="6"/>
        <v/>
      </c>
      <c r="AQ26" s="2" t="str">
        <f t="shared" si="6"/>
        <v/>
      </c>
      <c r="AR26" s="2">
        <f t="shared" si="6"/>
        <v>0.67153108817892371</v>
      </c>
      <c r="AT26" s="143">
        <f t="shared" si="3"/>
        <v>6.3522223208579254E-2</v>
      </c>
      <c r="AU26" s="143">
        <f t="shared" si="3"/>
        <v>-7.2010577313636914E-2</v>
      </c>
      <c r="AV26" s="143">
        <f t="shared" si="3"/>
        <v>2.075158512361075E-2</v>
      </c>
      <c r="AW26" s="143" t="str">
        <f t="shared" si="3"/>
        <v/>
      </c>
      <c r="AX26" s="143" t="str">
        <f t="shared" si="3"/>
        <v/>
      </c>
      <c r="AY26" s="143" t="str">
        <f t="shared" si="3"/>
        <v/>
      </c>
      <c r="AZ26" s="143" t="str">
        <f t="shared" si="3"/>
        <v/>
      </c>
      <c r="BA26" s="143" t="str">
        <f t="shared" si="3"/>
        <v/>
      </c>
      <c r="BB26" s="143" t="str">
        <f t="shared" si="3"/>
        <v/>
      </c>
      <c r="BC26" s="143" t="str">
        <f t="shared" si="3"/>
        <v/>
      </c>
      <c r="BD26" s="143" t="str">
        <f t="shared" si="3"/>
        <v/>
      </c>
      <c r="BF26" s="9">
        <f t="shared" si="4"/>
        <v>3.7086293054206646E-3</v>
      </c>
      <c r="BG26" s="9">
        <f t="shared" si="5"/>
        <v>0.75207678770842856</v>
      </c>
    </row>
    <row r="27" spans="2:59" x14ac:dyDescent="0.35">
      <c r="B27" s="3" t="s">
        <v>96</v>
      </c>
      <c r="D27" s="141">
        <v>4768141</v>
      </c>
      <c r="E27" s="141">
        <v>4569043</v>
      </c>
      <c r="F27" s="141">
        <v>5088940</v>
      </c>
      <c r="G27" s="141">
        <v>691705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15117829</v>
      </c>
      <c r="R27" s="141">
        <v>3379612</v>
      </c>
      <c r="S27" s="141">
        <v>3197676</v>
      </c>
      <c r="T27" s="141">
        <v>3538234</v>
      </c>
      <c r="U27" s="141">
        <v>477032</v>
      </c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10592554</v>
      </c>
      <c r="AF27" s="2">
        <f t="shared" si="7"/>
        <v>0.70879028115989018</v>
      </c>
      <c r="AG27" s="2">
        <f t="shared" si="7"/>
        <v>0.699856840918328</v>
      </c>
      <c r="AH27" s="2">
        <f t="shared" si="7"/>
        <v>0.69527917405196371</v>
      </c>
      <c r="AI27" s="2">
        <f t="shared" si="7"/>
        <v>0.68964659789939353</v>
      </c>
      <c r="AJ27" s="2" t="str">
        <f t="shared" si="7"/>
        <v/>
      </c>
      <c r="AK27" s="2" t="str">
        <f t="shared" si="7"/>
        <v/>
      </c>
      <c r="AL27" s="2" t="str">
        <f t="shared" si="7"/>
        <v/>
      </c>
      <c r="AM27" s="2" t="str">
        <f t="shared" si="7"/>
        <v/>
      </c>
      <c r="AN27" s="2" t="str">
        <f t="shared" si="6"/>
        <v/>
      </c>
      <c r="AO27" s="2" t="str">
        <f t="shared" si="6"/>
        <v/>
      </c>
      <c r="AP27" s="2" t="str">
        <f t="shared" si="6"/>
        <v/>
      </c>
      <c r="AQ27" s="2" t="str">
        <f t="shared" si="6"/>
        <v/>
      </c>
      <c r="AR27" s="2">
        <f t="shared" si="6"/>
        <v>0.70066634567701491</v>
      </c>
      <c r="AT27" s="143">
        <f t="shared" si="3"/>
        <v>-8.9334402415621739E-3</v>
      </c>
      <c r="AU27" s="143">
        <f t="shared" si="3"/>
        <v>-4.5776668663642939E-3</v>
      </c>
      <c r="AV27" s="143">
        <f t="shared" si="3"/>
        <v>-5.632576152570179E-3</v>
      </c>
      <c r="AW27" s="143" t="str">
        <f t="shared" si="3"/>
        <v/>
      </c>
      <c r="AX27" s="143" t="str">
        <f t="shared" si="3"/>
        <v/>
      </c>
      <c r="AY27" s="143" t="str">
        <f t="shared" si="3"/>
        <v/>
      </c>
      <c r="AZ27" s="143" t="str">
        <f t="shared" si="3"/>
        <v/>
      </c>
      <c r="BA27" s="143" t="str">
        <f t="shared" si="3"/>
        <v/>
      </c>
      <c r="BB27" s="143" t="str">
        <f t="shared" si="3"/>
        <v/>
      </c>
      <c r="BC27" s="143" t="str">
        <f t="shared" si="3"/>
        <v/>
      </c>
      <c r="BD27" s="143" t="str">
        <f t="shared" si="3"/>
        <v/>
      </c>
      <c r="BF27" s="9">
        <f t="shared" si="4"/>
        <v>1.7485774699415247E-2</v>
      </c>
      <c r="BG27" s="9">
        <f t="shared" si="5"/>
        <v>0.76956256240784382</v>
      </c>
    </row>
    <row r="28" spans="2:59" x14ac:dyDescent="0.35">
      <c r="B28" s="3" t="s">
        <v>102</v>
      </c>
      <c r="D28" s="141">
        <v>719724</v>
      </c>
      <c r="E28" s="141">
        <v>721628</v>
      </c>
      <c r="F28" s="141">
        <v>718757</v>
      </c>
      <c r="G28" s="141">
        <v>94967</v>
      </c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2255076</v>
      </c>
      <c r="R28" s="141">
        <v>568336</v>
      </c>
      <c r="S28" s="141">
        <v>515702</v>
      </c>
      <c r="T28" s="141">
        <v>536907</v>
      </c>
      <c r="U28" s="141">
        <v>84126</v>
      </c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1705071</v>
      </c>
      <c r="AF28" s="2">
        <f t="shared" si="7"/>
        <v>0.78965825788774591</v>
      </c>
      <c r="AG28" s="2">
        <f t="shared" si="7"/>
        <v>0.71463690433298044</v>
      </c>
      <c r="AH28" s="2">
        <f t="shared" si="7"/>
        <v>0.74699376840851639</v>
      </c>
      <c r="AI28" s="2">
        <f t="shared" si="7"/>
        <v>0.88584455653016314</v>
      </c>
      <c r="AJ28" s="2" t="str">
        <f t="shared" si="7"/>
        <v/>
      </c>
      <c r="AK28" s="2" t="str">
        <f t="shared" si="7"/>
        <v/>
      </c>
      <c r="AL28" s="2" t="str">
        <f t="shared" si="7"/>
        <v/>
      </c>
      <c r="AM28" s="2" t="str">
        <f t="shared" si="7"/>
        <v/>
      </c>
      <c r="AN28" s="2" t="str">
        <f t="shared" si="6"/>
        <v/>
      </c>
      <c r="AO28" s="2" t="str">
        <f t="shared" si="6"/>
        <v/>
      </c>
      <c r="AP28" s="2" t="str">
        <f t="shared" si="6"/>
        <v/>
      </c>
      <c r="AQ28" s="2" t="str">
        <f t="shared" si="6"/>
        <v/>
      </c>
      <c r="AR28" s="2">
        <f t="shared" si="6"/>
        <v>0.75610356369364051</v>
      </c>
      <c r="AT28" s="143">
        <f t="shared" si="3"/>
        <v>-7.5021353554765469E-2</v>
      </c>
      <c r="AU28" s="143">
        <f t="shared" si="3"/>
        <v>3.2356864075535952E-2</v>
      </c>
      <c r="AV28" s="143">
        <f t="shared" ref="AV28:BD56" si="8">+IFERROR(AI28-AH28,"")</f>
        <v>0.13885078812164675</v>
      </c>
      <c r="AW28" s="143" t="str">
        <f t="shared" si="8"/>
        <v/>
      </c>
      <c r="AX28" s="143" t="str">
        <f t="shared" si="8"/>
        <v/>
      </c>
      <c r="AY28" s="143" t="str">
        <f t="shared" si="8"/>
        <v/>
      </c>
      <c r="AZ28" s="143" t="str">
        <f t="shared" si="8"/>
        <v/>
      </c>
      <c r="BA28" s="143" t="str">
        <f t="shared" si="8"/>
        <v/>
      </c>
      <c r="BB28" s="143" t="str">
        <f t="shared" si="8"/>
        <v/>
      </c>
      <c r="BC28" s="143" t="str">
        <f t="shared" si="8"/>
        <v/>
      </c>
      <c r="BD28" s="143" t="str">
        <f t="shared" si="8"/>
        <v/>
      </c>
      <c r="BF28" s="9">
        <f t="shared" si="4"/>
        <v>2.8146646552386378E-3</v>
      </c>
      <c r="BG28" s="9">
        <f t="shared" si="5"/>
        <v>0.77237722706308243</v>
      </c>
    </row>
    <row r="29" spans="2:59" x14ac:dyDescent="0.35">
      <c r="B29" s="3" t="s">
        <v>105</v>
      </c>
      <c r="D29" s="141">
        <v>3060451</v>
      </c>
      <c r="E29" s="141">
        <v>2979252</v>
      </c>
      <c r="F29" s="141">
        <v>3468250</v>
      </c>
      <c r="G29" s="141">
        <v>304683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9812636</v>
      </c>
      <c r="R29" s="141">
        <v>2849056</v>
      </c>
      <c r="S29" s="141">
        <v>2790093</v>
      </c>
      <c r="T29" s="141">
        <v>3258597</v>
      </c>
      <c r="U29" s="141">
        <v>292193</v>
      </c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9189939</v>
      </c>
      <c r="AF29" s="2">
        <f t="shared" si="7"/>
        <v>0.93092684705620188</v>
      </c>
      <c r="AG29" s="2">
        <f t="shared" si="7"/>
        <v>0.93650788855726197</v>
      </c>
      <c r="AH29" s="2">
        <f t="shared" si="7"/>
        <v>0.93955078209471632</v>
      </c>
      <c r="AI29" s="2">
        <f t="shared" si="7"/>
        <v>0.95900657404581158</v>
      </c>
      <c r="AJ29" s="2" t="str">
        <f t="shared" si="7"/>
        <v/>
      </c>
      <c r="AK29" s="2" t="str">
        <f t="shared" si="7"/>
        <v/>
      </c>
      <c r="AL29" s="2" t="str">
        <f t="shared" si="7"/>
        <v/>
      </c>
      <c r="AM29" s="2" t="str">
        <f t="shared" si="7"/>
        <v/>
      </c>
      <c r="AN29" s="2" t="str">
        <f t="shared" si="6"/>
        <v/>
      </c>
      <c r="AO29" s="2" t="str">
        <f t="shared" si="6"/>
        <v/>
      </c>
      <c r="AP29" s="2" t="str">
        <f t="shared" si="6"/>
        <v/>
      </c>
      <c r="AQ29" s="2" t="str">
        <f t="shared" si="6"/>
        <v/>
      </c>
      <c r="AR29" s="2">
        <f t="shared" si="6"/>
        <v>0.93654131265034191</v>
      </c>
      <c r="AT29" s="143">
        <f t="shared" ref="AT29:AU45" si="9">+IFERROR(AG29-AF29,"")</f>
        <v>5.5810415010600911E-3</v>
      </c>
      <c r="AU29" s="143">
        <f t="shared" si="9"/>
        <v>3.0428935374543498E-3</v>
      </c>
      <c r="AV29" s="143">
        <f t="shared" si="8"/>
        <v>1.9455791951095258E-2</v>
      </c>
      <c r="AW29" s="143" t="str">
        <f t="shared" si="8"/>
        <v/>
      </c>
      <c r="AX29" s="143" t="str">
        <f t="shared" si="8"/>
        <v/>
      </c>
      <c r="AY29" s="143" t="str">
        <f t="shared" si="8"/>
        <v/>
      </c>
      <c r="AZ29" s="143" t="str">
        <f t="shared" si="8"/>
        <v/>
      </c>
      <c r="BA29" s="143" t="str">
        <f t="shared" si="8"/>
        <v/>
      </c>
      <c r="BB29" s="143" t="str">
        <f t="shared" si="8"/>
        <v/>
      </c>
      <c r="BC29" s="143" t="str">
        <f t="shared" si="8"/>
        <v/>
      </c>
      <c r="BD29" s="143" t="str">
        <f t="shared" si="8"/>
        <v/>
      </c>
      <c r="BF29" s="9">
        <f t="shared" si="4"/>
        <v>1.5170392603650587E-2</v>
      </c>
      <c r="BG29" s="9">
        <f t="shared" si="5"/>
        <v>0.78754761966673303</v>
      </c>
    </row>
    <row r="30" spans="2:59" x14ac:dyDescent="0.35">
      <c r="B30" s="3" t="s">
        <v>99</v>
      </c>
      <c r="D30" s="141">
        <v>2455741</v>
      </c>
      <c r="E30" s="141">
        <v>2471768</v>
      </c>
      <c r="F30" s="141">
        <v>2766460</v>
      </c>
      <c r="G30" s="141">
        <v>398345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8092314</v>
      </c>
      <c r="R30" s="141">
        <v>1669629</v>
      </c>
      <c r="S30" s="141">
        <v>1659085</v>
      </c>
      <c r="T30" s="141">
        <v>1863000</v>
      </c>
      <c r="U30" s="141">
        <v>270732</v>
      </c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5462446</v>
      </c>
      <c r="AF30" s="2">
        <f t="shared" si="7"/>
        <v>0.6798880663718202</v>
      </c>
      <c r="AG30" s="2">
        <f t="shared" si="7"/>
        <v>0.67121388415093974</v>
      </c>
      <c r="AH30" s="2">
        <f t="shared" si="7"/>
        <v>0.67342379792225449</v>
      </c>
      <c r="AI30" s="2">
        <f t="shared" si="7"/>
        <v>0.67964201885300435</v>
      </c>
      <c r="AJ30" s="2" t="str">
        <f t="shared" si="7"/>
        <v/>
      </c>
      <c r="AK30" s="2" t="str">
        <f t="shared" si="7"/>
        <v/>
      </c>
      <c r="AL30" s="2" t="str">
        <f t="shared" si="7"/>
        <v/>
      </c>
      <c r="AM30" s="2" t="str">
        <f t="shared" si="7"/>
        <v/>
      </c>
      <c r="AN30" s="2" t="str">
        <f t="shared" si="6"/>
        <v/>
      </c>
      <c r="AO30" s="2" t="str">
        <f t="shared" si="6"/>
        <v/>
      </c>
      <c r="AP30" s="2" t="str">
        <f t="shared" si="6"/>
        <v/>
      </c>
      <c r="AQ30" s="2" t="str">
        <f t="shared" si="6"/>
        <v/>
      </c>
      <c r="AR30" s="2">
        <f t="shared" si="6"/>
        <v>0.67501656510115648</v>
      </c>
      <c r="AT30" s="143">
        <f t="shared" si="9"/>
        <v>-8.6741822208804553E-3</v>
      </c>
      <c r="AU30" s="143">
        <f t="shared" si="9"/>
        <v>2.2099137713147421E-3</v>
      </c>
      <c r="AV30" s="143">
        <f t="shared" si="8"/>
        <v>6.2182209307498626E-3</v>
      </c>
      <c r="AW30" s="143" t="str">
        <f t="shared" si="8"/>
        <v/>
      </c>
      <c r="AX30" s="143" t="str">
        <f t="shared" si="8"/>
        <v/>
      </c>
      <c r="AY30" s="143" t="str">
        <f t="shared" si="8"/>
        <v/>
      </c>
      <c r="AZ30" s="143" t="str">
        <f t="shared" si="8"/>
        <v/>
      </c>
      <c r="BA30" s="143" t="str">
        <f t="shared" si="8"/>
        <v/>
      </c>
      <c r="BB30" s="143" t="str">
        <f t="shared" si="8"/>
        <v/>
      </c>
      <c r="BC30" s="143" t="str">
        <f t="shared" si="8"/>
        <v/>
      </c>
      <c r="BD30" s="143" t="str">
        <f t="shared" si="8"/>
        <v/>
      </c>
      <c r="BF30" s="9">
        <f t="shared" si="4"/>
        <v>9.0171926490742477E-3</v>
      </c>
      <c r="BG30" s="9">
        <f t="shared" si="5"/>
        <v>0.79656481231580734</v>
      </c>
    </row>
    <row r="31" spans="2:59" x14ac:dyDescent="0.35">
      <c r="B31" s="3" t="s">
        <v>117</v>
      </c>
      <c r="D31" s="141">
        <v>605375</v>
      </c>
      <c r="E31" s="141">
        <v>642743</v>
      </c>
      <c r="F31" s="141">
        <v>652539</v>
      </c>
      <c r="G31" s="141">
        <v>44271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1944928</v>
      </c>
      <c r="R31" s="141">
        <v>498213</v>
      </c>
      <c r="S31" s="141">
        <v>515736</v>
      </c>
      <c r="T31" s="141">
        <v>543578</v>
      </c>
      <c r="U31" s="141">
        <v>35132</v>
      </c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1592659</v>
      </c>
      <c r="AF31" s="2">
        <f t="shared" si="7"/>
        <v>0.8229824488953128</v>
      </c>
      <c r="AG31" s="2">
        <f t="shared" si="7"/>
        <v>0.80239847030617217</v>
      </c>
      <c r="AH31" s="2">
        <f t="shared" si="7"/>
        <v>0.83301994210307739</v>
      </c>
      <c r="AI31" s="2">
        <f t="shared" si="7"/>
        <v>0.79356689480698428</v>
      </c>
      <c r="AJ31" s="2" t="str">
        <f t="shared" si="7"/>
        <v/>
      </c>
      <c r="AK31" s="2" t="str">
        <f t="shared" si="7"/>
        <v/>
      </c>
      <c r="AL31" s="2" t="str">
        <f t="shared" si="7"/>
        <v/>
      </c>
      <c r="AM31" s="2" t="str">
        <f t="shared" si="7"/>
        <v/>
      </c>
      <c r="AN31" s="2" t="str">
        <f t="shared" si="6"/>
        <v/>
      </c>
      <c r="AO31" s="2" t="str">
        <f t="shared" si="6"/>
        <v/>
      </c>
      <c r="AP31" s="2" t="str">
        <f t="shared" si="6"/>
        <v/>
      </c>
      <c r="AQ31" s="2" t="str">
        <f t="shared" si="6"/>
        <v/>
      </c>
      <c r="AR31" s="2">
        <f t="shared" si="6"/>
        <v>0.81887812813636285</v>
      </c>
      <c r="AT31" s="143">
        <f t="shared" si="9"/>
        <v>-2.0583978589140628E-2</v>
      </c>
      <c r="AU31" s="143">
        <f t="shared" si="9"/>
        <v>3.062147179690522E-2</v>
      </c>
      <c r="AV31" s="143">
        <f t="shared" si="8"/>
        <v>-3.9453047296093113E-2</v>
      </c>
      <c r="AW31" s="143" t="str">
        <f t="shared" si="8"/>
        <v/>
      </c>
      <c r="AX31" s="143" t="str">
        <f t="shared" si="8"/>
        <v/>
      </c>
      <c r="AY31" s="143" t="str">
        <f t="shared" si="8"/>
        <v/>
      </c>
      <c r="AZ31" s="143" t="str">
        <f t="shared" si="8"/>
        <v/>
      </c>
      <c r="BA31" s="143" t="str">
        <f t="shared" si="8"/>
        <v/>
      </c>
      <c r="BB31" s="143" t="str">
        <f t="shared" si="8"/>
        <v/>
      </c>
      <c r="BC31" s="143" t="str">
        <f t="shared" si="8"/>
        <v/>
      </c>
      <c r="BD31" s="143" t="str">
        <f t="shared" si="8"/>
        <v/>
      </c>
      <c r="BF31" s="9">
        <f t="shared" si="4"/>
        <v>2.629099313253063E-3</v>
      </c>
      <c r="BG31" s="9">
        <f t="shared" si="5"/>
        <v>0.79919391162906039</v>
      </c>
    </row>
    <row r="32" spans="2:59" x14ac:dyDescent="0.35">
      <c r="B32" s="3" t="s">
        <v>212</v>
      </c>
      <c r="D32" s="141">
        <v>700561</v>
      </c>
      <c r="E32" s="141">
        <v>3123117</v>
      </c>
      <c r="F32" s="141">
        <v>2846366</v>
      </c>
      <c r="G32" s="141">
        <v>97952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6767996</v>
      </c>
      <c r="R32" s="141">
        <v>567792</v>
      </c>
      <c r="S32" s="141">
        <v>2766179</v>
      </c>
      <c r="T32" s="141">
        <v>2586334</v>
      </c>
      <c r="U32" s="141">
        <v>76480</v>
      </c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5996785</v>
      </c>
      <c r="AF32" s="2">
        <f t="shared" si="7"/>
        <v>0.81048188523197839</v>
      </c>
      <c r="AG32" s="2">
        <f t="shared" si="7"/>
        <v>0.88571097400449617</v>
      </c>
      <c r="AH32" s="2">
        <f t="shared" si="7"/>
        <v>0.90864421511499227</v>
      </c>
      <c r="AI32" s="2">
        <f t="shared" si="7"/>
        <v>0.78079059131002937</v>
      </c>
      <c r="AJ32" s="2" t="str">
        <f t="shared" si="7"/>
        <v/>
      </c>
      <c r="AK32" s="2" t="str">
        <f t="shared" si="7"/>
        <v/>
      </c>
      <c r="AL32" s="2" t="str">
        <f t="shared" si="7"/>
        <v/>
      </c>
      <c r="AM32" s="2" t="str">
        <f t="shared" si="7"/>
        <v/>
      </c>
      <c r="AN32" s="2" t="str">
        <f t="shared" si="6"/>
        <v/>
      </c>
      <c r="AO32" s="2" t="str">
        <f t="shared" si="6"/>
        <v/>
      </c>
      <c r="AP32" s="2" t="str">
        <f t="shared" si="6"/>
        <v/>
      </c>
      <c r="AQ32" s="2" t="str">
        <f t="shared" si="6"/>
        <v/>
      </c>
      <c r="AR32" s="2">
        <f t="shared" si="6"/>
        <v>0.886050316814608</v>
      </c>
      <c r="AT32" s="143">
        <f t="shared" si="9"/>
        <v>7.5229088772517771E-2</v>
      </c>
      <c r="AU32" s="143">
        <f t="shared" si="9"/>
        <v>2.2933241110496105E-2</v>
      </c>
      <c r="AV32" s="143">
        <f t="shared" si="8"/>
        <v>-0.1278536238049629</v>
      </c>
      <c r="AW32" s="143" t="str">
        <f t="shared" si="8"/>
        <v/>
      </c>
      <c r="AX32" s="143" t="str">
        <f t="shared" si="8"/>
        <v/>
      </c>
      <c r="AY32" s="143" t="str">
        <f t="shared" si="8"/>
        <v/>
      </c>
      <c r="AZ32" s="143" t="str">
        <f t="shared" si="8"/>
        <v/>
      </c>
      <c r="BA32" s="143" t="str">
        <f t="shared" si="8"/>
        <v/>
      </c>
      <c r="BB32" s="143" t="str">
        <f t="shared" si="8"/>
        <v/>
      </c>
      <c r="BC32" s="143" t="str">
        <f t="shared" si="8"/>
        <v/>
      </c>
      <c r="BD32" s="143" t="str">
        <f t="shared" si="8"/>
        <v/>
      </c>
      <c r="BF32" s="9">
        <f t="shared" si="4"/>
        <v>9.8992586141956745E-3</v>
      </c>
      <c r="BG32" s="9">
        <f t="shared" si="5"/>
        <v>0.80909317024325611</v>
      </c>
    </row>
    <row r="33" spans="2:59" x14ac:dyDescent="0.35">
      <c r="B33" s="3" t="s">
        <v>132</v>
      </c>
      <c r="D33" s="141">
        <v>241270</v>
      </c>
      <c r="E33" s="141">
        <v>430329</v>
      </c>
      <c r="F33" s="141">
        <v>779176</v>
      </c>
      <c r="G33" s="141">
        <v>104731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1555506</v>
      </c>
      <c r="R33" s="141">
        <v>205258</v>
      </c>
      <c r="S33" s="141">
        <v>362292</v>
      </c>
      <c r="T33" s="141">
        <v>536213</v>
      </c>
      <c r="U33" s="141">
        <v>75764</v>
      </c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1179527</v>
      </c>
      <c r="AF33" s="2">
        <f t="shared" si="7"/>
        <v>0.85073983503958217</v>
      </c>
      <c r="AG33" s="2">
        <f t="shared" si="7"/>
        <v>0.84189538701783984</v>
      </c>
      <c r="AH33" s="2">
        <f t="shared" si="7"/>
        <v>0.68817956405228087</v>
      </c>
      <c r="AI33" s="2">
        <f t="shared" si="7"/>
        <v>0.72341522567339178</v>
      </c>
      <c r="AJ33" s="2" t="str">
        <f t="shared" si="7"/>
        <v/>
      </c>
      <c r="AK33" s="2" t="str">
        <f t="shared" si="7"/>
        <v/>
      </c>
      <c r="AL33" s="2" t="str">
        <f t="shared" si="7"/>
        <v/>
      </c>
      <c r="AM33" s="2" t="str">
        <f t="shared" si="7"/>
        <v/>
      </c>
      <c r="AN33" s="2" t="str">
        <f t="shared" si="6"/>
        <v/>
      </c>
      <c r="AO33" s="2" t="str">
        <f t="shared" si="6"/>
        <v/>
      </c>
      <c r="AP33" s="2" t="str">
        <f t="shared" si="6"/>
        <v/>
      </c>
      <c r="AQ33" s="2" t="str">
        <f t="shared" si="6"/>
        <v/>
      </c>
      <c r="AR33" s="2">
        <f t="shared" si="6"/>
        <v>0.75829151414395057</v>
      </c>
      <c r="AT33" s="143">
        <f t="shared" si="9"/>
        <v>-8.8444480217423349E-3</v>
      </c>
      <c r="AU33" s="143">
        <f t="shared" si="9"/>
        <v>-0.15371582296555897</v>
      </c>
      <c r="AV33" s="143">
        <f t="shared" si="8"/>
        <v>3.5235661621110914E-2</v>
      </c>
      <c r="AW33" s="143" t="str">
        <f t="shared" si="8"/>
        <v/>
      </c>
      <c r="AX33" s="143" t="str">
        <f t="shared" si="8"/>
        <v/>
      </c>
      <c r="AY33" s="143" t="str">
        <f t="shared" si="8"/>
        <v/>
      </c>
      <c r="AZ33" s="143" t="str">
        <f t="shared" si="8"/>
        <v/>
      </c>
      <c r="BA33" s="143" t="str">
        <f t="shared" si="8"/>
        <v/>
      </c>
      <c r="BB33" s="143" t="str">
        <f t="shared" si="8"/>
        <v/>
      </c>
      <c r="BC33" s="143" t="str">
        <f t="shared" si="8"/>
        <v/>
      </c>
      <c r="BD33" s="143" t="str">
        <f t="shared" si="8"/>
        <v/>
      </c>
      <c r="BF33" s="9">
        <f t="shared" si="4"/>
        <v>1.947117132834741E-3</v>
      </c>
      <c r="BG33" s="9">
        <f t="shared" si="5"/>
        <v>0.8110402873760908</v>
      </c>
    </row>
    <row r="34" spans="2:59" x14ac:dyDescent="0.35">
      <c r="B34" s="3" t="s">
        <v>114</v>
      </c>
      <c r="D34" s="141">
        <v>271409</v>
      </c>
      <c r="E34" s="141">
        <v>154481</v>
      </c>
      <c r="F34" s="141">
        <v>192564</v>
      </c>
      <c r="G34" s="141">
        <v>1362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619816</v>
      </c>
      <c r="R34" s="141">
        <v>235447</v>
      </c>
      <c r="S34" s="141">
        <v>109772</v>
      </c>
      <c r="T34" s="141">
        <v>146842</v>
      </c>
      <c r="U34" s="141">
        <v>1107</v>
      </c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493168</v>
      </c>
      <c r="AF34" s="2">
        <f t="shared" si="7"/>
        <v>0.8674988670235696</v>
      </c>
      <c r="AG34" s="2">
        <f t="shared" si="7"/>
        <v>0.71058576782905336</v>
      </c>
      <c r="AH34" s="2">
        <f t="shared" si="7"/>
        <v>0.76256205729004378</v>
      </c>
      <c r="AI34" s="2">
        <f t="shared" si="7"/>
        <v>0.81277533039647576</v>
      </c>
      <c r="AJ34" s="2" t="str">
        <f t="shared" si="7"/>
        <v/>
      </c>
      <c r="AK34" s="2" t="str">
        <f t="shared" si="7"/>
        <v/>
      </c>
      <c r="AL34" s="2" t="str">
        <f t="shared" si="7"/>
        <v/>
      </c>
      <c r="AM34" s="2" t="str">
        <f t="shared" si="7"/>
        <v/>
      </c>
      <c r="AN34" s="2" t="str">
        <f t="shared" si="6"/>
        <v/>
      </c>
      <c r="AO34" s="2" t="str">
        <f t="shared" si="6"/>
        <v/>
      </c>
      <c r="AP34" s="2" t="str">
        <f t="shared" si="6"/>
        <v/>
      </c>
      <c r="AQ34" s="2" t="str">
        <f t="shared" si="6"/>
        <v/>
      </c>
      <c r="AR34" s="2">
        <f t="shared" si="6"/>
        <v>0.79566839190985716</v>
      </c>
      <c r="AT34" s="143">
        <f t="shared" si="9"/>
        <v>-0.15691309919451624</v>
      </c>
      <c r="AU34" s="143">
        <f t="shared" si="9"/>
        <v>5.1976289460990421E-2</v>
      </c>
      <c r="AV34" s="143">
        <f t="shared" si="8"/>
        <v>5.0213273106431977E-2</v>
      </c>
      <c r="AW34" s="143" t="str">
        <f t="shared" si="8"/>
        <v/>
      </c>
      <c r="AX34" s="143" t="str">
        <f t="shared" si="8"/>
        <v/>
      </c>
      <c r="AY34" s="143" t="str">
        <f t="shared" si="8"/>
        <v/>
      </c>
      <c r="AZ34" s="143" t="str">
        <f t="shared" si="8"/>
        <v/>
      </c>
      <c r="BA34" s="143" t="str">
        <f t="shared" si="8"/>
        <v/>
      </c>
      <c r="BB34" s="143" t="str">
        <f t="shared" si="8"/>
        <v/>
      </c>
      <c r="BC34" s="143" t="str">
        <f t="shared" si="8"/>
        <v/>
      </c>
      <c r="BD34" s="143" t="str">
        <f t="shared" si="8"/>
        <v/>
      </c>
      <c r="BF34" s="9">
        <f t="shared" si="4"/>
        <v>8.1410248528930964E-4</v>
      </c>
      <c r="BG34" s="9">
        <f t="shared" si="5"/>
        <v>0.81185438986138014</v>
      </c>
    </row>
    <row r="35" spans="2:59" x14ac:dyDescent="0.35">
      <c r="B35" s="3" t="s">
        <v>113</v>
      </c>
      <c r="D35" s="141">
        <v>2386880</v>
      </c>
      <c r="E35" s="141">
        <v>3007601</v>
      </c>
      <c r="F35" s="141">
        <v>3148488</v>
      </c>
      <c r="G35" s="141">
        <v>96222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8639191</v>
      </c>
      <c r="R35" s="141">
        <v>1464736</v>
      </c>
      <c r="S35" s="141">
        <v>2064421</v>
      </c>
      <c r="T35" s="141">
        <v>2127640</v>
      </c>
      <c r="U35" s="141">
        <v>51536</v>
      </c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5708333</v>
      </c>
      <c r="AF35" s="2">
        <f t="shared" si="7"/>
        <v>0.61366134870626088</v>
      </c>
      <c r="AG35" s="2">
        <f t="shared" si="7"/>
        <v>0.68640122143861504</v>
      </c>
      <c r="AH35" s="2">
        <f t="shared" si="7"/>
        <v>0.67576563734719652</v>
      </c>
      <c r="AI35" s="2">
        <f t="shared" si="7"/>
        <v>0.53559477042672154</v>
      </c>
      <c r="AJ35" s="2" t="str">
        <f t="shared" si="7"/>
        <v/>
      </c>
      <c r="AK35" s="2" t="str">
        <f t="shared" si="7"/>
        <v/>
      </c>
      <c r="AL35" s="2" t="str">
        <f t="shared" si="7"/>
        <v/>
      </c>
      <c r="AM35" s="2" t="str">
        <f t="shared" si="7"/>
        <v/>
      </c>
      <c r="AN35" s="2" t="str">
        <f t="shared" si="6"/>
        <v/>
      </c>
      <c r="AO35" s="2" t="str">
        <f t="shared" si="6"/>
        <v/>
      </c>
      <c r="AP35" s="2" t="str">
        <f t="shared" si="6"/>
        <v/>
      </c>
      <c r="AQ35" s="2" t="str">
        <f t="shared" si="6"/>
        <v/>
      </c>
      <c r="AR35" s="2">
        <f t="shared" si="6"/>
        <v>0.66074855851664815</v>
      </c>
      <c r="AT35" s="143">
        <f t="shared" si="9"/>
        <v>7.2739872732354161E-2</v>
      </c>
      <c r="AU35" s="143">
        <f t="shared" si="9"/>
        <v>-1.0635584091418515E-2</v>
      </c>
      <c r="AV35" s="143">
        <f t="shared" si="8"/>
        <v>-0.14017086692047498</v>
      </c>
      <c r="AW35" s="143" t="str">
        <f t="shared" si="8"/>
        <v/>
      </c>
      <c r="AX35" s="143" t="str">
        <f t="shared" si="8"/>
        <v/>
      </c>
      <c r="AY35" s="143" t="str">
        <f t="shared" si="8"/>
        <v/>
      </c>
      <c r="AZ35" s="143" t="str">
        <f t="shared" si="8"/>
        <v/>
      </c>
      <c r="BA35" s="143" t="str">
        <f t="shared" si="8"/>
        <v/>
      </c>
      <c r="BB35" s="143" t="str">
        <f t="shared" si="8"/>
        <v/>
      </c>
      <c r="BC35" s="143" t="str">
        <f t="shared" si="8"/>
        <v/>
      </c>
      <c r="BD35" s="143" t="str">
        <f t="shared" si="8"/>
        <v/>
      </c>
      <c r="BF35" s="9">
        <f t="shared" si="4"/>
        <v>9.4230933113238907E-3</v>
      </c>
      <c r="BG35" s="9">
        <f t="shared" si="5"/>
        <v>0.82127748317270399</v>
      </c>
    </row>
    <row r="36" spans="2:59" x14ac:dyDescent="0.35">
      <c r="B36" s="3" t="s">
        <v>107</v>
      </c>
      <c r="D36" s="141">
        <v>501324</v>
      </c>
      <c r="E36" s="141">
        <v>495292</v>
      </c>
      <c r="F36" s="141">
        <v>489344</v>
      </c>
      <c r="G36" s="141">
        <v>17348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1503308</v>
      </c>
      <c r="R36" s="141">
        <v>336190</v>
      </c>
      <c r="S36" s="141">
        <v>346770</v>
      </c>
      <c r="T36" s="141">
        <v>358864</v>
      </c>
      <c r="U36" s="141">
        <v>13344</v>
      </c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1055168</v>
      </c>
      <c r="AF36" s="2">
        <f t="shared" si="7"/>
        <v>0.6706042399725527</v>
      </c>
      <c r="AG36" s="2">
        <f t="shared" si="7"/>
        <v>0.70013244712210176</v>
      </c>
      <c r="AH36" s="2">
        <f t="shared" si="7"/>
        <v>0.73335731101229396</v>
      </c>
      <c r="AI36" s="2">
        <f t="shared" si="7"/>
        <v>0.76919529628775651</v>
      </c>
      <c r="AJ36" s="2" t="str">
        <f t="shared" si="7"/>
        <v/>
      </c>
      <c r="AK36" s="2" t="str">
        <f t="shared" si="7"/>
        <v/>
      </c>
      <c r="AL36" s="2" t="str">
        <f t="shared" si="7"/>
        <v/>
      </c>
      <c r="AM36" s="2" t="str">
        <f t="shared" si="7"/>
        <v/>
      </c>
      <c r="AN36" s="2" t="str">
        <f t="shared" si="6"/>
        <v/>
      </c>
      <c r="AO36" s="2" t="str">
        <f t="shared" si="6"/>
        <v/>
      </c>
      <c r="AP36" s="2" t="str">
        <f t="shared" si="6"/>
        <v/>
      </c>
      <c r="AQ36" s="2" t="str">
        <f t="shared" si="6"/>
        <v/>
      </c>
      <c r="AR36" s="2">
        <f t="shared" si="6"/>
        <v>0.70189741556620466</v>
      </c>
      <c r="AT36" s="143">
        <f t="shared" si="9"/>
        <v>2.9528207149549068E-2</v>
      </c>
      <c r="AU36" s="143">
        <f t="shared" si="9"/>
        <v>3.3224863890192191E-2</v>
      </c>
      <c r="AV36" s="143">
        <f t="shared" si="8"/>
        <v>3.5837985275462558E-2</v>
      </c>
      <c r="AW36" s="143" t="str">
        <f t="shared" si="8"/>
        <v/>
      </c>
      <c r="AX36" s="143" t="str">
        <f t="shared" si="8"/>
        <v/>
      </c>
      <c r="AY36" s="143" t="str">
        <f t="shared" si="8"/>
        <v/>
      </c>
      <c r="AZ36" s="143" t="str">
        <f t="shared" si="8"/>
        <v/>
      </c>
      <c r="BA36" s="143" t="str">
        <f t="shared" si="8"/>
        <v/>
      </c>
      <c r="BB36" s="143" t="str">
        <f t="shared" si="8"/>
        <v/>
      </c>
      <c r="BC36" s="143" t="str">
        <f t="shared" si="8"/>
        <v/>
      </c>
      <c r="BD36" s="143" t="str">
        <f t="shared" si="8"/>
        <v/>
      </c>
      <c r="BF36" s="9">
        <f t="shared" si="4"/>
        <v>1.7418301495590758E-3</v>
      </c>
      <c r="BG36" s="9">
        <f t="shared" si="5"/>
        <v>0.82301931332226308</v>
      </c>
    </row>
    <row r="37" spans="2:59" x14ac:dyDescent="0.35">
      <c r="B37" s="3" t="s">
        <v>103</v>
      </c>
      <c r="D37" s="141">
        <v>2108410</v>
      </c>
      <c r="E37" s="141">
        <v>1991914</v>
      </c>
      <c r="F37" s="141">
        <v>2159280</v>
      </c>
      <c r="G37" s="141">
        <v>290982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6550586</v>
      </c>
      <c r="R37" s="141">
        <v>1557866</v>
      </c>
      <c r="S37" s="141">
        <v>1462826</v>
      </c>
      <c r="T37" s="141">
        <v>1577754</v>
      </c>
      <c r="U37" s="141">
        <v>210799</v>
      </c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4809245</v>
      </c>
      <c r="AF37" s="2">
        <f t="shared" si="7"/>
        <v>0.73888190627060202</v>
      </c>
      <c r="AG37" s="2">
        <f t="shared" si="7"/>
        <v>0.73438210685802696</v>
      </c>
      <c r="AH37" s="2">
        <f t="shared" si="7"/>
        <v>0.73068522840946981</v>
      </c>
      <c r="AI37" s="2">
        <f t="shared" si="7"/>
        <v>0.72443999972506889</v>
      </c>
      <c r="AJ37" s="2" t="str">
        <f t="shared" si="7"/>
        <v/>
      </c>
      <c r="AK37" s="2" t="str">
        <f t="shared" si="7"/>
        <v/>
      </c>
      <c r="AL37" s="2" t="str">
        <f t="shared" si="7"/>
        <v/>
      </c>
      <c r="AM37" s="2" t="str">
        <f t="shared" si="7"/>
        <v/>
      </c>
      <c r="AN37" s="2" t="str">
        <f t="shared" si="6"/>
        <v/>
      </c>
      <c r="AO37" s="2" t="str">
        <f t="shared" si="6"/>
        <v/>
      </c>
      <c r="AP37" s="2" t="str">
        <f t="shared" si="6"/>
        <v/>
      </c>
      <c r="AQ37" s="2" t="str">
        <f t="shared" si="6"/>
        <v/>
      </c>
      <c r="AR37" s="2">
        <f t="shared" si="6"/>
        <v>0.73417019484974322</v>
      </c>
      <c r="AT37" s="143">
        <f t="shared" si="9"/>
        <v>-4.4997994125750562E-3</v>
      </c>
      <c r="AU37" s="143">
        <f t="shared" si="9"/>
        <v>-3.6968784485571504E-3</v>
      </c>
      <c r="AV37" s="143">
        <f t="shared" si="8"/>
        <v>-6.2452286844009164E-3</v>
      </c>
      <c r="AW37" s="143" t="str">
        <f t="shared" si="8"/>
        <v/>
      </c>
      <c r="AX37" s="143" t="str">
        <f t="shared" si="8"/>
        <v/>
      </c>
      <c r="AY37" s="143" t="str">
        <f t="shared" si="8"/>
        <v/>
      </c>
      <c r="AZ37" s="143" t="str">
        <f t="shared" si="8"/>
        <v/>
      </c>
      <c r="BA37" s="143" t="str">
        <f t="shared" si="8"/>
        <v/>
      </c>
      <c r="BB37" s="143" t="str">
        <f t="shared" si="8"/>
        <v/>
      </c>
      <c r="BC37" s="143" t="str">
        <f t="shared" si="8"/>
        <v/>
      </c>
      <c r="BD37" s="143" t="str">
        <f t="shared" si="8"/>
        <v/>
      </c>
      <c r="BF37" s="9">
        <f t="shared" ref="BF37:BF68" si="10">+AD37/$AD$256</f>
        <v>7.9389139337207315E-3</v>
      </c>
      <c r="BG37" s="9">
        <f t="shared" si="5"/>
        <v>0.83095822725598378</v>
      </c>
    </row>
    <row r="38" spans="2:59" x14ac:dyDescent="0.35">
      <c r="B38" s="3" t="s">
        <v>112</v>
      </c>
      <c r="D38" s="141">
        <v>1031842</v>
      </c>
      <c r="E38" s="141">
        <v>1054094</v>
      </c>
      <c r="F38" s="141">
        <v>1086318</v>
      </c>
      <c r="G38" s="141">
        <v>103395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3275649</v>
      </c>
      <c r="R38" s="141">
        <v>734007</v>
      </c>
      <c r="S38" s="141">
        <v>690895</v>
      </c>
      <c r="T38" s="141">
        <v>737374</v>
      </c>
      <c r="U38" s="141">
        <v>72977</v>
      </c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2235253</v>
      </c>
      <c r="AF38" s="2">
        <f t="shared" si="7"/>
        <v>0.71135600217862816</v>
      </c>
      <c r="AG38" s="2">
        <f t="shared" si="7"/>
        <v>0.65543964769745389</v>
      </c>
      <c r="AH38" s="2">
        <f t="shared" si="7"/>
        <v>0.67878282418223757</v>
      </c>
      <c r="AI38" s="2">
        <f t="shared" si="7"/>
        <v>0.70580782436288025</v>
      </c>
      <c r="AJ38" s="2" t="str">
        <f t="shared" si="7"/>
        <v/>
      </c>
      <c r="AK38" s="2" t="str">
        <f t="shared" si="7"/>
        <v/>
      </c>
      <c r="AL38" s="2" t="str">
        <f t="shared" si="7"/>
        <v/>
      </c>
      <c r="AM38" s="2" t="str">
        <f t="shared" si="7"/>
        <v/>
      </c>
      <c r="AN38" s="2" t="str">
        <f t="shared" si="6"/>
        <v/>
      </c>
      <c r="AO38" s="2" t="str">
        <f t="shared" si="6"/>
        <v/>
      </c>
      <c r="AP38" s="2" t="str">
        <f t="shared" si="6"/>
        <v/>
      </c>
      <c r="AQ38" s="2" t="str">
        <f t="shared" si="6"/>
        <v/>
      </c>
      <c r="AR38" s="2">
        <f t="shared" si="6"/>
        <v>0.68238477321593372</v>
      </c>
      <c r="AT38" s="143">
        <f t="shared" si="9"/>
        <v>-5.5916354481174269E-2</v>
      </c>
      <c r="AU38" s="143">
        <f t="shared" si="9"/>
        <v>2.3343176484783679E-2</v>
      </c>
      <c r="AV38" s="143">
        <f t="shared" si="8"/>
        <v>2.7025000180642689E-2</v>
      </c>
      <c r="AW38" s="143" t="str">
        <f t="shared" si="8"/>
        <v/>
      </c>
      <c r="AX38" s="143" t="str">
        <f t="shared" si="8"/>
        <v/>
      </c>
      <c r="AY38" s="143" t="str">
        <f t="shared" si="8"/>
        <v/>
      </c>
      <c r="AZ38" s="143" t="str">
        <f t="shared" si="8"/>
        <v/>
      </c>
      <c r="BA38" s="143" t="str">
        <f t="shared" si="8"/>
        <v/>
      </c>
      <c r="BB38" s="143" t="str">
        <f t="shared" si="8"/>
        <v/>
      </c>
      <c r="BC38" s="143" t="str">
        <f t="shared" si="8"/>
        <v/>
      </c>
      <c r="BD38" s="143" t="str">
        <f t="shared" si="8"/>
        <v/>
      </c>
      <c r="BF38" s="9">
        <f t="shared" si="10"/>
        <v>3.6898684070142129E-3</v>
      </c>
      <c r="BG38" s="9">
        <f t="shared" si="5"/>
        <v>0.83464809566299802</v>
      </c>
    </row>
    <row r="39" spans="2:59" x14ac:dyDescent="0.35">
      <c r="B39" s="3" t="s">
        <v>110</v>
      </c>
      <c r="D39" s="141">
        <v>1262804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1262804</v>
      </c>
      <c r="R39" s="141">
        <v>959164</v>
      </c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959164</v>
      </c>
      <c r="AF39" s="2">
        <f t="shared" si="7"/>
        <v>0.75955096752940288</v>
      </c>
      <c r="AG39" s="2" t="str">
        <f t="shared" si="7"/>
        <v/>
      </c>
      <c r="AH39" s="2" t="str">
        <f t="shared" si="7"/>
        <v/>
      </c>
      <c r="AI39" s="2" t="str">
        <f t="shared" si="7"/>
        <v/>
      </c>
      <c r="AJ39" s="2" t="str">
        <f t="shared" si="7"/>
        <v/>
      </c>
      <c r="AK39" s="2" t="str">
        <f t="shared" si="7"/>
        <v/>
      </c>
      <c r="AL39" s="2" t="str">
        <f t="shared" si="7"/>
        <v/>
      </c>
      <c r="AM39" s="2" t="str">
        <f t="shared" si="7"/>
        <v/>
      </c>
      <c r="AN39" s="2" t="str">
        <f t="shared" si="6"/>
        <v/>
      </c>
      <c r="AO39" s="2" t="str">
        <f t="shared" si="6"/>
        <v/>
      </c>
      <c r="AP39" s="2" t="str">
        <f t="shared" si="6"/>
        <v/>
      </c>
      <c r="AQ39" s="2" t="str">
        <f t="shared" si="6"/>
        <v/>
      </c>
      <c r="AR39" s="2">
        <f t="shared" si="6"/>
        <v>0.75955096752940288</v>
      </c>
      <c r="AT39" s="143" t="str">
        <f t="shared" si="9"/>
        <v/>
      </c>
      <c r="AU39" s="143" t="str">
        <f t="shared" si="9"/>
        <v/>
      </c>
      <c r="AV39" s="143" t="str">
        <f t="shared" si="8"/>
        <v/>
      </c>
      <c r="AW39" s="143" t="str">
        <f t="shared" si="8"/>
        <v/>
      </c>
      <c r="AX39" s="143" t="str">
        <f t="shared" si="8"/>
        <v/>
      </c>
      <c r="AY39" s="143" t="str">
        <f t="shared" si="8"/>
        <v/>
      </c>
      <c r="AZ39" s="143" t="str">
        <f t="shared" si="8"/>
        <v/>
      </c>
      <c r="BA39" s="143" t="str">
        <f t="shared" si="8"/>
        <v/>
      </c>
      <c r="BB39" s="143" t="str">
        <f t="shared" si="8"/>
        <v/>
      </c>
      <c r="BC39" s="143" t="str">
        <f t="shared" si="8"/>
        <v/>
      </c>
      <c r="BD39" s="143" t="str">
        <f t="shared" si="8"/>
        <v/>
      </c>
      <c r="BF39" s="9">
        <f t="shared" si="10"/>
        <v>1.5833504935438541E-3</v>
      </c>
      <c r="BG39" s="9">
        <f t="shared" si="5"/>
        <v>0.83623144615654188</v>
      </c>
    </row>
    <row r="40" spans="2:59" x14ac:dyDescent="0.35">
      <c r="B40" s="3" t="s">
        <v>100</v>
      </c>
      <c r="D40" s="141">
        <v>446476</v>
      </c>
      <c r="E40" s="141">
        <v>417753</v>
      </c>
      <c r="F40" s="141">
        <v>470848</v>
      </c>
      <c r="G40" s="141">
        <v>38563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1373640</v>
      </c>
      <c r="R40" s="141">
        <v>332334</v>
      </c>
      <c r="S40" s="141">
        <v>246096</v>
      </c>
      <c r="T40" s="141">
        <v>273101</v>
      </c>
      <c r="U40" s="141">
        <v>15306</v>
      </c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866837</v>
      </c>
      <c r="AF40" s="2">
        <f t="shared" si="7"/>
        <v>0.74434908035370317</v>
      </c>
      <c r="AG40" s="2">
        <f t="shared" si="7"/>
        <v>0.58909451278626368</v>
      </c>
      <c r="AH40" s="2">
        <f t="shared" si="7"/>
        <v>0.58001945426124779</v>
      </c>
      <c r="AI40" s="2">
        <f t="shared" si="7"/>
        <v>0.39690895417887612</v>
      </c>
      <c r="AJ40" s="2" t="str">
        <f t="shared" si="7"/>
        <v/>
      </c>
      <c r="AK40" s="2" t="str">
        <f t="shared" si="7"/>
        <v/>
      </c>
      <c r="AL40" s="2" t="str">
        <f t="shared" si="7"/>
        <v/>
      </c>
      <c r="AM40" s="2" t="str">
        <f t="shared" si="7"/>
        <v/>
      </c>
      <c r="AN40" s="2" t="str">
        <f t="shared" si="6"/>
        <v/>
      </c>
      <c r="AO40" s="2" t="str">
        <f t="shared" si="6"/>
        <v/>
      </c>
      <c r="AP40" s="2" t="str">
        <f t="shared" si="6"/>
        <v/>
      </c>
      <c r="AQ40" s="2" t="str">
        <f t="shared" si="6"/>
        <v/>
      </c>
      <c r="AR40" s="2">
        <f t="shared" si="6"/>
        <v>0.63105107597332633</v>
      </c>
      <c r="AT40" s="143">
        <f t="shared" si="9"/>
        <v>-0.15525456756743949</v>
      </c>
      <c r="AU40" s="143">
        <f t="shared" si="9"/>
        <v>-9.0750585250158888E-3</v>
      </c>
      <c r="AV40" s="143">
        <f t="shared" si="8"/>
        <v>-0.18311050008237167</v>
      </c>
      <c r="AW40" s="143" t="str">
        <f t="shared" si="8"/>
        <v/>
      </c>
      <c r="AX40" s="143" t="str">
        <f t="shared" si="8"/>
        <v/>
      </c>
      <c r="AY40" s="143" t="str">
        <f t="shared" si="8"/>
        <v/>
      </c>
      <c r="AZ40" s="143" t="str">
        <f t="shared" si="8"/>
        <v/>
      </c>
      <c r="BA40" s="143" t="str">
        <f t="shared" si="8"/>
        <v/>
      </c>
      <c r="BB40" s="143" t="str">
        <f t="shared" si="8"/>
        <v/>
      </c>
      <c r="BC40" s="143" t="str">
        <f t="shared" si="8"/>
        <v/>
      </c>
      <c r="BD40" s="143" t="str">
        <f t="shared" si="8"/>
        <v/>
      </c>
      <c r="BF40" s="9">
        <f t="shared" si="10"/>
        <v>1.4309406856096287E-3</v>
      </c>
      <c r="BG40" s="9">
        <f t="shared" si="5"/>
        <v>0.83766238684215155</v>
      </c>
    </row>
    <row r="41" spans="2:59" x14ac:dyDescent="0.35">
      <c r="B41" s="3" t="s">
        <v>111</v>
      </c>
      <c r="D41" s="141">
        <v>173965</v>
      </c>
      <c r="E41" s="141">
        <v>255208</v>
      </c>
      <c r="F41" s="141">
        <v>292607</v>
      </c>
      <c r="G41" s="141">
        <v>3609</v>
      </c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725389</v>
      </c>
      <c r="R41" s="141">
        <v>134702</v>
      </c>
      <c r="S41" s="141">
        <v>207529</v>
      </c>
      <c r="T41" s="141">
        <v>249580</v>
      </c>
      <c r="U41" s="141">
        <v>2046</v>
      </c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593857</v>
      </c>
      <c r="AF41" s="2">
        <f t="shared" si="7"/>
        <v>0.77430517632857188</v>
      </c>
      <c r="AG41" s="2">
        <f t="shared" si="7"/>
        <v>0.81317591925018029</v>
      </c>
      <c r="AH41" s="2">
        <f t="shared" si="7"/>
        <v>0.85295293687437412</v>
      </c>
      <c r="AI41" s="2">
        <f t="shared" si="7"/>
        <v>0.56691604322527012</v>
      </c>
      <c r="AJ41" s="2" t="str">
        <f t="shared" si="7"/>
        <v/>
      </c>
      <c r="AK41" s="2" t="str">
        <f t="shared" si="7"/>
        <v/>
      </c>
      <c r="AL41" s="2" t="str">
        <f t="shared" si="7"/>
        <v/>
      </c>
      <c r="AM41" s="2" t="str">
        <f t="shared" si="7"/>
        <v/>
      </c>
      <c r="AN41" s="2" t="str">
        <f t="shared" si="6"/>
        <v/>
      </c>
      <c r="AO41" s="2" t="str">
        <f t="shared" si="6"/>
        <v/>
      </c>
      <c r="AP41" s="2" t="str">
        <f t="shared" si="6"/>
        <v/>
      </c>
      <c r="AQ41" s="2" t="str">
        <f t="shared" si="6"/>
        <v/>
      </c>
      <c r="AR41" s="2">
        <f t="shared" si="6"/>
        <v>0.81867384258652942</v>
      </c>
      <c r="AT41" s="143">
        <f t="shared" si="9"/>
        <v>3.8870742921608414E-2</v>
      </c>
      <c r="AU41" s="143">
        <f t="shared" si="9"/>
        <v>3.9777017624193833E-2</v>
      </c>
      <c r="AV41" s="143">
        <f t="shared" si="8"/>
        <v>-0.28603689364910401</v>
      </c>
      <c r="AW41" s="143" t="str">
        <f t="shared" si="8"/>
        <v/>
      </c>
      <c r="AX41" s="143" t="str">
        <f t="shared" si="8"/>
        <v/>
      </c>
      <c r="AY41" s="143" t="str">
        <f t="shared" si="8"/>
        <v/>
      </c>
      <c r="AZ41" s="143" t="str">
        <f t="shared" si="8"/>
        <v/>
      </c>
      <c r="BA41" s="143" t="str">
        <f t="shared" si="8"/>
        <v/>
      </c>
      <c r="BB41" s="143" t="str">
        <f t="shared" si="8"/>
        <v/>
      </c>
      <c r="BC41" s="143" t="str">
        <f t="shared" si="8"/>
        <v/>
      </c>
      <c r="BD41" s="143" t="str">
        <f t="shared" si="8"/>
        <v/>
      </c>
      <c r="BF41" s="9">
        <f t="shared" si="10"/>
        <v>9.8031595644172687E-4</v>
      </c>
      <c r="BG41" s="9">
        <f t="shared" si="5"/>
        <v>0.83864270279859332</v>
      </c>
    </row>
    <row r="42" spans="2:59" x14ac:dyDescent="0.35">
      <c r="B42" s="3" t="s">
        <v>109</v>
      </c>
      <c r="D42" s="141">
        <v>1688263</v>
      </c>
      <c r="E42" s="141">
        <v>1385283</v>
      </c>
      <c r="F42" s="141">
        <v>1515622</v>
      </c>
      <c r="G42" s="141">
        <v>80695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4669863</v>
      </c>
      <c r="R42" s="141">
        <v>1153477</v>
      </c>
      <c r="S42" s="141">
        <v>909929</v>
      </c>
      <c r="T42" s="141">
        <v>1093377</v>
      </c>
      <c r="U42" s="141">
        <v>64153</v>
      </c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3220936</v>
      </c>
      <c r="AF42" s="2">
        <f t="shared" si="7"/>
        <v>0.68323300338869009</v>
      </c>
      <c r="AG42" s="2">
        <f t="shared" si="7"/>
        <v>0.65685423122928677</v>
      </c>
      <c r="AH42" s="2">
        <f t="shared" si="7"/>
        <v>0.72140480937859175</v>
      </c>
      <c r="AI42" s="2">
        <f t="shared" si="7"/>
        <v>0.79500588636222813</v>
      </c>
      <c r="AJ42" s="2" t="str">
        <f t="shared" si="7"/>
        <v/>
      </c>
      <c r="AK42" s="2" t="str">
        <f t="shared" si="7"/>
        <v/>
      </c>
      <c r="AL42" s="2" t="str">
        <f t="shared" si="7"/>
        <v/>
      </c>
      <c r="AM42" s="2" t="str">
        <f t="shared" si="7"/>
        <v/>
      </c>
      <c r="AN42" s="2" t="str">
        <f t="shared" si="6"/>
        <v/>
      </c>
      <c r="AO42" s="2" t="str">
        <f t="shared" si="6"/>
        <v/>
      </c>
      <c r="AP42" s="2" t="str">
        <f t="shared" si="6"/>
        <v/>
      </c>
      <c r="AQ42" s="2" t="str">
        <f t="shared" si="6"/>
        <v/>
      </c>
      <c r="AR42" s="2">
        <f t="shared" si="6"/>
        <v>0.68972815690738676</v>
      </c>
      <c r="AT42" s="143">
        <f t="shared" si="9"/>
        <v>-2.6378772159403319E-2</v>
      </c>
      <c r="AU42" s="143">
        <f t="shared" si="9"/>
        <v>6.4550578149304982E-2</v>
      </c>
      <c r="AV42" s="143">
        <f t="shared" si="8"/>
        <v>7.3601076983636382E-2</v>
      </c>
      <c r="AW42" s="143" t="str">
        <f t="shared" si="8"/>
        <v/>
      </c>
      <c r="AX42" s="143" t="str">
        <f t="shared" si="8"/>
        <v/>
      </c>
      <c r="AY42" s="143" t="str">
        <f t="shared" si="8"/>
        <v/>
      </c>
      <c r="AZ42" s="143" t="str">
        <f t="shared" si="8"/>
        <v/>
      </c>
      <c r="BA42" s="143" t="str">
        <f t="shared" si="8"/>
        <v/>
      </c>
      <c r="BB42" s="143" t="str">
        <f t="shared" si="8"/>
        <v/>
      </c>
      <c r="BC42" s="143" t="str">
        <f t="shared" si="8"/>
        <v/>
      </c>
      <c r="BD42" s="143" t="str">
        <f t="shared" si="8"/>
        <v/>
      </c>
      <c r="BF42" s="9">
        <f t="shared" si="10"/>
        <v>5.3169954306804329E-3</v>
      </c>
      <c r="BG42" s="9">
        <f t="shared" si="5"/>
        <v>0.84395969822927375</v>
      </c>
    </row>
    <row r="43" spans="2:59" x14ac:dyDescent="0.35">
      <c r="B43" s="3" t="s">
        <v>204</v>
      </c>
      <c r="D43" s="141">
        <v>2225276</v>
      </c>
      <c r="E43" s="141">
        <v>1402165</v>
      </c>
      <c r="F43" s="141">
        <v>1661201</v>
      </c>
      <c r="G43" s="141">
        <v>522048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5810690</v>
      </c>
      <c r="R43" s="141">
        <v>1634486</v>
      </c>
      <c r="S43" s="141">
        <v>1015622</v>
      </c>
      <c r="T43" s="141">
        <v>1194292</v>
      </c>
      <c r="U43" s="141">
        <v>377260</v>
      </c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4221660</v>
      </c>
      <c r="AF43" s="2">
        <f t="shared" si="7"/>
        <v>0.73450933726872536</v>
      </c>
      <c r="AG43" s="2">
        <f t="shared" si="7"/>
        <v>0.72432417012263184</v>
      </c>
      <c r="AH43" s="2">
        <f t="shared" si="7"/>
        <v>0.71893286844879101</v>
      </c>
      <c r="AI43" s="2">
        <f t="shared" si="7"/>
        <v>0.72265385558416084</v>
      </c>
      <c r="AJ43" s="2" t="str">
        <f t="shared" si="7"/>
        <v/>
      </c>
      <c r="AK43" s="2" t="str">
        <f t="shared" si="7"/>
        <v/>
      </c>
      <c r="AL43" s="2" t="str">
        <f t="shared" si="7"/>
        <v/>
      </c>
      <c r="AM43" s="2" t="str">
        <f t="shared" si="7"/>
        <v/>
      </c>
      <c r="AN43" s="2" t="str">
        <f t="shared" si="6"/>
        <v/>
      </c>
      <c r="AO43" s="2" t="str">
        <f t="shared" si="6"/>
        <v/>
      </c>
      <c r="AP43" s="2" t="str">
        <f t="shared" si="6"/>
        <v/>
      </c>
      <c r="AQ43" s="2" t="str">
        <f t="shared" si="6"/>
        <v/>
      </c>
      <c r="AR43" s="2">
        <f t="shared" si="6"/>
        <v>0.7265333376931139</v>
      </c>
      <c r="AT43" s="143">
        <f t="shared" si="9"/>
        <v>-1.0185167146093521E-2</v>
      </c>
      <c r="AU43" s="143">
        <f t="shared" si="9"/>
        <v>-5.3913016738408315E-3</v>
      </c>
      <c r="AV43" s="143">
        <f t="shared" si="8"/>
        <v>3.7209871353698354E-3</v>
      </c>
      <c r="AW43" s="143" t="str">
        <f t="shared" si="8"/>
        <v/>
      </c>
      <c r="AX43" s="143" t="str">
        <f t="shared" si="8"/>
        <v/>
      </c>
      <c r="AY43" s="143" t="str">
        <f t="shared" si="8"/>
        <v/>
      </c>
      <c r="AZ43" s="143" t="str">
        <f t="shared" si="8"/>
        <v/>
      </c>
      <c r="BA43" s="143" t="str">
        <f t="shared" si="8"/>
        <v/>
      </c>
      <c r="BB43" s="143" t="str">
        <f t="shared" si="8"/>
        <v/>
      </c>
      <c r="BC43" s="143" t="str">
        <f t="shared" si="8"/>
        <v/>
      </c>
      <c r="BD43" s="143" t="str">
        <f t="shared" si="8"/>
        <v/>
      </c>
      <c r="BF43" s="9">
        <f t="shared" si="10"/>
        <v>6.968951550073133E-3</v>
      </c>
      <c r="BG43" s="9">
        <f t="shared" si="5"/>
        <v>0.8509286497793469</v>
      </c>
    </row>
    <row r="44" spans="2:59" x14ac:dyDescent="0.35">
      <c r="B44" s="3" t="s">
        <v>116</v>
      </c>
      <c r="D44" s="141">
        <v>1128556</v>
      </c>
      <c r="E44" s="141">
        <v>931511</v>
      </c>
      <c r="F44" s="141">
        <v>1087457</v>
      </c>
      <c r="G44" s="141">
        <v>209764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3357288</v>
      </c>
      <c r="R44" s="141">
        <v>848421</v>
      </c>
      <c r="S44" s="141">
        <v>700147</v>
      </c>
      <c r="T44" s="141">
        <v>802567</v>
      </c>
      <c r="U44" s="141">
        <v>151755</v>
      </c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2502890</v>
      </c>
      <c r="AF44" s="2">
        <f t="shared" si="7"/>
        <v>0.75177572047820396</v>
      </c>
      <c r="AG44" s="2">
        <f t="shared" si="7"/>
        <v>0.75162504790603657</v>
      </c>
      <c r="AH44" s="2">
        <f t="shared" si="7"/>
        <v>0.73802182523079074</v>
      </c>
      <c r="AI44" s="2">
        <f t="shared" si="7"/>
        <v>0.72345588375507719</v>
      </c>
      <c r="AJ44" s="2" t="str">
        <f t="shared" si="7"/>
        <v/>
      </c>
      <c r="AK44" s="2" t="str">
        <f t="shared" si="7"/>
        <v/>
      </c>
      <c r="AL44" s="2" t="str">
        <f t="shared" si="7"/>
        <v/>
      </c>
      <c r="AM44" s="2" t="str">
        <f t="shared" si="7"/>
        <v/>
      </c>
      <c r="AN44" s="2" t="str">
        <f t="shared" si="6"/>
        <v/>
      </c>
      <c r="AO44" s="2" t="str">
        <f t="shared" si="6"/>
        <v/>
      </c>
      <c r="AP44" s="2" t="str">
        <f t="shared" si="6"/>
        <v/>
      </c>
      <c r="AQ44" s="2" t="str">
        <f t="shared" si="6"/>
        <v/>
      </c>
      <c r="AR44" s="2">
        <f t="shared" si="6"/>
        <v>0.74550947073947782</v>
      </c>
      <c r="AT44" s="143">
        <f t="shared" si="9"/>
        <v>-1.5067257216738739E-4</v>
      </c>
      <c r="AU44" s="143">
        <f t="shared" si="9"/>
        <v>-1.360322267524583E-2</v>
      </c>
      <c r="AV44" s="143">
        <f t="shared" si="8"/>
        <v>-1.4565941475713551E-2</v>
      </c>
      <c r="AW44" s="143" t="str">
        <f t="shared" si="8"/>
        <v/>
      </c>
      <c r="AX44" s="143" t="str">
        <f t="shared" si="8"/>
        <v/>
      </c>
      <c r="AY44" s="143" t="str">
        <f t="shared" si="8"/>
        <v/>
      </c>
      <c r="AZ44" s="143" t="str">
        <f t="shared" si="8"/>
        <v/>
      </c>
      <c r="BA44" s="143" t="str">
        <f t="shared" si="8"/>
        <v/>
      </c>
      <c r="BB44" s="143" t="str">
        <f t="shared" si="8"/>
        <v/>
      </c>
      <c r="BC44" s="143" t="str">
        <f t="shared" si="8"/>
        <v/>
      </c>
      <c r="BD44" s="143" t="str">
        <f t="shared" si="8"/>
        <v/>
      </c>
      <c r="BF44" s="9">
        <f t="shared" si="10"/>
        <v>4.1316731203276781E-3</v>
      </c>
      <c r="BG44" s="9">
        <f t="shared" si="5"/>
        <v>0.8550603228996746</v>
      </c>
    </row>
    <row r="45" spans="2:59" x14ac:dyDescent="0.35">
      <c r="B45" s="3" t="s">
        <v>115</v>
      </c>
      <c r="D45" s="141">
        <v>592889</v>
      </c>
      <c r="E45" s="141">
        <v>521809</v>
      </c>
      <c r="F45" s="141">
        <v>499626</v>
      </c>
      <c r="G45" s="141">
        <v>75425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1689749</v>
      </c>
      <c r="R45" s="141">
        <v>401501</v>
      </c>
      <c r="S45" s="141">
        <v>382166</v>
      </c>
      <c r="T45" s="141">
        <v>374394</v>
      </c>
      <c r="U45" s="141">
        <v>54880</v>
      </c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1212941</v>
      </c>
      <c r="AF45" s="2">
        <f t="shared" si="7"/>
        <v>0.67719421341937525</v>
      </c>
      <c r="AG45" s="2">
        <f t="shared" si="7"/>
        <v>0.73238675454045443</v>
      </c>
      <c r="AH45" s="2">
        <f t="shared" si="7"/>
        <v>0.74934851268749025</v>
      </c>
      <c r="AI45" s="2">
        <f t="shared" si="7"/>
        <v>0.72761020881670535</v>
      </c>
      <c r="AJ45" s="2" t="str">
        <f t="shared" si="7"/>
        <v/>
      </c>
      <c r="AK45" s="2" t="str">
        <f t="shared" si="7"/>
        <v/>
      </c>
      <c r="AL45" s="2" t="str">
        <f t="shared" si="7"/>
        <v/>
      </c>
      <c r="AM45" s="2" t="str">
        <f t="shared" si="7"/>
        <v/>
      </c>
      <c r="AN45" s="2" t="str">
        <f t="shared" si="6"/>
        <v/>
      </c>
      <c r="AO45" s="2" t="str">
        <f t="shared" si="6"/>
        <v/>
      </c>
      <c r="AP45" s="2" t="str">
        <f t="shared" si="6"/>
        <v/>
      </c>
      <c r="AQ45" s="2" t="str">
        <f t="shared" si="6"/>
        <v/>
      </c>
      <c r="AR45" s="2">
        <f t="shared" si="6"/>
        <v>0.71782317965567666</v>
      </c>
      <c r="AT45" s="143">
        <f t="shared" si="9"/>
        <v>5.5192541121079186E-2</v>
      </c>
      <c r="AU45" s="143">
        <f t="shared" si="9"/>
        <v>1.6961758147035821E-2</v>
      </c>
      <c r="AV45" s="143">
        <f t="shared" si="8"/>
        <v>-2.1738303870784903E-2</v>
      </c>
      <c r="AW45" s="143" t="str">
        <f t="shared" si="8"/>
        <v/>
      </c>
      <c r="AX45" s="143" t="str">
        <f t="shared" si="8"/>
        <v/>
      </c>
      <c r="AY45" s="143" t="str">
        <f t="shared" si="8"/>
        <v/>
      </c>
      <c r="AZ45" s="143" t="str">
        <f t="shared" si="8"/>
        <v/>
      </c>
      <c r="BA45" s="143" t="str">
        <f t="shared" si="8"/>
        <v/>
      </c>
      <c r="BB45" s="143" t="str">
        <f t="shared" si="8"/>
        <v/>
      </c>
      <c r="BC45" s="143" t="str">
        <f t="shared" si="8"/>
        <v/>
      </c>
      <c r="BD45" s="143" t="str">
        <f t="shared" si="8"/>
        <v/>
      </c>
      <c r="BF45" s="9">
        <f t="shared" si="10"/>
        <v>2.0022756598345806E-3</v>
      </c>
      <c r="BG45" s="9">
        <f t="shared" si="5"/>
        <v>0.85706259855950917</v>
      </c>
    </row>
    <row r="46" spans="2:59" x14ac:dyDescent="0.35">
      <c r="B46" s="3" t="s">
        <v>127</v>
      </c>
      <c r="D46" s="141">
        <v>804791</v>
      </c>
      <c r="E46" s="141">
        <v>573592</v>
      </c>
      <c r="F46" s="141">
        <v>609411</v>
      </c>
      <c r="G46" s="141">
        <v>50844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2038638</v>
      </c>
      <c r="R46" s="141">
        <v>633198</v>
      </c>
      <c r="S46" s="141">
        <v>423606</v>
      </c>
      <c r="T46" s="141">
        <v>461858</v>
      </c>
      <c r="U46" s="141">
        <v>42654</v>
      </c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1561316</v>
      </c>
      <c r="AF46" s="2">
        <f t="shared" si="7"/>
        <v>0.78678563751334196</v>
      </c>
      <c r="AG46" s="2">
        <f t="shared" si="7"/>
        <v>0.73851448416295906</v>
      </c>
      <c r="AH46" s="2">
        <f t="shared" si="7"/>
        <v>0.75787604752785886</v>
      </c>
      <c r="AI46" s="2">
        <f t="shared" si="7"/>
        <v>0.83891904649516169</v>
      </c>
      <c r="AJ46" s="2" t="str">
        <f t="shared" si="7"/>
        <v/>
      </c>
      <c r="AK46" s="2" t="str">
        <f t="shared" si="7"/>
        <v/>
      </c>
      <c r="AL46" s="2" t="str">
        <f t="shared" si="7"/>
        <v/>
      </c>
      <c r="AM46" s="2" t="str">
        <f t="shared" si="7"/>
        <v/>
      </c>
      <c r="AN46" s="2" t="str">
        <f t="shared" si="6"/>
        <v/>
      </c>
      <c r="AO46" s="2" t="str">
        <f t="shared" si="6"/>
        <v/>
      </c>
      <c r="AP46" s="2" t="str">
        <f t="shared" si="6"/>
        <v/>
      </c>
      <c r="AQ46" s="2" t="str">
        <f t="shared" si="6"/>
        <v/>
      </c>
      <c r="AR46" s="2">
        <f t="shared" si="6"/>
        <v>0.76586230610829387</v>
      </c>
      <c r="AT46" s="143">
        <f t="shared" ref="AT46:AT109" si="11">+IFERROR(AG46-AF46,"")</f>
        <v>-4.82711533503829E-2</v>
      </c>
      <c r="AU46" s="143">
        <f t="shared" ref="AU46:AU109" si="12">+IFERROR(AH46-AG46,"")</f>
        <v>1.9361563364899803E-2</v>
      </c>
      <c r="AV46" s="143">
        <f t="shared" si="8"/>
        <v>8.1042998967302826E-2</v>
      </c>
      <c r="AW46" s="143" t="str">
        <f t="shared" si="8"/>
        <v/>
      </c>
      <c r="AX46" s="143" t="str">
        <f t="shared" si="8"/>
        <v/>
      </c>
      <c r="AY46" s="143" t="str">
        <f t="shared" si="8"/>
        <v/>
      </c>
      <c r="AZ46" s="143" t="str">
        <f t="shared" si="8"/>
        <v/>
      </c>
      <c r="BA46" s="143" t="str">
        <f t="shared" si="8"/>
        <v/>
      </c>
      <c r="BB46" s="143" t="str">
        <f t="shared" si="8"/>
        <v/>
      </c>
      <c r="BC46" s="143" t="str">
        <f t="shared" si="8"/>
        <v/>
      </c>
      <c r="BD46" s="143" t="str">
        <f t="shared" si="8"/>
        <v/>
      </c>
      <c r="BF46" s="9">
        <f t="shared" si="10"/>
        <v>2.5773595122188867E-3</v>
      </c>
      <c r="BG46" s="9">
        <f t="shared" si="5"/>
        <v>0.85963995807172811</v>
      </c>
    </row>
    <row r="47" spans="2:59" x14ac:dyDescent="0.35">
      <c r="B47" s="3" t="s">
        <v>120</v>
      </c>
      <c r="D47" s="141">
        <v>1192866</v>
      </c>
      <c r="E47" s="141">
        <v>1096341</v>
      </c>
      <c r="F47" s="141">
        <v>1224280</v>
      </c>
      <c r="G47" s="141">
        <v>43276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3556763</v>
      </c>
      <c r="R47" s="141">
        <v>866332</v>
      </c>
      <c r="S47" s="141">
        <v>789536</v>
      </c>
      <c r="T47" s="141">
        <v>838275</v>
      </c>
      <c r="U47" s="141">
        <v>30074</v>
      </c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2524217</v>
      </c>
      <c r="AF47" s="2">
        <f t="shared" si="7"/>
        <v>0.72626095470907881</v>
      </c>
      <c r="AG47" s="2">
        <f t="shared" si="7"/>
        <v>0.72015549906461584</v>
      </c>
      <c r="AH47" s="2">
        <f t="shared" si="7"/>
        <v>0.68470856340052932</v>
      </c>
      <c r="AI47" s="2">
        <f t="shared" si="7"/>
        <v>0.69493483686107771</v>
      </c>
      <c r="AJ47" s="2" t="str">
        <f t="shared" si="7"/>
        <v/>
      </c>
      <c r="AK47" s="2" t="str">
        <f t="shared" si="7"/>
        <v/>
      </c>
      <c r="AL47" s="2" t="str">
        <f t="shared" si="7"/>
        <v/>
      </c>
      <c r="AM47" s="2" t="str">
        <f t="shared" si="7"/>
        <v/>
      </c>
      <c r="AN47" s="2" t="str">
        <f t="shared" si="6"/>
        <v/>
      </c>
      <c r="AO47" s="2" t="str">
        <f t="shared" si="6"/>
        <v/>
      </c>
      <c r="AP47" s="2" t="str">
        <f t="shared" si="6"/>
        <v/>
      </c>
      <c r="AQ47" s="2" t="str">
        <f t="shared" si="6"/>
        <v/>
      </c>
      <c r="AR47" s="2">
        <f t="shared" si="6"/>
        <v>0.70969502325569622</v>
      </c>
      <c r="AT47" s="143">
        <f t="shared" si="11"/>
        <v>-6.1054556444629648E-3</v>
      </c>
      <c r="AU47" s="143">
        <f t="shared" si="12"/>
        <v>-3.5446935664086521E-2</v>
      </c>
      <c r="AV47" s="143">
        <f t="shared" si="8"/>
        <v>1.0226273460548385E-2</v>
      </c>
      <c r="AW47" s="143" t="str">
        <f t="shared" si="8"/>
        <v/>
      </c>
      <c r="AX47" s="143" t="str">
        <f t="shared" si="8"/>
        <v/>
      </c>
      <c r="AY47" s="143" t="str">
        <f t="shared" si="8"/>
        <v/>
      </c>
      <c r="AZ47" s="143" t="str">
        <f t="shared" si="8"/>
        <v/>
      </c>
      <c r="BA47" s="143" t="str">
        <f t="shared" si="8"/>
        <v/>
      </c>
      <c r="BB47" s="143" t="str">
        <f t="shared" si="8"/>
        <v/>
      </c>
      <c r="BC47" s="143" t="str">
        <f t="shared" si="8"/>
        <v/>
      </c>
      <c r="BD47" s="143" t="str">
        <f t="shared" si="8"/>
        <v/>
      </c>
      <c r="BF47" s="9">
        <f t="shared" si="10"/>
        <v>4.1668788995018443E-3</v>
      </c>
      <c r="BG47" s="9">
        <f t="shared" si="5"/>
        <v>0.86380683697122995</v>
      </c>
    </row>
    <row r="48" spans="2:59" x14ac:dyDescent="0.35">
      <c r="B48" s="3" t="s">
        <v>118</v>
      </c>
      <c r="D48" s="141">
        <v>690123</v>
      </c>
      <c r="E48" s="141">
        <v>668382</v>
      </c>
      <c r="F48" s="141">
        <v>709774</v>
      </c>
      <c r="G48" s="141">
        <v>60125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2128404</v>
      </c>
      <c r="R48" s="141">
        <v>495197</v>
      </c>
      <c r="S48" s="141">
        <v>491653</v>
      </c>
      <c r="T48" s="141">
        <v>520994</v>
      </c>
      <c r="U48" s="141">
        <v>48290</v>
      </c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1556134</v>
      </c>
      <c r="AF48" s="2">
        <f t="shared" si="7"/>
        <v>0.71754890070320798</v>
      </c>
      <c r="AG48" s="2">
        <f t="shared" si="7"/>
        <v>0.7355868350733562</v>
      </c>
      <c r="AH48" s="2">
        <f t="shared" si="7"/>
        <v>0.73402801455111066</v>
      </c>
      <c r="AI48" s="2">
        <f t="shared" si="7"/>
        <v>0.80316008316008314</v>
      </c>
      <c r="AJ48" s="2" t="str">
        <f t="shared" si="7"/>
        <v/>
      </c>
      <c r="AK48" s="2" t="str">
        <f t="shared" si="7"/>
        <v/>
      </c>
      <c r="AL48" s="2" t="str">
        <f t="shared" si="7"/>
        <v/>
      </c>
      <c r="AM48" s="2" t="str">
        <f t="shared" si="7"/>
        <v/>
      </c>
      <c r="AN48" s="2" t="str">
        <f t="shared" si="6"/>
        <v/>
      </c>
      <c r="AO48" s="2" t="str">
        <f t="shared" si="6"/>
        <v/>
      </c>
      <c r="AP48" s="2" t="str">
        <f t="shared" si="6"/>
        <v/>
      </c>
      <c r="AQ48" s="2" t="str">
        <f t="shared" si="6"/>
        <v/>
      </c>
      <c r="AR48" s="2">
        <f t="shared" si="6"/>
        <v>0.73112717322463217</v>
      </c>
      <c r="AT48" s="143">
        <f t="shared" si="11"/>
        <v>1.8037934370148223E-2</v>
      </c>
      <c r="AU48" s="143">
        <f t="shared" si="12"/>
        <v>-1.5588205222455409E-3</v>
      </c>
      <c r="AV48" s="143">
        <f t="shared" si="8"/>
        <v>6.9132068608972475E-2</v>
      </c>
      <c r="AW48" s="143" t="str">
        <f t="shared" si="8"/>
        <v/>
      </c>
      <c r="AX48" s="143" t="str">
        <f t="shared" si="8"/>
        <v/>
      </c>
      <c r="AY48" s="143" t="str">
        <f t="shared" si="8"/>
        <v/>
      </c>
      <c r="AZ48" s="143" t="str">
        <f t="shared" si="8"/>
        <v/>
      </c>
      <c r="BA48" s="143" t="str">
        <f t="shared" si="8"/>
        <v/>
      </c>
      <c r="BB48" s="143" t="str">
        <f t="shared" si="8"/>
        <v/>
      </c>
      <c r="BC48" s="143" t="str">
        <f t="shared" si="8"/>
        <v/>
      </c>
      <c r="BD48" s="143" t="str">
        <f t="shared" si="8"/>
        <v/>
      </c>
      <c r="BF48" s="9">
        <f t="shared" si="10"/>
        <v>2.5688052688803706E-3</v>
      </c>
      <c r="BG48" s="9">
        <f t="shared" si="5"/>
        <v>0.86637564224011032</v>
      </c>
    </row>
    <row r="49" spans="2:59" x14ac:dyDescent="0.35">
      <c r="B49" s="3" t="s">
        <v>165</v>
      </c>
      <c r="D49" s="141">
        <v>1220940</v>
      </c>
      <c r="E49" s="141">
        <v>730266</v>
      </c>
      <c r="F49" s="141">
        <v>1556760</v>
      </c>
      <c r="G49" s="141">
        <v>220266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3728232</v>
      </c>
      <c r="R49" s="141">
        <v>940803</v>
      </c>
      <c r="S49" s="141">
        <v>559119</v>
      </c>
      <c r="T49" s="141">
        <v>1251591</v>
      </c>
      <c r="U49" s="141">
        <v>181403</v>
      </c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2932916</v>
      </c>
      <c r="AF49" s="2">
        <f t="shared" si="7"/>
        <v>0.77055629269251558</v>
      </c>
      <c r="AG49" s="2">
        <f t="shared" si="7"/>
        <v>0.76563745265423833</v>
      </c>
      <c r="AH49" s="2">
        <f t="shared" si="7"/>
        <v>0.80397171047560323</v>
      </c>
      <c r="AI49" s="2">
        <f t="shared" si="7"/>
        <v>0.82356332797617426</v>
      </c>
      <c r="AJ49" s="2" t="str">
        <f t="shared" si="7"/>
        <v/>
      </c>
      <c r="AK49" s="2" t="str">
        <f t="shared" si="7"/>
        <v/>
      </c>
      <c r="AL49" s="2" t="str">
        <f t="shared" si="7"/>
        <v/>
      </c>
      <c r="AM49" s="2" t="str">
        <f t="shared" si="7"/>
        <v/>
      </c>
      <c r="AN49" s="2" t="str">
        <f t="shared" si="6"/>
        <v/>
      </c>
      <c r="AO49" s="2" t="str">
        <f t="shared" si="6"/>
        <v/>
      </c>
      <c r="AP49" s="2" t="str">
        <f t="shared" si="6"/>
        <v/>
      </c>
      <c r="AQ49" s="2" t="str">
        <f t="shared" si="6"/>
        <v/>
      </c>
      <c r="AR49" s="2">
        <f t="shared" si="6"/>
        <v>0.78667743852850358</v>
      </c>
      <c r="AT49" s="143">
        <f t="shared" si="11"/>
        <v>-4.9188400382772501E-3</v>
      </c>
      <c r="AU49" s="143">
        <f t="shared" si="12"/>
        <v>3.8334257821364903E-2</v>
      </c>
      <c r="AV49" s="143">
        <f t="shared" si="8"/>
        <v>1.9591617500571035E-2</v>
      </c>
      <c r="AW49" s="143" t="str">
        <f t="shared" si="8"/>
        <v/>
      </c>
      <c r="AX49" s="143" t="str">
        <f t="shared" si="8"/>
        <v/>
      </c>
      <c r="AY49" s="143" t="str">
        <f t="shared" si="8"/>
        <v/>
      </c>
      <c r="AZ49" s="143" t="str">
        <f t="shared" si="8"/>
        <v/>
      </c>
      <c r="BA49" s="143" t="str">
        <f t="shared" si="8"/>
        <v/>
      </c>
      <c r="BB49" s="143" t="str">
        <f t="shared" si="8"/>
        <v/>
      </c>
      <c r="BC49" s="143" t="str">
        <f t="shared" si="8"/>
        <v/>
      </c>
      <c r="BD49" s="143" t="str">
        <f t="shared" si="8"/>
        <v/>
      </c>
      <c r="BF49" s="9">
        <f t="shared" si="10"/>
        <v>4.84154325654702E-3</v>
      </c>
      <c r="BG49" s="9">
        <f t="shared" si="5"/>
        <v>0.87121718549665739</v>
      </c>
    </row>
    <row r="50" spans="2:59" x14ac:dyDescent="0.35">
      <c r="B50" s="3" t="s">
        <v>119</v>
      </c>
      <c r="D50" s="141">
        <v>2944404</v>
      </c>
      <c r="E50" s="141">
        <v>2852389</v>
      </c>
      <c r="F50" s="141">
        <v>3224225</v>
      </c>
      <c r="G50" s="141">
        <v>489293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9510311</v>
      </c>
      <c r="R50" s="141">
        <v>2146524</v>
      </c>
      <c r="S50" s="141">
        <v>2060398</v>
      </c>
      <c r="T50" s="141">
        <v>2347784</v>
      </c>
      <c r="U50" s="141">
        <v>357438</v>
      </c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6912144</v>
      </c>
      <c r="AF50" s="2">
        <f t="shared" si="7"/>
        <v>0.72901816462686508</v>
      </c>
      <c r="AG50" s="2">
        <f t="shared" si="7"/>
        <v>0.7223411673512975</v>
      </c>
      <c r="AH50" s="2">
        <f t="shared" si="7"/>
        <v>0.72817002535493025</v>
      </c>
      <c r="AI50" s="2">
        <f t="shared" si="7"/>
        <v>0.73051934117185413</v>
      </c>
      <c r="AJ50" s="2" t="str">
        <f t="shared" si="7"/>
        <v/>
      </c>
      <c r="AK50" s="2" t="str">
        <f t="shared" si="7"/>
        <v/>
      </c>
      <c r="AL50" s="2" t="str">
        <f t="shared" si="7"/>
        <v/>
      </c>
      <c r="AM50" s="2" t="str">
        <f t="shared" si="7"/>
        <v/>
      </c>
      <c r="AN50" s="2" t="str">
        <f t="shared" si="6"/>
        <v/>
      </c>
      <c r="AO50" s="2" t="str">
        <f t="shared" si="6"/>
        <v/>
      </c>
      <c r="AP50" s="2" t="str">
        <f t="shared" si="6"/>
        <v/>
      </c>
      <c r="AQ50" s="2" t="str">
        <f t="shared" si="6"/>
        <v/>
      </c>
      <c r="AR50" s="2">
        <f t="shared" si="6"/>
        <v>0.72680525379243643</v>
      </c>
      <c r="AT50" s="143">
        <f t="shared" si="11"/>
        <v>-6.6769972755675866E-3</v>
      </c>
      <c r="AU50" s="143">
        <f t="shared" si="12"/>
        <v>5.8288580036327531E-3</v>
      </c>
      <c r="AV50" s="143">
        <f t="shared" si="8"/>
        <v>2.3493158169238804E-3</v>
      </c>
      <c r="AW50" s="143" t="str">
        <f t="shared" si="8"/>
        <v/>
      </c>
      <c r="AX50" s="143" t="str">
        <f t="shared" si="8"/>
        <v/>
      </c>
      <c r="AY50" s="143" t="str">
        <f t="shared" si="8"/>
        <v/>
      </c>
      <c r="AZ50" s="143" t="str">
        <f t="shared" si="8"/>
        <v/>
      </c>
      <c r="BA50" s="143" t="str">
        <f t="shared" si="8"/>
        <v/>
      </c>
      <c r="BB50" s="143" t="str">
        <f t="shared" si="8"/>
        <v/>
      </c>
      <c r="BC50" s="143" t="str">
        <f t="shared" si="8"/>
        <v/>
      </c>
      <c r="BD50" s="143" t="str">
        <f t="shared" si="8"/>
        <v/>
      </c>
      <c r="BF50" s="9">
        <f t="shared" si="10"/>
        <v>1.1410297523516509E-2</v>
      </c>
      <c r="BG50" s="9">
        <f t="shared" si="5"/>
        <v>0.88262748302017391</v>
      </c>
    </row>
    <row r="51" spans="2:59" x14ac:dyDescent="0.35">
      <c r="B51" s="3" t="s">
        <v>126</v>
      </c>
      <c r="D51" s="141">
        <v>1000826</v>
      </c>
      <c r="E51" s="141">
        <v>831622</v>
      </c>
      <c r="F51" s="141">
        <v>970438</v>
      </c>
      <c r="G51" s="141">
        <v>105769</v>
      </c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2908655</v>
      </c>
      <c r="R51" s="141">
        <v>646964</v>
      </c>
      <c r="S51" s="141">
        <v>560656</v>
      </c>
      <c r="T51" s="141">
        <v>669473</v>
      </c>
      <c r="U51" s="141">
        <v>65274</v>
      </c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1942367</v>
      </c>
      <c r="AF51" s="2">
        <f t="shared" si="7"/>
        <v>0.646430048779708</v>
      </c>
      <c r="AG51" s="2">
        <f t="shared" si="7"/>
        <v>0.67417167895991204</v>
      </c>
      <c r="AH51" s="2">
        <f t="shared" si="7"/>
        <v>0.68986684363143236</v>
      </c>
      <c r="AI51" s="2">
        <f t="shared" si="7"/>
        <v>0.61713734648148322</v>
      </c>
      <c r="AJ51" s="2" t="str">
        <f t="shared" si="7"/>
        <v/>
      </c>
      <c r="AK51" s="2" t="str">
        <f t="shared" si="7"/>
        <v/>
      </c>
      <c r="AL51" s="2" t="str">
        <f t="shared" si="7"/>
        <v/>
      </c>
      <c r="AM51" s="2" t="str">
        <f t="shared" si="7"/>
        <v/>
      </c>
      <c r="AN51" s="2" t="str">
        <f t="shared" si="6"/>
        <v/>
      </c>
      <c r="AO51" s="2" t="str">
        <f t="shared" si="6"/>
        <v/>
      </c>
      <c r="AP51" s="2" t="str">
        <f t="shared" si="6"/>
        <v/>
      </c>
      <c r="AQ51" s="2" t="str">
        <f t="shared" si="6"/>
        <v/>
      </c>
      <c r="AR51" s="2">
        <f t="shared" si="6"/>
        <v>0.66778872021604485</v>
      </c>
      <c r="AT51" s="143">
        <f t="shared" si="11"/>
        <v>2.7741630180204035E-2</v>
      </c>
      <c r="AU51" s="143">
        <f t="shared" si="12"/>
        <v>1.5695164671520323E-2</v>
      </c>
      <c r="AV51" s="143">
        <f t="shared" si="8"/>
        <v>-7.272949714994914E-2</v>
      </c>
      <c r="AW51" s="143" t="str">
        <f t="shared" si="8"/>
        <v/>
      </c>
      <c r="AX51" s="143" t="str">
        <f t="shared" si="8"/>
        <v/>
      </c>
      <c r="AY51" s="143" t="str">
        <f t="shared" si="8"/>
        <v/>
      </c>
      <c r="AZ51" s="143" t="str">
        <f t="shared" si="8"/>
        <v/>
      </c>
      <c r="BA51" s="143" t="str">
        <f t="shared" si="8"/>
        <v/>
      </c>
      <c r="BB51" s="143" t="str">
        <f t="shared" si="8"/>
        <v/>
      </c>
      <c r="BC51" s="143" t="str">
        <f t="shared" si="8"/>
        <v/>
      </c>
      <c r="BD51" s="143" t="str">
        <f t="shared" si="8"/>
        <v/>
      </c>
      <c r="BF51" s="9">
        <f t="shared" si="10"/>
        <v>3.2063836300083148E-3</v>
      </c>
      <c r="BG51" s="9">
        <f t="shared" si="5"/>
        <v>0.88583386665018227</v>
      </c>
    </row>
    <row r="52" spans="2:59" x14ac:dyDescent="0.35">
      <c r="B52" s="3" t="s">
        <v>128</v>
      </c>
      <c r="D52" s="141">
        <v>367942</v>
      </c>
      <c r="E52" s="141">
        <v>438536</v>
      </c>
      <c r="F52" s="141">
        <v>484662</v>
      </c>
      <c r="G52" s="141">
        <v>49735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1340875</v>
      </c>
      <c r="R52" s="141">
        <v>286454</v>
      </c>
      <c r="S52" s="141">
        <v>317130</v>
      </c>
      <c r="T52" s="141">
        <v>337474</v>
      </c>
      <c r="U52" s="141">
        <v>39825</v>
      </c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980883</v>
      </c>
      <c r="AF52" s="2">
        <f t="shared" si="7"/>
        <v>0.77853031184262733</v>
      </c>
      <c r="AG52" s="2">
        <f t="shared" si="7"/>
        <v>0.72315613769451081</v>
      </c>
      <c r="AH52" s="2">
        <f t="shared" si="7"/>
        <v>0.69630794244236194</v>
      </c>
      <c r="AI52" s="2">
        <f t="shared" si="7"/>
        <v>0.80074394289735595</v>
      </c>
      <c r="AJ52" s="2" t="str">
        <f t="shared" si="7"/>
        <v/>
      </c>
      <c r="AK52" s="2" t="str">
        <f t="shared" si="7"/>
        <v/>
      </c>
      <c r="AL52" s="2" t="str">
        <f t="shared" si="7"/>
        <v/>
      </c>
      <c r="AM52" s="2" t="str">
        <f t="shared" si="7"/>
        <v/>
      </c>
      <c r="AN52" s="2" t="str">
        <f t="shared" si="6"/>
        <v/>
      </c>
      <c r="AO52" s="2" t="str">
        <f t="shared" si="6"/>
        <v/>
      </c>
      <c r="AP52" s="2" t="str">
        <f t="shared" si="6"/>
        <v/>
      </c>
      <c r="AQ52" s="2" t="str">
        <f t="shared" si="6"/>
        <v/>
      </c>
      <c r="AR52" s="2">
        <f t="shared" si="6"/>
        <v>0.73152456418383516</v>
      </c>
      <c r="AT52" s="143">
        <f t="shared" si="11"/>
        <v>-5.5374174148116517E-2</v>
      </c>
      <c r="AU52" s="143">
        <f t="shared" si="12"/>
        <v>-2.6848195252148876E-2</v>
      </c>
      <c r="AV52" s="143">
        <f t="shared" si="8"/>
        <v>0.10443600045499402</v>
      </c>
      <c r="AW52" s="143" t="str">
        <f t="shared" si="8"/>
        <v/>
      </c>
      <c r="AX52" s="143" t="str">
        <f t="shared" si="8"/>
        <v/>
      </c>
      <c r="AY52" s="143" t="str">
        <f t="shared" si="8"/>
        <v/>
      </c>
      <c r="AZ52" s="143" t="str">
        <f t="shared" si="8"/>
        <v/>
      </c>
      <c r="BA52" s="143" t="str">
        <f t="shared" si="8"/>
        <v/>
      </c>
      <c r="BB52" s="143" t="str">
        <f t="shared" si="8"/>
        <v/>
      </c>
      <c r="BC52" s="143" t="str">
        <f t="shared" si="8"/>
        <v/>
      </c>
      <c r="BD52" s="143" t="str">
        <f t="shared" si="8"/>
        <v/>
      </c>
      <c r="BF52" s="9">
        <f t="shared" si="10"/>
        <v>1.6192033710176531E-3</v>
      </c>
      <c r="BG52" s="9">
        <f t="shared" si="5"/>
        <v>0.88745307002119989</v>
      </c>
    </row>
    <row r="53" spans="2:59" x14ac:dyDescent="0.35">
      <c r="B53" s="3" t="s">
        <v>133</v>
      </c>
      <c r="D53" s="141">
        <v>903428</v>
      </c>
      <c r="E53" s="141">
        <v>836548</v>
      </c>
      <c r="F53" s="141">
        <v>718524</v>
      </c>
      <c r="G53" s="141">
        <v>69494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2527994</v>
      </c>
      <c r="R53" s="141">
        <v>643901</v>
      </c>
      <c r="S53" s="141">
        <v>607566</v>
      </c>
      <c r="T53" s="141">
        <v>495206</v>
      </c>
      <c r="U53" s="141">
        <v>49009</v>
      </c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1795682</v>
      </c>
      <c r="AF53" s="2">
        <f t="shared" si="7"/>
        <v>0.71273084296701006</v>
      </c>
      <c r="AG53" s="2">
        <f t="shared" si="7"/>
        <v>0.7262775118702095</v>
      </c>
      <c r="AH53" s="2">
        <f t="shared" si="7"/>
        <v>0.68919896899755606</v>
      </c>
      <c r="AI53" s="2">
        <f t="shared" si="7"/>
        <v>0.70522635047630011</v>
      </c>
      <c r="AJ53" s="2" t="str">
        <f t="shared" si="7"/>
        <v/>
      </c>
      <c r="AK53" s="2" t="str">
        <f t="shared" si="7"/>
        <v/>
      </c>
      <c r="AL53" s="2" t="str">
        <f t="shared" si="7"/>
        <v/>
      </c>
      <c r="AM53" s="2" t="str">
        <f t="shared" si="7"/>
        <v/>
      </c>
      <c r="AN53" s="2" t="str">
        <f t="shared" si="6"/>
        <v/>
      </c>
      <c r="AO53" s="2" t="str">
        <f t="shared" si="6"/>
        <v/>
      </c>
      <c r="AP53" s="2" t="str">
        <f t="shared" si="6"/>
        <v/>
      </c>
      <c r="AQ53" s="2" t="str">
        <f t="shared" si="6"/>
        <v/>
      </c>
      <c r="AR53" s="2">
        <f t="shared" si="6"/>
        <v>0.71031893271898583</v>
      </c>
      <c r="AT53" s="143">
        <f t="shared" si="11"/>
        <v>1.3546668903199444E-2</v>
      </c>
      <c r="AU53" s="143">
        <f t="shared" si="12"/>
        <v>-3.7078542872653442E-2</v>
      </c>
      <c r="AV53" s="143">
        <f t="shared" si="8"/>
        <v>1.6027381478744052E-2</v>
      </c>
      <c r="AW53" s="143" t="str">
        <f t="shared" si="8"/>
        <v/>
      </c>
      <c r="AX53" s="143" t="str">
        <f t="shared" si="8"/>
        <v/>
      </c>
      <c r="AY53" s="143" t="str">
        <f t="shared" si="8"/>
        <v/>
      </c>
      <c r="AZ53" s="143" t="str">
        <f t="shared" si="8"/>
        <v/>
      </c>
      <c r="BA53" s="143" t="str">
        <f t="shared" si="8"/>
        <v/>
      </c>
      <c r="BB53" s="143" t="str">
        <f t="shared" si="8"/>
        <v/>
      </c>
      <c r="BC53" s="143" t="str">
        <f t="shared" si="8"/>
        <v/>
      </c>
      <c r="BD53" s="143" t="str">
        <f t="shared" si="8"/>
        <v/>
      </c>
      <c r="BF53" s="9">
        <f t="shared" si="10"/>
        <v>2.9642417573510003E-3</v>
      </c>
      <c r="BG53" s="9">
        <f t="shared" si="5"/>
        <v>0.89041731177855088</v>
      </c>
    </row>
    <row r="54" spans="2:59" x14ac:dyDescent="0.35">
      <c r="B54" s="3" t="s">
        <v>123</v>
      </c>
      <c r="D54" s="141">
        <v>461152</v>
      </c>
      <c r="E54" s="141">
        <v>432159</v>
      </c>
      <c r="F54" s="141">
        <v>445196</v>
      </c>
      <c r="G54" s="141">
        <v>11955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1350462</v>
      </c>
      <c r="R54" s="141">
        <v>337443</v>
      </c>
      <c r="S54" s="141">
        <v>311337</v>
      </c>
      <c r="T54" s="141">
        <v>302185</v>
      </c>
      <c r="U54" s="141">
        <v>9700</v>
      </c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960665</v>
      </c>
      <c r="AF54" s="2">
        <f t="shared" si="7"/>
        <v>0.7317392096315315</v>
      </c>
      <c r="AG54" s="2">
        <f t="shared" si="7"/>
        <v>0.72042234455374066</v>
      </c>
      <c r="AH54" s="2">
        <f t="shared" si="7"/>
        <v>0.67876845254674345</v>
      </c>
      <c r="AI54" s="2">
        <f t="shared" si="7"/>
        <v>0.81137599330823929</v>
      </c>
      <c r="AJ54" s="2" t="str">
        <f t="shared" si="7"/>
        <v/>
      </c>
      <c r="AK54" s="2" t="str">
        <f t="shared" si="7"/>
        <v/>
      </c>
      <c r="AL54" s="2" t="str">
        <f t="shared" si="7"/>
        <v/>
      </c>
      <c r="AM54" s="2" t="str">
        <f t="shared" si="7"/>
        <v/>
      </c>
      <c r="AN54" s="2" t="str">
        <f t="shared" si="6"/>
        <v/>
      </c>
      <c r="AO54" s="2" t="str">
        <f t="shared" si="6"/>
        <v/>
      </c>
      <c r="AP54" s="2" t="str">
        <f t="shared" si="6"/>
        <v/>
      </c>
      <c r="AQ54" s="2" t="str">
        <f t="shared" si="6"/>
        <v/>
      </c>
      <c r="AR54" s="2">
        <f t="shared" si="6"/>
        <v>0.711360260414584</v>
      </c>
      <c r="AT54" s="143">
        <f t="shared" si="11"/>
        <v>-1.1316865077790839E-2</v>
      </c>
      <c r="AU54" s="143">
        <f t="shared" si="12"/>
        <v>-4.1653892006997206E-2</v>
      </c>
      <c r="AV54" s="143">
        <f t="shared" si="8"/>
        <v>0.13260754076149583</v>
      </c>
      <c r="AW54" s="143" t="str">
        <f t="shared" si="8"/>
        <v/>
      </c>
      <c r="AX54" s="143" t="str">
        <f t="shared" si="8"/>
        <v/>
      </c>
      <c r="AY54" s="143" t="str">
        <f t="shared" si="8"/>
        <v/>
      </c>
      <c r="AZ54" s="143" t="str">
        <f t="shared" si="8"/>
        <v/>
      </c>
      <c r="BA54" s="143" t="str">
        <f t="shared" si="8"/>
        <v/>
      </c>
      <c r="BB54" s="143" t="str">
        <f t="shared" si="8"/>
        <v/>
      </c>
      <c r="BC54" s="143" t="str">
        <f t="shared" si="8"/>
        <v/>
      </c>
      <c r="BD54" s="143" t="str">
        <f t="shared" si="8"/>
        <v/>
      </c>
      <c r="BF54" s="9">
        <f t="shared" si="10"/>
        <v>1.5858282857574998E-3</v>
      </c>
      <c r="BG54" s="9">
        <f t="shared" si="5"/>
        <v>0.89200314006430836</v>
      </c>
    </row>
    <row r="55" spans="2:59" x14ac:dyDescent="0.35">
      <c r="B55" s="3" t="s">
        <v>122</v>
      </c>
      <c r="D55" s="141">
        <v>673418</v>
      </c>
      <c r="E55" s="141">
        <v>637380</v>
      </c>
      <c r="F55" s="141">
        <v>619189</v>
      </c>
      <c r="G55" s="141">
        <v>64307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1994294</v>
      </c>
      <c r="R55" s="141">
        <v>460190</v>
      </c>
      <c r="S55" s="141">
        <v>444017</v>
      </c>
      <c r="T55" s="141">
        <v>439696</v>
      </c>
      <c r="U55" s="141">
        <v>51058</v>
      </c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1394961</v>
      </c>
      <c r="AF55" s="2">
        <f t="shared" si="7"/>
        <v>0.68336456702969028</v>
      </c>
      <c r="AG55" s="2">
        <f t="shared" si="7"/>
        <v>0.69662838495089274</v>
      </c>
      <c r="AH55" s="2">
        <f t="shared" si="7"/>
        <v>0.71011597428248885</v>
      </c>
      <c r="AI55" s="2">
        <f t="shared" si="7"/>
        <v>0.79397266238512132</v>
      </c>
      <c r="AJ55" s="2" t="str">
        <f t="shared" si="7"/>
        <v/>
      </c>
      <c r="AK55" s="2" t="str">
        <f t="shared" si="7"/>
        <v/>
      </c>
      <c r="AL55" s="2" t="str">
        <f t="shared" si="7"/>
        <v/>
      </c>
      <c r="AM55" s="2" t="str">
        <f t="shared" si="7"/>
        <v/>
      </c>
      <c r="AN55" s="2" t="str">
        <f t="shared" si="6"/>
        <v/>
      </c>
      <c r="AO55" s="2" t="str">
        <f t="shared" si="6"/>
        <v/>
      </c>
      <c r="AP55" s="2" t="str">
        <f t="shared" si="6"/>
        <v/>
      </c>
      <c r="AQ55" s="2" t="str">
        <f t="shared" si="6"/>
        <v/>
      </c>
      <c r="AR55" s="2">
        <f t="shared" si="6"/>
        <v>0.69947610532850224</v>
      </c>
      <c r="AT55" s="143">
        <f t="shared" si="11"/>
        <v>1.3263817921202459E-2</v>
      </c>
      <c r="AU55" s="143">
        <f t="shared" si="12"/>
        <v>1.3487589331596106E-2</v>
      </c>
      <c r="AV55" s="143">
        <f t="shared" si="8"/>
        <v>8.3856688102632471E-2</v>
      </c>
      <c r="AW55" s="143" t="str">
        <f t="shared" si="8"/>
        <v/>
      </c>
      <c r="AX55" s="143" t="str">
        <f t="shared" si="8"/>
        <v/>
      </c>
      <c r="AY55" s="143" t="str">
        <f t="shared" si="8"/>
        <v/>
      </c>
      <c r="AZ55" s="143" t="str">
        <f t="shared" si="8"/>
        <v/>
      </c>
      <c r="BA55" s="143" t="str">
        <f t="shared" si="8"/>
        <v/>
      </c>
      <c r="BB55" s="143" t="str">
        <f t="shared" si="8"/>
        <v/>
      </c>
      <c r="BC55" s="143" t="str">
        <f t="shared" si="8"/>
        <v/>
      </c>
      <c r="BD55" s="143" t="str">
        <f t="shared" si="8"/>
        <v/>
      </c>
      <c r="BF55" s="9">
        <f t="shared" si="10"/>
        <v>2.3027471713121302E-3</v>
      </c>
      <c r="BG55" s="9">
        <f t="shared" si="5"/>
        <v>0.89430588723562054</v>
      </c>
    </row>
    <row r="56" spans="2:59" x14ac:dyDescent="0.35">
      <c r="B56" s="3" t="s">
        <v>134</v>
      </c>
      <c r="D56" s="141">
        <v>719113</v>
      </c>
      <c r="E56" s="141">
        <v>640081</v>
      </c>
      <c r="F56" s="141">
        <v>737406</v>
      </c>
      <c r="G56" s="141">
        <v>63913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2160513</v>
      </c>
      <c r="R56" s="141">
        <v>582504</v>
      </c>
      <c r="S56" s="141">
        <v>513379</v>
      </c>
      <c r="T56" s="141">
        <v>607066</v>
      </c>
      <c r="U56" s="141">
        <v>46831</v>
      </c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1749780</v>
      </c>
      <c r="AF56" s="2">
        <f t="shared" si="7"/>
        <v>0.81003124682768912</v>
      </c>
      <c r="AG56" s="2">
        <f t="shared" si="7"/>
        <v>0.8020531776447043</v>
      </c>
      <c r="AH56" s="2">
        <f t="shared" si="7"/>
        <v>0.82324526787143038</v>
      </c>
      <c r="AI56" s="2">
        <f t="shared" si="7"/>
        <v>0.73273043042886421</v>
      </c>
      <c r="AJ56" s="2" t="str">
        <f t="shared" si="7"/>
        <v/>
      </c>
      <c r="AK56" s="2" t="str">
        <f t="shared" si="7"/>
        <v/>
      </c>
      <c r="AL56" s="2" t="str">
        <f t="shared" si="7"/>
        <v/>
      </c>
      <c r="AM56" s="2" t="str">
        <f t="shared" ref="AM56:AR114" si="13">+IFERROR(Y56/K56,"")</f>
        <v/>
      </c>
      <c r="AN56" s="2" t="str">
        <f t="shared" si="6"/>
        <v/>
      </c>
      <c r="AO56" s="2" t="str">
        <f t="shared" si="6"/>
        <v/>
      </c>
      <c r="AP56" s="2" t="str">
        <f t="shared" si="6"/>
        <v/>
      </c>
      <c r="AQ56" s="2" t="str">
        <f t="shared" si="6"/>
        <v/>
      </c>
      <c r="AR56" s="2">
        <f t="shared" si="6"/>
        <v>0.80989098422457995</v>
      </c>
      <c r="AT56" s="143">
        <f t="shared" si="11"/>
        <v>-7.978069182984826E-3</v>
      </c>
      <c r="AU56" s="143">
        <f t="shared" si="12"/>
        <v>2.1192090226726079E-2</v>
      </c>
      <c r="AV56" s="143">
        <f t="shared" si="8"/>
        <v>-9.0514837442566165E-2</v>
      </c>
      <c r="AW56" s="143" t="str">
        <f t="shared" si="8"/>
        <v/>
      </c>
      <c r="AX56" s="143" t="str">
        <f t="shared" si="8"/>
        <v/>
      </c>
      <c r="AY56" s="143" t="str">
        <f t="shared" ref="AY56:BD87" si="14">+IFERROR(AL56-AK56,"")</f>
        <v/>
      </c>
      <c r="AZ56" s="143" t="str">
        <f t="shared" si="14"/>
        <v/>
      </c>
      <c r="BA56" s="143" t="str">
        <f t="shared" si="14"/>
        <v/>
      </c>
      <c r="BB56" s="143" t="str">
        <f t="shared" si="14"/>
        <v/>
      </c>
      <c r="BC56" s="143" t="str">
        <f t="shared" si="14"/>
        <v/>
      </c>
      <c r="BD56" s="143" t="str">
        <f t="shared" si="14"/>
        <v/>
      </c>
      <c r="BF56" s="9">
        <f t="shared" si="10"/>
        <v>2.8884685273771376E-3</v>
      </c>
      <c r="BG56" s="9">
        <f t="shared" si="5"/>
        <v>0.89719435576299766</v>
      </c>
    </row>
    <row r="57" spans="2:59" x14ac:dyDescent="0.35">
      <c r="B57" s="3" t="s">
        <v>150</v>
      </c>
      <c r="D57" s="141">
        <v>296021</v>
      </c>
      <c r="E57" s="141">
        <v>236147</v>
      </c>
      <c r="F57" s="141">
        <v>257695</v>
      </c>
      <c r="G57" s="141">
        <v>12023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801886</v>
      </c>
      <c r="R57" s="141">
        <v>202979</v>
      </c>
      <c r="S57" s="141">
        <v>175572</v>
      </c>
      <c r="T57" s="141">
        <v>172931</v>
      </c>
      <c r="U57" s="141">
        <v>8208</v>
      </c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559690</v>
      </c>
      <c r="AF57" s="2">
        <f t="shared" ref="AF57:AL93" si="15">+IFERROR(R57/D57,"")</f>
        <v>0.68569121785278742</v>
      </c>
      <c r="AG57" s="2">
        <f t="shared" si="15"/>
        <v>0.74348604894408987</v>
      </c>
      <c r="AH57" s="2">
        <f t="shared" si="15"/>
        <v>0.67106851122450961</v>
      </c>
      <c r="AI57" s="2">
        <f t="shared" si="15"/>
        <v>0.68269150794310907</v>
      </c>
      <c r="AJ57" s="2" t="str">
        <f t="shared" si="15"/>
        <v/>
      </c>
      <c r="AK57" s="2" t="str">
        <f t="shared" si="15"/>
        <v/>
      </c>
      <c r="AL57" s="2" t="str">
        <f t="shared" si="15"/>
        <v/>
      </c>
      <c r="AM57" s="2" t="str">
        <f t="shared" si="13"/>
        <v/>
      </c>
      <c r="AN57" s="2" t="str">
        <f t="shared" si="6"/>
        <v/>
      </c>
      <c r="AO57" s="2" t="str">
        <f t="shared" si="6"/>
        <v/>
      </c>
      <c r="AP57" s="2" t="str">
        <f t="shared" si="6"/>
        <v/>
      </c>
      <c r="AQ57" s="2" t="str">
        <f t="shared" si="6"/>
        <v/>
      </c>
      <c r="AR57" s="2">
        <f t="shared" si="6"/>
        <v>0.69796704269684218</v>
      </c>
      <c r="AT57" s="143">
        <f t="shared" si="11"/>
        <v>5.7794831091302457E-2</v>
      </c>
      <c r="AU57" s="143">
        <f t="shared" si="12"/>
        <v>-7.2417537719580261E-2</v>
      </c>
      <c r="AV57" s="143">
        <f t="shared" ref="AV57:BD88" si="16">+IFERROR(AI57-AH57,"")</f>
        <v>1.1622996718599454E-2</v>
      </c>
      <c r="AW57" s="143" t="str">
        <f t="shared" si="16"/>
        <v/>
      </c>
      <c r="AX57" s="143" t="str">
        <f t="shared" si="16"/>
        <v/>
      </c>
      <c r="AY57" s="143" t="str">
        <f t="shared" si="14"/>
        <v/>
      </c>
      <c r="AZ57" s="143" t="str">
        <f t="shared" si="14"/>
        <v/>
      </c>
      <c r="BA57" s="143" t="str">
        <f t="shared" si="14"/>
        <v/>
      </c>
      <c r="BB57" s="143" t="str">
        <f t="shared" si="14"/>
        <v/>
      </c>
      <c r="BC57" s="143" t="str">
        <f t="shared" si="14"/>
        <v/>
      </c>
      <c r="BD57" s="143" t="str">
        <f t="shared" si="14"/>
        <v/>
      </c>
      <c r="BF57" s="9">
        <f t="shared" si="10"/>
        <v>9.2391440643264304E-4</v>
      </c>
      <c r="BG57" s="9">
        <f t="shared" si="5"/>
        <v>0.89811827016943035</v>
      </c>
    </row>
    <row r="58" spans="2:59" x14ac:dyDescent="0.35">
      <c r="B58" s="3" t="s">
        <v>137</v>
      </c>
      <c r="D58" s="141">
        <v>376386</v>
      </c>
      <c r="E58" s="141">
        <v>340345</v>
      </c>
      <c r="F58" s="141">
        <v>419529</v>
      </c>
      <c r="G58" s="141">
        <v>32470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1168730</v>
      </c>
      <c r="R58" s="141">
        <v>296882</v>
      </c>
      <c r="S58" s="141">
        <v>254764</v>
      </c>
      <c r="T58" s="141">
        <v>328959</v>
      </c>
      <c r="U58" s="141">
        <v>29745</v>
      </c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910350</v>
      </c>
      <c r="AF58" s="2">
        <f t="shared" si="15"/>
        <v>0.78877003926819811</v>
      </c>
      <c r="AG58" s="2">
        <f t="shared" si="15"/>
        <v>0.7485463279907153</v>
      </c>
      <c r="AH58" s="2">
        <f t="shared" si="15"/>
        <v>0.78411504329855619</v>
      </c>
      <c r="AI58" s="2">
        <f t="shared" si="15"/>
        <v>0.91607637819525711</v>
      </c>
      <c r="AJ58" s="2" t="str">
        <f t="shared" si="15"/>
        <v/>
      </c>
      <c r="AK58" s="2" t="str">
        <f t="shared" si="15"/>
        <v/>
      </c>
      <c r="AL58" s="2" t="str">
        <f t="shared" si="15"/>
        <v/>
      </c>
      <c r="AM58" s="2" t="str">
        <f t="shared" si="13"/>
        <v/>
      </c>
      <c r="AN58" s="2" t="str">
        <f t="shared" si="6"/>
        <v/>
      </c>
      <c r="AO58" s="2" t="str">
        <f t="shared" si="6"/>
        <v/>
      </c>
      <c r="AP58" s="2" t="str">
        <f t="shared" si="6"/>
        <v/>
      </c>
      <c r="AQ58" s="2" t="str">
        <f t="shared" si="6"/>
        <v/>
      </c>
      <c r="AR58" s="2">
        <f t="shared" si="6"/>
        <v>0.77892242006280321</v>
      </c>
      <c r="AT58" s="143">
        <f t="shared" si="11"/>
        <v>-4.022371127748281E-2</v>
      </c>
      <c r="AU58" s="143">
        <f t="shared" si="12"/>
        <v>3.5568715307840892E-2</v>
      </c>
      <c r="AV58" s="143">
        <f t="shared" si="16"/>
        <v>0.13196133489670092</v>
      </c>
      <c r="AW58" s="143" t="str">
        <f t="shared" si="16"/>
        <v/>
      </c>
      <c r="AX58" s="143" t="str">
        <f t="shared" si="16"/>
        <v/>
      </c>
      <c r="AY58" s="143" t="str">
        <f t="shared" si="14"/>
        <v/>
      </c>
      <c r="AZ58" s="143" t="str">
        <f t="shared" si="14"/>
        <v/>
      </c>
      <c r="BA58" s="143" t="str">
        <f t="shared" si="14"/>
        <v/>
      </c>
      <c r="BB58" s="143" t="str">
        <f t="shared" si="14"/>
        <v/>
      </c>
      <c r="BC58" s="143" t="str">
        <f t="shared" si="14"/>
        <v/>
      </c>
      <c r="BD58" s="143" t="str">
        <f t="shared" si="14"/>
        <v/>
      </c>
      <c r="BF58" s="9">
        <f t="shared" si="10"/>
        <v>1.5027702476298605E-3</v>
      </c>
      <c r="BG58" s="9">
        <f t="shared" si="5"/>
        <v>0.89962104041706026</v>
      </c>
    </row>
    <row r="59" spans="2:59" x14ac:dyDescent="0.35">
      <c r="B59" s="3" t="s">
        <v>124</v>
      </c>
      <c r="D59" s="141">
        <v>195399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195399</v>
      </c>
      <c r="R59" s="141">
        <v>134429</v>
      </c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134429</v>
      </c>
      <c r="AF59" s="2">
        <f t="shared" si="15"/>
        <v>0.68797179105317841</v>
      </c>
      <c r="AG59" s="2" t="str">
        <f t="shared" si="15"/>
        <v/>
      </c>
      <c r="AH59" s="2" t="str">
        <f t="shared" si="15"/>
        <v/>
      </c>
      <c r="AI59" s="2" t="str">
        <f t="shared" si="15"/>
        <v/>
      </c>
      <c r="AJ59" s="2" t="str">
        <f t="shared" si="15"/>
        <v/>
      </c>
      <c r="AK59" s="2" t="str">
        <f t="shared" si="15"/>
        <v/>
      </c>
      <c r="AL59" s="2" t="str">
        <f t="shared" si="15"/>
        <v/>
      </c>
      <c r="AM59" s="2" t="str">
        <f t="shared" si="13"/>
        <v/>
      </c>
      <c r="AN59" s="2" t="str">
        <f t="shared" si="6"/>
        <v/>
      </c>
      <c r="AO59" s="2" t="str">
        <f t="shared" si="6"/>
        <v/>
      </c>
      <c r="AP59" s="2" t="str">
        <f t="shared" si="6"/>
        <v/>
      </c>
      <c r="AQ59" s="2" t="str">
        <f t="shared" si="6"/>
        <v/>
      </c>
      <c r="AR59" s="2">
        <f t="shared" si="6"/>
        <v>0.68797179105317841</v>
      </c>
      <c r="AT59" s="143" t="str">
        <f t="shared" si="11"/>
        <v/>
      </c>
      <c r="AU59" s="143" t="str">
        <f t="shared" si="12"/>
        <v/>
      </c>
      <c r="AV59" s="143" t="str">
        <f t="shared" si="16"/>
        <v/>
      </c>
      <c r="AW59" s="143" t="str">
        <f t="shared" si="16"/>
        <v/>
      </c>
      <c r="AX59" s="143" t="str">
        <f t="shared" si="16"/>
        <v/>
      </c>
      <c r="AY59" s="143" t="str">
        <f t="shared" si="14"/>
        <v/>
      </c>
      <c r="AZ59" s="143" t="str">
        <f t="shared" si="14"/>
        <v/>
      </c>
      <c r="BA59" s="143" t="str">
        <f t="shared" si="14"/>
        <v/>
      </c>
      <c r="BB59" s="143" t="str">
        <f t="shared" si="14"/>
        <v/>
      </c>
      <c r="BC59" s="143" t="str">
        <f t="shared" si="14"/>
        <v/>
      </c>
      <c r="BD59" s="143" t="str">
        <f t="shared" si="14"/>
        <v/>
      </c>
      <c r="BF59" s="9">
        <f t="shared" si="10"/>
        <v>2.2191014622797222E-4</v>
      </c>
      <c r="BG59" s="9">
        <f t="shared" si="5"/>
        <v>0.89984295056328822</v>
      </c>
    </row>
    <row r="60" spans="2:59" x14ac:dyDescent="0.35">
      <c r="B60" s="3" t="s">
        <v>129</v>
      </c>
      <c r="D60" s="141">
        <v>715830</v>
      </c>
      <c r="E60" s="141">
        <v>688584</v>
      </c>
      <c r="F60" s="141">
        <v>754006</v>
      </c>
      <c r="G60" s="141">
        <v>26559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2184979</v>
      </c>
      <c r="R60" s="141">
        <v>483609</v>
      </c>
      <c r="S60" s="141">
        <v>441506</v>
      </c>
      <c r="T60" s="141">
        <v>509646</v>
      </c>
      <c r="U60" s="141">
        <v>18052</v>
      </c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1452813</v>
      </c>
      <c r="AF60" s="2">
        <f t="shared" si="15"/>
        <v>0.67559197016051298</v>
      </c>
      <c r="AG60" s="2">
        <f t="shared" si="15"/>
        <v>0.64117958012384835</v>
      </c>
      <c r="AH60" s="2">
        <f t="shared" si="15"/>
        <v>0.67591769826765302</v>
      </c>
      <c r="AI60" s="2">
        <f t="shared" si="15"/>
        <v>0.67969426559734925</v>
      </c>
      <c r="AJ60" s="2" t="str">
        <f t="shared" si="15"/>
        <v/>
      </c>
      <c r="AK60" s="2" t="str">
        <f t="shared" si="15"/>
        <v/>
      </c>
      <c r="AL60" s="2" t="str">
        <f t="shared" si="15"/>
        <v/>
      </c>
      <c r="AM60" s="2" t="str">
        <f t="shared" si="13"/>
        <v/>
      </c>
      <c r="AN60" s="2" t="str">
        <f t="shared" si="6"/>
        <v/>
      </c>
      <c r="AO60" s="2" t="str">
        <f t="shared" si="6"/>
        <v/>
      </c>
      <c r="AP60" s="2" t="str">
        <f t="shared" si="6"/>
        <v/>
      </c>
      <c r="AQ60" s="2" t="str">
        <f t="shared" si="6"/>
        <v/>
      </c>
      <c r="AR60" s="2">
        <f t="shared" si="6"/>
        <v>0.66490936526163413</v>
      </c>
      <c r="AT60" s="143">
        <f t="shared" si="11"/>
        <v>-3.4412390036664631E-2</v>
      </c>
      <c r="AU60" s="143">
        <f t="shared" si="12"/>
        <v>3.4738118143804675E-2</v>
      </c>
      <c r="AV60" s="143">
        <f t="shared" si="16"/>
        <v>3.7765673296962232E-3</v>
      </c>
      <c r="AW60" s="143" t="str">
        <f t="shared" si="16"/>
        <v/>
      </c>
      <c r="AX60" s="143" t="str">
        <f t="shared" si="16"/>
        <v/>
      </c>
      <c r="AY60" s="143" t="str">
        <f t="shared" si="14"/>
        <v/>
      </c>
      <c r="AZ60" s="143" t="str">
        <f t="shared" si="14"/>
        <v/>
      </c>
      <c r="BA60" s="143" t="str">
        <f t="shared" si="14"/>
        <v/>
      </c>
      <c r="BB60" s="143" t="str">
        <f t="shared" si="14"/>
        <v/>
      </c>
      <c r="BC60" s="143" t="str">
        <f t="shared" si="14"/>
        <v/>
      </c>
      <c r="BD60" s="143" t="str">
        <f t="shared" si="14"/>
        <v/>
      </c>
      <c r="BF60" s="9">
        <f t="shared" si="10"/>
        <v>2.3982469948589887E-3</v>
      </c>
      <c r="BG60" s="9">
        <f t="shared" si="5"/>
        <v>0.90224119755814725</v>
      </c>
    </row>
    <row r="61" spans="2:59" x14ac:dyDescent="0.35">
      <c r="B61" s="3" t="s">
        <v>166</v>
      </c>
      <c r="D61" s="141">
        <v>1972122</v>
      </c>
      <c r="E61" s="141">
        <v>1771700</v>
      </c>
      <c r="F61" s="141">
        <v>1745539</v>
      </c>
      <c r="G61" s="141">
        <v>490390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5979751</v>
      </c>
      <c r="R61" s="141">
        <v>1421458</v>
      </c>
      <c r="S61" s="141">
        <v>1246693</v>
      </c>
      <c r="T61" s="141">
        <v>1267953</v>
      </c>
      <c r="U61" s="141">
        <v>334851</v>
      </c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4270955</v>
      </c>
      <c r="AF61" s="2">
        <f t="shared" si="15"/>
        <v>0.72077589520323793</v>
      </c>
      <c r="AG61" s="2">
        <f t="shared" si="15"/>
        <v>0.70367048597392334</v>
      </c>
      <c r="AH61" s="2">
        <f t="shared" si="15"/>
        <v>0.72639625926433038</v>
      </c>
      <c r="AI61" s="2">
        <f t="shared" si="15"/>
        <v>0.68282591406839455</v>
      </c>
      <c r="AJ61" s="2" t="str">
        <f t="shared" si="15"/>
        <v/>
      </c>
      <c r="AK61" s="2" t="str">
        <f t="shared" si="15"/>
        <v/>
      </c>
      <c r="AL61" s="2" t="str">
        <f t="shared" si="15"/>
        <v/>
      </c>
      <c r="AM61" s="2" t="str">
        <f t="shared" si="13"/>
        <v/>
      </c>
      <c r="AN61" s="2" t="str">
        <f t="shared" si="6"/>
        <v/>
      </c>
      <c r="AO61" s="2" t="str">
        <f t="shared" si="6"/>
        <v/>
      </c>
      <c r="AP61" s="2" t="str">
        <f t="shared" si="6"/>
        <v/>
      </c>
      <c r="AQ61" s="2" t="str">
        <f t="shared" si="6"/>
        <v/>
      </c>
      <c r="AR61" s="2">
        <f t="shared" si="6"/>
        <v>0.71423626167711662</v>
      </c>
      <c r="AT61" s="143">
        <f t="shared" si="11"/>
        <v>-1.7105409229314583E-2</v>
      </c>
      <c r="AU61" s="143">
        <f t="shared" si="12"/>
        <v>2.2725773290407036E-2</v>
      </c>
      <c r="AV61" s="143">
        <f t="shared" si="16"/>
        <v>-4.3570345195935833E-2</v>
      </c>
      <c r="AW61" s="143" t="str">
        <f t="shared" si="16"/>
        <v/>
      </c>
      <c r="AX61" s="143" t="str">
        <f t="shared" si="16"/>
        <v/>
      </c>
      <c r="AY61" s="143" t="str">
        <f t="shared" si="14"/>
        <v/>
      </c>
      <c r="AZ61" s="143" t="str">
        <f t="shared" si="14"/>
        <v/>
      </c>
      <c r="BA61" s="143" t="str">
        <f t="shared" si="14"/>
        <v/>
      </c>
      <c r="BB61" s="143" t="str">
        <f t="shared" si="14"/>
        <v/>
      </c>
      <c r="BC61" s="143" t="str">
        <f t="shared" si="14"/>
        <v/>
      </c>
      <c r="BD61" s="143" t="str">
        <f t="shared" si="14"/>
        <v/>
      </c>
      <c r="BF61" s="9">
        <f t="shared" si="10"/>
        <v>7.0503258120129522E-3</v>
      </c>
      <c r="BG61" s="9">
        <f t="shared" si="5"/>
        <v>0.90929152337016017</v>
      </c>
    </row>
    <row r="62" spans="2:59" x14ac:dyDescent="0.35">
      <c r="B62" s="3" t="s">
        <v>156</v>
      </c>
      <c r="D62" s="141">
        <v>1213702</v>
      </c>
      <c r="E62" s="141">
        <v>1122054</v>
      </c>
      <c r="F62" s="141">
        <v>1197785</v>
      </c>
      <c r="G62" s="141">
        <v>84929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3618470</v>
      </c>
      <c r="R62" s="141">
        <v>899312</v>
      </c>
      <c r="S62" s="141">
        <v>813646</v>
      </c>
      <c r="T62" s="141">
        <v>859027</v>
      </c>
      <c r="U62" s="141">
        <v>63235</v>
      </c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2635220</v>
      </c>
      <c r="AF62" s="2">
        <f t="shared" si="15"/>
        <v>0.74096606910098195</v>
      </c>
      <c r="AG62" s="2">
        <f t="shared" si="15"/>
        <v>0.72513978828113446</v>
      </c>
      <c r="AH62" s="2">
        <f t="shared" si="15"/>
        <v>0.71717962739556762</v>
      </c>
      <c r="AI62" s="2">
        <f t="shared" si="15"/>
        <v>0.74456310565295714</v>
      </c>
      <c r="AJ62" s="2" t="str">
        <f t="shared" si="15"/>
        <v/>
      </c>
      <c r="AK62" s="2" t="str">
        <f t="shared" si="15"/>
        <v/>
      </c>
      <c r="AL62" s="2" t="str">
        <f t="shared" si="15"/>
        <v/>
      </c>
      <c r="AM62" s="2" t="str">
        <f t="shared" si="13"/>
        <v/>
      </c>
      <c r="AN62" s="2" t="str">
        <f t="shared" si="6"/>
        <v/>
      </c>
      <c r="AO62" s="2" t="str">
        <f t="shared" si="6"/>
        <v/>
      </c>
      <c r="AP62" s="2" t="str">
        <f t="shared" si="6"/>
        <v/>
      </c>
      <c r="AQ62" s="2" t="str">
        <f t="shared" si="6"/>
        <v/>
      </c>
      <c r="AR62" s="2">
        <f t="shared" si="6"/>
        <v>0.72826913032303708</v>
      </c>
      <c r="AT62" s="143">
        <f t="shared" si="11"/>
        <v>-1.5826280819847494E-2</v>
      </c>
      <c r="AU62" s="143">
        <f t="shared" si="12"/>
        <v>-7.960160885566836E-3</v>
      </c>
      <c r="AV62" s="143">
        <f t="shared" si="16"/>
        <v>2.7383478257389515E-2</v>
      </c>
      <c r="AW62" s="143" t="str">
        <f t="shared" si="16"/>
        <v/>
      </c>
      <c r="AX62" s="143" t="str">
        <f t="shared" si="16"/>
        <v/>
      </c>
      <c r="AY62" s="143" t="str">
        <f t="shared" si="14"/>
        <v/>
      </c>
      <c r="AZ62" s="143" t="str">
        <f t="shared" si="14"/>
        <v/>
      </c>
      <c r="BA62" s="143" t="str">
        <f t="shared" si="14"/>
        <v/>
      </c>
      <c r="BB62" s="143" t="str">
        <f t="shared" si="14"/>
        <v/>
      </c>
      <c r="BC62" s="143" t="str">
        <f t="shared" si="14"/>
        <v/>
      </c>
      <c r="BD62" s="143" t="str">
        <f t="shared" si="14"/>
        <v/>
      </c>
      <c r="BF62" s="9">
        <f t="shared" si="10"/>
        <v>4.3501183192828701E-3</v>
      </c>
      <c r="BG62" s="9">
        <f t="shared" si="5"/>
        <v>0.91364164168944306</v>
      </c>
    </row>
    <row r="63" spans="2:59" x14ac:dyDescent="0.35">
      <c r="B63" s="3" t="s">
        <v>164</v>
      </c>
      <c r="D63" s="141">
        <v>90007</v>
      </c>
      <c r="E63" s="141">
        <v>99280</v>
      </c>
      <c r="F63" s="141">
        <v>42528</v>
      </c>
      <c r="G63" s="141">
        <v>11223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243038</v>
      </c>
      <c r="R63" s="141">
        <v>80784</v>
      </c>
      <c r="S63" s="141">
        <v>78633</v>
      </c>
      <c r="T63" s="141">
        <v>28475</v>
      </c>
      <c r="U63" s="141">
        <v>10856</v>
      </c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198748</v>
      </c>
      <c r="AF63" s="2">
        <f t="shared" si="15"/>
        <v>0.89753019209617024</v>
      </c>
      <c r="AG63" s="2">
        <f t="shared" si="15"/>
        <v>0.79203263497179699</v>
      </c>
      <c r="AH63" s="2">
        <f t="shared" si="15"/>
        <v>0.66955887885628296</v>
      </c>
      <c r="AI63" s="2">
        <f t="shared" si="15"/>
        <v>0.96729929608838994</v>
      </c>
      <c r="AJ63" s="2" t="str">
        <f t="shared" si="15"/>
        <v/>
      </c>
      <c r="AK63" s="2" t="str">
        <f t="shared" si="15"/>
        <v/>
      </c>
      <c r="AL63" s="2" t="str">
        <f t="shared" si="15"/>
        <v/>
      </c>
      <c r="AM63" s="2" t="str">
        <f t="shared" si="13"/>
        <v/>
      </c>
      <c r="AN63" s="2" t="str">
        <f t="shared" si="6"/>
        <v/>
      </c>
      <c r="AO63" s="2" t="str">
        <f t="shared" si="6"/>
        <v/>
      </c>
      <c r="AP63" s="2" t="str">
        <f t="shared" si="6"/>
        <v/>
      </c>
      <c r="AQ63" s="2" t="str">
        <f t="shared" si="6"/>
        <v/>
      </c>
      <c r="AR63" s="2">
        <f t="shared" si="6"/>
        <v>0.81776512314946637</v>
      </c>
      <c r="AT63" s="143">
        <f t="shared" si="11"/>
        <v>-0.10549755712437325</v>
      </c>
      <c r="AU63" s="143">
        <f t="shared" si="12"/>
        <v>-0.12247375611551403</v>
      </c>
      <c r="AV63" s="143">
        <f t="shared" si="16"/>
        <v>0.29774041723210698</v>
      </c>
      <c r="AW63" s="143" t="str">
        <f t="shared" si="16"/>
        <v/>
      </c>
      <c r="AX63" s="143" t="str">
        <f t="shared" si="16"/>
        <v/>
      </c>
      <c r="AY63" s="143" t="str">
        <f t="shared" si="14"/>
        <v/>
      </c>
      <c r="AZ63" s="143" t="str">
        <f t="shared" si="14"/>
        <v/>
      </c>
      <c r="BA63" s="143" t="str">
        <f t="shared" si="14"/>
        <v/>
      </c>
      <c r="BB63" s="143" t="str">
        <f t="shared" si="14"/>
        <v/>
      </c>
      <c r="BC63" s="143" t="str">
        <f t="shared" si="14"/>
        <v/>
      </c>
      <c r="BD63" s="143" t="str">
        <f t="shared" si="14"/>
        <v/>
      </c>
      <c r="BF63" s="9">
        <f t="shared" si="10"/>
        <v>3.2808544095780693E-4</v>
      </c>
      <c r="BG63" s="9">
        <f t="shared" si="5"/>
        <v>0.91396972713040092</v>
      </c>
    </row>
    <row r="64" spans="2:59" x14ac:dyDescent="0.35">
      <c r="B64" s="3" t="s">
        <v>147</v>
      </c>
      <c r="D64" s="141">
        <v>551619</v>
      </c>
      <c r="E64" s="141">
        <v>479525</v>
      </c>
      <c r="F64" s="141">
        <v>604466</v>
      </c>
      <c r="G64" s="141">
        <v>37064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1672674</v>
      </c>
      <c r="R64" s="141">
        <v>424303</v>
      </c>
      <c r="S64" s="141">
        <v>328899</v>
      </c>
      <c r="T64" s="141">
        <v>378796</v>
      </c>
      <c r="U64" s="141">
        <v>25401</v>
      </c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1157399</v>
      </c>
      <c r="AF64" s="2">
        <f t="shared" si="15"/>
        <v>0.7691957673684191</v>
      </c>
      <c r="AG64" s="2">
        <f t="shared" si="15"/>
        <v>0.6858849903550388</v>
      </c>
      <c r="AH64" s="2">
        <f t="shared" si="15"/>
        <v>0.62666221094321273</v>
      </c>
      <c r="AI64" s="2">
        <f t="shared" si="15"/>
        <v>0.68532808115691779</v>
      </c>
      <c r="AJ64" s="2" t="str">
        <f t="shared" si="15"/>
        <v/>
      </c>
      <c r="AK64" s="2" t="str">
        <f t="shared" si="15"/>
        <v/>
      </c>
      <c r="AL64" s="2" t="str">
        <f t="shared" si="15"/>
        <v/>
      </c>
      <c r="AM64" s="2" t="str">
        <f t="shared" si="13"/>
        <v/>
      </c>
      <c r="AN64" s="2" t="str">
        <f t="shared" si="6"/>
        <v/>
      </c>
      <c r="AO64" s="2" t="str">
        <f t="shared" si="6"/>
        <v/>
      </c>
      <c r="AP64" s="2" t="str">
        <f t="shared" si="6"/>
        <v/>
      </c>
      <c r="AQ64" s="2" t="str">
        <f t="shared" si="6"/>
        <v/>
      </c>
      <c r="AR64" s="2">
        <f t="shared" si="6"/>
        <v>0.69194535217262898</v>
      </c>
      <c r="AT64" s="143">
        <f t="shared" si="11"/>
        <v>-8.3310777013380299E-2</v>
      </c>
      <c r="AU64" s="143">
        <f t="shared" si="12"/>
        <v>-5.9222779411826076E-2</v>
      </c>
      <c r="AV64" s="143">
        <f t="shared" si="16"/>
        <v>5.8665870213705062E-2</v>
      </c>
      <c r="AW64" s="143" t="str">
        <f t="shared" si="16"/>
        <v/>
      </c>
      <c r="AX64" s="143" t="str">
        <f t="shared" si="16"/>
        <v/>
      </c>
      <c r="AY64" s="143" t="str">
        <f t="shared" si="14"/>
        <v/>
      </c>
      <c r="AZ64" s="143" t="str">
        <f t="shared" si="14"/>
        <v/>
      </c>
      <c r="BA64" s="143" t="str">
        <f t="shared" si="14"/>
        <v/>
      </c>
      <c r="BB64" s="143" t="str">
        <f t="shared" si="14"/>
        <v/>
      </c>
      <c r="BC64" s="143" t="str">
        <f t="shared" si="14"/>
        <v/>
      </c>
      <c r="BD64" s="143" t="str">
        <f t="shared" si="14"/>
        <v/>
      </c>
      <c r="BF64" s="9">
        <f t="shared" si="10"/>
        <v>1.9105890941248454E-3</v>
      </c>
      <c r="BG64" s="9">
        <f t="shared" si="5"/>
        <v>0.91588031622452581</v>
      </c>
    </row>
    <row r="65" spans="2:59" x14ac:dyDescent="0.35">
      <c r="B65" s="3" t="s">
        <v>136</v>
      </c>
      <c r="D65" s="141">
        <v>112765</v>
      </c>
      <c r="E65" s="141">
        <v>140580</v>
      </c>
      <c r="F65" s="141">
        <v>179033</v>
      </c>
      <c r="G65" s="141">
        <v>6046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438424</v>
      </c>
      <c r="R65" s="141">
        <v>64137</v>
      </c>
      <c r="S65" s="141">
        <v>104455</v>
      </c>
      <c r="T65" s="141">
        <v>123193</v>
      </c>
      <c r="U65" s="141">
        <v>5369</v>
      </c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297154</v>
      </c>
      <c r="AF65" s="2">
        <f t="shared" si="15"/>
        <v>0.56876690462466195</v>
      </c>
      <c r="AG65" s="2">
        <f t="shared" si="15"/>
        <v>0.74302888035282399</v>
      </c>
      <c r="AH65" s="2">
        <f t="shared" si="15"/>
        <v>0.68810219345036949</v>
      </c>
      <c r="AI65" s="2">
        <f t="shared" si="15"/>
        <v>0.8880251405888191</v>
      </c>
      <c r="AJ65" s="2" t="str">
        <f t="shared" si="15"/>
        <v/>
      </c>
      <c r="AK65" s="2" t="str">
        <f t="shared" si="15"/>
        <v/>
      </c>
      <c r="AL65" s="2" t="str">
        <f t="shared" si="15"/>
        <v/>
      </c>
      <c r="AM65" s="2" t="str">
        <f t="shared" si="13"/>
        <v/>
      </c>
      <c r="AN65" s="2" t="str">
        <f t="shared" si="6"/>
        <v/>
      </c>
      <c r="AO65" s="2" t="str">
        <f t="shared" si="6"/>
        <v/>
      </c>
      <c r="AP65" s="2" t="str">
        <f t="shared" si="6"/>
        <v/>
      </c>
      <c r="AQ65" s="2" t="str">
        <f t="shared" si="6"/>
        <v/>
      </c>
      <c r="AR65" s="2">
        <f t="shared" si="6"/>
        <v>0.67777767640457642</v>
      </c>
      <c r="AT65" s="143">
        <f t="shared" si="11"/>
        <v>0.17426197572816204</v>
      </c>
      <c r="AU65" s="143">
        <f t="shared" si="12"/>
        <v>-5.4926686902454502E-2</v>
      </c>
      <c r="AV65" s="143">
        <f t="shared" si="16"/>
        <v>0.1999229471384496</v>
      </c>
      <c r="AW65" s="143" t="str">
        <f t="shared" si="16"/>
        <v/>
      </c>
      <c r="AX65" s="143" t="str">
        <f t="shared" si="16"/>
        <v/>
      </c>
      <c r="AY65" s="143" t="str">
        <f t="shared" si="14"/>
        <v/>
      </c>
      <c r="AZ65" s="143" t="str">
        <f t="shared" si="14"/>
        <v/>
      </c>
      <c r="BA65" s="143" t="str">
        <f t="shared" si="14"/>
        <v/>
      </c>
      <c r="BB65" s="143" t="str">
        <f t="shared" si="14"/>
        <v/>
      </c>
      <c r="BC65" s="143" t="str">
        <f t="shared" si="14"/>
        <v/>
      </c>
      <c r="BD65" s="143" t="str">
        <f t="shared" si="14"/>
        <v/>
      </c>
      <c r="BF65" s="9">
        <f t="shared" si="10"/>
        <v>4.9053022481924924E-4</v>
      </c>
      <c r="BG65" s="9">
        <f t="shared" si="5"/>
        <v>0.91637084644934508</v>
      </c>
    </row>
    <row r="66" spans="2:59" x14ac:dyDescent="0.35">
      <c r="B66" s="3" t="s">
        <v>141</v>
      </c>
      <c r="D66" s="141">
        <v>284167</v>
      </c>
      <c r="E66" s="141">
        <v>276448</v>
      </c>
      <c r="F66" s="141">
        <v>339397</v>
      </c>
      <c r="G66" s="141">
        <v>25187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925199</v>
      </c>
      <c r="R66" s="141">
        <v>233586</v>
      </c>
      <c r="S66" s="141">
        <v>239684</v>
      </c>
      <c r="T66" s="141">
        <v>295508</v>
      </c>
      <c r="U66" s="141">
        <v>17988</v>
      </c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786766</v>
      </c>
      <c r="AF66" s="2">
        <f t="shared" si="15"/>
        <v>0.82200255483571283</v>
      </c>
      <c r="AG66" s="2">
        <f t="shared" si="15"/>
        <v>0.86701296446347953</v>
      </c>
      <c r="AH66" s="2">
        <f t="shared" si="15"/>
        <v>0.87068536256949824</v>
      </c>
      <c r="AI66" s="2">
        <f t="shared" si="15"/>
        <v>0.71417794894191444</v>
      </c>
      <c r="AJ66" s="2" t="str">
        <f t="shared" si="15"/>
        <v/>
      </c>
      <c r="AK66" s="2" t="str">
        <f t="shared" si="15"/>
        <v/>
      </c>
      <c r="AL66" s="2" t="str">
        <f t="shared" si="15"/>
        <v/>
      </c>
      <c r="AM66" s="2" t="str">
        <f t="shared" si="13"/>
        <v/>
      </c>
      <c r="AN66" s="2" t="str">
        <f t="shared" si="6"/>
        <v/>
      </c>
      <c r="AO66" s="2" t="str">
        <f t="shared" si="6"/>
        <v/>
      </c>
      <c r="AP66" s="2" t="str">
        <f t="shared" si="6"/>
        <v/>
      </c>
      <c r="AQ66" s="2" t="str">
        <f t="shared" si="6"/>
        <v/>
      </c>
      <c r="AR66" s="2">
        <f t="shared" si="6"/>
        <v>0.85037489232046293</v>
      </c>
      <c r="AT66" s="143">
        <f t="shared" si="11"/>
        <v>4.5010409627766701E-2</v>
      </c>
      <c r="AU66" s="143">
        <f t="shared" si="12"/>
        <v>3.672398106018715E-3</v>
      </c>
      <c r="AV66" s="143">
        <f t="shared" si="16"/>
        <v>-0.1565074136275838</v>
      </c>
      <c r="AW66" s="143" t="str">
        <f t="shared" si="16"/>
        <v/>
      </c>
      <c r="AX66" s="143" t="str">
        <f t="shared" si="16"/>
        <v/>
      </c>
      <c r="AY66" s="143" t="str">
        <f t="shared" si="14"/>
        <v/>
      </c>
      <c r="AZ66" s="143" t="str">
        <f t="shared" si="14"/>
        <v/>
      </c>
      <c r="BA66" s="143" t="str">
        <f t="shared" si="14"/>
        <v/>
      </c>
      <c r="BB66" s="143" t="str">
        <f t="shared" si="14"/>
        <v/>
      </c>
      <c r="BC66" s="143" t="str">
        <f t="shared" si="14"/>
        <v/>
      </c>
      <c r="BD66" s="143" t="str">
        <f t="shared" si="14"/>
        <v/>
      </c>
      <c r="BF66" s="9">
        <f t="shared" si="10"/>
        <v>1.2987626041047451E-3</v>
      </c>
      <c r="BG66" s="9">
        <f t="shared" si="5"/>
        <v>0.91766960905344985</v>
      </c>
    </row>
    <row r="67" spans="2:59" x14ac:dyDescent="0.35">
      <c r="B67" s="3" t="s">
        <v>142</v>
      </c>
      <c r="D67" s="141">
        <v>669910</v>
      </c>
      <c r="E67" s="141">
        <v>624545</v>
      </c>
      <c r="F67" s="141">
        <v>602867</v>
      </c>
      <c r="G67" s="141">
        <v>83526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1980848</v>
      </c>
      <c r="R67" s="141">
        <v>484936</v>
      </c>
      <c r="S67" s="141">
        <v>459180</v>
      </c>
      <c r="T67" s="141">
        <v>415815</v>
      </c>
      <c r="U67" s="141">
        <v>59061</v>
      </c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1418992</v>
      </c>
      <c r="AF67" s="2">
        <f t="shared" si="15"/>
        <v>0.7238823125494469</v>
      </c>
      <c r="AG67" s="2">
        <f t="shared" si="15"/>
        <v>0.73522324252055493</v>
      </c>
      <c r="AH67" s="2">
        <f t="shared" si="15"/>
        <v>0.68972924376354983</v>
      </c>
      <c r="AI67" s="2">
        <f t="shared" si="15"/>
        <v>0.70709719129372894</v>
      </c>
      <c r="AJ67" s="2" t="str">
        <f t="shared" si="15"/>
        <v/>
      </c>
      <c r="AK67" s="2" t="str">
        <f t="shared" si="15"/>
        <v/>
      </c>
      <c r="AL67" s="2" t="str">
        <f t="shared" si="15"/>
        <v/>
      </c>
      <c r="AM67" s="2" t="str">
        <f t="shared" si="13"/>
        <v/>
      </c>
      <c r="AN67" s="2" t="str">
        <f t="shared" si="6"/>
        <v/>
      </c>
      <c r="AO67" s="2" t="str">
        <f t="shared" si="6"/>
        <v/>
      </c>
      <c r="AP67" s="2" t="str">
        <f t="shared" si="6"/>
        <v/>
      </c>
      <c r="AQ67" s="2" t="str">
        <f t="shared" si="6"/>
        <v/>
      </c>
      <c r="AR67" s="2">
        <f t="shared" si="6"/>
        <v>0.71635582336453885</v>
      </c>
      <c r="AT67" s="143">
        <f t="shared" si="11"/>
        <v>1.1340929971108027E-2</v>
      </c>
      <c r="AU67" s="143">
        <f t="shared" si="12"/>
        <v>-4.5493998757005105E-2</v>
      </c>
      <c r="AV67" s="143">
        <f t="shared" si="16"/>
        <v>1.7367947530179118E-2</v>
      </c>
      <c r="AW67" s="143" t="str">
        <f t="shared" si="16"/>
        <v/>
      </c>
      <c r="AX67" s="143" t="str">
        <f t="shared" si="16"/>
        <v/>
      </c>
      <c r="AY67" s="143" t="str">
        <f t="shared" si="14"/>
        <v/>
      </c>
      <c r="AZ67" s="143" t="str">
        <f t="shared" si="14"/>
        <v/>
      </c>
      <c r="BA67" s="143" t="str">
        <f t="shared" si="14"/>
        <v/>
      </c>
      <c r="BB67" s="143" t="str">
        <f t="shared" si="14"/>
        <v/>
      </c>
      <c r="BC67" s="143" t="str">
        <f t="shared" si="14"/>
        <v/>
      </c>
      <c r="BD67" s="143" t="str">
        <f t="shared" si="14"/>
        <v/>
      </c>
      <c r="BF67" s="9">
        <f t="shared" si="10"/>
        <v>2.3424166081449892E-3</v>
      </c>
      <c r="BG67" s="9">
        <f t="shared" si="5"/>
        <v>0.92001202566159479</v>
      </c>
    </row>
    <row r="68" spans="2:59" x14ac:dyDescent="0.35">
      <c r="B68" s="3" t="s">
        <v>145</v>
      </c>
      <c r="D68" s="141">
        <v>667113</v>
      </c>
      <c r="E68" s="141">
        <v>442290</v>
      </c>
      <c r="F68" s="141">
        <v>162064</v>
      </c>
      <c r="G68" s="141">
        <v>31940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1303407</v>
      </c>
      <c r="R68" s="141">
        <v>429177</v>
      </c>
      <c r="S68" s="141">
        <v>280270</v>
      </c>
      <c r="T68" s="141">
        <v>89570</v>
      </c>
      <c r="U68" s="141">
        <v>28422</v>
      </c>
      <c r="V68" s="141"/>
      <c r="W68" s="141"/>
      <c r="X68" s="141"/>
      <c r="Y68" s="141"/>
      <c r="Z68" s="141"/>
      <c r="AA68" s="141"/>
      <c r="AB68" s="141"/>
      <c r="AC68" s="141"/>
      <c r="AD68" s="141">
        <f t="shared" si="1"/>
        <v>827439</v>
      </c>
      <c r="AF68" s="2">
        <f t="shared" si="15"/>
        <v>0.6433347873598626</v>
      </c>
      <c r="AG68" s="2">
        <f t="shared" si="15"/>
        <v>0.63367926021388676</v>
      </c>
      <c r="AH68" s="2">
        <f t="shared" si="15"/>
        <v>0.552682890709843</v>
      </c>
      <c r="AI68" s="2">
        <f t="shared" si="15"/>
        <v>0.8898559799624296</v>
      </c>
      <c r="AJ68" s="2" t="str">
        <f t="shared" si="15"/>
        <v/>
      </c>
      <c r="AK68" s="2" t="str">
        <f t="shared" si="15"/>
        <v/>
      </c>
      <c r="AL68" s="2" t="str">
        <f t="shared" si="15"/>
        <v/>
      </c>
      <c r="AM68" s="2" t="str">
        <f t="shared" si="13"/>
        <v/>
      </c>
      <c r="AN68" s="2" t="str">
        <f t="shared" si="6"/>
        <v/>
      </c>
      <c r="AO68" s="2" t="str">
        <f t="shared" si="6"/>
        <v/>
      </c>
      <c r="AP68" s="2" t="str">
        <f t="shared" si="6"/>
        <v/>
      </c>
      <c r="AQ68" s="2" t="str">
        <f t="shared" si="6"/>
        <v/>
      </c>
      <c r="AR68" s="2">
        <f t="shared" si="6"/>
        <v>0.6348278012930727</v>
      </c>
      <c r="AT68" s="143">
        <f t="shared" si="11"/>
        <v>-9.6555271459758396E-3</v>
      </c>
      <c r="AU68" s="143">
        <f t="shared" si="12"/>
        <v>-8.0996369504043764E-2</v>
      </c>
      <c r="AV68" s="143">
        <f t="shared" si="16"/>
        <v>0.3371730892525866</v>
      </c>
      <c r="AW68" s="143" t="str">
        <f t="shared" si="16"/>
        <v/>
      </c>
      <c r="AX68" s="143" t="str">
        <f t="shared" si="16"/>
        <v/>
      </c>
      <c r="AY68" s="143" t="str">
        <f t="shared" si="14"/>
        <v/>
      </c>
      <c r="AZ68" s="143" t="str">
        <f t="shared" si="14"/>
        <v/>
      </c>
      <c r="BA68" s="143" t="str">
        <f t="shared" si="14"/>
        <v/>
      </c>
      <c r="BB68" s="143" t="str">
        <f t="shared" si="14"/>
        <v/>
      </c>
      <c r="BC68" s="143" t="str">
        <f t="shared" si="14"/>
        <v/>
      </c>
      <c r="BD68" s="143" t="str">
        <f t="shared" si="14"/>
        <v/>
      </c>
      <c r="BF68" s="9">
        <f t="shared" si="10"/>
        <v>1.3659040049745748E-3</v>
      </c>
      <c r="BG68" s="9">
        <f t="shared" si="5"/>
        <v>0.9213779296665694</v>
      </c>
    </row>
    <row r="69" spans="2:59" x14ac:dyDescent="0.35">
      <c r="B69" s="3" t="s">
        <v>131</v>
      </c>
      <c r="D69" s="141">
        <v>278264</v>
      </c>
      <c r="E69" s="141">
        <v>267657</v>
      </c>
      <c r="F69" s="141">
        <v>285765</v>
      </c>
      <c r="G69" s="141">
        <v>23694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17">+SUM(D69:O69)</f>
        <v>855380</v>
      </c>
      <c r="R69" s="141">
        <v>204839</v>
      </c>
      <c r="S69" s="141">
        <v>197984</v>
      </c>
      <c r="T69" s="141">
        <v>207325</v>
      </c>
      <c r="U69" s="141">
        <v>16712</v>
      </c>
      <c r="V69" s="141"/>
      <c r="W69" s="141"/>
      <c r="X69" s="141"/>
      <c r="Y69" s="141"/>
      <c r="Z69" s="141"/>
      <c r="AA69" s="141"/>
      <c r="AB69" s="141"/>
      <c r="AC69" s="141"/>
      <c r="AD69" s="141">
        <f t="shared" ref="AD69:AD132" si="18">+SUM(R69:AC69)</f>
        <v>626860</v>
      </c>
      <c r="AF69" s="2">
        <f t="shared" si="15"/>
        <v>0.73613187476640884</v>
      </c>
      <c r="AG69" s="2">
        <f t="shared" si="15"/>
        <v>0.7396929652503017</v>
      </c>
      <c r="AH69" s="2">
        <f t="shared" si="15"/>
        <v>0.72550872220180918</v>
      </c>
      <c r="AI69" s="2">
        <f t="shared" si="15"/>
        <v>0.70532624293069979</v>
      </c>
      <c r="AJ69" s="2" t="str">
        <f t="shared" si="15"/>
        <v/>
      </c>
      <c r="AK69" s="2" t="str">
        <f t="shared" si="15"/>
        <v/>
      </c>
      <c r="AL69" s="2" t="str">
        <f t="shared" si="15"/>
        <v/>
      </c>
      <c r="AM69" s="2" t="str">
        <f t="shared" si="13"/>
        <v/>
      </c>
      <c r="AN69" s="2" t="str">
        <f t="shared" si="6"/>
        <v/>
      </c>
      <c r="AO69" s="2" t="str">
        <f t="shared" si="6"/>
        <v/>
      </c>
      <c r="AP69" s="2" t="str">
        <f t="shared" si="6"/>
        <v/>
      </c>
      <c r="AQ69" s="2" t="str">
        <f t="shared" si="6"/>
        <v/>
      </c>
      <c r="AR69" s="2">
        <f t="shared" si="6"/>
        <v>0.73284388225116326</v>
      </c>
      <c r="AT69" s="143">
        <f t="shared" si="11"/>
        <v>3.5610904838928592E-3</v>
      </c>
      <c r="AU69" s="143">
        <f t="shared" si="12"/>
        <v>-1.4184243048492529E-2</v>
      </c>
      <c r="AV69" s="143">
        <f t="shared" si="16"/>
        <v>-2.0182479271109388E-2</v>
      </c>
      <c r="AW69" s="143" t="str">
        <f t="shared" si="16"/>
        <v/>
      </c>
      <c r="AX69" s="143" t="str">
        <f t="shared" si="16"/>
        <v/>
      </c>
      <c r="AY69" s="143" t="str">
        <f t="shared" si="14"/>
        <v/>
      </c>
      <c r="AZ69" s="143" t="str">
        <f t="shared" si="14"/>
        <v/>
      </c>
      <c r="BA69" s="143" t="str">
        <f t="shared" si="14"/>
        <v/>
      </c>
      <c r="BB69" s="143" t="str">
        <f t="shared" si="14"/>
        <v/>
      </c>
      <c r="BC69" s="143" t="str">
        <f t="shared" si="14"/>
        <v/>
      </c>
      <c r="BD69" s="143" t="str">
        <f t="shared" si="14"/>
        <v/>
      </c>
      <c r="BF69" s="9">
        <f t="shared" ref="BF69:BF100" si="19">+AD69/$AD$256</f>
        <v>1.0347960206835332E-3</v>
      </c>
      <c r="BG69" s="9">
        <f t="shared" si="5"/>
        <v>0.92241272568725297</v>
      </c>
    </row>
    <row r="70" spans="2:59" x14ac:dyDescent="0.35">
      <c r="B70" s="3" t="s">
        <v>160</v>
      </c>
      <c r="D70" s="141">
        <v>1086759</v>
      </c>
      <c r="E70" s="141">
        <v>1541359</v>
      </c>
      <c r="F70" s="141">
        <v>1706974</v>
      </c>
      <c r="G70" s="141">
        <v>160295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17"/>
        <v>4495387</v>
      </c>
      <c r="R70" s="141">
        <v>827781</v>
      </c>
      <c r="S70" s="141">
        <v>1186607</v>
      </c>
      <c r="T70" s="141">
        <v>1323626</v>
      </c>
      <c r="U70" s="141">
        <v>122251</v>
      </c>
      <c r="V70" s="141"/>
      <c r="W70" s="141"/>
      <c r="X70" s="141"/>
      <c r="Y70" s="141"/>
      <c r="Z70" s="141"/>
      <c r="AA70" s="141"/>
      <c r="AB70" s="141"/>
      <c r="AC70" s="141"/>
      <c r="AD70" s="141">
        <f t="shared" si="18"/>
        <v>3460265</v>
      </c>
      <c r="AF70" s="2">
        <f t="shared" si="15"/>
        <v>0.76169693556713125</v>
      </c>
      <c r="AG70" s="2">
        <f t="shared" si="15"/>
        <v>0.76984466305383759</v>
      </c>
      <c r="AH70" s="2">
        <f t="shared" si="15"/>
        <v>0.77542247275002429</v>
      </c>
      <c r="AI70" s="2">
        <f t="shared" si="15"/>
        <v>0.76266259084812382</v>
      </c>
      <c r="AJ70" s="2" t="str">
        <f t="shared" si="15"/>
        <v/>
      </c>
      <c r="AK70" s="2" t="str">
        <f t="shared" si="15"/>
        <v/>
      </c>
      <c r="AL70" s="2" t="str">
        <f t="shared" si="15"/>
        <v/>
      </c>
      <c r="AM70" s="2" t="str">
        <f t="shared" si="13"/>
        <v/>
      </c>
      <c r="AN70" s="2" t="str">
        <f t="shared" si="6"/>
        <v/>
      </c>
      <c r="AO70" s="2" t="str">
        <f t="shared" si="6"/>
        <v/>
      </c>
      <c r="AP70" s="2" t="str">
        <f t="shared" si="6"/>
        <v/>
      </c>
      <c r="AQ70" s="2" t="str">
        <f t="shared" si="6"/>
        <v/>
      </c>
      <c r="AR70" s="2">
        <f t="shared" si="6"/>
        <v>0.76973684356875172</v>
      </c>
      <c r="AT70" s="143">
        <f t="shared" si="11"/>
        <v>8.1477274867063354E-3</v>
      </c>
      <c r="AU70" s="143">
        <f t="shared" si="12"/>
        <v>5.5778096961867085E-3</v>
      </c>
      <c r="AV70" s="143">
        <f t="shared" si="16"/>
        <v>-1.2759881901900472E-2</v>
      </c>
      <c r="AW70" s="143" t="str">
        <f t="shared" si="16"/>
        <v/>
      </c>
      <c r="AX70" s="143" t="str">
        <f t="shared" si="16"/>
        <v/>
      </c>
      <c r="AY70" s="143" t="str">
        <f t="shared" si="14"/>
        <v/>
      </c>
      <c r="AZ70" s="143" t="str">
        <f t="shared" si="14"/>
        <v/>
      </c>
      <c r="BA70" s="143" t="str">
        <f t="shared" si="14"/>
        <v/>
      </c>
      <c r="BB70" s="143" t="str">
        <f t="shared" si="14"/>
        <v/>
      </c>
      <c r="BC70" s="143" t="str">
        <f t="shared" si="14"/>
        <v/>
      </c>
      <c r="BD70" s="143" t="str">
        <f t="shared" si="14"/>
        <v/>
      </c>
      <c r="BF70" s="9">
        <f t="shared" si="19"/>
        <v>5.7120704024989722E-3</v>
      </c>
      <c r="BG70" s="9">
        <f t="shared" ref="BG70:BG133" si="20">+BF70+BG69</f>
        <v>0.92812479608975196</v>
      </c>
    </row>
    <row r="71" spans="2:59" x14ac:dyDescent="0.35">
      <c r="B71" s="3" t="s">
        <v>169</v>
      </c>
      <c r="D71" s="141">
        <v>327743</v>
      </c>
      <c r="E71" s="141">
        <v>287410</v>
      </c>
      <c r="F71" s="141">
        <v>357551</v>
      </c>
      <c r="G71" s="141">
        <v>13428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17"/>
        <v>986132</v>
      </c>
      <c r="R71" s="141">
        <v>242170</v>
      </c>
      <c r="S71" s="141">
        <v>209324</v>
      </c>
      <c r="T71" s="141">
        <v>280663</v>
      </c>
      <c r="U71" s="141">
        <v>11413</v>
      </c>
      <c r="V71" s="141"/>
      <c r="W71" s="141"/>
      <c r="X71" s="141"/>
      <c r="Y71" s="141"/>
      <c r="Z71" s="141"/>
      <c r="AA71" s="141"/>
      <c r="AB71" s="141"/>
      <c r="AC71" s="141"/>
      <c r="AD71" s="141">
        <f t="shared" si="18"/>
        <v>743570</v>
      </c>
      <c r="AF71" s="2">
        <f t="shared" si="15"/>
        <v>0.73890212758167217</v>
      </c>
      <c r="AG71" s="2">
        <f t="shared" si="15"/>
        <v>0.72831147141713926</v>
      </c>
      <c r="AH71" s="2">
        <f t="shared" si="15"/>
        <v>0.78495934845658377</v>
      </c>
      <c r="AI71" s="2">
        <f t="shared" si="15"/>
        <v>0.84994042299672323</v>
      </c>
      <c r="AJ71" s="2" t="str">
        <f t="shared" si="15"/>
        <v/>
      </c>
      <c r="AK71" s="2" t="str">
        <f t="shared" si="15"/>
        <v/>
      </c>
      <c r="AL71" s="2" t="str">
        <f t="shared" si="15"/>
        <v/>
      </c>
      <c r="AM71" s="2" t="str">
        <f t="shared" si="13"/>
        <v/>
      </c>
      <c r="AN71" s="2" t="str">
        <f t="shared" si="6"/>
        <v/>
      </c>
      <c r="AO71" s="2" t="str">
        <f t="shared" si="6"/>
        <v/>
      </c>
      <c r="AP71" s="2" t="str">
        <f t="shared" si="6"/>
        <v/>
      </c>
      <c r="AQ71" s="2" t="str">
        <f t="shared" si="6"/>
        <v/>
      </c>
      <c r="AR71" s="2">
        <f t="shared" si="6"/>
        <v>0.75402684427642552</v>
      </c>
      <c r="AT71" s="143">
        <f t="shared" si="11"/>
        <v>-1.0590656164532919E-2</v>
      </c>
      <c r="AU71" s="143">
        <f t="shared" si="12"/>
        <v>5.6647877039444516E-2</v>
      </c>
      <c r="AV71" s="143">
        <f t="shared" si="16"/>
        <v>6.4981074540139461E-2</v>
      </c>
      <c r="AW71" s="143" t="str">
        <f t="shared" si="16"/>
        <v/>
      </c>
      <c r="AX71" s="143" t="str">
        <f t="shared" si="16"/>
        <v/>
      </c>
      <c r="AY71" s="143" t="str">
        <f t="shared" si="14"/>
        <v/>
      </c>
      <c r="AZ71" s="143" t="str">
        <f t="shared" si="14"/>
        <v/>
      </c>
      <c r="BA71" s="143" t="str">
        <f t="shared" si="14"/>
        <v/>
      </c>
      <c r="BB71" s="143" t="str">
        <f t="shared" si="14"/>
        <v/>
      </c>
      <c r="BC71" s="143" t="str">
        <f t="shared" si="14"/>
        <v/>
      </c>
      <c r="BD71" s="143" t="str">
        <f t="shared" si="14"/>
        <v/>
      </c>
      <c r="BF71" s="9">
        <f t="shared" si="19"/>
        <v>1.2274563333115125E-3</v>
      </c>
      <c r="BG71" s="9">
        <f t="shared" si="20"/>
        <v>0.92935225242306352</v>
      </c>
    </row>
    <row r="72" spans="2:59" x14ac:dyDescent="0.35">
      <c r="B72" s="3" t="s">
        <v>144</v>
      </c>
      <c r="D72" s="141">
        <v>904707</v>
      </c>
      <c r="E72" s="141">
        <v>2157041</v>
      </c>
      <c r="F72" s="141">
        <v>1745406</v>
      </c>
      <c r="G72" s="141">
        <v>77745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17"/>
        <v>4884899</v>
      </c>
      <c r="R72" s="141">
        <v>659837</v>
      </c>
      <c r="S72" s="141">
        <v>1618500</v>
      </c>
      <c r="T72" s="141">
        <v>1265790</v>
      </c>
      <c r="U72" s="141">
        <v>55186</v>
      </c>
      <c r="V72" s="141"/>
      <c r="W72" s="141"/>
      <c r="X72" s="141"/>
      <c r="Y72" s="141"/>
      <c r="Z72" s="141"/>
      <c r="AA72" s="141"/>
      <c r="AB72" s="141"/>
      <c r="AC72" s="141"/>
      <c r="AD72" s="141">
        <f t="shared" si="18"/>
        <v>3599313</v>
      </c>
      <c r="AF72" s="2">
        <f t="shared" si="15"/>
        <v>0.72933778560351581</v>
      </c>
      <c r="AG72" s="2">
        <f t="shared" si="15"/>
        <v>0.75033344289700565</v>
      </c>
      <c r="AH72" s="2">
        <f t="shared" si="15"/>
        <v>0.72521235746869206</v>
      </c>
      <c r="AI72" s="2">
        <f t="shared" si="15"/>
        <v>0.7098334298025597</v>
      </c>
      <c r="AJ72" s="2" t="str">
        <f t="shared" si="15"/>
        <v/>
      </c>
      <c r="AK72" s="2" t="str">
        <f t="shared" si="15"/>
        <v/>
      </c>
      <c r="AL72" s="2" t="str">
        <f t="shared" si="15"/>
        <v/>
      </c>
      <c r="AM72" s="2" t="str">
        <f t="shared" si="13"/>
        <v/>
      </c>
      <c r="AN72" s="2" t="str">
        <f t="shared" si="6"/>
        <v/>
      </c>
      <c r="AO72" s="2" t="str">
        <f t="shared" si="6"/>
        <v/>
      </c>
      <c r="AP72" s="2" t="str">
        <f t="shared" si="6"/>
        <v/>
      </c>
      <c r="AQ72" s="2" t="str">
        <f t="shared" si="6"/>
        <v/>
      </c>
      <c r="AR72" s="2">
        <f t="shared" si="6"/>
        <v>0.73682444611444375</v>
      </c>
      <c r="AT72" s="143">
        <f t="shared" si="11"/>
        <v>2.0995657293489844E-2</v>
      </c>
      <c r="AU72" s="143">
        <f t="shared" si="12"/>
        <v>-2.5121085428313594E-2</v>
      </c>
      <c r="AV72" s="143">
        <f t="shared" si="16"/>
        <v>-1.5378927666132358E-2</v>
      </c>
      <c r="AW72" s="143" t="str">
        <f t="shared" si="16"/>
        <v/>
      </c>
      <c r="AX72" s="143" t="str">
        <f t="shared" si="16"/>
        <v/>
      </c>
      <c r="AY72" s="143" t="str">
        <f t="shared" si="14"/>
        <v/>
      </c>
      <c r="AZ72" s="143" t="str">
        <f t="shared" si="14"/>
        <v/>
      </c>
      <c r="BA72" s="143" t="str">
        <f t="shared" si="14"/>
        <v/>
      </c>
      <c r="BB72" s="143" t="str">
        <f t="shared" si="14"/>
        <v/>
      </c>
      <c r="BC72" s="143" t="str">
        <f t="shared" si="14"/>
        <v/>
      </c>
      <c r="BD72" s="143" t="str">
        <f t="shared" si="14"/>
        <v/>
      </c>
      <c r="BF72" s="9">
        <f t="shared" si="19"/>
        <v>5.9416054136402219E-3</v>
      </c>
      <c r="BG72" s="9">
        <f t="shared" si="20"/>
        <v>0.93529385783670371</v>
      </c>
    </row>
    <row r="73" spans="2:59" x14ac:dyDescent="0.35">
      <c r="B73" s="3" t="s">
        <v>146</v>
      </c>
      <c r="D73" s="141">
        <v>162178</v>
      </c>
      <c r="E73" s="141">
        <v>181545</v>
      </c>
      <c r="F73" s="141">
        <v>170451</v>
      </c>
      <c r="G73" s="141">
        <v>36158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17"/>
        <v>550332</v>
      </c>
      <c r="R73" s="141">
        <v>115105</v>
      </c>
      <c r="S73" s="141">
        <v>112945</v>
      </c>
      <c r="T73" s="141">
        <v>120955</v>
      </c>
      <c r="U73" s="141">
        <v>24674</v>
      </c>
      <c r="V73" s="141"/>
      <c r="W73" s="141"/>
      <c r="X73" s="141"/>
      <c r="Y73" s="141"/>
      <c r="Z73" s="141"/>
      <c r="AA73" s="141"/>
      <c r="AB73" s="141"/>
      <c r="AC73" s="141"/>
      <c r="AD73" s="141">
        <f t="shared" si="18"/>
        <v>373679</v>
      </c>
      <c r="AF73" s="2">
        <f t="shared" si="15"/>
        <v>0.70974484825315398</v>
      </c>
      <c r="AG73" s="2">
        <f t="shared" si="15"/>
        <v>0.62213225371120107</v>
      </c>
      <c r="AH73" s="2">
        <f t="shared" si="15"/>
        <v>0.70961742670914219</v>
      </c>
      <c r="AI73" s="2">
        <f t="shared" si="15"/>
        <v>0.68239393771779411</v>
      </c>
      <c r="AJ73" s="2" t="str">
        <f t="shared" si="15"/>
        <v/>
      </c>
      <c r="AK73" s="2" t="str">
        <f t="shared" si="15"/>
        <v/>
      </c>
      <c r="AL73" s="2" t="str">
        <f t="shared" si="15"/>
        <v/>
      </c>
      <c r="AM73" s="2" t="str">
        <f t="shared" si="13"/>
        <v/>
      </c>
      <c r="AN73" s="2" t="str">
        <f t="shared" si="6"/>
        <v/>
      </c>
      <c r="AO73" s="2" t="str">
        <f t="shared" si="6"/>
        <v/>
      </c>
      <c r="AP73" s="2" t="str">
        <f t="shared" si="6"/>
        <v/>
      </c>
      <c r="AQ73" s="2" t="str">
        <f t="shared" si="6"/>
        <v/>
      </c>
      <c r="AR73" s="2">
        <f t="shared" si="6"/>
        <v>0.67900649062747576</v>
      </c>
      <c r="AT73" s="143">
        <f t="shared" si="11"/>
        <v>-8.7612594541952915E-2</v>
      </c>
      <c r="AU73" s="143">
        <f t="shared" si="12"/>
        <v>8.7485172997941119E-2</v>
      </c>
      <c r="AV73" s="143">
        <f t="shared" si="16"/>
        <v>-2.7223488991348077E-2</v>
      </c>
      <c r="AW73" s="143" t="str">
        <f t="shared" si="16"/>
        <v/>
      </c>
      <c r="AX73" s="143" t="str">
        <f t="shared" si="16"/>
        <v/>
      </c>
      <c r="AY73" s="143" t="str">
        <f t="shared" si="14"/>
        <v/>
      </c>
      <c r="AZ73" s="143" t="str">
        <f t="shared" si="14"/>
        <v/>
      </c>
      <c r="BA73" s="143" t="str">
        <f t="shared" si="14"/>
        <v/>
      </c>
      <c r="BB73" s="143" t="str">
        <f t="shared" si="14"/>
        <v/>
      </c>
      <c r="BC73" s="143" t="str">
        <f t="shared" si="14"/>
        <v/>
      </c>
      <c r="BD73" s="143" t="str">
        <f t="shared" si="14"/>
        <v/>
      </c>
      <c r="BF73" s="9">
        <f t="shared" si="19"/>
        <v>6.1685470793000348E-4</v>
      </c>
      <c r="BG73" s="9">
        <f t="shared" si="20"/>
        <v>0.93591071254463376</v>
      </c>
    </row>
    <row r="74" spans="2:59" x14ac:dyDescent="0.35">
      <c r="B74" s="3" t="s">
        <v>252</v>
      </c>
      <c r="D74" s="141">
        <v>430267</v>
      </c>
      <c r="E74" s="141">
        <v>408549</v>
      </c>
      <c r="F74" s="141">
        <v>460155</v>
      </c>
      <c r="G74" s="141">
        <v>7071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17"/>
        <v>1306042</v>
      </c>
      <c r="R74" s="141">
        <v>257954</v>
      </c>
      <c r="S74" s="141">
        <v>253100</v>
      </c>
      <c r="T74" s="141">
        <v>292920</v>
      </c>
      <c r="U74" s="141">
        <v>4515</v>
      </c>
      <c r="V74" s="141"/>
      <c r="W74" s="141"/>
      <c r="X74" s="141"/>
      <c r="Y74" s="141"/>
      <c r="Z74" s="141"/>
      <c r="AA74" s="141"/>
      <c r="AB74" s="141"/>
      <c r="AC74" s="141"/>
      <c r="AD74" s="141">
        <f t="shared" si="18"/>
        <v>808489</v>
      </c>
      <c r="AF74" s="2">
        <f t="shared" si="15"/>
        <v>0.59952076268921395</v>
      </c>
      <c r="AG74" s="2">
        <f t="shared" si="15"/>
        <v>0.61950953251629548</v>
      </c>
      <c r="AH74" s="2">
        <f t="shared" si="15"/>
        <v>0.63656811291847315</v>
      </c>
      <c r="AI74" s="2">
        <f t="shared" si="15"/>
        <v>0.63852354688162916</v>
      </c>
      <c r="AJ74" s="2" t="str">
        <f t="shared" si="15"/>
        <v/>
      </c>
      <c r="AK74" s="2" t="str">
        <f t="shared" si="15"/>
        <v/>
      </c>
      <c r="AL74" s="2" t="str">
        <f t="shared" si="15"/>
        <v/>
      </c>
      <c r="AM74" s="2" t="str">
        <f t="shared" si="13"/>
        <v/>
      </c>
      <c r="AN74" s="2" t="str">
        <f t="shared" si="6"/>
        <v/>
      </c>
      <c r="AO74" s="2" t="str">
        <f t="shared" si="6"/>
        <v/>
      </c>
      <c r="AP74" s="2" t="str">
        <f t="shared" si="6"/>
        <v/>
      </c>
      <c r="AQ74" s="2" t="str">
        <f t="shared" si="6"/>
        <v/>
      </c>
      <c r="AR74" s="2">
        <f t="shared" si="6"/>
        <v>0.61903751946721464</v>
      </c>
      <c r="AT74" s="143">
        <f t="shared" si="11"/>
        <v>1.9988769827081532E-2</v>
      </c>
      <c r="AU74" s="143">
        <f t="shared" si="12"/>
        <v>1.705858040217767E-2</v>
      </c>
      <c r="AV74" s="143">
        <f t="shared" si="16"/>
        <v>1.9554339631560058E-3</v>
      </c>
      <c r="AW74" s="143" t="str">
        <f t="shared" si="16"/>
        <v/>
      </c>
      <c r="AX74" s="143" t="str">
        <f t="shared" si="16"/>
        <v/>
      </c>
      <c r="AY74" s="143" t="str">
        <f t="shared" si="14"/>
        <v/>
      </c>
      <c r="AZ74" s="143" t="str">
        <f t="shared" si="14"/>
        <v/>
      </c>
      <c r="BA74" s="143" t="str">
        <f t="shared" si="14"/>
        <v/>
      </c>
      <c r="BB74" s="143" t="str">
        <f t="shared" si="14"/>
        <v/>
      </c>
      <c r="BC74" s="143" t="str">
        <f t="shared" si="14"/>
        <v/>
      </c>
      <c r="BD74" s="143" t="str">
        <f t="shared" si="14"/>
        <v/>
      </c>
      <c r="BF74" s="9">
        <f t="shared" si="19"/>
        <v>1.3346220846224182E-3</v>
      </c>
      <c r="BG74" s="9">
        <f t="shared" si="20"/>
        <v>0.93724533462925619</v>
      </c>
    </row>
    <row r="75" spans="2:59" x14ac:dyDescent="0.35">
      <c r="B75" s="3" t="s">
        <v>140</v>
      </c>
      <c r="D75" s="141">
        <v>86098</v>
      </c>
      <c r="E75" s="141">
        <v>83408</v>
      </c>
      <c r="F75" s="141">
        <v>120304</v>
      </c>
      <c r="G75" s="141">
        <v>7823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17"/>
        <v>297633</v>
      </c>
      <c r="R75" s="141">
        <v>59099</v>
      </c>
      <c r="S75" s="141">
        <v>64986</v>
      </c>
      <c r="T75" s="141">
        <v>103432</v>
      </c>
      <c r="U75" s="141">
        <v>4837</v>
      </c>
      <c r="V75" s="141"/>
      <c r="W75" s="141"/>
      <c r="X75" s="141"/>
      <c r="Y75" s="141"/>
      <c r="Z75" s="141"/>
      <c r="AA75" s="141"/>
      <c r="AB75" s="141"/>
      <c r="AC75" s="141"/>
      <c r="AD75" s="141">
        <f t="shared" si="18"/>
        <v>232354</v>
      </c>
      <c r="AF75" s="2">
        <f t="shared" si="15"/>
        <v>0.68641548003437947</v>
      </c>
      <c r="AG75" s="2">
        <f t="shared" si="15"/>
        <v>0.77913389602915784</v>
      </c>
      <c r="AH75" s="2">
        <f t="shared" si="15"/>
        <v>0.85975528660726164</v>
      </c>
      <c r="AI75" s="2">
        <f t="shared" si="15"/>
        <v>0.618304998082577</v>
      </c>
      <c r="AJ75" s="2" t="str">
        <f t="shared" si="15"/>
        <v/>
      </c>
      <c r="AK75" s="2" t="str">
        <f t="shared" si="15"/>
        <v/>
      </c>
      <c r="AL75" s="2" t="str">
        <f t="shared" si="15"/>
        <v/>
      </c>
      <c r="AM75" s="2" t="str">
        <f t="shared" si="13"/>
        <v/>
      </c>
      <c r="AN75" s="2" t="str">
        <f t="shared" si="13"/>
        <v/>
      </c>
      <c r="AO75" s="2" t="str">
        <f t="shared" si="13"/>
        <v/>
      </c>
      <c r="AP75" s="2" t="str">
        <f t="shared" si="13"/>
        <v/>
      </c>
      <c r="AQ75" s="2" t="str">
        <f t="shared" si="13"/>
        <v/>
      </c>
      <c r="AR75" s="2">
        <f t="shared" si="13"/>
        <v>0.78067284205716436</v>
      </c>
      <c r="AT75" s="143">
        <f t="shared" si="11"/>
        <v>9.2718415994778369E-2</v>
      </c>
      <c r="AU75" s="143">
        <f t="shared" si="12"/>
        <v>8.0621390578103802E-2</v>
      </c>
      <c r="AV75" s="143">
        <f t="shared" si="16"/>
        <v>-0.24145028852468464</v>
      </c>
      <c r="AW75" s="143" t="str">
        <f t="shared" si="16"/>
        <v/>
      </c>
      <c r="AX75" s="143" t="str">
        <f t="shared" si="16"/>
        <v/>
      </c>
      <c r="AY75" s="143" t="str">
        <f t="shared" si="14"/>
        <v/>
      </c>
      <c r="AZ75" s="143" t="str">
        <f t="shared" si="14"/>
        <v/>
      </c>
      <c r="BA75" s="143" t="str">
        <f t="shared" si="14"/>
        <v/>
      </c>
      <c r="BB75" s="143" t="str">
        <f t="shared" si="14"/>
        <v/>
      </c>
      <c r="BC75" s="143" t="str">
        <f t="shared" si="14"/>
        <v/>
      </c>
      <c r="BD75" s="143" t="str">
        <f t="shared" si="14"/>
        <v/>
      </c>
      <c r="BF75" s="9">
        <f t="shared" si="19"/>
        <v>3.8356091406358938E-4</v>
      </c>
      <c r="BG75" s="9">
        <f t="shared" si="20"/>
        <v>0.93762889554331974</v>
      </c>
    </row>
    <row r="76" spans="2:59" x14ac:dyDescent="0.35">
      <c r="B76" s="3" t="s">
        <v>139</v>
      </c>
      <c r="D76" s="141">
        <v>223955</v>
      </c>
      <c r="E76" s="141">
        <v>196998</v>
      </c>
      <c r="F76" s="141">
        <v>237988</v>
      </c>
      <c r="G76" s="141">
        <v>28558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17"/>
        <v>687499</v>
      </c>
      <c r="R76" s="141">
        <v>160441</v>
      </c>
      <c r="S76" s="141">
        <v>138564</v>
      </c>
      <c r="T76" s="141">
        <v>173913</v>
      </c>
      <c r="U76" s="141">
        <v>19475</v>
      </c>
      <c r="V76" s="141"/>
      <c r="W76" s="141"/>
      <c r="X76" s="141"/>
      <c r="Y76" s="141"/>
      <c r="Z76" s="141"/>
      <c r="AA76" s="141"/>
      <c r="AB76" s="141"/>
      <c r="AC76" s="141"/>
      <c r="AD76" s="141">
        <f t="shared" si="18"/>
        <v>492393</v>
      </c>
      <c r="AF76" s="2">
        <f t="shared" si="15"/>
        <v>0.716398383603849</v>
      </c>
      <c r="AG76" s="2">
        <f t="shared" si="15"/>
        <v>0.70337769926598237</v>
      </c>
      <c r="AH76" s="2">
        <f t="shared" si="15"/>
        <v>0.73076373598668842</v>
      </c>
      <c r="AI76" s="2">
        <f t="shared" si="15"/>
        <v>0.6819455143917641</v>
      </c>
      <c r="AJ76" s="2" t="str">
        <f t="shared" si="15"/>
        <v/>
      </c>
      <c r="AK76" s="2" t="str">
        <f t="shared" si="15"/>
        <v/>
      </c>
      <c r="AL76" s="2" t="str">
        <f t="shared" si="15"/>
        <v/>
      </c>
      <c r="AM76" s="2" t="str">
        <f t="shared" si="13"/>
        <v/>
      </c>
      <c r="AN76" s="2" t="str">
        <f t="shared" si="13"/>
        <v/>
      </c>
      <c r="AO76" s="2" t="str">
        <f t="shared" si="13"/>
        <v/>
      </c>
      <c r="AP76" s="2" t="str">
        <f t="shared" si="13"/>
        <v/>
      </c>
      <c r="AQ76" s="2" t="str">
        <f t="shared" si="13"/>
        <v/>
      </c>
      <c r="AR76" s="2">
        <f t="shared" si="13"/>
        <v>0.71620904175860622</v>
      </c>
      <c r="AT76" s="143">
        <f t="shared" si="11"/>
        <v>-1.3020684337866628E-2</v>
      </c>
      <c r="AU76" s="143">
        <f t="shared" si="12"/>
        <v>2.7386036720706053E-2</v>
      </c>
      <c r="AV76" s="143">
        <f t="shared" si="16"/>
        <v>-4.8818221594924327E-2</v>
      </c>
      <c r="AW76" s="143" t="str">
        <f t="shared" si="16"/>
        <v/>
      </c>
      <c r="AX76" s="143" t="str">
        <f t="shared" si="16"/>
        <v/>
      </c>
      <c r="AY76" s="143" t="str">
        <f t="shared" si="14"/>
        <v/>
      </c>
      <c r="AZ76" s="143" t="str">
        <f t="shared" si="14"/>
        <v/>
      </c>
      <c r="BA76" s="143" t="str">
        <f t="shared" si="14"/>
        <v/>
      </c>
      <c r="BB76" s="143" t="str">
        <f t="shared" si="14"/>
        <v/>
      </c>
      <c r="BC76" s="143" t="str">
        <f t="shared" si="14"/>
        <v/>
      </c>
      <c r="BD76" s="143" t="str">
        <f t="shared" si="14"/>
        <v/>
      </c>
      <c r="BF76" s="9">
        <f t="shared" si="19"/>
        <v>8.1282314553875971E-4</v>
      </c>
      <c r="BG76" s="9">
        <f t="shared" si="20"/>
        <v>0.93844171868885851</v>
      </c>
    </row>
    <row r="77" spans="2:59" x14ac:dyDescent="0.35">
      <c r="B77" s="3" t="s">
        <v>148</v>
      </c>
      <c r="D77" s="141">
        <v>4795092</v>
      </c>
      <c r="E77" s="141">
        <v>4084648</v>
      </c>
      <c r="F77" s="141">
        <v>4783239</v>
      </c>
      <c r="G77" s="141">
        <v>609208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17"/>
        <v>14272187</v>
      </c>
      <c r="R77" s="141">
        <v>4560011</v>
      </c>
      <c r="S77" s="141">
        <v>3819127</v>
      </c>
      <c r="T77" s="141">
        <v>4596463</v>
      </c>
      <c r="U77" s="141">
        <v>585249</v>
      </c>
      <c r="V77" s="141"/>
      <c r="W77" s="141"/>
      <c r="X77" s="141"/>
      <c r="Y77" s="141"/>
      <c r="Z77" s="141"/>
      <c r="AA77" s="141"/>
      <c r="AB77" s="141"/>
      <c r="AC77" s="141"/>
      <c r="AD77" s="141">
        <f t="shared" si="18"/>
        <v>13560850</v>
      </c>
      <c r="AF77" s="2">
        <f t="shared" si="15"/>
        <v>0.95097466325984992</v>
      </c>
      <c r="AG77" s="2">
        <f t="shared" si="15"/>
        <v>0.93499537781468567</v>
      </c>
      <c r="AH77" s="2">
        <f t="shared" si="15"/>
        <v>0.96095198253735592</v>
      </c>
      <c r="AI77" s="2">
        <f t="shared" si="15"/>
        <v>0.96067188874735721</v>
      </c>
      <c r="AJ77" s="2" t="str">
        <f t="shared" si="15"/>
        <v/>
      </c>
      <c r="AK77" s="2" t="str">
        <f t="shared" si="15"/>
        <v/>
      </c>
      <c r="AL77" s="2" t="str">
        <f t="shared" si="15"/>
        <v/>
      </c>
      <c r="AM77" s="2" t="str">
        <f t="shared" si="13"/>
        <v/>
      </c>
      <c r="AN77" s="2" t="str">
        <f t="shared" si="13"/>
        <v/>
      </c>
      <c r="AO77" s="2" t="str">
        <f t="shared" si="13"/>
        <v/>
      </c>
      <c r="AP77" s="2" t="str">
        <f t="shared" si="13"/>
        <v/>
      </c>
      <c r="AQ77" s="2" t="str">
        <f t="shared" si="13"/>
        <v/>
      </c>
      <c r="AR77" s="2">
        <f t="shared" si="13"/>
        <v>0.95015921526252423</v>
      </c>
      <c r="AT77" s="143">
        <f t="shared" si="11"/>
        <v>-1.5979285445164249E-2</v>
      </c>
      <c r="AU77" s="143">
        <f t="shared" si="12"/>
        <v>2.5956604722670251E-2</v>
      </c>
      <c r="AV77" s="143">
        <f t="shared" si="16"/>
        <v>-2.8009378999871437E-4</v>
      </c>
      <c r="AW77" s="143" t="str">
        <f t="shared" si="16"/>
        <v/>
      </c>
      <c r="AX77" s="143" t="str">
        <f t="shared" si="16"/>
        <v/>
      </c>
      <c r="AY77" s="143" t="str">
        <f t="shared" si="14"/>
        <v/>
      </c>
      <c r="AZ77" s="143" t="str">
        <f t="shared" si="14"/>
        <v/>
      </c>
      <c r="BA77" s="143" t="str">
        <f t="shared" si="14"/>
        <v/>
      </c>
      <c r="BB77" s="143" t="str">
        <f t="shared" si="14"/>
        <v/>
      </c>
      <c r="BC77" s="143" t="str">
        <f t="shared" si="14"/>
        <v/>
      </c>
      <c r="BD77" s="143" t="str">
        <f t="shared" si="14"/>
        <v/>
      </c>
      <c r="BF77" s="9">
        <f t="shared" si="19"/>
        <v>2.2385721879026082E-2</v>
      </c>
      <c r="BG77" s="9">
        <f t="shared" si="20"/>
        <v>0.96082744056788461</v>
      </c>
    </row>
    <row r="78" spans="2:59" x14ac:dyDescent="0.35">
      <c r="B78" s="3" t="s">
        <v>143</v>
      </c>
      <c r="D78" s="141">
        <v>212292</v>
      </c>
      <c r="E78" s="141">
        <v>197872</v>
      </c>
      <c r="F78" s="141">
        <v>254636</v>
      </c>
      <c r="G78" s="141">
        <v>13678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17"/>
        <v>678478</v>
      </c>
      <c r="R78" s="141">
        <v>139275</v>
      </c>
      <c r="S78" s="141">
        <v>145662</v>
      </c>
      <c r="T78" s="141">
        <v>204137</v>
      </c>
      <c r="U78" s="141">
        <v>8419</v>
      </c>
      <c r="V78" s="141"/>
      <c r="W78" s="141"/>
      <c r="X78" s="141"/>
      <c r="Y78" s="141"/>
      <c r="Z78" s="141"/>
      <c r="AA78" s="141"/>
      <c r="AB78" s="141"/>
      <c r="AC78" s="141"/>
      <c r="AD78" s="141">
        <f t="shared" si="18"/>
        <v>497493</v>
      </c>
      <c r="AF78" s="2">
        <f t="shared" si="15"/>
        <v>0.65605392572494492</v>
      </c>
      <c r="AG78" s="2">
        <f t="shared" si="15"/>
        <v>0.73614255680439877</v>
      </c>
      <c r="AH78" s="2">
        <f t="shared" si="15"/>
        <v>0.80168161611084054</v>
      </c>
      <c r="AI78" s="2">
        <f t="shared" si="15"/>
        <v>0.61551396402982894</v>
      </c>
      <c r="AJ78" s="2" t="str">
        <f t="shared" si="15"/>
        <v/>
      </c>
      <c r="AK78" s="2" t="str">
        <f t="shared" si="15"/>
        <v/>
      </c>
      <c r="AL78" s="2" t="str">
        <f t="shared" si="15"/>
        <v/>
      </c>
      <c r="AM78" s="2" t="str">
        <f t="shared" si="13"/>
        <v/>
      </c>
      <c r="AN78" s="2" t="str">
        <f t="shared" si="13"/>
        <v/>
      </c>
      <c r="AO78" s="2" t="str">
        <f t="shared" si="13"/>
        <v/>
      </c>
      <c r="AP78" s="2" t="str">
        <f t="shared" si="13"/>
        <v/>
      </c>
      <c r="AQ78" s="2" t="str">
        <f t="shared" si="13"/>
        <v/>
      </c>
      <c r="AR78" s="2">
        <f t="shared" si="13"/>
        <v>0.73324853569312487</v>
      </c>
      <c r="AT78" s="143">
        <f t="shared" si="11"/>
        <v>8.0088631079453854E-2</v>
      </c>
      <c r="AU78" s="143">
        <f t="shared" si="12"/>
        <v>6.5539059306441771E-2</v>
      </c>
      <c r="AV78" s="143">
        <f t="shared" si="16"/>
        <v>-0.1861676520810116</v>
      </c>
      <c r="AW78" s="143" t="str">
        <f t="shared" si="16"/>
        <v/>
      </c>
      <c r="AX78" s="143" t="str">
        <f t="shared" si="16"/>
        <v/>
      </c>
      <c r="AY78" s="143" t="str">
        <f t="shared" si="14"/>
        <v/>
      </c>
      <c r="AZ78" s="143" t="str">
        <f t="shared" si="14"/>
        <v/>
      </c>
      <c r="BA78" s="143" t="str">
        <f t="shared" si="14"/>
        <v/>
      </c>
      <c r="BB78" s="143" t="str">
        <f t="shared" si="14"/>
        <v/>
      </c>
      <c r="BC78" s="143" t="str">
        <f t="shared" si="14"/>
        <v/>
      </c>
      <c r="BD78" s="143" t="str">
        <f t="shared" si="14"/>
        <v/>
      </c>
      <c r="BF78" s="9">
        <f t="shared" si="19"/>
        <v>8.2124202647786257E-4</v>
      </c>
      <c r="BG78" s="9">
        <f t="shared" si="20"/>
        <v>0.96164868259436243</v>
      </c>
    </row>
    <row r="79" spans="2:59" x14ac:dyDescent="0.35">
      <c r="B79" s="3" t="s">
        <v>172</v>
      </c>
      <c r="D79" s="141">
        <v>164086</v>
      </c>
      <c r="E79" s="141">
        <v>169823</v>
      </c>
      <c r="F79" s="141">
        <v>158238</v>
      </c>
      <c r="G79" s="141">
        <v>11772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17"/>
        <v>503919</v>
      </c>
      <c r="R79" s="141">
        <v>124633</v>
      </c>
      <c r="S79" s="141">
        <v>138170</v>
      </c>
      <c r="T79" s="141">
        <v>115305</v>
      </c>
      <c r="U79" s="141">
        <v>9803</v>
      </c>
      <c r="V79" s="141"/>
      <c r="W79" s="141"/>
      <c r="X79" s="141"/>
      <c r="Y79" s="141"/>
      <c r="Z79" s="141"/>
      <c r="AA79" s="141"/>
      <c r="AB79" s="141"/>
      <c r="AC79" s="141"/>
      <c r="AD79" s="141">
        <f t="shared" si="18"/>
        <v>387911</v>
      </c>
      <c r="AF79" s="2">
        <f t="shared" si="15"/>
        <v>0.75955901173774731</v>
      </c>
      <c r="AG79" s="2">
        <f t="shared" si="15"/>
        <v>0.81361181936486815</v>
      </c>
      <c r="AH79" s="2">
        <f t="shared" si="15"/>
        <v>0.72868084783680276</v>
      </c>
      <c r="AI79" s="2">
        <f t="shared" si="15"/>
        <v>0.83273870200475708</v>
      </c>
      <c r="AJ79" s="2" t="str">
        <f t="shared" si="15"/>
        <v/>
      </c>
      <c r="AK79" s="2" t="str">
        <f t="shared" si="15"/>
        <v/>
      </c>
      <c r="AL79" s="2" t="str">
        <f t="shared" si="15"/>
        <v/>
      </c>
      <c r="AM79" s="2" t="str">
        <f t="shared" si="13"/>
        <v/>
      </c>
      <c r="AN79" s="2" t="str">
        <f t="shared" si="13"/>
        <v/>
      </c>
      <c r="AO79" s="2" t="str">
        <f t="shared" si="13"/>
        <v/>
      </c>
      <c r="AP79" s="2" t="str">
        <f t="shared" si="13"/>
        <v/>
      </c>
      <c r="AQ79" s="2" t="str">
        <f t="shared" si="13"/>
        <v/>
      </c>
      <c r="AR79" s="2">
        <f t="shared" si="13"/>
        <v>0.76978839853230385</v>
      </c>
      <c r="AT79" s="143">
        <f t="shared" si="11"/>
        <v>5.4052807627120836E-2</v>
      </c>
      <c r="AU79" s="143">
        <f t="shared" si="12"/>
        <v>-8.4930971528065391E-2</v>
      </c>
      <c r="AV79" s="143">
        <f t="shared" si="16"/>
        <v>0.10405785416795432</v>
      </c>
      <c r="AW79" s="143" t="str">
        <f t="shared" si="16"/>
        <v/>
      </c>
      <c r="AX79" s="143" t="str">
        <f t="shared" si="16"/>
        <v/>
      </c>
      <c r="AY79" s="143" t="str">
        <f t="shared" si="14"/>
        <v/>
      </c>
      <c r="AZ79" s="143" t="str">
        <f t="shared" si="14"/>
        <v/>
      </c>
      <c r="BA79" s="143" t="str">
        <f t="shared" si="14"/>
        <v/>
      </c>
      <c r="BB79" s="143" t="str">
        <f t="shared" si="14"/>
        <v/>
      </c>
      <c r="BC79" s="143" t="str">
        <f t="shared" si="14"/>
        <v/>
      </c>
      <c r="BD79" s="143" t="str">
        <f t="shared" si="14"/>
        <v/>
      </c>
      <c r="BF79" s="9">
        <f t="shared" si="19"/>
        <v>6.4034833803300578E-4</v>
      </c>
      <c r="BG79" s="9">
        <f t="shared" si="20"/>
        <v>0.96228903093239548</v>
      </c>
    </row>
    <row r="80" spans="2:59" x14ac:dyDescent="0.35">
      <c r="B80" s="3" t="s">
        <v>181</v>
      </c>
      <c r="D80" s="141">
        <v>739184</v>
      </c>
      <c r="E80" s="141">
        <v>538310</v>
      </c>
      <c r="F80" s="141">
        <v>393334</v>
      </c>
      <c r="G80" s="141">
        <v>15511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17"/>
        <v>1686339</v>
      </c>
      <c r="R80" s="141">
        <v>564824</v>
      </c>
      <c r="S80" s="141">
        <v>377993</v>
      </c>
      <c r="T80" s="141">
        <v>240175</v>
      </c>
      <c r="U80" s="141">
        <v>10660</v>
      </c>
      <c r="V80" s="141"/>
      <c r="W80" s="141"/>
      <c r="X80" s="141"/>
      <c r="Y80" s="141"/>
      <c r="Z80" s="141"/>
      <c r="AA80" s="141"/>
      <c r="AB80" s="141"/>
      <c r="AC80" s="141"/>
      <c r="AD80" s="141">
        <f t="shared" si="18"/>
        <v>1193652</v>
      </c>
      <c r="AF80" s="2">
        <f t="shared" si="15"/>
        <v>0.7641182709582458</v>
      </c>
      <c r="AG80" s="2">
        <f t="shared" si="15"/>
        <v>0.70218461481302596</v>
      </c>
      <c r="AH80" s="2">
        <f t="shared" si="15"/>
        <v>0.61061337184174269</v>
      </c>
      <c r="AI80" s="2">
        <f t="shared" si="15"/>
        <v>0.68725420669202497</v>
      </c>
      <c r="AJ80" s="2" t="str">
        <f t="shared" si="15"/>
        <v/>
      </c>
      <c r="AK80" s="2" t="str">
        <f t="shared" si="15"/>
        <v/>
      </c>
      <c r="AL80" s="2" t="str">
        <f t="shared" si="15"/>
        <v/>
      </c>
      <c r="AM80" s="2" t="str">
        <f t="shared" si="13"/>
        <v/>
      </c>
      <c r="AN80" s="2" t="str">
        <f t="shared" si="13"/>
        <v/>
      </c>
      <c r="AO80" s="2" t="str">
        <f t="shared" si="13"/>
        <v/>
      </c>
      <c r="AP80" s="2" t="str">
        <f t="shared" si="13"/>
        <v/>
      </c>
      <c r="AQ80" s="2" t="str">
        <f t="shared" si="13"/>
        <v/>
      </c>
      <c r="AR80" s="2">
        <f t="shared" si="13"/>
        <v>0.707836324724744</v>
      </c>
      <c r="AT80" s="143">
        <f t="shared" si="11"/>
        <v>-6.193365614521984E-2</v>
      </c>
      <c r="AU80" s="143">
        <f t="shared" si="12"/>
        <v>-9.1571242971283273E-2</v>
      </c>
      <c r="AV80" s="143">
        <f t="shared" si="16"/>
        <v>7.664083485028228E-2</v>
      </c>
      <c r="AW80" s="143" t="str">
        <f t="shared" si="16"/>
        <v/>
      </c>
      <c r="AX80" s="143" t="str">
        <f t="shared" si="16"/>
        <v/>
      </c>
      <c r="AY80" s="143" t="str">
        <f t="shared" si="14"/>
        <v/>
      </c>
      <c r="AZ80" s="143" t="str">
        <f t="shared" si="14"/>
        <v/>
      </c>
      <c r="BA80" s="143" t="str">
        <f t="shared" si="14"/>
        <v/>
      </c>
      <c r="BB80" s="143" t="str">
        <f t="shared" si="14"/>
        <v/>
      </c>
      <c r="BC80" s="143" t="str">
        <f t="shared" si="14"/>
        <v/>
      </c>
      <c r="BD80" s="143" t="str">
        <f t="shared" si="14"/>
        <v/>
      </c>
      <c r="BF80" s="9">
        <f t="shared" si="19"/>
        <v>1.9704341315141191E-3</v>
      </c>
      <c r="BG80" s="9">
        <f t="shared" si="20"/>
        <v>0.96425946506390958</v>
      </c>
    </row>
    <row r="81" spans="2:59" x14ac:dyDescent="0.35">
      <c r="B81" s="3" t="s">
        <v>158</v>
      </c>
      <c r="D81" s="141">
        <v>375977</v>
      </c>
      <c r="E81" s="141">
        <v>458843</v>
      </c>
      <c r="F81" s="141">
        <v>418321</v>
      </c>
      <c r="G81" s="141">
        <v>49269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17"/>
        <v>1302410</v>
      </c>
      <c r="R81" s="141">
        <v>286929</v>
      </c>
      <c r="S81" s="141">
        <v>397402</v>
      </c>
      <c r="T81" s="141">
        <v>334816</v>
      </c>
      <c r="U81" s="141">
        <v>42066</v>
      </c>
      <c r="V81" s="141"/>
      <c r="W81" s="141"/>
      <c r="X81" s="141"/>
      <c r="Y81" s="141"/>
      <c r="Z81" s="141"/>
      <c r="AA81" s="141"/>
      <c r="AB81" s="141"/>
      <c r="AC81" s="141"/>
      <c r="AD81" s="141">
        <f t="shared" si="18"/>
        <v>1061213</v>
      </c>
      <c r="AF81" s="2">
        <f t="shared" si="15"/>
        <v>0.76315572495126027</v>
      </c>
      <c r="AG81" s="2">
        <f t="shared" si="15"/>
        <v>0.86609581054957796</v>
      </c>
      <c r="AH81" s="2">
        <f t="shared" si="15"/>
        <v>0.80038056898888654</v>
      </c>
      <c r="AI81" s="2">
        <f t="shared" si="15"/>
        <v>0.85380259392315649</v>
      </c>
      <c r="AJ81" s="2" t="str">
        <f t="shared" si="15"/>
        <v/>
      </c>
      <c r="AK81" s="2" t="str">
        <f t="shared" si="15"/>
        <v/>
      </c>
      <c r="AL81" s="2" t="str">
        <f t="shared" si="15"/>
        <v/>
      </c>
      <c r="AM81" s="2" t="str">
        <f t="shared" si="13"/>
        <v/>
      </c>
      <c r="AN81" s="2" t="str">
        <f t="shared" si="13"/>
        <v/>
      </c>
      <c r="AO81" s="2" t="str">
        <f t="shared" si="13"/>
        <v/>
      </c>
      <c r="AP81" s="2" t="str">
        <f t="shared" si="13"/>
        <v/>
      </c>
      <c r="AQ81" s="2" t="str">
        <f t="shared" si="13"/>
        <v/>
      </c>
      <c r="AR81" s="2">
        <f t="shared" si="13"/>
        <v>0.81480716517840002</v>
      </c>
      <c r="AT81" s="143">
        <f t="shared" si="11"/>
        <v>0.10294008559831769</v>
      </c>
      <c r="AU81" s="143">
        <f t="shared" si="12"/>
        <v>-6.5715241560691418E-2</v>
      </c>
      <c r="AV81" s="143">
        <f t="shared" si="16"/>
        <v>5.3422024934269952E-2</v>
      </c>
      <c r="AW81" s="143" t="str">
        <f t="shared" si="16"/>
        <v/>
      </c>
      <c r="AX81" s="143" t="str">
        <f t="shared" si="16"/>
        <v/>
      </c>
      <c r="AY81" s="143" t="str">
        <f t="shared" si="14"/>
        <v/>
      </c>
      <c r="AZ81" s="143" t="str">
        <f t="shared" si="14"/>
        <v/>
      </c>
      <c r="BA81" s="143" t="str">
        <f t="shared" si="14"/>
        <v/>
      </c>
      <c r="BB81" s="143" t="str">
        <f t="shared" si="14"/>
        <v/>
      </c>
      <c r="BC81" s="143" t="str">
        <f t="shared" si="14"/>
        <v/>
      </c>
      <c r="BD81" s="143" t="str">
        <f t="shared" si="14"/>
        <v/>
      </c>
      <c r="BF81" s="9">
        <f t="shared" si="19"/>
        <v>1.7518089996133653E-3</v>
      </c>
      <c r="BG81" s="9">
        <f t="shared" si="20"/>
        <v>0.96601127406352294</v>
      </c>
    </row>
    <row r="82" spans="2:59" x14ac:dyDescent="0.35">
      <c r="B82" s="3" t="s">
        <v>154</v>
      </c>
      <c r="D82" s="141">
        <v>110982</v>
      </c>
      <c r="E82" s="141">
        <v>107329</v>
      </c>
      <c r="F82" s="141">
        <v>90970</v>
      </c>
      <c r="G82" s="141">
        <v>11366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17"/>
        <v>320647</v>
      </c>
      <c r="R82" s="141">
        <v>78986</v>
      </c>
      <c r="S82" s="141">
        <v>87254</v>
      </c>
      <c r="T82" s="141">
        <v>72549</v>
      </c>
      <c r="U82" s="141">
        <v>9304</v>
      </c>
      <c r="V82" s="141"/>
      <c r="W82" s="141"/>
      <c r="X82" s="141"/>
      <c r="Y82" s="141"/>
      <c r="Z82" s="141"/>
      <c r="AA82" s="141"/>
      <c r="AB82" s="141"/>
      <c r="AC82" s="141"/>
      <c r="AD82" s="141">
        <f t="shared" si="18"/>
        <v>248093</v>
      </c>
      <c r="AF82" s="2">
        <f t="shared" si="15"/>
        <v>0.71170099655800034</v>
      </c>
      <c r="AG82" s="2">
        <f t="shared" si="15"/>
        <v>0.81295828713581608</v>
      </c>
      <c r="AH82" s="2">
        <f t="shared" si="15"/>
        <v>0.79750467186984719</v>
      </c>
      <c r="AI82" s="2">
        <f t="shared" si="15"/>
        <v>0.81858173499912024</v>
      </c>
      <c r="AJ82" s="2" t="str">
        <f t="shared" si="15"/>
        <v/>
      </c>
      <c r="AK82" s="2" t="str">
        <f t="shared" si="15"/>
        <v/>
      </c>
      <c r="AL82" s="2" t="str">
        <f t="shared" si="15"/>
        <v/>
      </c>
      <c r="AM82" s="2" t="str">
        <f t="shared" si="13"/>
        <v/>
      </c>
      <c r="AN82" s="2" t="str">
        <f t="shared" si="13"/>
        <v/>
      </c>
      <c r="AO82" s="2" t="str">
        <f t="shared" si="13"/>
        <v/>
      </c>
      <c r="AP82" s="2" t="str">
        <f t="shared" si="13"/>
        <v/>
      </c>
      <c r="AQ82" s="2" t="str">
        <f t="shared" si="13"/>
        <v/>
      </c>
      <c r="AR82" s="2">
        <f t="shared" si="13"/>
        <v>0.77372624724385386</v>
      </c>
      <c r="AT82" s="143">
        <f t="shared" si="11"/>
        <v>0.10125729057781574</v>
      </c>
      <c r="AU82" s="143">
        <f t="shared" si="12"/>
        <v>-1.545361526596889E-2</v>
      </c>
      <c r="AV82" s="143">
        <f t="shared" si="16"/>
        <v>2.1077063129273044E-2</v>
      </c>
      <c r="AW82" s="143" t="str">
        <f t="shared" si="16"/>
        <v/>
      </c>
      <c r="AX82" s="143" t="str">
        <f t="shared" si="16"/>
        <v/>
      </c>
      <c r="AY82" s="143" t="str">
        <f t="shared" si="14"/>
        <v/>
      </c>
      <c r="AZ82" s="143" t="str">
        <f t="shared" si="14"/>
        <v/>
      </c>
      <c r="BA82" s="143" t="str">
        <f t="shared" si="14"/>
        <v/>
      </c>
      <c r="BB82" s="143" t="str">
        <f t="shared" si="14"/>
        <v/>
      </c>
      <c r="BC82" s="143" t="str">
        <f t="shared" si="14"/>
        <v/>
      </c>
      <c r="BD82" s="143" t="str">
        <f t="shared" si="14"/>
        <v/>
      </c>
      <c r="BF82" s="9">
        <f t="shared" si="19"/>
        <v>4.0954224094604821E-4</v>
      </c>
      <c r="BG82" s="9">
        <f t="shared" si="20"/>
        <v>0.96642081630446897</v>
      </c>
    </row>
    <row r="83" spans="2:59" x14ac:dyDescent="0.35">
      <c r="B83" s="3" t="s">
        <v>149</v>
      </c>
      <c r="D83" s="141">
        <v>104384</v>
      </c>
      <c r="E83" s="141">
        <v>113288</v>
      </c>
      <c r="F83" s="141">
        <v>110915</v>
      </c>
      <c r="G83" s="141">
        <v>10136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17"/>
        <v>338723</v>
      </c>
      <c r="R83" s="141">
        <v>82614</v>
      </c>
      <c r="S83" s="141">
        <v>90758</v>
      </c>
      <c r="T83" s="141">
        <v>80186</v>
      </c>
      <c r="U83" s="141">
        <v>8437</v>
      </c>
      <c r="V83" s="141"/>
      <c r="W83" s="141"/>
      <c r="X83" s="141"/>
      <c r="Y83" s="141"/>
      <c r="Z83" s="141"/>
      <c r="AA83" s="141"/>
      <c r="AB83" s="141"/>
      <c r="AC83" s="141"/>
      <c r="AD83" s="141">
        <f t="shared" si="18"/>
        <v>261995</v>
      </c>
      <c r="AF83" s="2">
        <f t="shared" si="15"/>
        <v>0.79144313304721026</v>
      </c>
      <c r="AG83" s="2">
        <f t="shared" si="15"/>
        <v>0.80112633288609558</v>
      </c>
      <c r="AH83" s="2">
        <f t="shared" si="15"/>
        <v>0.72295000676193477</v>
      </c>
      <c r="AI83" s="2">
        <f t="shared" si="15"/>
        <v>0.83237963693764794</v>
      </c>
      <c r="AJ83" s="2" t="str">
        <f t="shared" si="15"/>
        <v/>
      </c>
      <c r="AK83" s="2" t="str">
        <f t="shared" si="15"/>
        <v/>
      </c>
      <c r="AL83" s="2" t="str">
        <f t="shared" si="15"/>
        <v/>
      </c>
      <c r="AM83" s="2" t="str">
        <f t="shared" si="13"/>
        <v/>
      </c>
      <c r="AN83" s="2" t="str">
        <f t="shared" si="13"/>
        <v/>
      </c>
      <c r="AO83" s="2" t="str">
        <f t="shared" si="13"/>
        <v/>
      </c>
      <c r="AP83" s="2" t="str">
        <f t="shared" si="13"/>
        <v/>
      </c>
      <c r="AQ83" s="2" t="str">
        <f t="shared" si="13"/>
        <v/>
      </c>
      <c r="AR83" s="2">
        <f t="shared" si="13"/>
        <v>0.77347862412649859</v>
      </c>
      <c r="AT83" s="143">
        <f t="shared" si="11"/>
        <v>9.6831998388853258E-3</v>
      </c>
      <c r="AU83" s="143">
        <f t="shared" si="12"/>
        <v>-7.8176326124160811E-2</v>
      </c>
      <c r="AV83" s="143">
        <f t="shared" si="16"/>
        <v>0.10942963017571317</v>
      </c>
      <c r="AW83" s="143" t="str">
        <f t="shared" si="16"/>
        <v/>
      </c>
      <c r="AX83" s="143" t="str">
        <f t="shared" si="16"/>
        <v/>
      </c>
      <c r="AY83" s="143" t="str">
        <f t="shared" si="14"/>
        <v/>
      </c>
      <c r="AZ83" s="143" t="str">
        <f t="shared" si="14"/>
        <v/>
      </c>
      <c r="BA83" s="143" t="str">
        <f t="shared" si="14"/>
        <v/>
      </c>
      <c r="BB83" s="143" t="str">
        <f t="shared" si="14"/>
        <v/>
      </c>
      <c r="BC83" s="143" t="str">
        <f t="shared" si="14"/>
        <v/>
      </c>
      <c r="BD83" s="143" t="str">
        <f t="shared" si="14"/>
        <v/>
      </c>
      <c r="BF83" s="9">
        <f t="shared" si="19"/>
        <v>4.3249111992946151E-4</v>
      </c>
      <c r="BG83" s="9">
        <f t="shared" si="20"/>
        <v>0.96685330742439846</v>
      </c>
    </row>
    <row r="84" spans="2:59" x14ac:dyDescent="0.35">
      <c r="B84" s="3" t="s">
        <v>167</v>
      </c>
      <c r="D84" s="141">
        <v>58442</v>
      </c>
      <c r="E84" s="141">
        <v>56300</v>
      </c>
      <c r="F84" s="141">
        <v>74498</v>
      </c>
      <c r="G84" s="141">
        <v>3961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17"/>
        <v>193201</v>
      </c>
      <c r="R84" s="141">
        <v>44832</v>
      </c>
      <c r="S84" s="141">
        <v>46563</v>
      </c>
      <c r="T84" s="141">
        <v>33772</v>
      </c>
      <c r="U84" s="141">
        <v>2905</v>
      </c>
      <c r="V84" s="141"/>
      <c r="W84" s="141"/>
      <c r="X84" s="141"/>
      <c r="Y84" s="141"/>
      <c r="Z84" s="141"/>
      <c r="AA84" s="141"/>
      <c r="AB84" s="141"/>
      <c r="AC84" s="141"/>
      <c r="AD84" s="141">
        <f t="shared" si="18"/>
        <v>128072</v>
      </c>
      <c r="AF84" s="2">
        <f t="shared" si="15"/>
        <v>0.76711953731905136</v>
      </c>
      <c r="AG84" s="2">
        <f t="shared" si="15"/>
        <v>0.82705150976909414</v>
      </c>
      <c r="AH84" s="2">
        <f t="shared" si="15"/>
        <v>0.45332760611023115</v>
      </c>
      <c r="AI84" s="2">
        <f t="shared" si="15"/>
        <v>0.73340065639989904</v>
      </c>
      <c r="AJ84" s="2" t="str">
        <f t="shared" si="15"/>
        <v/>
      </c>
      <c r="AK84" s="2" t="str">
        <f t="shared" si="15"/>
        <v/>
      </c>
      <c r="AL84" s="2" t="str">
        <f t="shared" si="15"/>
        <v/>
      </c>
      <c r="AM84" s="2" t="str">
        <f t="shared" si="13"/>
        <v/>
      </c>
      <c r="AN84" s="2" t="str">
        <f t="shared" si="13"/>
        <v/>
      </c>
      <c r="AO84" s="2" t="str">
        <f t="shared" si="13"/>
        <v/>
      </c>
      <c r="AP84" s="2" t="str">
        <f t="shared" si="13"/>
        <v/>
      </c>
      <c r="AQ84" s="2" t="str">
        <f t="shared" si="13"/>
        <v/>
      </c>
      <c r="AR84" s="2">
        <f t="shared" si="13"/>
        <v>0.66289511959047831</v>
      </c>
      <c r="AT84" s="143">
        <f t="shared" si="11"/>
        <v>5.9931972450042781E-2</v>
      </c>
      <c r="AU84" s="143">
        <f t="shared" si="12"/>
        <v>-0.37372390365886299</v>
      </c>
      <c r="AV84" s="143">
        <f t="shared" si="16"/>
        <v>0.28007305028966789</v>
      </c>
      <c r="AW84" s="143" t="str">
        <f t="shared" si="16"/>
        <v/>
      </c>
      <c r="AX84" s="143" t="str">
        <f t="shared" si="16"/>
        <v/>
      </c>
      <c r="AY84" s="143" t="str">
        <f t="shared" si="14"/>
        <v/>
      </c>
      <c r="AZ84" s="143" t="str">
        <f t="shared" si="14"/>
        <v/>
      </c>
      <c r="BA84" s="143" t="str">
        <f t="shared" si="14"/>
        <v/>
      </c>
      <c r="BB84" s="143" t="str">
        <f t="shared" si="14"/>
        <v/>
      </c>
      <c r="BC84" s="143" t="str">
        <f t="shared" si="14"/>
        <v/>
      </c>
      <c r="BD84" s="143" t="str">
        <f t="shared" si="14"/>
        <v/>
      </c>
      <c r="BF84" s="9">
        <f t="shared" si="19"/>
        <v>2.1141625875152579E-4</v>
      </c>
      <c r="BG84" s="9">
        <f t="shared" si="20"/>
        <v>0.96706472368315</v>
      </c>
    </row>
    <row r="85" spans="2:59" x14ac:dyDescent="0.35">
      <c r="B85" s="3" t="s">
        <v>157</v>
      </c>
      <c r="D85" s="141">
        <v>51664</v>
      </c>
      <c r="E85" s="141">
        <v>49193</v>
      </c>
      <c r="F85" s="141">
        <v>64618</v>
      </c>
      <c r="G85" s="141">
        <v>4869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17"/>
        <v>170344</v>
      </c>
      <c r="R85" s="141">
        <v>42342</v>
      </c>
      <c r="S85" s="141">
        <v>42223</v>
      </c>
      <c r="T85" s="141">
        <v>47207</v>
      </c>
      <c r="U85" s="141">
        <v>3963</v>
      </c>
      <c r="V85" s="141"/>
      <c r="W85" s="141"/>
      <c r="X85" s="141"/>
      <c r="Y85" s="141"/>
      <c r="Z85" s="141"/>
      <c r="AA85" s="141"/>
      <c r="AB85" s="141"/>
      <c r="AC85" s="141"/>
      <c r="AD85" s="141">
        <f t="shared" si="18"/>
        <v>135735</v>
      </c>
      <c r="AF85" s="2">
        <f t="shared" si="15"/>
        <v>0.81956488076803968</v>
      </c>
      <c r="AG85" s="2">
        <f t="shared" si="15"/>
        <v>0.85831317463866807</v>
      </c>
      <c r="AH85" s="2">
        <f t="shared" si="15"/>
        <v>0.73055495372806334</v>
      </c>
      <c r="AI85" s="2">
        <f t="shared" si="15"/>
        <v>0.81392483056069009</v>
      </c>
      <c r="AJ85" s="2" t="str">
        <f t="shared" si="15"/>
        <v/>
      </c>
      <c r="AK85" s="2" t="str">
        <f t="shared" si="15"/>
        <v/>
      </c>
      <c r="AL85" s="2" t="str">
        <f t="shared" si="15"/>
        <v/>
      </c>
      <c r="AM85" s="2" t="str">
        <f t="shared" si="13"/>
        <v/>
      </c>
      <c r="AN85" s="2" t="str">
        <f t="shared" si="13"/>
        <v/>
      </c>
      <c r="AO85" s="2" t="str">
        <f t="shared" si="13"/>
        <v/>
      </c>
      <c r="AP85" s="2" t="str">
        <f t="shared" si="13"/>
        <v/>
      </c>
      <c r="AQ85" s="2" t="str">
        <f t="shared" si="13"/>
        <v/>
      </c>
      <c r="AR85" s="2">
        <f t="shared" si="13"/>
        <v>0.79682877001831587</v>
      </c>
      <c r="AT85" s="143">
        <f t="shared" si="11"/>
        <v>3.8748293870628392E-2</v>
      </c>
      <c r="AU85" s="143">
        <f t="shared" si="12"/>
        <v>-0.12775822091060474</v>
      </c>
      <c r="AV85" s="143">
        <f t="shared" si="16"/>
        <v>8.3369876832626755E-2</v>
      </c>
      <c r="AW85" s="143" t="str">
        <f t="shared" si="16"/>
        <v/>
      </c>
      <c r="AX85" s="143" t="str">
        <f t="shared" si="16"/>
        <v/>
      </c>
      <c r="AY85" s="143" t="str">
        <f t="shared" si="14"/>
        <v/>
      </c>
      <c r="AZ85" s="143" t="str">
        <f t="shared" si="14"/>
        <v/>
      </c>
      <c r="BA85" s="143" t="str">
        <f t="shared" si="14"/>
        <v/>
      </c>
      <c r="BB85" s="143" t="str">
        <f t="shared" si="14"/>
        <v/>
      </c>
      <c r="BC85" s="143" t="str">
        <f t="shared" si="14"/>
        <v/>
      </c>
      <c r="BD85" s="143" t="str">
        <f t="shared" si="14"/>
        <v/>
      </c>
      <c r="BF85" s="9">
        <f t="shared" si="19"/>
        <v>2.2406604005276994E-4</v>
      </c>
      <c r="BG85" s="9">
        <f t="shared" si="20"/>
        <v>0.96728878972320276</v>
      </c>
    </row>
    <row r="86" spans="2:59" x14ac:dyDescent="0.35">
      <c r="B86" s="3" t="s">
        <v>151</v>
      </c>
      <c r="D86" s="141">
        <v>10410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17"/>
        <v>10410</v>
      </c>
      <c r="R86" s="141">
        <v>8540</v>
      </c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>
        <f t="shared" si="18"/>
        <v>8540</v>
      </c>
      <c r="AF86" s="2">
        <f t="shared" si="15"/>
        <v>0.8203650336215178</v>
      </c>
      <c r="AG86" s="2" t="str">
        <f t="shared" si="15"/>
        <v/>
      </c>
      <c r="AH86" s="2" t="str">
        <f t="shared" si="15"/>
        <v/>
      </c>
      <c r="AI86" s="2" t="str">
        <f t="shared" si="15"/>
        <v/>
      </c>
      <c r="AJ86" s="2" t="str">
        <f t="shared" si="15"/>
        <v/>
      </c>
      <c r="AK86" s="2" t="str">
        <f t="shared" si="15"/>
        <v/>
      </c>
      <c r="AL86" s="2" t="str">
        <f t="shared" si="15"/>
        <v/>
      </c>
      <c r="AM86" s="2" t="str">
        <f t="shared" si="13"/>
        <v/>
      </c>
      <c r="AN86" s="2" t="str">
        <f t="shared" si="13"/>
        <v/>
      </c>
      <c r="AO86" s="2" t="str">
        <f t="shared" si="13"/>
        <v/>
      </c>
      <c r="AP86" s="2" t="str">
        <f t="shared" si="13"/>
        <v/>
      </c>
      <c r="AQ86" s="2" t="str">
        <f t="shared" si="13"/>
        <v/>
      </c>
      <c r="AR86" s="2">
        <f t="shared" si="13"/>
        <v>0.8203650336215178</v>
      </c>
      <c r="AT86" s="143" t="str">
        <f t="shared" si="11"/>
        <v/>
      </c>
      <c r="AU86" s="143" t="str">
        <f t="shared" si="12"/>
        <v/>
      </c>
      <c r="AV86" s="143" t="str">
        <f t="shared" si="16"/>
        <v/>
      </c>
      <c r="AW86" s="143" t="str">
        <f t="shared" si="16"/>
        <v/>
      </c>
      <c r="AX86" s="143" t="str">
        <f t="shared" si="16"/>
        <v/>
      </c>
      <c r="AY86" s="143" t="str">
        <f t="shared" si="14"/>
        <v/>
      </c>
      <c r="AZ86" s="143" t="str">
        <f t="shared" si="14"/>
        <v/>
      </c>
      <c r="BA86" s="143" t="str">
        <f t="shared" si="14"/>
        <v/>
      </c>
      <c r="BB86" s="143" t="str">
        <f t="shared" si="14"/>
        <v/>
      </c>
      <c r="BC86" s="143" t="str">
        <f t="shared" si="14"/>
        <v/>
      </c>
      <c r="BD86" s="143" t="str">
        <f t="shared" si="14"/>
        <v/>
      </c>
      <c r="BF86" s="9">
        <f t="shared" si="19"/>
        <v>1.4097498670576162E-5</v>
      </c>
      <c r="BG86" s="9">
        <f t="shared" si="20"/>
        <v>0.9673028872218733</v>
      </c>
    </row>
    <row r="87" spans="2:59" x14ac:dyDescent="0.35">
      <c r="B87" s="3" t="s">
        <v>265</v>
      </c>
      <c r="D87" s="141">
        <v>207216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17"/>
        <v>207216</v>
      </c>
      <c r="R87" s="141">
        <v>138713</v>
      </c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>
        <f t="shared" si="18"/>
        <v>138713</v>
      </c>
      <c r="AF87" s="2">
        <f t="shared" si="15"/>
        <v>0.66941259362211414</v>
      </c>
      <c r="AG87" s="2" t="str">
        <f t="shared" si="15"/>
        <v/>
      </c>
      <c r="AH87" s="2" t="str">
        <f t="shared" si="15"/>
        <v/>
      </c>
      <c r="AI87" s="2" t="str">
        <f t="shared" si="15"/>
        <v/>
      </c>
      <c r="AJ87" s="2" t="str">
        <f t="shared" si="15"/>
        <v/>
      </c>
      <c r="AK87" s="2" t="str">
        <f t="shared" si="15"/>
        <v/>
      </c>
      <c r="AL87" s="2" t="str">
        <f t="shared" si="15"/>
        <v/>
      </c>
      <c r="AM87" s="2" t="str">
        <f t="shared" si="13"/>
        <v/>
      </c>
      <c r="AN87" s="2" t="str">
        <f t="shared" si="13"/>
        <v/>
      </c>
      <c r="AO87" s="2" t="str">
        <f t="shared" si="13"/>
        <v/>
      </c>
      <c r="AP87" s="2" t="str">
        <f t="shared" si="13"/>
        <v/>
      </c>
      <c r="AQ87" s="2" t="str">
        <f t="shared" si="13"/>
        <v/>
      </c>
      <c r="AR87" s="2">
        <f t="shared" si="13"/>
        <v>0.66941259362211414</v>
      </c>
      <c r="AT87" s="143" t="str">
        <f t="shared" si="11"/>
        <v/>
      </c>
      <c r="AU87" s="143" t="str">
        <f t="shared" si="12"/>
        <v/>
      </c>
      <c r="AV87" s="143" t="str">
        <f t="shared" si="16"/>
        <v/>
      </c>
      <c r="AW87" s="143" t="str">
        <f t="shared" si="16"/>
        <v/>
      </c>
      <c r="AX87" s="143" t="str">
        <f t="shared" si="16"/>
        <v/>
      </c>
      <c r="AY87" s="143" t="str">
        <f t="shared" si="14"/>
        <v/>
      </c>
      <c r="AZ87" s="143" t="str">
        <f t="shared" si="14"/>
        <v/>
      </c>
      <c r="BA87" s="143" t="str">
        <f t="shared" si="14"/>
        <v/>
      </c>
      <c r="BB87" s="143" t="str">
        <f t="shared" si="14"/>
        <v/>
      </c>
      <c r="BC87" s="143" t="str">
        <f t="shared" si="14"/>
        <v/>
      </c>
      <c r="BD87" s="143" t="str">
        <f t="shared" si="14"/>
        <v/>
      </c>
      <c r="BF87" s="9">
        <f t="shared" si="19"/>
        <v>2.2898200621681864E-4</v>
      </c>
      <c r="BG87" s="9">
        <f t="shared" si="20"/>
        <v>0.96753186922809009</v>
      </c>
    </row>
    <row r="88" spans="2:59" x14ac:dyDescent="0.35">
      <c r="B88" s="3" t="s">
        <v>183</v>
      </c>
      <c r="D88" s="141">
        <v>206597</v>
      </c>
      <c r="E88" s="141">
        <v>200828</v>
      </c>
      <c r="F88" s="141">
        <v>188648</v>
      </c>
      <c r="G88" s="141">
        <v>4279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17"/>
        <v>600352</v>
      </c>
      <c r="R88" s="141">
        <v>146632</v>
      </c>
      <c r="S88" s="141">
        <v>146577</v>
      </c>
      <c r="T88" s="141">
        <v>140691</v>
      </c>
      <c r="U88" s="141">
        <v>1534</v>
      </c>
      <c r="V88" s="141"/>
      <c r="W88" s="141"/>
      <c r="X88" s="141"/>
      <c r="Y88" s="141"/>
      <c r="Z88" s="141"/>
      <c r="AA88" s="141"/>
      <c r="AB88" s="141"/>
      <c r="AC88" s="141"/>
      <c r="AD88" s="141">
        <f t="shared" si="18"/>
        <v>435434</v>
      </c>
      <c r="AF88" s="2">
        <f t="shared" si="15"/>
        <v>0.70974893149464902</v>
      </c>
      <c r="AG88" s="2">
        <f t="shared" si="15"/>
        <v>0.72986336566614218</v>
      </c>
      <c r="AH88" s="2">
        <f t="shared" si="15"/>
        <v>0.7457858021288325</v>
      </c>
      <c r="AI88" s="2">
        <f t="shared" si="15"/>
        <v>0.35849497546155645</v>
      </c>
      <c r="AJ88" s="2" t="str">
        <f t="shared" si="15"/>
        <v/>
      </c>
      <c r="AK88" s="2" t="str">
        <f t="shared" si="15"/>
        <v/>
      </c>
      <c r="AL88" s="2" t="str">
        <f t="shared" si="15"/>
        <v/>
      </c>
      <c r="AM88" s="2" t="str">
        <f t="shared" si="13"/>
        <v/>
      </c>
      <c r="AN88" s="2" t="str">
        <f t="shared" si="13"/>
        <v/>
      </c>
      <c r="AO88" s="2" t="str">
        <f t="shared" si="13"/>
        <v/>
      </c>
      <c r="AP88" s="2" t="str">
        <f t="shared" si="13"/>
        <v/>
      </c>
      <c r="AQ88" s="2" t="str">
        <f t="shared" si="13"/>
        <v/>
      </c>
      <c r="AR88" s="2">
        <f t="shared" si="13"/>
        <v>0.72529782527583819</v>
      </c>
      <c r="AT88" s="143">
        <f t="shared" si="11"/>
        <v>2.0114434171493167E-2</v>
      </c>
      <c r="AU88" s="143">
        <f t="shared" si="12"/>
        <v>1.5922436462690315E-2</v>
      </c>
      <c r="AV88" s="143">
        <f t="shared" si="16"/>
        <v>-0.38729082666727604</v>
      </c>
      <c r="AW88" s="143" t="str">
        <f t="shared" si="16"/>
        <v/>
      </c>
      <c r="AX88" s="143" t="str">
        <f t="shared" si="16"/>
        <v/>
      </c>
      <c r="AY88" s="143" t="str">
        <f t="shared" si="16"/>
        <v/>
      </c>
      <c r="AZ88" s="143" t="str">
        <f t="shared" si="16"/>
        <v/>
      </c>
      <c r="BA88" s="143" t="str">
        <f t="shared" si="16"/>
        <v/>
      </c>
      <c r="BB88" s="143" t="str">
        <f t="shared" si="16"/>
        <v/>
      </c>
      <c r="BC88" s="143" t="str">
        <f t="shared" si="16"/>
        <v/>
      </c>
      <c r="BD88" s="143" t="str">
        <f t="shared" si="16"/>
        <v/>
      </c>
      <c r="BF88" s="9">
        <f t="shared" si="19"/>
        <v>7.1879745153672833E-4</v>
      </c>
      <c r="BG88" s="9">
        <f t="shared" si="20"/>
        <v>0.96825066667962678</v>
      </c>
    </row>
    <row r="89" spans="2:59" x14ac:dyDescent="0.35">
      <c r="B89" s="3" t="s">
        <v>171</v>
      </c>
      <c r="D89" s="141">
        <v>130312</v>
      </c>
      <c r="E89" s="141">
        <v>104580</v>
      </c>
      <c r="F89" s="141">
        <v>133433</v>
      </c>
      <c r="G89" s="141">
        <v>21784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17"/>
        <v>390109</v>
      </c>
      <c r="R89" s="141">
        <v>86980</v>
      </c>
      <c r="S89" s="141">
        <v>78492</v>
      </c>
      <c r="T89" s="141">
        <v>100914</v>
      </c>
      <c r="U89" s="141">
        <v>16723</v>
      </c>
      <c r="V89" s="141"/>
      <c r="W89" s="141"/>
      <c r="X89" s="141"/>
      <c r="Y89" s="141"/>
      <c r="Z89" s="141"/>
      <c r="AA89" s="141"/>
      <c r="AB89" s="141"/>
      <c r="AC89" s="141"/>
      <c r="AD89" s="141">
        <f t="shared" si="18"/>
        <v>283109</v>
      </c>
      <c r="AF89" s="2">
        <f t="shared" si="15"/>
        <v>0.66747498311744125</v>
      </c>
      <c r="AG89" s="2">
        <f t="shared" si="15"/>
        <v>0.75054503729202526</v>
      </c>
      <c r="AH89" s="2">
        <f t="shared" si="15"/>
        <v>0.75628967346908182</v>
      </c>
      <c r="AI89" s="2">
        <f t="shared" si="15"/>
        <v>0.76767352185089976</v>
      </c>
      <c r="AJ89" s="2" t="str">
        <f t="shared" si="15"/>
        <v/>
      </c>
      <c r="AK89" s="2" t="str">
        <f t="shared" si="15"/>
        <v/>
      </c>
      <c r="AL89" s="2" t="str">
        <f t="shared" si="15"/>
        <v/>
      </c>
      <c r="AM89" s="2" t="str">
        <f t="shared" si="13"/>
        <v/>
      </c>
      <c r="AN89" s="2" t="str">
        <f t="shared" si="13"/>
        <v/>
      </c>
      <c r="AO89" s="2" t="str">
        <f t="shared" si="13"/>
        <v/>
      </c>
      <c r="AP89" s="2" t="str">
        <f t="shared" si="13"/>
        <v/>
      </c>
      <c r="AQ89" s="2" t="str">
        <f t="shared" si="13"/>
        <v/>
      </c>
      <c r="AR89" s="2">
        <f t="shared" si="13"/>
        <v>0.72571768403189874</v>
      </c>
      <c r="AT89" s="143">
        <f t="shared" si="11"/>
        <v>8.3070054174584018E-2</v>
      </c>
      <c r="AU89" s="143">
        <f t="shared" si="12"/>
        <v>5.7446361770565613E-3</v>
      </c>
      <c r="AV89" s="143">
        <f t="shared" ref="AV89:BD117" si="21">+IFERROR(AI89-AH89,"")</f>
        <v>1.138384838181794E-2</v>
      </c>
      <c r="AW89" s="143" t="str">
        <f t="shared" si="21"/>
        <v/>
      </c>
      <c r="AX89" s="143" t="str">
        <f t="shared" si="21"/>
        <v/>
      </c>
      <c r="AY89" s="143" t="str">
        <f t="shared" si="21"/>
        <v/>
      </c>
      <c r="AZ89" s="143" t="str">
        <f t="shared" si="21"/>
        <v/>
      </c>
      <c r="BA89" s="143" t="str">
        <f t="shared" si="21"/>
        <v/>
      </c>
      <c r="BB89" s="143" t="str">
        <f t="shared" si="21"/>
        <v/>
      </c>
      <c r="BC89" s="143" t="str">
        <f t="shared" si="21"/>
        <v/>
      </c>
      <c r="BD89" s="143" t="str">
        <f t="shared" si="21"/>
        <v/>
      </c>
      <c r="BF89" s="9">
        <f t="shared" si="19"/>
        <v>4.6734528701734737E-4</v>
      </c>
      <c r="BG89" s="9">
        <f t="shared" si="20"/>
        <v>0.96871801196664409</v>
      </c>
    </row>
    <row r="90" spans="2:59" x14ac:dyDescent="0.35">
      <c r="B90" s="3" t="s">
        <v>168</v>
      </c>
      <c r="D90" s="141">
        <v>134307</v>
      </c>
      <c r="E90" s="141">
        <v>116548</v>
      </c>
      <c r="F90" s="141">
        <v>122783</v>
      </c>
      <c r="G90" s="141">
        <v>13023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17"/>
        <v>386661</v>
      </c>
      <c r="R90" s="141">
        <v>105440</v>
      </c>
      <c r="S90" s="141">
        <v>87373</v>
      </c>
      <c r="T90" s="141">
        <v>87691</v>
      </c>
      <c r="U90" s="141">
        <v>9611</v>
      </c>
      <c r="V90" s="141"/>
      <c r="W90" s="141"/>
      <c r="X90" s="141"/>
      <c r="Y90" s="141"/>
      <c r="Z90" s="141"/>
      <c r="AA90" s="141"/>
      <c r="AB90" s="141"/>
      <c r="AC90" s="141"/>
      <c r="AD90" s="141">
        <f t="shared" si="18"/>
        <v>290115</v>
      </c>
      <c r="AF90" s="2">
        <f t="shared" si="15"/>
        <v>0.78506704788283554</v>
      </c>
      <c r="AG90" s="2">
        <f t="shared" si="15"/>
        <v>0.74967395407900606</v>
      </c>
      <c r="AH90" s="2">
        <f t="shared" si="15"/>
        <v>0.71419496184325193</v>
      </c>
      <c r="AI90" s="2">
        <f t="shared" si="15"/>
        <v>0.73800199646778775</v>
      </c>
      <c r="AJ90" s="2" t="str">
        <f t="shared" si="15"/>
        <v/>
      </c>
      <c r="AK90" s="2" t="str">
        <f t="shared" si="15"/>
        <v/>
      </c>
      <c r="AL90" s="2" t="str">
        <f t="shared" si="15"/>
        <v/>
      </c>
      <c r="AM90" s="2" t="str">
        <f t="shared" si="13"/>
        <v/>
      </c>
      <c r="AN90" s="2" t="str">
        <f t="shared" si="13"/>
        <v/>
      </c>
      <c r="AO90" s="2" t="str">
        <f t="shared" si="13"/>
        <v/>
      </c>
      <c r="AP90" s="2" t="str">
        <f t="shared" si="13"/>
        <v/>
      </c>
      <c r="AQ90" s="2" t="str">
        <f t="shared" si="13"/>
        <v/>
      </c>
      <c r="AR90" s="2">
        <f t="shared" si="13"/>
        <v>0.75030840969221102</v>
      </c>
      <c r="AT90" s="143">
        <f t="shared" si="11"/>
        <v>-3.539309380382949E-2</v>
      </c>
      <c r="AU90" s="143">
        <f t="shared" si="12"/>
        <v>-3.5478992235754125E-2</v>
      </c>
      <c r="AV90" s="143">
        <f t="shared" si="21"/>
        <v>2.3807034624535817E-2</v>
      </c>
      <c r="AW90" s="143" t="str">
        <f t="shared" si="21"/>
        <v/>
      </c>
      <c r="AX90" s="143" t="str">
        <f t="shared" si="21"/>
        <v/>
      </c>
      <c r="AY90" s="143" t="str">
        <f t="shared" si="21"/>
        <v/>
      </c>
      <c r="AZ90" s="143" t="str">
        <f t="shared" si="21"/>
        <v/>
      </c>
      <c r="BA90" s="143" t="str">
        <f t="shared" si="21"/>
        <v/>
      </c>
      <c r="BB90" s="143" t="str">
        <f t="shared" si="21"/>
        <v/>
      </c>
      <c r="BC90" s="143" t="str">
        <f t="shared" si="21"/>
        <v/>
      </c>
      <c r="BD90" s="143" t="str">
        <f t="shared" si="21"/>
        <v/>
      </c>
      <c r="BF90" s="9">
        <f t="shared" si="19"/>
        <v>4.7891051836231887E-4</v>
      </c>
      <c r="BG90" s="9">
        <f t="shared" si="20"/>
        <v>0.96919692248500644</v>
      </c>
    </row>
    <row r="91" spans="2:59" x14ac:dyDescent="0.35">
      <c r="B91" s="3" t="s">
        <v>177</v>
      </c>
      <c r="D91" s="141">
        <v>117655</v>
      </c>
      <c r="E91" s="141">
        <v>117276</v>
      </c>
      <c r="F91" s="141">
        <v>129108</v>
      </c>
      <c r="G91" s="141">
        <v>20465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17"/>
        <v>384504</v>
      </c>
      <c r="R91" s="141">
        <v>86773</v>
      </c>
      <c r="S91" s="141">
        <v>78333</v>
      </c>
      <c r="T91" s="141">
        <v>93634</v>
      </c>
      <c r="U91" s="141">
        <v>11785</v>
      </c>
      <c r="V91" s="141"/>
      <c r="W91" s="141"/>
      <c r="X91" s="141"/>
      <c r="Y91" s="141"/>
      <c r="Z91" s="141"/>
      <c r="AA91" s="141"/>
      <c r="AB91" s="141"/>
      <c r="AC91" s="141"/>
      <c r="AD91" s="141">
        <f t="shared" si="18"/>
        <v>270525</v>
      </c>
      <c r="AF91" s="2">
        <f t="shared" si="15"/>
        <v>0.73752071735157876</v>
      </c>
      <c r="AG91" s="2">
        <f t="shared" si="15"/>
        <v>0.66793717384631124</v>
      </c>
      <c r="AH91" s="2">
        <f t="shared" si="15"/>
        <v>0.72523778541995854</v>
      </c>
      <c r="AI91" s="2">
        <f t="shared" si="15"/>
        <v>0.57586122648424143</v>
      </c>
      <c r="AJ91" s="2" t="str">
        <f t="shared" si="15"/>
        <v/>
      </c>
      <c r="AK91" s="2" t="str">
        <f t="shared" si="15"/>
        <v/>
      </c>
      <c r="AL91" s="2" t="str">
        <f t="shared" si="15"/>
        <v/>
      </c>
      <c r="AM91" s="2" t="str">
        <f t="shared" si="13"/>
        <v/>
      </c>
      <c r="AN91" s="2" t="str">
        <f t="shared" si="13"/>
        <v/>
      </c>
      <c r="AO91" s="2" t="str">
        <f t="shared" si="13"/>
        <v/>
      </c>
      <c r="AP91" s="2" t="str">
        <f t="shared" si="13"/>
        <v/>
      </c>
      <c r="AQ91" s="2" t="str">
        <f t="shared" si="13"/>
        <v/>
      </c>
      <c r="AR91" s="2">
        <f t="shared" si="13"/>
        <v>0.70356875351101678</v>
      </c>
      <c r="AT91" s="143">
        <f t="shared" si="11"/>
        <v>-6.958354350526752E-2</v>
      </c>
      <c r="AU91" s="143">
        <f t="shared" si="12"/>
        <v>5.7300611573647298E-2</v>
      </c>
      <c r="AV91" s="143">
        <f t="shared" si="21"/>
        <v>-0.14937655893571711</v>
      </c>
      <c r="AW91" s="143" t="str">
        <f t="shared" si="21"/>
        <v/>
      </c>
      <c r="AX91" s="143" t="str">
        <f t="shared" si="21"/>
        <v/>
      </c>
      <c r="AY91" s="143" t="str">
        <f t="shared" si="21"/>
        <v/>
      </c>
      <c r="AZ91" s="143" t="str">
        <f t="shared" si="21"/>
        <v/>
      </c>
      <c r="BA91" s="143" t="str">
        <f t="shared" si="21"/>
        <v/>
      </c>
      <c r="BB91" s="143" t="str">
        <f t="shared" si="21"/>
        <v/>
      </c>
      <c r="BC91" s="143" t="str">
        <f t="shared" si="21"/>
        <v/>
      </c>
      <c r="BD91" s="143" t="str">
        <f t="shared" si="21"/>
        <v/>
      </c>
      <c r="BF91" s="9">
        <f t="shared" si="19"/>
        <v>4.465721109903532E-4</v>
      </c>
      <c r="BG91" s="9">
        <f t="shared" si="20"/>
        <v>0.96964349459599675</v>
      </c>
    </row>
    <row r="92" spans="2:59" x14ac:dyDescent="0.35">
      <c r="B92" s="3" t="s">
        <v>159</v>
      </c>
      <c r="D92" s="141">
        <v>85648</v>
      </c>
      <c r="E92" s="141">
        <v>76816</v>
      </c>
      <c r="F92" s="141">
        <v>117941</v>
      </c>
      <c r="G92" s="141">
        <v>2932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17"/>
        <v>283337</v>
      </c>
      <c r="R92" s="141">
        <v>51766</v>
      </c>
      <c r="S92" s="141">
        <v>52605</v>
      </c>
      <c r="T92" s="141">
        <v>90781</v>
      </c>
      <c r="U92" s="141">
        <v>1839</v>
      </c>
      <c r="V92" s="141"/>
      <c r="W92" s="141"/>
      <c r="X92" s="141"/>
      <c r="Y92" s="141"/>
      <c r="Z92" s="141"/>
      <c r="AA92" s="141"/>
      <c r="AB92" s="141"/>
      <c r="AC92" s="141"/>
      <c r="AD92" s="141">
        <f t="shared" si="18"/>
        <v>196991</v>
      </c>
      <c r="AF92" s="2">
        <f t="shared" si="15"/>
        <v>0.60440407248271999</v>
      </c>
      <c r="AG92" s="2">
        <f t="shared" si="15"/>
        <v>0.68481826702770254</v>
      </c>
      <c r="AH92" s="2">
        <f t="shared" si="15"/>
        <v>0.76971536615765512</v>
      </c>
      <c r="AI92" s="2">
        <f t="shared" si="15"/>
        <v>0.62721691678035474</v>
      </c>
      <c r="AJ92" s="2" t="str">
        <f t="shared" si="15"/>
        <v/>
      </c>
      <c r="AK92" s="2" t="str">
        <f t="shared" si="15"/>
        <v/>
      </c>
      <c r="AL92" s="2" t="str">
        <f t="shared" si="15"/>
        <v/>
      </c>
      <c r="AM92" s="2" t="str">
        <f t="shared" si="13"/>
        <v/>
      </c>
      <c r="AN92" s="2" t="str">
        <f t="shared" si="13"/>
        <v/>
      </c>
      <c r="AO92" s="2" t="str">
        <f t="shared" si="13"/>
        <v/>
      </c>
      <c r="AP92" s="2" t="str">
        <f t="shared" si="13"/>
        <v/>
      </c>
      <c r="AQ92" s="2" t="str">
        <f t="shared" si="13"/>
        <v/>
      </c>
      <c r="AR92" s="2">
        <f t="shared" si="13"/>
        <v>0.6952533555448106</v>
      </c>
      <c r="AT92" s="143">
        <f t="shared" si="11"/>
        <v>8.0414194544982553E-2</v>
      </c>
      <c r="AU92" s="143">
        <f t="shared" si="12"/>
        <v>8.489709912995258E-2</v>
      </c>
      <c r="AV92" s="143">
        <f t="shared" si="21"/>
        <v>-0.14249844937730038</v>
      </c>
      <c r="AW92" s="143" t="str">
        <f t="shared" si="21"/>
        <v/>
      </c>
      <c r="AX92" s="143" t="str">
        <f t="shared" si="21"/>
        <v/>
      </c>
      <c r="AY92" s="143" t="str">
        <f t="shared" si="21"/>
        <v/>
      </c>
      <c r="AZ92" s="143" t="str">
        <f t="shared" si="21"/>
        <v/>
      </c>
      <c r="BA92" s="143" t="str">
        <f t="shared" si="21"/>
        <v/>
      </c>
      <c r="BB92" s="143" t="str">
        <f t="shared" si="21"/>
        <v/>
      </c>
      <c r="BC92" s="143" t="str">
        <f t="shared" si="21"/>
        <v/>
      </c>
      <c r="BD92" s="143" t="str">
        <f t="shared" si="21"/>
        <v/>
      </c>
      <c r="BF92" s="9">
        <f t="shared" si="19"/>
        <v>3.2518505393623755E-4</v>
      </c>
      <c r="BG92" s="9">
        <f t="shared" si="20"/>
        <v>0.96996867964993294</v>
      </c>
    </row>
    <row r="93" spans="2:59" x14ac:dyDescent="0.35">
      <c r="B93" s="3" t="s">
        <v>173</v>
      </c>
      <c r="D93" s="141">
        <v>204226</v>
      </c>
      <c r="E93" s="141">
        <v>213843</v>
      </c>
      <c r="F93" s="141">
        <v>226760</v>
      </c>
      <c r="G93" s="141">
        <v>18574</v>
      </c>
      <c r="H93" s="141"/>
      <c r="I93" s="141"/>
      <c r="J93" s="141"/>
      <c r="K93" s="141"/>
      <c r="L93" s="141"/>
      <c r="M93" s="141"/>
      <c r="N93" s="141"/>
      <c r="O93" s="141"/>
      <c r="P93" s="141">
        <f t="shared" si="17"/>
        <v>663403</v>
      </c>
      <c r="R93" s="141">
        <v>154833</v>
      </c>
      <c r="S93" s="141">
        <v>147041</v>
      </c>
      <c r="T93" s="141">
        <v>171863</v>
      </c>
      <c r="U93" s="141">
        <v>13863</v>
      </c>
      <c r="V93" s="141"/>
      <c r="W93" s="141"/>
      <c r="X93" s="141"/>
      <c r="Y93" s="141"/>
      <c r="Z93" s="141"/>
      <c r="AA93" s="141"/>
      <c r="AB93" s="141"/>
      <c r="AC93" s="141"/>
      <c r="AD93" s="141">
        <f t="shared" si="18"/>
        <v>487600</v>
      </c>
      <c r="AF93" s="2">
        <f t="shared" si="15"/>
        <v>0.75814538795256237</v>
      </c>
      <c r="AG93" s="2">
        <f t="shared" si="15"/>
        <v>0.68761193960054812</v>
      </c>
      <c r="AH93" s="2">
        <f t="shared" si="15"/>
        <v>0.75790703827835593</v>
      </c>
      <c r="AI93" s="2">
        <f t="shared" ref="AI93:AN142" si="22">+IFERROR(U93/G93,"")</f>
        <v>0.74636588780015078</v>
      </c>
      <c r="AJ93" s="2" t="str">
        <f t="shared" si="22"/>
        <v/>
      </c>
      <c r="AK93" s="2" t="str">
        <f t="shared" si="22"/>
        <v/>
      </c>
      <c r="AL93" s="2" t="str">
        <f t="shared" si="22"/>
        <v/>
      </c>
      <c r="AM93" s="2" t="str">
        <f t="shared" si="13"/>
        <v/>
      </c>
      <c r="AN93" s="2" t="str">
        <f t="shared" si="13"/>
        <v/>
      </c>
      <c r="AO93" s="2" t="str">
        <f t="shared" si="13"/>
        <v/>
      </c>
      <c r="AP93" s="2" t="str">
        <f t="shared" si="13"/>
        <v/>
      </c>
      <c r="AQ93" s="2" t="str">
        <f t="shared" si="13"/>
        <v/>
      </c>
      <c r="AR93" s="2">
        <f t="shared" si="13"/>
        <v>0.7349981836078523</v>
      </c>
      <c r="AT93" s="143">
        <f t="shared" si="11"/>
        <v>-7.053344835201425E-2</v>
      </c>
      <c r="AU93" s="143">
        <f t="shared" si="12"/>
        <v>7.029509867780781E-2</v>
      </c>
      <c r="AV93" s="143">
        <f t="shared" si="21"/>
        <v>-1.1541150478205142E-2</v>
      </c>
      <c r="AW93" s="143" t="str">
        <f t="shared" si="21"/>
        <v/>
      </c>
      <c r="AX93" s="143" t="str">
        <f t="shared" si="21"/>
        <v/>
      </c>
      <c r="AY93" s="143" t="str">
        <f t="shared" si="21"/>
        <v/>
      </c>
      <c r="AZ93" s="143" t="str">
        <f t="shared" si="21"/>
        <v/>
      </c>
      <c r="BA93" s="143" t="str">
        <f t="shared" si="21"/>
        <v/>
      </c>
      <c r="BB93" s="143" t="str">
        <f t="shared" si="21"/>
        <v/>
      </c>
      <c r="BC93" s="143" t="str">
        <f t="shared" si="21"/>
        <v/>
      </c>
      <c r="BD93" s="143" t="str">
        <f t="shared" si="21"/>
        <v/>
      </c>
      <c r="BF93" s="9">
        <f t="shared" si="19"/>
        <v>8.0491104821697149E-4</v>
      </c>
      <c r="BG93" s="9">
        <f t="shared" si="20"/>
        <v>0.97077359069814995</v>
      </c>
    </row>
    <row r="94" spans="2:59" x14ac:dyDescent="0.35">
      <c r="B94" s="3" t="s">
        <v>249</v>
      </c>
      <c r="D94" s="141">
        <v>-418228</v>
      </c>
      <c r="E94" s="141">
        <v>-440551</v>
      </c>
      <c r="F94" s="141">
        <v>-509722</v>
      </c>
      <c r="G94" s="141">
        <v>4142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17"/>
        <v>-1364359</v>
      </c>
      <c r="R94" s="141">
        <v>-360646</v>
      </c>
      <c r="S94" s="141">
        <v>-384711</v>
      </c>
      <c r="T94" s="141">
        <v>-457986</v>
      </c>
      <c r="U94" s="141">
        <v>3667</v>
      </c>
      <c r="V94" s="141"/>
      <c r="W94" s="141"/>
      <c r="X94" s="141"/>
      <c r="Y94" s="141"/>
      <c r="Z94" s="141"/>
      <c r="AA94" s="141"/>
      <c r="AB94" s="141"/>
      <c r="AC94" s="141"/>
      <c r="AD94" s="141">
        <f t="shared" si="18"/>
        <v>-1199676</v>
      </c>
      <c r="AF94" s="2">
        <f t="shared" ref="AF94:AM156" si="23">+IFERROR(R94/D94,"")</f>
        <v>0.86231911780177317</v>
      </c>
      <c r="AG94" s="2">
        <f t="shared" si="23"/>
        <v>0.87324963511602516</v>
      </c>
      <c r="AH94" s="2">
        <f t="shared" si="23"/>
        <v>0.89850153613145989</v>
      </c>
      <c r="AI94" s="2">
        <f t="shared" si="22"/>
        <v>0.88532110091743121</v>
      </c>
      <c r="AJ94" s="2" t="str">
        <f t="shared" si="22"/>
        <v/>
      </c>
      <c r="AK94" s="2" t="str">
        <f t="shared" si="22"/>
        <v/>
      </c>
      <c r="AL94" s="2" t="str">
        <f t="shared" si="22"/>
        <v/>
      </c>
      <c r="AM94" s="2" t="str">
        <f t="shared" si="13"/>
        <v/>
      </c>
      <c r="AN94" s="2" t="str">
        <f t="shared" si="13"/>
        <v/>
      </c>
      <c r="AO94" s="2" t="str">
        <f t="shared" si="13"/>
        <v/>
      </c>
      <c r="AP94" s="2" t="str">
        <f t="shared" si="13"/>
        <v/>
      </c>
      <c r="AQ94" s="2" t="str">
        <f t="shared" si="13"/>
        <v/>
      </c>
      <c r="AR94" s="2">
        <f t="shared" si="13"/>
        <v>0.87929643151106118</v>
      </c>
      <c r="AT94" s="143">
        <f t="shared" si="11"/>
        <v>1.0930517314251986E-2</v>
      </c>
      <c r="AU94" s="143">
        <f t="shared" si="12"/>
        <v>2.525190101543473E-2</v>
      </c>
      <c r="AV94" s="143">
        <f t="shared" si="21"/>
        <v>-1.3180435214028674E-2</v>
      </c>
      <c r="AW94" s="143" t="str">
        <f t="shared" si="21"/>
        <v/>
      </c>
      <c r="AX94" s="143" t="str">
        <f t="shared" si="21"/>
        <v/>
      </c>
      <c r="AY94" s="143" t="str">
        <f t="shared" si="21"/>
        <v/>
      </c>
      <c r="AZ94" s="143" t="str">
        <f t="shared" si="21"/>
        <v/>
      </c>
      <c r="BA94" s="143" t="str">
        <f t="shared" si="21"/>
        <v/>
      </c>
      <c r="BB94" s="143" t="str">
        <f t="shared" si="21"/>
        <v/>
      </c>
      <c r="BC94" s="143" t="str">
        <f t="shared" si="21"/>
        <v/>
      </c>
      <c r="BD94" s="143" t="str">
        <f t="shared" si="21"/>
        <v/>
      </c>
      <c r="BF94" s="9">
        <f t="shared" si="19"/>
        <v>-1.980378315588071E-3</v>
      </c>
      <c r="BG94" s="9">
        <f t="shared" si="20"/>
        <v>0.96879321238256189</v>
      </c>
    </row>
    <row r="95" spans="2:59" x14ac:dyDescent="0.35">
      <c r="B95" s="3" t="s">
        <v>219</v>
      </c>
      <c r="D95" s="141">
        <v>229686</v>
      </c>
      <c r="E95" s="141">
        <v>193734</v>
      </c>
      <c r="F95" s="141">
        <v>201336</v>
      </c>
      <c r="G95" s="141">
        <v>20733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17"/>
        <v>645489</v>
      </c>
      <c r="R95" s="141">
        <v>169561</v>
      </c>
      <c r="S95" s="141">
        <v>146247</v>
      </c>
      <c r="T95" s="141">
        <v>153191</v>
      </c>
      <c r="U95" s="141">
        <v>15373</v>
      </c>
      <c r="V95" s="141"/>
      <c r="W95" s="141"/>
      <c r="X95" s="141"/>
      <c r="Y95" s="141"/>
      <c r="Z95" s="141"/>
      <c r="AA95" s="141"/>
      <c r="AB95" s="141"/>
      <c r="AC95" s="141"/>
      <c r="AD95" s="141">
        <f t="shared" si="18"/>
        <v>484372</v>
      </c>
      <c r="AF95" s="2">
        <f t="shared" si="23"/>
        <v>0.73822958299591612</v>
      </c>
      <c r="AG95" s="2">
        <f t="shared" si="23"/>
        <v>0.75488556474341106</v>
      </c>
      <c r="AH95" s="2">
        <f t="shared" si="23"/>
        <v>0.76087237255135698</v>
      </c>
      <c r="AI95" s="2">
        <f t="shared" si="22"/>
        <v>0.7414749433270631</v>
      </c>
      <c r="AJ95" s="2" t="str">
        <f t="shared" si="22"/>
        <v/>
      </c>
      <c r="AK95" s="2" t="str">
        <f t="shared" si="22"/>
        <v/>
      </c>
      <c r="AL95" s="2" t="str">
        <f t="shared" si="22"/>
        <v/>
      </c>
      <c r="AM95" s="2" t="str">
        <f t="shared" si="13"/>
        <v/>
      </c>
      <c r="AN95" s="2" t="str">
        <f t="shared" si="13"/>
        <v/>
      </c>
      <c r="AO95" s="2" t="str">
        <f t="shared" si="13"/>
        <v/>
      </c>
      <c r="AP95" s="2" t="str">
        <f t="shared" si="13"/>
        <v/>
      </c>
      <c r="AQ95" s="2" t="str">
        <f t="shared" si="13"/>
        <v/>
      </c>
      <c r="AR95" s="2">
        <f t="shared" si="13"/>
        <v>0.75039543663795971</v>
      </c>
      <c r="AT95" s="143">
        <f t="shared" si="11"/>
        <v>1.6655981747494941E-2</v>
      </c>
      <c r="AU95" s="143">
        <f t="shared" si="12"/>
        <v>5.9868078079459153E-3</v>
      </c>
      <c r="AV95" s="143">
        <f t="shared" si="21"/>
        <v>-1.9397429224293883E-2</v>
      </c>
      <c r="AW95" s="143" t="str">
        <f t="shared" si="21"/>
        <v/>
      </c>
      <c r="AX95" s="143" t="str">
        <f t="shared" si="21"/>
        <v/>
      </c>
      <c r="AY95" s="143" t="str">
        <f t="shared" si="21"/>
        <v/>
      </c>
      <c r="AZ95" s="143" t="str">
        <f t="shared" si="21"/>
        <v/>
      </c>
      <c r="BA95" s="143" t="str">
        <f t="shared" si="21"/>
        <v/>
      </c>
      <c r="BB95" s="143" t="str">
        <f t="shared" si="21"/>
        <v/>
      </c>
      <c r="BC95" s="143" t="str">
        <f t="shared" si="21"/>
        <v/>
      </c>
      <c r="BD95" s="143" t="str">
        <f t="shared" si="21"/>
        <v/>
      </c>
      <c r="BF95" s="9">
        <f t="shared" si="19"/>
        <v>7.9958239181080989E-4</v>
      </c>
      <c r="BG95" s="9">
        <f t="shared" si="20"/>
        <v>0.96959279477437266</v>
      </c>
    </row>
    <row r="96" spans="2:59" x14ac:dyDescent="0.35">
      <c r="B96" s="3" t="s">
        <v>211</v>
      </c>
      <c r="D96" s="141">
        <v>167097</v>
      </c>
      <c r="E96" s="141">
        <v>185758</v>
      </c>
      <c r="F96" s="141">
        <v>219873</v>
      </c>
      <c r="G96" s="141">
        <v>3727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17"/>
        <v>576455</v>
      </c>
      <c r="R96" s="141">
        <v>123239</v>
      </c>
      <c r="S96" s="141">
        <v>90521</v>
      </c>
      <c r="T96" s="141">
        <v>149200</v>
      </c>
      <c r="U96" s="141">
        <v>3000</v>
      </c>
      <c r="V96" s="141"/>
      <c r="W96" s="141"/>
      <c r="X96" s="141"/>
      <c r="Y96" s="141"/>
      <c r="Z96" s="141"/>
      <c r="AA96" s="141"/>
      <c r="AB96" s="141"/>
      <c r="AC96" s="141"/>
      <c r="AD96" s="141">
        <f t="shared" si="18"/>
        <v>365960</v>
      </c>
      <c r="AF96" s="2">
        <f t="shared" si="23"/>
        <v>0.73752969831894044</v>
      </c>
      <c r="AG96" s="2">
        <f t="shared" si="23"/>
        <v>0.48730606488011285</v>
      </c>
      <c r="AH96" s="2">
        <f t="shared" si="23"/>
        <v>0.67857354018001304</v>
      </c>
      <c r="AI96" s="2">
        <f t="shared" si="22"/>
        <v>0.80493694660584925</v>
      </c>
      <c r="AJ96" s="2" t="str">
        <f t="shared" si="22"/>
        <v/>
      </c>
      <c r="AK96" s="2" t="str">
        <f t="shared" si="22"/>
        <v/>
      </c>
      <c r="AL96" s="2" t="str">
        <f t="shared" si="22"/>
        <v/>
      </c>
      <c r="AM96" s="2" t="str">
        <f t="shared" si="13"/>
        <v/>
      </c>
      <c r="AN96" s="2" t="str">
        <f t="shared" si="13"/>
        <v/>
      </c>
      <c r="AO96" s="2" t="str">
        <f t="shared" si="13"/>
        <v/>
      </c>
      <c r="AP96" s="2" t="str">
        <f t="shared" si="13"/>
        <v/>
      </c>
      <c r="AQ96" s="2" t="str">
        <f t="shared" si="13"/>
        <v/>
      </c>
      <c r="AR96" s="2">
        <f t="shared" si="13"/>
        <v>0.6348457381755731</v>
      </c>
      <c r="AT96" s="143">
        <f t="shared" si="11"/>
        <v>-0.25022363343882759</v>
      </c>
      <c r="AU96" s="143">
        <f t="shared" si="12"/>
        <v>0.19126747529990018</v>
      </c>
      <c r="AV96" s="143">
        <f t="shared" si="21"/>
        <v>0.12636340642583621</v>
      </c>
      <c r="AW96" s="143" t="str">
        <f t="shared" si="21"/>
        <v/>
      </c>
      <c r="AX96" s="143" t="str">
        <f t="shared" si="21"/>
        <v/>
      </c>
      <c r="AY96" s="143" t="str">
        <f t="shared" si="21"/>
        <v/>
      </c>
      <c r="AZ96" s="143" t="str">
        <f t="shared" si="21"/>
        <v/>
      </c>
      <c r="BA96" s="143" t="str">
        <f t="shared" si="21"/>
        <v/>
      </c>
      <c r="BB96" s="143" t="str">
        <f t="shared" si="21"/>
        <v/>
      </c>
      <c r="BC96" s="143" t="str">
        <f t="shared" si="21"/>
        <v/>
      </c>
      <c r="BD96" s="143" t="str">
        <f t="shared" si="21"/>
        <v/>
      </c>
      <c r="BF96" s="9">
        <f t="shared" si="19"/>
        <v>6.0411248401452601E-4</v>
      </c>
      <c r="BG96" s="9">
        <f t="shared" si="20"/>
        <v>0.97019690725838714</v>
      </c>
    </row>
    <row r="97" spans="2:59" x14ac:dyDescent="0.35">
      <c r="B97" s="3" t="s">
        <v>201</v>
      </c>
      <c r="D97" s="141">
        <v>692078</v>
      </c>
      <c r="E97" s="141">
        <v>107948</v>
      </c>
      <c r="F97" s="141">
        <v>675156</v>
      </c>
      <c r="G97" s="141">
        <v>829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17"/>
        <v>1476011</v>
      </c>
      <c r="R97" s="141">
        <v>487800</v>
      </c>
      <c r="S97" s="141">
        <v>93294</v>
      </c>
      <c r="T97" s="141">
        <v>474912</v>
      </c>
      <c r="U97" s="141">
        <v>411</v>
      </c>
      <c r="V97" s="141"/>
      <c r="W97" s="141"/>
      <c r="X97" s="141"/>
      <c r="Y97" s="141"/>
      <c r="Z97" s="141"/>
      <c r="AA97" s="141"/>
      <c r="AB97" s="141"/>
      <c r="AC97" s="141"/>
      <c r="AD97" s="141">
        <f t="shared" si="18"/>
        <v>1056417</v>
      </c>
      <c r="AF97" s="2">
        <f t="shared" si="23"/>
        <v>0.70483384820786099</v>
      </c>
      <c r="AG97" s="2">
        <f t="shared" si="23"/>
        <v>0.86424945344054549</v>
      </c>
      <c r="AH97" s="2">
        <f t="shared" si="23"/>
        <v>0.7034107672893376</v>
      </c>
      <c r="AI97" s="2">
        <f t="shared" si="22"/>
        <v>0.49577804583835949</v>
      </c>
      <c r="AJ97" s="2" t="str">
        <f t="shared" si="22"/>
        <v/>
      </c>
      <c r="AK97" s="2" t="str">
        <f t="shared" si="22"/>
        <v/>
      </c>
      <c r="AL97" s="2" t="str">
        <f t="shared" si="22"/>
        <v/>
      </c>
      <c r="AM97" s="2" t="str">
        <f t="shared" si="13"/>
        <v/>
      </c>
      <c r="AN97" s="2" t="str">
        <f t="shared" si="13"/>
        <v/>
      </c>
      <c r="AO97" s="2" t="str">
        <f t="shared" si="13"/>
        <v/>
      </c>
      <c r="AP97" s="2" t="str">
        <f t="shared" si="13"/>
        <v/>
      </c>
      <c r="AQ97" s="2" t="str">
        <f t="shared" si="13"/>
        <v/>
      </c>
      <c r="AR97" s="2">
        <f t="shared" si="13"/>
        <v>0.71572434080775815</v>
      </c>
      <c r="AT97" s="143">
        <f t="shared" si="11"/>
        <v>0.1594156052326845</v>
      </c>
      <c r="AU97" s="143">
        <f t="shared" si="12"/>
        <v>-0.16083868615120789</v>
      </c>
      <c r="AV97" s="143">
        <f t="shared" si="21"/>
        <v>-0.20763272145097811</v>
      </c>
      <c r="AW97" s="143" t="str">
        <f t="shared" si="21"/>
        <v/>
      </c>
      <c r="AX97" s="143" t="str">
        <f t="shared" si="21"/>
        <v/>
      </c>
      <c r="AY97" s="143" t="str">
        <f t="shared" si="21"/>
        <v/>
      </c>
      <c r="AZ97" s="143" t="str">
        <f t="shared" si="21"/>
        <v/>
      </c>
      <c r="BA97" s="143" t="str">
        <f t="shared" si="21"/>
        <v/>
      </c>
      <c r="BB97" s="143" t="str">
        <f t="shared" si="21"/>
        <v/>
      </c>
      <c r="BC97" s="143" t="str">
        <f t="shared" si="21"/>
        <v/>
      </c>
      <c r="BD97" s="143" t="str">
        <f t="shared" si="21"/>
        <v/>
      </c>
      <c r="BF97" s="9">
        <f t="shared" si="19"/>
        <v>1.7438919500086718E-3</v>
      </c>
      <c r="BG97" s="9">
        <f t="shared" si="20"/>
        <v>0.97194079920839582</v>
      </c>
    </row>
    <row r="98" spans="2:59" x14ac:dyDescent="0.35">
      <c r="B98" s="3" t="s">
        <v>184</v>
      </c>
      <c r="D98" s="141">
        <v>45274</v>
      </c>
      <c r="E98" s="141">
        <v>36128</v>
      </c>
      <c r="F98" s="141">
        <v>48178</v>
      </c>
      <c r="G98" s="141">
        <v>10151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17"/>
        <v>139731</v>
      </c>
      <c r="R98" s="141">
        <v>31970</v>
      </c>
      <c r="S98" s="141">
        <v>24329</v>
      </c>
      <c r="T98" s="141">
        <v>32781</v>
      </c>
      <c r="U98" s="141">
        <v>9305</v>
      </c>
      <c r="V98" s="141"/>
      <c r="W98" s="141"/>
      <c r="X98" s="141"/>
      <c r="Y98" s="141"/>
      <c r="Z98" s="141"/>
      <c r="AA98" s="141"/>
      <c r="AB98" s="141"/>
      <c r="AC98" s="141"/>
      <c r="AD98" s="141">
        <f t="shared" si="18"/>
        <v>98385</v>
      </c>
      <c r="AF98" s="2">
        <f t="shared" si="23"/>
        <v>0.70614480717409556</v>
      </c>
      <c r="AG98" s="2">
        <f t="shared" si="23"/>
        <v>0.67341120460584591</v>
      </c>
      <c r="AH98" s="2">
        <f t="shared" si="23"/>
        <v>0.68041429698202494</v>
      </c>
      <c r="AI98" s="2">
        <f t="shared" si="22"/>
        <v>0.91665845729484785</v>
      </c>
      <c r="AJ98" s="2" t="str">
        <f t="shared" si="22"/>
        <v/>
      </c>
      <c r="AK98" s="2" t="str">
        <f t="shared" si="22"/>
        <v/>
      </c>
      <c r="AL98" s="2" t="str">
        <f t="shared" si="22"/>
        <v/>
      </c>
      <c r="AM98" s="2" t="str">
        <f t="shared" si="13"/>
        <v/>
      </c>
      <c r="AN98" s="2" t="str">
        <f t="shared" si="13"/>
        <v/>
      </c>
      <c r="AO98" s="2" t="str">
        <f t="shared" si="13"/>
        <v/>
      </c>
      <c r="AP98" s="2" t="str">
        <f t="shared" si="13"/>
        <v/>
      </c>
      <c r="AQ98" s="2" t="str">
        <f t="shared" si="13"/>
        <v/>
      </c>
      <c r="AR98" s="2">
        <f t="shared" si="13"/>
        <v>0.70410288339738503</v>
      </c>
      <c r="AT98" s="143">
        <f t="shared" si="11"/>
        <v>-3.2733602568249642E-2</v>
      </c>
      <c r="AU98" s="143">
        <f t="shared" si="12"/>
        <v>7.0030923761790209E-3</v>
      </c>
      <c r="AV98" s="143">
        <f t="shared" si="21"/>
        <v>0.23624416031282292</v>
      </c>
      <c r="AW98" s="143" t="str">
        <f t="shared" si="21"/>
        <v/>
      </c>
      <c r="AX98" s="143" t="str">
        <f t="shared" si="21"/>
        <v/>
      </c>
      <c r="AY98" s="143" t="str">
        <f t="shared" si="21"/>
        <v/>
      </c>
      <c r="AZ98" s="143" t="str">
        <f t="shared" si="21"/>
        <v/>
      </c>
      <c r="BA98" s="143" t="str">
        <f t="shared" si="21"/>
        <v/>
      </c>
      <c r="BB98" s="143" t="str">
        <f t="shared" si="21"/>
        <v/>
      </c>
      <c r="BC98" s="143" t="str">
        <f t="shared" si="21"/>
        <v/>
      </c>
      <c r="BD98" s="143" t="str">
        <f t="shared" si="21"/>
        <v/>
      </c>
      <c r="BF98" s="9">
        <f t="shared" si="19"/>
        <v>1.6241011788110487E-4</v>
      </c>
      <c r="BG98" s="9">
        <f t="shared" si="20"/>
        <v>0.97210320932627692</v>
      </c>
    </row>
    <row r="99" spans="2:59" x14ac:dyDescent="0.35">
      <c r="B99" s="3" t="s">
        <v>161</v>
      </c>
      <c r="D99" s="141">
        <v>504227</v>
      </c>
      <c r="E99" s="141">
        <v>592690</v>
      </c>
      <c r="F99" s="141">
        <v>892117</v>
      </c>
      <c r="G99" s="141">
        <v>115280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17"/>
        <v>2104314</v>
      </c>
      <c r="R99" s="141">
        <v>372314</v>
      </c>
      <c r="S99" s="141">
        <v>437761</v>
      </c>
      <c r="T99" s="141">
        <v>689021</v>
      </c>
      <c r="U99" s="141">
        <v>85523</v>
      </c>
      <c r="V99" s="141"/>
      <c r="W99" s="141"/>
      <c r="X99" s="141"/>
      <c r="Y99" s="141"/>
      <c r="Z99" s="141"/>
      <c r="AA99" s="141"/>
      <c r="AB99" s="141"/>
      <c r="AC99" s="141"/>
      <c r="AD99" s="141">
        <f t="shared" si="18"/>
        <v>1584619</v>
      </c>
      <c r="AF99" s="2">
        <f t="shared" si="23"/>
        <v>0.73838568739873112</v>
      </c>
      <c r="AG99" s="2">
        <f t="shared" si="23"/>
        <v>0.73860028007896206</v>
      </c>
      <c r="AH99" s="2">
        <f t="shared" si="23"/>
        <v>0.77234376208501798</v>
      </c>
      <c r="AI99" s="2">
        <f t="shared" si="22"/>
        <v>0.74187196391394861</v>
      </c>
      <c r="AJ99" s="2" t="str">
        <f t="shared" si="22"/>
        <v/>
      </c>
      <c r="AK99" s="2" t="str">
        <f t="shared" si="22"/>
        <v/>
      </c>
      <c r="AL99" s="2" t="str">
        <f t="shared" si="22"/>
        <v/>
      </c>
      <c r="AM99" s="2" t="str">
        <f t="shared" si="13"/>
        <v/>
      </c>
      <c r="AN99" s="2" t="str">
        <f t="shared" si="13"/>
        <v/>
      </c>
      <c r="AO99" s="2" t="str">
        <f t="shared" si="13"/>
        <v/>
      </c>
      <c r="AP99" s="2" t="str">
        <f t="shared" si="13"/>
        <v/>
      </c>
      <c r="AQ99" s="2" t="str">
        <f t="shared" si="13"/>
        <v/>
      </c>
      <c r="AR99" s="2">
        <f t="shared" si="13"/>
        <v>0.75303353016707586</v>
      </c>
      <c r="AT99" s="143">
        <f t="shared" si="11"/>
        <v>2.1459268023094058E-4</v>
      </c>
      <c r="AU99" s="143">
        <f t="shared" si="12"/>
        <v>3.3743482006055925E-2</v>
      </c>
      <c r="AV99" s="143">
        <f t="shared" si="21"/>
        <v>-3.0471798171069375E-2</v>
      </c>
      <c r="AW99" s="143" t="str">
        <f t="shared" si="21"/>
        <v/>
      </c>
      <c r="AX99" s="143" t="str">
        <f t="shared" si="21"/>
        <v/>
      </c>
      <c r="AY99" s="143" t="str">
        <f t="shared" si="21"/>
        <v/>
      </c>
      <c r="AZ99" s="143" t="str">
        <f t="shared" si="21"/>
        <v/>
      </c>
      <c r="BA99" s="143" t="str">
        <f t="shared" si="21"/>
        <v/>
      </c>
      <c r="BB99" s="143" t="str">
        <f t="shared" si="21"/>
        <v/>
      </c>
      <c r="BC99" s="143" t="str">
        <f t="shared" si="21"/>
        <v/>
      </c>
      <c r="BD99" s="143" t="str">
        <f t="shared" si="21"/>
        <v/>
      </c>
      <c r="BF99" s="9">
        <f t="shared" si="19"/>
        <v>2.6158271950667126E-3</v>
      </c>
      <c r="BG99" s="9">
        <f t="shared" si="20"/>
        <v>0.97471903652134362</v>
      </c>
    </row>
    <row r="100" spans="2:59" x14ac:dyDescent="0.35">
      <c r="B100" s="3" t="s">
        <v>170</v>
      </c>
      <c r="D100" s="141">
        <v>6878</v>
      </c>
      <c r="E100" s="141">
        <v>7685</v>
      </c>
      <c r="F100" s="141">
        <v>7153</v>
      </c>
      <c r="G100" s="141">
        <v>889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17"/>
        <v>22605</v>
      </c>
      <c r="R100" s="141">
        <v>5042</v>
      </c>
      <c r="S100" s="141">
        <v>6004</v>
      </c>
      <c r="T100" s="141">
        <v>4914</v>
      </c>
      <c r="U100" s="141">
        <v>667</v>
      </c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18"/>
        <v>16627</v>
      </c>
      <c r="AF100" s="2">
        <f t="shared" si="23"/>
        <v>0.73306193660947949</v>
      </c>
      <c r="AG100" s="2">
        <f t="shared" si="23"/>
        <v>0.78126219908913463</v>
      </c>
      <c r="AH100" s="2">
        <f t="shared" si="23"/>
        <v>0.68698448203550955</v>
      </c>
      <c r="AI100" s="2">
        <f t="shared" si="22"/>
        <v>0.75028121484814403</v>
      </c>
      <c r="AJ100" s="2" t="str">
        <f t="shared" si="22"/>
        <v/>
      </c>
      <c r="AK100" s="2" t="str">
        <f t="shared" si="22"/>
        <v/>
      </c>
      <c r="AL100" s="2" t="str">
        <f t="shared" si="22"/>
        <v/>
      </c>
      <c r="AM100" s="2" t="str">
        <f t="shared" si="13"/>
        <v/>
      </c>
      <c r="AN100" s="2" t="str">
        <f t="shared" si="13"/>
        <v/>
      </c>
      <c r="AO100" s="2" t="str">
        <f t="shared" si="13"/>
        <v/>
      </c>
      <c r="AP100" s="2" t="str">
        <f t="shared" si="13"/>
        <v/>
      </c>
      <c r="AQ100" s="2" t="str">
        <f t="shared" si="13"/>
        <v/>
      </c>
      <c r="AR100" s="2">
        <f t="shared" si="13"/>
        <v>0.7355452333554523</v>
      </c>
      <c r="AT100" s="143">
        <f t="shared" si="11"/>
        <v>4.8200262479655143E-2</v>
      </c>
      <c r="AU100" s="143">
        <f t="shared" si="12"/>
        <v>-9.4277717053625087E-2</v>
      </c>
      <c r="AV100" s="143">
        <f t="shared" si="21"/>
        <v>6.3296732812634482E-2</v>
      </c>
      <c r="AW100" s="143" t="str">
        <f t="shared" si="21"/>
        <v/>
      </c>
      <c r="AX100" s="143" t="str">
        <f t="shared" si="21"/>
        <v/>
      </c>
      <c r="AY100" s="143" t="str">
        <f t="shared" si="21"/>
        <v/>
      </c>
      <c r="AZ100" s="143" t="str">
        <f t="shared" si="21"/>
        <v/>
      </c>
      <c r="BA100" s="143" t="str">
        <f t="shared" si="21"/>
        <v/>
      </c>
      <c r="BB100" s="143" t="str">
        <f t="shared" si="21"/>
        <v/>
      </c>
      <c r="BC100" s="143" t="str">
        <f t="shared" si="21"/>
        <v/>
      </c>
      <c r="BD100" s="143" t="str">
        <f t="shared" si="21"/>
        <v/>
      </c>
      <c r="BF100" s="9">
        <f t="shared" si="19"/>
        <v>2.7447202622443777E-5</v>
      </c>
      <c r="BG100" s="9">
        <f t="shared" si="20"/>
        <v>0.97474648372396611</v>
      </c>
    </row>
    <row r="101" spans="2:59" x14ac:dyDescent="0.35">
      <c r="B101" s="3" t="s">
        <v>163</v>
      </c>
      <c r="D101" s="141">
        <v>142236</v>
      </c>
      <c r="E101" s="141">
        <v>84267</v>
      </c>
      <c r="F101" s="141">
        <v>155972</v>
      </c>
      <c r="G101" s="141">
        <v>15852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17"/>
        <v>398327</v>
      </c>
      <c r="R101" s="141">
        <v>90390</v>
      </c>
      <c r="S101" s="141">
        <v>71762</v>
      </c>
      <c r="T101" s="141">
        <v>147119</v>
      </c>
      <c r="U101" s="141">
        <v>12994</v>
      </c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18"/>
        <v>322265</v>
      </c>
      <c r="AF101" s="2">
        <f t="shared" si="23"/>
        <v>0.63549312410360248</v>
      </c>
      <c r="AG101" s="2">
        <f t="shared" si="23"/>
        <v>0.85160264397688301</v>
      </c>
      <c r="AH101" s="2">
        <f t="shared" si="23"/>
        <v>0.94323981227399789</v>
      </c>
      <c r="AI101" s="2">
        <f t="shared" si="22"/>
        <v>0.81970729245521068</v>
      </c>
      <c r="AJ101" s="2" t="str">
        <f t="shared" si="22"/>
        <v/>
      </c>
      <c r="AK101" s="2" t="str">
        <f t="shared" si="22"/>
        <v/>
      </c>
      <c r="AL101" s="2" t="str">
        <f t="shared" si="22"/>
        <v/>
      </c>
      <c r="AM101" s="2" t="str">
        <f t="shared" si="13"/>
        <v/>
      </c>
      <c r="AN101" s="2" t="str">
        <f t="shared" si="13"/>
        <v/>
      </c>
      <c r="AO101" s="2" t="str">
        <f t="shared" si="13"/>
        <v/>
      </c>
      <c r="AP101" s="2" t="str">
        <f t="shared" si="13"/>
        <v/>
      </c>
      <c r="AQ101" s="2" t="str">
        <f t="shared" si="13"/>
        <v/>
      </c>
      <c r="AR101" s="2">
        <f t="shared" si="13"/>
        <v>0.8090463363015814</v>
      </c>
      <c r="AT101" s="143">
        <f t="shared" si="11"/>
        <v>0.21610951987328053</v>
      </c>
      <c r="AU101" s="143">
        <f t="shared" si="12"/>
        <v>9.1637168297114879E-2</v>
      </c>
      <c r="AV101" s="143">
        <f t="shared" si="21"/>
        <v>-0.12353251981878721</v>
      </c>
      <c r="AW101" s="143" t="str">
        <f t="shared" si="21"/>
        <v/>
      </c>
      <c r="AX101" s="143" t="str">
        <f t="shared" si="21"/>
        <v/>
      </c>
      <c r="AY101" s="143" t="str">
        <f t="shared" si="21"/>
        <v/>
      </c>
      <c r="AZ101" s="143" t="str">
        <f t="shared" si="21"/>
        <v/>
      </c>
      <c r="BA101" s="143" t="str">
        <f t="shared" si="21"/>
        <v/>
      </c>
      <c r="BB101" s="143" t="str">
        <f t="shared" si="21"/>
        <v/>
      </c>
      <c r="BC101" s="143" t="str">
        <f t="shared" si="21"/>
        <v/>
      </c>
      <c r="BD101" s="143" t="str">
        <f t="shared" si="21"/>
        <v/>
      </c>
      <c r="BF101" s="9">
        <f t="shared" ref="BF101:BF132" si="24">+AD101/$AD$256</f>
        <v>5.3198248349803595E-4</v>
      </c>
      <c r="BG101" s="9">
        <f t="shared" si="20"/>
        <v>0.97527846620746417</v>
      </c>
    </row>
    <row r="102" spans="2:59" x14ac:dyDescent="0.35">
      <c r="B102" s="3" t="s">
        <v>202</v>
      </c>
      <c r="D102" s="141">
        <v>94469</v>
      </c>
      <c r="E102" s="141">
        <v>89727</v>
      </c>
      <c r="F102" s="141">
        <v>166470</v>
      </c>
      <c r="G102" s="141">
        <v>7058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17"/>
        <v>357724</v>
      </c>
      <c r="R102" s="141">
        <v>72397</v>
      </c>
      <c r="S102" s="141">
        <v>56830</v>
      </c>
      <c r="T102" s="141">
        <v>103969</v>
      </c>
      <c r="U102" s="141">
        <v>3236</v>
      </c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18"/>
        <v>236432</v>
      </c>
      <c r="AF102" s="2">
        <f t="shared" si="23"/>
        <v>0.76635721771163023</v>
      </c>
      <c r="AG102" s="2">
        <f t="shared" si="23"/>
        <v>0.63336565359367858</v>
      </c>
      <c r="AH102" s="2">
        <f t="shared" si="23"/>
        <v>0.62455097014477079</v>
      </c>
      <c r="AI102" s="2">
        <f t="shared" si="22"/>
        <v>0.45848682346273734</v>
      </c>
      <c r="AJ102" s="2" t="str">
        <f t="shared" si="22"/>
        <v/>
      </c>
      <c r="AK102" s="2" t="str">
        <f t="shared" si="22"/>
        <v/>
      </c>
      <c r="AL102" s="2" t="str">
        <f t="shared" si="22"/>
        <v/>
      </c>
      <c r="AM102" s="2" t="str">
        <f t="shared" si="13"/>
        <v/>
      </c>
      <c r="AN102" s="2" t="str">
        <f t="shared" si="13"/>
        <v/>
      </c>
      <c r="AO102" s="2" t="str">
        <f t="shared" si="13"/>
        <v/>
      </c>
      <c r="AP102" s="2" t="str">
        <f t="shared" si="13"/>
        <v/>
      </c>
      <c r="AQ102" s="2" t="str">
        <f t="shared" si="13"/>
        <v/>
      </c>
      <c r="AR102" s="2">
        <f t="shared" si="13"/>
        <v>0.66093412798693962</v>
      </c>
      <c r="AT102" s="143">
        <f t="shared" si="11"/>
        <v>-0.13299156411795165</v>
      </c>
      <c r="AU102" s="143">
        <f t="shared" si="12"/>
        <v>-8.8146834489077897E-3</v>
      </c>
      <c r="AV102" s="143">
        <f t="shared" si="21"/>
        <v>-0.16606414668203345</v>
      </c>
      <c r="AW102" s="143" t="str">
        <f t="shared" si="21"/>
        <v/>
      </c>
      <c r="AX102" s="143" t="str">
        <f t="shared" si="21"/>
        <v/>
      </c>
      <c r="AY102" s="143" t="str">
        <f t="shared" si="21"/>
        <v/>
      </c>
      <c r="AZ102" s="143" t="str">
        <f t="shared" si="21"/>
        <v/>
      </c>
      <c r="BA102" s="143" t="str">
        <f t="shared" si="21"/>
        <v/>
      </c>
      <c r="BB102" s="143" t="str">
        <f t="shared" si="21"/>
        <v/>
      </c>
      <c r="BC102" s="143" t="str">
        <f t="shared" si="21"/>
        <v/>
      </c>
      <c r="BD102" s="143" t="str">
        <f t="shared" si="21"/>
        <v/>
      </c>
      <c r="BF102" s="9">
        <f t="shared" si="24"/>
        <v>3.9029271729293478E-4</v>
      </c>
      <c r="BG102" s="9">
        <f t="shared" si="20"/>
        <v>0.97566875892475713</v>
      </c>
    </row>
    <row r="103" spans="2:59" x14ac:dyDescent="0.35">
      <c r="B103" s="3" t="s">
        <v>187</v>
      </c>
      <c r="D103" s="141">
        <v>146330</v>
      </c>
      <c r="E103" s="141">
        <v>170281</v>
      </c>
      <c r="F103" s="141">
        <v>124076</v>
      </c>
      <c r="G103" s="141">
        <v>28007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17"/>
        <v>468694</v>
      </c>
      <c r="R103" s="141">
        <v>116089</v>
      </c>
      <c r="S103" s="141">
        <v>113669</v>
      </c>
      <c r="T103" s="141">
        <v>106793</v>
      </c>
      <c r="U103" s="141">
        <v>27529</v>
      </c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18"/>
        <v>364080</v>
      </c>
      <c r="AF103" s="2">
        <f t="shared" si="23"/>
        <v>0.79333697806328163</v>
      </c>
      <c r="AG103" s="2">
        <f t="shared" si="23"/>
        <v>0.66753777579412854</v>
      </c>
      <c r="AH103" s="2">
        <f t="shared" si="23"/>
        <v>0.86070634127470258</v>
      </c>
      <c r="AI103" s="2">
        <f t="shared" si="22"/>
        <v>0.98293283821901667</v>
      </c>
      <c r="AJ103" s="2" t="str">
        <f t="shared" si="22"/>
        <v/>
      </c>
      <c r="AK103" s="2" t="str">
        <f t="shared" si="22"/>
        <v/>
      </c>
      <c r="AL103" s="2" t="str">
        <f t="shared" si="22"/>
        <v/>
      </c>
      <c r="AM103" s="2" t="str">
        <f t="shared" si="13"/>
        <v/>
      </c>
      <c r="AN103" s="2" t="str">
        <f t="shared" si="13"/>
        <v/>
      </c>
      <c r="AO103" s="2" t="str">
        <f t="shared" si="13"/>
        <v/>
      </c>
      <c r="AP103" s="2" t="str">
        <f t="shared" si="13"/>
        <v/>
      </c>
      <c r="AQ103" s="2" t="str">
        <f t="shared" si="13"/>
        <v/>
      </c>
      <c r="AR103" s="2">
        <f t="shared" si="13"/>
        <v>0.77679680132453155</v>
      </c>
      <c r="AT103" s="143">
        <f t="shared" si="11"/>
        <v>-0.12579920226915309</v>
      </c>
      <c r="AU103" s="143">
        <f t="shared" si="12"/>
        <v>0.19316856548057404</v>
      </c>
      <c r="AV103" s="143">
        <f t="shared" si="21"/>
        <v>0.12222649694431409</v>
      </c>
      <c r="AW103" s="143" t="str">
        <f t="shared" si="21"/>
        <v/>
      </c>
      <c r="AX103" s="143" t="str">
        <f t="shared" si="21"/>
        <v/>
      </c>
      <c r="AY103" s="143" t="str">
        <f t="shared" si="21"/>
        <v/>
      </c>
      <c r="AZ103" s="143" t="str">
        <f t="shared" si="21"/>
        <v/>
      </c>
      <c r="BA103" s="143" t="str">
        <f t="shared" si="21"/>
        <v/>
      </c>
      <c r="BB103" s="143" t="str">
        <f t="shared" si="21"/>
        <v/>
      </c>
      <c r="BC103" s="143" t="str">
        <f t="shared" si="21"/>
        <v/>
      </c>
      <c r="BD103" s="143" t="str">
        <f t="shared" si="21"/>
        <v/>
      </c>
      <c r="BF103" s="9">
        <f t="shared" si="24"/>
        <v>6.010090533938371E-4</v>
      </c>
      <c r="BG103" s="9">
        <f t="shared" si="20"/>
        <v>0.97626976797815102</v>
      </c>
    </row>
    <row r="104" spans="2:59" x14ac:dyDescent="0.35">
      <c r="B104" s="3" t="s">
        <v>155</v>
      </c>
      <c r="D104" s="141">
        <v>79721</v>
      </c>
      <c r="E104" s="141">
        <v>75368</v>
      </c>
      <c r="F104" s="141">
        <v>68375</v>
      </c>
      <c r="G104" s="141">
        <v>5635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17"/>
        <v>229099</v>
      </c>
      <c r="R104" s="141">
        <v>60187</v>
      </c>
      <c r="S104" s="141">
        <v>52371</v>
      </c>
      <c r="T104" s="141">
        <v>48634</v>
      </c>
      <c r="U104" s="141">
        <v>1990</v>
      </c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18"/>
        <v>163182</v>
      </c>
      <c r="AF104" s="2">
        <f t="shared" si="23"/>
        <v>0.75497045947742758</v>
      </c>
      <c r="AG104" s="2">
        <f t="shared" si="23"/>
        <v>0.69487050206984402</v>
      </c>
      <c r="AH104" s="2">
        <f t="shared" si="23"/>
        <v>0.71128336380255941</v>
      </c>
      <c r="AI104" s="2">
        <f t="shared" si="22"/>
        <v>0.35314995563442769</v>
      </c>
      <c r="AJ104" s="2" t="str">
        <f t="shared" si="22"/>
        <v/>
      </c>
      <c r="AK104" s="2" t="str">
        <f t="shared" si="22"/>
        <v/>
      </c>
      <c r="AL104" s="2" t="str">
        <f t="shared" si="22"/>
        <v/>
      </c>
      <c r="AM104" s="2" t="str">
        <f t="shared" si="13"/>
        <v/>
      </c>
      <c r="AN104" s="2" t="str">
        <f t="shared" si="13"/>
        <v/>
      </c>
      <c r="AO104" s="2" t="str">
        <f t="shared" si="13"/>
        <v/>
      </c>
      <c r="AP104" s="2" t="str">
        <f t="shared" si="13"/>
        <v/>
      </c>
      <c r="AQ104" s="2" t="str">
        <f t="shared" si="13"/>
        <v/>
      </c>
      <c r="AR104" s="2">
        <f t="shared" si="13"/>
        <v>0.71227722512974745</v>
      </c>
      <c r="AT104" s="143">
        <f t="shared" si="11"/>
        <v>-6.009995740758356E-2</v>
      </c>
      <c r="AU104" s="143">
        <f t="shared" si="12"/>
        <v>1.6412861732715389E-2</v>
      </c>
      <c r="AV104" s="143">
        <f t="shared" si="21"/>
        <v>-0.35813340816813172</v>
      </c>
      <c r="AW104" s="143" t="str">
        <f t="shared" si="21"/>
        <v/>
      </c>
      <c r="AX104" s="143" t="str">
        <f t="shared" si="21"/>
        <v/>
      </c>
      <c r="AY104" s="143" t="str">
        <f t="shared" si="21"/>
        <v/>
      </c>
      <c r="AZ104" s="143" t="str">
        <f t="shared" si="21"/>
        <v/>
      </c>
      <c r="BA104" s="143" t="str">
        <f t="shared" si="21"/>
        <v/>
      </c>
      <c r="BB104" s="143" t="str">
        <f t="shared" si="21"/>
        <v/>
      </c>
      <c r="BC104" s="143" t="str">
        <f t="shared" si="21"/>
        <v/>
      </c>
      <c r="BD104" s="143" t="str">
        <f t="shared" si="21"/>
        <v/>
      </c>
      <c r="BF104" s="9">
        <f t="shared" si="24"/>
        <v>2.6937447635385937E-4</v>
      </c>
      <c r="BG104" s="9">
        <f t="shared" si="20"/>
        <v>0.9765391424545049</v>
      </c>
    </row>
    <row r="105" spans="2:59" x14ac:dyDescent="0.35">
      <c r="B105" s="3" t="s">
        <v>229</v>
      </c>
      <c r="D105" s="141">
        <v>61564</v>
      </c>
      <c r="E105" s="141">
        <v>36858</v>
      </c>
      <c r="F105" s="141">
        <v>38697</v>
      </c>
      <c r="G105" s="141">
        <v>2986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17"/>
        <v>140105</v>
      </c>
      <c r="R105" s="141">
        <v>50831</v>
      </c>
      <c r="S105" s="141">
        <v>24340</v>
      </c>
      <c r="T105" s="141">
        <v>20613</v>
      </c>
      <c r="U105" s="141">
        <v>2255</v>
      </c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18"/>
        <v>98039</v>
      </c>
      <c r="AF105" s="2">
        <f t="shared" si="23"/>
        <v>0.82566110064323306</v>
      </c>
      <c r="AG105" s="2">
        <f t="shared" si="23"/>
        <v>0.66037223940528511</v>
      </c>
      <c r="AH105" s="2">
        <f t="shared" si="23"/>
        <v>0.53267695170168228</v>
      </c>
      <c r="AI105" s="2">
        <f t="shared" si="22"/>
        <v>0.75519089082384461</v>
      </c>
      <c r="AJ105" s="2" t="str">
        <f t="shared" si="22"/>
        <v/>
      </c>
      <c r="AK105" s="2" t="str">
        <f t="shared" si="22"/>
        <v/>
      </c>
      <c r="AL105" s="2" t="str">
        <f t="shared" si="22"/>
        <v/>
      </c>
      <c r="AM105" s="2" t="str">
        <f t="shared" si="13"/>
        <v/>
      </c>
      <c r="AN105" s="2" t="str">
        <f t="shared" si="13"/>
        <v/>
      </c>
      <c r="AO105" s="2" t="str">
        <f t="shared" si="13"/>
        <v/>
      </c>
      <c r="AP105" s="2" t="str">
        <f t="shared" si="13"/>
        <v/>
      </c>
      <c r="AQ105" s="2" t="str">
        <f t="shared" si="13"/>
        <v/>
      </c>
      <c r="AR105" s="2">
        <f t="shared" si="13"/>
        <v>0.69975375611148782</v>
      </c>
      <c r="AT105" s="143">
        <f t="shared" si="11"/>
        <v>-0.16528886123794795</v>
      </c>
      <c r="AU105" s="143">
        <f t="shared" si="12"/>
        <v>-0.12769528770360283</v>
      </c>
      <c r="AV105" s="143">
        <f t="shared" si="21"/>
        <v>0.22251393912216233</v>
      </c>
      <c r="AW105" s="143" t="str">
        <f t="shared" si="21"/>
        <v/>
      </c>
      <c r="AX105" s="143" t="str">
        <f t="shared" si="21"/>
        <v/>
      </c>
      <c r="AY105" s="143" t="str">
        <f t="shared" si="21"/>
        <v/>
      </c>
      <c r="AZ105" s="143" t="str">
        <f t="shared" si="21"/>
        <v/>
      </c>
      <c r="BA105" s="143" t="str">
        <f t="shared" si="21"/>
        <v/>
      </c>
      <c r="BB105" s="143" t="str">
        <f t="shared" si="21"/>
        <v/>
      </c>
      <c r="BC105" s="143" t="str">
        <f t="shared" si="21"/>
        <v/>
      </c>
      <c r="BD105" s="143" t="str">
        <f t="shared" si="21"/>
        <v/>
      </c>
      <c r="BF105" s="9">
        <f t="shared" si="24"/>
        <v>1.6183895458602064E-4</v>
      </c>
      <c r="BG105" s="9">
        <f t="shared" si="20"/>
        <v>0.9767009814090909</v>
      </c>
    </row>
    <row r="106" spans="2:59" x14ac:dyDescent="0.35">
      <c r="B106" s="3" t="s">
        <v>192</v>
      </c>
      <c r="D106" s="141">
        <v>63183</v>
      </c>
      <c r="E106" s="141">
        <v>144139</v>
      </c>
      <c r="F106" s="141">
        <v>91679</v>
      </c>
      <c r="G106" s="141">
        <v>6478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17"/>
        <v>305479</v>
      </c>
      <c r="R106" s="141">
        <v>44581</v>
      </c>
      <c r="S106" s="141">
        <v>108653</v>
      </c>
      <c r="T106" s="141">
        <v>66303</v>
      </c>
      <c r="U106" s="141">
        <v>5188</v>
      </c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18"/>
        <v>224725</v>
      </c>
      <c r="AF106" s="2">
        <f t="shared" si="23"/>
        <v>0.70558536315148057</v>
      </c>
      <c r="AG106" s="2">
        <f t="shared" si="23"/>
        <v>0.75380708899048832</v>
      </c>
      <c r="AH106" s="2">
        <f t="shared" si="23"/>
        <v>0.72320815017615814</v>
      </c>
      <c r="AI106" s="2">
        <f t="shared" si="22"/>
        <v>0.80086446434084591</v>
      </c>
      <c r="AJ106" s="2" t="str">
        <f t="shared" si="22"/>
        <v/>
      </c>
      <c r="AK106" s="2" t="str">
        <f t="shared" si="22"/>
        <v/>
      </c>
      <c r="AL106" s="2" t="str">
        <f t="shared" si="22"/>
        <v/>
      </c>
      <c r="AM106" s="2" t="str">
        <f t="shared" si="13"/>
        <v/>
      </c>
      <c r="AN106" s="2" t="str">
        <f t="shared" si="13"/>
        <v/>
      </c>
      <c r="AO106" s="2" t="str">
        <f t="shared" si="13"/>
        <v/>
      </c>
      <c r="AP106" s="2" t="str">
        <f t="shared" si="13"/>
        <v/>
      </c>
      <c r="AQ106" s="2" t="str">
        <f t="shared" si="13"/>
        <v/>
      </c>
      <c r="AR106" s="2">
        <f t="shared" si="13"/>
        <v>0.73564794961355773</v>
      </c>
      <c r="AT106" s="143">
        <f t="shared" si="11"/>
        <v>4.8221725839007745E-2</v>
      </c>
      <c r="AU106" s="143">
        <f t="shared" si="12"/>
        <v>-3.0598938814330179E-2</v>
      </c>
      <c r="AV106" s="143">
        <f t="shared" si="21"/>
        <v>7.7656314164687767E-2</v>
      </c>
      <c r="AW106" s="143" t="str">
        <f t="shared" si="21"/>
        <v/>
      </c>
      <c r="AX106" s="143" t="str">
        <f t="shared" si="21"/>
        <v/>
      </c>
      <c r="AY106" s="143" t="str">
        <f t="shared" si="21"/>
        <v/>
      </c>
      <c r="AZ106" s="143" t="str">
        <f t="shared" si="21"/>
        <v/>
      </c>
      <c r="BA106" s="143" t="str">
        <f t="shared" si="21"/>
        <v/>
      </c>
      <c r="BB106" s="143" t="str">
        <f t="shared" si="21"/>
        <v/>
      </c>
      <c r="BC106" s="143" t="str">
        <f t="shared" si="21"/>
        <v/>
      </c>
      <c r="BD106" s="143" t="str">
        <f t="shared" si="21"/>
        <v/>
      </c>
      <c r="BF106" s="9">
        <f t="shared" si="24"/>
        <v>3.7096725863527258E-4</v>
      </c>
      <c r="BG106" s="9">
        <f t="shared" si="20"/>
        <v>0.97707194866772618</v>
      </c>
    </row>
    <row r="107" spans="2:59" x14ac:dyDescent="0.35">
      <c r="B107" s="3" t="s">
        <v>221</v>
      </c>
      <c r="D107" s="141">
        <v>7095</v>
      </c>
      <c r="E107" s="141">
        <v>13100</v>
      </c>
      <c r="F107" s="141">
        <v>34739</v>
      </c>
      <c r="G107" s="141">
        <v>2214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17"/>
        <v>57148</v>
      </c>
      <c r="R107" s="141">
        <v>2701</v>
      </c>
      <c r="S107" s="141">
        <v>4805</v>
      </c>
      <c r="T107" s="141">
        <v>8024</v>
      </c>
      <c r="U107" s="141">
        <v>2214</v>
      </c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18"/>
        <v>17744</v>
      </c>
      <c r="AF107" s="2">
        <f t="shared" si="23"/>
        <v>0.38069062720225511</v>
      </c>
      <c r="AG107" s="2">
        <f t="shared" si="23"/>
        <v>0.36679389312977101</v>
      </c>
      <c r="AH107" s="2">
        <f t="shared" si="23"/>
        <v>0.23097959066179222</v>
      </c>
      <c r="AI107" s="2">
        <f t="shared" si="22"/>
        <v>1</v>
      </c>
      <c r="AJ107" s="2" t="str">
        <f t="shared" si="22"/>
        <v/>
      </c>
      <c r="AK107" s="2" t="str">
        <f t="shared" si="22"/>
        <v/>
      </c>
      <c r="AL107" s="2" t="str">
        <f t="shared" si="22"/>
        <v/>
      </c>
      <c r="AM107" s="2" t="str">
        <f t="shared" si="13"/>
        <v/>
      </c>
      <c r="AN107" s="2" t="str">
        <f t="shared" si="13"/>
        <v/>
      </c>
      <c r="AO107" s="2" t="str">
        <f t="shared" si="13"/>
        <v/>
      </c>
      <c r="AP107" s="2" t="str">
        <f t="shared" si="13"/>
        <v/>
      </c>
      <c r="AQ107" s="2" t="str">
        <f t="shared" si="13"/>
        <v/>
      </c>
      <c r="AR107" s="2">
        <f t="shared" si="13"/>
        <v>0.31049205571498567</v>
      </c>
      <c r="AT107" s="143">
        <f t="shared" si="11"/>
        <v>-1.3896734072484096E-2</v>
      </c>
      <c r="AU107" s="143">
        <f t="shared" si="12"/>
        <v>-0.13581430246797879</v>
      </c>
      <c r="AV107" s="143">
        <f t="shared" si="21"/>
        <v>0.76902040933820781</v>
      </c>
      <c r="AW107" s="143" t="str">
        <f t="shared" si="21"/>
        <v/>
      </c>
      <c r="AX107" s="143" t="str">
        <f t="shared" si="21"/>
        <v/>
      </c>
      <c r="AY107" s="143" t="str">
        <f t="shared" si="21"/>
        <v/>
      </c>
      <c r="AZ107" s="143" t="str">
        <f t="shared" si="21"/>
        <v/>
      </c>
      <c r="BA107" s="143" t="str">
        <f t="shared" si="21"/>
        <v/>
      </c>
      <c r="BB107" s="143" t="str">
        <f t="shared" si="21"/>
        <v/>
      </c>
      <c r="BC107" s="143" t="str">
        <f t="shared" si="21"/>
        <v/>
      </c>
      <c r="BD107" s="143" t="str">
        <f t="shared" si="21"/>
        <v/>
      </c>
      <c r="BF107" s="9">
        <f t="shared" si="24"/>
        <v>2.9291102624204146E-5</v>
      </c>
      <c r="BG107" s="9">
        <f t="shared" si="20"/>
        <v>0.97710123977035035</v>
      </c>
    </row>
    <row r="108" spans="2:59" x14ac:dyDescent="0.35">
      <c r="B108" s="3" t="s">
        <v>196</v>
      </c>
      <c r="D108" s="141">
        <v>30779</v>
      </c>
      <c r="E108" s="141">
        <v>50675</v>
      </c>
      <c r="F108" s="141">
        <v>60327</v>
      </c>
      <c r="G108" s="141">
        <v>6162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17"/>
        <v>147943</v>
      </c>
      <c r="R108" s="141">
        <v>18656</v>
      </c>
      <c r="S108" s="141">
        <v>35760</v>
      </c>
      <c r="T108" s="141">
        <v>48330</v>
      </c>
      <c r="U108" s="141">
        <v>5814</v>
      </c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18"/>
        <v>108560</v>
      </c>
      <c r="AF108" s="2">
        <f t="shared" si="23"/>
        <v>0.60612755450144584</v>
      </c>
      <c r="AG108" s="2">
        <f t="shared" si="23"/>
        <v>0.70567340897878639</v>
      </c>
      <c r="AH108" s="2">
        <f t="shared" si="23"/>
        <v>0.80113382067730865</v>
      </c>
      <c r="AI108" s="2">
        <f t="shared" si="22"/>
        <v>0.94352482960077899</v>
      </c>
      <c r="AJ108" s="2" t="str">
        <f t="shared" si="22"/>
        <v/>
      </c>
      <c r="AK108" s="2" t="str">
        <f t="shared" si="22"/>
        <v/>
      </c>
      <c r="AL108" s="2" t="str">
        <f t="shared" si="22"/>
        <v/>
      </c>
      <c r="AM108" s="2" t="str">
        <f t="shared" si="13"/>
        <v/>
      </c>
      <c r="AN108" s="2" t="str">
        <f t="shared" si="13"/>
        <v/>
      </c>
      <c r="AO108" s="2" t="str">
        <f t="shared" si="13"/>
        <v/>
      </c>
      <c r="AP108" s="2" t="str">
        <f t="shared" si="13"/>
        <v/>
      </c>
      <c r="AQ108" s="2" t="str">
        <f t="shared" si="13"/>
        <v/>
      </c>
      <c r="AR108" s="2">
        <f t="shared" si="13"/>
        <v>0.73379612418296236</v>
      </c>
      <c r="AT108" s="143">
        <f t="shared" si="11"/>
        <v>9.9545854477340545E-2</v>
      </c>
      <c r="AU108" s="143">
        <f t="shared" si="12"/>
        <v>9.5460411698522263E-2</v>
      </c>
      <c r="AV108" s="143">
        <f t="shared" si="21"/>
        <v>0.14239100892347034</v>
      </c>
      <c r="AW108" s="143" t="str">
        <f t="shared" si="21"/>
        <v/>
      </c>
      <c r="AX108" s="143" t="str">
        <f t="shared" si="21"/>
        <v/>
      </c>
      <c r="AY108" s="143" t="str">
        <f t="shared" si="21"/>
        <v/>
      </c>
      <c r="AZ108" s="143" t="str">
        <f t="shared" si="21"/>
        <v/>
      </c>
      <c r="BA108" s="143" t="str">
        <f t="shared" si="21"/>
        <v/>
      </c>
      <c r="BB108" s="143" t="str">
        <f t="shared" si="21"/>
        <v/>
      </c>
      <c r="BC108" s="143" t="str">
        <f t="shared" si="21"/>
        <v/>
      </c>
      <c r="BD108" s="143" t="str">
        <f t="shared" si="21"/>
        <v/>
      </c>
      <c r="BF108" s="9">
        <f t="shared" si="24"/>
        <v>1.792066107350993E-4</v>
      </c>
      <c r="BG108" s="9">
        <f t="shared" si="20"/>
        <v>0.97728044638108547</v>
      </c>
    </row>
    <row r="109" spans="2:59" x14ac:dyDescent="0.35">
      <c r="B109" s="3" t="s">
        <v>175</v>
      </c>
      <c r="D109" s="141">
        <v>146077</v>
      </c>
      <c r="E109" s="141">
        <v>149484</v>
      </c>
      <c r="F109" s="141">
        <v>199531</v>
      </c>
      <c r="G109" s="141">
        <v>14314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17"/>
        <v>509406</v>
      </c>
      <c r="R109" s="141">
        <v>133193</v>
      </c>
      <c r="S109" s="141">
        <v>131418</v>
      </c>
      <c r="T109" s="141">
        <v>185208</v>
      </c>
      <c r="U109" s="141">
        <v>13088</v>
      </c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18"/>
        <v>462907</v>
      </c>
      <c r="AF109" s="2">
        <f t="shared" si="23"/>
        <v>0.91179994112693985</v>
      </c>
      <c r="AG109" s="2">
        <f t="shared" si="23"/>
        <v>0.87914425624147063</v>
      </c>
      <c r="AH109" s="2">
        <f t="shared" si="23"/>
        <v>0.92821666808666325</v>
      </c>
      <c r="AI109" s="2">
        <f t="shared" si="22"/>
        <v>0.91434958781612408</v>
      </c>
      <c r="AJ109" s="2" t="str">
        <f t="shared" si="22"/>
        <v/>
      </c>
      <c r="AK109" s="2" t="str">
        <f t="shared" si="22"/>
        <v/>
      </c>
      <c r="AL109" s="2" t="str">
        <f t="shared" si="22"/>
        <v/>
      </c>
      <c r="AM109" s="2" t="str">
        <f t="shared" si="13"/>
        <v/>
      </c>
      <c r="AN109" s="2" t="str">
        <f t="shared" si="13"/>
        <v/>
      </c>
      <c r="AO109" s="2" t="str">
        <f t="shared" si="13"/>
        <v/>
      </c>
      <c r="AP109" s="2" t="str">
        <f t="shared" si="13"/>
        <v/>
      </c>
      <c r="AQ109" s="2" t="str">
        <f t="shared" si="13"/>
        <v/>
      </c>
      <c r="AR109" s="2">
        <f t="shared" si="13"/>
        <v>0.90871917488211762</v>
      </c>
      <c r="AT109" s="143">
        <f t="shared" si="11"/>
        <v>-3.2655684885469216E-2</v>
      </c>
      <c r="AU109" s="143">
        <f t="shared" si="12"/>
        <v>4.9072411845192621E-2</v>
      </c>
      <c r="AV109" s="143">
        <f t="shared" si="21"/>
        <v>-1.3867080270539178E-2</v>
      </c>
      <c r="AW109" s="143" t="str">
        <f t="shared" si="21"/>
        <v/>
      </c>
      <c r="AX109" s="143" t="str">
        <f t="shared" si="21"/>
        <v/>
      </c>
      <c r="AY109" s="143" t="str">
        <f t="shared" si="21"/>
        <v/>
      </c>
      <c r="AZ109" s="143" t="str">
        <f t="shared" si="21"/>
        <v/>
      </c>
      <c r="BA109" s="143" t="str">
        <f t="shared" si="21"/>
        <v/>
      </c>
      <c r="BB109" s="143" t="str">
        <f t="shared" si="21"/>
        <v/>
      </c>
      <c r="BC109" s="143" t="str">
        <f t="shared" si="21"/>
        <v/>
      </c>
      <c r="BD109" s="143" t="str">
        <f t="shared" si="21"/>
        <v/>
      </c>
      <c r="BF109" s="9">
        <f t="shared" si="24"/>
        <v>7.6414880762299753E-4</v>
      </c>
      <c r="BG109" s="9">
        <f t="shared" si="20"/>
        <v>0.97804459518870845</v>
      </c>
    </row>
    <row r="110" spans="2:59" x14ac:dyDescent="0.35">
      <c r="B110" s="3" t="s">
        <v>198</v>
      </c>
      <c r="D110" s="141">
        <v>318301</v>
      </c>
      <c r="E110" s="141">
        <v>226454</v>
      </c>
      <c r="F110" s="141">
        <v>225130</v>
      </c>
      <c r="G110" s="141">
        <v>55671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17"/>
        <v>825556</v>
      </c>
      <c r="R110" s="141">
        <v>245836</v>
      </c>
      <c r="S110" s="141">
        <v>156741</v>
      </c>
      <c r="T110" s="141">
        <v>162605</v>
      </c>
      <c r="U110" s="141">
        <v>38366</v>
      </c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18"/>
        <v>603548</v>
      </c>
      <c r="AF110" s="2">
        <f t="shared" si="23"/>
        <v>0.77233813277369534</v>
      </c>
      <c r="AG110" s="2">
        <f t="shared" si="23"/>
        <v>0.69215381490280592</v>
      </c>
      <c r="AH110" s="2">
        <f t="shared" si="23"/>
        <v>0.72227157642251139</v>
      </c>
      <c r="AI110" s="2">
        <f t="shared" si="22"/>
        <v>0.68915593396921193</v>
      </c>
      <c r="AJ110" s="2" t="str">
        <f t="shared" si="22"/>
        <v/>
      </c>
      <c r="AK110" s="2" t="str">
        <f t="shared" si="22"/>
        <v/>
      </c>
      <c r="AL110" s="2" t="str">
        <f t="shared" si="22"/>
        <v/>
      </c>
      <c r="AM110" s="2" t="str">
        <f t="shared" si="13"/>
        <v/>
      </c>
      <c r="AN110" s="2" t="str">
        <f t="shared" si="13"/>
        <v/>
      </c>
      <c r="AO110" s="2" t="str">
        <f t="shared" si="13"/>
        <v/>
      </c>
      <c r="AP110" s="2" t="str">
        <f t="shared" si="13"/>
        <v/>
      </c>
      <c r="AQ110" s="2" t="str">
        <f t="shared" si="13"/>
        <v/>
      </c>
      <c r="AR110" s="2">
        <f t="shared" si="13"/>
        <v>0.73108062929710405</v>
      </c>
      <c r="AT110" s="143">
        <f t="shared" ref="AT110:AT173" si="25">+IFERROR(AG110-AF110,"")</f>
        <v>-8.0184317870889421E-2</v>
      </c>
      <c r="AU110" s="143">
        <f t="shared" ref="AU110:AV173" si="26">+IFERROR(AH110-AG110,"")</f>
        <v>3.0117761519705466E-2</v>
      </c>
      <c r="AV110" s="143">
        <f t="shared" si="21"/>
        <v>-3.3115642453299454E-2</v>
      </c>
      <c r="AW110" s="143" t="str">
        <f t="shared" si="21"/>
        <v/>
      </c>
      <c r="AX110" s="143" t="str">
        <f t="shared" si="21"/>
        <v/>
      </c>
      <c r="AY110" s="143" t="str">
        <f t="shared" si="21"/>
        <v/>
      </c>
      <c r="AZ110" s="143" t="str">
        <f t="shared" si="21"/>
        <v/>
      </c>
      <c r="BA110" s="143" t="str">
        <f t="shared" si="21"/>
        <v/>
      </c>
      <c r="BB110" s="143" t="str">
        <f t="shared" si="21"/>
        <v/>
      </c>
      <c r="BC110" s="143" t="str">
        <f t="shared" si="21"/>
        <v/>
      </c>
      <c r="BD110" s="143" t="str">
        <f t="shared" si="21"/>
        <v/>
      </c>
      <c r="BF110" s="9">
        <f t="shared" si="24"/>
        <v>9.9631348098699088E-4</v>
      </c>
      <c r="BG110" s="9">
        <f t="shared" si="20"/>
        <v>0.9790409086696954</v>
      </c>
    </row>
    <row r="111" spans="2:59" x14ac:dyDescent="0.35">
      <c r="B111" s="3" t="s">
        <v>182</v>
      </c>
      <c r="D111" s="141">
        <v>88319</v>
      </c>
      <c r="E111" s="141">
        <v>74856</v>
      </c>
      <c r="F111" s="141">
        <v>87499</v>
      </c>
      <c r="G111" s="141">
        <v>2257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17"/>
        <v>252931</v>
      </c>
      <c r="R111" s="141">
        <v>56382</v>
      </c>
      <c r="S111" s="141">
        <v>56284</v>
      </c>
      <c r="T111" s="141">
        <v>64880</v>
      </c>
      <c r="U111" s="141">
        <v>1075</v>
      </c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18"/>
        <v>178621</v>
      </c>
      <c r="AF111" s="2">
        <f t="shared" si="23"/>
        <v>0.63839038032586415</v>
      </c>
      <c r="AG111" s="2">
        <f t="shared" si="23"/>
        <v>0.75189697552634394</v>
      </c>
      <c r="AH111" s="2">
        <f t="shared" si="23"/>
        <v>0.74149418850501148</v>
      </c>
      <c r="AI111" s="2">
        <f t="shared" si="22"/>
        <v>0.47629596809924679</v>
      </c>
      <c r="AJ111" s="2" t="str">
        <f t="shared" si="22"/>
        <v/>
      </c>
      <c r="AK111" s="2" t="str">
        <f t="shared" si="22"/>
        <v/>
      </c>
      <c r="AL111" s="2" t="str">
        <f t="shared" si="22"/>
        <v/>
      </c>
      <c r="AM111" s="2" t="str">
        <f t="shared" si="13"/>
        <v/>
      </c>
      <c r="AN111" s="2" t="str">
        <f t="shared" si="13"/>
        <v/>
      </c>
      <c r="AO111" s="2" t="str">
        <f t="shared" si="13"/>
        <v/>
      </c>
      <c r="AP111" s="2" t="str">
        <f t="shared" si="13"/>
        <v/>
      </c>
      <c r="AQ111" s="2" t="str">
        <f t="shared" si="13"/>
        <v/>
      </c>
      <c r="AR111" s="2">
        <f t="shared" si="13"/>
        <v>0.70620445892357997</v>
      </c>
      <c r="AT111" s="143">
        <f t="shared" si="25"/>
        <v>0.11350659520047979</v>
      </c>
      <c r="AU111" s="143">
        <f t="shared" si="26"/>
        <v>-1.040278702133246E-2</v>
      </c>
      <c r="AV111" s="143">
        <f t="shared" si="21"/>
        <v>-0.26519822040576468</v>
      </c>
      <c r="AW111" s="143" t="str">
        <f t="shared" si="21"/>
        <v/>
      </c>
      <c r="AX111" s="143" t="str">
        <f t="shared" si="21"/>
        <v/>
      </c>
      <c r="AY111" s="143" t="str">
        <f t="shared" si="21"/>
        <v/>
      </c>
      <c r="AZ111" s="143" t="str">
        <f t="shared" si="21"/>
        <v/>
      </c>
      <c r="BA111" s="143" t="str">
        <f t="shared" si="21"/>
        <v/>
      </c>
      <c r="BB111" s="143" t="str">
        <f t="shared" si="21"/>
        <v/>
      </c>
      <c r="BC111" s="143" t="str">
        <f t="shared" si="21"/>
        <v/>
      </c>
      <c r="BD111" s="143" t="str">
        <f t="shared" si="21"/>
        <v/>
      </c>
      <c r="BF111" s="9">
        <f t="shared" si="24"/>
        <v>2.9486057494578275E-4</v>
      </c>
      <c r="BG111" s="9">
        <f t="shared" si="20"/>
        <v>0.97933576924464116</v>
      </c>
    </row>
    <row r="112" spans="2:59" x14ac:dyDescent="0.35">
      <c r="B112" s="3" t="s">
        <v>162</v>
      </c>
      <c r="D112" s="141">
        <v>76770</v>
      </c>
      <c r="E112" s="141">
        <v>73036</v>
      </c>
      <c r="F112" s="141">
        <v>78874</v>
      </c>
      <c r="G112" s="141">
        <v>4835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17"/>
        <v>233515</v>
      </c>
      <c r="R112" s="141">
        <v>53416</v>
      </c>
      <c r="S112" s="141">
        <v>61623</v>
      </c>
      <c r="T112" s="141">
        <v>65596</v>
      </c>
      <c r="U112" s="141">
        <v>4617</v>
      </c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18"/>
        <v>185252</v>
      </c>
      <c r="AF112" s="2">
        <f t="shared" si="23"/>
        <v>0.69579262732838343</v>
      </c>
      <c r="AG112" s="2">
        <f t="shared" si="23"/>
        <v>0.84373459663727479</v>
      </c>
      <c r="AH112" s="2">
        <f t="shared" si="23"/>
        <v>0.83165555189289242</v>
      </c>
      <c r="AI112" s="2">
        <f t="shared" si="22"/>
        <v>0.95491209927611165</v>
      </c>
      <c r="AJ112" s="2" t="str">
        <f t="shared" si="22"/>
        <v/>
      </c>
      <c r="AK112" s="2" t="str">
        <f t="shared" si="22"/>
        <v/>
      </c>
      <c r="AL112" s="2" t="str">
        <f t="shared" si="22"/>
        <v/>
      </c>
      <c r="AM112" s="2" t="str">
        <f t="shared" si="13"/>
        <v/>
      </c>
      <c r="AN112" s="2" t="str">
        <f t="shared" si="13"/>
        <v/>
      </c>
      <c r="AO112" s="2" t="str">
        <f t="shared" si="13"/>
        <v/>
      </c>
      <c r="AP112" s="2" t="str">
        <f t="shared" si="13"/>
        <v/>
      </c>
      <c r="AQ112" s="2" t="str">
        <f t="shared" si="13"/>
        <v/>
      </c>
      <c r="AR112" s="2">
        <f t="shared" si="13"/>
        <v>0.79331948697085841</v>
      </c>
      <c r="AT112" s="143">
        <f t="shared" si="25"/>
        <v>0.14794196930889136</v>
      </c>
      <c r="AU112" s="143">
        <f t="shared" si="26"/>
        <v>-1.2079044744382372E-2</v>
      </c>
      <c r="AV112" s="143">
        <f t="shared" si="21"/>
        <v>0.12325654738321923</v>
      </c>
      <c r="AW112" s="143" t="str">
        <f t="shared" si="21"/>
        <v/>
      </c>
      <c r="AX112" s="143" t="str">
        <f t="shared" si="21"/>
        <v/>
      </c>
      <c r="AY112" s="143" t="str">
        <f t="shared" si="21"/>
        <v/>
      </c>
      <c r="AZ112" s="143" t="str">
        <f t="shared" si="21"/>
        <v/>
      </c>
      <c r="BA112" s="143" t="str">
        <f t="shared" si="21"/>
        <v/>
      </c>
      <c r="BB112" s="143" t="str">
        <f t="shared" si="21"/>
        <v/>
      </c>
      <c r="BC112" s="143" t="str">
        <f t="shared" si="21"/>
        <v/>
      </c>
      <c r="BD112" s="143" t="str">
        <f t="shared" si="21"/>
        <v/>
      </c>
      <c r="BF112" s="9">
        <f t="shared" si="24"/>
        <v>3.0580677092758489E-4</v>
      </c>
      <c r="BG112" s="9">
        <f t="shared" si="20"/>
        <v>0.97964157601556878</v>
      </c>
    </row>
    <row r="113" spans="2:59" x14ac:dyDescent="0.35">
      <c r="B113" s="3" t="s">
        <v>189</v>
      </c>
      <c r="D113" s="141">
        <v>50656</v>
      </c>
      <c r="E113" s="141">
        <v>39844</v>
      </c>
      <c r="F113" s="141">
        <v>55189</v>
      </c>
      <c r="G113" s="141">
        <v>4859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17"/>
        <v>150548</v>
      </c>
      <c r="R113" s="141">
        <v>38881</v>
      </c>
      <c r="S113" s="141">
        <v>29080</v>
      </c>
      <c r="T113" s="141">
        <v>32132</v>
      </c>
      <c r="U113" s="141">
        <v>4764</v>
      </c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18"/>
        <v>104857</v>
      </c>
      <c r="AF113" s="2">
        <f t="shared" si="23"/>
        <v>0.7675497473152243</v>
      </c>
      <c r="AG113" s="2">
        <f t="shared" si="23"/>
        <v>0.72984640096375863</v>
      </c>
      <c r="AH113" s="2">
        <f t="shared" si="23"/>
        <v>0.58221747087281883</v>
      </c>
      <c r="AI113" s="2">
        <f t="shared" si="22"/>
        <v>0.98044865198600539</v>
      </c>
      <c r="AJ113" s="2" t="str">
        <f t="shared" si="22"/>
        <v/>
      </c>
      <c r="AK113" s="2" t="str">
        <f t="shared" si="22"/>
        <v/>
      </c>
      <c r="AL113" s="2" t="str">
        <f t="shared" si="22"/>
        <v/>
      </c>
      <c r="AM113" s="2" t="str">
        <f t="shared" si="13"/>
        <v/>
      </c>
      <c r="AN113" s="2" t="str">
        <f t="shared" si="13"/>
        <v/>
      </c>
      <c r="AO113" s="2" t="str">
        <f t="shared" si="13"/>
        <v/>
      </c>
      <c r="AP113" s="2" t="str">
        <f t="shared" si="13"/>
        <v/>
      </c>
      <c r="AQ113" s="2" t="str">
        <f t="shared" si="13"/>
        <v/>
      </c>
      <c r="AR113" s="2">
        <f t="shared" si="13"/>
        <v>0.69650211228312564</v>
      </c>
      <c r="AT113" s="143">
        <f t="shared" si="25"/>
        <v>-3.7703346351465661E-2</v>
      </c>
      <c r="AU113" s="143">
        <f t="shared" si="26"/>
        <v>-0.1476289300909398</v>
      </c>
      <c r="AV113" s="143">
        <f t="shared" si="21"/>
        <v>0.39823118111318656</v>
      </c>
      <c r="AW113" s="143" t="str">
        <f t="shared" si="21"/>
        <v/>
      </c>
      <c r="AX113" s="143" t="str">
        <f t="shared" si="21"/>
        <v/>
      </c>
      <c r="AY113" s="143" t="str">
        <f t="shared" si="21"/>
        <v/>
      </c>
      <c r="AZ113" s="143" t="str">
        <f t="shared" si="21"/>
        <v/>
      </c>
      <c r="BA113" s="143" t="str">
        <f t="shared" si="21"/>
        <v/>
      </c>
      <c r="BB113" s="143" t="str">
        <f t="shared" si="21"/>
        <v/>
      </c>
      <c r="BC113" s="143" t="str">
        <f t="shared" si="21"/>
        <v/>
      </c>
      <c r="BD113" s="143" t="str">
        <f t="shared" si="21"/>
        <v/>
      </c>
      <c r="BF113" s="9">
        <f t="shared" si="24"/>
        <v>1.7309384286892326E-4</v>
      </c>
      <c r="BG113" s="9">
        <f t="shared" si="20"/>
        <v>0.97981466985843768</v>
      </c>
    </row>
    <row r="114" spans="2:59" x14ac:dyDescent="0.35">
      <c r="B114" s="3" t="s">
        <v>185</v>
      </c>
      <c r="D114" s="141">
        <v>112377</v>
      </c>
      <c r="E114" s="141">
        <v>113089</v>
      </c>
      <c r="F114" s="141">
        <v>55053</v>
      </c>
      <c r="G114" s="141">
        <v>1432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17"/>
        <v>281951</v>
      </c>
      <c r="R114" s="141">
        <v>107194</v>
      </c>
      <c r="S114" s="141">
        <v>106823</v>
      </c>
      <c r="T114" s="141">
        <v>46542</v>
      </c>
      <c r="U114" s="141">
        <v>613</v>
      </c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18"/>
        <v>261172</v>
      </c>
      <c r="AF114" s="2">
        <f t="shared" si="23"/>
        <v>0.95387846267474663</v>
      </c>
      <c r="AG114" s="2">
        <f t="shared" si="23"/>
        <v>0.94459231224964413</v>
      </c>
      <c r="AH114" s="2">
        <f t="shared" si="23"/>
        <v>0.84540352024412835</v>
      </c>
      <c r="AI114" s="2">
        <f t="shared" si="22"/>
        <v>0.42807262569832405</v>
      </c>
      <c r="AJ114" s="2" t="str">
        <f t="shared" si="22"/>
        <v/>
      </c>
      <c r="AK114" s="2" t="str">
        <f t="shared" si="22"/>
        <v/>
      </c>
      <c r="AL114" s="2" t="str">
        <f t="shared" si="22"/>
        <v/>
      </c>
      <c r="AM114" s="2" t="str">
        <f t="shared" si="13"/>
        <v/>
      </c>
      <c r="AN114" s="2" t="str">
        <f t="shared" si="13"/>
        <v/>
      </c>
      <c r="AO114" s="2" t="str">
        <f t="shared" ref="AO114:AR176" si="27">+IFERROR(AA114/M114,"")</f>
        <v/>
      </c>
      <c r="AP114" s="2" t="str">
        <f t="shared" si="27"/>
        <v/>
      </c>
      <c r="AQ114" s="2" t="str">
        <f t="shared" si="27"/>
        <v/>
      </c>
      <c r="AR114" s="2">
        <f t="shared" si="27"/>
        <v>0.92630279729456533</v>
      </c>
      <c r="AT114" s="143">
        <f t="shared" si="25"/>
        <v>-9.2861504251025018E-3</v>
      </c>
      <c r="AU114" s="143">
        <f t="shared" si="26"/>
        <v>-9.918879200551578E-2</v>
      </c>
      <c r="AV114" s="143">
        <f t="shared" si="21"/>
        <v>-0.4173308945458043</v>
      </c>
      <c r="AW114" s="143" t="str">
        <f t="shared" si="21"/>
        <v/>
      </c>
      <c r="AX114" s="143" t="str">
        <f t="shared" si="21"/>
        <v/>
      </c>
      <c r="AY114" s="143" t="str">
        <f t="shared" si="21"/>
        <v/>
      </c>
      <c r="AZ114" s="143" t="str">
        <f t="shared" si="21"/>
        <v/>
      </c>
      <c r="BA114" s="143" t="str">
        <f t="shared" si="21"/>
        <v/>
      </c>
      <c r="BB114" s="143" t="str">
        <f t="shared" si="21"/>
        <v/>
      </c>
      <c r="BC114" s="143" t="str">
        <f t="shared" si="21"/>
        <v/>
      </c>
      <c r="BD114" s="143" t="str">
        <f t="shared" si="21"/>
        <v/>
      </c>
      <c r="BF114" s="9">
        <f t="shared" si="24"/>
        <v>4.311325436524259E-4</v>
      </c>
      <c r="BG114" s="9">
        <f t="shared" si="20"/>
        <v>0.98024580240209014</v>
      </c>
    </row>
    <row r="115" spans="2:59" x14ac:dyDescent="0.35">
      <c r="B115" s="3" t="s">
        <v>153</v>
      </c>
      <c r="D115" s="141">
        <v>22587</v>
      </c>
      <c r="E115" s="141">
        <v>18873</v>
      </c>
      <c r="F115" s="141">
        <v>43693</v>
      </c>
      <c r="G115" s="141">
        <v>2665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17"/>
        <v>87818</v>
      </c>
      <c r="R115" s="141">
        <v>16048</v>
      </c>
      <c r="S115" s="141">
        <v>13601</v>
      </c>
      <c r="T115" s="141">
        <v>31285</v>
      </c>
      <c r="U115" s="141">
        <v>2251</v>
      </c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18"/>
        <v>63185</v>
      </c>
      <c r="AF115" s="2">
        <f t="shared" si="23"/>
        <v>0.71049718864833755</v>
      </c>
      <c r="AG115" s="2">
        <f t="shared" si="23"/>
        <v>0.72065914269061626</v>
      </c>
      <c r="AH115" s="2">
        <f t="shared" si="23"/>
        <v>0.71601858421257414</v>
      </c>
      <c r="AI115" s="2">
        <f t="shared" si="22"/>
        <v>0.84465290806754223</v>
      </c>
      <c r="AJ115" s="2" t="str">
        <f t="shared" si="22"/>
        <v/>
      </c>
      <c r="AK115" s="2" t="str">
        <f t="shared" si="22"/>
        <v/>
      </c>
      <c r="AL115" s="2" t="str">
        <f t="shared" si="22"/>
        <v/>
      </c>
      <c r="AM115" s="2" t="str">
        <f t="shared" si="22"/>
        <v/>
      </c>
      <c r="AN115" s="2" t="str">
        <f t="shared" si="22"/>
        <v/>
      </c>
      <c r="AO115" s="2" t="str">
        <f t="shared" si="27"/>
        <v/>
      </c>
      <c r="AP115" s="2" t="str">
        <f t="shared" si="27"/>
        <v/>
      </c>
      <c r="AQ115" s="2" t="str">
        <f t="shared" si="27"/>
        <v/>
      </c>
      <c r="AR115" s="2">
        <f t="shared" si="27"/>
        <v>0.71949941925345606</v>
      </c>
      <c r="AT115" s="143">
        <f t="shared" si="25"/>
        <v>1.0161954042278709E-2</v>
      </c>
      <c r="AU115" s="143">
        <f t="shared" si="26"/>
        <v>-4.6405584780421227E-3</v>
      </c>
      <c r="AV115" s="143">
        <f t="shared" si="21"/>
        <v>0.12863432385496809</v>
      </c>
      <c r="AW115" s="143" t="str">
        <f t="shared" si="21"/>
        <v/>
      </c>
      <c r="AX115" s="143" t="str">
        <f t="shared" si="21"/>
        <v/>
      </c>
      <c r="AY115" s="143" t="str">
        <f t="shared" si="21"/>
        <v/>
      </c>
      <c r="AZ115" s="143" t="str">
        <f t="shared" si="21"/>
        <v/>
      </c>
      <c r="BA115" s="143" t="str">
        <f t="shared" si="21"/>
        <v/>
      </c>
      <c r="BB115" s="143" t="str">
        <f t="shared" si="21"/>
        <v/>
      </c>
      <c r="BC115" s="143" t="str">
        <f t="shared" si="21"/>
        <v/>
      </c>
      <c r="BD115" s="143" t="str">
        <f t="shared" si="21"/>
        <v/>
      </c>
      <c r="BF115" s="9">
        <f t="shared" si="24"/>
        <v>1.0430333179161063E-4</v>
      </c>
      <c r="BG115" s="9">
        <f t="shared" si="20"/>
        <v>0.9803501057338817</v>
      </c>
    </row>
    <row r="116" spans="2:59" x14ac:dyDescent="0.35">
      <c r="B116" s="3" t="s">
        <v>186</v>
      </c>
      <c r="D116" s="141">
        <v>88846</v>
      </c>
      <c r="E116" s="141">
        <v>96166</v>
      </c>
      <c r="F116" s="141">
        <v>104621</v>
      </c>
      <c r="G116" s="141">
        <v>3987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17"/>
        <v>293620</v>
      </c>
      <c r="R116" s="141">
        <v>77239</v>
      </c>
      <c r="S116" s="141">
        <v>76613</v>
      </c>
      <c r="T116" s="141">
        <v>94356</v>
      </c>
      <c r="U116" s="141">
        <v>1387</v>
      </c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18"/>
        <v>249595</v>
      </c>
      <c r="AF116" s="2">
        <f t="shared" si="23"/>
        <v>0.86935821533890101</v>
      </c>
      <c r="AG116" s="2">
        <f t="shared" si="23"/>
        <v>0.79667450034315668</v>
      </c>
      <c r="AH116" s="2">
        <f t="shared" si="23"/>
        <v>0.90188394299423635</v>
      </c>
      <c r="AI116" s="2">
        <f t="shared" si="22"/>
        <v>0.34788061198896414</v>
      </c>
      <c r="AJ116" s="2" t="str">
        <f t="shared" si="22"/>
        <v/>
      </c>
      <c r="AK116" s="2" t="str">
        <f t="shared" si="22"/>
        <v/>
      </c>
      <c r="AL116" s="2" t="str">
        <f t="shared" si="22"/>
        <v/>
      </c>
      <c r="AM116" s="2" t="str">
        <f t="shared" si="22"/>
        <v/>
      </c>
      <c r="AN116" s="2" t="str">
        <f t="shared" si="22"/>
        <v/>
      </c>
      <c r="AO116" s="2" t="str">
        <f t="shared" si="27"/>
        <v/>
      </c>
      <c r="AP116" s="2" t="str">
        <f t="shared" si="27"/>
        <v/>
      </c>
      <c r="AQ116" s="2" t="str">
        <f t="shared" si="27"/>
        <v/>
      </c>
      <c r="AR116" s="2">
        <f t="shared" si="27"/>
        <v>0.85006130372590427</v>
      </c>
      <c r="AT116" s="143">
        <f t="shared" si="25"/>
        <v>-7.2683714995744331E-2</v>
      </c>
      <c r="AU116" s="143">
        <f t="shared" si="26"/>
        <v>0.10520944265107968</v>
      </c>
      <c r="AV116" s="143">
        <f t="shared" si="21"/>
        <v>-0.55400333100527221</v>
      </c>
      <c r="AW116" s="143" t="str">
        <f t="shared" si="21"/>
        <v/>
      </c>
      <c r="AX116" s="143" t="str">
        <f t="shared" si="21"/>
        <v/>
      </c>
      <c r="AY116" s="143" t="str">
        <f t="shared" si="21"/>
        <v/>
      </c>
      <c r="AZ116" s="143" t="str">
        <f t="shared" si="21"/>
        <v/>
      </c>
      <c r="BA116" s="143" t="str">
        <f t="shared" si="21"/>
        <v/>
      </c>
      <c r="BB116" s="143" t="str">
        <f t="shared" si="21"/>
        <v/>
      </c>
      <c r="BC116" s="143" t="str">
        <f t="shared" si="21"/>
        <v/>
      </c>
      <c r="BD116" s="143" t="str">
        <f t="shared" si="21"/>
        <v/>
      </c>
      <c r="BF116" s="9">
        <f t="shared" si="24"/>
        <v>4.1202168392066244E-4</v>
      </c>
      <c r="BG116" s="9">
        <f t="shared" si="20"/>
        <v>0.98076212741780233</v>
      </c>
    </row>
    <row r="117" spans="2:59" x14ac:dyDescent="0.35">
      <c r="B117" s="3" t="s">
        <v>190</v>
      </c>
      <c r="D117" s="141">
        <v>109253</v>
      </c>
      <c r="E117" s="141">
        <v>84142</v>
      </c>
      <c r="F117" s="141">
        <v>132745</v>
      </c>
      <c r="G117" s="141">
        <v>7081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17"/>
        <v>333221</v>
      </c>
      <c r="R117" s="141">
        <v>80566</v>
      </c>
      <c r="S117" s="141">
        <v>62774</v>
      </c>
      <c r="T117" s="141">
        <v>72974</v>
      </c>
      <c r="U117" s="141">
        <v>5403</v>
      </c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18"/>
        <v>221717</v>
      </c>
      <c r="AF117" s="2">
        <f t="shared" si="23"/>
        <v>0.73742597457278058</v>
      </c>
      <c r="AG117" s="2">
        <f t="shared" si="23"/>
        <v>0.74604834684224286</v>
      </c>
      <c r="AH117" s="2">
        <f t="shared" si="23"/>
        <v>0.54973068665486458</v>
      </c>
      <c r="AI117" s="2">
        <f t="shared" si="22"/>
        <v>0.76302782092924726</v>
      </c>
      <c r="AJ117" s="2" t="str">
        <f t="shared" si="22"/>
        <v/>
      </c>
      <c r="AK117" s="2" t="str">
        <f t="shared" si="22"/>
        <v/>
      </c>
      <c r="AL117" s="2" t="str">
        <f t="shared" si="22"/>
        <v/>
      </c>
      <c r="AM117" s="2" t="str">
        <f t="shared" si="22"/>
        <v/>
      </c>
      <c r="AN117" s="2" t="str">
        <f t="shared" si="22"/>
        <v/>
      </c>
      <c r="AO117" s="2" t="str">
        <f t="shared" si="27"/>
        <v/>
      </c>
      <c r="AP117" s="2" t="str">
        <f t="shared" si="27"/>
        <v/>
      </c>
      <c r="AQ117" s="2" t="str">
        <f t="shared" si="27"/>
        <v/>
      </c>
      <c r="AR117" s="2">
        <f t="shared" si="27"/>
        <v>0.6653752314529997</v>
      </c>
      <c r="AT117" s="143">
        <f t="shared" si="25"/>
        <v>8.6223722694622751E-3</v>
      </c>
      <c r="AU117" s="143">
        <f t="shared" si="26"/>
        <v>-0.19631766018737828</v>
      </c>
      <c r="AV117" s="143">
        <f t="shared" si="21"/>
        <v>0.21329713427438268</v>
      </c>
      <c r="AW117" s="143" t="str">
        <f t="shared" si="21"/>
        <v/>
      </c>
      <c r="AX117" s="143" t="str">
        <f t="shared" si="21"/>
        <v/>
      </c>
      <c r="AY117" s="143" t="str">
        <f t="shared" ref="AY117:BD148" si="28">+IFERROR(AL117-AK117,"")</f>
        <v/>
      </c>
      <c r="AZ117" s="143" t="str">
        <f t="shared" si="28"/>
        <v/>
      </c>
      <c r="BA117" s="143" t="str">
        <f t="shared" si="28"/>
        <v/>
      </c>
      <c r="BB117" s="143" t="str">
        <f t="shared" si="28"/>
        <v/>
      </c>
      <c r="BC117" s="143" t="str">
        <f t="shared" si="28"/>
        <v/>
      </c>
      <c r="BD117" s="143" t="str">
        <f t="shared" si="28"/>
        <v/>
      </c>
      <c r="BF117" s="9">
        <f t="shared" si="24"/>
        <v>3.6600176964217033E-4</v>
      </c>
      <c r="BG117" s="9">
        <f t="shared" si="20"/>
        <v>0.98112812918744452</v>
      </c>
    </row>
    <row r="118" spans="2:59" x14ac:dyDescent="0.35">
      <c r="B118" s="3" t="s">
        <v>199</v>
      </c>
      <c r="D118" s="141">
        <v>25700</v>
      </c>
      <c r="E118" s="141">
        <v>17218</v>
      </c>
      <c r="F118" s="141">
        <v>42591</v>
      </c>
      <c r="G118" s="141">
        <v>2204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17"/>
        <v>87713</v>
      </c>
      <c r="R118" s="141">
        <v>22547</v>
      </c>
      <c r="S118" s="141">
        <v>9140</v>
      </c>
      <c r="T118" s="141">
        <v>37714</v>
      </c>
      <c r="U118" s="141">
        <v>2154</v>
      </c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18"/>
        <v>71555</v>
      </c>
      <c r="AF118" s="2">
        <f t="shared" si="23"/>
        <v>0.8773151750972763</v>
      </c>
      <c r="AG118" s="2">
        <f t="shared" si="23"/>
        <v>0.5308398187942851</v>
      </c>
      <c r="AH118" s="2">
        <f t="shared" si="23"/>
        <v>0.88549224014463146</v>
      </c>
      <c r="AI118" s="2">
        <f t="shared" si="22"/>
        <v>0.97731397459165159</v>
      </c>
      <c r="AJ118" s="2" t="str">
        <f t="shared" si="22"/>
        <v/>
      </c>
      <c r="AK118" s="2" t="str">
        <f t="shared" si="22"/>
        <v/>
      </c>
      <c r="AL118" s="2" t="str">
        <f t="shared" si="22"/>
        <v/>
      </c>
      <c r="AM118" s="2" t="str">
        <f t="shared" si="22"/>
        <v/>
      </c>
      <c r="AN118" s="2" t="str">
        <f t="shared" si="22"/>
        <v/>
      </c>
      <c r="AO118" s="2" t="str">
        <f t="shared" si="27"/>
        <v/>
      </c>
      <c r="AP118" s="2" t="str">
        <f t="shared" si="27"/>
        <v/>
      </c>
      <c r="AQ118" s="2" t="str">
        <f t="shared" si="27"/>
        <v/>
      </c>
      <c r="AR118" s="2">
        <f t="shared" si="27"/>
        <v>0.81578557340417046</v>
      </c>
      <c r="AT118" s="143">
        <f t="shared" si="25"/>
        <v>-0.3464753563029912</v>
      </c>
      <c r="AU118" s="143">
        <f t="shared" si="26"/>
        <v>0.35465242135034636</v>
      </c>
      <c r="AV118" s="143">
        <f t="shared" ref="AV118:BD149" si="29">+IFERROR(AI118-AH118,"")</f>
        <v>9.1821734447020131E-2</v>
      </c>
      <c r="AW118" s="143" t="str">
        <f t="shared" si="29"/>
        <v/>
      </c>
      <c r="AX118" s="143" t="str">
        <f t="shared" si="29"/>
        <v/>
      </c>
      <c r="AY118" s="143" t="str">
        <f t="shared" si="28"/>
        <v/>
      </c>
      <c r="AZ118" s="143" t="str">
        <f t="shared" si="28"/>
        <v/>
      </c>
      <c r="BA118" s="143" t="str">
        <f t="shared" si="28"/>
        <v/>
      </c>
      <c r="BB118" s="143" t="str">
        <f t="shared" si="28"/>
        <v/>
      </c>
      <c r="BC118" s="143" t="str">
        <f t="shared" si="28"/>
        <v/>
      </c>
      <c r="BD118" s="143" t="str">
        <f t="shared" si="28"/>
        <v/>
      </c>
      <c r="BF118" s="9">
        <f t="shared" si="24"/>
        <v>1.1812020109755003E-4</v>
      </c>
      <c r="BG118" s="9">
        <f t="shared" si="20"/>
        <v>0.9812462493885421</v>
      </c>
    </row>
    <row r="119" spans="2:59" x14ac:dyDescent="0.35">
      <c r="B119" s="3" t="s">
        <v>197</v>
      </c>
      <c r="D119" s="141">
        <v>26820</v>
      </c>
      <c r="E119" s="141">
        <v>17520</v>
      </c>
      <c r="F119" s="141">
        <v>24743</v>
      </c>
      <c r="G119" s="141">
        <v>5409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17"/>
        <v>74492</v>
      </c>
      <c r="R119" s="141">
        <v>23215</v>
      </c>
      <c r="S119" s="141">
        <v>17169</v>
      </c>
      <c r="T119" s="141">
        <v>22799</v>
      </c>
      <c r="U119" s="141">
        <v>3906</v>
      </c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18"/>
        <v>67089</v>
      </c>
      <c r="AF119" s="2">
        <f t="shared" si="23"/>
        <v>0.86558538404175989</v>
      </c>
      <c r="AG119" s="2">
        <f t="shared" si="23"/>
        <v>0.97996575342465753</v>
      </c>
      <c r="AH119" s="2">
        <f t="shared" si="23"/>
        <v>0.92143232429373967</v>
      </c>
      <c r="AI119" s="2">
        <f t="shared" si="22"/>
        <v>0.72212978369384362</v>
      </c>
      <c r="AJ119" s="2" t="str">
        <f t="shared" si="22"/>
        <v/>
      </c>
      <c r="AK119" s="2" t="str">
        <f t="shared" si="22"/>
        <v/>
      </c>
      <c r="AL119" s="2" t="str">
        <f t="shared" si="22"/>
        <v/>
      </c>
      <c r="AM119" s="2" t="str">
        <f t="shared" si="22"/>
        <v/>
      </c>
      <c r="AN119" s="2" t="str">
        <f t="shared" si="22"/>
        <v/>
      </c>
      <c r="AO119" s="2" t="str">
        <f t="shared" si="27"/>
        <v/>
      </c>
      <c r="AP119" s="2" t="str">
        <f t="shared" si="27"/>
        <v/>
      </c>
      <c r="AQ119" s="2" t="str">
        <f t="shared" si="27"/>
        <v/>
      </c>
      <c r="AR119" s="2">
        <f t="shared" si="27"/>
        <v>0.90062020082693439</v>
      </c>
      <c r="AT119" s="143">
        <f t="shared" si="25"/>
        <v>0.11438036938289764</v>
      </c>
      <c r="AU119" s="143">
        <f t="shared" si="26"/>
        <v>-5.8533429130917858E-2</v>
      </c>
      <c r="AV119" s="143">
        <f t="shared" si="29"/>
        <v>-0.19930254059989605</v>
      </c>
      <c r="AW119" s="143" t="str">
        <f t="shared" si="29"/>
        <v/>
      </c>
      <c r="AX119" s="143" t="str">
        <f t="shared" si="29"/>
        <v/>
      </c>
      <c r="AY119" s="143" t="str">
        <f t="shared" si="28"/>
        <v/>
      </c>
      <c r="AZ119" s="143" t="str">
        <f t="shared" si="28"/>
        <v/>
      </c>
      <c r="BA119" s="143" t="str">
        <f t="shared" si="28"/>
        <v/>
      </c>
      <c r="BB119" s="143" t="str">
        <f t="shared" si="28"/>
        <v/>
      </c>
      <c r="BC119" s="143" t="str">
        <f t="shared" si="28"/>
        <v/>
      </c>
      <c r="BD119" s="143" t="str">
        <f t="shared" si="28"/>
        <v/>
      </c>
      <c r="BF119" s="9">
        <f t="shared" si="24"/>
        <v>1.1074790261244544E-4</v>
      </c>
      <c r="BG119" s="9">
        <f t="shared" si="20"/>
        <v>0.98135699729115455</v>
      </c>
    </row>
    <row r="120" spans="2:59" x14ac:dyDescent="0.35">
      <c r="B120" s="3" t="s">
        <v>174</v>
      </c>
      <c r="D120" s="141">
        <v>224050</v>
      </c>
      <c r="E120" s="141">
        <v>154023</v>
      </c>
      <c r="F120" s="141">
        <v>195278</v>
      </c>
      <c r="G120" s="141">
        <v>28128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17"/>
        <v>601479</v>
      </c>
      <c r="R120" s="141">
        <v>164307</v>
      </c>
      <c r="S120" s="141">
        <v>107114</v>
      </c>
      <c r="T120" s="141">
        <v>134490</v>
      </c>
      <c r="U120" s="141">
        <v>17778</v>
      </c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18"/>
        <v>423689</v>
      </c>
      <c r="AF120" s="2">
        <f t="shared" si="23"/>
        <v>0.73334969872796252</v>
      </c>
      <c r="AG120" s="2">
        <f t="shared" si="23"/>
        <v>0.69544158989241867</v>
      </c>
      <c r="AH120" s="2">
        <f t="shared" si="23"/>
        <v>0.68871045381456175</v>
      </c>
      <c r="AI120" s="2">
        <f t="shared" si="22"/>
        <v>0.63203924914675769</v>
      </c>
      <c r="AJ120" s="2" t="str">
        <f t="shared" si="22"/>
        <v/>
      </c>
      <c r="AK120" s="2" t="str">
        <f t="shared" si="22"/>
        <v/>
      </c>
      <c r="AL120" s="2" t="str">
        <f t="shared" si="22"/>
        <v/>
      </c>
      <c r="AM120" s="2" t="str">
        <f t="shared" si="22"/>
        <v/>
      </c>
      <c r="AN120" s="2" t="str">
        <f t="shared" si="22"/>
        <v/>
      </c>
      <c r="AO120" s="2" t="str">
        <f t="shared" si="27"/>
        <v/>
      </c>
      <c r="AP120" s="2" t="str">
        <f t="shared" si="27"/>
        <v/>
      </c>
      <c r="AQ120" s="2" t="str">
        <f t="shared" si="27"/>
        <v/>
      </c>
      <c r="AR120" s="2">
        <f t="shared" si="27"/>
        <v>0.70441195785721533</v>
      </c>
      <c r="AT120" s="143">
        <f t="shared" si="25"/>
        <v>-3.7908108835543852E-2</v>
      </c>
      <c r="AU120" s="143">
        <f t="shared" si="26"/>
        <v>-6.731136077856914E-3</v>
      </c>
      <c r="AV120" s="143">
        <f t="shared" si="29"/>
        <v>-5.6671204667804065E-2</v>
      </c>
      <c r="AW120" s="143" t="str">
        <f t="shared" si="29"/>
        <v/>
      </c>
      <c r="AX120" s="143" t="str">
        <f t="shared" si="29"/>
        <v/>
      </c>
      <c r="AY120" s="143" t="str">
        <f t="shared" si="28"/>
        <v/>
      </c>
      <c r="AZ120" s="143" t="str">
        <f t="shared" si="28"/>
        <v/>
      </c>
      <c r="BA120" s="143" t="str">
        <f t="shared" si="28"/>
        <v/>
      </c>
      <c r="BB120" s="143" t="str">
        <f t="shared" si="28"/>
        <v/>
      </c>
      <c r="BC120" s="143" t="str">
        <f t="shared" si="28"/>
        <v/>
      </c>
      <c r="BD120" s="143" t="str">
        <f t="shared" si="28"/>
        <v/>
      </c>
      <c r="BF120" s="9">
        <f t="shared" si="24"/>
        <v>6.9940926396226503E-4</v>
      </c>
      <c r="BG120" s="9">
        <f t="shared" si="20"/>
        <v>0.98205640655511683</v>
      </c>
    </row>
    <row r="121" spans="2:59" x14ac:dyDescent="0.35">
      <c r="B121" s="3" t="s">
        <v>178</v>
      </c>
      <c r="D121" s="141">
        <v>205590</v>
      </c>
      <c r="E121" s="141">
        <v>167870</v>
      </c>
      <c r="F121" s="141">
        <v>150896</v>
      </c>
      <c r="G121" s="141">
        <v>28618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17"/>
        <v>552974</v>
      </c>
      <c r="R121" s="141">
        <v>154646</v>
      </c>
      <c r="S121" s="141">
        <v>128029</v>
      </c>
      <c r="T121" s="141">
        <v>114789</v>
      </c>
      <c r="U121" s="141">
        <v>21134</v>
      </c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18"/>
        <v>418598</v>
      </c>
      <c r="AF121" s="2">
        <f t="shared" si="23"/>
        <v>0.75220584658786904</v>
      </c>
      <c r="AG121" s="2">
        <f t="shared" si="23"/>
        <v>0.76266754035861084</v>
      </c>
      <c r="AH121" s="2">
        <f t="shared" si="23"/>
        <v>0.76071598982080368</v>
      </c>
      <c r="AI121" s="2">
        <f t="shared" si="22"/>
        <v>0.73848626738416379</v>
      </c>
      <c r="AJ121" s="2" t="str">
        <f t="shared" si="22"/>
        <v/>
      </c>
      <c r="AK121" s="2" t="str">
        <f t="shared" si="22"/>
        <v/>
      </c>
      <c r="AL121" s="2" t="str">
        <f t="shared" si="22"/>
        <v/>
      </c>
      <c r="AM121" s="2" t="str">
        <f t="shared" si="22"/>
        <v/>
      </c>
      <c r="AN121" s="2" t="str">
        <f t="shared" si="22"/>
        <v/>
      </c>
      <c r="AO121" s="2" t="str">
        <f t="shared" si="27"/>
        <v/>
      </c>
      <c r="AP121" s="2" t="str">
        <f t="shared" si="27"/>
        <v/>
      </c>
      <c r="AQ121" s="2" t="str">
        <f t="shared" si="27"/>
        <v/>
      </c>
      <c r="AR121" s="2">
        <f t="shared" si="27"/>
        <v>0.75699399971788905</v>
      </c>
      <c r="AT121" s="143">
        <f t="shared" si="25"/>
        <v>1.0461693770741798E-2</v>
      </c>
      <c r="AU121" s="143">
        <f t="shared" si="26"/>
        <v>-1.9515505378071563E-3</v>
      </c>
      <c r="AV121" s="143">
        <f t="shared" si="29"/>
        <v>-2.2229722436639898E-2</v>
      </c>
      <c r="AW121" s="143" t="str">
        <f t="shared" si="29"/>
        <v/>
      </c>
      <c r="AX121" s="143" t="str">
        <f t="shared" si="29"/>
        <v/>
      </c>
      <c r="AY121" s="143" t="str">
        <f t="shared" si="28"/>
        <v/>
      </c>
      <c r="AZ121" s="143" t="str">
        <f t="shared" si="28"/>
        <v/>
      </c>
      <c r="BA121" s="143" t="str">
        <f t="shared" si="28"/>
        <v/>
      </c>
      <c r="BB121" s="143" t="str">
        <f t="shared" si="28"/>
        <v/>
      </c>
      <c r="BC121" s="143" t="str">
        <f t="shared" si="28"/>
        <v/>
      </c>
      <c r="BD121" s="143" t="str">
        <f t="shared" si="28"/>
        <v/>
      </c>
      <c r="BF121" s="9">
        <f t="shared" si="24"/>
        <v>6.9100523987187818E-4</v>
      </c>
      <c r="BG121" s="9">
        <f t="shared" si="20"/>
        <v>0.9827474117949887</v>
      </c>
    </row>
    <row r="122" spans="2:59" x14ac:dyDescent="0.35">
      <c r="B122" s="3" t="s">
        <v>200</v>
      </c>
      <c r="D122" s="141">
        <v>19739</v>
      </c>
      <c r="E122" s="141">
        <v>6194</v>
      </c>
      <c r="F122" s="141">
        <v>13778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141">
        <f t="shared" si="17"/>
        <v>39711</v>
      </c>
      <c r="R122" s="141">
        <v>16850</v>
      </c>
      <c r="S122" s="141">
        <v>5356</v>
      </c>
      <c r="T122" s="141">
        <v>8401</v>
      </c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18"/>
        <v>30607</v>
      </c>
      <c r="AF122" s="2">
        <f t="shared" si="23"/>
        <v>0.85364000202644508</v>
      </c>
      <c r="AG122" s="2">
        <f t="shared" si="23"/>
        <v>0.86470778172424922</v>
      </c>
      <c r="AH122" s="2">
        <f t="shared" si="23"/>
        <v>0.60974016548120191</v>
      </c>
      <c r="AI122" s="2" t="str">
        <f t="shared" si="22"/>
        <v/>
      </c>
      <c r="AJ122" s="2" t="str">
        <f t="shared" si="22"/>
        <v/>
      </c>
      <c r="AK122" s="2" t="str">
        <f t="shared" si="22"/>
        <v/>
      </c>
      <c r="AL122" s="2" t="str">
        <f t="shared" si="22"/>
        <v/>
      </c>
      <c r="AM122" s="2" t="str">
        <f t="shared" si="22"/>
        <v/>
      </c>
      <c r="AN122" s="2" t="str">
        <f t="shared" si="22"/>
        <v/>
      </c>
      <c r="AO122" s="2" t="str">
        <f t="shared" si="27"/>
        <v/>
      </c>
      <c r="AP122" s="2" t="str">
        <f t="shared" si="27"/>
        <v/>
      </c>
      <c r="AQ122" s="2" t="str">
        <f t="shared" si="27"/>
        <v/>
      </c>
      <c r="AR122" s="2">
        <f t="shared" si="27"/>
        <v>0.77074362267381835</v>
      </c>
      <c r="AT122" s="143">
        <f t="shared" si="25"/>
        <v>1.1067779697804148E-2</v>
      </c>
      <c r="AU122" s="143">
        <f t="shared" si="26"/>
        <v>-0.25496761624304731</v>
      </c>
      <c r="AV122" s="143" t="str">
        <f t="shared" si="29"/>
        <v/>
      </c>
      <c r="AW122" s="143" t="str">
        <f t="shared" si="29"/>
        <v/>
      </c>
      <c r="AX122" s="143" t="str">
        <f t="shared" si="29"/>
        <v/>
      </c>
      <c r="AY122" s="143" t="str">
        <f t="shared" si="28"/>
        <v/>
      </c>
      <c r="AZ122" s="143" t="str">
        <f t="shared" si="28"/>
        <v/>
      </c>
      <c r="BA122" s="143" t="str">
        <f t="shared" si="28"/>
        <v/>
      </c>
      <c r="BB122" s="143" t="str">
        <f t="shared" si="28"/>
        <v/>
      </c>
      <c r="BC122" s="143" t="str">
        <f t="shared" si="28"/>
        <v/>
      </c>
      <c r="BD122" s="143" t="str">
        <f t="shared" si="28"/>
        <v/>
      </c>
      <c r="BF122" s="9">
        <f t="shared" si="24"/>
        <v>5.0524840961396318E-5</v>
      </c>
      <c r="BG122" s="9">
        <f t="shared" si="20"/>
        <v>0.98279793663595005</v>
      </c>
    </row>
    <row r="123" spans="2:59" x14ac:dyDescent="0.35">
      <c r="B123" s="3" t="s">
        <v>176</v>
      </c>
      <c r="D123" s="141">
        <v>378041</v>
      </c>
      <c r="E123" s="141">
        <v>353073</v>
      </c>
      <c r="F123" s="141">
        <v>389778</v>
      </c>
      <c r="G123" s="141">
        <v>49274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17"/>
        <v>1170166</v>
      </c>
      <c r="R123" s="141">
        <v>275828</v>
      </c>
      <c r="S123" s="141">
        <v>263125</v>
      </c>
      <c r="T123" s="141">
        <v>287232</v>
      </c>
      <c r="U123" s="141">
        <v>37215</v>
      </c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18"/>
        <v>863400</v>
      </c>
      <c r="AF123" s="2">
        <f t="shared" si="23"/>
        <v>0.72962456453136038</v>
      </c>
      <c r="AG123" s="2">
        <f t="shared" si="23"/>
        <v>0.74524248526508685</v>
      </c>
      <c r="AH123" s="2">
        <f t="shared" si="23"/>
        <v>0.73691178055200657</v>
      </c>
      <c r="AI123" s="2">
        <f t="shared" si="22"/>
        <v>0.75526646913179363</v>
      </c>
      <c r="AJ123" s="2" t="str">
        <f t="shared" si="22"/>
        <v/>
      </c>
      <c r="AK123" s="2" t="str">
        <f t="shared" si="22"/>
        <v/>
      </c>
      <c r="AL123" s="2" t="str">
        <f t="shared" si="22"/>
        <v/>
      </c>
      <c r="AM123" s="2" t="str">
        <f t="shared" si="22"/>
        <v/>
      </c>
      <c r="AN123" s="2" t="str">
        <f t="shared" si="22"/>
        <v/>
      </c>
      <c r="AO123" s="2" t="str">
        <f t="shared" si="27"/>
        <v/>
      </c>
      <c r="AP123" s="2" t="str">
        <f t="shared" si="27"/>
        <v/>
      </c>
      <c r="AQ123" s="2" t="str">
        <f t="shared" si="27"/>
        <v/>
      </c>
      <c r="AR123" s="2">
        <f t="shared" si="27"/>
        <v>0.73784403238514873</v>
      </c>
      <c r="AT123" s="143">
        <f t="shared" si="25"/>
        <v>1.5617920733726476E-2</v>
      </c>
      <c r="AU123" s="143">
        <f t="shared" si="26"/>
        <v>-8.3307047130802836E-3</v>
      </c>
      <c r="AV123" s="143">
        <f t="shared" si="29"/>
        <v>1.835468857978706E-2</v>
      </c>
      <c r="AW123" s="143" t="str">
        <f t="shared" si="29"/>
        <v/>
      </c>
      <c r="AX123" s="143" t="str">
        <f t="shared" si="29"/>
        <v/>
      </c>
      <c r="AY123" s="143" t="str">
        <f t="shared" si="28"/>
        <v/>
      </c>
      <c r="AZ123" s="143" t="str">
        <f t="shared" si="28"/>
        <v/>
      </c>
      <c r="BA123" s="143" t="str">
        <f t="shared" si="28"/>
        <v/>
      </c>
      <c r="BB123" s="143" t="str">
        <f t="shared" si="28"/>
        <v/>
      </c>
      <c r="BC123" s="143" t="str">
        <f t="shared" si="28"/>
        <v/>
      </c>
      <c r="BD123" s="143" t="str">
        <f t="shared" si="28"/>
        <v/>
      </c>
      <c r="BF123" s="9">
        <f t="shared" si="24"/>
        <v>1.4252670201610606E-3</v>
      </c>
      <c r="BG123" s="9">
        <f t="shared" si="20"/>
        <v>0.98422320365611116</v>
      </c>
    </row>
    <row r="124" spans="2:59" x14ac:dyDescent="0.35">
      <c r="B124" s="3" t="s">
        <v>193</v>
      </c>
      <c r="D124" s="141">
        <v>42487</v>
      </c>
      <c r="E124" s="141">
        <v>39513</v>
      </c>
      <c r="F124" s="141">
        <v>49705</v>
      </c>
      <c r="G124" s="141">
        <v>2210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17"/>
        <v>133915</v>
      </c>
      <c r="R124" s="141">
        <v>32552</v>
      </c>
      <c r="S124" s="141">
        <v>29691</v>
      </c>
      <c r="T124" s="141">
        <v>22283</v>
      </c>
      <c r="U124" s="141">
        <v>2210</v>
      </c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18"/>
        <v>86736</v>
      </c>
      <c r="AF124" s="2">
        <f t="shared" si="23"/>
        <v>0.7661637677407207</v>
      </c>
      <c r="AG124" s="2">
        <f t="shared" si="23"/>
        <v>0.75142358211221627</v>
      </c>
      <c r="AH124" s="2">
        <f t="shared" si="23"/>
        <v>0.44830499949703251</v>
      </c>
      <c r="AI124" s="2">
        <f t="shared" si="22"/>
        <v>1</v>
      </c>
      <c r="AJ124" s="2" t="str">
        <f t="shared" si="22"/>
        <v/>
      </c>
      <c r="AK124" s="2" t="str">
        <f t="shared" si="22"/>
        <v/>
      </c>
      <c r="AL124" s="2" t="str">
        <f t="shared" si="22"/>
        <v/>
      </c>
      <c r="AM124" s="2" t="str">
        <f t="shared" si="22"/>
        <v/>
      </c>
      <c r="AN124" s="2" t="str">
        <f t="shared" si="22"/>
        <v/>
      </c>
      <c r="AO124" s="2" t="str">
        <f t="shared" si="27"/>
        <v/>
      </c>
      <c r="AP124" s="2" t="str">
        <f t="shared" si="27"/>
        <v/>
      </c>
      <c r="AQ124" s="2" t="str">
        <f t="shared" si="27"/>
        <v/>
      </c>
      <c r="AR124" s="2">
        <f t="shared" si="27"/>
        <v>0.64769443303588092</v>
      </c>
      <c r="AT124" s="143">
        <f t="shared" si="25"/>
        <v>-1.4740185628504432E-2</v>
      </c>
      <c r="AU124" s="143">
        <f t="shared" si="26"/>
        <v>-0.30311858261518376</v>
      </c>
      <c r="AV124" s="143">
        <f t="shared" si="29"/>
        <v>0.55169500050296749</v>
      </c>
      <c r="AW124" s="143" t="str">
        <f t="shared" si="29"/>
        <v/>
      </c>
      <c r="AX124" s="143" t="str">
        <f t="shared" si="29"/>
        <v/>
      </c>
      <c r="AY124" s="143" t="str">
        <f t="shared" si="28"/>
        <v/>
      </c>
      <c r="AZ124" s="143" t="str">
        <f t="shared" si="28"/>
        <v/>
      </c>
      <c r="BA124" s="143" t="str">
        <f t="shared" si="28"/>
        <v/>
      </c>
      <c r="BB124" s="143" t="str">
        <f t="shared" si="28"/>
        <v/>
      </c>
      <c r="BC124" s="143" t="str">
        <f t="shared" si="28"/>
        <v/>
      </c>
      <c r="BD124" s="143" t="str">
        <f t="shared" si="28"/>
        <v/>
      </c>
      <c r="BF124" s="9">
        <f t="shared" si="24"/>
        <v>1.4318040335961288E-4</v>
      </c>
      <c r="BG124" s="9">
        <f t="shared" si="20"/>
        <v>0.98436638405947074</v>
      </c>
    </row>
    <row r="125" spans="2:59" x14ac:dyDescent="0.35">
      <c r="B125" s="3" t="s">
        <v>179</v>
      </c>
      <c r="D125" s="141">
        <v>69177</v>
      </c>
      <c r="E125" s="141">
        <v>54847</v>
      </c>
      <c r="F125" s="141">
        <v>70516</v>
      </c>
      <c r="G125" s="141">
        <v>6966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17"/>
        <v>201506</v>
      </c>
      <c r="R125" s="141">
        <v>43790</v>
      </c>
      <c r="S125" s="141">
        <v>45388</v>
      </c>
      <c r="T125" s="141">
        <v>57299</v>
      </c>
      <c r="U125" s="141">
        <v>5773</v>
      </c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18"/>
        <v>152250</v>
      </c>
      <c r="AF125" s="2">
        <f t="shared" si="23"/>
        <v>0.63301386298914375</v>
      </c>
      <c r="AG125" s="2">
        <f t="shared" si="23"/>
        <v>0.82753842507338593</v>
      </c>
      <c r="AH125" s="2">
        <f t="shared" si="23"/>
        <v>0.81256736059901302</v>
      </c>
      <c r="AI125" s="2">
        <f t="shared" si="22"/>
        <v>0.82873959230548377</v>
      </c>
      <c r="AJ125" s="2" t="str">
        <f t="shared" si="22"/>
        <v/>
      </c>
      <c r="AK125" s="2" t="str">
        <f t="shared" si="22"/>
        <v/>
      </c>
      <c r="AL125" s="2" t="str">
        <f t="shared" si="22"/>
        <v/>
      </c>
      <c r="AM125" s="2" t="str">
        <f t="shared" si="22"/>
        <v/>
      </c>
      <c r="AN125" s="2" t="str">
        <f t="shared" si="22"/>
        <v/>
      </c>
      <c r="AO125" s="2" t="str">
        <f t="shared" si="27"/>
        <v/>
      </c>
      <c r="AP125" s="2" t="str">
        <f t="shared" si="27"/>
        <v/>
      </c>
      <c r="AQ125" s="2" t="str">
        <f t="shared" si="27"/>
        <v/>
      </c>
      <c r="AR125" s="2">
        <f t="shared" si="27"/>
        <v>0.75556062846763872</v>
      </c>
      <c r="AT125" s="143">
        <f t="shared" si="25"/>
        <v>0.19452456208424218</v>
      </c>
      <c r="AU125" s="143">
        <f t="shared" si="26"/>
        <v>-1.4971064474372908E-2</v>
      </c>
      <c r="AV125" s="143">
        <f t="shared" si="29"/>
        <v>1.6172231706470752E-2</v>
      </c>
      <c r="AW125" s="143" t="str">
        <f t="shared" si="29"/>
        <v/>
      </c>
      <c r="AX125" s="143" t="str">
        <f t="shared" si="29"/>
        <v/>
      </c>
      <c r="AY125" s="143" t="str">
        <f t="shared" si="28"/>
        <v/>
      </c>
      <c r="AZ125" s="143" t="str">
        <f t="shared" si="28"/>
        <v/>
      </c>
      <c r="BA125" s="143" t="str">
        <f t="shared" si="28"/>
        <v/>
      </c>
      <c r="BB125" s="143" t="str">
        <f t="shared" si="28"/>
        <v/>
      </c>
      <c r="BC125" s="143" t="str">
        <f t="shared" si="28"/>
        <v/>
      </c>
      <c r="BD125" s="143" t="str">
        <f t="shared" si="28"/>
        <v/>
      </c>
      <c r="BF125" s="9">
        <f t="shared" si="24"/>
        <v>2.5132835744674716E-4</v>
      </c>
      <c r="BG125" s="9">
        <f t="shared" si="20"/>
        <v>0.98461771241691753</v>
      </c>
    </row>
    <row r="126" spans="2:59" x14ac:dyDescent="0.35">
      <c r="B126" s="3" t="s">
        <v>209</v>
      </c>
      <c r="D126" s="141">
        <v>63771</v>
      </c>
      <c r="E126" s="141">
        <v>41310</v>
      </c>
      <c r="F126" s="141">
        <v>36347</v>
      </c>
      <c r="G126" s="141">
        <v>2841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17"/>
        <v>144269</v>
      </c>
      <c r="R126" s="141">
        <v>48347</v>
      </c>
      <c r="S126" s="141">
        <v>26315</v>
      </c>
      <c r="T126" s="141">
        <v>25190</v>
      </c>
      <c r="U126" s="141">
        <v>1638</v>
      </c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18"/>
        <v>101490</v>
      </c>
      <c r="AF126" s="2">
        <f t="shared" si="23"/>
        <v>0.75813457527716355</v>
      </c>
      <c r="AG126" s="2">
        <f t="shared" si="23"/>
        <v>0.63701282982328733</v>
      </c>
      <c r="AH126" s="2">
        <f t="shared" si="23"/>
        <v>0.69304206674553603</v>
      </c>
      <c r="AI126" s="2">
        <f t="shared" si="22"/>
        <v>0.57655755015839494</v>
      </c>
      <c r="AJ126" s="2" t="str">
        <f t="shared" si="22"/>
        <v/>
      </c>
      <c r="AK126" s="2" t="str">
        <f t="shared" si="22"/>
        <v/>
      </c>
      <c r="AL126" s="2" t="str">
        <f t="shared" si="22"/>
        <v/>
      </c>
      <c r="AM126" s="2" t="str">
        <f t="shared" si="22"/>
        <v/>
      </c>
      <c r="AN126" s="2" t="str">
        <f t="shared" si="22"/>
        <v/>
      </c>
      <c r="AO126" s="2" t="str">
        <f t="shared" si="27"/>
        <v/>
      </c>
      <c r="AP126" s="2" t="str">
        <f t="shared" si="27"/>
        <v/>
      </c>
      <c r="AQ126" s="2" t="str">
        <f t="shared" si="27"/>
        <v/>
      </c>
      <c r="AR126" s="2">
        <f t="shared" si="27"/>
        <v>0.70347753155563564</v>
      </c>
      <c r="AT126" s="143">
        <f t="shared" si="25"/>
        <v>-0.12112174545387622</v>
      </c>
      <c r="AU126" s="143">
        <f t="shared" si="26"/>
        <v>5.6029236922248704E-2</v>
      </c>
      <c r="AV126" s="143">
        <f t="shared" si="29"/>
        <v>-0.1164845165871411</v>
      </c>
      <c r="AW126" s="143" t="str">
        <f t="shared" si="29"/>
        <v/>
      </c>
      <c r="AX126" s="143" t="str">
        <f t="shared" si="29"/>
        <v/>
      </c>
      <c r="AY126" s="143" t="str">
        <f t="shared" si="28"/>
        <v/>
      </c>
      <c r="AZ126" s="143" t="str">
        <f t="shared" si="28"/>
        <v/>
      </c>
      <c r="BA126" s="143" t="str">
        <f t="shared" si="28"/>
        <v/>
      </c>
      <c r="BB126" s="143" t="str">
        <f t="shared" si="28"/>
        <v/>
      </c>
      <c r="BC126" s="143" t="str">
        <f t="shared" si="28"/>
        <v/>
      </c>
      <c r="BD126" s="143" t="str">
        <f t="shared" si="28"/>
        <v/>
      </c>
      <c r="BF126" s="9">
        <f t="shared" si="24"/>
        <v>1.6753573068814691E-4</v>
      </c>
      <c r="BG126" s="9">
        <f t="shared" si="20"/>
        <v>0.98478524814760571</v>
      </c>
    </row>
    <row r="127" spans="2:59" x14ac:dyDescent="0.35">
      <c r="B127" s="3" t="s">
        <v>188</v>
      </c>
      <c r="D127" s="141">
        <v>27292</v>
      </c>
      <c r="E127" s="141">
        <v>12525</v>
      </c>
      <c r="F127" s="141">
        <v>18377</v>
      </c>
      <c r="G127" s="141">
        <v>21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17"/>
        <v>58215</v>
      </c>
      <c r="R127" s="141">
        <v>15298</v>
      </c>
      <c r="S127" s="141">
        <v>7030</v>
      </c>
      <c r="T127" s="141">
        <v>13845</v>
      </c>
      <c r="U127" s="141">
        <v>21</v>
      </c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18"/>
        <v>36194</v>
      </c>
      <c r="AF127" s="2">
        <f t="shared" si="23"/>
        <v>0.56053055840539356</v>
      </c>
      <c r="AG127" s="2">
        <f t="shared" si="23"/>
        <v>0.56127744510978039</v>
      </c>
      <c r="AH127" s="2">
        <f t="shared" si="23"/>
        <v>0.75338738640692171</v>
      </c>
      <c r="AI127" s="2">
        <f t="shared" si="22"/>
        <v>1</v>
      </c>
      <c r="AJ127" s="2" t="str">
        <f t="shared" si="22"/>
        <v/>
      </c>
      <c r="AK127" s="2" t="str">
        <f t="shared" si="22"/>
        <v/>
      </c>
      <c r="AL127" s="2" t="str">
        <f t="shared" si="22"/>
        <v/>
      </c>
      <c r="AM127" s="2" t="str">
        <f t="shared" si="22"/>
        <v/>
      </c>
      <c r="AN127" s="2" t="str">
        <f t="shared" si="22"/>
        <v/>
      </c>
      <c r="AO127" s="2" t="str">
        <f t="shared" si="27"/>
        <v/>
      </c>
      <c r="AP127" s="2" t="str">
        <f t="shared" si="27"/>
        <v/>
      </c>
      <c r="AQ127" s="2" t="str">
        <f t="shared" si="27"/>
        <v/>
      </c>
      <c r="AR127" s="2">
        <f t="shared" si="27"/>
        <v>0.62172979472644507</v>
      </c>
      <c r="AT127" s="143">
        <f t="shared" si="25"/>
        <v>7.468867043868288E-4</v>
      </c>
      <c r="AU127" s="143">
        <f t="shared" si="26"/>
        <v>0.19210994129714132</v>
      </c>
      <c r="AV127" s="143">
        <f t="shared" si="29"/>
        <v>0.24661261359307829</v>
      </c>
      <c r="AW127" s="143" t="str">
        <f t="shared" si="29"/>
        <v/>
      </c>
      <c r="AX127" s="143" t="str">
        <f t="shared" si="29"/>
        <v/>
      </c>
      <c r="AY127" s="143" t="str">
        <f t="shared" si="28"/>
        <v/>
      </c>
      <c r="AZ127" s="143" t="str">
        <f t="shared" si="28"/>
        <v/>
      </c>
      <c r="BA127" s="143" t="str">
        <f t="shared" si="28"/>
        <v/>
      </c>
      <c r="BB127" s="143" t="str">
        <f t="shared" si="28"/>
        <v/>
      </c>
      <c r="BC127" s="143" t="str">
        <f t="shared" si="28"/>
        <v/>
      </c>
      <c r="BD127" s="143" t="str">
        <f t="shared" si="28"/>
        <v/>
      </c>
      <c r="BF127" s="9">
        <f t="shared" si="24"/>
        <v>5.9747642492135079E-5</v>
      </c>
      <c r="BG127" s="9">
        <f t="shared" si="20"/>
        <v>0.98484499579009788</v>
      </c>
    </row>
    <row r="128" spans="2:59" x14ac:dyDescent="0.35">
      <c r="B128" s="3" t="s">
        <v>195</v>
      </c>
      <c r="D128" s="141">
        <v>74245</v>
      </c>
      <c r="E128" s="141">
        <v>63853</v>
      </c>
      <c r="F128" s="141">
        <v>53512</v>
      </c>
      <c r="G128" s="141">
        <v>10573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17"/>
        <v>202183</v>
      </c>
      <c r="R128" s="141">
        <v>54043</v>
      </c>
      <c r="S128" s="141">
        <v>45784</v>
      </c>
      <c r="T128" s="141">
        <v>38072</v>
      </c>
      <c r="U128" s="141">
        <v>7495</v>
      </c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18"/>
        <v>145394</v>
      </c>
      <c r="AF128" s="2">
        <f t="shared" si="23"/>
        <v>0.72790086874537008</v>
      </c>
      <c r="AG128" s="2">
        <f t="shared" si="23"/>
        <v>0.7170219096988395</v>
      </c>
      <c r="AH128" s="2">
        <f t="shared" si="23"/>
        <v>0.71146658693377185</v>
      </c>
      <c r="AI128" s="2">
        <f t="shared" si="22"/>
        <v>0.70888111226709538</v>
      </c>
      <c r="AJ128" s="2" t="str">
        <f t="shared" si="22"/>
        <v/>
      </c>
      <c r="AK128" s="2" t="str">
        <f t="shared" si="22"/>
        <v/>
      </c>
      <c r="AL128" s="2" t="str">
        <f t="shared" si="22"/>
        <v/>
      </c>
      <c r="AM128" s="2" t="str">
        <f t="shared" si="22"/>
        <v/>
      </c>
      <c r="AN128" s="2" t="str">
        <f t="shared" si="22"/>
        <v/>
      </c>
      <c r="AO128" s="2" t="str">
        <f t="shared" si="27"/>
        <v/>
      </c>
      <c r="AP128" s="2" t="str">
        <f t="shared" si="27"/>
        <v/>
      </c>
      <c r="AQ128" s="2" t="str">
        <f t="shared" si="27"/>
        <v/>
      </c>
      <c r="AR128" s="2">
        <f t="shared" si="27"/>
        <v>0.71912079650613558</v>
      </c>
      <c r="AT128" s="143">
        <f t="shared" si="25"/>
        <v>-1.0878959046530579E-2</v>
      </c>
      <c r="AU128" s="143">
        <f t="shared" si="26"/>
        <v>-5.5553227650676495E-3</v>
      </c>
      <c r="AV128" s="143">
        <f t="shared" si="29"/>
        <v>-2.5854746666764683E-3</v>
      </c>
      <c r="AW128" s="143" t="str">
        <f t="shared" si="29"/>
        <v/>
      </c>
      <c r="AX128" s="143" t="str">
        <f t="shared" si="29"/>
        <v/>
      </c>
      <c r="AY128" s="143" t="str">
        <f t="shared" si="28"/>
        <v/>
      </c>
      <c r="AZ128" s="143" t="str">
        <f t="shared" si="28"/>
        <v/>
      </c>
      <c r="BA128" s="143" t="str">
        <f t="shared" si="28"/>
        <v/>
      </c>
      <c r="BB128" s="143" t="str">
        <f t="shared" si="28"/>
        <v/>
      </c>
      <c r="BC128" s="143" t="str">
        <f t="shared" si="28"/>
        <v/>
      </c>
      <c r="BD128" s="143" t="str">
        <f t="shared" si="28"/>
        <v/>
      </c>
      <c r="BF128" s="9">
        <f t="shared" si="24"/>
        <v>2.4001074024704338E-4</v>
      </c>
      <c r="BG128" s="9">
        <f t="shared" si="20"/>
        <v>0.98508500653034492</v>
      </c>
    </row>
    <row r="129" spans="2:59" x14ac:dyDescent="0.35">
      <c r="B129" s="3" t="s">
        <v>206</v>
      </c>
      <c r="D129" s="141">
        <v>62625</v>
      </c>
      <c r="E129" s="141">
        <v>58565</v>
      </c>
      <c r="F129" s="141">
        <v>69018</v>
      </c>
      <c r="G129" s="141">
        <v>5721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17"/>
        <v>195929</v>
      </c>
      <c r="R129" s="141">
        <v>48546</v>
      </c>
      <c r="S129" s="141">
        <v>45757</v>
      </c>
      <c r="T129" s="141">
        <v>53130</v>
      </c>
      <c r="U129" s="141">
        <v>5081</v>
      </c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18"/>
        <v>152514</v>
      </c>
      <c r="AF129" s="2">
        <f t="shared" si="23"/>
        <v>0.77518562874251495</v>
      </c>
      <c r="AG129" s="2">
        <f t="shared" si="23"/>
        <v>0.78130282591991806</v>
      </c>
      <c r="AH129" s="2">
        <f t="shared" si="23"/>
        <v>0.76979918282187254</v>
      </c>
      <c r="AI129" s="2">
        <f t="shared" si="22"/>
        <v>0.88813144555147705</v>
      </c>
      <c r="AJ129" s="2" t="str">
        <f t="shared" si="22"/>
        <v/>
      </c>
      <c r="AK129" s="2" t="str">
        <f t="shared" si="22"/>
        <v/>
      </c>
      <c r="AL129" s="2" t="str">
        <f t="shared" si="22"/>
        <v/>
      </c>
      <c r="AM129" s="2" t="str">
        <f t="shared" si="22"/>
        <v/>
      </c>
      <c r="AN129" s="2" t="str">
        <f t="shared" si="22"/>
        <v/>
      </c>
      <c r="AO129" s="2" t="str">
        <f t="shared" si="27"/>
        <v/>
      </c>
      <c r="AP129" s="2" t="str">
        <f t="shared" si="27"/>
        <v/>
      </c>
      <c r="AQ129" s="2" t="str">
        <f t="shared" si="27"/>
        <v/>
      </c>
      <c r="AR129" s="2">
        <f t="shared" si="27"/>
        <v>0.77841462978936249</v>
      </c>
      <c r="AT129" s="143">
        <f t="shared" si="25"/>
        <v>6.1171971774031109E-3</v>
      </c>
      <c r="AU129" s="143">
        <f t="shared" si="26"/>
        <v>-1.1503643098045524E-2</v>
      </c>
      <c r="AV129" s="143">
        <f t="shared" si="29"/>
        <v>0.11833226272960451</v>
      </c>
      <c r="AW129" s="143" t="str">
        <f t="shared" si="29"/>
        <v/>
      </c>
      <c r="AX129" s="143" t="str">
        <f t="shared" si="29"/>
        <v/>
      </c>
      <c r="AY129" s="143" t="str">
        <f t="shared" si="28"/>
        <v/>
      </c>
      <c r="AZ129" s="143" t="str">
        <f t="shared" si="28"/>
        <v/>
      </c>
      <c r="BA129" s="143" t="str">
        <f t="shared" si="28"/>
        <v/>
      </c>
      <c r="BB129" s="143" t="str">
        <f t="shared" si="28"/>
        <v/>
      </c>
      <c r="BC129" s="143" t="str">
        <f t="shared" si="28"/>
        <v/>
      </c>
      <c r="BD129" s="143" t="str">
        <f t="shared" si="28"/>
        <v/>
      </c>
      <c r="BF129" s="9">
        <f t="shared" si="24"/>
        <v>2.5176415834241836E-4</v>
      </c>
      <c r="BG129" s="9">
        <f t="shared" si="20"/>
        <v>0.9853367706886873</v>
      </c>
    </row>
    <row r="130" spans="2:59" x14ac:dyDescent="0.35">
      <c r="B130" s="3" t="s">
        <v>210</v>
      </c>
      <c r="D130" s="141">
        <v>51634</v>
      </c>
      <c r="E130" s="141">
        <v>34824</v>
      </c>
      <c r="F130" s="141">
        <v>38528</v>
      </c>
      <c r="G130" s="141">
        <v>2883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17"/>
        <v>127869</v>
      </c>
      <c r="R130" s="141">
        <v>39039</v>
      </c>
      <c r="S130" s="141">
        <v>27126</v>
      </c>
      <c r="T130" s="141">
        <v>26450</v>
      </c>
      <c r="U130" s="141">
        <v>1836</v>
      </c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18"/>
        <v>94451</v>
      </c>
      <c r="AF130" s="2">
        <f t="shared" si="23"/>
        <v>0.75607158074137193</v>
      </c>
      <c r="AG130" s="2">
        <f t="shared" si="23"/>
        <v>0.7789455547898001</v>
      </c>
      <c r="AH130" s="2">
        <f t="shared" si="23"/>
        <v>0.68651370431893688</v>
      </c>
      <c r="AI130" s="2">
        <f t="shared" si="22"/>
        <v>0.63683662851196665</v>
      </c>
      <c r="AJ130" s="2" t="str">
        <f t="shared" si="22"/>
        <v/>
      </c>
      <c r="AK130" s="2" t="str">
        <f t="shared" si="22"/>
        <v/>
      </c>
      <c r="AL130" s="2" t="str">
        <f t="shared" si="22"/>
        <v/>
      </c>
      <c r="AM130" s="2" t="str">
        <f t="shared" si="22"/>
        <v/>
      </c>
      <c r="AN130" s="2" t="str">
        <f t="shared" si="22"/>
        <v/>
      </c>
      <c r="AO130" s="2" t="str">
        <f t="shared" si="27"/>
        <v/>
      </c>
      <c r="AP130" s="2" t="str">
        <f t="shared" si="27"/>
        <v/>
      </c>
      <c r="AQ130" s="2" t="str">
        <f t="shared" si="27"/>
        <v/>
      </c>
      <c r="AR130" s="2">
        <f t="shared" si="27"/>
        <v>0.73865440411671324</v>
      </c>
      <c r="AT130" s="143">
        <f t="shared" si="25"/>
        <v>2.287397404842817E-2</v>
      </c>
      <c r="AU130" s="143">
        <f t="shared" si="26"/>
        <v>-9.2431850470863219E-2</v>
      </c>
      <c r="AV130" s="143">
        <f t="shared" si="29"/>
        <v>-4.9677075806970228E-2</v>
      </c>
      <c r="AW130" s="143" t="str">
        <f t="shared" si="29"/>
        <v/>
      </c>
      <c r="AX130" s="143" t="str">
        <f t="shared" si="29"/>
        <v/>
      </c>
      <c r="AY130" s="143" t="str">
        <f t="shared" si="28"/>
        <v/>
      </c>
      <c r="AZ130" s="143" t="str">
        <f t="shared" si="28"/>
        <v/>
      </c>
      <c r="BA130" s="143" t="str">
        <f t="shared" si="28"/>
        <v/>
      </c>
      <c r="BB130" s="143" t="str">
        <f t="shared" si="28"/>
        <v/>
      </c>
      <c r="BC130" s="143" t="str">
        <f t="shared" si="28"/>
        <v/>
      </c>
      <c r="BD130" s="143" t="str">
        <f t="shared" si="28"/>
        <v/>
      </c>
      <c r="BF130" s="9">
        <f t="shared" si="24"/>
        <v>1.5591602423121651E-4</v>
      </c>
      <c r="BG130" s="9">
        <f t="shared" si="20"/>
        <v>0.98549268671291856</v>
      </c>
    </row>
    <row r="131" spans="2:59" x14ac:dyDescent="0.35">
      <c r="B131" s="3" t="s">
        <v>239</v>
      </c>
      <c r="D131" s="141">
        <v>5890</v>
      </c>
      <c r="E131" s="141">
        <v>8256</v>
      </c>
      <c r="F131" s="141">
        <v>23793</v>
      </c>
      <c r="G131" s="141">
        <v>80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17"/>
        <v>38019</v>
      </c>
      <c r="R131" s="141">
        <v>3395</v>
      </c>
      <c r="S131" s="141">
        <v>5902</v>
      </c>
      <c r="T131" s="141">
        <v>14753</v>
      </c>
      <c r="U131" s="141">
        <v>80</v>
      </c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18"/>
        <v>24130</v>
      </c>
      <c r="AF131" s="2">
        <f t="shared" si="23"/>
        <v>0.57640067911714776</v>
      </c>
      <c r="AG131" s="2">
        <f t="shared" si="23"/>
        <v>0.71487403100775193</v>
      </c>
      <c r="AH131" s="2">
        <f t="shared" si="23"/>
        <v>0.62005631908544534</v>
      </c>
      <c r="AI131" s="2">
        <f t="shared" si="22"/>
        <v>1</v>
      </c>
      <c r="AJ131" s="2" t="str">
        <f t="shared" si="22"/>
        <v/>
      </c>
      <c r="AK131" s="2" t="str">
        <f t="shared" si="22"/>
        <v/>
      </c>
      <c r="AL131" s="2" t="str">
        <f t="shared" si="22"/>
        <v/>
      </c>
      <c r="AM131" s="2" t="str">
        <f t="shared" si="22"/>
        <v/>
      </c>
      <c r="AN131" s="2" t="str">
        <f t="shared" si="22"/>
        <v/>
      </c>
      <c r="AO131" s="2" t="str">
        <f t="shared" si="27"/>
        <v/>
      </c>
      <c r="AP131" s="2" t="str">
        <f t="shared" si="27"/>
        <v/>
      </c>
      <c r="AQ131" s="2" t="str">
        <f t="shared" si="27"/>
        <v/>
      </c>
      <c r="AR131" s="2">
        <f t="shared" si="27"/>
        <v>0.63468265867066465</v>
      </c>
      <c r="AT131" s="143">
        <f t="shared" si="25"/>
        <v>0.13847335189060417</v>
      </c>
      <c r="AU131" s="143">
        <f t="shared" si="26"/>
        <v>-9.4817711922306591E-2</v>
      </c>
      <c r="AV131" s="143">
        <f t="shared" si="29"/>
        <v>0.37994368091455466</v>
      </c>
      <c r="AW131" s="143" t="str">
        <f t="shared" si="29"/>
        <v/>
      </c>
      <c r="AX131" s="143" t="str">
        <f t="shared" si="29"/>
        <v/>
      </c>
      <c r="AY131" s="143" t="str">
        <f t="shared" si="28"/>
        <v/>
      </c>
      <c r="AZ131" s="143" t="str">
        <f t="shared" si="28"/>
        <v/>
      </c>
      <c r="BA131" s="143" t="str">
        <f t="shared" si="28"/>
        <v/>
      </c>
      <c r="BB131" s="143" t="str">
        <f t="shared" si="28"/>
        <v/>
      </c>
      <c r="BC131" s="143" t="str">
        <f t="shared" si="28"/>
        <v/>
      </c>
      <c r="BD131" s="143" t="str">
        <f t="shared" si="28"/>
        <v/>
      </c>
      <c r="BF131" s="9">
        <f t="shared" si="24"/>
        <v>3.9832862168735691E-5</v>
      </c>
      <c r="BG131" s="9">
        <f t="shared" si="20"/>
        <v>0.98553251957508725</v>
      </c>
    </row>
    <row r="132" spans="2:59" x14ac:dyDescent="0.35">
      <c r="B132" s="3" t="s">
        <v>205</v>
      </c>
      <c r="D132" s="141">
        <v>37365</v>
      </c>
      <c r="E132" s="141">
        <v>32893</v>
      </c>
      <c r="F132" s="141">
        <v>48329</v>
      </c>
      <c r="G132" s="141">
        <v>3246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si="17"/>
        <v>121833</v>
      </c>
      <c r="R132" s="141">
        <v>25299</v>
      </c>
      <c r="S132" s="141">
        <v>22675</v>
      </c>
      <c r="T132" s="141">
        <v>30150</v>
      </c>
      <c r="U132" s="141">
        <v>1662</v>
      </c>
      <c r="V132" s="141"/>
      <c r="W132" s="141"/>
      <c r="X132" s="141"/>
      <c r="Y132" s="141"/>
      <c r="Z132" s="141"/>
      <c r="AA132" s="141"/>
      <c r="AB132" s="141"/>
      <c r="AC132" s="141"/>
      <c r="AD132" s="141">
        <f t="shared" si="18"/>
        <v>79786</v>
      </c>
      <c r="AF132" s="2">
        <f t="shared" si="23"/>
        <v>0.67707747892412684</v>
      </c>
      <c r="AG132" s="2">
        <f t="shared" si="23"/>
        <v>0.68935639801781534</v>
      </c>
      <c r="AH132" s="2">
        <f t="shared" si="23"/>
        <v>0.62384903474104569</v>
      </c>
      <c r="AI132" s="2">
        <f t="shared" si="22"/>
        <v>0.51201478743068396</v>
      </c>
      <c r="AJ132" s="2" t="str">
        <f t="shared" si="22"/>
        <v/>
      </c>
      <c r="AK132" s="2" t="str">
        <f t="shared" si="22"/>
        <v/>
      </c>
      <c r="AL132" s="2" t="str">
        <f t="shared" si="22"/>
        <v/>
      </c>
      <c r="AM132" s="2" t="str">
        <f t="shared" si="22"/>
        <v/>
      </c>
      <c r="AN132" s="2" t="str">
        <f t="shared" si="22"/>
        <v/>
      </c>
      <c r="AO132" s="2" t="str">
        <f t="shared" si="27"/>
        <v/>
      </c>
      <c r="AP132" s="2" t="str">
        <f t="shared" si="27"/>
        <v/>
      </c>
      <c r="AQ132" s="2" t="str">
        <f t="shared" si="27"/>
        <v/>
      </c>
      <c r="AR132" s="2">
        <f t="shared" si="27"/>
        <v>0.65488004071146566</v>
      </c>
      <c r="AT132" s="143">
        <f t="shared" si="25"/>
        <v>1.2278919093688501E-2</v>
      </c>
      <c r="AU132" s="143">
        <f t="shared" si="26"/>
        <v>-6.5507363276769648E-2</v>
      </c>
      <c r="AV132" s="143">
        <f t="shared" si="29"/>
        <v>-0.11183424731036173</v>
      </c>
      <c r="AW132" s="143" t="str">
        <f t="shared" si="29"/>
        <v/>
      </c>
      <c r="AX132" s="143" t="str">
        <f t="shared" si="29"/>
        <v/>
      </c>
      <c r="AY132" s="143" t="str">
        <f t="shared" si="28"/>
        <v/>
      </c>
      <c r="AZ132" s="143" t="str">
        <f t="shared" si="28"/>
        <v/>
      </c>
      <c r="BA132" s="143" t="str">
        <f t="shared" si="28"/>
        <v/>
      </c>
      <c r="BB132" s="143" t="str">
        <f t="shared" si="28"/>
        <v/>
      </c>
      <c r="BC132" s="143" t="str">
        <f t="shared" si="28"/>
        <v/>
      </c>
      <c r="BD132" s="143" t="str">
        <f t="shared" si="28"/>
        <v/>
      </c>
      <c r="BF132" s="9">
        <f t="shared" si="24"/>
        <v>1.3170761462887466E-4</v>
      </c>
      <c r="BG132" s="9">
        <f t="shared" si="20"/>
        <v>0.98566422718971614</v>
      </c>
    </row>
    <row r="133" spans="2:59" x14ac:dyDescent="0.35">
      <c r="B133" s="3" t="s">
        <v>230</v>
      </c>
      <c r="D133" s="141">
        <v>15152</v>
      </c>
      <c r="E133" s="141">
        <v>15972</v>
      </c>
      <c r="F133" s="141">
        <v>15558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5" si="30">+SUM(D133:O133)</f>
        <v>46682</v>
      </c>
      <c r="R133" s="141">
        <v>14668</v>
      </c>
      <c r="S133" s="141">
        <v>15512</v>
      </c>
      <c r="T133" s="141">
        <v>14591</v>
      </c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>
        <f t="shared" ref="AD133:AD195" si="31">+SUM(R133:AC133)</f>
        <v>44771</v>
      </c>
      <c r="AF133" s="2">
        <f t="shared" si="23"/>
        <v>0.96805702217529044</v>
      </c>
      <c r="AG133" s="2">
        <f t="shared" si="23"/>
        <v>0.97119959929877286</v>
      </c>
      <c r="AH133" s="2">
        <f t="shared" si="23"/>
        <v>0.93784548142434765</v>
      </c>
      <c r="AI133" s="2" t="str">
        <f t="shared" si="22"/>
        <v/>
      </c>
      <c r="AJ133" s="2" t="str">
        <f t="shared" si="22"/>
        <v/>
      </c>
      <c r="AK133" s="2" t="str">
        <f t="shared" si="22"/>
        <v/>
      </c>
      <c r="AL133" s="2" t="str">
        <f t="shared" si="22"/>
        <v/>
      </c>
      <c r="AM133" s="2" t="str">
        <f t="shared" si="22"/>
        <v/>
      </c>
      <c r="AN133" s="2" t="str">
        <f t="shared" si="22"/>
        <v/>
      </c>
      <c r="AO133" s="2" t="str">
        <f t="shared" si="27"/>
        <v/>
      </c>
      <c r="AP133" s="2" t="str">
        <f t="shared" si="27"/>
        <v/>
      </c>
      <c r="AQ133" s="2" t="str">
        <f t="shared" si="27"/>
        <v/>
      </c>
      <c r="AR133" s="2">
        <f t="shared" si="27"/>
        <v>0.95906345058052356</v>
      </c>
      <c r="AT133" s="143">
        <f t="shared" si="25"/>
        <v>3.1425771234824262E-3</v>
      </c>
      <c r="AU133" s="143">
        <f t="shared" si="26"/>
        <v>-3.3354117874425215E-2</v>
      </c>
      <c r="AV133" s="143" t="str">
        <f t="shared" si="29"/>
        <v/>
      </c>
      <c r="AW133" s="143" t="str">
        <f t="shared" si="29"/>
        <v/>
      </c>
      <c r="AX133" s="143" t="str">
        <f t="shared" si="29"/>
        <v/>
      </c>
      <c r="AY133" s="143" t="str">
        <f t="shared" si="28"/>
        <v/>
      </c>
      <c r="AZ133" s="143" t="str">
        <f t="shared" si="28"/>
        <v/>
      </c>
      <c r="BA133" s="143" t="str">
        <f t="shared" si="28"/>
        <v/>
      </c>
      <c r="BB133" s="143" t="str">
        <f t="shared" si="28"/>
        <v/>
      </c>
      <c r="BC133" s="143" t="str">
        <f t="shared" si="28"/>
        <v/>
      </c>
      <c r="BD133" s="143" t="str">
        <f t="shared" si="28"/>
        <v/>
      </c>
      <c r="BF133" s="9">
        <f t="shared" ref="BF133:BF164" si="32">+AD133/$AD$256</f>
        <v>7.3906219318543951E-5</v>
      </c>
      <c r="BG133" s="9">
        <f t="shared" si="20"/>
        <v>0.98573813340903471</v>
      </c>
    </row>
    <row r="134" spans="2:59" x14ac:dyDescent="0.35">
      <c r="B134" s="3" t="s">
        <v>290</v>
      </c>
      <c r="D134" s="141">
        <v>41991</v>
      </c>
      <c r="E134" s="141">
        <v>63170</v>
      </c>
      <c r="F134" s="141">
        <v>87994</v>
      </c>
      <c r="G134" s="141">
        <v>10868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30"/>
        <v>204023</v>
      </c>
      <c r="R134" s="141">
        <v>23973</v>
      </c>
      <c r="S134" s="141">
        <v>47668</v>
      </c>
      <c r="T134" s="141">
        <v>69137</v>
      </c>
      <c r="U134" s="141">
        <v>8141</v>
      </c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31"/>
        <v>148919</v>
      </c>
      <c r="AF134" s="2">
        <f t="shared" si="23"/>
        <v>0.57090805172536974</v>
      </c>
      <c r="AG134" s="2">
        <f t="shared" si="23"/>
        <v>0.75459870191546619</v>
      </c>
      <c r="AH134" s="2">
        <f t="shared" si="23"/>
        <v>0.78570129781576015</v>
      </c>
      <c r="AI134" s="2">
        <f t="shared" si="22"/>
        <v>0.74907986750092015</v>
      </c>
      <c r="AJ134" s="2" t="str">
        <f t="shared" si="22"/>
        <v/>
      </c>
      <c r="AK134" s="2" t="str">
        <f t="shared" si="22"/>
        <v/>
      </c>
      <c r="AL134" s="2" t="str">
        <f t="shared" si="22"/>
        <v/>
      </c>
      <c r="AM134" s="2" t="str">
        <f t="shared" si="22"/>
        <v/>
      </c>
      <c r="AN134" s="2" t="str">
        <f t="shared" si="22"/>
        <v/>
      </c>
      <c r="AO134" s="2" t="str">
        <f t="shared" si="27"/>
        <v/>
      </c>
      <c r="AP134" s="2" t="str">
        <f t="shared" si="27"/>
        <v/>
      </c>
      <c r="AQ134" s="2" t="str">
        <f t="shared" si="27"/>
        <v/>
      </c>
      <c r="AR134" s="2">
        <f t="shared" si="27"/>
        <v>0.72991280394857438</v>
      </c>
      <c r="AT134" s="143">
        <f t="shared" si="25"/>
        <v>0.18369065019009645</v>
      </c>
      <c r="AU134" s="143">
        <f t="shared" si="26"/>
        <v>3.1102595900293961E-2</v>
      </c>
      <c r="AV134" s="143">
        <f t="shared" si="29"/>
        <v>-3.6621430314839998E-2</v>
      </c>
      <c r="AW134" s="143" t="str">
        <f t="shared" si="29"/>
        <v/>
      </c>
      <c r="AX134" s="143" t="str">
        <f t="shared" si="29"/>
        <v/>
      </c>
      <c r="AY134" s="143" t="str">
        <f t="shared" si="28"/>
        <v/>
      </c>
      <c r="AZ134" s="143" t="str">
        <f t="shared" si="28"/>
        <v/>
      </c>
      <c r="BA134" s="143" t="str">
        <f t="shared" si="28"/>
        <v/>
      </c>
      <c r="BB134" s="143" t="str">
        <f t="shared" si="28"/>
        <v/>
      </c>
      <c r="BC134" s="143" t="str">
        <f t="shared" si="28"/>
        <v/>
      </c>
      <c r="BD134" s="143" t="str">
        <f t="shared" si="28"/>
        <v/>
      </c>
      <c r="BF134" s="9">
        <f t="shared" si="32"/>
        <v>2.4582967266083505E-4</v>
      </c>
      <c r="BG134" s="9">
        <f t="shared" ref="BG134:BG197" si="33">+BF134+BG133</f>
        <v>0.98598396308169556</v>
      </c>
    </row>
    <row r="135" spans="2:59" x14ac:dyDescent="0.35">
      <c r="B135" s="3" t="s">
        <v>207</v>
      </c>
      <c r="D135" s="141">
        <v>14178</v>
      </c>
      <c r="E135" s="141">
        <v>32159</v>
      </c>
      <c r="F135" s="141">
        <v>6856</v>
      </c>
      <c r="G135" s="141">
        <v>1040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30"/>
        <v>54233</v>
      </c>
      <c r="R135" s="141">
        <v>10065</v>
      </c>
      <c r="S135" s="141">
        <v>25235</v>
      </c>
      <c r="T135" s="141">
        <v>4423</v>
      </c>
      <c r="U135" s="141">
        <v>1040</v>
      </c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31"/>
        <v>40763</v>
      </c>
      <c r="AF135" s="2">
        <f t="shared" si="23"/>
        <v>0.70990266610241215</v>
      </c>
      <c r="AG135" s="2">
        <f t="shared" si="23"/>
        <v>0.78469479772380979</v>
      </c>
      <c r="AH135" s="2">
        <f t="shared" si="23"/>
        <v>0.64512835472578767</v>
      </c>
      <c r="AI135" s="2">
        <f t="shared" si="22"/>
        <v>1</v>
      </c>
      <c r="AJ135" s="2" t="str">
        <f t="shared" si="22"/>
        <v/>
      </c>
      <c r="AK135" s="2" t="str">
        <f t="shared" si="22"/>
        <v/>
      </c>
      <c r="AL135" s="2" t="str">
        <f t="shared" si="22"/>
        <v/>
      </c>
      <c r="AM135" s="2" t="str">
        <f t="shared" si="22"/>
        <v/>
      </c>
      <c r="AN135" s="2" t="str">
        <f t="shared" si="22"/>
        <v/>
      </c>
      <c r="AO135" s="2" t="str">
        <f t="shared" si="27"/>
        <v/>
      </c>
      <c r="AP135" s="2" t="str">
        <f t="shared" si="27"/>
        <v/>
      </c>
      <c r="AQ135" s="2" t="str">
        <f t="shared" si="27"/>
        <v/>
      </c>
      <c r="AR135" s="2">
        <f t="shared" si="27"/>
        <v>0.75162723802850662</v>
      </c>
      <c r="AT135" s="143">
        <f t="shared" si="25"/>
        <v>7.4792131621397639E-2</v>
      </c>
      <c r="AU135" s="143">
        <f t="shared" si="26"/>
        <v>-0.13956644299802212</v>
      </c>
      <c r="AV135" s="143">
        <f t="shared" si="29"/>
        <v>0.35487164527421233</v>
      </c>
      <c r="AW135" s="143" t="str">
        <f t="shared" si="29"/>
        <v/>
      </c>
      <c r="AX135" s="143" t="str">
        <f t="shared" si="29"/>
        <v/>
      </c>
      <c r="AY135" s="143" t="str">
        <f t="shared" si="28"/>
        <v/>
      </c>
      <c r="AZ135" s="143" t="str">
        <f t="shared" si="28"/>
        <v/>
      </c>
      <c r="BA135" s="143" t="str">
        <f t="shared" si="28"/>
        <v/>
      </c>
      <c r="BB135" s="143" t="str">
        <f t="shared" si="28"/>
        <v/>
      </c>
      <c r="BC135" s="143" t="str">
        <f t="shared" si="28"/>
        <v/>
      </c>
      <c r="BD135" s="143" t="str">
        <f t="shared" si="28"/>
        <v/>
      </c>
      <c r="BF135" s="9">
        <f t="shared" si="32"/>
        <v>6.728996935699017E-5</v>
      </c>
      <c r="BG135" s="9">
        <f t="shared" si="33"/>
        <v>0.98605125305105257</v>
      </c>
    </row>
    <row r="136" spans="2:59" x14ac:dyDescent="0.35">
      <c r="B136" s="3" t="s">
        <v>231</v>
      </c>
      <c r="D136" s="141">
        <v>58596</v>
      </c>
      <c r="E136" s="141">
        <v>213454</v>
      </c>
      <c r="F136" s="141">
        <v>198864</v>
      </c>
      <c r="G136" s="141">
        <v>4901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30"/>
        <v>475815</v>
      </c>
      <c r="R136" s="141">
        <v>48264</v>
      </c>
      <c r="S136" s="141">
        <v>158165</v>
      </c>
      <c r="T136" s="141">
        <v>147133</v>
      </c>
      <c r="U136" s="141">
        <v>4231</v>
      </c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31"/>
        <v>357793</v>
      </c>
      <c r="AF136" s="2">
        <f t="shared" si="23"/>
        <v>0.82367397091951666</v>
      </c>
      <c r="AG136" s="2">
        <f t="shared" si="23"/>
        <v>0.74097932107151887</v>
      </c>
      <c r="AH136" s="2">
        <f t="shared" si="23"/>
        <v>0.73986744709952534</v>
      </c>
      <c r="AI136" s="2">
        <f t="shared" si="22"/>
        <v>0.86329320546827182</v>
      </c>
      <c r="AJ136" s="2" t="str">
        <f t="shared" si="22"/>
        <v/>
      </c>
      <c r="AK136" s="2" t="str">
        <f t="shared" si="22"/>
        <v/>
      </c>
      <c r="AL136" s="2" t="str">
        <f t="shared" si="22"/>
        <v/>
      </c>
      <c r="AM136" s="2" t="str">
        <f t="shared" si="22"/>
        <v/>
      </c>
      <c r="AN136" s="2" t="str">
        <f t="shared" si="22"/>
        <v/>
      </c>
      <c r="AO136" s="2" t="str">
        <f t="shared" si="27"/>
        <v/>
      </c>
      <c r="AP136" s="2" t="str">
        <f t="shared" si="27"/>
        <v/>
      </c>
      <c r="AQ136" s="2" t="str">
        <f t="shared" si="27"/>
        <v/>
      </c>
      <c r="AR136" s="2">
        <f t="shared" si="27"/>
        <v>0.75195821905572546</v>
      </c>
      <c r="AT136" s="143">
        <f t="shared" si="25"/>
        <v>-8.2694649847997792E-2</v>
      </c>
      <c r="AU136" s="143">
        <f t="shared" si="26"/>
        <v>-1.1118739719935267E-3</v>
      </c>
      <c r="AV136" s="143">
        <f t="shared" si="29"/>
        <v>0.12342575836874647</v>
      </c>
      <c r="AW136" s="143" t="str">
        <f t="shared" si="29"/>
        <v/>
      </c>
      <c r="AX136" s="143" t="str">
        <f t="shared" si="29"/>
        <v/>
      </c>
      <c r="AY136" s="143" t="str">
        <f t="shared" si="28"/>
        <v/>
      </c>
      <c r="AZ136" s="143" t="str">
        <f t="shared" si="28"/>
        <v/>
      </c>
      <c r="BA136" s="143" t="str">
        <f t="shared" si="28"/>
        <v/>
      </c>
      <c r="BB136" s="143" t="str">
        <f t="shared" si="28"/>
        <v/>
      </c>
      <c r="BC136" s="143" t="str">
        <f t="shared" si="28"/>
        <v/>
      </c>
      <c r="BD136" s="143" t="str">
        <f t="shared" si="28"/>
        <v/>
      </c>
      <c r="BF136" s="9">
        <f t="shared" si="32"/>
        <v>5.906307191851823E-4</v>
      </c>
      <c r="BG136" s="9">
        <f t="shared" si="33"/>
        <v>0.98664188377023776</v>
      </c>
    </row>
    <row r="137" spans="2:59" x14ac:dyDescent="0.35">
      <c r="B137" s="3" t="s">
        <v>180</v>
      </c>
      <c r="D137" s="141">
        <v>1248998</v>
      </c>
      <c r="E137" s="141">
        <v>1115107</v>
      </c>
      <c r="F137" s="141">
        <v>1479150</v>
      </c>
      <c r="G137" s="141">
        <v>101886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30"/>
        <v>3945141</v>
      </c>
      <c r="R137" s="141">
        <v>887579</v>
      </c>
      <c r="S137" s="141">
        <v>778209</v>
      </c>
      <c r="T137" s="141">
        <v>1020795</v>
      </c>
      <c r="U137" s="141">
        <v>75691</v>
      </c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31"/>
        <v>2762274</v>
      </c>
      <c r="AF137" s="2">
        <f t="shared" si="23"/>
        <v>0.71063284328717902</v>
      </c>
      <c r="AG137" s="2">
        <f t="shared" si="23"/>
        <v>0.6978783201970753</v>
      </c>
      <c r="AH137" s="2">
        <f t="shared" si="23"/>
        <v>0.69012270560795053</v>
      </c>
      <c r="AI137" s="2">
        <f t="shared" si="22"/>
        <v>0.74289892625090792</v>
      </c>
      <c r="AJ137" s="2" t="str">
        <f t="shared" si="22"/>
        <v/>
      </c>
      <c r="AK137" s="2" t="str">
        <f t="shared" si="22"/>
        <v/>
      </c>
      <c r="AL137" s="2" t="str">
        <f t="shared" si="22"/>
        <v/>
      </c>
      <c r="AM137" s="2" t="str">
        <f t="shared" si="22"/>
        <v/>
      </c>
      <c r="AN137" s="2" t="str">
        <f t="shared" si="22"/>
        <v/>
      </c>
      <c r="AO137" s="2" t="str">
        <f t="shared" si="27"/>
        <v/>
      </c>
      <c r="AP137" s="2" t="str">
        <f t="shared" si="27"/>
        <v/>
      </c>
      <c r="AQ137" s="2" t="str">
        <f t="shared" si="27"/>
        <v/>
      </c>
      <c r="AR137" s="2">
        <f t="shared" si="27"/>
        <v>0.70017117258926864</v>
      </c>
      <c r="AT137" s="143">
        <f t="shared" si="25"/>
        <v>-1.275452309010372E-2</v>
      </c>
      <c r="AU137" s="143">
        <f t="shared" si="26"/>
        <v>-7.7556145891247708E-3</v>
      </c>
      <c r="AV137" s="143">
        <f t="shared" si="29"/>
        <v>5.2776220642957394E-2</v>
      </c>
      <c r="AW137" s="143" t="str">
        <f t="shared" si="29"/>
        <v/>
      </c>
      <c r="AX137" s="143" t="str">
        <f t="shared" si="29"/>
        <v/>
      </c>
      <c r="AY137" s="143" t="str">
        <f t="shared" si="28"/>
        <v/>
      </c>
      <c r="AZ137" s="143" t="str">
        <f t="shared" si="28"/>
        <v/>
      </c>
      <c r="BA137" s="143" t="str">
        <f t="shared" si="28"/>
        <v/>
      </c>
      <c r="BB137" s="143" t="str">
        <f t="shared" si="28"/>
        <v/>
      </c>
      <c r="BC137" s="143" t="str">
        <f t="shared" si="28"/>
        <v/>
      </c>
      <c r="BD137" s="143" t="str">
        <f t="shared" si="28"/>
        <v/>
      </c>
      <c r="BF137" s="9">
        <f t="shared" si="32"/>
        <v>4.5598541033685129E-3</v>
      </c>
      <c r="BG137" s="9">
        <f t="shared" si="33"/>
        <v>0.99120173787360633</v>
      </c>
    </row>
    <row r="138" spans="2:59" x14ac:dyDescent="0.35">
      <c r="B138" s="3" t="s">
        <v>261</v>
      </c>
      <c r="D138" s="141">
        <v>20181</v>
      </c>
      <c r="E138" s="141">
        <v>18717</v>
      </c>
      <c r="F138" s="141">
        <v>22900</v>
      </c>
      <c r="G138" s="141">
        <v>1836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30"/>
        <v>63634</v>
      </c>
      <c r="R138" s="141">
        <v>16629</v>
      </c>
      <c r="S138" s="141">
        <v>9988</v>
      </c>
      <c r="T138" s="141">
        <v>14135</v>
      </c>
      <c r="U138" s="141">
        <v>1108</v>
      </c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31"/>
        <v>41860</v>
      </c>
      <c r="AF138" s="2">
        <f t="shared" si="23"/>
        <v>0.82399286457559096</v>
      </c>
      <c r="AG138" s="2">
        <f t="shared" si="23"/>
        <v>0.53363252658011429</v>
      </c>
      <c r="AH138" s="2">
        <f t="shared" si="23"/>
        <v>0.61724890829694323</v>
      </c>
      <c r="AI138" s="2">
        <f t="shared" si="22"/>
        <v>0.60348583877995643</v>
      </c>
      <c r="AJ138" s="2" t="str">
        <f t="shared" si="22"/>
        <v/>
      </c>
      <c r="AK138" s="2" t="str">
        <f t="shared" si="22"/>
        <v/>
      </c>
      <c r="AL138" s="2" t="str">
        <f t="shared" si="22"/>
        <v/>
      </c>
      <c r="AM138" s="2" t="str">
        <f t="shared" si="22"/>
        <v/>
      </c>
      <c r="AN138" s="2" t="str">
        <f t="shared" si="22"/>
        <v/>
      </c>
      <c r="AO138" s="2" t="str">
        <f t="shared" si="27"/>
        <v/>
      </c>
      <c r="AP138" s="2" t="str">
        <f t="shared" si="27"/>
        <v/>
      </c>
      <c r="AQ138" s="2" t="str">
        <f t="shared" si="27"/>
        <v/>
      </c>
      <c r="AR138" s="2">
        <f t="shared" si="27"/>
        <v>0.6578244334789578</v>
      </c>
      <c r="AT138" s="143">
        <f t="shared" si="25"/>
        <v>-0.29036033799547667</v>
      </c>
      <c r="AU138" s="143">
        <f t="shared" si="26"/>
        <v>8.3616381716828947E-2</v>
      </c>
      <c r="AV138" s="143">
        <f t="shared" si="29"/>
        <v>-1.3763069516986803E-2</v>
      </c>
      <c r="AW138" s="143" t="str">
        <f t="shared" si="29"/>
        <v/>
      </c>
      <c r="AX138" s="143" t="str">
        <f t="shared" si="29"/>
        <v/>
      </c>
      <c r="AY138" s="143" t="str">
        <f t="shared" si="28"/>
        <v/>
      </c>
      <c r="AZ138" s="143" t="str">
        <f t="shared" si="28"/>
        <v/>
      </c>
      <c r="BA138" s="143" t="str">
        <f t="shared" si="28"/>
        <v/>
      </c>
      <c r="BB138" s="143" t="str">
        <f t="shared" si="28"/>
        <v/>
      </c>
      <c r="BC138" s="143" t="str">
        <f t="shared" si="28"/>
        <v/>
      </c>
      <c r="BD138" s="143" t="str">
        <f t="shared" si="28"/>
        <v/>
      </c>
      <c r="BF138" s="9">
        <f t="shared" si="32"/>
        <v>6.910085413938151E-5</v>
      </c>
      <c r="BG138" s="9">
        <f t="shared" si="33"/>
        <v>0.99127083872774568</v>
      </c>
    </row>
    <row r="139" spans="2:59" x14ac:dyDescent="0.35">
      <c r="B139" s="3" t="s">
        <v>208</v>
      </c>
      <c r="D139" s="141">
        <v>22817</v>
      </c>
      <c r="E139" s="141">
        <v>34795</v>
      </c>
      <c r="F139" s="141">
        <v>29136</v>
      </c>
      <c r="G139" s="141">
        <v>712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30"/>
        <v>87460</v>
      </c>
      <c r="R139" s="141">
        <v>18638</v>
      </c>
      <c r="S139" s="141">
        <v>24024</v>
      </c>
      <c r="T139" s="141">
        <v>25196</v>
      </c>
      <c r="U139" s="141">
        <v>162</v>
      </c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31"/>
        <v>68020</v>
      </c>
      <c r="AF139" s="2">
        <f t="shared" si="23"/>
        <v>0.81684708769776926</v>
      </c>
      <c r="AG139" s="2">
        <f t="shared" si="23"/>
        <v>0.69044402931455673</v>
      </c>
      <c r="AH139" s="2">
        <f t="shared" si="23"/>
        <v>0.864772103239978</v>
      </c>
      <c r="AI139" s="2">
        <f t="shared" si="22"/>
        <v>0.22752808988764045</v>
      </c>
      <c r="AJ139" s="2" t="str">
        <f t="shared" si="22"/>
        <v/>
      </c>
      <c r="AK139" s="2" t="str">
        <f t="shared" si="22"/>
        <v/>
      </c>
      <c r="AL139" s="2" t="str">
        <f t="shared" si="22"/>
        <v/>
      </c>
      <c r="AM139" s="2" t="str">
        <f t="shared" si="22"/>
        <v/>
      </c>
      <c r="AN139" s="2" t="str">
        <f t="shared" si="22"/>
        <v/>
      </c>
      <c r="AO139" s="2" t="str">
        <f t="shared" si="27"/>
        <v/>
      </c>
      <c r="AP139" s="2" t="str">
        <f t="shared" si="27"/>
        <v/>
      </c>
      <c r="AQ139" s="2" t="str">
        <f t="shared" si="27"/>
        <v/>
      </c>
      <c r="AR139" s="2">
        <f t="shared" si="27"/>
        <v>0.7777269608964098</v>
      </c>
      <c r="AT139" s="143">
        <f t="shared" si="25"/>
        <v>-0.12640305838321253</v>
      </c>
      <c r="AU139" s="143">
        <f t="shared" si="26"/>
        <v>0.17432807392542127</v>
      </c>
      <c r="AV139" s="143">
        <f t="shared" si="29"/>
        <v>-0.6372440133523376</v>
      </c>
      <c r="AW139" s="143" t="str">
        <f t="shared" si="29"/>
        <v/>
      </c>
      <c r="AX139" s="143" t="str">
        <f t="shared" si="29"/>
        <v/>
      </c>
      <c r="AY139" s="143" t="str">
        <f t="shared" si="28"/>
        <v/>
      </c>
      <c r="AZ139" s="143" t="str">
        <f t="shared" si="28"/>
        <v/>
      </c>
      <c r="BA139" s="143" t="str">
        <f t="shared" si="28"/>
        <v/>
      </c>
      <c r="BB139" s="143" t="str">
        <f t="shared" si="28"/>
        <v/>
      </c>
      <c r="BC139" s="143" t="str">
        <f t="shared" si="28"/>
        <v/>
      </c>
      <c r="BD139" s="143" t="str">
        <f t="shared" si="28"/>
        <v/>
      </c>
      <c r="BF139" s="9">
        <f t="shared" si="32"/>
        <v>1.1228476107407384E-4</v>
      </c>
      <c r="BG139" s="9">
        <f t="shared" si="33"/>
        <v>0.99138312348881974</v>
      </c>
    </row>
    <row r="140" spans="2:59" x14ac:dyDescent="0.35">
      <c r="B140" s="3" t="s">
        <v>203</v>
      </c>
      <c r="D140" s="141">
        <v>22945</v>
      </c>
      <c r="E140" s="141">
        <v>9101</v>
      </c>
      <c r="F140" s="141">
        <v>27495</v>
      </c>
      <c r="G140" s="141">
        <v>162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30"/>
        <v>59703</v>
      </c>
      <c r="R140" s="141">
        <v>2405</v>
      </c>
      <c r="S140" s="141">
        <v>4276</v>
      </c>
      <c r="T140" s="141">
        <v>8671</v>
      </c>
      <c r="U140" s="141">
        <v>162</v>
      </c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31"/>
        <v>15514</v>
      </c>
      <c r="AF140" s="2">
        <f t="shared" si="23"/>
        <v>0.10481586402266289</v>
      </c>
      <c r="AG140" s="2">
        <f t="shared" si="23"/>
        <v>0.46983847928799033</v>
      </c>
      <c r="AH140" s="2">
        <f t="shared" si="23"/>
        <v>0.31536643026004729</v>
      </c>
      <c r="AI140" s="2">
        <f t="shared" si="22"/>
        <v>1</v>
      </c>
      <c r="AJ140" s="2" t="str">
        <f t="shared" si="22"/>
        <v/>
      </c>
      <c r="AK140" s="2" t="str">
        <f t="shared" si="22"/>
        <v/>
      </c>
      <c r="AL140" s="2" t="str">
        <f t="shared" si="22"/>
        <v/>
      </c>
      <c r="AM140" s="2" t="str">
        <f t="shared" si="22"/>
        <v/>
      </c>
      <c r="AN140" s="2" t="str">
        <f t="shared" si="22"/>
        <v/>
      </c>
      <c r="AO140" s="2" t="str">
        <f t="shared" si="27"/>
        <v/>
      </c>
      <c r="AP140" s="2" t="str">
        <f t="shared" si="27"/>
        <v/>
      </c>
      <c r="AQ140" s="2" t="str">
        <f t="shared" si="27"/>
        <v/>
      </c>
      <c r="AR140" s="2">
        <f t="shared" si="27"/>
        <v>0.25985293871329751</v>
      </c>
      <c r="AT140" s="143">
        <f t="shared" si="25"/>
        <v>0.36502261526532742</v>
      </c>
      <c r="AU140" s="143">
        <f t="shared" si="26"/>
        <v>-0.15447204902794304</v>
      </c>
      <c r="AV140" s="143">
        <f t="shared" si="29"/>
        <v>0.68463356973995271</v>
      </c>
      <c r="AW140" s="143" t="str">
        <f t="shared" si="29"/>
        <v/>
      </c>
      <c r="AX140" s="143" t="str">
        <f t="shared" si="29"/>
        <v/>
      </c>
      <c r="AY140" s="143" t="str">
        <f t="shared" si="28"/>
        <v/>
      </c>
      <c r="AZ140" s="143" t="str">
        <f t="shared" si="28"/>
        <v/>
      </c>
      <c r="BA140" s="143" t="str">
        <f t="shared" si="28"/>
        <v/>
      </c>
      <c r="BB140" s="143" t="str">
        <f t="shared" si="28"/>
        <v/>
      </c>
      <c r="BC140" s="143" t="str">
        <f t="shared" si="28"/>
        <v/>
      </c>
      <c r="BD140" s="143" t="str">
        <f t="shared" si="28"/>
        <v/>
      </c>
      <c r="BF140" s="9">
        <f t="shared" si="32"/>
        <v>2.5609905664557209E-5</v>
      </c>
      <c r="BG140" s="9">
        <f t="shared" si="33"/>
        <v>0.99140873339448432</v>
      </c>
    </row>
    <row r="141" spans="2:59" x14ac:dyDescent="0.35">
      <c r="B141" s="3" t="s">
        <v>226</v>
      </c>
      <c r="D141" s="141">
        <v>7953</v>
      </c>
      <c r="E141" s="141">
        <v>13148</v>
      </c>
      <c r="F141" s="141">
        <v>11902</v>
      </c>
      <c r="G141" s="141">
        <v>123</v>
      </c>
      <c r="H141" s="141"/>
      <c r="I141" s="141"/>
      <c r="J141" s="141"/>
      <c r="K141" s="141"/>
      <c r="L141" s="141"/>
      <c r="M141" s="141"/>
      <c r="N141" s="141"/>
      <c r="O141" s="141"/>
      <c r="P141" s="141">
        <f t="shared" si="30"/>
        <v>33126</v>
      </c>
      <c r="R141" s="141">
        <v>6587</v>
      </c>
      <c r="S141" s="141">
        <v>11264</v>
      </c>
      <c r="T141" s="141">
        <v>11859</v>
      </c>
      <c r="U141" s="141">
        <v>123</v>
      </c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31"/>
        <v>29833</v>
      </c>
      <c r="AF141" s="2">
        <f t="shared" si="23"/>
        <v>0.82824091537784483</v>
      </c>
      <c r="AG141" s="2">
        <f t="shared" si="23"/>
        <v>0.85670824459993911</v>
      </c>
      <c r="AH141" s="2">
        <f t="shared" si="23"/>
        <v>0.99638716182154263</v>
      </c>
      <c r="AI141" s="2">
        <f t="shared" si="22"/>
        <v>1</v>
      </c>
      <c r="AJ141" s="2" t="str">
        <f t="shared" si="22"/>
        <v/>
      </c>
      <c r="AK141" s="2" t="str">
        <f t="shared" si="22"/>
        <v/>
      </c>
      <c r="AL141" s="2" t="str">
        <f t="shared" si="22"/>
        <v/>
      </c>
      <c r="AM141" s="2" t="str">
        <f t="shared" si="22"/>
        <v/>
      </c>
      <c r="AN141" s="2" t="str">
        <f t="shared" si="22"/>
        <v/>
      </c>
      <c r="AO141" s="2" t="str">
        <f t="shared" si="27"/>
        <v/>
      </c>
      <c r="AP141" s="2" t="str">
        <f t="shared" si="27"/>
        <v/>
      </c>
      <c r="AQ141" s="2" t="str">
        <f t="shared" si="27"/>
        <v/>
      </c>
      <c r="AR141" s="2">
        <f t="shared" si="27"/>
        <v>0.90059168025116221</v>
      </c>
      <c r="AT141" s="143">
        <f t="shared" si="25"/>
        <v>2.8467329222094273E-2</v>
      </c>
      <c r="AU141" s="143">
        <f t="shared" si="26"/>
        <v>0.13967891722160353</v>
      </c>
      <c r="AV141" s="143">
        <f t="shared" si="29"/>
        <v>3.6128381784573671E-3</v>
      </c>
      <c r="AW141" s="143" t="str">
        <f t="shared" si="29"/>
        <v/>
      </c>
      <c r="AX141" s="143" t="str">
        <f t="shared" si="29"/>
        <v/>
      </c>
      <c r="AY141" s="143" t="str">
        <f t="shared" si="28"/>
        <v/>
      </c>
      <c r="AZ141" s="143" t="str">
        <f t="shared" si="28"/>
        <v/>
      </c>
      <c r="BA141" s="143" t="str">
        <f t="shared" si="28"/>
        <v/>
      </c>
      <c r="BB141" s="143" t="str">
        <f t="shared" si="28"/>
        <v/>
      </c>
      <c r="BC141" s="143" t="str">
        <f t="shared" si="28"/>
        <v/>
      </c>
      <c r="BD141" s="143" t="str">
        <f t="shared" si="28"/>
        <v/>
      </c>
      <c r="BF141" s="9">
        <f t="shared" si="32"/>
        <v>4.924715197181483E-5</v>
      </c>
      <c r="BG141" s="9">
        <f t="shared" si="33"/>
        <v>0.99145798054645617</v>
      </c>
    </row>
    <row r="142" spans="2:59" x14ac:dyDescent="0.35">
      <c r="B142" s="3" t="s">
        <v>238</v>
      </c>
      <c r="D142" s="141">
        <v>201000</v>
      </c>
      <c r="E142" s="141">
        <v>171618</v>
      </c>
      <c r="F142" s="141">
        <v>135281</v>
      </c>
      <c r="G142" s="141">
        <v>6718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30"/>
        <v>514617</v>
      </c>
      <c r="R142" s="141">
        <v>164062</v>
      </c>
      <c r="S142" s="141">
        <v>128584</v>
      </c>
      <c r="T142" s="141">
        <v>100151</v>
      </c>
      <c r="U142" s="141">
        <v>4303</v>
      </c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31"/>
        <v>397100</v>
      </c>
      <c r="AF142" s="2">
        <f t="shared" si="23"/>
        <v>0.81622885572139303</v>
      </c>
      <c r="AG142" s="2">
        <f t="shared" si="23"/>
        <v>0.74924541714738546</v>
      </c>
      <c r="AH142" s="2">
        <f t="shared" si="23"/>
        <v>0.74031830042651958</v>
      </c>
      <c r="AI142" s="2">
        <f t="shared" si="22"/>
        <v>0.64051801131289077</v>
      </c>
      <c r="AJ142" s="2" t="str">
        <f t="shared" si="22"/>
        <v/>
      </c>
      <c r="AK142" s="2" t="str">
        <f t="shared" si="22"/>
        <v/>
      </c>
      <c r="AL142" s="2" t="str">
        <f t="shared" si="22"/>
        <v/>
      </c>
      <c r="AM142" s="2" t="str">
        <f t="shared" si="22"/>
        <v/>
      </c>
      <c r="AN142" s="2" t="str">
        <f t="shared" ref="AN142:AQ204" si="34">+IFERROR(Z142/L142,"")</f>
        <v/>
      </c>
      <c r="AO142" s="2" t="str">
        <f t="shared" si="27"/>
        <v/>
      </c>
      <c r="AP142" s="2" t="str">
        <f t="shared" si="27"/>
        <v/>
      </c>
      <c r="AQ142" s="2" t="str">
        <f t="shared" si="27"/>
        <v/>
      </c>
      <c r="AR142" s="2">
        <f t="shared" si="27"/>
        <v>0.77164182294793993</v>
      </c>
      <c r="AT142" s="143">
        <f t="shared" si="25"/>
        <v>-6.698343857400757E-2</v>
      </c>
      <c r="AU142" s="143">
        <f t="shared" si="26"/>
        <v>-8.9271167208658797E-3</v>
      </c>
      <c r="AV142" s="143">
        <f t="shared" si="29"/>
        <v>-9.9800289113628815E-2</v>
      </c>
      <c r="AW142" s="143" t="str">
        <f t="shared" si="29"/>
        <v/>
      </c>
      <c r="AX142" s="143" t="str">
        <f t="shared" si="29"/>
        <v/>
      </c>
      <c r="AY142" s="143" t="str">
        <f t="shared" si="28"/>
        <v/>
      </c>
      <c r="AZ142" s="143" t="str">
        <f t="shared" si="28"/>
        <v/>
      </c>
      <c r="BA142" s="143" t="str">
        <f t="shared" si="28"/>
        <v/>
      </c>
      <c r="BB142" s="143" t="str">
        <f t="shared" si="28"/>
        <v/>
      </c>
      <c r="BC142" s="143" t="str">
        <f t="shared" si="28"/>
        <v/>
      </c>
      <c r="BD142" s="143" t="str">
        <f t="shared" si="28"/>
        <v/>
      </c>
      <c r="BF142" s="9">
        <f t="shared" si="32"/>
        <v>6.5551718057210696E-4</v>
      </c>
      <c r="BG142" s="9">
        <f t="shared" si="33"/>
        <v>0.99211349772702828</v>
      </c>
    </row>
    <row r="143" spans="2:59" x14ac:dyDescent="0.35">
      <c r="B143" s="3" t="s">
        <v>213</v>
      </c>
      <c r="D143" s="141">
        <v>28211</v>
      </c>
      <c r="E143" s="141">
        <v>27824</v>
      </c>
      <c r="F143" s="141">
        <v>28981</v>
      </c>
      <c r="G143" s="141">
        <v>73</v>
      </c>
      <c r="H143" s="141"/>
      <c r="I143" s="141"/>
      <c r="J143" s="141"/>
      <c r="K143" s="141"/>
      <c r="L143" s="141"/>
      <c r="M143" s="141"/>
      <c r="N143" s="141"/>
      <c r="O143" s="141"/>
      <c r="P143" s="141">
        <f t="shared" si="30"/>
        <v>85089</v>
      </c>
      <c r="R143" s="141">
        <v>27762</v>
      </c>
      <c r="S143" s="141">
        <v>26699</v>
      </c>
      <c r="T143" s="141">
        <v>28786</v>
      </c>
      <c r="U143" s="141">
        <v>73</v>
      </c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31"/>
        <v>83320</v>
      </c>
      <c r="AF143" s="2">
        <f t="shared" si="23"/>
        <v>0.9840842224664138</v>
      </c>
      <c r="AG143" s="2">
        <f t="shared" si="23"/>
        <v>0.95956728004600345</v>
      </c>
      <c r="AH143" s="2">
        <f t="shared" si="23"/>
        <v>0.99327145371105208</v>
      </c>
      <c r="AI143" s="2">
        <f t="shared" si="23"/>
        <v>1</v>
      </c>
      <c r="AJ143" s="2" t="str">
        <f t="shared" si="23"/>
        <v/>
      </c>
      <c r="AK143" s="2" t="str">
        <f t="shared" si="23"/>
        <v/>
      </c>
      <c r="AL143" s="2" t="str">
        <f t="shared" si="23"/>
        <v/>
      </c>
      <c r="AM143" s="2" t="str">
        <f t="shared" si="23"/>
        <v/>
      </c>
      <c r="AN143" s="2" t="str">
        <f t="shared" si="34"/>
        <v/>
      </c>
      <c r="AO143" s="2" t="str">
        <f t="shared" si="27"/>
        <v/>
      </c>
      <c r="AP143" s="2" t="str">
        <f t="shared" si="27"/>
        <v/>
      </c>
      <c r="AQ143" s="2" t="str">
        <f t="shared" si="27"/>
        <v/>
      </c>
      <c r="AR143" s="2">
        <f t="shared" si="27"/>
        <v>0.97921000364324418</v>
      </c>
      <c r="AT143" s="143">
        <f t="shared" si="25"/>
        <v>-2.4516942420410359E-2</v>
      </c>
      <c r="AU143" s="143">
        <f t="shared" si="26"/>
        <v>3.3704173665048631E-2</v>
      </c>
      <c r="AV143" s="143">
        <f t="shared" si="29"/>
        <v>6.7285462889479231E-3</v>
      </c>
      <c r="AW143" s="143" t="str">
        <f t="shared" si="29"/>
        <v/>
      </c>
      <c r="AX143" s="143" t="str">
        <f t="shared" si="29"/>
        <v/>
      </c>
      <c r="AY143" s="143" t="str">
        <f t="shared" si="28"/>
        <v/>
      </c>
      <c r="AZ143" s="143" t="str">
        <f t="shared" si="28"/>
        <v/>
      </c>
      <c r="BA143" s="143" t="str">
        <f t="shared" si="28"/>
        <v/>
      </c>
      <c r="BB143" s="143" t="str">
        <f t="shared" si="28"/>
        <v/>
      </c>
      <c r="BC143" s="143" t="str">
        <f t="shared" si="28"/>
        <v/>
      </c>
      <c r="BD143" s="143" t="str">
        <f t="shared" si="28"/>
        <v/>
      </c>
      <c r="BF143" s="9">
        <f t="shared" si="32"/>
        <v>1.3754140389138242E-4</v>
      </c>
      <c r="BG143" s="9">
        <f t="shared" si="33"/>
        <v>0.99225103913091961</v>
      </c>
    </row>
    <row r="144" spans="2:59" x14ac:dyDescent="0.35">
      <c r="B144" s="3" t="s">
        <v>222</v>
      </c>
      <c r="D144" s="141">
        <v>14155</v>
      </c>
      <c r="E144" s="141">
        <v>6439</v>
      </c>
      <c r="F144" s="141">
        <v>3879</v>
      </c>
      <c r="G144" s="141"/>
      <c r="H144" s="141"/>
      <c r="I144" s="141"/>
      <c r="J144" s="141"/>
      <c r="K144" s="141"/>
      <c r="L144" s="141"/>
      <c r="M144" s="141"/>
      <c r="N144" s="141"/>
      <c r="O144" s="141"/>
      <c r="P144" s="141">
        <f t="shared" si="30"/>
        <v>24473</v>
      </c>
      <c r="R144" s="141">
        <v>10142</v>
      </c>
      <c r="S144" s="141">
        <v>3182</v>
      </c>
      <c r="T144" s="141">
        <v>2741</v>
      </c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31"/>
        <v>16065</v>
      </c>
      <c r="AF144" s="2">
        <f t="shared" si="23"/>
        <v>0.71649593783115506</v>
      </c>
      <c r="AG144" s="2">
        <f t="shared" si="23"/>
        <v>0.49417611430346325</v>
      </c>
      <c r="AH144" s="2">
        <f t="shared" si="23"/>
        <v>0.70662541892240271</v>
      </c>
      <c r="AI144" s="2" t="str">
        <f t="shared" si="23"/>
        <v/>
      </c>
      <c r="AJ144" s="2" t="str">
        <f t="shared" si="23"/>
        <v/>
      </c>
      <c r="AK144" s="2" t="str">
        <f t="shared" si="23"/>
        <v/>
      </c>
      <c r="AL144" s="2" t="str">
        <f t="shared" si="23"/>
        <v/>
      </c>
      <c r="AM144" s="2" t="str">
        <f t="shared" si="23"/>
        <v/>
      </c>
      <c r="AN144" s="2" t="str">
        <f t="shared" si="34"/>
        <v/>
      </c>
      <c r="AO144" s="2" t="str">
        <f t="shared" si="27"/>
        <v/>
      </c>
      <c r="AP144" s="2" t="str">
        <f t="shared" si="27"/>
        <v/>
      </c>
      <c r="AQ144" s="2" t="str">
        <f t="shared" si="27"/>
        <v/>
      </c>
      <c r="AR144" s="2">
        <f t="shared" si="27"/>
        <v>0.65643770686062186</v>
      </c>
      <c r="AT144" s="143">
        <f t="shared" si="25"/>
        <v>-0.22231982352769181</v>
      </c>
      <c r="AU144" s="143">
        <f t="shared" si="26"/>
        <v>0.21244930461893946</v>
      </c>
      <c r="AV144" s="143" t="str">
        <f t="shared" si="29"/>
        <v/>
      </c>
      <c r="AW144" s="143" t="str">
        <f t="shared" si="29"/>
        <v/>
      </c>
      <c r="AX144" s="143" t="str">
        <f t="shared" si="29"/>
        <v/>
      </c>
      <c r="AY144" s="143" t="str">
        <f t="shared" si="28"/>
        <v/>
      </c>
      <c r="AZ144" s="143" t="str">
        <f t="shared" si="28"/>
        <v/>
      </c>
      <c r="BA144" s="143" t="str">
        <f t="shared" si="28"/>
        <v/>
      </c>
      <c r="BB144" s="143" t="str">
        <f t="shared" si="28"/>
        <v/>
      </c>
      <c r="BC144" s="143" t="str">
        <f t="shared" si="28"/>
        <v/>
      </c>
      <c r="BD144" s="143" t="str">
        <f t="shared" si="28"/>
        <v/>
      </c>
      <c r="BF144" s="9">
        <f t="shared" si="32"/>
        <v>2.6519474958174008E-5</v>
      </c>
      <c r="BG144" s="9">
        <f t="shared" si="33"/>
        <v>0.99227755860587774</v>
      </c>
    </row>
    <row r="145" spans="2:59" x14ac:dyDescent="0.35">
      <c r="B145" s="3" t="s">
        <v>276</v>
      </c>
      <c r="D145" s="141">
        <v>32204</v>
      </c>
      <c r="E145" s="141">
        <v>52323</v>
      </c>
      <c r="F145" s="141">
        <v>110438</v>
      </c>
      <c r="G145" s="141">
        <v>777</v>
      </c>
      <c r="H145" s="141"/>
      <c r="I145" s="141"/>
      <c r="J145" s="141"/>
      <c r="K145" s="141"/>
      <c r="L145" s="141"/>
      <c r="M145" s="141"/>
      <c r="N145" s="141"/>
      <c r="O145" s="141"/>
      <c r="P145" s="141">
        <f t="shared" si="30"/>
        <v>195742</v>
      </c>
      <c r="R145" s="141">
        <v>26009</v>
      </c>
      <c r="S145" s="141">
        <v>46544</v>
      </c>
      <c r="T145" s="141">
        <v>72416</v>
      </c>
      <c r="U145" s="141">
        <v>777</v>
      </c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31"/>
        <v>145746</v>
      </c>
      <c r="AF145" s="2">
        <f t="shared" si="23"/>
        <v>0.8076325922245684</v>
      </c>
      <c r="AG145" s="2">
        <f t="shared" si="23"/>
        <v>0.88955144009326681</v>
      </c>
      <c r="AH145" s="2">
        <f t="shared" si="23"/>
        <v>0.65571632952425796</v>
      </c>
      <c r="AI145" s="2">
        <f t="shared" si="23"/>
        <v>1</v>
      </c>
      <c r="AJ145" s="2" t="str">
        <f t="shared" si="23"/>
        <v/>
      </c>
      <c r="AK145" s="2" t="str">
        <f t="shared" si="23"/>
        <v/>
      </c>
      <c r="AL145" s="2" t="str">
        <f t="shared" si="23"/>
        <v/>
      </c>
      <c r="AM145" s="2" t="str">
        <f t="shared" si="23"/>
        <v/>
      </c>
      <c r="AN145" s="2" t="str">
        <f t="shared" si="34"/>
        <v/>
      </c>
      <c r="AO145" s="2" t="str">
        <f t="shared" si="27"/>
        <v/>
      </c>
      <c r="AP145" s="2" t="str">
        <f t="shared" si="27"/>
        <v/>
      </c>
      <c r="AQ145" s="2" t="str">
        <f t="shared" si="27"/>
        <v/>
      </c>
      <c r="AR145" s="2">
        <f t="shared" si="27"/>
        <v>0.744582154059936</v>
      </c>
      <c r="AT145" s="143">
        <f t="shared" si="25"/>
        <v>8.1918847868698408E-2</v>
      </c>
      <c r="AU145" s="143">
        <f t="shared" si="26"/>
        <v>-0.23383511056900885</v>
      </c>
      <c r="AV145" s="143">
        <f t="shared" si="29"/>
        <v>0.34428367047574204</v>
      </c>
      <c r="AW145" s="143" t="str">
        <f t="shared" si="29"/>
        <v/>
      </c>
      <c r="AX145" s="143" t="str">
        <f t="shared" si="29"/>
        <v/>
      </c>
      <c r="AY145" s="143" t="str">
        <f t="shared" si="28"/>
        <v/>
      </c>
      <c r="AZ145" s="143" t="str">
        <f t="shared" si="28"/>
        <v/>
      </c>
      <c r="BA145" s="143" t="str">
        <f t="shared" si="28"/>
        <v/>
      </c>
      <c r="BB145" s="143" t="str">
        <f t="shared" si="28"/>
        <v/>
      </c>
      <c r="BC145" s="143" t="str">
        <f t="shared" si="28"/>
        <v/>
      </c>
      <c r="BD145" s="143" t="str">
        <f t="shared" si="28"/>
        <v/>
      </c>
      <c r="BF145" s="9">
        <f t="shared" si="32"/>
        <v>2.4059180810793833E-4</v>
      </c>
      <c r="BG145" s="9">
        <f t="shared" si="33"/>
        <v>0.99251815041398572</v>
      </c>
    </row>
    <row r="146" spans="2:59" x14ac:dyDescent="0.35">
      <c r="B146" s="3" t="s">
        <v>215</v>
      </c>
      <c r="D146" s="141">
        <v>8587</v>
      </c>
      <c r="E146" s="141">
        <v>4741</v>
      </c>
      <c r="F146" s="141">
        <v>9426</v>
      </c>
      <c r="G146" s="141">
        <v>218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30"/>
        <v>22972</v>
      </c>
      <c r="R146" s="141">
        <v>7540</v>
      </c>
      <c r="S146" s="141">
        <v>3630</v>
      </c>
      <c r="T146" s="141">
        <v>7938</v>
      </c>
      <c r="U146" s="141">
        <v>218</v>
      </c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31"/>
        <v>19326</v>
      </c>
      <c r="AF146" s="2">
        <f t="shared" si="23"/>
        <v>0.87807150343542562</v>
      </c>
      <c r="AG146" s="2">
        <f t="shared" si="23"/>
        <v>0.76566125290023201</v>
      </c>
      <c r="AH146" s="2">
        <f t="shared" si="23"/>
        <v>0.84213876511775942</v>
      </c>
      <c r="AI146" s="2">
        <f t="shared" si="23"/>
        <v>1</v>
      </c>
      <c r="AJ146" s="2" t="str">
        <f t="shared" si="23"/>
        <v/>
      </c>
      <c r="AK146" s="2" t="str">
        <f t="shared" si="23"/>
        <v/>
      </c>
      <c r="AL146" s="2" t="str">
        <f t="shared" si="23"/>
        <v/>
      </c>
      <c r="AM146" s="2" t="str">
        <f t="shared" si="23"/>
        <v/>
      </c>
      <c r="AN146" s="2" t="str">
        <f t="shared" si="34"/>
        <v/>
      </c>
      <c r="AO146" s="2" t="str">
        <f t="shared" si="27"/>
        <v/>
      </c>
      <c r="AP146" s="2" t="str">
        <f t="shared" si="27"/>
        <v/>
      </c>
      <c r="AQ146" s="2" t="str">
        <f t="shared" si="27"/>
        <v/>
      </c>
      <c r="AR146" s="2">
        <f t="shared" si="27"/>
        <v>0.84128504266063031</v>
      </c>
      <c r="AT146" s="143">
        <f t="shared" si="25"/>
        <v>-0.1124102505351936</v>
      </c>
      <c r="AU146" s="143">
        <f t="shared" si="26"/>
        <v>7.647751221752741E-2</v>
      </c>
      <c r="AV146" s="143">
        <f t="shared" si="29"/>
        <v>0.15786123488224058</v>
      </c>
      <c r="AW146" s="143" t="str">
        <f t="shared" si="29"/>
        <v/>
      </c>
      <c r="AX146" s="143" t="str">
        <f t="shared" si="29"/>
        <v/>
      </c>
      <c r="AY146" s="143" t="str">
        <f t="shared" si="28"/>
        <v/>
      </c>
      <c r="AZ146" s="143" t="str">
        <f t="shared" si="28"/>
        <v/>
      </c>
      <c r="BA146" s="143" t="str">
        <f t="shared" si="28"/>
        <v/>
      </c>
      <c r="BB146" s="143" t="str">
        <f t="shared" si="28"/>
        <v/>
      </c>
      <c r="BC146" s="143" t="str">
        <f t="shared" si="28"/>
        <v/>
      </c>
      <c r="BD146" s="143" t="str">
        <f t="shared" si="28"/>
        <v/>
      </c>
      <c r="BF146" s="9">
        <f t="shared" si="32"/>
        <v>3.1902606476294485E-5</v>
      </c>
      <c r="BG146" s="9">
        <f t="shared" si="33"/>
        <v>0.99255005302046206</v>
      </c>
    </row>
    <row r="147" spans="2:59" x14ac:dyDescent="0.35">
      <c r="B147" s="3" t="s">
        <v>217</v>
      </c>
      <c r="D147" s="141">
        <v>27738</v>
      </c>
      <c r="E147" s="141">
        <v>3075</v>
      </c>
      <c r="F147" s="141">
        <v>1210</v>
      </c>
      <c r="G147" s="141">
        <v>30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30"/>
        <v>32053</v>
      </c>
      <c r="R147" s="141">
        <v>27032</v>
      </c>
      <c r="S147" s="141">
        <v>2725</v>
      </c>
      <c r="T147" s="141">
        <v>390</v>
      </c>
      <c r="U147" s="141">
        <v>30</v>
      </c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31"/>
        <v>30177</v>
      </c>
      <c r="AF147" s="2">
        <f t="shared" si="23"/>
        <v>0.97454755209459942</v>
      </c>
      <c r="AG147" s="2">
        <f t="shared" si="23"/>
        <v>0.88617886178861793</v>
      </c>
      <c r="AH147" s="2">
        <f t="shared" si="23"/>
        <v>0.32231404958677684</v>
      </c>
      <c r="AI147" s="2">
        <f t="shared" si="23"/>
        <v>1</v>
      </c>
      <c r="AJ147" s="2" t="str">
        <f t="shared" si="23"/>
        <v/>
      </c>
      <c r="AK147" s="2" t="str">
        <f t="shared" si="23"/>
        <v/>
      </c>
      <c r="AL147" s="2" t="str">
        <f t="shared" si="23"/>
        <v/>
      </c>
      <c r="AM147" s="2" t="str">
        <f t="shared" si="23"/>
        <v/>
      </c>
      <c r="AN147" s="2" t="str">
        <f t="shared" si="34"/>
        <v/>
      </c>
      <c r="AO147" s="2" t="str">
        <f t="shared" si="27"/>
        <v/>
      </c>
      <c r="AP147" s="2" t="str">
        <f t="shared" si="27"/>
        <v/>
      </c>
      <c r="AQ147" s="2" t="str">
        <f t="shared" si="27"/>
        <v/>
      </c>
      <c r="AR147" s="2">
        <f t="shared" si="27"/>
        <v>0.94147193710417121</v>
      </c>
      <c r="AT147" s="143">
        <f t="shared" si="25"/>
        <v>-8.836869030598149E-2</v>
      </c>
      <c r="AU147" s="143">
        <f t="shared" si="26"/>
        <v>-0.56386481220184104</v>
      </c>
      <c r="AV147" s="143">
        <f t="shared" si="29"/>
        <v>0.6776859504132231</v>
      </c>
      <c r="AW147" s="143" t="str">
        <f t="shared" si="29"/>
        <v/>
      </c>
      <c r="AX147" s="143" t="str">
        <f t="shared" si="29"/>
        <v/>
      </c>
      <c r="AY147" s="143" t="str">
        <f t="shared" si="28"/>
        <v/>
      </c>
      <c r="AZ147" s="143" t="str">
        <f t="shared" si="28"/>
        <v/>
      </c>
      <c r="BA147" s="143" t="str">
        <f t="shared" si="28"/>
        <v/>
      </c>
      <c r="BB147" s="143" t="str">
        <f t="shared" si="28"/>
        <v/>
      </c>
      <c r="BC147" s="143" t="str">
        <f t="shared" si="28"/>
        <v/>
      </c>
      <c r="BD147" s="143" t="str">
        <f t="shared" si="28"/>
        <v/>
      </c>
      <c r="BF147" s="9">
        <f t="shared" si="32"/>
        <v>4.9815013744962156E-5</v>
      </c>
      <c r="BG147" s="9">
        <f t="shared" si="33"/>
        <v>0.99259986803420708</v>
      </c>
    </row>
    <row r="148" spans="2:59" x14ac:dyDescent="0.35">
      <c r="B148" s="3" t="s">
        <v>214</v>
      </c>
      <c r="D148" s="141">
        <v>5150</v>
      </c>
      <c r="E148" s="141">
        <v>2128</v>
      </c>
      <c r="F148" s="141">
        <v>1946</v>
      </c>
      <c r="G148" s="141"/>
      <c r="H148" s="141"/>
      <c r="I148" s="141"/>
      <c r="J148" s="141"/>
      <c r="K148" s="141"/>
      <c r="L148" s="141"/>
      <c r="M148" s="141"/>
      <c r="N148" s="141"/>
      <c r="O148" s="141"/>
      <c r="P148" s="141">
        <f t="shared" si="30"/>
        <v>9224</v>
      </c>
      <c r="R148" s="141">
        <v>5040</v>
      </c>
      <c r="S148" s="141">
        <v>2128</v>
      </c>
      <c r="T148" s="141">
        <v>1946</v>
      </c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31"/>
        <v>9114</v>
      </c>
      <c r="AF148" s="2">
        <f t="shared" si="23"/>
        <v>0.97864077669902916</v>
      </c>
      <c r="AG148" s="2">
        <f t="shared" si="23"/>
        <v>1</v>
      </c>
      <c r="AH148" s="2">
        <f t="shared" si="23"/>
        <v>1</v>
      </c>
      <c r="AI148" s="2" t="str">
        <f t="shared" si="23"/>
        <v/>
      </c>
      <c r="AJ148" s="2" t="str">
        <f t="shared" si="23"/>
        <v/>
      </c>
      <c r="AK148" s="2" t="str">
        <f t="shared" si="23"/>
        <v/>
      </c>
      <c r="AL148" s="2" t="str">
        <f t="shared" si="23"/>
        <v/>
      </c>
      <c r="AM148" s="2" t="str">
        <f t="shared" si="23"/>
        <v/>
      </c>
      <c r="AN148" s="2" t="str">
        <f t="shared" si="34"/>
        <v/>
      </c>
      <c r="AO148" s="2" t="str">
        <f t="shared" si="27"/>
        <v/>
      </c>
      <c r="AP148" s="2" t="str">
        <f t="shared" si="27"/>
        <v/>
      </c>
      <c r="AQ148" s="2" t="str">
        <f t="shared" si="27"/>
        <v/>
      </c>
      <c r="AR148" s="2">
        <f t="shared" si="27"/>
        <v>0.98807458803122294</v>
      </c>
      <c r="AT148" s="143">
        <f t="shared" si="25"/>
        <v>2.1359223300970842E-2</v>
      </c>
      <c r="AU148" s="143">
        <f t="shared" si="26"/>
        <v>0</v>
      </c>
      <c r="AV148" s="143" t="str">
        <f t="shared" si="29"/>
        <v/>
      </c>
      <c r="AW148" s="143" t="str">
        <f t="shared" si="29"/>
        <v/>
      </c>
      <c r="AX148" s="143" t="str">
        <f t="shared" si="29"/>
        <v/>
      </c>
      <c r="AY148" s="143" t="str">
        <f t="shared" si="28"/>
        <v/>
      </c>
      <c r="AZ148" s="143" t="str">
        <f t="shared" si="28"/>
        <v/>
      </c>
      <c r="BA148" s="143" t="str">
        <f t="shared" si="28"/>
        <v/>
      </c>
      <c r="BB148" s="143" t="str">
        <f t="shared" si="28"/>
        <v/>
      </c>
      <c r="BC148" s="143" t="str">
        <f t="shared" si="28"/>
        <v/>
      </c>
      <c r="BD148" s="143" t="str">
        <f t="shared" si="28"/>
        <v/>
      </c>
      <c r="BF148" s="9">
        <f t="shared" si="32"/>
        <v>1.5045035466467346E-5</v>
      </c>
      <c r="BG148" s="9">
        <f t="shared" si="33"/>
        <v>0.99261491306967353</v>
      </c>
    </row>
    <row r="149" spans="2:59" x14ac:dyDescent="0.35">
      <c r="B149" s="3" t="s">
        <v>271</v>
      </c>
      <c r="D149" s="141">
        <v>118594</v>
      </c>
      <c r="E149" s="141">
        <v>178413</v>
      </c>
      <c r="F149" s="141">
        <v>242458</v>
      </c>
      <c r="G149" s="141">
        <v>16300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30"/>
        <v>555765</v>
      </c>
      <c r="R149" s="141">
        <v>98908</v>
      </c>
      <c r="S149" s="141">
        <v>129524</v>
      </c>
      <c r="T149" s="141">
        <v>194228</v>
      </c>
      <c r="U149" s="141">
        <v>13072</v>
      </c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31"/>
        <v>435732</v>
      </c>
      <c r="AF149" s="2">
        <f t="shared" si="23"/>
        <v>0.83400509300639158</v>
      </c>
      <c r="AG149" s="2">
        <f t="shared" si="23"/>
        <v>0.72597848811465537</v>
      </c>
      <c r="AH149" s="2">
        <f t="shared" si="23"/>
        <v>0.80107894975624649</v>
      </c>
      <c r="AI149" s="2">
        <f t="shared" si="23"/>
        <v>0.80196319018404905</v>
      </c>
      <c r="AJ149" s="2" t="str">
        <f t="shared" si="23"/>
        <v/>
      </c>
      <c r="AK149" s="2" t="str">
        <f t="shared" si="23"/>
        <v/>
      </c>
      <c r="AL149" s="2" t="str">
        <f t="shared" si="23"/>
        <v/>
      </c>
      <c r="AM149" s="2" t="str">
        <f t="shared" si="23"/>
        <v/>
      </c>
      <c r="AN149" s="2" t="str">
        <f t="shared" si="34"/>
        <v/>
      </c>
      <c r="AO149" s="2" t="str">
        <f t="shared" si="27"/>
        <v/>
      </c>
      <c r="AP149" s="2" t="str">
        <f t="shared" si="27"/>
        <v/>
      </c>
      <c r="AQ149" s="2" t="str">
        <f t="shared" si="27"/>
        <v/>
      </c>
      <c r="AR149" s="2">
        <f t="shared" si="27"/>
        <v>0.78402202369706619</v>
      </c>
      <c r="AT149" s="143">
        <f t="shared" si="25"/>
        <v>-0.10802660489173621</v>
      </c>
      <c r="AU149" s="143">
        <f t="shared" si="26"/>
        <v>7.5100461641591121E-2</v>
      </c>
      <c r="AV149" s="143">
        <f t="shared" si="29"/>
        <v>8.8424042780255174E-4</v>
      </c>
      <c r="AW149" s="143" t="str">
        <f t="shared" si="29"/>
        <v/>
      </c>
      <c r="AX149" s="143" t="str">
        <f t="shared" si="29"/>
        <v/>
      </c>
      <c r="AY149" s="143" t="str">
        <f t="shared" si="29"/>
        <v/>
      </c>
      <c r="AZ149" s="143" t="str">
        <f t="shared" si="29"/>
        <v/>
      </c>
      <c r="BA149" s="143" t="str">
        <f t="shared" si="29"/>
        <v/>
      </c>
      <c r="BB149" s="143" t="str">
        <f t="shared" si="29"/>
        <v/>
      </c>
      <c r="BC149" s="143" t="str">
        <f t="shared" si="29"/>
        <v/>
      </c>
      <c r="BD149" s="143" t="str">
        <f t="shared" si="29"/>
        <v/>
      </c>
      <c r="BF149" s="9">
        <f t="shared" si="32"/>
        <v>7.1928937830532697E-4</v>
      </c>
      <c r="BG149" s="9">
        <f t="shared" si="33"/>
        <v>0.99333420244797888</v>
      </c>
    </row>
    <row r="150" spans="2:59" x14ac:dyDescent="0.35">
      <c r="B150" s="3" t="s">
        <v>291</v>
      </c>
      <c r="D150" s="141">
        <v>1418</v>
      </c>
      <c r="E150" s="141">
        <v>3896</v>
      </c>
      <c r="F150" s="141">
        <v>4457</v>
      </c>
      <c r="G150" s="141"/>
      <c r="H150" s="141"/>
      <c r="I150" s="141"/>
      <c r="J150" s="141"/>
      <c r="K150" s="141"/>
      <c r="L150" s="141"/>
      <c r="M150" s="141"/>
      <c r="N150" s="141"/>
      <c r="O150" s="141"/>
      <c r="P150" s="141">
        <f t="shared" si="30"/>
        <v>9771</v>
      </c>
      <c r="R150" s="141">
        <v>611</v>
      </c>
      <c r="S150" s="141">
        <v>1523</v>
      </c>
      <c r="T150" s="141">
        <v>1835</v>
      </c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31"/>
        <v>3969</v>
      </c>
      <c r="AF150" s="2">
        <f t="shared" si="23"/>
        <v>0.4308885754583921</v>
      </c>
      <c r="AG150" s="2">
        <f t="shared" si="23"/>
        <v>0.39091375770020537</v>
      </c>
      <c r="AH150" s="2">
        <f t="shared" si="23"/>
        <v>0.4117119138433924</v>
      </c>
      <c r="AI150" s="2" t="str">
        <f t="shared" si="23"/>
        <v/>
      </c>
      <c r="AJ150" s="2" t="str">
        <f t="shared" si="23"/>
        <v/>
      </c>
      <c r="AK150" s="2" t="str">
        <f t="shared" si="23"/>
        <v/>
      </c>
      <c r="AL150" s="2" t="str">
        <f t="shared" si="23"/>
        <v/>
      </c>
      <c r="AM150" s="2" t="str">
        <f t="shared" si="23"/>
        <v/>
      </c>
      <c r="AN150" s="2" t="str">
        <f t="shared" si="34"/>
        <v/>
      </c>
      <c r="AO150" s="2" t="str">
        <f t="shared" si="27"/>
        <v/>
      </c>
      <c r="AP150" s="2" t="str">
        <f t="shared" si="27"/>
        <v/>
      </c>
      <c r="AQ150" s="2" t="str">
        <f t="shared" si="27"/>
        <v/>
      </c>
      <c r="AR150" s="2">
        <f t="shared" si="27"/>
        <v>0.40620202640466685</v>
      </c>
      <c r="AT150" s="143">
        <f t="shared" si="25"/>
        <v>-3.9974817758186731E-2</v>
      </c>
      <c r="AU150" s="143">
        <f t="shared" si="26"/>
        <v>2.079815614318703E-2</v>
      </c>
      <c r="AV150" s="143" t="str">
        <f t="shared" si="26"/>
        <v/>
      </c>
      <c r="AW150" s="143" t="str">
        <f t="shared" ref="AW150:BD177" si="35">+IFERROR(AJ150-AI150,"")</f>
        <v/>
      </c>
      <c r="AX150" s="143" t="str">
        <f t="shared" si="35"/>
        <v/>
      </c>
      <c r="AY150" s="143" t="str">
        <f t="shared" si="35"/>
        <v/>
      </c>
      <c r="AZ150" s="143" t="str">
        <f t="shared" si="35"/>
        <v/>
      </c>
      <c r="BA150" s="143" t="str">
        <f t="shared" si="35"/>
        <v/>
      </c>
      <c r="BB150" s="143" t="str">
        <f t="shared" si="35"/>
        <v/>
      </c>
      <c r="BC150" s="143" t="str">
        <f t="shared" si="35"/>
        <v/>
      </c>
      <c r="BD150" s="143" t="str">
        <f t="shared" si="35"/>
        <v/>
      </c>
      <c r="BF150" s="9">
        <f t="shared" si="32"/>
        <v>6.5518702837841668E-6</v>
      </c>
      <c r="BG150" s="9">
        <f t="shared" si="33"/>
        <v>0.99334075431826263</v>
      </c>
    </row>
    <row r="151" spans="2:59" x14ac:dyDescent="0.35">
      <c r="B151" s="3" t="s">
        <v>216</v>
      </c>
      <c r="D151" s="141">
        <v>12125</v>
      </c>
      <c r="E151" s="141">
        <v>9782</v>
      </c>
      <c r="F151" s="141">
        <v>13296</v>
      </c>
      <c r="G151" s="141">
        <v>365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30"/>
        <v>35568</v>
      </c>
      <c r="R151" s="141">
        <v>9637</v>
      </c>
      <c r="S151" s="141">
        <v>6936</v>
      </c>
      <c r="T151" s="141">
        <v>11463</v>
      </c>
      <c r="U151" s="141">
        <v>210</v>
      </c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31"/>
        <v>28246</v>
      </c>
      <c r="AF151" s="2">
        <f t="shared" si="23"/>
        <v>0.79480412371134024</v>
      </c>
      <c r="AG151" s="2">
        <f t="shared" si="23"/>
        <v>0.70905745246370888</v>
      </c>
      <c r="AH151" s="2">
        <f t="shared" si="23"/>
        <v>0.86213898916967513</v>
      </c>
      <c r="AI151" s="2">
        <f t="shared" si="23"/>
        <v>0.57534246575342463</v>
      </c>
      <c r="AJ151" s="2" t="str">
        <f t="shared" si="23"/>
        <v/>
      </c>
      <c r="AK151" s="2" t="str">
        <f t="shared" si="23"/>
        <v/>
      </c>
      <c r="AL151" s="2" t="str">
        <f t="shared" si="23"/>
        <v/>
      </c>
      <c r="AM151" s="2" t="str">
        <f t="shared" si="23"/>
        <v/>
      </c>
      <c r="AN151" s="2" t="str">
        <f t="shared" si="34"/>
        <v/>
      </c>
      <c r="AO151" s="2" t="str">
        <f t="shared" si="27"/>
        <v/>
      </c>
      <c r="AP151" s="2" t="str">
        <f t="shared" si="27"/>
        <v/>
      </c>
      <c r="AQ151" s="2" t="str">
        <f t="shared" si="27"/>
        <v/>
      </c>
      <c r="AR151" s="2">
        <f t="shared" si="27"/>
        <v>0.79414080071974813</v>
      </c>
      <c r="AT151" s="143">
        <f t="shared" si="25"/>
        <v>-8.5746671247631356E-2</v>
      </c>
      <c r="AU151" s="143">
        <f t="shared" si="26"/>
        <v>0.15308153670596625</v>
      </c>
      <c r="AV151" s="143">
        <f t="shared" si="26"/>
        <v>-0.2867965234162505</v>
      </c>
      <c r="AW151" s="143" t="str">
        <f t="shared" si="35"/>
        <v/>
      </c>
      <c r="AX151" s="143" t="str">
        <f t="shared" si="35"/>
        <v/>
      </c>
      <c r="AY151" s="143" t="str">
        <f t="shared" si="35"/>
        <v/>
      </c>
      <c r="AZ151" s="143" t="str">
        <f t="shared" si="35"/>
        <v/>
      </c>
      <c r="BA151" s="143" t="str">
        <f t="shared" si="35"/>
        <v/>
      </c>
      <c r="BB151" s="143" t="str">
        <f t="shared" si="35"/>
        <v/>
      </c>
      <c r="BC151" s="143" t="str">
        <f t="shared" si="35"/>
        <v/>
      </c>
      <c r="BD151" s="143" t="str">
        <f t="shared" si="35"/>
        <v/>
      </c>
      <c r="BF151" s="9">
        <f t="shared" si="32"/>
        <v>4.6627394314882232E-5</v>
      </c>
      <c r="BG151" s="9">
        <f t="shared" si="33"/>
        <v>0.99338738171257757</v>
      </c>
    </row>
    <row r="152" spans="2:59" x14ac:dyDescent="0.35">
      <c r="B152" s="3" t="s">
        <v>227</v>
      </c>
      <c r="D152" s="141">
        <v>4918</v>
      </c>
      <c r="E152" s="141">
        <v>6005</v>
      </c>
      <c r="F152" s="141">
        <v>10235</v>
      </c>
      <c r="G152" s="141"/>
      <c r="H152" s="141"/>
      <c r="I152" s="141"/>
      <c r="J152" s="141"/>
      <c r="K152" s="141"/>
      <c r="L152" s="141"/>
      <c r="M152" s="141"/>
      <c r="N152" s="141"/>
      <c r="O152" s="141"/>
      <c r="P152" s="141">
        <f t="shared" si="30"/>
        <v>21158</v>
      </c>
      <c r="R152" s="141">
        <v>3831</v>
      </c>
      <c r="S152" s="141">
        <v>5202</v>
      </c>
      <c r="T152" s="141">
        <v>8735</v>
      </c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31"/>
        <v>17768</v>
      </c>
      <c r="AF152" s="2">
        <f t="shared" si="23"/>
        <v>0.77897519316795449</v>
      </c>
      <c r="AG152" s="2">
        <f t="shared" si="23"/>
        <v>0.86627810158201501</v>
      </c>
      <c r="AH152" s="2">
        <f t="shared" si="23"/>
        <v>0.85344406448461163</v>
      </c>
      <c r="AI152" s="2" t="str">
        <f t="shared" si="23"/>
        <v/>
      </c>
      <c r="AJ152" s="2" t="str">
        <f t="shared" si="23"/>
        <v/>
      </c>
      <c r="AK152" s="2" t="str">
        <f t="shared" si="23"/>
        <v/>
      </c>
      <c r="AL152" s="2" t="str">
        <f t="shared" si="23"/>
        <v/>
      </c>
      <c r="AM152" s="2" t="str">
        <f t="shared" si="23"/>
        <v/>
      </c>
      <c r="AN152" s="2" t="str">
        <f t="shared" si="34"/>
        <v/>
      </c>
      <c r="AO152" s="2" t="str">
        <f t="shared" si="27"/>
        <v/>
      </c>
      <c r="AP152" s="2" t="str">
        <f t="shared" si="27"/>
        <v/>
      </c>
      <c r="AQ152" s="2" t="str">
        <f t="shared" si="27"/>
        <v/>
      </c>
      <c r="AR152" s="2">
        <f t="shared" si="27"/>
        <v>0.83977691653275355</v>
      </c>
      <c r="AT152" s="143">
        <f t="shared" si="25"/>
        <v>8.730290841406052E-2</v>
      </c>
      <c r="AU152" s="143">
        <f t="shared" si="26"/>
        <v>-1.2834037097403383E-2</v>
      </c>
      <c r="AV152" s="143" t="str">
        <f t="shared" si="26"/>
        <v/>
      </c>
      <c r="AW152" s="143" t="str">
        <f t="shared" si="35"/>
        <v/>
      </c>
      <c r="AX152" s="143" t="str">
        <f t="shared" si="35"/>
        <v/>
      </c>
      <c r="AY152" s="143" t="str">
        <f t="shared" si="35"/>
        <v/>
      </c>
      <c r="AZ152" s="143" t="str">
        <f t="shared" si="35"/>
        <v/>
      </c>
      <c r="BA152" s="143" t="str">
        <f t="shared" si="35"/>
        <v/>
      </c>
      <c r="BB152" s="143" t="str">
        <f t="shared" si="35"/>
        <v/>
      </c>
      <c r="BC152" s="143" t="str">
        <f t="shared" si="35"/>
        <v/>
      </c>
      <c r="BD152" s="143" t="str">
        <f t="shared" si="35"/>
        <v/>
      </c>
      <c r="BF152" s="9">
        <f t="shared" si="32"/>
        <v>2.9330720887446985E-5</v>
      </c>
      <c r="BG152" s="9">
        <f t="shared" si="33"/>
        <v>0.99341671243346497</v>
      </c>
    </row>
    <row r="153" spans="2:59" x14ac:dyDescent="0.35">
      <c r="B153" s="3" t="s">
        <v>225</v>
      </c>
      <c r="D153" s="141">
        <v>9264</v>
      </c>
      <c r="E153" s="141">
        <v>11345</v>
      </c>
      <c r="F153" s="141">
        <v>7172</v>
      </c>
      <c r="G153" s="141">
        <v>72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30"/>
        <v>27853</v>
      </c>
      <c r="R153" s="141">
        <v>6866</v>
      </c>
      <c r="S153" s="141">
        <v>9958</v>
      </c>
      <c r="T153" s="141">
        <v>5683</v>
      </c>
      <c r="U153" s="141">
        <v>72</v>
      </c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31"/>
        <v>22579</v>
      </c>
      <c r="AF153" s="2">
        <f t="shared" si="23"/>
        <v>0.74114853195164077</v>
      </c>
      <c r="AG153" s="2">
        <f t="shared" si="23"/>
        <v>0.87774349933891582</v>
      </c>
      <c r="AH153" s="2">
        <f t="shared" si="23"/>
        <v>0.79238706079196874</v>
      </c>
      <c r="AI153" s="2">
        <f t="shared" si="23"/>
        <v>1</v>
      </c>
      <c r="AJ153" s="2" t="str">
        <f t="shared" si="23"/>
        <v/>
      </c>
      <c r="AK153" s="2" t="str">
        <f t="shared" si="23"/>
        <v/>
      </c>
      <c r="AL153" s="2" t="str">
        <f t="shared" si="23"/>
        <v/>
      </c>
      <c r="AM153" s="2" t="str">
        <f t="shared" si="23"/>
        <v/>
      </c>
      <c r="AN153" s="2" t="str">
        <f t="shared" si="34"/>
        <v/>
      </c>
      <c r="AO153" s="2" t="str">
        <f t="shared" si="27"/>
        <v/>
      </c>
      <c r="AP153" s="2" t="str">
        <f t="shared" si="27"/>
        <v/>
      </c>
      <c r="AQ153" s="2" t="str">
        <f t="shared" si="27"/>
        <v/>
      </c>
      <c r="AR153" s="2">
        <f t="shared" si="27"/>
        <v>0.81064876314939149</v>
      </c>
      <c r="AT153" s="143">
        <f t="shared" si="25"/>
        <v>0.13659496738727506</v>
      </c>
      <c r="AU153" s="143">
        <f t="shared" si="26"/>
        <v>-8.5356438546947078E-2</v>
      </c>
      <c r="AV153" s="143">
        <f t="shared" si="26"/>
        <v>0.20761293920803126</v>
      </c>
      <c r="AW153" s="143" t="str">
        <f t="shared" si="35"/>
        <v/>
      </c>
      <c r="AX153" s="143" t="str">
        <f t="shared" si="35"/>
        <v/>
      </c>
      <c r="AY153" s="143" t="str">
        <f t="shared" si="35"/>
        <v/>
      </c>
      <c r="AZ153" s="143" t="str">
        <f t="shared" si="35"/>
        <v/>
      </c>
      <c r="BA153" s="143" t="str">
        <f t="shared" si="35"/>
        <v/>
      </c>
      <c r="BB153" s="143" t="str">
        <f t="shared" si="35"/>
        <v/>
      </c>
      <c r="BC153" s="143" t="str">
        <f t="shared" si="35"/>
        <v/>
      </c>
      <c r="BD153" s="143" t="str">
        <f t="shared" si="35"/>
        <v/>
      </c>
      <c r="BF153" s="9">
        <f t="shared" si="32"/>
        <v>3.7272531906667351E-5</v>
      </c>
      <c r="BG153" s="9">
        <f t="shared" si="33"/>
        <v>0.99345398496537163</v>
      </c>
    </row>
    <row r="154" spans="2:59" x14ac:dyDescent="0.35">
      <c r="B154" s="3" t="s">
        <v>232</v>
      </c>
      <c r="D154" s="141">
        <v>48637</v>
      </c>
      <c r="E154" s="141">
        <v>28632</v>
      </c>
      <c r="F154" s="141">
        <v>38353</v>
      </c>
      <c r="G154" s="141">
        <v>1456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30"/>
        <v>117078</v>
      </c>
      <c r="R154" s="141">
        <v>28150</v>
      </c>
      <c r="S154" s="141">
        <v>19632</v>
      </c>
      <c r="T154" s="141">
        <v>27058</v>
      </c>
      <c r="U154" s="141">
        <v>406</v>
      </c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31"/>
        <v>75246</v>
      </c>
      <c r="AF154" s="2">
        <f t="shared" si="23"/>
        <v>0.57877747393959333</v>
      </c>
      <c r="AG154" s="2">
        <f t="shared" si="23"/>
        <v>0.68566638725901086</v>
      </c>
      <c r="AH154" s="2">
        <f t="shared" si="23"/>
        <v>0.70549891794644481</v>
      </c>
      <c r="AI154" s="2">
        <f t="shared" si="23"/>
        <v>0.27884615384615385</v>
      </c>
      <c r="AJ154" s="2" t="str">
        <f t="shared" si="23"/>
        <v/>
      </c>
      <c r="AK154" s="2" t="str">
        <f t="shared" si="23"/>
        <v/>
      </c>
      <c r="AL154" s="2" t="str">
        <f t="shared" si="23"/>
        <v/>
      </c>
      <c r="AM154" s="2" t="str">
        <f t="shared" si="23"/>
        <v/>
      </c>
      <c r="AN154" s="2" t="str">
        <f t="shared" si="34"/>
        <v/>
      </c>
      <c r="AO154" s="2" t="str">
        <f t="shared" si="27"/>
        <v/>
      </c>
      <c r="AP154" s="2" t="str">
        <f t="shared" si="27"/>
        <v/>
      </c>
      <c r="AQ154" s="2" t="str">
        <f t="shared" si="27"/>
        <v/>
      </c>
      <c r="AR154" s="2">
        <f t="shared" si="27"/>
        <v>0.64269973863578123</v>
      </c>
      <c r="AT154" s="143">
        <f t="shared" si="25"/>
        <v>0.10688891331941752</v>
      </c>
      <c r="AU154" s="143">
        <f t="shared" si="26"/>
        <v>1.9832530687433958E-2</v>
      </c>
      <c r="AV154" s="143">
        <f t="shared" si="26"/>
        <v>-0.42665276410029096</v>
      </c>
      <c r="AW154" s="143" t="str">
        <f t="shared" si="35"/>
        <v/>
      </c>
      <c r="AX154" s="143" t="str">
        <f t="shared" si="35"/>
        <v/>
      </c>
      <c r="AY154" s="143" t="str">
        <f t="shared" si="35"/>
        <v/>
      </c>
      <c r="AZ154" s="143" t="str">
        <f t="shared" si="35"/>
        <v/>
      </c>
      <c r="BA154" s="143" t="str">
        <f t="shared" si="35"/>
        <v/>
      </c>
      <c r="BB154" s="143" t="str">
        <f t="shared" si="35"/>
        <v/>
      </c>
      <c r="BC154" s="143" t="str">
        <f t="shared" si="35"/>
        <v/>
      </c>
      <c r="BD154" s="143" t="str">
        <f t="shared" si="35"/>
        <v/>
      </c>
      <c r="BF154" s="9">
        <f t="shared" si="32"/>
        <v>1.2421315983210466E-4</v>
      </c>
      <c r="BG154" s="9">
        <f t="shared" si="33"/>
        <v>0.99357819812520376</v>
      </c>
    </row>
    <row r="155" spans="2:59" x14ac:dyDescent="0.35">
      <c r="B155" s="3" t="s">
        <v>279</v>
      </c>
      <c r="D155" s="141">
        <v>68888</v>
      </c>
      <c r="E155" s="141">
        <v>91902</v>
      </c>
      <c r="F155" s="141">
        <v>79955</v>
      </c>
      <c r="G155" s="141"/>
      <c r="H155" s="141"/>
      <c r="I155" s="141"/>
      <c r="J155" s="141"/>
      <c r="K155" s="141"/>
      <c r="L155" s="141"/>
      <c r="M155" s="141"/>
      <c r="N155" s="141"/>
      <c r="O155" s="141"/>
      <c r="P155" s="141">
        <f t="shared" si="30"/>
        <v>240745</v>
      </c>
      <c r="R155" s="141">
        <v>37781</v>
      </c>
      <c r="S155" s="141">
        <v>57909</v>
      </c>
      <c r="T155" s="141">
        <v>39546</v>
      </c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31"/>
        <v>135236</v>
      </c>
      <c r="AF155" s="2">
        <f t="shared" si="23"/>
        <v>0.54844094762513063</v>
      </c>
      <c r="AG155" s="2">
        <f t="shared" si="23"/>
        <v>0.63011686361559049</v>
      </c>
      <c r="AH155" s="2">
        <f t="shared" si="23"/>
        <v>0.49460321430804827</v>
      </c>
      <c r="AI155" s="2" t="str">
        <f t="shared" si="23"/>
        <v/>
      </c>
      <c r="AJ155" s="2" t="str">
        <f t="shared" si="23"/>
        <v/>
      </c>
      <c r="AK155" s="2" t="str">
        <f t="shared" si="23"/>
        <v/>
      </c>
      <c r="AL155" s="2" t="str">
        <f t="shared" si="23"/>
        <v/>
      </c>
      <c r="AM155" s="2" t="str">
        <f t="shared" si="23"/>
        <v/>
      </c>
      <c r="AN155" s="2" t="str">
        <f t="shared" si="34"/>
        <v/>
      </c>
      <c r="AO155" s="2" t="str">
        <f t="shared" si="27"/>
        <v/>
      </c>
      <c r="AP155" s="2" t="str">
        <f t="shared" si="27"/>
        <v/>
      </c>
      <c r="AQ155" s="2" t="str">
        <f t="shared" si="27"/>
        <v/>
      </c>
      <c r="AR155" s="2">
        <f t="shared" si="27"/>
        <v>0.56173959999169243</v>
      </c>
      <c r="AT155" s="143">
        <f t="shared" si="25"/>
        <v>8.1675915990459869E-2</v>
      </c>
      <c r="AU155" s="143">
        <f t="shared" si="26"/>
        <v>-0.13551364930754223</v>
      </c>
      <c r="AV155" s="143" t="str">
        <f t="shared" si="26"/>
        <v/>
      </c>
      <c r="AW155" s="143" t="str">
        <f t="shared" si="35"/>
        <v/>
      </c>
      <c r="AX155" s="143" t="str">
        <f t="shared" si="35"/>
        <v/>
      </c>
      <c r="AY155" s="143" t="str">
        <f t="shared" si="35"/>
        <v/>
      </c>
      <c r="AZ155" s="143" t="str">
        <f t="shared" si="35"/>
        <v/>
      </c>
      <c r="BA155" s="143" t="str">
        <f t="shared" si="35"/>
        <v/>
      </c>
      <c r="BB155" s="143" t="str">
        <f t="shared" si="35"/>
        <v/>
      </c>
      <c r="BC155" s="143" t="str">
        <f t="shared" si="35"/>
        <v/>
      </c>
      <c r="BD155" s="143" t="str">
        <f t="shared" si="35"/>
        <v/>
      </c>
      <c r="BF155" s="9">
        <f t="shared" si="32"/>
        <v>2.2324231032951262E-4</v>
      </c>
      <c r="BG155" s="9">
        <f t="shared" si="33"/>
        <v>0.99380144043553331</v>
      </c>
    </row>
    <row r="156" spans="2:59" x14ac:dyDescent="0.35">
      <c r="B156" s="3" t="s">
        <v>218</v>
      </c>
      <c r="D156" s="141">
        <v>3180</v>
      </c>
      <c r="E156" s="141">
        <v>18910</v>
      </c>
      <c r="F156" s="141">
        <v>8590</v>
      </c>
      <c r="G156" s="141"/>
      <c r="H156" s="141"/>
      <c r="I156" s="141"/>
      <c r="J156" s="141"/>
      <c r="K156" s="141"/>
      <c r="L156" s="141"/>
      <c r="M156" s="141"/>
      <c r="N156" s="141"/>
      <c r="O156" s="141"/>
      <c r="P156" s="141">
        <f t="shared" si="30"/>
        <v>30680</v>
      </c>
      <c r="R156" s="141">
        <v>2970</v>
      </c>
      <c r="S156" s="141">
        <v>18910</v>
      </c>
      <c r="T156" s="141">
        <v>7652</v>
      </c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31"/>
        <v>29532</v>
      </c>
      <c r="AF156" s="2">
        <f t="shared" si="23"/>
        <v>0.93396226415094341</v>
      </c>
      <c r="AG156" s="2">
        <f t="shared" si="23"/>
        <v>1</v>
      </c>
      <c r="AH156" s="2">
        <f t="shared" si="23"/>
        <v>0.89080325960419093</v>
      </c>
      <c r="AI156" s="2" t="str">
        <f t="shared" si="23"/>
        <v/>
      </c>
      <c r="AJ156" s="2" t="str">
        <f t="shared" ref="AJ156:AQ211" si="36">+IFERROR(V156/H156,"")</f>
        <v/>
      </c>
      <c r="AK156" s="2" t="str">
        <f t="shared" si="36"/>
        <v/>
      </c>
      <c r="AL156" s="2" t="str">
        <f t="shared" si="36"/>
        <v/>
      </c>
      <c r="AM156" s="2" t="str">
        <f t="shared" si="36"/>
        <v/>
      </c>
      <c r="AN156" s="2" t="str">
        <f t="shared" si="34"/>
        <v/>
      </c>
      <c r="AO156" s="2" t="str">
        <f t="shared" si="27"/>
        <v/>
      </c>
      <c r="AP156" s="2" t="str">
        <f t="shared" si="27"/>
        <v/>
      </c>
      <c r="AQ156" s="2" t="str">
        <f t="shared" si="27"/>
        <v/>
      </c>
      <c r="AR156" s="2">
        <f t="shared" si="27"/>
        <v>0.96258148631029983</v>
      </c>
      <c r="AT156" s="143">
        <f t="shared" si="25"/>
        <v>6.6037735849056589E-2</v>
      </c>
      <c r="AU156" s="143">
        <f t="shared" si="26"/>
        <v>-0.10919674039580907</v>
      </c>
      <c r="AV156" s="143" t="str">
        <f t="shared" si="26"/>
        <v/>
      </c>
      <c r="AW156" s="143" t="str">
        <f t="shared" si="35"/>
        <v/>
      </c>
      <c r="AX156" s="143" t="str">
        <f t="shared" si="35"/>
        <v/>
      </c>
      <c r="AY156" s="143" t="str">
        <f t="shared" si="35"/>
        <v/>
      </c>
      <c r="AZ156" s="143" t="str">
        <f t="shared" si="35"/>
        <v/>
      </c>
      <c r="BA156" s="143" t="str">
        <f t="shared" si="35"/>
        <v/>
      </c>
      <c r="BB156" s="143" t="str">
        <f t="shared" si="35"/>
        <v/>
      </c>
      <c r="BC156" s="143" t="str">
        <f t="shared" si="35"/>
        <v/>
      </c>
      <c r="BD156" s="143" t="str">
        <f t="shared" si="35"/>
        <v/>
      </c>
      <c r="BF156" s="9">
        <f t="shared" si="32"/>
        <v>4.8750272920310916E-5</v>
      </c>
      <c r="BG156" s="9">
        <f t="shared" si="33"/>
        <v>0.9938501907084536</v>
      </c>
    </row>
    <row r="157" spans="2:59" x14ac:dyDescent="0.35">
      <c r="B157" s="3" t="s">
        <v>266</v>
      </c>
      <c r="D157" s="141">
        <v>9762</v>
      </c>
      <c r="E157" s="141">
        <v>4743</v>
      </c>
      <c r="F157" s="141">
        <v>20315</v>
      </c>
      <c r="G157" s="141"/>
      <c r="H157" s="141"/>
      <c r="I157" s="141"/>
      <c r="J157" s="141"/>
      <c r="K157" s="141"/>
      <c r="L157" s="141"/>
      <c r="M157" s="141"/>
      <c r="N157" s="141"/>
      <c r="O157" s="141"/>
      <c r="P157" s="141">
        <f t="shared" si="30"/>
        <v>34820</v>
      </c>
      <c r="R157" s="141">
        <v>4261</v>
      </c>
      <c r="S157" s="141">
        <v>267</v>
      </c>
      <c r="T157" s="141">
        <v>13163</v>
      </c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31"/>
        <v>17691</v>
      </c>
      <c r="AF157" s="2">
        <f t="shared" ref="AF157:AP214" si="37">+IFERROR(R157/D157,"")</f>
        <v>0.4364884245031756</v>
      </c>
      <c r="AG157" s="2">
        <f t="shared" si="37"/>
        <v>5.6293485135989876E-2</v>
      </c>
      <c r="AH157" s="2">
        <f t="shared" si="37"/>
        <v>0.64794486832389864</v>
      </c>
      <c r="AI157" s="2" t="str">
        <f t="shared" si="37"/>
        <v/>
      </c>
      <c r="AJ157" s="2" t="str">
        <f t="shared" si="36"/>
        <v/>
      </c>
      <c r="AK157" s="2" t="str">
        <f t="shared" si="36"/>
        <v/>
      </c>
      <c r="AL157" s="2" t="str">
        <f t="shared" si="36"/>
        <v/>
      </c>
      <c r="AM157" s="2" t="str">
        <f t="shared" si="36"/>
        <v/>
      </c>
      <c r="AN157" s="2" t="str">
        <f t="shared" si="34"/>
        <v/>
      </c>
      <c r="AO157" s="2" t="str">
        <f t="shared" si="27"/>
        <v/>
      </c>
      <c r="AP157" s="2" t="str">
        <f t="shared" si="27"/>
        <v/>
      </c>
      <c r="AQ157" s="2" t="str">
        <f t="shared" si="27"/>
        <v/>
      </c>
      <c r="AR157" s="2">
        <f t="shared" si="27"/>
        <v>0.50807007466973009</v>
      </c>
      <c r="AT157" s="143">
        <f t="shared" si="25"/>
        <v>-0.38019493936718574</v>
      </c>
      <c r="AU157" s="143">
        <f t="shared" si="26"/>
        <v>0.59165138318790877</v>
      </c>
      <c r="AV157" s="143" t="str">
        <f t="shared" si="26"/>
        <v/>
      </c>
      <c r="AW157" s="143" t="str">
        <f t="shared" si="35"/>
        <v/>
      </c>
      <c r="AX157" s="143" t="str">
        <f t="shared" si="35"/>
        <v/>
      </c>
      <c r="AY157" s="143" t="str">
        <f t="shared" si="35"/>
        <v/>
      </c>
      <c r="AZ157" s="143" t="str">
        <f t="shared" si="35"/>
        <v/>
      </c>
      <c r="BA157" s="143" t="str">
        <f t="shared" si="35"/>
        <v/>
      </c>
      <c r="BB157" s="143" t="str">
        <f t="shared" si="35"/>
        <v/>
      </c>
      <c r="BC157" s="143" t="str">
        <f t="shared" si="35"/>
        <v/>
      </c>
      <c r="BD157" s="143" t="str">
        <f t="shared" si="35"/>
        <v/>
      </c>
      <c r="BF157" s="9">
        <f t="shared" si="32"/>
        <v>2.9203612292876216E-5</v>
      </c>
      <c r="BG157" s="9">
        <f t="shared" si="33"/>
        <v>0.99387939432074646</v>
      </c>
    </row>
    <row r="158" spans="2:59" x14ac:dyDescent="0.35">
      <c r="B158" s="3" t="s">
        <v>234</v>
      </c>
      <c r="D158" s="141">
        <v>3404</v>
      </c>
      <c r="E158" s="141">
        <v>2219</v>
      </c>
      <c r="F158" s="141">
        <v>10963</v>
      </c>
      <c r="G158" s="141">
        <v>190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30"/>
        <v>16776</v>
      </c>
      <c r="R158" s="141">
        <v>2970</v>
      </c>
      <c r="S158" s="141">
        <v>1659</v>
      </c>
      <c r="T158" s="141">
        <v>10564</v>
      </c>
      <c r="U158" s="141">
        <v>95</v>
      </c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31"/>
        <v>15288</v>
      </c>
      <c r="AF158" s="2">
        <f t="shared" si="37"/>
        <v>0.87250293772032905</v>
      </c>
      <c r="AG158" s="2">
        <f t="shared" si="37"/>
        <v>0.74763406940063093</v>
      </c>
      <c r="AH158" s="2">
        <f t="shared" si="37"/>
        <v>0.96360485268630847</v>
      </c>
      <c r="AI158" s="2">
        <f t="shared" si="37"/>
        <v>0.5</v>
      </c>
      <c r="AJ158" s="2" t="str">
        <f t="shared" si="36"/>
        <v/>
      </c>
      <c r="AK158" s="2" t="str">
        <f t="shared" si="36"/>
        <v/>
      </c>
      <c r="AL158" s="2" t="str">
        <f t="shared" si="36"/>
        <v/>
      </c>
      <c r="AM158" s="2" t="str">
        <f t="shared" si="36"/>
        <v/>
      </c>
      <c r="AN158" s="2" t="str">
        <f t="shared" si="34"/>
        <v/>
      </c>
      <c r="AO158" s="2" t="str">
        <f t="shared" si="27"/>
        <v/>
      </c>
      <c r="AP158" s="2" t="str">
        <f t="shared" si="27"/>
        <v/>
      </c>
      <c r="AQ158" s="2" t="str">
        <f t="shared" si="27"/>
        <v/>
      </c>
      <c r="AR158" s="2">
        <f t="shared" si="27"/>
        <v>0.9113018597997139</v>
      </c>
      <c r="AT158" s="143">
        <f t="shared" si="25"/>
        <v>-0.12486886831969812</v>
      </c>
      <c r="AU158" s="143">
        <f t="shared" si="26"/>
        <v>0.21597078328567754</v>
      </c>
      <c r="AV158" s="143">
        <f t="shared" si="26"/>
        <v>-0.46360485268630847</v>
      </c>
      <c r="AW158" s="143" t="str">
        <f t="shared" si="35"/>
        <v/>
      </c>
      <c r="AX158" s="143" t="str">
        <f t="shared" si="35"/>
        <v/>
      </c>
      <c r="AY158" s="143" t="str">
        <f t="shared" si="35"/>
        <v/>
      </c>
      <c r="AZ158" s="143" t="str">
        <f t="shared" si="35"/>
        <v/>
      </c>
      <c r="BA158" s="143" t="str">
        <f t="shared" si="35"/>
        <v/>
      </c>
      <c r="BB158" s="143" t="str">
        <f t="shared" si="35"/>
        <v/>
      </c>
      <c r="BC158" s="143" t="str">
        <f t="shared" si="35"/>
        <v/>
      </c>
      <c r="BD158" s="143" t="str">
        <f t="shared" si="35"/>
        <v/>
      </c>
      <c r="BF158" s="9">
        <f t="shared" si="32"/>
        <v>2.5236833685687163E-5</v>
      </c>
      <c r="BG158" s="9">
        <f t="shared" si="33"/>
        <v>0.99390463115443217</v>
      </c>
    </row>
    <row r="159" spans="2:59" x14ac:dyDescent="0.35">
      <c r="B159" s="3" t="s">
        <v>262</v>
      </c>
      <c r="D159" s="141">
        <v>32524</v>
      </c>
      <c r="E159" s="141">
        <v>27095</v>
      </c>
      <c r="F159" s="141">
        <v>39864</v>
      </c>
      <c r="G159" s="141">
        <v>805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30"/>
        <v>100288</v>
      </c>
      <c r="R159" s="141">
        <v>17361</v>
      </c>
      <c r="S159" s="141">
        <v>17756</v>
      </c>
      <c r="T159" s="141">
        <v>22128</v>
      </c>
      <c r="U159" s="141">
        <v>805</v>
      </c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31"/>
        <v>58050</v>
      </c>
      <c r="AF159" s="2">
        <f t="shared" si="37"/>
        <v>0.53379043168121998</v>
      </c>
      <c r="AG159" s="2">
        <f t="shared" si="37"/>
        <v>0.65532386049086544</v>
      </c>
      <c r="AH159" s="2">
        <f t="shared" si="37"/>
        <v>0.55508729680915114</v>
      </c>
      <c r="AI159" s="2">
        <f t="shared" si="37"/>
        <v>1</v>
      </c>
      <c r="AJ159" s="2" t="str">
        <f t="shared" si="36"/>
        <v/>
      </c>
      <c r="AK159" s="2" t="str">
        <f t="shared" si="36"/>
        <v/>
      </c>
      <c r="AL159" s="2" t="str">
        <f t="shared" si="36"/>
        <v/>
      </c>
      <c r="AM159" s="2" t="str">
        <f t="shared" si="36"/>
        <v/>
      </c>
      <c r="AN159" s="2" t="str">
        <f t="shared" si="34"/>
        <v/>
      </c>
      <c r="AO159" s="2" t="str">
        <f t="shared" si="27"/>
        <v/>
      </c>
      <c r="AP159" s="2" t="str">
        <f t="shared" si="27"/>
        <v/>
      </c>
      <c r="AQ159" s="2" t="str">
        <f t="shared" si="27"/>
        <v/>
      </c>
      <c r="AR159" s="2">
        <f t="shared" si="27"/>
        <v>0.57883296107211235</v>
      </c>
      <c r="AT159" s="143">
        <f t="shared" si="25"/>
        <v>0.12153342880964546</v>
      </c>
      <c r="AU159" s="143">
        <f t="shared" si="26"/>
        <v>-0.1002365636817143</v>
      </c>
      <c r="AV159" s="143">
        <f t="shared" si="26"/>
        <v>0.44491270319084886</v>
      </c>
      <c r="AW159" s="143" t="str">
        <f t="shared" si="35"/>
        <v/>
      </c>
      <c r="AX159" s="143" t="str">
        <f t="shared" si="35"/>
        <v/>
      </c>
      <c r="AY159" s="143" t="str">
        <f t="shared" si="35"/>
        <v/>
      </c>
      <c r="AZ159" s="143" t="str">
        <f t="shared" si="35"/>
        <v/>
      </c>
      <c r="BA159" s="143" t="str">
        <f t="shared" si="35"/>
        <v/>
      </c>
      <c r="BB159" s="143" t="str">
        <f t="shared" si="35"/>
        <v/>
      </c>
      <c r="BC159" s="143" t="str">
        <f t="shared" si="35"/>
        <v/>
      </c>
      <c r="BD159" s="143" t="str">
        <f t="shared" si="35"/>
        <v/>
      </c>
      <c r="BF159" s="9">
        <f t="shared" si="32"/>
        <v>9.5826674218611971E-5</v>
      </c>
      <c r="BG159" s="9">
        <f t="shared" si="33"/>
        <v>0.99400045782865076</v>
      </c>
    </row>
    <row r="160" spans="2:59" x14ac:dyDescent="0.35">
      <c r="B160" s="3" t="s">
        <v>228</v>
      </c>
      <c r="D160" s="141">
        <v>1641</v>
      </c>
      <c r="E160" s="141">
        <v>3454</v>
      </c>
      <c r="F160" s="141">
        <v>5363</v>
      </c>
      <c r="G160" s="141">
        <v>947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30"/>
        <v>11405</v>
      </c>
      <c r="R160" s="141">
        <v>826</v>
      </c>
      <c r="S160" s="141">
        <v>2852</v>
      </c>
      <c r="T160" s="141">
        <v>3382</v>
      </c>
      <c r="U160" s="141">
        <v>637</v>
      </c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31"/>
        <v>7697</v>
      </c>
      <c r="AF160" s="2">
        <f t="shared" si="37"/>
        <v>0.50335161486898228</v>
      </c>
      <c r="AG160" s="2">
        <f t="shared" si="37"/>
        <v>0.82570932252460916</v>
      </c>
      <c r="AH160" s="2">
        <f t="shared" si="37"/>
        <v>0.63061719187022192</v>
      </c>
      <c r="AI160" s="2">
        <f t="shared" si="37"/>
        <v>0.67265047518479404</v>
      </c>
      <c r="AJ160" s="2" t="str">
        <f t="shared" si="36"/>
        <v/>
      </c>
      <c r="AK160" s="2" t="str">
        <f t="shared" si="36"/>
        <v/>
      </c>
      <c r="AL160" s="2" t="str">
        <f t="shared" si="36"/>
        <v/>
      </c>
      <c r="AM160" s="2" t="str">
        <f t="shared" si="36"/>
        <v/>
      </c>
      <c r="AN160" s="2" t="str">
        <f t="shared" si="34"/>
        <v/>
      </c>
      <c r="AO160" s="2" t="str">
        <f t="shared" si="27"/>
        <v/>
      </c>
      <c r="AP160" s="2" t="str">
        <f t="shared" si="27"/>
        <v/>
      </c>
      <c r="AQ160" s="2" t="str">
        <f t="shared" si="27"/>
        <v/>
      </c>
      <c r="AR160" s="2">
        <f t="shared" si="27"/>
        <v>0.67487943884261292</v>
      </c>
      <c r="AT160" s="143">
        <f t="shared" si="25"/>
        <v>0.32235770765562688</v>
      </c>
      <c r="AU160" s="143">
        <f t="shared" si="26"/>
        <v>-0.19509213065438724</v>
      </c>
      <c r="AV160" s="143">
        <f t="shared" si="26"/>
        <v>4.2033283314572123E-2</v>
      </c>
      <c r="AW160" s="143" t="str">
        <f t="shared" si="35"/>
        <v/>
      </c>
      <c r="AX160" s="143" t="str">
        <f t="shared" si="35"/>
        <v/>
      </c>
      <c r="AY160" s="143" t="str">
        <f t="shared" si="35"/>
        <v/>
      </c>
      <c r="AZ160" s="143" t="str">
        <f t="shared" si="35"/>
        <v/>
      </c>
      <c r="BA160" s="143" t="str">
        <f t="shared" si="35"/>
        <v/>
      </c>
      <c r="BB160" s="143" t="str">
        <f t="shared" si="35"/>
        <v/>
      </c>
      <c r="BC160" s="143" t="str">
        <f t="shared" si="35"/>
        <v/>
      </c>
      <c r="BD160" s="143" t="str">
        <f t="shared" si="35"/>
        <v/>
      </c>
      <c r="BF160" s="9">
        <f t="shared" si="32"/>
        <v>1.2705907174171513E-5</v>
      </c>
      <c r="BG160" s="9">
        <f t="shared" si="33"/>
        <v>0.99401316373582493</v>
      </c>
    </row>
    <row r="161" spans="2:59" x14ac:dyDescent="0.35">
      <c r="B161" s="3" t="s">
        <v>220</v>
      </c>
      <c r="D161" s="141">
        <v>48258</v>
      </c>
      <c r="E161" s="141">
        <v>67220</v>
      </c>
      <c r="F161" s="141">
        <v>40817</v>
      </c>
      <c r="G161" s="141">
        <v>11868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30"/>
        <v>168163</v>
      </c>
      <c r="R161" s="141">
        <v>43617</v>
      </c>
      <c r="S161" s="141">
        <v>61290</v>
      </c>
      <c r="T161" s="141">
        <v>38163</v>
      </c>
      <c r="U161" s="141">
        <v>11278</v>
      </c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31"/>
        <v>154348</v>
      </c>
      <c r="AF161" s="2">
        <f t="shared" si="37"/>
        <v>0.90382941688424712</v>
      </c>
      <c r="AG161" s="2">
        <f t="shared" si="37"/>
        <v>0.91178220767628682</v>
      </c>
      <c r="AH161" s="2">
        <f t="shared" si="37"/>
        <v>0.93497807286179779</v>
      </c>
      <c r="AI161" s="2">
        <f t="shared" si="37"/>
        <v>0.95028648466464438</v>
      </c>
      <c r="AJ161" s="2" t="str">
        <f t="shared" si="36"/>
        <v/>
      </c>
      <c r="AK161" s="2" t="str">
        <f t="shared" si="36"/>
        <v/>
      </c>
      <c r="AL161" s="2" t="str">
        <f t="shared" si="36"/>
        <v/>
      </c>
      <c r="AM161" s="2" t="str">
        <f t="shared" si="36"/>
        <v/>
      </c>
      <c r="AN161" s="2" t="str">
        <f t="shared" si="34"/>
        <v/>
      </c>
      <c r="AO161" s="2" t="str">
        <f t="shared" si="27"/>
        <v/>
      </c>
      <c r="AP161" s="2" t="str">
        <f t="shared" si="27"/>
        <v/>
      </c>
      <c r="AQ161" s="2" t="str">
        <f t="shared" si="27"/>
        <v/>
      </c>
      <c r="AR161" s="2">
        <f t="shared" si="27"/>
        <v>0.91784756456533245</v>
      </c>
      <c r="AT161" s="143">
        <f t="shared" si="25"/>
        <v>7.952790792039699E-3</v>
      </c>
      <c r="AU161" s="143">
        <f t="shared" si="26"/>
        <v>2.3195865185510978E-2</v>
      </c>
      <c r="AV161" s="143">
        <f t="shared" si="26"/>
        <v>1.5308411802846589E-2</v>
      </c>
      <c r="AW161" s="143" t="str">
        <f t="shared" si="35"/>
        <v/>
      </c>
      <c r="AX161" s="143" t="str">
        <f t="shared" si="35"/>
        <v/>
      </c>
      <c r="AY161" s="143" t="str">
        <f t="shared" si="35"/>
        <v/>
      </c>
      <c r="AZ161" s="143" t="str">
        <f t="shared" si="35"/>
        <v/>
      </c>
      <c r="BA161" s="143" t="str">
        <f t="shared" si="35"/>
        <v/>
      </c>
      <c r="BB161" s="143" t="str">
        <f t="shared" si="35"/>
        <v/>
      </c>
      <c r="BC161" s="143" t="str">
        <f t="shared" si="35"/>
        <v/>
      </c>
      <c r="BD161" s="143" t="str">
        <f t="shared" si="35"/>
        <v/>
      </c>
      <c r="BF161" s="9">
        <f t="shared" si="32"/>
        <v>2.5479165395855846E-4</v>
      </c>
      <c r="BG161" s="9">
        <f t="shared" si="33"/>
        <v>0.99426795538978352</v>
      </c>
    </row>
    <row r="162" spans="2:59" x14ac:dyDescent="0.35">
      <c r="B162" s="3" t="s">
        <v>236</v>
      </c>
      <c r="D162" s="141">
        <v>3453</v>
      </c>
      <c r="E162" s="141">
        <v>5892</v>
      </c>
      <c r="F162" s="141">
        <v>3627</v>
      </c>
      <c r="G162" s="141">
        <v>2880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30"/>
        <v>15852</v>
      </c>
      <c r="R162" s="141">
        <v>1313</v>
      </c>
      <c r="S162" s="141">
        <v>4876</v>
      </c>
      <c r="T162" s="141">
        <v>2355</v>
      </c>
      <c r="U162" s="141">
        <v>2880</v>
      </c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31"/>
        <v>11424</v>
      </c>
      <c r="AF162" s="2">
        <f t="shared" si="37"/>
        <v>0.38024905878945842</v>
      </c>
      <c r="AG162" s="2">
        <f t="shared" si="37"/>
        <v>0.82756279701289881</v>
      </c>
      <c r="AH162" s="2">
        <f t="shared" si="37"/>
        <v>0.64929693961952029</v>
      </c>
      <c r="AI162" s="2">
        <f t="shared" si="37"/>
        <v>1</v>
      </c>
      <c r="AJ162" s="2" t="str">
        <f t="shared" si="36"/>
        <v/>
      </c>
      <c r="AK162" s="2" t="str">
        <f t="shared" si="36"/>
        <v/>
      </c>
      <c r="AL162" s="2" t="str">
        <f t="shared" si="36"/>
        <v/>
      </c>
      <c r="AM162" s="2" t="str">
        <f t="shared" si="36"/>
        <v/>
      </c>
      <c r="AN162" s="2" t="str">
        <f t="shared" si="34"/>
        <v/>
      </c>
      <c r="AO162" s="2" t="str">
        <f t="shared" si="27"/>
        <v/>
      </c>
      <c r="AP162" s="2" t="str">
        <f t="shared" si="27"/>
        <v/>
      </c>
      <c r="AQ162" s="2" t="str">
        <f t="shared" si="27"/>
        <v/>
      </c>
      <c r="AR162" s="2">
        <f t="shared" si="27"/>
        <v>0.72066616199848599</v>
      </c>
      <c r="AT162" s="143">
        <f t="shared" si="25"/>
        <v>0.44731373822344039</v>
      </c>
      <c r="AU162" s="143">
        <f t="shared" si="26"/>
        <v>-0.17826585739337852</v>
      </c>
      <c r="AV162" s="143">
        <f t="shared" si="26"/>
        <v>0.35070306038047971</v>
      </c>
      <c r="AW162" s="143" t="str">
        <f t="shared" si="35"/>
        <v/>
      </c>
      <c r="AX162" s="143" t="str">
        <f t="shared" si="35"/>
        <v/>
      </c>
      <c r="AY162" s="143" t="str">
        <f t="shared" si="35"/>
        <v/>
      </c>
      <c r="AZ162" s="143" t="str">
        <f t="shared" si="35"/>
        <v/>
      </c>
      <c r="BA162" s="143" t="str">
        <f t="shared" si="35"/>
        <v/>
      </c>
      <c r="BB162" s="143" t="str">
        <f t="shared" si="35"/>
        <v/>
      </c>
      <c r="BC162" s="143" t="str">
        <f t="shared" si="35"/>
        <v/>
      </c>
      <c r="BD162" s="143" t="str">
        <f t="shared" si="35"/>
        <v/>
      </c>
      <c r="BF162" s="9">
        <f t="shared" si="32"/>
        <v>1.8858293303590408E-5</v>
      </c>
      <c r="BG162" s="9">
        <f t="shared" si="33"/>
        <v>0.99428681368308713</v>
      </c>
    </row>
    <row r="163" spans="2:59" x14ac:dyDescent="0.35">
      <c r="B163" s="3" t="s">
        <v>244</v>
      </c>
      <c r="D163" s="141">
        <v>1425</v>
      </c>
      <c r="E163" s="141">
        <v>1215</v>
      </c>
      <c r="F163" s="141">
        <v>2001</v>
      </c>
      <c r="G163" s="141"/>
      <c r="H163" s="141"/>
      <c r="I163" s="141"/>
      <c r="J163" s="141"/>
      <c r="K163" s="141"/>
      <c r="L163" s="141"/>
      <c r="M163" s="141"/>
      <c r="N163" s="141"/>
      <c r="O163" s="141"/>
      <c r="P163" s="141">
        <f t="shared" si="30"/>
        <v>4641</v>
      </c>
      <c r="R163" s="141">
        <v>1425</v>
      </c>
      <c r="S163" s="141">
        <v>1215</v>
      </c>
      <c r="T163" s="141">
        <v>2001</v>
      </c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31"/>
        <v>4641</v>
      </c>
      <c r="AF163" s="2">
        <f t="shared" si="37"/>
        <v>1</v>
      </c>
      <c r="AG163" s="2">
        <f t="shared" si="37"/>
        <v>1</v>
      </c>
      <c r="AH163" s="2">
        <f t="shared" si="37"/>
        <v>1</v>
      </c>
      <c r="AI163" s="2" t="str">
        <f t="shared" si="37"/>
        <v/>
      </c>
      <c r="AJ163" s="2" t="str">
        <f t="shared" si="36"/>
        <v/>
      </c>
      <c r="AK163" s="2" t="str">
        <f t="shared" si="36"/>
        <v/>
      </c>
      <c r="AL163" s="2" t="str">
        <f t="shared" si="36"/>
        <v/>
      </c>
      <c r="AM163" s="2" t="str">
        <f t="shared" si="36"/>
        <v/>
      </c>
      <c r="AN163" s="2" t="str">
        <f t="shared" si="34"/>
        <v/>
      </c>
      <c r="AO163" s="2" t="str">
        <f t="shared" si="27"/>
        <v/>
      </c>
      <c r="AP163" s="2" t="str">
        <f t="shared" si="27"/>
        <v/>
      </c>
      <c r="AQ163" s="2" t="str">
        <f t="shared" si="27"/>
        <v/>
      </c>
      <c r="AR163" s="2">
        <f t="shared" si="27"/>
        <v>1</v>
      </c>
      <c r="AT163" s="143">
        <f t="shared" si="25"/>
        <v>0</v>
      </c>
      <c r="AU163" s="143">
        <f t="shared" si="26"/>
        <v>0</v>
      </c>
      <c r="AV163" s="143" t="str">
        <f t="shared" si="26"/>
        <v/>
      </c>
      <c r="AW163" s="143" t="str">
        <f t="shared" si="35"/>
        <v/>
      </c>
      <c r="AX163" s="143" t="str">
        <f t="shared" si="35"/>
        <v/>
      </c>
      <c r="AY163" s="143" t="str">
        <f t="shared" si="35"/>
        <v/>
      </c>
      <c r="AZ163" s="143" t="str">
        <f t="shared" si="35"/>
        <v/>
      </c>
      <c r="BA163" s="143" t="str">
        <f t="shared" si="35"/>
        <v/>
      </c>
      <c r="BB163" s="143" t="str">
        <f t="shared" si="35"/>
        <v/>
      </c>
      <c r="BC163" s="143" t="str">
        <f t="shared" si="35"/>
        <v/>
      </c>
      <c r="BD163" s="143" t="str">
        <f t="shared" si="35"/>
        <v/>
      </c>
      <c r="BF163" s="9">
        <f t="shared" si="32"/>
        <v>7.6611816545836025E-6</v>
      </c>
      <c r="BG163" s="9">
        <f t="shared" si="33"/>
        <v>0.99429447486474176</v>
      </c>
    </row>
    <row r="164" spans="2:59" x14ac:dyDescent="0.35">
      <c r="B164" s="3" t="s">
        <v>223</v>
      </c>
      <c r="D164" s="141">
        <v>19969</v>
      </c>
      <c r="E164" s="141">
        <v>27804</v>
      </c>
      <c r="F164" s="141">
        <v>14983</v>
      </c>
      <c r="G164" s="141"/>
      <c r="H164" s="141"/>
      <c r="I164" s="141"/>
      <c r="J164" s="141"/>
      <c r="K164" s="141"/>
      <c r="L164" s="141"/>
      <c r="M164" s="141"/>
      <c r="N164" s="141"/>
      <c r="O164" s="141"/>
      <c r="P164" s="141">
        <f t="shared" si="30"/>
        <v>62756</v>
      </c>
      <c r="R164" s="141">
        <v>17359</v>
      </c>
      <c r="S164" s="141">
        <v>21715</v>
      </c>
      <c r="T164" s="141">
        <v>11540</v>
      </c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31"/>
        <v>50614</v>
      </c>
      <c r="AF164" s="2">
        <f t="shared" si="37"/>
        <v>0.86929741098702995</v>
      </c>
      <c r="AG164" s="2">
        <f t="shared" si="37"/>
        <v>0.78100273341965187</v>
      </c>
      <c r="AH164" s="2">
        <f t="shared" si="37"/>
        <v>0.77020623373156238</v>
      </c>
      <c r="AI164" s="2" t="str">
        <f t="shared" si="37"/>
        <v/>
      </c>
      <c r="AJ164" s="2" t="str">
        <f t="shared" si="36"/>
        <v/>
      </c>
      <c r="AK164" s="2" t="str">
        <f t="shared" si="36"/>
        <v/>
      </c>
      <c r="AL164" s="2" t="str">
        <f t="shared" si="36"/>
        <v/>
      </c>
      <c r="AM164" s="2" t="str">
        <f t="shared" si="36"/>
        <v/>
      </c>
      <c r="AN164" s="2" t="str">
        <f t="shared" si="34"/>
        <v/>
      </c>
      <c r="AO164" s="2" t="str">
        <f t="shared" si="27"/>
        <v/>
      </c>
      <c r="AP164" s="2" t="str">
        <f t="shared" si="27"/>
        <v/>
      </c>
      <c r="AQ164" s="2" t="str">
        <f t="shared" si="27"/>
        <v/>
      </c>
      <c r="AR164" s="2">
        <f t="shared" si="27"/>
        <v>0.80652049206450382</v>
      </c>
      <c r="AT164" s="143">
        <f t="shared" si="25"/>
        <v>-8.8294677567378077E-2</v>
      </c>
      <c r="AU164" s="143">
        <f t="shared" si="26"/>
        <v>-1.0796499688089489E-2</v>
      </c>
      <c r="AV164" s="143" t="str">
        <f t="shared" si="26"/>
        <v/>
      </c>
      <c r="AW164" s="143" t="str">
        <f t="shared" si="35"/>
        <v/>
      </c>
      <c r="AX164" s="143" t="str">
        <f t="shared" si="35"/>
        <v/>
      </c>
      <c r="AY164" s="143" t="str">
        <f t="shared" si="35"/>
        <v/>
      </c>
      <c r="AZ164" s="143" t="str">
        <f t="shared" si="35"/>
        <v/>
      </c>
      <c r="BA164" s="143" t="str">
        <f t="shared" si="35"/>
        <v/>
      </c>
      <c r="BB164" s="143" t="str">
        <f t="shared" si="35"/>
        <v/>
      </c>
      <c r="BC164" s="143" t="str">
        <f t="shared" si="35"/>
        <v/>
      </c>
      <c r="BD164" s="143" t="str">
        <f t="shared" si="35"/>
        <v/>
      </c>
      <c r="BF164" s="9">
        <f t="shared" si="32"/>
        <v>8.35516156572063E-5</v>
      </c>
      <c r="BG164" s="9">
        <f t="shared" si="33"/>
        <v>0.99437802648039897</v>
      </c>
    </row>
    <row r="165" spans="2:59" x14ac:dyDescent="0.35">
      <c r="B165" s="3" t="s">
        <v>240</v>
      </c>
      <c r="D165" s="141">
        <v>38908</v>
      </c>
      <c r="E165" s="141">
        <v>23952</v>
      </c>
      <c r="F165" s="141">
        <v>19668</v>
      </c>
      <c r="G165" s="141">
        <v>2372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30"/>
        <v>84900</v>
      </c>
      <c r="R165" s="141">
        <v>18107</v>
      </c>
      <c r="S165" s="141">
        <v>17089</v>
      </c>
      <c r="T165" s="141">
        <v>11681</v>
      </c>
      <c r="U165" s="141">
        <v>1723</v>
      </c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31"/>
        <v>48600</v>
      </c>
      <c r="AF165" s="2">
        <f t="shared" si="37"/>
        <v>0.46537987046365786</v>
      </c>
      <c r="AG165" s="2">
        <f t="shared" si="37"/>
        <v>0.71346860387441546</v>
      </c>
      <c r="AH165" s="2">
        <f t="shared" si="37"/>
        <v>0.5939088875330486</v>
      </c>
      <c r="AI165" s="2">
        <f t="shared" si="37"/>
        <v>0.72639123102866776</v>
      </c>
      <c r="AJ165" s="2" t="str">
        <f t="shared" si="36"/>
        <v/>
      </c>
      <c r="AK165" s="2" t="str">
        <f t="shared" si="36"/>
        <v/>
      </c>
      <c r="AL165" s="2" t="str">
        <f t="shared" si="36"/>
        <v/>
      </c>
      <c r="AM165" s="2" t="str">
        <f t="shared" si="36"/>
        <v/>
      </c>
      <c r="AN165" s="2" t="str">
        <f t="shared" si="34"/>
        <v/>
      </c>
      <c r="AO165" s="2" t="str">
        <f t="shared" si="27"/>
        <v/>
      </c>
      <c r="AP165" s="2" t="str">
        <f t="shared" si="27"/>
        <v/>
      </c>
      <c r="AQ165" s="2" t="str">
        <f t="shared" si="27"/>
        <v/>
      </c>
      <c r="AR165" s="2">
        <f t="shared" si="27"/>
        <v>0.57243816254416957</v>
      </c>
      <c r="AT165" s="143">
        <f t="shared" si="25"/>
        <v>0.2480887334107576</v>
      </c>
      <c r="AU165" s="143">
        <f t="shared" si="26"/>
        <v>-0.11955971634136686</v>
      </c>
      <c r="AV165" s="143">
        <f t="shared" si="26"/>
        <v>0.13248234349561916</v>
      </c>
      <c r="AW165" s="143" t="str">
        <f t="shared" si="35"/>
        <v/>
      </c>
      <c r="AX165" s="143" t="str">
        <f t="shared" si="35"/>
        <v/>
      </c>
      <c r="AY165" s="143" t="str">
        <f t="shared" si="35"/>
        <v/>
      </c>
      <c r="AZ165" s="143" t="str">
        <f t="shared" si="35"/>
        <v/>
      </c>
      <c r="BA165" s="143" t="str">
        <f t="shared" si="35"/>
        <v/>
      </c>
      <c r="BB165" s="143" t="str">
        <f t="shared" si="35"/>
        <v/>
      </c>
      <c r="BC165" s="143" t="str">
        <f t="shared" si="35"/>
        <v/>
      </c>
      <c r="BD165" s="143" t="str">
        <f t="shared" si="35"/>
        <v/>
      </c>
      <c r="BF165" s="9">
        <f t="shared" ref="BF165:BF195" si="38">+AD165/$AD$256</f>
        <v>8.0226983066744898E-5</v>
      </c>
      <c r="BG165" s="9">
        <f t="shared" si="33"/>
        <v>0.99445825346346572</v>
      </c>
    </row>
    <row r="166" spans="2:59" x14ac:dyDescent="0.35">
      <c r="B166" s="3" t="s">
        <v>235</v>
      </c>
      <c r="D166" s="141">
        <v>5895</v>
      </c>
      <c r="E166" s="141">
        <v>-460</v>
      </c>
      <c r="F166" s="141">
        <v>2229</v>
      </c>
      <c r="G166" s="141"/>
      <c r="H166" s="141"/>
      <c r="I166" s="141"/>
      <c r="J166" s="141"/>
      <c r="K166" s="141"/>
      <c r="L166" s="141"/>
      <c r="M166" s="141"/>
      <c r="N166" s="141"/>
      <c r="O166" s="141"/>
      <c r="P166" s="141">
        <f t="shared" si="30"/>
        <v>7664</v>
      </c>
      <c r="R166" s="141">
        <v>5895</v>
      </c>
      <c r="S166" s="141">
        <v>-460</v>
      </c>
      <c r="T166" s="141">
        <v>579</v>
      </c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31"/>
        <v>6014</v>
      </c>
      <c r="AF166" s="2">
        <f t="shared" si="37"/>
        <v>1</v>
      </c>
      <c r="AG166" s="2">
        <f t="shared" si="37"/>
        <v>1</v>
      </c>
      <c r="AH166" s="2">
        <f t="shared" si="37"/>
        <v>0.25975773889636611</v>
      </c>
      <c r="AI166" s="2" t="str">
        <f t="shared" si="37"/>
        <v/>
      </c>
      <c r="AJ166" s="2" t="str">
        <f t="shared" si="36"/>
        <v/>
      </c>
      <c r="AK166" s="2" t="str">
        <f t="shared" si="36"/>
        <v/>
      </c>
      <c r="AL166" s="2" t="str">
        <f t="shared" si="36"/>
        <v/>
      </c>
      <c r="AM166" s="2" t="str">
        <f t="shared" si="36"/>
        <v/>
      </c>
      <c r="AN166" s="2" t="str">
        <f t="shared" si="34"/>
        <v/>
      </c>
      <c r="AO166" s="2" t="str">
        <f t="shared" si="27"/>
        <v/>
      </c>
      <c r="AP166" s="2" t="str">
        <f t="shared" si="27"/>
        <v/>
      </c>
      <c r="AQ166" s="2" t="str">
        <f t="shared" si="27"/>
        <v/>
      </c>
      <c r="AR166" s="2">
        <f t="shared" si="27"/>
        <v>0.78470772442588721</v>
      </c>
      <c r="AT166" s="143">
        <f t="shared" si="25"/>
        <v>0</v>
      </c>
      <c r="AU166" s="143">
        <f t="shared" si="26"/>
        <v>-0.74024226110363389</v>
      </c>
      <c r="AV166" s="143" t="str">
        <f t="shared" si="26"/>
        <v/>
      </c>
      <c r="AW166" s="143" t="str">
        <f t="shared" si="35"/>
        <v/>
      </c>
      <c r="AX166" s="143" t="str">
        <f t="shared" si="35"/>
        <v/>
      </c>
      <c r="AY166" s="143" t="str">
        <f t="shared" si="35"/>
        <v/>
      </c>
      <c r="AZ166" s="143" t="str">
        <f t="shared" si="35"/>
        <v/>
      </c>
      <c r="BA166" s="143" t="str">
        <f t="shared" si="35"/>
        <v/>
      </c>
      <c r="BB166" s="143" t="str">
        <f t="shared" si="35"/>
        <v/>
      </c>
      <c r="BC166" s="143" t="str">
        <f t="shared" si="35"/>
        <v/>
      </c>
      <c r="BD166" s="143" t="str">
        <f t="shared" si="35"/>
        <v/>
      </c>
      <c r="BF166" s="9">
        <f t="shared" si="38"/>
        <v>9.9276764642675684E-6</v>
      </c>
      <c r="BG166" s="9">
        <f t="shared" si="33"/>
        <v>0.99446818113992996</v>
      </c>
    </row>
    <row r="167" spans="2:59" x14ac:dyDescent="0.35">
      <c r="B167" s="3" t="s">
        <v>255</v>
      </c>
      <c r="D167" s="141">
        <v>3491</v>
      </c>
      <c r="E167" s="141">
        <v>3225</v>
      </c>
      <c r="F167" s="141">
        <v>2800</v>
      </c>
      <c r="G167" s="141"/>
      <c r="H167" s="141"/>
      <c r="I167" s="141"/>
      <c r="J167" s="141"/>
      <c r="K167" s="141"/>
      <c r="L167" s="141"/>
      <c r="M167" s="141"/>
      <c r="N167" s="141"/>
      <c r="O167" s="141"/>
      <c r="P167" s="141">
        <f t="shared" si="30"/>
        <v>9516</v>
      </c>
      <c r="R167" s="141">
        <v>246</v>
      </c>
      <c r="S167" s="141">
        <v>2705</v>
      </c>
      <c r="T167" s="141">
        <v>420</v>
      </c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31"/>
        <v>3371</v>
      </c>
      <c r="AF167" s="2">
        <f t="shared" si="37"/>
        <v>7.0466914924090518E-2</v>
      </c>
      <c r="AG167" s="2">
        <f t="shared" si="37"/>
        <v>0.83875968992248062</v>
      </c>
      <c r="AH167" s="2">
        <f t="shared" si="37"/>
        <v>0.15</v>
      </c>
      <c r="AI167" s="2" t="str">
        <f t="shared" si="37"/>
        <v/>
      </c>
      <c r="AJ167" s="2" t="str">
        <f t="shared" si="36"/>
        <v/>
      </c>
      <c r="AK167" s="2" t="str">
        <f t="shared" si="36"/>
        <v/>
      </c>
      <c r="AL167" s="2" t="str">
        <f t="shared" si="36"/>
        <v/>
      </c>
      <c r="AM167" s="2" t="str">
        <f t="shared" si="36"/>
        <v/>
      </c>
      <c r="AN167" s="2" t="str">
        <f t="shared" si="34"/>
        <v/>
      </c>
      <c r="AO167" s="2" t="str">
        <f t="shared" si="27"/>
        <v/>
      </c>
      <c r="AP167" s="2" t="str">
        <f t="shared" si="27"/>
        <v/>
      </c>
      <c r="AQ167" s="2" t="str">
        <f t="shared" si="27"/>
        <v/>
      </c>
      <c r="AR167" s="2">
        <f t="shared" si="27"/>
        <v>0.3542454812946616</v>
      </c>
      <c r="AT167" s="143">
        <f t="shared" si="25"/>
        <v>0.7682927749983901</v>
      </c>
      <c r="AU167" s="143">
        <f t="shared" si="26"/>
        <v>-0.6887596899224806</v>
      </c>
      <c r="AV167" s="143" t="str">
        <f t="shared" si="26"/>
        <v/>
      </c>
      <c r="AW167" s="143" t="str">
        <f t="shared" si="35"/>
        <v/>
      </c>
      <c r="AX167" s="143" t="str">
        <f t="shared" si="35"/>
        <v/>
      </c>
      <c r="AY167" s="143" t="str">
        <f t="shared" si="35"/>
        <v/>
      </c>
      <c r="AZ167" s="143" t="str">
        <f t="shared" si="35"/>
        <v/>
      </c>
      <c r="BA167" s="143" t="str">
        <f t="shared" si="35"/>
        <v/>
      </c>
      <c r="BB167" s="143" t="str">
        <f t="shared" si="35"/>
        <v/>
      </c>
      <c r="BC167" s="143" t="str">
        <f t="shared" si="35"/>
        <v/>
      </c>
      <c r="BD167" s="143" t="str">
        <f t="shared" si="35"/>
        <v/>
      </c>
      <c r="BF167" s="9">
        <f t="shared" si="38"/>
        <v>5.5647152246501457E-6</v>
      </c>
      <c r="BG167" s="9">
        <f t="shared" si="33"/>
        <v>0.99447374585515458</v>
      </c>
    </row>
    <row r="168" spans="2:59" x14ac:dyDescent="0.35">
      <c r="B168" s="3" t="s">
        <v>273</v>
      </c>
      <c r="D168" s="141">
        <v>12718</v>
      </c>
      <c r="E168" s="141">
        <v>25258</v>
      </c>
      <c r="F168" s="141">
        <v>24002</v>
      </c>
      <c r="G168" s="141">
        <v>751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30"/>
        <v>62729</v>
      </c>
      <c r="R168" s="141">
        <v>11242</v>
      </c>
      <c r="S168" s="141">
        <v>19837</v>
      </c>
      <c r="T168" s="141">
        <v>22697</v>
      </c>
      <c r="U168" s="141">
        <v>751</v>
      </c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31"/>
        <v>54527</v>
      </c>
      <c r="AF168" s="2">
        <f t="shared" si="37"/>
        <v>0.88394401635477271</v>
      </c>
      <c r="AG168" s="2">
        <f t="shared" si="37"/>
        <v>0.78537493071502096</v>
      </c>
      <c r="AH168" s="2">
        <f t="shared" si="37"/>
        <v>0.94562953087242729</v>
      </c>
      <c r="AI168" s="2">
        <f t="shared" si="37"/>
        <v>1</v>
      </c>
      <c r="AJ168" s="2" t="str">
        <f t="shared" si="36"/>
        <v/>
      </c>
      <c r="AK168" s="2" t="str">
        <f t="shared" si="36"/>
        <v/>
      </c>
      <c r="AL168" s="2" t="str">
        <f t="shared" si="36"/>
        <v/>
      </c>
      <c r="AM168" s="2" t="str">
        <f t="shared" si="36"/>
        <v/>
      </c>
      <c r="AN168" s="2" t="str">
        <f t="shared" si="34"/>
        <v/>
      </c>
      <c r="AO168" s="2" t="str">
        <f t="shared" si="27"/>
        <v/>
      </c>
      <c r="AP168" s="2" t="str">
        <f t="shared" si="27"/>
        <v/>
      </c>
      <c r="AQ168" s="2" t="str">
        <f t="shared" si="27"/>
        <v/>
      </c>
      <c r="AR168" s="2">
        <f t="shared" si="27"/>
        <v>0.86924707870362994</v>
      </c>
      <c r="AT168" s="143">
        <f t="shared" si="25"/>
        <v>-9.8569085639751752E-2</v>
      </c>
      <c r="AU168" s="143">
        <f t="shared" si="26"/>
        <v>0.16025460015740634</v>
      </c>
      <c r="AV168" s="143">
        <f t="shared" si="26"/>
        <v>5.4370469127572707E-2</v>
      </c>
      <c r="AW168" s="143" t="str">
        <f t="shared" si="35"/>
        <v/>
      </c>
      <c r="AX168" s="143" t="str">
        <f t="shared" si="35"/>
        <v/>
      </c>
      <c r="AY168" s="143" t="str">
        <f t="shared" si="35"/>
        <v/>
      </c>
      <c r="AZ168" s="143" t="str">
        <f t="shared" si="35"/>
        <v/>
      </c>
      <c r="BA168" s="143" t="str">
        <f t="shared" si="35"/>
        <v/>
      </c>
      <c r="BB168" s="143" t="str">
        <f t="shared" si="35"/>
        <v/>
      </c>
      <c r="BC168" s="143" t="str">
        <f t="shared" si="35"/>
        <v/>
      </c>
      <c r="BD168" s="143" t="str">
        <f t="shared" si="35"/>
        <v/>
      </c>
      <c r="BF168" s="9">
        <f t="shared" si="38"/>
        <v>9.0011043326757183E-5</v>
      </c>
      <c r="BG168" s="9">
        <f t="shared" si="33"/>
        <v>0.99456375689848131</v>
      </c>
    </row>
    <row r="169" spans="2:59" x14ac:dyDescent="0.35">
      <c r="B169" s="3" t="s">
        <v>292</v>
      </c>
      <c r="D169" s="141">
        <v>29423</v>
      </c>
      <c r="E169" s="141">
        <v>31699</v>
      </c>
      <c r="F169" s="141">
        <v>26860</v>
      </c>
      <c r="G169" s="141">
        <v>3727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30"/>
        <v>91709</v>
      </c>
      <c r="R169" s="141">
        <v>11892</v>
      </c>
      <c r="S169" s="141">
        <v>27994</v>
      </c>
      <c r="T169" s="141">
        <v>17574</v>
      </c>
      <c r="U169" s="141">
        <v>981</v>
      </c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31"/>
        <v>58441</v>
      </c>
      <c r="AF169" s="2">
        <f t="shared" si="37"/>
        <v>0.40417360568262922</v>
      </c>
      <c r="AG169" s="2">
        <f t="shared" si="37"/>
        <v>0.88311934130414205</v>
      </c>
      <c r="AH169" s="2">
        <f t="shared" si="37"/>
        <v>0.65428145941921068</v>
      </c>
      <c r="AI169" s="2">
        <f t="shared" si="37"/>
        <v>0.26321438154011267</v>
      </c>
      <c r="AJ169" s="2" t="str">
        <f t="shared" si="36"/>
        <v/>
      </c>
      <c r="AK169" s="2" t="str">
        <f t="shared" si="36"/>
        <v/>
      </c>
      <c r="AL169" s="2" t="str">
        <f t="shared" si="36"/>
        <v/>
      </c>
      <c r="AM169" s="2" t="str">
        <f t="shared" si="36"/>
        <v/>
      </c>
      <c r="AN169" s="2" t="str">
        <f t="shared" si="34"/>
        <v/>
      </c>
      <c r="AO169" s="2" t="str">
        <f t="shared" si="27"/>
        <v/>
      </c>
      <c r="AP169" s="2" t="str">
        <f t="shared" si="27"/>
        <v/>
      </c>
      <c r="AQ169" s="2" t="str">
        <f t="shared" si="27"/>
        <v/>
      </c>
      <c r="AR169" s="2">
        <f t="shared" si="27"/>
        <v>0.637243891003064</v>
      </c>
      <c r="AT169" s="143">
        <f t="shared" si="25"/>
        <v>0.47894573562151282</v>
      </c>
      <c r="AU169" s="143">
        <f t="shared" si="26"/>
        <v>-0.22883788188493137</v>
      </c>
      <c r="AV169" s="143">
        <f t="shared" si="26"/>
        <v>-0.391067077879098</v>
      </c>
      <c r="AW169" s="143" t="str">
        <f t="shared" si="35"/>
        <v/>
      </c>
      <c r="AX169" s="143" t="str">
        <f t="shared" si="35"/>
        <v/>
      </c>
      <c r="AY169" s="143" t="str">
        <f t="shared" si="35"/>
        <v/>
      </c>
      <c r="AZ169" s="143" t="str">
        <f t="shared" si="35"/>
        <v/>
      </c>
      <c r="BA169" s="143" t="str">
        <f t="shared" si="35"/>
        <v/>
      </c>
      <c r="BB169" s="143" t="str">
        <f t="shared" si="35"/>
        <v/>
      </c>
      <c r="BC169" s="143" t="str">
        <f t="shared" si="35"/>
        <v/>
      </c>
      <c r="BD169" s="143" t="str">
        <f t="shared" si="35"/>
        <v/>
      </c>
      <c r="BF169" s="9">
        <f t="shared" si="38"/>
        <v>9.6472121757276523E-5</v>
      </c>
      <c r="BG169" s="9">
        <f t="shared" si="33"/>
        <v>0.99466022902023854</v>
      </c>
    </row>
    <row r="170" spans="2:59" x14ac:dyDescent="0.35">
      <c r="B170" s="3" t="s">
        <v>247</v>
      </c>
      <c r="D170" s="141">
        <v>747096</v>
      </c>
      <c r="E170" s="141">
        <v>640752</v>
      </c>
      <c r="F170" s="141">
        <v>921506</v>
      </c>
      <c r="G170" s="141">
        <v>86402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30"/>
        <v>2395756</v>
      </c>
      <c r="R170" s="141">
        <v>594889</v>
      </c>
      <c r="S170" s="141">
        <v>432575</v>
      </c>
      <c r="T170" s="141">
        <v>658543</v>
      </c>
      <c r="U170" s="141">
        <v>70212</v>
      </c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31"/>
        <v>1756219</v>
      </c>
      <c r="AF170" s="2">
        <f t="shared" si="37"/>
        <v>0.79626848490689284</v>
      </c>
      <c r="AG170" s="2">
        <f t="shared" si="37"/>
        <v>0.67510518890303894</v>
      </c>
      <c r="AH170" s="2">
        <f t="shared" si="37"/>
        <v>0.71463777772472448</v>
      </c>
      <c r="AI170" s="2">
        <f t="shared" si="37"/>
        <v>0.81262007823892968</v>
      </c>
      <c r="AJ170" s="2" t="str">
        <f t="shared" si="36"/>
        <v/>
      </c>
      <c r="AK170" s="2" t="str">
        <f t="shared" si="36"/>
        <v/>
      </c>
      <c r="AL170" s="2" t="str">
        <f t="shared" si="36"/>
        <v/>
      </c>
      <c r="AM170" s="2" t="str">
        <f t="shared" si="36"/>
        <v/>
      </c>
      <c r="AN170" s="2" t="str">
        <f t="shared" si="34"/>
        <v/>
      </c>
      <c r="AO170" s="2" t="str">
        <f t="shared" si="27"/>
        <v/>
      </c>
      <c r="AP170" s="2" t="str">
        <f t="shared" si="27"/>
        <v/>
      </c>
      <c r="AQ170" s="2" t="str">
        <f t="shared" si="27"/>
        <v/>
      </c>
      <c r="AR170" s="2">
        <f t="shared" si="27"/>
        <v>0.73305420084516115</v>
      </c>
      <c r="AT170" s="143">
        <f t="shared" si="25"/>
        <v>-0.12116329600385389</v>
      </c>
      <c r="AU170" s="143">
        <f t="shared" si="26"/>
        <v>3.9532588821685533E-2</v>
      </c>
      <c r="AV170" s="143">
        <f t="shared" si="26"/>
        <v>9.7982300514205201E-2</v>
      </c>
      <c r="AW170" s="143" t="str">
        <f t="shared" si="35"/>
        <v/>
      </c>
      <c r="AX170" s="143" t="str">
        <f t="shared" si="35"/>
        <v/>
      </c>
      <c r="AY170" s="143" t="str">
        <f t="shared" si="35"/>
        <v/>
      </c>
      <c r="AZ170" s="143" t="str">
        <f t="shared" si="35"/>
        <v/>
      </c>
      <c r="BA170" s="143" t="str">
        <f t="shared" si="35"/>
        <v/>
      </c>
      <c r="BB170" s="143" t="str">
        <f t="shared" si="35"/>
        <v/>
      </c>
      <c r="BC170" s="143" t="str">
        <f t="shared" si="35"/>
        <v/>
      </c>
      <c r="BD170" s="143" t="str">
        <f t="shared" si="35"/>
        <v/>
      </c>
      <c r="BF170" s="9">
        <f t="shared" si="38"/>
        <v>2.899097777252997E-3</v>
      </c>
      <c r="BG170" s="9">
        <f t="shared" si="33"/>
        <v>0.99755932679749149</v>
      </c>
    </row>
    <row r="171" spans="2:59" x14ac:dyDescent="0.35">
      <c r="B171" s="3" t="s">
        <v>246</v>
      </c>
      <c r="D171" s="141">
        <v>9549</v>
      </c>
      <c r="E171" s="141">
        <v>9856</v>
      </c>
      <c r="F171" s="141">
        <v>3158</v>
      </c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30"/>
        <v>22563</v>
      </c>
      <c r="R171" s="141">
        <v>8549</v>
      </c>
      <c r="S171" s="141">
        <v>8856</v>
      </c>
      <c r="T171" s="141">
        <v>3158</v>
      </c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31"/>
        <v>20563</v>
      </c>
      <c r="AF171" s="2">
        <f t="shared" si="37"/>
        <v>0.8952769923552204</v>
      </c>
      <c r="AG171" s="2">
        <f t="shared" si="37"/>
        <v>0.89853896103896103</v>
      </c>
      <c r="AH171" s="2">
        <f t="shared" si="37"/>
        <v>1</v>
      </c>
      <c r="AI171" s="2" t="str">
        <f t="shared" si="37"/>
        <v/>
      </c>
      <c r="AJ171" s="2" t="str">
        <f t="shared" si="36"/>
        <v/>
      </c>
      <c r="AK171" s="2" t="str">
        <f t="shared" si="36"/>
        <v/>
      </c>
      <c r="AL171" s="2" t="str">
        <f t="shared" si="36"/>
        <v/>
      </c>
      <c r="AM171" s="2" t="str">
        <f t="shared" si="36"/>
        <v/>
      </c>
      <c r="AN171" s="2" t="str">
        <f t="shared" si="34"/>
        <v/>
      </c>
      <c r="AO171" s="2" t="str">
        <f t="shared" si="27"/>
        <v/>
      </c>
      <c r="AP171" s="2" t="str">
        <f t="shared" si="27"/>
        <v/>
      </c>
      <c r="AQ171" s="2" t="str">
        <f t="shared" si="27"/>
        <v/>
      </c>
      <c r="AR171" s="2">
        <f t="shared" si="27"/>
        <v>0.91135930505695162</v>
      </c>
      <c r="AT171" s="143">
        <f t="shared" si="25"/>
        <v>3.2619686837406237E-3</v>
      </c>
      <c r="AU171" s="143">
        <f t="shared" si="26"/>
        <v>0.10146103896103897</v>
      </c>
      <c r="AV171" s="143" t="str">
        <f t="shared" si="26"/>
        <v/>
      </c>
      <c r="AW171" s="143" t="str">
        <f t="shared" si="35"/>
        <v/>
      </c>
      <c r="AX171" s="143" t="str">
        <f t="shared" si="35"/>
        <v/>
      </c>
      <c r="AY171" s="143" t="str">
        <f t="shared" si="35"/>
        <v/>
      </c>
      <c r="AZ171" s="143" t="str">
        <f t="shared" si="35"/>
        <v/>
      </c>
      <c r="BA171" s="143" t="str">
        <f t="shared" si="35"/>
        <v/>
      </c>
      <c r="BB171" s="143" t="str">
        <f t="shared" si="35"/>
        <v/>
      </c>
      <c r="BC171" s="143" t="str">
        <f t="shared" si="35"/>
        <v/>
      </c>
      <c r="BD171" s="143" t="str">
        <f t="shared" si="35"/>
        <v/>
      </c>
      <c r="BF171" s="9">
        <f t="shared" si="38"/>
        <v>3.3944597794269041E-5</v>
      </c>
      <c r="BG171" s="9">
        <f t="shared" si="33"/>
        <v>0.99759327139528575</v>
      </c>
    </row>
    <row r="172" spans="2:59" x14ac:dyDescent="0.35">
      <c r="B172" s="3" t="s">
        <v>224</v>
      </c>
      <c r="D172" s="141">
        <v>6500</v>
      </c>
      <c r="E172" s="141">
        <v>17177</v>
      </c>
      <c r="F172" s="141">
        <v>10248</v>
      </c>
      <c r="G172" s="141"/>
      <c r="H172" s="141"/>
      <c r="I172" s="141"/>
      <c r="J172" s="141"/>
      <c r="K172" s="141"/>
      <c r="L172" s="141"/>
      <c r="M172" s="141"/>
      <c r="N172" s="141"/>
      <c r="O172" s="141"/>
      <c r="P172" s="141">
        <f t="shared" si="30"/>
        <v>33925</v>
      </c>
      <c r="R172" s="141">
        <v>6500</v>
      </c>
      <c r="S172" s="141">
        <v>13403</v>
      </c>
      <c r="T172" s="141">
        <v>6270</v>
      </c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31"/>
        <v>26173</v>
      </c>
      <c r="AF172" s="2">
        <f t="shared" si="37"/>
        <v>1</v>
      </c>
      <c r="AG172" s="2">
        <f t="shared" si="37"/>
        <v>0.78028759387553126</v>
      </c>
      <c r="AH172" s="2">
        <f t="shared" si="37"/>
        <v>0.61182669789227162</v>
      </c>
      <c r="AI172" s="2" t="str">
        <f t="shared" si="37"/>
        <v/>
      </c>
      <c r="AJ172" s="2" t="str">
        <f t="shared" si="36"/>
        <v/>
      </c>
      <c r="AK172" s="2" t="str">
        <f t="shared" si="36"/>
        <v/>
      </c>
      <c r="AL172" s="2" t="str">
        <f t="shared" si="36"/>
        <v/>
      </c>
      <c r="AM172" s="2" t="str">
        <f t="shared" si="36"/>
        <v/>
      </c>
      <c r="AN172" s="2" t="str">
        <f t="shared" si="34"/>
        <v/>
      </c>
      <c r="AO172" s="2" t="str">
        <f t="shared" si="27"/>
        <v/>
      </c>
      <c r="AP172" s="2" t="str">
        <f t="shared" si="27"/>
        <v/>
      </c>
      <c r="AQ172" s="2" t="str">
        <f t="shared" si="27"/>
        <v/>
      </c>
      <c r="AR172" s="2">
        <f t="shared" si="27"/>
        <v>0.77149594694178336</v>
      </c>
      <c r="AT172" s="143">
        <f t="shared" si="25"/>
        <v>-0.21971240612446874</v>
      </c>
      <c r="AU172" s="143">
        <f t="shared" si="26"/>
        <v>-0.16846089598325964</v>
      </c>
      <c r="AV172" s="143" t="str">
        <f t="shared" si="26"/>
        <v/>
      </c>
      <c r="AW172" s="143" t="str">
        <f t="shared" si="35"/>
        <v/>
      </c>
      <c r="AX172" s="143" t="str">
        <f t="shared" si="35"/>
        <v/>
      </c>
      <c r="AY172" s="143" t="str">
        <f t="shared" si="35"/>
        <v/>
      </c>
      <c r="AZ172" s="143" t="str">
        <f t="shared" si="35"/>
        <v/>
      </c>
      <c r="BA172" s="143" t="str">
        <f t="shared" si="35"/>
        <v/>
      </c>
      <c r="BB172" s="143" t="str">
        <f t="shared" si="35"/>
        <v/>
      </c>
      <c r="BC172" s="143" t="str">
        <f t="shared" si="35"/>
        <v/>
      </c>
      <c r="BD172" s="143" t="str">
        <f t="shared" si="35"/>
        <v/>
      </c>
      <c r="BF172" s="9">
        <f t="shared" si="38"/>
        <v>4.320536682728219E-5</v>
      </c>
      <c r="BG172" s="9">
        <f t="shared" si="33"/>
        <v>0.99763647676211309</v>
      </c>
    </row>
    <row r="173" spans="2:59" x14ac:dyDescent="0.35">
      <c r="B173" s="3" t="s">
        <v>241</v>
      </c>
      <c r="D173" s="141">
        <v>100</v>
      </c>
      <c r="E173" s="141">
        <v>3070</v>
      </c>
      <c r="F173" s="141">
        <v>365</v>
      </c>
      <c r="G173" s="141"/>
      <c r="H173" s="141"/>
      <c r="I173" s="141"/>
      <c r="J173" s="141"/>
      <c r="K173" s="141"/>
      <c r="L173" s="141"/>
      <c r="M173" s="141"/>
      <c r="N173" s="141"/>
      <c r="O173" s="141"/>
      <c r="P173" s="141">
        <f t="shared" si="30"/>
        <v>3535</v>
      </c>
      <c r="R173" s="141">
        <v>75</v>
      </c>
      <c r="S173" s="141">
        <v>3070</v>
      </c>
      <c r="T173" s="141">
        <v>215</v>
      </c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31"/>
        <v>3360</v>
      </c>
      <c r="AF173" s="2">
        <f t="shared" si="37"/>
        <v>0.75</v>
      </c>
      <c r="AG173" s="2">
        <f t="shared" si="37"/>
        <v>1</v>
      </c>
      <c r="AH173" s="2">
        <f t="shared" si="37"/>
        <v>0.58904109589041098</v>
      </c>
      <c r="AI173" s="2" t="str">
        <f t="shared" si="37"/>
        <v/>
      </c>
      <c r="AJ173" s="2" t="str">
        <f t="shared" si="36"/>
        <v/>
      </c>
      <c r="AK173" s="2" t="str">
        <f t="shared" si="36"/>
        <v/>
      </c>
      <c r="AL173" s="2" t="str">
        <f t="shared" si="36"/>
        <v/>
      </c>
      <c r="AM173" s="2" t="str">
        <f t="shared" si="36"/>
        <v/>
      </c>
      <c r="AN173" s="2" t="str">
        <f t="shared" si="34"/>
        <v/>
      </c>
      <c r="AO173" s="2" t="str">
        <f t="shared" si="27"/>
        <v/>
      </c>
      <c r="AP173" s="2" t="str">
        <f t="shared" si="27"/>
        <v/>
      </c>
      <c r="AQ173" s="2" t="str">
        <f t="shared" si="27"/>
        <v/>
      </c>
      <c r="AR173" s="2">
        <f t="shared" si="27"/>
        <v>0.95049504950495045</v>
      </c>
      <c r="AT173" s="143">
        <f t="shared" si="25"/>
        <v>0.25</v>
      </c>
      <c r="AU173" s="143">
        <f t="shared" si="26"/>
        <v>-0.41095890410958902</v>
      </c>
      <c r="AV173" s="143" t="str">
        <f t="shared" si="26"/>
        <v/>
      </c>
      <c r="AW173" s="143" t="str">
        <f t="shared" si="35"/>
        <v/>
      </c>
      <c r="AX173" s="143" t="str">
        <f t="shared" si="35"/>
        <v/>
      </c>
      <c r="AY173" s="143" t="str">
        <f t="shared" si="35"/>
        <v/>
      </c>
      <c r="AZ173" s="143" t="str">
        <f t="shared" si="35"/>
        <v/>
      </c>
      <c r="BA173" s="143" t="str">
        <f t="shared" si="35"/>
        <v/>
      </c>
      <c r="BB173" s="143" t="str">
        <f t="shared" si="35"/>
        <v/>
      </c>
      <c r="BC173" s="143" t="str">
        <f t="shared" si="35"/>
        <v/>
      </c>
      <c r="BD173" s="143" t="str">
        <f t="shared" si="35"/>
        <v/>
      </c>
      <c r="BF173" s="9">
        <f t="shared" si="38"/>
        <v>5.5465568539971785E-6</v>
      </c>
      <c r="BG173" s="9">
        <f t="shared" si="33"/>
        <v>0.99764202331896712</v>
      </c>
    </row>
    <row r="174" spans="2:59" x14ac:dyDescent="0.35">
      <c r="B174" s="3" t="s">
        <v>242</v>
      </c>
      <c r="D174" s="141">
        <v>50</v>
      </c>
      <c r="E174" s="141">
        <v>57</v>
      </c>
      <c r="F174" s="141">
        <v>1313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30"/>
        <v>1420</v>
      </c>
      <c r="R174" s="141">
        <v>15</v>
      </c>
      <c r="S174" s="141">
        <v>57</v>
      </c>
      <c r="T174" s="141">
        <v>1120</v>
      </c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31"/>
        <v>1192</v>
      </c>
      <c r="AF174" s="2">
        <f t="shared" si="37"/>
        <v>0.3</v>
      </c>
      <c r="AG174" s="2">
        <f t="shared" si="37"/>
        <v>1</v>
      </c>
      <c r="AH174" s="2">
        <f t="shared" si="37"/>
        <v>0.85300837776085303</v>
      </c>
      <c r="AI174" s="2" t="str">
        <f t="shared" si="37"/>
        <v/>
      </c>
      <c r="AJ174" s="2" t="str">
        <f t="shared" si="36"/>
        <v/>
      </c>
      <c r="AK174" s="2" t="str">
        <f t="shared" si="36"/>
        <v/>
      </c>
      <c r="AL174" s="2" t="str">
        <f t="shared" si="36"/>
        <v/>
      </c>
      <c r="AM174" s="2" t="str">
        <f t="shared" si="36"/>
        <v/>
      </c>
      <c r="AN174" s="2" t="str">
        <f t="shared" si="34"/>
        <v/>
      </c>
      <c r="AO174" s="2" t="str">
        <f t="shared" si="27"/>
        <v/>
      </c>
      <c r="AP174" s="2" t="str">
        <f t="shared" si="27"/>
        <v/>
      </c>
      <c r="AQ174" s="2" t="str">
        <f t="shared" si="27"/>
        <v/>
      </c>
      <c r="AR174" s="2">
        <f t="shared" si="27"/>
        <v>0.83943661971830985</v>
      </c>
      <c r="AT174" s="143">
        <f t="shared" ref="AT174:AT237" si="39">+IFERROR(AG174-AF174,"")</f>
        <v>0.7</v>
      </c>
      <c r="AU174" s="143">
        <f t="shared" ref="AU174:AV237" si="40">+IFERROR(AH174-AG174,"")</f>
        <v>-0.14699162223914697</v>
      </c>
      <c r="AV174" s="143" t="str">
        <f t="shared" si="40"/>
        <v/>
      </c>
      <c r="AW174" s="143" t="str">
        <f t="shared" si="35"/>
        <v/>
      </c>
      <c r="AX174" s="143" t="str">
        <f t="shared" si="35"/>
        <v/>
      </c>
      <c r="AY174" s="143" t="str">
        <f t="shared" si="35"/>
        <v/>
      </c>
      <c r="AZ174" s="143" t="str">
        <f t="shared" si="35"/>
        <v/>
      </c>
      <c r="BA174" s="143" t="str">
        <f t="shared" si="35"/>
        <v/>
      </c>
      <c r="BB174" s="143" t="str">
        <f t="shared" si="35"/>
        <v/>
      </c>
      <c r="BC174" s="143" t="str">
        <f t="shared" si="35"/>
        <v/>
      </c>
      <c r="BD174" s="143" t="str">
        <f t="shared" si="35"/>
        <v/>
      </c>
      <c r="BF174" s="9">
        <f t="shared" si="38"/>
        <v>1.9677070743942369E-6</v>
      </c>
      <c r="BG174" s="9">
        <f t="shared" si="33"/>
        <v>0.99764399102604151</v>
      </c>
    </row>
    <row r="175" spans="2:59" x14ac:dyDescent="0.35">
      <c r="B175" s="3" t="s">
        <v>237</v>
      </c>
      <c r="D175" s="141">
        <v>65538</v>
      </c>
      <c r="E175" s="141">
        <v>56462</v>
      </c>
      <c r="F175" s="141">
        <v>115504</v>
      </c>
      <c r="G175" s="141">
        <v>5058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30"/>
        <v>242562</v>
      </c>
      <c r="R175" s="141">
        <v>20936</v>
      </c>
      <c r="S175" s="141">
        <v>7774</v>
      </c>
      <c r="T175" s="141">
        <v>22418</v>
      </c>
      <c r="U175" s="141">
        <v>2669</v>
      </c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31"/>
        <v>53797</v>
      </c>
      <c r="AF175" s="2">
        <f t="shared" si="37"/>
        <v>0.31944825902529828</v>
      </c>
      <c r="AG175" s="2">
        <f t="shared" si="37"/>
        <v>0.13768552300662393</v>
      </c>
      <c r="AH175" s="2">
        <f t="shared" si="37"/>
        <v>0.19408851641501593</v>
      </c>
      <c r="AI175" s="2">
        <f t="shared" si="37"/>
        <v>0.52767892447607745</v>
      </c>
      <c r="AJ175" s="2" t="str">
        <f t="shared" si="36"/>
        <v/>
      </c>
      <c r="AK175" s="2" t="str">
        <f t="shared" si="36"/>
        <v/>
      </c>
      <c r="AL175" s="2" t="str">
        <f t="shared" si="36"/>
        <v/>
      </c>
      <c r="AM175" s="2" t="str">
        <f t="shared" si="36"/>
        <v/>
      </c>
      <c r="AN175" s="2" t="str">
        <f t="shared" si="34"/>
        <v/>
      </c>
      <c r="AO175" s="2" t="str">
        <f t="shared" si="27"/>
        <v/>
      </c>
      <c r="AP175" s="2" t="str">
        <f t="shared" si="27"/>
        <v/>
      </c>
      <c r="AQ175" s="2" t="str">
        <f t="shared" si="27"/>
        <v/>
      </c>
      <c r="AR175" s="2">
        <f t="shared" si="27"/>
        <v>0.22178659476752335</v>
      </c>
      <c r="AT175" s="143">
        <f t="shared" si="39"/>
        <v>-0.18176273601867435</v>
      </c>
      <c r="AU175" s="143">
        <f t="shared" si="40"/>
        <v>5.6402993408391999E-2</v>
      </c>
      <c r="AV175" s="143">
        <f t="shared" si="40"/>
        <v>0.33359040806106155</v>
      </c>
      <c r="AW175" s="143" t="str">
        <f t="shared" si="35"/>
        <v/>
      </c>
      <c r="AX175" s="143" t="str">
        <f t="shared" si="35"/>
        <v/>
      </c>
      <c r="AY175" s="143" t="str">
        <f t="shared" si="35"/>
        <v/>
      </c>
      <c r="AZ175" s="143" t="str">
        <f t="shared" si="35"/>
        <v/>
      </c>
      <c r="BA175" s="143" t="str">
        <f t="shared" si="35"/>
        <v/>
      </c>
      <c r="BB175" s="143" t="str">
        <f t="shared" si="35"/>
        <v/>
      </c>
      <c r="BC175" s="143" t="str">
        <f t="shared" si="35"/>
        <v/>
      </c>
      <c r="BD175" s="143" t="str">
        <f t="shared" si="35"/>
        <v/>
      </c>
      <c r="BF175" s="9">
        <f t="shared" si="38"/>
        <v>8.8805987819787557E-5</v>
      </c>
      <c r="BG175" s="9">
        <f t="shared" si="33"/>
        <v>0.99773279701386131</v>
      </c>
    </row>
    <row r="176" spans="2:59" x14ac:dyDescent="0.35">
      <c r="B176" s="3" t="s">
        <v>191</v>
      </c>
      <c r="D176" s="141">
        <v>5119</v>
      </c>
      <c r="E176" s="141">
        <v>4115</v>
      </c>
      <c r="F176" s="141">
        <v>6731</v>
      </c>
      <c r="G176" s="141">
        <v>25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30"/>
        <v>15990</v>
      </c>
      <c r="R176" s="141">
        <v>3323</v>
      </c>
      <c r="S176" s="141">
        <v>1840</v>
      </c>
      <c r="T176" s="141">
        <v>4566</v>
      </c>
      <c r="U176" s="141">
        <v>25</v>
      </c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31"/>
        <v>9754</v>
      </c>
      <c r="AF176" s="2">
        <f t="shared" si="37"/>
        <v>0.64915022465325256</v>
      </c>
      <c r="AG176" s="2">
        <f t="shared" si="37"/>
        <v>0.44714459295261239</v>
      </c>
      <c r="AH176" s="2">
        <f t="shared" si="37"/>
        <v>0.67835388500965677</v>
      </c>
      <c r="AI176" s="2">
        <f t="shared" si="37"/>
        <v>1</v>
      </c>
      <c r="AJ176" s="2" t="str">
        <f t="shared" si="36"/>
        <v/>
      </c>
      <c r="AK176" s="2" t="str">
        <f t="shared" si="36"/>
        <v/>
      </c>
      <c r="AL176" s="2" t="str">
        <f t="shared" si="36"/>
        <v/>
      </c>
      <c r="AM176" s="2" t="str">
        <f t="shared" si="36"/>
        <v/>
      </c>
      <c r="AN176" s="2" t="str">
        <f t="shared" si="34"/>
        <v/>
      </c>
      <c r="AO176" s="2" t="str">
        <f t="shared" si="27"/>
        <v/>
      </c>
      <c r="AP176" s="2" t="str">
        <f t="shared" si="27"/>
        <v/>
      </c>
      <c r="AQ176" s="2" t="str">
        <f t="shared" si="27"/>
        <v/>
      </c>
      <c r="AR176" s="2">
        <f t="shared" ref="AR176:AR239" si="41">+IFERROR(AD176/P176,"")</f>
        <v>0.6100062539086929</v>
      </c>
      <c r="AT176" s="143">
        <f t="shared" si="39"/>
        <v>-0.20200563170064018</v>
      </c>
      <c r="AU176" s="143">
        <f t="shared" si="40"/>
        <v>0.23120929205704438</v>
      </c>
      <c r="AV176" s="143">
        <f t="shared" si="40"/>
        <v>0.32164611499034323</v>
      </c>
      <c r="AW176" s="143" t="str">
        <f t="shared" si="35"/>
        <v/>
      </c>
      <c r="AX176" s="143" t="str">
        <f t="shared" si="35"/>
        <v/>
      </c>
      <c r="AY176" s="143" t="str">
        <f t="shared" si="35"/>
        <v/>
      </c>
      <c r="AZ176" s="143" t="str">
        <f t="shared" si="35"/>
        <v/>
      </c>
      <c r="BA176" s="143" t="str">
        <f t="shared" si="35"/>
        <v/>
      </c>
      <c r="BB176" s="143" t="str">
        <f t="shared" si="35"/>
        <v/>
      </c>
      <c r="BC176" s="143" t="str">
        <f t="shared" si="35"/>
        <v/>
      </c>
      <c r="BD176" s="143" t="str">
        <f t="shared" si="35"/>
        <v/>
      </c>
      <c r="BF176" s="9">
        <f t="shared" si="38"/>
        <v>1.6101522486276331E-5</v>
      </c>
      <c r="BG176" s="9">
        <f t="shared" si="33"/>
        <v>0.99774889853634763</v>
      </c>
    </row>
    <row r="177" spans="2:59" x14ac:dyDescent="0.35">
      <c r="B177" s="3" t="s">
        <v>264</v>
      </c>
      <c r="D177" s="141">
        <v>717</v>
      </c>
      <c r="E177" s="141">
        <v>1044</v>
      </c>
      <c r="F177" s="141">
        <v>768</v>
      </c>
      <c r="G177" s="141">
        <v>55</v>
      </c>
      <c r="H177" s="141"/>
      <c r="I177" s="141"/>
      <c r="J177" s="141"/>
      <c r="K177" s="141"/>
      <c r="L177" s="141"/>
      <c r="M177" s="141"/>
      <c r="N177" s="141"/>
      <c r="O177" s="141"/>
      <c r="P177" s="141">
        <f t="shared" si="30"/>
        <v>2584</v>
      </c>
      <c r="R177" s="141">
        <v>553</v>
      </c>
      <c r="S177" s="141">
        <v>884</v>
      </c>
      <c r="T177" s="141">
        <v>601</v>
      </c>
      <c r="U177" s="141">
        <v>30</v>
      </c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31"/>
        <v>2068</v>
      </c>
      <c r="AF177" s="2">
        <f t="shared" si="37"/>
        <v>0.77126917712691767</v>
      </c>
      <c r="AG177" s="2">
        <f t="shared" si="37"/>
        <v>0.84674329501915713</v>
      </c>
      <c r="AH177" s="2">
        <f t="shared" si="37"/>
        <v>0.78255208333333337</v>
      </c>
      <c r="AI177" s="2">
        <f t="shared" si="37"/>
        <v>0.54545454545454541</v>
      </c>
      <c r="AJ177" s="2" t="str">
        <f t="shared" si="36"/>
        <v/>
      </c>
      <c r="AK177" s="2" t="str">
        <f t="shared" si="36"/>
        <v/>
      </c>
      <c r="AL177" s="2" t="str">
        <f t="shared" si="36"/>
        <v/>
      </c>
      <c r="AM177" s="2" t="str">
        <f t="shared" si="36"/>
        <v/>
      </c>
      <c r="AN177" s="2" t="str">
        <f t="shared" si="34"/>
        <v/>
      </c>
      <c r="AO177" s="2" t="str">
        <f t="shared" si="34"/>
        <v/>
      </c>
      <c r="AP177" s="2" t="str">
        <f t="shared" si="34"/>
        <v/>
      </c>
      <c r="AQ177" s="2" t="str">
        <f t="shared" si="34"/>
        <v/>
      </c>
      <c r="AR177" s="2">
        <f t="shared" si="41"/>
        <v>0.80030959752321984</v>
      </c>
      <c r="AT177" s="143">
        <f t="shared" si="39"/>
        <v>7.5474117892239456E-2</v>
      </c>
      <c r="AU177" s="143">
        <f t="shared" si="40"/>
        <v>-6.4191211685823757E-2</v>
      </c>
      <c r="AV177" s="143">
        <f t="shared" si="40"/>
        <v>-0.23709753787878796</v>
      </c>
      <c r="AW177" s="143" t="str">
        <f t="shared" si="35"/>
        <v/>
      </c>
      <c r="AX177" s="143" t="str">
        <f t="shared" si="35"/>
        <v/>
      </c>
      <c r="AY177" s="143" t="str">
        <f t="shared" ref="AY177:BD208" si="42">+IFERROR(AL177-AK177,"")</f>
        <v/>
      </c>
      <c r="AZ177" s="143" t="str">
        <f t="shared" si="42"/>
        <v/>
      </c>
      <c r="BA177" s="143" t="str">
        <f t="shared" si="42"/>
        <v/>
      </c>
      <c r="BB177" s="143" t="str">
        <f t="shared" si="42"/>
        <v/>
      </c>
      <c r="BC177" s="143" t="str">
        <f t="shared" si="42"/>
        <v/>
      </c>
      <c r="BD177" s="143" t="str">
        <f t="shared" si="42"/>
        <v/>
      </c>
      <c r="BF177" s="9">
        <f t="shared" si="38"/>
        <v>3.4137736827577873E-6</v>
      </c>
      <c r="BG177" s="9">
        <f t="shared" si="33"/>
        <v>0.99775231231003036</v>
      </c>
    </row>
    <row r="178" spans="2:59" x14ac:dyDescent="0.35">
      <c r="B178" s="3" t="s">
        <v>253</v>
      </c>
      <c r="D178" s="141">
        <v>601</v>
      </c>
      <c r="E178" s="141">
        <v>3610</v>
      </c>
      <c r="F178" s="141">
        <v>1627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30"/>
        <v>5838</v>
      </c>
      <c r="R178" s="141">
        <v>345</v>
      </c>
      <c r="S178" s="141">
        <v>3314</v>
      </c>
      <c r="T178" s="141">
        <v>1535</v>
      </c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31"/>
        <v>5194</v>
      </c>
      <c r="AF178" s="2">
        <f t="shared" si="37"/>
        <v>0.57404326123128124</v>
      </c>
      <c r="AG178" s="2">
        <f t="shared" si="37"/>
        <v>0.91800554016620495</v>
      </c>
      <c r="AH178" s="2">
        <f t="shared" si="37"/>
        <v>0.94345421020282727</v>
      </c>
      <c r="AI178" s="2" t="str">
        <f t="shared" si="37"/>
        <v/>
      </c>
      <c r="AJ178" s="2" t="str">
        <f t="shared" si="36"/>
        <v/>
      </c>
      <c r="AK178" s="2" t="str">
        <f t="shared" si="36"/>
        <v/>
      </c>
      <c r="AL178" s="2" t="str">
        <f t="shared" si="36"/>
        <v/>
      </c>
      <c r="AM178" s="2" t="str">
        <f t="shared" si="36"/>
        <v/>
      </c>
      <c r="AN178" s="2" t="str">
        <f t="shared" si="34"/>
        <v/>
      </c>
      <c r="AO178" s="2" t="str">
        <f t="shared" si="34"/>
        <v/>
      </c>
      <c r="AP178" s="2" t="str">
        <f t="shared" si="34"/>
        <v/>
      </c>
      <c r="AQ178" s="2" t="str">
        <f t="shared" si="34"/>
        <v/>
      </c>
      <c r="AR178" s="2">
        <f t="shared" si="41"/>
        <v>0.88968824940047964</v>
      </c>
      <c r="AT178" s="143">
        <f t="shared" si="39"/>
        <v>0.3439622789349237</v>
      </c>
      <c r="AU178" s="143">
        <f t="shared" si="40"/>
        <v>2.5448670036622323E-2</v>
      </c>
      <c r="AV178" s="143" t="str">
        <f t="shared" si="40"/>
        <v/>
      </c>
      <c r="AW178" s="143" t="str">
        <f t="shared" ref="AW178:BD209" si="43">+IFERROR(AJ178-AI178,"")</f>
        <v/>
      </c>
      <c r="AX178" s="143" t="str">
        <f t="shared" si="43"/>
        <v/>
      </c>
      <c r="AY178" s="143" t="str">
        <f t="shared" si="42"/>
        <v/>
      </c>
      <c r="AZ178" s="143" t="str">
        <f t="shared" si="42"/>
        <v/>
      </c>
      <c r="BA178" s="143" t="str">
        <f t="shared" si="42"/>
        <v/>
      </c>
      <c r="BB178" s="143" t="str">
        <f t="shared" si="42"/>
        <v/>
      </c>
      <c r="BC178" s="143" t="str">
        <f t="shared" si="42"/>
        <v/>
      </c>
      <c r="BD178" s="143" t="str">
        <f t="shared" si="42"/>
        <v/>
      </c>
      <c r="BF178" s="9">
        <f t="shared" si="38"/>
        <v>8.5740524701373044E-6</v>
      </c>
      <c r="BG178" s="9">
        <f t="shared" si="33"/>
        <v>0.99776088636250049</v>
      </c>
    </row>
    <row r="179" spans="2:59" x14ac:dyDescent="0.35">
      <c r="B179" s="3" t="s">
        <v>268</v>
      </c>
      <c r="D179" s="141">
        <v>234</v>
      </c>
      <c r="E179" s="141"/>
      <c r="F179" s="141">
        <v>1531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30"/>
        <v>1765</v>
      </c>
      <c r="R179" s="141">
        <v>234</v>
      </c>
      <c r="S179" s="141"/>
      <c r="T179" s="141">
        <v>1531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31"/>
        <v>1765</v>
      </c>
      <c r="AF179" s="2">
        <f t="shared" si="37"/>
        <v>1</v>
      </c>
      <c r="AG179" s="2" t="str">
        <f t="shared" si="37"/>
        <v/>
      </c>
      <c r="AH179" s="2">
        <f t="shared" si="37"/>
        <v>1</v>
      </c>
      <c r="AI179" s="2" t="str">
        <f t="shared" si="37"/>
        <v/>
      </c>
      <c r="AJ179" s="2" t="str">
        <f t="shared" si="36"/>
        <v/>
      </c>
      <c r="AK179" s="2" t="str">
        <f t="shared" si="36"/>
        <v/>
      </c>
      <c r="AL179" s="2" t="str">
        <f t="shared" si="36"/>
        <v/>
      </c>
      <c r="AM179" s="2" t="str">
        <f t="shared" si="36"/>
        <v/>
      </c>
      <c r="AN179" s="2" t="str">
        <f t="shared" si="34"/>
        <v/>
      </c>
      <c r="AO179" s="2" t="str">
        <f t="shared" si="34"/>
        <v/>
      </c>
      <c r="AP179" s="2" t="str">
        <f t="shared" si="34"/>
        <v/>
      </c>
      <c r="AQ179" s="2" t="str">
        <f t="shared" si="34"/>
        <v/>
      </c>
      <c r="AR179" s="2">
        <f t="shared" si="41"/>
        <v>1</v>
      </c>
      <c r="AT179" s="143" t="str">
        <f t="shared" si="39"/>
        <v/>
      </c>
      <c r="AU179" s="143" t="str">
        <f t="shared" si="40"/>
        <v/>
      </c>
      <c r="AV179" s="143" t="str">
        <f t="shared" si="40"/>
        <v/>
      </c>
      <c r="AW179" s="143" t="str">
        <f t="shared" si="43"/>
        <v/>
      </c>
      <c r="AX179" s="143" t="str">
        <f t="shared" si="43"/>
        <v/>
      </c>
      <c r="AY179" s="143" t="str">
        <f t="shared" si="42"/>
        <v/>
      </c>
      <c r="AZ179" s="143" t="str">
        <f t="shared" si="42"/>
        <v/>
      </c>
      <c r="BA179" s="143" t="str">
        <f t="shared" si="42"/>
        <v/>
      </c>
      <c r="BB179" s="143" t="str">
        <f t="shared" si="42"/>
        <v/>
      </c>
      <c r="BC179" s="143" t="str">
        <f t="shared" si="42"/>
        <v/>
      </c>
      <c r="BD179" s="143" t="str">
        <f t="shared" si="42"/>
        <v/>
      </c>
      <c r="BF179" s="9">
        <f t="shared" si="38"/>
        <v>2.9135931093169701E-6</v>
      </c>
      <c r="BG179" s="9">
        <f t="shared" si="33"/>
        <v>0.99776379995560982</v>
      </c>
    </row>
    <row r="180" spans="2:59" x14ac:dyDescent="0.35">
      <c r="B180" s="3" t="s">
        <v>277</v>
      </c>
      <c r="D180" s="141">
        <v>59</v>
      </c>
      <c r="E180" s="141"/>
      <c r="F180" s="141">
        <v>1580</v>
      </c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30"/>
        <v>1639</v>
      </c>
      <c r="R180" s="141">
        <v>59</v>
      </c>
      <c r="S180" s="141"/>
      <c r="T180" s="141">
        <v>693</v>
      </c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31"/>
        <v>752</v>
      </c>
      <c r="AF180" s="2">
        <f t="shared" si="37"/>
        <v>1</v>
      </c>
      <c r="AG180" s="2" t="str">
        <f t="shared" si="37"/>
        <v/>
      </c>
      <c r="AH180" s="2">
        <f t="shared" si="37"/>
        <v>0.43860759493670887</v>
      </c>
      <c r="AI180" s="2" t="str">
        <f t="shared" si="37"/>
        <v/>
      </c>
      <c r="AJ180" s="2" t="str">
        <f t="shared" si="36"/>
        <v/>
      </c>
      <c r="AK180" s="2" t="str">
        <f t="shared" si="36"/>
        <v/>
      </c>
      <c r="AL180" s="2" t="str">
        <f t="shared" si="36"/>
        <v/>
      </c>
      <c r="AM180" s="2" t="str">
        <f t="shared" si="36"/>
        <v/>
      </c>
      <c r="AN180" s="2" t="str">
        <f t="shared" si="34"/>
        <v/>
      </c>
      <c r="AO180" s="2" t="str">
        <f t="shared" si="34"/>
        <v/>
      </c>
      <c r="AP180" s="2" t="str">
        <f t="shared" si="34"/>
        <v/>
      </c>
      <c r="AQ180" s="2" t="str">
        <f t="shared" si="34"/>
        <v/>
      </c>
      <c r="AR180" s="2">
        <f t="shared" si="41"/>
        <v>0.45881635143380112</v>
      </c>
      <c r="AT180" s="143" t="str">
        <f t="shared" si="39"/>
        <v/>
      </c>
      <c r="AU180" s="143" t="str">
        <f t="shared" si="40"/>
        <v/>
      </c>
      <c r="AV180" s="143" t="str">
        <f t="shared" si="40"/>
        <v/>
      </c>
      <c r="AW180" s="143" t="str">
        <f t="shared" si="43"/>
        <v/>
      </c>
      <c r="AX180" s="143" t="str">
        <f t="shared" si="43"/>
        <v/>
      </c>
      <c r="AY180" s="143" t="str">
        <f t="shared" si="42"/>
        <v/>
      </c>
      <c r="AZ180" s="143" t="str">
        <f t="shared" si="42"/>
        <v/>
      </c>
      <c r="BA180" s="143" t="str">
        <f t="shared" si="42"/>
        <v/>
      </c>
      <c r="BB180" s="143" t="str">
        <f t="shared" si="42"/>
        <v/>
      </c>
      <c r="BC180" s="143" t="str">
        <f t="shared" si="42"/>
        <v/>
      </c>
      <c r="BD180" s="143" t="str">
        <f t="shared" si="42"/>
        <v/>
      </c>
      <c r="BF180" s="9">
        <f t="shared" si="38"/>
        <v>1.2413722482755589E-6</v>
      </c>
      <c r="BG180" s="9">
        <f t="shared" si="33"/>
        <v>0.99776504132785815</v>
      </c>
    </row>
    <row r="181" spans="2:59" x14ac:dyDescent="0.35">
      <c r="B181" s="3" t="s">
        <v>254</v>
      </c>
      <c r="D181" s="141">
        <v>589</v>
      </c>
      <c r="E181" s="141"/>
      <c r="F181" s="141">
        <v>1051</v>
      </c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30"/>
        <v>1640</v>
      </c>
      <c r="R181" s="141">
        <v>466</v>
      </c>
      <c r="S181" s="141"/>
      <c r="T181" s="141">
        <v>960</v>
      </c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31"/>
        <v>1426</v>
      </c>
      <c r="AF181" s="2">
        <f t="shared" si="37"/>
        <v>0.79117147707979629</v>
      </c>
      <c r="AG181" s="2" t="str">
        <f t="shared" si="37"/>
        <v/>
      </c>
      <c r="AH181" s="2">
        <f t="shared" si="37"/>
        <v>0.91341579448144627</v>
      </c>
      <c r="AI181" s="2" t="str">
        <f t="shared" si="37"/>
        <v/>
      </c>
      <c r="AJ181" s="2" t="str">
        <f t="shared" si="36"/>
        <v/>
      </c>
      <c r="AK181" s="2" t="str">
        <f t="shared" si="36"/>
        <v/>
      </c>
      <c r="AL181" s="2" t="str">
        <f t="shared" si="36"/>
        <v/>
      </c>
      <c r="AM181" s="2" t="str">
        <f t="shared" si="36"/>
        <v/>
      </c>
      <c r="AN181" s="2" t="str">
        <f t="shared" si="34"/>
        <v/>
      </c>
      <c r="AO181" s="2" t="str">
        <f t="shared" si="34"/>
        <v/>
      </c>
      <c r="AP181" s="2" t="str">
        <f t="shared" si="34"/>
        <v/>
      </c>
      <c r="AQ181" s="2" t="str">
        <f t="shared" si="34"/>
        <v/>
      </c>
      <c r="AR181" s="2">
        <f t="shared" si="41"/>
        <v>0.86951219512195121</v>
      </c>
      <c r="AT181" s="143" t="str">
        <f t="shared" si="39"/>
        <v/>
      </c>
      <c r="AU181" s="143" t="str">
        <f t="shared" si="40"/>
        <v/>
      </c>
      <c r="AV181" s="143" t="str">
        <f t="shared" si="40"/>
        <v/>
      </c>
      <c r="AW181" s="143" t="str">
        <f t="shared" si="43"/>
        <v/>
      </c>
      <c r="AX181" s="143" t="str">
        <f t="shared" si="43"/>
        <v/>
      </c>
      <c r="AY181" s="143" t="str">
        <f t="shared" si="42"/>
        <v/>
      </c>
      <c r="AZ181" s="143" t="str">
        <f t="shared" si="42"/>
        <v/>
      </c>
      <c r="BA181" s="143" t="str">
        <f t="shared" si="42"/>
        <v/>
      </c>
      <c r="BB181" s="143" t="str">
        <f t="shared" si="42"/>
        <v/>
      </c>
      <c r="BC181" s="143" t="str">
        <f t="shared" si="42"/>
        <v/>
      </c>
      <c r="BD181" s="143" t="str">
        <f t="shared" si="42"/>
        <v/>
      </c>
      <c r="BF181" s="9">
        <f t="shared" si="38"/>
        <v>2.3539851410118979E-6</v>
      </c>
      <c r="BG181" s="9">
        <f t="shared" si="33"/>
        <v>0.99776739531299918</v>
      </c>
    </row>
    <row r="182" spans="2:59" x14ac:dyDescent="0.35">
      <c r="B182" s="3" t="s">
        <v>243</v>
      </c>
      <c r="D182" s="141">
        <v>1449</v>
      </c>
      <c r="E182" s="141">
        <v>9409</v>
      </c>
      <c r="F182" s="141">
        <v>9575</v>
      </c>
      <c r="G182" s="141">
        <v>4492</v>
      </c>
      <c r="H182" s="141"/>
      <c r="I182" s="141"/>
      <c r="J182" s="141"/>
      <c r="K182" s="141"/>
      <c r="L182" s="141"/>
      <c r="M182" s="141"/>
      <c r="N182" s="141"/>
      <c r="O182" s="141"/>
      <c r="P182" s="141">
        <f t="shared" si="30"/>
        <v>24925</v>
      </c>
      <c r="R182" s="141">
        <v>1449</v>
      </c>
      <c r="S182" s="141">
        <v>8461</v>
      </c>
      <c r="T182" s="141">
        <v>8097</v>
      </c>
      <c r="U182" s="141">
        <v>4304</v>
      </c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31"/>
        <v>22311</v>
      </c>
      <c r="AF182" s="2">
        <f t="shared" si="37"/>
        <v>1</v>
      </c>
      <c r="AG182" s="2">
        <f t="shared" si="37"/>
        <v>0.89924540333723035</v>
      </c>
      <c r="AH182" s="2">
        <f t="shared" si="37"/>
        <v>0.84563968668407308</v>
      </c>
      <c r="AI182" s="2">
        <f t="shared" si="37"/>
        <v>0.9581478183437222</v>
      </c>
      <c r="AJ182" s="2" t="str">
        <f t="shared" si="36"/>
        <v/>
      </c>
      <c r="AK182" s="2" t="str">
        <f t="shared" si="36"/>
        <v/>
      </c>
      <c r="AL182" s="2" t="str">
        <f t="shared" si="36"/>
        <v/>
      </c>
      <c r="AM182" s="2" t="str">
        <f t="shared" si="36"/>
        <v/>
      </c>
      <c r="AN182" s="2" t="str">
        <f t="shared" si="34"/>
        <v/>
      </c>
      <c r="AO182" s="2" t="str">
        <f t="shared" si="34"/>
        <v/>
      </c>
      <c r="AP182" s="2" t="str">
        <f t="shared" si="34"/>
        <v/>
      </c>
      <c r="AQ182" s="2" t="str">
        <f t="shared" si="34"/>
        <v/>
      </c>
      <c r="AR182" s="2">
        <f t="shared" si="41"/>
        <v>0.89512537612838516</v>
      </c>
      <c r="AT182" s="143">
        <f t="shared" si="39"/>
        <v>-0.10075459666276965</v>
      </c>
      <c r="AU182" s="143">
        <f t="shared" si="40"/>
        <v>-5.3605716653157276E-2</v>
      </c>
      <c r="AV182" s="143">
        <f t="shared" si="40"/>
        <v>0.11250813165964912</v>
      </c>
      <c r="AW182" s="143" t="str">
        <f t="shared" si="43"/>
        <v/>
      </c>
      <c r="AX182" s="143" t="str">
        <f t="shared" si="43"/>
        <v/>
      </c>
      <c r="AY182" s="143" t="str">
        <f t="shared" si="42"/>
        <v/>
      </c>
      <c r="AZ182" s="143" t="str">
        <f t="shared" si="42"/>
        <v/>
      </c>
      <c r="BA182" s="143" t="str">
        <f t="shared" si="42"/>
        <v/>
      </c>
      <c r="BB182" s="143" t="str">
        <f t="shared" si="42"/>
        <v/>
      </c>
      <c r="BC182" s="143" t="str">
        <f t="shared" si="42"/>
        <v/>
      </c>
      <c r="BD182" s="143" t="str">
        <f t="shared" si="42"/>
        <v/>
      </c>
      <c r="BF182" s="9">
        <f t="shared" si="38"/>
        <v>3.6830127967122336E-5</v>
      </c>
      <c r="BG182" s="9">
        <f t="shared" si="33"/>
        <v>0.99780422544096625</v>
      </c>
    </row>
    <row r="183" spans="2:59" x14ac:dyDescent="0.35">
      <c r="B183" s="3" t="s">
        <v>293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30"/>
        <v>0</v>
      </c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31"/>
        <v>0</v>
      </c>
      <c r="AF183" s="2" t="str">
        <f t="shared" si="37"/>
        <v/>
      </c>
      <c r="AG183" s="2" t="str">
        <f t="shared" si="37"/>
        <v/>
      </c>
      <c r="AH183" s="2" t="str">
        <f t="shared" si="37"/>
        <v/>
      </c>
      <c r="AI183" s="2" t="str">
        <f t="shared" si="37"/>
        <v/>
      </c>
      <c r="AJ183" s="2" t="str">
        <f t="shared" si="36"/>
        <v/>
      </c>
      <c r="AK183" s="2" t="str">
        <f t="shared" si="36"/>
        <v/>
      </c>
      <c r="AL183" s="2" t="str">
        <f t="shared" si="36"/>
        <v/>
      </c>
      <c r="AM183" s="2" t="str">
        <f t="shared" si="36"/>
        <v/>
      </c>
      <c r="AN183" s="2" t="str">
        <f t="shared" si="34"/>
        <v/>
      </c>
      <c r="AO183" s="2" t="str">
        <f t="shared" si="34"/>
        <v/>
      </c>
      <c r="AP183" s="2" t="str">
        <f t="shared" si="34"/>
        <v/>
      </c>
      <c r="AQ183" s="2" t="str">
        <f t="shared" si="34"/>
        <v/>
      </c>
      <c r="AR183" s="2" t="str">
        <f t="shared" si="41"/>
        <v/>
      </c>
      <c r="AT183" s="143" t="str">
        <f t="shared" si="39"/>
        <v/>
      </c>
      <c r="AU183" s="143" t="str">
        <f t="shared" si="40"/>
        <v/>
      </c>
      <c r="AV183" s="143" t="str">
        <f t="shared" si="40"/>
        <v/>
      </c>
      <c r="AW183" s="143" t="str">
        <f t="shared" si="43"/>
        <v/>
      </c>
      <c r="AX183" s="143" t="str">
        <f t="shared" si="43"/>
        <v/>
      </c>
      <c r="AY183" s="143" t="str">
        <f t="shared" si="42"/>
        <v/>
      </c>
      <c r="AZ183" s="143" t="str">
        <f t="shared" si="42"/>
        <v/>
      </c>
      <c r="BA183" s="143" t="str">
        <f t="shared" si="42"/>
        <v/>
      </c>
      <c r="BB183" s="143" t="str">
        <f t="shared" si="42"/>
        <v/>
      </c>
      <c r="BC183" s="143" t="str">
        <f t="shared" si="42"/>
        <v/>
      </c>
      <c r="BD183" s="143" t="str">
        <f t="shared" si="42"/>
        <v/>
      </c>
      <c r="BF183" s="9">
        <f t="shared" si="38"/>
        <v>0</v>
      </c>
      <c r="BG183" s="9">
        <f t="shared" si="33"/>
        <v>0.99780422544096625</v>
      </c>
    </row>
    <row r="184" spans="2:59" x14ac:dyDescent="0.35">
      <c r="B184" s="3" t="s">
        <v>257</v>
      </c>
      <c r="D184" s="141">
        <v>54162</v>
      </c>
      <c r="E184" s="141">
        <v>81274</v>
      </c>
      <c r="F184" s="141">
        <v>85585</v>
      </c>
      <c r="G184" s="141">
        <v>4733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30"/>
        <v>225754</v>
      </c>
      <c r="R184" s="141">
        <v>31313</v>
      </c>
      <c r="S184" s="141">
        <v>45682</v>
      </c>
      <c r="T184" s="141">
        <v>58320</v>
      </c>
      <c r="U184" s="141">
        <v>4080</v>
      </c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31"/>
        <v>139395</v>
      </c>
      <c r="AF184" s="2">
        <f t="shared" si="37"/>
        <v>0.57813596248292165</v>
      </c>
      <c r="AG184" s="2">
        <f t="shared" si="37"/>
        <v>0.56207397199596432</v>
      </c>
      <c r="AH184" s="2">
        <f t="shared" si="37"/>
        <v>0.68142782029561255</v>
      </c>
      <c r="AI184" s="2">
        <f t="shared" si="37"/>
        <v>0.86203253750264108</v>
      </c>
      <c r="AJ184" s="2" t="str">
        <f t="shared" si="36"/>
        <v/>
      </c>
      <c r="AK184" s="2" t="str">
        <f t="shared" si="36"/>
        <v/>
      </c>
      <c r="AL184" s="2" t="str">
        <f t="shared" si="36"/>
        <v/>
      </c>
      <c r="AM184" s="2" t="str">
        <f t="shared" si="36"/>
        <v/>
      </c>
      <c r="AN184" s="2" t="str">
        <f t="shared" si="34"/>
        <v/>
      </c>
      <c r="AO184" s="2" t="str">
        <f t="shared" si="34"/>
        <v/>
      </c>
      <c r="AP184" s="2" t="str">
        <f t="shared" si="34"/>
        <v/>
      </c>
      <c r="AQ184" s="2" t="str">
        <f t="shared" si="34"/>
        <v/>
      </c>
      <c r="AR184" s="2">
        <f t="shared" si="41"/>
        <v>0.61746414238507397</v>
      </c>
      <c r="AT184" s="143">
        <f t="shared" si="39"/>
        <v>-1.6061990486957334E-2</v>
      </c>
      <c r="AU184" s="143">
        <f t="shared" si="40"/>
        <v>0.11935384829964824</v>
      </c>
      <c r="AV184" s="143">
        <f t="shared" si="40"/>
        <v>0.18060471720702853</v>
      </c>
      <c r="AW184" s="143" t="str">
        <f t="shared" si="43"/>
        <v/>
      </c>
      <c r="AX184" s="143" t="str">
        <f t="shared" si="43"/>
        <v/>
      </c>
      <c r="AY184" s="143" t="str">
        <f t="shared" si="42"/>
        <v/>
      </c>
      <c r="AZ184" s="143" t="str">
        <f t="shared" si="42"/>
        <v/>
      </c>
      <c r="BA184" s="143" t="str">
        <f t="shared" si="42"/>
        <v/>
      </c>
      <c r="BB184" s="143" t="str">
        <f t="shared" si="42"/>
        <v/>
      </c>
      <c r="BC184" s="143" t="str">
        <f t="shared" si="42"/>
        <v/>
      </c>
      <c r="BD184" s="143" t="str">
        <f t="shared" si="42"/>
        <v/>
      </c>
      <c r="BF184" s="9">
        <f t="shared" si="38"/>
        <v>2.3010782519730259E-4</v>
      </c>
      <c r="BG184" s="9">
        <f t="shared" si="33"/>
        <v>0.99803433326616353</v>
      </c>
    </row>
    <row r="185" spans="2:59" x14ac:dyDescent="0.35">
      <c r="B185" s="3" t="s">
        <v>233</v>
      </c>
      <c r="D185" s="141">
        <v>21129</v>
      </c>
      <c r="E185" s="141">
        <v>29822</v>
      </c>
      <c r="F185" s="141">
        <v>38929</v>
      </c>
      <c r="G185" s="141">
        <v>8476</v>
      </c>
      <c r="H185" s="141"/>
      <c r="I185" s="141"/>
      <c r="J185" s="141"/>
      <c r="K185" s="141"/>
      <c r="L185" s="141"/>
      <c r="M185" s="141"/>
      <c r="N185" s="141"/>
      <c r="O185" s="141"/>
      <c r="P185" s="141">
        <f t="shared" si="30"/>
        <v>98356</v>
      </c>
      <c r="R185" s="141">
        <v>7307</v>
      </c>
      <c r="S185" s="141">
        <v>8435</v>
      </c>
      <c r="T185" s="141">
        <v>16580</v>
      </c>
      <c r="U185" s="141">
        <v>3752</v>
      </c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31"/>
        <v>36074</v>
      </c>
      <c r="AF185" s="2">
        <f t="shared" si="37"/>
        <v>0.34582800889772353</v>
      </c>
      <c r="AG185" s="2">
        <f t="shared" si="37"/>
        <v>0.28284487961907318</v>
      </c>
      <c r="AH185" s="2">
        <f t="shared" si="37"/>
        <v>0.42590356803411339</v>
      </c>
      <c r="AI185" s="2">
        <f t="shared" si="37"/>
        <v>0.44266163284568194</v>
      </c>
      <c r="AJ185" s="2" t="str">
        <f t="shared" si="36"/>
        <v/>
      </c>
      <c r="AK185" s="2" t="str">
        <f t="shared" si="36"/>
        <v/>
      </c>
      <c r="AL185" s="2" t="str">
        <f t="shared" si="36"/>
        <v/>
      </c>
      <c r="AM185" s="2" t="str">
        <f t="shared" si="36"/>
        <v/>
      </c>
      <c r="AN185" s="2" t="str">
        <f t="shared" si="34"/>
        <v/>
      </c>
      <c r="AO185" s="2" t="str">
        <f t="shared" si="34"/>
        <v/>
      </c>
      <c r="AP185" s="2" t="str">
        <f t="shared" si="34"/>
        <v/>
      </c>
      <c r="AQ185" s="2" t="str">
        <f t="shared" si="34"/>
        <v/>
      </c>
      <c r="AR185" s="2">
        <f t="shared" si="41"/>
        <v>0.36676969376550489</v>
      </c>
      <c r="AT185" s="143">
        <f t="shared" si="39"/>
        <v>-6.2983129278650352E-2</v>
      </c>
      <c r="AU185" s="143">
        <f t="shared" si="40"/>
        <v>0.14305868841504021</v>
      </c>
      <c r="AV185" s="143">
        <f t="shared" si="40"/>
        <v>1.6758064811568552E-2</v>
      </c>
      <c r="AW185" s="143" t="str">
        <f t="shared" si="43"/>
        <v/>
      </c>
      <c r="AX185" s="143" t="str">
        <f t="shared" si="43"/>
        <v/>
      </c>
      <c r="AY185" s="143" t="str">
        <f t="shared" si="42"/>
        <v/>
      </c>
      <c r="AZ185" s="143" t="str">
        <f t="shared" si="42"/>
        <v/>
      </c>
      <c r="BA185" s="143" t="str">
        <f t="shared" si="42"/>
        <v/>
      </c>
      <c r="BB185" s="143" t="str">
        <f t="shared" si="42"/>
        <v/>
      </c>
      <c r="BC185" s="143" t="str">
        <f t="shared" si="42"/>
        <v/>
      </c>
      <c r="BD185" s="143" t="str">
        <f t="shared" si="42"/>
        <v/>
      </c>
      <c r="BF185" s="9">
        <f t="shared" si="38"/>
        <v>5.9549551175920899E-5</v>
      </c>
      <c r="BG185" s="9">
        <f t="shared" si="33"/>
        <v>0.99809388281733946</v>
      </c>
    </row>
    <row r="186" spans="2:59" x14ac:dyDescent="0.35">
      <c r="B186" s="3" t="s">
        <v>294</v>
      </c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30"/>
        <v>0</v>
      </c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31"/>
        <v>0</v>
      </c>
      <c r="AF186" s="2" t="str">
        <f t="shared" si="37"/>
        <v/>
      </c>
      <c r="AG186" s="2" t="str">
        <f t="shared" si="37"/>
        <v/>
      </c>
      <c r="AH186" s="2" t="str">
        <f t="shared" si="37"/>
        <v/>
      </c>
      <c r="AI186" s="2" t="str">
        <f t="shared" si="37"/>
        <v/>
      </c>
      <c r="AJ186" s="2" t="str">
        <f t="shared" si="36"/>
        <v/>
      </c>
      <c r="AK186" s="2" t="str">
        <f t="shared" si="36"/>
        <v/>
      </c>
      <c r="AL186" s="2" t="str">
        <f t="shared" si="36"/>
        <v/>
      </c>
      <c r="AM186" s="2" t="str">
        <f t="shared" si="36"/>
        <v/>
      </c>
      <c r="AN186" s="2" t="str">
        <f t="shared" si="34"/>
        <v/>
      </c>
      <c r="AO186" s="2" t="str">
        <f t="shared" si="34"/>
        <v/>
      </c>
      <c r="AP186" s="2" t="str">
        <f t="shared" si="34"/>
        <v/>
      </c>
      <c r="AQ186" s="2" t="str">
        <f t="shared" si="34"/>
        <v/>
      </c>
      <c r="AR186" s="2" t="str">
        <f t="shared" si="41"/>
        <v/>
      </c>
      <c r="AT186" s="143" t="str">
        <f t="shared" si="39"/>
        <v/>
      </c>
      <c r="AU186" s="143" t="str">
        <f t="shared" si="40"/>
        <v/>
      </c>
      <c r="AV186" s="143" t="str">
        <f t="shared" si="40"/>
        <v/>
      </c>
      <c r="AW186" s="143" t="str">
        <f t="shared" si="43"/>
        <v/>
      </c>
      <c r="AX186" s="143" t="str">
        <f t="shared" si="43"/>
        <v/>
      </c>
      <c r="AY186" s="143" t="str">
        <f t="shared" si="42"/>
        <v/>
      </c>
      <c r="AZ186" s="143" t="str">
        <f t="shared" si="42"/>
        <v/>
      </c>
      <c r="BA186" s="143" t="str">
        <f t="shared" si="42"/>
        <v/>
      </c>
      <c r="BB186" s="143" t="str">
        <f t="shared" si="42"/>
        <v/>
      </c>
      <c r="BC186" s="143" t="str">
        <f t="shared" si="42"/>
        <v/>
      </c>
      <c r="BD186" s="143" t="str">
        <f t="shared" si="42"/>
        <v/>
      </c>
      <c r="BF186" s="9">
        <f t="shared" si="38"/>
        <v>0</v>
      </c>
      <c r="BG186" s="9">
        <f t="shared" si="33"/>
        <v>0.99809388281733946</v>
      </c>
    </row>
    <row r="187" spans="2:59" x14ac:dyDescent="0.35">
      <c r="B187" s="3" t="s">
        <v>295</v>
      </c>
      <c r="D187" s="141">
        <v>21609</v>
      </c>
      <c r="E187" s="141">
        <v>13135</v>
      </c>
      <c r="F187" s="141">
        <v>4249</v>
      </c>
      <c r="G187" s="141">
        <v>950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30"/>
        <v>39943</v>
      </c>
      <c r="R187" s="141">
        <v>19809</v>
      </c>
      <c r="S187" s="141">
        <v>9894</v>
      </c>
      <c r="T187" s="141">
        <v>2270</v>
      </c>
      <c r="U187" s="141">
        <v>950</v>
      </c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31"/>
        <v>32923</v>
      </c>
      <c r="AF187" s="2">
        <f t="shared" si="37"/>
        <v>0.91670137442732191</v>
      </c>
      <c r="AG187" s="2">
        <f t="shared" si="37"/>
        <v>0.75325466311381806</v>
      </c>
      <c r="AH187" s="2">
        <f t="shared" si="37"/>
        <v>0.53424335137679457</v>
      </c>
      <c r="AI187" s="2">
        <f t="shared" si="37"/>
        <v>1</v>
      </c>
      <c r="AJ187" s="2" t="str">
        <f t="shared" si="36"/>
        <v/>
      </c>
      <c r="AK187" s="2" t="str">
        <f t="shared" si="36"/>
        <v/>
      </c>
      <c r="AL187" s="2" t="str">
        <f t="shared" si="36"/>
        <v/>
      </c>
      <c r="AM187" s="2" t="str">
        <f t="shared" si="36"/>
        <v/>
      </c>
      <c r="AN187" s="2" t="str">
        <f t="shared" si="34"/>
        <v/>
      </c>
      <c r="AO187" s="2" t="str">
        <f t="shared" si="34"/>
        <v/>
      </c>
      <c r="AP187" s="2" t="str">
        <f t="shared" si="34"/>
        <v/>
      </c>
      <c r="AQ187" s="2" t="str">
        <f t="shared" si="34"/>
        <v/>
      </c>
      <c r="AR187" s="2">
        <f t="shared" si="41"/>
        <v>0.82424955561675384</v>
      </c>
      <c r="AT187" s="143">
        <f t="shared" si="39"/>
        <v>-0.16344671131350386</v>
      </c>
      <c r="AU187" s="143">
        <f t="shared" si="40"/>
        <v>-0.21901131173702348</v>
      </c>
      <c r="AV187" s="143">
        <f t="shared" si="40"/>
        <v>0.46575664862320543</v>
      </c>
      <c r="AW187" s="143" t="str">
        <f t="shared" si="43"/>
        <v/>
      </c>
      <c r="AX187" s="143" t="str">
        <f t="shared" si="43"/>
        <v/>
      </c>
      <c r="AY187" s="143" t="str">
        <f t="shared" si="42"/>
        <v/>
      </c>
      <c r="AZ187" s="143" t="str">
        <f t="shared" si="42"/>
        <v/>
      </c>
      <c r="BA187" s="143" t="str">
        <f t="shared" si="42"/>
        <v/>
      </c>
      <c r="BB187" s="143" t="str">
        <f t="shared" si="42"/>
        <v/>
      </c>
      <c r="BC187" s="143" t="str">
        <f t="shared" si="42"/>
        <v/>
      </c>
      <c r="BD187" s="143" t="str">
        <f t="shared" si="42"/>
        <v/>
      </c>
      <c r="BF187" s="9">
        <f t="shared" si="38"/>
        <v>5.4348003364330091E-5</v>
      </c>
      <c r="BG187" s="9">
        <f t="shared" si="33"/>
        <v>0.99814823082070381</v>
      </c>
    </row>
    <row r="188" spans="2:59" x14ac:dyDescent="0.35">
      <c r="B188" s="3" t="s">
        <v>245</v>
      </c>
      <c r="D188" s="141">
        <v>13522</v>
      </c>
      <c r="E188" s="141">
        <v>1236</v>
      </c>
      <c r="F188" s="141">
        <v>91</v>
      </c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30"/>
        <v>14849</v>
      </c>
      <c r="R188" s="141">
        <v>13522</v>
      </c>
      <c r="S188" s="141">
        <v>1156</v>
      </c>
      <c r="T188" s="141">
        <v>91</v>
      </c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31"/>
        <v>14769</v>
      </c>
      <c r="AF188" s="2">
        <f t="shared" si="37"/>
        <v>1</v>
      </c>
      <c r="AG188" s="2">
        <f t="shared" si="37"/>
        <v>0.93527508090614886</v>
      </c>
      <c r="AH188" s="2">
        <f t="shared" si="37"/>
        <v>1</v>
      </c>
      <c r="AI188" s="2" t="str">
        <f t="shared" si="37"/>
        <v/>
      </c>
      <c r="AJ188" s="2" t="str">
        <f t="shared" si="36"/>
        <v/>
      </c>
      <c r="AK188" s="2" t="str">
        <f t="shared" si="36"/>
        <v/>
      </c>
      <c r="AL188" s="2" t="str">
        <f t="shared" si="36"/>
        <v/>
      </c>
      <c r="AM188" s="2" t="str">
        <f t="shared" si="36"/>
        <v/>
      </c>
      <c r="AN188" s="2" t="str">
        <f t="shared" si="34"/>
        <v/>
      </c>
      <c r="AO188" s="2" t="str">
        <f t="shared" si="34"/>
        <v/>
      </c>
      <c r="AP188" s="2" t="str">
        <f t="shared" si="34"/>
        <v/>
      </c>
      <c r="AQ188" s="2" t="str">
        <f t="shared" si="34"/>
        <v/>
      </c>
      <c r="AR188" s="2">
        <f t="shared" si="41"/>
        <v>0.99461243181359016</v>
      </c>
      <c r="AT188" s="143">
        <f t="shared" si="39"/>
        <v>-6.4724919093851141E-2</v>
      </c>
      <c r="AU188" s="143">
        <f t="shared" si="40"/>
        <v>6.4724919093851141E-2</v>
      </c>
      <c r="AV188" s="143" t="str">
        <f t="shared" si="40"/>
        <v/>
      </c>
      <c r="AW188" s="143" t="str">
        <f t="shared" si="43"/>
        <v/>
      </c>
      <c r="AX188" s="143" t="str">
        <f t="shared" si="43"/>
        <v/>
      </c>
      <c r="AY188" s="143" t="str">
        <f t="shared" si="42"/>
        <v/>
      </c>
      <c r="AZ188" s="143" t="str">
        <f t="shared" si="42"/>
        <v/>
      </c>
      <c r="BA188" s="143" t="str">
        <f t="shared" si="42"/>
        <v/>
      </c>
      <c r="BB188" s="143" t="str">
        <f t="shared" si="42"/>
        <v/>
      </c>
      <c r="BC188" s="143" t="str">
        <f t="shared" si="42"/>
        <v/>
      </c>
      <c r="BD188" s="143" t="str">
        <f t="shared" si="42"/>
        <v/>
      </c>
      <c r="BF188" s="9">
        <f t="shared" si="38"/>
        <v>2.4380088743060813E-5</v>
      </c>
      <c r="BG188" s="9">
        <f t="shared" si="33"/>
        <v>0.99817261090944687</v>
      </c>
    </row>
    <row r="189" spans="2:59" x14ac:dyDescent="0.35">
      <c r="B189" s="3" t="s">
        <v>250</v>
      </c>
      <c r="D189" s="141">
        <v>5655</v>
      </c>
      <c r="E189" s="141">
        <v>4388</v>
      </c>
      <c r="F189" s="141">
        <v>23479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30"/>
        <v>33522</v>
      </c>
      <c r="R189" s="141">
        <v>411</v>
      </c>
      <c r="S189" s="141">
        <v>769</v>
      </c>
      <c r="T189" s="141">
        <v>22160</v>
      </c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31"/>
        <v>23340</v>
      </c>
      <c r="AF189" s="2">
        <f t="shared" si="37"/>
        <v>7.2679045092838193E-2</v>
      </c>
      <c r="AG189" s="2">
        <f t="shared" si="37"/>
        <v>0.17525068368277119</v>
      </c>
      <c r="AH189" s="2">
        <f t="shared" si="37"/>
        <v>0.9438221389326632</v>
      </c>
      <c r="AI189" s="2" t="str">
        <f t="shared" si="37"/>
        <v/>
      </c>
      <c r="AJ189" s="2" t="str">
        <f t="shared" si="36"/>
        <v/>
      </c>
      <c r="AK189" s="2" t="str">
        <f t="shared" si="36"/>
        <v/>
      </c>
      <c r="AL189" s="2" t="str">
        <f t="shared" si="36"/>
        <v/>
      </c>
      <c r="AM189" s="2" t="str">
        <f t="shared" si="36"/>
        <v/>
      </c>
      <c r="AN189" s="2" t="str">
        <f t="shared" si="34"/>
        <v/>
      </c>
      <c r="AO189" s="2" t="str">
        <f t="shared" si="34"/>
        <v/>
      </c>
      <c r="AP189" s="2" t="str">
        <f t="shared" si="34"/>
        <v/>
      </c>
      <c r="AQ189" s="2" t="str">
        <f t="shared" si="34"/>
        <v/>
      </c>
      <c r="AR189" s="2">
        <f t="shared" si="41"/>
        <v>0.69625917308036511</v>
      </c>
      <c r="AT189" s="143">
        <f t="shared" si="39"/>
        <v>0.102571638589933</v>
      </c>
      <c r="AU189" s="143">
        <f t="shared" si="40"/>
        <v>0.76857145524989201</v>
      </c>
      <c r="AV189" s="143" t="str">
        <f t="shared" si="40"/>
        <v/>
      </c>
      <c r="AW189" s="143" t="str">
        <f t="shared" si="43"/>
        <v/>
      </c>
      <c r="AX189" s="143" t="str">
        <f t="shared" si="43"/>
        <v/>
      </c>
      <c r="AY189" s="143" t="str">
        <f t="shared" si="42"/>
        <v/>
      </c>
      <c r="AZ189" s="143" t="str">
        <f t="shared" si="42"/>
        <v/>
      </c>
      <c r="BA189" s="143" t="str">
        <f t="shared" si="42"/>
        <v/>
      </c>
      <c r="BB189" s="143" t="str">
        <f t="shared" si="42"/>
        <v/>
      </c>
      <c r="BC189" s="143" t="str">
        <f t="shared" si="42"/>
        <v/>
      </c>
      <c r="BD189" s="143" t="str">
        <f t="shared" si="42"/>
        <v/>
      </c>
      <c r="BF189" s="9">
        <f t="shared" si="38"/>
        <v>3.8528761003658968E-5</v>
      </c>
      <c r="BG189" s="9">
        <f t="shared" si="33"/>
        <v>0.9982111396704505</v>
      </c>
    </row>
    <row r="190" spans="2:59" x14ac:dyDescent="0.35">
      <c r="B190" s="3" t="s">
        <v>284</v>
      </c>
      <c r="D190" s="141">
        <v>2801</v>
      </c>
      <c r="E190" s="141">
        <v>3269</v>
      </c>
      <c r="F190" s="141">
        <v>884</v>
      </c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30"/>
        <v>6954</v>
      </c>
      <c r="R190" s="141">
        <v>561</v>
      </c>
      <c r="S190" s="141">
        <v>1725</v>
      </c>
      <c r="T190" s="141">
        <v>693</v>
      </c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31"/>
        <v>2979</v>
      </c>
      <c r="AF190" s="2">
        <f t="shared" si="37"/>
        <v>0.2002856122813281</v>
      </c>
      <c r="AG190" s="2">
        <f t="shared" si="37"/>
        <v>0.52768430712756198</v>
      </c>
      <c r="AH190" s="2">
        <f t="shared" si="37"/>
        <v>0.7839366515837104</v>
      </c>
      <c r="AI190" s="2" t="str">
        <f t="shared" si="37"/>
        <v/>
      </c>
      <c r="AJ190" s="2" t="str">
        <f t="shared" si="36"/>
        <v/>
      </c>
      <c r="AK190" s="2" t="str">
        <f t="shared" si="36"/>
        <v/>
      </c>
      <c r="AL190" s="2" t="str">
        <f t="shared" si="36"/>
        <v/>
      </c>
      <c r="AM190" s="2" t="str">
        <f t="shared" si="36"/>
        <v/>
      </c>
      <c r="AN190" s="2" t="str">
        <f t="shared" si="34"/>
        <v/>
      </c>
      <c r="AO190" s="2" t="str">
        <f t="shared" si="34"/>
        <v/>
      </c>
      <c r="AP190" s="2" t="str">
        <f t="shared" si="34"/>
        <v/>
      </c>
      <c r="AQ190" s="2" t="str">
        <f t="shared" si="34"/>
        <v/>
      </c>
      <c r="AR190" s="2">
        <f t="shared" si="41"/>
        <v>0.4283865401207938</v>
      </c>
      <c r="AT190" s="143">
        <f t="shared" si="39"/>
        <v>0.32739869484623385</v>
      </c>
      <c r="AU190" s="143">
        <f t="shared" si="40"/>
        <v>0.25625234445614842</v>
      </c>
      <c r="AV190" s="143" t="str">
        <f t="shared" si="40"/>
        <v/>
      </c>
      <c r="AW190" s="143" t="str">
        <f t="shared" si="43"/>
        <v/>
      </c>
      <c r="AX190" s="143" t="str">
        <f t="shared" si="43"/>
        <v/>
      </c>
      <c r="AY190" s="143" t="str">
        <f t="shared" si="42"/>
        <v/>
      </c>
      <c r="AZ190" s="143" t="str">
        <f t="shared" si="42"/>
        <v/>
      </c>
      <c r="BA190" s="143" t="str">
        <f t="shared" si="42"/>
        <v/>
      </c>
      <c r="BB190" s="143" t="str">
        <f t="shared" si="42"/>
        <v/>
      </c>
      <c r="BC190" s="143" t="str">
        <f t="shared" si="42"/>
        <v/>
      </c>
      <c r="BD190" s="143" t="str">
        <f t="shared" si="42"/>
        <v/>
      </c>
      <c r="BF190" s="9">
        <f t="shared" si="38"/>
        <v>4.917616925017141E-6</v>
      </c>
      <c r="BG190" s="9">
        <f t="shared" si="33"/>
        <v>0.9982160572873755</v>
      </c>
    </row>
    <row r="191" spans="2:59" x14ac:dyDescent="0.35">
      <c r="B191" s="3" t="s">
        <v>258</v>
      </c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30"/>
        <v>0</v>
      </c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31"/>
        <v>0</v>
      </c>
      <c r="AF191" s="2" t="str">
        <f t="shared" si="37"/>
        <v/>
      </c>
      <c r="AG191" s="2" t="str">
        <f t="shared" si="37"/>
        <v/>
      </c>
      <c r="AH191" s="2" t="str">
        <f t="shared" si="37"/>
        <v/>
      </c>
      <c r="AI191" s="2" t="str">
        <f t="shared" si="37"/>
        <v/>
      </c>
      <c r="AJ191" s="2" t="str">
        <f t="shared" si="36"/>
        <v/>
      </c>
      <c r="AK191" s="2" t="str">
        <f t="shared" si="36"/>
        <v/>
      </c>
      <c r="AL191" s="2" t="str">
        <f t="shared" si="36"/>
        <v/>
      </c>
      <c r="AM191" s="2" t="str">
        <f t="shared" si="36"/>
        <v/>
      </c>
      <c r="AN191" s="2" t="str">
        <f t="shared" si="34"/>
        <v/>
      </c>
      <c r="AO191" s="2" t="str">
        <f t="shared" si="34"/>
        <v/>
      </c>
      <c r="AP191" s="2" t="str">
        <f t="shared" si="34"/>
        <v/>
      </c>
      <c r="AQ191" s="2" t="str">
        <f t="shared" si="34"/>
        <v/>
      </c>
      <c r="AR191" s="2" t="str">
        <f t="shared" si="41"/>
        <v/>
      </c>
      <c r="AT191" s="143" t="str">
        <f t="shared" si="39"/>
        <v/>
      </c>
      <c r="AU191" s="143" t="str">
        <f t="shared" si="40"/>
        <v/>
      </c>
      <c r="AV191" s="143" t="str">
        <f t="shared" si="40"/>
        <v/>
      </c>
      <c r="AW191" s="143" t="str">
        <f t="shared" si="43"/>
        <v/>
      </c>
      <c r="AX191" s="143" t="str">
        <f t="shared" si="43"/>
        <v/>
      </c>
      <c r="AY191" s="143" t="str">
        <f t="shared" si="42"/>
        <v/>
      </c>
      <c r="AZ191" s="143" t="str">
        <f t="shared" si="42"/>
        <v/>
      </c>
      <c r="BA191" s="143" t="str">
        <f t="shared" si="42"/>
        <v/>
      </c>
      <c r="BB191" s="143" t="str">
        <f t="shared" si="42"/>
        <v/>
      </c>
      <c r="BC191" s="143" t="str">
        <f t="shared" si="42"/>
        <v/>
      </c>
      <c r="BD191" s="143" t="str">
        <f t="shared" si="42"/>
        <v/>
      </c>
      <c r="BF191" s="9">
        <f t="shared" si="38"/>
        <v>0</v>
      </c>
      <c r="BG191" s="9">
        <f t="shared" si="33"/>
        <v>0.9982160572873755</v>
      </c>
    </row>
    <row r="192" spans="2:59" x14ac:dyDescent="0.35">
      <c r="B192" s="3" t="s">
        <v>263</v>
      </c>
      <c r="D192" s="141">
        <v>738</v>
      </c>
      <c r="E192" s="141"/>
      <c r="F192" s="141">
        <v>48</v>
      </c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30"/>
        <v>786</v>
      </c>
      <c r="R192" s="141">
        <v>738</v>
      </c>
      <c r="S192" s="141"/>
      <c r="T192" s="141">
        <v>48</v>
      </c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31"/>
        <v>786</v>
      </c>
      <c r="AF192" s="2">
        <f t="shared" si="37"/>
        <v>1</v>
      </c>
      <c r="AG192" s="2" t="str">
        <f t="shared" si="37"/>
        <v/>
      </c>
      <c r="AH192" s="2">
        <f t="shared" si="37"/>
        <v>1</v>
      </c>
      <c r="AI192" s="2" t="str">
        <f t="shared" si="37"/>
        <v/>
      </c>
      <c r="AJ192" s="2" t="str">
        <f t="shared" si="36"/>
        <v/>
      </c>
      <c r="AK192" s="2" t="str">
        <f t="shared" si="36"/>
        <v/>
      </c>
      <c r="AL192" s="2" t="str">
        <f t="shared" si="36"/>
        <v/>
      </c>
      <c r="AM192" s="2" t="str">
        <f t="shared" si="36"/>
        <v/>
      </c>
      <c r="AN192" s="2" t="str">
        <f t="shared" si="34"/>
        <v/>
      </c>
      <c r="AO192" s="2" t="str">
        <f t="shared" si="34"/>
        <v/>
      </c>
      <c r="AP192" s="2" t="str">
        <f t="shared" si="34"/>
        <v/>
      </c>
      <c r="AQ192" s="2" t="str">
        <f t="shared" si="34"/>
        <v/>
      </c>
      <c r="AR192" s="2">
        <f t="shared" si="41"/>
        <v>1</v>
      </c>
      <c r="AT192" s="143" t="str">
        <f t="shared" si="39"/>
        <v/>
      </c>
      <c r="AU192" s="143" t="str">
        <f t="shared" si="40"/>
        <v/>
      </c>
      <c r="AV192" s="143" t="str">
        <f t="shared" si="40"/>
        <v/>
      </c>
      <c r="AW192" s="143" t="str">
        <f t="shared" si="43"/>
        <v/>
      </c>
      <c r="AX192" s="143" t="str">
        <f t="shared" si="43"/>
        <v/>
      </c>
      <c r="AY192" s="143" t="str">
        <f t="shared" si="42"/>
        <v/>
      </c>
      <c r="AZ192" s="143" t="str">
        <f t="shared" si="42"/>
        <v/>
      </c>
      <c r="BA192" s="143" t="str">
        <f t="shared" si="42"/>
        <v/>
      </c>
      <c r="BB192" s="143" t="str">
        <f t="shared" si="42"/>
        <v/>
      </c>
      <c r="BC192" s="143" t="str">
        <f t="shared" si="42"/>
        <v/>
      </c>
      <c r="BD192" s="143" t="str">
        <f t="shared" si="42"/>
        <v/>
      </c>
      <c r="BF192" s="9">
        <f t="shared" si="38"/>
        <v>1.2974981212029113E-6</v>
      </c>
      <c r="BG192" s="9">
        <f t="shared" si="33"/>
        <v>0.99821735478549667</v>
      </c>
    </row>
    <row r="193" spans="2:59" x14ac:dyDescent="0.35">
      <c r="B193" s="3" t="s">
        <v>296</v>
      </c>
      <c r="D193" s="141">
        <v>7179</v>
      </c>
      <c r="E193" s="141">
        <v>17029</v>
      </c>
      <c r="F193" s="141">
        <v>19406</v>
      </c>
      <c r="G193" s="141">
        <v>277</v>
      </c>
      <c r="H193" s="141"/>
      <c r="I193" s="141"/>
      <c r="J193" s="141"/>
      <c r="K193" s="141"/>
      <c r="L193" s="141"/>
      <c r="M193" s="141"/>
      <c r="N193" s="141"/>
      <c r="O193" s="141"/>
      <c r="P193" s="141">
        <f t="shared" si="30"/>
        <v>43891</v>
      </c>
      <c r="R193" s="141">
        <v>6780</v>
      </c>
      <c r="S193" s="141">
        <v>16016</v>
      </c>
      <c r="T193" s="141">
        <v>14049</v>
      </c>
      <c r="U193" s="141">
        <v>277</v>
      </c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31"/>
        <v>37122</v>
      </c>
      <c r="AF193" s="2">
        <f t="shared" si="37"/>
        <v>0.94442122858336819</v>
      </c>
      <c r="AG193" s="2">
        <f t="shared" si="37"/>
        <v>0.94051324211638965</v>
      </c>
      <c r="AH193" s="2">
        <f t="shared" si="37"/>
        <v>0.72395135525095333</v>
      </c>
      <c r="AI193" s="2">
        <f t="shared" si="37"/>
        <v>1</v>
      </c>
      <c r="AJ193" s="2" t="str">
        <f t="shared" si="36"/>
        <v/>
      </c>
      <c r="AK193" s="2" t="str">
        <f t="shared" si="36"/>
        <v/>
      </c>
      <c r="AL193" s="2" t="str">
        <f t="shared" si="36"/>
        <v/>
      </c>
      <c r="AM193" s="2" t="str">
        <f t="shared" si="36"/>
        <v/>
      </c>
      <c r="AN193" s="2" t="str">
        <f t="shared" si="34"/>
        <v/>
      </c>
      <c r="AO193" s="2" t="str">
        <f t="shared" si="34"/>
        <v/>
      </c>
      <c r="AP193" s="2" t="str">
        <f t="shared" si="34"/>
        <v/>
      </c>
      <c r="AQ193" s="2" t="str">
        <f t="shared" si="34"/>
        <v/>
      </c>
      <c r="AR193" s="2">
        <f t="shared" si="41"/>
        <v>0.84577703857282815</v>
      </c>
      <c r="AT193" s="143">
        <f t="shared" si="39"/>
        <v>-3.9079864669785414E-3</v>
      </c>
      <c r="AU193" s="143">
        <f t="shared" si="40"/>
        <v>-0.21656188686543631</v>
      </c>
      <c r="AV193" s="143">
        <f t="shared" si="40"/>
        <v>0.27604864474904667</v>
      </c>
      <c r="AW193" s="143" t="str">
        <f t="shared" si="43"/>
        <v/>
      </c>
      <c r="AX193" s="143" t="str">
        <f t="shared" si="43"/>
        <v/>
      </c>
      <c r="AY193" s="143" t="str">
        <f t="shared" si="42"/>
        <v/>
      </c>
      <c r="AZ193" s="143" t="str">
        <f t="shared" si="42"/>
        <v/>
      </c>
      <c r="BA193" s="143" t="str">
        <f t="shared" si="42"/>
        <v/>
      </c>
      <c r="BB193" s="143" t="str">
        <f t="shared" si="42"/>
        <v/>
      </c>
      <c r="BC193" s="143" t="str">
        <f t="shared" si="42"/>
        <v/>
      </c>
      <c r="BD193" s="143" t="str">
        <f t="shared" si="42"/>
        <v/>
      </c>
      <c r="BF193" s="9">
        <f t="shared" si="38"/>
        <v>6.1279548670858117E-5</v>
      </c>
      <c r="BG193" s="9">
        <f t="shared" si="33"/>
        <v>0.99827863433416753</v>
      </c>
    </row>
    <row r="194" spans="2:59" x14ac:dyDescent="0.35">
      <c r="B194" s="3" t="s">
        <v>297</v>
      </c>
      <c r="D194" s="141">
        <v>396</v>
      </c>
      <c r="E194" s="141">
        <v>223</v>
      </c>
      <c r="F194" s="141">
        <v>312</v>
      </c>
      <c r="G194" s="141"/>
      <c r="H194" s="141"/>
      <c r="I194" s="141"/>
      <c r="J194" s="141"/>
      <c r="K194" s="141"/>
      <c r="L194" s="141"/>
      <c r="M194" s="141"/>
      <c r="N194" s="141"/>
      <c r="O194" s="141"/>
      <c r="P194" s="141">
        <f t="shared" si="30"/>
        <v>931</v>
      </c>
      <c r="R194" s="141">
        <v>297</v>
      </c>
      <c r="S194" s="141">
        <v>198</v>
      </c>
      <c r="T194" s="141">
        <v>312</v>
      </c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31"/>
        <v>807</v>
      </c>
      <c r="AF194" s="2">
        <f t="shared" si="37"/>
        <v>0.75</v>
      </c>
      <c r="AG194" s="2">
        <f t="shared" si="37"/>
        <v>0.88789237668161436</v>
      </c>
      <c r="AH194" s="2">
        <f t="shared" si="37"/>
        <v>1</v>
      </c>
      <c r="AI194" s="2" t="str">
        <f t="shared" si="37"/>
        <v/>
      </c>
      <c r="AJ194" s="2" t="str">
        <f t="shared" si="36"/>
        <v/>
      </c>
      <c r="AK194" s="2" t="str">
        <f t="shared" si="36"/>
        <v/>
      </c>
      <c r="AL194" s="2" t="str">
        <f t="shared" si="36"/>
        <v/>
      </c>
      <c r="AM194" s="2" t="str">
        <f t="shared" si="36"/>
        <v/>
      </c>
      <c r="AN194" s="2" t="str">
        <f t="shared" si="34"/>
        <v/>
      </c>
      <c r="AO194" s="2" t="str">
        <f t="shared" si="34"/>
        <v/>
      </c>
      <c r="AP194" s="2" t="str">
        <f t="shared" si="34"/>
        <v/>
      </c>
      <c r="AQ194" s="2" t="str">
        <f t="shared" si="34"/>
        <v/>
      </c>
      <c r="AR194" s="2">
        <f t="shared" si="41"/>
        <v>0.86680988184747587</v>
      </c>
      <c r="AT194" s="143">
        <f t="shared" si="39"/>
        <v>0.13789237668161436</v>
      </c>
      <c r="AU194" s="143">
        <f t="shared" si="40"/>
        <v>0.11210762331838564</v>
      </c>
      <c r="AV194" s="143" t="str">
        <f t="shared" si="40"/>
        <v/>
      </c>
      <c r="AW194" s="143" t="str">
        <f t="shared" si="43"/>
        <v/>
      </c>
      <c r="AX194" s="143" t="str">
        <f t="shared" si="43"/>
        <v/>
      </c>
      <c r="AY194" s="143" t="str">
        <f t="shared" si="42"/>
        <v/>
      </c>
      <c r="AZ194" s="143" t="str">
        <f t="shared" si="42"/>
        <v/>
      </c>
      <c r="BA194" s="143" t="str">
        <f t="shared" si="42"/>
        <v/>
      </c>
      <c r="BB194" s="143" t="str">
        <f t="shared" si="42"/>
        <v/>
      </c>
      <c r="BC194" s="143" t="str">
        <f t="shared" si="42"/>
        <v/>
      </c>
      <c r="BD194" s="143" t="str">
        <f t="shared" si="42"/>
        <v/>
      </c>
      <c r="BF194" s="9">
        <f t="shared" si="38"/>
        <v>1.3321641015403937E-6</v>
      </c>
      <c r="BG194" s="9">
        <f t="shared" si="33"/>
        <v>0.99827996649826911</v>
      </c>
    </row>
    <row r="195" spans="2:59" x14ac:dyDescent="0.35">
      <c r="B195" s="3" t="s">
        <v>298</v>
      </c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30"/>
        <v>0</v>
      </c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31"/>
        <v>0</v>
      </c>
      <c r="AF195" s="2" t="str">
        <f t="shared" si="37"/>
        <v/>
      </c>
      <c r="AG195" s="2" t="str">
        <f t="shared" si="37"/>
        <v/>
      </c>
      <c r="AH195" s="2" t="str">
        <f t="shared" si="37"/>
        <v/>
      </c>
      <c r="AI195" s="2" t="str">
        <f t="shared" si="37"/>
        <v/>
      </c>
      <c r="AJ195" s="2" t="str">
        <f t="shared" si="36"/>
        <v/>
      </c>
      <c r="AK195" s="2" t="str">
        <f t="shared" si="36"/>
        <v/>
      </c>
      <c r="AL195" s="2" t="str">
        <f t="shared" si="36"/>
        <v/>
      </c>
      <c r="AM195" s="2" t="str">
        <f t="shared" si="36"/>
        <v/>
      </c>
      <c r="AN195" s="2" t="str">
        <f t="shared" si="34"/>
        <v/>
      </c>
      <c r="AO195" s="2" t="str">
        <f t="shared" si="34"/>
        <v/>
      </c>
      <c r="AP195" s="2" t="str">
        <f t="shared" si="34"/>
        <v/>
      </c>
      <c r="AQ195" s="2" t="str">
        <f t="shared" si="34"/>
        <v/>
      </c>
      <c r="AR195" s="2" t="str">
        <f t="shared" si="41"/>
        <v/>
      </c>
      <c r="AT195" s="143" t="str">
        <f t="shared" si="39"/>
        <v/>
      </c>
      <c r="AU195" s="143" t="str">
        <f t="shared" si="40"/>
        <v/>
      </c>
      <c r="AV195" s="143" t="str">
        <f t="shared" si="40"/>
        <v/>
      </c>
      <c r="AW195" s="143" t="str">
        <f t="shared" si="43"/>
        <v/>
      </c>
      <c r="AX195" s="143" t="str">
        <f t="shared" si="43"/>
        <v/>
      </c>
      <c r="AY195" s="143" t="str">
        <f t="shared" si="42"/>
        <v/>
      </c>
      <c r="AZ195" s="143" t="str">
        <f t="shared" si="42"/>
        <v/>
      </c>
      <c r="BA195" s="143" t="str">
        <f t="shared" si="42"/>
        <v/>
      </c>
      <c r="BB195" s="143" t="str">
        <f t="shared" si="42"/>
        <v/>
      </c>
      <c r="BC195" s="143" t="str">
        <f t="shared" si="42"/>
        <v/>
      </c>
      <c r="BD195" s="143" t="str">
        <f t="shared" si="42"/>
        <v/>
      </c>
      <c r="BF195" s="9">
        <f t="shared" si="38"/>
        <v>0</v>
      </c>
      <c r="BG195" s="9">
        <f t="shared" si="33"/>
        <v>0.99827996649826911</v>
      </c>
    </row>
    <row r="196" spans="2:59" x14ac:dyDescent="0.35">
      <c r="B196" s="3" t="s">
        <v>299</v>
      </c>
      <c r="D196" s="141">
        <v>254</v>
      </c>
      <c r="E196" s="141"/>
      <c r="F196" s="141">
        <v>2430</v>
      </c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55" si="44">+SUM(D196:O196)</f>
        <v>2684</v>
      </c>
      <c r="R196" s="141">
        <v>114</v>
      </c>
      <c r="S196" s="141"/>
      <c r="T196" s="141">
        <v>2405</v>
      </c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>
        <f t="shared" ref="AD196:AD255" si="45">+SUM(R196:AC196)</f>
        <v>2519</v>
      </c>
      <c r="AF196" s="2">
        <f t="shared" si="37"/>
        <v>0.44881889763779526</v>
      </c>
      <c r="AG196" s="2" t="str">
        <f t="shared" si="37"/>
        <v/>
      </c>
      <c r="AH196" s="2">
        <f t="shared" si="37"/>
        <v>0.98971193415637859</v>
      </c>
      <c r="AI196" s="2" t="str">
        <f t="shared" si="37"/>
        <v/>
      </c>
      <c r="AJ196" s="2" t="str">
        <f t="shared" si="36"/>
        <v/>
      </c>
      <c r="AK196" s="2" t="str">
        <f t="shared" si="36"/>
        <v/>
      </c>
      <c r="AL196" s="2" t="str">
        <f t="shared" si="36"/>
        <v/>
      </c>
      <c r="AM196" s="2" t="str">
        <f t="shared" si="36"/>
        <v/>
      </c>
      <c r="AN196" s="2" t="str">
        <f t="shared" si="34"/>
        <v/>
      </c>
      <c r="AO196" s="2" t="str">
        <f t="shared" si="34"/>
        <v/>
      </c>
      <c r="AP196" s="2" t="str">
        <f t="shared" si="34"/>
        <v/>
      </c>
      <c r="AQ196" s="2" t="str">
        <f t="shared" si="34"/>
        <v/>
      </c>
      <c r="AR196" s="2">
        <f t="shared" si="41"/>
        <v>0.93852459016393441</v>
      </c>
      <c r="AT196" s="143" t="str">
        <f t="shared" si="39"/>
        <v/>
      </c>
      <c r="AU196" s="143" t="str">
        <f t="shared" si="40"/>
        <v/>
      </c>
      <c r="AV196" s="143" t="str">
        <f t="shared" si="40"/>
        <v/>
      </c>
      <c r="AW196" s="143" t="str">
        <f t="shared" si="43"/>
        <v/>
      </c>
      <c r="AX196" s="143" t="str">
        <f t="shared" si="43"/>
        <v/>
      </c>
      <c r="AY196" s="143" t="str">
        <f t="shared" si="42"/>
        <v/>
      </c>
      <c r="AZ196" s="143" t="str">
        <f t="shared" si="42"/>
        <v/>
      </c>
      <c r="BA196" s="143" t="str">
        <f t="shared" si="42"/>
        <v/>
      </c>
      <c r="BB196" s="143" t="str">
        <f t="shared" si="42"/>
        <v/>
      </c>
      <c r="BC196" s="143" t="str">
        <f t="shared" si="42"/>
        <v/>
      </c>
      <c r="BD196" s="143" t="str">
        <f t="shared" si="42"/>
        <v/>
      </c>
      <c r="BF196" s="9">
        <f t="shared" ref="BF196:BF255" si="46">+AD196/$AD$256</f>
        <v>4.1582668795294323E-6</v>
      </c>
      <c r="BG196" s="9">
        <f t="shared" si="33"/>
        <v>0.99828412476514861</v>
      </c>
    </row>
    <row r="197" spans="2:59" x14ac:dyDescent="0.35">
      <c r="B197" s="3" t="s">
        <v>283</v>
      </c>
      <c r="D197" s="141">
        <v>11917</v>
      </c>
      <c r="E197" s="141">
        <v>16643</v>
      </c>
      <c r="F197" s="141">
        <v>39554</v>
      </c>
      <c r="G197" s="141"/>
      <c r="H197" s="141"/>
      <c r="I197" s="141"/>
      <c r="J197" s="141"/>
      <c r="K197" s="141"/>
      <c r="L197" s="141"/>
      <c r="M197" s="141"/>
      <c r="N197" s="141"/>
      <c r="O197" s="141"/>
      <c r="P197" s="141">
        <f t="shared" si="44"/>
        <v>68114</v>
      </c>
      <c r="R197" s="141">
        <v>11917</v>
      </c>
      <c r="S197" s="141">
        <v>14512</v>
      </c>
      <c r="T197" s="141">
        <v>25185</v>
      </c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>
        <f t="shared" si="45"/>
        <v>51614</v>
      </c>
      <c r="AF197" s="2">
        <f t="shared" si="37"/>
        <v>1</v>
      </c>
      <c r="AG197" s="2">
        <f t="shared" si="37"/>
        <v>0.87195818061647534</v>
      </c>
      <c r="AH197" s="2">
        <f t="shared" si="37"/>
        <v>0.6367244779289073</v>
      </c>
      <c r="AI197" s="2" t="str">
        <f t="shared" si="37"/>
        <v/>
      </c>
      <c r="AJ197" s="2" t="str">
        <f t="shared" si="36"/>
        <v/>
      </c>
      <c r="AK197" s="2" t="str">
        <f t="shared" si="36"/>
        <v/>
      </c>
      <c r="AL197" s="2" t="str">
        <f t="shared" si="36"/>
        <v/>
      </c>
      <c r="AM197" s="2" t="str">
        <f t="shared" si="36"/>
        <v/>
      </c>
      <c r="AN197" s="2" t="str">
        <f t="shared" si="34"/>
        <v/>
      </c>
      <c r="AO197" s="2" t="str">
        <f t="shared" si="34"/>
        <v/>
      </c>
      <c r="AP197" s="2" t="str">
        <f t="shared" si="34"/>
        <v/>
      </c>
      <c r="AQ197" s="2" t="str">
        <f t="shared" si="34"/>
        <v/>
      </c>
      <c r="AR197" s="2">
        <f t="shared" si="41"/>
        <v>0.75775905100273067</v>
      </c>
      <c r="AT197" s="143">
        <f t="shared" si="39"/>
        <v>-0.12804181938352466</v>
      </c>
      <c r="AU197" s="143">
        <f t="shared" si="40"/>
        <v>-0.23523370268756805</v>
      </c>
      <c r="AV197" s="143" t="str">
        <f t="shared" si="40"/>
        <v/>
      </c>
      <c r="AW197" s="143" t="str">
        <f t="shared" si="43"/>
        <v/>
      </c>
      <c r="AX197" s="143" t="str">
        <f t="shared" si="43"/>
        <v/>
      </c>
      <c r="AY197" s="143" t="str">
        <f t="shared" si="42"/>
        <v/>
      </c>
      <c r="AZ197" s="143" t="str">
        <f t="shared" si="42"/>
        <v/>
      </c>
      <c r="BA197" s="143" t="str">
        <f t="shared" si="42"/>
        <v/>
      </c>
      <c r="BB197" s="143" t="str">
        <f t="shared" si="42"/>
        <v/>
      </c>
      <c r="BC197" s="143" t="str">
        <f t="shared" si="42"/>
        <v/>
      </c>
      <c r="BD197" s="143" t="str">
        <f t="shared" si="42"/>
        <v/>
      </c>
      <c r="BF197" s="9">
        <f t="shared" si="46"/>
        <v>8.5202376625657841E-5</v>
      </c>
      <c r="BG197" s="9">
        <f t="shared" si="33"/>
        <v>0.99836932714177429</v>
      </c>
    </row>
    <row r="198" spans="2:59" x14ac:dyDescent="0.35">
      <c r="B198" s="3" t="s">
        <v>248</v>
      </c>
      <c r="D198" s="141">
        <v>230</v>
      </c>
      <c r="E198" s="141">
        <v>13300</v>
      </c>
      <c r="F198" s="141">
        <v>301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44"/>
        <v>13831</v>
      </c>
      <c r="R198" s="141">
        <v>230</v>
      </c>
      <c r="S198" s="141">
        <v>13300</v>
      </c>
      <c r="T198" s="141">
        <v>301</v>
      </c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45"/>
        <v>13831</v>
      </c>
      <c r="AF198" s="2">
        <f t="shared" si="37"/>
        <v>1</v>
      </c>
      <c r="AG198" s="2">
        <f t="shared" si="37"/>
        <v>1</v>
      </c>
      <c r="AH198" s="2">
        <f t="shared" si="37"/>
        <v>1</v>
      </c>
      <c r="AI198" s="2" t="str">
        <f t="shared" si="37"/>
        <v/>
      </c>
      <c r="AJ198" s="2" t="str">
        <f t="shared" si="36"/>
        <v/>
      </c>
      <c r="AK198" s="2" t="str">
        <f t="shared" si="36"/>
        <v/>
      </c>
      <c r="AL198" s="2" t="str">
        <f t="shared" si="36"/>
        <v/>
      </c>
      <c r="AM198" s="2" t="str">
        <f t="shared" si="36"/>
        <v/>
      </c>
      <c r="AN198" s="2" t="str">
        <f t="shared" si="34"/>
        <v/>
      </c>
      <c r="AO198" s="2" t="str">
        <f t="shared" si="34"/>
        <v/>
      </c>
      <c r="AP198" s="2" t="str">
        <f t="shared" si="34"/>
        <v/>
      </c>
      <c r="AQ198" s="2" t="str">
        <f t="shared" si="34"/>
        <v/>
      </c>
      <c r="AR198" s="2">
        <f t="shared" si="41"/>
        <v>1</v>
      </c>
      <c r="AT198" s="143">
        <f t="shared" si="39"/>
        <v>0</v>
      </c>
      <c r="AU198" s="143">
        <f t="shared" si="40"/>
        <v>0</v>
      </c>
      <c r="AV198" s="143" t="str">
        <f t="shared" si="40"/>
        <v/>
      </c>
      <c r="AW198" s="143" t="str">
        <f t="shared" si="43"/>
        <v/>
      </c>
      <c r="AX198" s="143" t="str">
        <f t="shared" si="43"/>
        <v/>
      </c>
      <c r="AY198" s="143" t="str">
        <f t="shared" si="42"/>
        <v/>
      </c>
      <c r="AZ198" s="143" t="str">
        <f t="shared" si="42"/>
        <v/>
      </c>
      <c r="BA198" s="143" t="str">
        <f t="shared" si="42"/>
        <v/>
      </c>
      <c r="BB198" s="143" t="str">
        <f t="shared" si="42"/>
        <v/>
      </c>
      <c r="BC198" s="143" t="str">
        <f t="shared" si="42"/>
        <v/>
      </c>
      <c r="BD198" s="143" t="str">
        <f t="shared" si="42"/>
        <v/>
      </c>
      <c r="BF198" s="9">
        <f t="shared" si="46"/>
        <v>2.2831674954653266E-5</v>
      </c>
      <c r="BG198" s="9">
        <f t="shared" ref="BG198:BG255" si="47">+BF198+BG197</f>
        <v>0.99839215881672894</v>
      </c>
    </row>
    <row r="199" spans="2:59" x14ac:dyDescent="0.35">
      <c r="B199" s="3" t="s">
        <v>259</v>
      </c>
      <c r="D199" s="141">
        <v>2775</v>
      </c>
      <c r="E199" s="141">
        <v>2343</v>
      </c>
      <c r="F199" s="141">
        <v>4065</v>
      </c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44"/>
        <v>9183</v>
      </c>
      <c r="R199" s="141">
        <v>2775</v>
      </c>
      <c r="S199" s="141">
        <v>2343</v>
      </c>
      <c r="T199" s="141">
        <v>4065</v>
      </c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45"/>
        <v>9183</v>
      </c>
      <c r="AF199" s="2">
        <f t="shared" si="37"/>
        <v>1</v>
      </c>
      <c r="AG199" s="2">
        <f t="shared" si="37"/>
        <v>1</v>
      </c>
      <c r="AH199" s="2">
        <f t="shared" si="37"/>
        <v>1</v>
      </c>
      <c r="AI199" s="2" t="str">
        <f t="shared" si="37"/>
        <v/>
      </c>
      <c r="AJ199" s="2" t="str">
        <f t="shared" si="36"/>
        <v/>
      </c>
      <c r="AK199" s="2" t="str">
        <f t="shared" si="36"/>
        <v/>
      </c>
      <c r="AL199" s="2" t="str">
        <f t="shared" si="36"/>
        <v/>
      </c>
      <c r="AM199" s="2" t="str">
        <f t="shared" si="36"/>
        <v/>
      </c>
      <c r="AN199" s="2" t="str">
        <f t="shared" si="34"/>
        <v/>
      </c>
      <c r="AO199" s="2" t="str">
        <f t="shared" si="34"/>
        <v/>
      </c>
      <c r="AP199" s="2" t="str">
        <f t="shared" si="34"/>
        <v/>
      </c>
      <c r="AQ199" s="2" t="str">
        <f t="shared" si="34"/>
        <v/>
      </c>
      <c r="AR199" s="2">
        <f t="shared" si="41"/>
        <v>1</v>
      </c>
      <c r="AT199" s="143">
        <f t="shared" si="39"/>
        <v>0</v>
      </c>
      <c r="AU199" s="143">
        <f t="shared" si="40"/>
        <v>0</v>
      </c>
      <c r="AV199" s="143" t="str">
        <f t="shared" si="40"/>
        <v/>
      </c>
      <c r="AW199" s="143" t="str">
        <f t="shared" si="43"/>
        <v/>
      </c>
      <c r="AX199" s="143" t="str">
        <f t="shared" si="43"/>
        <v/>
      </c>
      <c r="AY199" s="143" t="str">
        <f t="shared" si="42"/>
        <v/>
      </c>
      <c r="AZ199" s="143" t="str">
        <f t="shared" si="42"/>
        <v/>
      </c>
      <c r="BA199" s="143" t="str">
        <f t="shared" si="42"/>
        <v/>
      </c>
      <c r="BB199" s="143" t="str">
        <f t="shared" si="42"/>
        <v/>
      </c>
      <c r="BC199" s="143" t="str">
        <f t="shared" si="42"/>
        <v/>
      </c>
      <c r="BD199" s="143" t="str">
        <f t="shared" si="42"/>
        <v/>
      </c>
      <c r="BF199" s="9">
        <f t="shared" si="46"/>
        <v>1.5158937973290502E-5</v>
      </c>
      <c r="BG199" s="9">
        <f t="shared" si="47"/>
        <v>0.99840731775470226</v>
      </c>
    </row>
    <row r="200" spans="2:59" x14ac:dyDescent="0.35">
      <c r="B200" s="3" t="s">
        <v>282</v>
      </c>
      <c r="D200" s="141">
        <v>19355</v>
      </c>
      <c r="E200" s="141">
        <v>19806</v>
      </c>
      <c r="F200" s="141">
        <v>27492</v>
      </c>
      <c r="G200" s="141">
        <v>3745</v>
      </c>
      <c r="H200" s="141"/>
      <c r="I200" s="141"/>
      <c r="J200" s="141"/>
      <c r="K200" s="141"/>
      <c r="L200" s="141"/>
      <c r="M200" s="141"/>
      <c r="N200" s="141"/>
      <c r="O200" s="141"/>
      <c r="P200" s="141">
        <f t="shared" si="44"/>
        <v>70398</v>
      </c>
      <c r="R200" s="141">
        <v>14707</v>
      </c>
      <c r="S200" s="141">
        <v>15832</v>
      </c>
      <c r="T200" s="141">
        <v>19677</v>
      </c>
      <c r="U200" s="141">
        <v>3234</v>
      </c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45"/>
        <v>53450</v>
      </c>
      <c r="AF200" s="2">
        <f t="shared" si="37"/>
        <v>0.75985533453887888</v>
      </c>
      <c r="AG200" s="2">
        <f t="shared" si="37"/>
        <v>0.79935373119256792</v>
      </c>
      <c r="AH200" s="2">
        <f t="shared" si="37"/>
        <v>0.71573548668703624</v>
      </c>
      <c r="AI200" s="2">
        <f t="shared" si="37"/>
        <v>0.86355140186915891</v>
      </c>
      <c r="AJ200" s="2" t="str">
        <f t="shared" si="36"/>
        <v/>
      </c>
      <c r="AK200" s="2" t="str">
        <f t="shared" si="36"/>
        <v/>
      </c>
      <c r="AL200" s="2" t="str">
        <f t="shared" si="36"/>
        <v/>
      </c>
      <c r="AM200" s="2" t="str">
        <f t="shared" si="36"/>
        <v/>
      </c>
      <c r="AN200" s="2" t="str">
        <f t="shared" si="34"/>
        <v/>
      </c>
      <c r="AO200" s="2" t="str">
        <f t="shared" si="34"/>
        <v/>
      </c>
      <c r="AP200" s="2" t="str">
        <f t="shared" si="34"/>
        <v/>
      </c>
      <c r="AQ200" s="2" t="str">
        <f t="shared" si="34"/>
        <v/>
      </c>
      <c r="AR200" s="2">
        <f t="shared" si="41"/>
        <v>0.75925452427625784</v>
      </c>
      <c r="AT200" s="143">
        <f t="shared" si="39"/>
        <v>3.9498396653689039E-2</v>
      </c>
      <c r="AU200" s="143">
        <f t="shared" si="40"/>
        <v>-8.361824450553168E-2</v>
      </c>
      <c r="AV200" s="143">
        <f t="shared" si="40"/>
        <v>0.14781591518212267</v>
      </c>
      <c r="AW200" s="143" t="str">
        <f t="shared" si="43"/>
        <v/>
      </c>
      <c r="AX200" s="143" t="str">
        <f t="shared" si="43"/>
        <v/>
      </c>
      <c r="AY200" s="143" t="str">
        <f t="shared" si="42"/>
        <v/>
      </c>
      <c r="AZ200" s="143" t="str">
        <f t="shared" si="42"/>
        <v/>
      </c>
      <c r="BA200" s="143" t="str">
        <f t="shared" si="42"/>
        <v/>
      </c>
      <c r="BB200" s="143" t="str">
        <f t="shared" si="42"/>
        <v/>
      </c>
      <c r="BC200" s="143" t="str">
        <f t="shared" si="42"/>
        <v/>
      </c>
      <c r="BD200" s="143" t="str">
        <f t="shared" si="42"/>
        <v/>
      </c>
      <c r="BF200" s="9">
        <f t="shared" si="46"/>
        <v>8.823317376373488E-5</v>
      </c>
      <c r="BG200" s="9">
        <f t="shared" si="47"/>
        <v>0.99849555092846598</v>
      </c>
    </row>
    <row r="201" spans="2:59" x14ac:dyDescent="0.35">
      <c r="B201" s="3" t="s">
        <v>300</v>
      </c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>
        <f t="shared" si="44"/>
        <v>0</v>
      </c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45"/>
        <v>0</v>
      </c>
      <c r="AF201" s="2" t="str">
        <f t="shared" si="37"/>
        <v/>
      </c>
      <c r="AG201" s="2" t="str">
        <f t="shared" si="37"/>
        <v/>
      </c>
      <c r="AH201" s="2" t="str">
        <f t="shared" si="37"/>
        <v/>
      </c>
      <c r="AI201" s="2" t="str">
        <f t="shared" si="37"/>
        <v/>
      </c>
      <c r="AJ201" s="2" t="str">
        <f t="shared" si="36"/>
        <v/>
      </c>
      <c r="AK201" s="2" t="str">
        <f t="shared" si="36"/>
        <v/>
      </c>
      <c r="AL201" s="2" t="str">
        <f t="shared" si="36"/>
        <v/>
      </c>
      <c r="AM201" s="2" t="str">
        <f t="shared" si="36"/>
        <v/>
      </c>
      <c r="AN201" s="2" t="str">
        <f t="shared" si="34"/>
        <v/>
      </c>
      <c r="AO201" s="2" t="str">
        <f t="shared" si="34"/>
        <v/>
      </c>
      <c r="AP201" s="2" t="str">
        <f t="shared" si="34"/>
        <v/>
      </c>
      <c r="AQ201" s="2" t="str">
        <f t="shared" si="34"/>
        <v/>
      </c>
      <c r="AR201" s="2" t="str">
        <f t="shared" si="41"/>
        <v/>
      </c>
      <c r="AT201" s="143" t="str">
        <f t="shared" si="39"/>
        <v/>
      </c>
      <c r="AU201" s="143" t="str">
        <f t="shared" si="40"/>
        <v/>
      </c>
      <c r="AV201" s="143" t="str">
        <f t="shared" si="40"/>
        <v/>
      </c>
      <c r="AW201" s="143" t="str">
        <f t="shared" si="43"/>
        <v/>
      </c>
      <c r="AX201" s="143" t="str">
        <f t="shared" si="43"/>
        <v/>
      </c>
      <c r="AY201" s="143" t="str">
        <f t="shared" si="42"/>
        <v/>
      </c>
      <c r="AZ201" s="143" t="str">
        <f t="shared" si="42"/>
        <v/>
      </c>
      <c r="BA201" s="143" t="str">
        <f t="shared" si="42"/>
        <v/>
      </c>
      <c r="BB201" s="143" t="str">
        <f t="shared" si="42"/>
        <v/>
      </c>
      <c r="BC201" s="143" t="str">
        <f t="shared" si="42"/>
        <v/>
      </c>
      <c r="BD201" s="143" t="str">
        <f t="shared" si="42"/>
        <v/>
      </c>
      <c r="BF201" s="9">
        <f t="shared" si="46"/>
        <v>0</v>
      </c>
      <c r="BG201" s="9">
        <f t="shared" si="47"/>
        <v>0.99849555092846598</v>
      </c>
    </row>
    <row r="202" spans="2:59" x14ac:dyDescent="0.35">
      <c r="B202" s="3" t="s">
        <v>256</v>
      </c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>
        <f t="shared" si="44"/>
        <v>0</v>
      </c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45"/>
        <v>0</v>
      </c>
      <c r="AF202" s="2" t="str">
        <f t="shared" si="37"/>
        <v/>
      </c>
      <c r="AG202" s="2" t="str">
        <f t="shared" si="37"/>
        <v/>
      </c>
      <c r="AH202" s="2" t="str">
        <f t="shared" si="37"/>
        <v/>
      </c>
      <c r="AI202" s="2" t="str">
        <f t="shared" si="37"/>
        <v/>
      </c>
      <c r="AJ202" s="2" t="str">
        <f t="shared" si="36"/>
        <v/>
      </c>
      <c r="AK202" s="2" t="str">
        <f t="shared" si="36"/>
        <v/>
      </c>
      <c r="AL202" s="2" t="str">
        <f t="shared" si="36"/>
        <v/>
      </c>
      <c r="AM202" s="2" t="str">
        <f t="shared" si="36"/>
        <v/>
      </c>
      <c r="AN202" s="2" t="str">
        <f t="shared" si="34"/>
        <v/>
      </c>
      <c r="AO202" s="2" t="str">
        <f t="shared" si="34"/>
        <v/>
      </c>
      <c r="AP202" s="2" t="str">
        <f t="shared" si="34"/>
        <v/>
      </c>
      <c r="AQ202" s="2" t="str">
        <f t="shared" si="34"/>
        <v/>
      </c>
      <c r="AR202" s="2" t="str">
        <f t="shared" si="41"/>
        <v/>
      </c>
      <c r="AT202" s="143" t="str">
        <f t="shared" si="39"/>
        <v/>
      </c>
      <c r="AU202" s="143" t="str">
        <f t="shared" si="40"/>
        <v/>
      </c>
      <c r="AV202" s="143" t="str">
        <f t="shared" si="40"/>
        <v/>
      </c>
      <c r="AW202" s="143" t="str">
        <f t="shared" si="43"/>
        <v/>
      </c>
      <c r="AX202" s="143" t="str">
        <f t="shared" si="43"/>
        <v/>
      </c>
      <c r="AY202" s="143" t="str">
        <f t="shared" si="42"/>
        <v/>
      </c>
      <c r="AZ202" s="143" t="str">
        <f t="shared" si="42"/>
        <v/>
      </c>
      <c r="BA202" s="143" t="str">
        <f t="shared" si="42"/>
        <v/>
      </c>
      <c r="BB202" s="143" t="str">
        <f t="shared" si="42"/>
        <v/>
      </c>
      <c r="BC202" s="143" t="str">
        <f t="shared" si="42"/>
        <v/>
      </c>
      <c r="BD202" s="143" t="str">
        <f t="shared" si="42"/>
        <v/>
      </c>
      <c r="BF202" s="9">
        <f t="shared" si="46"/>
        <v>0</v>
      </c>
      <c r="BG202" s="9">
        <f t="shared" si="47"/>
        <v>0.99849555092846598</v>
      </c>
    </row>
    <row r="203" spans="2:59" x14ac:dyDescent="0.35">
      <c r="B203" s="3" t="s">
        <v>301</v>
      </c>
      <c r="D203" s="141">
        <v>742</v>
      </c>
      <c r="E203" s="141"/>
      <c r="F203" s="141">
        <v>724</v>
      </c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44"/>
        <v>1466</v>
      </c>
      <c r="R203" s="141">
        <v>555</v>
      </c>
      <c r="S203" s="141"/>
      <c r="T203" s="141">
        <v>502</v>
      </c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45"/>
        <v>1057</v>
      </c>
      <c r="AF203" s="2">
        <f t="shared" si="37"/>
        <v>0.74797843665768193</v>
      </c>
      <c r="AG203" s="2" t="str">
        <f t="shared" si="37"/>
        <v/>
      </c>
      <c r="AH203" s="2">
        <f t="shared" si="37"/>
        <v>0.6933701657458563</v>
      </c>
      <c r="AI203" s="2" t="str">
        <f t="shared" si="37"/>
        <v/>
      </c>
      <c r="AJ203" s="2" t="str">
        <f t="shared" si="36"/>
        <v/>
      </c>
      <c r="AK203" s="2" t="str">
        <f t="shared" si="36"/>
        <v/>
      </c>
      <c r="AL203" s="2" t="str">
        <f t="shared" si="36"/>
        <v/>
      </c>
      <c r="AM203" s="2" t="str">
        <f t="shared" si="36"/>
        <v/>
      </c>
      <c r="AN203" s="2" t="str">
        <f t="shared" si="34"/>
        <v/>
      </c>
      <c r="AO203" s="2" t="str">
        <f t="shared" si="34"/>
        <v/>
      </c>
      <c r="AP203" s="2" t="str">
        <f t="shared" si="34"/>
        <v/>
      </c>
      <c r="AQ203" s="2" t="str">
        <f t="shared" si="34"/>
        <v/>
      </c>
      <c r="AR203" s="2">
        <f t="shared" si="41"/>
        <v>0.72100954979536158</v>
      </c>
      <c r="AT203" s="143" t="str">
        <f t="shared" si="39"/>
        <v/>
      </c>
      <c r="AU203" s="143" t="str">
        <f t="shared" si="40"/>
        <v/>
      </c>
      <c r="AV203" s="143" t="str">
        <f t="shared" si="40"/>
        <v/>
      </c>
      <c r="AW203" s="143" t="str">
        <f t="shared" si="43"/>
        <v/>
      </c>
      <c r="AX203" s="143" t="str">
        <f t="shared" si="43"/>
        <v/>
      </c>
      <c r="AY203" s="143" t="str">
        <f t="shared" si="42"/>
        <v/>
      </c>
      <c r="AZ203" s="143" t="str">
        <f t="shared" si="42"/>
        <v/>
      </c>
      <c r="BA203" s="143" t="str">
        <f t="shared" si="42"/>
        <v/>
      </c>
      <c r="BB203" s="143" t="str">
        <f t="shared" si="42"/>
        <v/>
      </c>
      <c r="BC203" s="143" t="str">
        <f t="shared" si="42"/>
        <v/>
      </c>
      <c r="BD203" s="143" t="str">
        <f t="shared" si="42"/>
        <v/>
      </c>
      <c r="BF203" s="9">
        <f t="shared" si="46"/>
        <v>1.7448543436532791E-6</v>
      </c>
      <c r="BG203" s="9">
        <f t="shared" si="47"/>
        <v>0.99849729578280966</v>
      </c>
    </row>
    <row r="204" spans="2:59" x14ac:dyDescent="0.35">
      <c r="B204" s="3" t="s">
        <v>251</v>
      </c>
      <c r="D204" s="141">
        <v>112434</v>
      </c>
      <c r="E204" s="141">
        <v>135492</v>
      </c>
      <c r="F204" s="141">
        <v>204320</v>
      </c>
      <c r="G204" s="141">
        <v>28220</v>
      </c>
      <c r="H204" s="141"/>
      <c r="I204" s="141"/>
      <c r="J204" s="141"/>
      <c r="K204" s="141"/>
      <c r="L204" s="141"/>
      <c r="M204" s="141"/>
      <c r="N204" s="141"/>
      <c r="O204" s="141"/>
      <c r="P204" s="141">
        <f t="shared" si="44"/>
        <v>480466</v>
      </c>
      <c r="R204" s="141">
        <v>75461</v>
      </c>
      <c r="S204" s="141">
        <v>94166</v>
      </c>
      <c r="T204" s="141">
        <v>144332</v>
      </c>
      <c r="U204" s="141">
        <v>21530</v>
      </c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45"/>
        <v>335489</v>
      </c>
      <c r="AF204" s="2">
        <f t="shared" si="37"/>
        <v>0.67115819058291981</v>
      </c>
      <c r="AG204" s="2">
        <f t="shared" si="37"/>
        <v>0.69499306232102265</v>
      </c>
      <c r="AH204" s="2">
        <f t="shared" si="37"/>
        <v>0.7064017227877839</v>
      </c>
      <c r="AI204" s="2">
        <f t="shared" si="37"/>
        <v>0.76293408929836992</v>
      </c>
      <c r="AJ204" s="2" t="str">
        <f t="shared" si="36"/>
        <v/>
      </c>
      <c r="AK204" s="2" t="str">
        <f t="shared" si="36"/>
        <v/>
      </c>
      <c r="AL204" s="2" t="str">
        <f t="shared" si="36"/>
        <v/>
      </c>
      <c r="AM204" s="2" t="str">
        <f t="shared" si="36"/>
        <v/>
      </c>
      <c r="AN204" s="2" t="str">
        <f t="shared" si="34"/>
        <v/>
      </c>
      <c r="AO204" s="2" t="str">
        <f t="shared" si="34"/>
        <v/>
      </c>
      <c r="AP204" s="2" t="str">
        <f t="shared" si="34"/>
        <v/>
      </c>
      <c r="AQ204" s="2" t="str">
        <f t="shared" si="34"/>
        <v/>
      </c>
      <c r="AR204" s="2">
        <f t="shared" si="41"/>
        <v>0.69825752498615923</v>
      </c>
      <c r="AT204" s="143">
        <f t="shared" si="39"/>
        <v>2.3834871738102836E-2</v>
      </c>
      <c r="AU204" s="143">
        <f t="shared" si="40"/>
        <v>1.1408660466761256E-2</v>
      </c>
      <c r="AV204" s="143">
        <f t="shared" si="40"/>
        <v>5.6532366510586018E-2</v>
      </c>
      <c r="AW204" s="143" t="str">
        <f t="shared" si="43"/>
        <v/>
      </c>
      <c r="AX204" s="143" t="str">
        <f t="shared" si="43"/>
        <v/>
      </c>
      <c r="AY204" s="143" t="str">
        <f t="shared" si="42"/>
        <v/>
      </c>
      <c r="AZ204" s="143" t="str">
        <f t="shared" si="42"/>
        <v/>
      </c>
      <c r="BA204" s="143" t="str">
        <f t="shared" si="42"/>
        <v/>
      </c>
      <c r="BB204" s="143" t="str">
        <f t="shared" si="42"/>
        <v/>
      </c>
      <c r="BC204" s="143" t="str">
        <f t="shared" si="42"/>
        <v/>
      </c>
      <c r="BD204" s="143" t="str">
        <f t="shared" si="42"/>
        <v/>
      </c>
      <c r="BF204" s="9">
        <f t="shared" si="46"/>
        <v>5.5381214654483908E-4</v>
      </c>
      <c r="BG204" s="9">
        <f t="shared" si="47"/>
        <v>0.99905110792935448</v>
      </c>
    </row>
    <row r="205" spans="2:59" x14ac:dyDescent="0.35">
      <c r="B205" s="3" t="s">
        <v>278</v>
      </c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44"/>
        <v>0</v>
      </c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45"/>
        <v>0</v>
      </c>
      <c r="AF205" s="2" t="str">
        <f t="shared" si="37"/>
        <v/>
      </c>
      <c r="AG205" s="2" t="str">
        <f t="shared" si="37"/>
        <v/>
      </c>
      <c r="AH205" s="2" t="str">
        <f t="shared" si="37"/>
        <v/>
      </c>
      <c r="AI205" s="2" t="str">
        <f t="shared" si="37"/>
        <v/>
      </c>
      <c r="AJ205" s="2" t="str">
        <f t="shared" si="36"/>
        <v/>
      </c>
      <c r="AK205" s="2" t="str">
        <f t="shared" si="36"/>
        <v/>
      </c>
      <c r="AL205" s="2" t="str">
        <f t="shared" si="36"/>
        <v/>
      </c>
      <c r="AM205" s="2" t="str">
        <f t="shared" si="36"/>
        <v/>
      </c>
      <c r="AN205" s="2" t="str">
        <f t="shared" si="36"/>
        <v/>
      </c>
      <c r="AO205" s="2" t="str">
        <f t="shared" si="36"/>
        <v/>
      </c>
      <c r="AP205" s="2" t="str">
        <f t="shared" si="36"/>
        <v/>
      </c>
      <c r="AQ205" s="2" t="str">
        <f t="shared" si="36"/>
        <v/>
      </c>
      <c r="AR205" s="2" t="str">
        <f t="shared" si="41"/>
        <v/>
      </c>
      <c r="AT205" s="143" t="str">
        <f t="shared" si="39"/>
        <v/>
      </c>
      <c r="AU205" s="143" t="str">
        <f t="shared" si="40"/>
        <v/>
      </c>
      <c r="AV205" s="143" t="str">
        <f t="shared" si="40"/>
        <v/>
      </c>
      <c r="AW205" s="143" t="str">
        <f t="shared" si="43"/>
        <v/>
      </c>
      <c r="AX205" s="143" t="str">
        <f t="shared" si="43"/>
        <v/>
      </c>
      <c r="AY205" s="143" t="str">
        <f t="shared" si="42"/>
        <v/>
      </c>
      <c r="AZ205" s="143" t="str">
        <f t="shared" si="42"/>
        <v/>
      </c>
      <c r="BA205" s="143" t="str">
        <f t="shared" si="42"/>
        <v/>
      </c>
      <c r="BB205" s="143" t="str">
        <f t="shared" si="42"/>
        <v/>
      </c>
      <c r="BC205" s="143" t="str">
        <f t="shared" si="42"/>
        <v/>
      </c>
      <c r="BD205" s="143" t="str">
        <f t="shared" si="42"/>
        <v/>
      </c>
      <c r="BF205" s="9">
        <f t="shared" si="46"/>
        <v>0</v>
      </c>
      <c r="BG205" s="9">
        <f t="shared" si="47"/>
        <v>0.99905110792935448</v>
      </c>
    </row>
    <row r="206" spans="2:59" x14ac:dyDescent="0.35">
      <c r="B206" s="3" t="s">
        <v>260</v>
      </c>
      <c r="D206" s="141">
        <v>15</v>
      </c>
      <c r="E206" s="141"/>
      <c r="F206" s="141">
        <v>45</v>
      </c>
      <c r="G206" s="141"/>
      <c r="H206" s="141"/>
      <c r="I206" s="141"/>
      <c r="J206" s="141"/>
      <c r="K206" s="141"/>
      <c r="L206" s="141"/>
      <c r="M206" s="141"/>
      <c r="N206" s="141"/>
      <c r="O206" s="141"/>
      <c r="P206" s="141">
        <f t="shared" si="44"/>
        <v>60</v>
      </c>
      <c r="R206" s="141">
        <v>15</v>
      </c>
      <c r="S206" s="141"/>
      <c r="T206" s="141">
        <v>45</v>
      </c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45"/>
        <v>60</v>
      </c>
      <c r="AF206" s="2">
        <f t="shared" si="37"/>
        <v>1</v>
      </c>
      <c r="AG206" s="2" t="str">
        <f t="shared" si="37"/>
        <v/>
      </c>
      <c r="AH206" s="2">
        <f t="shared" si="37"/>
        <v>1</v>
      </c>
      <c r="AI206" s="2" t="str">
        <f t="shared" si="37"/>
        <v/>
      </c>
      <c r="AJ206" s="2" t="str">
        <f t="shared" si="36"/>
        <v/>
      </c>
      <c r="AK206" s="2" t="str">
        <f t="shared" si="36"/>
        <v/>
      </c>
      <c r="AL206" s="2" t="str">
        <f t="shared" si="36"/>
        <v/>
      </c>
      <c r="AM206" s="2" t="str">
        <f t="shared" si="36"/>
        <v/>
      </c>
      <c r="AN206" s="2" t="str">
        <f t="shared" si="36"/>
        <v/>
      </c>
      <c r="AO206" s="2" t="str">
        <f t="shared" si="36"/>
        <v/>
      </c>
      <c r="AP206" s="2" t="str">
        <f t="shared" si="36"/>
        <v/>
      </c>
      <c r="AQ206" s="2" t="str">
        <f t="shared" si="36"/>
        <v/>
      </c>
      <c r="AR206" s="2">
        <f t="shared" si="41"/>
        <v>1</v>
      </c>
      <c r="AT206" s="143" t="str">
        <f t="shared" si="39"/>
        <v/>
      </c>
      <c r="AU206" s="143" t="str">
        <f t="shared" si="40"/>
        <v/>
      </c>
      <c r="AV206" s="143" t="str">
        <f t="shared" si="40"/>
        <v/>
      </c>
      <c r="AW206" s="143" t="str">
        <f t="shared" si="43"/>
        <v/>
      </c>
      <c r="AX206" s="143" t="str">
        <f t="shared" si="43"/>
        <v/>
      </c>
      <c r="AY206" s="143" t="str">
        <f t="shared" si="42"/>
        <v/>
      </c>
      <c r="AZ206" s="143" t="str">
        <f t="shared" si="42"/>
        <v/>
      </c>
      <c r="BA206" s="143" t="str">
        <f t="shared" si="42"/>
        <v/>
      </c>
      <c r="BB206" s="143" t="str">
        <f t="shared" si="42"/>
        <v/>
      </c>
      <c r="BC206" s="143" t="str">
        <f t="shared" si="42"/>
        <v/>
      </c>
      <c r="BD206" s="143" t="str">
        <f t="shared" si="42"/>
        <v/>
      </c>
      <c r="BF206" s="9">
        <f t="shared" si="46"/>
        <v>9.9045658107092469E-8</v>
      </c>
      <c r="BG206" s="9">
        <f t="shared" si="47"/>
        <v>0.9990512069750126</v>
      </c>
    </row>
    <row r="207" spans="2:59" x14ac:dyDescent="0.35">
      <c r="B207" s="3" t="s">
        <v>302</v>
      </c>
      <c r="D207" s="141">
        <v>2497</v>
      </c>
      <c r="E207" s="141">
        <v>877</v>
      </c>
      <c r="F207" s="141">
        <v>1064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44"/>
        <v>4438</v>
      </c>
      <c r="R207" s="141">
        <v>2109</v>
      </c>
      <c r="S207" s="141">
        <v>424</v>
      </c>
      <c r="T207" s="141">
        <v>1064</v>
      </c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45"/>
        <v>3597</v>
      </c>
      <c r="AF207" s="2">
        <f t="shared" si="37"/>
        <v>0.84461353624349222</v>
      </c>
      <c r="AG207" s="2">
        <f t="shared" si="37"/>
        <v>0.48346636259977194</v>
      </c>
      <c r="AH207" s="2">
        <f t="shared" si="37"/>
        <v>1</v>
      </c>
      <c r="AI207" s="2" t="str">
        <f t="shared" si="37"/>
        <v/>
      </c>
      <c r="AJ207" s="2" t="str">
        <f t="shared" si="36"/>
        <v/>
      </c>
      <c r="AK207" s="2" t="str">
        <f t="shared" si="36"/>
        <v/>
      </c>
      <c r="AL207" s="2" t="str">
        <f t="shared" si="36"/>
        <v/>
      </c>
      <c r="AM207" s="2" t="str">
        <f t="shared" si="36"/>
        <v/>
      </c>
      <c r="AN207" s="2" t="str">
        <f t="shared" si="36"/>
        <v/>
      </c>
      <c r="AO207" s="2" t="str">
        <f t="shared" si="36"/>
        <v/>
      </c>
      <c r="AP207" s="2" t="str">
        <f t="shared" si="36"/>
        <v/>
      </c>
      <c r="AQ207" s="2" t="str">
        <f t="shared" si="36"/>
        <v/>
      </c>
      <c r="AR207" s="2">
        <f t="shared" si="41"/>
        <v>0.81050022532672372</v>
      </c>
      <c r="AT207" s="143">
        <f t="shared" si="39"/>
        <v>-0.36114717364372029</v>
      </c>
      <c r="AU207" s="143">
        <f t="shared" si="40"/>
        <v>0.51653363740022806</v>
      </c>
      <c r="AV207" s="143" t="str">
        <f t="shared" si="40"/>
        <v/>
      </c>
      <c r="AW207" s="143" t="str">
        <f t="shared" si="43"/>
        <v/>
      </c>
      <c r="AX207" s="143" t="str">
        <f t="shared" si="43"/>
        <v/>
      </c>
      <c r="AY207" s="143" t="str">
        <f t="shared" si="42"/>
        <v/>
      </c>
      <c r="AZ207" s="143" t="str">
        <f t="shared" si="42"/>
        <v/>
      </c>
      <c r="BA207" s="143" t="str">
        <f t="shared" si="42"/>
        <v/>
      </c>
      <c r="BB207" s="143" t="str">
        <f t="shared" si="42"/>
        <v/>
      </c>
      <c r="BC207" s="143" t="str">
        <f t="shared" si="42"/>
        <v/>
      </c>
      <c r="BD207" s="143" t="str">
        <f t="shared" si="42"/>
        <v/>
      </c>
      <c r="BF207" s="9">
        <f t="shared" si="46"/>
        <v>5.9377872035201938E-6</v>
      </c>
      <c r="BG207" s="9">
        <f t="shared" si="47"/>
        <v>0.99905714476221608</v>
      </c>
    </row>
    <row r="208" spans="2:59" x14ac:dyDescent="0.35">
      <c r="B208" s="3" t="s">
        <v>267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44"/>
        <v>0</v>
      </c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45"/>
        <v>0</v>
      </c>
      <c r="AF208" s="2" t="str">
        <f t="shared" si="37"/>
        <v/>
      </c>
      <c r="AG208" s="2" t="str">
        <f t="shared" si="37"/>
        <v/>
      </c>
      <c r="AH208" s="2" t="str">
        <f t="shared" si="37"/>
        <v/>
      </c>
      <c r="AI208" s="2" t="str">
        <f t="shared" si="37"/>
        <v/>
      </c>
      <c r="AJ208" s="2" t="str">
        <f t="shared" si="36"/>
        <v/>
      </c>
      <c r="AK208" s="2" t="str">
        <f t="shared" si="36"/>
        <v/>
      </c>
      <c r="AL208" s="2" t="str">
        <f t="shared" si="36"/>
        <v/>
      </c>
      <c r="AM208" s="2" t="str">
        <f t="shared" si="36"/>
        <v/>
      </c>
      <c r="AN208" s="2" t="str">
        <f t="shared" si="36"/>
        <v/>
      </c>
      <c r="AO208" s="2" t="str">
        <f t="shared" si="36"/>
        <v/>
      </c>
      <c r="AP208" s="2" t="str">
        <f t="shared" si="36"/>
        <v/>
      </c>
      <c r="AQ208" s="2" t="str">
        <f t="shared" si="36"/>
        <v/>
      </c>
      <c r="AR208" s="2" t="str">
        <f t="shared" si="41"/>
        <v/>
      </c>
      <c r="AT208" s="143" t="str">
        <f t="shared" si="39"/>
        <v/>
      </c>
      <c r="AU208" s="143" t="str">
        <f t="shared" si="40"/>
        <v/>
      </c>
      <c r="AV208" s="143" t="str">
        <f t="shared" si="40"/>
        <v/>
      </c>
      <c r="AW208" s="143" t="str">
        <f t="shared" si="43"/>
        <v/>
      </c>
      <c r="AX208" s="143" t="str">
        <f t="shared" si="43"/>
        <v/>
      </c>
      <c r="AY208" s="143" t="str">
        <f t="shared" si="42"/>
        <v/>
      </c>
      <c r="AZ208" s="143" t="str">
        <f t="shared" si="42"/>
        <v/>
      </c>
      <c r="BA208" s="143" t="str">
        <f t="shared" si="42"/>
        <v/>
      </c>
      <c r="BB208" s="143" t="str">
        <f t="shared" si="42"/>
        <v/>
      </c>
      <c r="BC208" s="143" t="str">
        <f t="shared" si="42"/>
        <v/>
      </c>
      <c r="BD208" s="143" t="str">
        <f t="shared" si="42"/>
        <v/>
      </c>
      <c r="BF208" s="9">
        <f t="shared" si="46"/>
        <v>0</v>
      </c>
      <c r="BG208" s="9">
        <f t="shared" si="47"/>
        <v>0.99905714476221608</v>
      </c>
    </row>
    <row r="209" spans="2:59" x14ac:dyDescent="0.35">
      <c r="B209" s="3" t="s">
        <v>303</v>
      </c>
      <c r="D209" s="141">
        <v>735</v>
      </c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44"/>
        <v>735</v>
      </c>
      <c r="R209" s="141">
        <v>735</v>
      </c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45"/>
        <v>735</v>
      </c>
      <c r="AF209" s="2">
        <f t="shared" si="37"/>
        <v>1</v>
      </c>
      <c r="AG209" s="2" t="str">
        <f t="shared" si="37"/>
        <v/>
      </c>
      <c r="AH209" s="2" t="str">
        <f t="shared" si="37"/>
        <v/>
      </c>
      <c r="AI209" s="2" t="str">
        <f t="shared" si="37"/>
        <v/>
      </c>
      <c r="AJ209" s="2" t="str">
        <f t="shared" si="36"/>
        <v/>
      </c>
      <c r="AK209" s="2" t="str">
        <f t="shared" si="36"/>
        <v/>
      </c>
      <c r="AL209" s="2" t="str">
        <f t="shared" si="36"/>
        <v/>
      </c>
      <c r="AM209" s="2" t="str">
        <f t="shared" si="36"/>
        <v/>
      </c>
      <c r="AN209" s="2" t="str">
        <f t="shared" si="36"/>
        <v/>
      </c>
      <c r="AO209" s="2" t="str">
        <f t="shared" si="36"/>
        <v/>
      </c>
      <c r="AP209" s="2" t="str">
        <f t="shared" si="36"/>
        <v/>
      </c>
      <c r="AQ209" s="2" t="str">
        <f t="shared" si="36"/>
        <v/>
      </c>
      <c r="AR209" s="2">
        <f t="shared" si="41"/>
        <v>1</v>
      </c>
      <c r="AT209" s="143" t="str">
        <f t="shared" si="39"/>
        <v/>
      </c>
      <c r="AU209" s="143" t="str">
        <f t="shared" si="40"/>
        <v/>
      </c>
      <c r="AV209" s="143" t="str">
        <f t="shared" si="40"/>
        <v/>
      </c>
      <c r="AW209" s="143" t="str">
        <f t="shared" si="43"/>
        <v/>
      </c>
      <c r="AX209" s="143" t="str">
        <f t="shared" si="43"/>
        <v/>
      </c>
      <c r="AY209" s="143" t="str">
        <f t="shared" si="43"/>
        <v/>
      </c>
      <c r="AZ209" s="143" t="str">
        <f t="shared" si="43"/>
        <v/>
      </c>
      <c r="BA209" s="143" t="str">
        <f t="shared" si="43"/>
        <v/>
      </c>
      <c r="BB209" s="143" t="str">
        <f t="shared" si="43"/>
        <v/>
      </c>
      <c r="BC209" s="143" t="str">
        <f t="shared" si="43"/>
        <v/>
      </c>
      <c r="BD209" s="143" t="str">
        <f t="shared" si="43"/>
        <v/>
      </c>
      <c r="BF209" s="9">
        <f t="shared" si="46"/>
        <v>1.2133093118118829E-6</v>
      </c>
      <c r="BG209" s="9">
        <f t="shared" si="47"/>
        <v>0.99905835807152787</v>
      </c>
    </row>
    <row r="210" spans="2:59" x14ac:dyDescent="0.35">
      <c r="B210" s="3" t="s">
        <v>304</v>
      </c>
      <c r="D210" s="141">
        <v>1257</v>
      </c>
      <c r="E210" s="141">
        <v>1242</v>
      </c>
      <c r="F210" s="141">
        <v>23542</v>
      </c>
      <c r="G210" s="141">
        <v>717</v>
      </c>
      <c r="H210" s="141"/>
      <c r="I210" s="141"/>
      <c r="J210" s="141"/>
      <c r="K210" s="141"/>
      <c r="L210" s="141"/>
      <c r="M210" s="141"/>
      <c r="N210" s="141"/>
      <c r="O210" s="141"/>
      <c r="P210" s="141">
        <f t="shared" si="44"/>
        <v>26758</v>
      </c>
      <c r="R210" s="141">
        <v>1257</v>
      </c>
      <c r="S210" s="141">
        <v>920</v>
      </c>
      <c r="T210" s="141">
        <v>16994</v>
      </c>
      <c r="U210" s="141">
        <v>408</v>
      </c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45"/>
        <v>19579</v>
      </c>
      <c r="AF210" s="2">
        <f t="shared" si="37"/>
        <v>1</v>
      </c>
      <c r="AG210" s="2">
        <f t="shared" si="37"/>
        <v>0.7407407407407407</v>
      </c>
      <c r="AH210" s="2">
        <f t="shared" si="37"/>
        <v>0.72185880553903659</v>
      </c>
      <c r="AI210" s="2">
        <f t="shared" si="37"/>
        <v>0.56903765690376573</v>
      </c>
      <c r="AJ210" s="2" t="str">
        <f t="shared" si="36"/>
        <v/>
      </c>
      <c r="AK210" s="2" t="str">
        <f t="shared" si="36"/>
        <v/>
      </c>
      <c r="AL210" s="2" t="str">
        <f t="shared" si="36"/>
        <v/>
      </c>
      <c r="AM210" s="2" t="str">
        <f t="shared" si="36"/>
        <v/>
      </c>
      <c r="AN210" s="2" t="str">
        <f t="shared" si="36"/>
        <v/>
      </c>
      <c r="AO210" s="2" t="str">
        <f t="shared" si="36"/>
        <v/>
      </c>
      <c r="AP210" s="2" t="str">
        <f t="shared" si="36"/>
        <v/>
      </c>
      <c r="AQ210" s="2" t="str">
        <f t="shared" si="36"/>
        <v/>
      </c>
      <c r="AR210" s="2">
        <f t="shared" si="41"/>
        <v>0.73170640556095379</v>
      </c>
      <c r="AT210" s="143">
        <f t="shared" si="39"/>
        <v>-0.2592592592592593</v>
      </c>
      <c r="AU210" s="143">
        <f t="shared" si="40"/>
        <v>-1.8881935201704114E-2</v>
      </c>
      <c r="AV210" s="143">
        <f t="shared" si="40"/>
        <v>-0.15282114863527085</v>
      </c>
      <c r="AW210" s="143" t="str">
        <f t="shared" ref="AW210:BD211" si="48">+IFERROR(AJ210-AI210,"")</f>
        <v/>
      </c>
      <c r="AX210" s="143" t="str">
        <f t="shared" si="48"/>
        <v/>
      </c>
      <c r="AY210" s="143" t="str">
        <f t="shared" si="48"/>
        <v/>
      </c>
      <c r="AZ210" s="143" t="str">
        <f t="shared" si="48"/>
        <v/>
      </c>
      <c r="BA210" s="143" t="str">
        <f t="shared" si="48"/>
        <v/>
      </c>
      <c r="BB210" s="143" t="str">
        <f t="shared" si="48"/>
        <v/>
      </c>
      <c r="BC210" s="143" t="str">
        <f t="shared" si="48"/>
        <v/>
      </c>
      <c r="BD210" s="143" t="str">
        <f t="shared" si="48"/>
        <v/>
      </c>
      <c r="BF210" s="9">
        <f t="shared" si="46"/>
        <v>3.2320249001312722E-5</v>
      </c>
      <c r="BG210" s="9">
        <f t="shared" si="47"/>
        <v>0.99909067832052922</v>
      </c>
    </row>
    <row r="211" spans="2:59" x14ac:dyDescent="0.35">
      <c r="B211" s="3" t="s">
        <v>280</v>
      </c>
      <c r="D211" s="141"/>
      <c r="E211" s="141"/>
      <c r="F211" s="141">
        <v>2642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44"/>
        <v>2642</v>
      </c>
      <c r="R211" s="141"/>
      <c r="S211" s="141"/>
      <c r="T211" s="141">
        <v>2642</v>
      </c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45"/>
        <v>2642</v>
      </c>
      <c r="AF211" s="2" t="str">
        <f t="shared" si="37"/>
        <v/>
      </c>
      <c r="AG211" s="2" t="str">
        <f t="shared" si="37"/>
        <v/>
      </c>
      <c r="AH211" s="2">
        <f t="shared" si="37"/>
        <v>1</v>
      </c>
      <c r="AI211" s="2" t="str">
        <f t="shared" si="37"/>
        <v/>
      </c>
      <c r="AJ211" s="2" t="str">
        <f t="shared" si="36"/>
        <v/>
      </c>
      <c r="AK211" s="2" t="str">
        <f t="shared" si="36"/>
        <v/>
      </c>
      <c r="AL211" s="2" t="str">
        <f t="shared" si="36"/>
        <v/>
      </c>
      <c r="AM211" s="2" t="str">
        <f t="shared" si="36"/>
        <v/>
      </c>
      <c r="AN211" s="2" t="str">
        <f t="shared" si="36"/>
        <v/>
      </c>
      <c r="AO211" s="2" t="str">
        <f t="shared" si="36"/>
        <v/>
      </c>
      <c r="AP211" s="2" t="str">
        <f t="shared" si="36"/>
        <v/>
      </c>
      <c r="AQ211" s="2" t="str">
        <f t="shared" ref="AQ211:AR255" si="49">+IFERROR(AC211/O211,"")</f>
        <v/>
      </c>
      <c r="AR211" s="2">
        <f t="shared" si="41"/>
        <v>1</v>
      </c>
      <c r="AT211" s="143" t="str">
        <f t="shared" si="39"/>
        <v/>
      </c>
      <c r="AU211" s="143" t="str">
        <f t="shared" si="40"/>
        <v/>
      </c>
      <c r="AV211" s="143" t="str">
        <f t="shared" si="40"/>
        <v/>
      </c>
      <c r="AW211" s="143" t="str">
        <f t="shared" si="48"/>
        <v/>
      </c>
      <c r="AX211" s="143" t="str">
        <f t="shared" si="48"/>
        <v/>
      </c>
      <c r="AY211" s="143" t="str">
        <f t="shared" si="48"/>
        <v/>
      </c>
      <c r="AZ211" s="143" t="str">
        <f t="shared" si="48"/>
        <v/>
      </c>
      <c r="BA211" s="143" t="str">
        <f t="shared" si="48"/>
        <v/>
      </c>
      <c r="BB211" s="143" t="str">
        <f t="shared" si="48"/>
        <v/>
      </c>
      <c r="BC211" s="143" t="str">
        <f t="shared" si="48"/>
        <v/>
      </c>
      <c r="BD211" s="143" t="str">
        <f t="shared" si="48"/>
        <v/>
      </c>
      <c r="BF211" s="9">
        <f t="shared" si="46"/>
        <v>4.3613104786489714E-6</v>
      </c>
      <c r="BG211" s="9">
        <f t="shared" si="47"/>
        <v>0.99909503963100788</v>
      </c>
    </row>
    <row r="212" spans="2:59" x14ac:dyDescent="0.35">
      <c r="B212" s="3" t="s">
        <v>274</v>
      </c>
      <c r="D212" s="141"/>
      <c r="E212" s="141"/>
      <c r="F212" s="141">
        <v>-16</v>
      </c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44"/>
        <v>-16</v>
      </c>
      <c r="R212" s="141"/>
      <c r="S212" s="141"/>
      <c r="T212" s="141">
        <v>-41</v>
      </c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45"/>
        <v>-41</v>
      </c>
      <c r="AF212" s="2" t="str">
        <f t="shared" si="37"/>
        <v/>
      </c>
      <c r="AG212" s="2" t="str">
        <f t="shared" si="37"/>
        <v/>
      </c>
      <c r="AH212" s="2">
        <f t="shared" si="37"/>
        <v>2.5625</v>
      </c>
      <c r="AI212" s="2" t="str">
        <f t="shared" si="37"/>
        <v/>
      </c>
      <c r="AJ212" s="2" t="str">
        <f t="shared" si="37"/>
        <v/>
      </c>
      <c r="AK212" s="2" t="str">
        <f t="shared" si="37"/>
        <v/>
      </c>
      <c r="AL212" s="2" t="str">
        <f t="shared" si="37"/>
        <v/>
      </c>
      <c r="AM212" s="2" t="str">
        <f t="shared" si="37"/>
        <v/>
      </c>
      <c r="AN212" s="2" t="str">
        <f t="shared" si="37"/>
        <v/>
      </c>
      <c r="AO212" s="2" t="str">
        <f t="shared" si="37"/>
        <v/>
      </c>
      <c r="AP212" s="2" t="str">
        <f t="shared" si="37"/>
        <v/>
      </c>
      <c r="AQ212" s="2" t="str">
        <f t="shared" si="49"/>
        <v/>
      </c>
      <c r="AR212" s="2">
        <f t="shared" si="41"/>
        <v>2.5625</v>
      </c>
      <c r="AT212" s="143" t="str">
        <f t="shared" si="39"/>
        <v/>
      </c>
      <c r="AU212" s="143" t="str">
        <f t="shared" si="40"/>
        <v/>
      </c>
      <c r="AV212" s="143" t="str">
        <f t="shared" si="40"/>
        <v/>
      </c>
      <c r="AW212" s="143"/>
      <c r="AX212" s="143"/>
      <c r="AY212" s="143"/>
      <c r="AZ212" s="143"/>
      <c r="BA212" s="143"/>
      <c r="BB212" s="143"/>
      <c r="BC212" s="143"/>
      <c r="BD212" s="143" t="str">
        <f>+IFERROR(AQ212-AP212,"")</f>
        <v/>
      </c>
      <c r="BF212" s="9">
        <f t="shared" si="46"/>
        <v>-6.7681199706513189E-8</v>
      </c>
      <c r="BG212" s="9">
        <f t="shared" si="47"/>
        <v>0.99909497194980812</v>
      </c>
    </row>
    <row r="213" spans="2:59" x14ac:dyDescent="0.35">
      <c r="B213" s="3" t="s">
        <v>305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44"/>
        <v>0</v>
      </c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45"/>
        <v>0</v>
      </c>
      <c r="AF213" s="2" t="str">
        <f t="shared" si="37"/>
        <v/>
      </c>
      <c r="AG213" s="2" t="str">
        <f t="shared" si="37"/>
        <v/>
      </c>
      <c r="AH213" s="2" t="str">
        <f t="shared" si="37"/>
        <v/>
      </c>
      <c r="AI213" s="2" t="str">
        <f t="shared" si="37"/>
        <v/>
      </c>
      <c r="AJ213" s="2" t="str">
        <f t="shared" si="37"/>
        <v/>
      </c>
      <c r="AK213" s="2" t="str">
        <f t="shared" si="37"/>
        <v/>
      </c>
      <c r="AL213" s="2" t="str">
        <f t="shared" si="37"/>
        <v/>
      </c>
      <c r="AM213" s="2" t="str">
        <f t="shared" si="37"/>
        <v/>
      </c>
      <c r="AN213" s="2" t="str">
        <f t="shared" si="37"/>
        <v/>
      </c>
      <c r="AO213" s="2" t="str">
        <f t="shared" si="37"/>
        <v/>
      </c>
      <c r="AP213" s="2" t="str">
        <f t="shared" si="37"/>
        <v/>
      </c>
      <c r="AQ213" s="2" t="str">
        <f t="shared" si="49"/>
        <v/>
      </c>
      <c r="AR213" s="2" t="str">
        <f t="shared" si="41"/>
        <v/>
      </c>
      <c r="AT213" s="143" t="str">
        <f t="shared" si="39"/>
        <v/>
      </c>
      <c r="AU213" s="143" t="str">
        <f t="shared" si="40"/>
        <v/>
      </c>
      <c r="AV213" s="143" t="str">
        <f t="shared" si="40"/>
        <v/>
      </c>
      <c r="AW213" s="143" t="str">
        <f t="shared" ref="AW213:BC213" si="50">+IFERROR(AJ213-AI213,"")</f>
        <v/>
      </c>
      <c r="AX213" s="143" t="str">
        <f t="shared" si="50"/>
        <v/>
      </c>
      <c r="AY213" s="143" t="str">
        <f t="shared" si="50"/>
        <v/>
      </c>
      <c r="AZ213" s="143" t="str">
        <f t="shared" si="50"/>
        <v/>
      </c>
      <c r="BA213" s="143" t="str">
        <f t="shared" si="50"/>
        <v/>
      </c>
      <c r="BB213" s="143" t="str">
        <f t="shared" si="50"/>
        <v/>
      </c>
      <c r="BC213" s="143" t="str">
        <f t="shared" si="50"/>
        <v/>
      </c>
      <c r="BD213" s="143" t="str">
        <f>+IFERROR(AQ213-AP213,"")</f>
        <v/>
      </c>
      <c r="BF213" s="9">
        <f t="shared" si="46"/>
        <v>0</v>
      </c>
      <c r="BG213" s="9">
        <f t="shared" si="47"/>
        <v>0.99909497194980812</v>
      </c>
    </row>
    <row r="214" spans="2:59" x14ac:dyDescent="0.35">
      <c r="B214" s="3" t="s">
        <v>296</v>
      </c>
      <c r="D214" s="141">
        <v>7179</v>
      </c>
      <c r="E214" s="141">
        <v>17029</v>
      </c>
      <c r="F214" s="141">
        <v>19406</v>
      </c>
      <c r="G214" s="141">
        <v>277</v>
      </c>
      <c r="H214" s="141"/>
      <c r="I214" s="141"/>
      <c r="J214" s="141"/>
      <c r="K214" s="141"/>
      <c r="L214" s="141"/>
      <c r="M214" s="141"/>
      <c r="N214" s="141"/>
      <c r="O214" s="141"/>
      <c r="P214" s="141">
        <f t="shared" si="44"/>
        <v>43891</v>
      </c>
      <c r="R214" s="141">
        <v>6780</v>
      </c>
      <c r="S214" s="141">
        <v>16016</v>
      </c>
      <c r="T214" s="141">
        <v>14049</v>
      </c>
      <c r="U214" s="141">
        <v>277</v>
      </c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45"/>
        <v>37122</v>
      </c>
      <c r="AF214" s="2">
        <f t="shared" si="37"/>
        <v>0.94442122858336819</v>
      </c>
      <c r="AG214" s="2">
        <f t="shared" si="37"/>
        <v>0.94051324211638965</v>
      </c>
      <c r="AH214" s="2">
        <f t="shared" si="37"/>
        <v>0.72395135525095333</v>
      </c>
      <c r="AI214" s="2">
        <f t="shared" si="37"/>
        <v>1</v>
      </c>
      <c r="AJ214" s="2" t="str">
        <f t="shared" si="37"/>
        <v/>
      </c>
      <c r="AK214" s="2" t="str">
        <f t="shared" si="37"/>
        <v/>
      </c>
      <c r="AL214" s="2" t="str">
        <f t="shared" si="37"/>
        <v/>
      </c>
      <c r="AM214" s="2" t="str">
        <f t="shared" si="37"/>
        <v/>
      </c>
      <c r="AN214" s="2" t="str">
        <f t="shared" si="37"/>
        <v/>
      </c>
      <c r="AO214" s="2" t="str">
        <f t="shared" ref="AO214:AP255" si="51">+IFERROR(AA214/M214,"")</f>
        <v/>
      </c>
      <c r="AP214" s="2" t="str">
        <f t="shared" si="51"/>
        <v/>
      </c>
      <c r="AQ214" s="2" t="str">
        <f t="shared" si="49"/>
        <v/>
      </c>
      <c r="AR214" s="2">
        <f t="shared" si="41"/>
        <v>0.84577703857282815</v>
      </c>
      <c r="AT214" s="143">
        <f t="shared" si="39"/>
        <v>-3.9079864669785414E-3</v>
      </c>
      <c r="AU214" s="143">
        <f t="shared" si="40"/>
        <v>-0.21656188686543631</v>
      </c>
      <c r="AV214" s="143">
        <f t="shared" si="40"/>
        <v>0.27604864474904667</v>
      </c>
      <c r="AW214" s="143"/>
      <c r="AX214" s="143"/>
      <c r="AY214" s="143"/>
      <c r="AZ214" s="143"/>
      <c r="BA214" s="143"/>
      <c r="BB214" s="143"/>
      <c r="BC214" s="143"/>
      <c r="BD214" s="143"/>
      <c r="BF214" s="9">
        <f t="shared" si="46"/>
        <v>6.1279548670858117E-5</v>
      </c>
      <c r="BG214" s="9">
        <f t="shared" si="47"/>
        <v>0.99915625149847898</v>
      </c>
    </row>
    <row r="215" spans="2:59" x14ac:dyDescent="0.35">
      <c r="B215" s="3" t="s">
        <v>298</v>
      </c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44"/>
        <v>0</v>
      </c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45"/>
        <v>0</v>
      </c>
      <c r="AF215" s="2" t="str">
        <f t="shared" ref="AF215:AN243" si="52">+IFERROR(R215/D215,"")</f>
        <v/>
      </c>
      <c r="AG215" s="2" t="str">
        <f t="shared" si="52"/>
        <v/>
      </c>
      <c r="AH215" s="2" t="str">
        <f t="shared" si="52"/>
        <v/>
      </c>
      <c r="AI215" s="2" t="str">
        <f t="shared" si="52"/>
        <v/>
      </c>
      <c r="AJ215" s="2" t="str">
        <f t="shared" si="52"/>
        <v/>
      </c>
      <c r="AK215" s="2" t="str">
        <f t="shared" si="52"/>
        <v/>
      </c>
      <c r="AL215" s="2" t="str">
        <f t="shared" si="52"/>
        <v/>
      </c>
      <c r="AM215" s="2" t="str">
        <f t="shared" si="52"/>
        <v/>
      </c>
      <c r="AN215" s="2" t="str">
        <f t="shared" si="52"/>
        <v/>
      </c>
      <c r="AO215" s="2" t="str">
        <f t="shared" si="51"/>
        <v/>
      </c>
      <c r="AP215" s="2" t="str">
        <f t="shared" si="51"/>
        <v/>
      </c>
      <c r="AQ215" s="2" t="str">
        <f t="shared" si="49"/>
        <v/>
      </c>
      <c r="AR215" s="2" t="str">
        <f t="shared" si="41"/>
        <v/>
      </c>
      <c r="AT215" s="143" t="str">
        <f t="shared" si="39"/>
        <v/>
      </c>
      <c r="AU215" s="143" t="str">
        <f t="shared" si="40"/>
        <v/>
      </c>
      <c r="AV215" s="143" t="str">
        <f t="shared" si="40"/>
        <v/>
      </c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46"/>
        <v>0</v>
      </c>
      <c r="BG215" s="9">
        <f t="shared" si="47"/>
        <v>0.99915625149847898</v>
      </c>
    </row>
    <row r="216" spans="2:59" x14ac:dyDescent="0.35">
      <c r="B216" s="3" t="s">
        <v>292</v>
      </c>
      <c r="D216" s="141">
        <v>29423</v>
      </c>
      <c r="E216" s="141">
        <v>31699</v>
      </c>
      <c r="F216" s="141">
        <v>26860</v>
      </c>
      <c r="G216" s="141">
        <v>3727</v>
      </c>
      <c r="H216" s="141"/>
      <c r="I216" s="141"/>
      <c r="J216" s="141"/>
      <c r="K216" s="141"/>
      <c r="L216" s="141"/>
      <c r="M216" s="141"/>
      <c r="N216" s="141"/>
      <c r="O216" s="141"/>
      <c r="P216" s="141">
        <f t="shared" si="44"/>
        <v>91709</v>
      </c>
      <c r="R216" s="141">
        <v>11892</v>
      </c>
      <c r="S216" s="141">
        <v>27994</v>
      </c>
      <c r="T216" s="141">
        <v>17574</v>
      </c>
      <c r="U216" s="141">
        <v>981</v>
      </c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45"/>
        <v>58441</v>
      </c>
      <c r="AF216" s="2">
        <f t="shared" si="52"/>
        <v>0.40417360568262922</v>
      </c>
      <c r="AG216" s="2">
        <f t="shared" si="52"/>
        <v>0.88311934130414205</v>
      </c>
      <c r="AH216" s="2">
        <f t="shared" si="52"/>
        <v>0.65428145941921068</v>
      </c>
      <c r="AI216" s="2">
        <f t="shared" si="52"/>
        <v>0.26321438154011267</v>
      </c>
      <c r="AJ216" s="2" t="str">
        <f t="shared" si="52"/>
        <v/>
      </c>
      <c r="AK216" s="2" t="str">
        <f t="shared" si="52"/>
        <v/>
      </c>
      <c r="AL216" s="2" t="str">
        <f t="shared" si="52"/>
        <v/>
      </c>
      <c r="AM216" s="2" t="str">
        <f t="shared" si="52"/>
        <v/>
      </c>
      <c r="AN216" s="2" t="str">
        <f t="shared" si="52"/>
        <v/>
      </c>
      <c r="AO216" s="2" t="str">
        <f t="shared" si="51"/>
        <v/>
      </c>
      <c r="AP216" s="2" t="str">
        <f t="shared" si="51"/>
        <v/>
      </c>
      <c r="AQ216" s="2" t="str">
        <f t="shared" si="49"/>
        <v/>
      </c>
      <c r="AR216" s="2">
        <f t="shared" si="41"/>
        <v>0.637243891003064</v>
      </c>
      <c r="AT216" s="143">
        <f t="shared" si="39"/>
        <v>0.47894573562151282</v>
      </c>
      <c r="AU216" s="143">
        <f t="shared" si="40"/>
        <v>-0.22883788188493137</v>
      </c>
      <c r="AV216" s="143">
        <f t="shared" si="40"/>
        <v>-0.391067077879098</v>
      </c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46"/>
        <v>9.6472121757276523E-5</v>
      </c>
      <c r="BG216" s="9">
        <f t="shared" si="47"/>
        <v>0.99925272362023621</v>
      </c>
    </row>
    <row r="217" spans="2:59" x14ac:dyDescent="0.35">
      <c r="B217" s="3" t="s">
        <v>300</v>
      </c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>
        <f t="shared" si="44"/>
        <v>0</v>
      </c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45"/>
        <v>0</v>
      </c>
      <c r="AF217" s="2" t="str">
        <f t="shared" si="52"/>
        <v/>
      </c>
      <c r="AG217" s="2" t="str">
        <f t="shared" si="52"/>
        <v/>
      </c>
      <c r="AH217" s="2" t="str">
        <f t="shared" si="52"/>
        <v/>
      </c>
      <c r="AI217" s="2" t="str">
        <f t="shared" si="52"/>
        <v/>
      </c>
      <c r="AJ217" s="2" t="str">
        <f t="shared" si="52"/>
        <v/>
      </c>
      <c r="AK217" s="2" t="str">
        <f t="shared" si="52"/>
        <v/>
      </c>
      <c r="AL217" s="2" t="str">
        <f t="shared" si="52"/>
        <v/>
      </c>
      <c r="AM217" s="2" t="str">
        <f t="shared" si="52"/>
        <v/>
      </c>
      <c r="AN217" s="2" t="str">
        <f t="shared" si="52"/>
        <v/>
      </c>
      <c r="AO217" s="2" t="str">
        <f t="shared" si="51"/>
        <v/>
      </c>
      <c r="AP217" s="2" t="str">
        <f t="shared" si="51"/>
        <v/>
      </c>
      <c r="AQ217" s="2" t="str">
        <f t="shared" si="49"/>
        <v/>
      </c>
      <c r="AR217" s="2" t="str">
        <f t="shared" si="41"/>
        <v/>
      </c>
      <c r="AT217" s="143" t="str">
        <f t="shared" si="39"/>
        <v/>
      </c>
      <c r="AU217" s="143" t="str">
        <f t="shared" si="40"/>
        <v/>
      </c>
      <c r="AV217" s="143" t="str">
        <f t="shared" si="40"/>
        <v/>
      </c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46"/>
        <v>0</v>
      </c>
      <c r="BG217" s="9">
        <f t="shared" si="47"/>
        <v>0.99925272362023621</v>
      </c>
    </row>
    <row r="218" spans="2:59" x14ac:dyDescent="0.35">
      <c r="B218" s="3" t="s">
        <v>455</v>
      </c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44"/>
        <v>0</v>
      </c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45"/>
        <v>0</v>
      </c>
      <c r="AF218" s="2" t="str">
        <f t="shared" si="52"/>
        <v/>
      </c>
      <c r="AG218" s="2" t="str">
        <f t="shared" si="52"/>
        <v/>
      </c>
      <c r="AH218" s="2" t="str">
        <f t="shared" si="52"/>
        <v/>
      </c>
      <c r="AI218" s="2" t="str">
        <f t="shared" si="52"/>
        <v/>
      </c>
      <c r="AJ218" s="2" t="str">
        <f t="shared" si="52"/>
        <v/>
      </c>
      <c r="AK218" s="2" t="str">
        <f t="shared" si="52"/>
        <v/>
      </c>
      <c r="AL218" s="2" t="str">
        <f t="shared" si="52"/>
        <v/>
      </c>
      <c r="AM218" s="2" t="str">
        <f t="shared" si="52"/>
        <v/>
      </c>
      <c r="AN218" s="2" t="str">
        <f t="shared" si="52"/>
        <v/>
      </c>
      <c r="AO218" s="2" t="str">
        <f t="shared" si="51"/>
        <v/>
      </c>
      <c r="AP218" s="2" t="str">
        <f t="shared" si="51"/>
        <v/>
      </c>
      <c r="AQ218" s="2" t="str">
        <f t="shared" si="49"/>
        <v/>
      </c>
      <c r="AR218" s="2" t="str">
        <f t="shared" si="41"/>
        <v/>
      </c>
      <c r="AT218" s="143" t="str">
        <f t="shared" si="39"/>
        <v/>
      </c>
      <c r="AU218" s="143" t="str">
        <f t="shared" si="40"/>
        <v/>
      </c>
      <c r="AV218" s="143" t="str">
        <f t="shared" si="40"/>
        <v/>
      </c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46"/>
        <v>0</v>
      </c>
      <c r="BG218" s="9">
        <f t="shared" si="47"/>
        <v>0.99925272362023621</v>
      </c>
    </row>
    <row r="219" spans="2:59" x14ac:dyDescent="0.35">
      <c r="B219" s="3" t="s">
        <v>302</v>
      </c>
      <c r="D219" s="141">
        <v>2497</v>
      </c>
      <c r="E219" s="141">
        <v>877</v>
      </c>
      <c r="F219" s="141">
        <v>1064</v>
      </c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44"/>
        <v>4438</v>
      </c>
      <c r="R219" s="141">
        <v>2109</v>
      </c>
      <c r="S219" s="141">
        <v>424</v>
      </c>
      <c r="T219" s="141">
        <v>1064</v>
      </c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45"/>
        <v>3597</v>
      </c>
      <c r="AF219" s="2">
        <f t="shared" si="52"/>
        <v>0.84461353624349222</v>
      </c>
      <c r="AG219" s="2">
        <f t="shared" si="52"/>
        <v>0.48346636259977194</v>
      </c>
      <c r="AH219" s="2">
        <f t="shared" si="52"/>
        <v>1</v>
      </c>
      <c r="AI219" s="2" t="str">
        <f t="shared" si="52"/>
        <v/>
      </c>
      <c r="AJ219" s="2" t="str">
        <f t="shared" si="52"/>
        <v/>
      </c>
      <c r="AK219" s="2" t="str">
        <f t="shared" si="52"/>
        <v/>
      </c>
      <c r="AL219" s="2" t="str">
        <f t="shared" si="52"/>
        <v/>
      </c>
      <c r="AM219" s="2" t="str">
        <f t="shared" si="52"/>
        <v/>
      </c>
      <c r="AN219" s="2" t="str">
        <f t="shared" si="52"/>
        <v/>
      </c>
      <c r="AO219" s="2" t="str">
        <f t="shared" si="51"/>
        <v/>
      </c>
      <c r="AP219" s="2" t="str">
        <f t="shared" si="51"/>
        <v/>
      </c>
      <c r="AQ219" s="2" t="str">
        <f t="shared" si="49"/>
        <v/>
      </c>
      <c r="AR219" s="2">
        <f t="shared" si="41"/>
        <v>0.81050022532672372</v>
      </c>
      <c r="AT219" s="143">
        <f t="shared" si="39"/>
        <v>-0.36114717364372029</v>
      </c>
      <c r="AU219" s="143">
        <f t="shared" si="40"/>
        <v>0.51653363740022806</v>
      </c>
      <c r="AV219" s="143" t="str">
        <f t="shared" si="40"/>
        <v/>
      </c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46"/>
        <v>5.9377872035201938E-6</v>
      </c>
      <c r="BG219" s="9">
        <f t="shared" si="47"/>
        <v>0.99925866140743969</v>
      </c>
    </row>
    <row r="220" spans="2:59" x14ac:dyDescent="0.35">
      <c r="B220" s="3" t="s">
        <v>456</v>
      </c>
      <c r="D220" s="141">
        <v>799</v>
      </c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44"/>
        <v>799</v>
      </c>
      <c r="R220" s="141">
        <v>799</v>
      </c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45"/>
        <v>799</v>
      </c>
      <c r="AF220" s="2">
        <f t="shared" si="52"/>
        <v>1</v>
      </c>
      <c r="AG220" s="2" t="str">
        <f t="shared" si="52"/>
        <v/>
      </c>
      <c r="AH220" s="2" t="str">
        <f t="shared" si="52"/>
        <v/>
      </c>
      <c r="AI220" s="2" t="str">
        <f t="shared" si="52"/>
        <v/>
      </c>
      <c r="AJ220" s="2" t="str">
        <f t="shared" si="52"/>
        <v/>
      </c>
      <c r="AK220" s="2" t="str">
        <f t="shared" si="52"/>
        <v/>
      </c>
      <c r="AL220" s="2" t="str">
        <f t="shared" si="52"/>
        <v/>
      </c>
      <c r="AM220" s="2" t="str">
        <f t="shared" si="52"/>
        <v/>
      </c>
      <c r="AN220" s="2" t="str">
        <f t="shared" si="52"/>
        <v/>
      </c>
      <c r="AO220" s="2" t="str">
        <f t="shared" si="51"/>
        <v/>
      </c>
      <c r="AP220" s="2" t="str">
        <f t="shared" si="51"/>
        <v/>
      </c>
      <c r="AQ220" s="2" t="str">
        <f t="shared" si="49"/>
        <v/>
      </c>
      <c r="AR220" s="2">
        <f t="shared" si="41"/>
        <v>1</v>
      </c>
      <c r="AT220" s="143" t="str">
        <f t="shared" si="39"/>
        <v/>
      </c>
      <c r="AU220" s="143" t="str">
        <f t="shared" si="40"/>
        <v/>
      </c>
      <c r="AV220" s="143" t="str">
        <f t="shared" si="40"/>
        <v/>
      </c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46"/>
        <v>1.3189580137927814E-6</v>
      </c>
      <c r="BG220" s="9">
        <f t="shared" si="47"/>
        <v>0.99925998036545349</v>
      </c>
    </row>
    <row r="221" spans="2:59" x14ac:dyDescent="0.35">
      <c r="B221" s="3" t="s">
        <v>290</v>
      </c>
      <c r="D221" s="141">
        <v>41991</v>
      </c>
      <c r="E221" s="141">
        <v>63170</v>
      </c>
      <c r="F221" s="141">
        <v>87994</v>
      </c>
      <c r="G221" s="141">
        <v>10868</v>
      </c>
      <c r="H221" s="141"/>
      <c r="I221" s="141"/>
      <c r="J221" s="141"/>
      <c r="K221" s="141"/>
      <c r="L221" s="141"/>
      <c r="M221" s="141"/>
      <c r="N221" s="141"/>
      <c r="O221" s="141"/>
      <c r="P221" s="141">
        <f t="shared" si="44"/>
        <v>204023</v>
      </c>
      <c r="R221" s="141">
        <v>23973</v>
      </c>
      <c r="S221" s="141">
        <v>47668</v>
      </c>
      <c r="T221" s="141">
        <v>69137</v>
      </c>
      <c r="U221" s="141">
        <v>8141</v>
      </c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45"/>
        <v>148919</v>
      </c>
      <c r="AF221" s="2">
        <f t="shared" si="52"/>
        <v>0.57090805172536974</v>
      </c>
      <c r="AG221" s="2">
        <f t="shared" si="52"/>
        <v>0.75459870191546619</v>
      </c>
      <c r="AH221" s="2">
        <f t="shared" si="52"/>
        <v>0.78570129781576015</v>
      </c>
      <c r="AI221" s="2">
        <f t="shared" si="52"/>
        <v>0.74907986750092015</v>
      </c>
      <c r="AJ221" s="2" t="str">
        <f t="shared" si="52"/>
        <v/>
      </c>
      <c r="AK221" s="2" t="str">
        <f t="shared" si="52"/>
        <v/>
      </c>
      <c r="AL221" s="2" t="str">
        <f t="shared" si="52"/>
        <v/>
      </c>
      <c r="AM221" s="2" t="str">
        <f t="shared" si="52"/>
        <v/>
      </c>
      <c r="AN221" s="2" t="str">
        <f t="shared" si="52"/>
        <v/>
      </c>
      <c r="AO221" s="2" t="str">
        <f t="shared" si="51"/>
        <v/>
      </c>
      <c r="AP221" s="2" t="str">
        <f t="shared" si="51"/>
        <v/>
      </c>
      <c r="AQ221" s="2" t="str">
        <f t="shared" si="49"/>
        <v/>
      </c>
      <c r="AR221" s="2">
        <f t="shared" si="41"/>
        <v>0.72991280394857438</v>
      </c>
      <c r="AT221" s="143">
        <f t="shared" si="39"/>
        <v>0.18369065019009645</v>
      </c>
      <c r="AU221" s="143">
        <f t="shared" si="40"/>
        <v>3.1102595900293961E-2</v>
      </c>
      <c r="AV221" s="143">
        <f t="shared" si="40"/>
        <v>-3.6621430314839998E-2</v>
      </c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46"/>
        <v>2.4582967266083505E-4</v>
      </c>
      <c r="BG221" s="9">
        <f t="shared" si="47"/>
        <v>0.99950581003811434</v>
      </c>
    </row>
    <row r="222" spans="2:59" x14ac:dyDescent="0.35">
      <c r="B222" s="3" t="s">
        <v>457</v>
      </c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44"/>
        <v>0</v>
      </c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45"/>
        <v>0</v>
      </c>
      <c r="AF222" s="2" t="str">
        <f t="shared" si="52"/>
        <v/>
      </c>
      <c r="AG222" s="2" t="str">
        <f t="shared" si="52"/>
        <v/>
      </c>
      <c r="AH222" s="2" t="str">
        <f t="shared" si="52"/>
        <v/>
      </c>
      <c r="AI222" s="2" t="str">
        <f t="shared" si="52"/>
        <v/>
      </c>
      <c r="AJ222" s="2" t="str">
        <f t="shared" si="52"/>
        <v/>
      </c>
      <c r="AK222" s="2" t="str">
        <f t="shared" si="52"/>
        <v/>
      </c>
      <c r="AL222" s="2" t="str">
        <f t="shared" si="52"/>
        <v/>
      </c>
      <c r="AM222" s="2" t="str">
        <f t="shared" si="52"/>
        <v/>
      </c>
      <c r="AN222" s="2" t="str">
        <f t="shared" si="52"/>
        <v/>
      </c>
      <c r="AO222" s="2" t="str">
        <f t="shared" si="51"/>
        <v/>
      </c>
      <c r="AP222" s="2" t="str">
        <f t="shared" si="51"/>
        <v/>
      </c>
      <c r="AQ222" s="2" t="str">
        <f t="shared" si="49"/>
        <v/>
      </c>
      <c r="AR222" s="2" t="str">
        <f t="shared" si="41"/>
        <v/>
      </c>
      <c r="AT222" s="143" t="str">
        <f t="shared" si="39"/>
        <v/>
      </c>
      <c r="AU222" s="143" t="str">
        <f t="shared" si="40"/>
        <v/>
      </c>
      <c r="AV222" s="143" t="str">
        <f t="shared" si="40"/>
        <v/>
      </c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46"/>
        <v>0</v>
      </c>
      <c r="BG222" s="9">
        <f t="shared" si="47"/>
        <v>0.99950581003811434</v>
      </c>
    </row>
    <row r="223" spans="2:59" x14ac:dyDescent="0.35">
      <c r="B223" s="3" t="s">
        <v>297</v>
      </c>
      <c r="D223" s="141">
        <v>396</v>
      </c>
      <c r="E223" s="141">
        <v>223</v>
      </c>
      <c r="F223" s="141">
        <v>312</v>
      </c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44"/>
        <v>931</v>
      </c>
      <c r="R223" s="141">
        <v>297</v>
      </c>
      <c r="S223" s="141">
        <v>198</v>
      </c>
      <c r="T223" s="141">
        <v>312</v>
      </c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45"/>
        <v>807</v>
      </c>
      <c r="AF223" s="2">
        <f t="shared" si="52"/>
        <v>0.75</v>
      </c>
      <c r="AG223" s="2">
        <f t="shared" si="52"/>
        <v>0.88789237668161436</v>
      </c>
      <c r="AH223" s="2">
        <f t="shared" si="52"/>
        <v>1</v>
      </c>
      <c r="AI223" s="2" t="str">
        <f t="shared" si="52"/>
        <v/>
      </c>
      <c r="AJ223" s="2" t="str">
        <f t="shared" si="52"/>
        <v/>
      </c>
      <c r="AK223" s="2" t="str">
        <f t="shared" si="52"/>
        <v/>
      </c>
      <c r="AL223" s="2" t="str">
        <f t="shared" si="52"/>
        <v/>
      </c>
      <c r="AM223" s="2" t="str">
        <f t="shared" si="52"/>
        <v/>
      </c>
      <c r="AN223" s="2" t="str">
        <f t="shared" si="52"/>
        <v/>
      </c>
      <c r="AO223" s="2" t="str">
        <f t="shared" si="51"/>
        <v/>
      </c>
      <c r="AP223" s="2" t="str">
        <f t="shared" si="51"/>
        <v/>
      </c>
      <c r="AQ223" s="2" t="str">
        <f t="shared" si="49"/>
        <v/>
      </c>
      <c r="AR223" s="2">
        <f t="shared" si="41"/>
        <v>0.86680988184747587</v>
      </c>
      <c r="AT223" s="143">
        <f t="shared" si="39"/>
        <v>0.13789237668161436</v>
      </c>
      <c r="AU223" s="143">
        <f t="shared" si="40"/>
        <v>0.11210762331838564</v>
      </c>
      <c r="AV223" s="143" t="str">
        <f t="shared" si="40"/>
        <v/>
      </c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46"/>
        <v>1.3321641015403937E-6</v>
      </c>
      <c r="BG223" s="9">
        <f t="shared" si="47"/>
        <v>0.99950714220221593</v>
      </c>
    </row>
    <row r="224" spans="2:59" x14ac:dyDescent="0.35">
      <c r="B224" s="3" t="s">
        <v>303</v>
      </c>
      <c r="D224" s="141">
        <v>735</v>
      </c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44"/>
        <v>735</v>
      </c>
      <c r="R224" s="141">
        <v>735</v>
      </c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45"/>
        <v>735</v>
      </c>
      <c r="AF224" s="2">
        <f t="shared" si="52"/>
        <v>1</v>
      </c>
      <c r="AG224" s="2" t="str">
        <f t="shared" si="52"/>
        <v/>
      </c>
      <c r="AH224" s="2" t="str">
        <f t="shared" si="52"/>
        <v/>
      </c>
      <c r="AI224" s="2" t="str">
        <f t="shared" si="52"/>
        <v/>
      </c>
      <c r="AJ224" s="2" t="str">
        <f t="shared" si="52"/>
        <v/>
      </c>
      <c r="AK224" s="2" t="str">
        <f t="shared" si="52"/>
        <v/>
      </c>
      <c r="AL224" s="2" t="str">
        <f t="shared" si="52"/>
        <v/>
      </c>
      <c r="AM224" s="2" t="str">
        <f t="shared" si="52"/>
        <v/>
      </c>
      <c r="AN224" s="2" t="str">
        <f t="shared" si="52"/>
        <v/>
      </c>
      <c r="AO224" s="2" t="str">
        <f t="shared" si="51"/>
        <v/>
      </c>
      <c r="AP224" s="2" t="str">
        <f t="shared" si="51"/>
        <v/>
      </c>
      <c r="AQ224" s="2" t="str">
        <f t="shared" si="49"/>
        <v/>
      </c>
      <c r="AR224" s="2">
        <f t="shared" si="41"/>
        <v>1</v>
      </c>
      <c r="AT224" s="143" t="str">
        <f t="shared" si="39"/>
        <v/>
      </c>
      <c r="AU224" s="143" t="str">
        <f t="shared" si="40"/>
        <v/>
      </c>
      <c r="AV224" s="143" t="str">
        <f t="shared" si="40"/>
        <v/>
      </c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46"/>
        <v>1.2133093118118829E-6</v>
      </c>
      <c r="BG224" s="9">
        <f t="shared" si="47"/>
        <v>0.99950835551152772</v>
      </c>
    </row>
    <row r="225" spans="2:59" x14ac:dyDescent="0.35">
      <c r="B225" s="3" t="s">
        <v>293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44"/>
        <v>0</v>
      </c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45"/>
        <v>0</v>
      </c>
      <c r="AF225" s="2" t="str">
        <f t="shared" si="52"/>
        <v/>
      </c>
      <c r="AG225" s="2" t="str">
        <f t="shared" si="52"/>
        <v/>
      </c>
      <c r="AH225" s="2" t="str">
        <f t="shared" si="52"/>
        <v/>
      </c>
      <c r="AI225" s="2" t="str">
        <f t="shared" si="52"/>
        <v/>
      </c>
      <c r="AJ225" s="2" t="str">
        <f t="shared" si="52"/>
        <v/>
      </c>
      <c r="AK225" s="2" t="str">
        <f t="shared" si="52"/>
        <v/>
      </c>
      <c r="AL225" s="2" t="str">
        <f t="shared" si="52"/>
        <v/>
      </c>
      <c r="AM225" s="2" t="str">
        <f t="shared" si="52"/>
        <v/>
      </c>
      <c r="AN225" s="2" t="str">
        <f t="shared" si="52"/>
        <v/>
      </c>
      <c r="AO225" s="2" t="str">
        <f t="shared" si="51"/>
        <v/>
      </c>
      <c r="AP225" s="2" t="str">
        <f t="shared" si="51"/>
        <v/>
      </c>
      <c r="AQ225" s="2" t="str">
        <f t="shared" si="49"/>
        <v/>
      </c>
      <c r="AR225" s="2" t="str">
        <f t="shared" si="41"/>
        <v/>
      </c>
      <c r="AT225" s="143" t="str">
        <f t="shared" si="39"/>
        <v/>
      </c>
      <c r="AU225" s="143" t="str">
        <f t="shared" si="40"/>
        <v/>
      </c>
      <c r="AV225" s="143" t="str">
        <f t="shared" si="40"/>
        <v/>
      </c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46"/>
        <v>0</v>
      </c>
      <c r="BG225" s="9">
        <f t="shared" si="47"/>
        <v>0.99950835551152772</v>
      </c>
    </row>
    <row r="226" spans="2:59" x14ac:dyDescent="0.35">
      <c r="B226" s="3" t="s">
        <v>458</v>
      </c>
      <c r="D226" s="141">
        <v>16112</v>
      </c>
      <c r="E226" s="141">
        <v>1416</v>
      </c>
      <c r="F226" s="141">
        <v>4302</v>
      </c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44"/>
        <v>21830</v>
      </c>
      <c r="R226" s="141">
        <v>13077</v>
      </c>
      <c r="S226" s="141">
        <v>418</v>
      </c>
      <c r="T226" s="141">
        <v>2092</v>
      </c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45"/>
        <v>15587</v>
      </c>
      <c r="AF226" s="2">
        <f t="shared" si="52"/>
        <v>0.81163108242303872</v>
      </c>
      <c r="AG226" s="2">
        <f t="shared" si="52"/>
        <v>0.29519774011299438</v>
      </c>
      <c r="AH226" s="2">
        <f t="shared" si="52"/>
        <v>0.48628544862854484</v>
      </c>
      <c r="AI226" s="2" t="str">
        <f t="shared" si="52"/>
        <v/>
      </c>
      <c r="AJ226" s="2" t="str">
        <f t="shared" si="52"/>
        <v/>
      </c>
      <c r="AK226" s="2" t="str">
        <f t="shared" si="52"/>
        <v/>
      </c>
      <c r="AL226" s="2" t="str">
        <f t="shared" si="52"/>
        <v/>
      </c>
      <c r="AM226" s="2" t="str">
        <f t="shared" si="52"/>
        <v/>
      </c>
      <c r="AN226" s="2" t="str">
        <f t="shared" si="52"/>
        <v/>
      </c>
      <c r="AO226" s="2" t="str">
        <f t="shared" si="51"/>
        <v/>
      </c>
      <c r="AP226" s="2" t="str">
        <f t="shared" si="51"/>
        <v/>
      </c>
      <c r="AQ226" s="2" t="str">
        <f t="shared" si="49"/>
        <v/>
      </c>
      <c r="AR226" s="2">
        <f t="shared" si="41"/>
        <v>0.7140174072377462</v>
      </c>
      <c r="AT226" s="143">
        <f t="shared" si="39"/>
        <v>-0.51643334231004434</v>
      </c>
      <c r="AU226" s="143">
        <f t="shared" si="40"/>
        <v>0.19108770851555046</v>
      </c>
      <c r="AV226" s="143" t="str">
        <f t="shared" si="40"/>
        <v/>
      </c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46"/>
        <v>2.5730411215254172E-5</v>
      </c>
      <c r="BG226" s="9">
        <f t="shared" si="47"/>
        <v>0.99953408592274295</v>
      </c>
    </row>
    <row r="227" spans="2:59" x14ac:dyDescent="0.35">
      <c r="B227" s="3" t="s">
        <v>301</v>
      </c>
      <c r="D227" s="141">
        <v>742</v>
      </c>
      <c r="E227" s="141"/>
      <c r="F227" s="141">
        <v>724</v>
      </c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44"/>
        <v>1466</v>
      </c>
      <c r="R227" s="141">
        <v>555</v>
      </c>
      <c r="S227" s="141"/>
      <c r="T227" s="141">
        <v>502</v>
      </c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45"/>
        <v>1057</v>
      </c>
      <c r="AF227" s="2">
        <f t="shared" si="52"/>
        <v>0.74797843665768193</v>
      </c>
      <c r="AG227" s="2" t="str">
        <f t="shared" si="52"/>
        <v/>
      </c>
      <c r="AH227" s="2">
        <f t="shared" si="52"/>
        <v>0.6933701657458563</v>
      </c>
      <c r="AI227" s="2" t="str">
        <f t="shared" si="52"/>
        <v/>
      </c>
      <c r="AJ227" s="2" t="str">
        <f t="shared" si="52"/>
        <v/>
      </c>
      <c r="AK227" s="2" t="str">
        <f t="shared" si="52"/>
        <v/>
      </c>
      <c r="AL227" s="2" t="str">
        <f t="shared" si="52"/>
        <v/>
      </c>
      <c r="AM227" s="2" t="str">
        <f t="shared" si="52"/>
        <v/>
      </c>
      <c r="AN227" s="2" t="str">
        <f t="shared" si="52"/>
        <v/>
      </c>
      <c r="AO227" s="2" t="str">
        <f t="shared" si="51"/>
        <v/>
      </c>
      <c r="AP227" s="2" t="str">
        <f t="shared" si="51"/>
        <v/>
      </c>
      <c r="AQ227" s="2" t="str">
        <f t="shared" si="49"/>
        <v/>
      </c>
      <c r="AR227" s="2">
        <f t="shared" si="41"/>
        <v>0.72100954979536158</v>
      </c>
      <c r="AT227" s="143" t="str">
        <f t="shared" si="39"/>
        <v/>
      </c>
      <c r="AU227" s="143" t="str">
        <f t="shared" si="40"/>
        <v/>
      </c>
      <c r="AV227" s="143" t="str">
        <f t="shared" si="40"/>
        <v/>
      </c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46"/>
        <v>1.7448543436532791E-6</v>
      </c>
      <c r="BG227" s="9">
        <f t="shared" si="47"/>
        <v>0.99953583077708663</v>
      </c>
    </row>
    <row r="228" spans="2:59" x14ac:dyDescent="0.35">
      <c r="B228" s="3" t="s">
        <v>295</v>
      </c>
      <c r="D228" s="141">
        <v>21609</v>
      </c>
      <c r="E228" s="141">
        <v>13135</v>
      </c>
      <c r="F228" s="141">
        <v>4249</v>
      </c>
      <c r="G228" s="141">
        <v>950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44"/>
        <v>39943</v>
      </c>
      <c r="R228" s="141">
        <v>19809</v>
      </c>
      <c r="S228" s="141">
        <v>9894</v>
      </c>
      <c r="T228" s="141">
        <v>2270</v>
      </c>
      <c r="U228" s="141">
        <v>950</v>
      </c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45"/>
        <v>32923</v>
      </c>
      <c r="AF228" s="2">
        <f t="shared" si="52"/>
        <v>0.91670137442732191</v>
      </c>
      <c r="AG228" s="2">
        <f t="shared" si="52"/>
        <v>0.75325466311381806</v>
      </c>
      <c r="AH228" s="2">
        <f t="shared" si="52"/>
        <v>0.53424335137679457</v>
      </c>
      <c r="AI228" s="2">
        <f t="shared" si="52"/>
        <v>1</v>
      </c>
      <c r="AJ228" s="2" t="str">
        <f t="shared" si="52"/>
        <v/>
      </c>
      <c r="AK228" s="2" t="str">
        <f t="shared" si="52"/>
        <v/>
      </c>
      <c r="AL228" s="2" t="str">
        <f t="shared" si="52"/>
        <v/>
      </c>
      <c r="AM228" s="2" t="str">
        <f t="shared" si="52"/>
        <v/>
      </c>
      <c r="AN228" s="2" t="str">
        <f t="shared" si="52"/>
        <v/>
      </c>
      <c r="AO228" s="2" t="str">
        <f t="shared" si="51"/>
        <v/>
      </c>
      <c r="AP228" s="2" t="str">
        <f t="shared" si="51"/>
        <v/>
      </c>
      <c r="AQ228" s="2" t="str">
        <f t="shared" si="49"/>
        <v/>
      </c>
      <c r="AR228" s="2">
        <f t="shared" si="41"/>
        <v>0.82424955561675384</v>
      </c>
      <c r="AT228" s="143">
        <f t="shared" si="39"/>
        <v>-0.16344671131350386</v>
      </c>
      <c r="AU228" s="143">
        <f t="shared" si="40"/>
        <v>-0.21901131173702348</v>
      </c>
      <c r="AV228" s="143">
        <f t="shared" si="40"/>
        <v>0.46575664862320543</v>
      </c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46"/>
        <v>5.4348003364330091E-5</v>
      </c>
      <c r="BG228" s="9">
        <f t="shared" si="47"/>
        <v>0.99959017878045098</v>
      </c>
    </row>
    <row r="229" spans="2:59" x14ac:dyDescent="0.35">
      <c r="B229" s="3" t="s">
        <v>459</v>
      </c>
      <c r="D229" s="141">
        <v>2887</v>
      </c>
      <c r="E229" s="141">
        <v>2905</v>
      </c>
      <c r="F229" s="141">
        <v>4545</v>
      </c>
      <c r="G229" s="141">
        <v>260</v>
      </c>
      <c r="H229" s="141"/>
      <c r="I229" s="141"/>
      <c r="J229" s="141"/>
      <c r="K229" s="141"/>
      <c r="L229" s="141"/>
      <c r="M229" s="141"/>
      <c r="N229" s="141"/>
      <c r="O229" s="141"/>
      <c r="P229" s="141">
        <f t="shared" si="44"/>
        <v>10597</v>
      </c>
      <c r="R229" s="141">
        <v>1814</v>
      </c>
      <c r="S229" s="141">
        <v>1743</v>
      </c>
      <c r="T229" s="141">
        <v>3104</v>
      </c>
      <c r="U229" s="141">
        <v>100</v>
      </c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45"/>
        <v>6761</v>
      </c>
      <c r="AF229" s="2">
        <f t="shared" si="52"/>
        <v>0.628333910633876</v>
      </c>
      <c r="AG229" s="2">
        <f t="shared" si="52"/>
        <v>0.6</v>
      </c>
      <c r="AH229" s="2">
        <f t="shared" si="52"/>
        <v>0.68294829482948294</v>
      </c>
      <c r="AI229" s="2">
        <f t="shared" si="52"/>
        <v>0.38461538461538464</v>
      </c>
      <c r="AJ229" s="2" t="str">
        <f t="shared" si="52"/>
        <v/>
      </c>
      <c r="AK229" s="2" t="str">
        <f t="shared" si="52"/>
        <v/>
      </c>
      <c r="AL229" s="2" t="str">
        <f t="shared" si="52"/>
        <v/>
      </c>
      <c r="AM229" s="2" t="str">
        <f t="shared" si="52"/>
        <v/>
      </c>
      <c r="AN229" s="2" t="str">
        <f t="shared" si="52"/>
        <v/>
      </c>
      <c r="AO229" s="2" t="str">
        <f t="shared" si="51"/>
        <v/>
      </c>
      <c r="AP229" s="2" t="str">
        <f t="shared" si="51"/>
        <v/>
      </c>
      <c r="AQ229" s="2" t="str">
        <f t="shared" si="49"/>
        <v/>
      </c>
      <c r="AR229" s="2">
        <f t="shared" si="41"/>
        <v>0.63801075776163063</v>
      </c>
      <c r="AT229" s="143">
        <f t="shared" si="39"/>
        <v>-2.8333910633876025E-2</v>
      </c>
      <c r="AU229" s="143">
        <f t="shared" si="40"/>
        <v>8.294829482948296E-2</v>
      </c>
      <c r="AV229" s="143">
        <f t="shared" si="40"/>
        <v>-0.2983329102140983</v>
      </c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46"/>
        <v>1.1160794907700869E-5</v>
      </c>
      <c r="BG229" s="9">
        <f t="shared" si="47"/>
        <v>0.99960133957535868</v>
      </c>
    </row>
    <row r="230" spans="2:59" x14ac:dyDescent="0.35">
      <c r="B230" s="3" t="s">
        <v>305</v>
      </c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44"/>
        <v>0</v>
      </c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45"/>
        <v>0</v>
      </c>
      <c r="AF230" s="2" t="str">
        <f t="shared" si="52"/>
        <v/>
      </c>
      <c r="AG230" s="2" t="str">
        <f t="shared" si="52"/>
        <v/>
      </c>
      <c r="AH230" s="2" t="str">
        <f t="shared" si="52"/>
        <v/>
      </c>
      <c r="AI230" s="2" t="str">
        <f t="shared" si="52"/>
        <v/>
      </c>
      <c r="AJ230" s="2" t="str">
        <f t="shared" si="52"/>
        <v/>
      </c>
      <c r="AK230" s="2" t="str">
        <f t="shared" si="52"/>
        <v/>
      </c>
      <c r="AL230" s="2" t="str">
        <f t="shared" si="52"/>
        <v/>
      </c>
      <c r="AM230" s="2" t="str">
        <f t="shared" si="52"/>
        <v/>
      </c>
      <c r="AN230" s="2" t="str">
        <f t="shared" si="52"/>
        <v/>
      </c>
      <c r="AO230" s="2" t="str">
        <f t="shared" si="51"/>
        <v/>
      </c>
      <c r="AP230" s="2" t="str">
        <f t="shared" si="51"/>
        <v/>
      </c>
      <c r="AQ230" s="2" t="str">
        <f t="shared" si="49"/>
        <v/>
      </c>
      <c r="AR230" s="2" t="str">
        <f t="shared" si="41"/>
        <v/>
      </c>
      <c r="AT230" s="143" t="str">
        <f t="shared" si="39"/>
        <v/>
      </c>
      <c r="AU230" s="143" t="str">
        <f t="shared" si="40"/>
        <v/>
      </c>
      <c r="AV230" s="143" t="str">
        <f t="shared" si="40"/>
        <v/>
      </c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46"/>
        <v>0</v>
      </c>
      <c r="BG230" s="9">
        <f t="shared" si="47"/>
        <v>0.99960133957535868</v>
      </c>
    </row>
    <row r="231" spans="2:59" x14ac:dyDescent="0.35">
      <c r="B231" s="3" t="s">
        <v>299</v>
      </c>
      <c r="D231" s="141">
        <v>254</v>
      </c>
      <c r="E231" s="141"/>
      <c r="F231" s="141">
        <v>2430</v>
      </c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44"/>
        <v>2684</v>
      </c>
      <c r="R231" s="141">
        <v>114</v>
      </c>
      <c r="S231" s="141"/>
      <c r="T231" s="141">
        <v>2405</v>
      </c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45"/>
        <v>2519</v>
      </c>
      <c r="AF231" s="2">
        <f t="shared" si="52"/>
        <v>0.44881889763779526</v>
      </c>
      <c r="AG231" s="2" t="str">
        <f t="shared" si="52"/>
        <v/>
      </c>
      <c r="AH231" s="2">
        <f t="shared" si="52"/>
        <v>0.98971193415637859</v>
      </c>
      <c r="AI231" s="2" t="str">
        <f t="shared" si="52"/>
        <v/>
      </c>
      <c r="AJ231" s="2" t="str">
        <f t="shared" si="52"/>
        <v/>
      </c>
      <c r="AK231" s="2" t="str">
        <f t="shared" si="52"/>
        <v/>
      </c>
      <c r="AL231" s="2" t="str">
        <f t="shared" si="52"/>
        <v/>
      </c>
      <c r="AM231" s="2" t="str">
        <f t="shared" si="52"/>
        <v/>
      </c>
      <c r="AN231" s="2" t="str">
        <f t="shared" si="52"/>
        <v/>
      </c>
      <c r="AO231" s="2" t="str">
        <f t="shared" si="51"/>
        <v/>
      </c>
      <c r="AP231" s="2" t="str">
        <f t="shared" si="51"/>
        <v/>
      </c>
      <c r="AQ231" s="2" t="str">
        <f t="shared" si="49"/>
        <v/>
      </c>
      <c r="AR231" s="2">
        <f t="shared" si="41"/>
        <v>0.93852459016393441</v>
      </c>
      <c r="AT231" s="143" t="str">
        <f t="shared" si="39"/>
        <v/>
      </c>
      <c r="AU231" s="143" t="str">
        <f t="shared" si="40"/>
        <v/>
      </c>
      <c r="AV231" s="143" t="str">
        <f t="shared" si="40"/>
        <v/>
      </c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46"/>
        <v>4.1582668795294323E-6</v>
      </c>
      <c r="BG231" s="9">
        <f t="shared" si="47"/>
        <v>0.99960549784223818</v>
      </c>
    </row>
    <row r="232" spans="2:59" x14ac:dyDescent="0.35">
      <c r="B232" s="3" t="s">
        <v>294</v>
      </c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44"/>
        <v>0</v>
      </c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45"/>
        <v>0</v>
      </c>
      <c r="AF232" s="2" t="str">
        <f t="shared" si="52"/>
        <v/>
      </c>
      <c r="AG232" s="2" t="str">
        <f t="shared" si="52"/>
        <v/>
      </c>
      <c r="AH232" s="2" t="str">
        <f t="shared" si="52"/>
        <v/>
      </c>
      <c r="AI232" s="2" t="str">
        <f t="shared" si="52"/>
        <v/>
      </c>
      <c r="AJ232" s="2" t="str">
        <f t="shared" si="52"/>
        <v/>
      </c>
      <c r="AK232" s="2" t="str">
        <f t="shared" si="52"/>
        <v/>
      </c>
      <c r="AL232" s="2" t="str">
        <f t="shared" si="52"/>
        <v/>
      </c>
      <c r="AM232" s="2" t="str">
        <f t="shared" si="52"/>
        <v/>
      </c>
      <c r="AN232" s="2" t="str">
        <f t="shared" si="52"/>
        <v/>
      </c>
      <c r="AO232" s="2" t="str">
        <f t="shared" si="51"/>
        <v/>
      </c>
      <c r="AP232" s="2" t="str">
        <f t="shared" si="51"/>
        <v/>
      </c>
      <c r="AQ232" s="2" t="str">
        <f t="shared" si="49"/>
        <v/>
      </c>
      <c r="AR232" s="2" t="str">
        <f t="shared" si="41"/>
        <v/>
      </c>
      <c r="AT232" s="143" t="str">
        <f t="shared" si="39"/>
        <v/>
      </c>
      <c r="AU232" s="143" t="str">
        <f t="shared" si="40"/>
        <v/>
      </c>
      <c r="AV232" s="143" t="str">
        <f t="shared" si="40"/>
        <v/>
      </c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46"/>
        <v>0</v>
      </c>
      <c r="BG232" s="9">
        <f t="shared" si="47"/>
        <v>0.99960549784223818</v>
      </c>
    </row>
    <row r="233" spans="2:59" x14ac:dyDescent="0.35">
      <c r="B233" s="3" t="s">
        <v>304</v>
      </c>
      <c r="D233" s="141">
        <v>1257</v>
      </c>
      <c r="E233" s="141">
        <v>1242</v>
      </c>
      <c r="F233" s="141">
        <v>23542</v>
      </c>
      <c r="G233" s="141">
        <v>717</v>
      </c>
      <c r="H233" s="141"/>
      <c r="I233" s="141"/>
      <c r="J233" s="141"/>
      <c r="K233" s="141"/>
      <c r="L233" s="141"/>
      <c r="M233" s="141"/>
      <c r="N233" s="141"/>
      <c r="O233" s="141"/>
      <c r="P233" s="141">
        <f t="shared" si="44"/>
        <v>26758</v>
      </c>
      <c r="R233" s="141">
        <v>1257</v>
      </c>
      <c r="S233" s="141">
        <v>920</v>
      </c>
      <c r="T233" s="141">
        <v>16994</v>
      </c>
      <c r="U233" s="141">
        <v>408</v>
      </c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45"/>
        <v>19579</v>
      </c>
      <c r="AF233" s="2">
        <f t="shared" si="52"/>
        <v>1</v>
      </c>
      <c r="AG233" s="2">
        <f t="shared" si="52"/>
        <v>0.7407407407407407</v>
      </c>
      <c r="AH233" s="2">
        <f t="shared" si="52"/>
        <v>0.72185880553903659</v>
      </c>
      <c r="AI233" s="2">
        <f t="shared" si="52"/>
        <v>0.56903765690376573</v>
      </c>
      <c r="AJ233" s="2" t="str">
        <f t="shared" si="52"/>
        <v/>
      </c>
      <c r="AK233" s="2" t="str">
        <f t="shared" si="52"/>
        <v/>
      </c>
      <c r="AL233" s="2" t="str">
        <f t="shared" si="52"/>
        <v/>
      </c>
      <c r="AM233" s="2" t="str">
        <f t="shared" si="52"/>
        <v/>
      </c>
      <c r="AN233" s="2" t="str">
        <f t="shared" si="52"/>
        <v/>
      </c>
      <c r="AO233" s="2" t="str">
        <f t="shared" si="51"/>
        <v/>
      </c>
      <c r="AP233" s="2" t="str">
        <f t="shared" si="51"/>
        <v/>
      </c>
      <c r="AQ233" s="2" t="str">
        <f t="shared" si="49"/>
        <v/>
      </c>
      <c r="AR233" s="2">
        <f t="shared" si="41"/>
        <v>0.73170640556095379</v>
      </c>
      <c r="AT233" s="143">
        <f t="shared" si="39"/>
        <v>-0.2592592592592593</v>
      </c>
      <c r="AU233" s="143">
        <f t="shared" si="40"/>
        <v>-1.8881935201704114E-2</v>
      </c>
      <c r="AV233" s="143">
        <f t="shared" si="40"/>
        <v>-0.15282114863527085</v>
      </c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46"/>
        <v>3.2320249001312722E-5</v>
      </c>
      <c r="BG233" s="9">
        <f t="shared" si="47"/>
        <v>0.99963781809123953</v>
      </c>
    </row>
    <row r="234" spans="2:59" x14ac:dyDescent="0.35">
      <c r="B234" s="3" t="s">
        <v>291</v>
      </c>
      <c r="D234" s="141">
        <v>1418</v>
      </c>
      <c r="E234" s="141">
        <v>3896</v>
      </c>
      <c r="F234" s="141">
        <v>4457</v>
      </c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44"/>
        <v>9771</v>
      </c>
      <c r="R234" s="141">
        <v>611</v>
      </c>
      <c r="S234" s="141">
        <v>1523</v>
      </c>
      <c r="T234" s="141">
        <v>1835</v>
      </c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45"/>
        <v>3969</v>
      </c>
      <c r="AF234" s="2">
        <f t="shared" si="52"/>
        <v>0.4308885754583921</v>
      </c>
      <c r="AG234" s="2">
        <f t="shared" si="52"/>
        <v>0.39091375770020537</v>
      </c>
      <c r="AH234" s="2">
        <f t="shared" si="52"/>
        <v>0.4117119138433924</v>
      </c>
      <c r="AI234" s="2" t="str">
        <f t="shared" si="52"/>
        <v/>
      </c>
      <c r="AJ234" s="2" t="str">
        <f t="shared" si="52"/>
        <v/>
      </c>
      <c r="AK234" s="2" t="str">
        <f t="shared" si="52"/>
        <v/>
      </c>
      <c r="AL234" s="2" t="str">
        <f t="shared" si="52"/>
        <v/>
      </c>
      <c r="AM234" s="2" t="str">
        <f t="shared" si="52"/>
        <v/>
      </c>
      <c r="AN234" s="2" t="str">
        <f t="shared" si="52"/>
        <v/>
      </c>
      <c r="AO234" s="2" t="str">
        <f t="shared" si="51"/>
        <v/>
      </c>
      <c r="AP234" s="2" t="str">
        <f t="shared" si="51"/>
        <v/>
      </c>
      <c r="AQ234" s="2" t="str">
        <f t="shared" si="49"/>
        <v/>
      </c>
      <c r="AR234" s="2">
        <f t="shared" si="41"/>
        <v>0.40620202640466685</v>
      </c>
      <c r="AT234" s="143">
        <f t="shared" si="39"/>
        <v>-3.9974817758186731E-2</v>
      </c>
      <c r="AU234" s="143">
        <f t="shared" si="40"/>
        <v>2.079815614318703E-2</v>
      </c>
      <c r="AV234" s="143" t="str">
        <f t="shared" si="40"/>
        <v/>
      </c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46"/>
        <v>6.5518702837841668E-6</v>
      </c>
      <c r="BG234" s="9">
        <f t="shared" si="47"/>
        <v>0.99964436996152328</v>
      </c>
    </row>
    <row r="235" spans="2:59" x14ac:dyDescent="0.35">
      <c r="B235" s="3" t="s">
        <v>460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44"/>
        <v>0</v>
      </c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45"/>
        <v>0</v>
      </c>
      <c r="AF235" s="2" t="str">
        <f t="shared" si="52"/>
        <v/>
      </c>
      <c r="AG235" s="2" t="str">
        <f t="shared" si="52"/>
        <v/>
      </c>
      <c r="AH235" s="2" t="str">
        <f t="shared" si="52"/>
        <v/>
      </c>
      <c r="AI235" s="2" t="str">
        <f t="shared" si="52"/>
        <v/>
      </c>
      <c r="AJ235" s="2" t="str">
        <f t="shared" si="52"/>
        <v/>
      </c>
      <c r="AK235" s="2" t="str">
        <f t="shared" si="52"/>
        <v/>
      </c>
      <c r="AL235" s="2" t="str">
        <f t="shared" si="52"/>
        <v/>
      </c>
      <c r="AM235" s="2" t="str">
        <f t="shared" si="52"/>
        <v/>
      </c>
      <c r="AN235" s="2" t="str">
        <f t="shared" si="52"/>
        <v/>
      </c>
      <c r="AO235" s="2" t="str">
        <f t="shared" si="51"/>
        <v/>
      </c>
      <c r="AP235" s="2" t="str">
        <f t="shared" si="51"/>
        <v/>
      </c>
      <c r="AQ235" s="2" t="str">
        <f t="shared" si="49"/>
        <v/>
      </c>
      <c r="AR235" s="2" t="str">
        <f t="shared" si="41"/>
        <v/>
      </c>
      <c r="AT235" s="143" t="str">
        <f t="shared" si="39"/>
        <v/>
      </c>
      <c r="AU235" s="143" t="str">
        <f t="shared" si="40"/>
        <v/>
      </c>
      <c r="AV235" s="143" t="str">
        <f t="shared" si="40"/>
        <v/>
      </c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46"/>
        <v>0</v>
      </c>
      <c r="BG235" s="9">
        <f t="shared" si="47"/>
        <v>0.99964436996152328</v>
      </c>
    </row>
    <row r="236" spans="2:59" x14ac:dyDescent="0.35">
      <c r="B236" s="3" t="s">
        <v>461</v>
      </c>
      <c r="D236" s="141">
        <v>3260</v>
      </c>
      <c r="E236" s="141">
        <v>9290</v>
      </c>
      <c r="F236" s="141">
        <v>4125</v>
      </c>
      <c r="G236" s="141">
        <v>2160</v>
      </c>
      <c r="H236" s="141"/>
      <c r="I236" s="141"/>
      <c r="J236" s="141"/>
      <c r="K236" s="141"/>
      <c r="L236" s="141"/>
      <c r="M236" s="141"/>
      <c r="N236" s="141"/>
      <c r="O236" s="141"/>
      <c r="P236" s="141">
        <f t="shared" si="44"/>
        <v>18835</v>
      </c>
      <c r="R236" s="141">
        <v>3260</v>
      </c>
      <c r="S236" s="141">
        <v>9290</v>
      </c>
      <c r="T236" s="141">
        <v>4125</v>
      </c>
      <c r="U236" s="141">
        <v>2160</v>
      </c>
      <c r="V236" s="141"/>
      <c r="W236" s="141"/>
      <c r="X236" s="141"/>
      <c r="Y236" s="141"/>
      <c r="Z236" s="141"/>
      <c r="AA236" s="141"/>
      <c r="AB236" s="141"/>
      <c r="AC236" s="141"/>
      <c r="AD236" s="141">
        <f t="shared" si="45"/>
        <v>18835</v>
      </c>
      <c r="AF236" s="2">
        <f t="shared" si="52"/>
        <v>1</v>
      </c>
      <c r="AG236" s="2">
        <f t="shared" si="52"/>
        <v>1</v>
      </c>
      <c r="AH236" s="2">
        <f t="shared" si="52"/>
        <v>1</v>
      </c>
      <c r="AI236" s="2">
        <f t="shared" si="52"/>
        <v>1</v>
      </c>
      <c r="AJ236" s="2" t="str">
        <f t="shared" si="52"/>
        <v/>
      </c>
      <c r="AK236" s="2" t="str">
        <f t="shared" si="52"/>
        <v/>
      </c>
      <c r="AL236" s="2" t="str">
        <f t="shared" si="52"/>
        <v/>
      </c>
      <c r="AM236" s="2" t="str">
        <f t="shared" si="52"/>
        <v/>
      </c>
      <c r="AN236" s="2" t="str">
        <f t="shared" si="52"/>
        <v/>
      </c>
      <c r="AO236" s="2" t="str">
        <f t="shared" si="51"/>
        <v/>
      </c>
      <c r="AP236" s="2" t="str">
        <f t="shared" si="51"/>
        <v/>
      </c>
      <c r="AQ236" s="2" t="str">
        <f t="shared" si="49"/>
        <v/>
      </c>
      <c r="AR236" s="2">
        <f t="shared" si="41"/>
        <v>1</v>
      </c>
      <c r="AT236" s="143">
        <f t="shared" si="39"/>
        <v>0</v>
      </c>
      <c r="AU236" s="143">
        <f t="shared" si="40"/>
        <v>0</v>
      </c>
      <c r="AV236" s="143">
        <f t="shared" si="40"/>
        <v>0</v>
      </c>
      <c r="AW236" s="143"/>
      <c r="AX236" s="143"/>
      <c r="AY236" s="143"/>
      <c r="AZ236" s="143"/>
      <c r="BA236" s="143"/>
      <c r="BB236" s="143"/>
      <c r="BC236" s="143"/>
      <c r="BD236" s="143"/>
      <c r="BF236" s="9">
        <f t="shared" si="46"/>
        <v>3.1092082840784776E-5</v>
      </c>
      <c r="BG236" s="9">
        <f t="shared" si="47"/>
        <v>0.99967546204436408</v>
      </c>
    </row>
    <row r="237" spans="2:59" x14ac:dyDescent="0.35">
      <c r="B237" s="3" t="s">
        <v>462</v>
      </c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>
        <f t="shared" si="44"/>
        <v>0</v>
      </c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>
        <f t="shared" si="45"/>
        <v>0</v>
      </c>
      <c r="AF237" s="2" t="str">
        <f t="shared" si="52"/>
        <v/>
      </c>
      <c r="AG237" s="2" t="str">
        <f t="shared" si="52"/>
        <v/>
      </c>
      <c r="AH237" s="2" t="str">
        <f t="shared" si="52"/>
        <v/>
      </c>
      <c r="AI237" s="2" t="str">
        <f t="shared" si="52"/>
        <v/>
      </c>
      <c r="AJ237" s="2" t="str">
        <f t="shared" si="52"/>
        <v/>
      </c>
      <c r="AK237" s="2" t="str">
        <f t="shared" si="52"/>
        <v/>
      </c>
      <c r="AL237" s="2" t="str">
        <f t="shared" si="52"/>
        <v/>
      </c>
      <c r="AM237" s="2" t="str">
        <f t="shared" si="52"/>
        <v/>
      </c>
      <c r="AN237" s="2" t="str">
        <f t="shared" si="52"/>
        <v/>
      </c>
      <c r="AO237" s="2" t="str">
        <f t="shared" si="51"/>
        <v/>
      </c>
      <c r="AP237" s="2" t="str">
        <f t="shared" si="51"/>
        <v/>
      </c>
      <c r="AQ237" s="2" t="str">
        <f t="shared" si="49"/>
        <v/>
      </c>
      <c r="AR237" s="2" t="str">
        <f t="shared" si="41"/>
        <v/>
      </c>
      <c r="AT237" s="143" t="str">
        <f t="shared" si="39"/>
        <v/>
      </c>
      <c r="AU237" s="143" t="str">
        <f t="shared" si="40"/>
        <v/>
      </c>
      <c r="AV237" s="143" t="str">
        <f t="shared" si="40"/>
        <v/>
      </c>
      <c r="AW237" s="143"/>
      <c r="AX237" s="143"/>
      <c r="AY237" s="143"/>
      <c r="AZ237" s="143"/>
      <c r="BA237" s="143"/>
      <c r="BB237" s="143"/>
      <c r="BC237" s="143"/>
      <c r="BD237" s="143"/>
      <c r="BF237" s="9">
        <f t="shared" si="46"/>
        <v>0</v>
      </c>
      <c r="BG237" s="9">
        <f t="shared" si="47"/>
        <v>0.99967546204436408</v>
      </c>
    </row>
    <row r="238" spans="2:59" x14ac:dyDescent="0.35">
      <c r="B238" s="3" t="s">
        <v>463</v>
      </c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>
        <f t="shared" si="44"/>
        <v>0</v>
      </c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>
        <f t="shared" si="45"/>
        <v>0</v>
      </c>
      <c r="AF238" s="2" t="str">
        <f t="shared" si="52"/>
        <v/>
      </c>
      <c r="AG238" s="2" t="str">
        <f t="shared" si="52"/>
        <v/>
      </c>
      <c r="AH238" s="2" t="str">
        <f t="shared" si="52"/>
        <v/>
      </c>
      <c r="AI238" s="2" t="str">
        <f t="shared" si="52"/>
        <v/>
      </c>
      <c r="AJ238" s="2" t="str">
        <f t="shared" si="52"/>
        <v/>
      </c>
      <c r="AK238" s="2" t="str">
        <f t="shared" si="52"/>
        <v/>
      </c>
      <c r="AL238" s="2" t="str">
        <f t="shared" si="52"/>
        <v/>
      </c>
      <c r="AM238" s="2" t="str">
        <f t="shared" si="52"/>
        <v/>
      </c>
      <c r="AN238" s="2" t="str">
        <f t="shared" si="52"/>
        <v/>
      </c>
      <c r="AO238" s="2" t="str">
        <f t="shared" si="51"/>
        <v/>
      </c>
      <c r="AP238" s="2" t="str">
        <f t="shared" si="51"/>
        <v/>
      </c>
      <c r="AQ238" s="2" t="str">
        <f t="shared" si="49"/>
        <v/>
      </c>
      <c r="AR238" s="2" t="str">
        <f t="shared" si="41"/>
        <v/>
      </c>
      <c r="AT238" s="143" t="str">
        <f t="shared" ref="AT238:AT256" si="53">+IFERROR(AG238-AF238,"")</f>
        <v/>
      </c>
      <c r="AU238" s="143" t="str">
        <f t="shared" ref="AU238:AV256" si="54">+IFERROR(AH238-AG238,"")</f>
        <v/>
      </c>
      <c r="AV238" s="143" t="str">
        <f t="shared" si="54"/>
        <v/>
      </c>
      <c r="AW238" s="143"/>
      <c r="AX238" s="143"/>
      <c r="AY238" s="143"/>
      <c r="AZ238" s="143"/>
      <c r="BA238" s="143"/>
      <c r="BB238" s="143"/>
      <c r="BC238" s="143"/>
      <c r="BD238" s="143"/>
      <c r="BF238" s="9">
        <f t="shared" si="46"/>
        <v>0</v>
      </c>
      <c r="BG238" s="9">
        <f t="shared" si="47"/>
        <v>0.99967546204436408</v>
      </c>
    </row>
    <row r="239" spans="2:59" x14ac:dyDescent="0.35">
      <c r="B239" s="3" t="s">
        <v>464</v>
      </c>
      <c r="D239" s="141">
        <v>770</v>
      </c>
      <c r="E239" s="141"/>
      <c r="F239" s="141">
        <v>858</v>
      </c>
      <c r="G239" s="141"/>
      <c r="H239" s="141"/>
      <c r="I239" s="141"/>
      <c r="J239" s="141"/>
      <c r="K239" s="141"/>
      <c r="L239" s="141"/>
      <c r="M239" s="141"/>
      <c r="N239" s="141"/>
      <c r="O239" s="141"/>
      <c r="P239" s="141">
        <f t="shared" si="44"/>
        <v>1628</v>
      </c>
      <c r="R239" s="141">
        <v>770</v>
      </c>
      <c r="S239" s="141"/>
      <c r="T239" s="141">
        <v>163</v>
      </c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>
        <f t="shared" si="45"/>
        <v>933</v>
      </c>
      <c r="AF239" s="2">
        <f t="shared" si="52"/>
        <v>1</v>
      </c>
      <c r="AG239" s="2" t="str">
        <f t="shared" si="52"/>
        <v/>
      </c>
      <c r="AH239" s="2">
        <f t="shared" si="52"/>
        <v>0.18997668997668998</v>
      </c>
      <c r="AI239" s="2" t="str">
        <f t="shared" si="52"/>
        <v/>
      </c>
      <c r="AJ239" s="2" t="str">
        <f t="shared" si="52"/>
        <v/>
      </c>
      <c r="AK239" s="2" t="str">
        <f t="shared" si="52"/>
        <v/>
      </c>
      <c r="AL239" s="2" t="str">
        <f t="shared" si="52"/>
        <v/>
      </c>
      <c r="AM239" s="2" t="str">
        <f t="shared" si="52"/>
        <v/>
      </c>
      <c r="AN239" s="2" t="str">
        <f t="shared" si="52"/>
        <v/>
      </c>
      <c r="AO239" s="2" t="str">
        <f t="shared" si="51"/>
        <v/>
      </c>
      <c r="AP239" s="2" t="str">
        <f t="shared" si="51"/>
        <v/>
      </c>
      <c r="AQ239" s="2" t="str">
        <f t="shared" si="49"/>
        <v/>
      </c>
      <c r="AR239" s="2">
        <f t="shared" si="41"/>
        <v>0.57309582309582308</v>
      </c>
      <c r="AT239" s="143" t="str">
        <f t="shared" si="53"/>
        <v/>
      </c>
      <c r="AU239" s="143" t="str">
        <f t="shared" si="54"/>
        <v/>
      </c>
      <c r="AV239" s="143" t="str">
        <f t="shared" si="54"/>
        <v/>
      </c>
      <c r="AW239" s="143"/>
      <c r="AX239" s="143"/>
      <c r="AY239" s="143"/>
      <c r="AZ239" s="143"/>
      <c r="BA239" s="143"/>
      <c r="BB239" s="143"/>
      <c r="BC239" s="143"/>
      <c r="BD239" s="143"/>
      <c r="BF239" s="9">
        <f t="shared" si="46"/>
        <v>1.5401599835652879E-6</v>
      </c>
      <c r="BG239" s="9">
        <f t="shared" si="47"/>
        <v>0.99967700220434763</v>
      </c>
    </row>
    <row r="240" spans="2:59" x14ac:dyDescent="0.35">
      <c r="B240" s="3" t="s">
        <v>465</v>
      </c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>
        <f t="shared" si="44"/>
        <v>0</v>
      </c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>
        <f t="shared" si="45"/>
        <v>0</v>
      </c>
      <c r="AF240" s="2" t="str">
        <f t="shared" si="52"/>
        <v/>
      </c>
      <c r="AG240" s="2" t="str">
        <f t="shared" si="52"/>
        <v/>
      </c>
      <c r="AH240" s="2" t="str">
        <f t="shared" si="52"/>
        <v/>
      </c>
      <c r="AI240" s="2" t="str">
        <f t="shared" si="52"/>
        <v/>
      </c>
      <c r="AJ240" s="2" t="str">
        <f t="shared" si="52"/>
        <v/>
      </c>
      <c r="AK240" s="2" t="str">
        <f t="shared" si="52"/>
        <v/>
      </c>
      <c r="AL240" s="2" t="str">
        <f t="shared" si="52"/>
        <v/>
      </c>
      <c r="AM240" s="2" t="str">
        <f t="shared" si="52"/>
        <v/>
      </c>
      <c r="AN240" s="2" t="str">
        <f t="shared" si="52"/>
        <v/>
      </c>
      <c r="AO240" s="2" t="str">
        <f t="shared" si="51"/>
        <v/>
      </c>
      <c r="AP240" s="2" t="str">
        <f t="shared" si="51"/>
        <v/>
      </c>
      <c r="AQ240" s="2" t="str">
        <f t="shared" si="49"/>
        <v/>
      </c>
      <c r="AR240" s="2" t="str">
        <f t="shared" si="49"/>
        <v/>
      </c>
      <c r="AT240" s="143" t="str">
        <f t="shared" si="53"/>
        <v/>
      </c>
      <c r="AU240" s="143" t="str">
        <f t="shared" si="54"/>
        <v/>
      </c>
      <c r="AV240" s="143" t="str">
        <f t="shared" si="54"/>
        <v/>
      </c>
      <c r="AW240" s="143"/>
      <c r="AX240" s="143"/>
      <c r="AY240" s="143"/>
      <c r="AZ240" s="143"/>
      <c r="BA240" s="143"/>
      <c r="BB240" s="143"/>
      <c r="BC240" s="143"/>
      <c r="BD240" s="143"/>
      <c r="BF240" s="9">
        <f t="shared" si="46"/>
        <v>0</v>
      </c>
      <c r="BG240" s="9">
        <f t="shared" si="47"/>
        <v>0.99967700220434763</v>
      </c>
    </row>
    <row r="241" spans="2:59" x14ac:dyDescent="0.35">
      <c r="B241" s="3" t="s">
        <v>466</v>
      </c>
      <c r="D241" s="141">
        <v>864</v>
      </c>
      <c r="E241" s="141">
        <v>760</v>
      </c>
      <c r="F241" s="141">
        <v>1705</v>
      </c>
      <c r="G241" s="141"/>
      <c r="H241" s="141"/>
      <c r="I241" s="141"/>
      <c r="J241" s="141"/>
      <c r="K241" s="141"/>
      <c r="L241" s="141"/>
      <c r="M241" s="141"/>
      <c r="N241" s="141"/>
      <c r="O241" s="141"/>
      <c r="P241" s="141">
        <f t="shared" si="44"/>
        <v>3329</v>
      </c>
      <c r="R241" s="141">
        <v>864</v>
      </c>
      <c r="S241" s="141">
        <v>760</v>
      </c>
      <c r="T241" s="141">
        <v>1705</v>
      </c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>
        <f t="shared" si="45"/>
        <v>3329</v>
      </c>
      <c r="AF241" s="2">
        <f t="shared" si="52"/>
        <v>1</v>
      </c>
      <c r="AG241" s="2">
        <f t="shared" si="52"/>
        <v>1</v>
      </c>
      <c r="AH241" s="2">
        <f t="shared" si="52"/>
        <v>1</v>
      </c>
      <c r="AI241" s="2" t="str">
        <f t="shared" si="52"/>
        <v/>
      </c>
      <c r="AJ241" s="2" t="str">
        <f t="shared" si="52"/>
        <v/>
      </c>
      <c r="AK241" s="2" t="str">
        <f t="shared" si="52"/>
        <v/>
      </c>
      <c r="AL241" s="2" t="str">
        <f t="shared" si="52"/>
        <v/>
      </c>
      <c r="AM241" s="2" t="str">
        <f t="shared" si="52"/>
        <v/>
      </c>
      <c r="AN241" s="2" t="str">
        <f t="shared" si="52"/>
        <v/>
      </c>
      <c r="AO241" s="2" t="str">
        <f t="shared" si="51"/>
        <v/>
      </c>
      <c r="AP241" s="2" t="str">
        <f t="shared" si="51"/>
        <v/>
      </c>
      <c r="AQ241" s="2" t="str">
        <f t="shared" si="49"/>
        <v/>
      </c>
      <c r="AR241" s="2">
        <f t="shared" si="49"/>
        <v>1</v>
      </c>
      <c r="AT241" s="143">
        <f t="shared" si="53"/>
        <v>0</v>
      </c>
      <c r="AU241" s="143">
        <f t="shared" si="54"/>
        <v>0</v>
      </c>
      <c r="AV241" s="143" t="str">
        <f t="shared" si="54"/>
        <v/>
      </c>
      <c r="AW241" s="143"/>
      <c r="AX241" s="143"/>
      <c r="AY241" s="143"/>
      <c r="AZ241" s="143"/>
      <c r="BA241" s="143"/>
      <c r="BB241" s="143"/>
      <c r="BC241" s="143"/>
      <c r="BD241" s="143"/>
      <c r="BF241" s="9">
        <f t="shared" si="46"/>
        <v>5.4953832639751805E-6</v>
      </c>
      <c r="BG241" s="9">
        <f t="shared" si="47"/>
        <v>0.99968249758761163</v>
      </c>
    </row>
    <row r="242" spans="2:59" x14ac:dyDescent="0.35">
      <c r="B242" s="3" t="s">
        <v>467</v>
      </c>
      <c r="D242" s="141">
        <v>98323</v>
      </c>
      <c r="E242" s="141">
        <v>95975</v>
      </c>
      <c r="F242" s="141">
        <v>75289</v>
      </c>
      <c r="G242" s="141"/>
      <c r="H242" s="141"/>
      <c r="I242" s="141"/>
      <c r="J242" s="141"/>
      <c r="K242" s="141"/>
      <c r="L242" s="141"/>
      <c r="M242" s="141"/>
      <c r="N242" s="141"/>
      <c r="O242" s="141"/>
      <c r="P242" s="141">
        <f t="shared" si="44"/>
        <v>269587</v>
      </c>
      <c r="R242" s="141">
        <v>70985</v>
      </c>
      <c r="S242" s="141">
        <v>68579</v>
      </c>
      <c r="T242" s="141">
        <v>52773</v>
      </c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>
        <f t="shared" si="45"/>
        <v>192337</v>
      </c>
      <c r="AF242" s="2">
        <f t="shared" si="52"/>
        <v>0.72195722262339435</v>
      </c>
      <c r="AG242" s="2">
        <f t="shared" si="52"/>
        <v>0.71455066423547797</v>
      </c>
      <c r="AH242" s="2">
        <f t="shared" si="52"/>
        <v>0.70093904820093245</v>
      </c>
      <c r="AI242" s="2" t="str">
        <f t="shared" si="52"/>
        <v/>
      </c>
      <c r="AJ242" s="2" t="str">
        <f t="shared" si="52"/>
        <v/>
      </c>
      <c r="AK242" s="2" t="str">
        <f t="shared" si="52"/>
        <v/>
      </c>
      <c r="AL242" s="2" t="str">
        <f t="shared" si="52"/>
        <v/>
      </c>
      <c r="AM242" s="2" t="str">
        <f t="shared" si="52"/>
        <v/>
      </c>
      <c r="AN242" s="2" t="str">
        <f t="shared" si="52"/>
        <v/>
      </c>
      <c r="AO242" s="2" t="str">
        <f t="shared" si="51"/>
        <v/>
      </c>
      <c r="AP242" s="2" t="str">
        <f t="shared" si="51"/>
        <v/>
      </c>
      <c r="AQ242" s="2" t="str">
        <f t="shared" si="49"/>
        <v/>
      </c>
      <c r="AR242" s="2">
        <f t="shared" si="49"/>
        <v>0.71345057439713344</v>
      </c>
      <c r="AT242" s="143">
        <f t="shared" si="53"/>
        <v>-7.4065583879163732E-3</v>
      </c>
      <c r="AU242" s="143">
        <f t="shared" si="54"/>
        <v>-1.3611616034545526E-2</v>
      </c>
      <c r="AV242" s="143" t="str">
        <f t="shared" si="54"/>
        <v/>
      </c>
      <c r="AW242" s="143"/>
      <c r="AX242" s="143"/>
      <c r="AY242" s="143"/>
      <c r="AZ242" s="143"/>
      <c r="BA242" s="143"/>
      <c r="BB242" s="143"/>
      <c r="BC242" s="143"/>
      <c r="BD242" s="143"/>
      <c r="BF242" s="9">
        <f t="shared" si="46"/>
        <v>3.1750241238906408E-4</v>
      </c>
      <c r="BG242" s="9">
        <f t="shared" si="47"/>
        <v>1.0000000000000007</v>
      </c>
    </row>
    <row r="243" spans="2:59" x14ac:dyDescent="0.35">
      <c r="B243" s="3" t="s">
        <v>468</v>
      </c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>
        <f t="shared" si="44"/>
        <v>0</v>
      </c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>
        <f t="shared" si="45"/>
        <v>0</v>
      </c>
      <c r="AF243" s="2" t="str">
        <f t="shared" si="52"/>
        <v/>
      </c>
      <c r="AG243" s="2" t="str">
        <f t="shared" si="52"/>
        <v/>
      </c>
      <c r="AH243" s="2" t="str">
        <f t="shared" si="52"/>
        <v/>
      </c>
      <c r="AI243" s="2" t="str">
        <f t="shared" ref="AI243:AN255" si="55">+IFERROR(U243/G243,"")</f>
        <v/>
      </c>
      <c r="AJ243" s="2" t="str">
        <f t="shared" si="55"/>
        <v/>
      </c>
      <c r="AK243" s="2" t="str">
        <f t="shared" si="55"/>
        <v/>
      </c>
      <c r="AL243" s="2" t="str">
        <f t="shared" si="55"/>
        <v/>
      </c>
      <c r="AM243" s="2" t="str">
        <f t="shared" si="55"/>
        <v/>
      </c>
      <c r="AN243" s="2" t="str">
        <f t="shared" si="55"/>
        <v/>
      </c>
      <c r="AO243" s="2" t="str">
        <f t="shared" si="51"/>
        <v/>
      </c>
      <c r="AP243" s="2" t="str">
        <f t="shared" si="51"/>
        <v/>
      </c>
      <c r="AQ243" s="2" t="str">
        <f t="shared" si="49"/>
        <v/>
      </c>
      <c r="AR243" s="2" t="str">
        <f t="shared" si="49"/>
        <v/>
      </c>
      <c r="AT243" s="143" t="str">
        <f t="shared" si="53"/>
        <v/>
      </c>
      <c r="AU243" s="143" t="str">
        <f t="shared" si="54"/>
        <v/>
      </c>
      <c r="AV243" s="143"/>
      <c r="AW243" s="143"/>
      <c r="AX243" s="143"/>
      <c r="AY243" s="143"/>
      <c r="AZ243" s="143"/>
      <c r="BA243" s="143"/>
      <c r="BB243" s="143"/>
      <c r="BC243" s="143"/>
      <c r="BD243" s="143"/>
      <c r="BF243" s="9">
        <f t="shared" si="46"/>
        <v>0</v>
      </c>
      <c r="BG243" s="9">
        <f t="shared" si="47"/>
        <v>1.0000000000000007</v>
      </c>
    </row>
    <row r="244" spans="2:59" x14ac:dyDescent="0.35">
      <c r="B244" s="3" t="s">
        <v>469</v>
      </c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>
        <f t="shared" si="44"/>
        <v>0</v>
      </c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>
        <f t="shared" si="45"/>
        <v>0</v>
      </c>
      <c r="AF244" s="2" t="str">
        <f t="shared" ref="AF244:AR256" si="56">+IFERROR(R244/D244,"")</f>
        <v/>
      </c>
      <c r="AG244" s="2" t="str">
        <f t="shared" si="56"/>
        <v/>
      </c>
      <c r="AH244" s="2" t="str">
        <f t="shared" si="56"/>
        <v/>
      </c>
      <c r="AI244" s="2" t="str">
        <f t="shared" si="55"/>
        <v/>
      </c>
      <c r="AJ244" s="2" t="str">
        <f t="shared" si="55"/>
        <v/>
      </c>
      <c r="AK244" s="2" t="str">
        <f t="shared" si="55"/>
        <v/>
      </c>
      <c r="AL244" s="2" t="str">
        <f t="shared" si="55"/>
        <v/>
      </c>
      <c r="AM244" s="2" t="str">
        <f t="shared" si="55"/>
        <v/>
      </c>
      <c r="AN244" s="2" t="str">
        <f t="shared" si="55"/>
        <v/>
      </c>
      <c r="AO244" s="2" t="str">
        <f t="shared" si="51"/>
        <v/>
      </c>
      <c r="AP244" s="2" t="str">
        <f t="shared" si="51"/>
        <v/>
      </c>
      <c r="AQ244" s="2" t="str">
        <f t="shared" si="49"/>
        <v/>
      </c>
      <c r="AR244" s="2" t="str">
        <f t="shared" si="49"/>
        <v/>
      </c>
      <c r="AT244" s="143" t="str">
        <f t="shared" si="53"/>
        <v/>
      </c>
      <c r="AU244" s="143" t="str">
        <f t="shared" si="54"/>
        <v/>
      </c>
      <c r="AV244" s="143"/>
      <c r="AW244" s="143"/>
      <c r="AX244" s="143"/>
      <c r="AY244" s="143"/>
      <c r="AZ244" s="143"/>
      <c r="BA244" s="143"/>
      <c r="BB244" s="143"/>
      <c r="BC244" s="143"/>
      <c r="BD244" s="143"/>
      <c r="BF244" s="9">
        <f t="shared" si="46"/>
        <v>0</v>
      </c>
      <c r="BG244" s="9">
        <f t="shared" si="47"/>
        <v>1.0000000000000007</v>
      </c>
    </row>
    <row r="245" spans="2:59" x14ac:dyDescent="0.35">
      <c r="B245" s="3" t="s">
        <v>470</v>
      </c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>
        <f t="shared" si="44"/>
        <v>0</v>
      </c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>
        <f t="shared" si="45"/>
        <v>0</v>
      </c>
      <c r="AF245" s="2" t="str">
        <f t="shared" si="56"/>
        <v/>
      </c>
      <c r="AG245" s="2" t="str">
        <f t="shared" si="56"/>
        <v/>
      </c>
      <c r="AH245" s="2" t="str">
        <f t="shared" si="56"/>
        <v/>
      </c>
      <c r="AI245" s="2" t="str">
        <f t="shared" si="55"/>
        <v/>
      </c>
      <c r="AJ245" s="2" t="str">
        <f t="shared" si="55"/>
        <v/>
      </c>
      <c r="AK245" s="2" t="str">
        <f t="shared" si="55"/>
        <v/>
      </c>
      <c r="AL245" s="2" t="str">
        <f t="shared" si="55"/>
        <v/>
      </c>
      <c r="AM245" s="2" t="str">
        <f t="shared" si="55"/>
        <v/>
      </c>
      <c r="AN245" s="2" t="str">
        <f t="shared" si="55"/>
        <v/>
      </c>
      <c r="AO245" s="2" t="str">
        <f t="shared" si="51"/>
        <v/>
      </c>
      <c r="AP245" s="2" t="str">
        <f t="shared" si="51"/>
        <v/>
      </c>
      <c r="AQ245" s="2" t="str">
        <f t="shared" si="49"/>
        <v/>
      </c>
      <c r="AR245" s="2" t="str">
        <f t="shared" si="49"/>
        <v/>
      </c>
      <c r="AT245" s="143" t="str">
        <f t="shared" si="53"/>
        <v/>
      </c>
      <c r="AU245" s="143" t="str">
        <f t="shared" si="54"/>
        <v/>
      </c>
      <c r="AV245" s="143"/>
      <c r="AW245" s="143"/>
      <c r="AX245" s="143"/>
      <c r="AY245" s="143"/>
      <c r="AZ245" s="143"/>
      <c r="BA245" s="143"/>
      <c r="BB245" s="143"/>
      <c r="BC245" s="143"/>
      <c r="BD245" s="143"/>
      <c r="BF245" s="9">
        <f t="shared" si="46"/>
        <v>0</v>
      </c>
      <c r="BG245" s="9">
        <f t="shared" si="47"/>
        <v>1.0000000000000007</v>
      </c>
    </row>
    <row r="246" spans="2:59" x14ac:dyDescent="0.35">
      <c r="B246" s="3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>
        <f t="shared" si="44"/>
        <v>0</v>
      </c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>
        <f t="shared" si="45"/>
        <v>0</v>
      </c>
      <c r="AF246" s="2" t="str">
        <f t="shared" si="56"/>
        <v/>
      </c>
      <c r="AG246" s="2" t="str">
        <f t="shared" si="56"/>
        <v/>
      </c>
      <c r="AH246" s="2" t="str">
        <f t="shared" si="56"/>
        <v/>
      </c>
      <c r="AI246" s="2" t="str">
        <f t="shared" si="55"/>
        <v/>
      </c>
      <c r="AJ246" s="2" t="str">
        <f t="shared" si="55"/>
        <v/>
      </c>
      <c r="AK246" s="2" t="str">
        <f t="shared" si="55"/>
        <v/>
      </c>
      <c r="AL246" s="2" t="str">
        <f t="shared" si="55"/>
        <v/>
      </c>
      <c r="AM246" s="2" t="str">
        <f t="shared" si="55"/>
        <v/>
      </c>
      <c r="AN246" s="2" t="str">
        <f t="shared" si="55"/>
        <v/>
      </c>
      <c r="AO246" s="2" t="str">
        <f t="shared" si="51"/>
        <v/>
      </c>
      <c r="AP246" s="2" t="str">
        <f t="shared" si="51"/>
        <v/>
      </c>
      <c r="AQ246" s="2" t="str">
        <f t="shared" si="49"/>
        <v/>
      </c>
      <c r="AR246" s="2" t="str">
        <f t="shared" si="49"/>
        <v/>
      </c>
      <c r="AT246" s="143" t="str">
        <f t="shared" si="53"/>
        <v/>
      </c>
      <c r="AU246" s="143" t="str">
        <f t="shared" si="54"/>
        <v/>
      </c>
      <c r="AV246" s="143"/>
      <c r="AW246" s="143"/>
      <c r="AX246" s="143"/>
      <c r="AY246" s="143"/>
      <c r="AZ246" s="143"/>
      <c r="BA246" s="143"/>
      <c r="BB246" s="143"/>
      <c r="BC246" s="143"/>
      <c r="BD246" s="143"/>
      <c r="BF246" s="9">
        <f t="shared" si="46"/>
        <v>0</v>
      </c>
      <c r="BG246" s="9">
        <f t="shared" si="47"/>
        <v>1.0000000000000007</v>
      </c>
    </row>
    <row r="247" spans="2:59" x14ac:dyDescent="0.35">
      <c r="B247" s="3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>
        <f t="shared" si="44"/>
        <v>0</v>
      </c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>
        <f t="shared" si="45"/>
        <v>0</v>
      </c>
      <c r="AF247" s="2" t="str">
        <f t="shared" si="56"/>
        <v/>
      </c>
      <c r="AG247" s="2" t="str">
        <f t="shared" si="56"/>
        <v/>
      </c>
      <c r="AH247" s="2" t="str">
        <f t="shared" si="56"/>
        <v/>
      </c>
      <c r="AI247" s="2" t="str">
        <f t="shared" si="55"/>
        <v/>
      </c>
      <c r="AJ247" s="2" t="str">
        <f t="shared" si="55"/>
        <v/>
      </c>
      <c r="AK247" s="2" t="str">
        <f t="shared" si="55"/>
        <v/>
      </c>
      <c r="AL247" s="2" t="str">
        <f t="shared" si="55"/>
        <v/>
      </c>
      <c r="AM247" s="2" t="str">
        <f t="shared" si="55"/>
        <v/>
      </c>
      <c r="AN247" s="2" t="str">
        <f t="shared" si="55"/>
        <v/>
      </c>
      <c r="AO247" s="2" t="str">
        <f t="shared" si="51"/>
        <v/>
      </c>
      <c r="AP247" s="2" t="str">
        <f t="shared" si="51"/>
        <v/>
      </c>
      <c r="AQ247" s="2" t="str">
        <f t="shared" si="49"/>
        <v/>
      </c>
      <c r="AR247" s="2" t="str">
        <f t="shared" si="49"/>
        <v/>
      </c>
      <c r="AT247" s="143" t="str">
        <f t="shared" si="53"/>
        <v/>
      </c>
      <c r="AU247" s="143" t="str">
        <f t="shared" si="54"/>
        <v/>
      </c>
      <c r="AV247" s="143"/>
      <c r="AW247" s="143"/>
      <c r="AX247" s="143"/>
      <c r="AY247" s="143"/>
      <c r="AZ247" s="143"/>
      <c r="BA247" s="143"/>
      <c r="BB247" s="143"/>
      <c r="BC247" s="143"/>
      <c r="BD247" s="143"/>
      <c r="BF247" s="9">
        <f t="shared" si="46"/>
        <v>0</v>
      </c>
      <c r="BG247" s="9">
        <f t="shared" si="47"/>
        <v>1.0000000000000007</v>
      </c>
    </row>
    <row r="248" spans="2:59" x14ac:dyDescent="0.35">
      <c r="B248" s="3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>
        <f t="shared" si="44"/>
        <v>0</v>
      </c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>
        <f t="shared" si="45"/>
        <v>0</v>
      </c>
      <c r="AF248" s="2" t="str">
        <f t="shared" si="56"/>
        <v/>
      </c>
      <c r="AG248" s="2" t="str">
        <f t="shared" si="56"/>
        <v/>
      </c>
      <c r="AH248" s="2" t="str">
        <f t="shared" si="56"/>
        <v/>
      </c>
      <c r="AI248" s="2" t="str">
        <f t="shared" si="55"/>
        <v/>
      </c>
      <c r="AJ248" s="2" t="str">
        <f t="shared" si="55"/>
        <v/>
      </c>
      <c r="AK248" s="2" t="str">
        <f t="shared" si="55"/>
        <v/>
      </c>
      <c r="AL248" s="2" t="str">
        <f t="shared" si="55"/>
        <v/>
      </c>
      <c r="AM248" s="2" t="str">
        <f t="shared" si="55"/>
        <v/>
      </c>
      <c r="AN248" s="2" t="str">
        <f t="shared" si="55"/>
        <v/>
      </c>
      <c r="AO248" s="2" t="str">
        <f t="shared" si="51"/>
        <v/>
      </c>
      <c r="AP248" s="2" t="str">
        <f t="shared" si="51"/>
        <v/>
      </c>
      <c r="AQ248" s="2" t="str">
        <f t="shared" si="49"/>
        <v/>
      </c>
      <c r="AR248" s="2" t="str">
        <f t="shared" si="49"/>
        <v/>
      </c>
      <c r="AT248" s="143" t="str">
        <f t="shared" si="53"/>
        <v/>
      </c>
      <c r="AU248" s="143" t="str">
        <f t="shared" si="54"/>
        <v/>
      </c>
      <c r="AV248" s="143"/>
      <c r="AW248" s="143"/>
      <c r="AX248" s="143"/>
      <c r="AY248" s="143"/>
      <c r="AZ248" s="143"/>
      <c r="BA248" s="143"/>
      <c r="BB248" s="143"/>
      <c r="BC248" s="143"/>
      <c r="BD248" s="143"/>
      <c r="BF248" s="9">
        <f t="shared" si="46"/>
        <v>0</v>
      </c>
      <c r="BG248" s="9">
        <f t="shared" si="47"/>
        <v>1.0000000000000007</v>
      </c>
    </row>
    <row r="249" spans="2:59" x14ac:dyDescent="0.35">
      <c r="B249" s="3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>
        <f t="shared" si="44"/>
        <v>0</v>
      </c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>
        <f t="shared" si="45"/>
        <v>0</v>
      </c>
      <c r="AF249" s="2" t="str">
        <f t="shared" si="56"/>
        <v/>
      </c>
      <c r="AG249" s="2" t="str">
        <f t="shared" si="56"/>
        <v/>
      </c>
      <c r="AH249" s="2" t="str">
        <f t="shared" si="56"/>
        <v/>
      </c>
      <c r="AI249" s="2" t="str">
        <f t="shared" si="55"/>
        <v/>
      </c>
      <c r="AJ249" s="2" t="str">
        <f t="shared" si="55"/>
        <v/>
      </c>
      <c r="AK249" s="2" t="str">
        <f t="shared" si="55"/>
        <v/>
      </c>
      <c r="AL249" s="2" t="str">
        <f t="shared" si="55"/>
        <v/>
      </c>
      <c r="AM249" s="2" t="str">
        <f t="shared" si="55"/>
        <v/>
      </c>
      <c r="AN249" s="2" t="str">
        <f t="shared" si="55"/>
        <v/>
      </c>
      <c r="AO249" s="2" t="str">
        <f t="shared" si="51"/>
        <v/>
      </c>
      <c r="AP249" s="2" t="str">
        <f t="shared" si="51"/>
        <v/>
      </c>
      <c r="AQ249" s="2" t="str">
        <f t="shared" si="49"/>
        <v/>
      </c>
      <c r="AR249" s="2" t="str">
        <f t="shared" si="49"/>
        <v/>
      </c>
      <c r="AT249" s="143" t="str">
        <f t="shared" si="53"/>
        <v/>
      </c>
      <c r="AU249" s="143" t="str">
        <f t="shared" si="54"/>
        <v/>
      </c>
      <c r="AV249" s="143"/>
      <c r="AW249" s="143"/>
      <c r="AX249" s="143"/>
      <c r="AY249" s="143"/>
      <c r="AZ249" s="143"/>
      <c r="BA249" s="143"/>
      <c r="BB249" s="143"/>
      <c r="BC249" s="143"/>
      <c r="BD249" s="143"/>
      <c r="BF249" s="9">
        <f t="shared" si="46"/>
        <v>0</v>
      </c>
      <c r="BG249" s="9">
        <f t="shared" si="47"/>
        <v>1.0000000000000007</v>
      </c>
    </row>
    <row r="250" spans="2:59" x14ac:dyDescent="0.35">
      <c r="B250" s="3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>
        <f t="shared" si="44"/>
        <v>0</v>
      </c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>
        <f t="shared" si="45"/>
        <v>0</v>
      </c>
      <c r="AF250" s="2" t="str">
        <f t="shared" si="56"/>
        <v/>
      </c>
      <c r="AG250" s="2" t="str">
        <f t="shared" si="56"/>
        <v/>
      </c>
      <c r="AH250" s="2" t="str">
        <f t="shared" si="56"/>
        <v/>
      </c>
      <c r="AI250" s="2" t="str">
        <f t="shared" si="55"/>
        <v/>
      </c>
      <c r="AJ250" s="2" t="str">
        <f t="shared" si="55"/>
        <v/>
      </c>
      <c r="AK250" s="2" t="str">
        <f t="shared" si="55"/>
        <v/>
      </c>
      <c r="AL250" s="2" t="str">
        <f t="shared" si="55"/>
        <v/>
      </c>
      <c r="AM250" s="2" t="str">
        <f t="shared" si="55"/>
        <v/>
      </c>
      <c r="AN250" s="2" t="str">
        <f t="shared" si="55"/>
        <v/>
      </c>
      <c r="AO250" s="2" t="str">
        <f t="shared" si="51"/>
        <v/>
      </c>
      <c r="AP250" s="2" t="str">
        <f t="shared" si="51"/>
        <v/>
      </c>
      <c r="AQ250" s="2" t="str">
        <f t="shared" si="49"/>
        <v/>
      </c>
      <c r="AR250" s="2" t="str">
        <f t="shared" si="49"/>
        <v/>
      </c>
      <c r="AT250" s="143" t="str">
        <f t="shared" si="53"/>
        <v/>
      </c>
      <c r="AU250" s="143" t="str">
        <f t="shared" si="54"/>
        <v/>
      </c>
      <c r="AV250" s="143"/>
      <c r="AW250" s="143"/>
      <c r="AX250" s="143"/>
      <c r="AY250" s="143"/>
      <c r="AZ250" s="143"/>
      <c r="BA250" s="143"/>
      <c r="BB250" s="143"/>
      <c r="BC250" s="143"/>
      <c r="BD250" s="143"/>
      <c r="BF250" s="9">
        <f t="shared" si="46"/>
        <v>0</v>
      </c>
      <c r="BG250" s="9">
        <f t="shared" si="47"/>
        <v>1.0000000000000007</v>
      </c>
    </row>
    <row r="251" spans="2:59" x14ac:dyDescent="0.35">
      <c r="B251" s="3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>
        <f t="shared" si="44"/>
        <v>0</v>
      </c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>
        <f t="shared" si="45"/>
        <v>0</v>
      </c>
      <c r="AF251" s="2" t="str">
        <f t="shared" si="56"/>
        <v/>
      </c>
      <c r="AG251" s="2" t="str">
        <f t="shared" si="56"/>
        <v/>
      </c>
      <c r="AH251" s="2" t="str">
        <f t="shared" si="56"/>
        <v/>
      </c>
      <c r="AI251" s="2" t="str">
        <f t="shared" si="55"/>
        <v/>
      </c>
      <c r="AJ251" s="2" t="str">
        <f t="shared" si="55"/>
        <v/>
      </c>
      <c r="AK251" s="2" t="str">
        <f t="shared" si="55"/>
        <v/>
      </c>
      <c r="AL251" s="2" t="str">
        <f t="shared" si="55"/>
        <v/>
      </c>
      <c r="AM251" s="2" t="str">
        <f t="shared" si="55"/>
        <v/>
      </c>
      <c r="AN251" s="2" t="str">
        <f t="shared" si="55"/>
        <v/>
      </c>
      <c r="AO251" s="2" t="str">
        <f t="shared" si="51"/>
        <v/>
      </c>
      <c r="AP251" s="2" t="str">
        <f t="shared" si="51"/>
        <v/>
      </c>
      <c r="AQ251" s="2" t="str">
        <f t="shared" si="49"/>
        <v/>
      </c>
      <c r="AR251" s="2" t="str">
        <f t="shared" si="49"/>
        <v/>
      </c>
      <c r="AT251" s="143" t="str">
        <f t="shared" si="53"/>
        <v/>
      </c>
      <c r="AU251" s="143" t="str">
        <f t="shared" si="54"/>
        <v/>
      </c>
      <c r="AV251" s="143"/>
      <c r="AW251" s="143"/>
      <c r="AX251" s="143"/>
      <c r="AY251" s="143"/>
      <c r="AZ251" s="143"/>
      <c r="BA251" s="143"/>
      <c r="BB251" s="143"/>
      <c r="BC251" s="143"/>
      <c r="BD251" s="143"/>
      <c r="BF251" s="9">
        <f t="shared" si="46"/>
        <v>0</v>
      </c>
      <c r="BG251" s="9">
        <f t="shared" si="47"/>
        <v>1.0000000000000007</v>
      </c>
    </row>
    <row r="252" spans="2:59" x14ac:dyDescent="0.35">
      <c r="B252" s="3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>
        <f t="shared" si="44"/>
        <v>0</v>
      </c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>
        <f t="shared" si="45"/>
        <v>0</v>
      </c>
      <c r="AF252" s="2" t="str">
        <f t="shared" si="56"/>
        <v/>
      </c>
      <c r="AG252" s="2" t="str">
        <f t="shared" si="56"/>
        <v/>
      </c>
      <c r="AH252" s="2" t="str">
        <f t="shared" si="56"/>
        <v/>
      </c>
      <c r="AI252" s="2" t="str">
        <f t="shared" si="55"/>
        <v/>
      </c>
      <c r="AJ252" s="2" t="str">
        <f t="shared" si="55"/>
        <v/>
      </c>
      <c r="AK252" s="2" t="str">
        <f t="shared" si="55"/>
        <v/>
      </c>
      <c r="AL252" s="2" t="str">
        <f t="shared" si="55"/>
        <v/>
      </c>
      <c r="AM252" s="2" t="str">
        <f t="shared" si="55"/>
        <v/>
      </c>
      <c r="AN252" s="2" t="str">
        <f t="shared" si="55"/>
        <v/>
      </c>
      <c r="AO252" s="2" t="str">
        <f t="shared" si="51"/>
        <v/>
      </c>
      <c r="AP252" s="2" t="str">
        <f t="shared" si="51"/>
        <v/>
      </c>
      <c r="AQ252" s="2" t="str">
        <f t="shared" si="49"/>
        <v/>
      </c>
      <c r="AR252" s="2" t="str">
        <f t="shared" si="49"/>
        <v/>
      </c>
      <c r="AT252" s="143" t="str">
        <f t="shared" si="53"/>
        <v/>
      </c>
      <c r="AU252" s="143" t="str">
        <f t="shared" si="54"/>
        <v/>
      </c>
      <c r="AV252" s="143"/>
      <c r="AW252" s="143"/>
      <c r="AX252" s="143"/>
      <c r="AY252" s="143"/>
      <c r="AZ252" s="143"/>
      <c r="BA252" s="143"/>
      <c r="BB252" s="143"/>
      <c r="BC252" s="143"/>
      <c r="BD252" s="143"/>
      <c r="BF252" s="9">
        <f t="shared" si="46"/>
        <v>0</v>
      </c>
      <c r="BG252" s="9">
        <f t="shared" si="47"/>
        <v>1.0000000000000007</v>
      </c>
    </row>
    <row r="253" spans="2:59" x14ac:dyDescent="0.35">
      <c r="B253" s="3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>
        <f t="shared" si="44"/>
        <v>0</v>
      </c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>
        <f t="shared" si="45"/>
        <v>0</v>
      </c>
      <c r="AF253" s="2" t="str">
        <f t="shared" si="56"/>
        <v/>
      </c>
      <c r="AG253" s="2" t="str">
        <f t="shared" si="56"/>
        <v/>
      </c>
      <c r="AH253" s="2" t="str">
        <f t="shared" si="56"/>
        <v/>
      </c>
      <c r="AI253" s="2" t="str">
        <f t="shared" si="55"/>
        <v/>
      </c>
      <c r="AJ253" s="2" t="str">
        <f t="shared" si="55"/>
        <v/>
      </c>
      <c r="AK253" s="2" t="str">
        <f t="shared" si="55"/>
        <v/>
      </c>
      <c r="AL253" s="2" t="str">
        <f t="shared" si="55"/>
        <v/>
      </c>
      <c r="AM253" s="2" t="str">
        <f t="shared" si="55"/>
        <v/>
      </c>
      <c r="AN253" s="2" t="str">
        <f t="shared" si="55"/>
        <v/>
      </c>
      <c r="AO253" s="2" t="str">
        <f t="shared" si="51"/>
        <v/>
      </c>
      <c r="AP253" s="2" t="str">
        <f t="shared" si="51"/>
        <v/>
      </c>
      <c r="AQ253" s="2" t="str">
        <f t="shared" si="49"/>
        <v/>
      </c>
      <c r="AR253" s="2" t="str">
        <f t="shared" si="49"/>
        <v/>
      </c>
      <c r="AT253" s="143" t="str">
        <f t="shared" si="53"/>
        <v/>
      </c>
      <c r="AU253" s="143" t="str">
        <f t="shared" si="54"/>
        <v/>
      </c>
      <c r="AV253" s="143"/>
      <c r="AW253" s="143"/>
      <c r="AX253" s="143"/>
      <c r="AY253" s="143"/>
      <c r="AZ253" s="143"/>
      <c r="BA253" s="143"/>
      <c r="BB253" s="143"/>
      <c r="BC253" s="143"/>
      <c r="BD253" s="143"/>
      <c r="BF253" s="9">
        <f t="shared" si="46"/>
        <v>0</v>
      </c>
      <c r="BG253" s="9">
        <f t="shared" si="47"/>
        <v>1.0000000000000007</v>
      </c>
    </row>
    <row r="254" spans="2:59" x14ac:dyDescent="0.35">
      <c r="B254" s="3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>
        <f t="shared" si="44"/>
        <v>0</v>
      </c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>
        <f t="shared" si="45"/>
        <v>0</v>
      </c>
      <c r="AF254" s="2" t="str">
        <f t="shared" si="56"/>
        <v/>
      </c>
      <c r="AG254" s="2" t="str">
        <f t="shared" si="56"/>
        <v/>
      </c>
      <c r="AH254" s="2" t="str">
        <f t="shared" si="56"/>
        <v/>
      </c>
      <c r="AI254" s="2" t="str">
        <f t="shared" si="55"/>
        <v/>
      </c>
      <c r="AJ254" s="2" t="str">
        <f t="shared" si="55"/>
        <v/>
      </c>
      <c r="AK254" s="2" t="str">
        <f t="shared" si="55"/>
        <v/>
      </c>
      <c r="AL254" s="2" t="str">
        <f t="shared" si="55"/>
        <v/>
      </c>
      <c r="AM254" s="2" t="str">
        <f t="shared" si="55"/>
        <v/>
      </c>
      <c r="AN254" s="2" t="str">
        <f t="shared" si="55"/>
        <v/>
      </c>
      <c r="AO254" s="2" t="str">
        <f t="shared" si="51"/>
        <v/>
      </c>
      <c r="AP254" s="2" t="str">
        <f t="shared" si="51"/>
        <v/>
      </c>
      <c r="AQ254" s="2" t="str">
        <f t="shared" si="49"/>
        <v/>
      </c>
      <c r="AR254" s="2" t="str">
        <f t="shared" si="49"/>
        <v/>
      </c>
      <c r="AT254" s="143" t="str">
        <f t="shared" si="53"/>
        <v/>
      </c>
      <c r="AU254" s="143" t="str">
        <f t="shared" si="54"/>
        <v/>
      </c>
      <c r="AV254" s="143"/>
      <c r="AW254" s="143"/>
      <c r="AX254" s="143"/>
      <c r="AY254" s="143"/>
      <c r="AZ254" s="143"/>
      <c r="BA254" s="143"/>
      <c r="BB254" s="143"/>
      <c r="BC254" s="143"/>
      <c r="BD254" s="143"/>
      <c r="BF254" s="9">
        <f t="shared" si="46"/>
        <v>0</v>
      </c>
      <c r="BG254" s="9">
        <f t="shared" si="47"/>
        <v>1.0000000000000007</v>
      </c>
    </row>
    <row r="255" spans="2:59" x14ac:dyDescent="0.35">
      <c r="B255" s="3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>
        <f t="shared" si="44"/>
        <v>0</v>
      </c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>
        <f t="shared" si="45"/>
        <v>0</v>
      </c>
      <c r="AF255" s="2" t="str">
        <f t="shared" si="56"/>
        <v/>
      </c>
      <c r="AG255" s="2" t="str">
        <f t="shared" si="56"/>
        <v/>
      </c>
      <c r="AH255" s="2" t="str">
        <f t="shared" si="56"/>
        <v/>
      </c>
      <c r="AI255" s="2" t="str">
        <f t="shared" si="55"/>
        <v/>
      </c>
      <c r="AJ255" s="2" t="str">
        <f t="shared" si="55"/>
        <v/>
      </c>
      <c r="AK255" s="2" t="str">
        <f t="shared" si="55"/>
        <v/>
      </c>
      <c r="AL255" s="2" t="str">
        <f t="shared" si="55"/>
        <v/>
      </c>
      <c r="AM255" s="2" t="str">
        <f t="shared" si="55"/>
        <v/>
      </c>
      <c r="AN255" s="2" t="str">
        <f t="shared" si="55"/>
        <v/>
      </c>
      <c r="AO255" s="2" t="str">
        <f t="shared" si="51"/>
        <v/>
      </c>
      <c r="AP255" s="2" t="str">
        <f t="shared" si="51"/>
        <v/>
      </c>
      <c r="AQ255" s="2" t="str">
        <f t="shared" si="49"/>
        <v/>
      </c>
      <c r="AR255" s="2" t="str">
        <f t="shared" si="49"/>
        <v/>
      </c>
      <c r="AT255" s="143" t="str">
        <f t="shared" si="53"/>
        <v/>
      </c>
      <c r="AU255" s="143" t="str">
        <f t="shared" si="54"/>
        <v/>
      </c>
      <c r="AV255" s="143"/>
      <c r="AW255" s="143"/>
      <c r="AX255" s="143"/>
      <c r="AY255" s="143"/>
      <c r="AZ255" s="143"/>
      <c r="BA255" s="143"/>
      <c r="BB255" s="143"/>
      <c r="BC255" s="143"/>
      <c r="BD255" s="143"/>
      <c r="BF255" s="9">
        <f t="shared" si="46"/>
        <v>0</v>
      </c>
      <c r="BG255" s="9">
        <f t="shared" si="47"/>
        <v>1.0000000000000007</v>
      </c>
    </row>
    <row r="256" spans="2:59" s="17" customFormat="1" x14ac:dyDescent="0.35">
      <c r="B256" s="3" t="s">
        <v>286</v>
      </c>
      <c r="D256" s="144">
        <f>+SUM(D5:D255)</f>
        <v>268713371</v>
      </c>
      <c r="E256" s="144">
        <f t="shared" ref="E256:P256" si="57">+SUM(E5:E255)</f>
        <v>254253791</v>
      </c>
      <c r="F256" s="144">
        <f t="shared" si="57"/>
        <v>285687449</v>
      </c>
      <c r="G256" s="144">
        <f t="shared" si="57"/>
        <v>30891695</v>
      </c>
      <c r="H256" s="144">
        <f t="shared" si="57"/>
        <v>0</v>
      </c>
      <c r="I256" s="144">
        <f t="shared" si="57"/>
        <v>0</v>
      </c>
      <c r="J256" s="144">
        <f t="shared" si="57"/>
        <v>0</v>
      </c>
      <c r="K256" s="144">
        <f t="shared" si="57"/>
        <v>0</v>
      </c>
      <c r="L256" s="144">
        <f t="shared" si="57"/>
        <v>0</v>
      </c>
      <c r="M256" s="144">
        <f t="shared" si="57"/>
        <v>0</v>
      </c>
      <c r="N256" s="144">
        <f t="shared" si="57"/>
        <v>0</v>
      </c>
      <c r="O256" s="144">
        <f t="shared" si="57"/>
        <v>0</v>
      </c>
      <c r="P256" s="144">
        <f t="shared" si="57"/>
        <v>839546306</v>
      </c>
      <c r="R256" s="144">
        <f>+SUM(R5:R255)</f>
        <v>193598873</v>
      </c>
      <c r="S256" s="144">
        <f t="shared" ref="S256:AD256" si="58">+SUM(S5:S255)</f>
        <v>184280707</v>
      </c>
      <c r="T256" s="144">
        <f t="shared" si="58"/>
        <v>205941408</v>
      </c>
      <c r="U256" s="144">
        <f t="shared" si="58"/>
        <v>21960236</v>
      </c>
      <c r="V256" s="144">
        <f t="shared" si="58"/>
        <v>0</v>
      </c>
      <c r="W256" s="144">
        <f t="shared" si="58"/>
        <v>0</v>
      </c>
      <c r="X256" s="144">
        <f t="shared" si="58"/>
        <v>0</v>
      </c>
      <c r="Y256" s="144">
        <f t="shared" si="58"/>
        <v>0</v>
      </c>
      <c r="Z256" s="144">
        <f t="shared" si="58"/>
        <v>0</v>
      </c>
      <c r="AA256" s="144">
        <f t="shared" si="58"/>
        <v>0</v>
      </c>
      <c r="AB256" s="144">
        <f t="shared" si="58"/>
        <v>0</v>
      </c>
      <c r="AC256" s="144">
        <f t="shared" si="58"/>
        <v>0</v>
      </c>
      <c r="AD256" s="144">
        <f t="shared" si="58"/>
        <v>605781224</v>
      </c>
      <c r="AF256" s="7">
        <f t="shared" si="56"/>
        <v>0.72046609470728573</v>
      </c>
      <c r="AG256" s="7">
        <f t="shared" si="56"/>
        <v>0.72479040047037091</v>
      </c>
      <c r="AH256" s="7">
        <f t="shared" si="56"/>
        <v>0.7208626375462508</v>
      </c>
      <c r="AI256" s="7">
        <f t="shared" si="56"/>
        <v>0.71087831211592634</v>
      </c>
      <c r="AJ256" s="7" t="str">
        <f t="shared" si="56"/>
        <v/>
      </c>
      <c r="AK256" s="7" t="str">
        <f t="shared" si="56"/>
        <v/>
      </c>
      <c r="AL256" s="7" t="str">
        <f t="shared" si="56"/>
        <v/>
      </c>
      <c r="AM256" s="7" t="str">
        <f t="shared" si="56"/>
        <v/>
      </c>
      <c r="AN256" s="7" t="str">
        <f t="shared" si="56"/>
        <v/>
      </c>
      <c r="AO256" s="7" t="str">
        <f t="shared" si="56"/>
        <v/>
      </c>
      <c r="AP256" s="7" t="str">
        <f t="shared" si="56"/>
        <v/>
      </c>
      <c r="AQ256" s="2" t="str">
        <f t="shared" si="56"/>
        <v/>
      </c>
      <c r="AR256" s="7">
        <f t="shared" si="56"/>
        <v>0.72155784579201043</v>
      </c>
      <c r="AT256" s="7">
        <f t="shared" si="53"/>
        <v>4.3243057630851789E-3</v>
      </c>
      <c r="AU256" s="7">
        <f t="shared" si="54"/>
        <v>-3.9277629241201151E-3</v>
      </c>
      <c r="AV256" s="7">
        <f t="shared" ref="AV256:BD256" si="59">+IFERROR(AI256-AH256,"")</f>
        <v>-9.9843254303244588E-3</v>
      </c>
      <c r="AW256" s="7" t="str">
        <f t="shared" si="59"/>
        <v/>
      </c>
      <c r="AX256" s="7" t="str">
        <f t="shared" si="59"/>
        <v/>
      </c>
      <c r="AY256" s="7" t="str">
        <f t="shared" si="59"/>
        <v/>
      </c>
      <c r="AZ256" s="7" t="str">
        <f t="shared" si="59"/>
        <v/>
      </c>
      <c r="BA256" s="7" t="str">
        <f t="shared" si="59"/>
        <v/>
      </c>
      <c r="BB256" s="7" t="str">
        <f t="shared" si="59"/>
        <v/>
      </c>
      <c r="BC256" s="2" t="str">
        <f t="shared" si="59"/>
        <v/>
      </c>
      <c r="BD256" s="7" t="str">
        <f t="shared" si="59"/>
        <v/>
      </c>
      <c r="BF256" s="10">
        <f>+AD256/$AD$256</f>
        <v>1</v>
      </c>
      <c r="BG256" s="10"/>
    </row>
    <row r="257" spans="5:19" x14ac:dyDescent="0.35">
      <c r="E257" s="147"/>
      <c r="S257" s="147"/>
    </row>
    <row r="258" spans="5:19" x14ac:dyDescent="0.35">
      <c r="E258" s="147"/>
      <c r="S258" s="147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B1:AD235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63.36328125" style="154" customWidth="1"/>
    <col min="3" max="3" width="1.1796875" style="154" customWidth="1"/>
    <col min="4" max="5" width="16.54296875" style="154" hidden="1" customWidth="1" outlineLevel="1"/>
    <col min="6" max="6" width="16.54296875" style="154" bestFit="1" customWidth="1" outlineLevel="1"/>
    <col min="7" max="7" width="16.54296875" style="154" customWidth="1" outlineLevel="1"/>
    <col min="8" max="12" width="16.54296875" style="154" hidden="1" customWidth="1" outlineLevel="1"/>
    <col min="13" max="13" width="15.453125" style="154" hidden="1" customWidth="1" outlineLevel="1"/>
    <col min="14" max="15" width="16.54296875" style="154" hidden="1" customWidth="1" outlineLevel="1"/>
    <col min="16" max="16" width="16.54296875" style="154" bestFit="1" customWidth="1" outlineLevel="1"/>
    <col min="17" max="17" width="0.90625" style="154" customWidth="1"/>
    <col min="18" max="19" width="11.90625" style="154" hidden="1" customWidth="1" outlineLevel="1"/>
    <col min="20" max="20" width="11.90625" style="154" bestFit="1" customWidth="1" outlineLevel="1"/>
    <col min="21" max="21" width="10.08984375" style="154" customWidth="1" outlineLevel="1"/>
    <col min="22" max="29" width="11.90625" style="154" hidden="1" customWidth="1" outlineLevel="1"/>
    <col min="30" max="30" width="11.90625" style="154" bestFit="1" customWidth="1" outlineLevel="1"/>
    <col min="31" max="31" width="1.6328125" style="154" customWidth="1"/>
    <col min="32" max="54" width="11.54296875" style="154" customWidth="1"/>
    <col min="55" max="16384" width="11.54296875" style="154"/>
  </cols>
  <sheetData>
    <row r="1" spans="2:30" ht="23" customHeight="1" x14ac:dyDescent="0.35"/>
    <row r="2" spans="2:30" x14ac:dyDescent="0.35">
      <c r="D2" s="254" t="s">
        <v>306</v>
      </c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R2" s="258" t="s">
        <v>307</v>
      </c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</row>
    <row r="3" spans="2:30" ht="5" customHeight="1" x14ac:dyDescent="0.35"/>
    <row r="4" spans="2:30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44</v>
      </c>
    </row>
    <row r="5" spans="2:30" x14ac:dyDescent="0.35">
      <c r="B5" s="3" t="s">
        <v>88</v>
      </c>
      <c r="D5" s="141">
        <v>17487169</v>
      </c>
      <c r="E5" s="141">
        <v>18517978</v>
      </c>
      <c r="F5" s="141">
        <v>24159770</v>
      </c>
      <c r="G5" s="141">
        <v>4029875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64194792</v>
      </c>
      <c r="R5" s="145">
        <v>197333</v>
      </c>
      <c r="S5" s="145">
        <v>206773</v>
      </c>
      <c r="T5" s="145">
        <v>298656</v>
      </c>
      <c r="U5" s="145">
        <v>52463</v>
      </c>
      <c r="V5" s="145"/>
      <c r="W5" s="145"/>
      <c r="X5" s="145"/>
      <c r="Y5" s="145"/>
      <c r="Z5" s="145"/>
      <c r="AA5" s="145"/>
      <c r="AB5" s="145"/>
      <c r="AC5" s="145"/>
      <c r="AD5" s="145">
        <f t="shared" ref="AD5:AD68" si="1">+SUM(R5:AC5)</f>
        <v>755225</v>
      </c>
    </row>
    <row r="6" spans="2:30" x14ac:dyDescent="0.35">
      <c r="B6" s="3" t="s">
        <v>98</v>
      </c>
      <c r="D6" s="141">
        <v>4438757</v>
      </c>
      <c r="E6" s="141">
        <v>4183009</v>
      </c>
      <c r="F6" s="141">
        <v>4803186</v>
      </c>
      <c r="G6" s="141">
        <v>767904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14192856</v>
      </c>
      <c r="R6" s="145">
        <v>15526</v>
      </c>
      <c r="S6" s="145">
        <v>15470</v>
      </c>
      <c r="T6" s="145">
        <v>16366</v>
      </c>
      <c r="U6" s="145">
        <v>2779</v>
      </c>
      <c r="V6" s="145"/>
      <c r="W6" s="145"/>
      <c r="X6" s="145"/>
      <c r="Y6" s="145"/>
      <c r="Z6" s="145"/>
      <c r="AA6" s="145"/>
      <c r="AB6" s="145"/>
      <c r="AC6" s="145"/>
      <c r="AD6" s="145">
        <f t="shared" si="1"/>
        <v>50141</v>
      </c>
    </row>
    <row r="7" spans="2:30" x14ac:dyDescent="0.35">
      <c r="B7" s="3" t="s">
        <v>91</v>
      </c>
      <c r="D7" s="141">
        <v>17879694</v>
      </c>
      <c r="E7" s="141">
        <v>17889587</v>
      </c>
      <c r="F7" s="141">
        <v>20931091</v>
      </c>
      <c r="G7" s="141">
        <v>3276644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59977016</v>
      </c>
      <c r="R7" s="145">
        <v>97629</v>
      </c>
      <c r="S7" s="145">
        <v>96618</v>
      </c>
      <c r="T7" s="145">
        <v>109303</v>
      </c>
      <c r="U7" s="145">
        <v>18500</v>
      </c>
      <c r="V7" s="145"/>
      <c r="W7" s="145"/>
      <c r="X7" s="145"/>
      <c r="Y7" s="145"/>
      <c r="Z7" s="145"/>
      <c r="AA7" s="145"/>
      <c r="AB7" s="145"/>
      <c r="AC7" s="145"/>
      <c r="AD7" s="145">
        <f t="shared" si="1"/>
        <v>322050</v>
      </c>
    </row>
    <row r="8" spans="2:30" x14ac:dyDescent="0.35">
      <c r="B8" s="3" t="s">
        <v>97</v>
      </c>
      <c r="D8" s="141">
        <v>1601462</v>
      </c>
      <c r="E8" s="141">
        <v>1650086</v>
      </c>
      <c r="F8" s="141">
        <v>1243593</v>
      </c>
      <c r="G8" s="141">
        <v>353088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4848229</v>
      </c>
      <c r="R8" s="145">
        <v>6418</v>
      </c>
      <c r="S8" s="145">
        <v>6152</v>
      </c>
      <c r="T8" s="145">
        <v>5711</v>
      </c>
      <c r="U8" s="145">
        <v>1310</v>
      </c>
      <c r="V8" s="145"/>
      <c r="W8" s="145"/>
      <c r="X8" s="145"/>
      <c r="Y8" s="145"/>
      <c r="Z8" s="145"/>
      <c r="AA8" s="145"/>
      <c r="AB8" s="145"/>
      <c r="AC8" s="145"/>
      <c r="AD8" s="145">
        <f t="shared" si="1"/>
        <v>19591</v>
      </c>
    </row>
    <row r="9" spans="2:30" x14ac:dyDescent="0.35">
      <c r="B9" s="3" t="s">
        <v>87</v>
      </c>
      <c r="D9" s="141">
        <v>9344358</v>
      </c>
      <c r="E9" s="141">
        <v>9041475</v>
      </c>
      <c r="F9" s="141">
        <v>9753941</v>
      </c>
      <c r="G9" s="141">
        <v>1897663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30037437</v>
      </c>
      <c r="R9" s="145">
        <v>101176</v>
      </c>
      <c r="S9" s="145">
        <v>99587</v>
      </c>
      <c r="T9" s="145">
        <v>109087</v>
      </c>
      <c r="U9" s="145">
        <v>19340</v>
      </c>
      <c r="V9" s="145"/>
      <c r="W9" s="145"/>
      <c r="X9" s="145"/>
      <c r="Y9" s="145"/>
      <c r="Z9" s="145"/>
      <c r="AA9" s="145"/>
      <c r="AB9" s="145"/>
      <c r="AC9" s="145"/>
      <c r="AD9" s="145">
        <f t="shared" si="1"/>
        <v>329190</v>
      </c>
    </row>
    <row r="10" spans="2:30" x14ac:dyDescent="0.35">
      <c r="B10" s="3" t="s">
        <v>90</v>
      </c>
      <c r="D10" s="141">
        <v>10519936</v>
      </c>
      <c r="E10" s="141">
        <v>9472550</v>
      </c>
      <c r="F10" s="141">
        <v>11172357</v>
      </c>
      <c r="G10" s="141">
        <v>1612846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32777689</v>
      </c>
      <c r="R10" s="145">
        <v>143169</v>
      </c>
      <c r="S10" s="145">
        <v>132213</v>
      </c>
      <c r="T10" s="145">
        <v>152855</v>
      </c>
      <c r="U10" s="145">
        <v>23843</v>
      </c>
      <c r="V10" s="145"/>
      <c r="W10" s="145"/>
      <c r="X10" s="145"/>
      <c r="Y10" s="145"/>
      <c r="Z10" s="145"/>
      <c r="AA10" s="145"/>
      <c r="AB10" s="145"/>
      <c r="AC10" s="145"/>
      <c r="AD10" s="145">
        <f t="shared" si="1"/>
        <v>452080</v>
      </c>
    </row>
    <row r="11" spans="2:30" x14ac:dyDescent="0.35">
      <c r="B11" s="3" t="s">
        <v>89</v>
      </c>
      <c r="D11" s="141">
        <v>9069843</v>
      </c>
      <c r="E11" s="141">
        <v>8698772</v>
      </c>
      <c r="F11" s="141">
        <v>12611598</v>
      </c>
      <c r="G11" s="141">
        <v>2060137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32440350</v>
      </c>
      <c r="R11" s="145">
        <v>99980</v>
      </c>
      <c r="S11" s="145">
        <v>96830</v>
      </c>
      <c r="T11" s="145">
        <v>115781</v>
      </c>
      <c r="U11" s="145">
        <v>19377</v>
      </c>
      <c r="V11" s="145"/>
      <c r="W11" s="145"/>
      <c r="X11" s="145"/>
      <c r="Y11" s="145"/>
      <c r="Z11" s="145"/>
      <c r="AA11" s="145"/>
      <c r="AB11" s="145"/>
      <c r="AC11" s="145"/>
      <c r="AD11" s="145">
        <f t="shared" si="1"/>
        <v>331968</v>
      </c>
    </row>
    <row r="12" spans="2:30" x14ac:dyDescent="0.35">
      <c r="B12" s="3" t="s">
        <v>92</v>
      </c>
      <c r="D12" s="141">
        <v>4623035</v>
      </c>
      <c r="E12" s="141">
        <v>4174803</v>
      </c>
      <c r="F12" s="141">
        <v>4552614</v>
      </c>
      <c r="G12" s="141">
        <v>646043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13996495</v>
      </c>
      <c r="R12" s="145">
        <v>17501</v>
      </c>
      <c r="S12" s="145">
        <v>15551</v>
      </c>
      <c r="T12" s="145">
        <v>16301</v>
      </c>
      <c r="U12" s="145">
        <v>2837</v>
      </c>
      <c r="V12" s="145"/>
      <c r="W12" s="145"/>
      <c r="X12" s="145"/>
      <c r="Y12" s="145"/>
      <c r="Z12" s="145"/>
      <c r="AA12" s="145"/>
      <c r="AB12" s="145"/>
      <c r="AC12" s="145"/>
      <c r="AD12" s="145">
        <f t="shared" si="1"/>
        <v>52190</v>
      </c>
    </row>
    <row r="13" spans="2:30" x14ac:dyDescent="0.35">
      <c r="B13" s="3" t="s">
        <v>121</v>
      </c>
      <c r="D13" s="141">
        <v>418152</v>
      </c>
      <c r="E13" s="141">
        <v>450825</v>
      </c>
      <c r="F13" s="141">
        <v>501005</v>
      </c>
      <c r="G13" s="141">
        <v>85603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1455585</v>
      </c>
      <c r="R13" s="145">
        <v>632</v>
      </c>
      <c r="S13" s="145">
        <v>568</v>
      </c>
      <c r="T13" s="145">
        <v>592</v>
      </c>
      <c r="U13" s="145">
        <v>171</v>
      </c>
      <c r="V13" s="145"/>
      <c r="W13" s="145"/>
      <c r="X13" s="145"/>
      <c r="Y13" s="145"/>
      <c r="Z13" s="145"/>
      <c r="AA13" s="145"/>
      <c r="AB13" s="145"/>
      <c r="AC13" s="145"/>
      <c r="AD13" s="145">
        <f t="shared" si="1"/>
        <v>1963</v>
      </c>
    </row>
    <row r="14" spans="2:30" x14ac:dyDescent="0.35">
      <c r="B14" s="3" t="s">
        <v>106</v>
      </c>
      <c r="D14" s="141">
        <v>2089033</v>
      </c>
      <c r="E14" s="141">
        <v>1743552</v>
      </c>
      <c r="F14" s="141">
        <v>2026747</v>
      </c>
      <c r="G14" s="141">
        <v>265174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6124506</v>
      </c>
      <c r="R14" s="145">
        <v>13887</v>
      </c>
      <c r="S14" s="145">
        <v>12663</v>
      </c>
      <c r="T14" s="145">
        <v>13917</v>
      </c>
      <c r="U14" s="145">
        <v>1910</v>
      </c>
      <c r="V14" s="145"/>
      <c r="W14" s="145"/>
      <c r="X14" s="145"/>
      <c r="Y14" s="145"/>
      <c r="Z14" s="145"/>
      <c r="AA14" s="145"/>
      <c r="AB14" s="145"/>
      <c r="AC14" s="145"/>
      <c r="AD14" s="145">
        <f t="shared" si="1"/>
        <v>42377</v>
      </c>
    </row>
    <row r="15" spans="2:30" x14ac:dyDescent="0.35">
      <c r="B15" s="3" t="s">
        <v>93</v>
      </c>
      <c r="D15" s="141">
        <v>4096127</v>
      </c>
      <c r="E15" s="141">
        <v>3929537</v>
      </c>
      <c r="F15" s="141">
        <v>4380805</v>
      </c>
      <c r="G15" s="141">
        <v>761563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13168032</v>
      </c>
      <c r="R15" s="145">
        <v>116468</v>
      </c>
      <c r="S15" s="145">
        <v>115901</v>
      </c>
      <c r="T15" s="145">
        <v>128226</v>
      </c>
      <c r="U15" s="145">
        <v>20586</v>
      </c>
      <c r="V15" s="145"/>
      <c r="W15" s="145"/>
      <c r="X15" s="145"/>
      <c r="Y15" s="145"/>
      <c r="Z15" s="145"/>
      <c r="AA15" s="145"/>
      <c r="AB15" s="145"/>
      <c r="AC15" s="145"/>
      <c r="AD15" s="145">
        <f t="shared" si="1"/>
        <v>381181</v>
      </c>
    </row>
    <row r="16" spans="2:30" x14ac:dyDescent="0.35">
      <c r="B16" s="3" t="s">
        <v>96</v>
      </c>
      <c r="D16" s="141">
        <v>4006221</v>
      </c>
      <c r="E16" s="141">
        <v>4037145</v>
      </c>
      <c r="F16" s="141">
        <v>4360920</v>
      </c>
      <c r="G16" s="141">
        <v>766932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13171218</v>
      </c>
      <c r="R16" s="145">
        <v>16143</v>
      </c>
      <c r="S16" s="145">
        <v>16152</v>
      </c>
      <c r="T16" s="145">
        <v>17419</v>
      </c>
      <c r="U16" s="145">
        <v>3056</v>
      </c>
      <c r="V16" s="145"/>
      <c r="W16" s="145"/>
      <c r="X16" s="145"/>
      <c r="Y16" s="145"/>
      <c r="Z16" s="145"/>
      <c r="AA16" s="145"/>
      <c r="AB16" s="145"/>
      <c r="AC16" s="145"/>
      <c r="AD16" s="145">
        <f t="shared" si="1"/>
        <v>52770</v>
      </c>
    </row>
    <row r="17" spans="2:30" x14ac:dyDescent="0.35">
      <c r="B17" s="3" t="s">
        <v>152</v>
      </c>
      <c r="D17" s="141">
        <v>2713481</v>
      </c>
      <c r="E17" s="141">
        <v>2332563</v>
      </c>
      <c r="F17" s="141">
        <v>1506315</v>
      </c>
      <c r="G17" s="141">
        <v>177601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6729960</v>
      </c>
      <c r="R17" s="145">
        <v>12347</v>
      </c>
      <c r="S17" s="145">
        <v>10267</v>
      </c>
      <c r="T17" s="145">
        <v>5742</v>
      </c>
      <c r="U17" s="145">
        <v>933</v>
      </c>
      <c r="V17" s="145"/>
      <c r="W17" s="145"/>
      <c r="X17" s="145"/>
      <c r="Y17" s="145"/>
      <c r="Z17" s="145"/>
      <c r="AA17" s="145"/>
      <c r="AB17" s="145"/>
      <c r="AC17" s="145"/>
      <c r="AD17" s="145">
        <f t="shared" si="1"/>
        <v>29289</v>
      </c>
    </row>
    <row r="18" spans="2:30" x14ac:dyDescent="0.35">
      <c r="B18" s="3" t="s">
        <v>194</v>
      </c>
      <c r="D18" s="141">
        <v>1077436</v>
      </c>
      <c r="E18" s="141">
        <v>1115411</v>
      </c>
      <c r="F18" s="141">
        <v>1159577</v>
      </c>
      <c r="G18" s="141">
        <v>179830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3532254</v>
      </c>
      <c r="R18" s="145">
        <v>789</v>
      </c>
      <c r="S18" s="145">
        <v>650</v>
      </c>
      <c r="T18" s="145">
        <v>600</v>
      </c>
      <c r="U18" s="145">
        <v>95</v>
      </c>
      <c r="V18" s="145"/>
      <c r="W18" s="145"/>
      <c r="X18" s="145"/>
      <c r="Y18" s="145"/>
      <c r="Z18" s="145"/>
      <c r="AA18" s="145"/>
      <c r="AB18" s="145"/>
      <c r="AC18" s="145"/>
      <c r="AD18" s="145">
        <f t="shared" si="1"/>
        <v>2134</v>
      </c>
    </row>
    <row r="19" spans="2:30" x14ac:dyDescent="0.35">
      <c r="B19" s="3" t="s">
        <v>99</v>
      </c>
      <c r="D19" s="141">
        <v>3031331</v>
      </c>
      <c r="E19" s="141">
        <v>3347179</v>
      </c>
      <c r="F19" s="141">
        <v>4099751</v>
      </c>
      <c r="G19" s="141">
        <v>638306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11116567</v>
      </c>
      <c r="R19" s="145">
        <v>13903</v>
      </c>
      <c r="S19" s="145">
        <v>15266</v>
      </c>
      <c r="T19" s="145">
        <v>18995</v>
      </c>
      <c r="U19" s="145">
        <v>2833</v>
      </c>
      <c r="V19" s="145"/>
      <c r="W19" s="145"/>
      <c r="X19" s="145"/>
      <c r="Y19" s="145"/>
      <c r="Z19" s="145"/>
      <c r="AA19" s="145"/>
      <c r="AB19" s="145"/>
      <c r="AC19" s="145"/>
      <c r="AD19" s="145">
        <f t="shared" si="1"/>
        <v>50997</v>
      </c>
    </row>
    <row r="20" spans="2:30" x14ac:dyDescent="0.35">
      <c r="B20" s="3" t="s">
        <v>108</v>
      </c>
      <c r="D20" s="141">
        <v>1042101</v>
      </c>
      <c r="E20" s="141">
        <v>952838</v>
      </c>
      <c r="F20" s="141">
        <v>1113140</v>
      </c>
      <c r="G20" s="141">
        <v>132903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3240982</v>
      </c>
      <c r="R20" s="145">
        <v>3314</v>
      </c>
      <c r="S20" s="145">
        <v>3138</v>
      </c>
      <c r="T20" s="145">
        <v>3623</v>
      </c>
      <c r="U20" s="145">
        <v>477</v>
      </c>
      <c r="V20" s="145"/>
      <c r="W20" s="145"/>
      <c r="X20" s="145"/>
      <c r="Y20" s="145"/>
      <c r="Z20" s="145"/>
      <c r="AA20" s="145"/>
      <c r="AB20" s="145"/>
      <c r="AC20" s="145"/>
      <c r="AD20" s="145">
        <f t="shared" si="1"/>
        <v>10552</v>
      </c>
    </row>
    <row r="21" spans="2:30" x14ac:dyDescent="0.35">
      <c r="B21" s="3" t="s">
        <v>94</v>
      </c>
      <c r="D21" s="141">
        <v>2621754</v>
      </c>
      <c r="E21" s="141">
        <v>2568997</v>
      </c>
      <c r="F21" s="141">
        <v>2854985</v>
      </c>
      <c r="G21" s="141">
        <v>331989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8377725</v>
      </c>
      <c r="R21" s="145">
        <v>17858</v>
      </c>
      <c r="S21" s="145">
        <v>16355</v>
      </c>
      <c r="T21" s="145">
        <v>18882</v>
      </c>
      <c r="U21" s="145">
        <v>1600</v>
      </c>
      <c r="V21" s="145"/>
      <c r="W21" s="145"/>
      <c r="X21" s="145"/>
      <c r="Y21" s="145"/>
      <c r="Z21" s="145"/>
      <c r="AA21" s="145"/>
      <c r="AB21" s="145"/>
      <c r="AC21" s="145"/>
      <c r="AD21" s="145">
        <f t="shared" si="1"/>
        <v>54695</v>
      </c>
    </row>
    <row r="22" spans="2:30" x14ac:dyDescent="0.35">
      <c r="B22" s="3" t="s">
        <v>101</v>
      </c>
      <c r="D22" s="141">
        <v>2370122</v>
      </c>
      <c r="E22" s="141">
        <v>1943603</v>
      </c>
      <c r="F22" s="141">
        <v>2259941</v>
      </c>
      <c r="G22" s="141">
        <v>337691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6911357</v>
      </c>
      <c r="R22" s="145">
        <v>2621</v>
      </c>
      <c r="S22" s="145">
        <v>2363</v>
      </c>
      <c r="T22" s="145">
        <v>2588</v>
      </c>
      <c r="U22" s="145">
        <v>351</v>
      </c>
      <c r="V22" s="145"/>
      <c r="W22" s="145"/>
      <c r="X22" s="145"/>
      <c r="Y22" s="145"/>
      <c r="Z22" s="145"/>
      <c r="AA22" s="145"/>
      <c r="AB22" s="145"/>
      <c r="AC22" s="145"/>
      <c r="AD22" s="145">
        <f t="shared" si="1"/>
        <v>7923</v>
      </c>
    </row>
    <row r="23" spans="2:30" x14ac:dyDescent="0.35">
      <c r="B23" s="3" t="s">
        <v>102</v>
      </c>
      <c r="D23" s="141">
        <v>568560</v>
      </c>
      <c r="E23" s="141">
        <v>488049</v>
      </c>
      <c r="F23" s="141">
        <v>559848</v>
      </c>
      <c r="G23" s="141">
        <v>76272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1692729</v>
      </c>
      <c r="R23" s="145">
        <v>2218</v>
      </c>
      <c r="S23" s="145">
        <v>2057</v>
      </c>
      <c r="T23" s="145">
        <v>2205</v>
      </c>
      <c r="U23" s="145">
        <v>334</v>
      </c>
      <c r="V23" s="145"/>
      <c r="W23" s="145"/>
      <c r="X23" s="145"/>
      <c r="Y23" s="145"/>
      <c r="Z23" s="145"/>
      <c r="AA23" s="145"/>
      <c r="AB23" s="145"/>
      <c r="AC23" s="145"/>
      <c r="AD23" s="145">
        <f t="shared" si="1"/>
        <v>6814</v>
      </c>
    </row>
    <row r="24" spans="2:30" x14ac:dyDescent="0.35">
      <c r="B24" s="3" t="s">
        <v>95</v>
      </c>
      <c r="D24" s="141">
        <v>2582683</v>
      </c>
      <c r="E24" s="141">
        <v>2168000</v>
      </c>
      <c r="F24" s="141">
        <v>2726270</v>
      </c>
      <c r="G24" s="141">
        <v>410197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7887150</v>
      </c>
      <c r="R24" s="145">
        <v>7413</v>
      </c>
      <c r="S24" s="145">
        <v>8344</v>
      </c>
      <c r="T24" s="145">
        <v>8570</v>
      </c>
      <c r="U24" s="145">
        <v>1395</v>
      </c>
      <c r="V24" s="145"/>
      <c r="W24" s="145"/>
      <c r="X24" s="145"/>
      <c r="Y24" s="145"/>
      <c r="Z24" s="145"/>
      <c r="AA24" s="145"/>
      <c r="AB24" s="145"/>
      <c r="AC24" s="145"/>
      <c r="AD24" s="145">
        <f t="shared" si="1"/>
        <v>25722</v>
      </c>
    </row>
    <row r="25" spans="2:30" x14ac:dyDescent="0.35">
      <c r="B25" s="3" t="s">
        <v>105</v>
      </c>
      <c r="D25" s="141">
        <v>1084968</v>
      </c>
      <c r="E25" s="141">
        <v>1000378</v>
      </c>
      <c r="F25" s="141">
        <v>1230378</v>
      </c>
      <c r="G25" s="141">
        <v>167829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3483553</v>
      </c>
      <c r="R25" s="145">
        <v>4484</v>
      </c>
      <c r="S25" s="145">
        <v>4379</v>
      </c>
      <c r="T25" s="145">
        <v>5161</v>
      </c>
      <c r="U25" s="145">
        <v>722</v>
      </c>
      <c r="V25" s="145"/>
      <c r="W25" s="145"/>
      <c r="X25" s="145"/>
      <c r="Y25" s="145"/>
      <c r="Z25" s="145"/>
      <c r="AA25" s="145"/>
      <c r="AB25" s="145"/>
      <c r="AC25" s="145"/>
      <c r="AD25" s="145">
        <f t="shared" si="1"/>
        <v>14746</v>
      </c>
    </row>
    <row r="26" spans="2:30" x14ac:dyDescent="0.35">
      <c r="B26" s="3" t="s">
        <v>104</v>
      </c>
      <c r="D26" s="141">
        <v>1487724</v>
      </c>
      <c r="E26" s="141">
        <v>1322723</v>
      </c>
      <c r="F26" s="141">
        <v>1614243</v>
      </c>
      <c r="G26" s="141">
        <v>106568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4531258</v>
      </c>
      <c r="R26" s="145">
        <v>6640</v>
      </c>
      <c r="S26" s="145">
        <v>6193</v>
      </c>
      <c r="T26" s="145">
        <v>7152</v>
      </c>
      <c r="U26" s="145">
        <v>529</v>
      </c>
      <c r="V26" s="145"/>
      <c r="W26" s="145"/>
      <c r="X26" s="145"/>
      <c r="Y26" s="145"/>
      <c r="Z26" s="145"/>
      <c r="AA26" s="145"/>
      <c r="AB26" s="145"/>
      <c r="AC26" s="145"/>
      <c r="AD26" s="145">
        <f t="shared" si="1"/>
        <v>20514</v>
      </c>
    </row>
    <row r="27" spans="2:30" x14ac:dyDescent="0.35">
      <c r="B27" s="3" t="s">
        <v>130</v>
      </c>
      <c r="D27" s="141">
        <v>1572181</v>
      </c>
      <c r="E27" s="141">
        <v>2283736</v>
      </c>
      <c r="F27" s="141">
        <v>3259709</v>
      </c>
      <c r="G27" s="141">
        <v>218819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7334445</v>
      </c>
      <c r="R27" s="145">
        <v>1988</v>
      </c>
      <c r="S27" s="145">
        <v>2505</v>
      </c>
      <c r="T27" s="145">
        <v>2594</v>
      </c>
      <c r="U27" s="145">
        <v>269</v>
      </c>
      <c r="V27" s="145"/>
      <c r="W27" s="145"/>
      <c r="X27" s="145"/>
      <c r="Y27" s="145"/>
      <c r="Z27" s="145"/>
      <c r="AA27" s="145"/>
      <c r="AB27" s="145"/>
      <c r="AC27" s="145"/>
      <c r="AD27" s="145">
        <f t="shared" si="1"/>
        <v>7356</v>
      </c>
    </row>
    <row r="28" spans="2:30" x14ac:dyDescent="0.35">
      <c r="B28" s="3" t="s">
        <v>110</v>
      </c>
      <c r="D28" s="141">
        <v>820422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820422</v>
      </c>
      <c r="R28" s="145">
        <v>1251</v>
      </c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>
        <f t="shared" si="1"/>
        <v>1251</v>
      </c>
    </row>
    <row r="29" spans="2:30" x14ac:dyDescent="0.35">
      <c r="B29" s="3" t="s">
        <v>132</v>
      </c>
      <c r="D29" s="141">
        <v>171806</v>
      </c>
      <c r="E29" s="141">
        <v>259888</v>
      </c>
      <c r="F29" s="141">
        <v>891716</v>
      </c>
      <c r="G29" s="141">
        <v>135955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1459365</v>
      </c>
      <c r="R29" s="145">
        <v>522</v>
      </c>
      <c r="S29" s="145">
        <v>692</v>
      </c>
      <c r="T29" s="145">
        <v>1549</v>
      </c>
      <c r="U29" s="145">
        <v>242</v>
      </c>
      <c r="V29" s="145"/>
      <c r="W29" s="145"/>
      <c r="X29" s="145"/>
      <c r="Y29" s="145"/>
      <c r="Z29" s="145"/>
      <c r="AA29" s="145"/>
      <c r="AB29" s="145"/>
      <c r="AC29" s="145"/>
      <c r="AD29" s="145">
        <f t="shared" si="1"/>
        <v>3005</v>
      </c>
    </row>
    <row r="30" spans="2:30" x14ac:dyDescent="0.35">
      <c r="B30" s="3" t="s">
        <v>111</v>
      </c>
      <c r="D30" s="141">
        <v>138868</v>
      </c>
      <c r="E30" s="141">
        <v>130515</v>
      </c>
      <c r="F30" s="141">
        <v>137672</v>
      </c>
      <c r="G30" s="141">
        <v>13960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421015</v>
      </c>
      <c r="R30" s="145">
        <v>135</v>
      </c>
      <c r="S30" s="145">
        <v>124</v>
      </c>
      <c r="T30" s="145">
        <v>153</v>
      </c>
      <c r="U30" s="145">
        <v>33</v>
      </c>
      <c r="V30" s="145"/>
      <c r="W30" s="145"/>
      <c r="X30" s="145"/>
      <c r="Y30" s="145"/>
      <c r="Z30" s="145"/>
      <c r="AA30" s="145"/>
      <c r="AB30" s="145"/>
      <c r="AC30" s="145"/>
      <c r="AD30" s="145">
        <f t="shared" si="1"/>
        <v>445</v>
      </c>
    </row>
    <row r="31" spans="2:30" x14ac:dyDescent="0.35">
      <c r="B31" s="3" t="s">
        <v>103</v>
      </c>
      <c r="D31" s="141">
        <v>2167808</v>
      </c>
      <c r="E31" s="141">
        <v>2052013</v>
      </c>
      <c r="F31" s="141">
        <v>2216509</v>
      </c>
      <c r="G31" s="141">
        <v>345252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6781582</v>
      </c>
      <c r="R31" s="145">
        <v>56515</v>
      </c>
      <c r="S31" s="145">
        <v>52308</v>
      </c>
      <c r="T31" s="145">
        <v>56745</v>
      </c>
      <c r="U31" s="145">
        <v>8526</v>
      </c>
      <c r="V31" s="145"/>
      <c r="W31" s="145"/>
      <c r="X31" s="145"/>
      <c r="Y31" s="145"/>
      <c r="Z31" s="145"/>
      <c r="AA31" s="145"/>
      <c r="AB31" s="145"/>
      <c r="AC31" s="145"/>
      <c r="AD31" s="145">
        <f t="shared" si="1"/>
        <v>174094</v>
      </c>
    </row>
    <row r="32" spans="2:30" x14ac:dyDescent="0.35">
      <c r="B32" s="3" t="s">
        <v>125</v>
      </c>
      <c r="D32" s="141">
        <v>3611530</v>
      </c>
      <c r="E32" s="141">
        <v>1696890</v>
      </c>
      <c r="F32" s="141">
        <v>2339951</v>
      </c>
      <c r="G32" s="141">
        <v>341400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7989771</v>
      </c>
      <c r="R32" s="145">
        <v>70956</v>
      </c>
      <c r="S32" s="145">
        <v>4724</v>
      </c>
      <c r="T32" s="145">
        <v>6162</v>
      </c>
      <c r="U32" s="145">
        <v>971</v>
      </c>
      <c r="V32" s="145"/>
      <c r="W32" s="145"/>
      <c r="X32" s="145"/>
      <c r="Y32" s="145"/>
      <c r="Z32" s="145"/>
      <c r="AA32" s="145"/>
      <c r="AB32" s="145"/>
      <c r="AC32" s="145"/>
      <c r="AD32" s="145">
        <f t="shared" si="1"/>
        <v>82813</v>
      </c>
    </row>
    <row r="33" spans="2:30" x14ac:dyDescent="0.35">
      <c r="B33" s="3" t="s">
        <v>171</v>
      </c>
      <c r="D33" s="141">
        <v>92369</v>
      </c>
      <c r="E33" s="141">
        <v>85852</v>
      </c>
      <c r="F33" s="141">
        <v>68366</v>
      </c>
      <c r="G33" s="141">
        <v>24055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270642</v>
      </c>
      <c r="R33" s="145">
        <v>425</v>
      </c>
      <c r="S33" s="145">
        <v>384</v>
      </c>
      <c r="T33" s="145">
        <v>354</v>
      </c>
      <c r="U33" s="145">
        <v>100</v>
      </c>
      <c r="V33" s="145"/>
      <c r="W33" s="145"/>
      <c r="X33" s="145"/>
      <c r="Y33" s="145"/>
      <c r="Z33" s="145"/>
      <c r="AA33" s="145"/>
      <c r="AB33" s="145"/>
      <c r="AC33" s="145"/>
      <c r="AD33" s="145">
        <f t="shared" si="1"/>
        <v>1263</v>
      </c>
    </row>
    <row r="34" spans="2:30" x14ac:dyDescent="0.35">
      <c r="B34" s="3" t="s">
        <v>135</v>
      </c>
      <c r="D34" s="141">
        <v>3896499</v>
      </c>
      <c r="E34" s="141">
        <v>3722369</v>
      </c>
      <c r="F34" s="141">
        <v>5069536</v>
      </c>
      <c r="G34" s="141">
        <v>683364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13371768</v>
      </c>
      <c r="R34" s="145">
        <v>9974</v>
      </c>
      <c r="S34" s="145">
        <v>10498</v>
      </c>
      <c r="T34" s="145">
        <v>12467</v>
      </c>
      <c r="U34" s="145">
        <v>1660</v>
      </c>
      <c r="V34" s="145"/>
      <c r="W34" s="145"/>
      <c r="X34" s="145"/>
      <c r="Y34" s="145"/>
      <c r="Z34" s="145"/>
      <c r="AA34" s="145"/>
      <c r="AB34" s="145"/>
      <c r="AC34" s="145"/>
      <c r="AD34" s="145">
        <f t="shared" si="1"/>
        <v>34599</v>
      </c>
    </row>
    <row r="35" spans="2:30" x14ac:dyDescent="0.35">
      <c r="B35" s="3" t="s">
        <v>109</v>
      </c>
      <c r="D35" s="141">
        <v>1304487</v>
      </c>
      <c r="E35" s="141">
        <v>1426866</v>
      </c>
      <c r="F35" s="141">
        <v>1326162</v>
      </c>
      <c r="G35" s="141">
        <v>125549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4183064</v>
      </c>
      <c r="R35" s="145">
        <v>2945</v>
      </c>
      <c r="S35" s="145">
        <v>2752</v>
      </c>
      <c r="T35" s="145">
        <v>2895</v>
      </c>
      <c r="U35" s="145">
        <v>363</v>
      </c>
      <c r="V35" s="145"/>
      <c r="W35" s="145"/>
      <c r="X35" s="145"/>
      <c r="Y35" s="145"/>
      <c r="Z35" s="145"/>
      <c r="AA35" s="145"/>
      <c r="AB35" s="145"/>
      <c r="AC35" s="145"/>
      <c r="AD35" s="145">
        <f t="shared" si="1"/>
        <v>8955</v>
      </c>
    </row>
    <row r="36" spans="2:30" x14ac:dyDescent="0.35">
      <c r="B36" s="3" t="s">
        <v>170</v>
      </c>
      <c r="D36" s="141">
        <v>7685</v>
      </c>
      <c r="E36" s="141">
        <v>5636</v>
      </c>
      <c r="F36" s="141">
        <v>8140</v>
      </c>
      <c r="G36" s="141">
        <v>1139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22600</v>
      </c>
      <c r="R36" s="145">
        <v>108</v>
      </c>
      <c r="S36" s="145">
        <v>86</v>
      </c>
      <c r="T36" s="145">
        <v>119</v>
      </c>
      <c r="U36" s="145">
        <v>15</v>
      </c>
      <c r="V36" s="145"/>
      <c r="W36" s="145"/>
      <c r="X36" s="145"/>
      <c r="Y36" s="145"/>
      <c r="Z36" s="145"/>
      <c r="AA36" s="145"/>
      <c r="AB36" s="145"/>
      <c r="AC36" s="145"/>
      <c r="AD36" s="145">
        <f t="shared" si="1"/>
        <v>328</v>
      </c>
    </row>
    <row r="37" spans="2:30" x14ac:dyDescent="0.35">
      <c r="B37" s="3" t="s">
        <v>112</v>
      </c>
      <c r="D37" s="141">
        <v>879260</v>
      </c>
      <c r="E37" s="141">
        <v>878552</v>
      </c>
      <c r="F37" s="141">
        <v>919279</v>
      </c>
      <c r="G37" s="141">
        <v>119843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2796934</v>
      </c>
      <c r="R37" s="145">
        <v>4934</v>
      </c>
      <c r="S37" s="145">
        <v>4976</v>
      </c>
      <c r="T37" s="145">
        <v>5294</v>
      </c>
      <c r="U37" s="145">
        <v>702</v>
      </c>
      <c r="V37" s="145"/>
      <c r="W37" s="145"/>
      <c r="X37" s="145"/>
      <c r="Y37" s="145"/>
      <c r="Z37" s="145"/>
      <c r="AA37" s="145"/>
      <c r="AB37" s="145"/>
      <c r="AC37" s="145"/>
      <c r="AD37" s="145">
        <f t="shared" si="1"/>
        <v>15906</v>
      </c>
    </row>
    <row r="38" spans="2:30" x14ac:dyDescent="0.35">
      <c r="B38" s="3" t="s">
        <v>115</v>
      </c>
      <c r="D38" s="141">
        <v>602900</v>
      </c>
      <c r="E38" s="141">
        <v>534672</v>
      </c>
      <c r="F38" s="141">
        <v>611352</v>
      </c>
      <c r="G38" s="141">
        <v>105883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1854807</v>
      </c>
      <c r="R38" s="145">
        <v>640</v>
      </c>
      <c r="S38" s="145">
        <v>599</v>
      </c>
      <c r="T38" s="145">
        <v>706</v>
      </c>
      <c r="U38" s="145">
        <v>117</v>
      </c>
      <c r="V38" s="145"/>
      <c r="W38" s="145"/>
      <c r="X38" s="145"/>
      <c r="Y38" s="145"/>
      <c r="Z38" s="145"/>
      <c r="AA38" s="145"/>
      <c r="AB38" s="145"/>
      <c r="AC38" s="145"/>
      <c r="AD38" s="145">
        <f t="shared" si="1"/>
        <v>2062</v>
      </c>
    </row>
    <row r="39" spans="2:30" x14ac:dyDescent="0.35">
      <c r="B39" s="3" t="s">
        <v>100</v>
      </c>
      <c r="D39" s="141">
        <v>10028821</v>
      </c>
      <c r="E39" s="141">
        <v>9845438</v>
      </c>
      <c r="F39" s="141">
        <v>8399422</v>
      </c>
      <c r="G39" s="141">
        <v>1835702</v>
      </c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30109383</v>
      </c>
      <c r="R39" s="145">
        <v>18531</v>
      </c>
      <c r="S39" s="145">
        <v>20544</v>
      </c>
      <c r="T39" s="145">
        <v>22264</v>
      </c>
      <c r="U39" s="145">
        <v>4133</v>
      </c>
      <c r="V39" s="145"/>
      <c r="W39" s="145"/>
      <c r="X39" s="145"/>
      <c r="Y39" s="145"/>
      <c r="Z39" s="145"/>
      <c r="AA39" s="145"/>
      <c r="AB39" s="145"/>
      <c r="AC39" s="145"/>
      <c r="AD39" s="145">
        <f t="shared" si="1"/>
        <v>65472</v>
      </c>
    </row>
    <row r="40" spans="2:30" x14ac:dyDescent="0.35">
      <c r="B40" s="3" t="s">
        <v>117</v>
      </c>
      <c r="D40" s="141">
        <v>517922</v>
      </c>
      <c r="E40" s="141">
        <v>548568</v>
      </c>
      <c r="F40" s="141">
        <v>506745</v>
      </c>
      <c r="G40" s="141">
        <v>42913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1616148</v>
      </c>
      <c r="R40" s="145">
        <v>786</v>
      </c>
      <c r="S40" s="145">
        <v>752</v>
      </c>
      <c r="T40" s="145">
        <v>856</v>
      </c>
      <c r="U40" s="145">
        <v>110</v>
      </c>
      <c r="V40" s="145"/>
      <c r="W40" s="145"/>
      <c r="X40" s="145"/>
      <c r="Y40" s="145"/>
      <c r="Z40" s="145"/>
      <c r="AA40" s="145"/>
      <c r="AB40" s="145"/>
      <c r="AC40" s="145"/>
      <c r="AD40" s="145">
        <f t="shared" si="1"/>
        <v>2504</v>
      </c>
    </row>
    <row r="41" spans="2:30" x14ac:dyDescent="0.35">
      <c r="B41" s="3" t="s">
        <v>197</v>
      </c>
      <c r="D41" s="141">
        <v>265</v>
      </c>
      <c r="E41" s="141">
        <v>231</v>
      </c>
      <c r="F41" s="141">
        <v>956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1452</v>
      </c>
      <c r="R41" s="145">
        <v>1</v>
      </c>
      <c r="S41" s="145">
        <v>1</v>
      </c>
      <c r="T41" s="145">
        <v>1</v>
      </c>
      <c r="U41" s="145"/>
      <c r="V41" s="145"/>
      <c r="W41" s="145"/>
      <c r="X41" s="145"/>
      <c r="Y41" s="145"/>
      <c r="Z41" s="145"/>
      <c r="AA41" s="145"/>
      <c r="AB41" s="145"/>
      <c r="AC41" s="145"/>
      <c r="AD41" s="145">
        <f t="shared" si="1"/>
        <v>3</v>
      </c>
    </row>
    <row r="42" spans="2:30" x14ac:dyDescent="0.35">
      <c r="B42" s="3" t="s">
        <v>107</v>
      </c>
      <c r="D42" s="141">
        <v>431443</v>
      </c>
      <c r="E42" s="141">
        <v>398387</v>
      </c>
      <c r="F42" s="141">
        <v>406104</v>
      </c>
      <c r="G42" s="141">
        <v>32390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1268324</v>
      </c>
      <c r="R42" s="145">
        <v>1196</v>
      </c>
      <c r="S42" s="145">
        <v>1043</v>
      </c>
      <c r="T42" s="145">
        <v>1124</v>
      </c>
      <c r="U42" s="145">
        <v>112</v>
      </c>
      <c r="V42" s="145"/>
      <c r="W42" s="145"/>
      <c r="X42" s="145"/>
      <c r="Y42" s="145"/>
      <c r="Z42" s="145"/>
      <c r="AA42" s="145"/>
      <c r="AB42" s="145"/>
      <c r="AC42" s="145"/>
      <c r="AD42" s="145">
        <f t="shared" si="1"/>
        <v>3475</v>
      </c>
    </row>
    <row r="43" spans="2:30" x14ac:dyDescent="0.35">
      <c r="B43" s="3" t="s">
        <v>128</v>
      </c>
      <c r="D43" s="141">
        <v>237298</v>
      </c>
      <c r="E43" s="141">
        <v>229695</v>
      </c>
      <c r="F43" s="141">
        <v>264939</v>
      </c>
      <c r="G43" s="141">
        <v>34712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766644</v>
      </c>
      <c r="R43" s="145">
        <v>641</v>
      </c>
      <c r="S43" s="145">
        <v>738</v>
      </c>
      <c r="T43" s="145">
        <v>756</v>
      </c>
      <c r="U43" s="145">
        <v>103</v>
      </c>
      <c r="V43" s="145"/>
      <c r="W43" s="145"/>
      <c r="X43" s="145"/>
      <c r="Y43" s="145"/>
      <c r="Z43" s="145"/>
      <c r="AA43" s="145"/>
      <c r="AB43" s="145"/>
      <c r="AC43" s="145"/>
      <c r="AD43" s="145">
        <f t="shared" si="1"/>
        <v>2238</v>
      </c>
    </row>
    <row r="44" spans="2:30" x14ac:dyDescent="0.35">
      <c r="B44" s="3" t="s">
        <v>119</v>
      </c>
      <c r="D44" s="141">
        <v>2072069</v>
      </c>
      <c r="E44" s="141">
        <v>2105398</v>
      </c>
      <c r="F44" s="141">
        <v>2353138</v>
      </c>
      <c r="G44" s="141">
        <v>439854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6970459</v>
      </c>
      <c r="R44" s="145">
        <v>35509</v>
      </c>
      <c r="S44" s="145">
        <v>35538</v>
      </c>
      <c r="T44" s="145">
        <v>39769</v>
      </c>
      <c r="U44" s="145">
        <v>6657</v>
      </c>
      <c r="V44" s="145"/>
      <c r="W44" s="145"/>
      <c r="X44" s="145"/>
      <c r="Y44" s="145"/>
      <c r="Z44" s="145"/>
      <c r="AA44" s="145"/>
      <c r="AB44" s="145"/>
      <c r="AC44" s="145"/>
      <c r="AD44" s="145">
        <f t="shared" si="1"/>
        <v>117473</v>
      </c>
    </row>
    <row r="45" spans="2:30" x14ac:dyDescent="0.35">
      <c r="B45" s="3" t="s">
        <v>120</v>
      </c>
      <c r="D45" s="141">
        <v>849713</v>
      </c>
      <c r="E45" s="141">
        <v>805193</v>
      </c>
      <c r="F45" s="141">
        <v>870830</v>
      </c>
      <c r="G45" s="141">
        <v>64276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2590012</v>
      </c>
      <c r="R45" s="145">
        <v>2294</v>
      </c>
      <c r="S45" s="145">
        <v>2067</v>
      </c>
      <c r="T45" s="145">
        <v>2283</v>
      </c>
      <c r="U45" s="145">
        <v>161</v>
      </c>
      <c r="V45" s="145"/>
      <c r="W45" s="145"/>
      <c r="X45" s="145"/>
      <c r="Y45" s="145"/>
      <c r="Z45" s="145"/>
      <c r="AA45" s="145"/>
      <c r="AB45" s="145"/>
      <c r="AC45" s="145"/>
      <c r="AD45" s="145">
        <f t="shared" si="1"/>
        <v>6805</v>
      </c>
    </row>
    <row r="46" spans="2:30" x14ac:dyDescent="0.35">
      <c r="B46" s="3" t="s">
        <v>113</v>
      </c>
      <c r="D46" s="141">
        <v>1809077</v>
      </c>
      <c r="E46" s="141">
        <v>1474189</v>
      </c>
      <c r="F46" s="141">
        <v>2011342</v>
      </c>
      <c r="G46" s="141">
        <v>162741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5457349</v>
      </c>
      <c r="R46" s="145">
        <v>649</v>
      </c>
      <c r="S46" s="145">
        <v>757</v>
      </c>
      <c r="T46" s="145">
        <v>863</v>
      </c>
      <c r="U46" s="145">
        <v>63</v>
      </c>
      <c r="V46" s="145"/>
      <c r="W46" s="145"/>
      <c r="X46" s="145"/>
      <c r="Y46" s="145"/>
      <c r="Z46" s="145"/>
      <c r="AA46" s="145"/>
      <c r="AB46" s="145"/>
      <c r="AC46" s="145"/>
      <c r="AD46" s="145">
        <f t="shared" si="1"/>
        <v>2332</v>
      </c>
    </row>
    <row r="47" spans="2:30" x14ac:dyDescent="0.35">
      <c r="B47" s="3" t="s">
        <v>122</v>
      </c>
      <c r="D47" s="141">
        <v>620563</v>
      </c>
      <c r="E47" s="141">
        <v>591647</v>
      </c>
      <c r="F47" s="141">
        <v>646477</v>
      </c>
      <c r="G47" s="141">
        <v>121457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1980144</v>
      </c>
      <c r="R47" s="145">
        <v>5051</v>
      </c>
      <c r="S47" s="145">
        <v>4911</v>
      </c>
      <c r="T47" s="145">
        <v>4996</v>
      </c>
      <c r="U47" s="145">
        <v>945</v>
      </c>
      <c r="V47" s="145"/>
      <c r="W47" s="145"/>
      <c r="X47" s="145"/>
      <c r="Y47" s="145"/>
      <c r="Z47" s="145"/>
      <c r="AA47" s="145"/>
      <c r="AB47" s="145"/>
      <c r="AC47" s="145"/>
      <c r="AD47" s="145">
        <f t="shared" si="1"/>
        <v>15903</v>
      </c>
    </row>
    <row r="48" spans="2:30" x14ac:dyDescent="0.35">
      <c r="B48" s="3" t="s">
        <v>160</v>
      </c>
      <c r="D48" s="141">
        <v>1149605</v>
      </c>
      <c r="E48" s="141">
        <v>2108704</v>
      </c>
      <c r="F48" s="141">
        <v>2359039</v>
      </c>
      <c r="G48" s="141">
        <v>308249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5925597</v>
      </c>
      <c r="R48" s="145">
        <v>68548</v>
      </c>
      <c r="S48" s="145">
        <v>126322</v>
      </c>
      <c r="T48" s="145">
        <v>135813</v>
      </c>
      <c r="U48" s="145">
        <v>18030</v>
      </c>
      <c r="V48" s="145"/>
      <c r="W48" s="145"/>
      <c r="X48" s="145"/>
      <c r="Y48" s="145"/>
      <c r="Z48" s="145"/>
      <c r="AA48" s="145"/>
      <c r="AB48" s="145"/>
      <c r="AC48" s="145"/>
      <c r="AD48" s="145">
        <f t="shared" si="1"/>
        <v>348713</v>
      </c>
    </row>
    <row r="49" spans="2:30" x14ac:dyDescent="0.35">
      <c r="B49" s="3" t="s">
        <v>116</v>
      </c>
      <c r="D49" s="141">
        <v>575936</v>
      </c>
      <c r="E49" s="141">
        <v>544239</v>
      </c>
      <c r="F49" s="141">
        <v>617143</v>
      </c>
      <c r="G49" s="141">
        <v>138874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1876192</v>
      </c>
      <c r="R49" s="145">
        <v>5940</v>
      </c>
      <c r="S49" s="145">
        <v>5632</v>
      </c>
      <c r="T49" s="145">
        <v>6236</v>
      </c>
      <c r="U49" s="145">
        <v>1406</v>
      </c>
      <c r="V49" s="145"/>
      <c r="W49" s="145"/>
      <c r="X49" s="145"/>
      <c r="Y49" s="145"/>
      <c r="Z49" s="145"/>
      <c r="AA49" s="145"/>
      <c r="AB49" s="145"/>
      <c r="AC49" s="145"/>
      <c r="AD49" s="145">
        <f t="shared" si="1"/>
        <v>19214</v>
      </c>
    </row>
    <row r="50" spans="2:30" x14ac:dyDescent="0.35">
      <c r="B50" s="3" t="s">
        <v>138</v>
      </c>
      <c r="D50" s="141">
        <v>3827750</v>
      </c>
      <c r="E50" s="141">
        <v>5867808</v>
      </c>
      <c r="F50" s="141">
        <v>3693574</v>
      </c>
      <c r="G50" s="141">
        <v>196667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13585799</v>
      </c>
      <c r="R50" s="145">
        <v>6609</v>
      </c>
      <c r="S50" s="145">
        <v>8039</v>
      </c>
      <c r="T50" s="145">
        <v>7300</v>
      </c>
      <c r="U50" s="145">
        <v>434</v>
      </c>
      <c r="V50" s="145"/>
      <c r="W50" s="145"/>
      <c r="X50" s="145"/>
      <c r="Y50" s="145"/>
      <c r="Z50" s="145"/>
      <c r="AA50" s="145"/>
      <c r="AB50" s="145"/>
      <c r="AC50" s="145"/>
      <c r="AD50" s="145">
        <f t="shared" si="1"/>
        <v>22382</v>
      </c>
    </row>
    <row r="51" spans="2:30" x14ac:dyDescent="0.35">
      <c r="B51" s="3" t="s">
        <v>124</v>
      </c>
      <c r="D51" s="141">
        <v>163726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163726</v>
      </c>
      <c r="R51" s="145">
        <v>2164</v>
      </c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>
        <f t="shared" si="1"/>
        <v>2164</v>
      </c>
    </row>
    <row r="52" spans="2:30" x14ac:dyDescent="0.35">
      <c r="B52" s="3" t="s">
        <v>127</v>
      </c>
      <c r="D52" s="141">
        <v>288211</v>
      </c>
      <c r="E52" s="141">
        <v>354024</v>
      </c>
      <c r="F52" s="141">
        <v>336400</v>
      </c>
      <c r="G52" s="141">
        <v>52073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1030708</v>
      </c>
      <c r="R52" s="145">
        <v>1257</v>
      </c>
      <c r="S52" s="145">
        <v>1262</v>
      </c>
      <c r="T52" s="145">
        <v>1373</v>
      </c>
      <c r="U52" s="145">
        <v>220</v>
      </c>
      <c r="V52" s="145"/>
      <c r="W52" s="145"/>
      <c r="X52" s="145"/>
      <c r="Y52" s="145"/>
      <c r="Z52" s="145"/>
      <c r="AA52" s="145"/>
      <c r="AB52" s="145"/>
      <c r="AC52" s="145"/>
      <c r="AD52" s="145">
        <f t="shared" si="1"/>
        <v>4112</v>
      </c>
    </row>
    <row r="53" spans="2:30" x14ac:dyDescent="0.35">
      <c r="B53" s="3" t="s">
        <v>118</v>
      </c>
      <c r="D53" s="141">
        <v>592036</v>
      </c>
      <c r="E53" s="141">
        <v>530754</v>
      </c>
      <c r="F53" s="141">
        <v>559858</v>
      </c>
      <c r="G53" s="141">
        <v>73099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1755747</v>
      </c>
      <c r="R53" s="145">
        <v>3684</v>
      </c>
      <c r="S53" s="145">
        <v>3308</v>
      </c>
      <c r="T53" s="145">
        <v>3594</v>
      </c>
      <c r="U53" s="145">
        <v>494</v>
      </c>
      <c r="V53" s="145"/>
      <c r="W53" s="145"/>
      <c r="X53" s="145"/>
      <c r="Y53" s="145"/>
      <c r="Z53" s="145"/>
      <c r="AA53" s="145"/>
      <c r="AB53" s="145"/>
      <c r="AC53" s="145"/>
      <c r="AD53" s="145">
        <f t="shared" si="1"/>
        <v>11080</v>
      </c>
    </row>
    <row r="54" spans="2:30" x14ac:dyDescent="0.35">
      <c r="B54" s="3" t="s">
        <v>137</v>
      </c>
      <c r="D54" s="141">
        <v>392129</v>
      </c>
      <c r="E54" s="141">
        <v>483224</v>
      </c>
      <c r="F54" s="141">
        <v>501761</v>
      </c>
      <c r="G54" s="141">
        <v>84483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1461597</v>
      </c>
      <c r="R54" s="145">
        <v>1698</v>
      </c>
      <c r="S54" s="145">
        <v>1951</v>
      </c>
      <c r="T54" s="145">
        <v>2240</v>
      </c>
      <c r="U54" s="145">
        <v>267</v>
      </c>
      <c r="V54" s="145"/>
      <c r="W54" s="145"/>
      <c r="X54" s="145"/>
      <c r="Y54" s="145"/>
      <c r="Z54" s="145"/>
      <c r="AA54" s="145"/>
      <c r="AB54" s="145"/>
      <c r="AC54" s="145"/>
      <c r="AD54" s="145">
        <f t="shared" si="1"/>
        <v>6156</v>
      </c>
    </row>
    <row r="55" spans="2:30" x14ac:dyDescent="0.35">
      <c r="B55" s="3" t="s">
        <v>123</v>
      </c>
      <c r="D55" s="141">
        <v>430829</v>
      </c>
      <c r="E55" s="141">
        <v>381868</v>
      </c>
      <c r="F55" s="141">
        <v>425390</v>
      </c>
      <c r="G55" s="141">
        <v>43368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1281455</v>
      </c>
      <c r="R55" s="145">
        <v>1015</v>
      </c>
      <c r="S55" s="145">
        <v>885</v>
      </c>
      <c r="T55" s="145">
        <v>936</v>
      </c>
      <c r="U55" s="145">
        <v>122</v>
      </c>
      <c r="V55" s="145"/>
      <c r="W55" s="145"/>
      <c r="X55" s="145"/>
      <c r="Y55" s="145"/>
      <c r="Z55" s="145"/>
      <c r="AA55" s="145"/>
      <c r="AB55" s="145"/>
      <c r="AC55" s="145"/>
      <c r="AD55" s="145">
        <f t="shared" si="1"/>
        <v>2958</v>
      </c>
    </row>
    <row r="56" spans="2:30" x14ac:dyDescent="0.35">
      <c r="B56" s="3" t="s">
        <v>134</v>
      </c>
      <c r="D56" s="141">
        <v>508918</v>
      </c>
      <c r="E56" s="141">
        <v>523224</v>
      </c>
      <c r="F56" s="141">
        <v>589670</v>
      </c>
      <c r="G56" s="141">
        <v>97044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1718856</v>
      </c>
      <c r="R56" s="145">
        <v>1449</v>
      </c>
      <c r="S56" s="145">
        <v>1408</v>
      </c>
      <c r="T56" s="145">
        <v>1722</v>
      </c>
      <c r="U56" s="145">
        <v>247</v>
      </c>
      <c r="V56" s="145"/>
      <c r="W56" s="145"/>
      <c r="X56" s="145"/>
      <c r="Y56" s="145"/>
      <c r="Z56" s="145"/>
      <c r="AA56" s="145"/>
      <c r="AB56" s="145"/>
      <c r="AC56" s="145"/>
      <c r="AD56" s="145">
        <f t="shared" si="1"/>
        <v>4826</v>
      </c>
    </row>
    <row r="57" spans="2:30" x14ac:dyDescent="0.35">
      <c r="B57" s="3" t="s">
        <v>177</v>
      </c>
      <c r="D57" s="141">
        <v>35314</v>
      </c>
      <c r="E57" s="141">
        <v>53895</v>
      </c>
      <c r="F57" s="141">
        <v>67291</v>
      </c>
      <c r="G57" s="141">
        <v>6735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163235</v>
      </c>
      <c r="R57" s="145">
        <v>97</v>
      </c>
      <c r="S57" s="145">
        <v>79</v>
      </c>
      <c r="T57" s="145">
        <v>109</v>
      </c>
      <c r="U57" s="145">
        <v>24</v>
      </c>
      <c r="V57" s="145"/>
      <c r="W57" s="145"/>
      <c r="X57" s="145"/>
      <c r="Y57" s="145"/>
      <c r="Z57" s="145"/>
      <c r="AA57" s="145"/>
      <c r="AB57" s="145"/>
      <c r="AC57" s="145"/>
      <c r="AD57" s="145">
        <f t="shared" si="1"/>
        <v>309</v>
      </c>
    </row>
    <row r="58" spans="2:30" x14ac:dyDescent="0.35">
      <c r="B58" s="3" t="s">
        <v>129</v>
      </c>
      <c r="D58" s="141">
        <v>501935</v>
      </c>
      <c r="E58" s="141">
        <v>466859</v>
      </c>
      <c r="F58" s="141">
        <v>476460</v>
      </c>
      <c r="G58" s="141">
        <v>50868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1496122</v>
      </c>
      <c r="R58" s="145">
        <v>1953</v>
      </c>
      <c r="S58" s="145">
        <v>1777</v>
      </c>
      <c r="T58" s="145">
        <v>1846</v>
      </c>
      <c r="U58" s="145">
        <v>194</v>
      </c>
      <c r="V58" s="145"/>
      <c r="W58" s="145"/>
      <c r="X58" s="145"/>
      <c r="Y58" s="145"/>
      <c r="Z58" s="145"/>
      <c r="AA58" s="145"/>
      <c r="AB58" s="145"/>
      <c r="AC58" s="145"/>
      <c r="AD58" s="145">
        <f t="shared" si="1"/>
        <v>5770</v>
      </c>
    </row>
    <row r="59" spans="2:30" x14ac:dyDescent="0.35">
      <c r="B59" s="3" t="s">
        <v>131</v>
      </c>
      <c r="D59" s="141">
        <v>422211</v>
      </c>
      <c r="E59" s="141">
        <v>388700</v>
      </c>
      <c r="F59" s="141">
        <v>512481</v>
      </c>
      <c r="G59" s="141">
        <v>43109</v>
      </c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1366501</v>
      </c>
      <c r="R59" s="145">
        <v>1243</v>
      </c>
      <c r="S59" s="145">
        <v>1206</v>
      </c>
      <c r="T59" s="145">
        <v>1386</v>
      </c>
      <c r="U59" s="145">
        <v>147</v>
      </c>
      <c r="V59" s="145"/>
      <c r="W59" s="145"/>
      <c r="X59" s="145"/>
      <c r="Y59" s="145"/>
      <c r="Z59" s="145"/>
      <c r="AA59" s="145"/>
      <c r="AB59" s="145"/>
      <c r="AC59" s="145"/>
      <c r="AD59" s="145">
        <f t="shared" si="1"/>
        <v>3982</v>
      </c>
    </row>
    <row r="60" spans="2:30" x14ac:dyDescent="0.35">
      <c r="B60" s="3" t="s">
        <v>126</v>
      </c>
      <c r="D60" s="141">
        <v>521361</v>
      </c>
      <c r="E60" s="141">
        <v>730418</v>
      </c>
      <c r="F60" s="141">
        <v>477931</v>
      </c>
      <c r="G60" s="141">
        <v>182742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1912452</v>
      </c>
      <c r="R60" s="145">
        <v>496</v>
      </c>
      <c r="S60" s="145">
        <v>500</v>
      </c>
      <c r="T60" s="145">
        <v>555</v>
      </c>
      <c r="U60" s="145">
        <v>102</v>
      </c>
      <c r="V60" s="145"/>
      <c r="W60" s="145"/>
      <c r="X60" s="145"/>
      <c r="Y60" s="145"/>
      <c r="Z60" s="145"/>
      <c r="AA60" s="145"/>
      <c r="AB60" s="145"/>
      <c r="AC60" s="145"/>
      <c r="AD60" s="145">
        <f t="shared" si="1"/>
        <v>1653</v>
      </c>
    </row>
    <row r="61" spans="2:30" x14ac:dyDescent="0.35">
      <c r="B61" s="3" t="s">
        <v>133</v>
      </c>
      <c r="D61" s="141">
        <v>563035</v>
      </c>
      <c r="E61" s="141">
        <v>543576</v>
      </c>
      <c r="F61" s="141">
        <v>558005</v>
      </c>
      <c r="G61" s="141">
        <v>92175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1756791</v>
      </c>
      <c r="R61" s="145">
        <v>2118</v>
      </c>
      <c r="S61" s="145">
        <v>2142</v>
      </c>
      <c r="T61" s="145">
        <v>2335</v>
      </c>
      <c r="U61" s="145">
        <v>352</v>
      </c>
      <c r="V61" s="145"/>
      <c r="W61" s="145"/>
      <c r="X61" s="145"/>
      <c r="Y61" s="145"/>
      <c r="Z61" s="145"/>
      <c r="AA61" s="145"/>
      <c r="AB61" s="145"/>
      <c r="AC61" s="145"/>
      <c r="AD61" s="145">
        <f t="shared" si="1"/>
        <v>6947</v>
      </c>
    </row>
    <row r="62" spans="2:30" x14ac:dyDescent="0.35">
      <c r="B62" s="3" t="s">
        <v>150</v>
      </c>
      <c r="D62" s="141">
        <v>174321</v>
      </c>
      <c r="E62" s="141">
        <v>123616</v>
      </c>
      <c r="F62" s="141">
        <v>148170</v>
      </c>
      <c r="G62" s="141">
        <v>11073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457180</v>
      </c>
      <c r="R62" s="145">
        <v>683</v>
      </c>
      <c r="S62" s="145">
        <v>515</v>
      </c>
      <c r="T62" s="145">
        <v>615</v>
      </c>
      <c r="U62" s="145">
        <v>64</v>
      </c>
      <c r="V62" s="145"/>
      <c r="W62" s="145"/>
      <c r="X62" s="145"/>
      <c r="Y62" s="145"/>
      <c r="Z62" s="145"/>
      <c r="AA62" s="145"/>
      <c r="AB62" s="145"/>
      <c r="AC62" s="145"/>
      <c r="AD62" s="145">
        <f t="shared" si="1"/>
        <v>1877</v>
      </c>
    </row>
    <row r="63" spans="2:30" x14ac:dyDescent="0.35">
      <c r="B63" s="3" t="s">
        <v>212</v>
      </c>
      <c r="D63" s="141">
        <v>269449</v>
      </c>
      <c r="E63" s="141">
        <v>558815</v>
      </c>
      <c r="F63" s="141">
        <v>685370</v>
      </c>
      <c r="G63" s="141">
        <v>59609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1573243</v>
      </c>
      <c r="R63" s="145">
        <v>701</v>
      </c>
      <c r="S63" s="145">
        <v>1048</v>
      </c>
      <c r="T63" s="145">
        <v>1592</v>
      </c>
      <c r="U63" s="145">
        <v>177</v>
      </c>
      <c r="V63" s="145"/>
      <c r="W63" s="145"/>
      <c r="X63" s="145"/>
      <c r="Y63" s="145"/>
      <c r="Z63" s="145"/>
      <c r="AA63" s="145"/>
      <c r="AB63" s="145"/>
      <c r="AC63" s="145"/>
      <c r="AD63" s="145">
        <f t="shared" si="1"/>
        <v>3518</v>
      </c>
    </row>
    <row r="64" spans="2:30" x14ac:dyDescent="0.35">
      <c r="B64" s="3" t="s">
        <v>140</v>
      </c>
      <c r="D64" s="141">
        <v>56141</v>
      </c>
      <c r="E64" s="141">
        <v>70281</v>
      </c>
      <c r="F64" s="141">
        <v>76291</v>
      </c>
      <c r="G64" s="141">
        <v>10114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212827</v>
      </c>
      <c r="R64" s="145">
        <v>248</v>
      </c>
      <c r="S64" s="145">
        <v>254</v>
      </c>
      <c r="T64" s="145">
        <v>299</v>
      </c>
      <c r="U64" s="145">
        <v>33</v>
      </c>
      <c r="V64" s="145"/>
      <c r="W64" s="145"/>
      <c r="X64" s="145"/>
      <c r="Y64" s="145"/>
      <c r="Z64" s="145"/>
      <c r="AA64" s="145"/>
      <c r="AB64" s="145"/>
      <c r="AC64" s="145"/>
      <c r="AD64" s="145">
        <f t="shared" si="1"/>
        <v>834</v>
      </c>
    </row>
    <row r="65" spans="2:30" x14ac:dyDescent="0.35">
      <c r="B65" s="3" t="s">
        <v>145</v>
      </c>
      <c r="D65" s="141">
        <v>854759</v>
      </c>
      <c r="E65" s="141">
        <v>702597</v>
      </c>
      <c r="F65" s="141">
        <v>240552</v>
      </c>
      <c r="G65" s="141">
        <v>34247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1832155</v>
      </c>
      <c r="R65" s="145">
        <v>1390</v>
      </c>
      <c r="S65" s="145">
        <v>1173</v>
      </c>
      <c r="T65" s="145">
        <v>690</v>
      </c>
      <c r="U65" s="145">
        <v>123</v>
      </c>
      <c r="V65" s="145"/>
      <c r="W65" s="145"/>
      <c r="X65" s="145"/>
      <c r="Y65" s="145"/>
      <c r="Z65" s="145"/>
      <c r="AA65" s="145"/>
      <c r="AB65" s="145"/>
      <c r="AC65" s="145"/>
      <c r="AD65" s="145">
        <f t="shared" si="1"/>
        <v>3376</v>
      </c>
    </row>
    <row r="66" spans="2:30" x14ac:dyDescent="0.35">
      <c r="B66" s="3" t="s">
        <v>164</v>
      </c>
      <c r="D66" s="141">
        <v>109273</v>
      </c>
      <c r="E66" s="141">
        <v>118908</v>
      </c>
      <c r="F66" s="141">
        <v>121120</v>
      </c>
      <c r="G66" s="141">
        <v>10017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359318</v>
      </c>
      <c r="R66" s="145">
        <v>415</v>
      </c>
      <c r="S66" s="145">
        <v>363</v>
      </c>
      <c r="T66" s="145">
        <v>402</v>
      </c>
      <c r="U66" s="145">
        <v>40</v>
      </c>
      <c r="V66" s="145"/>
      <c r="W66" s="145"/>
      <c r="X66" s="145"/>
      <c r="Y66" s="145"/>
      <c r="Z66" s="145"/>
      <c r="AA66" s="145"/>
      <c r="AB66" s="145"/>
      <c r="AC66" s="145"/>
      <c r="AD66" s="145">
        <f t="shared" si="1"/>
        <v>1220</v>
      </c>
    </row>
    <row r="67" spans="2:30" x14ac:dyDescent="0.35">
      <c r="B67" s="3" t="s">
        <v>144</v>
      </c>
      <c r="D67" s="141">
        <v>754433</v>
      </c>
      <c r="E67" s="141">
        <v>2171115</v>
      </c>
      <c r="F67" s="141">
        <v>2444432</v>
      </c>
      <c r="G67" s="141">
        <v>130116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5500096</v>
      </c>
      <c r="R67" s="145">
        <v>7221</v>
      </c>
      <c r="S67" s="145">
        <v>12471</v>
      </c>
      <c r="T67" s="145">
        <v>18118</v>
      </c>
      <c r="U67" s="145">
        <v>1520</v>
      </c>
      <c r="V67" s="145"/>
      <c r="W67" s="145"/>
      <c r="X67" s="145"/>
      <c r="Y67" s="145"/>
      <c r="Z67" s="145"/>
      <c r="AA67" s="145"/>
      <c r="AB67" s="145"/>
      <c r="AC67" s="145"/>
      <c r="AD67" s="145">
        <f t="shared" si="1"/>
        <v>39330</v>
      </c>
    </row>
    <row r="68" spans="2:30" x14ac:dyDescent="0.35">
      <c r="B68" s="3" t="s">
        <v>146</v>
      </c>
      <c r="D68" s="141">
        <v>188102</v>
      </c>
      <c r="E68" s="141">
        <v>150463</v>
      </c>
      <c r="F68" s="141">
        <v>199209</v>
      </c>
      <c r="G68" s="141">
        <v>38287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576061</v>
      </c>
      <c r="R68" s="145">
        <v>535</v>
      </c>
      <c r="S68" s="145">
        <v>491</v>
      </c>
      <c r="T68" s="145">
        <v>573</v>
      </c>
      <c r="U68" s="145">
        <v>94</v>
      </c>
      <c r="V68" s="145"/>
      <c r="W68" s="145"/>
      <c r="X68" s="145"/>
      <c r="Y68" s="145"/>
      <c r="Z68" s="145"/>
      <c r="AA68" s="145"/>
      <c r="AB68" s="145"/>
      <c r="AC68" s="145"/>
      <c r="AD68" s="145">
        <f t="shared" si="1"/>
        <v>1693</v>
      </c>
    </row>
    <row r="69" spans="2:30" x14ac:dyDescent="0.35">
      <c r="B69" s="3" t="s">
        <v>143</v>
      </c>
      <c r="D69" s="141">
        <v>266106</v>
      </c>
      <c r="E69" s="141">
        <v>224101</v>
      </c>
      <c r="F69" s="141">
        <v>179498</v>
      </c>
      <c r="G69" s="141">
        <v>27082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1" si="2">+SUM(D69:O69)</f>
        <v>696787</v>
      </c>
      <c r="R69" s="145">
        <v>1514</v>
      </c>
      <c r="S69" s="145">
        <v>1344</v>
      </c>
      <c r="T69" s="145">
        <v>1220</v>
      </c>
      <c r="U69" s="145">
        <v>176</v>
      </c>
      <c r="V69" s="145"/>
      <c r="W69" s="145"/>
      <c r="X69" s="145"/>
      <c r="Y69" s="145"/>
      <c r="Z69" s="145"/>
      <c r="AA69" s="145"/>
      <c r="AB69" s="145"/>
      <c r="AC69" s="145"/>
      <c r="AD69" s="145">
        <f t="shared" ref="AD69:AD131" si="3">+SUM(R69:AC69)</f>
        <v>4254</v>
      </c>
    </row>
    <row r="70" spans="2:30" x14ac:dyDescent="0.35">
      <c r="B70" s="3" t="s">
        <v>139</v>
      </c>
      <c r="D70" s="141">
        <v>223985</v>
      </c>
      <c r="E70" s="141">
        <v>208140</v>
      </c>
      <c r="F70" s="141">
        <v>253557</v>
      </c>
      <c r="G70" s="141">
        <v>30442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2"/>
        <v>716124</v>
      </c>
      <c r="R70" s="145">
        <v>2723</v>
      </c>
      <c r="S70" s="145">
        <v>2648</v>
      </c>
      <c r="T70" s="145">
        <v>3124</v>
      </c>
      <c r="U70" s="145">
        <v>405</v>
      </c>
      <c r="V70" s="145"/>
      <c r="W70" s="145"/>
      <c r="X70" s="145"/>
      <c r="Y70" s="145"/>
      <c r="Z70" s="145"/>
      <c r="AA70" s="145"/>
      <c r="AB70" s="145"/>
      <c r="AC70" s="145"/>
      <c r="AD70" s="145">
        <f t="shared" si="3"/>
        <v>8900</v>
      </c>
    </row>
    <row r="71" spans="2:30" x14ac:dyDescent="0.35">
      <c r="B71" s="3" t="s">
        <v>136</v>
      </c>
      <c r="D71" s="141">
        <v>96111</v>
      </c>
      <c r="E71" s="141">
        <v>140850</v>
      </c>
      <c r="F71" s="141">
        <v>149774</v>
      </c>
      <c r="G71" s="141">
        <v>8929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2"/>
        <v>395664</v>
      </c>
      <c r="R71" s="145">
        <v>174</v>
      </c>
      <c r="S71" s="145">
        <v>198</v>
      </c>
      <c r="T71" s="145">
        <v>187</v>
      </c>
      <c r="U71" s="145">
        <v>20</v>
      </c>
      <c r="V71" s="145"/>
      <c r="W71" s="145"/>
      <c r="X71" s="145"/>
      <c r="Y71" s="145"/>
      <c r="Z71" s="145"/>
      <c r="AA71" s="145"/>
      <c r="AB71" s="145"/>
      <c r="AC71" s="145"/>
      <c r="AD71" s="145">
        <f t="shared" si="3"/>
        <v>579</v>
      </c>
    </row>
    <row r="72" spans="2:30" x14ac:dyDescent="0.35">
      <c r="B72" s="3" t="s">
        <v>166</v>
      </c>
      <c r="D72" s="141">
        <v>443968</v>
      </c>
      <c r="E72" s="141">
        <v>354813</v>
      </c>
      <c r="F72" s="141">
        <v>327711</v>
      </c>
      <c r="G72" s="141">
        <v>109924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2"/>
        <v>1236416</v>
      </c>
      <c r="R72" s="145">
        <v>1267</v>
      </c>
      <c r="S72" s="145">
        <v>1130</v>
      </c>
      <c r="T72" s="145">
        <v>1059</v>
      </c>
      <c r="U72" s="145">
        <v>250</v>
      </c>
      <c r="V72" s="145"/>
      <c r="W72" s="145"/>
      <c r="X72" s="145"/>
      <c r="Y72" s="145"/>
      <c r="Z72" s="145"/>
      <c r="AA72" s="145"/>
      <c r="AB72" s="145"/>
      <c r="AC72" s="145"/>
      <c r="AD72" s="145">
        <f t="shared" si="3"/>
        <v>3706</v>
      </c>
    </row>
    <row r="73" spans="2:30" x14ac:dyDescent="0.35">
      <c r="B73" s="3" t="s">
        <v>201</v>
      </c>
      <c r="D73" s="141">
        <v>129471</v>
      </c>
      <c r="E73" s="141">
        <v>33418</v>
      </c>
      <c r="F73" s="141">
        <v>136032</v>
      </c>
      <c r="G73" s="141">
        <v>1510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2"/>
        <v>300431</v>
      </c>
      <c r="R73" s="145">
        <v>574</v>
      </c>
      <c r="S73" s="145">
        <v>58</v>
      </c>
      <c r="T73" s="145">
        <v>605</v>
      </c>
      <c r="U73" s="145">
        <v>3</v>
      </c>
      <c r="V73" s="145"/>
      <c r="W73" s="145"/>
      <c r="X73" s="145"/>
      <c r="Y73" s="145"/>
      <c r="Z73" s="145"/>
      <c r="AA73" s="145"/>
      <c r="AB73" s="145"/>
      <c r="AC73" s="145"/>
      <c r="AD73" s="145">
        <f t="shared" si="3"/>
        <v>1240</v>
      </c>
    </row>
    <row r="74" spans="2:30" x14ac:dyDescent="0.35">
      <c r="B74" s="3" t="s">
        <v>148</v>
      </c>
      <c r="D74" s="141">
        <v>797247</v>
      </c>
      <c r="E74" s="141">
        <v>912563</v>
      </c>
      <c r="F74" s="141">
        <v>861336</v>
      </c>
      <c r="G74" s="141">
        <v>195962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2"/>
        <v>2767108</v>
      </c>
      <c r="R74" s="145">
        <v>555</v>
      </c>
      <c r="S74" s="145">
        <v>628</v>
      </c>
      <c r="T74" s="145">
        <v>638</v>
      </c>
      <c r="U74" s="145">
        <v>121</v>
      </c>
      <c r="V74" s="145"/>
      <c r="W74" s="145"/>
      <c r="X74" s="145"/>
      <c r="Y74" s="145"/>
      <c r="Z74" s="145"/>
      <c r="AA74" s="145"/>
      <c r="AB74" s="145"/>
      <c r="AC74" s="145"/>
      <c r="AD74" s="145">
        <f t="shared" si="3"/>
        <v>1942</v>
      </c>
    </row>
    <row r="75" spans="2:30" x14ac:dyDescent="0.35">
      <c r="B75" s="3" t="s">
        <v>141</v>
      </c>
      <c r="D75" s="141">
        <v>251883</v>
      </c>
      <c r="E75" s="141">
        <v>195371</v>
      </c>
      <c r="F75" s="141">
        <v>214810</v>
      </c>
      <c r="G75" s="141">
        <v>35856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2"/>
        <v>697920</v>
      </c>
      <c r="R75" s="145">
        <v>1873</v>
      </c>
      <c r="S75" s="145">
        <v>1705</v>
      </c>
      <c r="T75" s="145">
        <v>1895</v>
      </c>
      <c r="U75" s="145">
        <v>406</v>
      </c>
      <c r="V75" s="145"/>
      <c r="W75" s="145"/>
      <c r="X75" s="145"/>
      <c r="Y75" s="145"/>
      <c r="Z75" s="145"/>
      <c r="AA75" s="145"/>
      <c r="AB75" s="145"/>
      <c r="AC75" s="145"/>
      <c r="AD75" s="145">
        <f t="shared" si="3"/>
        <v>5879</v>
      </c>
    </row>
    <row r="76" spans="2:30" x14ac:dyDescent="0.35">
      <c r="B76" s="3" t="s">
        <v>142</v>
      </c>
      <c r="D76" s="141">
        <v>250654</v>
      </c>
      <c r="E76" s="141">
        <v>252154</v>
      </c>
      <c r="F76" s="141">
        <v>231682</v>
      </c>
      <c r="G76" s="141">
        <v>39745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2"/>
        <v>774235</v>
      </c>
      <c r="R76" s="145">
        <v>2075</v>
      </c>
      <c r="S76" s="145">
        <v>2191</v>
      </c>
      <c r="T76" s="145">
        <v>2208</v>
      </c>
      <c r="U76" s="145">
        <v>382</v>
      </c>
      <c r="V76" s="145"/>
      <c r="W76" s="145"/>
      <c r="X76" s="145"/>
      <c r="Y76" s="145"/>
      <c r="Z76" s="145"/>
      <c r="AA76" s="145"/>
      <c r="AB76" s="145"/>
      <c r="AC76" s="145"/>
      <c r="AD76" s="145">
        <f t="shared" si="3"/>
        <v>6856</v>
      </c>
    </row>
    <row r="77" spans="2:30" x14ac:dyDescent="0.35">
      <c r="B77" s="3" t="s">
        <v>149</v>
      </c>
      <c r="D77" s="141">
        <v>91229</v>
      </c>
      <c r="E77" s="141">
        <v>107359</v>
      </c>
      <c r="F77" s="141">
        <v>96949</v>
      </c>
      <c r="G77" s="141">
        <v>14106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2"/>
        <v>309643</v>
      </c>
      <c r="R77" s="145">
        <v>503</v>
      </c>
      <c r="S77" s="145">
        <v>471</v>
      </c>
      <c r="T77" s="145">
        <v>481</v>
      </c>
      <c r="U77" s="145">
        <v>66</v>
      </c>
      <c r="V77" s="145"/>
      <c r="W77" s="145"/>
      <c r="X77" s="145"/>
      <c r="Y77" s="145"/>
      <c r="Z77" s="145"/>
      <c r="AA77" s="145"/>
      <c r="AB77" s="145"/>
      <c r="AC77" s="145"/>
      <c r="AD77" s="145">
        <f t="shared" si="3"/>
        <v>1521</v>
      </c>
    </row>
    <row r="78" spans="2:30" x14ac:dyDescent="0.35">
      <c r="B78" s="3" t="s">
        <v>158</v>
      </c>
      <c r="D78" s="141">
        <v>198701</v>
      </c>
      <c r="E78" s="141">
        <v>227696</v>
      </c>
      <c r="F78" s="141">
        <v>223344</v>
      </c>
      <c r="G78" s="141">
        <v>55765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2"/>
        <v>705506</v>
      </c>
      <c r="R78" s="145">
        <v>1283</v>
      </c>
      <c r="S78" s="145">
        <v>1265</v>
      </c>
      <c r="T78" s="145">
        <v>1320</v>
      </c>
      <c r="U78" s="145">
        <v>295</v>
      </c>
      <c r="V78" s="145"/>
      <c r="W78" s="145"/>
      <c r="X78" s="145"/>
      <c r="Y78" s="145"/>
      <c r="Z78" s="145"/>
      <c r="AA78" s="145"/>
      <c r="AB78" s="145"/>
      <c r="AC78" s="145"/>
      <c r="AD78" s="145">
        <f t="shared" si="3"/>
        <v>4163</v>
      </c>
    </row>
    <row r="79" spans="2:30" x14ac:dyDescent="0.35">
      <c r="B79" s="3" t="s">
        <v>147</v>
      </c>
      <c r="D79" s="141">
        <v>214336</v>
      </c>
      <c r="E79" s="141">
        <v>194095</v>
      </c>
      <c r="F79" s="141">
        <v>246636</v>
      </c>
      <c r="G79" s="141">
        <v>31838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2"/>
        <v>686905</v>
      </c>
      <c r="R79" s="145">
        <v>348</v>
      </c>
      <c r="S79" s="145">
        <v>256</v>
      </c>
      <c r="T79" s="145">
        <v>354</v>
      </c>
      <c r="U79" s="145">
        <v>44</v>
      </c>
      <c r="V79" s="145"/>
      <c r="W79" s="145"/>
      <c r="X79" s="145"/>
      <c r="Y79" s="145"/>
      <c r="Z79" s="145"/>
      <c r="AA79" s="145"/>
      <c r="AB79" s="145"/>
      <c r="AC79" s="145"/>
      <c r="AD79" s="145">
        <f t="shared" si="3"/>
        <v>1002</v>
      </c>
    </row>
    <row r="80" spans="2:30" x14ac:dyDescent="0.35">
      <c r="B80" s="3" t="s">
        <v>172</v>
      </c>
      <c r="D80" s="141">
        <v>46210</v>
      </c>
      <c r="E80" s="141">
        <v>77860</v>
      </c>
      <c r="F80" s="141">
        <v>52059</v>
      </c>
      <c r="G80" s="141">
        <v>4799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2"/>
        <v>180928</v>
      </c>
      <c r="R80" s="145">
        <v>111</v>
      </c>
      <c r="S80" s="145">
        <v>151</v>
      </c>
      <c r="T80" s="145">
        <v>114</v>
      </c>
      <c r="U80" s="145">
        <v>15</v>
      </c>
      <c r="V80" s="145"/>
      <c r="W80" s="145"/>
      <c r="X80" s="145"/>
      <c r="Y80" s="145"/>
      <c r="Z80" s="145"/>
      <c r="AA80" s="145"/>
      <c r="AB80" s="145"/>
      <c r="AC80" s="145"/>
      <c r="AD80" s="145">
        <f t="shared" si="3"/>
        <v>391</v>
      </c>
    </row>
    <row r="81" spans="2:30" x14ac:dyDescent="0.35">
      <c r="B81" s="3" t="s">
        <v>165</v>
      </c>
      <c r="D81" s="141">
        <v>193376</v>
      </c>
      <c r="E81" s="141">
        <v>197013</v>
      </c>
      <c r="F81" s="141">
        <v>275935</v>
      </c>
      <c r="G81" s="141">
        <v>62250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2"/>
        <v>728574</v>
      </c>
      <c r="R81" s="145">
        <v>6629</v>
      </c>
      <c r="S81" s="145">
        <v>6955</v>
      </c>
      <c r="T81" s="145">
        <v>9181</v>
      </c>
      <c r="U81" s="145">
        <v>1841</v>
      </c>
      <c r="V81" s="145"/>
      <c r="W81" s="145"/>
      <c r="X81" s="145"/>
      <c r="Y81" s="145"/>
      <c r="Z81" s="145"/>
      <c r="AA81" s="145"/>
      <c r="AB81" s="145"/>
      <c r="AC81" s="145"/>
      <c r="AD81" s="145">
        <f t="shared" si="3"/>
        <v>24606</v>
      </c>
    </row>
    <row r="82" spans="2:30" x14ac:dyDescent="0.35">
      <c r="B82" s="3" t="s">
        <v>154</v>
      </c>
      <c r="D82" s="141">
        <v>135044</v>
      </c>
      <c r="E82" s="141">
        <v>116023</v>
      </c>
      <c r="F82" s="141">
        <v>136434</v>
      </c>
      <c r="G82" s="141">
        <v>14203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2"/>
        <v>401704</v>
      </c>
      <c r="R82" s="145">
        <v>483</v>
      </c>
      <c r="S82" s="145">
        <v>460</v>
      </c>
      <c r="T82" s="145">
        <v>474</v>
      </c>
      <c r="U82" s="145">
        <v>58</v>
      </c>
      <c r="V82" s="145"/>
      <c r="W82" s="145"/>
      <c r="X82" s="145"/>
      <c r="Y82" s="145"/>
      <c r="Z82" s="145"/>
      <c r="AA82" s="145"/>
      <c r="AB82" s="145"/>
      <c r="AC82" s="145"/>
      <c r="AD82" s="145">
        <f t="shared" si="3"/>
        <v>1475</v>
      </c>
    </row>
    <row r="83" spans="2:30" x14ac:dyDescent="0.35">
      <c r="B83" s="3" t="s">
        <v>169</v>
      </c>
      <c r="D83" s="141">
        <v>90274</v>
      </c>
      <c r="E83" s="141">
        <v>69064</v>
      </c>
      <c r="F83" s="141">
        <v>85749</v>
      </c>
      <c r="G83" s="141">
        <v>12391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2"/>
        <v>257478</v>
      </c>
      <c r="R83" s="145">
        <v>575</v>
      </c>
      <c r="S83" s="145">
        <v>524</v>
      </c>
      <c r="T83" s="145">
        <v>704</v>
      </c>
      <c r="U83" s="145">
        <v>70</v>
      </c>
      <c r="V83" s="145"/>
      <c r="W83" s="145"/>
      <c r="X83" s="145"/>
      <c r="Y83" s="145"/>
      <c r="Z83" s="145"/>
      <c r="AA83" s="145"/>
      <c r="AB83" s="145"/>
      <c r="AC83" s="145"/>
      <c r="AD83" s="145">
        <f t="shared" si="3"/>
        <v>1873</v>
      </c>
    </row>
    <row r="84" spans="2:30" x14ac:dyDescent="0.35">
      <c r="B84" s="3" t="s">
        <v>196</v>
      </c>
      <c r="D84" s="141">
        <v>54024</v>
      </c>
      <c r="E84" s="141">
        <v>40112</v>
      </c>
      <c r="F84" s="141">
        <v>65769</v>
      </c>
      <c r="G84" s="141">
        <v>8393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2"/>
        <v>168298</v>
      </c>
      <c r="R84" s="145">
        <v>159</v>
      </c>
      <c r="S84" s="145">
        <v>211</v>
      </c>
      <c r="T84" s="145">
        <v>320</v>
      </c>
      <c r="U84" s="145">
        <v>21</v>
      </c>
      <c r="V84" s="145"/>
      <c r="W84" s="145"/>
      <c r="X84" s="145"/>
      <c r="Y84" s="145"/>
      <c r="Z84" s="145"/>
      <c r="AA84" s="145"/>
      <c r="AB84" s="145"/>
      <c r="AC84" s="145"/>
      <c r="AD84" s="145">
        <f t="shared" si="3"/>
        <v>711</v>
      </c>
    </row>
    <row r="85" spans="2:30" x14ac:dyDescent="0.35">
      <c r="B85" s="3" t="s">
        <v>163</v>
      </c>
      <c r="D85" s="141">
        <v>66300</v>
      </c>
      <c r="E85" s="141">
        <v>64945</v>
      </c>
      <c r="F85" s="141">
        <v>86245</v>
      </c>
      <c r="G85" s="141">
        <v>11983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2"/>
        <v>229473</v>
      </c>
      <c r="R85" s="145">
        <v>359</v>
      </c>
      <c r="S85" s="145">
        <v>402</v>
      </c>
      <c r="T85" s="145">
        <v>529</v>
      </c>
      <c r="U85" s="145">
        <v>75</v>
      </c>
      <c r="V85" s="145"/>
      <c r="W85" s="145"/>
      <c r="X85" s="145"/>
      <c r="Y85" s="145"/>
      <c r="Z85" s="145"/>
      <c r="AA85" s="145"/>
      <c r="AB85" s="145"/>
      <c r="AC85" s="145"/>
      <c r="AD85" s="145">
        <f t="shared" si="3"/>
        <v>1365</v>
      </c>
    </row>
    <row r="86" spans="2:30" x14ac:dyDescent="0.35">
      <c r="B86" s="3" t="s">
        <v>156</v>
      </c>
      <c r="D86" s="141">
        <v>660968</v>
      </c>
      <c r="E86" s="141">
        <v>422113</v>
      </c>
      <c r="F86" s="141">
        <v>394677</v>
      </c>
      <c r="G86" s="141">
        <v>65790</v>
      </c>
      <c r="H86" s="141"/>
      <c r="I86" s="141"/>
      <c r="J86" s="141"/>
      <c r="K86" s="141"/>
      <c r="L86" s="141"/>
      <c r="M86" s="141"/>
      <c r="N86" s="141"/>
      <c r="O86" s="141"/>
      <c r="P86" s="141">
        <f t="shared" si="2"/>
        <v>1543548</v>
      </c>
      <c r="R86" s="145">
        <v>1799</v>
      </c>
      <c r="S86" s="145">
        <v>1112</v>
      </c>
      <c r="T86" s="145">
        <v>947</v>
      </c>
      <c r="U86" s="145">
        <v>131</v>
      </c>
      <c r="V86" s="145"/>
      <c r="W86" s="145"/>
      <c r="X86" s="145"/>
      <c r="Y86" s="145"/>
      <c r="Z86" s="145"/>
      <c r="AA86" s="145"/>
      <c r="AB86" s="145"/>
      <c r="AC86" s="145"/>
      <c r="AD86" s="145">
        <f t="shared" si="3"/>
        <v>3989</v>
      </c>
    </row>
    <row r="87" spans="2:30" x14ac:dyDescent="0.35">
      <c r="B87" s="3" t="s">
        <v>159</v>
      </c>
      <c r="D87" s="141">
        <v>88627</v>
      </c>
      <c r="E87" s="141">
        <v>77775</v>
      </c>
      <c r="F87" s="141">
        <v>88334</v>
      </c>
      <c r="G87" s="141">
        <v>10369</v>
      </c>
      <c r="H87" s="141"/>
      <c r="I87" s="141"/>
      <c r="J87" s="141"/>
      <c r="K87" s="141"/>
      <c r="L87" s="141"/>
      <c r="M87" s="141"/>
      <c r="N87" s="141"/>
      <c r="O87" s="141"/>
      <c r="P87" s="141">
        <f t="shared" si="2"/>
        <v>265105</v>
      </c>
      <c r="R87" s="145">
        <v>150</v>
      </c>
      <c r="S87" s="145">
        <v>132</v>
      </c>
      <c r="T87" s="145">
        <v>135</v>
      </c>
      <c r="U87" s="145">
        <v>18</v>
      </c>
      <c r="V87" s="145"/>
      <c r="W87" s="145"/>
      <c r="X87" s="145"/>
      <c r="Y87" s="145"/>
      <c r="Z87" s="145"/>
      <c r="AA87" s="145"/>
      <c r="AB87" s="145"/>
      <c r="AC87" s="145"/>
      <c r="AD87" s="145">
        <f t="shared" si="3"/>
        <v>435</v>
      </c>
    </row>
    <row r="88" spans="2:30" x14ac:dyDescent="0.35">
      <c r="B88" s="3" t="s">
        <v>168</v>
      </c>
      <c r="D88" s="141">
        <v>102906</v>
      </c>
      <c r="E88" s="141">
        <v>97044</v>
      </c>
      <c r="F88" s="141">
        <v>125028</v>
      </c>
      <c r="G88" s="141">
        <v>27156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2"/>
        <v>352134</v>
      </c>
      <c r="R88" s="145">
        <v>566</v>
      </c>
      <c r="S88" s="145">
        <v>570</v>
      </c>
      <c r="T88" s="145">
        <v>593</v>
      </c>
      <c r="U88" s="145">
        <v>75</v>
      </c>
      <c r="V88" s="145"/>
      <c r="W88" s="145"/>
      <c r="X88" s="145"/>
      <c r="Y88" s="145"/>
      <c r="Z88" s="145"/>
      <c r="AA88" s="145"/>
      <c r="AB88" s="145"/>
      <c r="AC88" s="145"/>
      <c r="AD88" s="145">
        <f t="shared" si="3"/>
        <v>1804</v>
      </c>
    </row>
    <row r="89" spans="2:30" x14ac:dyDescent="0.35">
      <c r="B89" s="3" t="s">
        <v>167</v>
      </c>
      <c r="D89" s="141">
        <v>42460</v>
      </c>
      <c r="E89" s="141">
        <v>38567</v>
      </c>
      <c r="F89" s="141">
        <v>55504</v>
      </c>
      <c r="G89" s="141">
        <v>8720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2"/>
        <v>145251</v>
      </c>
      <c r="R89" s="145">
        <v>109</v>
      </c>
      <c r="S89" s="145">
        <v>103</v>
      </c>
      <c r="T89" s="145">
        <v>103</v>
      </c>
      <c r="U89" s="145">
        <v>17</v>
      </c>
      <c r="V89" s="145"/>
      <c r="W89" s="145"/>
      <c r="X89" s="145"/>
      <c r="Y89" s="145"/>
      <c r="Z89" s="145"/>
      <c r="AA89" s="145"/>
      <c r="AB89" s="145"/>
      <c r="AC89" s="145"/>
      <c r="AD89" s="145">
        <f t="shared" si="3"/>
        <v>332</v>
      </c>
    </row>
    <row r="90" spans="2:30" x14ac:dyDescent="0.35">
      <c r="B90" s="3" t="s">
        <v>153</v>
      </c>
      <c r="D90" s="141">
        <v>28024</v>
      </c>
      <c r="E90" s="141">
        <v>24860</v>
      </c>
      <c r="F90" s="141">
        <v>53499</v>
      </c>
      <c r="G90" s="141">
        <v>2091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2"/>
        <v>108474</v>
      </c>
      <c r="R90" s="145">
        <v>172</v>
      </c>
      <c r="S90" s="145">
        <v>152</v>
      </c>
      <c r="T90" s="145">
        <v>261</v>
      </c>
      <c r="U90" s="145">
        <v>19</v>
      </c>
      <c r="V90" s="145"/>
      <c r="W90" s="145"/>
      <c r="X90" s="145"/>
      <c r="Y90" s="145"/>
      <c r="Z90" s="145"/>
      <c r="AA90" s="145"/>
      <c r="AB90" s="145"/>
      <c r="AC90" s="145"/>
      <c r="AD90" s="145">
        <f t="shared" si="3"/>
        <v>604</v>
      </c>
    </row>
    <row r="91" spans="2:30" x14ac:dyDescent="0.35">
      <c r="B91" s="3" t="s">
        <v>155</v>
      </c>
      <c r="D91" s="141">
        <v>87009</v>
      </c>
      <c r="E91" s="141">
        <v>85828</v>
      </c>
      <c r="F91" s="141">
        <v>80053</v>
      </c>
      <c r="G91" s="141">
        <v>17999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2"/>
        <v>270889</v>
      </c>
      <c r="R91" s="145">
        <v>353</v>
      </c>
      <c r="S91" s="145">
        <v>338</v>
      </c>
      <c r="T91" s="145">
        <v>329</v>
      </c>
      <c r="U91" s="145">
        <v>57</v>
      </c>
      <c r="V91" s="145"/>
      <c r="W91" s="145"/>
      <c r="X91" s="145"/>
      <c r="Y91" s="145"/>
      <c r="Z91" s="145"/>
      <c r="AA91" s="145"/>
      <c r="AB91" s="145"/>
      <c r="AC91" s="145"/>
      <c r="AD91" s="145">
        <f t="shared" si="3"/>
        <v>1077</v>
      </c>
    </row>
    <row r="92" spans="2:30" x14ac:dyDescent="0.35">
      <c r="B92" s="3" t="s">
        <v>252</v>
      </c>
      <c r="D92" s="141">
        <v>56628</v>
      </c>
      <c r="E92" s="141">
        <v>49984</v>
      </c>
      <c r="F92" s="141">
        <v>59731</v>
      </c>
      <c r="G92" s="141">
        <v>2590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2"/>
        <v>168933</v>
      </c>
      <c r="R92" s="145">
        <v>44</v>
      </c>
      <c r="S92" s="145">
        <v>39</v>
      </c>
      <c r="T92" s="145">
        <v>49</v>
      </c>
      <c r="U92" s="145">
        <v>5</v>
      </c>
      <c r="V92" s="145"/>
      <c r="W92" s="145"/>
      <c r="X92" s="145"/>
      <c r="Y92" s="145"/>
      <c r="Z92" s="145"/>
      <c r="AA92" s="145"/>
      <c r="AB92" s="145"/>
      <c r="AC92" s="145"/>
      <c r="AD92" s="145">
        <f t="shared" si="3"/>
        <v>137</v>
      </c>
    </row>
    <row r="93" spans="2:30" x14ac:dyDescent="0.35">
      <c r="B93" s="3" t="s">
        <v>151</v>
      </c>
      <c r="D93" s="141">
        <v>9345</v>
      </c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>
        <f t="shared" si="2"/>
        <v>9345</v>
      </c>
      <c r="R93" s="145">
        <v>76</v>
      </c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>
        <f t="shared" si="3"/>
        <v>76</v>
      </c>
    </row>
    <row r="94" spans="2:30" x14ac:dyDescent="0.35">
      <c r="B94" s="3" t="s">
        <v>161</v>
      </c>
      <c r="D94" s="141">
        <v>345673</v>
      </c>
      <c r="E94" s="141">
        <v>412003</v>
      </c>
      <c r="F94" s="141">
        <v>472966</v>
      </c>
      <c r="G94" s="141">
        <v>82001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2"/>
        <v>1312643</v>
      </c>
      <c r="R94" s="145">
        <v>1133</v>
      </c>
      <c r="S94" s="145">
        <v>1338</v>
      </c>
      <c r="T94" s="145">
        <v>2103</v>
      </c>
      <c r="U94" s="145">
        <v>469</v>
      </c>
      <c r="V94" s="145"/>
      <c r="W94" s="145"/>
      <c r="X94" s="145"/>
      <c r="Y94" s="145"/>
      <c r="Z94" s="145"/>
      <c r="AA94" s="145"/>
      <c r="AB94" s="145"/>
      <c r="AC94" s="145"/>
      <c r="AD94" s="145">
        <f t="shared" si="3"/>
        <v>5043</v>
      </c>
    </row>
    <row r="95" spans="2:30" x14ac:dyDescent="0.35">
      <c r="B95" s="3" t="s">
        <v>157</v>
      </c>
      <c r="D95" s="141">
        <v>56822</v>
      </c>
      <c r="E95" s="141">
        <v>69549</v>
      </c>
      <c r="F95" s="141">
        <v>56317</v>
      </c>
      <c r="G95" s="141">
        <v>12566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2"/>
        <v>195254</v>
      </c>
      <c r="R95" s="145">
        <v>114</v>
      </c>
      <c r="S95" s="145">
        <v>142</v>
      </c>
      <c r="T95" s="145">
        <v>123</v>
      </c>
      <c r="U95" s="145">
        <v>17</v>
      </c>
      <c r="V95" s="145"/>
      <c r="W95" s="145"/>
      <c r="X95" s="145"/>
      <c r="Y95" s="145"/>
      <c r="Z95" s="145"/>
      <c r="AA95" s="145"/>
      <c r="AB95" s="145"/>
      <c r="AC95" s="145"/>
      <c r="AD95" s="145">
        <f t="shared" si="3"/>
        <v>396</v>
      </c>
    </row>
    <row r="96" spans="2:30" x14ac:dyDescent="0.35">
      <c r="B96" s="3" t="s">
        <v>185</v>
      </c>
      <c r="D96" s="141">
        <v>40423</v>
      </c>
      <c r="E96" s="141">
        <v>27738</v>
      </c>
      <c r="F96" s="141">
        <v>28861</v>
      </c>
      <c r="G96" s="141">
        <v>1284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2"/>
        <v>98306</v>
      </c>
      <c r="R96" s="145">
        <v>100</v>
      </c>
      <c r="S96" s="145">
        <v>104</v>
      </c>
      <c r="T96" s="145">
        <v>84</v>
      </c>
      <c r="U96" s="145">
        <v>11</v>
      </c>
      <c r="V96" s="145"/>
      <c r="W96" s="145"/>
      <c r="X96" s="145"/>
      <c r="Y96" s="145"/>
      <c r="Z96" s="145"/>
      <c r="AA96" s="145"/>
      <c r="AB96" s="145"/>
      <c r="AC96" s="145"/>
      <c r="AD96" s="145">
        <f t="shared" si="3"/>
        <v>299</v>
      </c>
    </row>
    <row r="97" spans="2:30" x14ac:dyDescent="0.35">
      <c r="B97" s="3" t="s">
        <v>162</v>
      </c>
      <c r="D97" s="141">
        <v>78437</v>
      </c>
      <c r="E97" s="141">
        <v>48530</v>
      </c>
      <c r="F97" s="141">
        <v>96890</v>
      </c>
      <c r="G97" s="141">
        <v>7875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2"/>
        <v>231732</v>
      </c>
      <c r="R97" s="145">
        <v>172</v>
      </c>
      <c r="S97" s="145">
        <v>138</v>
      </c>
      <c r="T97" s="145">
        <v>155</v>
      </c>
      <c r="U97" s="145">
        <v>19</v>
      </c>
      <c r="V97" s="145"/>
      <c r="W97" s="145"/>
      <c r="X97" s="145"/>
      <c r="Y97" s="145"/>
      <c r="Z97" s="145"/>
      <c r="AA97" s="145"/>
      <c r="AB97" s="145"/>
      <c r="AC97" s="145"/>
      <c r="AD97" s="145">
        <f t="shared" si="3"/>
        <v>484</v>
      </c>
    </row>
    <row r="98" spans="2:30" x14ac:dyDescent="0.35">
      <c r="B98" s="3" t="s">
        <v>216</v>
      </c>
      <c r="D98" s="141">
        <v>11516</v>
      </c>
      <c r="E98" s="141">
        <v>4968</v>
      </c>
      <c r="F98" s="141">
        <v>9211</v>
      </c>
      <c r="G98" s="141">
        <v>1509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2"/>
        <v>27204</v>
      </c>
      <c r="R98" s="145">
        <v>56</v>
      </c>
      <c r="S98" s="145">
        <v>71</v>
      </c>
      <c r="T98" s="145">
        <v>46</v>
      </c>
      <c r="U98" s="145">
        <v>14</v>
      </c>
      <c r="V98" s="145"/>
      <c r="W98" s="145"/>
      <c r="X98" s="145"/>
      <c r="Y98" s="145"/>
      <c r="Z98" s="145"/>
      <c r="AA98" s="145"/>
      <c r="AB98" s="145"/>
      <c r="AC98" s="145"/>
      <c r="AD98" s="145">
        <f t="shared" si="3"/>
        <v>187</v>
      </c>
    </row>
    <row r="99" spans="2:30" x14ac:dyDescent="0.35">
      <c r="B99" s="3" t="s">
        <v>175</v>
      </c>
      <c r="D99" s="141">
        <v>137736</v>
      </c>
      <c r="E99" s="141">
        <v>79370</v>
      </c>
      <c r="F99" s="141">
        <v>128957</v>
      </c>
      <c r="G99" s="141">
        <v>25922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2"/>
        <v>371985</v>
      </c>
      <c r="R99" s="145">
        <v>367</v>
      </c>
      <c r="S99" s="145">
        <v>289</v>
      </c>
      <c r="T99" s="145">
        <v>400</v>
      </c>
      <c r="U99" s="145">
        <v>80</v>
      </c>
      <c r="V99" s="145"/>
      <c r="W99" s="145"/>
      <c r="X99" s="145"/>
      <c r="Y99" s="145"/>
      <c r="Z99" s="145"/>
      <c r="AA99" s="145"/>
      <c r="AB99" s="145"/>
      <c r="AC99" s="145"/>
      <c r="AD99" s="145">
        <f t="shared" si="3"/>
        <v>1136</v>
      </c>
    </row>
    <row r="100" spans="2:30" x14ac:dyDescent="0.35">
      <c r="B100" s="3" t="s">
        <v>114</v>
      </c>
      <c r="D100" s="141">
        <v>96994</v>
      </c>
      <c r="E100" s="141">
        <v>81551</v>
      </c>
      <c r="F100" s="141">
        <v>105821</v>
      </c>
      <c r="G100" s="141">
        <v>2941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2"/>
        <v>287307</v>
      </c>
      <c r="R100" s="145">
        <v>351</v>
      </c>
      <c r="S100" s="145">
        <v>315</v>
      </c>
      <c r="T100" s="145">
        <v>326</v>
      </c>
      <c r="U100" s="145">
        <v>16</v>
      </c>
      <c r="V100" s="145"/>
      <c r="W100" s="145"/>
      <c r="X100" s="145"/>
      <c r="Y100" s="145"/>
      <c r="Z100" s="145"/>
      <c r="AA100" s="145"/>
      <c r="AB100" s="145"/>
      <c r="AC100" s="145"/>
      <c r="AD100" s="145">
        <f t="shared" si="3"/>
        <v>1008</v>
      </c>
    </row>
    <row r="101" spans="2:30" x14ac:dyDescent="0.35">
      <c r="B101" s="3" t="s">
        <v>179</v>
      </c>
      <c r="D101" s="141">
        <v>54026</v>
      </c>
      <c r="E101" s="141">
        <v>46861</v>
      </c>
      <c r="F101" s="141">
        <v>49045</v>
      </c>
      <c r="G101" s="141">
        <v>8169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2"/>
        <v>158101</v>
      </c>
      <c r="R101" s="145">
        <v>741</v>
      </c>
      <c r="S101" s="145">
        <v>730</v>
      </c>
      <c r="T101" s="145">
        <v>726</v>
      </c>
      <c r="U101" s="145">
        <v>150</v>
      </c>
      <c r="V101" s="145"/>
      <c r="W101" s="145"/>
      <c r="X101" s="145"/>
      <c r="Y101" s="145"/>
      <c r="Z101" s="145"/>
      <c r="AA101" s="145"/>
      <c r="AB101" s="145"/>
      <c r="AC101" s="145"/>
      <c r="AD101" s="145">
        <f t="shared" si="3"/>
        <v>2347</v>
      </c>
    </row>
    <row r="102" spans="2:30" x14ac:dyDescent="0.35">
      <c r="B102" s="3" t="s">
        <v>173</v>
      </c>
      <c r="D102" s="141">
        <v>107917</v>
      </c>
      <c r="E102" s="141">
        <v>109643</v>
      </c>
      <c r="F102" s="141">
        <v>129728</v>
      </c>
      <c r="G102" s="141">
        <v>18620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2"/>
        <v>365908</v>
      </c>
      <c r="R102" s="145">
        <v>709</v>
      </c>
      <c r="S102" s="145">
        <v>752</v>
      </c>
      <c r="T102" s="145">
        <v>920</v>
      </c>
      <c r="U102" s="145">
        <v>143</v>
      </c>
      <c r="V102" s="145"/>
      <c r="W102" s="145"/>
      <c r="X102" s="145"/>
      <c r="Y102" s="145"/>
      <c r="Z102" s="145"/>
      <c r="AA102" s="145"/>
      <c r="AB102" s="145"/>
      <c r="AC102" s="145"/>
      <c r="AD102" s="145">
        <f t="shared" si="3"/>
        <v>2524</v>
      </c>
    </row>
    <row r="103" spans="2:30" x14ac:dyDescent="0.35">
      <c r="B103" s="3" t="s">
        <v>221</v>
      </c>
      <c r="D103" s="141">
        <v>4119</v>
      </c>
      <c r="E103" s="141">
        <v>6132</v>
      </c>
      <c r="F103" s="141">
        <v>4836</v>
      </c>
      <c r="G103" s="141">
        <v>722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2"/>
        <v>15809</v>
      </c>
      <c r="R103" s="145">
        <v>24</v>
      </c>
      <c r="S103" s="145">
        <v>43</v>
      </c>
      <c r="T103" s="145">
        <v>38</v>
      </c>
      <c r="U103" s="145">
        <v>7</v>
      </c>
      <c r="V103" s="145"/>
      <c r="W103" s="145"/>
      <c r="X103" s="145"/>
      <c r="Y103" s="145"/>
      <c r="Z103" s="145"/>
      <c r="AA103" s="145"/>
      <c r="AB103" s="145"/>
      <c r="AC103" s="145"/>
      <c r="AD103" s="145">
        <f t="shared" si="3"/>
        <v>112</v>
      </c>
    </row>
    <row r="104" spans="2:30" x14ac:dyDescent="0.35">
      <c r="B104" s="3" t="s">
        <v>184</v>
      </c>
      <c r="D104" s="141">
        <v>50573</v>
      </c>
      <c r="E104" s="141">
        <v>27032</v>
      </c>
      <c r="F104" s="141">
        <v>33458</v>
      </c>
      <c r="G104" s="141">
        <v>6653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2"/>
        <v>117716</v>
      </c>
      <c r="R104" s="145">
        <v>86</v>
      </c>
      <c r="S104" s="145">
        <v>61</v>
      </c>
      <c r="T104" s="145">
        <v>81</v>
      </c>
      <c r="U104" s="145">
        <v>11</v>
      </c>
      <c r="V104" s="145"/>
      <c r="W104" s="145"/>
      <c r="X104" s="145"/>
      <c r="Y104" s="145"/>
      <c r="Z104" s="145"/>
      <c r="AA104" s="145"/>
      <c r="AB104" s="145"/>
      <c r="AC104" s="145"/>
      <c r="AD104" s="145">
        <f t="shared" si="3"/>
        <v>239</v>
      </c>
    </row>
    <row r="105" spans="2:30" x14ac:dyDescent="0.35">
      <c r="B105" s="3" t="s">
        <v>182</v>
      </c>
      <c r="D105" s="141">
        <v>67850</v>
      </c>
      <c r="E105" s="141">
        <v>43593</v>
      </c>
      <c r="F105" s="141">
        <v>53120</v>
      </c>
      <c r="G105" s="141">
        <v>2738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2"/>
        <v>167301</v>
      </c>
      <c r="R105" s="145">
        <v>174</v>
      </c>
      <c r="S105" s="145">
        <v>145</v>
      </c>
      <c r="T105" s="145">
        <v>155</v>
      </c>
      <c r="U105" s="145">
        <v>9</v>
      </c>
      <c r="V105" s="145"/>
      <c r="W105" s="145"/>
      <c r="X105" s="145"/>
      <c r="Y105" s="145"/>
      <c r="Z105" s="145"/>
      <c r="AA105" s="145"/>
      <c r="AB105" s="145"/>
      <c r="AC105" s="145"/>
      <c r="AD105" s="145">
        <f t="shared" si="3"/>
        <v>483</v>
      </c>
    </row>
    <row r="106" spans="2:30" x14ac:dyDescent="0.35">
      <c r="B106" s="3" t="s">
        <v>249</v>
      </c>
      <c r="D106" s="141">
        <v>1950</v>
      </c>
      <c r="E106" s="141">
        <v>882</v>
      </c>
      <c r="F106" s="141">
        <v>1600</v>
      </c>
      <c r="G106" s="141"/>
      <c r="H106" s="141"/>
      <c r="I106" s="141"/>
      <c r="J106" s="141"/>
      <c r="K106" s="141"/>
      <c r="L106" s="141"/>
      <c r="M106" s="141"/>
      <c r="N106" s="141"/>
      <c r="O106" s="141"/>
      <c r="P106" s="141">
        <f t="shared" si="2"/>
        <v>4432</v>
      </c>
      <c r="R106" s="145">
        <v>4</v>
      </c>
      <c r="S106" s="145">
        <v>3</v>
      </c>
      <c r="T106" s="145">
        <v>2</v>
      </c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>
        <f t="shared" si="3"/>
        <v>9</v>
      </c>
    </row>
    <row r="107" spans="2:30" x14ac:dyDescent="0.35">
      <c r="B107" s="3" t="s">
        <v>199</v>
      </c>
      <c r="D107" s="141">
        <v>6850</v>
      </c>
      <c r="E107" s="141">
        <v>12687</v>
      </c>
      <c r="F107" s="141">
        <v>6685</v>
      </c>
      <c r="G107" s="141">
        <v>2169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2"/>
        <v>28391</v>
      </c>
      <c r="R107" s="145">
        <v>32</v>
      </c>
      <c r="S107" s="145">
        <v>26</v>
      </c>
      <c r="T107" s="145">
        <v>29</v>
      </c>
      <c r="U107" s="145">
        <v>4</v>
      </c>
      <c r="V107" s="145"/>
      <c r="W107" s="145"/>
      <c r="X107" s="145"/>
      <c r="Y107" s="145"/>
      <c r="Z107" s="145"/>
      <c r="AA107" s="145"/>
      <c r="AB107" s="145"/>
      <c r="AC107" s="145"/>
      <c r="AD107" s="145">
        <f t="shared" si="3"/>
        <v>91</v>
      </c>
    </row>
    <row r="108" spans="2:30" x14ac:dyDescent="0.35">
      <c r="B108" s="3" t="s">
        <v>174</v>
      </c>
      <c r="D108" s="141">
        <v>205169</v>
      </c>
      <c r="E108" s="141">
        <v>174883</v>
      </c>
      <c r="F108" s="141">
        <v>174594</v>
      </c>
      <c r="G108" s="141">
        <v>37191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2"/>
        <v>591837</v>
      </c>
      <c r="R108" s="145">
        <v>1460</v>
      </c>
      <c r="S108" s="145">
        <v>1433</v>
      </c>
      <c r="T108" s="145">
        <v>1083</v>
      </c>
      <c r="U108" s="145">
        <v>336</v>
      </c>
      <c r="V108" s="145"/>
      <c r="W108" s="145"/>
      <c r="X108" s="145"/>
      <c r="Y108" s="145"/>
      <c r="Z108" s="145"/>
      <c r="AA108" s="145"/>
      <c r="AB108" s="145"/>
      <c r="AC108" s="145"/>
      <c r="AD108" s="145">
        <f t="shared" si="3"/>
        <v>4312</v>
      </c>
    </row>
    <row r="109" spans="2:30" x14ac:dyDescent="0.35">
      <c r="B109" s="3" t="s">
        <v>193</v>
      </c>
      <c r="D109" s="141">
        <v>28907</v>
      </c>
      <c r="E109" s="141">
        <v>62996</v>
      </c>
      <c r="F109" s="141">
        <v>29957</v>
      </c>
      <c r="G109" s="141">
        <v>4413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2"/>
        <v>126273</v>
      </c>
      <c r="R109" s="145">
        <v>40</v>
      </c>
      <c r="S109" s="145">
        <v>53</v>
      </c>
      <c r="T109" s="145">
        <v>51</v>
      </c>
      <c r="U109" s="145">
        <v>6</v>
      </c>
      <c r="V109" s="145"/>
      <c r="W109" s="145"/>
      <c r="X109" s="145"/>
      <c r="Y109" s="145"/>
      <c r="Z109" s="145"/>
      <c r="AA109" s="145"/>
      <c r="AB109" s="145"/>
      <c r="AC109" s="145"/>
      <c r="AD109" s="145">
        <f t="shared" si="3"/>
        <v>150</v>
      </c>
    </row>
    <row r="110" spans="2:30" x14ac:dyDescent="0.35">
      <c r="B110" s="3" t="s">
        <v>189</v>
      </c>
      <c r="D110" s="141">
        <v>33473</v>
      </c>
      <c r="E110" s="141">
        <v>54410</v>
      </c>
      <c r="F110" s="141">
        <v>39869</v>
      </c>
      <c r="G110" s="141">
        <v>13306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2"/>
        <v>141058</v>
      </c>
      <c r="R110" s="145">
        <v>130</v>
      </c>
      <c r="S110" s="145">
        <v>141</v>
      </c>
      <c r="T110" s="145">
        <v>128</v>
      </c>
      <c r="U110" s="145">
        <v>20</v>
      </c>
      <c r="V110" s="145"/>
      <c r="W110" s="145"/>
      <c r="X110" s="145"/>
      <c r="Y110" s="145"/>
      <c r="Z110" s="145"/>
      <c r="AA110" s="145"/>
      <c r="AB110" s="145"/>
      <c r="AC110" s="145"/>
      <c r="AD110" s="145">
        <f t="shared" si="3"/>
        <v>419</v>
      </c>
    </row>
    <row r="111" spans="2:30" x14ac:dyDescent="0.35">
      <c r="B111" s="3" t="s">
        <v>187</v>
      </c>
      <c r="D111" s="141">
        <v>70087</v>
      </c>
      <c r="E111" s="141">
        <v>54174</v>
      </c>
      <c r="F111" s="141">
        <v>50797</v>
      </c>
      <c r="G111" s="141">
        <v>5863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2"/>
        <v>180921</v>
      </c>
      <c r="R111" s="145">
        <v>109</v>
      </c>
      <c r="S111" s="145">
        <v>104</v>
      </c>
      <c r="T111" s="145">
        <v>122</v>
      </c>
      <c r="U111" s="145">
        <v>10</v>
      </c>
      <c r="V111" s="145"/>
      <c r="W111" s="145"/>
      <c r="X111" s="145"/>
      <c r="Y111" s="145"/>
      <c r="Z111" s="145"/>
      <c r="AA111" s="145"/>
      <c r="AB111" s="145"/>
      <c r="AC111" s="145"/>
      <c r="AD111" s="145">
        <f t="shared" si="3"/>
        <v>345</v>
      </c>
    </row>
    <row r="112" spans="2:30" x14ac:dyDescent="0.35">
      <c r="B112" s="3" t="s">
        <v>178</v>
      </c>
      <c r="D112" s="141">
        <v>166354</v>
      </c>
      <c r="E112" s="141">
        <v>142343</v>
      </c>
      <c r="F112" s="141">
        <v>117071</v>
      </c>
      <c r="G112" s="141">
        <v>21599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2"/>
        <v>447367</v>
      </c>
      <c r="R112" s="145">
        <v>5823</v>
      </c>
      <c r="S112" s="145">
        <v>4743</v>
      </c>
      <c r="T112" s="145">
        <v>4045</v>
      </c>
      <c r="U112" s="145">
        <v>705</v>
      </c>
      <c r="V112" s="145"/>
      <c r="W112" s="145"/>
      <c r="X112" s="145"/>
      <c r="Y112" s="145"/>
      <c r="Z112" s="145"/>
      <c r="AA112" s="145"/>
      <c r="AB112" s="145"/>
      <c r="AC112" s="145"/>
      <c r="AD112" s="145">
        <f t="shared" si="3"/>
        <v>15316</v>
      </c>
    </row>
    <row r="113" spans="2:30" x14ac:dyDescent="0.35">
      <c r="B113" s="3" t="s">
        <v>181</v>
      </c>
      <c r="D113" s="141">
        <v>265001</v>
      </c>
      <c r="E113" s="141">
        <v>259740</v>
      </c>
      <c r="F113" s="141">
        <v>266124</v>
      </c>
      <c r="G113" s="141">
        <v>23107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2"/>
        <v>813972</v>
      </c>
      <c r="R113" s="145">
        <v>350</v>
      </c>
      <c r="S113" s="145">
        <v>310</v>
      </c>
      <c r="T113" s="145">
        <v>274</v>
      </c>
      <c r="U113" s="145">
        <v>36</v>
      </c>
      <c r="V113" s="145"/>
      <c r="W113" s="145"/>
      <c r="X113" s="145"/>
      <c r="Y113" s="145"/>
      <c r="Z113" s="145"/>
      <c r="AA113" s="145"/>
      <c r="AB113" s="145"/>
      <c r="AC113" s="145"/>
      <c r="AD113" s="145">
        <f t="shared" si="3"/>
        <v>970</v>
      </c>
    </row>
    <row r="114" spans="2:30" x14ac:dyDescent="0.35">
      <c r="B114" s="3" t="s">
        <v>198</v>
      </c>
      <c r="D114" s="141">
        <v>99139</v>
      </c>
      <c r="E114" s="141">
        <v>74167</v>
      </c>
      <c r="F114" s="141">
        <v>70279</v>
      </c>
      <c r="G114" s="141">
        <v>19966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2"/>
        <v>263551</v>
      </c>
      <c r="R114" s="145">
        <v>927</v>
      </c>
      <c r="S114" s="145">
        <v>931</v>
      </c>
      <c r="T114" s="145">
        <v>958</v>
      </c>
      <c r="U114" s="145">
        <v>531</v>
      </c>
      <c r="V114" s="145"/>
      <c r="W114" s="145"/>
      <c r="X114" s="145"/>
      <c r="Y114" s="145"/>
      <c r="Z114" s="145"/>
      <c r="AA114" s="145"/>
      <c r="AB114" s="145"/>
      <c r="AC114" s="145"/>
      <c r="AD114" s="145">
        <f t="shared" si="3"/>
        <v>3347</v>
      </c>
    </row>
    <row r="115" spans="2:30" x14ac:dyDescent="0.35">
      <c r="B115" s="3" t="s">
        <v>186</v>
      </c>
      <c r="D115" s="141">
        <v>73810</v>
      </c>
      <c r="E115" s="141">
        <v>48291</v>
      </c>
      <c r="F115" s="141">
        <v>41812</v>
      </c>
      <c r="G115" s="141">
        <v>2638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2"/>
        <v>166551</v>
      </c>
      <c r="R115" s="145">
        <v>98</v>
      </c>
      <c r="S115" s="145">
        <v>129</v>
      </c>
      <c r="T115" s="145">
        <v>117</v>
      </c>
      <c r="U115" s="145">
        <v>11</v>
      </c>
      <c r="V115" s="145"/>
      <c r="W115" s="145"/>
      <c r="X115" s="145"/>
      <c r="Y115" s="145"/>
      <c r="Z115" s="145"/>
      <c r="AA115" s="145"/>
      <c r="AB115" s="145"/>
      <c r="AC115" s="145"/>
      <c r="AD115" s="145">
        <f t="shared" si="3"/>
        <v>355</v>
      </c>
    </row>
    <row r="116" spans="2:30" x14ac:dyDescent="0.35">
      <c r="B116" s="3" t="s">
        <v>190</v>
      </c>
      <c r="D116" s="141">
        <v>94323</v>
      </c>
      <c r="E116" s="141">
        <v>73712</v>
      </c>
      <c r="F116" s="141">
        <v>79955</v>
      </c>
      <c r="G116" s="141">
        <v>7580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2"/>
        <v>255570</v>
      </c>
      <c r="R116" s="145">
        <v>1054</v>
      </c>
      <c r="S116" s="145">
        <v>791</v>
      </c>
      <c r="T116" s="145">
        <v>881</v>
      </c>
      <c r="U116" s="145">
        <v>80</v>
      </c>
      <c r="V116" s="145"/>
      <c r="W116" s="145"/>
      <c r="X116" s="145"/>
      <c r="Y116" s="145"/>
      <c r="Z116" s="145"/>
      <c r="AA116" s="145"/>
      <c r="AB116" s="145"/>
      <c r="AC116" s="145"/>
      <c r="AD116" s="145">
        <f t="shared" si="3"/>
        <v>2806</v>
      </c>
    </row>
    <row r="117" spans="2:30" x14ac:dyDescent="0.35">
      <c r="B117" s="3" t="s">
        <v>183</v>
      </c>
      <c r="D117" s="141">
        <v>51100</v>
      </c>
      <c r="E117" s="141">
        <v>36737</v>
      </c>
      <c r="F117" s="141">
        <v>38975</v>
      </c>
      <c r="G117" s="141">
        <v>4969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2"/>
        <v>131781</v>
      </c>
      <c r="R117" s="145">
        <v>120</v>
      </c>
      <c r="S117" s="145">
        <v>116</v>
      </c>
      <c r="T117" s="145">
        <v>51</v>
      </c>
      <c r="U117" s="145">
        <v>4</v>
      </c>
      <c r="V117" s="145"/>
      <c r="W117" s="145"/>
      <c r="X117" s="145"/>
      <c r="Y117" s="145"/>
      <c r="Z117" s="145"/>
      <c r="AA117" s="145"/>
      <c r="AB117" s="145"/>
      <c r="AC117" s="145"/>
      <c r="AD117" s="145">
        <f t="shared" si="3"/>
        <v>291</v>
      </c>
    </row>
    <row r="118" spans="2:30" x14ac:dyDescent="0.35">
      <c r="B118" s="3" t="s">
        <v>192</v>
      </c>
      <c r="D118" s="141">
        <v>34681</v>
      </c>
      <c r="E118" s="141">
        <v>72665</v>
      </c>
      <c r="F118" s="141">
        <v>58301</v>
      </c>
      <c r="G118" s="141">
        <v>5361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2"/>
        <v>171008</v>
      </c>
      <c r="R118" s="145">
        <v>268</v>
      </c>
      <c r="S118" s="145">
        <v>548</v>
      </c>
      <c r="T118" s="145">
        <v>459</v>
      </c>
      <c r="U118" s="145">
        <v>44</v>
      </c>
      <c r="V118" s="145"/>
      <c r="W118" s="145"/>
      <c r="X118" s="145"/>
      <c r="Y118" s="145"/>
      <c r="Z118" s="145"/>
      <c r="AA118" s="145"/>
      <c r="AB118" s="145"/>
      <c r="AC118" s="145"/>
      <c r="AD118" s="145">
        <f t="shared" si="3"/>
        <v>1319</v>
      </c>
    </row>
    <row r="119" spans="2:30" x14ac:dyDescent="0.35">
      <c r="B119" s="3" t="s">
        <v>188</v>
      </c>
      <c r="D119" s="141">
        <v>6254</v>
      </c>
      <c r="E119" s="141">
        <v>13091</v>
      </c>
      <c r="F119" s="141">
        <v>9099</v>
      </c>
      <c r="G119" s="141">
        <v>40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2"/>
        <v>28484</v>
      </c>
      <c r="R119" s="145">
        <v>19</v>
      </c>
      <c r="S119" s="145">
        <v>21</v>
      </c>
      <c r="T119" s="145">
        <v>22</v>
      </c>
      <c r="U119" s="145">
        <v>1</v>
      </c>
      <c r="V119" s="145"/>
      <c r="W119" s="145"/>
      <c r="X119" s="145"/>
      <c r="Y119" s="145"/>
      <c r="Z119" s="145"/>
      <c r="AA119" s="145"/>
      <c r="AB119" s="145"/>
      <c r="AC119" s="145"/>
      <c r="AD119" s="145">
        <f t="shared" si="3"/>
        <v>63</v>
      </c>
    </row>
    <row r="120" spans="2:30" x14ac:dyDescent="0.35">
      <c r="B120" s="3" t="s">
        <v>176</v>
      </c>
      <c r="D120" s="141">
        <v>273150</v>
      </c>
      <c r="E120" s="141">
        <v>256021</v>
      </c>
      <c r="F120" s="141">
        <v>282503</v>
      </c>
      <c r="G120" s="141">
        <v>45732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2"/>
        <v>857406</v>
      </c>
      <c r="R120" s="145">
        <v>27646</v>
      </c>
      <c r="S120" s="145">
        <v>26202</v>
      </c>
      <c r="T120" s="145">
        <v>28990</v>
      </c>
      <c r="U120" s="145">
        <v>4621</v>
      </c>
      <c r="V120" s="145"/>
      <c r="W120" s="145"/>
      <c r="X120" s="145"/>
      <c r="Y120" s="145"/>
      <c r="Z120" s="145"/>
      <c r="AA120" s="145"/>
      <c r="AB120" s="145"/>
      <c r="AC120" s="145"/>
      <c r="AD120" s="145">
        <f t="shared" si="3"/>
        <v>87459</v>
      </c>
    </row>
    <row r="121" spans="2:30" x14ac:dyDescent="0.35">
      <c r="B121" s="3" t="s">
        <v>231</v>
      </c>
      <c r="D121" s="141">
        <v>85032</v>
      </c>
      <c r="E121" s="141">
        <v>290536</v>
      </c>
      <c r="F121" s="141">
        <v>287041</v>
      </c>
      <c r="G121" s="141">
        <v>13269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2"/>
        <v>675878</v>
      </c>
      <c r="R121" s="145">
        <v>578</v>
      </c>
      <c r="S121" s="145">
        <v>1213</v>
      </c>
      <c r="T121" s="145">
        <v>1164</v>
      </c>
      <c r="U121" s="145">
        <v>84</v>
      </c>
      <c r="V121" s="145"/>
      <c r="W121" s="145"/>
      <c r="X121" s="145"/>
      <c r="Y121" s="145"/>
      <c r="Z121" s="145"/>
      <c r="AA121" s="145"/>
      <c r="AB121" s="145"/>
      <c r="AC121" s="145"/>
      <c r="AD121" s="145">
        <f t="shared" si="3"/>
        <v>3039</v>
      </c>
    </row>
    <row r="122" spans="2:30" x14ac:dyDescent="0.35">
      <c r="B122" s="3" t="s">
        <v>195</v>
      </c>
      <c r="D122" s="141">
        <v>42233</v>
      </c>
      <c r="E122" s="141">
        <v>29730</v>
      </c>
      <c r="F122" s="141">
        <v>22498</v>
      </c>
      <c r="G122" s="141">
        <v>7847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2"/>
        <v>102308</v>
      </c>
      <c r="R122" s="145">
        <v>647</v>
      </c>
      <c r="S122" s="145">
        <v>545</v>
      </c>
      <c r="T122" s="145">
        <v>451</v>
      </c>
      <c r="U122" s="145">
        <v>127</v>
      </c>
      <c r="V122" s="145"/>
      <c r="W122" s="145"/>
      <c r="X122" s="145"/>
      <c r="Y122" s="145"/>
      <c r="Z122" s="145"/>
      <c r="AA122" s="145"/>
      <c r="AB122" s="145"/>
      <c r="AC122" s="145"/>
      <c r="AD122" s="145">
        <f t="shared" si="3"/>
        <v>1770</v>
      </c>
    </row>
    <row r="123" spans="2:30" x14ac:dyDescent="0.35">
      <c r="B123" s="3" t="s">
        <v>229</v>
      </c>
      <c r="D123" s="141">
        <v>2194</v>
      </c>
      <c r="E123" s="141">
        <v>1737</v>
      </c>
      <c r="F123" s="141">
        <v>3367</v>
      </c>
      <c r="G123" s="141">
        <v>416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2"/>
        <v>7714</v>
      </c>
      <c r="R123" s="145">
        <v>10</v>
      </c>
      <c r="S123" s="145">
        <v>9</v>
      </c>
      <c r="T123" s="145">
        <v>9</v>
      </c>
      <c r="U123" s="145">
        <v>2</v>
      </c>
      <c r="V123" s="145"/>
      <c r="W123" s="145"/>
      <c r="X123" s="145"/>
      <c r="Y123" s="145"/>
      <c r="Z123" s="145"/>
      <c r="AA123" s="145"/>
      <c r="AB123" s="145"/>
      <c r="AC123" s="145"/>
      <c r="AD123" s="145">
        <f t="shared" si="3"/>
        <v>30</v>
      </c>
    </row>
    <row r="124" spans="2:30" x14ac:dyDescent="0.35">
      <c r="B124" s="3" t="s">
        <v>203</v>
      </c>
      <c r="D124" s="141">
        <v>342080</v>
      </c>
      <c r="E124" s="141">
        <v>328085</v>
      </c>
      <c r="F124" s="141">
        <v>336430</v>
      </c>
      <c r="G124" s="141">
        <v>56938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2"/>
        <v>1063533</v>
      </c>
      <c r="R124" s="145">
        <v>33896</v>
      </c>
      <c r="S124" s="145">
        <v>32584</v>
      </c>
      <c r="T124" s="145">
        <v>33106</v>
      </c>
      <c r="U124" s="145">
        <v>5770</v>
      </c>
      <c r="V124" s="145"/>
      <c r="W124" s="145"/>
      <c r="X124" s="145"/>
      <c r="Y124" s="145"/>
      <c r="Z124" s="145"/>
      <c r="AA124" s="145"/>
      <c r="AB124" s="145"/>
      <c r="AC124" s="145"/>
      <c r="AD124" s="145">
        <f t="shared" si="3"/>
        <v>105356</v>
      </c>
    </row>
    <row r="125" spans="2:30" x14ac:dyDescent="0.35">
      <c r="B125" s="3" t="s">
        <v>209</v>
      </c>
      <c r="D125" s="141">
        <v>36077</v>
      </c>
      <c r="E125" s="141">
        <v>24141</v>
      </c>
      <c r="F125" s="141">
        <v>24022</v>
      </c>
      <c r="G125" s="141">
        <v>2785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2"/>
        <v>87025</v>
      </c>
      <c r="R125" s="145">
        <v>112</v>
      </c>
      <c r="S125" s="145">
        <v>92</v>
      </c>
      <c r="T125" s="145">
        <v>80</v>
      </c>
      <c r="U125" s="145">
        <v>13</v>
      </c>
      <c r="V125" s="145"/>
      <c r="W125" s="145"/>
      <c r="X125" s="145"/>
      <c r="Y125" s="145"/>
      <c r="Z125" s="145"/>
      <c r="AA125" s="145"/>
      <c r="AB125" s="145"/>
      <c r="AC125" s="145"/>
      <c r="AD125" s="145">
        <f t="shared" si="3"/>
        <v>297</v>
      </c>
    </row>
    <row r="126" spans="2:30" x14ac:dyDescent="0.35">
      <c r="B126" s="3" t="s">
        <v>205</v>
      </c>
      <c r="D126" s="141">
        <v>50001</v>
      </c>
      <c r="E126" s="141">
        <v>24619</v>
      </c>
      <c r="F126" s="141">
        <v>23686</v>
      </c>
      <c r="G126" s="141">
        <v>3095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2"/>
        <v>101401</v>
      </c>
      <c r="R126" s="145">
        <v>283</v>
      </c>
      <c r="S126" s="145">
        <v>225</v>
      </c>
      <c r="T126" s="145">
        <v>254</v>
      </c>
      <c r="U126" s="145">
        <v>42</v>
      </c>
      <c r="V126" s="145"/>
      <c r="W126" s="145"/>
      <c r="X126" s="145"/>
      <c r="Y126" s="145"/>
      <c r="Z126" s="145"/>
      <c r="AA126" s="145"/>
      <c r="AB126" s="145"/>
      <c r="AC126" s="145"/>
      <c r="AD126" s="145">
        <f t="shared" si="3"/>
        <v>804</v>
      </c>
    </row>
    <row r="127" spans="2:30" x14ac:dyDescent="0.35">
      <c r="B127" s="3" t="s">
        <v>200</v>
      </c>
      <c r="D127" s="141">
        <v>16250</v>
      </c>
      <c r="E127" s="141">
        <v>11639</v>
      </c>
      <c r="F127" s="141">
        <v>8182</v>
      </c>
      <c r="G127" s="141">
        <v>994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2"/>
        <v>37065</v>
      </c>
      <c r="R127" s="145">
        <v>44</v>
      </c>
      <c r="S127" s="145">
        <v>29</v>
      </c>
      <c r="T127" s="145">
        <v>30</v>
      </c>
      <c r="U127" s="145">
        <v>4</v>
      </c>
      <c r="V127" s="145"/>
      <c r="W127" s="145"/>
      <c r="X127" s="145"/>
      <c r="Y127" s="145"/>
      <c r="Z127" s="145"/>
      <c r="AA127" s="145"/>
      <c r="AB127" s="145"/>
      <c r="AC127" s="145"/>
      <c r="AD127" s="145">
        <f t="shared" si="3"/>
        <v>107</v>
      </c>
    </row>
    <row r="128" spans="2:30" x14ac:dyDescent="0.35">
      <c r="B128" s="3" t="s">
        <v>260</v>
      </c>
      <c r="D128" s="141">
        <v>148</v>
      </c>
      <c r="E128" s="141">
        <v>38929</v>
      </c>
      <c r="F128" s="141">
        <v>1835</v>
      </c>
      <c r="G128" s="141"/>
      <c r="H128" s="141"/>
      <c r="I128" s="141"/>
      <c r="J128" s="141"/>
      <c r="K128" s="141"/>
      <c r="L128" s="141"/>
      <c r="M128" s="141"/>
      <c r="N128" s="141"/>
      <c r="O128" s="141"/>
      <c r="P128" s="141">
        <f t="shared" si="2"/>
        <v>40912</v>
      </c>
      <c r="R128" s="145">
        <v>1</v>
      </c>
      <c r="S128" s="145">
        <v>1</v>
      </c>
      <c r="T128" s="145">
        <v>1</v>
      </c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>
        <f t="shared" si="3"/>
        <v>3</v>
      </c>
    </row>
    <row r="129" spans="2:30" x14ac:dyDescent="0.35">
      <c r="B129" s="3" t="s">
        <v>206</v>
      </c>
      <c r="D129" s="141">
        <v>73870</v>
      </c>
      <c r="E129" s="141">
        <v>57723</v>
      </c>
      <c r="F129" s="141">
        <v>81401</v>
      </c>
      <c r="G129" s="141">
        <v>17315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2"/>
        <v>230309</v>
      </c>
      <c r="R129" s="145">
        <v>493</v>
      </c>
      <c r="S129" s="145">
        <v>435</v>
      </c>
      <c r="T129" s="145">
        <v>496</v>
      </c>
      <c r="U129" s="145">
        <v>65</v>
      </c>
      <c r="V129" s="145"/>
      <c r="W129" s="145"/>
      <c r="X129" s="145"/>
      <c r="Y129" s="145"/>
      <c r="Z129" s="145"/>
      <c r="AA129" s="145"/>
      <c r="AB129" s="145"/>
      <c r="AC129" s="145"/>
      <c r="AD129" s="145">
        <f t="shared" si="3"/>
        <v>1489</v>
      </c>
    </row>
    <row r="130" spans="2:30" x14ac:dyDescent="0.35">
      <c r="B130" s="3" t="s">
        <v>208</v>
      </c>
      <c r="D130" s="141">
        <v>13412</v>
      </c>
      <c r="E130" s="141">
        <v>19776</v>
      </c>
      <c r="F130" s="141">
        <v>22272</v>
      </c>
      <c r="G130" s="141">
        <v>2839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2"/>
        <v>58299</v>
      </c>
      <c r="R130" s="145">
        <v>86</v>
      </c>
      <c r="S130" s="145">
        <v>104</v>
      </c>
      <c r="T130" s="145">
        <v>107</v>
      </c>
      <c r="U130" s="145">
        <v>19</v>
      </c>
      <c r="V130" s="145"/>
      <c r="W130" s="145"/>
      <c r="X130" s="145"/>
      <c r="Y130" s="145"/>
      <c r="Z130" s="145"/>
      <c r="AA130" s="145"/>
      <c r="AB130" s="145"/>
      <c r="AC130" s="145"/>
      <c r="AD130" s="145">
        <f t="shared" si="3"/>
        <v>316</v>
      </c>
    </row>
    <row r="131" spans="2:30" x14ac:dyDescent="0.35">
      <c r="B131" s="3" t="s">
        <v>228</v>
      </c>
      <c r="D131" s="141">
        <v>3203</v>
      </c>
      <c r="E131" s="141">
        <v>3894</v>
      </c>
      <c r="F131" s="141">
        <v>3413</v>
      </c>
      <c r="G131" s="141">
        <v>528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2"/>
        <v>11038</v>
      </c>
      <c r="R131" s="145">
        <v>26</v>
      </c>
      <c r="S131" s="145">
        <v>33</v>
      </c>
      <c r="T131" s="145">
        <v>30</v>
      </c>
      <c r="U131" s="145">
        <v>7</v>
      </c>
      <c r="V131" s="145"/>
      <c r="W131" s="145"/>
      <c r="X131" s="145"/>
      <c r="Y131" s="145"/>
      <c r="Z131" s="145"/>
      <c r="AA131" s="145"/>
      <c r="AB131" s="145"/>
      <c r="AC131" s="145"/>
      <c r="AD131" s="145">
        <f t="shared" si="3"/>
        <v>96</v>
      </c>
    </row>
    <row r="132" spans="2:30" x14ac:dyDescent="0.35">
      <c r="B132" s="3" t="s">
        <v>215</v>
      </c>
      <c r="D132" s="141">
        <v>7335</v>
      </c>
      <c r="E132" s="141">
        <v>8560</v>
      </c>
      <c r="F132" s="141">
        <v>12439</v>
      </c>
      <c r="G132" s="141">
        <v>2454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ref="P132:P195" si="4">+SUM(D132:O132)</f>
        <v>30788</v>
      </c>
      <c r="R132" s="145">
        <v>40</v>
      </c>
      <c r="S132" s="145">
        <v>49</v>
      </c>
      <c r="T132" s="145">
        <v>73</v>
      </c>
      <c r="U132" s="145">
        <v>8</v>
      </c>
      <c r="V132" s="145"/>
      <c r="W132" s="145"/>
      <c r="X132" s="145"/>
      <c r="Y132" s="145"/>
      <c r="Z132" s="145"/>
      <c r="AA132" s="145"/>
      <c r="AB132" s="145"/>
      <c r="AC132" s="145"/>
      <c r="AD132" s="145">
        <f t="shared" ref="AD132:AD195" si="5">+SUM(R132:AC132)</f>
        <v>170</v>
      </c>
    </row>
    <row r="133" spans="2:30" x14ac:dyDescent="0.35">
      <c r="B133" s="3" t="s">
        <v>204</v>
      </c>
      <c r="D133" s="141">
        <v>376746</v>
      </c>
      <c r="E133" s="141">
        <v>262917</v>
      </c>
      <c r="F133" s="141">
        <v>280762</v>
      </c>
      <c r="G133" s="141">
        <v>140864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si="4"/>
        <v>1061289</v>
      </c>
      <c r="R133" s="145">
        <v>7572</v>
      </c>
      <c r="S133" s="145">
        <v>5623</v>
      </c>
      <c r="T133" s="145">
        <v>5670</v>
      </c>
      <c r="U133" s="145">
        <v>1784</v>
      </c>
      <c r="V133" s="145"/>
      <c r="W133" s="145"/>
      <c r="X133" s="145"/>
      <c r="Y133" s="145"/>
      <c r="Z133" s="145"/>
      <c r="AA133" s="145"/>
      <c r="AB133" s="145"/>
      <c r="AC133" s="145"/>
      <c r="AD133" s="145">
        <f t="shared" si="5"/>
        <v>20649</v>
      </c>
    </row>
    <row r="134" spans="2:30" x14ac:dyDescent="0.35">
      <c r="B134" s="3" t="s">
        <v>180</v>
      </c>
      <c r="D134" s="141">
        <v>1140423</v>
      </c>
      <c r="E134" s="141">
        <v>924402</v>
      </c>
      <c r="F134" s="141">
        <v>1206377</v>
      </c>
      <c r="G134" s="141">
        <v>95531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4"/>
        <v>3366733</v>
      </c>
      <c r="R134" s="145">
        <v>1493</v>
      </c>
      <c r="S134" s="145">
        <v>1400</v>
      </c>
      <c r="T134" s="145">
        <v>1636</v>
      </c>
      <c r="U134" s="145">
        <v>147</v>
      </c>
      <c r="V134" s="145"/>
      <c r="W134" s="145"/>
      <c r="X134" s="145"/>
      <c r="Y134" s="145"/>
      <c r="Z134" s="145"/>
      <c r="AA134" s="145"/>
      <c r="AB134" s="145"/>
      <c r="AC134" s="145"/>
      <c r="AD134" s="145">
        <f t="shared" si="5"/>
        <v>4676</v>
      </c>
    </row>
    <row r="135" spans="2:30" x14ac:dyDescent="0.35">
      <c r="B135" s="3" t="s">
        <v>226</v>
      </c>
      <c r="D135" s="141">
        <v>4377</v>
      </c>
      <c r="E135" s="141">
        <v>8625</v>
      </c>
      <c r="F135" s="141">
        <v>9277</v>
      </c>
      <c r="G135" s="141">
        <v>8150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4"/>
        <v>30429</v>
      </c>
      <c r="R135" s="145">
        <v>15</v>
      </c>
      <c r="S135" s="145">
        <v>30</v>
      </c>
      <c r="T135" s="145">
        <v>20</v>
      </c>
      <c r="U135" s="145">
        <v>3</v>
      </c>
      <c r="V135" s="145"/>
      <c r="W135" s="145"/>
      <c r="X135" s="145"/>
      <c r="Y135" s="145"/>
      <c r="Z135" s="145"/>
      <c r="AA135" s="145"/>
      <c r="AB135" s="145"/>
      <c r="AC135" s="145"/>
      <c r="AD135" s="145">
        <f t="shared" si="5"/>
        <v>68</v>
      </c>
    </row>
    <row r="136" spans="2:30" x14ac:dyDescent="0.35">
      <c r="B136" s="3" t="s">
        <v>240</v>
      </c>
      <c r="D136" s="141">
        <v>31762</v>
      </c>
      <c r="E136" s="141">
        <v>24751</v>
      </c>
      <c r="F136" s="141">
        <v>33977</v>
      </c>
      <c r="G136" s="141">
        <v>5361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4"/>
        <v>95851</v>
      </c>
      <c r="R136" s="145">
        <v>508</v>
      </c>
      <c r="S136" s="145">
        <v>409</v>
      </c>
      <c r="T136" s="145">
        <v>462</v>
      </c>
      <c r="U136" s="145">
        <v>84</v>
      </c>
      <c r="V136" s="145"/>
      <c r="W136" s="145"/>
      <c r="X136" s="145"/>
      <c r="Y136" s="145"/>
      <c r="Z136" s="145"/>
      <c r="AA136" s="145"/>
      <c r="AB136" s="145"/>
      <c r="AC136" s="145"/>
      <c r="AD136" s="145">
        <f t="shared" si="5"/>
        <v>1463</v>
      </c>
    </row>
    <row r="137" spans="2:30" x14ac:dyDescent="0.35">
      <c r="B137" s="3" t="s">
        <v>207</v>
      </c>
      <c r="D137" s="141">
        <v>15338</v>
      </c>
      <c r="E137" s="141">
        <v>8484</v>
      </c>
      <c r="F137" s="141">
        <v>23400</v>
      </c>
      <c r="G137" s="141">
        <v>453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4"/>
        <v>47675</v>
      </c>
      <c r="R137" s="145">
        <v>25</v>
      </c>
      <c r="S137" s="145">
        <v>12</v>
      </c>
      <c r="T137" s="145">
        <v>25</v>
      </c>
      <c r="U137" s="145">
        <v>3</v>
      </c>
      <c r="V137" s="145"/>
      <c r="W137" s="145"/>
      <c r="X137" s="145"/>
      <c r="Y137" s="145"/>
      <c r="Z137" s="145"/>
      <c r="AA137" s="145"/>
      <c r="AB137" s="145"/>
      <c r="AC137" s="145"/>
      <c r="AD137" s="145">
        <f t="shared" si="5"/>
        <v>65</v>
      </c>
    </row>
    <row r="138" spans="2:30" x14ac:dyDescent="0.35">
      <c r="B138" s="3" t="s">
        <v>202</v>
      </c>
      <c r="D138" s="141">
        <v>23201</v>
      </c>
      <c r="E138" s="141">
        <v>23119</v>
      </c>
      <c r="F138" s="141">
        <v>27310</v>
      </c>
      <c r="G138" s="141">
        <v>4924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4"/>
        <v>78554</v>
      </c>
      <c r="R138" s="145">
        <v>97</v>
      </c>
      <c r="S138" s="145">
        <v>95</v>
      </c>
      <c r="T138" s="145">
        <v>117</v>
      </c>
      <c r="U138" s="145">
        <v>12</v>
      </c>
      <c r="V138" s="145"/>
      <c r="W138" s="145"/>
      <c r="X138" s="145"/>
      <c r="Y138" s="145"/>
      <c r="Z138" s="145"/>
      <c r="AA138" s="145"/>
      <c r="AB138" s="145"/>
      <c r="AC138" s="145"/>
      <c r="AD138" s="145">
        <f t="shared" si="5"/>
        <v>321</v>
      </c>
    </row>
    <row r="139" spans="2:30" x14ac:dyDescent="0.35">
      <c r="B139" s="3" t="s">
        <v>210</v>
      </c>
      <c r="D139" s="141">
        <v>3983</v>
      </c>
      <c r="E139" s="141">
        <v>5689</v>
      </c>
      <c r="F139" s="141">
        <v>7374</v>
      </c>
      <c r="G139" s="141">
        <v>58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4"/>
        <v>17104</v>
      </c>
      <c r="R139" s="145">
        <v>49</v>
      </c>
      <c r="S139" s="145">
        <v>47</v>
      </c>
      <c r="T139" s="145">
        <v>46</v>
      </c>
      <c r="U139" s="145">
        <v>4</v>
      </c>
      <c r="V139" s="145"/>
      <c r="W139" s="145"/>
      <c r="X139" s="145"/>
      <c r="Y139" s="145"/>
      <c r="Z139" s="145"/>
      <c r="AA139" s="145"/>
      <c r="AB139" s="145"/>
      <c r="AC139" s="145"/>
      <c r="AD139" s="145">
        <f t="shared" si="5"/>
        <v>146</v>
      </c>
    </row>
    <row r="140" spans="2:30" x14ac:dyDescent="0.35">
      <c r="B140" s="3" t="s">
        <v>213</v>
      </c>
      <c r="D140" s="141">
        <v>8959</v>
      </c>
      <c r="E140" s="141">
        <v>3998</v>
      </c>
      <c r="F140" s="141">
        <v>16805</v>
      </c>
      <c r="G140" s="141">
        <v>1970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4"/>
        <v>31732</v>
      </c>
      <c r="R140" s="145">
        <v>15</v>
      </c>
      <c r="S140" s="145">
        <v>11</v>
      </c>
      <c r="T140" s="145">
        <v>42</v>
      </c>
      <c r="U140" s="145">
        <v>4</v>
      </c>
      <c r="V140" s="145"/>
      <c r="W140" s="145"/>
      <c r="X140" s="145"/>
      <c r="Y140" s="145"/>
      <c r="Z140" s="145"/>
      <c r="AA140" s="145"/>
      <c r="AB140" s="145"/>
      <c r="AC140" s="145"/>
      <c r="AD140" s="145">
        <f t="shared" si="5"/>
        <v>72</v>
      </c>
    </row>
    <row r="141" spans="2:30" x14ac:dyDescent="0.35">
      <c r="B141" s="3" t="s">
        <v>261</v>
      </c>
      <c r="D141" s="141">
        <v>1510</v>
      </c>
      <c r="E141" s="141">
        <v>847</v>
      </c>
      <c r="F141" s="141">
        <v>944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41">
        <f t="shared" si="4"/>
        <v>3301</v>
      </c>
      <c r="R141" s="145">
        <v>5</v>
      </c>
      <c r="S141" s="145">
        <v>1</v>
      </c>
      <c r="T141" s="145">
        <v>3</v>
      </c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>
        <f t="shared" si="5"/>
        <v>9</v>
      </c>
    </row>
    <row r="142" spans="2:30" x14ac:dyDescent="0.35">
      <c r="B142" s="3" t="s">
        <v>230</v>
      </c>
      <c r="D142" s="141">
        <v>20173</v>
      </c>
      <c r="E142" s="141">
        <v>19999</v>
      </c>
      <c r="F142" s="141">
        <v>18154</v>
      </c>
      <c r="G142" s="141">
        <v>4491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4"/>
        <v>62817</v>
      </c>
      <c r="R142" s="145">
        <v>32</v>
      </c>
      <c r="S142" s="145">
        <v>50</v>
      </c>
      <c r="T142" s="145">
        <v>44</v>
      </c>
      <c r="U142" s="145">
        <v>5</v>
      </c>
      <c r="V142" s="145"/>
      <c r="W142" s="145"/>
      <c r="X142" s="145"/>
      <c r="Y142" s="145"/>
      <c r="Z142" s="145"/>
      <c r="AA142" s="145"/>
      <c r="AB142" s="145"/>
      <c r="AC142" s="145"/>
      <c r="AD142" s="145">
        <f t="shared" si="5"/>
        <v>131</v>
      </c>
    </row>
    <row r="143" spans="2:30" x14ac:dyDescent="0.35">
      <c r="B143" s="3" t="s">
        <v>245</v>
      </c>
      <c r="D143" s="141">
        <v>727</v>
      </c>
      <c r="E143" s="141">
        <v>285</v>
      </c>
      <c r="F143" s="141">
        <v>245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>
        <f t="shared" si="4"/>
        <v>1257</v>
      </c>
      <c r="R143" s="145">
        <v>9</v>
      </c>
      <c r="S143" s="145">
        <v>3</v>
      </c>
      <c r="T143" s="145">
        <v>3</v>
      </c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>
        <f t="shared" si="5"/>
        <v>15</v>
      </c>
    </row>
    <row r="144" spans="2:30" x14ac:dyDescent="0.35">
      <c r="B144" s="3" t="s">
        <v>222</v>
      </c>
      <c r="D144" s="141">
        <v>26380</v>
      </c>
      <c r="E144" s="141">
        <v>21843</v>
      </c>
      <c r="F144" s="141">
        <v>24947</v>
      </c>
      <c r="G144" s="141"/>
      <c r="H144" s="141"/>
      <c r="I144" s="141"/>
      <c r="J144" s="141"/>
      <c r="K144" s="141"/>
      <c r="L144" s="141"/>
      <c r="M144" s="141"/>
      <c r="N144" s="141"/>
      <c r="O144" s="141"/>
      <c r="P144" s="141">
        <f t="shared" si="4"/>
        <v>73170</v>
      </c>
      <c r="R144" s="145">
        <v>18</v>
      </c>
      <c r="S144" s="145">
        <v>17</v>
      </c>
      <c r="T144" s="145">
        <v>22</v>
      </c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>
        <f t="shared" si="5"/>
        <v>57</v>
      </c>
    </row>
    <row r="145" spans="2:30" x14ac:dyDescent="0.35">
      <c r="B145" s="3" t="s">
        <v>265</v>
      </c>
      <c r="D145" s="141">
        <v>3798</v>
      </c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>
        <f t="shared" si="4"/>
        <v>3798</v>
      </c>
      <c r="R145" s="145">
        <v>6</v>
      </c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>
        <f t="shared" si="5"/>
        <v>6</v>
      </c>
    </row>
    <row r="146" spans="2:30" x14ac:dyDescent="0.35">
      <c r="B146" s="3" t="s">
        <v>211</v>
      </c>
      <c r="D146" s="141">
        <v>25169</v>
      </c>
      <c r="E146" s="141">
        <v>13405</v>
      </c>
      <c r="F146" s="141">
        <v>9035</v>
      </c>
      <c r="G146" s="141">
        <v>281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4"/>
        <v>47890</v>
      </c>
      <c r="R146" s="145">
        <v>25</v>
      </c>
      <c r="S146" s="145">
        <v>21</v>
      </c>
      <c r="T146" s="145">
        <v>21</v>
      </c>
      <c r="U146" s="145">
        <v>6</v>
      </c>
      <c r="V146" s="145"/>
      <c r="W146" s="145"/>
      <c r="X146" s="145"/>
      <c r="Y146" s="145"/>
      <c r="Z146" s="145"/>
      <c r="AA146" s="145"/>
      <c r="AB146" s="145"/>
      <c r="AC146" s="145"/>
      <c r="AD146" s="145">
        <f t="shared" si="5"/>
        <v>73</v>
      </c>
    </row>
    <row r="147" spans="2:30" x14ac:dyDescent="0.35">
      <c r="B147" s="3" t="s">
        <v>223</v>
      </c>
      <c r="D147" s="141">
        <v>9131</v>
      </c>
      <c r="E147" s="141">
        <v>5870</v>
      </c>
      <c r="F147" s="141">
        <v>8358</v>
      </c>
      <c r="G147" s="141">
        <v>380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4"/>
        <v>23739</v>
      </c>
      <c r="R147" s="145">
        <v>45</v>
      </c>
      <c r="S147" s="145">
        <v>33</v>
      </c>
      <c r="T147" s="145">
        <v>36</v>
      </c>
      <c r="U147" s="145">
        <v>3</v>
      </c>
      <c r="V147" s="145"/>
      <c r="W147" s="145"/>
      <c r="X147" s="145"/>
      <c r="Y147" s="145"/>
      <c r="Z147" s="145"/>
      <c r="AA147" s="145"/>
      <c r="AB147" s="145"/>
      <c r="AC147" s="145"/>
      <c r="AD147" s="145">
        <f t="shared" si="5"/>
        <v>117</v>
      </c>
    </row>
    <row r="148" spans="2:30" x14ac:dyDescent="0.35">
      <c r="B148" s="3" t="s">
        <v>214</v>
      </c>
      <c r="D148" s="141">
        <v>4615</v>
      </c>
      <c r="E148" s="141">
        <v>2296</v>
      </c>
      <c r="F148" s="141">
        <v>16936</v>
      </c>
      <c r="G148" s="141"/>
      <c r="H148" s="141"/>
      <c r="I148" s="141"/>
      <c r="J148" s="141"/>
      <c r="K148" s="141"/>
      <c r="L148" s="141"/>
      <c r="M148" s="141"/>
      <c r="N148" s="141"/>
      <c r="O148" s="141"/>
      <c r="P148" s="141">
        <f t="shared" si="4"/>
        <v>23847</v>
      </c>
      <c r="R148" s="145">
        <v>5</v>
      </c>
      <c r="S148" s="145">
        <v>2</v>
      </c>
      <c r="T148" s="145">
        <v>5</v>
      </c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>
        <f t="shared" si="5"/>
        <v>12</v>
      </c>
    </row>
    <row r="149" spans="2:30" x14ac:dyDescent="0.35">
      <c r="B149" s="3" t="s">
        <v>219</v>
      </c>
      <c r="D149" s="141">
        <v>16336</v>
      </c>
      <c r="E149" s="141">
        <v>17514</v>
      </c>
      <c r="F149" s="141">
        <v>11975</v>
      </c>
      <c r="G149" s="141">
        <v>1246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4"/>
        <v>47071</v>
      </c>
      <c r="R149" s="145">
        <v>180</v>
      </c>
      <c r="S149" s="145">
        <v>172</v>
      </c>
      <c r="T149" s="145">
        <v>125</v>
      </c>
      <c r="U149" s="145">
        <v>17</v>
      </c>
      <c r="V149" s="145"/>
      <c r="W149" s="145"/>
      <c r="X149" s="145"/>
      <c r="Y149" s="145"/>
      <c r="Z149" s="145"/>
      <c r="AA149" s="145"/>
      <c r="AB149" s="145"/>
      <c r="AC149" s="145"/>
      <c r="AD149" s="145">
        <f t="shared" si="5"/>
        <v>494</v>
      </c>
    </row>
    <row r="150" spans="2:30" x14ac:dyDescent="0.35">
      <c r="B150" s="3" t="s">
        <v>225</v>
      </c>
      <c r="D150" s="141">
        <v>3681</v>
      </c>
      <c r="E150" s="141">
        <v>5665</v>
      </c>
      <c r="F150" s="141">
        <v>5102</v>
      </c>
      <c r="G150" s="141">
        <v>799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4"/>
        <v>15247</v>
      </c>
      <c r="R150" s="145">
        <v>20</v>
      </c>
      <c r="S150" s="145">
        <v>21</v>
      </c>
      <c r="T150" s="145">
        <v>24</v>
      </c>
      <c r="U150" s="145">
        <v>10</v>
      </c>
      <c r="V150" s="145"/>
      <c r="W150" s="145"/>
      <c r="X150" s="145"/>
      <c r="Y150" s="145"/>
      <c r="Z150" s="145"/>
      <c r="AA150" s="145"/>
      <c r="AB150" s="145"/>
      <c r="AC150" s="145"/>
      <c r="AD150" s="145">
        <f t="shared" si="5"/>
        <v>75</v>
      </c>
    </row>
    <row r="151" spans="2:30" x14ac:dyDescent="0.35">
      <c r="B151" s="3" t="s">
        <v>238</v>
      </c>
      <c r="D151" s="141">
        <v>164448</v>
      </c>
      <c r="E151" s="141">
        <v>137807</v>
      </c>
      <c r="F151" s="141">
        <v>140224</v>
      </c>
      <c r="G151" s="141">
        <v>17975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4"/>
        <v>460454</v>
      </c>
      <c r="R151" s="145">
        <v>337</v>
      </c>
      <c r="S151" s="145">
        <v>338</v>
      </c>
      <c r="T151" s="145">
        <v>511</v>
      </c>
      <c r="U151" s="145">
        <v>80</v>
      </c>
      <c r="V151" s="145"/>
      <c r="W151" s="145"/>
      <c r="X151" s="145"/>
      <c r="Y151" s="145"/>
      <c r="Z151" s="145"/>
      <c r="AA151" s="145"/>
      <c r="AB151" s="145"/>
      <c r="AC151" s="145"/>
      <c r="AD151" s="145">
        <f t="shared" si="5"/>
        <v>1266</v>
      </c>
    </row>
    <row r="152" spans="2:30" x14ac:dyDescent="0.35">
      <c r="B152" s="3" t="s">
        <v>217</v>
      </c>
      <c r="D152" s="141">
        <v>1235</v>
      </c>
      <c r="E152" s="141">
        <v>2304</v>
      </c>
      <c r="F152" s="141">
        <v>2040</v>
      </c>
      <c r="G152" s="141">
        <v>1028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4"/>
        <v>6607</v>
      </c>
      <c r="R152" s="145">
        <v>9</v>
      </c>
      <c r="S152" s="145">
        <v>9</v>
      </c>
      <c r="T152" s="145">
        <v>14</v>
      </c>
      <c r="U152" s="145">
        <v>2</v>
      </c>
      <c r="V152" s="145"/>
      <c r="W152" s="145"/>
      <c r="X152" s="145"/>
      <c r="Y152" s="145"/>
      <c r="Z152" s="145"/>
      <c r="AA152" s="145"/>
      <c r="AB152" s="145"/>
      <c r="AC152" s="145"/>
      <c r="AD152" s="145">
        <f t="shared" si="5"/>
        <v>34</v>
      </c>
    </row>
    <row r="153" spans="2:30" x14ac:dyDescent="0.35">
      <c r="B153" s="3" t="s">
        <v>218</v>
      </c>
      <c r="D153" s="141">
        <v>5215</v>
      </c>
      <c r="E153" s="141">
        <v>10763</v>
      </c>
      <c r="F153" s="141">
        <v>6909</v>
      </c>
      <c r="G153" s="141">
        <v>7165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4"/>
        <v>30052</v>
      </c>
      <c r="R153" s="145">
        <v>5</v>
      </c>
      <c r="S153" s="145">
        <v>6</v>
      </c>
      <c r="T153" s="145">
        <v>13</v>
      </c>
      <c r="U153" s="145">
        <v>3</v>
      </c>
      <c r="V153" s="145"/>
      <c r="W153" s="145"/>
      <c r="X153" s="145"/>
      <c r="Y153" s="145"/>
      <c r="Z153" s="145"/>
      <c r="AA153" s="145"/>
      <c r="AB153" s="145"/>
      <c r="AC153" s="145"/>
      <c r="AD153" s="145">
        <f t="shared" si="5"/>
        <v>27</v>
      </c>
    </row>
    <row r="154" spans="2:30" x14ac:dyDescent="0.35">
      <c r="B154" s="3" t="s">
        <v>234</v>
      </c>
      <c r="D154" s="141">
        <v>1526</v>
      </c>
      <c r="E154" s="141">
        <v>1280</v>
      </c>
      <c r="F154" s="141">
        <v>2541</v>
      </c>
      <c r="G154" s="141">
        <v>640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4"/>
        <v>5987</v>
      </c>
      <c r="R154" s="145">
        <v>10</v>
      </c>
      <c r="S154" s="145">
        <v>4</v>
      </c>
      <c r="T154" s="145">
        <v>4</v>
      </c>
      <c r="U154" s="145">
        <v>3</v>
      </c>
      <c r="V154" s="145"/>
      <c r="W154" s="145"/>
      <c r="X154" s="145"/>
      <c r="Y154" s="145"/>
      <c r="Z154" s="145"/>
      <c r="AA154" s="145"/>
      <c r="AB154" s="145"/>
      <c r="AC154" s="145"/>
      <c r="AD154" s="145">
        <f t="shared" si="5"/>
        <v>21</v>
      </c>
    </row>
    <row r="155" spans="2:30" x14ac:dyDescent="0.35">
      <c r="B155" s="3" t="s">
        <v>227</v>
      </c>
      <c r="D155" s="141">
        <v>1166</v>
      </c>
      <c r="E155" s="141">
        <v>2121</v>
      </c>
      <c r="F155" s="141">
        <v>5461</v>
      </c>
      <c r="G155" s="141">
        <v>210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4"/>
        <v>8958</v>
      </c>
      <c r="R155" s="145">
        <v>13</v>
      </c>
      <c r="S155" s="145">
        <v>24</v>
      </c>
      <c r="T155" s="145">
        <v>19</v>
      </c>
      <c r="U155" s="145">
        <v>1</v>
      </c>
      <c r="V155" s="145"/>
      <c r="W155" s="145"/>
      <c r="X155" s="145"/>
      <c r="Y155" s="145"/>
      <c r="Z155" s="145"/>
      <c r="AA155" s="145"/>
      <c r="AB155" s="145"/>
      <c r="AC155" s="145"/>
      <c r="AD155" s="145">
        <f t="shared" si="5"/>
        <v>57</v>
      </c>
    </row>
    <row r="156" spans="2:30" x14ac:dyDescent="0.35">
      <c r="B156" s="3" t="s">
        <v>232</v>
      </c>
      <c r="D156" s="141">
        <v>19133</v>
      </c>
      <c r="E156" s="141">
        <v>15614</v>
      </c>
      <c r="F156" s="141">
        <v>10343</v>
      </c>
      <c r="G156" s="141">
        <v>320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4"/>
        <v>45410</v>
      </c>
      <c r="R156" s="145">
        <v>55</v>
      </c>
      <c r="S156" s="145">
        <v>52</v>
      </c>
      <c r="T156" s="145">
        <v>45</v>
      </c>
      <c r="U156" s="145">
        <v>2</v>
      </c>
      <c r="V156" s="145"/>
      <c r="W156" s="145"/>
      <c r="X156" s="145"/>
      <c r="Y156" s="145"/>
      <c r="Z156" s="145"/>
      <c r="AA156" s="145"/>
      <c r="AB156" s="145"/>
      <c r="AC156" s="145"/>
      <c r="AD156" s="145">
        <f t="shared" si="5"/>
        <v>154</v>
      </c>
    </row>
    <row r="157" spans="2:30" x14ac:dyDescent="0.35">
      <c r="B157" s="3" t="s">
        <v>224</v>
      </c>
      <c r="D157" s="141">
        <v>2302</v>
      </c>
      <c r="E157" s="141">
        <v>10764</v>
      </c>
      <c r="F157" s="141">
        <v>1430</v>
      </c>
      <c r="G157" s="141">
        <v>50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4"/>
        <v>14546</v>
      </c>
      <c r="R157" s="145">
        <v>14</v>
      </c>
      <c r="S157" s="145">
        <v>13</v>
      </c>
      <c r="T157" s="145">
        <v>6</v>
      </c>
      <c r="U157" s="145">
        <v>1</v>
      </c>
      <c r="V157" s="145"/>
      <c r="W157" s="145"/>
      <c r="X157" s="145"/>
      <c r="Y157" s="145"/>
      <c r="Z157" s="145"/>
      <c r="AA157" s="145"/>
      <c r="AB157" s="145"/>
      <c r="AC157" s="145"/>
      <c r="AD157" s="145">
        <f t="shared" si="5"/>
        <v>34</v>
      </c>
    </row>
    <row r="158" spans="2:30" x14ac:dyDescent="0.35">
      <c r="B158" s="3" t="s">
        <v>239</v>
      </c>
      <c r="D158" s="141">
        <v>9650</v>
      </c>
      <c r="E158" s="141">
        <v>7347</v>
      </c>
      <c r="F158" s="141">
        <v>15009</v>
      </c>
      <c r="G158" s="141">
        <v>238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4"/>
        <v>32244</v>
      </c>
      <c r="R158" s="145">
        <v>20</v>
      </c>
      <c r="S158" s="145">
        <v>17</v>
      </c>
      <c r="T158" s="145">
        <v>17</v>
      </c>
      <c r="U158" s="145">
        <v>3</v>
      </c>
      <c r="V158" s="145"/>
      <c r="W158" s="145"/>
      <c r="X158" s="145"/>
      <c r="Y158" s="145"/>
      <c r="Z158" s="145"/>
      <c r="AA158" s="145"/>
      <c r="AB158" s="145"/>
      <c r="AC158" s="145"/>
      <c r="AD158" s="145">
        <f t="shared" si="5"/>
        <v>57</v>
      </c>
    </row>
    <row r="159" spans="2:30" x14ac:dyDescent="0.35">
      <c r="B159" s="3" t="s">
        <v>292</v>
      </c>
      <c r="D159" s="141">
        <v>99</v>
      </c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>
        <f t="shared" si="4"/>
        <v>99</v>
      </c>
      <c r="R159" s="145">
        <v>1</v>
      </c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>
        <f t="shared" si="5"/>
        <v>1</v>
      </c>
    </row>
    <row r="160" spans="2:30" x14ac:dyDescent="0.35">
      <c r="B160" s="3" t="s">
        <v>220</v>
      </c>
      <c r="D160" s="141">
        <v>11953</v>
      </c>
      <c r="E160" s="141">
        <v>16378</v>
      </c>
      <c r="F160" s="141">
        <v>8418</v>
      </c>
      <c r="G160" s="141">
        <v>2148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4"/>
        <v>38897</v>
      </c>
      <c r="R160" s="145">
        <v>122</v>
      </c>
      <c r="S160" s="145">
        <v>177</v>
      </c>
      <c r="T160" s="145">
        <v>101</v>
      </c>
      <c r="U160" s="145">
        <v>12</v>
      </c>
      <c r="V160" s="145"/>
      <c r="W160" s="145"/>
      <c r="X160" s="145"/>
      <c r="Y160" s="145"/>
      <c r="Z160" s="145"/>
      <c r="AA160" s="145"/>
      <c r="AB160" s="145"/>
      <c r="AC160" s="145"/>
      <c r="AD160" s="145">
        <f t="shared" si="5"/>
        <v>412</v>
      </c>
    </row>
    <row r="161" spans="2:30" x14ac:dyDescent="0.35">
      <c r="B161" s="3" t="s">
        <v>235</v>
      </c>
      <c r="D161" s="141">
        <v>1152</v>
      </c>
      <c r="E161" s="141"/>
      <c r="F161" s="141">
        <v>2146</v>
      </c>
      <c r="G161" s="141">
        <v>95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4"/>
        <v>3393</v>
      </c>
      <c r="R161" s="145">
        <v>1</v>
      </c>
      <c r="S161" s="145"/>
      <c r="T161" s="145">
        <v>4</v>
      </c>
      <c r="U161" s="145">
        <v>1</v>
      </c>
      <c r="V161" s="145"/>
      <c r="W161" s="145"/>
      <c r="X161" s="145"/>
      <c r="Y161" s="145"/>
      <c r="Z161" s="145"/>
      <c r="AA161" s="145"/>
      <c r="AB161" s="145"/>
      <c r="AC161" s="145"/>
      <c r="AD161" s="145">
        <f t="shared" si="5"/>
        <v>6</v>
      </c>
    </row>
    <row r="162" spans="2:30" x14ac:dyDescent="0.35">
      <c r="B162" s="3" t="s">
        <v>246</v>
      </c>
      <c r="D162" s="141">
        <v>761</v>
      </c>
      <c r="E162" s="141">
        <v>155</v>
      </c>
      <c r="F162" s="141">
        <v>1537</v>
      </c>
      <c r="G162" s="141"/>
      <c r="H162" s="141"/>
      <c r="I162" s="141"/>
      <c r="J162" s="141"/>
      <c r="K162" s="141"/>
      <c r="L162" s="141"/>
      <c r="M162" s="141"/>
      <c r="N162" s="141"/>
      <c r="O162" s="141"/>
      <c r="P162" s="141">
        <f t="shared" si="4"/>
        <v>2453</v>
      </c>
      <c r="R162" s="145">
        <v>3</v>
      </c>
      <c r="S162" s="145">
        <v>2</v>
      </c>
      <c r="T162" s="145">
        <v>6</v>
      </c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>
        <f t="shared" si="5"/>
        <v>11</v>
      </c>
    </row>
    <row r="163" spans="2:30" x14ac:dyDescent="0.35">
      <c r="B163" s="3" t="s">
        <v>236</v>
      </c>
      <c r="D163" s="141">
        <v>2065</v>
      </c>
      <c r="E163" s="141">
        <v>1763</v>
      </c>
      <c r="F163" s="141">
        <v>6345</v>
      </c>
      <c r="G163" s="141">
        <v>236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4"/>
        <v>10409</v>
      </c>
      <c r="R163" s="145">
        <v>15</v>
      </c>
      <c r="S163" s="145">
        <v>9</v>
      </c>
      <c r="T163" s="145">
        <v>26</v>
      </c>
      <c r="U163" s="145">
        <v>3</v>
      </c>
      <c r="V163" s="145"/>
      <c r="W163" s="145"/>
      <c r="X163" s="145"/>
      <c r="Y163" s="145"/>
      <c r="Z163" s="145"/>
      <c r="AA163" s="145"/>
      <c r="AB163" s="145"/>
      <c r="AC163" s="145"/>
      <c r="AD163" s="145">
        <f t="shared" si="5"/>
        <v>53</v>
      </c>
    </row>
    <row r="164" spans="2:30" x14ac:dyDescent="0.35">
      <c r="B164" s="3" t="s">
        <v>244</v>
      </c>
      <c r="D164" s="141">
        <v>277</v>
      </c>
      <c r="E164" s="141">
        <v>1956</v>
      </c>
      <c r="F164" s="141">
        <v>3873</v>
      </c>
      <c r="G164" s="141"/>
      <c r="H164" s="141"/>
      <c r="I164" s="141"/>
      <c r="J164" s="141"/>
      <c r="K164" s="141"/>
      <c r="L164" s="141"/>
      <c r="M164" s="141"/>
      <c r="N164" s="141"/>
      <c r="O164" s="141"/>
      <c r="P164" s="141">
        <f t="shared" si="4"/>
        <v>6106</v>
      </c>
      <c r="R164" s="145">
        <v>3</v>
      </c>
      <c r="S164" s="145">
        <v>8</v>
      </c>
      <c r="T164" s="145">
        <v>10</v>
      </c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>
        <f t="shared" si="5"/>
        <v>21</v>
      </c>
    </row>
    <row r="165" spans="2:30" x14ac:dyDescent="0.35">
      <c r="B165" s="3" t="s">
        <v>241</v>
      </c>
      <c r="D165" s="141">
        <v>2765</v>
      </c>
      <c r="E165" s="141">
        <v>950</v>
      </c>
      <c r="F165" s="141">
        <v>1445</v>
      </c>
      <c r="G165" s="141"/>
      <c r="H165" s="141"/>
      <c r="I165" s="141"/>
      <c r="J165" s="141"/>
      <c r="K165" s="141"/>
      <c r="L165" s="141"/>
      <c r="M165" s="141"/>
      <c r="N165" s="141"/>
      <c r="O165" s="141"/>
      <c r="P165" s="141">
        <f t="shared" si="4"/>
        <v>5160</v>
      </c>
      <c r="R165" s="145">
        <v>6</v>
      </c>
      <c r="S165" s="145">
        <v>8</v>
      </c>
      <c r="T165" s="145">
        <v>6</v>
      </c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>
        <f t="shared" si="5"/>
        <v>20</v>
      </c>
    </row>
    <row r="166" spans="2:30" x14ac:dyDescent="0.35">
      <c r="B166" s="3" t="s">
        <v>242</v>
      </c>
      <c r="D166" s="141">
        <v>3749</v>
      </c>
      <c r="E166" s="141">
        <v>405</v>
      </c>
      <c r="F166" s="141">
        <v>478</v>
      </c>
      <c r="G166" s="141">
        <v>51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4"/>
        <v>4683</v>
      </c>
      <c r="R166" s="145">
        <v>9</v>
      </c>
      <c r="S166" s="145">
        <v>2</v>
      </c>
      <c r="T166" s="145">
        <v>10</v>
      </c>
      <c r="U166" s="145">
        <v>1</v>
      </c>
      <c r="V166" s="145"/>
      <c r="W166" s="145"/>
      <c r="X166" s="145"/>
      <c r="Y166" s="145"/>
      <c r="Z166" s="145"/>
      <c r="AA166" s="145"/>
      <c r="AB166" s="145"/>
      <c r="AC166" s="145"/>
      <c r="AD166" s="145">
        <f t="shared" si="5"/>
        <v>22</v>
      </c>
    </row>
    <row r="167" spans="2:30" x14ac:dyDescent="0.35">
      <c r="B167" s="3" t="s">
        <v>243</v>
      </c>
      <c r="D167" s="141"/>
      <c r="E167" s="141">
        <v>5512</v>
      </c>
      <c r="F167" s="141">
        <v>14134</v>
      </c>
      <c r="G167" s="141">
        <v>621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4"/>
        <v>20267</v>
      </c>
      <c r="R167" s="145"/>
      <c r="S167" s="145">
        <v>22</v>
      </c>
      <c r="T167" s="145">
        <v>54</v>
      </c>
      <c r="U167" s="145">
        <v>9</v>
      </c>
      <c r="V167" s="145"/>
      <c r="W167" s="145"/>
      <c r="X167" s="145"/>
      <c r="Y167" s="145"/>
      <c r="Z167" s="145"/>
      <c r="AA167" s="145"/>
      <c r="AB167" s="145"/>
      <c r="AC167" s="145"/>
      <c r="AD167" s="145">
        <f t="shared" si="5"/>
        <v>85</v>
      </c>
    </row>
    <row r="168" spans="2:30" x14ac:dyDescent="0.35">
      <c r="B168" s="3" t="s">
        <v>237</v>
      </c>
      <c r="D168" s="141">
        <v>26160</v>
      </c>
      <c r="E168" s="141">
        <v>24113</v>
      </c>
      <c r="F168" s="141">
        <v>37295</v>
      </c>
      <c r="G168" s="141">
        <v>2639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4"/>
        <v>90207</v>
      </c>
      <c r="R168" s="145">
        <v>58</v>
      </c>
      <c r="S168" s="145">
        <v>58</v>
      </c>
      <c r="T168" s="145">
        <v>79</v>
      </c>
      <c r="U168" s="145">
        <v>7</v>
      </c>
      <c r="V168" s="145"/>
      <c r="W168" s="145"/>
      <c r="X168" s="145"/>
      <c r="Y168" s="145"/>
      <c r="Z168" s="145"/>
      <c r="AA168" s="145"/>
      <c r="AB168" s="145"/>
      <c r="AC168" s="145"/>
      <c r="AD168" s="145">
        <f t="shared" si="5"/>
        <v>202</v>
      </c>
    </row>
    <row r="169" spans="2:30" x14ac:dyDescent="0.35">
      <c r="B169" s="3" t="s">
        <v>251</v>
      </c>
      <c r="D169" s="141">
        <v>3639</v>
      </c>
      <c r="E169" s="141">
        <v>98</v>
      </c>
      <c r="F169" s="141">
        <v>47133</v>
      </c>
      <c r="G169" s="141">
        <v>21670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4"/>
        <v>72540</v>
      </c>
      <c r="R169" s="145">
        <v>2</v>
      </c>
      <c r="S169" s="145">
        <v>1</v>
      </c>
      <c r="T169" s="145">
        <v>792</v>
      </c>
      <c r="U169" s="145">
        <v>341</v>
      </c>
      <c r="V169" s="145"/>
      <c r="W169" s="145"/>
      <c r="X169" s="145"/>
      <c r="Y169" s="145"/>
      <c r="Z169" s="145"/>
      <c r="AA169" s="145"/>
      <c r="AB169" s="145"/>
      <c r="AC169" s="145"/>
      <c r="AD169" s="145">
        <f t="shared" si="5"/>
        <v>1136</v>
      </c>
    </row>
    <row r="170" spans="2:30" x14ac:dyDescent="0.35">
      <c r="B170" s="3" t="s">
        <v>233</v>
      </c>
      <c r="D170" s="141">
        <v>116581</v>
      </c>
      <c r="E170" s="141">
        <v>39307</v>
      </c>
      <c r="F170" s="141">
        <v>54234</v>
      </c>
      <c r="G170" s="141">
        <v>14254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4"/>
        <v>224376</v>
      </c>
      <c r="R170" s="145">
        <v>505</v>
      </c>
      <c r="S170" s="145">
        <v>341</v>
      </c>
      <c r="T170" s="145">
        <v>312</v>
      </c>
      <c r="U170" s="145">
        <v>173</v>
      </c>
      <c r="V170" s="145"/>
      <c r="W170" s="145"/>
      <c r="X170" s="145"/>
      <c r="Y170" s="145"/>
      <c r="Z170" s="145"/>
      <c r="AA170" s="145"/>
      <c r="AB170" s="145"/>
      <c r="AC170" s="145"/>
      <c r="AD170" s="145">
        <f t="shared" si="5"/>
        <v>1331</v>
      </c>
    </row>
    <row r="171" spans="2:30" x14ac:dyDescent="0.35">
      <c r="B171" s="3" t="s">
        <v>293</v>
      </c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4"/>
        <v>0</v>
      </c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>
        <f t="shared" si="5"/>
        <v>0</v>
      </c>
    </row>
    <row r="172" spans="2:30" x14ac:dyDescent="0.35">
      <c r="B172" s="3" t="s">
        <v>255</v>
      </c>
      <c r="D172" s="141">
        <v>742</v>
      </c>
      <c r="E172" s="141">
        <v>5180</v>
      </c>
      <c r="F172" s="141">
        <v>3586</v>
      </c>
      <c r="G172" s="141">
        <v>2420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4"/>
        <v>11928</v>
      </c>
      <c r="R172" s="145">
        <v>2</v>
      </c>
      <c r="S172" s="145">
        <v>8</v>
      </c>
      <c r="T172" s="145">
        <v>8</v>
      </c>
      <c r="U172" s="145">
        <v>4</v>
      </c>
      <c r="V172" s="145"/>
      <c r="W172" s="145"/>
      <c r="X172" s="145"/>
      <c r="Y172" s="145"/>
      <c r="Z172" s="145"/>
      <c r="AA172" s="145"/>
      <c r="AB172" s="145"/>
      <c r="AC172" s="145"/>
      <c r="AD172" s="145">
        <f t="shared" si="5"/>
        <v>22</v>
      </c>
    </row>
    <row r="173" spans="2:30" x14ac:dyDescent="0.35">
      <c r="B173" s="3" t="s">
        <v>248</v>
      </c>
      <c r="D173" s="141">
        <v>2268</v>
      </c>
      <c r="E173" s="141">
        <v>6911</v>
      </c>
      <c r="F173" s="141">
        <v>3690</v>
      </c>
      <c r="G173" s="141"/>
      <c r="H173" s="141"/>
      <c r="I173" s="141"/>
      <c r="J173" s="141"/>
      <c r="K173" s="141"/>
      <c r="L173" s="141"/>
      <c r="M173" s="141"/>
      <c r="N173" s="141"/>
      <c r="O173" s="141"/>
      <c r="P173" s="141">
        <f t="shared" si="4"/>
        <v>12869</v>
      </c>
      <c r="R173" s="145">
        <v>3</v>
      </c>
      <c r="S173" s="145">
        <v>7</v>
      </c>
      <c r="T173" s="145">
        <v>4</v>
      </c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>
        <f t="shared" si="5"/>
        <v>14</v>
      </c>
    </row>
    <row r="174" spans="2:30" x14ac:dyDescent="0.35">
      <c r="B174" s="3" t="s">
        <v>290</v>
      </c>
      <c r="D174" s="141"/>
      <c r="E174" s="141"/>
      <c r="F174" s="141">
        <v>330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4"/>
        <v>330</v>
      </c>
      <c r="R174" s="145"/>
      <c r="S174" s="145"/>
      <c r="T174" s="145">
        <v>1</v>
      </c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>
        <f t="shared" si="5"/>
        <v>1</v>
      </c>
    </row>
    <row r="175" spans="2:30" x14ac:dyDescent="0.35">
      <c r="B175" s="3" t="s">
        <v>250</v>
      </c>
      <c r="D175" s="141">
        <v>278</v>
      </c>
      <c r="E175" s="141"/>
      <c r="F175" s="141">
        <v>147</v>
      </c>
      <c r="G175" s="141"/>
      <c r="H175" s="141"/>
      <c r="I175" s="141"/>
      <c r="J175" s="141"/>
      <c r="K175" s="141"/>
      <c r="L175" s="141"/>
      <c r="M175" s="141"/>
      <c r="N175" s="141"/>
      <c r="O175" s="141"/>
      <c r="P175" s="141">
        <f t="shared" si="4"/>
        <v>425</v>
      </c>
      <c r="R175" s="145">
        <v>2</v>
      </c>
      <c r="S175" s="145"/>
      <c r="T175" s="145">
        <v>1</v>
      </c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>
        <f t="shared" si="5"/>
        <v>3</v>
      </c>
    </row>
    <row r="176" spans="2:30" x14ac:dyDescent="0.35">
      <c r="B176" s="3" t="s">
        <v>253</v>
      </c>
      <c r="D176" s="141">
        <v>250</v>
      </c>
      <c r="E176" s="141">
        <v>1855</v>
      </c>
      <c r="F176" s="141">
        <v>586</v>
      </c>
      <c r="G176" s="141">
        <v>105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4"/>
        <v>2796</v>
      </c>
      <c r="R176" s="145">
        <v>2</v>
      </c>
      <c r="S176" s="145">
        <v>4</v>
      </c>
      <c r="T176" s="145">
        <v>3</v>
      </c>
      <c r="U176" s="145">
        <v>1</v>
      </c>
      <c r="V176" s="145"/>
      <c r="W176" s="145"/>
      <c r="X176" s="145"/>
      <c r="Y176" s="145"/>
      <c r="Z176" s="145"/>
      <c r="AA176" s="145"/>
      <c r="AB176" s="145"/>
      <c r="AC176" s="145"/>
      <c r="AD176" s="145">
        <f t="shared" si="5"/>
        <v>10</v>
      </c>
    </row>
    <row r="177" spans="2:30" x14ac:dyDescent="0.35">
      <c r="B177" s="3" t="s">
        <v>247</v>
      </c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>
        <f t="shared" si="4"/>
        <v>0</v>
      </c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>
        <f t="shared" si="5"/>
        <v>0</v>
      </c>
    </row>
    <row r="178" spans="2:30" x14ac:dyDescent="0.35">
      <c r="B178" s="3" t="s">
        <v>259</v>
      </c>
      <c r="D178" s="141">
        <v>4017</v>
      </c>
      <c r="E178" s="141"/>
      <c r="F178" s="141">
        <v>2717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4"/>
        <v>6734</v>
      </c>
      <c r="R178" s="145">
        <v>6</v>
      </c>
      <c r="S178" s="145"/>
      <c r="T178" s="145">
        <v>3</v>
      </c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>
        <f t="shared" si="5"/>
        <v>9</v>
      </c>
    </row>
    <row r="179" spans="2:30" x14ac:dyDescent="0.35">
      <c r="B179" s="3" t="s">
        <v>294</v>
      </c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4"/>
        <v>0</v>
      </c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>
        <f t="shared" si="5"/>
        <v>0</v>
      </c>
    </row>
    <row r="180" spans="2:30" x14ac:dyDescent="0.35">
      <c r="B180" s="3" t="s">
        <v>277</v>
      </c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4"/>
        <v>0</v>
      </c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>
        <f t="shared" si="5"/>
        <v>0</v>
      </c>
    </row>
    <row r="181" spans="2:30" x14ac:dyDescent="0.35">
      <c r="B181" s="3" t="s">
        <v>264</v>
      </c>
      <c r="D181" s="141">
        <v>933</v>
      </c>
      <c r="E181" s="141">
        <v>1031</v>
      </c>
      <c r="F181" s="141">
        <v>392</v>
      </c>
      <c r="G181" s="141">
        <v>158</v>
      </c>
      <c r="H181" s="141"/>
      <c r="I181" s="141"/>
      <c r="J181" s="141"/>
      <c r="K181" s="141"/>
      <c r="L181" s="141"/>
      <c r="M181" s="141"/>
      <c r="N181" s="141"/>
      <c r="O181" s="141"/>
      <c r="P181" s="141">
        <f t="shared" si="4"/>
        <v>2514</v>
      </c>
      <c r="R181" s="145">
        <v>55</v>
      </c>
      <c r="S181" s="145">
        <v>40</v>
      </c>
      <c r="T181" s="145">
        <v>26</v>
      </c>
      <c r="U181" s="145">
        <v>11</v>
      </c>
      <c r="V181" s="145"/>
      <c r="W181" s="145"/>
      <c r="X181" s="145"/>
      <c r="Y181" s="145"/>
      <c r="Z181" s="145"/>
      <c r="AA181" s="145"/>
      <c r="AB181" s="145"/>
      <c r="AC181" s="145"/>
      <c r="AD181" s="145">
        <f t="shared" si="5"/>
        <v>132</v>
      </c>
    </row>
    <row r="182" spans="2:30" x14ac:dyDescent="0.35">
      <c r="B182" s="3" t="s">
        <v>298</v>
      </c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4"/>
        <v>0</v>
      </c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>
        <f t="shared" si="5"/>
        <v>0</v>
      </c>
    </row>
    <row r="183" spans="2:30" x14ac:dyDescent="0.35">
      <c r="B183" s="3" t="s">
        <v>278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4"/>
        <v>0</v>
      </c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>
        <f t="shared" si="5"/>
        <v>0</v>
      </c>
    </row>
    <row r="184" spans="2:30" x14ac:dyDescent="0.35">
      <c r="B184" s="3" t="s">
        <v>275</v>
      </c>
      <c r="D184" s="141">
        <v>3664</v>
      </c>
      <c r="E184" s="141">
        <v>3322</v>
      </c>
      <c r="F184" s="141">
        <v>3178</v>
      </c>
      <c r="G184" s="141">
        <v>757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4"/>
        <v>10921</v>
      </c>
      <c r="R184" s="145">
        <v>55</v>
      </c>
      <c r="S184" s="145">
        <v>42</v>
      </c>
      <c r="T184" s="145">
        <v>51</v>
      </c>
      <c r="U184" s="145">
        <v>10</v>
      </c>
      <c r="V184" s="145"/>
      <c r="W184" s="145"/>
      <c r="X184" s="145"/>
      <c r="Y184" s="145"/>
      <c r="Z184" s="145"/>
      <c r="AA184" s="145"/>
      <c r="AB184" s="145"/>
      <c r="AC184" s="145"/>
      <c r="AD184" s="145">
        <f t="shared" si="5"/>
        <v>158</v>
      </c>
    </row>
    <row r="185" spans="2:30" x14ac:dyDescent="0.35">
      <c r="B185" s="3" t="s">
        <v>254</v>
      </c>
      <c r="D185" s="141">
        <v>202</v>
      </c>
      <c r="E185" s="141"/>
      <c r="F185" s="141">
        <v>266</v>
      </c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4"/>
        <v>468</v>
      </c>
      <c r="R185" s="145">
        <v>3</v>
      </c>
      <c r="S185" s="145"/>
      <c r="T185" s="145">
        <v>9</v>
      </c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>
        <f t="shared" si="5"/>
        <v>12</v>
      </c>
    </row>
    <row r="186" spans="2:30" x14ac:dyDescent="0.35">
      <c r="B186" s="3" t="s">
        <v>257</v>
      </c>
      <c r="D186" s="141">
        <v>77262</v>
      </c>
      <c r="E186" s="141"/>
      <c r="F186" s="141">
        <v>76681</v>
      </c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4"/>
        <v>153943</v>
      </c>
      <c r="R186" s="145">
        <v>873</v>
      </c>
      <c r="S186" s="145"/>
      <c r="T186" s="145">
        <v>840</v>
      </c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>
        <f t="shared" si="5"/>
        <v>1713</v>
      </c>
    </row>
    <row r="187" spans="2:30" x14ac:dyDescent="0.35">
      <c r="B187" s="3" t="s">
        <v>295</v>
      </c>
      <c r="D187" s="141">
        <v>175</v>
      </c>
      <c r="E187" s="141">
        <v>237</v>
      </c>
      <c r="F187" s="141">
        <v>326</v>
      </c>
      <c r="G187" s="141">
        <v>99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4"/>
        <v>837</v>
      </c>
      <c r="R187" s="145">
        <v>2</v>
      </c>
      <c r="S187" s="145">
        <v>3</v>
      </c>
      <c r="T187" s="145">
        <v>3</v>
      </c>
      <c r="U187" s="145">
        <v>1</v>
      </c>
      <c r="V187" s="145"/>
      <c r="W187" s="145"/>
      <c r="X187" s="145"/>
      <c r="Y187" s="145"/>
      <c r="Z187" s="145"/>
      <c r="AA187" s="145"/>
      <c r="AB187" s="145"/>
      <c r="AC187" s="145"/>
      <c r="AD187" s="145">
        <f t="shared" si="5"/>
        <v>9</v>
      </c>
    </row>
    <row r="188" spans="2:30" x14ac:dyDescent="0.35">
      <c r="B188" s="3" t="s">
        <v>191</v>
      </c>
      <c r="D188" s="141">
        <v>15516</v>
      </c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4"/>
        <v>15516</v>
      </c>
      <c r="R188" s="145">
        <v>14</v>
      </c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>
        <f t="shared" si="5"/>
        <v>14</v>
      </c>
    </row>
    <row r="189" spans="2:30" x14ac:dyDescent="0.35">
      <c r="B189" s="3" t="s">
        <v>263</v>
      </c>
      <c r="D189" s="141">
        <v>107</v>
      </c>
      <c r="E189" s="141">
        <v>101</v>
      </c>
      <c r="F189" s="141">
        <v>152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4"/>
        <v>360</v>
      </c>
      <c r="R189" s="145">
        <v>13</v>
      </c>
      <c r="S189" s="145">
        <v>11</v>
      </c>
      <c r="T189" s="145">
        <v>19</v>
      </c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>
        <f t="shared" si="5"/>
        <v>43</v>
      </c>
    </row>
    <row r="190" spans="2:30" x14ac:dyDescent="0.35">
      <c r="B190" s="3" t="s">
        <v>267</v>
      </c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4"/>
        <v>0</v>
      </c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>
        <f t="shared" si="5"/>
        <v>0</v>
      </c>
    </row>
    <row r="191" spans="2:30" x14ac:dyDescent="0.35">
      <c r="B191" s="3" t="s">
        <v>283</v>
      </c>
      <c r="D191" s="141">
        <v>423</v>
      </c>
      <c r="E191" s="141">
        <v>276</v>
      </c>
      <c r="F191" s="141">
        <v>203</v>
      </c>
      <c r="G191" s="141">
        <v>47</v>
      </c>
      <c r="H191" s="141"/>
      <c r="I191" s="141"/>
      <c r="J191" s="141"/>
      <c r="K191" s="141"/>
      <c r="L191" s="141"/>
      <c r="M191" s="141"/>
      <c r="N191" s="141"/>
      <c r="O191" s="141"/>
      <c r="P191" s="141">
        <f t="shared" si="4"/>
        <v>949</v>
      </c>
      <c r="R191" s="145">
        <v>12</v>
      </c>
      <c r="S191" s="145">
        <v>9</v>
      </c>
      <c r="T191" s="145">
        <v>8</v>
      </c>
      <c r="U191" s="145">
        <v>2</v>
      </c>
      <c r="V191" s="145"/>
      <c r="W191" s="145"/>
      <c r="X191" s="145"/>
      <c r="Y191" s="145"/>
      <c r="Z191" s="145"/>
      <c r="AA191" s="145"/>
      <c r="AB191" s="145"/>
      <c r="AC191" s="145"/>
      <c r="AD191" s="145">
        <f t="shared" si="5"/>
        <v>31</v>
      </c>
    </row>
    <row r="192" spans="2:30" x14ac:dyDescent="0.35">
      <c r="B192" s="3" t="s">
        <v>256</v>
      </c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4"/>
        <v>0</v>
      </c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>
        <f t="shared" si="5"/>
        <v>0</v>
      </c>
    </row>
    <row r="193" spans="2:30" x14ac:dyDescent="0.35">
      <c r="B193" s="3" t="s">
        <v>268</v>
      </c>
      <c r="D193" s="141"/>
      <c r="E193" s="141"/>
      <c r="F193" s="141">
        <v>71</v>
      </c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4"/>
        <v>71</v>
      </c>
      <c r="R193" s="145"/>
      <c r="S193" s="145"/>
      <c r="T193" s="145">
        <v>2</v>
      </c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>
        <f t="shared" si="5"/>
        <v>2</v>
      </c>
    </row>
    <row r="194" spans="2:30" x14ac:dyDescent="0.35">
      <c r="B194" s="3" t="s">
        <v>271</v>
      </c>
      <c r="D194" s="141">
        <v>2562</v>
      </c>
      <c r="E194" s="141">
        <v>2151</v>
      </c>
      <c r="F194" s="141">
        <v>3430</v>
      </c>
      <c r="G194" s="141">
        <v>690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4"/>
        <v>8833</v>
      </c>
      <c r="R194" s="145">
        <v>52</v>
      </c>
      <c r="S194" s="145">
        <v>43</v>
      </c>
      <c r="T194" s="145">
        <v>62</v>
      </c>
      <c r="U194" s="145">
        <v>9</v>
      </c>
      <c r="V194" s="145"/>
      <c r="W194" s="145"/>
      <c r="X194" s="145"/>
      <c r="Y194" s="145"/>
      <c r="Z194" s="145"/>
      <c r="AA194" s="145"/>
      <c r="AB194" s="145"/>
      <c r="AC194" s="145"/>
      <c r="AD194" s="145">
        <f t="shared" si="5"/>
        <v>166</v>
      </c>
    </row>
    <row r="195" spans="2:30" x14ac:dyDescent="0.35">
      <c r="B195" s="3" t="s">
        <v>304</v>
      </c>
      <c r="D195" s="141">
        <v>20912</v>
      </c>
      <c r="E195" s="141">
        <v>17376</v>
      </c>
      <c r="F195" s="141">
        <v>33026</v>
      </c>
      <c r="G195" s="141">
        <v>10201</v>
      </c>
      <c r="H195" s="141"/>
      <c r="I195" s="141"/>
      <c r="J195" s="141"/>
      <c r="K195" s="141"/>
      <c r="L195" s="141"/>
      <c r="M195" s="141"/>
      <c r="N195" s="141"/>
      <c r="O195" s="141"/>
      <c r="P195" s="141">
        <f t="shared" si="4"/>
        <v>81515</v>
      </c>
      <c r="R195" s="145">
        <v>30</v>
      </c>
      <c r="S195" s="145">
        <v>20</v>
      </c>
      <c r="T195" s="145">
        <v>46</v>
      </c>
      <c r="U195" s="145">
        <v>13</v>
      </c>
      <c r="V195" s="145"/>
      <c r="W195" s="145"/>
      <c r="X195" s="145"/>
      <c r="Y195" s="145"/>
      <c r="Z195" s="145"/>
      <c r="AA195" s="145"/>
      <c r="AB195" s="145"/>
      <c r="AC195" s="145"/>
      <c r="AD195" s="145">
        <f t="shared" si="5"/>
        <v>109</v>
      </c>
    </row>
    <row r="196" spans="2:30" x14ac:dyDescent="0.35">
      <c r="B196" s="3" t="s">
        <v>270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34" si="6">+SUM(D196:O196)</f>
        <v>0</v>
      </c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>
        <f t="shared" ref="AD196:AD234" si="7">+SUM(R196:AC196)</f>
        <v>0</v>
      </c>
    </row>
    <row r="197" spans="2:30" x14ac:dyDescent="0.35">
      <c r="B197" s="3" t="s">
        <v>279</v>
      </c>
      <c r="D197" s="141">
        <v>26807</v>
      </c>
      <c r="E197" s="141">
        <v>10594</v>
      </c>
      <c r="F197" s="141">
        <v>20901</v>
      </c>
      <c r="G197" s="141">
        <v>35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6"/>
        <v>58337</v>
      </c>
      <c r="R197" s="145">
        <v>38</v>
      </c>
      <c r="S197" s="145">
        <v>17</v>
      </c>
      <c r="T197" s="145">
        <v>24</v>
      </c>
      <c r="U197" s="145">
        <v>2</v>
      </c>
      <c r="V197" s="145"/>
      <c r="W197" s="145"/>
      <c r="X197" s="145"/>
      <c r="Y197" s="145"/>
      <c r="Z197" s="145"/>
      <c r="AA197" s="145"/>
      <c r="AB197" s="145"/>
      <c r="AC197" s="145"/>
      <c r="AD197" s="145">
        <f t="shared" si="7"/>
        <v>81</v>
      </c>
    </row>
    <row r="198" spans="2:30" x14ac:dyDescent="0.35">
      <c r="B198" s="3" t="s">
        <v>269</v>
      </c>
      <c r="D198" s="141"/>
      <c r="E198" s="141"/>
      <c r="F198" s="141">
        <v>204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6"/>
        <v>204</v>
      </c>
      <c r="R198" s="145"/>
      <c r="S198" s="145"/>
      <c r="T198" s="145">
        <v>1</v>
      </c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>
        <f t="shared" si="7"/>
        <v>1</v>
      </c>
    </row>
    <row r="199" spans="2:30" x14ac:dyDescent="0.35">
      <c r="B199" s="3" t="s">
        <v>291</v>
      </c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6"/>
        <v>0</v>
      </c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>
        <f t="shared" si="7"/>
        <v>0</v>
      </c>
    </row>
    <row r="200" spans="2:30" x14ac:dyDescent="0.35">
      <c r="B200" s="3" t="s">
        <v>272</v>
      </c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6"/>
        <v>0</v>
      </c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>
        <f t="shared" si="7"/>
        <v>0</v>
      </c>
    </row>
    <row r="201" spans="2:30" x14ac:dyDescent="0.35">
      <c r="B201" s="3" t="s">
        <v>276</v>
      </c>
      <c r="D201" s="141">
        <v>184</v>
      </c>
      <c r="E201" s="141">
        <v>296</v>
      </c>
      <c r="F201" s="141">
        <v>20338</v>
      </c>
      <c r="G201" s="141"/>
      <c r="H201" s="141"/>
      <c r="I201" s="141"/>
      <c r="J201" s="141"/>
      <c r="K201" s="141"/>
      <c r="L201" s="141"/>
      <c r="M201" s="141"/>
      <c r="N201" s="141"/>
      <c r="O201" s="141"/>
      <c r="P201" s="141">
        <f t="shared" si="6"/>
        <v>20818</v>
      </c>
      <c r="R201" s="145">
        <v>20</v>
      </c>
      <c r="S201" s="145">
        <v>26</v>
      </c>
      <c r="T201" s="145">
        <v>37</v>
      </c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>
        <f t="shared" si="7"/>
        <v>83</v>
      </c>
    </row>
    <row r="202" spans="2:30" x14ac:dyDescent="0.35">
      <c r="B202" s="3" t="s">
        <v>281</v>
      </c>
      <c r="D202" s="141">
        <v>34029</v>
      </c>
      <c r="E202" s="141">
        <v>30090</v>
      </c>
      <c r="F202" s="141">
        <v>19078</v>
      </c>
      <c r="G202" s="141">
        <v>3131</v>
      </c>
      <c r="H202" s="141"/>
      <c r="I202" s="141"/>
      <c r="J202" s="141"/>
      <c r="K202" s="141"/>
      <c r="L202" s="141"/>
      <c r="M202" s="141"/>
      <c r="N202" s="141"/>
      <c r="O202" s="141"/>
      <c r="P202" s="141">
        <f t="shared" si="6"/>
        <v>86328</v>
      </c>
      <c r="R202" s="145">
        <v>65</v>
      </c>
      <c r="S202" s="145">
        <v>62</v>
      </c>
      <c r="T202" s="145">
        <v>40</v>
      </c>
      <c r="U202" s="145">
        <v>5</v>
      </c>
      <c r="V202" s="145"/>
      <c r="W202" s="145"/>
      <c r="X202" s="145"/>
      <c r="Y202" s="145"/>
      <c r="Z202" s="145"/>
      <c r="AA202" s="145"/>
      <c r="AB202" s="145"/>
      <c r="AC202" s="145"/>
      <c r="AD202" s="145">
        <f t="shared" si="7"/>
        <v>172</v>
      </c>
    </row>
    <row r="203" spans="2:30" x14ac:dyDescent="0.35">
      <c r="B203" s="3" t="s">
        <v>296</v>
      </c>
      <c r="D203" s="141">
        <v>2057</v>
      </c>
      <c r="E203" s="141">
        <v>4688</v>
      </c>
      <c r="F203" s="141">
        <v>326</v>
      </c>
      <c r="G203" s="141">
        <v>112</v>
      </c>
      <c r="H203" s="141"/>
      <c r="I203" s="141"/>
      <c r="J203" s="141"/>
      <c r="K203" s="141"/>
      <c r="L203" s="141"/>
      <c r="M203" s="141"/>
      <c r="N203" s="141"/>
      <c r="O203" s="141"/>
      <c r="P203" s="141">
        <f t="shared" si="6"/>
        <v>7183</v>
      </c>
      <c r="R203" s="145">
        <v>7</v>
      </c>
      <c r="S203" s="145">
        <v>6</v>
      </c>
      <c r="T203" s="145">
        <v>3</v>
      </c>
      <c r="U203" s="145">
        <v>2</v>
      </c>
      <c r="V203" s="145"/>
      <c r="W203" s="145"/>
      <c r="X203" s="145"/>
      <c r="Y203" s="145"/>
      <c r="Z203" s="145"/>
      <c r="AA203" s="145"/>
      <c r="AB203" s="145"/>
      <c r="AC203" s="145"/>
      <c r="AD203" s="145">
        <f t="shared" si="7"/>
        <v>18</v>
      </c>
    </row>
    <row r="204" spans="2:30" x14ac:dyDescent="0.35">
      <c r="B204" s="3" t="s">
        <v>298</v>
      </c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6"/>
        <v>0</v>
      </c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>
        <f t="shared" si="7"/>
        <v>0</v>
      </c>
    </row>
    <row r="205" spans="2:30" x14ac:dyDescent="0.35">
      <c r="B205" s="3" t="s">
        <v>292</v>
      </c>
      <c r="D205" s="141">
        <v>99</v>
      </c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6"/>
        <v>99</v>
      </c>
      <c r="R205" s="145">
        <v>1</v>
      </c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>
        <f t="shared" si="7"/>
        <v>1</v>
      </c>
    </row>
    <row r="206" spans="2:30" x14ac:dyDescent="0.35">
      <c r="B206" s="3" t="s">
        <v>300</v>
      </c>
      <c r="D206" s="141"/>
      <c r="E206" s="141"/>
      <c r="F206" s="141">
        <v>266</v>
      </c>
      <c r="G206" s="141"/>
      <c r="H206" s="141"/>
      <c r="I206" s="141"/>
      <c r="J206" s="141"/>
      <c r="K206" s="141"/>
      <c r="L206" s="141"/>
      <c r="M206" s="141"/>
      <c r="N206" s="141"/>
      <c r="O206" s="141"/>
      <c r="P206" s="141">
        <f t="shared" si="6"/>
        <v>266</v>
      </c>
      <c r="R206" s="145"/>
      <c r="S206" s="145"/>
      <c r="T206" s="145">
        <v>2</v>
      </c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>
        <f t="shared" si="7"/>
        <v>2</v>
      </c>
    </row>
    <row r="207" spans="2:30" x14ac:dyDescent="0.35">
      <c r="B207" s="3" t="s">
        <v>455</v>
      </c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6"/>
        <v>0</v>
      </c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>
        <f t="shared" si="7"/>
        <v>0</v>
      </c>
    </row>
    <row r="208" spans="2:30" x14ac:dyDescent="0.35">
      <c r="B208" s="3" t="s">
        <v>302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6"/>
        <v>0</v>
      </c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>
        <f t="shared" si="7"/>
        <v>0</v>
      </c>
    </row>
    <row r="209" spans="2:30" x14ac:dyDescent="0.35">
      <c r="B209" s="3" t="s">
        <v>456</v>
      </c>
      <c r="D209" s="141"/>
      <c r="E209" s="141"/>
      <c r="F209" s="141">
        <v>14772</v>
      </c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6"/>
        <v>14772</v>
      </c>
      <c r="R209" s="145"/>
      <c r="S209" s="145"/>
      <c r="T209" s="145">
        <v>2</v>
      </c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>
        <f t="shared" si="7"/>
        <v>2</v>
      </c>
    </row>
    <row r="210" spans="2:30" x14ac:dyDescent="0.35">
      <c r="B210" s="3" t="s">
        <v>290</v>
      </c>
      <c r="D210" s="141"/>
      <c r="E210" s="141"/>
      <c r="F210" s="141">
        <v>330</v>
      </c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6"/>
        <v>330</v>
      </c>
      <c r="R210" s="145"/>
      <c r="S210" s="145"/>
      <c r="T210" s="145">
        <v>1</v>
      </c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>
        <f t="shared" si="7"/>
        <v>1</v>
      </c>
    </row>
    <row r="211" spans="2:30" x14ac:dyDescent="0.35">
      <c r="B211" s="3" t="s">
        <v>457</v>
      </c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6"/>
        <v>0</v>
      </c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>
        <f t="shared" si="7"/>
        <v>0</v>
      </c>
    </row>
    <row r="212" spans="2:30" x14ac:dyDescent="0.35">
      <c r="B212" s="3" t="s">
        <v>297</v>
      </c>
      <c r="D212" s="141">
        <v>100</v>
      </c>
      <c r="E212" s="141"/>
      <c r="F212" s="141">
        <v>103</v>
      </c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6"/>
        <v>203</v>
      </c>
      <c r="R212" s="145">
        <v>1</v>
      </c>
      <c r="S212" s="145"/>
      <c r="T212" s="145">
        <v>1</v>
      </c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>
        <f t="shared" si="7"/>
        <v>2</v>
      </c>
    </row>
    <row r="213" spans="2:30" x14ac:dyDescent="0.35">
      <c r="B213" s="3" t="s">
        <v>303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6"/>
        <v>0</v>
      </c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>
        <f t="shared" si="7"/>
        <v>0</v>
      </c>
    </row>
    <row r="214" spans="2:30" x14ac:dyDescent="0.35">
      <c r="B214" s="3" t="s">
        <v>293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6"/>
        <v>0</v>
      </c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>
        <f t="shared" si="7"/>
        <v>0</v>
      </c>
    </row>
    <row r="215" spans="2:30" x14ac:dyDescent="0.35">
      <c r="B215" s="3" t="s">
        <v>458</v>
      </c>
      <c r="D215" s="141">
        <v>643</v>
      </c>
      <c r="E215" s="141">
        <v>5195</v>
      </c>
      <c r="F215" s="141">
        <v>8177</v>
      </c>
      <c r="G215" s="141">
        <v>1000</v>
      </c>
      <c r="H215" s="141"/>
      <c r="I215" s="141"/>
      <c r="J215" s="141"/>
      <c r="K215" s="141"/>
      <c r="L215" s="141"/>
      <c r="M215" s="141"/>
      <c r="N215" s="141"/>
      <c r="O215" s="141"/>
      <c r="P215" s="141">
        <f t="shared" si="6"/>
        <v>15015</v>
      </c>
      <c r="R215" s="145">
        <v>4</v>
      </c>
      <c r="S215" s="145">
        <v>7</v>
      </c>
      <c r="T215" s="145">
        <v>14</v>
      </c>
      <c r="U215" s="145">
        <v>1</v>
      </c>
      <c r="V215" s="145"/>
      <c r="W215" s="145"/>
      <c r="X215" s="145"/>
      <c r="Y215" s="145"/>
      <c r="Z215" s="145"/>
      <c r="AA215" s="145"/>
      <c r="AB215" s="145"/>
      <c r="AC215" s="145"/>
      <c r="AD215" s="145">
        <f t="shared" si="7"/>
        <v>26</v>
      </c>
    </row>
    <row r="216" spans="2:30" x14ac:dyDescent="0.35">
      <c r="B216" s="3" t="s">
        <v>301</v>
      </c>
      <c r="D216" s="141">
        <v>290</v>
      </c>
      <c r="E216" s="141"/>
      <c r="F216" s="141">
        <v>189</v>
      </c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6"/>
        <v>479</v>
      </c>
      <c r="R216" s="145">
        <v>1</v>
      </c>
      <c r="S216" s="145"/>
      <c r="T216" s="145">
        <v>1</v>
      </c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>
        <f t="shared" si="7"/>
        <v>2</v>
      </c>
    </row>
    <row r="217" spans="2:30" x14ac:dyDescent="0.35">
      <c r="B217" s="3" t="s">
        <v>295</v>
      </c>
      <c r="D217" s="141">
        <v>175</v>
      </c>
      <c r="E217" s="141">
        <v>237</v>
      </c>
      <c r="F217" s="141">
        <v>326</v>
      </c>
      <c r="G217" s="141">
        <v>99</v>
      </c>
      <c r="H217" s="141"/>
      <c r="I217" s="141"/>
      <c r="J217" s="141"/>
      <c r="K217" s="141"/>
      <c r="L217" s="141"/>
      <c r="M217" s="141"/>
      <c r="N217" s="141"/>
      <c r="O217" s="141"/>
      <c r="P217" s="141">
        <f t="shared" si="6"/>
        <v>837</v>
      </c>
      <c r="R217" s="145">
        <v>2</v>
      </c>
      <c r="S217" s="145">
        <v>3</v>
      </c>
      <c r="T217" s="145">
        <v>3</v>
      </c>
      <c r="U217" s="145">
        <v>1</v>
      </c>
      <c r="V217" s="145"/>
      <c r="W217" s="145"/>
      <c r="X217" s="145"/>
      <c r="Y217" s="145"/>
      <c r="Z217" s="145"/>
      <c r="AA217" s="145"/>
      <c r="AB217" s="145"/>
      <c r="AC217" s="145"/>
      <c r="AD217" s="145">
        <f t="shared" si="7"/>
        <v>9</v>
      </c>
    </row>
    <row r="218" spans="2:30" x14ac:dyDescent="0.35">
      <c r="B218" s="3" t="s">
        <v>459</v>
      </c>
      <c r="D218" s="141">
        <v>14482</v>
      </c>
      <c r="E218" s="141">
        <v>3834</v>
      </c>
      <c r="F218" s="141">
        <v>7915</v>
      </c>
      <c r="G218" s="141">
        <v>617</v>
      </c>
      <c r="H218" s="141"/>
      <c r="I218" s="141"/>
      <c r="J218" s="141"/>
      <c r="K218" s="141"/>
      <c r="L218" s="141"/>
      <c r="M218" s="141"/>
      <c r="N218" s="141"/>
      <c r="O218" s="141"/>
      <c r="P218" s="141">
        <f t="shared" si="6"/>
        <v>26848</v>
      </c>
      <c r="R218" s="145">
        <v>68</v>
      </c>
      <c r="S218" s="145">
        <v>55</v>
      </c>
      <c r="T218" s="145">
        <v>75</v>
      </c>
      <c r="U218" s="145">
        <v>8</v>
      </c>
      <c r="V218" s="145"/>
      <c r="W218" s="145"/>
      <c r="X218" s="145"/>
      <c r="Y218" s="145"/>
      <c r="Z218" s="145"/>
      <c r="AA218" s="145"/>
      <c r="AB218" s="145"/>
      <c r="AC218" s="145"/>
      <c r="AD218" s="145">
        <f t="shared" si="7"/>
        <v>206</v>
      </c>
    </row>
    <row r="219" spans="2:30" x14ac:dyDescent="0.35">
      <c r="B219" s="3" t="s">
        <v>305</v>
      </c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6"/>
        <v>0</v>
      </c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>
        <f t="shared" si="7"/>
        <v>0</v>
      </c>
    </row>
    <row r="220" spans="2:30" x14ac:dyDescent="0.35">
      <c r="B220" s="3" t="s">
        <v>299</v>
      </c>
      <c r="D220" s="141">
        <v>1135</v>
      </c>
      <c r="E220" s="141">
        <v>1150</v>
      </c>
      <c r="F220" s="141">
        <v>2827</v>
      </c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6"/>
        <v>5112</v>
      </c>
      <c r="R220" s="145">
        <v>4</v>
      </c>
      <c r="S220" s="145">
        <v>3</v>
      </c>
      <c r="T220" s="145">
        <v>7</v>
      </c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>
        <f t="shared" si="7"/>
        <v>14</v>
      </c>
    </row>
    <row r="221" spans="2:30" x14ac:dyDescent="0.35">
      <c r="B221" s="3" t="s">
        <v>294</v>
      </c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6"/>
        <v>0</v>
      </c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>
        <f t="shared" si="7"/>
        <v>0</v>
      </c>
    </row>
    <row r="222" spans="2:30" x14ac:dyDescent="0.35">
      <c r="B222" s="3" t="s">
        <v>304</v>
      </c>
      <c r="D222" s="141">
        <v>20912</v>
      </c>
      <c r="E222" s="141">
        <v>17376</v>
      </c>
      <c r="F222" s="141">
        <v>33026</v>
      </c>
      <c r="G222" s="141">
        <v>10201</v>
      </c>
      <c r="H222" s="141"/>
      <c r="I222" s="141"/>
      <c r="J222" s="141"/>
      <c r="K222" s="141"/>
      <c r="L222" s="141"/>
      <c r="M222" s="141"/>
      <c r="N222" s="141"/>
      <c r="O222" s="141"/>
      <c r="P222" s="141">
        <f t="shared" si="6"/>
        <v>81515</v>
      </c>
      <c r="R222" s="145">
        <v>30</v>
      </c>
      <c r="S222" s="145">
        <v>20</v>
      </c>
      <c r="T222" s="145">
        <v>46</v>
      </c>
      <c r="U222" s="145">
        <v>13</v>
      </c>
      <c r="V222" s="145"/>
      <c r="W222" s="145"/>
      <c r="X222" s="145"/>
      <c r="Y222" s="145"/>
      <c r="Z222" s="145"/>
      <c r="AA222" s="145"/>
      <c r="AB222" s="145"/>
      <c r="AC222" s="145"/>
      <c r="AD222" s="145">
        <f t="shared" si="7"/>
        <v>109</v>
      </c>
    </row>
    <row r="223" spans="2:30" x14ac:dyDescent="0.35">
      <c r="B223" s="3" t="s">
        <v>291</v>
      </c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6"/>
        <v>0</v>
      </c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>
        <f t="shared" si="7"/>
        <v>0</v>
      </c>
    </row>
    <row r="224" spans="2:30" x14ac:dyDescent="0.35">
      <c r="B224" s="3" t="s">
        <v>460</v>
      </c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6"/>
        <v>0</v>
      </c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>
        <f t="shared" si="7"/>
        <v>0</v>
      </c>
    </row>
    <row r="225" spans="2:30" x14ac:dyDescent="0.35">
      <c r="B225" s="3" t="s">
        <v>461</v>
      </c>
      <c r="D225" s="141">
        <v>1107225</v>
      </c>
      <c r="E225" s="141">
        <v>922480</v>
      </c>
      <c r="F225" s="141">
        <v>986216</v>
      </c>
      <c r="G225" s="141">
        <v>170988</v>
      </c>
      <c r="H225" s="141"/>
      <c r="I225" s="141"/>
      <c r="J225" s="141"/>
      <c r="K225" s="141"/>
      <c r="L225" s="141"/>
      <c r="M225" s="141"/>
      <c r="N225" s="141"/>
      <c r="O225" s="141"/>
      <c r="P225" s="141">
        <f t="shared" si="6"/>
        <v>3186909</v>
      </c>
      <c r="R225" s="145">
        <v>3253</v>
      </c>
      <c r="S225" s="145">
        <v>3307</v>
      </c>
      <c r="T225" s="145">
        <v>4126</v>
      </c>
      <c r="U225" s="145">
        <v>661</v>
      </c>
      <c r="V225" s="145"/>
      <c r="W225" s="145"/>
      <c r="X225" s="145"/>
      <c r="Y225" s="145"/>
      <c r="Z225" s="145"/>
      <c r="AA225" s="145"/>
      <c r="AB225" s="145"/>
      <c r="AC225" s="145"/>
      <c r="AD225" s="145">
        <f t="shared" si="7"/>
        <v>11347</v>
      </c>
    </row>
    <row r="226" spans="2:30" x14ac:dyDescent="0.35">
      <c r="B226" s="3" t="s">
        <v>462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6"/>
        <v>0</v>
      </c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>
        <f t="shared" si="7"/>
        <v>0</v>
      </c>
    </row>
    <row r="227" spans="2:30" x14ac:dyDescent="0.35">
      <c r="B227" s="3" t="s">
        <v>463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6"/>
        <v>0</v>
      </c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>
        <f t="shared" si="7"/>
        <v>0</v>
      </c>
    </row>
    <row r="228" spans="2:30" x14ac:dyDescent="0.35">
      <c r="B228" s="3" t="s">
        <v>464</v>
      </c>
      <c r="D228" s="141">
        <v>140</v>
      </c>
      <c r="E228" s="141">
        <v>445</v>
      </c>
      <c r="F228" s="141">
        <v>1450</v>
      </c>
      <c r="G228" s="141">
        <v>160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6"/>
        <v>2195</v>
      </c>
      <c r="R228" s="145">
        <v>2</v>
      </c>
      <c r="S228" s="145">
        <v>2</v>
      </c>
      <c r="T228" s="145">
        <v>3</v>
      </c>
      <c r="U228" s="145">
        <v>1</v>
      </c>
      <c r="V228" s="145"/>
      <c r="W228" s="145"/>
      <c r="X228" s="145"/>
      <c r="Y228" s="145"/>
      <c r="Z228" s="145"/>
      <c r="AA228" s="145"/>
      <c r="AB228" s="145"/>
      <c r="AC228" s="145"/>
      <c r="AD228" s="145">
        <f t="shared" si="7"/>
        <v>8</v>
      </c>
    </row>
    <row r="229" spans="2:30" x14ac:dyDescent="0.35">
      <c r="B229" s="3" t="s">
        <v>465</v>
      </c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6"/>
        <v>0</v>
      </c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>
        <f t="shared" si="7"/>
        <v>0</v>
      </c>
    </row>
    <row r="230" spans="2:30" x14ac:dyDescent="0.35">
      <c r="B230" s="3" t="s">
        <v>466</v>
      </c>
      <c r="D230" s="141">
        <v>249</v>
      </c>
      <c r="E230" s="141"/>
      <c r="F230" s="141">
        <v>349</v>
      </c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6"/>
        <v>598</v>
      </c>
      <c r="R230" s="145">
        <v>1</v>
      </c>
      <c r="S230" s="145"/>
      <c r="T230" s="145">
        <v>3</v>
      </c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>
        <f t="shared" si="7"/>
        <v>4</v>
      </c>
    </row>
    <row r="231" spans="2:30" x14ac:dyDescent="0.35">
      <c r="B231" s="3" t="s">
        <v>467</v>
      </c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6"/>
        <v>0</v>
      </c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>
        <f t="shared" si="7"/>
        <v>0</v>
      </c>
    </row>
    <row r="232" spans="2:30" x14ac:dyDescent="0.35">
      <c r="B232" s="3" t="s">
        <v>468</v>
      </c>
      <c r="D232" s="141">
        <v>1140</v>
      </c>
      <c r="E232" s="141"/>
      <c r="F232" s="141">
        <v>1600</v>
      </c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6"/>
        <v>2740</v>
      </c>
      <c r="R232" s="145">
        <v>1</v>
      </c>
      <c r="S232" s="145"/>
      <c r="T232" s="145">
        <v>2</v>
      </c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>
        <f t="shared" si="7"/>
        <v>3</v>
      </c>
    </row>
    <row r="233" spans="2:30" x14ac:dyDescent="0.35">
      <c r="B233" s="3" t="s">
        <v>469</v>
      </c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6"/>
        <v>0</v>
      </c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>
        <f t="shared" si="7"/>
        <v>0</v>
      </c>
    </row>
    <row r="234" spans="2:30" x14ac:dyDescent="0.35">
      <c r="B234" s="3" t="s">
        <v>470</v>
      </c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6"/>
        <v>0</v>
      </c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>
        <f t="shared" si="7"/>
        <v>0</v>
      </c>
    </row>
    <row r="235" spans="2:30" x14ac:dyDescent="0.35">
      <c r="B235" s="3" t="s">
        <v>286</v>
      </c>
      <c r="D235" s="144">
        <f>+SUM(D5:D234)</f>
        <v>159554625</v>
      </c>
      <c r="E235" s="144">
        <f t="shared" ref="E235:P235" si="8">+SUM(E5:E234)</f>
        <v>156985940</v>
      </c>
      <c r="F235" s="144">
        <f t="shared" si="8"/>
        <v>178073477</v>
      </c>
      <c r="G235" s="144">
        <f t="shared" si="8"/>
        <v>27402846</v>
      </c>
      <c r="H235" s="144">
        <f t="shared" si="8"/>
        <v>0</v>
      </c>
      <c r="I235" s="144">
        <f t="shared" si="8"/>
        <v>0</v>
      </c>
      <c r="J235" s="144">
        <f t="shared" si="8"/>
        <v>0</v>
      </c>
      <c r="K235" s="144">
        <f t="shared" si="8"/>
        <v>0</v>
      </c>
      <c r="L235" s="144">
        <f t="shared" si="8"/>
        <v>0</v>
      </c>
      <c r="M235" s="144">
        <f t="shared" si="8"/>
        <v>0</v>
      </c>
      <c r="N235" s="144">
        <f t="shared" si="8"/>
        <v>0</v>
      </c>
      <c r="O235" s="144">
        <f t="shared" si="8"/>
        <v>0</v>
      </c>
      <c r="P235" s="144">
        <f t="shared" si="8"/>
        <v>522016888</v>
      </c>
      <c r="R235" s="146">
        <f>+SUM(R5:R234)</f>
        <v>1340690</v>
      </c>
      <c r="S235" s="146">
        <f t="shared" ref="S235:AD235" si="9">+SUM(S5:S234)</f>
        <v>1311089</v>
      </c>
      <c r="T235" s="146">
        <f t="shared" si="9"/>
        <v>1528223</v>
      </c>
      <c r="U235" s="146">
        <f t="shared" si="9"/>
        <v>246348</v>
      </c>
      <c r="V235" s="146">
        <f t="shared" si="9"/>
        <v>0</v>
      </c>
      <c r="W235" s="146">
        <f t="shared" si="9"/>
        <v>0</v>
      </c>
      <c r="X235" s="146">
        <f t="shared" si="9"/>
        <v>0</v>
      </c>
      <c r="Y235" s="146">
        <f t="shared" si="9"/>
        <v>0</v>
      </c>
      <c r="Z235" s="146">
        <f t="shared" si="9"/>
        <v>0</v>
      </c>
      <c r="AA235" s="146">
        <f t="shared" si="9"/>
        <v>0</v>
      </c>
      <c r="AB235" s="146">
        <f t="shared" si="9"/>
        <v>0</v>
      </c>
      <c r="AC235" s="146">
        <f t="shared" si="9"/>
        <v>0</v>
      </c>
      <c r="AD235" s="146">
        <f t="shared" si="9"/>
        <v>4426350</v>
      </c>
    </row>
  </sheetData>
  <mergeCells count="2">
    <mergeCell ref="D2:P2"/>
    <mergeCell ref="R2:AD2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4" tint="0.59999389629810485"/>
  </sheetPr>
  <dimension ref="B1:AQ113"/>
  <sheetViews>
    <sheetView showGridLines="0" zoomScale="71" zoomScaleNormal="71"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V90" sqref="V90:V109"/>
    </sheetView>
  </sheetViews>
  <sheetFormatPr baseColWidth="10" defaultColWidth="11.54296875" defaultRowHeight="14.5" x14ac:dyDescent="0.35"/>
  <cols>
    <col min="1" max="1" width="3.6328125" style="154" customWidth="1"/>
    <col min="2" max="2" width="13.54296875" style="154" customWidth="1"/>
    <col min="3" max="3" width="18.453125" style="226" customWidth="1"/>
    <col min="4" max="4" width="37.36328125" style="154" hidden="1" customWidth="1"/>
    <col min="5" max="5" width="2.453125" style="154" customWidth="1"/>
    <col min="6" max="7" width="16.54296875" style="154" hidden="1" customWidth="1"/>
    <col min="8" max="8" width="16.54296875" style="154" bestFit="1" customWidth="1"/>
    <col min="9" max="9" width="16.54296875" style="154" customWidth="1"/>
    <col min="10" max="10" width="16.54296875" style="154" hidden="1" customWidth="1"/>
    <col min="11" max="11" width="15.36328125" style="154" hidden="1" customWidth="1"/>
    <col min="12" max="16" width="16.54296875" style="154" hidden="1" customWidth="1"/>
    <col min="17" max="17" width="15.36328125" style="154" hidden="1" customWidth="1"/>
    <col min="18" max="18" width="2.54296875" style="154" customWidth="1"/>
    <col min="19" max="20" width="18" style="154" hidden="1" customWidth="1"/>
    <col min="21" max="21" width="18" style="154" bestFit="1" customWidth="1"/>
    <col min="22" max="22" width="18" style="154" customWidth="1"/>
    <col min="23" max="23" width="18" style="154" hidden="1" customWidth="1"/>
    <col min="24" max="24" width="16.54296875" style="154" hidden="1" customWidth="1"/>
    <col min="25" max="29" width="18" style="154" hidden="1" customWidth="1"/>
    <col min="30" max="30" width="16.54296875" style="154" hidden="1" customWidth="1"/>
    <col min="31" max="31" width="2.36328125" style="154" customWidth="1"/>
    <col min="32" max="33" width="7" style="154" hidden="1" customWidth="1"/>
    <col min="34" max="34" width="7" style="154" customWidth="1"/>
    <col min="35" max="35" width="7" style="226" customWidth="1"/>
    <col min="36" max="37" width="7" style="226" hidden="1" customWidth="1"/>
    <col min="38" max="38" width="7" style="154" hidden="1" customWidth="1"/>
    <col min="39" max="39" width="10.81640625" style="154" hidden="1" customWidth="1"/>
    <col min="40" max="43" width="7" style="154" hidden="1" customWidth="1"/>
    <col min="44" max="44" width="5.36328125" style="154" customWidth="1"/>
    <col min="45" max="57" width="11.54296875" style="154" customWidth="1"/>
    <col min="58" max="16384" width="11.54296875" style="154"/>
  </cols>
  <sheetData>
    <row r="1" spans="2:43" x14ac:dyDescent="0.35">
      <c r="B1" s="17">
        <v>2620055</v>
      </c>
      <c r="D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</row>
    <row r="2" spans="2:43" x14ac:dyDescent="0.35">
      <c r="F2" s="254" t="s">
        <v>308</v>
      </c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S2" s="254" t="s">
        <v>309</v>
      </c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F2" s="254" t="s">
        <v>310</v>
      </c>
      <c r="AG2" s="255"/>
      <c r="AH2" s="255"/>
      <c r="AI2" s="259"/>
      <c r="AJ2" s="259"/>
      <c r="AK2" s="259"/>
      <c r="AL2" s="255"/>
      <c r="AM2" s="255"/>
      <c r="AN2" s="255"/>
      <c r="AO2" s="255"/>
      <c r="AP2" s="255"/>
      <c r="AQ2" s="255"/>
    </row>
    <row r="3" spans="2:43" x14ac:dyDescent="0.35">
      <c r="B3" s="17"/>
      <c r="C3" s="13" t="s">
        <v>311</v>
      </c>
      <c r="D3" s="12" t="s">
        <v>312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  <c r="O3" s="13" t="s">
        <v>28</v>
      </c>
      <c r="P3" s="13" t="s">
        <v>29</v>
      </c>
      <c r="Q3" s="13" t="s">
        <v>30</v>
      </c>
      <c r="S3" s="13" t="s">
        <v>19</v>
      </c>
      <c r="T3" s="13" t="s">
        <v>20</v>
      </c>
      <c r="U3" s="13" t="s">
        <v>21</v>
      </c>
      <c r="V3" s="13" t="s">
        <v>22</v>
      </c>
      <c r="W3" s="13" t="s">
        <v>23</v>
      </c>
      <c r="X3" s="13" t="s">
        <v>24</v>
      </c>
      <c r="Y3" s="13" t="s">
        <v>25</v>
      </c>
      <c r="Z3" s="13" t="s">
        <v>26</v>
      </c>
      <c r="AA3" s="13" t="s">
        <v>27</v>
      </c>
      <c r="AB3" s="13" t="s">
        <v>28</v>
      </c>
      <c r="AC3" s="13" t="s">
        <v>29</v>
      </c>
      <c r="AD3" s="13" t="s">
        <v>30</v>
      </c>
      <c r="AF3" s="13" t="s">
        <v>19</v>
      </c>
      <c r="AG3" s="13" t="s">
        <v>20</v>
      </c>
      <c r="AH3" s="13" t="s">
        <v>21</v>
      </c>
      <c r="AI3" s="13" t="s">
        <v>22</v>
      </c>
      <c r="AJ3" s="13" t="s">
        <v>23</v>
      </c>
      <c r="AK3" s="13" t="s">
        <v>24</v>
      </c>
      <c r="AL3" s="13" t="s">
        <v>25</v>
      </c>
      <c r="AM3" s="13" t="s">
        <v>26</v>
      </c>
      <c r="AN3" s="13" t="s">
        <v>27</v>
      </c>
      <c r="AO3" s="13" t="s">
        <v>28</v>
      </c>
      <c r="AP3" s="13" t="s">
        <v>29</v>
      </c>
      <c r="AQ3" s="13" t="s">
        <v>30</v>
      </c>
    </row>
    <row r="4" spans="2:43" x14ac:dyDescent="0.35">
      <c r="B4" s="17" t="s">
        <v>87</v>
      </c>
      <c r="C4" s="225">
        <v>20543722309</v>
      </c>
      <c r="D4" s="154" t="s">
        <v>313</v>
      </c>
      <c r="F4" s="147">
        <v>692460</v>
      </c>
      <c r="G4" s="147"/>
      <c r="H4" s="147">
        <v>755133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>
        <v>4077882</v>
      </c>
      <c r="T4" s="147"/>
      <c r="U4" s="147">
        <v>4735065</v>
      </c>
      <c r="V4" s="147"/>
      <c r="W4" s="147"/>
      <c r="X4" s="147"/>
      <c r="Y4" s="147"/>
      <c r="Z4" s="147"/>
      <c r="AA4" s="147"/>
      <c r="AB4" s="147"/>
      <c r="AC4" s="147"/>
      <c r="AD4" s="147"/>
      <c r="AF4" s="148">
        <f t="shared" ref="AF4:AQ24" si="0">+IFERROR(F4/S4,"")</f>
        <v>0.16980873894830698</v>
      </c>
      <c r="AG4" s="148" t="str">
        <f t="shared" si="0"/>
        <v/>
      </c>
      <c r="AH4" s="148">
        <f t="shared" si="0"/>
        <v>0.15947679704502474</v>
      </c>
      <c r="AI4" s="234" t="str">
        <f t="shared" si="0"/>
        <v/>
      </c>
      <c r="AJ4" s="234" t="str">
        <f t="shared" si="0"/>
        <v/>
      </c>
      <c r="AK4" s="234" t="str">
        <f t="shared" si="0"/>
        <v/>
      </c>
      <c r="AL4" s="148" t="str">
        <f t="shared" si="0"/>
        <v/>
      </c>
      <c r="AM4" s="148" t="str">
        <f t="shared" si="0"/>
        <v/>
      </c>
      <c r="AN4" s="148" t="str">
        <f t="shared" si="0"/>
        <v/>
      </c>
      <c r="AO4" s="148" t="str">
        <f t="shared" si="0"/>
        <v/>
      </c>
      <c r="AP4" s="148" t="str">
        <f t="shared" si="0"/>
        <v/>
      </c>
      <c r="AQ4" s="148" t="str">
        <f t="shared" si="0"/>
        <v/>
      </c>
    </row>
    <row r="5" spans="2:43" x14ac:dyDescent="0.35">
      <c r="B5" s="17"/>
      <c r="C5" s="225">
        <v>20518792360</v>
      </c>
      <c r="D5" s="154" t="s">
        <v>314</v>
      </c>
      <c r="F5" s="147">
        <v>276499</v>
      </c>
      <c r="G5" s="147"/>
      <c r="H5" s="147">
        <v>260558</v>
      </c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>
        <v>1984730</v>
      </c>
      <c r="T5" s="147"/>
      <c r="U5" s="147">
        <v>1926114</v>
      </c>
      <c r="V5" s="147"/>
      <c r="W5" s="147"/>
      <c r="X5" s="147"/>
      <c r="Y5" s="147"/>
      <c r="Z5" s="147"/>
      <c r="AA5" s="147"/>
      <c r="AB5" s="147"/>
      <c r="AC5" s="147"/>
      <c r="AD5" s="147"/>
      <c r="AF5" s="148">
        <f t="shared" si="0"/>
        <v>0.139313155945645</v>
      </c>
      <c r="AG5" s="148" t="str">
        <f t="shared" si="0"/>
        <v/>
      </c>
      <c r="AH5" s="148">
        <f t="shared" si="0"/>
        <v>0.13527652049670996</v>
      </c>
      <c r="AI5" s="234" t="str">
        <f t="shared" si="0"/>
        <v/>
      </c>
      <c r="AJ5" s="234" t="str">
        <f t="shared" si="0"/>
        <v/>
      </c>
      <c r="AK5" s="234" t="str">
        <f t="shared" si="0"/>
        <v/>
      </c>
      <c r="AL5" s="148" t="str">
        <f t="shared" si="0"/>
        <v/>
      </c>
      <c r="AM5" s="148" t="str">
        <f t="shared" si="0"/>
        <v/>
      </c>
      <c r="AN5" s="148" t="str">
        <f t="shared" si="0"/>
        <v/>
      </c>
      <c r="AO5" s="148" t="str">
        <f t="shared" si="0"/>
        <v/>
      </c>
      <c r="AP5" s="148" t="str">
        <f t="shared" si="0"/>
        <v/>
      </c>
      <c r="AQ5" s="148" t="str">
        <f t="shared" si="0"/>
        <v/>
      </c>
    </row>
    <row r="6" spans="2:43" x14ac:dyDescent="0.35">
      <c r="B6" s="17"/>
      <c r="C6" s="225">
        <v>20608838547</v>
      </c>
      <c r="D6" s="154" t="s">
        <v>315</v>
      </c>
      <c r="F6" s="147">
        <v>131368</v>
      </c>
      <c r="G6" s="147"/>
      <c r="H6" s="147">
        <v>154469</v>
      </c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>
        <v>806710</v>
      </c>
      <c r="T6" s="147"/>
      <c r="U6" s="147">
        <v>913171</v>
      </c>
      <c r="V6" s="147"/>
      <c r="W6" s="147"/>
      <c r="X6" s="147"/>
      <c r="Y6" s="147"/>
      <c r="Z6" s="147"/>
      <c r="AA6" s="147"/>
      <c r="AB6" s="147"/>
      <c r="AC6" s="147"/>
      <c r="AD6" s="147"/>
      <c r="AF6" s="148">
        <f t="shared" si="0"/>
        <v>0.16284414473602657</v>
      </c>
      <c r="AG6" s="148" t="str">
        <f t="shared" si="0"/>
        <v/>
      </c>
      <c r="AH6" s="148">
        <f t="shared" si="0"/>
        <v>0.16915670777981343</v>
      </c>
      <c r="AI6" s="234" t="str">
        <f t="shared" si="0"/>
        <v/>
      </c>
      <c r="AJ6" s="234" t="str">
        <f t="shared" si="0"/>
        <v/>
      </c>
      <c r="AK6" s="234" t="str">
        <f t="shared" si="0"/>
        <v/>
      </c>
      <c r="AL6" s="148" t="str">
        <f t="shared" si="0"/>
        <v/>
      </c>
      <c r="AM6" s="148" t="str">
        <f t="shared" si="0"/>
        <v/>
      </c>
      <c r="AN6" s="148" t="str">
        <f t="shared" si="0"/>
        <v/>
      </c>
      <c r="AO6" s="148" t="str">
        <f t="shared" si="0"/>
        <v/>
      </c>
      <c r="AP6" s="148" t="str">
        <f t="shared" si="0"/>
        <v/>
      </c>
      <c r="AQ6" s="148" t="str">
        <f t="shared" si="0"/>
        <v/>
      </c>
    </row>
    <row r="7" spans="2:43" x14ac:dyDescent="0.35">
      <c r="B7" s="17"/>
      <c r="C7" s="225">
        <v>20418463644</v>
      </c>
      <c r="D7" s="154" t="s">
        <v>316</v>
      </c>
      <c r="F7" s="147">
        <v>160943</v>
      </c>
      <c r="G7" s="147">
        <v>155032</v>
      </c>
      <c r="H7" s="147">
        <v>169450</v>
      </c>
      <c r="I7" s="147">
        <v>28031</v>
      </c>
      <c r="J7" s="147"/>
      <c r="K7" s="147"/>
      <c r="L7" s="147"/>
      <c r="M7" s="147"/>
      <c r="N7" s="147"/>
      <c r="O7" s="147"/>
      <c r="P7" s="147"/>
      <c r="Q7" s="147"/>
      <c r="S7" s="147">
        <v>1037873</v>
      </c>
      <c r="T7" s="147">
        <v>985948</v>
      </c>
      <c r="U7" s="147">
        <v>1103204</v>
      </c>
      <c r="V7" s="147">
        <v>202945</v>
      </c>
      <c r="W7" s="147"/>
      <c r="X7" s="147"/>
      <c r="Y7" s="147"/>
      <c r="Z7" s="147"/>
      <c r="AA7" s="147"/>
      <c r="AB7" s="147"/>
      <c r="AC7" s="147"/>
      <c r="AD7" s="147"/>
      <c r="AF7" s="148">
        <f t="shared" si="0"/>
        <v>0.15507003265332078</v>
      </c>
      <c r="AG7" s="148">
        <f t="shared" si="0"/>
        <v>0.15724155837833231</v>
      </c>
      <c r="AH7" s="148">
        <f t="shared" si="0"/>
        <v>0.15359806527169953</v>
      </c>
      <c r="AI7" s="234">
        <f t="shared" si="0"/>
        <v>0.13812116583310749</v>
      </c>
      <c r="AJ7" s="234" t="str">
        <f t="shared" si="0"/>
        <v/>
      </c>
      <c r="AK7" s="234" t="str">
        <f t="shared" si="0"/>
        <v/>
      </c>
      <c r="AL7" s="148" t="str">
        <f t="shared" si="0"/>
        <v/>
      </c>
      <c r="AM7" s="148" t="str">
        <f t="shared" si="0"/>
        <v/>
      </c>
      <c r="AN7" s="148" t="str">
        <f t="shared" si="0"/>
        <v/>
      </c>
      <c r="AO7" s="148" t="str">
        <f t="shared" si="0"/>
        <v/>
      </c>
      <c r="AP7" s="148" t="str">
        <f t="shared" si="0"/>
        <v/>
      </c>
      <c r="AQ7" s="148" t="str">
        <f t="shared" si="0"/>
        <v/>
      </c>
    </row>
    <row r="8" spans="2:43" x14ac:dyDescent="0.35">
      <c r="B8" s="17"/>
      <c r="C8" s="225">
        <v>20345150341</v>
      </c>
      <c r="D8" s="154" t="s">
        <v>317</v>
      </c>
      <c r="F8" s="147">
        <v>167237</v>
      </c>
      <c r="G8" s="147">
        <v>159186</v>
      </c>
      <c r="H8" s="147">
        <v>175025</v>
      </c>
      <c r="I8" s="147">
        <v>38871</v>
      </c>
      <c r="J8" s="147"/>
      <c r="K8" s="147"/>
      <c r="L8" s="147"/>
      <c r="M8" s="147"/>
      <c r="N8" s="147"/>
      <c r="O8" s="147"/>
      <c r="P8" s="147"/>
      <c r="Q8" s="147"/>
      <c r="S8" s="147">
        <v>971411</v>
      </c>
      <c r="T8" s="147">
        <v>979164</v>
      </c>
      <c r="U8" s="147">
        <v>1049530</v>
      </c>
      <c r="V8" s="147">
        <v>232366</v>
      </c>
      <c r="W8" s="147"/>
      <c r="X8" s="147"/>
      <c r="Y8" s="147"/>
      <c r="Z8" s="147"/>
      <c r="AA8" s="147"/>
      <c r="AB8" s="147"/>
      <c r="AC8" s="147"/>
      <c r="AD8" s="147"/>
      <c r="AF8" s="148">
        <f t="shared" si="0"/>
        <v>0.17215884934389256</v>
      </c>
      <c r="AG8" s="148">
        <f t="shared" si="0"/>
        <v>0.16257337892324472</v>
      </c>
      <c r="AH8" s="148">
        <f t="shared" si="0"/>
        <v>0.16676512343620478</v>
      </c>
      <c r="AI8" s="234">
        <f t="shared" si="0"/>
        <v>0.16728350963566099</v>
      </c>
      <c r="AJ8" s="234" t="str">
        <f t="shared" si="0"/>
        <v/>
      </c>
      <c r="AK8" s="234" t="str">
        <f t="shared" si="0"/>
        <v/>
      </c>
      <c r="AL8" s="148" t="str">
        <f t="shared" si="0"/>
        <v/>
      </c>
      <c r="AM8" s="148" t="str">
        <f t="shared" si="0"/>
        <v/>
      </c>
      <c r="AN8" s="148" t="str">
        <f t="shared" si="0"/>
        <v/>
      </c>
      <c r="AO8" s="148" t="str">
        <f t="shared" si="0"/>
        <v/>
      </c>
      <c r="AP8" s="148" t="str">
        <f t="shared" si="0"/>
        <v/>
      </c>
      <c r="AQ8" s="148" t="str">
        <f t="shared" si="0"/>
        <v/>
      </c>
    </row>
    <row r="9" spans="2:43" x14ac:dyDescent="0.35">
      <c r="B9" s="17"/>
      <c r="C9" s="225">
        <v>20432168213</v>
      </c>
      <c r="D9" s="154" t="s">
        <v>318</v>
      </c>
      <c r="F9" s="147">
        <v>100844</v>
      </c>
      <c r="G9" s="147">
        <v>104117</v>
      </c>
      <c r="H9" s="147">
        <v>117570</v>
      </c>
      <c r="I9" s="147">
        <v>22645</v>
      </c>
      <c r="J9" s="147"/>
      <c r="K9" s="147"/>
      <c r="L9" s="147"/>
      <c r="M9" s="147"/>
      <c r="N9" s="147"/>
      <c r="O9" s="147"/>
      <c r="P9" s="147"/>
      <c r="Q9" s="147"/>
      <c r="S9" s="147">
        <v>705061</v>
      </c>
      <c r="T9" s="147">
        <v>685719</v>
      </c>
      <c r="U9" s="147">
        <v>815828</v>
      </c>
      <c r="V9" s="147">
        <v>149304</v>
      </c>
      <c r="W9" s="147"/>
      <c r="X9" s="147"/>
      <c r="Y9" s="147"/>
      <c r="Z9" s="147"/>
      <c r="AA9" s="147"/>
      <c r="AB9" s="147"/>
      <c r="AC9" s="147"/>
      <c r="AD9" s="147"/>
      <c r="AF9" s="148">
        <f t="shared" si="0"/>
        <v>0.14302875921374178</v>
      </c>
      <c r="AG9" s="148">
        <f t="shared" si="0"/>
        <v>0.1518362477924631</v>
      </c>
      <c r="AH9" s="148">
        <f t="shared" si="0"/>
        <v>0.14411125874571601</v>
      </c>
      <c r="AI9" s="234">
        <f t="shared" si="0"/>
        <v>0.15167041740341852</v>
      </c>
      <c r="AJ9" s="234" t="str">
        <f t="shared" si="0"/>
        <v/>
      </c>
      <c r="AK9" s="234" t="str">
        <f t="shared" si="0"/>
        <v/>
      </c>
      <c r="AL9" s="148" t="str">
        <f t="shared" si="0"/>
        <v/>
      </c>
      <c r="AM9" s="148" t="str">
        <f t="shared" si="0"/>
        <v/>
      </c>
      <c r="AN9" s="148" t="str">
        <f t="shared" si="0"/>
        <v/>
      </c>
      <c r="AO9" s="148" t="str">
        <f t="shared" si="0"/>
        <v/>
      </c>
      <c r="AP9" s="148" t="str">
        <f t="shared" si="0"/>
        <v/>
      </c>
      <c r="AQ9" s="148" t="str">
        <f t="shared" si="0"/>
        <v/>
      </c>
    </row>
    <row r="10" spans="2:43" x14ac:dyDescent="0.35">
      <c r="B10" s="17"/>
      <c r="C10" s="225">
        <v>20476633932</v>
      </c>
      <c r="D10" s="154" t="s">
        <v>319</v>
      </c>
      <c r="F10" s="147">
        <v>123848</v>
      </c>
      <c r="G10" s="147">
        <v>139267</v>
      </c>
      <c r="H10" s="147">
        <v>158816</v>
      </c>
      <c r="I10" s="147">
        <v>33097</v>
      </c>
      <c r="J10" s="147"/>
      <c r="K10" s="147"/>
      <c r="L10" s="147"/>
      <c r="M10" s="147"/>
      <c r="N10" s="147"/>
      <c r="O10" s="147"/>
      <c r="P10" s="147"/>
      <c r="Q10" s="147"/>
      <c r="S10" s="147">
        <v>799444</v>
      </c>
      <c r="T10" s="147">
        <v>857012</v>
      </c>
      <c r="U10" s="147">
        <v>1010351</v>
      </c>
      <c r="V10" s="147">
        <v>194008</v>
      </c>
      <c r="W10" s="147"/>
      <c r="X10" s="147"/>
      <c r="Y10" s="147"/>
      <c r="Z10" s="147"/>
      <c r="AA10" s="147"/>
      <c r="AB10" s="147"/>
      <c r="AC10" s="147"/>
      <c r="AD10" s="147"/>
      <c r="AF10" s="148">
        <f t="shared" si="0"/>
        <v>0.15491766777910648</v>
      </c>
      <c r="AG10" s="148">
        <f t="shared" si="0"/>
        <v>0.16250297545425268</v>
      </c>
      <c r="AH10" s="148">
        <f t="shared" si="0"/>
        <v>0.15718893730990516</v>
      </c>
      <c r="AI10" s="234">
        <f t="shared" si="0"/>
        <v>0.17059605789451981</v>
      </c>
      <c r="AJ10" s="234" t="str">
        <f t="shared" si="0"/>
        <v/>
      </c>
      <c r="AK10" s="234" t="str">
        <f t="shared" si="0"/>
        <v/>
      </c>
      <c r="AL10" s="148" t="str">
        <f t="shared" si="0"/>
        <v/>
      </c>
      <c r="AM10" s="148" t="str">
        <f t="shared" si="0"/>
        <v/>
      </c>
      <c r="AN10" s="148" t="str">
        <f t="shared" si="0"/>
        <v/>
      </c>
      <c r="AO10" s="148" t="str">
        <f t="shared" si="0"/>
        <v/>
      </c>
      <c r="AP10" s="148" t="str">
        <f t="shared" si="0"/>
        <v/>
      </c>
      <c r="AQ10" s="148" t="str">
        <f t="shared" si="0"/>
        <v/>
      </c>
    </row>
    <row r="11" spans="2:43" x14ac:dyDescent="0.35">
      <c r="B11" s="17"/>
      <c r="C11" s="225">
        <v>20504197469</v>
      </c>
      <c r="D11" s="154" t="s">
        <v>320</v>
      </c>
      <c r="F11" s="147">
        <v>136018</v>
      </c>
      <c r="G11" s="147">
        <v>121860</v>
      </c>
      <c r="H11" s="147">
        <v>127128</v>
      </c>
      <c r="I11" s="147">
        <v>24727</v>
      </c>
      <c r="J11" s="147"/>
      <c r="K11" s="147"/>
      <c r="L11" s="147"/>
      <c r="M11" s="147"/>
      <c r="N11" s="147"/>
      <c r="O11" s="147"/>
      <c r="P11" s="147"/>
      <c r="Q11" s="147"/>
      <c r="S11" s="147">
        <v>799166</v>
      </c>
      <c r="T11" s="147">
        <v>757417</v>
      </c>
      <c r="U11" s="147">
        <v>763714</v>
      </c>
      <c r="V11" s="147">
        <v>153477</v>
      </c>
      <c r="W11" s="147"/>
      <c r="X11" s="147"/>
      <c r="Y11" s="147"/>
      <c r="Z11" s="147"/>
      <c r="AA11" s="147"/>
      <c r="AB11" s="147"/>
      <c r="AC11" s="147"/>
      <c r="AD11" s="147"/>
      <c r="AF11" s="148">
        <f t="shared" si="0"/>
        <v>0.17019993343060141</v>
      </c>
      <c r="AG11" s="148">
        <f t="shared" si="0"/>
        <v>0.16088891588121207</v>
      </c>
      <c r="AH11" s="148">
        <f t="shared" si="0"/>
        <v>0.16646021940150371</v>
      </c>
      <c r="AI11" s="234">
        <f t="shared" si="0"/>
        <v>0.16111208845625077</v>
      </c>
      <c r="AJ11" s="234" t="str">
        <f t="shared" si="0"/>
        <v/>
      </c>
      <c r="AK11" s="234" t="str">
        <f t="shared" si="0"/>
        <v/>
      </c>
      <c r="AL11" s="148" t="str">
        <f t="shared" si="0"/>
        <v/>
      </c>
      <c r="AM11" s="148" t="str">
        <f t="shared" si="0"/>
        <v/>
      </c>
      <c r="AN11" s="148" t="str">
        <f t="shared" si="0"/>
        <v/>
      </c>
      <c r="AO11" s="148" t="str">
        <f t="shared" si="0"/>
        <v/>
      </c>
      <c r="AP11" s="148" t="str">
        <f t="shared" si="0"/>
        <v/>
      </c>
      <c r="AQ11" s="148" t="str">
        <f t="shared" si="0"/>
        <v/>
      </c>
    </row>
    <row r="12" spans="2:43" x14ac:dyDescent="0.35">
      <c r="B12" s="17"/>
      <c r="C12" s="225">
        <v>20252796623</v>
      </c>
      <c r="D12" s="154" t="s">
        <v>321</v>
      </c>
      <c r="F12" s="147">
        <v>99154</v>
      </c>
      <c r="G12" s="147">
        <v>113775</v>
      </c>
      <c r="H12" s="147">
        <v>118423</v>
      </c>
      <c r="I12" s="147">
        <v>16357</v>
      </c>
      <c r="J12" s="147"/>
      <c r="K12" s="147"/>
      <c r="L12" s="147"/>
      <c r="M12" s="147"/>
      <c r="N12" s="147"/>
      <c r="O12" s="147"/>
      <c r="P12" s="147"/>
      <c r="Q12" s="147"/>
      <c r="S12" s="147">
        <v>905949</v>
      </c>
      <c r="T12" s="147">
        <v>917303</v>
      </c>
      <c r="U12" s="147">
        <v>1061123</v>
      </c>
      <c r="V12" s="147">
        <v>136305</v>
      </c>
      <c r="W12" s="147"/>
      <c r="X12" s="147"/>
      <c r="Y12" s="147"/>
      <c r="Z12" s="147"/>
      <c r="AA12" s="147"/>
      <c r="AB12" s="147"/>
      <c r="AC12" s="147"/>
      <c r="AD12" s="147"/>
      <c r="AF12" s="148">
        <f t="shared" si="0"/>
        <v>0.10944766206486237</v>
      </c>
      <c r="AG12" s="148">
        <f t="shared" si="0"/>
        <v>0.1240320810026785</v>
      </c>
      <c r="AH12" s="148">
        <f t="shared" si="0"/>
        <v>0.11160157682002934</v>
      </c>
      <c r="AI12" s="234">
        <f t="shared" si="0"/>
        <v>0.12000293459520928</v>
      </c>
      <c r="AJ12" s="234" t="str">
        <f t="shared" si="0"/>
        <v/>
      </c>
      <c r="AK12" s="234" t="str">
        <f t="shared" si="0"/>
        <v/>
      </c>
      <c r="AL12" s="148" t="str">
        <f t="shared" si="0"/>
        <v/>
      </c>
      <c r="AM12" s="148" t="str">
        <f t="shared" si="0"/>
        <v/>
      </c>
      <c r="AN12" s="148" t="str">
        <f t="shared" si="0"/>
        <v/>
      </c>
      <c r="AO12" s="148" t="str">
        <f t="shared" si="0"/>
        <v/>
      </c>
      <c r="AP12" s="148" t="str">
        <f t="shared" si="0"/>
        <v/>
      </c>
      <c r="AQ12" s="148" t="str">
        <f t="shared" si="0"/>
        <v/>
      </c>
    </row>
    <row r="13" spans="2:43" x14ac:dyDescent="0.35">
      <c r="B13" s="17"/>
      <c r="C13" s="225">
        <v>20486765454</v>
      </c>
      <c r="D13" s="154" t="s">
        <v>322</v>
      </c>
      <c r="F13" s="147">
        <v>143794</v>
      </c>
      <c r="G13" s="147">
        <v>139484</v>
      </c>
      <c r="H13" s="147">
        <v>156250</v>
      </c>
      <c r="I13" s="147">
        <v>27324</v>
      </c>
      <c r="J13" s="147"/>
      <c r="K13" s="147"/>
      <c r="L13" s="147"/>
      <c r="M13" s="147"/>
      <c r="N13" s="147"/>
      <c r="O13" s="147"/>
      <c r="P13" s="147"/>
      <c r="Q13" s="147"/>
      <c r="S13" s="147">
        <v>821998</v>
      </c>
      <c r="T13" s="147">
        <v>812908</v>
      </c>
      <c r="U13" s="147">
        <v>920065</v>
      </c>
      <c r="V13" s="147">
        <v>170627</v>
      </c>
      <c r="W13" s="147"/>
      <c r="X13" s="147"/>
      <c r="Y13" s="147"/>
      <c r="Z13" s="147"/>
      <c r="AA13" s="147"/>
      <c r="AB13" s="147"/>
      <c r="AC13" s="147"/>
      <c r="AD13" s="147"/>
      <c r="AF13" s="148">
        <f t="shared" si="0"/>
        <v>0.17493229910535063</v>
      </c>
      <c r="AG13" s="148">
        <f t="shared" si="0"/>
        <v>0.17158645258750069</v>
      </c>
      <c r="AH13" s="148">
        <f t="shared" si="0"/>
        <v>0.16982495801927039</v>
      </c>
      <c r="AI13" s="234">
        <f t="shared" si="0"/>
        <v>0.16013878225603217</v>
      </c>
      <c r="AJ13" s="234" t="str">
        <f t="shared" si="0"/>
        <v/>
      </c>
      <c r="AK13" s="234" t="str">
        <f t="shared" si="0"/>
        <v/>
      </c>
      <c r="AL13" s="148" t="str">
        <f t="shared" si="0"/>
        <v/>
      </c>
      <c r="AM13" s="148" t="str">
        <f t="shared" si="0"/>
        <v/>
      </c>
      <c r="AN13" s="148" t="str">
        <f t="shared" si="0"/>
        <v/>
      </c>
      <c r="AO13" s="148" t="str">
        <f t="shared" si="0"/>
        <v/>
      </c>
      <c r="AP13" s="148" t="str">
        <f t="shared" si="0"/>
        <v/>
      </c>
      <c r="AQ13" s="148" t="str">
        <f t="shared" si="0"/>
        <v/>
      </c>
    </row>
    <row r="14" spans="2:43" x14ac:dyDescent="0.35">
      <c r="B14" s="17"/>
      <c r="C14" s="225">
        <v>20601017106</v>
      </c>
      <c r="D14" s="154" t="s">
        <v>323</v>
      </c>
      <c r="F14" s="147">
        <v>51889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S14" s="147">
        <v>281464</v>
      </c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F14" s="148">
        <f t="shared" si="0"/>
        <v>0.18435394935053862</v>
      </c>
      <c r="AG14" s="148" t="str">
        <f t="shared" si="0"/>
        <v/>
      </c>
      <c r="AH14" s="148" t="str">
        <f t="shared" si="0"/>
        <v/>
      </c>
      <c r="AI14" s="234" t="str">
        <f t="shared" si="0"/>
        <v/>
      </c>
      <c r="AJ14" s="234" t="str">
        <f t="shared" si="0"/>
        <v/>
      </c>
      <c r="AK14" s="234" t="str">
        <f t="shared" si="0"/>
        <v/>
      </c>
      <c r="AL14" s="148" t="str">
        <f t="shared" si="0"/>
        <v/>
      </c>
      <c r="AM14" s="148" t="str">
        <f t="shared" si="0"/>
        <v/>
      </c>
      <c r="AN14" s="148" t="str">
        <f t="shared" si="0"/>
        <v/>
      </c>
      <c r="AO14" s="148" t="str">
        <f t="shared" si="0"/>
        <v/>
      </c>
      <c r="AP14" s="148" t="str">
        <f t="shared" si="0"/>
        <v/>
      </c>
      <c r="AQ14" s="148" t="str">
        <f t="shared" si="0"/>
        <v/>
      </c>
    </row>
    <row r="15" spans="2:43" x14ac:dyDescent="0.35">
      <c r="B15" s="17"/>
      <c r="C15" s="225">
        <v>20511235066</v>
      </c>
      <c r="D15" s="154" t="s">
        <v>324</v>
      </c>
      <c r="F15" s="147">
        <v>69212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S15" s="147">
        <v>341445</v>
      </c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F15" s="148">
        <f t="shared" si="0"/>
        <v>0.20270321720921378</v>
      </c>
      <c r="AG15" s="148" t="str">
        <f t="shared" si="0"/>
        <v/>
      </c>
      <c r="AH15" s="148" t="str">
        <f t="shared" si="0"/>
        <v/>
      </c>
      <c r="AI15" s="234" t="str">
        <f t="shared" si="0"/>
        <v/>
      </c>
      <c r="AJ15" s="234" t="str">
        <f t="shared" si="0"/>
        <v/>
      </c>
      <c r="AK15" s="234" t="str">
        <f t="shared" si="0"/>
        <v/>
      </c>
      <c r="AL15" s="148" t="str">
        <f t="shared" si="0"/>
        <v/>
      </c>
      <c r="AM15" s="148" t="str">
        <f t="shared" si="0"/>
        <v/>
      </c>
      <c r="AN15" s="148" t="str">
        <f t="shared" si="0"/>
        <v/>
      </c>
      <c r="AO15" s="148" t="str">
        <f t="shared" si="0"/>
        <v/>
      </c>
      <c r="AP15" s="148" t="str">
        <f t="shared" si="0"/>
        <v/>
      </c>
      <c r="AQ15" s="148" t="str">
        <f t="shared" si="0"/>
        <v/>
      </c>
    </row>
    <row r="16" spans="2:43" x14ac:dyDescent="0.35">
      <c r="B16" s="17"/>
      <c r="C16" s="225">
        <v>20536676865</v>
      </c>
      <c r="D16" s="154" t="s">
        <v>325</v>
      </c>
      <c r="F16" s="147">
        <v>50865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S16" s="147">
        <v>263740</v>
      </c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F16" s="148">
        <f t="shared" si="0"/>
        <v>0.19286039281110184</v>
      </c>
      <c r="AG16" s="148" t="str">
        <f t="shared" si="0"/>
        <v/>
      </c>
      <c r="AH16" s="148" t="str">
        <f t="shared" si="0"/>
        <v/>
      </c>
      <c r="AI16" s="234" t="str">
        <f t="shared" si="0"/>
        <v/>
      </c>
      <c r="AJ16" s="234" t="str">
        <f t="shared" si="0"/>
        <v/>
      </c>
      <c r="AK16" s="234" t="str">
        <f t="shared" si="0"/>
        <v/>
      </c>
      <c r="AL16" s="148" t="str">
        <f t="shared" si="0"/>
        <v/>
      </c>
      <c r="AM16" s="148" t="str">
        <f t="shared" si="0"/>
        <v/>
      </c>
      <c r="AN16" s="148" t="str">
        <f t="shared" si="0"/>
        <v/>
      </c>
      <c r="AO16" s="148" t="str">
        <f t="shared" si="0"/>
        <v/>
      </c>
      <c r="AP16" s="148" t="str">
        <f t="shared" si="0"/>
        <v/>
      </c>
      <c r="AQ16" s="148" t="str">
        <f t="shared" si="0"/>
        <v/>
      </c>
    </row>
    <row r="17" spans="2:43" x14ac:dyDescent="0.35">
      <c r="B17" s="17"/>
      <c r="C17" s="225">
        <v>20563027607</v>
      </c>
      <c r="D17" s="154" t="s">
        <v>326</v>
      </c>
      <c r="F17" s="147">
        <v>69990</v>
      </c>
      <c r="G17" s="147">
        <v>84037</v>
      </c>
      <c r="H17" s="147">
        <v>58211</v>
      </c>
      <c r="I17" s="147">
        <v>11981</v>
      </c>
      <c r="J17" s="147"/>
      <c r="K17" s="147"/>
      <c r="L17" s="147"/>
      <c r="M17" s="147"/>
      <c r="N17" s="147"/>
      <c r="O17" s="147"/>
      <c r="P17" s="147"/>
      <c r="Q17" s="147"/>
      <c r="S17" s="147">
        <v>1165570</v>
      </c>
      <c r="T17" s="147">
        <v>1047816</v>
      </c>
      <c r="U17" s="147">
        <v>1198093</v>
      </c>
      <c r="V17" s="147">
        <v>160586</v>
      </c>
      <c r="W17" s="147"/>
      <c r="X17" s="147"/>
      <c r="Y17" s="147"/>
      <c r="Z17" s="147"/>
      <c r="AA17" s="147"/>
      <c r="AB17" s="147"/>
      <c r="AC17" s="147"/>
      <c r="AD17" s="147"/>
      <c r="AF17" s="148">
        <f t="shared" si="0"/>
        <v>6.0047873572586806E-2</v>
      </c>
      <c r="AG17" s="148">
        <f t="shared" si="0"/>
        <v>8.0202058376661556E-2</v>
      </c>
      <c r="AH17" s="148">
        <f t="shared" si="0"/>
        <v>4.8586378519864484E-2</v>
      </c>
      <c r="AI17" s="234">
        <f t="shared" si="0"/>
        <v>7.4607998206568438E-2</v>
      </c>
      <c r="AJ17" s="234" t="str">
        <f t="shared" si="0"/>
        <v/>
      </c>
      <c r="AK17" s="234" t="str">
        <f t="shared" si="0"/>
        <v/>
      </c>
      <c r="AL17" s="148" t="str">
        <f t="shared" si="0"/>
        <v/>
      </c>
      <c r="AM17" s="148" t="str">
        <f t="shared" si="0"/>
        <v/>
      </c>
      <c r="AN17" s="148" t="str">
        <f t="shared" si="0"/>
        <v/>
      </c>
      <c r="AO17" s="148" t="str">
        <f t="shared" si="0"/>
        <v/>
      </c>
      <c r="AP17" s="148" t="str">
        <f t="shared" si="0"/>
        <v/>
      </c>
      <c r="AQ17" s="148" t="str">
        <f t="shared" si="0"/>
        <v/>
      </c>
    </row>
    <row r="18" spans="2:43" x14ac:dyDescent="0.35">
      <c r="B18" s="17"/>
      <c r="C18" s="225">
        <v>20505670443</v>
      </c>
      <c r="D18" s="154" t="s">
        <v>327</v>
      </c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F18" s="148" t="str">
        <f t="shared" si="0"/>
        <v/>
      </c>
      <c r="AG18" s="148" t="str">
        <f t="shared" si="0"/>
        <v/>
      </c>
      <c r="AH18" s="148" t="str">
        <f t="shared" si="0"/>
        <v/>
      </c>
      <c r="AI18" s="234" t="str">
        <f t="shared" si="0"/>
        <v/>
      </c>
      <c r="AJ18" s="234" t="str">
        <f t="shared" si="0"/>
        <v/>
      </c>
      <c r="AK18" s="234" t="str">
        <f t="shared" si="0"/>
        <v/>
      </c>
      <c r="AL18" s="148" t="str">
        <f t="shared" si="0"/>
        <v/>
      </c>
      <c r="AM18" s="148" t="str">
        <f t="shared" si="0"/>
        <v/>
      </c>
      <c r="AN18" s="148" t="str">
        <f t="shared" si="0"/>
        <v/>
      </c>
      <c r="AO18" s="148" t="str">
        <f t="shared" si="0"/>
        <v/>
      </c>
      <c r="AP18" s="148" t="str">
        <f t="shared" si="0"/>
        <v/>
      </c>
      <c r="AQ18" s="148" t="str">
        <f t="shared" si="0"/>
        <v/>
      </c>
    </row>
    <row r="19" spans="2:43" x14ac:dyDescent="0.35">
      <c r="B19" s="17"/>
      <c r="C19" s="225">
        <v>20604940622</v>
      </c>
      <c r="D19" s="154" t="s">
        <v>450</v>
      </c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F19" s="148" t="str">
        <f t="shared" si="0"/>
        <v/>
      </c>
      <c r="AG19" s="148" t="str">
        <f t="shared" si="0"/>
        <v/>
      </c>
      <c r="AH19" s="148" t="str">
        <f t="shared" si="0"/>
        <v/>
      </c>
      <c r="AI19" s="234" t="str">
        <f t="shared" si="0"/>
        <v/>
      </c>
      <c r="AJ19" s="234" t="str">
        <f t="shared" si="0"/>
        <v/>
      </c>
      <c r="AK19" s="234" t="str">
        <f t="shared" si="0"/>
        <v/>
      </c>
      <c r="AL19" s="148" t="str">
        <f t="shared" si="0"/>
        <v/>
      </c>
      <c r="AM19" s="148" t="str">
        <f t="shared" si="0"/>
        <v/>
      </c>
      <c r="AN19" s="148" t="str">
        <f t="shared" si="0"/>
        <v/>
      </c>
      <c r="AO19" s="148" t="str">
        <f t="shared" si="0"/>
        <v/>
      </c>
      <c r="AP19" s="148" t="str">
        <f t="shared" si="0"/>
        <v/>
      </c>
      <c r="AQ19" s="148" t="str">
        <f t="shared" si="0"/>
        <v/>
      </c>
    </row>
    <row r="20" spans="2:43" x14ac:dyDescent="0.35">
      <c r="B20" s="17"/>
      <c r="C20" s="225">
        <v>20601651531</v>
      </c>
      <c r="D20" s="154" t="s">
        <v>328</v>
      </c>
      <c r="F20" s="147">
        <v>178677</v>
      </c>
      <c r="G20" s="147">
        <v>169523</v>
      </c>
      <c r="H20" s="147">
        <v>161897</v>
      </c>
      <c r="I20" s="147">
        <v>33991</v>
      </c>
      <c r="J20" s="147"/>
      <c r="K20" s="147"/>
      <c r="L20" s="147"/>
      <c r="M20" s="147"/>
      <c r="N20" s="147"/>
      <c r="O20" s="147"/>
      <c r="P20" s="147"/>
      <c r="Q20" s="147"/>
      <c r="S20" s="147">
        <v>1174484</v>
      </c>
      <c r="T20" s="147">
        <v>1091522</v>
      </c>
      <c r="U20" s="147">
        <v>1057747</v>
      </c>
      <c r="V20" s="147">
        <v>228310</v>
      </c>
      <c r="W20" s="147"/>
      <c r="X20" s="147"/>
      <c r="Y20" s="147"/>
      <c r="Z20" s="147"/>
      <c r="AA20" s="147"/>
      <c r="AB20" s="147"/>
      <c r="AC20" s="147"/>
      <c r="AD20" s="147"/>
      <c r="AF20" s="148">
        <f t="shared" si="0"/>
        <v>0.15213234067045614</v>
      </c>
      <c r="AG20" s="148">
        <f t="shared" si="0"/>
        <v>0.15530882565811774</v>
      </c>
      <c r="AH20" s="148">
        <f t="shared" si="0"/>
        <v>0.15305834003783514</v>
      </c>
      <c r="AI20" s="234">
        <f t="shared" si="0"/>
        <v>0.14888090753799657</v>
      </c>
      <c r="AJ20" s="234" t="str">
        <f t="shared" si="0"/>
        <v/>
      </c>
      <c r="AK20" s="234" t="str">
        <f t="shared" si="0"/>
        <v/>
      </c>
      <c r="AL20" s="148" t="str">
        <f t="shared" si="0"/>
        <v/>
      </c>
      <c r="AM20" s="148" t="str">
        <f t="shared" si="0"/>
        <v/>
      </c>
      <c r="AN20" s="148" t="str">
        <f t="shared" si="0"/>
        <v/>
      </c>
      <c r="AO20" s="148" t="str">
        <f t="shared" si="0"/>
        <v/>
      </c>
      <c r="AP20" s="148" t="str">
        <f t="shared" si="0"/>
        <v/>
      </c>
      <c r="AQ20" s="148" t="str">
        <f t="shared" si="0"/>
        <v/>
      </c>
    </row>
    <row r="21" spans="2:43" x14ac:dyDescent="0.35">
      <c r="B21" s="17"/>
      <c r="C21" s="225">
        <v>20517656217</v>
      </c>
      <c r="D21" s="154" t="s">
        <v>329</v>
      </c>
      <c r="F21" s="147">
        <v>182812</v>
      </c>
      <c r="G21" s="147">
        <v>165346</v>
      </c>
      <c r="H21" s="147">
        <v>189741</v>
      </c>
      <c r="I21" s="147">
        <v>28349</v>
      </c>
      <c r="J21" s="147"/>
      <c r="K21" s="147"/>
      <c r="L21" s="147"/>
      <c r="M21" s="147"/>
      <c r="N21" s="147"/>
      <c r="O21" s="147"/>
      <c r="P21" s="147"/>
      <c r="Q21" s="147"/>
      <c r="S21" s="147">
        <v>1108599</v>
      </c>
      <c r="T21" s="147">
        <v>1066795</v>
      </c>
      <c r="U21" s="147">
        <v>1259228</v>
      </c>
      <c r="V21" s="147">
        <v>181629</v>
      </c>
      <c r="W21" s="147"/>
      <c r="X21" s="147"/>
      <c r="Y21" s="147"/>
      <c r="Z21" s="147"/>
      <c r="AA21" s="147"/>
      <c r="AB21" s="147"/>
      <c r="AC21" s="147"/>
      <c r="AD21" s="147"/>
      <c r="AF21" s="148">
        <f t="shared" si="0"/>
        <v>0.16490363061846527</v>
      </c>
      <c r="AG21" s="148">
        <f t="shared" si="0"/>
        <v>0.15499322737733118</v>
      </c>
      <c r="AH21" s="148">
        <f t="shared" si="0"/>
        <v>0.1506804168903487</v>
      </c>
      <c r="AI21" s="234">
        <f t="shared" si="0"/>
        <v>0.15608190322030072</v>
      </c>
      <c r="AJ21" s="234" t="str">
        <f t="shared" si="0"/>
        <v/>
      </c>
      <c r="AK21" s="234" t="str">
        <f t="shared" si="0"/>
        <v/>
      </c>
      <c r="AL21" s="148" t="str">
        <f t="shared" si="0"/>
        <v/>
      </c>
      <c r="AM21" s="148" t="str">
        <f t="shared" si="0"/>
        <v/>
      </c>
      <c r="AN21" s="148" t="str">
        <f t="shared" si="0"/>
        <v/>
      </c>
      <c r="AO21" s="148" t="str">
        <f t="shared" si="0"/>
        <v/>
      </c>
      <c r="AP21" s="148" t="str">
        <f t="shared" si="0"/>
        <v/>
      </c>
      <c r="AQ21" s="148" t="str">
        <f t="shared" si="0"/>
        <v/>
      </c>
    </row>
    <row r="22" spans="2:43" x14ac:dyDescent="0.35">
      <c r="B22" s="17"/>
      <c r="C22" s="225">
        <v>20524692105</v>
      </c>
      <c r="D22" s="154" t="s">
        <v>330</v>
      </c>
      <c r="F22" s="147">
        <v>39264</v>
      </c>
      <c r="G22" s="147">
        <v>35381</v>
      </c>
      <c r="H22" s="147">
        <v>42066</v>
      </c>
      <c r="I22" s="147"/>
      <c r="J22" s="147"/>
      <c r="K22" s="147"/>
      <c r="L22" s="147"/>
      <c r="M22" s="147"/>
      <c r="N22" s="147"/>
      <c r="O22" s="147"/>
      <c r="P22" s="147"/>
      <c r="Q22" s="147"/>
      <c r="S22" s="147">
        <v>521282</v>
      </c>
      <c r="T22" s="147">
        <v>590199</v>
      </c>
      <c r="U22" s="147">
        <v>745180</v>
      </c>
      <c r="V22" s="147"/>
      <c r="W22" s="147"/>
      <c r="X22" s="147"/>
      <c r="Y22" s="147"/>
      <c r="Z22" s="147"/>
      <c r="AA22" s="147"/>
      <c r="AB22" s="147"/>
      <c r="AC22" s="147"/>
      <c r="AD22" s="147"/>
      <c r="AF22" s="148">
        <f t="shared" si="0"/>
        <v>7.5321994620953722E-2</v>
      </c>
      <c r="AG22" s="148">
        <f t="shared" si="0"/>
        <v>5.9947577003688586E-2</v>
      </c>
      <c r="AH22" s="148">
        <f t="shared" si="0"/>
        <v>5.6450790413054563E-2</v>
      </c>
      <c r="AI22" s="234" t="str">
        <f t="shared" si="0"/>
        <v/>
      </c>
      <c r="AJ22" s="234" t="str">
        <f t="shared" si="0"/>
        <v/>
      </c>
      <c r="AK22" s="234" t="str">
        <f t="shared" si="0"/>
        <v/>
      </c>
      <c r="AL22" s="148" t="str">
        <f t="shared" si="0"/>
        <v/>
      </c>
      <c r="AM22" s="148" t="str">
        <f t="shared" si="0"/>
        <v/>
      </c>
      <c r="AN22" s="148" t="str">
        <f t="shared" si="0"/>
        <v/>
      </c>
      <c r="AO22" s="148" t="str">
        <f t="shared" si="0"/>
        <v/>
      </c>
      <c r="AP22" s="148" t="str">
        <f t="shared" si="0"/>
        <v/>
      </c>
      <c r="AQ22" s="148" t="str">
        <f t="shared" si="0"/>
        <v/>
      </c>
    </row>
    <row r="23" spans="2:43" x14ac:dyDescent="0.35">
      <c r="B23" s="17"/>
      <c r="C23" s="225">
        <v>20520854381</v>
      </c>
      <c r="D23" s="154" t="s">
        <v>449</v>
      </c>
      <c r="F23" s="147">
        <v>43502</v>
      </c>
      <c r="G23" s="147">
        <v>41318</v>
      </c>
      <c r="H23" s="147">
        <v>54116</v>
      </c>
      <c r="I23" s="147">
        <v>6343</v>
      </c>
      <c r="J23" s="147"/>
      <c r="K23" s="147"/>
      <c r="L23" s="147"/>
      <c r="M23" s="147"/>
      <c r="N23" s="147"/>
      <c r="O23" s="147"/>
      <c r="P23" s="147"/>
      <c r="Q23" s="147"/>
      <c r="S23" s="147">
        <v>264069</v>
      </c>
      <c r="T23" s="147">
        <v>262148</v>
      </c>
      <c r="U23" s="147">
        <v>312608</v>
      </c>
      <c r="V23" s="147">
        <v>46902</v>
      </c>
      <c r="W23" s="147"/>
      <c r="X23" s="147"/>
      <c r="Y23" s="147"/>
      <c r="Z23" s="147"/>
      <c r="AA23" s="147"/>
      <c r="AB23" s="147"/>
      <c r="AC23" s="147"/>
      <c r="AD23" s="147"/>
      <c r="AF23" s="148">
        <f t="shared" si="0"/>
        <v>0.16473724670445983</v>
      </c>
      <c r="AG23" s="148">
        <f t="shared" si="0"/>
        <v>0.15761325663365733</v>
      </c>
      <c r="AH23" s="148">
        <f t="shared" si="0"/>
        <v>0.17311137270959157</v>
      </c>
      <c r="AI23" s="234">
        <f t="shared" si="0"/>
        <v>0.13523943541853226</v>
      </c>
      <c r="AJ23" s="234" t="str">
        <f t="shared" si="0"/>
        <v/>
      </c>
      <c r="AK23" s="234" t="str">
        <f t="shared" si="0"/>
        <v/>
      </c>
      <c r="AL23" s="148" t="str">
        <f t="shared" si="0"/>
        <v/>
      </c>
      <c r="AM23" s="148" t="str">
        <f t="shared" si="0"/>
        <v/>
      </c>
      <c r="AN23" s="148" t="str">
        <f t="shared" si="0"/>
        <v/>
      </c>
      <c r="AO23" s="148" t="str">
        <f t="shared" si="0"/>
        <v/>
      </c>
      <c r="AP23" s="148" t="str">
        <f t="shared" si="0"/>
        <v/>
      </c>
      <c r="AQ23" s="148" t="str">
        <f t="shared" si="0"/>
        <v/>
      </c>
    </row>
    <row r="24" spans="2:43" x14ac:dyDescent="0.35">
      <c r="B24" s="14" t="s">
        <v>331</v>
      </c>
      <c r="C24" s="227"/>
      <c r="D24" s="14"/>
      <c r="F24" s="149">
        <f t="shared" ref="F24:Q24" si="1">+SUM(F4:F23)</f>
        <v>2718376</v>
      </c>
      <c r="G24" s="149">
        <f t="shared" si="1"/>
        <v>1428326</v>
      </c>
      <c r="H24" s="149">
        <f t="shared" si="1"/>
        <v>2698853</v>
      </c>
      <c r="I24" s="149">
        <f t="shared" si="1"/>
        <v>271716</v>
      </c>
      <c r="J24" s="149">
        <f t="shared" si="1"/>
        <v>0</v>
      </c>
      <c r="K24" s="149">
        <f t="shared" si="1"/>
        <v>0</v>
      </c>
      <c r="L24" s="149">
        <f t="shared" si="1"/>
        <v>0</v>
      </c>
      <c r="M24" s="149">
        <f t="shared" si="1"/>
        <v>0</v>
      </c>
      <c r="N24" s="149">
        <f t="shared" si="1"/>
        <v>0</v>
      </c>
      <c r="O24" s="149">
        <f t="shared" si="1"/>
        <v>0</v>
      </c>
      <c r="P24" s="149">
        <f t="shared" si="1"/>
        <v>0</v>
      </c>
      <c r="Q24" s="149">
        <f t="shared" si="1"/>
        <v>0</v>
      </c>
      <c r="S24" s="149">
        <f t="shared" ref="S24:AD24" si="2">+SUM(S4:S23)</f>
        <v>18030877</v>
      </c>
      <c r="T24" s="149">
        <f t="shared" si="2"/>
        <v>10053951</v>
      </c>
      <c r="U24" s="149">
        <f t="shared" si="2"/>
        <v>18871021</v>
      </c>
      <c r="V24" s="149">
        <f t="shared" si="2"/>
        <v>1856459</v>
      </c>
      <c r="W24" s="149">
        <f t="shared" si="2"/>
        <v>0</v>
      </c>
      <c r="X24" s="149">
        <f t="shared" si="2"/>
        <v>0</v>
      </c>
      <c r="Y24" s="149">
        <f t="shared" si="2"/>
        <v>0</v>
      </c>
      <c r="Z24" s="149">
        <f t="shared" si="2"/>
        <v>0</v>
      </c>
      <c r="AA24" s="149">
        <f t="shared" si="2"/>
        <v>0</v>
      </c>
      <c r="AB24" s="149">
        <f t="shared" si="2"/>
        <v>0</v>
      </c>
      <c r="AC24" s="149">
        <f t="shared" si="2"/>
        <v>0</v>
      </c>
      <c r="AD24" s="149">
        <f t="shared" si="2"/>
        <v>0</v>
      </c>
      <c r="AF24" s="150">
        <f t="shared" si="0"/>
        <v>0.15076227296098799</v>
      </c>
      <c r="AG24" s="150">
        <f t="shared" si="0"/>
        <v>0.14206613897362341</v>
      </c>
      <c r="AH24" s="150">
        <f t="shared" si="0"/>
        <v>0.14301573825814723</v>
      </c>
      <c r="AI24" s="235">
        <f t="shared" si="0"/>
        <v>0.14636251056446709</v>
      </c>
      <c r="AJ24" s="235" t="str">
        <f t="shared" si="0"/>
        <v/>
      </c>
      <c r="AK24" s="235" t="str">
        <f t="shared" si="0"/>
        <v/>
      </c>
      <c r="AL24" s="150" t="str">
        <f t="shared" si="0"/>
        <v/>
      </c>
      <c r="AM24" s="150" t="str">
        <f t="shared" si="0"/>
        <v/>
      </c>
      <c r="AN24" s="150" t="str">
        <f t="shared" si="0"/>
        <v/>
      </c>
      <c r="AO24" s="150" t="str">
        <f t="shared" si="0"/>
        <v/>
      </c>
      <c r="AP24" s="150" t="str">
        <f t="shared" si="0"/>
        <v/>
      </c>
      <c r="AQ24" s="150" t="str">
        <f t="shared" si="0"/>
        <v/>
      </c>
    </row>
    <row r="25" spans="2:43" x14ac:dyDescent="0.35">
      <c r="B25" s="17"/>
      <c r="C25" s="225"/>
      <c r="D25" s="17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F25" s="152"/>
      <c r="AG25" s="152"/>
      <c r="AH25" s="152"/>
      <c r="AI25" s="236"/>
      <c r="AJ25" s="236"/>
      <c r="AK25" s="236"/>
      <c r="AL25" s="152"/>
      <c r="AM25" s="152"/>
      <c r="AN25" s="152"/>
      <c r="AO25" s="152"/>
    </row>
    <row r="26" spans="2:43" s="15" customFormat="1" x14ac:dyDescent="0.35">
      <c r="B26" s="16" t="s">
        <v>88</v>
      </c>
      <c r="C26" s="228" t="s">
        <v>332</v>
      </c>
      <c r="D26" s="15" t="s">
        <v>333</v>
      </c>
      <c r="F26" s="153">
        <v>18385248</v>
      </c>
      <c r="G26" s="153">
        <v>18433086</v>
      </c>
      <c r="H26" s="153">
        <v>21862473</v>
      </c>
      <c r="I26" s="153">
        <v>3730264</v>
      </c>
      <c r="J26" s="153"/>
      <c r="K26" s="153"/>
      <c r="L26" s="153"/>
      <c r="M26" s="153"/>
      <c r="N26" s="153"/>
      <c r="O26" s="153"/>
      <c r="P26" s="153"/>
      <c r="Q26" s="153"/>
      <c r="S26" s="153">
        <v>181618546</v>
      </c>
      <c r="T26" s="153">
        <v>188219737</v>
      </c>
      <c r="U26" s="153">
        <v>236313516</v>
      </c>
      <c r="V26" s="153">
        <v>37062437</v>
      </c>
      <c r="W26" s="153"/>
      <c r="X26" s="153"/>
      <c r="Y26" s="153"/>
      <c r="Z26" s="153"/>
      <c r="AA26" s="153"/>
      <c r="AB26" s="153"/>
      <c r="AC26" s="153"/>
      <c r="AD26" s="153"/>
      <c r="AF26" s="148">
        <f t="shared" ref="AF26:AQ45" si="3">+IFERROR(F26/S26,"")</f>
        <v>0.10123001425195861</v>
      </c>
      <c r="AG26" s="148">
        <f t="shared" si="3"/>
        <v>9.7933863333365512E-2</v>
      </c>
      <c r="AH26" s="148">
        <f t="shared" si="3"/>
        <v>9.251469560463059E-2</v>
      </c>
      <c r="AI26" s="234">
        <f t="shared" si="3"/>
        <v>0.10064810363117785</v>
      </c>
      <c r="AJ26" s="238" t="str">
        <f t="shared" si="3"/>
        <v/>
      </c>
      <c r="AK26" s="238" t="str">
        <f t="shared" si="3"/>
        <v/>
      </c>
      <c r="AL26" s="239" t="str">
        <f t="shared" si="3"/>
        <v/>
      </c>
      <c r="AM26" s="148" t="str">
        <f t="shared" si="3"/>
        <v/>
      </c>
      <c r="AN26" s="148" t="str">
        <f t="shared" si="3"/>
        <v/>
      </c>
      <c r="AO26" s="148" t="str">
        <f t="shared" si="3"/>
        <v/>
      </c>
      <c r="AP26" s="148" t="str">
        <f t="shared" si="3"/>
        <v/>
      </c>
      <c r="AQ26" s="148" t="str">
        <f t="shared" si="3"/>
        <v/>
      </c>
    </row>
    <row r="27" spans="2:43" x14ac:dyDescent="0.35">
      <c r="B27" s="17"/>
      <c r="C27" s="225">
        <v>20600657888</v>
      </c>
      <c r="D27" s="154" t="s">
        <v>334</v>
      </c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F27" s="148" t="str">
        <f t="shared" si="3"/>
        <v/>
      </c>
      <c r="AG27" s="148" t="str">
        <f t="shared" si="3"/>
        <v/>
      </c>
      <c r="AH27" s="148" t="str">
        <f t="shared" si="3"/>
        <v/>
      </c>
      <c r="AI27" s="234" t="str">
        <f t="shared" si="3"/>
        <v/>
      </c>
      <c r="AJ27" s="234" t="str">
        <f t="shared" si="3"/>
        <v/>
      </c>
      <c r="AK27" s="234" t="str">
        <f t="shared" si="3"/>
        <v/>
      </c>
      <c r="AL27" s="148" t="str">
        <f t="shared" si="3"/>
        <v/>
      </c>
      <c r="AM27" s="148" t="str">
        <f t="shared" si="3"/>
        <v/>
      </c>
      <c r="AN27" s="148" t="str">
        <f t="shared" si="3"/>
        <v/>
      </c>
      <c r="AO27" s="148" t="str">
        <f t="shared" si="3"/>
        <v/>
      </c>
      <c r="AP27" s="148" t="str">
        <f t="shared" si="3"/>
        <v/>
      </c>
      <c r="AQ27" s="148" t="str">
        <f t="shared" si="3"/>
        <v/>
      </c>
    </row>
    <row r="28" spans="2:43" x14ac:dyDescent="0.35">
      <c r="B28" s="17"/>
      <c r="C28" s="225">
        <v>20404097343</v>
      </c>
      <c r="D28" s="154" t="s">
        <v>335</v>
      </c>
      <c r="F28" s="147">
        <v>104747</v>
      </c>
      <c r="G28" s="147">
        <v>78677</v>
      </c>
      <c r="H28" s="147">
        <v>102183</v>
      </c>
      <c r="I28" s="147">
        <v>16000</v>
      </c>
      <c r="J28" s="147"/>
      <c r="K28" s="147"/>
      <c r="L28" s="147"/>
      <c r="M28" s="147"/>
      <c r="N28" s="147"/>
      <c r="O28" s="147"/>
      <c r="P28" s="147"/>
      <c r="Q28" s="147"/>
      <c r="S28" s="147">
        <v>490268</v>
      </c>
      <c r="T28" s="147">
        <v>375283</v>
      </c>
      <c r="U28" s="147">
        <v>481420</v>
      </c>
      <c r="V28" s="147">
        <v>72694</v>
      </c>
      <c r="W28" s="147"/>
      <c r="X28" s="147"/>
      <c r="Y28" s="147"/>
      <c r="Z28" s="147"/>
      <c r="AA28" s="147"/>
      <c r="AB28" s="147"/>
      <c r="AC28" s="147"/>
      <c r="AD28" s="147"/>
      <c r="AF28" s="148">
        <f t="shared" si="3"/>
        <v>0.21365253290037287</v>
      </c>
      <c r="AG28" s="148">
        <f t="shared" si="3"/>
        <v>0.20964711964037805</v>
      </c>
      <c r="AH28" s="148">
        <f t="shared" si="3"/>
        <v>0.21225333388725021</v>
      </c>
      <c r="AI28" s="234">
        <f t="shared" si="3"/>
        <v>0.22010069606845131</v>
      </c>
      <c r="AJ28" s="234" t="str">
        <f t="shared" si="3"/>
        <v/>
      </c>
      <c r="AK28" s="234" t="str">
        <f t="shared" si="3"/>
        <v/>
      </c>
      <c r="AL28" s="148" t="str">
        <f t="shared" si="3"/>
        <v/>
      </c>
      <c r="AM28" s="148" t="str">
        <f t="shared" si="3"/>
        <v/>
      </c>
      <c r="AN28" s="148" t="str">
        <f t="shared" si="3"/>
        <v/>
      </c>
      <c r="AO28" s="148" t="str">
        <f t="shared" si="3"/>
        <v/>
      </c>
      <c r="AP28" s="148" t="str">
        <f t="shared" si="3"/>
        <v/>
      </c>
      <c r="AQ28" s="148" t="str">
        <f t="shared" si="3"/>
        <v/>
      </c>
    </row>
    <row r="29" spans="2:43" x14ac:dyDescent="0.35">
      <c r="B29" s="17"/>
      <c r="C29" s="225">
        <v>20369872274</v>
      </c>
      <c r="D29" s="154" t="s">
        <v>336</v>
      </c>
      <c r="F29" s="147">
        <v>150977</v>
      </c>
      <c r="G29" s="147">
        <v>143808</v>
      </c>
      <c r="H29" s="147">
        <v>165176</v>
      </c>
      <c r="I29" s="147">
        <v>28273</v>
      </c>
      <c r="J29" s="147"/>
      <c r="K29" s="147"/>
      <c r="L29" s="147"/>
      <c r="M29" s="147"/>
      <c r="N29" s="147"/>
      <c r="O29" s="147"/>
      <c r="P29" s="147"/>
      <c r="Q29" s="147"/>
      <c r="S29" s="147">
        <v>1386329</v>
      </c>
      <c r="T29" s="147">
        <v>1342682</v>
      </c>
      <c r="U29" s="147">
        <v>1546573</v>
      </c>
      <c r="V29" s="147">
        <v>260088</v>
      </c>
      <c r="W29" s="147"/>
      <c r="X29" s="147"/>
      <c r="Y29" s="147"/>
      <c r="Z29" s="147"/>
      <c r="AA29" s="147"/>
      <c r="AB29" s="147"/>
      <c r="AC29" s="147"/>
      <c r="AD29" s="147"/>
      <c r="AF29" s="148">
        <f t="shared" si="3"/>
        <v>0.10890416344172271</v>
      </c>
      <c r="AG29" s="148">
        <f t="shared" si="3"/>
        <v>0.10710503306069494</v>
      </c>
      <c r="AH29" s="148">
        <f t="shared" si="3"/>
        <v>0.10680129550949098</v>
      </c>
      <c r="AI29" s="234">
        <f t="shared" si="3"/>
        <v>0.10870551505644244</v>
      </c>
      <c r="AJ29" s="234" t="str">
        <f t="shared" si="3"/>
        <v/>
      </c>
      <c r="AK29" s="234" t="str">
        <f t="shared" si="3"/>
        <v/>
      </c>
      <c r="AL29" s="148" t="str">
        <f t="shared" si="3"/>
        <v/>
      </c>
      <c r="AM29" s="148" t="str">
        <f t="shared" si="3"/>
        <v/>
      </c>
      <c r="AN29" s="148" t="str">
        <f t="shared" si="3"/>
        <v/>
      </c>
      <c r="AO29" s="148" t="str">
        <f t="shared" si="3"/>
        <v/>
      </c>
      <c r="AP29" s="148" t="str">
        <f t="shared" si="3"/>
        <v/>
      </c>
      <c r="AQ29" s="148" t="str">
        <f t="shared" si="3"/>
        <v/>
      </c>
    </row>
    <row r="30" spans="2:43" x14ac:dyDescent="0.35">
      <c r="B30" s="17"/>
      <c r="C30" s="225">
        <v>20564347982</v>
      </c>
      <c r="D30" s="154" t="s">
        <v>337</v>
      </c>
      <c r="F30" s="147">
        <v>65344</v>
      </c>
      <c r="G30" s="147"/>
      <c r="H30" s="147">
        <v>82476</v>
      </c>
      <c r="I30" s="147"/>
      <c r="J30" s="147"/>
      <c r="K30" s="147"/>
      <c r="L30" s="147"/>
      <c r="M30" s="147"/>
      <c r="N30" s="147"/>
      <c r="O30" s="147"/>
      <c r="P30" s="147"/>
      <c r="Q30" s="147"/>
      <c r="S30" s="147">
        <v>263466</v>
      </c>
      <c r="T30" s="147"/>
      <c r="U30" s="147">
        <v>339549</v>
      </c>
      <c r="V30" s="147"/>
      <c r="W30" s="147"/>
      <c r="X30" s="147"/>
      <c r="Y30" s="147"/>
      <c r="Z30" s="147"/>
      <c r="AA30" s="147"/>
      <c r="AB30" s="147"/>
      <c r="AC30" s="147"/>
      <c r="AD30" s="147"/>
      <c r="AF30" s="148">
        <f t="shared" si="3"/>
        <v>0.24801682190491373</v>
      </c>
      <c r="AG30" s="148" t="str">
        <f t="shared" si="3"/>
        <v/>
      </c>
      <c r="AH30" s="148">
        <f t="shared" si="3"/>
        <v>0.24289866852795913</v>
      </c>
      <c r="AI30" s="234" t="str">
        <f t="shared" si="3"/>
        <v/>
      </c>
      <c r="AJ30" s="234" t="str">
        <f t="shared" si="3"/>
        <v/>
      </c>
      <c r="AK30" s="234" t="str">
        <f t="shared" si="3"/>
        <v/>
      </c>
      <c r="AL30" s="148" t="str">
        <f t="shared" si="3"/>
        <v/>
      </c>
      <c r="AM30" s="148" t="str">
        <f t="shared" si="3"/>
        <v/>
      </c>
      <c r="AN30" s="148" t="str">
        <f t="shared" si="3"/>
        <v/>
      </c>
      <c r="AO30" s="148" t="str">
        <f t="shared" si="3"/>
        <v/>
      </c>
      <c r="AP30" s="148" t="str">
        <f t="shared" si="3"/>
        <v/>
      </c>
      <c r="AQ30" s="148" t="str">
        <f t="shared" si="3"/>
        <v/>
      </c>
    </row>
    <row r="31" spans="2:43" x14ac:dyDescent="0.35">
      <c r="B31" s="17"/>
      <c r="C31" s="225">
        <v>20366131222</v>
      </c>
      <c r="D31" s="154" t="s">
        <v>338</v>
      </c>
      <c r="F31" s="147">
        <v>6032</v>
      </c>
      <c r="G31" s="147">
        <v>8161</v>
      </c>
      <c r="H31" s="147">
        <v>9008</v>
      </c>
      <c r="I31" s="147">
        <v>600</v>
      </c>
      <c r="J31" s="147"/>
      <c r="K31" s="147"/>
      <c r="L31" s="147"/>
      <c r="M31" s="147"/>
      <c r="N31" s="147"/>
      <c r="O31" s="147"/>
      <c r="P31" s="147"/>
      <c r="Q31" s="147"/>
      <c r="S31" s="147">
        <v>30845</v>
      </c>
      <c r="T31" s="147">
        <v>44928</v>
      </c>
      <c r="U31" s="147">
        <v>45636</v>
      </c>
      <c r="V31" s="147">
        <v>6484</v>
      </c>
      <c r="W31" s="147"/>
      <c r="X31" s="147"/>
      <c r="Y31" s="147"/>
      <c r="Z31" s="147"/>
      <c r="AA31" s="147"/>
      <c r="AB31" s="147"/>
      <c r="AC31" s="147"/>
      <c r="AD31" s="147"/>
      <c r="AF31" s="148">
        <f t="shared" si="3"/>
        <v>0.19555843734803047</v>
      </c>
      <c r="AG31" s="148">
        <f t="shared" si="3"/>
        <v>0.18164618945868946</v>
      </c>
      <c r="AH31" s="148">
        <f t="shared" si="3"/>
        <v>0.19738802699623104</v>
      </c>
      <c r="AI31" s="234">
        <f t="shared" si="3"/>
        <v>9.2535471930906846E-2</v>
      </c>
      <c r="AJ31" s="234" t="str">
        <f t="shared" si="3"/>
        <v/>
      </c>
      <c r="AK31" s="234" t="str">
        <f t="shared" si="3"/>
        <v/>
      </c>
      <c r="AL31" s="148" t="str">
        <f t="shared" si="3"/>
        <v/>
      </c>
      <c r="AM31" s="148" t="str">
        <f t="shared" si="3"/>
        <v/>
      </c>
      <c r="AN31" s="148" t="str">
        <f t="shared" si="3"/>
        <v/>
      </c>
      <c r="AO31" s="148" t="str">
        <f t="shared" si="3"/>
        <v/>
      </c>
      <c r="AP31" s="148" t="str">
        <f t="shared" si="3"/>
        <v/>
      </c>
      <c r="AQ31" s="148" t="str">
        <f t="shared" si="3"/>
        <v/>
      </c>
    </row>
    <row r="32" spans="2:43" x14ac:dyDescent="0.35">
      <c r="B32" s="17"/>
      <c r="C32" s="225">
        <v>20541235150</v>
      </c>
      <c r="D32" s="154" t="s">
        <v>339</v>
      </c>
      <c r="F32" s="147">
        <v>4516</v>
      </c>
      <c r="G32" s="147">
        <v>3223</v>
      </c>
      <c r="H32" s="147">
        <v>4323</v>
      </c>
      <c r="I32" s="147">
        <v>834</v>
      </c>
      <c r="J32" s="147"/>
      <c r="K32" s="147"/>
      <c r="L32" s="147"/>
      <c r="M32" s="147"/>
      <c r="N32" s="147"/>
      <c r="O32" s="147"/>
      <c r="P32" s="147"/>
      <c r="Q32" s="147"/>
      <c r="S32" s="147">
        <v>21344</v>
      </c>
      <c r="T32" s="147">
        <v>17943</v>
      </c>
      <c r="U32" s="147">
        <v>25631</v>
      </c>
      <c r="V32" s="147">
        <v>3135</v>
      </c>
      <c r="W32" s="147"/>
      <c r="X32" s="147"/>
      <c r="Y32" s="147"/>
      <c r="Z32" s="147"/>
      <c r="AA32" s="147"/>
      <c r="AB32" s="147"/>
      <c r="AC32" s="147"/>
      <c r="AD32" s="147"/>
      <c r="AF32" s="148">
        <f t="shared" si="3"/>
        <v>0.21158170914542729</v>
      </c>
      <c r="AG32" s="148">
        <f t="shared" si="3"/>
        <v>0.17962436604804102</v>
      </c>
      <c r="AH32" s="148">
        <f t="shared" si="3"/>
        <v>0.16866294721236003</v>
      </c>
      <c r="AI32" s="234">
        <f t="shared" si="3"/>
        <v>0.26602870813397128</v>
      </c>
      <c r="AJ32" s="234" t="str">
        <f t="shared" si="3"/>
        <v/>
      </c>
      <c r="AK32" s="234" t="str">
        <f t="shared" si="3"/>
        <v/>
      </c>
      <c r="AL32" s="148" t="str">
        <f t="shared" si="3"/>
        <v/>
      </c>
      <c r="AM32" s="148" t="str">
        <f t="shared" si="3"/>
        <v/>
      </c>
      <c r="AN32" s="148" t="str">
        <f t="shared" si="3"/>
        <v/>
      </c>
      <c r="AO32" s="148" t="str">
        <f t="shared" si="3"/>
        <v/>
      </c>
      <c r="AP32" s="148" t="str">
        <f t="shared" si="3"/>
        <v/>
      </c>
      <c r="AQ32" s="148" t="str">
        <f t="shared" si="3"/>
        <v/>
      </c>
    </row>
    <row r="33" spans="2:43" x14ac:dyDescent="0.35">
      <c r="B33" s="17"/>
      <c r="C33" s="225">
        <v>20263809441</v>
      </c>
      <c r="D33" s="154" t="s">
        <v>340</v>
      </c>
      <c r="F33" s="147">
        <v>46766</v>
      </c>
      <c r="G33" s="147">
        <v>44772</v>
      </c>
      <c r="H33" s="147">
        <v>56453</v>
      </c>
      <c r="I33" s="147">
        <v>11147</v>
      </c>
      <c r="J33" s="147"/>
      <c r="K33" s="147"/>
      <c r="L33" s="147"/>
      <c r="M33" s="147"/>
      <c r="N33" s="147"/>
      <c r="O33" s="147"/>
      <c r="P33" s="147"/>
      <c r="Q33" s="147"/>
      <c r="S33" s="147">
        <v>293796</v>
      </c>
      <c r="T33" s="147">
        <v>300113</v>
      </c>
      <c r="U33" s="147">
        <v>381845</v>
      </c>
      <c r="V33" s="147">
        <v>73313</v>
      </c>
      <c r="W33" s="147"/>
      <c r="X33" s="147"/>
      <c r="Y33" s="147"/>
      <c r="Z33" s="147"/>
      <c r="AA33" s="147"/>
      <c r="AB33" s="147"/>
      <c r="AC33" s="147"/>
      <c r="AD33" s="147"/>
      <c r="AF33" s="148">
        <f t="shared" si="3"/>
        <v>0.15917847758308487</v>
      </c>
      <c r="AG33" s="148">
        <f t="shared" si="3"/>
        <v>0.14918380743253373</v>
      </c>
      <c r="AH33" s="148">
        <f t="shared" si="3"/>
        <v>0.14784271104767641</v>
      </c>
      <c r="AI33" s="234">
        <f t="shared" si="3"/>
        <v>0.15204670385879721</v>
      </c>
      <c r="AJ33" s="234" t="str">
        <f t="shared" si="3"/>
        <v/>
      </c>
      <c r="AK33" s="234" t="str">
        <f t="shared" si="3"/>
        <v/>
      </c>
      <c r="AL33" s="148" t="str">
        <f t="shared" si="3"/>
        <v/>
      </c>
      <c r="AM33" s="148" t="str">
        <f t="shared" si="3"/>
        <v/>
      </c>
      <c r="AN33" s="148" t="str">
        <f t="shared" si="3"/>
        <v/>
      </c>
      <c r="AO33" s="148" t="str">
        <f t="shared" si="3"/>
        <v/>
      </c>
      <c r="AP33" s="148" t="str">
        <f t="shared" si="3"/>
        <v/>
      </c>
      <c r="AQ33" s="148" t="str">
        <f t="shared" si="3"/>
        <v/>
      </c>
    </row>
    <row r="34" spans="2:43" x14ac:dyDescent="0.35">
      <c r="B34" s="17"/>
      <c r="C34" s="225">
        <v>20153395943</v>
      </c>
      <c r="D34" s="154" t="s">
        <v>341</v>
      </c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F34" s="148" t="str">
        <f t="shared" si="3"/>
        <v/>
      </c>
      <c r="AG34" s="148" t="str">
        <f t="shared" si="3"/>
        <v/>
      </c>
      <c r="AH34" s="148" t="str">
        <f t="shared" si="3"/>
        <v/>
      </c>
      <c r="AI34" s="234" t="str">
        <f t="shared" si="3"/>
        <v/>
      </c>
      <c r="AJ34" s="234" t="str">
        <f t="shared" si="3"/>
        <v/>
      </c>
      <c r="AK34" s="234" t="str">
        <f t="shared" si="3"/>
        <v/>
      </c>
      <c r="AL34" s="148" t="str">
        <f t="shared" si="3"/>
        <v/>
      </c>
      <c r="AM34" s="148" t="str">
        <f t="shared" si="3"/>
        <v/>
      </c>
      <c r="AN34" s="148" t="str">
        <f t="shared" si="3"/>
        <v/>
      </c>
      <c r="AO34" s="148" t="str">
        <f t="shared" si="3"/>
        <v/>
      </c>
      <c r="AP34" s="148" t="str">
        <f t="shared" si="3"/>
        <v/>
      </c>
      <c r="AQ34" s="148" t="str">
        <f t="shared" si="3"/>
        <v/>
      </c>
    </row>
    <row r="35" spans="2:43" x14ac:dyDescent="0.35">
      <c r="B35" s="17"/>
      <c r="C35" s="225">
        <v>20100205492</v>
      </c>
      <c r="D35" s="154" t="s">
        <v>342</v>
      </c>
      <c r="F35" s="147">
        <v>26607</v>
      </c>
      <c r="G35" s="147">
        <v>25694</v>
      </c>
      <c r="H35" s="147">
        <v>30538</v>
      </c>
      <c r="I35" s="147">
        <v>4914</v>
      </c>
      <c r="J35" s="147"/>
      <c r="K35" s="147"/>
      <c r="L35" s="147"/>
      <c r="M35" s="147"/>
      <c r="N35" s="147"/>
      <c r="O35" s="147"/>
      <c r="P35" s="147"/>
      <c r="Q35" s="147"/>
      <c r="S35" s="147">
        <v>175056</v>
      </c>
      <c r="T35" s="147">
        <v>168177</v>
      </c>
      <c r="U35" s="147">
        <v>208944</v>
      </c>
      <c r="V35" s="147">
        <v>26528</v>
      </c>
      <c r="W35" s="147"/>
      <c r="X35" s="147"/>
      <c r="Y35" s="147"/>
      <c r="Z35" s="147"/>
      <c r="AA35" s="147"/>
      <c r="AB35" s="147"/>
      <c r="AC35" s="147"/>
      <c r="AD35" s="147"/>
      <c r="AF35" s="148">
        <f t="shared" si="3"/>
        <v>0.15199136276391556</v>
      </c>
      <c r="AG35" s="148">
        <f t="shared" si="3"/>
        <v>0.1527795120616969</v>
      </c>
      <c r="AH35" s="148">
        <f t="shared" si="3"/>
        <v>0.14615399341450341</v>
      </c>
      <c r="AI35" s="234">
        <f t="shared" si="3"/>
        <v>0.18523823884197829</v>
      </c>
      <c r="AJ35" s="234" t="str">
        <f t="shared" si="3"/>
        <v/>
      </c>
      <c r="AK35" s="234" t="str">
        <f t="shared" si="3"/>
        <v/>
      </c>
      <c r="AL35" s="148" t="str">
        <f t="shared" si="3"/>
        <v/>
      </c>
      <c r="AM35" s="148" t="str">
        <f t="shared" si="3"/>
        <v/>
      </c>
      <c r="AN35" s="148" t="str">
        <f t="shared" si="3"/>
        <v/>
      </c>
      <c r="AO35" s="148" t="str">
        <f t="shared" si="3"/>
        <v/>
      </c>
      <c r="AP35" s="148" t="str">
        <f t="shared" si="3"/>
        <v/>
      </c>
      <c r="AQ35" s="148" t="str">
        <f t="shared" si="3"/>
        <v/>
      </c>
    </row>
    <row r="36" spans="2:43" x14ac:dyDescent="0.35">
      <c r="B36" s="17"/>
      <c r="C36" s="225">
        <v>20119873542</v>
      </c>
      <c r="D36" s="154" t="s">
        <v>343</v>
      </c>
      <c r="F36" s="147">
        <v>23127</v>
      </c>
      <c r="G36" s="147">
        <v>25429</v>
      </c>
      <c r="H36" s="147">
        <v>26541</v>
      </c>
      <c r="I36" s="147">
        <v>4345</v>
      </c>
      <c r="J36" s="147"/>
      <c r="K36" s="147"/>
      <c r="L36" s="147"/>
      <c r="M36" s="147"/>
      <c r="N36" s="147"/>
      <c r="O36" s="147"/>
      <c r="P36" s="147"/>
      <c r="Q36" s="147"/>
      <c r="S36" s="147">
        <v>141780</v>
      </c>
      <c r="T36" s="147">
        <v>139109</v>
      </c>
      <c r="U36" s="147">
        <v>167127</v>
      </c>
      <c r="V36" s="147">
        <v>21975</v>
      </c>
      <c r="W36" s="147"/>
      <c r="X36" s="147"/>
      <c r="Y36" s="147"/>
      <c r="Z36" s="147"/>
      <c r="AA36" s="147"/>
      <c r="AB36" s="147"/>
      <c r="AC36" s="147"/>
      <c r="AD36" s="147"/>
      <c r="AF36" s="148">
        <f t="shared" si="3"/>
        <v>0.16311891663140077</v>
      </c>
      <c r="AG36" s="148">
        <f t="shared" si="3"/>
        <v>0.18279909998634164</v>
      </c>
      <c r="AH36" s="148">
        <f t="shared" si="3"/>
        <v>0.15880737403292108</v>
      </c>
      <c r="AI36" s="234">
        <f t="shared" si="3"/>
        <v>0.19772468714448235</v>
      </c>
      <c r="AJ36" s="234" t="str">
        <f t="shared" si="3"/>
        <v/>
      </c>
      <c r="AK36" s="234" t="str">
        <f t="shared" si="3"/>
        <v/>
      </c>
      <c r="AL36" s="148" t="str">
        <f t="shared" si="3"/>
        <v/>
      </c>
      <c r="AM36" s="148" t="str">
        <f t="shared" si="3"/>
        <v/>
      </c>
      <c r="AN36" s="148" t="str">
        <f t="shared" si="3"/>
        <v/>
      </c>
      <c r="AO36" s="148" t="str">
        <f t="shared" si="3"/>
        <v/>
      </c>
      <c r="AP36" s="148" t="str">
        <f t="shared" si="3"/>
        <v/>
      </c>
      <c r="AQ36" s="148" t="str">
        <f t="shared" si="3"/>
        <v/>
      </c>
    </row>
    <row r="37" spans="2:43" x14ac:dyDescent="0.35">
      <c r="B37" s="17"/>
      <c r="C37" s="225">
        <v>20608280333</v>
      </c>
      <c r="D37" s="154" t="s">
        <v>344</v>
      </c>
      <c r="F37" s="147">
        <v>2862804</v>
      </c>
      <c r="G37" s="147">
        <v>2935538</v>
      </c>
      <c r="H37" s="147">
        <v>3569444</v>
      </c>
      <c r="I37" s="147">
        <v>698289</v>
      </c>
      <c r="J37" s="147"/>
      <c r="K37" s="147"/>
      <c r="L37" s="147"/>
      <c r="M37" s="147"/>
      <c r="N37" s="147"/>
      <c r="O37" s="147"/>
      <c r="P37" s="147"/>
      <c r="Q37" s="147"/>
      <c r="S37" s="147">
        <v>21609532</v>
      </c>
      <c r="T37" s="147">
        <v>22172871</v>
      </c>
      <c r="U37" s="147">
        <v>27127502</v>
      </c>
      <c r="V37" s="147">
        <v>5199816</v>
      </c>
      <c r="W37" s="147"/>
      <c r="X37" s="147"/>
      <c r="Y37" s="147"/>
      <c r="Z37" s="147"/>
      <c r="AA37" s="147"/>
      <c r="AB37" s="147"/>
      <c r="AC37" s="147"/>
      <c r="AD37" s="147"/>
      <c r="AF37" s="148">
        <f t="shared" si="3"/>
        <v>0.13247875983616861</v>
      </c>
      <c r="AG37" s="148">
        <f t="shared" si="3"/>
        <v>0.13239322954614222</v>
      </c>
      <c r="AH37" s="148">
        <f t="shared" si="3"/>
        <v>0.13158026861448577</v>
      </c>
      <c r="AI37" s="234">
        <f t="shared" si="3"/>
        <v>0.1342910979926982</v>
      </c>
      <c r="AJ37" s="234" t="str">
        <f t="shared" si="3"/>
        <v/>
      </c>
      <c r="AK37" s="234" t="str">
        <f t="shared" si="3"/>
        <v/>
      </c>
      <c r="AL37" s="148" t="str">
        <f t="shared" si="3"/>
        <v/>
      </c>
      <c r="AM37" s="148" t="str">
        <f t="shared" si="3"/>
        <v/>
      </c>
      <c r="AN37" s="148" t="str">
        <f t="shared" si="3"/>
        <v/>
      </c>
      <c r="AO37" s="148" t="str">
        <f t="shared" si="3"/>
        <v/>
      </c>
      <c r="AP37" s="148" t="str">
        <f t="shared" si="3"/>
        <v/>
      </c>
      <c r="AQ37" s="148" t="str">
        <f t="shared" si="3"/>
        <v/>
      </c>
    </row>
    <row r="38" spans="2:43" x14ac:dyDescent="0.35">
      <c r="B38" s="17"/>
      <c r="C38" s="225">
        <v>20608438611</v>
      </c>
      <c r="D38" s="154" t="s">
        <v>345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F38" s="148" t="str">
        <f t="shared" si="3"/>
        <v/>
      </c>
      <c r="AG38" s="148" t="str">
        <f t="shared" si="3"/>
        <v/>
      </c>
      <c r="AH38" s="148" t="str">
        <f t="shared" si="3"/>
        <v/>
      </c>
      <c r="AI38" s="234" t="str">
        <f t="shared" si="3"/>
        <v/>
      </c>
      <c r="AJ38" s="234" t="str">
        <f t="shared" si="3"/>
        <v/>
      </c>
      <c r="AK38" s="234" t="str">
        <f t="shared" si="3"/>
        <v/>
      </c>
      <c r="AL38" s="148" t="str">
        <f t="shared" si="3"/>
        <v/>
      </c>
      <c r="AM38" s="148" t="str">
        <f t="shared" si="3"/>
        <v/>
      </c>
      <c r="AN38" s="148" t="str">
        <f t="shared" si="3"/>
        <v/>
      </c>
      <c r="AO38" s="148" t="str">
        <f t="shared" si="3"/>
        <v/>
      </c>
      <c r="AP38" s="148" t="str">
        <f t="shared" si="3"/>
        <v/>
      </c>
      <c r="AQ38" s="148" t="str">
        <f t="shared" si="3"/>
        <v/>
      </c>
    </row>
    <row r="39" spans="2:43" x14ac:dyDescent="0.35">
      <c r="B39" s="17"/>
      <c r="C39" s="225">
        <v>20532795118</v>
      </c>
      <c r="D39" s="154" t="s">
        <v>346</v>
      </c>
      <c r="F39" s="147">
        <v>3653</v>
      </c>
      <c r="G39" s="147"/>
      <c r="H39" s="147">
        <v>7584</v>
      </c>
      <c r="I39" s="147"/>
      <c r="J39" s="147"/>
      <c r="K39" s="147"/>
      <c r="L39" s="147"/>
      <c r="M39" s="147"/>
      <c r="N39" s="147"/>
      <c r="O39" s="147"/>
      <c r="P39" s="147"/>
      <c r="Q39" s="147"/>
      <c r="S39" s="147">
        <v>19268</v>
      </c>
      <c r="T39" s="147"/>
      <c r="U39" s="147">
        <v>31312</v>
      </c>
      <c r="V39" s="147"/>
      <c r="W39" s="147"/>
      <c r="X39" s="147"/>
      <c r="Y39" s="147"/>
      <c r="Z39" s="147"/>
      <c r="AA39" s="147"/>
      <c r="AB39" s="147"/>
      <c r="AC39" s="147"/>
      <c r="AD39" s="147"/>
      <c r="AF39" s="148">
        <f t="shared" si="3"/>
        <v>0.18958895578160681</v>
      </c>
      <c r="AG39" s="148" t="str">
        <f t="shared" si="3"/>
        <v/>
      </c>
      <c r="AH39" s="148">
        <f t="shared" si="3"/>
        <v>0.24220746039856925</v>
      </c>
      <c r="AI39" s="234" t="str">
        <f t="shared" si="3"/>
        <v/>
      </c>
      <c r="AJ39" s="234" t="str">
        <f t="shared" si="3"/>
        <v/>
      </c>
      <c r="AK39" s="234" t="str">
        <f t="shared" si="3"/>
        <v/>
      </c>
      <c r="AL39" s="148" t="str">
        <f t="shared" si="3"/>
        <v/>
      </c>
      <c r="AM39" s="148" t="str">
        <f t="shared" si="3"/>
        <v/>
      </c>
      <c r="AN39" s="148" t="str">
        <f t="shared" si="3"/>
        <v/>
      </c>
      <c r="AO39" s="148" t="str">
        <f t="shared" si="3"/>
        <v/>
      </c>
      <c r="AP39" s="148" t="str">
        <f t="shared" si="3"/>
        <v/>
      </c>
      <c r="AQ39" s="148" t="str">
        <f t="shared" si="3"/>
        <v/>
      </c>
    </row>
    <row r="40" spans="2:43" x14ac:dyDescent="0.35">
      <c r="B40" s="17"/>
      <c r="C40" s="225">
        <v>20563023369</v>
      </c>
      <c r="D40" s="154" t="s">
        <v>347</v>
      </c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F40" s="148" t="str">
        <f t="shared" si="3"/>
        <v/>
      </c>
      <c r="AG40" s="148" t="str">
        <f t="shared" si="3"/>
        <v/>
      </c>
      <c r="AH40" s="148" t="str">
        <f t="shared" si="3"/>
        <v/>
      </c>
      <c r="AI40" s="234" t="str">
        <f t="shared" si="3"/>
        <v/>
      </c>
      <c r="AJ40" s="234" t="str">
        <f t="shared" si="3"/>
        <v/>
      </c>
      <c r="AK40" s="234" t="str">
        <f t="shared" si="3"/>
        <v/>
      </c>
      <c r="AL40" s="148" t="str">
        <f t="shared" si="3"/>
        <v/>
      </c>
      <c r="AM40" s="148" t="str">
        <f t="shared" si="3"/>
        <v/>
      </c>
      <c r="AN40" s="148" t="str">
        <f t="shared" si="3"/>
        <v/>
      </c>
      <c r="AO40" s="148" t="str">
        <f t="shared" si="3"/>
        <v/>
      </c>
      <c r="AP40" s="148" t="str">
        <f t="shared" si="3"/>
        <v/>
      </c>
      <c r="AQ40" s="148" t="str">
        <f t="shared" si="3"/>
        <v/>
      </c>
    </row>
    <row r="41" spans="2:43" x14ac:dyDescent="0.35">
      <c r="B41" s="17"/>
      <c r="C41" s="225">
        <v>20447849047</v>
      </c>
      <c r="D41" s="154" t="s">
        <v>348</v>
      </c>
      <c r="F41" s="147">
        <v>10047</v>
      </c>
      <c r="G41" s="147">
        <v>12583</v>
      </c>
      <c r="H41" s="147">
        <v>14091</v>
      </c>
      <c r="I41" s="147">
        <v>2637</v>
      </c>
      <c r="J41" s="147"/>
      <c r="K41" s="147"/>
      <c r="L41" s="147"/>
      <c r="M41" s="147"/>
      <c r="N41" s="147"/>
      <c r="O41" s="147"/>
      <c r="P41" s="147"/>
      <c r="Q41" s="147"/>
      <c r="S41" s="147">
        <v>42117</v>
      </c>
      <c r="T41" s="147">
        <v>42329</v>
      </c>
      <c r="U41" s="147">
        <v>51206</v>
      </c>
      <c r="V41" s="147">
        <v>7708</v>
      </c>
      <c r="W41" s="147"/>
      <c r="X41" s="147"/>
      <c r="Y41" s="147"/>
      <c r="Z41" s="147"/>
      <c r="AA41" s="147"/>
      <c r="AB41" s="147"/>
      <c r="AC41" s="147"/>
      <c r="AD41" s="147"/>
      <c r="AF41" s="148">
        <f t="shared" si="3"/>
        <v>0.23854975425600114</v>
      </c>
      <c r="AG41" s="148">
        <f t="shared" si="3"/>
        <v>0.29726664934205865</v>
      </c>
      <c r="AH41" s="148">
        <f t="shared" si="3"/>
        <v>0.27518259578955589</v>
      </c>
      <c r="AI41" s="234">
        <f t="shared" si="3"/>
        <v>0.34211209133367931</v>
      </c>
      <c r="AJ41" s="234" t="str">
        <f t="shared" si="3"/>
        <v/>
      </c>
      <c r="AK41" s="234" t="str">
        <f t="shared" si="3"/>
        <v/>
      </c>
      <c r="AL41" s="148" t="str">
        <f t="shared" si="3"/>
        <v/>
      </c>
      <c r="AM41" s="148" t="str">
        <f t="shared" si="3"/>
        <v/>
      </c>
      <c r="AN41" s="148" t="str">
        <f t="shared" si="3"/>
        <v/>
      </c>
      <c r="AO41" s="148" t="str">
        <f t="shared" si="3"/>
        <v/>
      </c>
      <c r="AP41" s="148" t="str">
        <f t="shared" si="3"/>
        <v/>
      </c>
      <c r="AQ41" s="148" t="str">
        <f t="shared" si="3"/>
        <v/>
      </c>
    </row>
    <row r="42" spans="2:43" x14ac:dyDescent="0.35">
      <c r="B42" s="17"/>
      <c r="C42" s="225">
        <v>20450752496</v>
      </c>
      <c r="D42" s="154" t="s">
        <v>349</v>
      </c>
      <c r="F42" s="147">
        <v>47606</v>
      </c>
      <c r="G42" s="147"/>
      <c r="H42" s="147">
        <v>61215</v>
      </c>
      <c r="I42" s="147"/>
      <c r="J42" s="147"/>
      <c r="K42" s="147"/>
      <c r="L42" s="147"/>
      <c r="M42" s="147"/>
      <c r="N42" s="147"/>
      <c r="O42" s="147"/>
      <c r="P42" s="147"/>
      <c r="Q42" s="147"/>
      <c r="S42" s="147">
        <v>263279</v>
      </c>
      <c r="T42" s="147"/>
      <c r="U42" s="147">
        <v>287401</v>
      </c>
      <c r="V42" s="147"/>
      <c r="W42" s="147"/>
      <c r="X42" s="147"/>
      <c r="Y42" s="147"/>
      <c r="Z42" s="147"/>
      <c r="AA42" s="147"/>
      <c r="AB42" s="147"/>
      <c r="AC42" s="147"/>
      <c r="AD42" s="147"/>
      <c r="AF42" s="148">
        <f t="shared" si="3"/>
        <v>0.1808195868261426</v>
      </c>
      <c r="AG42" s="148" t="str">
        <f t="shared" si="3"/>
        <v/>
      </c>
      <c r="AH42" s="148">
        <f t="shared" si="3"/>
        <v>0.21299508352441363</v>
      </c>
      <c r="AI42" s="234" t="str">
        <f t="shared" si="3"/>
        <v/>
      </c>
      <c r="AJ42" s="234" t="str">
        <f t="shared" si="3"/>
        <v/>
      </c>
      <c r="AK42" s="234" t="str">
        <f t="shared" si="3"/>
        <v/>
      </c>
      <c r="AL42" s="148" t="str">
        <f t="shared" si="3"/>
        <v/>
      </c>
      <c r="AM42" s="148" t="str">
        <f t="shared" si="3"/>
        <v/>
      </c>
      <c r="AN42" s="148" t="str">
        <f t="shared" si="3"/>
        <v/>
      </c>
      <c r="AO42" s="148" t="str">
        <f t="shared" si="3"/>
        <v/>
      </c>
      <c r="AP42" s="148" t="str">
        <f t="shared" si="3"/>
        <v/>
      </c>
      <c r="AQ42" s="148" t="str">
        <f t="shared" si="3"/>
        <v/>
      </c>
    </row>
    <row r="43" spans="2:43" x14ac:dyDescent="0.35">
      <c r="B43" s="17"/>
      <c r="C43" s="225">
        <v>20558679761</v>
      </c>
      <c r="D43" s="154" t="s">
        <v>350</v>
      </c>
      <c r="F43" s="147">
        <v>3879</v>
      </c>
      <c r="G43" s="147"/>
      <c r="H43" s="147">
        <v>8745</v>
      </c>
      <c r="I43" s="147"/>
      <c r="J43" s="147"/>
      <c r="K43" s="147"/>
      <c r="L43" s="147"/>
      <c r="M43" s="147"/>
      <c r="N43" s="147"/>
      <c r="O43" s="147"/>
      <c r="P43" s="147"/>
      <c r="Q43" s="147"/>
      <c r="S43" s="147">
        <v>23279</v>
      </c>
      <c r="T43" s="147"/>
      <c r="U43" s="147">
        <v>40742</v>
      </c>
      <c r="V43" s="147"/>
      <c r="W43" s="147"/>
      <c r="X43" s="147"/>
      <c r="Y43" s="147"/>
      <c r="Z43" s="147"/>
      <c r="AA43" s="147"/>
      <c r="AB43" s="147"/>
      <c r="AC43" s="147"/>
      <c r="AD43" s="147"/>
      <c r="AF43" s="148">
        <f t="shared" si="3"/>
        <v>0.16663086902358348</v>
      </c>
      <c r="AG43" s="148" t="str">
        <f t="shared" si="3"/>
        <v/>
      </c>
      <c r="AH43" s="148">
        <f t="shared" si="3"/>
        <v>0.21464336556870062</v>
      </c>
      <c r="AI43" s="234" t="str">
        <f t="shared" si="3"/>
        <v/>
      </c>
      <c r="AJ43" s="234" t="str">
        <f t="shared" si="3"/>
        <v/>
      </c>
      <c r="AK43" s="234" t="str">
        <f t="shared" si="3"/>
        <v/>
      </c>
      <c r="AL43" s="148" t="str">
        <f t="shared" si="3"/>
        <v/>
      </c>
      <c r="AM43" s="148" t="str">
        <f t="shared" si="3"/>
        <v/>
      </c>
      <c r="AN43" s="148" t="str">
        <f t="shared" si="3"/>
        <v/>
      </c>
      <c r="AO43" s="148" t="str">
        <f t="shared" si="3"/>
        <v/>
      </c>
      <c r="AP43" s="148" t="str">
        <f t="shared" si="3"/>
        <v/>
      </c>
      <c r="AQ43" s="148" t="str">
        <f t="shared" si="3"/>
        <v/>
      </c>
    </row>
    <row r="44" spans="2:43" x14ac:dyDescent="0.35">
      <c r="B44" s="17"/>
      <c r="C44" s="229">
        <v>20601162050</v>
      </c>
      <c r="D44" s="154" t="s">
        <v>351</v>
      </c>
      <c r="F44" s="147">
        <v>30371</v>
      </c>
      <c r="G44" s="147">
        <v>22601</v>
      </c>
      <c r="H44" s="147">
        <v>31733</v>
      </c>
      <c r="I44" s="147">
        <v>4912</v>
      </c>
      <c r="J44" s="147"/>
      <c r="K44" s="147"/>
      <c r="L44" s="147"/>
      <c r="M44" s="147"/>
      <c r="N44" s="147"/>
      <c r="O44" s="147"/>
      <c r="P44" s="147"/>
      <c r="Q44" s="147"/>
      <c r="S44" s="147">
        <v>136846</v>
      </c>
      <c r="T44" s="147">
        <v>124337</v>
      </c>
      <c r="U44" s="147">
        <v>163611</v>
      </c>
      <c r="V44" s="147">
        <v>24792</v>
      </c>
      <c r="W44" s="147"/>
      <c r="X44" s="147"/>
      <c r="Y44" s="147"/>
      <c r="Z44" s="147"/>
      <c r="AA44" s="147"/>
      <c r="AB44" s="147"/>
      <c r="AC44" s="147"/>
      <c r="AD44" s="147"/>
      <c r="AF44" s="148">
        <f t="shared" si="3"/>
        <v>0.22193560644812416</v>
      </c>
      <c r="AG44" s="148">
        <f t="shared" si="3"/>
        <v>0.18177211932087795</v>
      </c>
      <c r="AH44" s="148">
        <f t="shared" si="3"/>
        <v>0.19395395175141036</v>
      </c>
      <c r="AI44" s="234">
        <f t="shared" si="3"/>
        <v>0.19812842852533075</v>
      </c>
      <c r="AJ44" s="234" t="str">
        <f t="shared" si="3"/>
        <v/>
      </c>
      <c r="AK44" s="234" t="str">
        <f t="shared" si="3"/>
        <v/>
      </c>
      <c r="AL44" s="148" t="str">
        <f t="shared" si="3"/>
        <v/>
      </c>
      <c r="AM44" s="148" t="str">
        <f t="shared" si="3"/>
        <v/>
      </c>
      <c r="AN44" s="148" t="str">
        <f t="shared" si="3"/>
        <v/>
      </c>
      <c r="AO44" s="148" t="str">
        <f t="shared" si="3"/>
        <v/>
      </c>
      <c r="AP44" s="148" t="str">
        <f t="shared" si="3"/>
        <v/>
      </c>
      <c r="AQ44" s="148" t="str">
        <f t="shared" si="3"/>
        <v/>
      </c>
    </row>
    <row r="45" spans="2:43" x14ac:dyDescent="0.35">
      <c r="B45" s="14" t="s">
        <v>352</v>
      </c>
      <c r="C45" s="227"/>
      <c r="D45" s="14"/>
      <c r="F45" s="149">
        <f t="shared" ref="F45:Q45" si="4">+SUM(F26:F44)</f>
        <v>21771724</v>
      </c>
      <c r="G45" s="149">
        <f t="shared" si="4"/>
        <v>21733572</v>
      </c>
      <c r="H45" s="149">
        <f t="shared" si="4"/>
        <v>26031983</v>
      </c>
      <c r="I45" s="149">
        <f t="shared" si="4"/>
        <v>4502215</v>
      </c>
      <c r="J45" s="149">
        <f t="shared" si="4"/>
        <v>0</v>
      </c>
      <c r="K45" s="149">
        <f t="shared" si="4"/>
        <v>0</v>
      </c>
      <c r="L45" s="149">
        <f t="shared" si="4"/>
        <v>0</v>
      </c>
      <c r="M45" s="149">
        <f t="shared" si="4"/>
        <v>0</v>
      </c>
      <c r="N45" s="149">
        <f t="shared" si="4"/>
        <v>0</v>
      </c>
      <c r="O45" s="149">
        <f t="shared" si="4"/>
        <v>0</v>
      </c>
      <c r="P45" s="149">
        <f t="shared" si="4"/>
        <v>0</v>
      </c>
      <c r="Q45" s="149">
        <f t="shared" si="4"/>
        <v>0</v>
      </c>
      <c r="S45" s="149">
        <f t="shared" ref="S45:AD45" si="5">+SUM(S26:S44)</f>
        <v>206515751</v>
      </c>
      <c r="T45" s="149">
        <f t="shared" si="5"/>
        <v>212947509</v>
      </c>
      <c r="U45" s="149">
        <f t="shared" si="5"/>
        <v>267212015</v>
      </c>
      <c r="V45" s="149">
        <f t="shared" si="5"/>
        <v>42758970</v>
      </c>
      <c r="W45" s="149">
        <f t="shared" si="5"/>
        <v>0</v>
      </c>
      <c r="X45" s="149">
        <f t="shared" si="5"/>
        <v>0</v>
      </c>
      <c r="Y45" s="149">
        <f t="shared" si="5"/>
        <v>0</v>
      </c>
      <c r="Z45" s="149">
        <f t="shared" si="5"/>
        <v>0</v>
      </c>
      <c r="AA45" s="149">
        <f t="shared" si="5"/>
        <v>0</v>
      </c>
      <c r="AB45" s="149">
        <f t="shared" si="5"/>
        <v>0</v>
      </c>
      <c r="AC45" s="149">
        <f t="shared" si="5"/>
        <v>0</v>
      </c>
      <c r="AD45" s="149">
        <f t="shared" si="5"/>
        <v>0</v>
      </c>
      <c r="AF45" s="150">
        <f t="shared" si="3"/>
        <v>0.10542403615499527</v>
      </c>
      <c r="AG45" s="150">
        <f t="shared" si="3"/>
        <v>0.10206070078988339</v>
      </c>
      <c r="AH45" s="150">
        <f t="shared" si="3"/>
        <v>9.7420705427486112E-2</v>
      </c>
      <c r="AI45" s="235">
        <f t="shared" si="3"/>
        <v>0.10529287772834565</v>
      </c>
      <c r="AJ45" s="235" t="str">
        <f t="shared" si="3"/>
        <v/>
      </c>
      <c r="AK45" s="235" t="str">
        <f t="shared" si="3"/>
        <v/>
      </c>
      <c r="AL45" s="150" t="str">
        <f t="shared" si="3"/>
        <v/>
      </c>
      <c r="AM45" s="150" t="str">
        <f t="shared" si="3"/>
        <v/>
      </c>
      <c r="AN45" s="150" t="str">
        <f t="shared" si="3"/>
        <v/>
      </c>
      <c r="AO45" s="150" t="str">
        <f t="shared" si="3"/>
        <v/>
      </c>
      <c r="AP45" s="150" t="str">
        <f t="shared" si="3"/>
        <v/>
      </c>
      <c r="AQ45" s="150" t="str">
        <f t="shared" si="3"/>
        <v/>
      </c>
    </row>
    <row r="46" spans="2:43" x14ac:dyDescent="0.35">
      <c r="AF46" s="148"/>
      <c r="AG46" s="148"/>
      <c r="AH46" s="148"/>
      <c r="AI46" s="234"/>
      <c r="AJ46" s="234"/>
      <c r="AK46" s="234"/>
      <c r="AL46" s="148"/>
      <c r="AM46" s="148"/>
      <c r="AN46" s="148"/>
      <c r="AO46" s="148"/>
    </row>
    <row r="47" spans="2:43" s="15" customFormat="1" x14ac:dyDescent="0.35">
      <c r="B47" s="16" t="s">
        <v>89</v>
      </c>
      <c r="C47" s="228">
        <v>20127765279</v>
      </c>
      <c r="D47" s="15" t="s">
        <v>353</v>
      </c>
      <c r="F47" s="153">
        <v>4026139</v>
      </c>
      <c r="G47" s="153">
        <v>4153154</v>
      </c>
      <c r="H47" s="153">
        <v>5793416</v>
      </c>
      <c r="I47" s="153">
        <v>934830</v>
      </c>
      <c r="J47" s="153"/>
      <c r="K47" s="153"/>
      <c r="L47" s="153"/>
      <c r="M47" s="153"/>
      <c r="N47" s="153"/>
      <c r="O47" s="153"/>
      <c r="P47" s="153"/>
      <c r="Q47" s="153"/>
      <c r="S47" s="153">
        <v>29174792</v>
      </c>
      <c r="T47" s="153">
        <v>29730178</v>
      </c>
      <c r="U47" s="153">
        <v>42204834</v>
      </c>
      <c r="V47" s="153">
        <v>6624829</v>
      </c>
      <c r="W47" s="153"/>
      <c r="X47" s="153"/>
      <c r="Y47" s="153"/>
      <c r="Z47" s="153"/>
      <c r="AA47" s="153"/>
      <c r="AB47" s="153"/>
      <c r="AC47" s="153"/>
      <c r="AD47" s="153"/>
      <c r="AF47" s="148">
        <f t="shared" ref="AF47:AQ66" si="6">+IFERROR(F47/S47,"")</f>
        <v>0.1380006068252346</v>
      </c>
      <c r="AG47" s="148">
        <f t="shared" si="6"/>
        <v>0.13969489183684</v>
      </c>
      <c r="AH47" s="148">
        <f t="shared" si="6"/>
        <v>0.13726901520332954</v>
      </c>
      <c r="AI47" s="234">
        <f t="shared" si="6"/>
        <v>0.14111005733129112</v>
      </c>
      <c r="AJ47" s="238" t="str">
        <f t="shared" si="6"/>
        <v/>
      </c>
      <c r="AK47" s="238" t="str">
        <f t="shared" si="6"/>
        <v/>
      </c>
      <c r="AL47" s="239" t="str">
        <f t="shared" si="6"/>
        <v/>
      </c>
      <c r="AM47" s="148" t="str">
        <f t="shared" si="6"/>
        <v/>
      </c>
      <c r="AN47" s="148" t="str">
        <f t="shared" si="6"/>
        <v/>
      </c>
      <c r="AO47" s="148" t="str">
        <f t="shared" si="6"/>
        <v/>
      </c>
      <c r="AP47" s="148" t="str">
        <f t="shared" si="6"/>
        <v/>
      </c>
      <c r="AQ47" s="148" t="str">
        <f t="shared" si="6"/>
        <v/>
      </c>
    </row>
    <row r="48" spans="2:43" x14ac:dyDescent="0.35">
      <c r="B48" s="17"/>
      <c r="C48" s="225">
        <v>20503840121</v>
      </c>
      <c r="D48" s="154" t="s">
        <v>354</v>
      </c>
      <c r="F48" s="147">
        <v>1301636</v>
      </c>
      <c r="G48" s="147">
        <v>1273553</v>
      </c>
      <c r="H48" s="147">
        <v>1911266</v>
      </c>
      <c r="I48" s="147">
        <v>233152</v>
      </c>
      <c r="J48" s="147"/>
      <c r="K48" s="147"/>
      <c r="L48" s="147"/>
      <c r="M48" s="147"/>
      <c r="N48" s="147"/>
      <c r="O48" s="147"/>
      <c r="P48" s="147"/>
      <c r="Q48" s="147"/>
      <c r="S48" s="147">
        <v>10347212</v>
      </c>
      <c r="T48" s="147">
        <v>10756632</v>
      </c>
      <c r="U48" s="147">
        <v>17154270</v>
      </c>
      <c r="V48" s="147">
        <v>2299374</v>
      </c>
      <c r="W48" s="147"/>
      <c r="X48" s="147"/>
      <c r="Y48" s="147"/>
      <c r="Z48" s="147"/>
      <c r="AA48" s="147"/>
      <c r="AB48" s="147"/>
      <c r="AC48" s="147"/>
      <c r="AD48" s="147"/>
      <c r="AF48" s="148">
        <f t="shared" si="6"/>
        <v>0.12579581823586874</v>
      </c>
      <c r="AG48" s="148">
        <f t="shared" si="6"/>
        <v>0.11839700382052672</v>
      </c>
      <c r="AH48" s="148">
        <f t="shared" si="6"/>
        <v>0.11141634123748781</v>
      </c>
      <c r="AI48" s="234">
        <f t="shared" si="6"/>
        <v>0.10139803268193864</v>
      </c>
      <c r="AJ48" s="234" t="str">
        <f t="shared" si="6"/>
        <v/>
      </c>
      <c r="AK48" s="234" t="str">
        <f t="shared" si="6"/>
        <v/>
      </c>
      <c r="AL48" s="148" t="str">
        <f t="shared" si="6"/>
        <v/>
      </c>
      <c r="AM48" s="148" t="str">
        <f t="shared" si="6"/>
        <v/>
      </c>
      <c r="AN48" s="148" t="str">
        <f t="shared" si="6"/>
        <v/>
      </c>
      <c r="AO48" s="148" t="str">
        <f t="shared" si="6"/>
        <v/>
      </c>
      <c r="AP48" s="148" t="str">
        <f t="shared" si="6"/>
        <v/>
      </c>
      <c r="AQ48" s="148" t="str">
        <f t="shared" si="6"/>
        <v/>
      </c>
    </row>
    <row r="49" spans="2:43" x14ac:dyDescent="0.35">
      <c r="B49" s="17"/>
      <c r="C49" s="225">
        <v>20377674686</v>
      </c>
      <c r="D49" s="154" t="s">
        <v>355</v>
      </c>
      <c r="F49" s="147">
        <v>77241</v>
      </c>
      <c r="G49" s="147">
        <v>70107</v>
      </c>
      <c r="H49" s="147">
        <v>124975</v>
      </c>
      <c r="I49" s="147">
        <v>20489</v>
      </c>
      <c r="J49" s="147"/>
      <c r="K49" s="147"/>
      <c r="L49" s="147"/>
      <c r="M49" s="147"/>
      <c r="N49" s="147"/>
      <c r="O49" s="147"/>
      <c r="P49" s="147"/>
      <c r="Q49" s="147"/>
      <c r="S49" s="147">
        <v>607946</v>
      </c>
      <c r="T49" s="147">
        <v>554800</v>
      </c>
      <c r="U49" s="147">
        <v>954719</v>
      </c>
      <c r="V49" s="147">
        <v>138100</v>
      </c>
      <c r="W49" s="147"/>
      <c r="X49" s="147"/>
      <c r="Y49" s="147"/>
      <c r="Z49" s="147"/>
      <c r="AA49" s="147"/>
      <c r="AB49" s="147"/>
      <c r="AC49" s="147"/>
      <c r="AD49" s="147"/>
      <c r="AF49" s="148">
        <f t="shared" si="6"/>
        <v>0.12705240268050122</v>
      </c>
      <c r="AG49" s="148">
        <f t="shared" si="6"/>
        <v>0.1263644556596972</v>
      </c>
      <c r="AH49" s="148">
        <f t="shared" si="6"/>
        <v>0.13090239117478547</v>
      </c>
      <c r="AI49" s="234">
        <f t="shared" si="6"/>
        <v>0.14836350470673426</v>
      </c>
      <c r="AJ49" s="234" t="str">
        <f t="shared" si="6"/>
        <v/>
      </c>
      <c r="AK49" s="234" t="str">
        <f t="shared" si="6"/>
        <v/>
      </c>
      <c r="AL49" s="148" t="str">
        <f t="shared" si="6"/>
        <v/>
      </c>
      <c r="AM49" s="148" t="str">
        <f t="shared" si="6"/>
        <v/>
      </c>
      <c r="AN49" s="148" t="str">
        <f t="shared" si="6"/>
        <v/>
      </c>
      <c r="AO49" s="148" t="str">
        <f t="shared" si="6"/>
        <v/>
      </c>
      <c r="AP49" s="148" t="str">
        <f t="shared" si="6"/>
        <v/>
      </c>
      <c r="AQ49" s="148" t="str">
        <f t="shared" si="6"/>
        <v/>
      </c>
    </row>
    <row r="50" spans="2:43" x14ac:dyDescent="0.35">
      <c r="B50" s="17"/>
      <c r="C50" s="225">
        <v>20291490388</v>
      </c>
      <c r="D50" s="154" t="s">
        <v>356</v>
      </c>
      <c r="F50" s="147">
        <v>405222</v>
      </c>
      <c r="G50" s="147">
        <v>359822</v>
      </c>
      <c r="H50" s="147">
        <v>655693</v>
      </c>
      <c r="I50" s="147">
        <v>106634</v>
      </c>
      <c r="J50" s="147"/>
      <c r="K50" s="147"/>
      <c r="L50" s="147"/>
      <c r="M50" s="147"/>
      <c r="N50" s="147"/>
      <c r="O50" s="147"/>
      <c r="P50" s="147"/>
      <c r="Q50" s="147"/>
      <c r="S50" s="147">
        <v>2182334</v>
      </c>
      <c r="T50" s="147">
        <v>2297324</v>
      </c>
      <c r="U50" s="147">
        <v>3589263</v>
      </c>
      <c r="V50" s="147">
        <v>657377</v>
      </c>
      <c r="W50" s="147"/>
      <c r="X50" s="147"/>
      <c r="Y50" s="147"/>
      <c r="Z50" s="147"/>
      <c r="AA50" s="147"/>
      <c r="AB50" s="147"/>
      <c r="AC50" s="147"/>
      <c r="AD50" s="147"/>
      <c r="AF50" s="148">
        <f t="shared" si="6"/>
        <v>0.18568285147919614</v>
      </c>
      <c r="AG50" s="148">
        <f t="shared" si="6"/>
        <v>0.15662657944634714</v>
      </c>
      <c r="AH50" s="148">
        <f t="shared" si="6"/>
        <v>0.18268179289174408</v>
      </c>
      <c r="AI50" s="234">
        <f t="shared" si="6"/>
        <v>0.16221133383127187</v>
      </c>
      <c r="AJ50" s="234" t="str">
        <f t="shared" si="6"/>
        <v/>
      </c>
      <c r="AK50" s="234" t="str">
        <f t="shared" si="6"/>
        <v/>
      </c>
      <c r="AL50" s="148" t="str">
        <f t="shared" si="6"/>
        <v/>
      </c>
      <c r="AM50" s="148" t="str">
        <f t="shared" si="6"/>
        <v/>
      </c>
      <c r="AN50" s="148" t="str">
        <f t="shared" si="6"/>
        <v/>
      </c>
      <c r="AO50" s="148" t="str">
        <f t="shared" si="6"/>
        <v/>
      </c>
      <c r="AP50" s="148" t="str">
        <f t="shared" si="6"/>
        <v/>
      </c>
      <c r="AQ50" s="148" t="str">
        <f t="shared" si="6"/>
        <v/>
      </c>
    </row>
    <row r="51" spans="2:43" x14ac:dyDescent="0.35">
      <c r="B51" s="17"/>
      <c r="C51" s="225">
        <v>20119207640</v>
      </c>
      <c r="D51" s="154" t="s">
        <v>357</v>
      </c>
      <c r="F51" s="147">
        <v>177984</v>
      </c>
      <c r="G51" s="147">
        <v>187899</v>
      </c>
      <c r="H51" s="147">
        <v>256390</v>
      </c>
      <c r="I51" s="147">
        <v>63580</v>
      </c>
      <c r="J51" s="147"/>
      <c r="K51" s="147"/>
      <c r="L51" s="147"/>
      <c r="M51" s="147"/>
      <c r="N51" s="147"/>
      <c r="O51" s="147"/>
      <c r="P51" s="147"/>
      <c r="Q51" s="147"/>
      <c r="S51" s="147">
        <v>1319976</v>
      </c>
      <c r="T51" s="147">
        <v>1265076</v>
      </c>
      <c r="U51" s="147">
        <v>1627306</v>
      </c>
      <c r="V51" s="147">
        <v>324031</v>
      </c>
      <c r="W51" s="147"/>
      <c r="X51" s="147"/>
      <c r="Y51" s="147"/>
      <c r="Z51" s="147"/>
      <c r="AA51" s="147"/>
      <c r="AB51" s="147"/>
      <c r="AC51" s="147"/>
      <c r="AD51" s="147"/>
      <c r="AF51" s="148">
        <f t="shared" si="6"/>
        <v>0.13483881525118638</v>
      </c>
      <c r="AG51" s="148">
        <f t="shared" si="6"/>
        <v>0.14852783548182086</v>
      </c>
      <c r="AH51" s="148">
        <f t="shared" si="6"/>
        <v>0.1575548790454899</v>
      </c>
      <c r="AI51" s="234">
        <f t="shared" si="6"/>
        <v>0.19621579416784196</v>
      </c>
      <c r="AJ51" s="234" t="str">
        <f t="shared" si="6"/>
        <v/>
      </c>
      <c r="AK51" s="234" t="str">
        <f t="shared" si="6"/>
        <v/>
      </c>
      <c r="AL51" s="148" t="str">
        <f t="shared" si="6"/>
        <v/>
      </c>
      <c r="AM51" s="148" t="str">
        <f t="shared" si="6"/>
        <v/>
      </c>
      <c r="AN51" s="148" t="str">
        <f t="shared" si="6"/>
        <v/>
      </c>
      <c r="AO51" s="148" t="str">
        <f t="shared" si="6"/>
        <v/>
      </c>
      <c r="AP51" s="148" t="str">
        <f t="shared" si="6"/>
        <v/>
      </c>
      <c r="AQ51" s="148" t="str">
        <f t="shared" si="6"/>
        <v/>
      </c>
    </row>
    <row r="52" spans="2:43" x14ac:dyDescent="0.35">
      <c r="B52" s="17"/>
      <c r="C52" s="225">
        <v>20506151547</v>
      </c>
      <c r="D52" s="154" t="s">
        <v>358</v>
      </c>
      <c r="F52" s="147">
        <v>143189</v>
      </c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S52" s="147">
        <v>880024</v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F52" s="148">
        <f t="shared" si="6"/>
        <v>0.16271033517267711</v>
      </c>
      <c r="AG52" s="148" t="str">
        <f t="shared" si="6"/>
        <v/>
      </c>
      <c r="AH52" s="148" t="str">
        <f t="shared" si="6"/>
        <v/>
      </c>
      <c r="AI52" s="234" t="str">
        <f t="shared" si="6"/>
        <v/>
      </c>
      <c r="AJ52" s="234" t="str">
        <f t="shared" si="6"/>
        <v/>
      </c>
      <c r="AK52" s="234" t="str">
        <f t="shared" si="6"/>
        <v/>
      </c>
      <c r="AL52" s="148" t="str">
        <f t="shared" si="6"/>
        <v/>
      </c>
      <c r="AM52" s="148" t="str">
        <f t="shared" si="6"/>
        <v/>
      </c>
      <c r="AN52" s="148" t="str">
        <f t="shared" si="6"/>
        <v/>
      </c>
      <c r="AO52" s="148" t="str">
        <f t="shared" si="6"/>
        <v/>
      </c>
      <c r="AP52" s="148" t="str">
        <f t="shared" si="6"/>
        <v/>
      </c>
      <c r="AQ52" s="148" t="str">
        <f t="shared" si="6"/>
        <v/>
      </c>
    </row>
    <row r="53" spans="2:43" x14ac:dyDescent="0.35">
      <c r="B53" s="17"/>
      <c r="C53" s="225">
        <v>20275873480</v>
      </c>
      <c r="D53" s="154" t="s">
        <v>359</v>
      </c>
      <c r="F53" s="147">
        <v>246753</v>
      </c>
      <c r="G53" s="147">
        <v>194751</v>
      </c>
      <c r="H53" s="147">
        <v>171529</v>
      </c>
      <c r="I53" s="147">
        <v>31758</v>
      </c>
      <c r="J53" s="147"/>
      <c r="K53" s="147"/>
      <c r="L53" s="147"/>
      <c r="M53" s="147"/>
      <c r="N53" s="147"/>
      <c r="O53" s="147"/>
      <c r="P53" s="147"/>
      <c r="Q53" s="147"/>
      <c r="S53" s="147">
        <v>1160456</v>
      </c>
      <c r="T53" s="147">
        <v>1230604</v>
      </c>
      <c r="U53" s="147">
        <v>1453077</v>
      </c>
      <c r="V53" s="147">
        <v>189750</v>
      </c>
      <c r="W53" s="147"/>
      <c r="X53" s="147"/>
      <c r="Y53" s="147"/>
      <c r="Z53" s="147"/>
      <c r="AA53" s="147"/>
      <c r="AB53" s="147"/>
      <c r="AC53" s="147"/>
      <c r="AD53" s="147"/>
      <c r="AF53" s="148">
        <f t="shared" si="6"/>
        <v>0.21263451608677969</v>
      </c>
      <c r="AG53" s="148">
        <f t="shared" si="6"/>
        <v>0.15825643342618748</v>
      </c>
      <c r="AH53" s="148">
        <f t="shared" si="6"/>
        <v>0.11804536167044141</v>
      </c>
      <c r="AI53" s="234">
        <f t="shared" si="6"/>
        <v>0.16736758893280632</v>
      </c>
      <c r="AJ53" s="234" t="str">
        <f t="shared" si="6"/>
        <v/>
      </c>
      <c r="AK53" s="234" t="str">
        <f t="shared" si="6"/>
        <v/>
      </c>
      <c r="AL53" s="148" t="str">
        <f t="shared" si="6"/>
        <v/>
      </c>
      <c r="AM53" s="148" t="str">
        <f t="shared" si="6"/>
        <v/>
      </c>
      <c r="AN53" s="148" t="str">
        <f t="shared" si="6"/>
        <v/>
      </c>
      <c r="AO53" s="148" t="str">
        <f t="shared" si="6"/>
        <v/>
      </c>
      <c r="AP53" s="148" t="str">
        <f t="shared" si="6"/>
        <v/>
      </c>
      <c r="AQ53" s="148" t="str">
        <f t="shared" si="6"/>
        <v/>
      </c>
    </row>
    <row r="54" spans="2:43" x14ac:dyDescent="0.35">
      <c r="B54" s="17"/>
      <c r="C54" s="225">
        <v>20609781051</v>
      </c>
      <c r="D54" s="154" t="s">
        <v>360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F54" s="148" t="str">
        <f t="shared" si="6"/>
        <v/>
      </c>
      <c r="AG54" s="148" t="str">
        <f t="shared" si="6"/>
        <v/>
      </c>
      <c r="AH54" s="148" t="str">
        <f t="shared" si="6"/>
        <v/>
      </c>
      <c r="AI54" s="234" t="str">
        <f t="shared" si="6"/>
        <v/>
      </c>
      <c r="AJ54" s="234" t="str">
        <f t="shared" si="6"/>
        <v/>
      </c>
      <c r="AK54" s="234" t="str">
        <f t="shared" si="6"/>
        <v/>
      </c>
      <c r="AL54" s="148" t="str">
        <f t="shared" si="6"/>
        <v/>
      </c>
      <c r="AM54" s="148" t="str">
        <f t="shared" si="6"/>
        <v/>
      </c>
      <c r="AN54" s="148" t="str">
        <f t="shared" si="6"/>
        <v/>
      </c>
      <c r="AO54" s="148" t="str">
        <f t="shared" si="6"/>
        <v/>
      </c>
      <c r="AP54" s="148" t="str">
        <f t="shared" si="6"/>
        <v/>
      </c>
      <c r="AQ54" s="148" t="str">
        <f t="shared" si="6"/>
        <v/>
      </c>
    </row>
    <row r="55" spans="2:43" x14ac:dyDescent="0.35">
      <c r="B55" s="17"/>
      <c r="C55" s="225">
        <v>20514606774</v>
      </c>
      <c r="D55" s="154" t="s">
        <v>447</v>
      </c>
      <c r="F55" s="147">
        <v>59053</v>
      </c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S55" s="147">
        <v>98940</v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F55" s="148">
        <f t="shared" si="6"/>
        <v>0.59685668081665655</v>
      </c>
      <c r="AG55" s="148" t="str">
        <f t="shared" si="6"/>
        <v/>
      </c>
      <c r="AH55" s="148" t="str">
        <f t="shared" si="6"/>
        <v/>
      </c>
      <c r="AI55" s="234" t="str">
        <f t="shared" si="6"/>
        <v/>
      </c>
      <c r="AJ55" s="234" t="str">
        <f t="shared" si="6"/>
        <v/>
      </c>
      <c r="AK55" s="234" t="str">
        <f t="shared" si="6"/>
        <v/>
      </c>
      <c r="AL55" s="148" t="str">
        <f t="shared" si="6"/>
        <v/>
      </c>
      <c r="AM55" s="148" t="str">
        <f t="shared" si="6"/>
        <v/>
      </c>
      <c r="AN55" s="148" t="str">
        <f t="shared" si="6"/>
        <v/>
      </c>
      <c r="AO55" s="148" t="str">
        <f t="shared" si="6"/>
        <v/>
      </c>
      <c r="AP55" s="148" t="str">
        <f t="shared" si="6"/>
        <v/>
      </c>
      <c r="AQ55" s="148" t="str">
        <f t="shared" si="6"/>
        <v/>
      </c>
    </row>
    <row r="56" spans="2:43" x14ac:dyDescent="0.35">
      <c r="B56" s="17"/>
      <c r="C56" s="225">
        <v>20492197417</v>
      </c>
      <c r="D56" s="154" t="s">
        <v>448</v>
      </c>
      <c r="F56" s="147">
        <v>65518</v>
      </c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S56" s="147">
        <v>543333</v>
      </c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F56" s="148">
        <f t="shared" si="6"/>
        <v>0.120585350052362</v>
      </c>
      <c r="AG56" s="148" t="str">
        <f t="shared" si="6"/>
        <v/>
      </c>
      <c r="AH56" s="148" t="str">
        <f t="shared" si="6"/>
        <v/>
      </c>
      <c r="AI56" s="234" t="str">
        <f t="shared" si="6"/>
        <v/>
      </c>
      <c r="AJ56" s="234" t="str">
        <f t="shared" si="6"/>
        <v/>
      </c>
      <c r="AK56" s="234" t="str">
        <f t="shared" si="6"/>
        <v/>
      </c>
      <c r="AL56" s="148" t="str">
        <f t="shared" si="6"/>
        <v/>
      </c>
      <c r="AM56" s="148" t="str">
        <f t="shared" si="6"/>
        <v/>
      </c>
      <c r="AN56" s="148" t="str">
        <f t="shared" si="6"/>
        <v/>
      </c>
      <c r="AO56" s="148" t="str">
        <f t="shared" si="6"/>
        <v/>
      </c>
      <c r="AP56" s="148" t="str">
        <f t="shared" si="6"/>
        <v/>
      </c>
      <c r="AQ56" s="148" t="str">
        <f t="shared" si="6"/>
        <v/>
      </c>
    </row>
    <row r="57" spans="2:43" x14ac:dyDescent="0.35">
      <c r="B57" s="17"/>
      <c r="C57" s="225">
        <v>20101259448</v>
      </c>
      <c r="D57" s="154" t="s">
        <v>361</v>
      </c>
      <c r="F57" s="147">
        <v>72993</v>
      </c>
      <c r="G57" s="147">
        <v>50712</v>
      </c>
      <c r="H57" s="147">
        <v>64682</v>
      </c>
      <c r="I57" s="147">
        <v>9600</v>
      </c>
      <c r="J57" s="147"/>
      <c r="K57" s="147"/>
      <c r="L57" s="147"/>
      <c r="M57" s="147"/>
      <c r="N57" s="147"/>
      <c r="O57" s="147"/>
      <c r="P57" s="147"/>
      <c r="Q57" s="147"/>
      <c r="S57" s="147">
        <v>444639</v>
      </c>
      <c r="T57" s="147">
        <v>303188</v>
      </c>
      <c r="U57" s="147">
        <v>423669</v>
      </c>
      <c r="V57" s="147">
        <v>61516</v>
      </c>
      <c r="W57" s="147"/>
      <c r="X57" s="147"/>
      <c r="Y57" s="147"/>
      <c r="Z57" s="147"/>
      <c r="AA57" s="147"/>
      <c r="AB57" s="147"/>
      <c r="AC57" s="147"/>
      <c r="AD57" s="147"/>
      <c r="AF57" s="148">
        <f t="shared" si="6"/>
        <v>0.16416238791469034</v>
      </c>
      <c r="AG57" s="148">
        <f t="shared" si="6"/>
        <v>0.16726255656556327</v>
      </c>
      <c r="AH57" s="148">
        <f t="shared" si="6"/>
        <v>0.1526710710483892</v>
      </c>
      <c r="AI57" s="234">
        <f t="shared" si="6"/>
        <v>0.15605696079068859</v>
      </c>
      <c r="AJ57" s="234" t="str">
        <f t="shared" si="6"/>
        <v/>
      </c>
      <c r="AK57" s="234" t="str">
        <f t="shared" si="6"/>
        <v/>
      </c>
      <c r="AL57" s="148" t="str">
        <f t="shared" si="6"/>
        <v/>
      </c>
      <c r="AM57" s="148" t="str">
        <f t="shared" si="6"/>
        <v/>
      </c>
      <c r="AN57" s="148" t="str">
        <f t="shared" si="6"/>
        <v/>
      </c>
      <c r="AO57" s="148" t="str">
        <f t="shared" si="6"/>
        <v/>
      </c>
      <c r="AP57" s="148" t="str">
        <f t="shared" si="6"/>
        <v/>
      </c>
      <c r="AQ57" s="148" t="str">
        <f t="shared" si="6"/>
        <v/>
      </c>
    </row>
    <row r="58" spans="2:43" x14ac:dyDescent="0.35">
      <c r="B58" s="17"/>
      <c r="C58" s="225">
        <v>20348303636</v>
      </c>
      <c r="D58" s="154" t="s">
        <v>362</v>
      </c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F58" s="148" t="str">
        <f t="shared" si="6"/>
        <v/>
      </c>
      <c r="AG58" s="148" t="str">
        <f t="shared" si="6"/>
        <v/>
      </c>
      <c r="AH58" s="148" t="str">
        <f t="shared" si="6"/>
        <v/>
      </c>
      <c r="AI58" s="234" t="str">
        <f t="shared" si="6"/>
        <v/>
      </c>
      <c r="AJ58" s="234" t="str">
        <f t="shared" si="6"/>
        <v/>
      </c>
      <c r="AK58" s="234" t="str">
        <f t="shared" si="6"/>
        <v/>
      </c>
      <c r="AL58" s="148" t="str">
        <f t="shared" si="6"/>
        <v/>
      </c>
      <c r="AM58" s="148" t="str">
        <f t="shared" si="6"/>
        <v/>
      </c>
      <c r="AN58" s="148" t="str">
        <f t="shared" si="6"/>
        <v/>
      </c>
      <c r="AO58" s="148" t="str">
        <f t="shared" si="6"/>
        <v/>
      </c>
      <c r="AP58" s="148" t="str">
        <f t="shared" si="6"/>
        <v/>
      </c>
      <c r="AQ58" s="148" t="str">
        <f t="shared" si="6"/>
        <v/>
      </c>
    </row>
    <row r="59" spans="2:43" x14ac:dyDescent="0.35">
      <c r="B59" s="17"/>
      <c r="C59" s="225">
        <v>20109284786</v>
      </c>
      <c r="D59" s="154" t="s">
        <v>363</v>
      </c>
      <c r="F59" s="147">
        <v>57279</v>
      </c>
      <c r="G59" s="147">
        <v>64081</v>
      </c>
      <c r="H59" s="147">
        <v>107083</v>
      </c>
      <c r="I59" s="147">
        <v>13923</v>
      </c>
      <c r="J59" s="147"/>
      <c r="K59" s="147"/>
      <c r="L59" s="147"/>
      <c r="M59" s="147"/>
      <c r="N59" s="147"/>
      <c r="O59" s="147"/>
      <c r="P59" s="147"/>
      <c r="Q59" s="147"/>
      <c r="S59" s="147">
        <v>537343</v>
      </c>
      <c r="T59" s="147">
        <v>579994</v>
      </c>
      <c r="U59" s="147">
        <v>970619</v>
      </c>
      <c r="V59" s="147">
        <v>136254</v>
      </c>
      <c r="W59" s="147"/>
      <c r="X59" s="147"/>
      <c r="Y59" s="147"/>
      <c r="Z59" s="147"/>
      <c r="AA59" s="147"/>
      <c r="AB59" s="147"/>
      <c r="AC59" s="147"/>
      <c r="AD59" s="147"/>
      <c r="AF59" s="148">
        <f t="shared" si="6"/>
        <v>0.106596717552848</v>
      </c>
      <c r="AG59" s="148">
        <f t="shared" si="6"/>
        <v>0.11048562571336945</v>
      </c>
      <c r="AH59" s="148">
        <f t="shared" si="6"/>
        <v>0.11032444244343043</v>
      </c>
      <c r="AI59" s="234">
        <f t="shared" si="6"/>
        <v>0.10218415606147342</v>
      </c>
      <c r="AJ59" s="234" t="str">
        <f t="shared" si="6"/>
        <v/>
      </c>
      <c r="AK59" s="234" t="str">
        <f t="shared" si="6"/>
        <v/>
      </c>
      <c r="AL59" s="148" t="str">
        <f t="shared" si="6"/>
        <v/>
      </c>
      <c r="AM59" s="148" t="str">
        <f t="shared" si="6"/>
        <v/>
      </c>
      <c r="AN59" s="148" t="str">
        <f t="shared" si="6"/>
        <v/>
      </c>
      <c r="AO59" s="148" t="str">
        <f t="shared" si="6"/>
        <v/>
      </c>
      <c r="AP59" s="148" t="str">
        <f t="shared" si="6"/>
        <v/>
      </c>
      <c r="AQ59" s="148" t="str">
        <f t="shared" si="6"/>
        <v/>
      </c>
    </row>
    <row r="60" spans="2:43" x14ac:dyDescent="0.35">
      <c r="B60" s="17"/>
      <c r="C60" s="225">
        <v>20268784625</v>
      </c>
      <c r="D60" s="154" t="s">
        <v>364</v>
      </c>
      <c r="F60" s="147">
        <v>103675</v>
      </c>
      <c r="G60" s="147"/>
      <c r="H60" s="147">
        <v>120087</v>
      </c>
      <c r="I60" s="147"/>
      <c r="J60" s="147"/>
      <c r="K60" s="147"/>
      <c r="L60" s="147"/>
      <c r="M60" s="147"/>
      <c r="N60" s="147"/>
      <c r="O60" s="147"/>
      <c r="P60" s="147"/>
      <c r="Q60" s="147"/>
      <c r="S60" s="147">
        <v>528516</v>
      </c>
      <c r="T60" s="147"/>
      <c r="U60" s="147">
        <v>629032</v>
      </c>
      <c r="V60" s="147"/>
      <c r="W60" s="147"/>
      <c r="X60" s="147"/>
      <c r="Y60" s="147"/>
      <c r="Z60" s="147"/>
      <c r="AA60" s="147"/>
      <c r="AB60" s="147"/>
      <c r="AC60" s="147"/>
      <c r="AD60" s="147"/>
      <c r="AF60" s="148">
        <f t="shared" si="6"/>
        <v>0.19616246244200744</v>
      </c>
      <c r="AG60" s="148" t="str">
        <f t="shared" si="6"/>
        <v/>
      </c>
      <c r="AH60" s="148">
        <f t="shared" si="6"/>
        <v>0.19090761678261201</v>
      </c>
      <c r="AI60" s="234" t="str">
        <f t="shared" si="6"/>
        <v/>
      </c>
      <c r="AJ60" s="234" t="str">
        <f t="shared" si="6"/>
        <v/>
      </c>
      <c r="AK60" s="234" t="str">
        <f t="shared" si="6"/>
        <v/>
      </c>
      <c r="AL60" s="148" t="str">
        <f t="shared" si="6"/>
        <v/>
      </c>
      <c r="AM60" s="148" t="str">
        <f t="shared" si="6"/>
        <v/>
      </c>
      <c r="AN60" s="148" t="str">
        <f t="shared" si="6"/>
        <v/>
      </c>
      <c r="AO60" s="148" t="str">
        <f t="shared" si="6"/>
        <v/>
      </c>
      <c r="AP60" s="148" t="str">
        <f t="shared" si="6"/>
        <v/>
      </c>
      <c r="AQ60" s="148" t="str">
        <f t="shared" si="6"/>
        <v/>
      </c>
    </row>
    <row r="61" spans="2:43" x14ac:dyDescent="0.35">
      <c r="B61" s="17"/>
      <c r="C61" s="225">
        <v>20147847727</v>
      </c>
      <c r="D61" s="154" t="s">
        <v>365</v>
      </c>
      <c r="F61" s="147">
        <v>64105</v>
      </c>
      <c r="G61" s="147">
        <v>70152</v>
      </c>
      <c r="H61" s="147">
        <v>105815</v>
      </c>
      <c r="I61" s="147">
        <v>12679</v>
      </c>
      <c r="J61" s="147"/>
      <c r="K61" s="147"/>
      <c r="L61" s="147"/>
      <c r="M61" s="147"/>
      <c r="N61" s="147"/>
      <c r="O61" s="147"/>
      <c r="P61" s="147"/>
      <c r="Q61" s="147"/>
      <c r="S61" s="147">
        <v>708102</v>
      </c>
      <c r="T61" s="147">
        <v>704832</v>
      </c>
      <c r="U61" s="147">
        <v>1180777</v>
      </c>
      <c r="V61" s="147">
        <v>150679</v>
      </c>
      <c r="W61" s="147"/>
      <c r="X61" s="147"/>
      <c r="Y61" s="147"/>
      <c r="Z61" s="147"/>
      <c r="AA61" s="147"/>
      <c r="AB61" s="147"/>
      <c r="AC61" s="147"/>
      <c r="AD61" s="147"/>
      <c r="AF61" s="148">
        <f t="shared" si="6"/>
        <v>9.0530742746101553E-2</v>
      </c>
      <c r="AG61" s="148">
        <f t="shared" si="6"/>
        <v>9.9530100789975484E-2</v>
      </c>
      <c r="AH61" s="148">
        <f t="shared" si="6"/>
        <v>8.9614719798912071E-2</v>
      </c>
      <c r="AI61" s="234">
        <f t="shared" si="6"/>
        <v>8.4145766828821536E-2</v>
      </c>
      <c r="AJ61" s="234" t="str">
        <f t="shared" si="6"/>
        <v/>
      </c>
      <c r="AK61" s="234" t="str">
        <f t="shared" si="6"/>
        <v/>
      </c>
      <c r="AL61" s="148" t="str">
        <f t="shared" si="6"/>
        <v/>
      </c>
      <c r="AM61" s="148" t="str">
        <f t="shared" si="6"/>
        <v/>
      </c>
      <c r="AN61" s="148" t="str">
        <f t="shared" si="6"/>
        <v/>
      </c>
      <c r="AO61" s="148" t="str">
        <f t="shared" si="6"/>
        <v/>
      </c>
      <c r="AP61" s="148" t="str">
        <f t="shared" si="6"/>
        <v/>
      </c>
      <c r="AQ61" s="148" t="str">
        <f t="shared" si="6"/>
        <v/>
      </c>
    </row>
    <row r="62" spans="2:43" x14ac:dyDescent="0.35">
      <c r="B62" s="17"/>
      <c r="C62" s="225">
        <v>20334129595</v>
      </c>
      <c r="D62" s="154" t="s">
        <v>366</v>
      </c>
      <c r="F62" s="147">
        <v>83154</v>
      </c>
      <c r="G62" s="147">
        <v>70875</v>
      </c>
      <c r="H62" s="147">
        <v>109530</v>
      </c>
      <c r="I62" s="147">
        <v>18233</v>
      </c>
      <c r="J62" s="147"/>
      <c r="K62" s="147"/>
      <c r="L62" s="147"/>
      <c r="M62" s="147"/>
      <c r="N62" s="147"/>
      <c r="O62" s="147"/>
      <c r="P62" s="147"/>
      <c r="Q62" s="147"/>
      <c r="S62" s="147">
        <v>490422</v>
      </c>
      <c r="T62" s="147">
        <v>468503</v>
      </c>
      <c r="U62" s="147">
        <v>645330</v>
      </c>
      <c r="V62" s="147">
        <v>140815</v>
      </c>
      <c r="W62" s="147"/>
      <c r="X62" s="147"/>
      <c r="Y62" s="147"/>
      <c r="Z62" s="147"/>
      <c r="AA62" s="147"/>
      <c r="AB62" s="147"/>
      <c r="AC62" s="147"/>
      <c r="AD62" s="147"/>
      <c r="AF62" s="148">
        <f t="shared" si="6"/>
        <v>0.16955601502379583</v>
      </c>
      <c r="AG62" s="148">
        <f t="shared" si="6"/>
        <v>0.15127971432413453</v>
      </c>
      <c r="AH62" s="148">
        <f t="shared" si="6"/>
        <v>0.16972711635907209</v>
      </c>
      <c r="AI62" s="234">
        <f t="shared" si="6"/>
        <v>0.12948194439512836</v>
      </c>
      <c r="AJ62" s="234" t="str">
        <f t="shared" si="6"/>
        <v/>
      </c>
      <c r="AK62" s="234" t="str">
        <f t="shared" si="6"/>
        <v/>
      </c>
      <c r="AL62" s="148" t="str">
        <f t="shared" si="6"/>
        <v/>
      </c>
      <c r="AM62" s="148" t="str">
        <f t="shared" si="6"/>
        <v/>
      </c>
      <c r="AN62" s="148" t="str">
        <f t="shared" si="6"/>
        <v/>
      </c>
      <c r="AO62" s="148" t="str">
        <f t="shared" si="6"/>
        <v/>
      </c>
      <c r="AP62" s="148" t="str">
        <f t="shared" si="6"/>
        <v/>
      </c>
      <c r="AQ62" s="148" t="str">
        <f t="shared" si="6"/>
        <v/>
      </c>
    </row>
    <row r="63" spans="2:43" x14ac:dyDescent="0.35">
      <c r="B63" s="17"/>
      <c r="C63" s="225">
        <v>20602533281</v>
      </c>
      <c r="D63" s="154" t="s">
        <v>367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F63" s="148" t="str">
        <f t="shared" si="6"/>
        <v/>
      </c>
      <c r="AG63" s="148" t="str">
        <f t="shared" si="6"/>
        <v/>
      </c>
      <c r="AH63" s="148" t="str">
        <f t="shared" si="6"/>
        <v/>
      </c>
      <c r="AI63" s="234" t="str">
        <f t="shared" si="6"/>
        <v/>
      </c>
      <c r="AJ63" s="234" t="str">
        <f t="shared" si="6"/>
        <v/>
      </c>
      <c r="AK63" s="234" t="str">
        <f t="shared" si="6"/>
        <v/>
      </c>
      <c r="AL63" s="148" t="str">
        <f t="shared" si="6"/>
        <v/>
      </c>
      <c r="AM63" s="148" t="str">
        <f t="shared" si="6"/>
        <v/>
      </c>
      <c r="AN63" s="148" t="str">
        <f t="shared" si="6"/>
        <v/>
      </c>
      <c r="AO63" s="148" t="str">
        <f t="shared" si="6"/>
        <v/>
      </c>
      <c r="AP63" s="148" t="str">
        <f t="shared" si="6"/>
        <v/>
      </c>
      <c r="AQ63" s="148" t="str">
        <f t="shared" si="6"/>
        <v/>
      </c>
    </row>
    <row r="64" spans="2:43" x14ac:dyDescent="0.35">
      <c r="B64" s="17"/>
      <c r="C64" s="225">
        <v>20122386229</v>
      </c>
      <c r="D64" s="154" t="s">
        <v>368</v>
      </c>
      <c r="F64" s="147">
        <v>94363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S64" s="147">
        <v>568392</v>
      </c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F64" s="148">
        <f t="shared" si="6"/>
        <v>0.16601746681867444</v>
      </c>
      <c r="AG64" s="148" t="str">
        <f t="shared" si="6"/>
        <v/>
      </c>
      <c r="AH64" s="148" t="str">
        <f t="shared" si="6"/>
        <v/>
      </c>
      <c r="AI64" s="234" t="str">
        <f t="shared" si="6"/>
        <v/>
      </c>
      <c r="AJ64" s="234" t="str">
        <f t="shared" si="6"/>
        <v/>
      </c>
      <c r="AK64" s="234" t="str">
        <f t="shared" si="6"/>
        <v/>
      </c>
      <c r="AL64" s="148" t="str">
        <f t="shared" si="6"/>
        <v/>
      </c>
      <c r="AM64" s="148" t="str">
        <f t="shared" si="6"/>
        <v/>
      </c>
      <c r="AN64" s="148" t="str">
        <f t="shared" si="6"/>
        <v/>
      </c>
      <c r="AO64" s="148" t="str">
        <f t="shared" si="6"/>
        <v/>
      </c>
      <c r="AP64" s="148" t="str">
        <f t="shared" si="6"/>
        <v/>
      </c>
      <c r="AQ64" s="148" t="str">
        <f t="shared" si="6"/>
        <v/>
      </c>
    </row>
    <row r="65" spans="2:43" x14ac:dyDescent="0.35">
      <c r="B65" s="17"/>
      <c r="C65" s="225">
        <v>20545784158</v>
      </c>
      <c r="D65" s="154" t="s">
        <v>369</v>
      </c>
      <c r="F65" s="147">
        <v>10042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S65" s="147">
        <v>38090</v>
      </c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F65" s="148">
        <f t="shared" si="6"/>
        <v>0.26363875032817013</v>
      </c>
      <c r="AG65" s="148" t="str">
        <f t="shared" si="6"/>
        <v/>
      </c>
      <c r="AH65" s="148" t="str">
        <f t="shared" si="6"/>
        <v/>
      </c>
      <c r="AI65" s="234" t="str">
        <f t="shared" si="6"/>
        <v/>
      </c>
      <c r="AJ65" s="234" t="str">
        <f t="shared" si="6"/>
        <v/>
      </c>
      <c r="AK65" s="234" t="str">
        <f t="shared" si="6"/>
        <v/>
      </c>
      <c r="AL65" s="148" t="str">
        <f t="shared" si="6"/>
        <v/>
      </c>
      <c r="AM65" s="148" t="str">
        <f t="shared" si="6"/>
        <v/>
      </c>
      <c r="AN65" s="148" t="str">
        <f t="shared" si="6"/>
        <v/>
      </c>
      <c r="AO65" s="148" t="str">
        <f t="shared" si="6"/>
        <v/>
      </c>
      <c r="AP65" s="148" t="str">
        <f t="shared" si="6"/>
        <v/>
      </c>
      <c r="AQ65" s="148" t="str">
        <f t="shared" si="6"/>
        <v/>
      </c>
    </row>
    <row r="66" spans="2:43" x14ac:dyDescent="0.35">
      <c r="B66" s="14" t="s">
        <v>370</v>
      </c>
      <c r="C66" s="227"/>
      <c r="D66" s="14"/>
      <c r="F66" s="149">
        <f t="shared" ref="F66:Q66" si="7">+SUM(F47:F65)</f>
        <v>6988346</v>
      </c>
      <c r="G66" s="149">
        <f t="shared" si="7"/>
        <v>6495106</v>
      </c>
      <c r="H66" s="149">
        <f t="shared" si="7"/>
        <v>9420466</v>
      </c>
      <c r="I66" s="149">
        <f t="shared" si="7"/>
        <v>1444878</v>
      </c>
      <c r="J66" s="149">
        <f t="shared" si="7"/>
        <v>0</v>
      </c>
      <c r="K66" s="149">
        <f t="shared" si="7"/>
        <v>0</v>
      </c>
      <c r="L66" s="149">
        <f t="shared" si="7"/>
        <v>0</v>
      </c>
      <c r="M66" s="149">
        <f t="shared" si="7"/>
        <v>0</v>
      </c>
      <c r="N66" s="149">
        <f t="shared" si="7"/>
        <v>0</v>
      </c>
      <c r="O66" s="149">
        <f t="shared" si="7"/>
        <v>0</v>
      </c>
      <c r="P66" s="149">
        <f t="shared" si="7"/>
        <v>0</v>
      </c>
      <c r="Q66" s="149">
        <f t="shared" si="7"/>
        <v>0</v>
      </c>
      <c r="S66" s="149">
        <f t="shared" ref="S66:AD66" si="8">+SUM(S47:S65)</f>
        <v>49630517</v>
      </c>
      <c r="T66" s="149">
        <f t="shared" si="8"/>
        <v>47891131</v>
      </c>
      <c r="U66" s="149">
        <f t="shared" si="8"/>
        <v>70832896</v>
      </c>
      <c r="V66" s="149">
        <f t="shared" si="8"/>
        <v>10722725</v>
      </c>
      <c r="W66" s="149">
        <f t="shared" si="8"/>
        <v>0</v>
      </c>
      <c r="X66" s="149">
        <f t="shared" si="8"/>
        <v>0</v>
      </c>
      <c r="Y66" s="149">
        <f t="shared" si="8"/>
        <v>0</v>
      </c>
      <c r="Z66" s="149">
        <f t="shared" si="8"/>
        <v>0</v>
      </c>
      <c r="AA66" s="149">
        <f t="shared" si="8"/>
        <v>0</v>
      </c>
      <c r="AB66" s="149">
        <f t="shared" si="8"/>
        <v>0</v>
      </c>
      <c r="AC66" s="149">
        <f t="shared" si="8"/>
        <v>0</v>
      </c>
      <c r="AD66" s="149">
        <f t="shared" si="8"/>
        <v>0</v>
      </c>
      <c r="AF66" s="150">
        <f t="shared" si="6"/>
        <v>0.14080743910042284</v>
      </c>
      <c r="AG66" s="150">
        <f t="shared" si="6"/>
        <v>0.13562231386851148</v>
      </c>
      <c r="AH66" s="150">
        <f t="shared" si="6"/>
        <v>0.13299563524834562</v>
      </c>
      <c r="AI66" s="235">
        <f t="shared" si="6"/>
        <v>0.13474914259201837</v>
      </c>
      <c r="AJ66" s="235" t="str">
        <f t="shared" si="6"/>
        <v/>
      </c>
      <c r="AK66" s="235" t="str">
        <f t="shared" si="6"/>
        <v/>
      </c>
      <c r="AL66" s="150" t="str">
        <f t="shared" si="6"/>
        <v/>
      </c>
      <c r="AM66" s="150" t="str">
        <f t="shared" si="6"/>
        <v/>
      </c>
      <c r="AN66" s="150" t="str">
        <f t="shared" si="6"/>
        <v/>
      </c>
      <c r="AO66" s="150" t="str">
        <f t="shared" si="6"/>
        <v/>
      </c>
      <c r="AP66" s="150" t="str">
        <f t="shared" si="6"/>
        <v/>
      </c>
      <c r="AQ66" s="150" t="str">
        <f t="shared" si="6"/>
        <v/>
      </c>
    </row>
    <row r="67" spans="2:43" x14ac:dyDescent="0.35">
      <c r="B67" s="17"/>
      <c r="C67" s="225"/>
      <c r="D67" s="17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F67" s="152"/>
      <c r="AG67" s="152"/>
      <c r="AH67" s="152"/>
      <c r="AI67" s="236"/>
      <c r="AJ67" s="236"/>
      <c r="AK67" s="236"/>
      <c r="AL67" s="152"/>
      <c r="AM67" s="152"/>
      <c r="AN67" s="152"/>
      <c r="AO67" s="152"/>
    </row>
    <row r="68" spans="2:43" x14ac:dyDescent="0.35">
      <c r="B68" s="17" t="s">
        <v>90</v>
      </c>
      <c r="C68" s="225">
        <v>20608430301</v>
      </c>
      <c r="D68" s="154" t="s">
        <v>371</v>
      </c>
      <c r="F68" s="147">
        <v>6704901</v>
      </c>
      <c r="G68" s="147">
        <v>6126044</v>
      </c>
      <c r="H68" s="147">
        <v>7008410</v>
      </c>
      <c r="I68" s="147">
        <v>1118754</v>
      </c>
      <c r="J68" s="147"/>
      <c r="K68" s="147"/>
      <c r="L68" s="147"/>
      <c r="M68" s="147"/>
      <c r="N68" s="147"/>
      <c r="O68" s="147"/>
      <c r="P68" s="147"/>
      <c r="Q68" s="147"/>
      <c r="S68" s="147">
        <v>53884210</v>
      </c>
      <c r="T68" s="147">
        <v>49530605</v>
      </c>
      <c r="U68" s="147">
        <v>58021937</v>
      </c>
      <c r="V68" s="147">
        <v>8297239</v>
      </c>
      <c r="W68" s="147"/>
      <c r="X68" s="147"/>
      <c r="Y68" s="147"/>
      <c r="Z68" s="147"/>
      <c r="AA68" s="147"/>
      <c r="AB68" s="147"/>
      <c r="AC68" s="147"/>
      <c r="AD68" s="147"/>
      <c r="AF68" s="148">
        <f t="shared" ref="AF68:AQ88" si="9">+IFERROR(F68/S68,"")</f>
        <v>0.12443164704465372</v>
      </c>
      <c r="AG68" s="148">
        <f t="shared" si="9"/>
        <v>0.12368199419328715</v>
      </c>
      <c r="AH68" s="148">
        <f t="shared" si="9"/>
        <v>0.12078896986841374</v>
      </c>
      <c r="AI68" s="234">
        <f t="shared" si="9"/>
        <v>0.13483449132898306</v>
      </c>
      <c r="AJ68" s="234" t="str">
        <f t="shared" si="9"/>
        <v/>
      </c>
      <c r="AK68" s="234" t="str">
        <f t="shared" si="9"/>
        <v/>
      </c>
      <c r="AL68" s="148" t="str">
        <f t="shared" si="9"/>
        <v/>
      </c>
      <c r="AM68" s="148" t="str">
        <f t="shared" si="9"/>
        <v/>
      </c>
      <c r="AN68" s="148" t="str">
        <f t="shared" si="9"/>
        <v/>
      </c>
      <c r="AO68" s="148" t="str">
        <f t="shared" si="9"/>
        <v/>
      </c>
      <c r="AP68" s="148" t="str">
        <f t="shared" si="9"/>
        <v/>
      </c>
      <c r="AQ68" s="148" t="str">
        <f t="shared" si="9"/>
        <v/>
      </c>
    </row>
    <row r="69" spans="2:43" x14ac:dyDescent="0.35">
      <c r="B69" s="17"/>
      <c r="C69" s="225">
        <v>20512002090</v>
      </c>
      <c r="D69" s="154" t="s">
        <v>372</v>
      </c>
      <c r="F69" s="147">
        <v>6909486</v>
      </c>
      <c r="G69" s="147">
        <v>6325768</v>
      </c>
      <c r="H69" s="147">
        <v>7352418</v>
      </c>
      <c r="I69" s="147">
        <v>1119973</v>
      </c>
      <c r="J69" s="147"/>
      <c r="K69" s="147"/>
      <c r="L69" s="147"/>
      <c r="M69" s="147"/>
      <c r="N69" s="147"/>
      <c r="O69" s="147"/>
      <c r="P69" s="147"/>
      <c r="Q69" s="147"/>
      <c r="S69" s="147">
        <v>54217538</v>
      </c>
      <c r="T69" s="147">
        <v>49880405</v>
      </c>
      <c r="U69" s="147">
        <v>58471876</v>
      </c>
      <c r="V69" s="147">
        <v>8784609</v>
      </c>
      <c r="W69" s="147"/>
      <c r="X69" s="147"/>
      <c r="Y69" s="147"/>
      <c r="Z69" s="147"/>
      <c r="AA69" s="147"/>
      <c r="AB69" s="147"/>
      <c r="AC69" s="147"/>
      <c r="AD69" s="147"/>
      <c r="AF69" s="148">
        <f t="shared" si="9"/>
        <v>0.12744005454471208</v>
      </c>
      <c r="AG69" s="148">
        <f t="shared" si="9"/>
        <v>0.12681869764289203</v>
      </c>
      <c r="AH69" s="148">
        <f t="shared" si="9"/>
        <v>0.12574281009899529</v>
      </c>
      <c r="AI69" s="234">
        <f t="shared" si="9"/>
        <v>0.12749264082214701</v>
      </c>
      <c r="AJ69" s="234" t="str">
        <f t="shared" si="9"/>
        <v/>
      </c>
      <c r="AK69" s="234" t="str">
        <f t="shared" si="9"/>
        <v/>
      </c>
      <c r="AL69" s="148" t="str">
        <f t="shared" si="9"/>
        <v/>
      </c>
      <c r="AM69" s="148" t="str">
        <f t="shared" si="9"/>
        <v/>
      </c>
      <c r="AN69" s="148" t="str">
        <f t="shared" si="9"/>
        <v/>
      </c>
      <c r="AO69" s="148" t="str">
        <f t="shared" si="9"/>
        <v/>
      </c>
      <c r="AP69" s="148" t="str">
        <f t="shared" si="9"/>
        <v/>
      </c>
      <c r="AQ69" s="148" t="str">
        <f t="shared" si="9"/>
        <v/>
      </c>
    </row>
    <row r="70" spans="2:43" x14ac:dyDescent="0.35">
      <c r="B70" s="17"/>
      <c r="C70" s="225">
        <v>20384891943</v>
      </c>
      <c r="D70" s="154" t="s">
        <v>373</v>
      </c>
      <c r="F70" s="147">
        <v>550884</v>
      </c>
      <c r="G70" s="147">
        <v>504856</v>
      </c>
      <c r="H70" s="147">
        <v>607235</v>
      </c>
      <c r="I70" s="147">
        <v>69638</v>
      </c>
      <c r="J70" s="147"/>
      <c r="K70" s="147"/>
      <c r="L70" s="147"/>
      <c r="M70" s="147"/>
      <c r="N70" s="147"/>
      <c r="O70" s="147"/>
      <c r="P70" s="147"/>
      <c r="Q70" s="147"/>
      <c r="S70" s="147">
        <v>4187297</v>
      </c>
      <c r="T70" s="147">
        <v>3791286</v>
      </c>
      <c r="U70" s="147">
        <v>4661287</v>
      </c>
      <c r="V70" s="147">
        <v>510015</v>
      </c>
      <c r="W70" s="147"/>
      <c r="X70" s="147"/>
      <c r="Y70" s="147"/>
      <c r="Z70" s="147"/>
      <c r="AA70" s="147"/>
      <c r="AB70" s="147"/>
      <c r="AC70" s="147"/>
      <c r="AD70" s="147"/>
      <c r="AF70" s="148">
        <f t="shared" si="9"/>
        <v>0.13156076581145307</v>
      </c>
      <c r="AG70" s="148">
        <f t="shared" si="9"/>
        <v>0.1331622040647949</v>
      </c>
      <c r="AH70" s="148">
        <f t="shared" si="9"/>
        <v>0.1302719613703254</v>
      </c>
      <c r="AI70" s="234">
        <f t="shared" si="9"/>
        <v>0.13654108212503555</v>
      </c>
      <c r="AJ70" s="234" t="str">
        <f t="shared" si="9"/>
        <v/>
      </c>
      <c r="AK70" s="234" t="str">
        <f t="shared" si="9"/>
        <v/>
      </c>
      <c r="AL70" s="148" t="str">
        <f t="shared" si="9"/>
        <v/>
      </c>
      <c r="AM70" s="148" t="str">
        <f t="shared" si="9"/>
        <v/>
      </c>
      <c r="AN70" s="148" t="str">
        <f t="shared" si="9"/>
        <v/>
      </c>
      <c r="AO70" s="148" t="str">
        <f t="shared" si="9"/>
        <v/>
      </c>
      <c r="AP70" s="148" t="str">
        <f t="shared" si="9"/>
        <v/>
      </c>
      <c r="AQ70" s="148" t="str">
        <f t="shared" si="9"/>
        <v/>
      </c>
    </row>
    <row r="71" spans="2:43" x14ac:dyDescent="0.35">
      <c r="B71" s="17"/>
      <c r="C71" s="225">
        <v>20531502508</v>
      </c>
      <c r="D71" s="154" t="s">
        <v>374</v>
      </c>
      <c r="F71" s="147">
        <v>342847</v>
      </c>
      <c r="G71" s="147">
        <v>290785</v>
      </c>
      <c r="H71" s="147">
        <v>363401</v>
      </c>
      <c r="I71" s="147">
        <v>58668</v>
      </c>
      <c r="J71" s="147"/>
      <c r="K71" s="147"/>
      <c r="L71" s="147"/>
      <c r="M71" s="147"/>
      <c r="N71" s="147"/>
      <c r="O71" s="147"/>
      <c r="P71" s="147"/>
      <c r="Q71" s="147"/>
      <c r="S71" s="147">
        <v>2136275</v>
      </c>
      <c r="T71" s="147">
        <v>1922243</v>
      </c>
      <c r="U71" s="147">
        <v>2319650</v>
      </c>
      <c r="V71" s="147">
        <v>354801</v>
      </c>
      <c r="W71" s="147"/>
      <c r="X71" s="147"/>
      <c r="Y71" s="147"/>
      <c r="Z71" s="147"/>
      <c r="AA71" s="147"/>
      <c r="AB71" s="147"/>
      <c r="AC71" s="147"/>
      <c r="AD71" s="147"/>
      <c r="AF71" s="148">
        <f t="shared" si="9"/>
        <v>0.1604882330224339</v>
      </c>
      <c r="AG71" s="148">
        <f t="shared" si="9"/>
        <v>0.15127379836992513</v>
      </c>
      <c r="AH71" s="148">
        <f t="shared" si="9"/>
        <v>0.15666199642187398</v>
      </c>
      <c r="AI71" s="234">
        <f t="shared" si="9"/>
        <v>0.16535466360015896</v>
      </c>
      <c r="AJ71" s="234" t="str">
        <f t="shared" si="9"/>
        <v/>
      </c>
      <c r="AK71" s="234" t="str">
        <f t="shared" si="9"/>
        <v/>
      </c>
      <c r="AL71" s="148" t="str">
        <f t="shared" si="9"/>
        <v/>
      </c>
      <c r="AM71" s="148" t="str">
        <f t="shared" si="9"/>
        <v/>
      </c>
      <c r="AN71" s="148" t="str">
        <f t="shared" si="9"/>
        <v/>
      </c>
      <c r="AO71" s="148" t="str">
        <f t="shared" si="9"/>
        <v/>
      </c>
      <c r="AP71" s="148" t="str">
        <f t="shared" si="9"/>
        <v/>
      </c>
      <c r="AQ71" s="148" t="str">
        <f t="shared" si="9"/>
        <v/>
      </c>
    </row>
    <row r="72" spans="2:43" x14ac:dyDescent="0.35">
      <c r="B72" s="17"/>
      <c r="C72" s="225">
        <v>20515346113</v>
      </c>
      <c r="D72" s="154" t="s">
        <v>375</v>
      </c>
      <c r="F72" s="147">
        <v>411123</v>
      </c>
      <c r="G72" s="147">
        <v>385537</v>
      </c>
      <c r="H72" s="147">
        <v>436777</v>
      </c>
      <c r="I72" s="147">
        <v>68323</v>
      </c>
      <c r="J72" s="147"/>
      <c r="K72" s="147"/>
      <c r="L72" s="147"/>
      <c r="M72" s="147"/>
      <c r="N72" s="147"/>
      <c r="O72" s="147"/>
      <c r="P72" s="147"/>
      <c r="Q72" s="147"/>
      <c r="S72" s="147">
        <v>2751105</v>
      </c>
      <c r="T72" s="147">
        <v>2531485</v>
      </c>
      <c r="U72" s="147">
        <v>2928310</v>
      </c>
      <c r="V72" s="147">
        <v>432808</v>
      </c>
      <c r="W72" s="147"/>
      <c r="X72" s="147"/>
      <c r="Y72" s="147"/>
      <c r="Z72" s="147"/>
      <c r="AA72" s="147"/>
      <c r="AB72" s="147"/>
      <c r="AC72" s="147"/>
      <c r="AD72" s="147"/>
      <c r="AF72" s="148">
        <f t="shared" si="9"/>
        <v>0.14943922532945852</v>
      </c>
      <c r="AG72" s="148">
        <f t="shared" si="9"/>
        <v>0.15229677442291778</v>
      </c>
      <c r="AH72" s="148">
        <f t="shared" si="9"/>
        <v>0.14915668081589722</v>
      </c>
      <c r="AI72" s="234">
        <f t="shared" si="9"/>
        <v>0.15785983623223232</v>
      </c>
      <c r="AJ72" s="234" t="str">
        <f t="shared" si="9"/>
        <v/>
      </c>
      <c r="AK72" s="234" t="str">
        <f t="shared" si="9"/>
        <v/>
      </c>
      <c r="AL72" s="148" t="str">
        <f t="shared" si="9"/>
        <v/>
      </c>
      <c r="AM72" s="148" t="str">
        <f t="shared" si="9"/>
        <v/>
      </c>
      <c r="AN72" s="148" t="str">
        <f t="shared" si="9"/>
        <v/>
      </c>
      <c r="AO72" s="148" t="str">
        <f t="shared" si="9"/>
        <v/>
      </c>
      <c r="AP72" s="148" t="str">
        <f t="shared" si="9"/>
        <v/>
      </c>
      <c r="AQ72" s="148" t="str">
        <f t="shared" si="9"/>
        <v/>
      </c>
    </row>
    <row r="73" spans="2:43" x14ac:dyDescent="0.35">
      <c r="B73" s="17"/>
      <c r="C73" s="225">
        <v>20515774182</v>
      </c>
      <c r="D73" s="154" t="s">
        <v>446</v>
      </c>
      <c r="F73" s="147">
        <v>125967</v>
      </c>
      <c r="G73" s="147">
        <v>79751</v>
      </c>
      <c r="H73" s="147">
        <v>39868</v>
      </c>
      <c r="I73" s="147">
        <v>4470</v>
      </c>
      <c r="J73" s="147"/>
      <c r="K73" s="147"/>
      <c r="L73" s="147"/>
      <c r="M73" s="147"/>
      <c r="N73" s="147"/>
      <c r="O73" s="147"/>
      <c r="P73" s="147"/>
      <c r="Q73" s="147"/>
      <c r="S73" s="147">
        <v>886634</v>
      </c>
      <c r="T73" s="147">
        <v>612195</v>
      </c>
      <c r="U73" s="147">
        <v>375561</v>
      </c>
      <c r="V73" s="147">
        <v>26725</v>
      </c>
      <c r="W73" s="147"/>
      <c r="X73" s="147"/>
      <c r="Y73" s="147"/>
      <c r="Z73" s="147"/>
      <c r="AA73" s="147"/>
      <c r="AB73" s="147"/>
      <c r="AC73" s="147"/>
      <c r="AD73" s="147"/>
      <c r="AF73" s="148">
        <f t="shared" si="9"/>
        <v>0.14207327939149639</v>
      </c>
      <c r="AG73" s="148">
        <f t="shared" si="9"/>
        <v>0.13027058371923977</v>
      </c>
      <c r="AH73" s="148">
        <f t="shared" si="9"/>
        <v>0.10615585750384092</v>
      </c>
      <c r="AI73" s="234">
        <f t="shared" si="9"/>
        <v>0.16725912067352666</v>
      </c>
      <c r="AJ73" s="234" t="str">
        <f t="shared" si="9"/>
        <v/>
      </c>
      <c r="AK73" s="234" t="str">
        <f t="shared" si="9"/>
        <v/>
      </c>
      <c r="AL73" s="148" t="str">
        <f t="shared" si="9"/>
        <v/>
      </c>
      <c r="AM73" s="148" t="str">
        <f t="shared" si="9"/>
        <v/>
      </c>
      <c r="AN73" s="148" t="str">
        <f t="shared" si="9"/>
        <v/>
      </c>
      <c r="AO73" s="148" t="str">
        <f t="shared" si="9"/>
        <v/>
      </c>
      <c r="AP73" s="148" t="str">
        <f t="shared" si="9"/>
        <v/>
      </c>
      <c r="AQ73" s="148" t="str">
        <f t="shared" si="9"/>
        <v/>
      </c>
    </row>
    <row r="74" spans="2:43" x14ac:dyDescent="0.35">
      <c r="B74" s="17"/>
      <c r="C74" s="225">
        <v>20547141068</v>
      </c>
      <c r="D74" s="154" t="s">
        <v>376</v>
      </c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F74" s="148" t="str">
        <f t="shared" si="9"/>
        <v/>
      </c>
      <c r="AG74" s="148" t="str">
        <f t="shared" si="9"/>
        <v/>
      </c>
      <c r="AH74" s="148" t="str">
        <f t="shared" si="9"/>
        <v/>
      </c>
      <c r="AI74" s="234" t="str">
        <f t="shared" si="9"/>
        <v/>
      </c>
      <c r="AJ74" s="234" t="str">
        <f t="shared" si="9"/>
        <v/>
      </c>
      <c r="AK74" s="234" t="str">
        <f t="shared" si="9"/>
        <v/>
      </c>
      <c r="AL74" s="148" t="str">
        <f t="shared" si="9"/>
        <v/>
      </c>
      <c r="AM74" s="148" t="str">
        <f t="shared" si="9"/>
        <v/>
      </c>
      <c r="AN74" s="148" t="str">
        <f t="shared" si="9"/>
        <v/>
      </c>
      <c r="AO74" s="148" t="str">
        <f t="shared" si="9"/>
        <v/>
      </c>
      <c r="AP74" s="148" t="str">
        <f t="shared" si="9"/>
        <v/>
      </c>
      <c r="AQ74" s="148" t="str">
        <f t="shared" si="9"/>
        <v/>
      </c>
    </row>
    <row r="75" spans="2:43" x14ac:dyDescent="0.35">
      <c r="B75" s="17"/>
      <c r="C75" s="225">
        <v>20514196428</v>
      </c>
      <c r="D75" s="154" t="s">
        <v>377</v>
      </c>
      <c r="F75" s="147">
        <v>5111</v>
      </c>
      <c r="G75" s="147"/>
      <c r="H75" s="147">
        <v>103488</v>
      </c>
      <c r="I75" s="147"/>
      <c r="J75" s="147"/>
      <c r="K75" s="147"/>
      <c r="L75" s="147"/>
      <c r="M75" s="147"/>
      <c r="N75" s="147"/>
      <c r="O75" s="147"/>
      <c r="P75" s="147"/>
      <c r="Q75" s="147"/>
      <c r="S75" s="147">
        <v>47691</v>
      </c>
      <c r="T75" s="147"/>
      <c r="U75" s="147">
        <v>706398</v>
      </c>
      <c r="V75" s="147"/>
      <c r="W75" s="147"/>
      <c r="X75" s="147"/>
      <c r="Y75" s="147"/>
      <c r="Z75" s="147"/>
      <c r="AA75" s="147"/>
      <c r="AB75" s="147"/>
      <c r="AC75" s="147"/>
      <c r="AD75" s="147"/>
      <c r="AF75" s="148">
        <f t="shared" si="9"/>
        <v>0.10716906753894864</v>
      </c>
      <c r="AG75" s="148" t="str">
        <f t="shared" si="9"/>
        <v/>
      </c>
      <c r="AH75" s="148">
        <f t="shared" si="9"/>
        <v>0.14650098103335513</v>
      </c>
      <c r="AI75" s="234" t="str">
        <f t="shared" si="9"/>
        <v/>
      </c>
      <c r="AJ75" s="234" t="str">
        <f t="shared" si="9"/>
        <v/>
      </c>
      <c r="AK75" s="234" t="str">
        <f t="shared" si="9"/>
        <v/>
      </c>
      <c r="AL75" s="148" t="str">
        <f t="shared" si="9"/>
        <v/>
      </c>
      <c r="AM75" s="148" t="str">
        <f t="shared" si="9"/>
        <v/>
      </c>
      <c r="AN75" s="148" t="str">
        <f t="shared" si="9"/>
        <v/>
      </c>
      <c r="AO75" s="148" t="str">
        <f t="shared" si="9"/>
        <v/>
      </c>
      <c r="AP75" s="148" t="str">
        <f t="shared" si="9"/>
        <v/>
      </c>
      <c r="AQ75" s="148" t="str">
        <f t="shared" si="9"/>
        <v/>
      </c>
    </row>
    <row r="76" spans="2:43" x14ac:dyDescent="0.35">
      <c r="B76" s="17"/>
      <c r="C76" s="225">
        <v>20100025168</v>
      </c>
      <c r="D76" s="154" t="s">
        <v>378</v>
      </c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F76" s="148" t="str">
        <f t="shared" si="9"/>
        <v/>
      </c>
      <c r="AG76" s="148" t="str">
        <f t="shared" si="9"/>
        <v/>
      </c>
      <c r="AH76" s="148" t="str">
        <f t="shared" si="9"/>
        <v/>
      </c>
      <c r="AI76" s="234" t="str">
        <f t="shared" si="9"/>
        <v/>
      </c>
      <c r="AJ76" s="234" t="str">
        <f t="shared" si="9"/>
        <v/>
      </c>
      <c r="AK76" s="234" t="str">
        <f t="shared" si="9"/>
        <v/>
      </c>
      <c r="AL76" s="148" t="str">
        <f t="shared" si="9"/>
        <v/>
      </c>
      <c r="AM76" s="148" t="str">
        <f t="shared" si="9"/>
        <v/>
      </c>
      <c r="AN76" s="148" t="str">
        <f t="shared" si="9"/>
        <v/>
      </c>
      <c r="AO76" s="148" t="str">
        <f t="shared" si="9"/>
        <v/>
      </c>
      <c r="AP76" s="148" t="str">
        <f t="shared" si="9"/>
        <v/>
      </c>
      <c r="AQ76" s="148" t="str">
        <f t="shared" si="9"/>
        <v/>
      </c>
    </row>
    <row r="77" spans="2:43" x14ac:dyDescent="0.35">
      <c r="B77" s="17"/>
      <c r="C77" s="225">
        <v>20549650440</v>
      </c>
      <c r="D77" s="154" t="s">
        <v>379</v>
      </c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F77" s="148" t="str">
        <f t="shared" si="9"/>
        <v/>
      </c>
      <c r="AG77" s="148" t="str">
        <f t="shared" si="9"/>
        <v/>
      </c>
      <c r="AH77" s="148" t="str">
        <f t="shared" si="9"/>
        <v/>
      </c>
      <c r="AI77" s="234" t="str">
        <f t="shared" si="9"/>
        <v/>
      </c>
      <c r="AJ77" s="234" t="str">
        <f t="shared" si="9"/>
        <v/>
      </c>
      <c r="AK77" s="234" t="str">
        <f t="shared" si="9"/>
        <v/>
      </c>
      <c r="AL77" s="148" t="str">
        <f t="shared" si="9"/>
        <v/>
      </c>
      <c r="AM77" s="148" t="str">
        <f t="shared" si="9"/>
        <v/>
      </c>
      <c r="AN77" s="148" t="str">
        <f t="shared" si="9"/>
        <v/>
      </c>
      <c r="AO77" s="148" t="str">
        <f t="shared" si="9"/>
        <v/>
      </c>
      <c r="AP77" s="148" t="str">
        <f t="shared" si="9"/>
        <v/>
      </c>
      <c r="AQ77" s="148" t="str">
        <f t="shared" si="9"/>
        <v/>
      </c>
    </row>
    <row r="78" spans="2:43" x14ac:dyDescent="0.35">
      <c r="B78" s="17"/>
      <c r="C78" s="225">
        <v>20531366132</v>
      </c>
      <c r="D78" s="154" t="s">
        <v>380</v>
      </c>
      <c r="F78" s="147">
        <v>64338</v>
      </c>
      <c r="G78" s="147">
        <v>51014</v>
      </c>
      <c r="H78" s="147">
        <v>63457</v>
      </c>
      <c r="I78" s="147">
        <v>8685</v>
      </c>
      <c r="J78" s="147"/>
      <c r="K78" s="147"/>
      <c r="L78" s="147"/>
      <c r="M78" s="147"/>
      <c r="N78" s="147"/>
      <c r="O78" s="147"/>
      <c r="P78" s="147"/>
      <c r="Q78" s="147"/>
      <c r="S78" s="147">
        <v>301986</v>
      </c>
      <c r="T78" s="147">
        <v>207443</v>
      </c>
      <c r="U78" s="147">
        <v>296678</v>
      </c>
      <c r="V78" s="147">
        <v>38963</v>
      </c>
      <c r="W78" s="147"/>
      <c r="X78" s="147"/>
      <c r="Y78" s="147"/>
      <c r="Z78" s="147"/>
      <c r="AA78" s="147"/>
      <c r="AB78" s="147"/>
      <c r="AC78" s="147"/>
      <c r="AD78" s="147"/>
      <c r="AF78" s="148">
        <f t="shared" si="9"/>
        <v>0.21304961157139735</v>
      </c>
      <c r="AG78" s="148">
        <f t="shared" si="9"/>
        <v>0.24591815583075832</v>
      </c>
      <c r="AH78" s="148">
        <f t="shared" si="9"/>
        <v>0.21389182885148209</v>
      </c>
      <c r="AI78" s="234">
        <f t="shared" si="9"/>
        <v>0.22290378050971435</v>
      </c>
      <c r="AJ78" s="234" t="str">
        <f t="shared" si="9"/>
        <v/>
      </c>
      <c r="AK78" s="234" t="str">
        <f t="shared" si="9"/>
        <v/>
      </c>
      <c r="AL78" s="148" t="str">
        <f t="shared" si="9"/>
        <v/>
      </c>
      <c r="AM78" s="148" t="str">
        <f t="shared" si="9"/>
        <v/>
      </c>
      <c r="AN78" s="148" t="str">
        <f t="shared" si="9"/>
        <v/>
      </c>
      <c r="AO78" s="148" t="str">
        <f t="shared" si="9"/>
        <v/>
      </c>
      <c r="AP78" s="148" t="str">
        <f t="shared" si="9"/>
        <v/>
      </c>
      <c r="AQ78" s="148" t="str">
        <f t="shared" si="9"/>
        <v/>
      </c>
    </row>
    <row r="79" spans="2:43" x14ac:dyDescent="0.35">
      <c r="B79" s="17"/>
      <c r="C79" s="225">
        <v>20523915399</v>
      </c>
      <c r="D79" s="154" t="s">
        <v>381</v>
      </c>
      <c r="F79" s="147">
        <v>9348</v>
      </c>
      <c r="G79" s="147">
        <v>11285</v>
      </c>
      <c r="H79" s="147">
        <v>14923</v>
      </c>
      <c r="I79" s="147">
        <v>1219</v>
      </c>
      <c r="J79" s="147"/>
      <c r="K79" s="147"/>
      <c r="L79" s="147"/>
      <c r="M79" s="147"/>
      <c r="N79" s="147"/>
      <c r="O79" s="147"/>
      <c r="P79" s="147"/>
      <c r="Q79" s="147"/>
      <c r="S79" s="147">
        <v>74173</v>
      </c>
      <c r="T79" s="147">
        <v>60869</v>
      </c>
      <c r="U79" s="147">
        <v>90507</v>
      </c>
      <c r="V79" s="147">
        <v>8613</v>
      </c>
      <c r="W79" s="147"/>
      <c r="X79" s="147"/>
      <c r="Y79" s="147"/>
      <c r="Z79" s="147"/>
      <c r="AA79" s="147"/>
      <c r="AB79" s="147"/>
      <c r="AC79" s="147"/>
      <c r="AD79" s="147"/>
      <c r="AF79" s="148">
        <f t="shared" si="9"/>
        <v>0.12602968735254069</v>
      </c>
      <c r="AG79" s="148">
        <f t="shared" si="9"/>
        <v>0.18539815012567973</v>
      </c>
      <c r="AH79" s="148">
        <f t="shared" si="9"/>
        <v>0.16488227429922547</v>
      </c>
      <c r="AI79" s="234">
        <f t="shared" si="9"/>
        <v>0.14153024497852085</v>
      </c>
      <c r="AJ79" s="234" t="str">
        <f t="shared" si="9"/>
        <v/>
      </c>
      <c r="AK79" s="234" t="str">
        <f t="shared" si="9"/>
        <v/>
      </c>
      <c r="AL79" s="148" t="str">
        <f t="shared" si="9"/>
        <v/>
      </c>
      <c r="AM79" s="148" t="str">
        <f t="shared" si="9"/>
        <v/>
      </c>
      <c r="AN79" s="148" t="str">
        <f t="shared" si="9"/>
        <v/>
      </c>
      <c r="AO79" s="148" t="str">
        <f t="shared" si="9"/>
        <v/>
      </c>
      <c r="AP79" s="148" t="str">
        <f t="shared" si="9"/>
        <v/>
      </c>
      <c r="AQ79" s="148" t="str">
        <f t="shared" si="9"/>
        <v/>
      </c>
    </row>
    <row r="80" spans="2:43" x14ac:dyDescent="0.35">
      <c r="B80" s="17"/>
      <c r="C80" s="225">
        <v>20601785961</v>
      </c>
      <c r="D80" s="154" t="s">
        <v>382</v>
      </c>
      <c r="F80" s="147">
        <v>44680</v>
      </c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S80" s="147">
        <v>469542</v>
      </c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F80" s="148">
        <f t="shared" si="9"/>
        <v>9.5156556814938814E-2</v>
      </c>
      <c r="AG80" s="148" t="str">
        <f t="shared" si="9"/>
        <v/>
      </c>
      <c r="AH80" s="148" t="str">
        <f t="shared" si="9"/>
        <v/>
      </c>
      <c r="AI80" s="234" t="str">
        <f t="shared" si="9"/>
        <v/>
      </c>
      <c r="AJ80" s="234" t="str">
        <f t="shared" si="9"/>
        <v/>
      </c>
      <c r="AK80" s="234" t="str">
        <f t="shared" si="9"/>
        <v/>
      </c>
      <c r="AL80" s="148" t="str">
        <f t="shared" si="9"/>
        <v/>
      </c>
      <c r="AM80" s="148" t="str">
        <f t="shared" si="9"/>
        <v/>
      </c>
      <c r="AN80" s="148" t="str">
        <f t="shared" si="9"/>
        <v/>
      </c>
      <c r="AO80" s="148" t="str">
        <f t="shared" si="9"/>
        <v/>
      </c>
      <c r="AP80" s="148" t="str">
        <f t="shared" si="9"/>
        <v/>
      </c>
      <c r="AQ80" s="148" t="str">
        <f t="shared" si="9"/>
        <v/>
      </c>
    </row>
    <row r="81" spans="2:43" x14ac:dyDescent="0.35">
      <c r="B81" s="17"/>
      <c r="C81" s="225">
        <v>20136096592</v>
      </c>
      <c r="D81" s="154" t="s">
        <v>383</v>
      </c>
      <c r="F81" s="147">
        <v>12180</v>
      </c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S81" s="147">
        <v>113960</v>
      </c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F81" s="148">
        <f t="shared" si="9"/>
        <v>0.10687960687960688</v>
      </c>
      <c r="AG81" s="148" t="str">
        <f t="shared" si="9"/>
        <v/>
      </c>
      <c r="AH81" s="148" t="str">
        <f t="shared" si="9"/>
        <v/>
      </c>
      <c r="AI81" s="234" t="str">
        <f t="shared" si="9"/>
        <v/>
      </c>
      <c r="AJ81" s="234" t="str">
        <f t="shared" si="9"/>
        <v/>
      </c>
      <c r="AK81" s="234" t="str">
        <f t="shared" si="9"/>
        <v/>
      </c>
      <c r="AL81" s="148" t="str">
        <f t="shared" si="9"/>
        <v/>
      </c>
      <c r="AM81" s="148" t="str">
        <f t="shared" si="9"/>
        <v/>
      </c>
      <c r="AN81" s="148" t="str">
        <f t="shared" si="9"/>
        <v/>
      </c>
      <c r="AO81" s="148" t="str">
        <f t="shared" si="9"/>
        <v/>
      </c>
      <c r="AP81" s="148" t="str">
        <f t="shared" si="9"/>
        <v/>
      </c>
      <c r="AQ81" s="148" t="str">
        <f t="shared" si="9"/>
        <v/>
      </c>
    </row>
    <row r="82" spans="2:43" x14ac:dyDescent="0.35">
      <c r="B82" s="17"/>
      <c r="C82" s="225">
        <v>20486562341</v>
      </c>
      <c r="D82" s="154" t="s">
        <v>384</v>
      </c>
      <c r="F82" s="147">
        <v>24147</v>
      </c>
      <c r="G82" s="147">
        <v>20330</v>
      </c>
      <c r="H82" s="147">
        <v>27847</v>
      </c>
      <c r="I82" s="147">
        <v>3692</v>
      </c>
      <c r="J82" s="147"/>
      <c r="K82" s="147"/>
      <c r="L82" s="147"/>
      <c r="M82" s="147"/>
      <c r="N82" s="147"/>
      <c r="O82" s="147"/>
      <c r="P82" s="147"/>
      <c r="Q82" s="147"/>
      <c r="S82" s="147">
        <v>151652</v>
      </c>
      <c r="T82" s="147">
        <v>125301</v>
      </c>
      <c r="U82" s="147">
        <v>155627</v>
      </c>
      <c r="V82" s="147">
        <v>21945</v>
      </c>
      <c r="W82" s="147"/>
      <c r="X82" s="147"/>
      <c r="Y82" s="147"/>
      <c r="Z82" s="147"/>
      <c r="AA82" s="147"/>
      <c r="AB82" s="147"/>
      <c r="AC82" s="147"/>
      <c r="AD82" s="147"/>
      <c r="AF82" s="148">
        <f t="shared" si="9"/>
        <v>0.15922638672750772</v>
      </c>
      <c r="AG82" s="148">
        <f t="shared" si="9"/>
        <v>0.16224930367674639</v>
      </c>
      <c r="AH82" s="148">
        <f t="shared" si="9"/>
        <v>0.1789342466281558</v>
      </c>
      <c r="AI82" s="234">
        <f t="shared" si="9"/>
        <v>0.16823877876509455</v>
      </c>
      <c r="AJ82" s="234" t="str">
        <f t="shared" si="9"/>
        <v/>
      </c>
      <c r="AK82" s="234" t="str">
        <f t="shared" si="9"/>
        <v/>
      </c>
      <c r="AL82" s="148" t="str">
        <f t="shared" si="9"/>
        <v/>
      </c>
      <c r="AM82" s="148" t="str">
        <f t="shared" si="9"/>
        <v/>
      </c>
      <c r="AN82" s="148" t="str">
        <f t="shared" si="9"/>
        <v/>
      </c>
      <c r="AO82" s="148" t="str">
        <f t="shared" si="9"/>
        <v/>
      </c>
      <c r="AP82" s="148" t="str">
        <f t="shared" si="9"/>
        <v/>
      </c>
      <c r="AQ82" s="148" t="str">
        <f t="shared" si="9"/>
        <v/>
      </c>
    </row>
    <row r="83" spans="2:43" x14ac:dyDescent="0.35">
      <c r="B83" s="17"/>
      <c r="C83" s="225">
        <v>71711119</v>
      </c>
      <c r="D83" s="154" t="s">
        <v>385</v>
      </c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F83" s="148" t="str">
        <f t="shared" si="9"/>
        <v/>
      </c>
      <c r="AG83" s="148" t="str">
        <f t="shared" si="9"/>
        <v/>
      </c>
      <c r="AH83" s="148" t="str">
        <f t="shared" si="9"/>
        <v/>
      </c>
      <c r="AI83" s="234" t="str">
        <f t="shared" si="9"/>
        <v/>
      </c>
      <c r="AJ83" s="234" t="str">
        <f t="shared" si="9"/>
        <v/>
      </c>
      <c r="AK83" s="234" t="str">
        <f t="shared" si="9"/>
        <v/>
      </c>
      <c r="AL83" s="148" t="str">
        <f t="shared" si="9"/>
        <v/>
      </c>
      <c r="AM83" s="148" t="str">
        <f t="shared" si="9"/>
        <v/>
      </c>
      <c r="AN83" s="148" t="str">
        <f t="shared" si="9"/>
        <v/>
      </c>
      <c r="AO83" s="148" t="str">
        <f t="shared" si="9"/>
        <v/>
      </c>
      <c r="AP83" s="148" t="str">
        <f t="shared" si="9"/>
        <v/>
      </c>
      <c r="AQ83" s="148" t="str">
        <f t="shared" si="9"/>
        <v/>
      </c>
    </row>
    <row r="84" spans="2:43" x14ac:dyDescent="0.35">
      <c r="B84" s="17"/>
      <c r="C84" s="225">
        <v>20504179215</v>
      </c>
      <c r="D84" s="154" t="s">
        <v>386</v>
      </c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F84" s="148" t="str">
        <f t="shared" si="9"/>
        <v/>
      </c>
      <c r="AG84" s="148" t="str">
        <f t="shared" si="9"/>
        <v/>
      </c>
      <c r="AH84" s="148" t="str">
        <f t="shared" si="9"/>
        <v/>
      </c>
      <c r="AI84" s="234" t="str">
        <f t="shared" si="9"/>
        <v/>
      </c>
      <c r="AJ84" s="234" t="str">
        <f t="shared" si="9"/>
        <v/>
      </c>
      <c r="AK84" s="234" t="str">
        <f t="shared" si="9"/>
        <v/>
      </c>
      <c r="AL84" s="148" t="str">
        <f t="shared" si="9"/>
        <v/>
      </c>
      <c r="AM84" s="148" t="str">
        <f t="shared" si="9"/>
        <v/>
      </c>
      <c r="AN84" s="148" t="str">
        <f t="shared" si="9"/>
        <v/>
      </c>
      <c r="AO84" s="148" t="str">
        <f t="shared" si="9"/>
        <v/>
      </c>
      <c r="AP84" s="148" t="str">
        <f t="shared" si="9"/>
        <v/>
      </c>
      <c r="AQ84" s="148" t="str">
        <f t="shared" si="9"/>
        <v/>
      </c>
    </row>
    <row r="85" spans="2:43" x14ac:dyDescent="0.35">
      <c r="B85" s="17"/>
      <c r="C85" s="225">
        <v>20514374032</v>
      </c>
      <c r="D85" s="154" t="s">
        <v>387</v>
      </c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F85" s="148" t="str">
        <f t="shared" si="9"/>
        <v/>
      </c>
      <c r="AG85" s="148" t="str">
        <f t="shared" si="9"/>
        <v/>
      </c>
      <c r="AH85" s="148" t="str">
        <f t="shared" si="9"/>
        <v/>
      </c>
      <c r="AI85" s="234" t="str">
        <f t="shared" si="9"/>
        <v/>
      </c>
      <c r="AJ85" s="234" t="str">
        <f t="shared" si="9"/>
        <v/>
      </c>
      <c r="AK85" s="234" t="str">
        <f t="shared" si="9"/>
        <v/>
      </c>
      <c r="AL85" s="148" t="str">
        <f t="shared" si="9"/>
        <v/>
      </c>
      <c r="AM85" s="148" t="str">
        <f t="shared" si="9"/>
        <v/>
      </c>
      <c r="AN85" s="148" t="str">
        <f t="shared" si="9"/>
        <v/>
      </c>
      <c r="AO85" s="148" t="str">
        <f t="shared" si="9"/>
        <v/>
      </c>
      <c r="AP85" s="148" t="str">
        <f t="shared" si="9"/>
        <v/>
      </c>
      <c r="AQ85" s="148" t="str">
        <f t="shared" si="9"/>
        <v/>
      </c>
    </row>
    <row r="86" spans="2:43" x14ac:dyDescent="0.35">
      <c r="B86" s="17"/>
      <c r="C86" s="225">
        <v>20515846949</v>
      </c>
      <c r="D86" s="154" t="s">
        <v>388</v>
      </c>
      <c r="F86" s="147">
        <v>11708</v>
      </c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S86" s="147">
        <v>24788</v>
      </c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F86" s="148">
        <f t="shared" si="9"/>
        <v>0.47232531870259803</v>
      </c>
      <c r="AG86" s="148" t="str">
        <f t="shared" si="9"/>
        <v/>
      </c>
      <c r="AH86" s="148" t="str">
        <f t="shared" si="9"/>
        <v/>
      </c>
      <c r="AI86" s="234" t="str">
        <f t="shared" si="9"/>
        <v/>
      </c>
      <c r="AJ86" s="234" t="str">
        <f t="shared" si="9"/>
        <v/>
      </c>
      <c r="AK86" s="234" t="str">
        <f t="shared" si="9"/>
        <v/>
      </c>
      <c r="AL86" s="148" t="str">
        <f t="shared" si="9"/>
        <v/>
      </c>
      <c r="AM86" s="148" t="str">
        <f t="shared" si="9"/>
        <v/>
      </c>
      <c r="AN86" s="148" t="str">
        <f t="shared" si="9"/>
        <v/>
      </c>
      <c r="AO86" s="148" t="str">
        <f t="shared" si="9"/>
        <v/>
      </c>
      <c r="AP86" s="148" t="str">
        <f t="shared" si="9"/>
        <v/>
      </c>
      <c r="AQ86" s="148" t="str">
        <f t="shared" si="9"/>
        <v/>
      </c>
    </row>
    <row r="87" spans="2:43" x14ac:dyDescent="0.35">
      <c r="B87" s="17"/>
      <c r="C87" s="225">
        <v>20513362596</v>
      </c>
      <c r="D87" s="154" t="s">
        <v>389</v>
      </c>
      <c r="F87" s="147">
        <v>7520</v>
      </c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S87" s="147">
        <v>107982</v>
      </c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F87" s="148">
        <f t="shared" si="9"/>
        <v>6.9641236502380022E-2</v>
      </c>
      <c r="AG87" s="148" t="str">
        <f t="shared" si="9"/>
        <v/>
      </c>
      <c r="AH87" s="148" t="str">
        <f t="shared" si="9"/>
        <v/>
      </c>
      <c r="AI87" s="234" t="str">
        <f t="shared" si="9"/>
        <v/>
      </c>
      <c r="AJ87" s="234" t="str">
        <f t="shared" si="9"/>
        <v/>
      </c>
      <c r="AK87" s="234" t="str">
        <f t="shared" si="9"/>
        <v/>
      </c>
      <c r="AL87" s="148" t="str">
        <f t="shared" si="9"/>
        <v/>
      </c>
      <c r="AM87" s="148" t="str">
        <f t="shared" si="9"/>
        <v/>
      </c>
      <c r="AN87" s="148" t="str">
        <f t="shared" si="9"/>
        <v/>
      </c>
      <c r="AO87" s="148" t="str">
        <f t="shared" si="9"/>
        <v/>
      </c>
      <c r="AP87" s="148" t="str">
        <f t="shared" si="9"/>
        <v/>
      </c>
      <c r="AQ87" s="148" t="str">
        <f t="shared" si="9"/>
        <v/>
      </c>
    </row>
    <row r="88" spans="2:43" x14ac:dyDescent="0.35">
      <c r="B88" s="14" t="s">
        <v>390</v>
      </c>
      <c r="C88" s="227"/>
      <c r="D88" s="14"/>
      <c r="F88" s="149">
        <f t="shared" ref="F88:Q88" si="10">+SUM(F68:F87)</f>
        <v>15224240</v>
      </c>
      <c r="G88" s="149">
        <f t="shared" si="10"/>
        <v>13795370</v>
      </c>
      <c r="H88" s="149">
        <f t="shared" si="10"/>
        <v>16017824</v>
      </c>
      <c r="I88" s="149">
        <f t="shared" si="10"/>
        <v>2453422</v>
      </c>
      <c r="J88" s="149">
        <f t="shared" si="10"/>
        <v>0</v>
      </c>
      <c r="K88" s="149">
        <f t="shared" si="10"/>
        <v>0</v>
      </c>
      <c r="L88" s="149">
        <f t="shared" si="10"/>
        <v>0</v>
      </c>
      <c r="M88" s="149">
        <f t="shared" si="10"/>
        <v>0</v>
      </c>
      <c r="N88" s="149">
        <f t="shared" si="10"/>
        <v>0</v>
      </c>
      <c r="O88" s="149">
        <f t="shared" si="10"/>
        <v>0</v>
      </c>
      <c r="P88" s="149">
        <f t="shared" si="10"/>
        <v>0</v>
      </c>
      <c r="Q88" s="149">
        <f t="shared" si="10"/>
        <v>0</v>
      </c>
      <c r="S88" s="149">
        <f t="shared" ref="S88:AD88" si="11">+SUM(S68:S87)</f>
        <v>119354833</v>
      </c>
      <c r="T88" s="149">
        <f t="shared" si="11"/>
        <v>108661832</v>
      </c>
      <c r="U88" s="149">
        <f t="shared" si="11"/>
        <v>128027831</v>
      </c>
      <c r="V88" s="149">
        <f t="shared" si="11"/>
        <v>18475718</v>
      </c>
      <c r="W88" s="149">
        <f t="shared" si="11"/>
        <v>0</v>
      </c>
      <c r="X88" s="149">
        <f t="shared" si="11"/>
        <v>0</v>
      </c>
      <c r="Y88" s="149">
        <f t="shared" si="11"/>
        <v>0</v>
      </c>
      <c r="Z88" s="149">
        <f t="shared" si="11"/>
        <v>0</v>
      </c>
      <c r="AA88" s="149">
        <f t="shared" si="11"/>
        <v>0</v>
      </c>
      <c r="AB88" s="149">
        <f t="shared" si="11"/>
        <v>0</v>
      </c>
      <c r="AC88" s="149">
        <f t="shared" si="11"/>
        <v>0</v>
      </c>
      <c r="AD88" s="149">
        <f t="shared" si="11"/>
        <v>0</v>
      </c>
      <c r="AF88" s="150">
        <f t="shared" si="9"/>
        <v>0.12755444934517229</v>
      </c>
      <c r="AG88" s="150">
        <f t="shared" si="9"/>
        <v>0.12695690608271726</v>
      </c>
      <c r="AH88" s="150">
        <f t="shared" si="9"/>
        <v>0.12511204692673422</v>
      </c>
      <c r="AI88" s="235">
        <f t="shared" si="9"/>
        <v>0.13279169989496484</v>
      </c>
      <c r="AJ88" s="235" t="str">
        <f t="shared" si="9"/>
        <v/>
      </c>
      <c r="AK88" s="235" t="str">
        <f t="shared" si="9"/>
        <v/>
      </c>
      <c r="AL88" s="150" t="str">
        <f t="shared" si="9"/>
        <v/>
      </c>
      <c r="AM88" s="150" t="str">
        <f t="shared" si="9"/>
        <v/>
      </c>
      <c r="AN88" s="150" t="str">
        <f t="shared" si="9"/>
        <v/>
      </c>
      <c r="AO88" s="150" t="str">
        <f t="shared" si="9"/>
        <v/>
      </c>
      <c r="AP88" s="150" t="str">
        <f t="shared" si="9"/>
        <v/>
      </c>
      <c r="AQ88" s="150" t="str">
        <f t="shared" si="9"/>
        <v/>
      </c>
    </row>
    <row r="89" spans="2:43" x14ac:dyDescent="0.35">
      <c r="B89" s="17"/>
      <c r="C89" s="225"/>
      <c r="D89" s="17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F89" s="152"/>
      <c r="AG89" s="152"/>
      <c r="AH89" s="152"/>
      <c r="AI89" s="236"/>
      <c r="AJ89" s="236"/>
      <c r="AK89" s="236"/>
      <c r="AL89" s="152"/>
      <c r="AM89" s="152"/>
      <c r="AN89" s="152"/>
      <c r="AO89" s="152"/>
    </row>
    <row r="90" spans="2:43" x14ac:dyDescent="0.35">
      <c r="B90" s="17" t="s">
        <v>91</v>
      </c>
      <c r="C90" s="225">
        <v>20492092313</v>
      </c>
      <c r="D90" s="154" t="s">
        <v>391</v>
      </c>
      <c r="F90" s="147">
        <v>10287255</v>
      </c>
      <c r="G90" s="147">
        <v>9991236</v>
      </c>
      <c r="H90" s="147">
        <v>12873725</v>
      </c>
      <c r="I90" s="147">
        <v>2145735</v>
      </c>
      <c r="J90" s="147"/>
      <c r="K90" s="147"/>
      <c r="L90" s="147"/>
      <c r="M90" s="147"/>
      <c r="N90" s="147"/>
      <c r="O90" s="147"/>
      <c r="P90" s="147"/>
      <c r="Q90" s="147"/>
      <c r="S90" s="147">
        <v>93206242</v>
      </c>
      <c r="T90" s="147">
        <v>92920431</v>
      </c>
      <c r="U90" s="147">
        <v>117864801</v>
      </c>
      <c r="V90" s="147">
        <v>18189322</v>
      </c>
      <c r="W90" s="147"/>
      <c r="X90" s="147"/>
      <c r="Y90" s="147"/>
      <c r="Z90" s="147"/>
      <c r="AA90" s="147"/>
      <c r="AB90" s="147"/>
      <c r="AC90" s="147"/>
      <c r="AD90" s="147"/>
      <c r="AF90" s="148">
        <f t="shared" ref="AF90:AQ110" si="12">+IFERROR(F90/S90,"")</f>
        <v>0.11037088052536224</v>
      </c>
      <c r="AG90" s="148">
        <f t="shared" si="12"/>
        <v>0.10752464116314743</v>
      </c>
      <c r="AH90" s="148">
        <f t="shared" si="12"/>
        <v>0.10922450885061097</v>
      </c>
      <c r="AI90" s="234">
        <f t="shared" si="12"/>
        <v>0.11796673894716911</v>
      </c>
      <c r="AJ90" s="234" t="str">
        <f t="shared" si="12"/>
        <v/>
      </c>
      <c r="AK90" s="234" t="str">
        <f t="shared" si="12"/>
        <v/>
      </c>
      <c r="AL90" s="148" t="str">
        <f t="shared" si="12"/>
        <v/>
      </c>
      <c r="AM90" s="148" t="str">
        <f t="shared" si="12"/>
        <v/>
      </c>
      <c r="AN90" s="148" t="str">
        <f t="shared" si="12"/>
        <v/>
      </c>
      <c r="AO90" s="148" t="str">
        <f t="shared" si="12"/>
        <v/>
      </c>
      <c r="AP90" s="148" t="str">
        <f t="shared" si="12"/>
        <v/>
      </c>
      <c r="AQ90" s="148" t="str">
        <f t="shared" si="12"/>
        <v/>
      </c>
    </row>
    <row r="91" spans="2:43" x14ac:dyDescent="0.35">
      <c r="B91" s="17"/>
      <c r="C91" s="225">
        <v>20141189850</v>
      </c>
      <c r="D91" s="154" t="s">
        <v>392</v>
      </c>
      <c r="F91" s="147">
        <v>919228</v>
      </c>
      <c r="G91" s="147"/>
      <c r="H91" s="147">
        <v>1399040</v>
      </c>
      <c r="I91" s="147"/>
      <c r="J91" s="147"/>
      <c r="K91" s="147"/>
      <c r="L91" s="147"/>
      <c r="M91" s="147"/>
      <c r="N91" s="147"/>
      <c r="O91" s="147"/>
      <c r="P91" s="147"/>
      <c r="Q91" s="147"/>
      <c r="S91" s="147">
        <v>8430564</v>
      </c>
      <c r="T91" s="147"/>
      <c r="U91" s="147">
        <v>11458968</v>
      </c>
      <c r="V91" s="147"/>
      <c r="W91" s="147"/>
      <c r="X91" s="147"/>
      <c r="Y91" s="147"/>
      <c r="Z91" s="147"/>
      <c r="AA91" s="147"/>
      <c r="AB91" s="147"/>
      <c r="AC91" s="147"/>
      <c r="AD91" s="147"/>
      <c r="AF91" s="148">
        <f t="shared" si="12"/>
        <v>0.10903517249854221</v>
      </c>
      <c r="AG91" s="148" t="str">
        <f t="shared" si="12"/>
        <v/>
      </c>
      <c r="AH91" s="148">
        <f t="shared" si="12"/>
        <v>0.12209127383897049</v>
      </c>
      <c r="AI91" s="234" t="str">
        <f t="shared" si="12"/>
        <v/>
      </c>
      <c r="AJ91" s="234" t="str">
        <f t="shared" si="12"/>
        <v/>
      </c>
      <c r="AK91" s="234" t="str">
        <f t="shared" si="12"/>
        <v/>
      </c>
      <c r="AL91" s="148" t="str">
        <f t="shared" si="12"/>
        <v/>
      </c>
      <c r="AM91" s="148" t="str">
        <f t="shared" si="12"/>
        <v/>
      </c>
      <c r="AN91" s="148" t="str">
        <f t="shared" si="12"/>
        <v/>
      </c>
      <c r="AO91" s="148" t="str">
        <f t="shared" si="12"/>
        <v/>
      </c>
      <c r="AP91" s="148" t="str">
        <f t="shared" si="12"/>
        <v/>
      </c>
      <c r="AQ91" s="148" t="str">
        <f t="shared" si="12"/>
        <v/>
      </c>
    </row>
    <row r="92" spans="2:43" x14ac:dyDescent="0.35">
      <c r="B92" s="17"/>
      <c r="C92" s="225">
        <v>20378890161</v>
      </c>
      <c r="D92" s="154" t="s">
        <v>393</v>
      </c>
      <c r="F92" s="147">
        <v>54694</v>
      </c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S92" s="147">
        <v>137527</v>
      </c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F92" s="148">
        <f t="shared" si="12"/>
        <v>0.39769645233299644</v>
      </c>
      <c r="AG92" s="148" t="str">
        <f t="shared" si="12"/>
        <v/>
      </c>
      <c r="AH92" s="148" t="str">
        <f t="shared" si="12"/>
        <v/>
      </c>
      <c r="AI92" s="234" t="str">
        <f t="shared" si="12"/>
        <v/>
      </c>
      <c r="AJ92" s="234" t="str">
        <f t="shared" si="12"/>
        <v/>
      </c>
      <c r="AK92" s="234" t="str">
        <f t="shared" si="12"/>
        <v/>
      </c>
      <c r="AL92" s="148" t="str">
        <f t="shared" si="12"/>
        <v/>
      </c>
      <c r="AM92" s="148" t="str">
        <f t="shared" si="12"/>
        <v/>
      </c>
      <c r="AN92" s="148" t="str">
        <f t="shared" si="12"/>
        <v/>
      </c>
      <c r="AO92" s="148" t="str">
        <f t="shared" si="12"/>
        <v/>
      </c>
      <c r="AP92" s="148" t="str">
        <f t="shared" si="12"/>
        <v/>
      </c>
      <c r="AQ92" s="148" t="str">
        <f t="shared" si="12"/>
        <v/>
      </c>
    </row>
    <row r="93" spans="2:43" x14ac:dyDescent="0.35">
      <c r="B93" s="17"/>
      <c r="C93" s="225">
        <v>20467675436</v>
      </c>
      <c r="D93" s="154" t="s">
        <v>394</v>
      </c>
      <c r="F93" s="147">
        <v>1635274</v>
      </c>
      <c r="G93" s="147">
        <v>1567458</v>
      </c>
      <c r="H93" s="147">
        <v>1665338</v>
      </c>
      <c r="I93" s="147">
        <v>274612</v>
      </c>
      <c r="J93" s="147"/>
      <c r="K93" s="147"/>
      <c r="L93" s="147"/>
      <c r="M93" s="147"/>
      <c r="N93" s="147"/>
      <c r="O93" s="147"/>
      <c r="P93" s="147"/>
      <c r="Q93" s="147"/>
      <c r="S93" s="147">
        <v>13560212</v>
      </c>
      <c r="T93" s="147">
        <v>12716655</v>
      </c>
      <c r="U93" s="147">
        <v>14211693</v>
      </c>
      <c r="V93" s="147">
        <v>2158899</v>
      </c>
      <c r="W93" s="147"/>
      <c r="X93" s="147"/>
      <c r="Y93" s="147"/>
      <c r="Z93" s="147"/>
      <c r="AA93" s="147"/>
      <c r="AB93" s="147"/>
      <c r="AC93" s="147"/>
      <c r="AD93" s="147"/>
      <c r="AF93" s="148">
        <f t="shared" si="12"/>
        <v>0.12059354234284833</v>
      </c>
      <c r="AG93" s="148">
        <f t="shared" si="12"/>
        <v>0.12326024414439174</v>
      </c>
      <c r="AH93" s="148">
        <f t="shared" si="12"/>
        <v>0.11718083130560167</v>
      </c>
      <c r="AI93" s="234">
        <f t="shared" si="12"/>
        <v>0.12720002186299589</v>
      </c>
      <c r="AJ93" s="234" t="str">
        <f t="shared" si="12"/>
        <v/>
      </c>
      <c r="AK93" s="234" t="str">
        <f t="shared" si="12"/>
        <v/>
      </c>
      <c r="AL93" s="148" t="str">
        <f t="shared" si="12"/>
        <v/>
      </c>
      <c r="AM93" s="148" t="str">
        <f t="shared" si="12"/>
        <v/>
      </c>
      <c r="AN93" s="148" t="str">
        <f t="shared" si="12"/>
        <v/>
      </c>
      <c r="AO93" s="148" t="str">
        <f t="shared" si="12"/>
        <v/>
      </c>
      <c r="AP93" s="148" t="str">
        <f t="shared" si="12"/>
        <v/>
      </c>
      <c r="AQ93" s="148" t="str">
        <f t="shared" si="12"/>
        <v/>
      </c>
    </row>
    <row r="94" spans="2:43" x14ac:dyDescent="0.35">
      <c r="B94" s="17"/>
      <c r="C94" s="225">
        <v>20601844916</v>
      </c>
      <c r="D94" s="154" t="s">
        <v>395</v>
      </c>
      <c r="F94" s="147">
        <v>68208</v>
      </c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S94" s="147">
        <v>535786</v>
      </c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F94" s="148">
        <f t="shared" si="12"/>
        <v>0.12730455816314723</v>
      </c>
      <c r="AG94" s="148" t="str">
        <f t="shared" si="12"/>
        <v/>
      </c>
      <c r="AH94" s="148" t="str">
        <f t="shared" si="12"/>
        <v/>
      </c>
      <c r="AI94" s="234" t="str">
        <f t="shared" si="12"/>
        <v/>
      </c>
      <c r="AJ94" s="234" t="str">
        <f t="shared" si="12"/>
        <v/>
      </c>
      <c r="AK94" s="234" t="str">
        <f t="shared" si="12"/>
        <v/>
      </c>
      <c r="AL94" s="148" t="str">
        <f t="shared" si="12"/>
        <v/>
      </c>
      <c r="AM94" s="148" t="str">
        <f t="shared" si="12"/>
        <v/>
      </c>
      <c r="AN94" s="148" t="str">
        <f t="shared" si="12"/>
        <v/>
      </c>
      <c r="AO94" s="148" t="str">
        <f t="shared" si="12"/>
        <v/>
      </c>
      <c r="AP94" s="148" t="str">
        <f t="shared" si="12"/>
        <v/>
      </c>
      <c r="AQ94" s="148" t="str">
        <f t="shared" si="12"/>
        <v/>
      </c>
    </row>
    <row r="95" spans="2:43" x14ac:dyDescent="0.35">
      <c r="B95" s="17"/>
      <c r="C95" s="225">
        <v>20502257987</v>
      </c>
      <c r="D95" s="154" t="s">
        <v>396</v>
      </c>
      <c r="F95" s="147">
        <v>390888</v>
      </c>
      <c r="G95" s="147">
        <v>366890</v>
      </c>
      <c r="H95" s="147">
        <v>465704</v>
      </c>
      <c r="I95" s="147">
        <v>80023</v>
      </c>
      <c r="J95" s="147"/>
      <c r="K95" s="147"/>
      <c r="L95" s="147"/>
      <c r="M95" s="147"/>
      <c r="N95" s="147"/>
      <c r="O95" s="147"/>
      <c r="P95" s="147"/>
      <c r="Q95" s="147"/>
      <c r="S95" s="147">
        <v>5984803</v>
      </c>
      <c r="T95" s="147">
        <v>5189859</v>
      </c>
      <c r="U95" s="147">
        <v>6087775</v>
      </c>
      <c r="V95" s="147">
        <v>699496</v>
      </c>
      <c r="W95" s="147"/>
      <c r="X95" s="147"/>
      <c r="Y95" s="147"/>
      <c r="Z95" s="147"/>
      <c r="AA95" s="147"/>
      <c r="AB95" s="147"/>
      <c r="AC95" s="147"/>
      <c r="AD95" s="147"/>
      <c r="AF95" s="148">
        <f t="shared" si="12"/>
        <v>6.5313428027622633E-2</v>
      </c>
      <c r="AG95" s="148">
        <f t="shared" si="12"/>
        <v>7.0693635414757899E-2</v>
      </c>
      <c r="AH95" s="148">
        <f t="shared" si="12"/>
        <v>7.6498228006127031E-2</v>
      </c>
      <c r="AI95" s="234">
        <f t="shared" si="12"/>
        <v>0.11440094010544735</v>
      </c>
      <c r="AJ95" s="234" t="str">
        <f t="shared" si="12"/>
        <v/>
      </c>
      <c r="AK95" s="234" t="str">
        <f t="shared" si="12"/>
        <v/>
      </c>
      <c r="AL95" s="148" t="str">
        <f t="shared" si="12"/>
        <v/>
      </c>
      <c r="AM95" s="148" t="str">
        <f t="shared" si="12"/>
        <v/>
      </c>
      <c r="AN95" s="148" t="str">
        <f t="shared" si="12"/>
        <v/>
      </c>
      <c r="AO95" s="148" t="str">
        <f t="shared" si="12"/>
        <v/>
      </c>
      <c r="AP95" s="148" t="str">
        <f t="shared" si="12"/>
        <v/>
      </c>
      <c r="AQ95" s="148" t="str">
        <f t="shared" si="12"/>
        <v/>
      </c>
    </row>
    <row r="96" spans="2:43" x14ac:dyDescent="0.35">
      <c r="B96" s="17"/>
      <c r="C96" s="225">
        <v>20340546653</v>
      </c>
      <c r="D96" s="154" t="s">
        <v>397</v>
      </c>
      <c r="F96" s="147">
        <v>47915</v>
      </c>
      <c r="G96" s="147">
        <v>52075</v>
      </c>
      <c r="H96" s="147">
        <v>107113</v>
      </c>
      <c r="I96" s="147"/>
      <c r="J96" s="147"/>
      <c r="K96" s="147"/>
      <c r="L96" s="147"/>
      <c r="M96" s="147"/>
      <c r="N96" s="147"/>
      <c r="O96" s="147"/>
      <c r="P96" s="147"/>
      <c r="Q96" s="147"/>
      <c r="S96" s="147">
        <v>427370</v>
      </c>
      <c r="T96" s="147">
        <v>332779</v>
      </c>
      <c r="U96" s="147">
        <v>506755</v>
      </c>
      <c r="V96" s="147"/>
      <c r="W96" s="147"/>
      <c r="X96" s="147"/>
      <c r="Y96" s="147"/>
      <c r="Z96" s="147"/>
      <c r="AA96" s="147"/>
      <c r="AB96" s="147"/>
      <c r="AC96" s="147"/>
      <c r="AD96" s="147"/>
      <c r="AF96" s="148">
        <f t="shared" si="12"/>
        <v>0.11211596508879894</v>
      </c>
      <c r="AG96" s="148">
        <f t="shared" si="12"/>
        <v>0.15648523494571473</v>
      </c>
      <c r="AH96" s="148">
        <f t="shared" si="12"/>
        <v>0.2113703860840051</v>
      </c>
      <c r="AI96" s="234" t="str">
        <f t="shared" si="12"/>
        <v/>
      </c>
      <c r="AJ96" s="234" t="str">
        <f t="shared" si="12"/>
        <v/>
      </c>
      <c r="AK96" s="234" t="str">
        <f t="shared" si="12"/>
        <v/>
      </c>
      <c r="AL96" s="148" t="str">
        <f t="shared" si="12"/>
        <v/>
      </c>
      <c r="AM96" s="148" t="str">
        <f t="shared" si="12"/>
        <v/>
      </c>
      <c r="AN96" s="148" t="str">
        <f t="shared" si="12"/>
        <v/>
      </c>
      <c r="AO96" s="148" t="str">
        <f t="shared" si="12"/>
        <v/>
      </c>
      <c r="AP96" s="148" t="str">
        <f t="shared" si="12"/>
        <v/>
      </c>
      <c r="AQ96" s="148" t="str">
        <f t="shared" si="12"/>
        <v/>
      </c>
    </row>
    <row r="97" spans="2:43" x14ac:dyDescent="0.35">
      <c r="B97" s="17"/>
      <c r="C97" s="225">
        <v>20388853752</v>
      </c>
      <c r="D97" s="154" t="s">
        <v>398</v>
      </c>
      <c r="F97" s="147">
        <v>213345</v>
      </c>
      <c r="G97" s="147">
        <v>166741</v>
      </c>
      <c r="H97" s="147">
        <v>209231</v>
      </c>
      <c r="I97" s="147">
        <v>41018</v>
      </c>
      <c r="J97" s="147"/>
      <c r="K97" s="147"/>
      <c r="L97" s="147"/>
      <c r="M97" s="147"/>
      <c r="N97" s="147"/>
      <c r="O97" s="147"/>
      <c r="P97" s="147"/>
      <c r="Q97" s="147"/>
      <c r="S97" s="147">
        <v>1321509</v>
      </c>
      <c r="T97" s="147">
        <v>1106182</v>
      </c>
      <c r="U97" s="147">
        <v>1146966</v>
      </c>
      <c r="V97" s="147">
        <v>164243</v>
      </c>
      <c r="W97" s="147"/>
      <c r="X97" s="147"/>
      <c r="Y97" s="147"/>
      <c r="Z97" s="147"/>
      <c r="AA97" s="147"/>
      <c r="AB97" s="147"/>
      <c r="AC97" s="147"/>
      <c r="AD97" s="147"/>
      <c r="AF97" s="148">
        <f t="shared" si="12"/>
        <v>0.16144044421944914</v>
      </c>
      <c r="AG97" s="148">
        <f t="shared" si="12"/>
        <v>0.15073559323872562</v>
      </c>
      <c r="AH97" s="148">
        <f t="shared" si="12"/>
        <v>0.18242127491137489</v>
      </c>
      <c r="AI97" s="234">
        <f t="shared" si="12"/>
        <v>0.24973971493457864</v>
      </c>
      <c r="AJ97" s="234" t="str">
        <f t="shared" si="12"/>
        <v/>
      </c>
      <c r="AK97" s="234" t="str">
        <f t="shared" si="12"/>
        <v/>
      </c>
      <c r="AL97" s="148" t="str">
        <f t="shared" si="12"/>
        <v/>
      </c>
      <c r="AM97" s="148" t="str">
        <f t="shared" si="12"/>
        <v/>
      </c>
      <c r="AN97" s="148" t="str">
        <f t="shared" si="12"/>
        <v/>
      </c>
      <c r="AO97" s="148" t="str">
        <f t="shared" si="12"/>
        <v/>
      </c>
      <c r="AP97" s="148" t="str">
        <f t="shared" si="12"/>
        <v/>
      </c>
      <c r="AQ97" s="148" t="str">
        <f t="shared" si="12"/>
        <v/>
      </c>
    </row>
    <row r="98" spans="2:43" x14ac:dyDescent="0.35">
      <c r="B98" s="17"/>
      <c r="C98" s="225">
        <v>20494007488</v>
      </c>
      <c r="D98" s="154" t="s">
        <v>399</v>
      </c>
      <c r="F98" s="147">
        <v>203954</v>
      </c>
      <c r="G98" s="147"/>
      <c r="H98" s="147">
        <v>313896</v>
      </c>
      <c r="I98" s="147"/>
      <c r="J98" s="147"/>
      <c r="K98" s="147"/>
      <c r="L98" s="147"/>
      <c r="M98" s="147"/>
      <c r="N98" s="147"/>
      <c r="O98" s="147"/>
      <c r="P98" s="147"/>
      <c r="Q98" s="147"/>
      <c r="S98" s="147">
        <v>1744035</v>
      </c>
      <c r="T98" s="147"/>
      <c r="U98" s="147">
        <v>2208319</v>
      </c>
      <c r="V98" s="147"/>
      <c r="W98" s="147"/>
      <c r="X98" s="147"/>
      <c r="Y98" s="147"/>
      <c r="Z98" s="147"/>
      <c r="AA98" s="147"/>
      <c r="AB98" s="147"/>
      <c r="AC98" s="147"/>
      <c r="AD98" s="147"/>
      <c r="AF98" s="148">
        <f t="shared" si="12"/>
        <v>0.11694375399576271</v>
      </c>
      <c r="AG98" s="148" t="str">
        <f t="shared" si="12"/>
        <v/>
      </c>
      <c r="AH98" s="148">
        <f t="shared" si="12"/>
        <v>0.14214250749099203</v>
      </c>
      <c r="AI98" s="234" t="str">
        <f t="shared" si="12"/>
        <v/>
      </c>
      <c r="AJ98" s="234" t="str">
        <f t="shared" si="12"/>
        <v/>
      </c>
      <c r="AK98" s="234" t="str">
        <f t="shared" si="12"/>
        <v/>
      </c>
      <c r="AL98" s="148" t="str">
        <f t="shared" si="12"/>
        <v/>
      </c>
      <c r="AM98" s="148" t="str">
        <f t="shared" si="12"/>
        <v/>
      </c>
      <c r="AN98" s="148" t="str">
        <f t="shared" si="12"/>
        <v/>
      </c>
      <c r="AO98" s="148" t="str">
        <f t="shared" si="12"/>
        <v/>
      </c>
      <c r="AP98" s="148" t="str">
        <f t="shared" si="12"/>
        <v/>
      </c>
      <c r="AQ98" s="148" t="str">
        <f t="shared" si="12"/>
        <v/>
      </c>
    </row>
    <row r="99" spans="2:43" x14ac:dyDescent="0.35">
      <c r="B99" s="17"/>
      <c r="C99" s="225">
        <v>20212331377</v>
      </c>
      <c r="D99" s="154" t="s">
        <v>400</v>
      </c>
      <c r="F99" s="147">
        <v>55284</v>
      </c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S99" s="147">
        <v>271157</v>
      </c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F99" s="148">
        <f t="shared" si="12"/>
        <v>0.20388188392702383</v>
      </c>
      <c r="AG99" s="148" t="str">
        <f t="shared" si="12"/>
        <v/>
      </c>
      <c r="AH99" s="148" t="str">
        <f t="shared" si="12"/>
        <v/>
      </c>
      <c r="AI99" s="234" t="str">
        <f t="shared" si="12"/>
        <v/>
      </c>
      <c r="AJ99" s="234" t="str">
        <f t="shared" si="12"/>
        <v/>
      </c>
      <c r="AK99" s="234" t="str">
        <f t="shared" si="12"/>
        <v/>
      </c>
      <c r="AL99" s="148" t="str">
        <f t="shared" si="12"/>
        <v/>
      </c>
      <c r="AM99" s="148" t="str">
        <f t="shared" si="12"/>
        <v/>
      </c>
      <c r="AN99" s="148" t="str">
        <f t="shared" si="12"/>
        <v/>
      </c>
      <c r="AO99" s="148" t="str">
        <f t="shared" si="12"/>
        <v/>
      </c>
      <c r="AP99" s="148" t="str">
        <f t="shared" si="12"/>
        <v/>
      </c>
      <c r="AQ99" s="148" t="str">
        <f t="shared" si="12"/>
        <v/>
      </c>
    </row>
    <row r="100" spans="2:43" x14ac:dyDescent="0.35">
      <c r="B100" s="17"/>
      <c r="C100" s="225">
        <v>20374412524</v>
      </c>
      <c r="D100" s="154" t="s">
        <v>401</v>
      </c>
      <c r="F100" s="147">
        <v>5638</v>
      </c>
      <c r="G100" s="147"/>
      <c r="H100" s="147">
        <v>37095</v>
      </c>
      <c r="I100" s="147"/>
      <c r="J100" s="147"/>
      <c r="K100" s="147"/>
      <c r="L100" s="147"/>
      <c r="M100" s="147"/>
      <c r="N100" s="147"/>
      <c r="O100" s="147"/>
      <c r="P100" s="147"/>
      <c r="Q100" s="147"/>
      <c r="S100" s="147">
        <v>58438</v>
      </c>
      <c r="T100" s="147"/>
      <c r="U100" s="147">
        <v>284455</v>
      </c>
      <c r="V100" s="147"/>
      <c r="W100" s="147"/>
      <c r="X100" s="147"/>
      <c r="Y100" s="147"/>
      <c r="Z100" s="147"/>
      <c r="AA100" s="147"/>
      <c r="AB100" s="147"/>
      <c r="AC100" s="147"/>
      <c r="AD100" s="147"/>
      <c r="AF100" s="148">
        <f t="shared" si="12"/>
        <v>9.6478318902084262E-2</v>
      </c>
      <c r="AG100" s="148" t="str">
        <f t="shared" si="12"/>
        <v/>
      </c>
      <c r="AH100" s="148">
        <f t="shared" si="12"/>
        <v>0.13040727004271327</v>
      </c>
      <c r="AI100" s="234" t="str">
        <f t="shared" si="12"/>
        <v/>
      </c>
      <c r="AJ100" s="234" t="str">
        <f t="shared" si="12"/>
        <v/>
      </c>
      <c r="AK100" s="234" t="str">
        <f t="shared" si="12"/>
        <v/>
      </c>
      <c r="AL100" s="148" t="str">
        <f t="shared" si="12"/>
        <v/>
      </c>
      <c r="AM100" s="148" t="str">
        <f t="shared" si="12"/>
        <v/>
      </c>
      <c r="AN100" s="148" t="str">
        <f t="shared" si="12"/>
        <v/>
      </c>
      <c r="AO100" s="148" t="str">
        <f t="shared" si="12"/>
        <v/>
      </c>
      <c r="AP100" s="148" t="str">
        <f t="shared" si="12"/>
        <v/>
      </c>
      <c r="AQ100" s="148" t="str">
        <f t="shared" si="12"/>
        <v/>
      </c>
    </row>
    <row r="101" spans="2:43" x14ac:dyDescent="0.35">
      <c r="B101" s="17"/>
      <c r="C101" s="225">
        <v>20492470873</v>
      </c>
      <c r="D101" s="154" t="s">
        <v>402</v>
      </c>
      <c r="F101" s="147">
        <v>173832</v>
      </c>
      <c r="G101" s="147">
        <v>217909</v>
      </c>
      <c r="H101" s="147">
        <v>232798</v>
      </c>
      <c r="I101" s="147">
        <v>24361</v>
      </c>
      <c r="J101" s="147"/>
      <c r="K101" s="147"/>
      <c r="L101" s="147"/>
      <c r="M101" s="147"/>
      <c r="N101" s="147"/>
      <c r="O101" s="147"/>
      <c r="P101" s="147"/>
      <c r="Q101" s="147"/>
      <c r="S101" s="147">
        <v>1076058</v>
      </c>
      <c r="T101" s="147">
        <v>1274901</v>
      </c>
      <c r="U101" s="147">
        <v>1236515</v>
      </c>
      <c r="V101" s="147">
        <v>178489</v>
      </c>
      <c r="W101" s="147"/>
      <c r="X101" s="147"/>
      <c r="Y101" s="147"/>
      <c r="Z101" s="147"/>
      <c r="AA101" s="147"/>
      <c r="AB101" s="147"/>
      <c r="AC101" s="147"/>
      <c r="AD101" s="147"/>
      <c r="AF101" s="148">
        <f t="shared" si="12"/>
        <v>0.16154519551920063</v>
      </c>
      <c r="AG101" s="148">
        <f t="shared" si="12"/>
        <v>0.17092229122104383</v>
      </c>
      <c r="AH101" s="148">
        <f t="shared" si="12"/>
        <v>0.18826945083561461</v>
      </c>
      <c r="AI101" s="234">
        <f t="shared" si="12"/>
        <v>0.13648460129195636</v>
      </c>
      <c r="AJ101" s="234" t="str">
        <f t="shared" si="12"/>
        <v/>
      </c>
      <c r="AK101" s="234" t="str">
        <f t="shared" si="12"/>
        <v/>
      </c>
      <c r="AL101" s="148" t="str">
        <f t="shared" si="12"/>
        <v/>
      </c>
      <c r="AM101" s="148" t="str">
        <f t="shared" si="12"/>
        <v/>
      </c>
      <c r="AN101" s="148" t="str">
        <f t="shared" si="12"/>
        <v/>
      </c>
      <c r="AO101" s="148" t="str">
        <f t="shared" si="12"/>
        <v/>
      </c>
      <c r="AP101" s="148" t="str">
        <f t="shared" si="12"/>
        <v/>
      </c>
      <c r="AQ101" s="148" t="str">
        <f t="shared" si="12"/>
        <v/>
      </c>
    </row>
    <row r="102" spans="2:43" x14ac:dyDescent="0.35">
      <c r="B102" s="17"/>
      <c r="C102" s="225">
        <v>20608122649</v>
      </c>
      <c r="D102" s="154" t="s">
        <v>403</v>
      </c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F102" s="148" t="str">
        <f t="shared" si="12"/>
        <v/>
      </c>
      <c r="AG102" s="148" t="str">
        <f t="shared" si="12"/>
        <v/>
      </c>
      <c r="AH102" s="148" t="str">
        <f t="shared" si="12"/>
        <v/>
      </c>
      <c r="AI102" s="234" t="str">
        <f t="shared" si="12"/>
        <v/>
      </c>
      <c r="AJ102" s="234" t="str">
        <f t="shared" si="12"/>
        <v/>
      </c>
      <c r="AK102" s="234" t="str">
        <f t="shared" si="12"/>
        <v/>
      </c>
      <c r="AL102" s="148" t="str">
        <f t="shared" si="12"/>
        <v/>
      </c>
      <c r="AM102" s="148" t="str">
        <f t="shared" si="12"/>
        <v/>
      </c>
      <c r="AN102" s="148" t="str">
        <f t="shared" si="12"/>
        <v/>
      </c>
      <c r="AO102" s="148" t="str">
        <f t="shared" si="12"/>
        <v/>
      </c>
      <c r="AP102" s="148" t="str">
        <f t="shared" si="12"/>
        <v/>
      </c>
      <c r="AQ102" s="148" t="str">
        <f t="shared" si="12"/>
        <v/>
      </c>
    </row>
    <row r="103" spans="2:43" x14ac:dyDescent="0.35">
      <c r="B103" s="17"/>
      <c r="C103" s="225">
        <v>20542290979</v>
      </c>
      <c r="D103" s="154" t="s">
        <v>404</v>
      </c>
      <c r="F103" s="147">
        <v>244213</v>
      </c>
      <c r="G103" s="147">
        <v>45597</v>
      </c>
      <c r="H103" s="147">
        <v>57985</v>
      </c>
      <c r="I103" s="147">
        <v>7067</v>
      </c>
      <c r="J103" s="147"/>
      <c r="K103" s="147"/>
      <c r="L103" s="147"/>
      <c r="M103" s="147"/>
      <c r="N103" s="147"/>
      <c r="O103" s="147"/>
      <c r="P103" s="147"/>
      <c r="Q103" s="147"/>
      <c r="S103" s="147">
        <v>531556</v>
      </c>
      <c r="T103" s="147">
        <v>267126</v>
      </c>
      <c r="U103" s="147">
        <v>254586</v>
      </c>
      <c r="V103" s="147">
        <v>31053</v>
      </c>
      <c r="W103" s="147"/>
      <c r="X103" s="147"/>
      <c r="Y103" s="147"/>
      <c r="Z103" s="147"/>
      <c r="AA103" s="147"/>
      <c r="AB103" s="147"/>
      <c r="AC103" s="147"/>
      <c r="AD103" s="147"/>
      <c r="AF103" s="148">
        <f t="shared" si="12"/>
        <v>0.45943042689763636</v>
      </c>
      <c r="AG103" s="148">
        <f t="shared" si="12"/>
        <v>0.1706947283304508</v>
      </c>
      <c r="AH103" s="148">
        <f t="shared" si="12"/>
        <v>0.22776193506320064</v>
      </c>
      <c r="AI103" s="234">
        <f t="shared" si="12"/>
        <v>0.22757865584645606</v>
      </c>
      <c r="AJ103" s="234" t="str">
        <f t="shared" si="12"/>
        <v/>
      </c>
      <c r="AK103" s="234" t="str">
        <f t="shared" si="12"/>
        <v/>
      </c>
      <c r="AL103" s="148" t="str">
        <f t="shared" si="12"/>
        <v/>
      </c>
      <c r="AM103" s="148" t="str">
        <f t="shared" si="12"/>
        <v/>
      </c>
      <c r="AN103" s="148" t="str">
        <f t="shared" si="12"/>
        <v/>
      </c>
      <c r="AO103" s="148" t="str">
        <f t="shared" si="12"/>
        <v/>
      </c>
      <c r="AP103" s="148" t="str">
        <f t="shared" si="12"/>
        <v/>
      </c>
      <c r="AQ103" s="148" t="str">
        <f t="shared" si="12"/>
        <v/>
      </c>
    </row>
    <row r="104" spans="2:43" x14ac:dyDescent="0.35">
      <c r="B104" s="17"/>
      <c r="C104" s="225">
        <v>20551701264</v>
      </c>
      <c r="D104" s="154" t="s">
        <v>405</v>
      </c>
      <c r="F104" s="147">
        <v>54816</v>
      </c>
      <c r="G104" s="147">
        <v>19119</v>
      </c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S104" s="147">
        <v>232523</v>
      </c>
      <c r="T104" s="147">
        <v>54162</v>
      </c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F104" s="148">
        <f t="shared" si="12"/>
        <v>0.23574442098201037</v>
      </c>
      <c r="AG104" s="148">
        <f t="shared" si="12"/>
        <v>0.35299656585798161</v>
      </c>
      <c r="AH104" s="148" t="str">
        <f t="shared" si="12"/>
        <v/>
      </c>
      <c r="AI104" s="234" t="str">
        <f t="shared" si="12"/>
        <v/>
      </c>
      <c r="AJ104" s="234" t="str">
        <f t="shared" si="12"/>
        <v/>
      </c>
      <c r="AK104" s="234" t="str">
        <f t="shared" si="12"/>
        <v/>
      </c>
      <c r="AL104" s="148" t="str">
        <f t="shared" si="12"/>
        <v/>
      </c>
      <c r="AM104" s="148" t="str">
        <f t="shared" si="12"/>
        <v/>
      </c>
      <c r="AN104" s="148" t="str">
        <f t="shared" si="12"/>
        <v/>
      </c>
      <c r="AO104" s="148" t="str">
        <f t="shared" si="12"/>
        <v/>
      </c>
      <c r="AP104" s="148" t="str">
        <f t="shared" si="12"/>
        <v/>
      </c>
      <c r="AQ104" s="148" t="str">
        <f t="shared" si="12"/>
        <v/>
      </c>
    </row>
    <row r="105" spans="2:43" x14ac:dyDescent="0.35">
      <c r="B105" s="17"/>
      <c r="C105" s="225">
        <v>20608931156</v>
      </c>
      <c r="D105" s="154" t="s">
        <v>406</v>
      </c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F105" s="148" t="str">
        <f t="shared" si="12"/>
        <v/>
      </c>
      <c r="AG105" s="148" t="str">
        <f t="shared" si="12"/>
        <v/>
      </c>
      <c r="AH105" s="148" t="str">
        <f t="shared" si="12"/>
        <v/>
      </c>
      <c r="AI105" s="234" t="str">
        <f t="shared" si="12"/>
        <v/>
      </c>
      <c r="AJ105" s="234" t="str">
        <f t="shared" si="12"/>
        <v/>
      </c>
      <c r="AK105" s="234" t="str">
        <f t="shared" si="12"/>
        <v/>
      </c>
      <c r="AL105" s="148" t="str">
        <f t="shared" si="12"/>
        <v/>
      </c>
      <c r="AM105" s="148" t="str">
        <f t="shared" si="12"/>
        <v/>
      </c>
      <c r="AN105" s="148" t="str">
        <f t="shared" si="12"/>
        <v/>
      </c>
      <c r="AO105" s="148" t="str">
        <f t="shared" si="12"/>
        <v/>
      </c>
      <c r="AP105" s="148" t="str">
        <f t="shared" si="12"/>
        <v/>
      </c>
      <c r="AQ105" s="148" t="str">
        <f t="shared" si="12"/>
        <v/>
      </c>
    </row>
    <row r="106" spans="2:43" x14ac:dyDescent="0.35">
      <c r="B106" s="17"/>
      <c r="C106" s="225">
        <v>20524257514</v>
      </c>
      <c r="D106" s="154" t="s">
        <v>407</v>
      </c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F106" s="148" t="str">
        <f t="shared" si="12"/>
        <v/>
      </c>
      <c r="AG106" s="148" t="str">
        <f t="shared" si="12"/>
        <v/>
      </c>
      <c r="AH106" s="148" t="str">
        <f t="shared" si="12"/>
        <v/>
      </c>
      <c r="AI106" s="234" t="str">
        <f t="shared" si="12"/>
        <v/>
      </c>
      <c r="AJ106" s="234" t="str">
        <f t="shared" si="12"/>
        <v/>
      </c>
      <c r="AK106" s="234" t="str">
        <f t="shared" si="12"/>
        <v/>
      </c>
      <c r="AL106" s="148" t="str">
        <f t="shared" si="12"/>
        <v/>
      </c>
      <c r="AM106" s="148" t="str">
        <f t="shared" si="12"/>
        <v/>
      </c>
      <c r="AN106" s="148" t="str">
        <f t="shared" si="12"/>
        <v/>
      </c>
      <c r="AO106" s="148" t="str">
        <f t="shared" si="12"/>
        <v/>
      </c>
      <c r="AP106" s="148" t="str">
        <f t="shared" si="12"/>
        <v/>
      </c>
      <c r="AQ106" s="148" t="str">
        <f t="shared" si="12"/>
        <v/>
      </c>
    </row>
    <row r="107" spans="2:43" x14ac:dyDescent="0.35">
      <c r="B107" s="17"/>
      <c r="C107" s="225">
        <v>20537519461</v>
      </c>
      <c r="D107" s="154" t="s">
        <v>408</v>
      </c>
      <c r="F107" s="147">
        <v>45282</v>
      </c>
      <c r="G107" s="147">
        <v>33725</v>
      </c>
      <c r="H107" s="147">
        <v>21153</v>
      </c>
      <c r="I107" s="147">
        <v>8395</v>
      </c>
      <c r="J107" s="147"/>
      <c r="K107" s="147"/>
      <c r="L107" s="147"/>
      <c r="M107" s="147"/>
      <c r="N107" s="147"/>
      <c r="O107" s="147"/>
      <c r="P107" s="147"/>
      <c r="Q107" s="147"/>
      <c r="S107" s="147">
        <v>301630</v>
      </c>
      <c r="T107" s="147">
        <v>250076</v>
      </c>
      <c r="U107" s="147">
        <v>152315</v>
      </c>
      <c r="V107" s="147">
        <v>55476</v>
      </c>
      <c r="W107" s="147"/>
      <c r="X107" s="147"/>
      <c r="Y107" s="147"/>
      <c r="Z107" s="147"/>
      <c r="AA107" s="147"/>
      <c r="AB107" s="147"/>
      <c r="AC107" s="147"/>
      <c r="AD107" s="147"/>
      <c r="AF107" s="148">
        <f t="shared" si="12"/>
        <v>0.1501243245035308</v>
      </c>
      <c r="AG107" s="148">
        <f t="shared" si="12"/>
        <v>0.1348590028631296</v>
      </c>
      <c r="AH107" s="148">
        <f t="shared" si="12"/>
        <v>0.13887667005875981</v>
      </c>
      <c r="AI107" s="234">
        <f t="shared" si="12"/>
        <v>0.15132669983416253</v>
      </c>
      <c r="AJ107" s="234" t="str">
        <f t="shared" si="12"/>
        <v/>
      </c>
      <c r="AK107" s="234" t="str">
        <f t="shared" si="12"/>
        <v/>
      </c>
      <c r="AL107" s="148" t="str">
        <f t="shared" si="12"/>
        <v/>
      </c>
      <c r="AM107" s="148" t="str">
        <f t="shared" si="12"/>
        <v/>
      </c>
      <c r="AN107" s="148" t="str">
        <f t="shared" si="12"/>
        <v/>
      </c>
      <c r="AO107" s="148" t="str">
        <f t="shared" si="12"/>
        <v/>
      </c>
      <c r="AP107" s="148" t="str">
        <f t="shared" si="12"/>
        <v/>
      </c>
      <c r="AQ107" s="148" t="str">
        <f t="shared" si="12"/>
        <v/>
      </c>
    </row>
    <row r="108" spans="2:43" x14ac:dyDescent="0.35">
      <c r="B108" s="17"/>
      <c r="C108" s="225">
        <v>20538827224</v>
      </c>
      <c r="D108" s="154" t="s">
        <v>409</v>
      </c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F108" s="148" t="str">
        <f t="shared" si="12"/>
        <v/>
      </c>
      <c r="AG108" s="148" t="str">
        <f t="shared" si="12"/>
        <v/>
      </c>
      <c r="AH108" s="148" t="str">
        <f t="shared" si="12"/>
        <v/>
      </c>
      <c r="AI108" s="234" t="str">
        <f t="shared" si="12"/>
        <v/>
      </c>
      <c r="AJ108" s="234" t="str">
        <f t="shared" si="12"/>
        <v/>
      </c>
      <c r="AK108" s="234" t="str">
        <f t="shared" si="12"/>
        <v/>
      </c>
      <c r="AL108" s="148" t="str">
        <f t="shared" si="12"/>
        <v/>
      </c>
      <c r="AM108" s="148" t="str">
        <f t="shared" si="12"/>
        <v/>
      </c>
      <c r="AN108" s="148" t="str">
        <f t="shared" si="12"/>
        <v/>
      </c>
      <c r="AO108" s="148" t="str">
        <f t="shared" si="12"/>
        <v/>
      </c>
      <c r="AP108" s="148" t="str">
        <f t="shared" si="12"/>
        <v/>
      </c>
      <c r="AQ108" s="148" t="str">
        <f t="shared" si="12"/>
        <v/>
      </c>
    </row>
    <row r="109" spans="2:43" x14ac:dyDescent="0.35">
      <c r="B109" s="17"/>
      <c r="C109" s="225">
        <v>20547839651</v>
      </c>
      <c r="D109" s="154" t="s">
        <v>410</v>
      </c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F109" s="148" t="str">
        <f t="shared" si="12"/>
        <v/>
      </c>
      <c r="AG109" s="148" t="str">
        <f t="shared" si="12"/>
        <v/>
      </c>
      <c r="AH109" s="148" t="str">
        <f t="shared" si="12"/>
        <v/>
      </c>
      <c r="AI109" s="234" t="str">
        <f t="shared" si="12"/>
        <v/>
      </c>
      <c r="AJ109" s="234" t="str">
        <f t="shared" si="12"/>
        <v/>
      </c>
      <c r="AK109" s="234" t="str">
        <f t="shared" si="12"/>
        <v/>
      </c>
      <c r="AL109" s="148" t="str">
        <f t="shared" si="12"/>
        <v/>
      </c>
      <c r="AM109" s="148" t="str">
        <f t="shared" si="12"/>
        <v/>
      </c>
      <c r="AN109" s="148" t="str">
        <f t="shared" si="12"/>
        <v/>
      </c>
      <c r="AO109" s="148" t="str">
        <f t="shared" si="12"/>
        <v/>
      </c>
      <c r="AP109" s="148" t="str">
        <f t="shared" si="12"/>
        <v/>
      </c>
      <c r="AQ109" s="148" t="str">
        <f t="shared" si="12"/>
        <v/>
      </c>
    </row>
    <row r="110" spans="2:43" x14ac:dyDescent="0.35">
      <c r="B110" s="14" t="s">
        <v>411</v>
      </c>
      <c r="C110" s="227"/>
      <c r="D110" s="14"/>
      <c r="F110" s="149">
        <f t="shared" ref="F110:Q110" si="13">+SUM(F90:F109)</f>
        <v>14399826</v>
      </c>
      <c r="G110" s="149">
        <f t="shared" si="13"/>
        <v>12460750</v>
      </c>
      <c r="H110" s="149">
        <f t="shared" si="13"/>
        <v>17383078</v>
      </c>
      <c r="I110" s="149">
        <f t="shared" si="13"/>
        <v>2581211</v>
      </c>
      <c r="J110" s="149">
        <f t="shared" si="13"/>
        <v>0</v>
      </c>
      <c r="K110" s="149">
        <f t="shared" si="13"/>
        <v>0</v>
      </c>
      <c r="L110" s="149">
        <f t="shared" si="13"/>
        <v>0</v>
      </c>
      <c r="M110" s="149">
        <f t="shared" si="13"/>
        <v>0</v>
      </c>
      <c r="N110" s="149">
        <f t="shared" si="13"/>
        <v>0</v>
      </c>
      <c r="O110" s="149">
        <f t="shared" si="13"/>
        <v>0</v>
      </c>
      <c r="P110" s="149">
        <f t="shared" si="13"/>
        <v>0</v>
      </c>
      <c r="Q110" s="149">
        <f t="shared" si="13"/>
        <v>0</v>
      </c>
      <c r="S110" s="149">
        <f t="shared" ref="S110:AD110" si="14">+SUM(S90:S109)</f>
        <v>127819410</v>
      </c>
      <c r="T110" s="149">
        <f t="shared" si="14"/>
        <v>114112171</v>
      </c>
      <c r="U110" s="149">
        <f t="shared" si="14"/>
        <v>155413148</v>
      </c>
      <c r="V110" s="149">
        <f t="shared" si="14"/>
        <v>21476978</v>
      </c>
      <c r="W110" s="149">
        <f t="shared" si="14"/>
        <v>0</v>
      </c>
      <c r="X110" s="149">
        <f t="shared" si="14"/>
        <v>0</v>
      </c>
      <c r="Y110" s="149">
        <f t="shared" si="14"/>
        <v>0</v>
      </c>
      <c r="Z110" s="149">
        <f t="shared" si="14"/>
        <v>0</v>
      </c>
      <c r="AA110" s="149">
        <f t="shared" si="14"/>
        <v>0</v>
      </c>
      <c r="AB110" s="149">
        <f t="shared" si="14"/>
        <v>0</v>
      </c>
      <c r="AC110" s="149">
        <f t="shared" si="14"/>
        <v>0</v>
      </c>
      <c r="AD110" s="149">
        <f t="shared" si="14"/>
        <v>0</v>
      </c>
      <c r="AF110" s="150">
        <f t="shared" si="12"/>
        <v>0.11265758463444636</v>
      </c>
      <c r="AG110" s="150">
        <f t="shared" si="12"/>
        <v>0.10919737912969862</v>
      </c>
      <c r="AH110" s="150">
        <f t="shared" si="12"/>
        <v>0.11185075538139154</v>
      </c>
      <c r="AI110" s="235">
        <f t="shared" si="12"/>
        <v>0.12018501858129202</v>
      </c>
      <c r="AJ110" s="235" t="str">
        <f t="shared" si="12"/>
        <v/>
      </c>
      <c r="AK110" s="235" t="str">
        <f t="shared" si="12"/>
        <v/>
      </c>
      <c r="AL110" s="150" t="str">
        <f t="shared" si="12"/>
        <v/>
      </c>
      <c r="AM110" s="150" t="str">
        <f t="shared" si="12"/>
        <v/>
      </c>
      <c r="AN110" s="150" t="str">
        <f t="shared" si="12"/>
        <v/>
      </c>
      <c r="AO110" s="150" t="str">
        <f t="shared" si="12"/>
        <v/>
      </c>
      <c r="AP110" s="150" t="str">
        <f t="shared" si="12"/>
        <v/>
      </c>
      <c r="AQ110" s="150" t="str">
        <f t="shared" si="12"/>
        <v/>
      </c>
    </row>
    <row r="111" spans="2:43" x14ac:dyDescent="0.35">
      <c r="B111" s="17"/>
      <c r="C111" s="225"/>
      <c r="D111" s="17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F111" s="11"/>
      <c r="AG111" s="11"/>
      <c r="AH111" s="11"/>
      <c r="AI111" s="237"/>
      <c r="AJ111" s="237"/>
      <c r="AK111" s="237"/>
      <c r="AL111" s="11"/>
      <c r="AM111" s="11"/>
      <c r="AN111" s="11"/>
      <c r="AO111" s="11"/>
    </row>
    <row r="112" spans="2:43" x14ac:dyDescent="0.35">
      <c r="B112" s="17"/>
      <c r="C112" s="225"/>
      <c r="D112" s="17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F112" s="11"/>
      <c r="AG112" s="11"/>
      <c r="AH112" s="11"/>
      <c r="AI112" s="237"/>
      <c r="AJ112" s="237"/>
      <c r="AK112" s="237"/>
      <c r="AL112" s="11"/>
      <c r="AM112" s="11"/>
      <c r="AN112" s="11"/>
      <c r="AO112" s="11"/>
    </row>
    <row r="113" spans="2:41" x14ac:dyDescent="0.35">
      <c r="B113" s="17"/>
      <c r="C113" s="225"/>
      <c r="D113" s="17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F113" s="11"/>
      <c r="AG113" s="11"/>
      <c r="AH113" s="11"/>
      <c r="AI113" s="237"/>
      <c r="AJ113" s="237"/>
      <c r="AK113" s="237"/>
      <c r="AL113" s="11"/>
      <c r="AM113" s="11"/>
      <c r="AN113" s="11"/>
      <c r="AO113" s="11"/>
    </row>
  </sheetData>
  <mergeCells count="3">
    <mergeCell ref="F2:Q2"/>
    <mergeCell ref="S2:AD2"/>
    <mergeCell ref="AF2:AQ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Vista Total</vt:lpstr>
      <vt:lpstr>Facturacion Visa</vt:lpstr>
      <vt:lpstr>Facturación Amex</vt:lpstr>
      <vt:lpstr>Facturación MasterCard</vt:lpstr>
      <vt:lpstr>Amex - mov x medio de tx</vt:lpstr>
      <vt:lpstr>Visa - txs x medio de tx</vt:lpstr>
      <vt:lpstr>Visa - imp x medio de tx</vt:lpstr>
      <vt:lpstr>Giro Crédito Visa</vt:lpstr>
      <vt:lpstr>Giro Débito Visa</vt:lpstr>
      <vt:lpstr>Giro Crédito Amex</vt:lpstr>
      <vt:lpstr>Giro Crédito MC</vt:lpstr>
      <vt:lpstr>Detalle Créd Visa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MC0080</dc:creator>
  <cp:lastModifiedBy>Condori Flores, Ian Kevin</cp:lastModifiedBy>
  <cp:lastPrinted>2025-04-28T19:10:51Z</cp:lastPrinted>
  <dcterms:created xsi:type="dcterms:W3CDTF">2011-01-05T19:45:10Z</dcterms:created>
  <dcterms:modified xsi:type="dcterms:W3CDTF">2026-04-14T21:30:15Z</dcterms:modified>
</cp:coreProperties>
</file>