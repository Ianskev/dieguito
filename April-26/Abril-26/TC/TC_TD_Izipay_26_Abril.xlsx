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6/Total/"/>
    </mc:Choice>
  </mc:AlternateContent>
  <xr:revisionPtr revIDLastSave="46" documentId="8_{1DB12869-45F6-3849-9C72-A9BE0EF7CD3D}" xr6:coauthVersionLast="47" xr6:coauthVersionMax="47" xr10:uidLastSave="{F420F240-BBED-4EC7-8C84-D772908D028F}"/>
  <bookViews>
    <workbookView xWindow="28680" yWindow="-120" windowWidth="29040" windowHeight="15720" tabRatio="792" activeTab="4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4" r:id="rId4"/>
    <sheet name="Giro Crédito Visa" sheetId="5" r:id="rId5"/>
    <sheet name="Giro Débito Visa" sheetId="6" r:id="rId6"/>
    <sheet name="Giro Crédito Amex" sheetId="7" r:id="rId7"/>
    <sheet name="Giro Crédito MC" sheetId="8" r:id="rId8"/>
    <sheet name="Detalle Créd Visa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" i="6" l="1"/>
  <c r="G237" i="6"/>
  <c r="M236" i="5" l="1"/>
  <c r="G236" i="5"/>
  <c r="F236" i="5"/>
  <c r="Q110" i="9"/>
  <c r="AD110" i="9"/>
  <c r="AQ110" i="9"/>
  <c r="P110" i="9"/>
  <c r="AC110" i="9"/>
  <c r="AP110" i="9"/>
  <c r="O110" i="9"/>
  <c r="AB110" i="9"/>
  <c r="AO110" i="9"/>
  <c r="N110" i="9"/>
  <c r="AA110" i="9"/>
  <c r="AN110" i="9"/>
  <c r="M110" i="9"/>
  <c r="Z110" i="9"/>
  <c r="AM110" i="9"/>
  <c r="L110" i="9"/>
  <c r="Y110" i="9"/>
  <c r="AL110" i="9"/>
  <c r="K110" i="9"/>
  <c r="X110" i="9"/>
  <c r="AK110" i="9"/>
  <c r="J110" i="9"/>
  <c r="W110" i="9"/>
  <c r="AJ110" i="9"/>
  <c r="I110" i="9"/>
  <c r="V110" i="9"/>
  <c r="AI110" i="9"/>
  <c r="H110" i="9"/>
  <c r="U110" i="9"/>
  <c r="AH110" i="9"/>
  <c r="G110" i="9"/>
  <c r="T110" i="9"/>
  <c r="AG110" i="9"/>
  <c r="F110" i="9"/>
  <c r="S110" i="9"/>
  <c r="A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Q88" i="9"/>
  <c r="AD88" i="9"/>
  <c r="AQ88" i="9"/>
  <c r="P88" i="9"/>
  <c r="AC88" i="9"/>
  <c r="AP88" i="9"/>
  <c r="O88" i="9"/>
  <c r="AB88" i="9"/>
  <c r="AO88" i="9"/>
  <c r="N88" i="9"/>
  <c r="AA88" i="9"/>
  <c r="AN88" i="9"/>
  <c r="M88" i="9"/>
  <c r="Z88" i="9"/>
  <c r="AM88" i="9"/>
  <c r="L88" i="9"/>
  <c r="Y88" i="9"/>
  <c r="AL88" i="9"/>
  <c r="K88" i="9"/>
  <c r="X88" i="9"/>
  <c r="AK88" i="9"/>
  <c r="J88" i="9"/>
  <c r="W88" i="9"/>
  <c r="AJ88" i="9"/>
  <c r="I88" i="9"/>
  <c r="V88" i="9"/>
  <c r="AI88" i="9"/>
  <c r="H88" i="9"/>
  <c r="U88" i="9"/>
  <c r="AH88" i="9"/>
  <c r="G88" i="9"/>
  <c r="T88" i="9"/>
  <c r="AG88" i="9"/>
  <c r="F88" i="9"/>
  <c r="S88" i="9"/>
  <c r="A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Q66" i="9"/>
  <c r="AD66" i="9"/>
  <c r="AQ66" i="9"/>
  <c r="P66" i="9"/>
  <c r="AC66" i="9"/>
  <c r="AP66" i="9"/>
  <c r="O66" i="9"/>
  <c r="AB66" i="9"/>
  <c r="AO66" i="9"/>
  <c r="N66" i="9"/>
  <c r="AA66" i="9"/>
  <c r="AN66" i="9"/>
  <c r="M66" i="9"/>
  <c r="Z66" i="9"/>
  <c r="AM66" i="9"/>
  <c r="L66" i="9"/>
  <c r="Y66" i="9"/>
  <c r="AL66" i="9"/>
  <c r="K66" i="9"/>
  <c r="X66" i="9"/>
  <c r="AK66" i="9"/>
  <c r="J66" i="9"/>
  <c r="W66" i="9"/>
  <c r="AJ66" i="9"/>
  <c r="I66" i="9"/>
  <c r="V66" i="9"/>
  <c r="AI66" i="9"/>
  <c r="H66" i="9"/>
  <c r="U66" i="9"/>
  <c r="AH66" i="9"/>
  <c r="G66" i="9"/>
  <c r="T66" i="9"/>
  <c r="AG66" i="9"/>
  <c r="F66" i="9"/>
  <c r="S66" i="9"/>
  <c r="A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Q45" i="9"/>
  <c r="AD45" i="9"/>
  <c r="AQ45" i="9"/>
  <c r="P45" i="9"/>
  <c r="AC45" i="9"/>
  <c r="AP45" i="9"/>
  <c r="O45" i="9"/>
  <c r="AB45" i="9"/>
  <c r="AO45" i="9"/>
  <c r="N45" i="9"/>
  <c r="AA45" i="9"/>
  <c r="AN45" i="9"/>
  <c r="M45" i="9"/>
  <c r="Z45" i="9"/>
  <c r="AM45" i="9"/>
  <c r="L45" i="9"/>
  <c r="Y45" i="9"/>
  <c r="AL45" i="9"/>
  <c r="K45" i="9"/>
  <c r="X45" i="9"/>
  <c r="AK45" i="9"/>
  <c r="J45" i="9"/>
  <c r="W45" i="9"/>
  <c r="AJ45" i="9"/>
  <c r="I45" i="9"/>
  <c r="V45" i="9"/>
  <c r="AI45" i="9"/>
  <c r="H45" i="9"/>
  <c r="U45" i="9"/>
  <c r="AH45" i="9"/>
  <c r="G45" i="9"/>
  <c r="T45" i="9"/>
  <c r="AG45" i="9"/>
  <c r="F45" i="9"/>
  <c r="S45" i="9"/>
  <c r="A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Q24" i="9"/>
  <c r="AD24" i="9"/>
  <c r="AQ24" i="9"/>
  <c r="P24" i="9"/>
  <c r="AC24" i="9"/>
  <c r="AP24" i="9"/>
  <c r="O24" i="9"/>
  <c r="AB24" i="9"/>
  <c r="AO24" i="9"/>
  <c r="N24" i="9"/>
  <c r="AA24" i="9"/>
  <c r="AN24" i="9"/>
  <c r="M24" i="9"/>
  <c r="Z24" i="9"/>
  <c r="AM24" i="9"/>
  <c r="L24" i="9"/>
  <c r="Y24" i="9"/>
  <c r="AL24" i="9"/>
  <c r="K24" i="9"/>
  <c r="X24" i="9"/>
  <c r="AK24" i="9"/>
  <c r="J24" i="9"/>
  <c r="W24" i="9"/>
  <c r="AJ24" i="9"/>
  <c r="I24" i="9"/>
  <c r="V24" i="9"/>
  <c r="AI24" i="9"/>
  <c r="H24" i="9"/>
  <c r="U24" i="9"/>
  <c r="AH24" i="9"/>
  <c r="G24" i="9"/>
  <c r="T24" i="9"/>
  <c r="AG24" i="9"/>
  <c r="F24" i="9"/>
  <c r="S24" i="9"/>
  <c r="A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D5" i="8"/>
  <c r="AD6" i="8"/>
  <c r="AD7" i="8"/>
  <c r="AD8" i="8"/>
  <c r="AD203" i="8"/>
  <c r="AD202" i="8"/>
  <c r="AD201" i="8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149" i="8"/>
  <c r="AD148" i="8"/>
  <c r="AD147" i="8"/>
  <c r="AD146" i="8"/>
  <c r="AD145" i="8"/>
  <c r="AD144" i="8"/>
  <c r="AD143" i="8"/>
  <c r="AD142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AD88" i="8"/>
  <c r="AD87" i="8"/>
  <c r="AD86" i="8"/>
  <c r="AD85" i="8"/>
  <c r="AD84" i="8"/>
  <c r="AD83" i="8"/>
  <c r="AD82" i="8"/>
  <c r="AD81" i="8"/>
  <c r="AD80" i="8"/>
  <c r="AD79" i="8"/>
  <c r="AD78" i="8"/>
  <c r="AD77" i="8"/>
  <c r="AD76" i="8"/>
  <c r="AD75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P5" i="8"/>
  <c r="P6" i="8"/>
  <c r="P7" i="8"/>
  <c r="P8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AD235" i="8"/>
  <c r="P235" i="8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5" i="7"/>
  <c r="AD6" i="7"/>
  <c r="AD7" i="7"/>
  <c r="AD8" i="7"/>
  <c r="AD214" i="7"/>
  <c r="AD213" i="7"/>
  <c r="AD212" i="7"/>
  <c r="AD211" i="7"/>
  <c r="AD210" i="7"/>
  <c r="AD209" i="7"/>
  <c r="AD208" i="7"/>
  <c r="AD207" i="7"/>
  <c r="AD206" i="7"/>
  <c r="AD205" i="7"/>
  <c r="AD204" i="7"/>
  <c r="AD203" i="7"/>
  <c r="AD202" i="7"/>
  <c r="AD201" i="7"/>
  <c r="AD200" i="7"/>
  <c r="AD199" i="7"/>
  <c r="AD198" i="7"/>
  <c r="AD197" i="7"/>
  <c r="AD196" i="7"/>
  <c r="AD195" i="7"/>
  <c r="AD194" i="7"/>
  <c r="AD193" i="7"/>
  <c r="AD192" i="7"/>
  <c r="AD191" i="7"/>
  <c r="AD190" i="7"/>
  <c r="AD189" i="7"/>
  <c r="AD188" i="7"/>
  <c r="AD187" i="7"/>
  <c r="AD186" i="7"/>
  <c r="AD185" i="7"/>
  <c r="AD184" i="7"/>
  <c r="AD183" i="7"/>
  <c r="AD182" i="7"/>
  <c r="AD181" i="7"/>
  <c r="AD180" i="7"/>
  <c r="AD179" i="7"/>
  <c r="AD178" i="7"/>
  <c r="AD177" i="7"/>
  <c r="AD176" i="7"/>
  <c r="AD175" i="7"/>
  <c r="AD174" i="7"/>
  <c r="AD173" i="7"/>
  <c r="AD172" i="7"/>
  <c r="AD171" i="7"/>
  <c r="AD170" i="7"/>
  <c r="AD169" i="7"/>
  <c r="AD168" i="7"/>
  <c r="AD167" i="7"/>
  <c r="AD166" i="7"/>
  <c r="AD165" i="7"/>
  <c r="AD164" i="7"/>
  <c r="AD163" i="7"/>
  <c r="AD162" i="7"/>
  <c r="AD161" i="7"/>
  <c r="AD160" i="7"/>
  <c r="AD159" i="7"/>
  <c r="AD158" i="7"/>
  <c r="AD157" i="7"/>
  <c r="AD156" i="7"/>
  <c r="AD155" i="7"/>
  <c r="AD154" i="7"/>
  <c r="AD153" i="7"/>
  <c r="AD152" i="7"/>
  <c r="AD151" i="7"/>
  <c r="AD150" i="7"/>
  <c r="AD149" i="7"/>
  <c r="AD148" i="7"/>
  <c r="AD147" i="7"/>
  <c r="AD146" i="7"/>
  <c r="AD145" i="7"/>
  <c r="AD144" i="7"/>
  <c r="AD143" i="7"/>
  <c r="AD142" i="7"/>
  <c r="AD141" i="7"/>
  <c r="AD140" i="7"/>
  <c r="AD139" i="7"/>
  <c r="AD138" i="7"/>
  <c r="AD137" i="7"/>
  <c r="AD136" i="7"/>
  <c r="AD135" i="7"/>
  <c r="AD134" i="7"/>
  <c r="AD133" i="7"/>
  <c r="AD132" i="7"/>
  <c r="AD131" i="7"/>
  <c r="AD130" i="7"/>
  <c r="AD129" i="7"/>
  <c r="AD128" i="7"/>
  <c r="AD127" i="7"/>
  <c r="AD126" i="7"/>
  <c r="AD125" i="7"/>
  <c r="AD124" i="7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101" i="7"/>
  <c r="AD100" i="7"/>
  <c r="AD99" i="7"/>
  <c r="AD98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AD85" i="7"/>
  <c r="AD84" i="7"/>
  <c r="AD83" i="7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50" i="7"/>
  <c r="AD49" i="7"/>
  <c r="AD48" i="7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257" i="7"/>
  <c r="BF257" i="7"/>
  <c r="AC257" i="7"/>
  <c r="O257" i="7"/>
  <c r="AQ257" i="7"/>
  <c r="AB257" i="7"/>
  <c r="N257" i="7"/>
  <c r="AP257" i="7"/>
  <c r="BD257" i="7"/>
  <c r="AA257" i="7"/>
  <c r="M257" i="7"/>
  <c r="AO257" i="7"/>
  <c r="BC257" i="7"/>
  <c r="Z257" i="7"/>
  <c r="L257" i="7"/>
  <c r="AN257" i="7"/>
  <c r="BB257" i="7"/>
  <c r="Y257" i="7"/>
  <c r="K257" i="7"/>
  <c r="AM257" i="7"/>
  <c r="BA257" i="7"/>
  <c r="X257" i="7"/>
  <c r="J257" i="7"/>
  <c r="AL257" i="7"/>
  <c r="AZ257" i="7"/>
  <c r="W257" i="7"/>
  <c r="I257" i="7"/>
  <c r="AK257" i="7"/>
  <c r="AY257" i="7"/>
  <c r="V257" i="7"/>
  <c r="H257" i="7"/>
  <c r="AJ257" i="7"/>
  <c r="AX257" i="7"/>
  <c r="U257" i="7"/>
  <c r="G257" i="7"/>
  <c r="AI257" i="7"/>
  <c r="AW257" i="7"/>
  <c r="T257" i="7"/>
  <c r="F257" i="7"/>
  <c r="AH257" i="7"/>
  <c r="AV257" i="7"/>
  <c r="AU257" i="7"/>
  <c r="AT257" i="7"/>
  <c r="P5" i="7"/>
  <c r="P6" i="7"/>
  <c r="P7" i="7"/>
  <c r="P8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257" i="7"/>
  <c r="AR257" i="7"/>
  <c r="S257" i="7"/>
  <c r="E257" i="7"/>
  <c r="AG257" i="7"/>
  <c r="R257" i="7"/>
  <c r="D257" i="7"/>
  <c r="AF257" i="7"/>
  <c r="AD256" i="7"/>
  <c r="BF256" i="7"/>
  <c r="AD254" i="7"/>
  <c r="BF254" i="7"/>
  <c r="AD252" i="7"/>
  <c r="BF252" i="7"/>
  <c r="AD250" i="7"/>
  <c r="BF250" i="7"/>
  <c r="AD248" i="7"/>
  <c r="BF248" i="7"/>
  <c r="AD246" i="7"/>
  <c r="BF246" i="7"/>
  <c r="AD244" i="7"/>
  <c r="BF244" i="7"/>
  <c r="AD242" i="7"/>
  <c r="BF242" i="7"/>
  <c r="AD240" i="7"/>
  <c r="BF240" i="7"/>
  <c r="AD238" i="7"/>
  <c r="BF238" i="7"/>
  <c r="AD236" i="7"/>
  <c r="BF236" i="7"/>
  <c r="AD234" i="7"/>
  <c r="BF234" i="7"/>
  <c r="AD232" i="7"/>
  <c r="BF232" i="7"/>
  <c r="AD230" i="7"/>
  <c r="BF230" i="7"/>
  <c r="AD228" i="7"/>
  <c r="BF228" i="7"/>
  <c r="AD226" i="7"/>
  <c r="BF226" i="7"/>
  <c r="AD224" i="7"/>
  <c r="BF224" i="7"/>
  <c r="AD222" i="7"/>
  <c r="BF222" i="7"/>
  <c r="AD220" i="7"/>
  <c r="BF220" i="7"/>
  <c r="AD218" i="7"/>
  <c r="BF218" i="7"/>
  <c r="AD216" i="7"/>
  <c r="BF216" i="7"/>
  <c r="BF214" i="7"/>
  <c r="BF212" i="7"/>
  <c r="BF211" i="7"/>
  <c r="BF210" i="7"/>
  <c r="BF209" i="7"/>
  <c r="BF208" i="7"/>
  <c r="BF207" i="7"/>
  <c r="BF206" i="7"/>
  <c r="BF205" i="7"/>
  <c r="BF204" i="7"/>
  <c r="BF203" i="7"/>
  <c r="BF202" i="7"/>
  <c r="BF201" i="7"/>
  <c r="BF200" i="7"/>
  <c r="BF199" i="7"/>
  <c r="BF198" i="7"/>
  <c r="BF197" i="7"/>
  <c r="BF196" i="7"/>
  <c r="BF195" i="7"/>
  <c r="BF194" i="7"/>
  <c r="BF193" i="7"/>
  <c r="BF192" i="7"/>
  <c r="BF191" i="7"/>
  <c r="BF190" i="7"/>
  <c r="BF189" i="7"/>
  <c r="BF188" i="7"/>
  <c r="BF187" i="7"/>
  <c r="BF186" i="7"/>
  <c r="BF185" i="7"/>
  <c r="BF184" i="7"/>
  <c r="BF183" i="7"/>
  <c r="BF182" i="7"/>
  <c r="BF181" i="7"/>
  <c r="BF180" i="7"/>
  <c r="BF179" i="7"/>
  <c r="BF178" i="7"/>
  <c r="BF177" i="7"/>
  <c r="BF176" i="7"/>
  <c r="BF175" i="7"/>
  <c r="BF174" i="7"/>
  <c r="BF173" i="7"/>
  <c r="BF172" i="7"/>
  <c r="BF171" i="7"/>
  <c r="BF170" i="7"/>
  <c r="BF169" i="7"/>
  <c r="BF168" i="7"/>
  <c r="BF167" i="7"/>
  <c r="BF166" i="7"/>
  <c r="BF165" i="7"/>
  <c r="BF164" i="7"/>
  <c r="BF163" i="7"/>
  <c r="BF162" i="7"/>
  <c r="BF161" i="7"/>
  <c r="BF160" i="7"/>
  <c r="BF159" i="7"/>
  <c r="BF158" i="7"/>
  <c r="BF157" i="7"/>
  <c r="BF156" i="7"/>
  <c r="BF155" i="7"/>
  <c r="BF154" i="7"/>
  <c r="BF153" i="7"/>
  <c r="BF152" i="7"/>
  <c r="BF151" i="7"/>
  <c r="BF150" i="7"/>
  <c r="BF149" i="7"/>
  <c r="BF148" i="7"/>
  <c r="BF147" i="7"/>
  <c r="BF146" i="7"/>
  <c r="BF145" i="7"/>
  <c r="BF144" i="7"/>
  <c r="BF143" i="7"/>
  <c r="BF142" i="7"/>
  <c r="BF141" i="7"/>
  <c r="BF140" i="7"/>
  <c r="BF139" i="7"/>
  <c r="BF138" i="7"/>
  <c r="BF137" i="7"/>
  <c r="BF136" i="7"/>
  <c r="BF135" i="7"/>
  <c r="BF134" i="7"/>
  <c r="BF133" i="7"/>
  <c r="BF132" i="7"/>
  <c r="BF131" i="7"/>
  <c r="BF130" i="7"/>
  <c r="BF129" i="7"/>
  <c r="BF128" i="7"/>
  <c r="BF127" i="7"/>
  <c r="BF126" i="7"/>
  <c r="BF125" i="7"/>
  <c r="BF124" i="7"/>
  <c r="BF123" i="7"/>
  <c r="BF122" i="7"/>
  <c r="BF121" i="7"/>
  <c r="BF120" i="7"/>
  <c r="BF119" i="7"/>
  <c r="BF118" i="7"/>
  <c r="BF117" i="7"/>
  <c r="BF116" i="7"/>
  <c r="BF115" i="7"/>
  <c r="BF114" i="7"/>
  <c r="BF113" i="7"/>
  <c r="BF112" i="7"/>
  <c r="BF111" i="7"/>
  <c r="BF110" i="7"/>
  <c r="BF109" i="7"/>
  <c r="BF108" i="7"/>
  <c r="BF107" i="7"/>
  <c r="BF106" i="7"/>
  <c r="BF105" i="7"/>
  <c r="BF104" i="7"/>
  <c r="BF103" i="7"/>
  <c r="BF102" i="7"/>
  <c r="BF101" i="7"/>
  <c r="BF100" i="7"/>
  <c r="BF99" i="7"/>
  <c r="BF98" i="7"/>
  <c r="BF97" i="7"/>
  <c r="BF96" i="7"/>
  <c r="BF95" i="7"/>
  <c r="BF94" i="7"/>
  <c r="BF93" i="7"/>
  <c r="BF92" i="7"/>
  <c r="BF91" i="7"/>
  <c r="BF90" i="7"/>
  <c r="BF89" i="7"/>
  <c r="BF88" i="7"/>
  <c r="BF87" i="7"/>
  <c r="BF86" i="7"/>
  <c r="BF85" i="7"/>
  <c r="BF84" i="7"/>
  <c r="BF83" i="7"/>
  <c r="BF82" i="7"/>
  <c r="BF81" i="7"/>
  <c r="BF80" i="7"/>
  <c r="BF79" i="7"/>
  <c r="BF78" i="7"/>
  <c r="BF77" i="7"/>
  <c r="BF76" i="7"/>
  <c r="BF75" i="7"/>
  <c r="BF74" i="7"/>
  <c r="BF73" i="7"/>
  <c r="BF72" i="7"/>
  <c r="BF71" i="7"/>
  <c r="BF70" i="7"/>
  <c r="BF69" i="7"/>
  <c r="BF68" i="7"/>
  <c r="BF67" i="7"/>
  <c r="BF66" i="7"/>
  <c r="BF65" i="7"/>
  <c r="BF64" i="7"/>
  <c r="BF63" i="7"/>
  <c r="BF62" i="7"/>
  <c r="BF61" i="7"/>
  <c r="BF60" i="7"/>
  <c r="BF59" i="7"/>
  <c r="BF58" i="7"/>
  <c r="BF57" i="7"/>
  <c r="BF56" i="7"/>
  <c r="BF55" i="7"/>
  <c r="BF54" i="7"/>
  <c r="BF53" i="7"/>
  <c r="BF52" i="7"/>
  <c r="BF51" i="7"/>
  <c r="BF50" i="7"/>
  <c r="BF49" i="7"/>
  <c r="BF48" i="7"/>
  <c r="BF47" i="7"/>
  <c r="BF46" i="7"/>
  <c r="BF45" i="7"/>
  <c r="BF44" i="7"/>
  <c r="BF43" i="7"/>
  <c r="BF42" i="7"/>
  <c r="BF41" i="7"/>
  <c r="BF40" i="7"/>
  <c r="BF39" i="7"/>
  <c r="BF38" i="7"/>
  <c r="BF37" i="7"/>
  <c r="BF36" i="7"/>
  <c r="BF35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101" i="7"/>
  <c r="BG102" i="7"/>
  <c r="BG103" i="7"/>
  <c r="BG104" i="7"/>
  <c r="BG105" i="7"/>
  <c r="BG106" i="7"/>
  <c r="BG107" i="7"/>
  <c r="BG108" i="7"/>
  <c r="BG109" i="7"/>
  <c r="BG110" i="7"/>
  <c r="BG111" i="7"/>
  <c r="BG112" i="7"/>
  <c r="BG113" i="7"/>
  <c r="BG114" i="7"/>
  <c r="BG115" i="7"/>
  <c r="BG116" i="7"/>
  <c r="BG117" i="7"/>
  <c r="BG118" i="7"/>
  <c r="BG119" i="7"/>
  <c r="BG120" i="7"/>
  <c r="BG121" i="7"/>
  <c r="BG122" i="7"/>
  <c r="BG123" i="7"/>
  <c r="BG124" i="7"/>
  <c r="BG125" i="7"/>
  <c r="BG126" i="7"/>
  <c r="BG127" i="7"/>
  <c r="BG128" i="7"/>
  <c r="BG129" i="7"/>
  <c r="BG130" i="7"/>
  <c r="BG131" i="7"/>
  <c r="BG132" i="7"/>
  <c r="BG133" i="7"/>
  <c r="BG134" i="7"/>
  <c r="BG135" i="7"/>
  <c r="BG136" i="7"/>
  <c r="BG137" i="7"/>
  <c r="BG138" i="7"/>
  <c r="BG139" i="7"/>
  <c r="BG140" i="7"/>
  <c r="BG141" i="7"/>
  <c r="BG142" i="7"/>
  <c r="BG143" i="7"/>
  <c r="BG144" i="7"/>
  <c r="BG145" i="7"/>
  <c r="BG146" i="7"/>
  <c r="BG147" i="7"/>
  <c r="BG148" i="7"/>
  <c r="BG149" i="7"/>
  <c r="BG150" i="7"/>
  <c r="BG151" i="7"/>
  <c r="BG152" i="7"/>
  <c r="BG153" i="7"/>
  <c r="BG154" i="7"/>
  <c r="BG155" i="7"/>
  <c r="BG156" i="7"/>
  <c r="BG157" i="7"/>
  <c r="BG158" i="7"/>
  <c r="BG159" i="7"/>
  <c r="BG160" i="7"/>
  <c r="BG161" i="7"/>
  <c r="BG162" i="7"/>
  <c r="BG163" i="7"/>
  <c r="BG164" i="7"/>
  <c r="BG165" i="7"/>
  <c r="BG166" i="7"/>
  <c r="BG167" i="7"/>
  <c r="BG168" i="7"/>
  <c r="BG169" i="7"/>
  <c r="BG170" i="7"/>
  <c r="BG171" i="7"/>
  <c r="BG172" i="7"/>
  <c r="BG173" i="7"/>
  <c r="BG174" i="7"/>
  <c r="BG175" i="7"/>
  <c r="BG176" i="7"/>
  <c r="BG177" i="7"/>
  <c r="BG178" i="7"/>
  <c r="BG179" i="7"/>
  <c r="BG180" i="7"/>
  <c r="BG181" i="7"/>
  <c r="BG182" i="7"/>
  <c r="BG183" i="7"/>
  <c r="BG184" i="7"/>
  <c r="BG185" i="7"/>
  <c r="BG186" i="7"/>
  <c r="BG187" i="7"/>
  <c r="BG188" i="7"/>
  <c r="BG189" i="7"/>
  <c r="BG190" i="7"/>
  <c r="BG191" i="7"/>
  <c r="BG192" i="7"/>
  <c r="BG193" i="7"/>
  <c r="BG194" i="7"/>
  <c r="BG195" i="7"/>
  <c r="BG196" i="7"/>
  <c r="BG197" i="7"/>
  <c r="BG198" i="7"/>
  <c r="BG199" i="7"/>
  <c r="BG200" i="7"/>
  <c r="BG201" i="7"/>
  <c r="BG202" i="7"/>
  <c r="BG203" i="7"/>
  <c r="BG204" i="7"/>
  <c r="BG205" i="7"/>
  <c r="BG206" i="7"/>
  <c r="BG207" i="7"/>
  <c r="BG208" i="7"/>
  <c r="BG209" i="7"/>
  <c r="BG210" i="7"/>
  <c r="BG211" i="7"/>
  <c r="BG212" i="7"/>
  <c r="BG214" i="7"/>
  <c r="BG216" i="7"/>
  <c r="BG218" i="7"/>
  <c r="BG220" i="7"/>
  <c r="BG222" i="7"/>
  <c r="BG224" i="7"/>
  <c r="BG226" i="7"/>
  <c r="BG228" i="7"/>
  <c r="BG230" i="7"/>
  <c r="BG232" i="7"/>
  <c r="BG234" i="7"/>
  <c r="BG236" i="7"/>
  <c r="BG238" i="7"/>
  <c r="BG240" i="7"/>
  <c r="BG242" i="7"/>
  <c r="BG244" i="7"/>
  <c r="BG246" i="7"/>
  <c r="BG248" i="7"/>
  <c r="BG250" i="7"/>
  <c r="BG252" i="7"/>
  <c r="BG254" i="7"/>
  <c r="BG256" i="7"/>
  <c r="P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D255" i="7"/>
  <c r="BF255" i="7"/>
  <c r="AD253" i="7"/>
  <c r="BF253" i="7"/>
  <c r="AD251" i="7"/>
  <c r="BF251" i="7"/>
  <c r="AD249" i="7"/>
  <c r="BF249" i="7"/>
  <c r="AD247" i="7"/>
  <c r="BF247" i="7"/>
  <c r="AD245" i="7"/>
  <c r="BF245" i="7"/>
  <c r="AD243" i="7"/>
  <c r="BF243" i="7"/>
  <c r="AD241" i="7"/>
  <c r="BF241" i="7"/>
  <c r="AD239" i="7"/>
  <c r="BF239" i="7"/>
  <c r="AD237" i="7"/>
  <c r="BF237" i="7"/>
  <c r="AD235" i="7"/>
  <c r="BF235" i="7"/>
  <c r="AD233" i="7"/>
  <c r="BF233" i="7"/>
  <c r="AD231" i="7"/>
  <c r="BF231" i="7"/>
  <c r="AD229" i="7"/>
  <c r="BF229" i="7"/>
  <c r="AD227" i="7"/>
  <c r="BF227" i="7"/>
  <c r="AD225" i="7"/>
  <c r="BF225" i="7"/>
  <c r="AD223" i="7"/>
  <c r="BF223" i="7"/>
  <c r="AD221" i="7"/>
  <c r="BF221" i="7"/>
  <c r="AD219" i="7"/>
  <c r="BF219" i="7"/>
  <c r="AD217" i="7"/>
  <c r="BF217" i="7"/>
  <c r="AD215" i="7"/>
  <c r="BF215" i="7"/>
  <c r="BF213" i="7"/>
  <c r="BG213" i="7"/>
  <c r="BG215" i="7"/>
  <c r="BG217" i="7"/>
  <c r="BG219" i="7"/>
  <c r="BG221" i="7"/>
  <c r="BG223" i="7"/>
  <c r="BG225" i="7"/>
  <c r="BG227" i="7"/>
  <c r="BG229" i="7"/>
  <c r="BG231" i="7"/>
  <c r="BG233" i="7"/>
  <c r="BG235" i="7"/>
  <c r="BG237" i="7"/>
  <c r="BG239" i="7"/>
  <c r="BG241" i="7"/>
  <c r="BG243" i="7"/>
  <c r="BG245" i="7"/>
  <c r="BG247" i="7"/>
  <c r="BG249" i="7"/>
  <c r="BG251" i="7"/>
  <c r="BG253" i="7"/>
  <c r="BG255" i="7"/>
  <c r="P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P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P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P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P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P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P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P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P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P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P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P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P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P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P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P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P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P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P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P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P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P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P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P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P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P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P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P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P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P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P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P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P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P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P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P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P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P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P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P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P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Q214" i="7"/>
  <c r="AP214" i="7"/>
  <c r="BD214" i="7"/>
  <c r="AO214" i="7"/>
  <c r="BC214" i="7"/>
  <c r="AN214" i="7"/>
  <c r="BB214" i="7"/>
  <c r="AM214" i="7"/>
  <c r="BA214" i="7"/>
  <c r="AL214" i="7"/>
  <c r="AZ214" i="7"/>
  <c r="AK214" i="7"/>
  <c r="AY214" i="7"/>
  <c r="AJ214" i="7"/>
  <c r="AX214" i="7"/>
  <c r="AI214" i="7"/>
  <c r="AW214" i="7"/>
  <c r="AH214" i="7"/>
  <c r="AV214" i="7"/>
  <c r="AU214" i="7"/>
  <c r="AT214" i="7"/>
  <c r="AR214" i="7"/>
  <c r="AG214" i="7"/>
  <c r="AF214" i="7"/>
  <c r="AQ213" i="7"/>
  <c r="AP213" i="7"/>
  <c r="BD213" i="7"/>
  <c r="AR213" i="7"/>
  <c r="AO213" i="7"/>
  <c r="AN213" i="7"/>
  <c r="AM213" i="7"/>
  <c r="AL213" i="7"/>
  <c r="AK213" i="7"/>
  <c r="AJ213" i="7"/>
  <c r="AI213" i="7"/>
  <c r="AH213" i="7"/>
  <c r="AG213" i="7"/>
  <c r="AF213" i="7"/>
  <c r="AQ212" i="7"/>
  <c r="AP212" i="7"/>
  <c r="BD212" i="7"/>
  <c r="AO212" i="7"/>
  <c r="BC212" i="7"/>
  <c r="AN212" i="7"/>
  <c r="BB212" i="7"/>
  <c r="AM212" i="7"/>
  <c r="BA212" i="7"/>
  <c r="AL212" i="7"/>
  <c r="AZ212" i="7"/>
  <c r="AK212" i="7"/>
  <c r="AY212" i="7"/>
  <c r="AJ212" i="7"/>
  <c r="AX212" i="7"/>
  <c r="AI212" i="7"/>
  <c r="AW212" i="7"/>
  <c r="AH212" i="7"/>
  <c r="AV212" i="7"/>
  <c r="AU212" i="7"/>
  <c r="AT212" i="7"/>
  <c r="AR212" i="7"/>
  <c r="AG212" i="7"/>
  <c r="AF212" i="7"/>
  <c r="AQ211" i="7"/>
  <c r="AP211" i="7"/>
  <c r="BD211" i="7"/>
  <c r="AO211" i="7"/>
  <c r="BC211" i="7"/>
  <c r="AN211" i="7"/>
  <c r="BB211" i="7"/>
  <c r="AM211" i="7"/>
  <c r="BA211" i="7"/>
  <c r="AL211" i="7"/>
  <c r="AZ211" i="7"/>
  <c r="AK211" i="7"/>
  <c r="AY211" i="7"/>
  <c r="AJ211" i="7"/>
  <c r="AX211" i="7"/>
  <c r="AI211" i="7"/>
  <c r="AW211" i="7"/>
  <c r="AH211" i="7"/>
  <c r="AV211" i="7"/>
  <c r="AU211" i="7"/>
  <c r="AT211" i="7"/>
  <c r="AR211" i="7"/>
  <c r="AG211" i="7"/>
  <c r="AF211" i="7"/>
  <c r="AQ210" i="7"/>
  <c r="AP210" i="7"/>
  <c r="BD210" i="7"/>
  <c r="AO210" i="7"/>
  <c r="BC210" i="7"/>
  <c r="AN210" i="7"/>
  <c r="BB210" i="7"/>
  <c r="AM210" i="7"/>
  <c r="BA210" i="7"/>
  <c r="AL210" i="7"/>
  <c r="AZ210" i="7"/>
  <c r="AK210" i="7"/>
  <c r="AY210" i="7"/>
  <c r="AJ210" i="7"/>
  <c r="AX210" i="7"/>
  <c r="AI210" i="7"/>
  <c r="AW210" i="7"/>
  <c r="AH210" i="7"/>
  <c r="AV210" i="7"/>
  <c r="AU210" i="7"/>
  <c r="AT210" i="7"/>
  <c r="AR210" i="7"/>
  <c r="AG210" i="7"/>
  <c r="AF210" i="7"/>
  <c r="AQ209" i="7"/>
  <c r="AP209" i="7"/>
  <c r="BD209" i="7"/>
  <c r="AO209" i="7"/>
  <c r="BC209" i="7"/>
  <c r="AN209" i="7"/>
  <c r="BB209" i="7"/>
  <c r="AM209" i="7"/>
  <c r="BA209" i="7"/>
  <c r="AL209" i="7"/>
  <c r="AZ209" i="7"/>
  <c r="AK209" i="7"/>
  <c r="AY209" i="7"/>
  <c r="AJ209" i="7"/>
  <c r="AX209" i="7"/>
  <c r="AI209" i="7"/>
  <c r="AW209" i="7"/>
  <c r="AH209" i="7"/>
  <c r="AV209" i="7"/>
  <c r="AU209" i="7"/>
  <c r="AT209" i="7"/>
  <c r="AR209" i="7"/>
  <c r="AG209" i="7"/>
  <c r="AF209" i="7"/>
  <c r="AQ208" i="7"/>
  <c r="AP208" i="7"/>
  <c r="BD208" i="7"/>
  <c r="AO208" i="7"/>
  <c r="BC208" i="7"/>
  <c r="AN208" i="7"/>
  <c r="BB208" i="7"/>
  <c r="AM208" i="7"/>
  <c r="BA208" i="7"/>
  <c r="AL208" i="7"/>
  <c r="AZ208" i="7"/>
  <c r="AK208" i="7"/>
  <c r="AY208" i="7"/>
  <c r="AJ208" i="7"/>
  <c r="AX208" i="7"/>
  <c r="AI208" i="7"/>
  <c r="AW208" i="7"/>
  <c r="AH208" i="7"/>
  <c r="AV208" i="7"/>
  <c r="AU208" i="7"/>
  <c r="AT208" i="7"/>
  <c r="AR208" i="7"/>
  <c r="AG208" i="7"/>
  <c r="AF208" i="7"/>
  <c r="AQ207" i="7"/>
  <c r="AP207" i="7"/>
  <c r="BD207" i="7"/>
  <c r="AO207" i="7"/>
  <c r="BC207" i="7"/>
  <c r="AN207" i="7"/>
  <c r="BB207" i="7"/>
  <c r="AM207" i="7"/>
  <c r="BA207" i="7"/>
  <c r="AL207" i="7"/>
  <c r="AZ207" i="7"/>
  <c r="AK207" i="7"/>
  <c r="AY207" i="7"/>
  <c r="AJ207" i="7"/>
  <c r="AX207" i="7"/>
  <c r="AI207" i="7"/>
  <c r="AW207" i="7"/>
  <c r="AH207" i="7"/>
  <c r="AV207" i="7"/>
  <c r="AU207" i="7"/>
  <c r="AT207" i="7"/>
  <c r="AR207" i="7"/>
  <c r="AG207" i="7"/>
  <c r="AF207" i="7"/>
  <c r="AQ206" i="7"/>
  <c r="AP206" i="7"/>
  <c r="BD206" i="7"/>
  <c r="AO206" i="7"/>
  <c r="BC206" i="7"/>
  <c r="AN206" i="7"/>
  <c r="BB206" i="7"/>
  <c r="AM206" i="7"/>
  <c r="BA206" i="7"/>
  <c r="AL206" i="7"/>
  <c r="AZ206" i="7"/>
  <c r="AK206" i="7"/>
  <c r="AY206" i="7"/>
  <c r="AJ206" i="7"/>
  <c r="AX206" i="7"/>
  <c r="AI206" i="7"/>
  <c r="AW206" i="7"/>
  <c r="AH206" i="7"/>
  <c r="AV206" i="7"/>
  <c r="AU206" i="7"/>
  <c r="AT206" i="7"/>
  <c r="AR206" i="7"/>
  <c r="AG206" i="7"/>
  <c r="AF206" i="7"/>
  <c r="AQ205" i="7"/>
  <c r="AP205" i="7"/>
  <c r="BD205" i="7"/>
  <c r="AO205" i="7"/>
  <c r="BC205" i="7"/>
  <c r="AN205" i="7"/>
  <c r="BB205" i="7"/>
  <c r="AM205" i="7"/>
  <c r="BA205" i="7"/>
  <c r="AL205" i="7"/>
  <c r="AZ205" i="7"/>
  <c r="AK205" i="7"/>
  <c r="AY205" i="7"/>
  <c r="AJ205" i="7"/>
  <c r="AX205" i="7"/>
  <c r="AI205" i="7"/>
  <c r="AW205" i="7"/>
  <c r="AH205" i="7"/>
  <c r="AV205" i="7"/>
  <c r="AU205" i="7"/>
  <c r="AT205" i="7"/>
  <c r="AR205" i="7"/>
  <c r="AG205" i="7"/>
  <c r="AF205" i="7"/>
  <c r="AQ204" i="7"/>
  <c r="AP204" i="7"/>
  <c r="BD204" i="7"/>
  <c r="AO204" i="7"/>
  <c r="BC204" i="7"/>
  <c r="AN204" i="7"/>
  <c r="BB204" i="7"/>
  <c r="AM204" i="7"/>
  <c r="BA204" i="7"/>
  <c r="AL204" i="7"/>
  <c r="AZ204" i="7"/>
  <c r="AK204" i="7"/>
  <c r="AY204" i="7"/>
  <c r="AJ204" i="7"/>
  <c r="AX204" i="7"/>
  <c r="AI204" i="7"/>
  <c r="AW204" i="7"/>
  <c r="AH204" i="7"/>
  <c r="AV204" i="7"/>
  <c r="AU204" i="7"/>
  <c r="AT204" i="7"/>
  <c r="AR204" i="7"/>
  <c r="AG204" i="7"/>
  <c r="AF204" i="7"/>
  <c r="AQ203" i="7"/>
  <c r="AP203" i="7"/>
  <c r="BD203" i="7"/>
  <c r="AO203" i="7"/>
  <c r="BC203" i="7"/>
  <c r="AN203" i="7"/>
  <c r="BB203" i="7"/>
  <c r="AM203" i="7"/>
  <c r="BA203" i="7"/>
  <c r="AL203" i="7"/>
  <c r="AZ203" i="7"/>
  <c r="AK203" i="7"/>
  <c r="AY203" i="7"/>
  <c r="AJ203" i="7"/>
  <c r="AX203" i="7"/>
  <c r="AI203" i="7"/>
  <c r="AW203" i="7"/>
  <c r="AH203" i="7"/>
  <c r="AV203" i="7"/>
  <c r="AU203" i="7"/>
  <c r="AT203" i="7"/>
  <c r="AR203" i="7"/>
  <c r="AG203" i="7"/>
  <c r="AF203" i="7"/>
  <c r="AQ202" i="7"/>
  <c r="AP202" i="7"/>
  <c r="BD202" i="7"/>
  <c r="AO202" i="7"/>
  <c r="BC202" i="7"/>
  <c r="AN202" i="7"/>
  <c r="BB202" i="7"/>
  <c r="AM202" i="7"/>
  <c r="BA202" i="7"/>
  <c r="AL202" i="7"/>
  <c r="AZ202" i="7"/>
  <c r="AK202" i="7"/>
  <c r="AY202" i="7"/>
  <c r="AJ202" i="7"/>
  <c r="AX202" i="7"/>
  <c r="AI202" i="7"/>
  <c r="AW202" i="7"/>
  <c r="AH202" i="7"/>
  <c r="AV202" i="7"/>
  <c r="AU202" i="7"/>
  <c r="AT202" i="7"/>
  <c r="AR202" i="7"/>
  <c r="AG202" i="7"/>
  <c r="AF202" i="7"/>
  <c r="AQ201" i="7"/>
  <c r="AP201" i="7"/>
  <c r="BD201" i="7"/>
  <c r="AO201" i="7"/>
  <c r="BC201" i="7"/>
  <c r="AN201" i="7"/>
  <c r="BB201" i="7"/>
  <c r="AM201" i="7"/>
  <c r="BA201" i="7"/>
  <c r="AL201" i="7"/>
  <c r="AZ201" i="7"/>
  <c r="AK201" i="7"/>
  <c r="AY201" i="7"/>
  <c r="AJ201" i="7"/>
  <c r="AX201" i="7"/>
  <c r="AI201" i="7"/>
  <c r="AW201" i="7"/>
  <c r="AH201" i="7"/>
  <c r="AV201" i="7"/>
  <c r="AU201" i="7"/>
  <c r="AT201" i="7"/>
  <c r="AR201" i="7"/>
  <c r="AG201" i="7"/>
  <c r="AF201" i="7"/>
  <c r="AQ200" i="7"/>
  <c r="AP200" i="7"/>
  <c r="BD200" i="7"/>
  <c r="AO200" i="7"/>
  <c r="BC200" i="7"/>
  <c r="AN200" i="7"/>
  <c r="BB200" i="7"/>
  <c r="AM200" i="7"/>
  <c r="BA200" i="7"/>
  <c r="AL200" i="7"/>
  <c r="AZ200" i="7"/>
  <c r="AK200" i="7"/>
  <c r="AY200" i="7"/>
  <c r="AJ200" i="7"/>
  <c r="AX200" i="7"/>
  <c r="AI200" i="7"/>
  <c r="AW200" i="7"/>
  <c r="AH200" i="7"/>
  <c r="AV200" i="7"/>
  <c r="AU200" i="7"/>
  <c r="AT200" i="7"/>
  <c r="AR200" i="7"/>
  <c r="AG200" i="7"/>
  <c r="AF200" i="7"/>
  <c r="AQ199" i="7"/>
  <c r="AP199" i="7"/>
  <c r="BD199" i="7"/>
  <c r="AO199" i="7"/>
  <c r="BC199" i="7"/>
  <c r="AN199" i="7"/>
  <c r="BB199" i="7"/>
  <c r="AM199" i="7"/>
  <c r="BA199" i="7"/>
  <c r="AL199" i="7"/>
  <c r="AZ199" i="7"/>
  <c r="AK199" i="7"/>
  <c r="AY199" i="7"/>
  <c r="AJ199" i="7"/>
  <c r="AX199" i="7"/>
  <c r="AI199" i="7"/>
  <c r="AW199" i="7"/>
  <c r="AH199" i="7"/>
  <c r="AV199" i="7"/>
  <c r="AU199" i="7"/>
  <c r="AT199" i="7"/>
  <c r="AR199" i="7"/>
  <c r="AG199" i="7"/>
  <c r="AF199" i="7"/>
  <c r="AQ198" i="7"/>
  <c r="AP198" i="7"/>
  <c r="BD198" i="7"/>
  <c r="AO198" i="7"/>
  <c r="BC198" i="7"/>
  <c r="AN198" i="7"/>
  <c r="BB198" i="7"/>
  <c r="AM198" i="7"/>
  <c r="BA198" i="7"/>
  <c r="AL198" i="7"/>
  <c r="AZ198" i="7"/>
  <c r="AK198" i="7"/>
  <c r="AY198" i="7"/>
  <c r="AJ198" i="7"/>
  <c r="AX198" i="7"/>
  <c r="AI198" i="7"/>
  <c r="AW198" i="7"/>
  <c r="AH198" i="7"/>
  <c r="AV198" i="7"/>
  <c r="AU198" i="7"/>
  <c r="AT198" i="7"/>
  <c r="AR198" i="7"/>
  <c r="AG198" i="7"/>
  <c r="AF198" i="7"/>
  <c r="AQ197" i="7"/>
  <c r="AP197" i="7"/>
  <c r="BD197" i="7"/>
  <c r="AO197" i="7"/>
  <c r="BC197" i="7"/>
  <c r="AN197" i="7"/>
  <c r="BB197" i="7"/>
  <c r="AM197" i="7"/>
  <c r="BA197" i="7"/>
  <c r="AL197" i="7"/>
  <c r="AZ197" i="7"/>
  <c r="AK197" i="7"/>
  <c r="AY197" i="7"/>
  <c r="AJ197" i="7"/>
  <c r="AX197" i="7"/>
  <c r="AI197" i="7"/>
  <c r="AW197" i="7"/>
  <c r="AH197" i="7"/>
  <c r="AV197" i="7"/>
  <c r="AU197" i="7"/>
  <c r="AT197" i="7"/>
  <c r="AR197" i="7"/>
  <c r="AG197" i="7"/>
  <c r="AF197" i="7"/>
  <c r="AQ196" i="7"/>
  <c r="AP196" i="7"/>
  <c r="BD196" i="7"/>
  <c r="AO196" i="7"/>
  <c r="BC196" i="7"/>
  <c r="AN196" i="7"/>
  <c r="BB196" i="7"/>
  <c r="AM196" i="7"/>
  <c r="BA196" i="7"/>
  <c r="AL196" i="7"/>
  <c r="AZ196" i="7"/>
  <c r="AK196" i="7"/>
  <c r="AY196" i="7"/>
  <c r="AJ196" i="7"/>
  <c r="AX196" i="7"/>
  <c r="AI196" i="7"/>
  <c r="AW196" i="7"/>
  <c r="AH196" i="7"/>
  <c r="AV196" i="7"/>
  <c r="AU196" i="7"/>
  <c r="AT196" i="7"/>
  <c r="AR196" i="7"/>
  <c r="AG196" i="7"/>
  <c r="AF196" i="7"/>
  <c r="AQ195" i="7"/>
  <c r="AP195" i="7"/>
  <c r="BD195" i="7"/>
  <c r="AO195" i="7"/>
  <c r="BC195" i="7"/>
  <c r="AN195" i="7"/>
  <c r="BB195" i="7"/>
  <c r="AM195" i="7"/>
  <c r="BA195" i="7"/>
  <c r="AL195" i="7"/>
  <c r="AZ195" i="7"/>
  <c r="AK195" i="7"/>
  <c r="AY195" i="7"/>
  <c r="AJ195" i="7"/>
  <c r="AX195" i="7"/>
  <c r="AI195" i="7"/>
  <c r="AW195" i="7"/>
  <c r="AH195" i="7"/>
  <c r="AV195" i="7"/>
  <c r="AU195" i="7"/>
  <c r="AT195" i="7"/>
  <c r="AR195" i="7"/>
  <c r="AG195" i="7"/>
  <c r="AF195" i="7"/>
  <c r="AQ194" i="7"/>
  <c r="AP194" i="7"/>
  <c r="BD194" i="7"/>
  <c r="AO194" i="7"/>
  <c r="BC194" i="7"/>
  <c r="AN194" i="7"/>
  <c r="BB194" i="7"/>
  <c r="AM194" i="7"/>
  <c r="BA194" i="7"/>
  <c r="AL194" i="7"/>
  <c r="AZ194" i="7"/>
  <c r="AK194" i="7"/>
  <c r="AY194" i="7"/>
  <c r="AJ194" i="7"/>
  <c r="AX194" i="7"/>
  <c r="AI194" i="7"/>
  <c r="AW194" i="7"/>
  <c r="AH194" i="7"/>
  <c r="AV194" i="7"/>
  <c r="AU194" i="7"/>
  <c r="AT194" i="7"/>
  <c r="AR194" i="7"/>
  <c r="AG194" i="7"/>
  <c r="AF194" i="7"/>
  <c r="AQ193" i="7"/>
  <c r="AP193" i="7"/>
  <c r="BD193" i="7"/>
  <c r="AO193" i="7"/>
  <c r="BC193" i="7"/>
  <c r="AN193" i="7"/>
  <c r="BB193" i="7"/>
  <c r="AM193" i="7"/>
  <c r="BA193" i="7"/>
  <c r="AL193" i="7"/>
  <c r="AZ193" i="7"/>
  <c r="AK193" i="7"/>
  <c r="AY193" i="7"/>
  <c r="AJ193" i="7"/>
  <c r="AX193" i="7"/>
  <c r="AI193" i="7"/>
  <c r="AW193" i="7"/>
  <c r="AH193" i="7"/>
  <c r="AV193" i="7"/>
  <c r="AU193" i="7"/>
  <c r="AT193" i="7"/>
  <c r="AR193" i="7"/>
  <c r="AG193" i="7"/>
  <c r="AF193" i="7"/>
  <c r="AQ192" i="7"/>
  <c r="AP192" i="7"/>
  <c r="BD192" i="7"/>
  <c r="AO192" i="7"/>
  <c r="BC192" i="7"/>
  <c r="AN192" i="7"/>
  <c r="BB192" i="7"/>
  <c r="AM192" i="7"/>
  <c r="BA192" i="7"/>
  <c r="AL192" i="7"/>
  <c r="AZ192" i="7"/>
  <c r="AK192" i="7"/>
  <c r="AY192" i="7"/>
  <c r="AJ192" i="7"/>
  <c r="AX192" i="7"/>
  <c r="AI192" i="7"/>
  <c r="AW192" i="7"/>
  <c r="AH192" i="7"/>
  <c r="AV192" i="7"/>
  <c r="AU192" i="7"/>
  <c r="AT192" i="7"/>
  <c r="AR192" i="7"/>
  <c r="AG192" i="7"/>
  <c r="AF192" i="7"/>
  <c r="AQ191" i="7"/>
  <c r="AP191" i="7"/>
  <c r="BD191" i="7"/>
  <c r="AO191" i="7"/>
  <c r="BC191" i="7"/>
  <c r="AN191" i="7"/>
  <c r="BB191" i="7"/>
  <c r="AM191" i="7"/>
  <c r="BA191" i="7"/>
  <c r="AL191" i="7"/>
  <c r="AZ191" i="7"/>
  <c r="AK191" i="7"/>
  <c r="AY191" i="7"/>
  <c r="AJ191" i="7"/>
  <c r="AX191" i="7"/>
  <c r="AI191" i="7"/>
  <c r="AW191" i="7"/>
  <c r="AH191" i="7"/>
  <c r="AV191" i="7"/>
  <c r="AU191" i="7"/>
  <c r="AT191" i="7"/>
  <c r="AR191" i="7"/>
  <c r="AG191" i="7"/>
  <c r="AF191" i="7"/>
  <c r="AQ190" i="7"/>
  <c r="AP190" i="7"/>
  <c r="BD190" i="7"/>
  <c r="AO190" i="7"/>
  <c r="BC190" i="7"/>
  <c r="AN190" i="7"/>
  <c r="BB190" i="7"/>
  <c r="AM190" i="7"/>
  <c r="BA190" i="7"/>
  <c r="AL190" i="7"/>
  <c r="AZ190" i="7"/>
  <c r="AK190" i="7"/>
  <c r="AY190" i="7"/>
  <c r="AJ190" i="7"/>
  <c r="AX190" i="7"/>
  <c r="AI190" i="7"/>
  <c r="AW190" i="7"/>
  <c r="AH190" i="7"/>
  <c r="AV190" i="7"/>
  <c r="AU190" i="7"/>
  <c r="AT190" i="7"/>
  <c r="AR190" i="7"/>
  <c r="AG190" i="7"/>
  <c r="AF190" i="7"/>
  <c r="AQ189" i="7"/>
  <c r="AP189" i="7"/>
  <c r="BD189" i="7"/>
  <c r="AO189" i="7"/>
  <c r="BC189" i="7"/>
  <c r="AN189" i="7"/>
  <c r="BB189" i="7"/>
  <c r="AM189" i="7"/>
  <c r="BA189" i="7"/>
  <c r="AL189" i="7"/>
  <c r="AZ189" i="7"/>
  <c r="AK189" i="7"/>
  <c r="AY189" i="7"/>
  <c r="AJ189" i="7"/>
  <c r="AX189" i="7"/>
  <c r="AI189" i="7"/>
  <c r="AW189" i="7"/>
  <c r="AH189" i="7"/>
  <c r="AV189" i="7"/>
  <c r="AU189" i="7"/>
  <c r="AT189" i="7"/>
  <c r="AR189" i="7"/>
  <c r="AG189" i="7"/>
  <c r="AF189" i="7"/>
  <c r="AQ188" i="7"/>
  <c r="AP188" i="7"/>
  <c r="BD188" i="7"/>
  <c r="AO188" i="7"/>
  <c r="BC188" i="7"/>
  <c r="AN188" i="7"/>
  <c r="BB188" i="7"/>
  <c r="AM188" i="7"/>
  <c r="BA188" i="7"/>
  <c r="AL188" i="7"/>
  <c r="AZ188" i="7"/>
  <c r="AK188" i="7"/>
  <c r="AY188" i="7"/>
  <c r="AJ188" i="7"/>
  <c r="AX188" i="7"/>
  <c r="AI188" i="7"/>
  <c r="AW188" i="7"/>
  <c r="AH188" i="7"/>
  <c r="AV188" i="7"/>
  <c r="AU188" i="7"/>
  <c r="AT188" i="7"/>
  <c r="AR188" i="7"/>
  <c r="AG188" i="7"/>
  <c r="AF188" i="7"/>
  <c r="AQ187" i="7"/>
  <c r="AP187" i="7"/>
  <c r="BD187" i="7"/>
  <c r="AO187" i="7"/>
  <c r="BC187" i="7"/>
  <c r="AN187" i="7"/>
  <c r="BB187" i="7"/>
  <c r="AM187" i="7"/>
  <c r="BA187" i="7"/>
  <c r="AL187" i="7"/>
  <c r="AZ187" i="7"/>
  <c r="AK187" i="7"/>
  <c r="AY187" i="7"/>
  <c r="AJ187" i="7"/>
  <c r="AX187" i="7"/>
  <c r="AI187" i="7"/>
  <c r="AW187" i="7"/>
  <c r="AH187" i="7"/>
  <c r="AV187" i="7"/>
  <c r="AU187" i="7"/>
  <c r="AT187" i="7"/>
  <c r="AR187" i="7"/>
  <c r="AG187" i="7"/>
  <c r="AF187" i="7"/>
  <c r="AQ186" i="7"/>
  <c r="AP186" i="7"/>
  <c r="BD186" i="7"/>
  <c r="AO186" i="7"/>
  <c r="BC186" i="7"/>
  <c r="AN186" i="7"/>
  <c r="BB186" i="7"/>
  <c r="AM186" i="7"/>
  <c r="BA186" i="7"/>
  <c r="AL186" i="7"/>
  <c r="AZ186" i="7"/>
  <c r="AK186" i="7"/>
  <c r="AY186" i="7"/>
  <c r="AJ186" i="7"/>
  <c r="AX186" i="7"/>
  <c r="AI186" i="7"/>
  <c r="AW186" i="7"/>
  <c r="AH186" i="7"/>
  <c r="AV186" i="7"/>
  <c r="AU186" i="7"/>
  <c r="AT186" i="7"/>
  <c r="AR186" i="7"/>
  <c r="AG186" i="7"/>
  <c r="AF186" i="7"/>
  <c r="AQ185" i="7"/>
  <c r="AP185" i="7"/>
  <c r="BD185" i="7"/>
  <c r="AO185" i="7"/>
  <c r="BC185" i="7"/>
  <c r="AN185" i="7"/>
  <c r="BB185" i="7"/>
  <c r="AM185" i="7"/>
  <c r="BA185" i="7"/>
  <c r="AL185" i="7"/>
  <c r="AZ185" i="7"/>
  <c r="AK185" i="7"/>
  <c r="AY185" i="7"/>
  <c r="AJ185" i="7"/>
  <c r="AX185" i="7"/>
  <c r="AI185" i="7"/>
  <c r="AW185" i="7"/>
  <c r="AH185" i="7"/>
  <c r="AV185" i="7"/>
  <c r="AU185" i="7"/>
  <c r="AT185" i="7"/>
  <c r="AR185" i="7"/>
  <c r="AG185" i="7"/>
  <c r="AF185" i="7"/>
  <c r="AQ184" i="7"/>
  <c r="AP184" i="7"/>
  <c r="BD184" i="7"/>
  <c r="AO184" i="7"/>
  <c r="BC184" i="7"/>
  <c r="AN184" i="7"/>
  <c r="BB184" i="7"/>
  <c r="AM184" i="7"/>
  <c r="BA184" i="7"/>
  <c r="AL184" i="7"/>
  <c r="AZ184" i="7"/>
  <c r="AK184" i="7"/>
  <c r="AY184" i="7"/>
  <c r="AJ184" i="7"/>
  <c r="AX184" i="7"/>
  <c r="AI184" i="7"/>
  <c r="AW184" i="7"/>
  <c r="AH184" i="7"/>
  <c r="AV184" i="7"/>
  <c r="AU184" i="7"/>
  <c r="AT184" i="7"/>
  <c r="AR184" i="7"/>
  <c r="AG184" i="7"/>
  <c r="AF184" i="7"/>
  <c r="AQ183" i="7"/>
  <c r="AP183" i="7"/>
  <c r="BD183" i="7"/>
  <c r="AO183" i="7"/>
  <c r="BC183" i="7"/>
  <c r="AN183" i="7"/>
  <c r="BB183" i="7"/>
  <c r="AM183" i="7"/>
  <c r="BA183" i="7"/>
  <c r="AL183" i="7"/>
  <c r="AZ183" i="7"/>
  <c r="AK183" i="7"/>
  <c r="AY183" i="7"/>
  <c r="AJ183" i="7"/>
  <c r="AX183" i="7"/>
  <c r="AI183" i="7"/>
  <c r="AW183" i="7"/>
  <c r="AH183" i="7"/>
  <c r="AV183" i="7"/>
  <c r="AU183" i="7"/>
  <c r="AT183" i="7"/>
  <c r="AR183" i="7"/>
  <c r="AG183" i="7"/>
  <c r="AF183" i="7"/>
  <c r="AQ182" i="7"/>
  <c r="AP182" i="7"/>
  <c r="BD182" i="7"/>
  <c r="AO182" i="7"/>
  <c r="BC182" i="7"/>
  <c r="AN182" i="7"/>
  <c r="BB182" i="7"/>
  <c r="AM182" i="7"/>
  <c r="BA182" i="7"/>
  <c r="AL182" i="7"/>
  <c r="AZ182" i="7"/>
  <c r="AK182" i="7"/>
  <c r="AY182" i="7"/>
  <c r="AJ182" i="7"/>
  <c r="AX182" i="7"/>
  <c r="AI182" i="7"/>
  <c r="AW182" i="7"/>
  <c r="AH182" i="7"/>
  <c r="AV182" i="7"/>
  <c r="AU182" i="7"/>
  <c r="AT182" i="7"/>
  <c r="AR182" i="7"/>
  <c r="AG182" i="7"/>
  <c r="AF182" i="7"/>
  <c r="AQ181" i="7"/>
  <c r="AP181" i="7"/>
  <c r="BD181" i="7"/>
  <c r="AO181" i="7"/>
  <c r="BC181" i="7"/>
  <c r="AN181" i="7"/>
  <c r="BB181" i="7"/>
  <c r="AM181" i="7"/>
  <c r="BA181" i="7"/>
  <c r="AL181" i="7"/>
  <c r="AZ181" i="7"/>
  <c r="AK181" i="7"/>
  <c r="AY181" i="7"/>
  <c r="AJ181" i="7"/>
  <c r="AX181" i="7"/>
  <c r="AI181" i="7"/>
  <c r="AW181" i="7"/>
  <c r="AH181" i="7"/>
  <c r="AV181" i="7"/>
  <c r="AU181" i="7"/>
  <c r="AT181" i="7"/>
  <c r="AR181" i="7"/>
  <c r="AG181" i="7"/>
  <c r="AF181" i="7"/>
  <c r="AQ180" i="7"/>
  <c r="AP180" i="7"/>
  <c r="BD180" i="7"/>
  <c r="AO180" i="7"/>
  <c r="BC180" i="7"/>
  <c r="AN180" i="7"/>
  <c r="BB180" i="7"/>
  <c r="AM180" i="7"/>
  <c r="BA180" i="7"/>
  <c r="AL180" i="7"/>
  <c r="AZ180" i="7"/>
  <c r="AK180" i="7"/>
  <c r="AY180" i="7"/>
  <c r="AJ180" i="7"/>
  <c r="AX180" i="7"/>
  <c r="AI180" i="7"/>
  <c r="AW180" i="7"/>
  <c r="AH180" i="7"/>
  <c r="AV180" i="7"/>
  <c r="AU180" i="7"/>
  <c r="AT180" i="7"/>
  <c r="AR180" i="7"/>
  <c r="AG180" i="7"/>
  <c r="AF180" i="7"/>
  <c r="AQ179" i="7"/>
  <c r="AP179" i="7"/>
  <c r="BD179" i="7"/>
  <c r="AO179" i="7"/>
  <c r="BC179" i="7"/>
  <c r="AN179" i="7"/>
  <c r="BB179" i="7"/>
  <c r="AM179" i="7"/>
  <c r="BA179" i="7"/>
  <c r="AL179" i="7"/>
  <c r="AZ179" i="7"/>
  <c r="AK179" i="7"/>
  <c r="AY179" i="7"/>
  <c r="AJ179" i="7"/>
  <c r="AX179" i="7"/>
  <c r="AI179" i="7"/>
  <c r="AW179" i="7"/>
  <c r="AH179" i="7"/>
  <c r="AV179" i="7"/>
  <c r="AU179" i="7"/>
  <c r="AT179" i="7"/>
  <c r="AR179" i="7"/>
  <c r="AG179" i="7"/>
  <c r="AF179" i="7"/>
  <c r="AQ178" i="7"/>
  <c r="AP178" i="7"/>
  <c r="BD178" i="7"/>
  <c r="AO178" i="7"/>
  <c r="BC178" i="7"/>
  <c r="AN178" i="7"/>
  <c r="BB178" i="7"/>
  <c r="AM178" i="7"/>
  <c r="BA178" i="7"/>
  <c r="AL178" i="7"/>
  <c r="AZ178" i="7"/>
  <c r="AK178" i="7"/>
  <c r="AY178" i="7"/>
  <c r="AJ178" i="7"/>
  <c r="AX178" i="7"/>
  <c r="AI178" i="7"/>
  <c r="AW178" i="7"/>
  <c r="AH178" i="7"/>
  <c r="AV178" i="7"/>
  <c r="AU178" i="7"/>
  <c r="AT178" i="7"/>
  <c r="AR178" i="7"/>
  <c r="AG178" i="7"/>
  <c r="AF178" i="7"/>
  <c r="AQ177" i="7"/>
  <c r="AP177" i="7"/>
  <c r="BD177" i="7"/>
  <c r="AO177" i="7"/>
  <c r="BC177" i="7"/>
  <c r="AN177" i="7"/>
  <c r="BB177" i="7"/>
  <c r="AM177" i="7"/>
  <c r="BA177" i="7"/>
  <c r="AL177" i="7"/>
  <c r="AZ177" i="7"/>
  <c r="AK177" i="7"/>
  <c r="AY177" i="7"/>
  <c r="AJ177" i="7"/>
  <c r="AX177" i="7"/>
  <c r="AI177" i="7"/>
  <c r="AW177" i="7"/>
  <c r="AH177" i="7"/>
  <c r="AV177" i="7"/>
  <c r="AU177" i="7"/>
  <c r="AT177" i="7"/>
  <c r="AR177" i="7"/>
  <c r="AG177" i="7"/>
  <c r="AF177" i="7"/>
  <c r="AQ176" i="7"/>
  <c r="AP176" i="7"/>
  <c r="BD176" i="7"/>
  <c r="AO176" i="7"/>
  <c r="BC176" i="7"/>
  <c r="AN176" i="7"/>
  <c r="BB176" i="7"/>
  <c r="AM176" i="7"/>
  <c r="BA176" i="7"/>
  <c r="AL176" i="7"/>
  <c r="AZ176" i="7"/>
  <c r="AK176" i="7"/>
  <c r="AY176" i="7"/>
  <c r="AJ176" i="7"/>
  <c r="AX176" i="7"/>
  <c r="AI176" i="7"/>
  <c r="AW176" i="7"/>
  <c r="AH176" i="7"/>
  <c r="AV176" i="7"/>
  <c r="AU176" i="7"/>
  <c r="AT176" i="7"/>
  <c r="AR176" i="7"/>
  <c r="AG176" i="7"/>
  <c r="AF176" i="7"/>
  <c r="AQ175" i="7"/>
  <c r="AP175" i="7"/>
  <c r="BD175" i="7"/>
  <c r="AO175" i="7"/>
  <c r="BC175" i="7"/>
  <c r="AN175" i="7"/>
  <c r="BB175" i="7"/>
  <c r="AM175" i="7"/>
  <c r="BA175" i="7"/>
  <c r="AL175" i="7"/>
  <c r="AZ175" i="7"/>
  <c r="AK175" i="7"/>
  <c r="AY175" i="7"/>
  <c r="AJ175" i="7"/>
  <c r="AX175" i="7"/>
  <c r="AI175" i="7"/>
  <c r="AW175" i="7"/>
  <c r="AH175" i="7"/>
  <c r="AV175" i="7"/>
  <c r="AU175" i="7"/>
  <c r="AT175" i="7"/>
  <c r="AR175" i="7"/>
  <c r="AG175" i="7"/>
  <c r="AF175" i="7"/>
  <c r="AQ174" i="7"/>
  <c r="AP174" i="7"/>
  <c r="BD174" i="7"/>
  <c r="AO174" i="7"/>
  <c r="BC174" i="7"/>
  <c r="AN174" i="7"/>
  <c r="BB174" i="7"/>
  <c r="AM174" i="7"/>
  <c r="BA174" i="7"/>
  <c r="AL174" i="7"/>
  <c r="AZ174" i="7"/>
  <c r="AK174" i="7"/>
  <c r="AY174" i="7"/>
  <c r="AJ174" i="7"/>
  <c r="AX174" i="7"/>
  <c r="AI174" i="7"/>
  <c r="AW174" i="7"/>
  <c r="AH174" i="7"/>
  <c r="AV174" i="7"/>
  <c r="AU174" i="7"/>
  <c r="AT174" i="7"/>
  <c r="AR174" i="7"/>
  <c r="AG174" i="7"/>
  <c r="AF174" i="7"/>
  <c r="AQ173" i="7"/>
  <c r="AP173" i="7"/>
  <c r="BD173" i="7"/>
  <c r="AO173" i="7"/>
  <c r="BC173" i="7"/>
  <c r="AN173" i="7"/>
  <c r="BB173" i="7"/>
  <c r="AM173" i="7"/>
  <c r="BA173" i="7"/>
  <c r="AL173" i="7"/>
  <c r="AZ173" i="7"/>
  <c r="AK173" i="7"/>
  <c r="AY173" i="7"/>
  <c r="AJ173" i="7"/>
  <c r="AX173" i="7"/>
  <c r="AI173" i="7"/>
  <c r="AW173" i="7"/>
  <c r="AH173" i="7"/>
  <c r="AV173" i="7"/>
  <c r="AU173" i="7"/>
  <c r="AT173" i="7"/>
  <c r="AR173" i="7"/>
  <c r="AG173" i="7"/>
  <c r="AF173" i="7"/>
  <c r="AQ172" i="7"/>
  <c r="AP172" i="7"/>
  <c r="BD172" i="7"/>
  <c r="AO172" i="7"/>
  <c r="BC172" i="7"/>
  <c r="AN172" i="7"/>
  <c r="BB172" i="7"/>
  <c r="AM172" i="7"/>
  <c r="BA172" i="7"/>
  <c r="AL172" i="7"/>
  <c r="AZ172" i="7"/>
  <c r="AK172" i="7"/>
  <c r="AY172" i="7"/>
  <c r="AJ172" i="7"/>
  <c r="AX172" i="7"/>
  <c r="AI172" i="7"/>
  <c r="AW172" i="7"/>
  <c r="AH172" i="7"/>
  <c r="AV172" i="7"/>
  <c r="AU172" i="7"/>
  <c r="AT172" i="7"/>
  <c r="AR172" i="7"/>
  <c r="AG172" i="7"/>
  <c r="AF172" i="7"/>
  <c r="AQ171" i="7"/>
  <c r="AP171" i="7"/>
  <c r="BD171" i="7"/>
  <c r="AO171" i="7"/>
  <c r="BC171" i="7"/>
  <c r="AN171" i="7"/>
  <c r="BB171" i="7"/>
  <c r="AM171" i="7"/>
  <c r="BA171" i="7"/>
  <c r="AL171" i="7"/>
  <c r="AZ171" i="7"/>
  <c r="AK171" i="7"/>
  <c r="AY171" i="7"/>
  <c r="AJ171" i="7"/>
  <c r="AX171" i="7"/>
  <c r="AI171" i="7"/>
  <c r="AW171" i="7"/>
  <c r="AH171" i="7"/>
  <c r="AV171" i="7"/>
  <c r="AU171" i="7"/>
  <c r="AT171" i="7"/>
  <c r="AR171" i="7"/>
  <c r="AG171" i="7"/>
  <c r="AF171" i="7"/>
  <c r="AQ170" i="7"/>
  <c r="AP170" i="7"/>
  <c r="BD170" i="7"/>
  <c r="AO170" i="7"/>
  <c r="BC170" i="7"/>
  <c r="AN170" i="7"/>
  <c r="BB170" i="7"/>
  <c r="AM170" i="7"/>
  <c r="BA170" i="7"/>
  <c r="AL170" i="7"/>
  <c r="AZ170" i="7"/>
  <c r="AK170" i="7"/>
  <c r="AY170" i="7"/>
  <c r="AJ170" i="7"/>
  <c r="AX170" i="7"/>
  <c r="AI170" i="7"/>
  <c r="AW170" i="7"/>
  <c r="AH170" i="7"/>
  <c r="AV170" i="7"/>
  <c r="AU170" i="7"/>
  <c r="AT170" i="7"/>
  <c r="AR170" i="7"/>
  <c r="AG170" i="7"/>
  <c r="AF170" i="7"/>
  <c r="AQ169" i="7"/>
  <c r="AP169" i="7"/>
  <c r="BD169" i="7"/>
  <c r="AO169" i="7"/>
  <c r="BC169" i="7"/>
  <c r="AN169" i="7"/>
  <c r="BB169" i="7"/>
  <c r="AM169" i="7"/>
  <c r="BA169" i="7"/>
  <c r="AL169" i="7"/>
  <c r="AZ169" i="7"/>
  <c r="AK169" i="7"/>
  <c r="AY169" i="7"/>
  <c r="AJ169" i="7"/>
  <c r="AX169" i="7"/>
  <c r="AI169" i="7"/>
  <c r="AW169" i="7"/>
  <c r="AH169" i="7"/>
  <c r="AV169" i="7"/>
  <c r="AU169" i="7"/>
  <c r="AT169" i="7"/>
  <c r="AR169" i="7"/>
  <c r="AG169" i="7"/>
  <c r="AF169" i="7"/>
  <c r="AQ168" i="7"/>
  <c r="AP168" i="7"/>
  <c r="BD168" i="7"/>
  <c r="AO168" i="7"/>
  <c r="BC168" i="7"/>
  <c r="AN168" i="7"/>
  <c r="BB168" i="7"/>
  <c r="AM168" i="7"/>
  <c r="BA168" i="7"/>
  <c r="AL168" i="7"/>
  <c r="AZ168" i="7"/>
  <c r="AK168" i="7"/>
  <c r="AY168" i="7"/>
  <c r="AJ168" i="7"/>
  <c r="AX168" i="7"/>
  <c r="AI168" i="7"/>
  <c r="AW168" i="7"/>
  <c r="AH168" i="7"/>
  <c r="AV168" i="7"/>
  <c r="AU168" i="7"/>
  <c r="AT168" i="7"/>
  <c r="AR168" i="7"/>
  <c r="AG168" i="7"/>
  <c r="AF168" i="7"/>
  <c r="AQ167" i="7"/>
  <c r="AP167" i="7"/>
  <c r="BD167" i="7"/>
  <c r="AO167" i="7"/>
  <c r="BC167" i="7"/>
  <c r="AN167" i="7"/>
  <c r="BB167" i="7"/>
  <c r="AM167" i="7"/>
  <c r="BA167" i="7"/>
  <c r="AL167" i="7"/>
  <c r="AZ167" i="7"/>
  <c r="AK167" i="7"/>
  <c r="AY167" i="7"/>
  <c r="AJ167" i="7"/>
  <c r="AX167" i="7"/>
  <c r="AI167" i="7"/>
  <c r="AW167" i="7"/>
  <c r="AH167" i="7"/>
  <c r="AV167" i="7"/>
  <c r="AU167" i="7"/>
  <c r="AT167" i="7"/>
  <c r="AR167" i="7"/>
  <c r="AG167" i="7"/>
  <c r="AF167" i="7"/>
  <c r="AQ166" i="7"/>
  <c r="AP166" i="7"/>
  <c r="BD166" i="7"/>
  <c r="AO166" i="7"/>
  <c r="BC166" i="7"/>
  <c r="AN166" i="7"/>
  <c r="BB166" i="7"/>
  <c r="AM166" i="7"/>
  <c r="BA166" i="7"/>
  <c r="AL166" i="7"/>
  <c r="AZ166" i="7"/>
  <c r="AK166" i="7"/>
  <c r="AY166" i="7"/>
  <c r="AJ166" i="7"/>
  <c r="AX166" i="7"/>
  <c r="AI166" i="7"/>
  <c r="AW166" i="7"/>
  <c r="AH166" i="7"/>
  <c r="AV166" i="7"/>
  <c r="AU166" i="7"/>
  <c r="AT166" i="7"/>
  <c r="AR166" i="7"/>
  <c r="AG166" i="7"/>
  <c r="AF166" i="7"/>
  <c r="AQ165" i="7"/>
  <c r="AP165" i="7"/>
  <c r="BD165" i="7"/>
  <c r="AO165" i="7"/>
  <c r="BC165" i="7"/>
  <c r="AN165" i="7"/>
  <c r="BB165" i="7"/>
  <c r="AM165" i="7"/>
  <c r="BA165" i="7"/>
  <c r="AL165" i="7"/>
  <c r="AZ165" i="7"/>
  <c r="AK165" i="7"/>
  <c r="AY165" i="7"/>
  <c r="AJ165" i="7"/>
  <c r="AX165" i="7"/>
  <c r="AI165" i="7"/>
  <c r="AW165" i="7"/>
  <c r="AH165" i="7"/>
  <c r="AV165" i="7"/>
  <c r="AU165" i="7"/>
  <c r="AT165" i="7"/>
  <c r="AR165" i="7"/>
  <c r="AG165" i="7"/>
  <c r="AF165" i="7"/>
  <c r="AQ164" i="7"/>
  <c r="AP164" i="7"/>
  <c r="BD164" i="7"/>
  <c r="AO164" i="7"/>
  <c r="BC164" i="7"/>
  <c r="AN164" i="7"/>
  <c r="BB164" i="7"/>
  <c r="AM164" i="7"/>
  <c r="BA164" i="7"/>
  <c r="AL164" i="7"/>
  <c r="AZ164" i="7"/>
  <c r="AK164" i="7"/>
  <c r="AY164" i="7"/>
  <c r="AJ164" i="7"/>
  <c r="AX164" i="7"/>
  <c r="AI164" i="7"/>
  <c r="AW164" i="7"/>
  <c r="AH164" i="7"/>
  <c r="AV164" i="7"/>
  <c r="AU164" i="7"/>
  <c r="AT164" i="7"/>
  <c r="AR164" i="7"/>
  <c r="AG164" i="7"/>
  <c r="AF164" i="7"/>
  <c r="AQ163" i="7"/>
  <c r="AP163" i="7"/>
  <c r="BD163" i="7"/>
  <c r="AO163" i="7"/>
  <c r="BC163" i="7"/>
  <c r="AN163" i="7"/>
  <c r="BB163" i="7"/>
  <c r="AM163" i="7"/>
  <c r="BA163" i="7"/>
  <c r="AL163" i="7"/>
  <c r="AZ163" i="7"/>
  <c r="AK163" i="7"/>
  <c r="AY163" i="7"/>
  <c r="AJ163" i="7"/>
  <c r="AX163" i="7"/>
  <c r="AI163" i="7"/>
  <c r="AW163" i="7"/>
  <c r="AH163" i="7"/>
  <c r="AV163" i="7"/>
  <c r="AU163" i="7"/>
  <c r="AT163" i="7"/>
  <c r="AR163" i="7"/>
  <c r="AG163" i="7"/>
  <c r="AF163" i="7"/>
  <c r="AQ162" i="7"/>
  <c r="AP162" i="7"/>
  <c r="BD162" i="7"/>
  <c r="AO162" i="7"/>
  <c r="BC162" i="7"/>
  <c r="AN162" i="7"/>
  <c r="BB162" i="7"/>
  <c r="AM162" i="7"/>
  <c r="BA162" i="7"/>
  <c r="AL162" i="7"/>
  <c r="AZ162" i="7"/>
  <c r="AK162" i="7"/>
  <c r="AY162" i="7"/>
  <c r="AJ162" i="7"/>
  <c r="AX162" i="7"/>
  <c r="AI162" i="7"/>
  <c r="AW162" i="7"/>
  <c r="AH162" i="7"/>
  <c r="AV162" i="7"/>
  <c r="AU162" i="7"/>
  <c r="AT162" i="7"/>
  <c r="AR162" i="7"/>
  <c r="AG162" i="7"/>
  <c r="AF162" i="7"/>
  <c r="AQ161" i="7"/>
  <c r="AP161" i="7"/>
  <c r="BD161" i="7"/>
  <c r="AO161" i="7"/>
  <c r="BC161" i="7"/>
  <c r="AN161" i="7"/>
  <c r="BB161" i="7"/>
  <c r="AM161" i="7"/>
  <c r="BA161" i="7"/>
  <c r="AL161" i="7"/>
  <c r="AZ161" i="7"/>
  <c r="AK161" i="7"/>
  <c r="AY161" i="7"/>
  <c r="AJ161" i="7"/>
  <c r="AX161" i="7"/>
  <c r="AI161" i="7"/>
  <c r="AW161" i="7"/>
  <c r="AH161" i="7"/>
  <c r="AV161" i="7"/>
  <c r="AU161" i="7"/>
  <c r="AT161" i="7"/>
  <c r="AR161" i="7"/>
  <c r="AG161" i="7"/>
  <c r="AF161" i="7"/>
  <c r="AQ160" i="7"/>
  <c r="AP160" i="7"/>
  <c r="BD160" i="7"/>
  <c r="AO160" i="7"/>
  <c r="BC160" i="7"/>
  <c r="AN160" i="7"/>
  <c r="BB160" i="7"/>
  <c r="AM160" i="7"/>
  <c r="BA160" i="7"/>
  <c r="AL160" i="7"/>
  <c r="AZ160" i="7"/>
  <c r="AK160" i="7"/>
  <c r="AY160" i="7"/>
  <c r="AJ160" i="7"/>
  <c r="AX160" i="7"/>
  <c r="AI160" i="7"/>
  <c r="AW160" i="7"/>
  <c r="AH160" i="7"/>
  <c r="AV160" i="7"/>
  <c r="AU160" i="7"/>
  <c r="AT160" i="7"/>
  <c r="AR160" i="7"/>
  <c r="AG160" i="7"/>
  <c r="AF160" i="7"/>
  <c r="AQ159" i="7"/>
  <c r="AP159" i="7"/>
  <c r="BD159" i="7"/>
  <c r="AO159" i="7"/>
  <c r="BC159" i="7"/>
  <c r="AN159" i="7"/>
  <c r="BB159" i="7"/>
  <c r="AM159" i="7"/>
  <c r="BA159" i="7"/>
  <c r="AL159" i="7"/>
  <c r="AZ159" i="7"/>
  <c r="AK159" i="7"/>
  <c r="AY159" i="7"/>
  <c r="AJ159" i="7"/>
  <c r="AX159" i="7"/>
  <c r="AI159" i="7"/>
  <c r="AW159" i="7"/>
  <c r="AH159" i="7"/>
  <c r="AV159" i="7"/>
  <c r="AU159" i="7"/>
  <c r="AT159" i="7"/>
  <c r="AR159" i="7"/>
  <c r="AG159" i="7"/>
  <c r="AF159" i="7"/>
  <c r="AQ158" i="7"/>
  <c r="AP158" i="7"/>
  <c r="BD158" i="7"/>
  <c r="AO158" i="7"/>
  <c r="BC158" i="7"/>
  <c r="AN158" i="7"/>
  <c r="BB158" i="7"/>
  <c r="AM158" i="7"/>
  <c r="BA158" i="7"/>
  <c r="AL158" i="7"/>
  <c r="AZ158" i="7"/>
  <c r="AK158" i="7"/>
  <c r="AY158" i="7"/>
  <c r="AJ158" i="7"/>
  <c r="AX158" i="7"/>
  <c r="AI158" i="7"/>
  <c r="AW158" i="7"/>
  <c r="AH158" i="7"/>
  <c r="AV158" i="7"/>
  <c r="AU158" i="7"/>
  <c r="AT158" i="7"/>
  <c r="AR158" i="7"/>
  <c r="AG158" i="7"/>
  <c r="AF158" i="7"/>
  <c r="AQ157" i="7"/>
  <c r="AP157" i="7"/>
  <c r="BD157" i="7"/>
  <c r="AO157" i="7"/>
  <c r="BC157" i="7"/>
  <c r="AN157" i="7"/>
  <c r="BB157" i="7"/>
  <c r="AM157" i="7"/>
  <c r="BA157" i="7"/>
  <c r="AL157" i="7"/>
  <c r="AZ157" i="7"/>
  <c r="AK157" i="7"/>
  <c r="AY157" i="7"/>
  <c r="AJ157" i="7"/>
  <c r="AX157" i="7"/>
  <c r="AI157" i="7"/>
  <c r="AW157" i="7"/>
  <c r="AH157" i="7"/>
  <c r="AV157" i="7"/>
  <c r="AU157" i="7"/>
  <c r="AT157" i="7"/>
  <c r="AR157" i="7"/>
  <c r="AG157" i="7"/>
  <c r="AF157" i="7"/>
  <c r="AQ156" i="7"/>
  <c r="AP156" i="7"/>
  <c r="BD156" i="7"/>
  <c r="AO156" i="7"/>
  <c r="BC156" i="7"/>
  <c r="AN156" i="7"/>
  <c r="BB156" i="7"/>
  <c r="AM156" i="7"/>
  <c r="BA156" i="7"/>
  <c r="AL156" i="7"/>
  <c r="AZ156" i="7"/>
  <c r="AK156" i="7"/>
  <c r="AY156" i="7"/>
  <c r="AJ156" i="7"/>
  <c r="AX156" i="7"/>
  <c r="AI156" i="7"/>
  <c r="AW156" i="7"/>
  <c r="AH156" i="7"/>
  <c r="AV156" i="7"/>
  <c r="AU156" i="7"/>
  <c r="AT156" i="7"/>
  <c r="AR156" i="7"/>
  <c r="AG156" i="7"/>
  <c r="AF156" i="7"/>
  <c r="AQ155" i="7"/>
  <c r="AP155" i="7"/>
  <c r="BD155" i="7"/>
  <c r="AO155" i="7"/>
  <c r="BC155" i="7"/>
  <c r="AN155" i="7"/>
  <c r="BB155" i="7"/>
  <c r="AM155" i="7"/>
  <c r="BA155" i="7"/>
  <c r="AL155" i="7"/>
  <c r="AZ155" i="7"/>
  <c r="AK155" i="7"/>
  <c r="AY155" i="7"/>
  <c r="AJ155" i="7"/>
  <c r="AX155" i="7"/>
  <c r="AI155" i="7"/>
  <c r="AW155" i="7"/>
  <c r="AH155" i="7"/>
  <c r="AV155" i="7"/>
  <c r="AU155" i="7"/>
  <c r="AT155" i="7"/>
  <c r="AR155" i="7"/>
  <c r="AG155" i="7"/>
  <c r="AF155" i="7"/>
  <c r="AQ154" i="7"/>
  <c r="AP154" i="7"/>
  <c r="BD154" i="7"/>
  <c r="AO154" i="7"/>
  <c r="BC154" i="7"/>
  <c r="AN154" i="7"/>
  <c r="BB154" i="7"/>
  <c r="AM154" i="7"/>
  <c r="BA154" i="7"/>
  <c r="AL154" i="7"/>
  <c r="AZ154" i="7"/>
  <c r="AK154" i="7"/>
  <c r="AY154" i="7"/>
  <c r="AJ154" i="7"/>
  <c r="AX154" i="7"/>
  <c r="AI154" i="7"/>
  <c r="AW154" i="7"/>
  <c r="AH154" i="7"/>
  <c r="AV154" i="7"/>
  <c r="AU154" i="7"/>
  <c r="AT154" i="7"/>
  <c r="AR154" i="7"/>
  <c r="AG154" i="7"/>
  <c r="AF154" i="7"/>
  <c r="AQ153" i="7"/>
  <c r="AP153" i="7"/>
  <c r="BD153" i="7"/>
  <c r="AO153" i="7"/>
  <c r="BC153" i="7"/>
  <c r="AN153" i="7"/>
  <c r="BB153" i="7"/>
  <c r="AM153" i="7"/>
  <c r="BA153" i="7"/>
  <c r="AL153" i="7"/>
  <c r="AZ153" i="7"/>
  <c r="AK153" i="7"/>
  <c r="AY153" i="7"/>
  <c r="AJ153" i="7"/>
  <c r="AX153" i="7"/>
  <c r="AI153" i="7"/>
  <c r="AW153" i="7"/>
  <c r="AH153" i="7"/>
  <c r="AV153" i="7"/>
  <c r="AU153" i="7"/>
  <c r="AT153" i="7"/>
  <c r="AR153" i="7"/>
  <c r="AG153" i="7"/>
  <c r="AF153" i="7"/>
  <c r="AQ152" i="7"/>
  <c r="AP152" i="7"/>
  <c r="BD152" i="7"/>
  <c r="AO152" i="7"/>
  <c r="BC152" i="7"/>
  <c r="AN152" i="7"/>
  <c r="BB152" i="7"/>
  <c r="AM152" i="7"/>
  <c r="BA152" i="7"/>
  <c r="AL152" i="7"/>
  <c r="AZ152" i="7"/>
  <c r="AK152" i="7"/>
  <c r="AY152" i="7"/>
  <c r="AJ152" i="7"/>
  <c r="AX152" i="7"/>
  <c r="AI152" i="7"/>
  <c r="AW152" i="7"/>
  <c r="AH152" i="7"/>
  <c r="AV152" i="7"/>
  <c r="AU152" i="7"/>
  <c r="AT152" i="7"/>
  <c r="AR152" i="7"/>
  <c r="AG152" i="7"/>
  <c r="AF152" i="7"/>
  <c r="AQ151" i="7"/>
  <c r="AP151" i="7"/>
  <c r="BD151" i="7"/>
  <c r="AO151" i="7"/>
  <c r="BC151" i="7"/>
  <c r="AN151" i="7"/>
  <c r="BB151" i="7"/>
  <c r="AM151" i="7"/>
  <c r="BA151" i="7"/>
  <c r="AL151" i="7"/>
  <c r="AZ151" i="7"/>
  <c r="AK151" i="7"/>
  <c r="AY151" i="7"/>
  <c r="AJ151" i="7"/>
  <c r="AX151" i="7"/>
  <c r="AI151" i="7"/>
  <c r="AW151" i="7"/>
  <c r="AH151" i="7"/>
  <c r="AV151" i="7"/>
  <c r="AU151" i="7"/>
  <c r="AT151" i="7"/>
  <c r="AR151" i="7"/>
  <c r="AG151" i="7"/>
  <c r="AF151" i="7"/>
  <c r="AQ150" i="7"/>
  <c r="AP150" i="7"/>
  <c r="BD150" i="7"/>
  <c r="AO150" i="7"/>
  <c r="BC150" i="7"/>
  <c r="AN150" i="7"/>
  <c r="BB150" i="7"/>
  <c r="AM150" i="7"/>
  <c r="BA150" i="7"/>
  <c r="AL150" i="7"/>
  <c r="AZ150" i="7"/>
  <c r="AK150" i="7"/>
  <c r="AY150" i="7"/>
  <c r="AJ150" i="7"/>
  <c r="AX150" i="7"/>
  <c r="AI150" i="7"/>
  <c r="AW150" i="7"/>
  <c r="AH150" i="7"/>
  <c r="AV150" i="7"/>
  <c r="AU150" i="7"/>
  <c r="AT150" i="7"/>
  <c r="AR150" i="7"/>
  <c r="AG150" i="7"/>
  <c r="AF150" i="7"/>
  <c r="AQ149" i="7"/>
  <c r="AP149" i="7"/>
  <c r="BD149" i="7"/>
  <c r="AO149" i="7"/>
  <c r="BC149" i="7"/>
  <c r="AN149" i="7"/>
  <c r="BB149" i="7"/>
  <c r="AM149" i="7"/>
  <c r="BA149" i="7"/>
  <c r="AL149" i="7"/>
  <c r="AZ149" i="7"/>
  <c r="AK149" i="7"/>
  <c r="AY149" i="7"/>
  <c r="AJ149" i="7"/>
  <c r="AX149" i="7"/>
  <c r="AI149" i="7"/>
  <c r="AW149" i="7"/>
  <c r="AH149" i="7"/>
  <c r="AV149" i="7"/>
  <c r="AU149" i="7"/>
  <c r="AT149" i="7"/>
  <c r="AR149" i="7"/>
  <c r="AG149" i="7"/>
  <c r="AF149" i="7"/>
  <c r="AQ148" i="7"/>
  <c r="AP148" i="7"/>
  <c r="BD148" i="7"/>
  <c r="AO148" i="7"/>
  <c r="BC148" i="7"/>
  <c r="AN148" i="7"/>
  <c r="BB148" i="7"/>
  <c r="AM148" i="7"/>
  <c r="BA148" i="7"/>
  <c r="AL148" i="7"/>
  <c r="AZ148" i="7"/>
  <c r="AK148" i="7"/>
  <c r="AY148" i="7"/>
  <c r="AJ148" i="7"/>
  <c r="AX148" i="7"/>
  <c r="AI148" i="7"/>
  <c r="AW148" i="7"/>
  <c r="AH148" i="7"/>
  <c r="AV148" i="7"/>
  <c r="AU148" i="7"/>
  <c r="AT148" i="7"/>
  <c r="AR148" i="7"/>
  <c r="AG148" i="7"/>
  <c r="AF148" i="7"/>
  <c r="AQ147" i="7"/>
  <c r="AP147" i="7"/>
  <c r="BD147" i="7"/>
  <c r="AO147" i="7"/>
  <c r="BC147" i="7"/>
  <c r="AN147" i="7"/>
  <c r="BB147" i="7"/>
  <c r="AM147" i="7"/>
  <c r="BA147" i="7"/>
  <c r="AL147" i="7"/>
  <c r="AZ147" i="7"/>
  <c r="AK147" i="7"/>
  <c r="AY147" i="7"/>
  <c r="AJ147" i="7"/>
  <c r="AX147" i="7"/>
  <c r="AI147" i="7"/>
  <c r="AW147" i="7"/>
  <c r="AH147" i="7"/>
  <c r="AV147" i="7"/>
  <c r="AU147" i="7"/>
  <c r="AT147" i="7"/>
  <c r="AR147" i="7"/>
  <c r="AG147" i="7"/>
  <c r="AF147" i="7"/>
  <c r="AQ146" i="7"/>
  <c r="AP146" i="7"/>
  <c r="BD146" i="7"/>
  <c r="AO146" i="7"/>
  <c r="BC146" i="7"/>
  <c r="AN146" i="7"/>
  <c r="BB146" i="7"/>
  <c r="AM146" i="7"/>
  <c r="BA146" i="7"/>
  <c r="AL146" i="7"/>
  <c r="AZ146" i="7"/>
  <c r="AK146" i="7"/>
  <c r="AY146" i="7"/>
  <c r="AJ146" i="7"/>
  <c r="AX146" i="7"/>
  <c r="AI146" i="7"/>
  <c r="AW146" i="7"/>
  <c r="AH146" i="7"/>
  <c r="AV146" i="7"/>
  <c r="AU146" i="7"/>
  <c r="AT146" i="7"/>
  <c r="AR146" i="7"/>
  <c r="AG146" i="7"/>
  <c r="AF146" i="7"/>
  <c r="AQ145" i="7"/>
  <c r="AP145" i="7"/>
  <c r="BD145" i="7"/>
  <c r="AO145" i="7"/>
  <c r="BC145" i="7"/>
  <c r="AN145" i="7"/>
  <c r="BB145" i="7"/>
  <c r="AM145" i="7"/>
  <c r="BA145" i="7"/>
  <c r="AL145" i="7"/>
  <c r="AZ145" i="7"/>
  <c r="AK145" i="7"/>
  <c r="AY145" i="7"/>
  <c r="AJ145" i="7"/>
  <c r="AX145" i="7"/>
  <c r="AI145" i="7"/>
  <c r="AW145" i="7"/>
  <c r="AH145" i="7"/>
  <c r="AV145" i="7"/>
  <c r="AU145" i="7"/>
  <c r="AT145" i="7"/>
  <c r="AR145" i="7"/>
  <c r="AG145" i="7"/>
  <c r="AF145" i="7"/>
  <c r="AQ144" i="7"/>
  <c r="AP144" i="7"/>
  <c r="BD144" i="7"/>
  <c r="AO144" i="7"/>
  <c r="BC144" i="7"/>
  <c r="AN144" i="7"/>
  <c r="BB144" i="7"/>
  <c r="AM144" i="7"/>
  <c r="BA144" i="7"/>
  <c r="AL144" i="7"/>
  <c r="AZ144" i="7"/>
  <c r="AK144" i="7"/>
  <c r="AY144" i="7"/>
  <c r="AJ144" i="7"/>
  <c r="AX144" i="7"/>
  <c r="AI144" i="7"/>
  <c r="AW144" i="7"/>
  <c r="AH144" i="7"/>
  <c r="AV144" i="7"/>
  <c r="AU144" i="7"/>
  <c r="AT144" i="7"/>
  <c r="AR144" i="7"/>
  <c r="AG144" i="7"/>
  <c r="AF144" i="7"/>
  <c r="AQ143" i="7"/>
  <c r="AP143" i="7"/>
  <c r="BD143" i="7"/>
  <c r="AO143" i="7"/>
  <c r="BC143" i="7"/>
  <c r="AN143" i="7"/>
  <c r="BB143" i="7"/>
  <c r="AM143" i="7"/>
  <c r="BA143" i="7"/>
  <c r="AL143" i="7"/>
  <c r="AZ143" i="7"/>
  <c r="AK143" i="7"/>
  <c r="AY143" i="7"/>
  <c r="AJ143" i="7"/>
  <c r="AX143" i="7"/>
  <c r="AI143" i="7"/>
  <c r="AW143" i="7"/>
  <c r="AH143" i="7"/>
  <c r="AV143" i="7"/>
  <c r="AU143" i="7"/>
  <c r="AT143" i="7"/>
  <c r="AR143" i="7"/>
  <c r="AG143" i="7"/>
  <c r="AF143" i="7"/>
  <c r="AQ142" i="7"/>
  <c r="AP142" i="7"/>
  <c r="BD142" i="7"/>
  <c r="AO142" i="7"/>
  <c r="BC142" i="7"/>
  <c r="AN142" i="7"/>
  <c r="BB142" i="7"/>
  <c r="AM142" i="7"/>
  <c r="BA142" i="7"/>
  <c r="AL142" i="7"/>
  <c r="AZ142" i="7"/>
  <c r="AK142" i="7"/>
  <c r="AY142" i="7"/>
  <c r="AJ142" i="7"/>
  <c r="AX142" i="7"/>
  <c r="AI142" i="7"/>
  <c r="AW142" i="7"/>
  <c r="AH142" i="7"/>
  <c r="AV142" i="7"/>
  <c r="AU142" i="7"/>
  <c r="AT142" i="7"/>
  <c r="AR142" i="7"/>
  <c r="AG142" i="7"/>
  <c r="AF142" i="7"/>
  <c r="AQ141" i="7"/>
  <c r="AP141" i="7"/>
  <c r="BD141" i="7"/>
  <c r="AO141" i="7"/>
  <c r="BC141" i="7"/>
  <c r="AN141" i="7"/>
  <c r="BB141" i="7"/>
  <c r="AM141" i="7"/>
  <c r="BA141" i="7"/>
  <c r="AL141" i="7"/>
  <c r="AZ141" i="7"/>
  <c r="AK141" i="7"/>
  <c r="AY141" i="7"/>
  <c r="AJ141" i="7"/>
  <c r="AX141" i="7"/>
  <c r="AI141" i="7"/>
  <c r="AW141" i="7"/>
  <c r="AH141" i="7"/>
  <c r="AV141" i="7"/>
  <c r="AU141" i="7"/>
  <c r="AT141" i="7"/>
  <c r="AR141" i="7"/>
  <c r="AG141" i="7"/>
  <c r="AF141" i="7"/>
  <c r="AQ140" i="7"/>
  <c r="AP140" i="7"/>
  <c r="BD140" i="7"/>
  <c r="AO140" i="7"/>
  <c r="BC140" i="7"/>
  <c r="AN140" i="7"/>
  <c r="BB140" i="7"/>
  <c r="AM140" i="7"/>
  <c r="BA140" i="7"/>
  <c r="AL140" i="7"/>
  <c r="AZ140" i="7"/>
  <c r="AK140" i="7"/>
  <c r="AY140" i="7"/>
  <c r="AJ140" i="7"/>
  <c r="AX140" i="7"/>
  <c r="AI140" i="7"/>
  <c r="AW140" i="7"/>
  <c r="AH140" i="7"/>
  <c r="AV140" i="7"/>
  <c r="AU140" i="7"/>
  <c r="AT140" i="7"/>
  <c r="AR140" i="7"/>
  <c r="AG140" i="7"/>
  <c r="AF140" i="7"/>
  <c r="AQ139" i="7"/>
  <c r="AP139" i="7"/>
  <c r="BD139" i="7"/>
  <c r="AO139" i="7"/>
  <c r="BC139" i="7"/>
  <c r="AN139" i="7"/>
  <c r="BB139" i="7"/>
  <c r="AM139" i="7"/>
  <c r="BA139" i="7"/>
  <c r="AL139" i="7"/>
  <c r="AZ139" i="7"/>
  <c r="AK139" i="7"/>
  <c r="AY139" i="7"/>
  <c r="AJ139" i="7"/>
  <c r="AX139" i="7"/>
  <c r="AI139" i="7"/>
  <c r="AW139" i="7"/>
  <c r="AH139" i="7"/>
  <c r="AV139" i="7"/>
  <c r="AU139" i="7"/>
  <c r="AT139" i="7"/>
  <c r="AR139" i="7"/>
  <c r="AG139" i="7"/>
  <c r="AF139" i="7"/>
  <c r="AQ138" i="7"/>
  <c r="AP138" i="7"/>
  <c r="BD138" i="7"/>
  <c r="AO138" i="7"/>
  <c r="BC138" i="7"/>
  <c r="AN138" i="7"/>
  <c r="BB138" i="7"/>
  <c r="AM138" i="7"/>
  <c r="BA138" i="7"/>
  <c r="AL138" i="7"/>
  <c r="AZ138" i="7"/>
  <c r="AK138" i="7"/>
  <c r="AY138" i="7"/>
  <c r="AJ138" i="7"/>
  <c r="AX138" i="7"/>
  <c r="AI138" i="7"/>
  <c r="AW138" i="7"/>
  <c r="AH138" i="7"/>
  <c r="AV138" i="7"/>
  <c r="AU138" i="7"/>
  <c r="AT138" i="7"/>
  <c r="AR138" i="7"/>
  <c r="AG138" i="7"/>
  <c r="AF138" i="7"/>
  <c r="AQ137" i="7"/>
  <c r="AP137" i="7"/>
  <c r="BD137" i="7"/>
  <c r="AO137" i="7"/>
  <c r="BC137" i="7"/>
  <c r="AN137" i="7"/>
  <c r="BB137" i="7"/>
  <c r="AM137" i="7"/>
  <c r="BA137" i="7"/>
  <c r="AL137" i="7"/>
  <c r="AZ137" i="7"/>
  <c r="AK137" i="7"/>
  <c r="AY137" i="7"/>
  <c r="AJ137" i="7"/>
  <c r="AX137" i="7"/>
  <c r="AI137" i="7"/>
  <c r="AW137" i="7"/>
  <c r="AH137" i="7"/>
  <c r="AV137" i="7"/>
  <c r="AU137" i="7"/>
  <c r="AT137" i="7"/>
  <c r="AR137" i="7"/>
  <c r="AG137" i="7"/>
  <c r="AF137" i="7"/>
  <c r="AQ136" i="7"/>
  <c r="AP136" i="7"/>
  <c r="BD136" i="7"/>
  <c r="AO136" i="7"/>
  <c r="BC136" i="7"/>
  <c r="AN136" i="7"/>
  <c r="BB136" i="7"/>
  <c r="AM136" i="7"/>
  <c r="BA136" i="7"/>
  <c r="AL136" i="7"/>
  <c r="AZ136" i="7"/>
  <c r="AK136" i="7"/>
  <c r="AY136" i="7"/>
  <c r="AJ136" i="7"/>
  <c r="AX136" i="7"/>
  <c r="AI136" i="7"/>
  <c r="AW136" i="7"/>
  <c r="AH136" i="7"/>
  <c r="AV136" i="7"/>
  <c r="AU136" i="7"/>
  <c r="AT136" i="7"/>
  <c r="AR136" i="7"/>
  <c r="AG136" i="7"/>
  <c r="AF136" i="7"/>
  <c r="AQ135" i="7"/>
  <c r="AP135" i="7"/>
  <c r="BD135" i="7"/>
  <c r="AO135" i="7"/>
  <c r="BC135" i="7"/>
  <c r="AN135" i="7"/>
  <c r="BB135" i="7"/>
  <c r="AM135" i="7"/>
  <c r="BA135" i="7"/>
  <c r="AL135" i="7"/>
  <c r="AZ135" i="7"/>
  <c r="AK135" i="7"/>
  <c r="AY135" i="7"/>
  <c r="AJ135" i="7"/>
  <c r="AX135" i="7"/>
  <c r="AI135" i="7"/>
  <c r="AW135" i="7"/>
  <c r="AH135" i="7"/>
  <c r="AV135" i="7"/>
  <c r="AU135" i="7"/>
  <c r="AT135" i="7"/>
  <c r="AR135" i="7"/>
  <c r="AG135" i="7"/>
  <c r="AF135" i="7"/>
  <c r="AQ134" i="7"/>
  <c r="AP134" i="7"/>
  <c r="BD134" i="7"/>
  <c r="AO134" i="7"/>
  <c r="BC134" i="7"/>
  <c r="AN134" i="7"/>
  <c r="BB134" i="7"/>
  <c r="AM134" i="7"/>
  <c r="BA134" i="7"/>
  <c r="AL134" i="7"/>
  <c r="AZ134" i="7"/>
  <c r="AK134" i="7"/>
  <c r="AY134" i="7"/>
  <c r="AJ134" i="7"/>
  <c r="AX134" i="7"/>
  <c r="AI134" i="7"/>
  <c r="AW134" i="7"/>
  <c r="AH134" i="7"/>
  <c r="AV134" i="7"/>
  <c r="AU134" i="7"/>
  <c r="AT134" i="7"/>
  <c r="AR134" i="7"/>
  <c r="AG134" i="7"/>
  <c r="AF134" i="7"/>
  <c r="AQ133" i="7"/>
  <c r="AP133" i="7"/>
  <c r="BD133" i="7"/>
  <c r="AO133" i="7"/>
  <c r="BC133" i="7"/>
  <c r="AN133" i="7"/>
  <c r="BB133" i="7"/>
  <c r="AM133" i="7"/>
  <c r="BA133" i="7"/>
  <c r="AL133" i="7"/>
  <c r="AZ133" i="7"/>
  <c r="AK133" i="7"/>
  <c r="AY133" i="7"/>
  <c r="AJ133" i="7"/>
  <c r="AX133" i="7"/>
  <c r="AI133" i="7"/>
  <c r="AW133" i="7"/>
  <c r="AH133" i="7"/>
  <c r="AV133" i="7"/>
  <c r="AU133" i="7"/>
  <c r="AT133" i="7"/>
  <c r="AR133" i="7"/>
  <c r="AG133" i="7"/>
  <c r="AF133" i="7"/>
  <c r="AQ132" i="7"/>
  <c r="AP132" i="7"/>
  <c r="BD132" i="7"/>
  <c r="AO132" i="7"/>
  <c r="BC132" i="7"/>
  <c r="AN132" i="7"/>
  <c r="BB132" i="7"/>
  <c r="AM132" i="7"/>
  <c r="BA132" i="7"/>
  <c r="AL132" i="7"/>
  <c r="AZ132" i="7"/>
  <c r="AK132" i="7"/>
  <c r="AY132" i="7"/>
  <c r="AJ132" i="7"/>
  <c r="AX132" i="7"/>
  <c r="AI132" i="7"/>
  <c r="AW132" i="7"/>
  <c r="AH132" i="7"/>
  <c r="AV132" i="7"/>
  <c r="AU132" i="7"/>
  <c r="AT132" i="7"/>
  <c r="AR132" i="7"/>
  <c r="AG132" i="7"/>
  <c r="AF132" i="7"/>
  <c r="AQ131" i="7"/>
  <c r="AP131" i="7"/>
  <c r="BD131" i="7"/>
  <c r="AO131" i="7"/>
  <c r="BC131" i="7"/>
  <c r="AN131" i="7"/>
  <c r="BB131" i="7"/>
  <c r="AM131" i="7"/>
  <c r="BA131" i="7"/>
  <c r="AL131" i="7"/>
  <c r="AZ131" i="7"/>
  <c r="AK131" i="7"/>
  <c r="AY131" i="7"/>
  <c r="AJ131" i="7"/>
  <c r="AX131" i="7"/>
  <c r="AI131" i="7"/>
  <c r="AW131" i="7"/>
  <c r="AH131" i="7"/>
  <c r="AV131" i="7"/>
  <c r="AU131" i="7"/>
  <c r="AT131" i="7"/>
  <c r="AR131" i="7"/>
  <c r="AG131" i="7"/>
  <c r="AF131" i="7"/>
  <c r="AQ130" i="7"/>
  <c r="AP130" i="7"/>
  <c r="BD130" i="7"/>
  <c r="AO130" i="7"/>
  <c r="BC130" i="7"/>
  <c r="AN130" i="7"/>
  <c r="BB130" i="7"/>
  <c r="AM130" i="7"/>
  <c r="BA130" i="7"/>
  <c r="AL130" i="7"/>
  <c r="AZ130" i="7"/>
  <c r="AK130" i="7"/>
  <c r="AY130" i="7"/>
  <c r="AJ130" i="7"/>
  <c r="AX130" i="7"/>
  <c r="AI130" i="7"/>
  <c r="AW130" i="7"/>
  <c r="AH130" i="7"/>
  <c r="AV130" i="7"/>
  <c r="AU130" i="7"/>
  <c r="AT130" i="7"/>
  <c r="AR130" i="7"/>
  <c r="AG130" i="7"/>
  <c r="AF130" i="7"/>
  <c r="AQ129" i="7"/>
  <c r="AP129" i="7"/>
  <c r="BD129" i="7"/>
  <c r="AO129" i="7"/>
  <c r="BC129" i="7"/>
  <c r="AN129" i="7"/>
  <c r="BB129" i="7"/>
  <c r="AM129" i="7"/>
  <c r="BA129" i="7"/>
  <c r="AL129" i="7"/>
  <c r="AZ129" i="7"/>
  <c r="AK129" i="7"/>
  <c r="AY129" i="7"/>
  <c r="AJ129" i="7"/>
  <c r="AX129" i="7"/>
  <c r="AI129" i="7"/>
  <c r="AW129" i="7"/>
  <c r="AH129" i="7"/>
  <c r="AV129" i="7"/>
  <c r="AU129" i="7"/>
  <c r="AT129" i="7"/>
  <c r="AR129" i="7"/>
  <c r="AG129" i="7"/>
  <c r="AF129" i="7"/>
  <c r="AQ128" i="7"/>
  <c r="AP128" i="7"/>
  <c r="BD128" i="7"/>
  <c r="AO128" i="7"/>
  <c r="BC128" i="7"/>
  <c r="AN128" i="7"/>
  <c r="BB128" i="7"/>
  <c r="AM128" i="7"/>
  <c r="BA128" i="7"/>
  <c r="AL128" i="7"/>
  <c r="AZ128" i="7"/>
  <c r="AK128" i="7"/>
  <c r="AY128" i="7"/>
  <c r="AJ128" i="7"/>
  <c r="AX128" i="7"/>
  <c r="AI128" i="7"/>
  <c r="AW128" i="7"/>
  <c r="AH128" i="7"/>
  <c r="AV128" i="7"/>
  <c r="AU128" i="7"/>
  <c r="AT128" i="7"/>
  <c r="AR128" i="7"/>
  <c r="AG128" i="7"/>
  <c r="AF128" i="7"/>
  <c r="AQ127" i="7"/>
  <c r="AP127" i="7"/>
  <c r="BD127" i="7"/>
  <c r="AO127" i="7"/>
  <c r="BC127" i="7"/>
  <c r="AN127" i="7"/>
  <c r="BB127" i="7"/>
  <c r="AM127" i="7"/>
  <c r="BA127" i="7"/>
  <c r="AL127" i="7"/>
  <c r="AZ127" i="7"/>
  <c r="AK127" i="7"/>
  <c r="AY127" i="7"/>
  <c r="AJ127" i="7"/>
  <c r="AX127" i="7"/>
  <c r="AI127" i="7"/>
  <c r="AW127" i="7"/>
  <c r="AH127" i="7"/>
  <c r="AV127" i="7"/>
  <c r="AU127" i="7"/>
  <c r="AT127" i="7"/>
  <c r="AR127" i="7"/>
  <c r="AG127" i="7"/>
  <c r="AF127" i="7"/>
  <c r="AQ126" i="7"/>
  <c r="AP126" i="7"/>
  <c r="BD126" i="7"/>
  <c r="AO126" i="7"/>
  <c r="BC126" i="7"/>
  <c r="AN126" i="7"/>
  <c r="BB126" i="7"/>
  <c r="AM126" i="7"/>
  <c r="BA126" i="7"/>
  <c r="AL126" i="7"/>
  <c r="AZ126" i="7"/>
  <c r="AK126" i="7"/>
  <c r="AY126" i="7"/>
  <c r="AJ126" i="7"/>
  <c r="AX126" i="7"/>
  <c r="AI126" i="7"/>
  <c r="AW126" i="7"/>
  <c r="AH126" i="7"/>
  <c r="AV126" i="7"/>
  <c r="AU126" i="7"/>
  <c r="AT126" i="7"/>
  <c r="AR126" i="7"/>
  <c r="AG126" i="7"/>
  <c r="AF126" i="7"/>
  <c r="AQ125" i="7"/>
  <c r="AP125" i="7"/>
  <c r="BD125" i="7"/>
  <c r="AO125" i="7"/>
  <c r="BC125" i="7"/>
  <c r="AN125" i="7"/>
  <c r="BB125" i="7"/>
  <c r="AM125" i="7"/>
  <c r="BA125" i="7"/>
  <c r="AL125" i="7"/>
  <c r="AZ125" i="7"/>
  <c r="AK125" i="7"/>
  <c r="AY125" i="7"/>
  <c r="AJ125" i="7"/>
  <c r="AX125" i="7"/>
  <c r="AI125" i="7"/>
  <c r="AW125" i="7"/>
  <c r="AH125" i="7"/>
  <c r="AV125" i="7"/>
  <c r="AU125" i="7"/>
  <c r="AT125" i="7"/>
  <c r="AR125" i="7"/>
  <c r="AG125" i="7"/>
  <c r="AF125" i="7"/>
  <c r="AQ124" i="7"/>
  <c r="AP124" i="7"/>
  <c r="BD124" i="7"/>
  <c r="AO124" i="7"/>
  <c r="BC124" i="7"/>
  <c r="AN124" i="7"/>
  <c r="BB124" i="7"/>
  <c r="AM124" i="7"/>
  <c r="BA124" i="7"/>
  <c r="AL124" i="7"/>
  <c r="AZ124" i="7"/>
  <c r="AK124" i="7"/>
  <c r="AY124" i="7"/>
  <c r="AJ124" i="7"/>
  <c r="AX124" i="7"/>
  <c r="AI124" i="7"/>
  <c r="AW124" i="7"/>
  <c r="AH124" i="7"/>
  <c r="AV124" i="7"/>
  <c r="AU124" i="7"/>
  <c r="AT124" i="7"/>
  <c r="AR124" i="7"/>
  <c r="AG124" i="7"/>
  <c r="AF124" i="7"/>
  <c r="AQ123" i="7"/>
  <c r="AP123" i="7"/>
  <c r="BD123" i="7"/>
  <c r="AO123" i="7"/>
  <c r="BC123" i="7"/>
  <c r="AN123" i="7"/>
  <c r="BB123" i="7"/>
  <c r="AM123" i="7"/>
  <c r="BA123" i="7"/>
  <c r="AL123" i="7"/>
  <c r="AZ123" i="7"/>
  <c r="AK123" i="7"/>
  <c r="AY123" i="7"/>
  <c r="AJ123" i="7"/>
  <c r="AX123" i="7"/>
  <c r="AI123" i="7"/>
  <c r="AW123" i="7"/>
  <c r="AH123" i="7"/>
  <c r="AV123" i="7"/>
  <c r="AU123" i="7"/>
  <c r="AT123" i="7"/>
  <c r="AR123" i="7"/>
  <c r="AG123" i="7"/>
  <c r="AF123" i="7"/>
  <c r="AQ122" i="7"/>
  <c r="AP122" i="7"/>
  <c r="BD122" i="7"/>
  <c r="AO122" i="7"/>
  <c r="BC122" i="7"/>
  <c r="AN122" i="7"/>
  <c r="BB122" i="7"/>
  <c r="AM122" i="7"/>
  <c r="BA122" i="7"/>
  <c r="AL122" i="7"/>
  <c r="AZ122" i="7"/>
  <c r="AK122" i="7"/>
  <c r="AY122" i="7"/>
  <c r="AJ122" i="7"/>
  <c r="AX122" i="7"/>
  <c r="AI122" i="7"/>
  <c r="AW122" i="7"/>
  <c r="AH122" i="7"/>
  <c r="AV122" i="7"/>
  <c r="AU122" i="7"/>
  <c r="AT122" i="7"/>
  <c r="AR122" i="7"/>
  <c r="AG122" i="7"/>
  <c r="AF122" i="7"/>
  <c r="AQ121" i="7"/>
  <c r="AP121" i="7"/>
  <c r="BD121" i="7"/>
  <c r="AO121" i="7"/>
  <c r="BC121" i="7"/>
  <c r="AN121" i="7"/>
  <c r="BB121" i="7"/>
  <c r="AM121" i="7"/>
  <c r="BA121" i="7"/>
  <c r="AL121" i="7"/>
  <c r="AZ121" i="7"/>
  <c r="AK121" i="7"/>
  <c r="AY121" i="7"/>
  <c r="AJ121" i="7"/>
  <c r="AX121" i="7"/>
  <c r="AI121" i="7"/>
  <c r="AW121" i="7"/>
  <c r="AH121" i="7"/>
  <c r="AV121" i="7"/>
  <c r="AU121" i="7"/>
  <c r="AT121" i="7"/>
  <c r="AR121" i="7"/>
  <c r="AG121" i="7"/>
  <c r="AF121" i="7"/>
  <c r="AQ120" i="7"/>
  <c r="AP120" i="7"/>
  <c r="BD120" i="7"/>
  <c r="AO120" i="7"/>
  <c r="BC120" i="7"/>
  <c r="AN120" i="7"/>
  <c r="BB120" i="7"/>
  <c r="AM120" i="7"/>
  <c r="BA120" i="7"/>
  <c r="AL120" i="7"/>
  <c r="AZ120" i="7"/>
  <c r="AK120" i="7"/>
  <c r="AY120" i="7"/>
  <c r="AJ120" i="7"/>
  <c r="AX120" i="7"/>
  <c r="AI120" i="7"/>
  <c r="AW120" i="7"/>
  <c r="AH120" i="7"/>
  <c r="AV120" i="7"/>
  <c r="AU120" i="7"/>
  <c r="AT120" i="7"/>
  <c r="AR120" i="7"/>
  <c r="AG120" i="7"/>
  <c r="AF120" i="7"/>
  <c r="AQ119" i="7"/>
  <c r="AP119" i="7"/>
  <c r="BD119" i="7"/>
  <c r="AO119" i="7"/>
  <c r="BC119" i="7"/>
  <c r="AN119" i="7"/>
  <c r="BB119" i="7"/>
  <c r="AM119" i="7"/>
  <c r="BA119" i="7"/>
  <c r="AL119" i="7"/>
  <c r="AZ119" i="7"/>
  <c r="AK119" i="7"/>
  <c r="AY119" i="7"/>
  <c r="AJ119" i="7"/>
  <c r="AX119" i="7"/>
  <c r="AI119" i="7"/>
  <c r="AW119" i="7"/>
  <c r="AH119" i="7"/>
  <c r="AV119" i="7"/>
  <c r="AU119" i="7"/>
  <c r="AT119" i="7"/>
  <c r="AR119" i="7"/>
  <c r="AG119" i="7"/>
  <c r="AF119" i="7"/>
  <c r="AQ118" i="7"/>
  <c r="AP118" i="7"/>
  <c r="BD118" i="7"/>
  <c r="AO118" i="7"/>
  <c r="BC118" i="7"/>
  <c r="AN118" i="7"/>
  <c r="BB118" i="7"/>
  <c r="AM118" i="7"/>
  <c r="BA118" i="7"/>
  <c r="AL118" i="7"/>
  <c r="AZ118" i="7"/>
  <c r="AK118" i="7"/>
  <c r="AY118" i="7"/>
  <c r="AJ118" i="7"/>
  <c r="AX118" i="7"/>
  <c r="AI118" i="7"/>
  <c r="AW118" i="7"/>
  <c r="AH118" i="7"/>
  <c r="AV118" i="7"/>
  <c r="AU118" i="7"/>
  <c r="AT118" i="7"/>
  <c r="AR118" i="7"/>
  <c r="AG118" i="7"/>
  <c r="AF118" i="7"/>
  <c r="AQ117" i="7"/>
  <c r="AP117" i="7"/>
  <c r="BD117" i="7"/>
  <c r="AO117" i="7"/>
  <c r="BC117" i="7"/>
  <c r="AN117" i="7"/>
  <c r="BB117" i="7"/>
  <c r="AM117" i="7"/>
  <c r="BA117" i="7"/>
  <c r="AL117" i="7"/>
  <c r="AZ117" i="7"/>
  <c r="AK117" i="7"/>
  <c r="AY117" i="7"/>
  <c r="AJ117" i="7"/>
  <c r="AX117" i="7"/>
  <c r="AI117" i="7"/>
  <c r="AW117" i="7"/>
  <c r="AH117" i="7"/>
  <c r="AV117" i="7"/>
  <c r="AU117" i="7"/>
  <c r="AT117" i="7"/>
  <c r="AR117" i="7"/>
  <c r="AG117" i="7"/>
  <c r="AF117" i="7"/>
  <c r="AQ116" i="7"/>
  <c r="AP116" i="7"/>
  <c r="BD116" i="7"/>
  <c r="AO116" i="7"/>
  <c r="BC116" i="7"/>
  <c r="AN116" i="7"/>
  <c r="BB116" i="7"/>
  <c r="AM116" i="7"/>
  <c r="BA116" i="7"/>
  <c r="AL116" i="7"/>
  <c r="AZ116" i="7"/>
  <c r="AK116" i="7"/>
  <c r="AY116" i="7"/>
  <c r="AJ116" i="7"/>
  <c r="AX116" i="7"/>
  <c r="AI116" i="7"/>
  <c r="AW116" i="7"/>
  <c r="AH116" i="7"/>
  <c r="AV116" i="7"/>
  <c r="AU116" i="7"/>
  <c r="AT116" i="7"/>
  <c r="AR116" i="7"/>
  <c r="AG116" i="7"/>
  <c r="AF116" i="7"/>
  <c r="AQ115" i="7"/>
  <c r="AP115" i="7"/>
  <c r="BD115" i="7"/>
  <c r="AO115" i="7"/>
  <c r="BC115" i="7"/>
  <c r="AN115" i="7"/>
  <c r="BB115" i="7"/>
  <c r="AM115" i="7"/>
  <c r="BA115" i="7"/>
  <c r="AL115" i="7"/>
  <c r="AZ115" i="7"/>
  <c r="AK115" i="7"/>
  <c r="AY115" i="7"/>
  <c r="AJ115" i="7"/>
  <c r="AX115" i="7"/>
  <c r="AI115" i="7"/>
  <c r="AW115" i="7"/>
  <c r="AH115" i="7"/>
  <c r="AV115" i="7"/>
  <c r="AU115" i="7"/>
  <c r="AT115" i="7"/>
  <c r="AR115" i="7"/>
  <c r="AG115" i="7"/>
  <c r="AF115" i="7"/>
  <c r="AQ114" i="7"/>
  <c r="AP114" i="7"/>
  <c r="BD114" i="7"/>
  <c r="AO114" i="7"/>
  <c r="BC114" i="7"/>
  <c r="AN114" i="7"/>
  <c r="BB114" i="7"/>
  <c r="AM114" i="7"/>
  <c r="BA114" i="7"/>
  <c r="AL114" i="7"/>
  <c r="AZ114" i="7"/>
  <c r="AK114" i="7"/>
  <c r="AY114" i="7"/>
  <c r="AJ114" i="7"/>
  <c r="AX114" i="7"/>
  <c r="AI114" i="7"/>
  <c r="AW114" i="7"/>
  <c r="AH114" i="7"/>
  <c r="AV114" i="7"/>
  <c r="AU114" i="7"/>
  <c r="AT114" i="7"/>
  <c r="AR114" i="7"/>
  <c r="AG114" i="7"/>
  <c r="AF114" i="7"/>
  <c r="AQ113" i="7"/>
  <c r="AP113" i="7"/>
  <c r="BD113" i="7"/>
  <c r="AO113" i="7"/>
  <c r="BC113" i="7"/>
  <c r="AN113" i="7"/>
  <c r="BB113" i="7"/>
  <c r="AM113" i="7"/>
  <c r="BA113" i="7"/>
  <c r="AL113" i="7"/>
  <c r="AZ113" i="7"/>
  <c r="AK113" i="7"/>
  <c r="AY113" i="7"/>
  <c r="AJ113" i="7"/>
  <c r="AX113" i="7"/>
  <c r="AI113" i="7"/>
  <c r="AW113" i="7"/>
  <c r="AH113" i="7"/>
  <c r="AV113" i="7"/>
  <c r="AU113" i="7"/>
  <c r="AT113" i="7"/>
  <c r="AR113" i="7"/>
  <c r="AG113" i="7"/>
  <c r="AF113" i="7"/>
  <c r="AQ112" i="7"/>
  <c r="AP112" i="7"/>
  <c r="BD112" i="7"/>
  <c r="AO112" i="7"/>
  <c r="BC112" i="7"/>
  <c r="AN112" i="7"/>
  <c r="BB112" i="7"/>
  <c r="AM112" i="7"/>
  <c r="BA112" i="7"/>
  <c r="AL112" i="7"/>
  <c r="AZ112" i="7"/>
  <c r="AK112" i="7"/>
  <c r="AY112" i="7"/>
  <c r="AJ112" i="7"/>
  <c r="AX112" i="7"/>
  <c r="AI112" i="7"/>
  <c r="AW112" i="7"/>
  <c r="AH112" i="7"/>
  <c r="AV112" i="7"/>
  <c r="AU112" i="7"/>
  <c r="AT112" i="7"/>
  <c r="AR112" i="7"/>
  <c r="AG112" i="7"/>
  <c r="AF112" i="7"/>
  <c r="AQ111" i="7"/>
  <c r="AP111" i="7"/>
  <c r="BD111" i="7"/>
  <c r="AO111" i="7"/>
  <c r="BC111" i="7"/>
  <c r="AN111" i="7"/>
  <c r="BB111" i="7"/>
  <c r="AM111" i="7"/>
  <c r="BA111" i="7"/>
  <c r="AL111" i="7"/>
  <c r="AZ111" i="7"/>
  <c r="AK111" i="7"/>
  <c r="AY111" i="7"/>
  <c r="AJ111" i="7"/>
  <c r="AX111" i="7"/>
  <c r="AI111" i="7"/>
  <c r="AW111" i="7"/>
  <c r="AH111" i="7"/>
  <c r="AV111" i="7"/>
  <c r="AU111" i="7"/>
  <c r="AT111" i="7"/>
  <c r="AR111" i="7"/>
  <c r="AG111" i="7"/>
  <c r="AF111" i="7"/>
  <c r="AQ110" i="7"/>
  <c r="AP110" i="7"/>
  <c r="BD110" i="7"/>
  <c r="AO110" i="7"/>
  <c r="BC110" i="7"/>
  <c r="AN110" i="7"/>
  <c r="BB110" i="7"/>
  <c r="AM110" i="7"/>
  <c r="BA110" i="7"/>
  <c r="AL110" i="7"/>
  <c r="AZ110" i="7"/>
  <c r="AK110" i="7"/>
  <c r="AY110" i="7"/>
  <c r="AJ110" i="7"/>
  <c r="AX110" i="7"/>
  <c r="AI110" i="7"/>
  <c r="AW110" i="7"/>
  <c r="AH110" i="7"/>
  <c r="AV110" i="7"/>
  <c r="AU110" i="7"/>
  <c r="AT110" i="7"/>
  <c r="AR110" i="7"/>
  <c r="AG110" i="7"/>
  <c r="AF110" i="7"/>
  <c r="AQ109" i="7"/>
  <c r="AP109" i="7"/>
  <c r="BD109" i="7"/>
  <c r="AO109" i="7"/>
  <c r="BC109" i="7"/>
  <c r="AN109" i="7"/>
  <c r="BB109" i="7"/>
  <c r="AM109" i="7"/>
  <c r="BA109" i="7"/>
  <c r="AL109" i="7"/>
  <c r="AZ109" i="7"/>
  <c r="AK109" i="7"/>
  <c r="AY109" i="7"/>
  <c r="AJ109" i="7"/>
  <c r="AX109" i="7"/>
  <c r="AI109" i="7"/>
  <c r="AW109" i="7"/>
  <c r="AH109" i="7"/>
  <c r="AV109" i="7"/>
  <c r="AU109" i="7"/>
  <c r="AT109" i="7"/>
  <c r="AR109" i="7"/>
  <c r="AG109" i="7"/>
  <c r="AF109" i="7"/>
  <c r="AQ108" i="7"/>
  <c r="AP108" i="7"/>
  <c r="BD108" i="7"/>
  <c r="AO108" i="7"/>
  <c r="BC108" i="7"/>
  <c r="AN108" i="7"/>
  <c r="BB108" i="7"/>
  <c r="AM108" i="7"/>
  <c r="BA108" i="7"/>
  <c r="AL108" i="7"/>
  <c r="AZ108" i="7"/>
  <c r="AK108" i="7"/>
  <c r="AY108" i="7"/>
  <c r="AJ108" i="7"/>
  <c r="AX108" i="7"/>
  <c r="AI108" i="7"/>
  <c r="AW108" i="7"/>
  <c r="AH108" i="7"/>
  <c r="AV108" i="7"/>
  <c r="AU108" i="7"/>
  <c r="AT108" i="7"/>
  <c r="AR108" i="7"/>
  <c r="AG108" i="7"/>
  <c r="AF108" i="7"/>
  <c r="AQ107" i="7"/>
  <c r="AP107" i="7"/>
  <c r="BD107" i="7"/>
  <c r="AO107" i="7"/>
  <c r="BC107" i="7"/>
  <c r="AN107" i="7"/>
  <c r="BB107" i="7"/>
  <c r="AM107" i="7"/>
  <c r="BA107" i="7"/>
  <c r="AL107" i="7"/>
  <c r="AZ107" i="7"/>
  <c r="AK107" i="7"/>
  <c r="AY107" i="7"/>
  <c r="AJ107" i="7"/>
  <c r="AX107" i="7"/>
  <c r="AI107" i="7"/>
  <c r="AW107" i="7"/>
  <c r="AH107" i="7"/>
  <c r="AV107" i="7"/>
  <c r="AU107" i="7"/>
  <c r="AT107" i="7"/>
  <c r="AR107" i="7"/>
  <c r="AG107" i="7"/>
  <c r="AF107" i="7"/>
  <c r="AQ106" i="7"/>
  <c r="AP106" i="7"/>
  <c r="BD106" i="7"/>
  <c r="AO106" i="7"/>
  <c r="BC106" i="7"/>
  <c r="AN106" i="7"/>
  <c r="BB106" i="7"/>
  <c r="AM106" i="7"/>
  <c r="BA106" i="7"/>
  <c r="AL106" i="7"/>
  <c r="AZ106" i="7"/>
  <c r="AK106" i="7"/>
  <c r="AY106" i="7"/>
  <c r="AJ106" i="7"/>
  <c r="AX106" i="7"/>
  <c r="AI106" i="7"/>
  <c r="AW106" i="7"/>
  <c r="AH106" i="7"/>
  <c r="AV106" i="7"/>
  <c r="AU106" i="7"/>
  <c r="AT106" i="7"/>
  <c r="AR106" i="7"/>
  <c r="AG106" i="7"/>
  <c r="AF106" i="7"/>
  <c r="AQ105" i="7"/>
  <c r="AP105" i="7"/>
  <c r="BD105" i="7"/>
  <c r="AO105" i="7"/>
  <c r="BC105" i="7"/>
  <c r="AN105" i="7"/>
  <c r="BB105" i="7"/>
  <c r="AM105" i="7"/>
  <c r="BA105" i="7"/>
  <c r="AL105" i="7"/>
  <c r="AZ105" i="7"/>
  <c r="AK105" i="7"/>
  <c r="AY105" i="7"/>
  <c r="AJ105" i="7"/>
  <c r="AX105" i="7"/>
  <c r="AI105" i="7"/>
  <c r="AW105" i="7"/>
  <c r="AH105" i="7"/>
  <c r="AV105" i="7"/>
  <c r="AU105" i="7"/>
  <c r="AT105" i="7"/>
  <c r="AR105" i="7"/>
  <c r="AG105" i="7"/>
  <c r="AF105" i="7"/>
  <c r="AQ104" i="7"/>
  <c r="AP104" i="7"/>
  <c r="BD104" i="7"/>
  <c r="AO104" i="7"/>
  <c r="BC104" i="7"/>
  <c r="AN104" i="7"/>
  <c r="BB104" i="7"/>
  <c r="AM104" i="7"/>
  <c r="BA104" i="7"/>
  <c r="AL104" i="7"/>
  <c r="AZ104" i="7"/>
  <c r="AK104" i="7"/>
  <c r="AY104" i="7"/>
  <c r="AJ104" i="7"/>
  <c r="AX104" i="7"/>
  <c r="AI104" i="7"/>
  <c r="AW104" i="7"/>
  <c r="AH104" i="7"/>
  <c r="AV104" i="7"/>
  <c r="AU104" i="7"/>
  <c r="AT104" i="7"/>
  <c r="AR104" i="7"/>
  <c r="AG104" i="7"/>
  <c r="AF104" i="7"/>
  <c r="AQ103" i="7"/>
  <c r="AP103" i="7"/>
  <c r="BD103" i="7"/>
  <c r="AO103" i="7"/>
  <c r="BC103" i="7"/>
  <c r="AN103" i="7"/>
  <c r="BB103" i="7"/>
  <c r="AM103" i="7"/>
  <c r="BA103" i="7"/>
  <c r="AL103" i="7"/>
  <c r="AZ103" i="7"/>
  <c r="AK103" i="7"/>
  <c r="AY103" i="7"/>
  <c r="AJ103" i="7"/>
  <c r="AX103" i="7"/>
  <c r="AI103" i="7"/>
  <c r="AW103" i="7"/>
  <c r="AH103" i="7"/>
  <c r="AV103" i="7"/>
  <c r="AU103" i="7"/>
  <c r="AT103" i="7"/>
  <c r="AR103" i="7"/>
  <c r="AG103" i="7"/>
  <c r="AF103" i="7"/>
  <c r="AQ102" i="7"/>
  <c r="AP102" i="7"/>
  <c r="BD102" i="7"/>
  <c r="AO102" i="7"/>
  <c r="BC102" i="7"/>
  <c r="AN102" i="7"/>
  <c r="BB102" i="7"/>
  <c r="AM102" i="7"/>
  <c r="BA102" i="7"/>
  <c r="AL102" i="7"/>
  <c r="AZ102" i="7"/>
  <c r="AK102" i="7"/>
  <c r="AY102" i="7"/>
  <c r="AJ102" i="7"/>
  <c r="AX102" i="7"/>
  <c r="AI102" i="7"/>
  <c r="AW102" i="7"/>
  <c r="AH102" i="7"/>
  <c r="AV102" i="7"/>
  <c r="AU102" i="7"/>
  <c r="AT102" i="7"/>
  <c r="AR102" i="7"/>
  <c r="AG102" i="7"/>
  <c r="AF102" i="7"/>
  <c r="AQ101" i="7"/>
  <c r="AP101" i="7"/>
  <c r="BD101" i="7"/>
  <c r="AO101" i="7"/>
  <c r="BC101" i="7"/>
  <c r="AN101" i="7"/>
  <c r="BB101" i="7"/>
  <c r="AM101" i="7"/>
  <c r="BA101" i="7"/>
  <c r="AL101" i="7"/>
  <c r="AZ101" i="7"/>
  <c r="AK101" i="7"/>
  <c r="AY101" i="7"/>
  <c r="AJ101" i="7"/>
  <c r="AX101" i="7"/>
  <c r="AI101" i="7"/>
  <c r="AW101" i="7"/>
  <c r="AH101" i="7"/>
  <c r="AV101" i="7"/>
  <c r="AU101" i="7"/>
  <c r="AT101" i="7"/>
  <c r="AR101" i="7"/>
  <c r="AG101" i="7"/>
  <c r="AF101" i="7"/>
  <c r="AQ100" i="7"/>
  <c r="AP100" i="7"/>
  <c r="BD100" i="7"/>
  <c r="AO100" i="7"/>
  <c r="BC100" i="7"/>
  <c r="AN100" i="7"/>
  <c r="BB100" i="7"/>
  <c r="AM100" i="7"/>
  <c r="BA100" i="7"/>
  <c r="AL100" i="7"/>
  <c r="AZ100" i="7"/>
  <c r="AK100" i="7"/>
  <c r="AY100" i="7"/>
  <c r="AJ100" i="7"/>
  <c r="AX100" i="7"/>
  <c r="AI100" i="7"/>
  <c r="AW100" i="7"/>
  <c r="AH100" i="7"/>
  <c r="AV100" i="7"/>
  <c r="AU100" i="7"/>
  <c r="AT100" i="7"/>
  <c r="AR100" i="7"/>
  <c r="AG100" i="7"/>
  <c r="AF100" i="7"/>
  <c r="AQ99" i="7"/>
  <c r="AP99" i="7"/>
  <c r="BD99" i="7"/>
  <c r="AO99" i="7"/>
  <c r="BC99" i="7"/>
  <c r="AN99" i="7"/>
  <c r="BB99" i="7"/>
  <c r="AM99" i="7"/>
  <c r="BA99" i="7"/>
  <c r="AL99" i="7"/>
  <c r="AZ99" i="7"/>
  <c r="AK99" i="7"/>
  <c r="AY99" i="7"/>
  <c r="AJ99" i="7"/>
  <c r="AX99" i="7"/>
  <c r="AI99" i="7"/>
  <c r="AW99" i="7"/>
  <c r="AH99" i="7"/>
  <c r="AV99" i="7"/>
  <c r="AU99" i="7"/>
  <c r="AT99" i="7"/>
  <c r="AR99" i="7"/>
  <c r="AG99" i="7"/>
  <c r="AF99" i="7"/>
  <c r="AQ98" i="7"/>
  <c r="AP98" i="7"/>
  <c r="BD98" i="7"/>
  <c r="AO98" i="7"/>
  <c r="BC98" i="7"/>
  <c r="AN98" i="7"/>
  <c r="BB98" i="7"/>
  <c r="AM98" i="7"/>
  <c r="BA98" i="7"/>
  <c r="AL98" i="7"/>
  <c r="AZ98" i="7"/>
  <c r="AK98" i="7"/>
  <c r="AY98" i="7"/>
  <c r="AJ98" i="7"/>
  <c r="AX98" i="7"/>
  <c r="AI98" i="7"/>
  <c r="AW98" i="7"/>
  <c r="AH98" i="7"/>
  <c r="AV98" i="7"/>
  <c r="AU98" i="7"/>
  <c r="AT98" i="7"/>
  <c r="AR98" i="7"/>
  <c r="AG98" i="7"/>
  <c r="AF98" i="7"/>
  <c r="AQ97" i="7"/>
  <c r="AP97" i="7"/>
  <c r="BD97" i="7"/>
  <c r="AO97" i="7"/>
  <c r="BC97" i="7"/>
  <c r="AN97" i="7"/>
  <c r="BB97" i="7"/>
  <c r="AM97" i="7"/>
  <c r="BA97" i="7"/>
  <c r="AL97" i="7"/>
  <c r="AZ97" i="7"/>
  <c r="AK97" i="7"/>
  <c r="AY97" i="7"/>
  <c r="AJ97" i="7"/>
  <c r="AX97" i="7"/>
  <c r="AI97" i="7"/>
  <c r="AW97" i="7"/>
  <c r="AH97" i="7"/>
  <c r="AV97" i="7"/>
  <c r="AU97" i="7"/>
  <c r="AT97" i="7"/>
  <c r="AR97" i="7"/>
  <c r="AG97" i="7"/>
  <c r="AF97" i="7"/>
  <c r="AQ96" i="7"/>
  <c r="AP96" i="7"/>
  <c r="BD96" i="7"/>
  <c r="AO96" i="7"/>
  <c r="BC96" i="7"/>
  <c r="AN96" i="7"/>
  <c r="BB96" i="7"/>
  <c r="AM96" i="7"/>
  <c r="BA96" i="7"/>
  <c r="AL96" i="7"/>
  <c r="AZ96" i="7"/>
  <c r="AK96" i="7"/>
  <c r="AY96" i="7"/>
  <c r="AJ96" i="7"/>
  <c r="AX96" i="7"/>
  <c r="AI96" i="7"/>
  <c r="AW96" i="7"/>
  <c r="AH96" i="7"/>
  <c r="AV96" i="7"/>
  <c r="AU96" i="7"/>
  <c r="AT96" i="7"/>
  <c r="AR96" i="7"/>
  <c r="AG96" i="7"/>
  <c r="AF96" i="7"/>
  <c r="AQ95" i="7"/>
  <c r="AP95" i="7"/>
  <c r="BD95" i="7"/>
  <c r="AO95" i="7"/>
  <c r="BC95" i="7"/>
  <c r="AN95" i="7"/>
  <c r="BB95" i="7"/>
  <c r="AM95" i="7"/>
  <c r="BA95" i="7"/>
  <c r="AL95" i="7"/>
  <c r="AZ95" i="7"/>
  <c r="AK95" i="7"/>
  <c r="AY95" i="7"/>
  <c r="AJ95" i="7"/>
  <c r="AX95" i="7"/>
  <c r="AI95" i="7"/>
  <c r="AW95" i="7"/>
  <c r="AH95" i="7"/>
  <c r="AV95" i="7"/>
  <c r="AU95" i="7"/>
  <c r="AT95" i="7"/>
  <c r="AR95" i="7"/>
  <c r="AG95" i="7"/>
  <c r="AF95" i="7"/>
  <c r="AQ94" i="7"/>
  <c r="AP94" i="7"/>
  <c r="BD94" i="7"/>
  <c r="AO94" i="7"/>
  <c r="BC94" i="7"/>
  <c r="AN94" i="7"/>
  <c r="BB94" i="7"/>
  <c r="AM94" i="7"/>
  <c r="BA94" i="7"/>
  <c r="AL94" i="7"/>
  <c r="AZ94" i="7"/>
  <c r="AK94" i="7"/>
  <c r="AY94" i="7"/>
  <c r="AJ94" i="7"/>
  <c r="AX94" i="7"/>
  <c r="AI94" i="7"/>
  <c r="AW94" i="7"/>
  <c r="AH94" i="7"/>
  <c r="AV94" i="7"/>
  <c r="AU94" i="7"/>
  <c r="AT94" i="7"/>
  <c r="AR94" i="7"/>
  <c r="AG94" i="7"/>
  <c r="AF94" i="7"/>
  <c r="AQ93" i="7"/>
  <c r="AP93" i="7"/>
  <c r="BD93" i="7"/>
  <c r="AO93" i="7"/>
  <c r="BC93" i="7"/>
  <c r="AN93" i="7"/>
  <c r="BB93" i="7"/>
  <c r="AM93" i="7"/>
  <c r="BA93" i="7"/>
  <c r="AL93" i="7"/>
  <c r="AZ93" i="7"/>
  <c r="AK93" i="7"/>
  <c r="AY93" i="7"/>
  <c r="AJ93" i="7"/>
  <c r="AX93" i="7"/>
  <c r="AI93" i="7"/>
  <c r="AW93" i="7"/>
  <c r="AH93" i="7"/>
  <c r="AV93" i="7"/>
  <c r="AU93" i="7"/>
  <c r="AT93" i="7"/>
  <c r="AR93" i="7"/>
  <c r="AG93" i="7"/>
  <c r="AF93" i="7"/>
  <c r="AQ92" i="7"/>
  <c r="AP92" i="7"/>
  <c r="BD92" i="7"/>
  <c r="AO92" i="7"/>
  <c r="BC92" i="7"/>
  <c r="AN92" i="7"/>
  <c r="BB92" i="7"/>
  <c r="AM92" i="7"/>
  <c r="BA92" i="7"/>
  <c r="AL92" i="7"/>
  <c r="AZ92" i="7"/>
  <c r="AK92" i="7"/>
  <c r="AY92" i="7"/>
  <c r="AJ92" i="7"/>
  <c r="AX92" i="7"/>
  <c r="AI92" i="7"/>
  <c r="AW92" i="7"/>
  <c r="AH92" i="7"/>
  <c r="AV92" i="7"/>
  <c r="AU92" i="7"/>
  <c r="AT92" i="7"/>
  <c r="AR92" i="7"/>
  <c r="AG92" i="7"/>
  <c r="AF92" i="7"/>
  <c r="AQ91" i="7"/>
  <c r="AP91" i="7"/>
  <c r="BD91" i="7"/>
  <c r="AO91" i="7"/>
  <c r="BC91" i="7"/>
  <c r="AN91" i="7"/>
  <c r="BB91" i="7"/>
  <c r="AM91" i="7"/>
  <c r="BA91" i="7"/>
  <c r="AL91" i="7"/>
  <c r="AZ91" i="7"/>
  <c r="AK91" i="7"/>
  <c r="AY91" i="7"/>
  <c r="AJ91" i="7"/>
  <c r="AX91" i="7"/>
  <c r="AI91" i="7"/>
  <c r="AW91" i="7"/>
  <c r="AH91" i="7"/>
  <c r="AV91" i="7"/>
  <c r="AU91" i="7"/>
  <c r="AT91" i="7"/>
  <c r="AR91" i="7"/>
  <c r="AG91" i="7"/>
  <c r="AF91" i="7"/>
  <c r="AQ90" i="7"/>
  <c r="AP90" i="7"/>
  <c r="BD90" i="7"/>
  <c r="AO90" i="7"/>
  <c r="BC90" i="7"/>
  <c r="AN90" i="7"/>
  <c r="BB90" i="7"/>
  <c r="AM90" i="7"/>
  <c r="BA90" i="7"/>
  <c r="AL90" i="7"/>
  <c r="AZ90" i="7"/>
  <c r="AK90" i="7"/>
  <c r="AY90" i="7"/>
  <c r="AJ90" i="7"/>
  <c r="AX90" i="7"/>
  <c r="AI90" i="7"/>
  <c r="AW90" i="7"/>
  <c r="AH90" i="7"/>
  <c r="AV90" i="7"/>
  <c r="AU90" i="7"/>
  <c r="AT90" i="7"/>
  <c r="AR90" i="7"/>
  <c r="AG90" i="7"/>
  <c r="AF90" i="7"/>
  <c r="AQ89" i="7"/>
  <c r="AP89" i="7"/>
  <c r="BD89" i="7"/>
  <c r="AO89" i="7"/>
  <c r="BC89" i="7"/>
  <c r="AN89" i="7"/>
  <c r="BB89" i="7"/>
  <c r="AM89" i="7"/>
  <c r="BA89" i="7"/>
  <c r="AL89" i="7"/>
  <c r="AZ89" i="7"/>
  <c r="AK89" i="7"/>
  <c r="AY89" i="7"/>
  <c r="AJ89" i="7"/>
  <c r="AX89" i="7"/>
  <c r="AI89" i="7"/>
  <c r="AW89" i="7"/>
  <c r="AH89" i="7"/>
  <c r="AV89" i="7"/>
  <c r="AU89" i="7"/>
  <c r="AT89" i="7"/>
  <c r="AR89" i="7"/>
  <c r="AG89" i="7"/>
  <c r="AF89" i="7"/>
  <c r="AQ88" i="7"/>
  <c r="AP88" i="7"/>
  <c r="BD88" i="7"/>
  <c r="AO88" i="7"/>
  <c r="BC88" i="7"/>
  <c r="AN88" i="7"/>
  <c r="BB88" i="7"/>
  <c r="AM88" i="7"/>
  <c r="BA88" i="7"/>
  <c r="AL88" i="7"/>
  <c r="AZ88" i="7"/>
  <c r="AK88" i="7"/>
  <c r="AY88" i="7"/>
  <c r="AJ88" i="7"/>
  <c r="AX88" i="7"/>
  <c r="AI88" i="7"/>
  <c r="AW88" i="7"/>
  <c r="AH88" i="7"/>
  <c r="AV88" i="7"/>
  <c r="AU88" i="7"/>
  <c r="AT88" i="7"/>
  <c r="AR88" i="7"/>
  <c r="AG88" i="7"/>
  <c r="AF88" i="7"/>
  <c r="AQ87" i="7"/>
  <c r="AP87" i="7"/>
  <c r="BD87" i="7"/>
  <c r="AO87" i="7"/>
  <c r="BC87" i="7"/>
  <c r="AN87" i="7"/>
  <c r="BB87" i="7"/>
  <c r="AM87" i="7"/>
  <c r="BA87" i="7"/>
  <c r="AL87" i="7"/>
  <c r="AZ87" i="7"/>
  <c r="AK87" i="7"/>
  <c r="AY87" i="7"/>
  <c r="AJ87" i="7"/>
  <c r="AX87" i="7"/>
  <c r="AI87" i="7"/>
  <c r="AW87" i="7"/>
  <c r="AH87" i="7"/>
  <c r="AV87" i="7"/>
  <c r="AU87" i="7"/>
  <c r="AT87" i="7"/>
  <c r="AR87" i="7"/>
  <c r="AG87" i="7"/>
  <c r="AF87" i="7"/>
  <c r="AQ86" i="7"/>
  <c r="AP86" i="7"/>
  <c r="BD86" i="7"/>
  <c r="AO86" i="7"/>
  <c r="BC86" i="7"/>
  <c r="AN86" i="7"/>
  <c r="BB86" i="7"/>
  <c r="AM86" i="7"/>
  <c r="BA86" i="7"/>
  <c r="AL86" i="7"/>
  <c r="AZ86" i="7"/>
  <c r="AK86" i="7"/>
  <c r="AY86" i="7"/>
  <c r="AJ86" i="7"/>
  <c r="AX86" i="7"/>
  <c r="AI86" i="7"/>
  <c r="AW86" i="7"/>
  <c r="AH86" i="7"/>
  <c r="AV86" i="7"/>
  <c r="AU86" i="7"/>
  <c r="AT86" i="7"/>
  <c r="AR86" i="7"/>
  <c r="AG86" i="7"/>
  <c r="AF86" i="7"/>
  <c r="AQ85" i="7"/>
  <c r="AP85" i="7"/>
  <c r="BD85" i="7"/>
  <c r="AO85" i="7"/>
  <c r="BC85" i="7"/>
  <c r="AN85" i="7"/>
  <c r="BB85" i="7"/>
  <c r="AM85" i="7"/>
  <c r="BA85" i="7"/>
  <c r="AL85" i="7"/>
  <c r="AZ85" i="7"/>
  <c r="AK85" i="7"/>
  <c r="AY85" i="7"/>
  <c r="AJ85" i="7"/>
  <c r="AX85" i="7"/>
  <c r="AI85" i="7"/>
  <c r="AW85" i="7"/>
  <c r="AH85" i="7"/>
  <c r="AV85" i="7"/>
  <c r="AU85" i="7"/>
  <c r="AT85" i="7"/>
  <c r="AR85" i="7"/>
  <c r="AG85" i="7"/>
  <c r="AF85" i="7"/>
  <c r="AQ84" i="7"/>
  <c r="AP84" i="7"/>
  <c r="BD84" i="7"/>
  <c r="AO84" i="7"/>
  <c r="BC84" i="7"/>
  <c r="AN84" i="7"/>
  <c r="BB84" i="7"/>
  <c r="AM84" i="7"/>
  <c r="BA84" i="7"/>
  <c r="AL84" i="7"/>
  <c r="AZ84" i="7"/>
  <c r="AK84" i="7"/>
  <c r="AY84" i="7"/>
  <c r="AJ84" i="7"/>
  <c r="AX84" i="7"/>
  <c r="AI84" i="7"/>
  <c r="AW84" i="7"/>
  <c r="AH84" i="7"/>
  <c r="AV84" i="7"/>
  <c r="AU84" i="7"/>
  <c r="AT84" i="7"/>
  <c r="AR84" i="7"/>
  <c r="AG84" i="7"/>
  <c r="AF84" i="7"/>
  <c r="AQ83" i="7"/>
  <c r="AP83" i="7"/>
  <c r="BD83" i="7"/>
  <c r="AO83" i="7"/>
  <c r="BC83" i="7"/>
  <c r="AN83" i="7"/>
  <c r="BB83" i="7"/>
  <c r="AM83" i="7"/>
  <c r="BA83" i="7"/>
  <c r="AL83" i="7"/>
  <c r="AZ83" i="7"/>
  <c r="AK83" i="7"/>
  <c r="AY83" i="7"/>
  <c r="AJ83" i="7"/>
  <c r="AX83" i="7"/>
  <c r="AI83" i="7"/>
  <c r="AW83" i="7"/>
  <c r="AH83" i="7"/>
  <c r="AV83" i="7"/>
  <c r="AU83" i="7"/>
  <c r="AT83" i="7"/>
  <c r="AR83" i="7"/>
  <c r="AG83" i="7"/>
  <c r="AF83" i="7"/>
  <c r="AQ82" i="7"/>
  <c r="AP82" i="7"/>
  <c r="BD82" i="7"/>
  <c r="AO82" i="7"/>
  <c r="BC82" i="7"/>
  <c r="AN82" i="7"/>
  <c r="BB82" i="7"/>
  <c r="AM82" i="7"/>
  <c r="BA82" i="7"/>
  <c r="AL82" i="7"/>
  <c r="AZ82" i="7"/>
  <c r="AK82" i="7"/>
  <c r="AY82" i="7"/>
  <c r="AJ82" i="7"/>
  <c r="AX82" i="7"/>
  <c r="AI82" i="7"/>
  <c r="AW82" i="7"/>
  <c r="AH82" i="7"/>
  <c r="AV82" i="7"/>
  <c r="AU82" i="7"/>
  <c r="AT82" i="7"/>
  <c r="AR82" i="7"/>
  <c r="AG82" i="7"/>
  <c r="AF82" i="7"/>
  <c r="AQ81" i="7"/>
  <c r="AP81" i="7"/>
  <c r="BD81" i="7"/>
  <c r="AO81" i="7"/>
  <c r="BC81" i="7"/>
  <c r="AN81" i="7"/>
  <c r="BB81" i="7"/>
  <c r="AM81" i="7"/>
  <c r="BA81" i="7"/>
  <c r="AL81" i="7"/>
  <c r="AZ81" i="7"/>
  <c r="AK81" i="7"/>
  <c r="AY81" i="7"/>
  <c r="AJ81" i="7"/>
  <c r="AX81" i="7"/>
  <c r="AI81" i="7"/>
  <c r="AW81" i="7"/>
  <c r="AH81" i="7"/>
  <c r="AV81" i="7"/>
  <c r="AU81" i="7"/>
  <c r="AT81" i="7"/>
  <c r="AR81" i="7"/>
  <c r="AG81" i="7"/>
  <c r="AF81" i="7"/>
  <c r="AQ80" i="7"/>
  <c r="AP80" i="7"/>
  <c r="BD80" i="7"/>
  <c r="AO80" i="7"/>
  <c r="BC80" i="7"/>
  <c r="AN80" i="7"/>
  <c r="BB80" i="7"/>
  <c r="AM80" i="7"/>
  <c r="BA80" i="7"/>
  <c r="AL80" i="7"/>
  <c r="AZ80" i="7"/>
  <c r="AK80" i="7"/>
  <c r="AY80" i="7"/>
  <c r="AJ80" i="7"/>
  <c r="AX80" i="7"/>
  <c r="AI80" i="7"/>
  <c r="AW80" i="7"/>
  <c r="AH80" i="7"/>
  <c r="AV80" i="7"/>
  <c r="AU80" i="7"/>
  <c r="AT80" i="7"/>
  <c r="AR80" i="7"/>
  <c r="AG80" i="7"/>
  <c r="AF80" i="7"/>
  <c r="AQ79" i="7"/>
  <c r="AP79" i="7"/>
  <c r="BD79" i="7"/>
  <c r="AO79" i="7"/>
  <c r="BC79" i="7"/>
  <c r="AN79" i="7"/>
  <c r="BB79" i="7"/>
  <c r="AM79" i="7"/>
  <c r="BA79" i="7"/>
  <c r="AL79" i="7"/>
  <c r="AZ79" i="7"/>
  <c r="AK79" i="7"/>
  <c r="AY79" i="7"/>
  <c r="AJ79" i="7"/>
  <c r="AX79" i="7"/>
  <c r="AI79" i="7"/>
  <c r="AW79" i="7"/>
  <c r="AH79" i="7"/>
  <c r="AV79" i="7"/>
  <c r="AU79" i="7"/>
  <c r="AT79" i="7"/>
  <c r="AR79" i="7"/>
  <c r="AG79" i="7"/>
  <c r="AF79" i="7"/>
  <c r="AQ78" i="7"/>
  <c r="AP78" i="7"/>
  <c r="BD78" i="7"/>
  <c r="AO78" i="7"/>
  <c r="BC78" i="7"/>
  <c r="AN78" i="7"/>
  <c r="BB78" i="7"/>
  <c r="AM78" i="7"/>
  <c r="BA78" i="7"/>
  <c r="AL78" i="7"/>
  <c r="AZ78" i="7"/>
  <c r="AK78" i="7"/>
  <c r="AY78" i="7"/>
  <c r="AJ78" i="7"/>
  <c r="AX78" i="7"/>
  <c r="AI78" i="7"/>
  <c r="AW78" i="7"/>
  <c r="AH78" i="7"/>
  <c r="AV78" i="7"/>
  <c r="AU78" i="7"/>
  <c r="AT78" i="7"/>
  <c r="AR78" i="7"/>
  <c r="AG78" i="7"/>
  <c r="AF78" i="7"/>
  <c r="AQ77" i="7"/>
  <c r="AP77" i="7"/>
  <c r="BD77" i="7"/>
  <c r="AO77" i="7"/>
  <c r="BC77" i="7"/>
  <c r="AN77" i="7"/>
  <c r="BB77" i="7"/>
  <c r="AM77" i="7"/>
  <c r="BA77" i="7"/>
  <c r="AL77" i="7"/>
  <c r="AZ77" i="7"/>
  <c r="AK77" i="7"/>
  <c r="AY77" i="7"/>
  <c r="AJ77" i="7"/>
  <c r="AX77" i="7"/>
  <c r="AI77" i="7"/>
  <c r="AW77" i="7"/>
  <c r="AH77" i="7"/>
  <c r="AV77" i="7"/>
  <c r="AU77" i="7"/>
  <c r="AT77" i="7"/>
  <c r="AR77" i="7"/>
  <c r="AG77" i="7"/>
  <c r="AF77" i="7"/>
  <c r="AQ76" i="7"/>
  <c r="AP76" i="7"/>
  <c r="BD76" i="7"/>
  <c r="AO76" i="7"/>
  <c r="BC76" i="7"/>
  <c r="AN76" i="7"/>
  <c r="BB76" i="7"/>
  <c r="AM76" i="7"/>
  <c r="BA76" i="7"/>
  <c r="AL76" i="7"/>
  <c r="AZ76" i="7"/>
  <c r="AK76" i="7"/>
  <c r="AY76" i="7"/>
  <c r="AJ76" i="7"/>
  <c r="AX76" i="7"/>
  <c r="AI76" i="7"/>
  <c r="AW76" i="7"/>
  <c r="AH76" i="7"/>
  <c r="AV76" i="7"/>
  <c r="AU76" i="7"/>
  <c r="AT76" i="7"/>
  <c r="AR76" i="7"/>
  <c r="AG76" i="7"/>
  <c r="AF76" i="7"/>
  <c r="AQ75" i="7"/>
  <c r="AP75" i="7"/>
  <c r="BD75" i="7"/>
  <c r="AO75" i="7"/>
  <c r="BC75" i="7"/>
  <c r="AN75" i="7"/>
  <c r="BB75" i="7"/>
  <c r="AM75" i="7"/>
  <c r="BA75" i="7"/>
  <c r="AL75" i="7"/>
  <c r="AZ75" i="7"/>
  <c r="AK75" i="7"/>
  <c r="AY75" i="7"/>
  <c r="AJ75" i="7"/>
  <c r="AX75" i="7"/>
  <c r="AI75" i="7"/>
  <c r="AW75" i="7"/>
  <c r="AH75" i="7"/>
  <c r="AV75" i="7"/>
  <c r="AU75" i="7"/>
  <c r="AT75" i="7"/>
  <c r="AR75" i="7"/>
  <c r="AG75" i="7"/>
  <c r="AF75" i="7"/>
  <c r="AQ74" i="7"/>
  <c r="AP74" i="7"/>
  <c r="BD74" i="7"/>
  <c r="AO74" i="7"/>
  <c r="BC74" i="7"/>
  <c r="AN74" i="7"/>
  <c r="BB74" i="7"/>
  <c r="AM74" i="7"/>
  <c r="BA74" i="7"/>
  <c r="AL74" i="7"/>
  <c r="AZ74" i="7"/>
  <c r="AK74" i="7"/>
  <c r="AY74" i="7"/>
  <c r="AJ74" i="7"/>
  <c r="AX74" i="7"/>
  <c r="AI74" i="7"/>
  <c r="AW74" i="7"/>
  <c r="AH74" i="7"/>
  <c r="AV74" i="7"/>
  <c r="AU74" i="7"/>
  <c r="AT74" i="7"/>
  <c r="AR74" i="7"/>
  <c r="AG74" i="7"/>
  <c r="AF74" i="7"/>
  <c r="AQ73" i="7"/>
  <c r="AP73" i="7"/>
  <c r="BD73" i="7"/>
  <c r="AO73" i="7"/>
  <c r="BC73" i="7"/>
  <c r="AN73" i="7"/>
  <c r="BB73" i="7"/>
  <c r="AM73" i="7"/>
  <c r="BA73" i="7"/>
  <c r="AL73" i="7"/>
  <c r="AZ73" i="7"/>
  <c r="AK73" i="7"/>
  <c r="AY73" i="7"/>
  <c r="AJ73" i="7"/>
  <c r="AX73" i="7"/>
  <c r="AI73" i="7"/>
  <c r="AW73" i="7"/>
  <c r="AH73" i="7"/>
  <c r="AV73" i="7"/>
  <c r="AU73" i="7"/>
  <c r="AT73" i="7"/>
  <c r="AR73" i="7"/>
  <c r="AG73" i="7"/>
  <c r="AF73" i="7"/>
  <c r="AQ72" i="7"/>
  <c r="AP72" i="7"/>
  <c r="BD72" i="7"/>
  <c r="AO72" i="7"/>
  <c r="BC72" i="7"/>
  <c r="AN72" i="7"/>
  <c r="BB72" i="7"/>
  <c r="AM72" i="7"/>
  <c r="BA72" i="7"/>
  <c r="AL72" i="7"/>
  <c r="AZ72" i="7"/>
  <c r="AK72" i="7"/>
  <c r="AY72" i="7"/>
  <c r="AJ72" i="7"/>
  <c r="AX72" i="7"/>
  <c r="AI72" i="7"/>
  <c r="AW72" i="7"/>
  <c r="AH72" i="7"/>
  <c r="AV72" i="7"/>
  <c r="AU72" i="7"/>
  <c r="AT72" i="7"/>
  <c r="AR72" i="7"/>
  <c r="AG72" i="7"/>
  <c r="AF72" i="7"/>
  <c r="AQ71" i="7"/>
  <c r="AP71" i="7"/>
  <c r="BD71" i="7"/>
  <c r="AO71" i="7"/>
  <c r="BC71" i="7"/>
  <c r="AN71" i="7"/>
  <c r="BB71" i="7"/>
  <c r="AM71" i="7"/>
  <c r="BA71" i="7"/>
  <c r="AL71" i="7"/>
  <c r="AZ71" i="7"/>
  <c r="AK71" i="7"/>
  <c r="AY71" i="7"/>
  <c r="AJ71" i="7"/>
  <c r="AX71" i="7"/>
  <c r="AI71" i="7"/>
  <c r="AW71" i="7"/>
  <c r="AH71" i="7"/>
  <c r="AV71" i="7"/>
  <c r="AU71" i="7"/>
  <c r="AT71" i="7"/>
  <c r="AR71" i="7"/>
  <c r="AG71" i="7"/>
  <c r="AF71" i="7"/>
  <c r="AQ70" i="7"/>
  <c r="AP70" i="7"/>
  <c r="BD70" i="7"/>
  <c r="AO70" i="7"/>
  <c r="BC70" i="7"/>
  <c r="AN70" i="7"/>
  <c r="BB70" i="7"/>
  <c r="AM70" i="7"/>
  <c r="BA70" i="7"/>
  <c r="AL70" i="7"/>
  <c r="AZ70" i="7"/>
  <c r="AK70" i="7"/>
  <c r="AY70" i="7"/>
  <c r="AJ70" i="7"/>
  <c r="AX70" i="7"/>
  <c r="AI70" i="7"/>
  <c r="AW70" i="7"/>
  <c r="AH70" i="7"/>
  <c r="AV70" i="7"/>
  <c r="AU70" i="7"/>
  <c r="AT70" i="7"/>
  <c r="AR70" i="7"/>
  <c r="AG70" i="7"/>
  <c r="AF70" i="7"/>
  <c r="AQ69" i="7"/>
  <c r="AP69" i="7"/>
  <c r="BD69" i="7"/>
  <c r="AO69" i="7"/>
  <c r="BC69" i="7"/>
  <c r="AN69" i="7"/>
  <c r="BB69" i="7"/>
  <c r="AM69" i="7"/>
  <c r="BA69" i="7"/>
  <c r="AL69" i="7"/>
  <c r="AZ69" i="7"/>
  <c r="AK69" i="7"/>
  <c r="AY69" i="7"/>
  <c r="AJ69" i="7"/>
  <c r="AX69" i="7"/>
  <c r="AI69" i="7"/>
  <c r="AW69" i="7"/>
  <c r="AH69" i="7"/>
  <c r="AV69" i="7"/>
  <c r="AU69" i="7"/>
  <c r="AT69" i="7"/>
  <c r="AR69" i="7"/>
  <c r="AG69" i="7"/>
  <c r="AF69" i="7"/>
  <c r="AQ68" i="7"/>
  <c r="AP68" i="7"/>
  <c r="BD68" i="7"/>
  <c r="AO68" i="7"/>
  <c r="BC68" i="7"/>
  <c r="AN68" i="7"/>
  <c r="BB68" i="7"/>
  <c r="AM68" i="7"/>
  <c r="BA68" i="7"/>
  <c r="AL68" i="7"/>
  <c r="AZ68" i="7"/>
  <c r="AK68" i="7"/>
  <c r="AY68" i="7"/>
  <c r="AJ68" i="7"/>
  <c r="AX68" i="7"/>
  <c r="AI68" i="7"/>
  <c r="AW68" i="7"/>
  <c r="AH68" i="7"/>
  <c r="AV68" i="7"/>
  <c r="AU68" i="7"/>
  <c r="AT68" i="7"/>
  <c r="AR68" i="7"/>
  <c r="AG68" i="7"/>
  <c r="AF68" i="7"/>
  <c r="AQ67" i="7"/>
  <c r="AP67" i="7"/>
  <c r="BD67" i="7"/>
  <c r="AO67" i="7"/>
  <c r="BC67" i="7"/>
  <c r="AN67" i="7"/>
  <c r="BB67" i="7"/>
  <c r="AM67" i="7"/>
  <c r="BA67" i="7"/>
  <c r="AL67" i="7"/>
  <c r="AZ67" i="7"/>
  <c r="AK67" i="7"/>
  <c r="AY67" i="7"/>
  <c r="AJ67" i="7"/>
  <c r="AX67" i="7"/>
  <c r="AI67" i="7"/>
  <c r="AW67" i="7"/>
  <c r="AH67" i="7"/>
  <c r="AV67" i="7"/>
  <c r="AU67" i="7"/>
  <c r="AT67" i="7"/>
  <c r="AR67" i="7"/>
  <c r="AG67" i="7"/>
  <c r="AF67" i="7"/>
  <c r="AQ66" i="7"/>
  <c r="AP66" i="7"/>
  <c r="BD66" i="7"/>
  <c r="AO66" i="7"/>
  <c r="BC66" i="7"/>
  <c r="AN66" i="7"/>
  <c r="BB66" i="7"/>
  <c r="AM66" i="7"/>
  <c r="BA66" i="7"/>
  <c r="AL66" i="7"/>
  <c r="AZ66" i="7"/>
  <c r="AK66" i="7"/>
  <c r="AY66" i="7"/>
  <c r="AJ66" i="7"/>
  <c r="AX66" i="7"/>
  <c r="AI66" i="7"/>
  <c r="AW66" i="7"/>
  <c r="AH66" i="7"/>
  <c r="AV66" i="7"/>
  <c r="AU66" i="7"/>
  <c r="AT66" i="7"/>
  <c r="AR66" i="7"/>
  <c r="AG66" i="7"/>
  <c r="AF66" i="7"/>
  <c r="AQ65" i="7"/>
  <c r="AP65" i="7"/>
  <c r="BD65" i="7"/>
  <c r="AO65" i="7"/>
  <c r="BC65" i="7"/>
  <c r="AN65" i="7"/>
  <c r="BB65" i="7"/>
  <c r="AM65" i="7"/>
  <c r="BA65" i="7"/>
  <c r="AL65" i="7"/>
  <c r="AZ65" i="7"/>
  <c r="AK65" i="7"/>
  <c r="AY65" i="7"/>
  <c r="AJ65" i="7"/>
  <c r="AX65" i="7"/>
  <c r="AI65" i="7"/>
  <c r="AW65" i="7"/>
  <c r="AH65" i="7"/>
  <c r="AV65" i="7"/>
  <c r="AU65" i="7"/>
  <c r="AT65" i="7"/>
  <c r="AR65" i="7"/>
  <c r="AG65" i="7"/>
  <c r="AF65" i="7"/>
  <c r="AQ64" i="7"/>
  <c r="AP64" i="7"/>
  <c r="BD64" i="7"/>
  <c r="AO64" i="7"/>
  <c r="BC64" i="7"/>
  <c r="AN64" i="7"/>
  <c r="BB64" i="7"/>
  <c r="AM64" i="7"/>
  <c r="BA64" i="7"/>
  <c r="AL64" i="7"/>
  <c r="AZ64" i="7"/>
  <c r="AK64" i="7"/>
  <c r="AY64" i="7"/>
  <c r="AJ64" i="7"/>
  <c r="AX64" i="7"/>
  <c r="AI64" i="7"/>
  <c r="AW64" i="7"/>
  <c r="AH64" i="7"/>
  <c r="AV64" i="7"/>
  <c r="AU64" i="7"/>
  <c r="AT64" i="7"/>
  <c r="AR64" i="7"/>
  <c r="AG64" i="7"/>
  <c r="AF64" i="7"/>
  <c r="AQ63" i="7"/>
  <c r="AP63" i="7"/>
  <c r="BD63" i="7"/>
  <c r="AO63" i="7"/>
  <c r="BC63" i="7"/>
  <c r="AN63" i="7"/>
  <c r="BB63" i="7"/>
  <c r="AM63" i="7"/>
  <c r="BA63" i="7"/>
  <c r="AL63" i="7"/>
  <c r="AZ63" i="7"/>
  <c r="AK63" i="7"/>
  <c r="AY63" i="7"/>
  <c r="AJ63" i="7"/>
  <c r="AX63" i="7"/>
  <c r="AI63" i="7"/>
  <c r="AW63" i="7"/>
  <c r="AH63" i="7"/>
  <c r="AV63" i="7"/>
  <c r="AU63" i="7"/>
  <c r="AT63" i="7"/>
  <c r="AR63" i="7"/>
  <c r="AG63" i="7"/>
  <c r="AF63" i="7"/>
  <c r="AQ62" i="7"/>
  <c r="AP62" i="7"/>
  <c r="BD62" i="7"/>
  <c r="AO62" i="7"/>
  <c r="BC62" i="7"/>
  <c r="AN62" i="7"/>
  <c r="BB62" i="7"/>
  <c r="AM62" i="7"/>
  <c r="BA62" i="7"/>
  <c r="AL62" i="7"/>
  <c r="AZ62" i="7"/>
  <c r="AK62" i="7"/>
  <c r="AY62" i="7"/>
  <c r="AJ62" i="7"/>
  <c r="AX62" i="7"/>
  <c r="AI62" i="7"/>
  <c r="AW62" i="7"/>
  <c r="AH62" i="7"/>
  <c r="AV62" i="7"/>
  <c r="AU62" i="7"/>
  <c r="AT62" i="7"/>
  <c r="AR62" i="7"/>
  <c r="AG62" i="7"/>
  <c r="AF62" i="7"/>
  <c r="AQ61" i="7"/>
  <c r="AP61" i="7"/>
  <c r="BD61" i="7"/>
  <c r="AO61" i="7"/>
  <c r="BC61" i="7"/>
  <c r="AN61" i="7"/>
  <c r="BB61" i="7"/>
  <c r="AM61" i="7"/>
  <c r="BA61" i="7"/>
  <c r="AL61" i="7"/>
  <c r="AZ61" i="7"/>
  <c r="AK61" i="7"/>
  <c r="AY61" i="7"/>
  <c r="AJ61" i="7"/>
  <c r="AX61" i="7"/>
  <c r="AI61" i="7"/>
  <c r="AW61" i="7"/>
  <c r="AH61" i="7"/>
  <c r="AV61" i="7"/>
  <c r="AU61" i="7"/>
  <c r="AT61" i="7"/>
  <c r="AR61" i="7"/>
  <c r="AG61" i="7"/>
  <c r="AF61" i="7"/>
  <c r="AQ60" i="7"/>
  <c r="AP60" i="7"/>
  <c r="BD60" i="7"/>
  <c r="AO60" i="7"/>
  <c r="BC60" i="7"/>
  <c r="AN60" i="7"/>
  <c r="BB60" i="7"/>
  <c r="AM60" i="7"/>
  <c r="BA60" i="7"/>
  <c r="AL60" i="7"/>
  <c r="AZ60" i="7"/>
  <c r="AK60" i="7"/>
  <c r="AY60" i="7"/>
  <c r="AJ60" i="7"/>
  <c r="AX60" i="7"/>
  <c r="AI60" i="7"/>
  <c r="AW60" i="7"/>
  <c r="AH60" i="7"/>
  <c r="AV60" i="7"/>
  <c r="AU60" i="7"/>
  <c r="AT60" i="7"/>
  <c r="AR60" i="7"/>
  <c r="AG60" i="7"/>
  <c r="AF60" i="7"/>
  <c r="AQ59" i="7"/>
  <c r="AP59" i="7"/>
  <c r="BD59" i="7"/>
  <c r="AO59" i="7"/>
  <c r="BC59" i="7"/>
  <c r="AN59" i="7"/>
  <c r="BB59" i="7"/>
  <c r="AM59" i="7"/>
  <c r="BA59" i="7"/>
  <c r="AL59" i="7"/>
  <c r="AZ59" i="7"/>
  <c r="AK59" i="7"/>
  <c r="AY59" i="7"/>
  <c r="AJ59" i="7"/>
  <c r="AX59" i="7"/>
  <c r="AI59" i="7"/>
  <c r="AW59" i="7"/>
  <c r="AH59" i="7"/>
  <c r="AV59" i="7"/>
  <c r="AU59" i="7"/>
  <c r="AT59" i="7"/>
  <c r="AR59" i="7"/>
  <c r="AG59" i="7"/>
  <c r="AF59" i="7"/>
  <c r="AQ58" i="7"/>
  <c r="AP58" i="7"/>
  <c r="BD58" i="7"/>
  <c r="AO58" i="7"/>
  <c r="BC58" i="7"/>
  <c r="AN58" i="7"/>
  <c r="BB58" i="7"/>
  <c r="AM58" i="7"/>
  <c r="BA58" i="7"/>
  <c r="AL58" i="7"/>
  <c r="AZ58" i="7"/>
  <c r="AK58" i="7"/>
  <c r="AY58" i="7"/>
  <c r="AJ58" i="7"/>
  <c r="AX58" i="7"/>
  <c r="AI58" i="7"/>
  <c r="AW58" i="7"/>
  <c r="AH58" i="7"/>
  <c r="AV58" i="7"/>
  <c r="AU58" i="7"/>
  <c r="AT58" i="7"/>
  <c r="AR58" i="7"/>
  <c r="AG58" i="7"/>
  <c r="AF58" i="7"/>
  <c r="AQ57" i="7"/>
  <c r="AP57" i="7"/>
  <c r="BD57" i="7"/>
  <c r="AO57" i="7"/>
  <c r="BC57" i="7"/>
  <c r="AN57" i="7"/>
  <c r="BB57" i="7"/>
  <c r="AM57" i="7"/>
  <c r="BA57" i="7"/>
  <c r="AL57" i="7"/>
  <c r="AZ57" i="7"/>
  <c r="AK57" i="7"/>
  <c r="AY57" i="7"/>
  <c r="AJ57" i="7"/>
  <c r="AX57" i="7"/>
  <c r="AI57" i="7"/>
  <c r="AW57" i="7"/>
  <c r="AH57" i="7"/>
  <c r="AV57" i="7"/>
  <c r="AU57" i="7"/>
  <c r="AT57" i="7"/>
  <c r="AR57" i="7"/>
  <c r="AG57" i="7"/>
  <c r="AF57" i="7"/>
  <c r="AQ56" i="7"/>
  <c r="AP56" i="7"/>
  <c r="BD56" i="7"/>
  <c r="AO56" i="7"/>
  <c r="BC56" i="7"/>
  <c r="AN56" i="7"/>
  <c r="BB56" i="7"/>
  <c r="AM56" i="7"/>
  <c r="BA56" i="7"/>
  <c r="AL56" i="7"/>
  <c r="AZ56" i="7"/>
  <c r="AK56" i="7"/>
  <c r="AY56" i="7"/>
  <c r="AJ56" i="7"/>
  <c r="AX56" i="7"/>
  <c r="AI56" i="7"/>
  <c r="AW56" i="7"/>
  <c r="AH56" i="7"/>
  <c r="AV56" i="7"/>
  <c r="AU56" i="7"/>
  <c r="AT56" i="7"/>
  <c r="AR56" i="7"/>
  <c r="AG56" i="7"/>
  <c r="AF56" i="7"/>
  <c r="AQ55" i="7"/>
  <c r="AP55" i="7"/>
  <c r="BD55" i="7"/>
  <c r="AO55" i="7"/>
  <c r="BC55" i="7"/>
  <c r="AN55" i="7"/>
  <c r="BB55" i="7"/>
  <c r="AM55" i="7"/>
  <c r="BA55" i="7"/>
  <c r="AL55" i="7"/>
  <c r="AZ55" i="7"/>
  <c r="AK55" i="7"/>
  <c r="AY55" i="7"/>
  <c r="AJ55" i="7"/>
  <c r="AX55" i="7"/>
  <c r="AI55" i="7"/>
  <c r="AW55" i="7"/>
  <c r="AH55" i="7"/>
  <c r="AV55" i="7"/>
  <c r="AU55" i="7"/>
  <c r="AT55" i="7"/>
  <c r="AR55" i="7"/>
  <c r="AG55" i="7"/>
  <c r="AF55" i="7"/>
  <c r="AQ54" i="7"/>
  <c r="AP54" i="7"/>
  <c r="BD54" i="7"/>
  <c r="AO54" i="7"/>
  <c r="BC54" i="7"/>
  <c r="AN54" i="7"/>
  <c r="BB54" i="7"/>
  <c r="AM54" i="7"/>
  <c r="BA54" i="7"/>
  <c r="AL54" i="7"/>
  <c r="AZ54" i="7"/>
  <c r="AK54" i="7"/>
  <c r="AY54" i="7"/>
  <c r="AJ54" i="7"/>
  <c r="AX54" i="7"/>
  <c r="AI54" i="7"/>
  <c r="AW54" i="7"/>
  <c r="AH54" i="7"/>
  <c r="AV54" i="7"/>
  <c r="AU54" i="7"/>
  <c r="AT54" i="7"/>
  <c r="AR54" i="7"/>
  <c r="AG54" i="7"/>
  <c r="AF54" i="7"/>
  <c r="AQ53" i="7"/>
  <c r="AP53" i="7"/>
  <c r="BD53" i="7"/>
  <c r="AO53" i="7"/>
  <c r="BC53" i="7"/>
  <c r="AN53" i="7"/>
  <c r="BB53" i="7"/>
  <c r="AM53" i="7"/>
  <c r="BA53" i="7"/>
  <c r="AL53" i="7"/>
  <c r="AZ53" i="7"/>
  <c r="AK53" i="7"/>
  <c r="AY53" i="7"/>
  <c r="AJ53" i="7"/>
  <c r="AX53" i="7"/>
  <c r="AI53" i="7"/>
  <c r="AW53" i="7"/>
  <c r="AH53" i="7"/>
  <c r="AV53" i="7"/>
  <c r="AU53" i="7"/>
  <c r="AT53" i="7"/>
  <c r="AR53" i="7"/>
  <c r="AG53" i="7"/>
  <c r="AF53" i="7"/>
  <c r="AQ52" i="7"/>
  <c r="AP52" i="7"/>
  <c r="BD52" i="7"/>
  <c r="AO52" i="7"/>
  <c r="BC52" i="7"/>
  <c r="AN52" i="7"/>
  <c r="BB52" i="7"/>
  <c r="AM52" i="7"/>
  <c r="BA52" i="7"/>
  <c r="AL52" i="7"/>
  <c r="AZ52" i="7"/>
  <c r="AK52" i="7"/>
  <c r="AY52" i="7"/>
  <c r="AJ52" i="7"/>
  <c r="AX52" i="7"/>
  <c r="AI52" i="7"/>
  <c r="AW52" i="7"/>
  <c r="AH52" i="7"/>
  <c r="AV52" i="7"/>
  <c r="AU52" i="7"/>
  <c r="AT52" i="7"/>
  <c r="AR52" i="7"/>
  <c r="AG52" i="7"/>
  <c r="AF52" i="7"/>
  <c r="AQ51" i="7"/>
  <c r="AP51" i="7"/>
  <c r="BD51" i="7"/>
  <c r="AO51" i="7"/>
  <c r="BC51" i="7"/>
  <c r="AN51" i="7"/>
  <c r="BB51" i="7"/>
  <c r="AM51" i="7"/>
  <c r="BA51" i="7"/>
  <c r="AL51" i="7"/>
  <c r="AZ51" i="7"/>
  <c r="AK51" i="7"/>
  <c r="AY51" i="7"/>
  <c r="AJ51" i="7"/>
  <c r="AX51" i="7"/>
  <c r="AI51" i="7"/>
  <c r="AW51" i="7"/>
  <c r="AH51" i="7"/>
  <c r="AV51" i="7"/>
  <c r="AU51" i="7"/>
  <c r="AT51" i="7"/>
  <c r="AR51" i="7"/>
  <c r="AG51" i="7"/>
  <c r="AF51" i="7"/>
  <c r="AQ50" i="7"/>
  <c r="AP50" i="7"/>
  <c r="BD50" i="7"/>
  <c r="AO50" i="7"/>
  <c r="BC50" i="7"/>
  <c r="AN50" i="7"/>
  <c r="BB50" i="7"/>
  <c r="AM50" i="7"/>
  <c r="BA50" i="7"/>
  <c r="AL50" i="7"/>
  <c r="AZ50" i="7"/>
  <c r="AK50" i="7"/>
  <c r="AY50" i="7"/>
  <c r="AJ50" i="7"/>
  <c r="AX50" i="7"/>
  <c r="AI50" i="7"/>
  <c r="AW50" i="7"/>
  <c r="AH50" i="7"/>
  <c r="AV50" i="7"/>
  <c r="AU50" i="7"/>
  <c r="AT50" i="7"/>
  <c r="AR50" i="7"/>
  <c r="AG50" i="7"/>
  <c r="AF50" i="7"/>
  <c r="AQ49" i="7"/>
  <c r="AP49" i="7"/>
  <c r="BD49" i="7"/>
  <c r="AO49" i="7"/>
  <c r="BC49" i="7"/>
  <c r="AN49" i="7"/>
  <c r="BB49" i="7"/>
  <c r="AM49" i="7"/>
  <c r="BA49" i="7"/>
  <c r="AL49" i="7"/>
  <c r="AZ49" i="7"/>
  <c r="AK49" i="7"/>
  <c r="AY49" i="7"/>
  <c r="AJ49" i="7"/>
  <c r="AX49" i="7"/>
  <c r="AI49" i="7"/>
  <c r="AW49" i="7"/>
  <c r="AH49" i="7"/>
  <c r="AV49" i="7"/>
  <c r="AU49" i="7"/>
  <c r="AT49" i="7"/>
  <c r="AR49" i="7"/>
  <c r="AG49" i="7"/>
  <c r="AF49" i="7"/>
  <c r="AQ48" i="7"/>
  <c r="AP48" i="7"/>
  <c r="BD48" i="7"/>
  <c r="AO48" i="7"/>
  <c r="BC48" i="7"/>
  <c r="AN48" i="7"/>
  <c r="BB48" i="7"/>
  <c r="AM48" i="7"/>
  <c r="BA48" i="7"/>
  <c r="AL48" i="7"/>
  <c r="AZ48" i="7"/>
  <c r="AK48" i="7"/>
  <c r="AY48" i="7"/>
  <c r="AJ48" i="7"/>
  <c r="AX48" i="7"/>
  <c r="AI48" i="7"/>
  <c r="AW48" i="7"/>
  <c r="AH48" i="7"/>
  <c r="AV48" i="7"/>
  <c r="AU48" i="7"/>
  <c r="AT48" i="7"/>
  <c r="AR48" i="7"/>
  <c r="AG48" i="7"/>
  <c r="AF48" i="7"/>
  <c r="AQ47" i="7"/>
  <c r="AP47" i="7"/>
  <c r="BD47" i="7"/>
  <c r="AO47" i="7"/>
  <c r="BC47" i="7"/>
  <c r="AN47" i="7"/>
  <c r="BB47" i="7"/>
  <c r="AM47" i="7"/>
  <c r="BA47" i="7"/>
  <c r="AL47" i="7"/>
  <c r="AZ47" i="7"/>
  <c r="AK47" i="7"/>
  <c r="AY47" i="7"/>
  <c r="AJ47" i="7"/>
  <c r="AX47" i="7"/>
  <c r="AI47" i="7"/>
  <c r="AW47" i="7"/>
  <c r="AH47" i="7"/>
  <c r="AV47" i="7"/>
  <c r="AU47" i="7"/>
  <c r="AT47" i="7"/>
  <c r="AR47" i="7"/>
  <c r="AG47" i="7"/>
  <c r="AF47" i="7"/>
  <c r="AQ46" i="7"/>
  <c r="AP46" i="7"/>
  <c r="BD46" i="7"/>
  <c r="AO46" i="7"/>
  <c r="BC46" i="7"/>
  <c r="AN46" i="7"/>
  <c r="BB46" i="7"/>
  <c r="AM46" i="7"/>
  <c r="BA46" i="7"/>
  <c r="AL46" i="7"/>
  <c r="AZ46" i="7"/>
  <c r="AK46" i="7"/>
  <c r="AY46" i="7"/>
  <c r="AJ46" i="7"/>
  <c r="AX46" i="7"/>
  <c r="AI46" i="7"/>
  <c r="AW46" i="7"/>
  <c r="AH46" i="7"/>
  <c r="AV46" i="7"/>
  <c r="AU46" i="7"/>
  <c r="AT46" i="7"/>
  <c r="AR46" i="7"/>
  <c r="AG46" i="7"/>
  <c r="AF46" i="7"/>
  <c r="AQ45" i="7"/>
  <c r="AP45" i="7"/>
  <c r="BD45" i="7"/>
  <c r="AO45" i="7"/>
  <c r="BC45" i="7"/>
  <c r="AN45" i="7"/>
  <c r="BB45" i="7"/>
  <c r="AM45" i="7"/>
  <c r="BA45" i="7"/>
  <c r="AL45" i="7"/>
  <c r="AZ45" i="7"/>
  <c r="AK45" i="7"/>
  <c r="AY45" i="7"/>
  <c r="AJ45" i="7"/>
  <c r="AX45" i="7"/>
  <c r="AI45" i="7"/>
  <c r="AW45" i="7"/>
  <c r="AH45" i="7"/>
  <c r="AV45" i="7"/>
  <c r="AG45" i="7"/>
  <c r="AU45" i="7"/>
  <c r="AF45" i="7"/>
  <c r="AT45" i="7"/>
  <c r="AR45" i="7"/>
  <c r="AQ44" i="7"/>
  <c r="AP44" i="7"/>
  <c r="BD44" i="7"/>
  <c r="AO44" i="7"/>
  <c r="BC44" i="7"/>
  <c r="AN44" i="7"/>
  <c r="BB44" i="7"/>
  <c r="AM44" i="7"/>
  <c r="BA44" i="7"/>
  <c r="AL44" i="7"/>
  <c r="AZ44" i="7"/>
  <c r="AK44" i="7"/>
  <c r="AY44" i="7"/>
  <c r="AJ44" i="7"/>
  <c r="AX44" i="7"/>
  <c r="AI44" i="7"/>
  <c r="AW44" i="7"/>
  <c r="AH44" i="7"/>
  <c r="AV44" i="7"/>
  <c r="AG44" i="7"/>
  <c r="AU44" i="7"/>
  <c r="AF44" i="7"/>
  <c r="AT44" i="7"/>
  <c r="AR44" i="7"/>
  <c r="AQ43" i="7"/>
  <c r="AP43" i="7"/>
  <c r="BD43" i="7"/>
  <c r="AO43" i="7"/>
  <c r="BC43" i="7"/>
  <c r="AN43" i="7"/>
  <c r="BB43" i="7"/>
  <c r="AM43" i="7"/>
  <c r="BA43" i="7"/>
  <c r="AL43" i="7"/>
  <c r="AZ43" i="7"/>
  <c r="AK43" i="7"/>
  <c r="AY43" i="7"/>
  <c r="AJ43" i="7"/>
  <c r="AX43" i="7"/>
  <c r="AI43" i="7"/>
  <c r="AW43" i="7"/>
  <c r="AH43" i="7"/>
  <c r="AV43" i="7"/>
  <c r="AG43" i="7"/>
  <c r="AU43" i="7"/>
  <c r="AF43" i="7"/>
  <c r="AT43" i="7"/>
  <c r="AR43" i="7"/>
  <c r="AQ42" i="7"/>
  <c r="AP42" i="7"/>
  <c r="BD42" i="7"/>
  <c r="AO42" i="7"/>
  <c r="BC42" i="7"/>
  <c r="AN42" i="7"/>
  <c r="BB42" i="7"/>
  <c r="AM42" i="7"/>
  <c r="BA42" i="7"/>
  <c r="AL42" i="7"/>
  <c r="AZ42" i="7"/>
  <c r="AK42" i="7"/>
  <c r="AY42" i="7"/>
  <c r="AJ42" i="7"/>
  <c r="AX42" i="7"/>
  <c r="AI42" i="7"/>
  <c r="AW42" i="7"/>
  <c r="AH42" i="7"/>
  <c r="AV42" i="7"/>
  <c r="AG42" i="7"/>
  <c r="AU42" i="7"/>
  <c r="AF42" i="7"/>
  <c r="AT42" i="7"/>
  <c r="AR42" i="7"/>
  <c r="AQ41" i="7"/>
  <c r="AP41" i="7"/>
  <c r="BD41" i="7"/>
  <c r="AO41" i="7"/>
  <c r="BC41" i="7"/>
  <c r="AN41" i="7"/>
  <c r="BB41" i="7"/>
  <c r="AM41" i="7"/>
  <c r="BA41" i="7"/>
  <c r="AL41" i="7"/>
  <c r="AZ41" i="7"/>
  <c r="AK41" i="7"/>
  <c r="AY41" i="7"/>
  <c r="AJ41" i="7"/>
  <c r="AX41" i="7"/>
  <c r="AI41" i="7"/>
  <c r="AW41" i="7"/>
  <c r="AH41" i="7"/>
  <c r="AV41" i="7"/>
  <c r="AG41" i="7"/>
  <c r="AU41" i="7"/>
  <c r="AF41" i="7"/>
  <c r="AT41" i="7"/>
  <c r="AR41" i="7"/>
  <c r="AQ40" i="7"/>
  <c r="AP40" i="7"/>
  <c r="BD40" i="7"/>
  <c r="AO40" i="7"/>
  <c r="BC40" i="7"/>
  <c r="AN40" i="7"/>
  <c r="BB40" i="7"/>
  <c r="AM40" i="7"/>
  <c r="BA40" i="7"/>
  <c r="AL40" i="7"/>
  <c r="AZ40" i="7"/>
  <c r="AK40" i="7"/>
  <c r="AY40" i="7"/>
  <c r="AJ40" i="7"/>
  <c r="AX40" i="7"/>
  <c r="AI40" i="7"/>
  <c r="AW40" i="7"/>
  <c r="AH40" i="7"/>
  <c r="AV40" i="7"/>
  <c r="AG40" i="7"/>
  <c r="AU40" i="7"/>
  <c r="AF40" i="7"/>
  <c r="AT40" i="7"/>
  <c r="AR40" i="7"/>
  <c r="AQ39" i="7"/>
  <c r="AP39" i="7"/>
  <c r="BD39" i="7"/>
  <c r="AO39" i="7"/>
  <c r="BC39" i="7"/>
  <c r="AN39" i="7"/>
  <c r="BB39" i="7"/>
  <c r="AM39" i="7"/>
  <c r="BA39" i="7"/>
  <c r="AL39" i="7"/>
  <c r="AZ39" i="7"/>
  <c r="AK39" i="7"/>
  <c r="AY39" i="7"/>
  <c r="AJ39" i="7"/>
  <c r="AX39" i="7"/>
  <c r="AI39" i="7"/>
  <c r="AW39" i="7"/>
  <c r="AH39" i="7"/>
  <c r="AV39" i="7"/>
  <c r="AG39" i="7"/>
  <c r="AU39" i="7"/>
  <c r="AF39" i="7"/>
  <c r="AT39" i="7"/>
  <c r="AR39" i="7"/>
  <c r="AQ38" i="7"/>
  <c r="AP38" i="7"/>
  <c r="BD38" i="7"/>
  <c r="AO38" i="7"/>
  <c r="BC38" i="7"/>
  <c r="AN38" i="7"/>
  <c r="BB38" i="7"/>
  <c r="AM38" i="7"/>
  <c r="BA38" i="7"/>
  <c r="AL38" i="7"/>
  <c r="AZ38" i="7"/>
  <c r="AK38" i="7"/>
  <c r="AY38" i="7"/>
  <c r="AJ38" i="7"/>
  <c r="AX38" i="7"/>
  <c r="AI38" i="7"/>
  <c r="AW38" i="7"/>
  <c r="AH38" i="7"/>
  <c r="AV38" i="7"/>
  <c r="AG38" i="7"/>
  <c r="AU38" i="7"/>
  <c r="AF38" i="7"/>
  <c r="AT38" i="7"/>
  <c r="AR38" i="7"/>
  <c r="AQ37" i="7"/>
  <c r="AP37" i="7"/>
  <c r="BD37" i="7"/>
  <c r="AO37" i="7"/>
  <c r="BC37" i="7"/>
  <c r="AN37" i="7"/>
  <c r="BB37" i="7"/>
  <c r="AM37" i="7"/>
  <c r="BA37" i="7"/>
  <c r="AL37" i="7"/>
  <c r="AZ37" i="7"/>
  <c r="AK37" i="7"/>
  <c r="AY37" i="7"/>
  <c r="AJ37" i="7"/>
  <c r="AX37" i="7"/>
  <c r="AI37" i="7"/>
  <c r="AW37" i="7"/>
  <c r="AH37" i="7"/>
  <c r="AV37" i="7"/>
  <c r="AG37" i="7"/>
  <c r="AU37" i="7"/>
  <c r="AF37" i="7"/>
  <c r="AT37" i="7"/>
  <c r="AR37" i="7"/>
  <c r="AQ36" i="7"/>
  <c r="AP36" i="7"/>
  <c r="BD36" i="7"/>
  <c r="AO36" i="7"/>
  <c r="BC36" i="7"/>
  <c r="AN36" i="7"/>
  <c r="BB36" i="7"/>
  <c r="AM36" i="7"/>
  <c r="BA36" i="7"/>
  <c r="AL36" i="7"/>
  <c r="AZ36" i="7"/>
  <c r="AK36" i="7"/>
  <c r="AY36" i="7"/>
  <c r="AJ36" i="7"/>
  <c r="AX36" i="7"/>
  <c r="AI36" i="7"/>
  <c r="AW36" i="7"/>
  <c r="AH36" i="7"/>
  <c r="AV36" i="7"/>
  <c r="AG36" i="7"/>
  <c r="AU36" i="7"/>
  <c r="AF36" i="7"/>
  <c r="AT36" i="7"/>
  <c r="AR36" i="7"/>
  <c r="AQ35" i="7"/>
  <c r="AP35" i="7"/>
  <c r="BD35" i="7"/>
  <c r="AO35" i="7"/>
  <c r="BC35" i="7"/>
  <c r="AN35" i="7"/>
  <c r="BB35" i="7"/>
  <c r="AM35" i="7"/>
  <c r="BA35" i="7"/>
  <c r="AL35" i="7"/>
  <c r="AZ35" i="7"/>
  <c r="AK35" i="7"/>
  <c r="AY35" i="7"/>
  <c r="AJ35" i="7"/>
  <c r="AX35" i="7"/>
  <c r="AI35" i="7"/>
  <c r="AW35" i="7"/>
  <c r="AH35" i="7"/>
  <c r="AV35" i="7"/>
  <c r="AG35" i="7"/>
  <c r="AU35" i="7"/>
  <c r="AF35" i="7"/>
  <c r="AT35" i="7"/>
  <c r="AR35" i="7"/>
  <c r="AQ34" i="7"/>
  <c r="AP34" i="7"/>
  <c r="BD34" i="7"/>
  <c r="AO34" i="7"/>
  <c r="BC34" i="7"/>
  <c r="AN34" i="7"/>
  <c r="BB34" i="7"/>
  <c r="AM34" i="7"/>
  <c r="BA34" i="7"/>
  <c r="AL34" i="7"/>
  <c r="AZ34" i="7"/>
  <c r="AK34" i="7"/>
  <c r="AY34" i="7"/>
  <c r="AJ34" i="7"/>
  <c r="AX34" i="7"/>
  <c r="AI34" i="7"/>
  <c r="AW34" i="7"/>
  <c r="AH34" i="7"/>
  <c r="AV34" i="7"/>
  <c r="AG34" i="7"/>
  <c r="AU34" i="7"/>
  <c r="AF34" i="7"/>
  <c r="AT34" i="7"/>
  <c r="AR34" i="7"/>
  <c r="AQ33" i="7"/>
  <c r="AP33" i="7"/>
  <c r="BD33" i="7"/>
  <c r="AO33" i="7"/>
  <c r="BC33" i="7"/>
  <c r="AN33" i="7"/>
  <c r="BB33" i="7"/>
  <c r="AM33" i="7"/>
  <c r="BA33" i="7"/>
  <c r="AL33" i="7"/>
  <c r="AZ33" i="7"/>
  <c r="AK33" i="7"/>
  <c r="AY33" i="7"/>
  <c r="AJ33" i="7"/>
  <c r="AX33" i="7"/>
  <c r="AI33" i="7"/>
  <c r="AW33" i="7"/>
  <c r="AH33" i="7"/>
  <c r="AV33" i="7"/>
  <c r="AG33" i="7"/>
  <c r="AU33" i="7"/>
  <c r="AF33" i="7"/>
  <c r="AT33" i="7"/>
  <c r="AR33" i="7"/>
  <c r="AQ32" i="7"/>
  <c r="AP32" i="7"/>
  <c r="BD32" i="7"/>
  <c r="AO32" i="7"/>
  <c r="BC32" i="7"/>
  <c r="AN32" i="7"/>
  <c r="BB32" i="7"/>
  <c r="AM32" i="7"/>
  <c r="BA32" i="7"/>
  <c r="AL32" i="7"/>
  <c r="AZ32" i="7"/>
  <c r="AK32" i="7"/>
  <c r="AY32" i="7"/>
  <c r="AJ32" i="7"/>
  <c r="AX32" i="7"/>
  <c r="AI32" i="7"/>
  <c r="AW32" i="7"/>
  <c r="AH32" i="7"/>
  <c r="AV32" i="7"/>
  <c r="AG32" i="7"/>
  <c r="AU32" i="7"/>
  <c r="AF32" i="7"/>
  <c r="AT32" i="7"/>
  <c r="AR32" i="7"/>
  <c r="AQ31" i="7"/>
  <c r="AP31" i="7"/>
  <c r="BD31" i="7"/>
  <c r="AO31" i="7"/>
  <c r="BC31" i="7"/>
  <c r="AN31" i="7"/>
  <c r="BB31" i="7"/>
  <c r="AM31" i="7"/>
  <c r="BA31" i="7"/>
  <c r="AL31" i="7"/>
  <c r="AZ31" i="7"/>
  <c r="AK31" i="7"/>
  <c r="AY31" i="7"/>
  <c r="AJ31" i="7"/>
  <c r="AX31" i="7"/>
  <c r="AI31" i="7"/>
  <c r="AW31" i="7"/>
  <c r="AH31" i="7"/>
  <c r="AV31" i="7"/>
  <c r="AG31" i="7"/>
  <c r="AU31" i="7"/>
  <c r="AF31" i="7"/>
  <c r="AT31" i="7"/>
  <c r="AR31" i="7"/>
  <c r="AQ30" i="7"/>
  <c r="AP30" i="7"/>
  <c r="BD30" i="7"/>
  <c r="AO30" i="7"/>
  <c r="BC30" i="7"/>
  <c r="AN30" i="7"/>
  <c r="BB30" i="7"/>
  <c r="AM30" i="7"/>
  <c r="BA30" i="7"/>
  <c r="AL30" i="7"/>
  <c r="AZ30" i="7"/>
  <c r="AK30" i="7"/>
  <c r="AY30" i="7"/>
  <c r="AJ30" i="7"/>
  <c r="AX30" i="7"/>
  <c r="AI30" i="7"/>
  <c r="AW30" i="7"/>
  <c r="AH30" i="7"/>
  <c r="AV30" i="7"/>
  <c r="AG30" i="7"/>
  <c r="AU30" i="7"/>
  <c r="AF30" i="7"/>
  <c r="AT30" i="7"/>
  <c r="AR30" i="7"/>
  <c r="AQ29" i="7"/>
  <c r="AP29" i="7"/>
  <c r="BD29" i="7"/>
  <c r="AO29" i="7"/>
  <c r="BC29" i="7"/>
  <c r="AN29" i="7"/>
  <c r="BB29" i="7"/>
  <c r="AM29" i="7"/>
  <c r="BA29" i="7"/>
  <c r="AL29" i="7"/>
  <c r="AZ29" i="7"/>
  <c r="AK29" i="7"/>
  <c r="AY29" i="7"/>
  <c r="AJ29" i="7"/>
  <c r="AX29" i="7"/>
  <c r="AI29" i="7"/>
  <c r="AW29" i="7"/>
  <c r="AH29" i="7"/>
  <c r="AV29" i="7"/>
  <c r="AG29" i="7"/>
  <c r="AU29" i="7"/>
  <c r="AF29" i="7"/>
  <c r="AT29" i="7"/>
  <c r="AR29" i="7"/>
  <c r="AQ28" i="7"/>
  <c r="AP28" i="7"/>
  <c r="BD28" i="7"/>
  <c r="AO28" i="7"/>
  <c r="BC28" i="7"/>
  <c r="AN28" i="7"/>
  <c r="BB28" i="7"/>
  <c r="AM28" i="7"/>
  <c r="BA28" i="7"/>
  <c r="AL28" i="7"/>
  <c r="AZ28" i="7"/>
  <c r="AK28" i="7"/>
  <c r="AY28" i="7"/>
  <c r="AJ28" i="7"/>
  <c r="AX28" i="7"/>
  <c r="AI28" i="7"/>
  <c r="AW28" i="7"/>
  <c r="AH28" i="7"/>
  <c r="AV28" i="7"/>
  <c r="AG28" i="7"/>
  <c r="AU28" i="7"/>
  <c r="AF28" i="7"/>
  <c r="AT28" i="7"/>
  <c r="AR28" i="7"/>
  <c r="AQ27" i="7"/>
  <c r="AP27" i="7"/>
  <c r="BD27" i="7"/>
  <c r="AO27" i="7"/>
  <c r="BC27" i="7"/>
  <c r="AN27" i="7"/>
  <c r="BB27" i="7"/>
  <c r="AM27" i="7"/>
  <c r="BA27" i="7"/>
  <c r="AL27" i="7"/>
  <c r="AZ27" i="7"/>
  <c r="AK27" i="7"/>
  <c r="AY27" i="7"/>
  <c r="AJ27" i="7"/>
  <c r="AX27" i="7"/>
  <c r="AI27" i="7"/>
  <c r="AW27" i="7"/>
  <c r="AH27" i="7"/>
  <c r="AV27" i="7"/>
  <c r="AG27" i="7"/>
  <c r="AU27" i="7"/>
  <c r="AF27" i="7"/>
  <c r="AT27" i="7"/>
  <c r="AR27" i="7"/>
  <c r="AQ26" i="7"/>
  <c r="AP26" i="7"/>
  <c r="BD26" i="7"/>
  <c r="AO26" i="7"/>
  <c r="BC26" i="7"/>
  <c r="AN26" i="7"/>
  <c r="BB26" i="7"/>
  <c r="AM26" i="7"/>
  <c r="BA26" i="7"/>
  <c r="AL26" i="7"/>
  <c r="AZ26" i="7"/>
  <c r="AK26" i="7"/>
  <c r="AY26" i="7"/>
  <c r="AJ26" i="7"/>
  <c r="AX26" i="7"/>
  <c r="AI26" i="7"/>
  <c r="AW26" i="7"/>
  <c r="AH26" i="7"/>
  <c r="AV26" i="7"/>
  <c r="AG26" i="7"/>
  <c r="AU26" i="7"/>
  <c r="AF26" i="7"/>
  <c r="AT26" i="7"/>
  <c r="AR26" i="7"/>
  <c r="AQ25" i="7"/>
  <c r="AP25" i="7"/>
  <c r="BD25" i="7"/>
  <c r="AO25" i="7"/>
  <c r="BC25" i="7"/>
  <c r="AN25" i="7"/>
  <c r="BB25" i="7"/>
  <c r="AM25" i="7"/>
  <c r="BA25" i="7"/>
  <c r="AL25" i="7"/>
  <c r="AZ25" i="7"/>
  <c r="AK25" i="7"/>
  <c r="AY25" i="7"/>
  <c r="AJ25" i="7"/>
  <c r="AX25" i="7"/>
  <c r="AI25" i="7"/>
  <c r="AW25" i="7"/>
  <c r="AH25" i="7"/>
  <c r="AV25" i="7"/>
  <c r="AG25" i="7"/>
  <c r="AU25" i="7"/>
  <c r="AF25" i="7"/>
  <c r="AT25" i="7"/>
  <c r="AR25" i="7"/>
  <c r="AQ24" i="7"/>
  <c r="AP24" i="7"/>
  <c r="BD24" i="7"/>
  <c r="AO24" i="7"/>
  <c r="BC24" i="7"/>
  <c r="AN24" i="7"/>
  <c r="BB24" i="7"/>
  <c r="AM24" i="7"/>
  <c r="BA24" i="7"/>
  <c r="AL24" i="7"/>
  <c r="AZ24" i="7"/>
  <c r="AK24" i="7"/>
  <c r="AY24" i="7"/>
  <c r="AJ24" i="7"/>
  <c r="AX24" i="7"/>
  <c r="AI24" i="7"/>
  <c r="AW24" i="7"/>
  <c r="AH24" i="7"/>
  <c r="AV24" i="7"/>
  <c r="AG24" i="7"/>
  <c r="AU24" i="7"/>
  <c r="AF24" i="7"/>
  <c r="AT24" i="7"/>
  <c r="AR24" i="7"/>
  <c r="AQ23" i="7"/>
  <c r="AP23" i="7"/>
  <c r="BD23" i="7"/>
  <c r="AO23" i="7"/>
  <c r="BC23" i="7"/>
  <c r="AN23" i="7"/>
  <c r="BB23" i="7"/>
  <c r="AM23" i="7"/>
  <c r="BA23" i="7"/>
  <c r="AL23" i="7"/>
  <c r="AZ23" i="7"/>
  <c r="AK23" i="7"/>
  <c r="AY23" i="7"/>
  <c r="AJ23" i="7"/>
  <c r="AX23" i="7"/>
  <c r="AI23" i="7"/>
  <c r="AW23" i="7"/>
  <c r="AH23" i="7"/>
  <c r="AV23" i="7"/>
  <c r="AG23" i="7"/>
  <c r="AU23" i="7"/>
  <c r="AF23" i="7"/>
  <c r="AT23" i="7"/>
  <c r="AR23" i="7"/>
  <c r="AQ22" i="7"/>
  <c r="AP22" i="7"/>
  <c r="BD22" i="7"/>
  <c r="AO22" i="7"/>
  <c r="BC22" i="7"/>
  <c r="AN22" i="7"/>
  <c r="BB22" i="7"/>
  <c r="AM22" i="7"/>
  <c r="BA22" i="7"/>
  <c r="AL22" i="7"/>
  <c r="AZ22" i="7"/>
  <c r="AK22" i="7"/>
  <c r="AY22" i="7"/>
  <c r="AJ22" i="7"/>
  <c r="AX22" i="7"/>
  <c r="AI22" i="7"/>
  <c r="AW22" i="7"/>
  <c r="AH22" i="7"/>
  <c r="AV22" i="7"/>
  <c r="AG22" i="7"/>
  <c r="AU22" i="7"/>
  <c r="AF22" i="7"/>
  <c r="AT22" i="7"/>
  <c r="AR22" i="7"/>
  <c r="AQ21" i="7"/>
  <c r="AP21" i="7"/>
  <c r="BD21" i="7"/>
  <c r="AO21" i="7"/>
  <c r="BC21" i="7"/>
  <c r="AN21" i="7"/>
  <c r="BB21" i="7"/>
  <c r="AM21" i="7"/>
  <c r="BA21" i="7"/>
  <c r="AL21" i="7"/>
  <c r="AZ21" i="7"/>
  <c r="AK21" i="7"/>
  <c r="AY21" i="7"/>
  <c r="AJ21" i="7"/>
  <c r="AX21" i="7"/>
  <c r="AI21" i="7"/>
  <c r="AW21" i="7"/>
  <c r="AH21" i="7"/>
  <c r="AV21" i="7"/>
  <c r="AG21" i="7"/>
  <c r="AU21" i="7"/>
  <c r="AF21" i="7"/>
  <c r="AT21" i="7"/>
  <c r="AR21" i="7"/>
  <c r="AQ20" i="7"/>
  <c r="AP20" i="7"/>
  <c r="BD20" i="7"/>
  <c r="AO20" i="7"/>
  <c r="BC20" i="7"/>
  <c r="AN20" i="7"/>
  <c r="BB20" i="7"/>
  <c r="AM20" i="7"/>
  <c r="BA20" i="7"/>
  <c r="AL20" i="7"/>
  <c r="AZ20" i="7"/>
  <c r="AK20" i="7"/>
  <c r="AY20" i="7"/>
  <c r="AJ20" i="7"/>
  <c r="AX20" i="7"/>
  <c r="AI20" i="7"/>
  <c r="AW20" i="7"/>
  <c r="AH20" i="7"/>
  <c r="AV20" i="7"/>
  <c r="AG20" i="7"/>
  <c r="AU20" i="7"/>
  <c r="AF20" i="7"/>
  <c r="AT20" i="7"/>
  <c r="AR20" i="7"/>
  <c r="AQ19" i="7"/>
  <c r="AP19" i="7"/>
  <c r="BD19" i="7"/>
  <c r="AO19" i="7"/>
  <c r="BC19" i="7"/>
  <c r="AN19" i="7"/>
  <c r="BB19" i="7"/>
  <c r="AM19" i="7"/>
  <c r="BA19" i="7"/>
  <c r="AL19" i="7"/>
  <c r="AZ19" i="7"/>
  <c r="AK19" i="7"/>
  <c r="AY19" i="7"/>
  <c r="AJ19" i="7"/>
  <c r="AX19" i="7"/>
  <c r="AI19" i="7"/>
  <c r="AW19" i="7"/>
  <c r="AH19" i="7"/>
  <c r="AV19" i="7"/>
  <c r="AG19" i="7"/>
  <c r="AU19" i="7"/>
  <c r="AF19" i="7"/>
  <c r="AT19" i="7"/>
  <c r="AR19" i="7"/>
  <c r="AQ18" i="7"/>
  <c r="AP18" i="7"/>
  <c r="BD18" i="7"/>
  <c r="AO18" i="7"/>
  <c r="BC18" i="7"/>
  <c r="AN18" i="7"/>
  <c r="BB18" i="7"/>
  <c r="AM18" i="7"/>
  <c r="BA18" i="7"/>
  <c r="AL18" i="7"/>
  <c r="AZ18" i="7"/>
  <c r="AK18" i="7"/>
  <c r="AY18" i="7"/>
  <c r="AJ18" i="7"/>
  <c r="AX18" i="7"/>
  <c r="AI18" i="7"/>
  <c r="AW18" i="7"/>
  <c r="AH18" i="7"/>
  <c r="AV18" i="7"/>
  <c r="AG18" i="7"/>
  <c r="AU18" i="7"/>
  <c r="AF18" i="7"/>
  <c r="AT18" i="7"/>
  <c r="AR18" i="7"/>
  <c r="AQ17" i="7"/>
  <c r="AP17" i="7"/>
  <c r="BD17" i="7"/>
  <c r="AO17" i="7"/>
  <c r="BC17" i="7"/>
  <c r="AN17" i="7"/>
  <c r="BB17" i="7"/>
  <c r="AM17" i="7"/>
  <c r="BA17" i="7"/>
  <c r="AL17" i="7"/>
  <c r="AZ17" i="7"/>
  <c r="AK17" i="7"/>
  <c r="AY17" i="7"/>
  <c r="AJ17" i="7"/>
  <c r="AX17" i="7"/>
  <c r="AI17" i="7"/>
  <c r="AW17" i="7"/>
  <c r="AH17" i="7"/>
  <c r="AV17" i="7"/>
  <c r="AG17" i="7"/>
  <c r="AU17" i="7"/>
  <c r="AF17" i="7"/>
  <c r="AT17" i="7"/>
  <c r="AR17" i="7"/>
  <c r="AQ16" i="7"/>
  <c r="AP16" i="7"/>
  <c r="BD16" i="7"/>
  <c r="AO16" i="7"/>
  <c r="BC16" i="7"/>
  <c r="AN16" i="7"/>
  <c r="BB16" i="7"/>
  <c r="AM16" i="7"/>
  <c r="BA16" i="7"/>
  <c r="AL16" i="7"/>
  <c r="AZ16" i="7"/>
  <c r="AK16" i="7"/>
  <c r="AY16" i="7"/>
  <c r="AJ16" i="7"/>
  <c r="AX16" i="7"/>
  <c r="AI16" i="7"/>
  <c r="AW16" i="7"/>
  <c r="AH16" i="7"/>
  <c r="AV16" i="7"/>
  <c r="AG16" i="7"/>
  <c r="AU16" i="7"/>
  <c r="AF16" i="7"/>
  <c r="AT16" i="7"/>
  <c r="AR16" i="7"/>
  <c r="AQ15" i="7"/>
  <c r="AP15" i="7"/>
  <c r="BD15" i="7"/>
  <c r="AO15" i="7"/>
  <c r="BC15" i="7"/>
  <c r="AN15" i="7"/>
  <c r="BB15" i="7"/>
  <c r="AM15" i="7"/>
  <c r="BA15" i="7"/>
  <c r="AL15" i="7"/>
  <c r="AZ15" i="7"/>
  <c r="AK15" i="7"/>
  <c r="AY15" i="7"/>
  <c r="AJ15" i="7"/>
  <c r="AX15" i="7"/>
  <c r="AI15" i="7"/>
  <c r="AW15" i="7"/>
  <c r="AH15" i="7"/>
  <c r="AV15" i="7"/>
  <c r="AG15" i="7"/>
  <c r="AU15" i="7"/>
  <c r="AF15" i="7"/>
  <c r="AT15" i="7"/>
  <c r="AR15" i="7"/>
  <c r="AQ14" i="7"/>
  <c r="AP14" i="7"/>
  <c r="BD14" i="7"/>
  <c r="AO14" i="7"/>
  <c r="BC14" i="7"/>
  <c r="AN14" i="7"/>
  <c r="BB14" i="7"/>
  <c r="AM14" i="7"/>
  <c r="BA14" i="7"/>
  <c r="AL14" i="7"/>
  <c r="AZ14" i="7"/>
  <c r="AK14" i="7"/>
  <c r="AY14" i="7"/>
  <c r="AJ14" i="7"/>
  <c r="AX14" i="7"/>
  <c r="AI14" i="7"/>
  <c r="AW14" i="7"/>
  <c r="AH14" i="7"/>
  <c r="AV14" i="7"/>
  <c r="AG14" i="7"/>
  <c r="AU14" i="7"/>
  <c r="AF14" i="7"/>
  <c r="AT14" i="7"/>
  <c r="AR14" i="7"/>
  <c r="AQ13" i="7"/>
  <c r="AP13" i="7"/>
  <c r="BD13" i="7"/>
  <c r="AO13" i="7"/>
  <c r="BC13" i="7"/>
  <c r="AN13" i="7"/>
  <c r="BB13" i="7"/>
  <c r="AM13" i="7"/>
  <c r="BA13" i="7"/>
  <c r="AL13" i="7"/>
  <c r="AZ13" i="7"/>
  <c r="AK13" i="7"/>
  <c r="AY13" i="7"/>
  <c r="AJ13" i="7"/>
  <c r="AX13" i="7"/>
  <c r="AI13" i="7"/>
  <c r="AW13" i="7"/>
  <c r="AH13" i="7"/>
  <c r="AV13" i="7"/>
  <c r="AG13" i="7"/>
  <c r="AU13" i="7"/>
  <c r="AF13" i="7"/>
  <c r="AT13" i="7"/>
  <c r="AR13" i="7"/>
  <c r="AQ12" i="7"/>
  <c r="AP12" i="7"/>
  <c r="BD12" i="7"/>
  <c r="AO12" i="7"/>
  <c r="BC12" i="7"/>
  <c r="AN12" i="7"/>
  <c r="BB12" i="7"/>
  <c r="AM12" i="7"/>
  <c r="BA12" i="7"/>
  <c r="AL12" i="7"/>
  <c r="AZ12" i="7"/>
  <c r="AK12" i="7"/>
  <c r="AY12" i="7"/>
  <c r="AJ12" i="7"/>
  <c r="AX12" i="7"/>
  <c r="AI12" i="7"/>
  <c r="AW12" i="7"/>
  <c r="AH12" i="7"/>
  <c r="AV12" i="7"/>
  <c r="AG12" i="7"/>
  <c r="AU12" i="7"/>
  <c r="AF12" i="7"/>
  <c r="AT12" i="7"/>
  <c r="AR12" i="7"/>
  <c r="AQ11" i="7"/>
  <c r="AP11" i="7"/>
  <c r="BD11" i="7"/>
  <c r="AO11" i="7"/>
  <c r="BC11" i="7"/>
  <c r="AN11" i="7"/>
  <c r="BB11" i="7"/>
  <c r="AM11" i="7"/>
  <c r="BA11" i="7"/>
  <c r="AL11" i="7"/>
  <c r="AZ11" i="7"/>
  <c r="AK11" i="7"/>
  <c r="AY11" i="7"/>
  <c r="AJ11" i="7"/>
  <c r="AX11" i="7"/>
  <c r="AI11" i="7"/>
  <c r="AW11" i="7"/>
  <c r="AH11" i="7"/>
  <c r="AV11" i="7"/>
  <c r="AG11" i="7"/>
  <c r="AU11" i="7"/>
  <c r="AF11" i="7"/>
  <c r="AT11" i="7"/>
  <c r="AR11" i="7"/>
  <c r="AQ10" i="7"/>
  <c r="AP10" i="7"/>
  <c r="BD10" i="7"/>
  <c r="AO10" i="7"/>
  <c r="BC10" i="7"/>
  <c r="AN10" i="7"/>
  <c r="BB10" i="7"/>
  <c r="AM10" i="7"/>
  <c r="BA10" i="7"/>
  <c r="AL10" i="7"/>
  <c r="AZ10" i="7"/>
  <c r="AK10" i="7"/>
  <c r="AY10" i="7"/>
  <c r="AJ10" i="7"/>
  <c r="AX10" i="7"/>
  <c r="AI10" i="7"/>
  <c r="AW10" i="7"/>
  <c r="AH10" i="7"/>
  <c r="AV10" i="7"/>
  <c r="AG10" i="7"/>
  <c r="AU10" i="7"/>
  <c r="AF10" i="7"/>
  <c r="AT10" i="7"/>
  <c r="AR10" i="7"/>
  <c r="AQ9" i="7"/>
  <c r="AP9" i="7"/>
  <c r="BD9" i="7"/>
  <c r="AO9" i="7"/>
  <c r="BC9" i="7"/>
  <c r="AN9" i="7"/>
  <c r="BB9" i="7"/>
  <c r="AM9" i="7"/>
  <c r="BA9" i="7"/>
  <c r="AL9" i="7"/>
  <c r="AZ9" i="7"/>
  <c r="AK9" i="7"/>
  <c r="AY9" i="7"/>
  <c r="AJ9" i="7"/>
  <c r="AX9" i="7"/>
  <c r="AI9" i="7"/>
  <c r="AW9" i="7"/>
  <c r="AH9" i="7"/>
  <c r="AV9" i="7"/>
  <c r="AG9" i="7"/>
  <c r="AU9" i="7"/>
  <c r="AF9" i="7"/>
  <c r="AT9" i="7"/>
  <c r="AR9" i="7"/>
  <c r="AQ8" i="7"/>
  <c r="AP8" i="7"/>
  <c r="BD8" i="7"/>
  <c r="AO8" i="7"/>
  <c r="BC8" i="7"/>
  <c r="AN8" i="7"/>
  <c r="BB8" i="7"/>
  <c r="AM8" i="7"/>
  <c r="BA8" i="7"/>
  <c r="AL8" i="7"/>
  <c r="AZ8" i="7"/>
  <c r="AK8" i="7"/>
  <c r="AY8" i="7"/>
  <c r="AJ8" i="7"/>
  <c r="AX8" i="7"/>
  <c r="AI8" i="7"/>
  <c r="AW8" i="7"/>
  <c r="AH8" i="7"/>
  <c r="AV8" i="7"/>
  <c r="AG8" i="7"/>
  <c r="AU8" i="7"/>
  <c r="AF8" i="7"/>
  <c r="AT8" i="7"/>
  <c r="AR8" i="7"/>
  <c r="AQ7" i="7"/>
  <c r="AP7" i="7"/>
  <c r="BD7" i="7"/>
  <c r="AO7" i="7"/>
  <c r="BC7" i="7"/>
  <c r="AN7" i="7"/>
  <c r="BB7" i="7"/>
  <c r="AM7" i="7"/>
  <c r="BA7" i="7"/>
  <c r="AL7" i="7"/>
  <c r="AZ7" i="7"/>
  <c r="AK7" i="7"/>
  <c r="AY7" i="7"/>
  <c r="AJ7" i="7"/>
  <c r="AX7" i="7"/>
  <c r="AI7" i="7"/>
  <c r="AW7" i="7"/>
  <c r="AH7" i="7"/>
  <c r="AV7" i="7"/>
  <c r="AG7" i="7"/>
  <c r="AU7" i="7"/>
  <c r="AF7" i="7"/>
  <c r="AT7" i="7"/>
  <c r="AR7" i="7"/>
  <c r="AQ6" i="7"/>
  <c r="AP6" i="7"/>
  <c r="BD6" i="7"/>
  <c r="AO6" i="7"/>
  <c r="BC6" i="7"/>
  <c r="AN6" i="7"/>
  <c r="BB6" i="7"/>
  <c r="AM6" i="7"/>
  <c r="BA6" i="7"/>
  <c r="AL6" i="7"/>
  <c r="AZ6" i="7"/>
  <c r="AK6" i="7"/>
  <c r="AY6" i="7"/>
  <c r="AJ6" i="7"/>
  <c r="AX6" i="7"/>
  <c r="AI6" i="7"/>
  <c r="AW6" i="7"/>
  <c r="AH6" i="7"/>
  <c r="AV6" i="7"/>
  <c r="AG6" i="7"/>
  <c r="AU6" i="7"/>
  <c r="AF6" i="7"/>
  <c r="AT6" i="7"/>
  <c r="AR6" i="7"/>
  <c r="AQ5" i="7"/>
  <c r="AP5" i="7"/>
  <c r="BD5" i="7"/>
  <c r="AO5" i="7"/>
  <c r="BC5" i="7"/>
  <c r="AN5" i="7"/>
  <c r="BB5" i="7"/>
  <c r="AM5" i="7"/>
  <c r="BA5" i="7"/>
  <c r="AL5" i="7"/>
  <c r="AZ5" i="7"/>
  <c r="AK5" i="7"/>
  <c r="AY5" i="7"/>
  <c r="AJ5" i="7"/>
  <c r="AX5" i="7"/>
  <c r="AI5" i="7"/>
  <c r="AW5" i="7"/>
  <c r="AH5" i="7"/>
  <c r="AV5" i="7"/>
  <c r="AG5" i="7"/>
  <c r="AU5" i="7"/>
  <c r="AF5" i="7"/>
  <c r="AT5" i="7"/>
  <c r="AR5" i="7"/>
  <c r="N5" i="6"/>
  <c r="N6" i="6"/>
  <c r="N7" i="6"/>
  <c r="N8" i="6"/>
  <c r="N204" i="6"/>
  <c r="N203" i="6"/>
  <c r="N202" i="6"/>
  <c r="N201" i="6"/>
  <c r="N200" i="6"/>
  <c r="N199" i="6"/>
  <c r="AB199" i="6" s="1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AB185" i="6" s="1"/>
  <c r="N184" i="6"/>
  <c r="N183" i="6"/>
  <c r="N182" i="6"/>
  <c r="N181" i="6"/>
  <c r="N180" i="6"/>
  <c r="N179" i="6"/>
  <c r="N178" i="6"/>
  <c r="N177" i="6"/>
  <c r="N176" i="6"/>
  <c r="AB176" i="6" s="1"/>
  <c r="N175" i="6"/>
  <c r="N174" i="6"/>
  <c r="N173" i="6"/>
  <c r="AB173" i="6" s="1"/>
  <c r="N172" i="6"/>
  <c r="N171" i="6"/>
  <c r="AB171" i="6" s="1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AB156" i="6" s="1"/>
  <c r="N155" i="6"/>
  <c r="N154" i="6"/>
  <c r="N153" i="6"/>
  <c r="N152" i="6"/>
  <c r="N151" i="6"/>
  <c r="N150" i="6"/>
  <c r="N149" i="6"/>
  <c r="N148" i="6"/>
  <c r="N147" i="6"/>
  <c r="N146" i="6"/>
  <c r="N145" i="6"/>
  <c r="N144" i="6"/>
  <c r="AB144" i="6" s="1"/>
  <c r="N143" i="6"/>
  <c r="N142" i="6"/>
  <c r="AB142" i="6" s="1"/>
  <c r="N141" i="6"/>
  <c r="N140" i="6"/>
  <c r="AB140" i="6" s="1"/>
  <c r="N139" i="6"/>
  <c r="N138" i="6"/>
  <c r="N137" i="6"/>
  <c r="N136" i="6"/>
  <c r="N135" i="6"/>
  <c r="N134" i="6"/>
  <c r="AB134" i="6" s="1"/>
  <c r="N133" i="6"/>
  <c r="N132" i="6"/>
  <c r="N131" i="6"/>
  <c r="AB131" i="6" s="1"/>
  <c r="N130" i="6"/>
  <c r="AB130" i="6" s="1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AB117" i="6" s="1"/>
  <c r="N116" i="6"/>
  <c r="N115" i="6"/>
  <c r="AB115" i="6" s="1"/>
  <c r="N114" i="6"/>
  <c r="N113" i="6"/>
  <c r="N112" i="6"/>
  <c r="AB112" i="6" s="1"/>
  <c r="N111" i="6"/>
  <c r="N110" i="6"/>
  <c r="N109" i="6"/>
  <c r="N108" i="6"/>
  <c r="N107" i="6"/>
  <c r="N106" i="6"/>
  <c r="N105" i="6"/>
  <c r="N104" i="6"/>
  <c r="N103" i="6"/>
  <c r="N102" i="6"/>
  <c r="N101" i="6"/>
  <c r="AB101" i="6" s="1"/>
  <c r="N100" i="6"/>
  <c r="N99" i="6"/>
  <c r="N98" i="6"/>
  <c r="AB98" i="6" s="1"/>
  <c r="N97" i="6"/>
  <c r="N96" i="6"/>
  <c r="N95" i="6"/>
  <c r="N94" i="6"/>
  <c r="N93" i="6"/>
  <c r="N92" i="6"/>
  <c r="N91" i="6"/>
  <c r="N90" i="6"/>
  <c r="N89" i="6"/>
  <c r="N88" i="6"/>
  <c r="N87" i="6"/>
  <c r="AB87" i="6" s="1"/>
  <c r="N86" i="6"/>
  <c r="N85" i="6"/>
  <c r="N84" i="6"/>
  <c r="N83" i="6"/>
  <c r="N82" i="6"/>
  <c r="N81" i="6"/>
  <c r="N80" i="6"/>
  <c r="N79" i="6"/>
  <c r="N78" i="6"/>
  <c r="N77" i="6"/>
  <c r="N76" i="6"/>
  <c r="N75" i="6"/>
  <c r="AB75" i="6" s="1"/>
  <c r="N74" i="6"/>
  <c r="AB74" i="6" s="1"/>
  <c r="N73" i="6"/>
  <c r="AB73" i="6" s="1"/>
  <c r="N72" i="6"/>
  <c r="N71" i="6"/>
  <c r="N70" i="6"/>
  <c r="N69" i="6"/>
  <c r="N68" i="6"/>
  <c r="N67" i="6"/>
  <c r="N66" i="6"/>
  <c r="N65" i="6"/>
  <c r="N64" i="6"/>
  <c r="N63" i="6"/>
  <c r="N62" i="6"/>
  <c r="N61" i="6"/>
  <c r="AB61" i="6" s="1"/>
  <c r="N60" i="6"/>
  <c r="N59" i="6"/>
  <c r="AB59" i="6" s="1"/>
  <c r="N58" i="6"/>
  <c r="N57" i="6"/>
  <c r="AB57" i="6" s="1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AB42" i="6" s="1"/>
  <c r="N41" i="6"/>
  <c r="N40" i="6"/>
  <c r="N39" i="6"/>
  <c r="N38" i="6"/>
  <c r="N37" i="6"/>
  <c r="N36" i="6"/>
  <c r="N35" i="6"/>
  <c r="N34" i="6"/>
  <c r="N33" i="6"/>
  <c r="N32" i="6"/>
  <c r="AB32" i="6" s="1"/>
  <c r="N31" i="6"/>
  <c r="AB31" i="6" s="1"/>
  <c r="N30" i="6"/>
  <c r="AB30" i="6" s="1"/>
  <c r="N29" i="6"/>
  <c r="N28" i="6"/>
  <c r="AB28" i="6" s="1"/>
  <c r="N27" i="6"/>
  <c r="N26" i="6"/>
  <c r="N25" i="6"/>
  <c r="N24" i="6"/>
  <c r="N23" i="6"/>
  <c r="N22" i="6"/>
  <c r="N21" i="6"/>
  <c r="N20" i="6"/>
  <c r="N19" i="6"/>
  <c r="N18" i="6"/>
  <c r="N17" i="6"/>
  <c r="AB17" i="6" s="1"/>
  <c r="N16" i="6"/>
  <c r="N15" i="6"/>
  <c r="N14" i="6"/>
  <c r="N13" i="6"/>
  <c r="N12" i="6"/>
  <c r="N11" i="6"/>
  <c r="N10" i="6"/>
  <c r="N9" i="6"/>
  <c r="AA237" i="6"/>
  <c r="Z237" i="6"/>
  <c r="Y237" i="6"/>
  <c r="X237" i="6"/>
  <c r="W237" i="6"/>
  <c r="V237" i="6"/>
  <c r="U237" i="6"/>
  <c r="T237" i="6"/>
  <c r="L237" i="6"/>
  <c r="R237" i="6" s="1"/>
  <c r="F237" i="6"/>
  <c r="H5" i="6"/>
  <c r="H6" i="6"/>
  <c r="AB6" i="6" s="1"/>
  <c r="H7" i="6"/>
  <c r="H8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AB193" i="6" s="1"/>
  <c r="H192" i="6"/>
  <c r="AB192" i="6" s="1"/>
  <c r="H191" i="6"/>
  <c r="AB191" i="6" s="1"/>
  <c r="H190" i="6"/>
  <c r="H189" i="6"/>
  <c r="AB189" i="6" s="1"/>
  <c r="H188" i="6"/>
  <c r="AB188" i="6" s="1"/>
  <c r="H187" i="6"/>
  <c r="H186" i="6"/>
  <c r="H185" i="6"/>
  <c r="H184" i="6"/>
  <c r="H183" i="6"/>
  <c r="H182" i="6"/>
  <c r="H181" i="6"/>
  <c r="H180" i="6"/>
  <c r="H179" i="6"/>
  <c r="AB179" i="6" s="1"/>
  <c r="H178" i="6"/>
  <c r="AB178" i="6" s="1"/>
  <c r="H177" i="6"/>
  <c r="H176" i="6"/>
  <c r="H175" i="6"/>
  <c r="AB175" i="6" s="1"/>
  <c r="H174" i="6"/>
  <c r="H173" i="6"/>
  <c r="H172" i="6"/>
  <c r="H171" i="6"/>
  <c r="H170" i="6"/>
  <c r="H169" i="6"/>
  <c r="H168" i="6"/>
  <c r="H167" i="6"/>
  <c r="H166" i="6"/>
  <c r="H165" i="6"/>
  <c r="AB165" i="6" s="1"/>
  <c r="H164" i="6"/>
  <c r="H163" i="6"/>
  <c r="AB163" i="6" s="1"/>
  <c r="H162" i="6"/>
  <c r="H161" i="6"/>
  <c r="AB161" i="6" s="1"/>
  <c r="H160" i="6"/>
  <c r="H159" i="6"/>
  <c r="H158" i="6"/>
  <c r="H157" i="6"/>
  <c r="H156" i="6"/>
  <c r="H155" i="6"/>
  <c r="H154" i="6"/>
  <c r="H153" i="6"/>
  <c r="H152" i="6"/>
  <c r="AB152" i="6" s="1"/>
  <c r="H151" i="6"/>
  <c r="AB151" i="6" s="1"/>
  <c r="H150" i="6"/>
  <c r="H149" i="6"/>
  <c r="H148" i="6"/>
  <c r="H147" i="6"/>
  <c r="AB147" i="6" s="1"/>
  <c r="H146" i="6"/>
  <c r="AB146" i="6" s="1"/>
  <c r="H145" i="6"/>
  <c r="H144" i="6"/>
  <c r="H143" i="6"/>
  <c r="H142" i="6"/>
  <c r="H141" i="6"/>
  <c r="H140" i="6"/>
  <c r="H139" i="6"/>
  <c r="H138" i="6"/>
  <c r="H137" i="6"/>
  <c r="AB137" i="6" s="1"/>
  <c r="H136" i="6"/>
  <c r="AB136" i="6" s="1"/>
  <c r="H135" i="6"/>
  <c r="H134" i="6"/>
  <c r="H133" i="6"/>
  <c r="H132" i="6"/>
  <c r="AB132" i="6" s="1"/>
  <c r="H131" i="6"/>
  <c r="H130" i="6"/>
  <c r="H129" i="6"/>
  <c r="H128" i="6"/>
  <c r="H127" i="6"/>
  <c r="H126" i="6"/>
  <c r="H125" i="6"/>
  <c r="H124" i="6"/>
  <c r="H123" i="6"/>
  <c r="AB123" i="6" s="1"/>
  <c r="H122" i="6"/>
  <c r="H121" i="6"/>
  <c r="H120" i="6"/>
  <c r="H119" i="6"/>
  <c r="AB119" i="6" s="1"/>
  <c r="H118" i="6"/>
  <c r="H117" i="6"/>
  <c r="H116" i="6"/>
  <c r="H115" i="6"/>
  <c r="H114" i="6"/>
  <c r="H113" i="6"/>
  <c r="H112" i="6"/>
  <c r="H111" i="6"/>
  <c r="H110" i="6"/>
  <c r="H109" i="6"/>
  <c r="AB109" i="6" s="1"/>
  <c r="H108" i="6"/>
  <c r="H107" i="6"/>
  <c r="AB107" i="6" s="1"/>
  <c r="H106" i="6"/>
  <c r="H105" i="6"/>
  <c r="AB105" i="6" s="1"/>
  <c r="H104" i="6"/>
  <c r="AB104" i="6" s="1"/>
  <c r="H103" i="6"/>
  <c r="H102" i="6"/>
  <c r="H101" i="6"/>
  <c r="H100" i="6"/>
  <c r="H99" i="6"/>
  <c r="H98" i="6"/>
  <c r="H97" i="6"/>
  <c r="H96" i="6"/>
  <c r="H95" i="6"/>
  <c r="AB95" i="6" s="1"/>
  <c r="H94" i="6"/>
  <c r="H93" i="6"/>
  <c r="AB93" i="6" s="1"/>
  <c r="H92" i="6"/>
  <c r="AB92" i="6" s="1"/>
  <c r="H91" i="6"/>
  <c r="AB91" i="6" s="1"/>
  <c r="H90" i="6"/>
  <c r="AB90" i="6" s="1"/>
  <c r="H89" i="6"/>
  <c r="H88" i="6"/>
  <c r="H87" i="6"/>
  <c r="H86" i="6"/>
  <c r="H85" i="6"/>
  <c r="H84" i="6"/>
  <c r="H83" i="6"/>
  <c r="H82" i="6"/>
  <c r="H81" i="6"/>
  <c r="H80" i="6"/>
  <c r="H79" i="6"/>
  <c r="H78" i="6"/>
  <c r="AB78" i="6" s="1"/>
  <c r="H77" i="6"/>
  <c r="AB77" i="6" s="1"/>
  <c r="H76" i="6"/>
  <c r="H75" i="6"/>
  <c r="H74" i="6"/>
  <c r="H73" i="6"/>
  <c r="H72" i="6"/>
  <c r="H71" i="6"/>
  <c r="H70" i="6"/>
  <c r="H69" i="6"/>
  <c r="H68" i="6"/>
  <c r="H67" i="6"/>
  <c r="AB67" i="6" s="1"/>
  <c r="H66" i="6"/>
  <c r="H65" i="6"/>
  <c r="H64" i="6"/>
  <c r="AB64" i="6" s="1"/>
  <c r="H63" i="6"/>
  <c r="H62" i="6"/>
  <c r="AB62" i="6" s="1"/>
  <c r="H61" i="6"/>
  <c r="H60" i="6"/>
  <c r="H59" i="6"/>
  <c r="H58" i="6"/>
  <c r="H57" i="6"/>
  <c r="H56" i="6"/>
  <c r="H55" i="6"/>
  <c r="H54" i="6"/>
  <c r="H53" i="6"/>
  <c r="AB53" i="6" s="1"/>
  <c r="H52" i="6"/>
  <c r="AB52" i="6" s="1"/>
  <c r="H51" i="6"/>
  <c r="H50" i="6"/>
  <c r="H49" i="6"/>
  <c r="AB49" i="6" s="1"/>
  <c r="H48" i="6"/>
  <c r="AB48" i="6" s="1"/>
  <c r="H47" i="6"/>
  <c r="H46" i="6"/>
  <c r="H45" i="6"/>
  <c r="H44" i="6"/>
  <c r="H43" i="6"/>
  <c r="H42" i="6"/>
  <c r="H41" i="6"/>
  <c r="H40" i="6"/>
  <c r="H39" i="6"/>
  <c r="H38" i="6"/>
  <c r="H37" i="6"/>
  <c r="AB37" i="6" s="1"/>
  <c r="H36" i="6"/>
  <c r="H35" i="6"/>
  <c r="H34" i="6"/>
  <c r="AB34" i="6" s="1"/>
  <c r="H33" i="6"/>
  <c r="H32" i="6"/>
  <c r="H31" i="6"/>
  <c r="H30" i="6"/>
  <c r="H29" i="6"/>
  <c r="H28" i="6"/>
  <c r="H27" i="6"/>
  <c r="H26" i="6"/>
  <c r="H25" i="6"/>
  <c r="AB25" i="6" s="1"/>
  <c r="H24" i="6"/>
  <c r="H23" i="6"/>
  <c r="AB23" i="6" s="1"/>
  <c r="H22" i="6"/>
  <c r="H21" i="6"/>
  <c r="AB21" i="6" s="1"/>
  <c r="H20" i="6"/>
  <c r="H19" i="6"/>
  <c r="AB19" i="6" s="1"/>
  <c r="H18" i="6"/>
  <c r="H17" i="6"/>
  <c r="H16" i="6"/>
  <c r="H15" i="6"/>
  <c r="H14" i="6"/>
  <c r="H13" i="6"/>
  <c r="H12" i="6"/>
  <c r="H11" i="6"/>
  <c r="AB11" i="6" s="1"/>
  <c r="H10" i="6"/>
  <c r="H9" i="6"/>
  <c r="K237" i="6"/>
  <c r="E237" i="6"/>
  <c r="Q237" i="6" s="1"/>
  <c r="J237" i="6"/>
  <c r="D237" i="6"/>
  <c r="N236" i="6"/>
  <c r="AB236" i="6" s="1"/>
  <c r="N235" i="6"/>
  <c r="AB235" i="6" s="1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AB221" i="6" s="1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H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H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H234" i="6"/>
  <c r="AB234" i="6" s="1"/>
  <c r="AA234" i="6"/>
  <c r="Z234" i="6"/>
  <c r="Y234" i="6"/>
  <c r="X234" i="6"/>
  <c r="W234" i="6"/>
  <c r="V234" i="6"/>
  <c r="U234" i="6"/>
  <c r="T234" i="6"/>
  <c r="S234" i="6"/>
  <c r="R234" i="6"/>
  <c r="Q234" i="6"/>
  <c r="P234" i="6"/>
  <c r="H233" i="6"/>
  <c r="AB233" i="6" s="1"/>
  <c r="AA233" i="6"/>
  <c r="Z233" i="6"/>
  <c r="Y233" i="6"/>
  <c r="X233" i="6"/>
  <c r="W233" i="6"/>
  <c r="V233" i="6"/>
  <c r="U233" i="6"/>
  <c r="T233" i="6"/>
  <c r="S233" i="6"/>
  <c r="R233" i="6"/>
  <c r="Q233" i="6"/>
  <c r="P233" i="6"/>
  <c r="H232" i="6"/>
  <c r="AB232" i="6" s="1"/>
  <c r="AA232" i="6"/>
  <c r="Z232" i="6"/>
  <c r="Y232" i="6"/>
  <c r="X232" i="6"/>
  <c r="W232" i="6"/>
  <c r="V232" i="6"/>
  <c r="U232" i="6"/>
  <c r="T232" i="6"/>
  <c r="S232" i="6"/>
  <c r="R232" i="6"/>
  <c r="Q232" i="6"/>
  <c r="P232" i="6"/>
  <c r="H231" i="6"/>
  <c r="AB231" i="6" s="1"/>
  <c r="AA231" i="6"/>
  <c r="Z231" i="6"/>
  <c r="Y231" i="6"/>
  <c r="X231" i="6"/>
  <c r="W231" i="6"/>
  <c r="V231" i="6"/>
  <c r="U231" i="6"/>
  <c r="T231" i="6"/>
  <c r="S231" i="6"/>
  <c r="R231" i="6"/>
  <c r="Q231" i="6"/>
  <c r="P231" i="6"/>
  <c r="H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H229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H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H227" i="6"/>
  <c r="AB227" i="6" s="1"/>
  <c r="AA227" i="6"/>
  <c r="Z227" i="6"/>
  <c r="Y227" i="6"/>
  <c r="X227" i="6"/>
  <c r="W227" i="6"/>
  <c r="V227" i="6"/>
  <c r="U227" i="6"/>
  <c r="T227" i="6"/>
  <c r="S227" i="6"/>
  <c r="R227" i="6"/>
  <c r="Q227" i="6"/>
  <c r="P227" i="6"/>
  <c r="H226" i="6"/>
  <c r="AB226" i="6" s="1"/>
  <c r="AA226" i="6"/>
  <c r="Z226" i="6"/>
  <c r="Y226" i="6"/>
  <c r="X226" i="6"/>
  <c r="W226" i="6"/>
  <c r="V226" i="6"/>
  <c r="U226" i="6"/>
  <c r="T226" i="6"/>
  <c r="S226" i="6"/>
  <c r="R226" i="6"/>
  <c r="Q226" i="6"/>
  <c r="P226" i="6"/>
  <c r="H225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H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H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H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H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H220" i="6"/>
  <c r="AB220" i="6" s="1"/>
  <c r="AA220" i="6"/>
  <c r="Z220" i="6"/>
  <c r="Y220" i="6"/>
  <c r="X220" i="6"/>
  <c r="W220" i="6"/>
  <c r="V220" i="6"/>
  <c r="U220" i="6"/>
  <c r="T220" i="6"/>
  <c r="S220" i="6"/>
  <c r="R220" i="6"/>
  <c r="Q220" i="6"/>
  <c r="P220" i="6"/>
  <c r="H219" i="6"/>
  <c r="AB219" i="6" s="1"/>
  <c r="AA219" i="6"/>
  <c r="Z219" i="6"/>
  <c r="Y219" i="6"/>
  <c r="X219" i="6"/>
  <c r="W219" i="6"/>
  <c r="V219" i="6"/>
  <c r="U219" i="6"/>
  <c r="T219" i="6"/>
  <c r="S219" i="6"/>
  <c r="R219" i="6"/>
  <c r="Q219" i="6"/>
  <c r="P219" i="6"/>
  <c r="H218" i="6"/>
  <c r="AB218" i="6" s="1"/>
  <c r="AA218" i="6"/>
  <c r="Z218" i="6"/>
  <c r="Y218" i="6"/>
  <c r="X218" i="6"/>
  <c r="W218" i="6"/>
  <c r="V218" i="6"/>
  <c r="U218" i="6"/>
  <c r="T218" i="6"/>
  <c r="S218" i="6"/>
  <c r="R218" i="6"/>
  <c r="Q218" i="6"/>
  <c r="P218" i="6"/>
  <c r="H217" i="6"/>
  <c r="AB217" i="6" s="1"/>
  <c r="AA217" i="6"/>
  <c r="Z217" i="6"/>
  <c r="Y217" i="6"/>
  <c r="X217" i="6"/>
  <c r="W217" i="6"/>
  <c r="V217" i="6"/>
  <c r="U217" i="6"/>
  <c r="T217" i="6"/>
  <c r="S217" i="6"/>
  <c r="R217" i="6"/>
  <c r="Q217" i="6"/>
  <c r="P217" i="6"/>
  <c r="H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H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H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H213" i="6"/>
  <c r="AB213" i="6" s="1"/>
  <c r="AA213" i="6"/>
  <c r="Z213" i="6"/>
  <c r="Y213" i="6"/>
  <c r="X213" i="6"/>
  <c r="W213" i="6"/>
  <c r="V213" i="6"/>
  <c r="U213" i="6"/>
  <c r="T213" i="6"/>
  <c r="S213" i="6"/>
  <c r="R213" i="6"/>
  <c r="Q213" i="6"/>
  <c r="P213" i="6"/>
  <c r="H212" i="6"/>
  <c r="AB212" i="6" s="1"/>
  <c r="AA212" i="6"/>
  <c r="Z212" i="6"/>
  <c r="Y212" i="6"/>
  <c r="X212" i="6"/>
  <c r="W212" i="6"/>
  <c r="V212" i="6"/>
  <c r="U212" i="6"/>
  <c r="T212" i="6"/>
  <c r="S212" i="6"/>
  <c r="R212" i="6"/>
  <c r="Q212" i="6"/>
  <c r="P212" i="6"/>
  <c r="H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H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H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H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H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H206" i="6"/>
  <c r="AB206" i="6" s="1"/>
  <c r="AA206" i="6"/>
  <c r="Z206" i="6"/>
  <c r="Y206" i="6"/>
  <c r="X206" i="6"/>
  <c r="W206" i="6"/>
  <c r="V206" i="6"/>
  <c r="U206" i="6"/>
  <c r="T206" i="6"/>
  <c r="S206" i="6"/>
  <c r="R206" i="6"/>
  <c r="Q206" i="6"/>
  <c r="P206" i="6"/>
  <c r="H205" i="6"/>
  <c r="AB205" i="6" s="1"/>
  <c r="AA205" i="6"/>
  <c r="Z205" i="6"/>
  <c r="Y205" i="6"/>
  <c r="X205" i="6"/>
  <c r="W205" i="6"/>
  <c r="V205" i="6"/>
  <c r="U205" i="6"/>
  <c r="T205" i="6"/>
  <c r="S205" i="6"/>
  <c r="R205" i="6"/>
  <c r="Q205" i="6"/>
  <c r="P205" i="6"/>
  <c r="AA204" i="6"/>
  <c r="AN204" i="6" s="1"/>
  <c r="Z204" i="6"/>
  <c r="Y204" i="6"/>
  <c r="X204" i="6"/>
  <c r="W204" i="6"/>
  <c r="AJ204" i="6" s="1"/>
  <c r="V204" i="6"/>
  <c r="U204" i="6"/>
  <c r="T204" i="6"/>
  <c r="AH204" i="6"/>
  <c r="S204" i="6"/>
  <c r="R204" i="6"/>
  <c r="AE204" i="6"/>
  <c r="AD204" i="6"/>
  <c r="AB204" i="6"/>
  <c r="Q204" i="6"/>
  <c r="P204" i="6"/>
  <c r="AA203" i="6"/>
  <c r="Z203" i="6"/>
  <c r="Y203" i="6"/>
  <c r="X203" i="6"/>
  <c r="W203" i="6"/>
  <c r="V203" i="6"/>
  <c r="U203" i="6"/>
  <c r="AH203" i="6" s="1"/>
  <c r="T203" i="6"/>
  <c r="S203" i="6"/>
  <c r="R203" i="6"/>
  <c r="AB203" i="6"/>
  <c r="Q203" i="6"/>
  <c r="P203" i="6"/>
  <c r="AA202" i="6"/>
  <c r="Z202" i="6"/>
  <c r="AM202" i="6" s="1"/>
  <c r="AN202" i="6"/>
  <c r="Y202" i="6"/>
  <c r="X202" i="6"/>
  <c r="AE202" i="6" s="1"/>
  <c r="W202" i="6"/>
  <c r="AK202" i="6"/>
  <c r="V202" i="6"/>
  <c r="U202" i="6"/>
  <c r="AI202" i="6"/>
  <c r="T202" i="6"/>
  <c r="AH202" i="6"/>
  <c r="S202" i="6"/>
  <c r="AF202" i="6" s="1"/>
  <c r="R202" i="6"/>
  <c r="Q202" i="6"/>
  <c r="P202" i="6"/>
  <c r="AA201" i="6"/>
  <c r="Z201" i="6"/>
  <c r="AN201" i="6" s="1"/>
  <c r="Y201" i="6"/>
  <c r="AL201" i="6" s="1"/>
  <c r="X201" i="6"/>
  <c r="W201" i="6"/>
  <c r="AK201" i="6"/>
  <c r="V201" i="6"/>
  <c r="AI201" i="6" s="1"/>
  <c r="U201" i="6"/>
  <c r="T201" i="6"/>
  <c r="AG201" i="6" s="1"/>
  <c r="S201" i="6"/>
  <c r="R201" i="6"/>
  <c r="AF201" i="6" s="1"/>
  <c r="Q201" i="6"/>
  <c r="P201" i="6"/>
  <c r="AA200" i="6"/>
  <c r="Z200" i="6"/>
  <c r="Y200" i="6"/>
  <c r="X200" i="6"/>
  <c r="AL200" i="6" s="1"/>
  <c r="W200" i="6"/>
  <c r="V200" i="6"/>
  <c r="U200" i="6"/>
  <c r="T200" i="6"/>
  <c r="AG200" i="6" s="1"/>
  <c r="S200" i="6"/>
  <c r="R200" i="6"/>
  <c r="Q200" i="6"/>
  <c r="P200" i="6"/>
  <c r="AA199" i="6"/>
  <c r="Z199" i="6"/>
  <c r="AN199" i="6"/>
  <c r="Y199" i="6"/>
  <c r="X199" i="6"/>
  <c r="AK199" i="6" s="1"/>
  <c r="W199" i="6"/>
  <c r="V199" i="6"/>
  <c r="AJ199" i="6"/>
  <c r="U199" i="6"/>
  <c r="AI199" i="6"/>
  <c r="T199" i="6"/>
  <c r="S199" i="6"/>
  <c r="R199" i="6"/>
  <c r="Q199" i="6"/>
  <c r="P199" i="6"/>
  <c r="AA198" i="6"/>
  <c r="AN198" i="6" s="1"/>
  <c r="Z198" i="6"/>
  <c r="AM198" i="6" s="1"/>
  <c r="Y198" i="6"/>
  <c r="X198" i="6"/>
  <c r="AL198" i="6"/>
  <c r="W198" i="6"/>
  <c r="V198" i="6"/>
  <c r="AD198" i="6" s="1"/>
  <c r="U198" i="6"/>
  <c r="T198" i="6"/>
  <c r="S198" i="6"/>
  <c r="AF198" i="6" s="1"/>
  <c r="R198" i="6"/>
  <c r="Q198" i="6"/>
  <c r="P198" i="6"/>
  <c r="AA197" i="6"/>
  <c r="Z197" i="6"/>
  <c r="AM197" i="6" s="1"/>
  <c r="Y197" i="6"/>
  <c r="X197" i="6"/>
  <c r="W197" i="6"/>
  <c r="V197" i="6"/>
  <c r="U197" i="6"/>
  <c r="T197" i="6"/>
  <c r="AG197" i="6" s="1"/>
  <c r="AH197" i="6"/>
  <c r="S197" i="6"/>
  <c r="R197" i="6"/>
  <c r="AF197" i="6"/>
  <c r="Q197" i="6"/>
  <c r="P197" i="6"/>
  <c r="AA196" i="6"/>
  <c r="Z196" i="6"/>
  <c r="Y196" i="6"/>
  <c r="X196" i="6"/>
  <c r="W196" i="6"/>
  <c r="V196" i="6"/>
  <c r="AJ196" i="6"/>
  <c r="U196" i="6"/>
  <c r="AH196" i="6" s="1"/>
  <c r="AI196" i="6"/>
  <c r="T196" i="6"/>
  <c r="S196" i="6"/>
  <c r="AF196" i="6" s="1"/>
  <c r="R196" i="6"/>
  <c r="Q196" i="6"/>
  <c r="P196" i="6"/>
  <c r="AA195" i="6"/>
  <c r="Z195" i="6"/>
  <c r="AN195" i="6"/>
  <c r="Y195" i="6"/>
  <c r="AM195" i="6"/>
  <c r="X195" i="6"/>
  <c r="W195" i="6"/>
  <c r="V195" i="6"/>
  <c r="U195" i="6"/>
  <c r="T195" i="6"/>
  <c r="AH195" i="6"/>
  <c r="S195" i="6"/>
  <c r="R195" i="6"/>
  <c r="Q195" i="6"/>
  <c r="P195" i="6"/>
  <c r="AA194" i="6"/>
  <c r="Z194" i="6"/>
  <c r="Y194" i="6"/>
  <c r="X194" i="6"/>
  <c r="AE194" i="6" s="1"/>
  <c r="AL194" i="6"/>
  <c r="W194" i="6"/>
  <c r="AK194" i="6"/>
  <c r="V194" i="6"/>
  <c r="U194" i="6"/>
  <c r="T194" i="6"/>
  <c r="AG194" i="6" s="1"/>
  <c r="S194" i="6"/>
  <c r="AF194" i="6" s="1"/>
  <c r="R194" i="6"/>
  <c r="AB194" i="6"/>
  <c r="Q194" i="6"/>
  <c r="P194" i="6"/>
  <c r="AA193" i="6"/>
  <c r="Z193" i="6"/>
  <c r="Y193" i="6"/>
  <c r="X193" i="6"/>
  <c r="W193" i="6"/>
  <c r="V193" i="6"/>
  <c r="AI193" i="6" s="1"/>
  <c r="U193" i="6"/>
  <c r="AH193" i="6" s="1"/>
  <c r="T193" i="6"/>
  <c r="S193" i="6"/>
  <c r="AG193" i="6"/>
  <c r="R193" i="6"/>
  <c r="Q193" i="6"/>
  <c r="P193" i="6"/>
  <c r="AA192" i="6"/>
  <c r="Z192" i="6"/>
  <c r="AM192" i="6" s="1"/>
  <c r="Y192" i="6"/>
  <c r="X192" i="6"/>
  <c r="W192" i="6"/>
  <c r="AD192" i="6" s="1"/>
  <c r="V192" i="6"/>
  <c r="AI192" i="6" s="1"/>
  <c r="AJ192" i="6"/>
  <c r="U192" i="6"/>
  <c r="T192" i="6"/>
  <c r="S192" i="6"/>
  <c r="R192" i="6"/>
  <c r="Q192" i="6"/>
  <c r="P192" i="6"/>
  <c r="AA191" i="6"/>
  <c r="Z191" i="6"/>
  <c r="Y191" i="6"/>
  <c r="X191" i="6"/>
  <c r="W191" i="6"/>
  <c r="V191" i="6"/>
  <c r="U191" i="6"/>
  <c r="T191" i="6"/>
  <c r="AG191" i="6" s="1"/>
  <c r="S191" i="6"/>
  <c r="R191" i="6"/>
  <c r="Q191" i="6"/>
  <c r="P191" i="6"/>
  <c r="AA190" i="6"/>
  <c r="Z190" i="6"/>
  <c r="AM190" i="6" s="1"/>
  <c r="Y190" i="6"/>
  <c r="X190" i="6"/>
  <c r="W190" i="6"/>
  <c r="V190" i="6"/>
  <c r="U190" i="6"/>
  <c r="AH190" i="6" s="1"/>
  <c r="T190" i="6"/>
  <c r="S190" i="6"/>
  <c r="AF190" i="6" s="1"/>
  <c r="R190" i="6"/>
  <c r="AB190" i="6"/>
  <c r="Q190" i="6"/>
  <c r="P190" i="6"/>
  <c r="AA189" i="6"/>
  <c r="AN189" i="6" s="1"/>
  <c r="Z189" i="6"/>
  <c r="Y189" i="6"/>
  <c r="AL189" i="6" s="1"/>
  <c r="AM189" i="6"/>
  <c r="X189" i="6"/>
  <c r="W189" i="6"/>
  <c r="V189" i="6"/>
  <c r="AI189" i="6" s="1"/>
  <c r="U189" i="6"/>
  <c r="T189" i="6"/>
  <c r="S189" i="6"/>
  <c r="R189" i="6"/>
  <c r="AE189" i="6"/>
  <c r="Q189" i="6"/>
  <c r="P189" i="6"/>
  <c r="AA188" i="6"/>
  <c r="Z188" i="6"/>
  <c r="Y188" i="6"/>
  <c r="AL188" i="6" s="1"/>
  <c r="X188" i="6"/>
  <c r="W188" i="6"/>
  <c r="AK188" i="6"/>
  <c r="V188" i="6"/>
  <c r="U188" i="6"/>
  <c r="AI188" i="6" s="1"/>
  <c r="T188" i="6"/>
  <c r="AH188" i="6" s="1"/>
  <c r="S188" i="6"/>
  <c r="R188" i="6"/>
  <c r="Q188" i="6"/>
  <c r="P188" i="6"/>
  <c r="AA187" i="6"/>
  <c r="Z187" i="6"/>
  <c r="Y187" i="6"/>
  <c r="AL187" i="6" s="1"/>
  <c r="X187" i="6"/>
  <c r="W187" i="6"/>
  <c r="AE187" i="6" s="1"/>
  <c r="V187" i="6"/>
  <c r="U187" i="6"/>
  <c r="AI187" i="6"/>
  <c r="T187" i="6"/>
  <c r="S187" i="6"/>
  <c r="AF187" i="6" s="1"/>
  <c r="R187" i="6"/>
  <c r="Q187" i="6"/>
  <c r="P187" i="6"/>
  <c r="AA186" i="6"/>
  <c r="Z186" i="6"/>
  <c r="Y186" i="6"/>
  <c r="AL186" i="6" s="1"/>
  <c r="X186" i="6"/>
  <c r="W186" i="6"/>
  <c r="V186" i="6"/>
  <c r="U186" i="6"/>
  <c r="T186" i="6"/>
  <c r="S186" i="6"/>
  <c r="R186" i="6"/>
  <c r="Q186" i="6"/>
  <c r="P186" i="6"/>
  <c r="AA185" i="6"/>
  <c r="Z185" i="6"/>
  <c r="Y185" i="6"/>
  <c r="X185" i="6"/>
  <c r="W185" i="6"/>
  <c r="V185" i="6"/>
  <c r="U185" i="6"/>
  <c r="AI185" i="6" s="1"/>
  <c r="T185" i="6"/>
  <c r="AG185" i="6" s="1"/>
  <c r="S185" i="6"/>
  <c r="AF185" i="6" s="1"/>
  <c r="R185" i="6"/>
  <c r="Q185" i="6"/>
  <c r="P185" i="6"/>
  <c r="AA184" i="6"/>
  <c r="Z184" i="6"/>
  <c r="Y184" i="6"/>
  <c r="AL184" i="6" s="1"/>
  <c r="X184" i="6"/>
  <c r="W184" i="6"/>
  <c r="V184" i="6"/>
  <c r="U184" i="6"/>
  <c r="T184" i="6"/>
  <c r="S184" i="6"/>
  <c r="AF184" i="6" s="1"/>
  <c r="R184" i="6"/>
  <c r="AE184" i="6"/>
  <c r="Q184" i="6"/>
  <c r="P184" i="6"/>
  <c r="AA183" i="6"/>
  <c r="Z183" i="6"/>
  <c r="AM183" i="6" s="1"/>
  <c r="Y183" i="6"/>
  <c r="X183" i="6"/>
  <c r="AK183" i="6" s="1"/>
  <c r="AL183" i="6"/>
  <c r="W183" i="6"/>
  <c r="V183" i="6"/>
  <c r="U183" i="6"/>
  <c r="T183" i="6"/>
  <c r="AG183" i="6" s="1"/>
  <c r="S183" i="6"/>
  <c r="R183" i="6"/>
  <c r="AF183" i="6"/>
  <c r="AE183" i="6"/>
  <c r="Q183" i="6"/>
  <c r="P183" i="6"/>
  <c r="AA182" i="6"/>
  <c r="AN182" i="6" s="1"/>
  <c r="Z182" i="6"/>
  <c r="Y182" i="6"/>
  <c r="X182" i="6"/>
  <c r="W182" i="6"/>
  <c r="AJ182" i="6" s="1"/>
  <c r="V182" i="6"/>
  <c r="AI182" i="6" s="1"/>
  <c r="U182" i="6"/>
  <c r="T182" i="6"/>
  <c r="AH182" i="6"/>
  <c r="S182" i="6"/>
  <c r="R182" i="6"/>
  <c r="AF182" i="6" s="1"/>
  <c r="Q182" i="6"/>
  <c r="P182" i="6"/>
  <c r="AA181" i="6"/>
  <c r="Z181" i="6"/>
  <c r="AM181" i="6" s="1"/>
  <c r="Y181" i="6"/>
  <c r="AL181" i="6" s="1"/>
  <c r="X181" i="6"/>
  <c r="W181" i="6"/>
  <c r="V181" i="6"/>
  <c r="U181" i="6"/>
  <c r="T181" i="6"/>
  <c r="AG181" i="6" s="1"/>
  <c r="S181" i="6"/>
  <c r="R181" i="6"/>
  <c r="AF181" i="6"/>
  <c r="AE181" i="6"/>
  <c r="AD181" i="6"/>
  <c r="Q181" i="6"/>
  <c r="P181" i="6"/>
  <c r="AA180" i="6"/>
  <c r="Z180" i="6"/>
  <c r="AN180" i="6"/>
  <c r="Y180" i="6"/>
  <c r="X180" i="6"/>
  <c r="W180" i="6"/>
  <c r="AD180" i="6" s="1"/>
  <c r="V180" i="6"/>
  <c r="AJ180" i="6"/>
  <c r="U180" i="6"/>
  <c r="T180" i="6"/>
  <c r="S180" i="6"/>
  <c r="AF180" i="6" s="1"/>
  <c r="R180" i="6"/>
  <c r="AB180" i="6"/>
  <c r="Q180" i="6"/>
  <c r="P180" i="6"/>
  <c r="AA179" i="6"/>
  <c r="AN179" i="6" s="1"/>
  <c r="Z179" i="6"/>
  <c r="Y179" i="6"/>
  <c r="X179" i="6"/>
  <c r="W179" i="6"/>
  <c r="V179" i="6"/>
  <c r="U179" i="6"/>
  <c r="T179" i="6"/>
  <c r="AG179" i="6" s="1"/>
  <c r="S179" i="6"/>
  <c r="R179" i="6"/>
  <c r="Q179" i="6"/>
  <c r="P179" i="6"/>
  <c r="AA178" i="6"/>
  <c r="Z178" i="6"/>
  <c r="Y178" i="6"/>
  <c r="X178" i="6"/>
  <c r="AL178" i="6"/>
  <c r="W178" i="6"/>
  <c r="AJ178" i="6" s="1"/>
  <c r="V178" i="6"/>
  <c r="AI178" i="6" s="1"/>
  <c r="U178" i="6"/>
  <c r="AH178" i="6" s="1"/>
  <c r="T178" i="6"/>
  <c r="AG178" i="6" s="1"/>
  <c r="S178" i="6"/>
  <c r="R178" i="6"/>
  <c r="AD178" i="6"/>
  <c r="Q178" i="6"/>
  <c r="P178" i="6"/>
  <c r="AA177" i="6"/>
  <c r="Z177" i="6"/>
  <c r="AM177" i="6" s="1"/>
  <c r="Y177" i="6"/>
  <c r="X177" i="6"/>
  <c r="W177" i="6"/>
  <c r="V177" i="6"/>
  <c r="U177" i="6"/>
  <c r="T177" i="6"/>
  <c r="AH177" i="6" s="1"/>
  <c r="S177" i="6"/>
  <c r="R177" i="6"/>
  <c r="AB177" i="6"/>
  <c r="Q177" i="6"/>
  <c r="P177" i="6"/>
  <c r="AA176" i="6"/>
  <c r="Z176" i="6"/>
  <c r="AM176" i="6" s="1"/>
  <c r="Y176" i="6"/>
  <c r="X176" i="6"/>
  <c r="AL176" i="6" s="1"/>
  <c r="W176" i="6"/>
  <c r="AK176" i="6"/>
  <c r="V176" i="6"/>
  <c r="AJ176" i="6"/>
  <c r="U176" i="6"/>
  <c r="AI176" i="6" s="1"/>
  <c r="T176" i="6"/>
  <c r="S176" i="6"/>
  <c r="R176" i="6"/>
  <c r="AE176" i="6"/>
  <c r="AD176" i="6"/>
  <c r="Q176" i="6"/>
  <c r="P176" i="6"/>
  <c r="AA175" i="6"/>
  <c r="Z175" i="6"/>
  <c r="Y175" i="6"/>
  <c r="AM175" i="6"/>
  <c r="X175" i="6"/>
  <c r="W175" i="6"/>
  <c r="V175" i="6"/>
  <c r="U175" i="6"/>
  <c r="T175" i="6"/>
  <c r="AG175" i="6" s="1"/>
  <c r="S175" i="6"/>
  <c r="AF175" i="6" s="1"/>
  <c r="R175" i="6"/>
  <c r="Q175" i="6"/>
  <c r="P175" i="6"/>
  <c r="AA174" i="6"/>
  <c r="Z174" i="6"/>
  <c r="Y174" i="6"/>
  <c r="X174" i="6"/>
  <c r="W174" i="6"/>
  <c r="V174" i="6"/>
  <c r="U174" i="6"/>
  <c r="AH174" i="6" s="1"/>
  <c r="T174" i="6"/>
  <c r="S174" i="6"/>
  <c r="AG174" i="6"/>
  <c r="R174" i="6"/>
  <c r="Q174" i="6"/>
  <c r="P174" i="6"/>
  <c r="AA173" i="6"/>
  <c r="Z173" i="6"/>
  <c r="AN173" i="6" s="1"/>
  <c r="Y173" i="6"/>
  <c r="X173" i="6"/>
  <c r="W173" i="6"/>
  <c r="V173" i="6"/>
  <c r="AI173" i="6" s="1"/>
  <c r="U173" i="6"/>
  <c r="T173" i="6"/>
  <c r="S173" i="6"/>
  <c r="AG173" i="6"/>
  <c r="R173" i="6"/>
  <c r="AF173" i="6"/>
  <c r="Q173" i="6"/>
  <c r="P173" i="6"/>
  <c r="AA172" i="6"/>
  <c r="AN172" i="6" s="1"/>
  <c r="Z172" i="6"/>
  <c r="Y172" i="6"/>
  <c r="X172" i="6"/>
  <c r="W172" i="6"/>
  <c r="V172" i="6"/>
  <c r="U172" i="6"/>
  <c r="T172" i="6"/>
  <c r="AG172" i="6" s="1"/>
  <c r="S172" i="6"/>
  <c r="R172" i="6"/>
  <c r="Q172" i="6"/>
  <c r="P172" i="6"/>
  <c r="AA171" i="6"/>
  <c r="Z171" i="6"/>
  <c r="AN171" i="6"/>
  <c r="Y171" i="6"/>
  <c r="X171" i="6"/>
  <c r="AL171" i="6"/>
  <c r="W171" i="6"/>
  <c r="V171" i="6"/>
  <c r="U171" i="6"/>
  <c r="AH171" i="6" s="1"/>
  <c r="T171" i="6"/>
  <c r="S171" i="6"/>
  <c r="R171" i="6"/>
  <c r="Q171" i="6"/>
  <c r="P171" i="6"/>
  <c r="AA170" i="6"/>
  <c r="Z170" i="6"/>
  <c r="AM170" i="6" s="1"/>
  <c r="Y170" i="6"/>
  <c r="AL170" i="6" s="1"/>
  <c r="X170" i="6"/>
  <c r="W170" i="6"/>
  <c r="V170" i="6"/>
  <c r="U170" i="6"/>
  <c r="T170" i="6"/>
  <c r="S170" i="6"/>
  <c r="AG170" i="6" s="1"/>
  <c r="R170" i="6"/>
  <c r="AF170" i="6"/>
  <c r="Q170" i="6"/>
  <c r="P170" i="6"/>
  <c r="AA169" i="6"/>
  <c r="Z169" i="6"/>
  <c r="AM169" i="6" s="1"/>
  <c r="Y169" i="6"/>
  <c r="X169" i="6"/>
  <c r="W169" i="6"/>
  <c r="V169" i="6"/>
  <c r="AI169" i="6" s="1"/>
  <c r="U169" i="6"/>
  <c r="T169" i="6"/>
  <c r="AG169" i="6" s="1"/>
  <c r="S169" i="6"/>
  <c r="R169" i="6"/>
  <c r="Q169" i="6"/>
  <c r="P169" i="6"/>
  <c r="AA168" i="6"/>
  <c r="Z168" i="6"/>
  <c r="Y168" i="6"/>
  <c r="AM168" i="6"/>
  <c r="X168" i="6"/>
  <c r="W168" i="6"/>
  <c r="V168" i="6"/>
  <c r="U168" i="6"/>
  <c r="T168" i="6"/>
  <c r="AH168" i="6" s="1"/>
  <c r="S168" i="6"/>
  <c r="AF168" i="6" s="1"/>
  <c r="R168" i="6"/>
  <c r="AE168" i="6"/>
  <c r="Q168" i="6"/>
  <c r="P168" i="6"/>
  <c r="AA167" i="6"/>
  <c r="AN167" i="6" s="1"/>
  <c r="Z167" i="6"/>
  <c r="Y167" i="6"/>
  <c r="X167" i="6"/>
  <c r="W167" i="6"/>
  <c r="V167" i="6"/>
  <c r="U167" i="6"/>
  <c r="T167" i="6"/>
  <c r="S167" i="6"/>
  <c r="R167" i="6"/>
  <c r="Q167" i="6"/>
  <c r="P167" i="6"/>
  <c r="AA166" i="6"/>
  <c r="Z166" i="6"/>
  <c r="Y166" i="6"/>
  <c r="AL166" i="6" s="1"/>
  <c r="X166" i="6"/>
  <c r="W166" i="6"/>
  <c r="V166" i="6"/>
  <c r="U166" i="6"/>
  <c r="AH166" i="6" s="1"/>
  <c r="T166" i="6"/>
  <c r="S166" i="6"/>
  <c r="AG166" i="6" s="1"/>
  <c r="R166" i="6"/>
  <c r="AB166" i="6"/>
  <c r="Q166" i="6"/>
  <c r="P166" i="6"/>
  <c r="AA165" i="6"/>
  <c r="Z165" i="6"/>
  <c r="AM165" i="6" s="1"/>
  <c r="Y165" i="6"/>
  <c r="X165" i="6"/>
  <c r="AL165" i="6"/>
  <c r="W165" i="6"/>
  <c r="AK165" i="6"/>
  <c r="V165" i="6"/>
  <c r="U165" i="6"/>
  <c r="T165" i="6"/>
  <c r="S165" i="6"/>
  <c r="R165" i="6"/>
  <c r="Q165" i="6"/>
  <c r="P165" i="6"/>
  <c r="AA164" i="6"/>
  <c r="Z164" i="6"/>
  <c r="AN164" i="6" s="1"/>
  <c r="Y164" i="6"/>
  <c r="X164" i="6"/>
  <c r="W164" i="6"/>
  <c r="AJ164" i="6" s="1"/>
  <c r="V164" i="6"/>
  <c r="U164" i="6"/>
  <c r="AI164" i="6" s="1"/>
  <c r="T164" i="6"/>
  <c r="AH164" i="6"/>
  <c r="S164" i="6"/>
  <c r="R164" i="6"/>
  <c r="AB164" i="6"/>
  <c r="Q164" i="6"/>
  <c r="P164" i="6"/>
  <c r="AA163" i="6"/>
  <c r="Z163" i="6"/>
  <c r="AN163" i="6"/>
  <c r="Y163" i="6"/>
  <c r="AM163" i="6"/>
  <c r="X163" i="6"/>
  <c r="W163" i="6"/>
  <c r="V163" i="6"/>
  <c r="AJ163" i="6"/>
  <c r="U163" i="6"/>
  <c r="T163" i="6"/>
  <c r="AG163" i="6" s="1"/>
  <c r="S163" i="6"/>
  <c r="R163" i="6"/>
  <c r="Q163" i="6"/>
  <c r="P163" i="6"/>
  <c r="AA162" i="6"/>
  <c r="Z162" i="6"/>
  <c r="AM162" i="6" s="1"/>
  <c r="Y162" i="6"/>
  <c r="X162" i="6"/>
  <c r="W162" i="6"/>
  <c r="V162" i="6"/>
  <c r="U162" i="6"/>
  <c r="T162" i="6"/>
  <c r="S162" i="6"/>
  <c r="R162" i="6"/>
  <c r="AF162" i="6"/>
  <c r="Q162" i="6"/>
  <c r="P162" i="6"/>
  <c r="AA161" i="6"/>
  <c r="Z161" i="6"/>
  <c r="AM161" i="6" s="1"/>
  <c r="Y161" i="6"/>
  <c r="X161" i="6"/>
  <c r="AL161" i="6"/>
  <c r="W161" i="6"/>
  <c r="AK161" i="6"/>
  <c r="V161" i="6"/>
  <c r="U161" i="6"/>
  <c r="T161" i="6"/>
  <c r="AG161" i="6" s="1"/>
  <c r="AH161" i="6"/>
  <c r="S161" i="6"/>
  <c r="R161" i="6"/>
  <c r="Q161" i="6"/>
  <c r="P161" i="6"/>
  <c r="AA160" i="6"/>
  <c r="Z160" i="6"/>
  <c r="Y160" i="6"/>
  <c r="X160" i="6"/>
  <c r="W160" i="6"/>
  <c r="V160" i="6"/>
  <c r="AI160" i="6" s="1"/>
  <c r="U160" i="6"/>
  <c r="T160" i="6"/>
  <c r="AG160" i="6" s="1"/>
  <c r="S160" i="6"/>
  <c r="R160" i="6"/>
  <c r="Q160" i="6"/>
  <c r="P160" i="6"/>
  <c r="AA159" i="6"/>
  <c r="Z159" i="6"/>
  <c r="AN159" i="6"/>
  <c r="Y159" i="6"/>
  <c r="AL159" i="6" s="1"/>
  <c r="X159" i="6"/>
  <c r="W159" i="6"/>
  <c r="AJ159" i="6" s="1"/>
  <c r="V159" i="6"/>
  <c r="U159" i="6"/>
  <c r="T159" i="6"/>
  <c r="S159" i="6"/>
  <c r="R159" i="6"/>
  <c r="AF159" i="6"/>
  <c r="Q159" i="6"/>
  <c r="P159" i="6"/>
  <c r="AA158" i="6"/>
  <c r="Z158" i="6"/>
  <c r="AN158" i="6"/>
  <c r="Y158" i="6"/>
  <c r="X158" i="6"/>
  <c r="AK158" i="6" s="1"/>
  <c r="W158" i="6"/>
  <c r="V158" i="6"/>
  <c r="AJ158" i="6" s="1"/>
  <c r="U158" i="6"/>
  <c r="AI158" i="6"/>
  <c r="T158" i="6"/>
  <c r="S158" i="6"/>
  <c r="R158" i="6"/>
  <c r="Q158" i="6"/>
  <c r="P158" i="6"/>
  <c r="AA157" i="6"/>
  <c r="AN157" i="6" s="1"/>
  <c r="Z157" i="6"/>
  <c r="Y157" i="6"/>
  <c r="X157" i="6"/>
  <c r="AK157" i="6" s="1"/>
  <c r="W157" i="6"/>
  <c r="V157" i="6"/>
  <c r="AI157" i="6" s="1"/>
  <c r="U157" i="6"/>
  <c r="T157" i="6"/>
  <c r="AH157" i="6" s="1"/>
  <c r="S157" i="6"/>
  <c r="AF157" i="6" s="1"/>
  <c r="R157" i="6"/>
  <c r="Q157" i="6"/>
  <c r="P157" i="6"/>
  <c r="AA156" i="6"/>
  <c r="Z156" i="6"/>
  <c r="AM156" i="6" s="1"/>
  <c r="Y156" i="6"/>
  <c r="AL156" i="6" s="1"/>
  <c r="X156" i="6"/>
  <c r="W156" i="6"/>
  <c r="AD156" i="6" s="1"/>
  <c r="V156" i="6"/>
  <c r="AJ156" i="6"/>
  <c r="U156" i="6"/>
  <c r="AI156" i="6"/>
  <c r="T156" i="6"/>
  <c r="AG156" i="6" s="1"/>
  <c r="AH156" i="6"/>
  <c r="S156" i="6"/>
  <c r="AF156" i="6" s="1"/>
  <c r="R156" i="6"/>
  <c r="AE156" i="6"/>
  <c r="Q156" i="6"/>
  <c r="P156" i="6"/>
  <c r="AA155" i="6"/>
  <c r="Z155" i="6"/>
  <c r="AM155" i="6" s="1"/>
  <c r="Y155" i="6"/>
  <c r="X155" i="6"/>
  <c r="AE155" i="6" s="1"/>
  <c r="W155" i="6"/>
  <c r="V155" i="6"/>
  <c r="U155" i="6"/>
  <c r="AH155" i="6" s="1"/>
  <c r="T155" i="6"/>
  <c r="S155" i="6"/>
  <c r="R155" i="6"/>
  <c r="Q155" i="6"/>
  <c r="P155" i="6"/>
  <c r="AA154" i="6"/>
  <c r="Z154" i="6"/>
  <c r="Y154" i="6"/>
  <c r="X154" i="6"/>
  <c r="W154" i="6"/>
  <c r="V154" i="6"/>
  <c r="U154" i="6"/>
  <c r="AH154" i="6" s="1"/>
  <c r="AI154" i="6"/>
  <c r="T154" i="6"/>
  <c r="S154" i="6"/>
  <c r="R154" i="6"/>
  <c r="AF154" i="6"/>
  <c r="Q154" i="6"/>
  <c r="P154" i="6"/>
  <c r="AA153" i="6"/>
  <c r="AN153" i="6" s="1"/>
  <c r="Z153" i="6"/>
  <c r="Y153" i="6"/>
  <c r="X153" i="6"/>
  <c r="W153" i="6"/>
  <c r="V153" i="6"/>
  <c r="AI153" i="6" s="1"/>
  <c r="U153" i="6"/>
  <c r="T153" i="6"/>
  <c r="S153" i="6"/>
  <c r="AF153" i="6" s="1"/>
  <c r="R153" i="6"/>
  <c r="Q153" i="6"/>
  <c r="P153" i="6"/>
  <c r="AA152" i="6"/>
  <c r="AN152" i="6" s="1"/>
  <c r="Z152" i="6"/>
  <c r="AM152" i="6" s="1"/>
  <c r="Y152" i="6"/>
  <c r="X152" i="6"/>
  <c r="W152" i="6"/>
  <c r="V152" i="6"/>
  <c r="AI152" i="6" s="1"/>
  <c r="U152" i="6"/>
  <c r="T152" i="6"/>
  <c r="S152" i="6"/>
  <c r="AG152" i="6" s="1"/>
  <c r="R152" i="6"/>
  <c r="AF152" i="6"/>
  <c r="Q152" i="6"/>
  <c r="P152" i="6"/>
  <c r="AA151" i="6"/>
  <c r="AN151" i="6" s="1"/>
  <c r="Z151" i="6"/>
  <c r="AM151" i="6" s="1"/>
  <c r="Y151" i="6"/>
  <c r="AL151" i="6" s="1"/>
  <c r="X151" i="6"/>
  <c r="AE151" i="6" s="1"/>
  <c r="W151" i="6"/>
  <c r="V151" i="6"/>
  <c r="U151" i="6"/>
  <c r="AH151" i="6" s="1"/>
  <c r="T151" i="6"/>
  <c r="S151" i="6"/>
  <c r="R151" i="6"/>
  <c r="AF151" i="6"/>
  <c r="Q151" i="6"/>
  <c r="P151" i="6"/>
  <c r="AA150" i="6"/>
  <c r="AN150" i="6" s="1"/>
  <c r="Z150" i="6"/>
  <c r="Y150" i="6"/>
  <c r="X150" i="6"/>
  <c r="W150" i="6"/>
  <c r="V150" i="6"/>
  <c r="U150" i="6"/>
  <c r="AH150" i="6" s="1"/>
  <c r="T150" i="6"/>
  <c r="S150" i="6"/>
  <c r="AF150" i="6" s="1"/>
  <c r="R150" i="6"/>
  <c r="AB150" i="6"/>
  <c r="Q150" i="6"/>
  <c r="P150" i="6"/>
  <c r="AA149" i="6"/>
  <c r="AN149" i="6" s="1"/>
  <c r="Z149" i="6"/>
  <c r="Y149" i="6"/>
  <c r="X149" i="6"/>
  <c r="W149" i="6"/>
  <c r="V149" i="6"/>
  <c r="AI149" i="6" s="1"/>
  <c r="U149" i="6"/>
  <c r="T149" i="6"/>
  <c r="AG149" i="6" s="1"/>
  <c r="S149" i="6"/>
  <c r="R149" i="6"/>
  <c r="AF149" i="6" s="1"/>
  <c r="AB149" i="6"/>
  <c r="Q149" i="6"/>
  <c r="P149" i="6"/>
  <c r="AA148" i="6"/>
  <c r="Z148" i="6"/>
  <c r="AM148" i="6" s="1"/>
  <c r="Y148" i="6"/>
  <c r="X148" i="6"/>
  <c r="AL148" i="6"/>
  <c r="W148" i="6"/>
  <c r="AK148" i="6"/>
  <c r="V148" i="6"/>
  <c r="AJ148" i="6"/>
  <c r="U148" i="6"/>
  <c r="T148" i="6"/>
  <c r="S148" i="6"/>
  <c r="AG148" i="6"/>
  <c r="R148" i="6"/>
  <c r="AE148" i="6"/>
  <c r="Q148" i="6"/>
  <c r="P148" i="6"/>
  <c r="AA147" i="6"/>
  <c r="Z147" i="6"/>
  <c r="Y147" i="6"/>
  <c r="AM147" i="6"/>
  <c r="X147" i="6"/>
  <c r="AL147" i="6"/>
  <c r="W147" i="6"/>
  <c r="AE147" i="6" s="1"/>
  <c r="V147" i="6"/>
  <c r="U147" i="6"/>
  <c r="AI147" i="6"/>
  <c r="T147" i="6"/>
  <c r="AG147" i="6" s="1"/>
  <c r="AH147" i="6"/>
  <c r="S147" i="6"/>
  <c r="R147" i="6"/>
  <c r="AF147" i="6" s="1"/>
  <c r="Q147" i="6"/>
  <c r="P147" i="6"/>
  <c r="AA146" i="6"/>
  <c r="Z146" i="6"/>
  <c r="Y146" i="6"/>
  <c r="X146" i="6"/>
  <c r="AK146" i="6" s="1"/>
  <c r="W146" i="6"/>
  <c r="AD146" i="6" s="1"/>
  <c r="V146" i="6"/>
  <c r="AJ146" i="6"/>
  <c r="U146" i="6"/>
  <c r="AH146" i="6" s="1"/>
  <c r="T146" i="6"/>
  <c r="AG146" i="6" s="1"/>
  <c r="S146" i="6"/>
  <c r="R146" i="6"/>
  <c r="Q146" i="6"/>
  <c r="P146" i="6"/>
  <c r="AA145" i="6"/>
  <c r="Z145" i="6"/>
  <c r="Y145" i="6"/>
  <c r="X145" i="6"/>
  <c r="AK145" i="6" s="1"/>
  <c r="W145" i="6"/>
  <c r="AJ145" i="6" s="1"/>
  <c r="V145" i="6"/>
  <c r="U145" i="6"/>
  <c r="AH145" i="6" s="1"/>
  <c r="AI145" i="6"/>
  <c r="T145" i="6"/>
  <c r="S145" i="6"/>
  <c r="AG145" i="6" s="1"/>
  <c r="R145" i="6"/>
  <c r="AF145" i="6" s="1"/>
  <c r="AD145" i="6"/>
  <c r="Q145" i="6"/>
  <c r="P145" i="6"/>
  <c r="AA144" i="6"/>
  <c r="Z144" i="6"/>
  <c r="AN144" i="6"/>
  <c r="Y144" i="6"/>
  <c r="X144" i="6"/>
  <c r="AK144" i="6" s="1"/>
  <c r="W144" i="6"/>
  <c r="V144" i="6"/>
  <c r="AJ144" i="6" s="1"/>
  <c r="U144" i="6"/>
  <c r="AI144" i="6"/>
  <c r="T144" i="6"/>
  <c r="S144" i="6"/>
  <c r="R144" i="6"/>
  <c r="AE144" i="6"/>
  <c r="Q144" i="6"/>
  <c r="P144" i="6"/>
  <c r="AA143" i="6"/>
  <c r="Z143" i="6"/>
  <c r="Y143" i="6"/>
  <c r="AL143" i="6" s="1"/>
  <c r="X143" i="6"/>
  <c r="W143" i="6"/>
  <c r="AE143" i="6" s="1"/>
  <c r="V143" i="6"/>
  <c r="U143" i="6"/>
  <c r="T143" i="6"/>
  <c r="S143" i="6"/>
  <c r="R143" i="6"/>
  <c r="Q143" i="6"/>
  <c r="P143" i="6"/>
  <c r="AA142" i="6"/>
  <c r="AN142" i="6" s="1"/>
  <c r="Z142" i="6"/>
  <c r="Y142" i="6"/>
  <c r="X142" i="6"/>
  <c r="AK142" i="6" s="1"/>
  <c r="W142" i="6"/>
  <c r="V142" i="6"/>
  <c r="AJ142" i="6" s="1"/>
  <c r="U142" i="6"/>
  <c r="T142" i="6"/>
  <c r="S142" i="6"/>
  <c r="R142" i="6"/>
  <c r="AF142" i="6"/>
  <c r="AE142" i="6"/>
  <c r="Q142" i="6"/>
  <c r="P142" i="6"/>
  <c r="AA141" i="6"/>
  <c r="Z141" i="6"/>
  <c r="Y141" i="6"/>
  <c r="X141" i="6"/>
  <c r="AE141" i="6" s="1"/>
  <c r="W141" i="6"/>
  <c r="V141" i="6"/>
  <c r="AJ141" i="6"/>
  <c r="U141" i="6"/>
  <c r="T141" i="6"/>
  <c r="S141" i="6"/>
  <c r="R141" i="6"/>
  <c r="Q141" i="6"/>
  <c r="P141" i="6"/>
  <c r="AA140" i="6"/>
  <c r="AN140" i="6" s="1"/>
  <c r="Z140" i="6"/>
  <c r="Y140" i="6"/>
  <c r="AM140" i="6" s="1"/>
  <c r="X140" i="6"/>
  <c r="W140" i="6"/>
  <c r="V140" i="6"/>
  <c r="U140" i="6"/>
  <c r="AI140" i="6"/>
  <c r="T140" i="6"/>
  <c r="S140" i="6"/>
  <c r="AF140" i="6" s="1"/>
  <c r="R140" i="6"/>
  <c r="Q140" i="6"/>
  <c r="P140" i="6"/>
  <c r="AA139" i="6"/>
  <c r="Z139" i="6"/>
  <c r="Y139" i="6"/>
  <c r="AM139" i="6"/>
  <c r="X139" i="6"/>
  <c r="W139" i="6"/>
  <c r="V139" i="6"/>
  <c r="AI139" i="6" s="1"/>
  <c r="U139" i="6"/>
  <c r="T139" i="6"/>
  <c r="AH139" i="6" s="1"/>
  <c r="S139" i="6"/>
  <c r="R139" i="6"/>
  <c r="Q139" i="6"/>
  <c r="P139" i="6"/>
  <c r="AA138" i="6"/>
  <c r="AN138" i="6" s="1"/>
  <c r="Z138" i="6"/>
  <c r="Y138" i="6"/>
  <c r="AM138" i="6" s="1"/>
  <c r="X138" i="6"/>
  <c r="AL138" i="6"/>
  <c r="W138" i="6"/>
  <c r="V138" i="6"/>
  <c r="U138" i="6"/>
  <c r="T138" i="6"/>
  <c r="AG138" i="6" s="1"/>
  <c r="AH138" i="6"/>
  <c r="S138" i="6"/>
  <c r="AF138" i="6" s="1"/>
  <c r="R138" i="6"/>
  <c r="AB138" i="6"/>
  <c r="Q138" i="6"/>
  <c r="P138" i="6"/>
  <c r="AA137" i="6"/>
  <c r="Z137" i="6"/>
  <c r="AN137" i="6"/>
  <c r="Y137" i="6"/>
  <c r="AM137" i="6" s="1"/>
  <c r="X137" i="6"/>
  <c r="W137" i="6"/>
  <c r="AJ137" i="6" s="1"/>
  <c r="V137" i="6"/>
  <c r="AD137" i="6" s="1"/>
  <c r="U137" i="6"/>
  <c r="T137" i="6"/>
  <c r="S137" i="6"/>
  <c r="R137" i="6"/>
  <c r="Q137" i="6"/>
  <c r="P137" i="6"/>
  <c r="AA136" i="6"/>
  <c r="Z136" i="6"/>
  <c r="AM136" i="6" s="1"/>
  <c r="Y136" i="6"/>
  <c r="X136" i="6"/>
  <c r="AL136" i="6"/>
  <c r="W136" i="6"/>
  <c r="AK136" i="6"/>
  <c r="V136" i="6"/>
  <c r="U136" i="6"/>
  <c r="T136" i="6"/>
  <c r="S136" i="6"/>
  <c r="R136" i="6"/>
  <c r="AE136" i="6"/>
  <c r="Q136" i="6"/>
  <c r="P136" i="6"/>
  <c r="AA135" i="6"/>
  <c r="Z135" i="6"/>
  <c r="Y135" i="6"/>
  <c r="X135" i="6"/>
  <c r="AL135" i="6"/>
  <c r="W135" i="6"/>
  <c r="V135" i="6"/>
  <c r="U135" i="6"/>
  <c r="T135" i="6"/>
  <c r="S135" i="6"/>
  <c r="AF135" i="6" s="1"/>
  <c r="R135" i="6"/>
  <c r="AD135" i="6"/>
  <c r="AB135" i="6"/>
  <c r="Q135" i="6"/>
  <c r="P135" i="6"/>
  <c r="AA134" i="6"/>
  <c r="Z134" i="6"/>
  <c r="AM134" i="6" s="1"/>
  <c r="Y134" i="6"/>
  <c r="X134" i="6"/>
  <c r="W134" i="6"/>
  <c r="AJ134" i="6" s="1"/>
  <c r="V134" i="6"/>
  <c r="U134" i="6"/>
  <c r="T134" i="6"/>
  <c r="AG134" i="6" s="1"/>
  <c r="S134" i="6"/>
  <c r="R134" i="6"/>
  <c r="Q134" i="6"/>
  <c r="P134" i="6"/>
  <c r="AA133" i="6"/>
  <c r="Z133" i="6"/>
  <c r="Y133" i="6"/>
  <c r="X133" i="6"/>
  <c r="AK133" i="6" s="1"/>
  <c r="W133" i="6"/>
  <c r="AJ133" i="6" s="1"/>
  <c r="V133" i="6"/>
  <c r="U133" i="6"/>
  <c r="AH133" i="6" s="1"/>
  <c r="T133" i="6"/>
  <c r="AG133" i="6" s="1"/>
  <c r="S133" i="6"/>
  <c r="AF133" i="6" s="1"/>
  <c r="R133" i="6"/>
  <c r="AE133" i="6"/>
  <c r="AB133" i="6"/>
  <c r="Q133" i="6"/>
  <c r="P133" i="6"/>
  <c r="AA132" i="6"/>
  <c r="Z132" i="6"/>
  <c r="Y132" i="6"/>
  <c r="X132" i="6"/>
  <c r="AK132" i="6" s="1"/>
  <c r="W132" i="6"/>
  <c r="V132" i="6"/>
  <c r="AJ132" i="6"/>
  <c r="U132" i="6"/>
  <c r="T132" i="6"/>
  <c r="AG132" i="6" s="1"/>
  <c r="S132" i="6"/>
  <c r="R132" i="6"/>
  <c r="AF132" i="6" s="1"/>
  <c r="AE132" i="6"/>
  <c r="Q132" i="6"/>
  <c r="P132" i="6"/>
  <c r="AA131" i="6"/>
  <c r="Z131" i="6"/>
  <c r="Y131" i="6"/>
  <c r="X131" i="6"/>
  <c r="W131" i="6"/>
  <c r="V131" i="6"/>
  <c r="AI131" i="6" s="1"/>
  <c r="U131" i="6"/>
  <c r="T131" i="6"/>
  <c r="S131" i="6"/>
  <c r="R131" i="6"/>
  <c r="Q131" i="6"/>
  <c r="P131" i="6"/>
  <c r="AA130" i="6"/>
  <c r="Z130" i="6"/>
  <c r="Y130" i="6"/>
  <c r="AM130" i="6"/>
  <c r="X130" i="6"/>
  <c r="W130" i="6"/>
  <c r="AD130" i="6" s="1"/>
  <c r="V130" i="6"/>
  <c r="AJ130" i="6"/>
  <c r="U130" i="6"/>
  <c r="T130" i="6"/>
  <c r="S130" i="6"/>
  <c r="R130" i="6"/>
  <c r="Q130" i="6"/>
  <c r="P130" i="6"/>
  <c r="AA129" i="6"/>
  <c r="Z129" i="6"/>
  <c r="Y129" i="6"/>
  <c r="X129" i="6"/>
  <c r="AE129" i="6" s="1"/>
  <c r="W129" i="6"/>
  <c r="V129" i="6"/>
  <c r="AJ129" i="6"/>
  <c r="U129" i="6"/>
  <c r="T129" i="6"/>
  <c r="S129" i="6"/>
  <c r="AF129" i="6" s="1"/>
  <c r="R129" i="6"/>
  <c r="AD129" i="6"/>
  <c r="Q129" i="6"/>
  <c r="P129" i="6"/>
  <c r="AA128" i="6"/>
  <c r="Z128" i="6"/>
  <c r="AN128" i="6"/>
  <c r="Y128" i="6"/>
  <c r="AM128" i="6"/>
  <c r="X128" i="6"/>
  <c r="W128" i="6"/>
  <c r="V128" i="6"/>
  <c r="AJ128" i="6" s="1"/>
  <c r="U128" i="6"/>
  <c r="T128" i="6"/>
  <c r="AG128" i="6" s="1"/>
  <c r="AH128" i="6"/>
  <c r="S128" i="6"/>
  <c r="AF128" i="6" s="1"/>
  <c r="R128" i="6"/>
  <c r="Q128" i="6"/>
  <c r="P128" i="6"/>
  <c r="AA127" i="6"/>
  <c r="Z127" i="6"/>
  <c r="Y127" i="6"/>
  <c r="X127" i="6"/>
  <c r="W127" i="6"/>
  <c r="AK127" i="6" s="1"/>
  <c r="V127" i="6"/>
  <c r="U127" i="6"/>
  <c r="T127" i="6"/>
  <c r="S127" i="6"/>
  <c r="R127" i="6"/>
  <c r="Q127" i="6"/>
  <c r="P127" i="6"/>
  <c r="AA126" i="6"/>
  <c r="AN126" i="6" s="1"/>
  <c r="Z126" i="6"/>
  <c r="Y126" i="6"/>
  <c r="X126" i="6"/>
  <c r="W126" i="6"/>
  <c r="AK126" i="6"/>
  <c r="V126" i="6"/>
  <c r="U126" i="6"/>
  <c r="AH126" i="6" s="1"/>
  <c r="T126" i="6"/>
  <c r="S126" i="6"/>
  <c r="AF126" i="6" s="1"/>
  <c r="R126" i="6"/>
  <c r="Q126" i="6"/>
  <c r="P126" i="6"/>
  <c r="AA125" i="6"/>
  <c r="Z125" i="6"/>
  <c r="AM125" i="6" s="1"/>
  <c r="Y125" i="6"/>
  <c r="AL125" i="6" s="1"/>
  <c r="X125" i="6"/>
  <c r="W125" i="6"/>
  <c r="AK125" i="6"/>
  <c r="V125" i="6"/>
  <c r="U125" i="6"/>
  <c r="AI125" i="6"/>
  <c r="T125" i="6"/>
  <c r="S125" i="6"/>
  <c r="AF125" i="6" s="1"/>
  <c r="R125" i="6"/>
  <c r="Q125" i="6"/>
  <c r="P125" i="6"/>
  <c r="AA124" i="6"/>
  <c r="Z124" i="6"/>
  <c r="Y124" i="6"/>
  <c r="X124" i="6"/>
  <c r="W124" i="6"/>
  <c r="V124" i="6"/>
  <c r="AI124" i="6" s="1"/>
  <c r="U124" i="6"/>
  <c r="T124" i="6"/>
  <c r="S124" i="6"/>
  <c r="R124" i="6"/>
  <c r="AB124" i="6"/>
  <c r="Q124" i="6"/>
  <c r="P124" i="6"/>
  <c r="AA123" i="6"/>
  <c r="Z123" i="6"/>
  <c r="Y123" i="6"/>
  <c r="AL123" i="6" s="1"/>
  <c r="X123" i="6"/>
  <c r="W123" i="6"/>
  <c r="V123" i="6"/>
  <c r="AI123" i="6" s="1"/>
  <c r="U123" i="6"/>
  <c r="T123" i="6"/>
  <c r="AG123" i="6" s="1"/>
  <c r="S123" i="6"/>
  <c r="R123" i="6"/>
  <c r="AF123" i="6" s="1"/>
  <c r="Q123" i="6"/>
  <c r="P123" i="6"/>
  <c r="AA122" i="6"/>
  <c r="Z122" i="6"/>
  <c r="Y122" i="6"/>
  <c r="AL122" i="6" s="1"/>
  <c r="X122" i="6"/>
  <c r="W122" i="6"/>
  <c r="V122" i="6"/>
  <c r="U122" i="6"/>
  <c r="AH122" i="6" s="1"/>
  <c r="T122" i="6"/>
  <c r="S122" i="6"/>
  <c r="AF122" i="6" s="1"/>
  <c r="R122" i="6"/>
  <c r="AE122" i="6"/>
  <c r="AB122" i="6"/>
  <c r="Q122" i="6"/>
  <c r="P122" i="6"/>
  <c r="AA121" i="6"/>
  <c r="AN121" i="6" s="1"/>
  <c r="Z121" i="6"/>
  <c r="AM121" i="6" s="1"/>
  <c r="Y121" i="6"/>
  <c r="X121" i="6"/>
  <c r="W121" i="6"/>
  <c r="V121" i="6"/>
  <c r="U121" i="6"/>
  <c r="T121" i="6"/>
  <c r="S121" i="6"/>
  <c r="AF121" i="6" s="1"/>
  <c r="R121" i="6"/>
  <c r="AB121" i="6"/>
  <c r="Q121" i="6"/>
  <c r="P121" i="6"/>
  <c r="AA120" i="6"/>
  <c r="AN120" i="6" s="1"/>
  <c r="Z120" i="6"/>
  <c r="Y120" i="6"/>
  <c r="X120" i="6"/>
  <c r="W120" i="6"/>
  <c r="V120" i="6"/>
  <c r="AJ120" i="6" s="1"/>
  <c r="U120" i="6"/>
  <c r="AH120" i="6" s="1"/>
  <c r="T120" i="6"/>
  <c r="S120" i="6"/>
  <c r="AF120" i="6" s="1"/>
  <c r="R120" i="6"/>
  <c r="AD120" i="6"/>
  <c r="Q120" i="6"/>
  <c r="P120" i="6"/>
  <c r="AA119" i="6"/>
  <c r="Z119" i="6"/>
  <c r="AM119" i="6" s="1"/>
  <c r="Y119" i="6"/>
  <c r="AL119" i="6" s="1"/>
  <c r="X119" i="6"/>
  <c r="W119" i="6"/>
  <c r="V119" i="6"/>
  <c r="U119" i="6"/>
  <c r="AH119" i="6" s="1"/>
  <c r="T119" i="6"/>
  <c r="S119" i="6"/>
  <c r="R119" i="6"/>
  <c r="Q119" i="6"/>
  <c r="P119" i="6"/>
  <c r="AA118" i="6"/>
  <c r="Z118" i="6"/>
  <c r="Y118" i="6"/>
  <c r="X118" i="6"/>
  <c r="W118" i="6"/>
  <c r="V118" i="6"/>
  <c r="U118" i="6"/>
  <c r="T118" i="6"/>
  <c r="S118" i="6"/>
  <c r="AG118" i="6"/>
  <c r="R118" i="6"/>
  <c r="AF118" i="6"/>
  <c r="Q118" i="6"/>
  <c r="P118" i="6"/>
  <c r="AA117" i="6"/>
  <c r="AN117" i="6" s="1"/>
  <c r="Z117" i="6"/>
  <c r="Y117" i="6"/>
  <c r="AL117" i="6" s="1"/>
  <c r="X117" i="6"/>
  <c r="W117" i="6"/>
  <c r="V117" i="6"/>
  <c r="U117" i="6"/>
  <c r="T117" i="6"/>
  <c r="S117" i="6"/>
  <c r="R117" i="6"/>
  <c r="AF117" i="6"/>
  <c r="AD117" i="6"/>
  <c r="Q117" i="6"/>
  <c r="P117" i="6"/>
  <c r="AA116" i="6"/>
  <c r="Z116" i="6"/>
  <c r="Y116" i="6"/>
  <c r="X116" i="6"/>
  <c r="AK116" i="6" s="1"/>
  <c r="W116" i="6"/>
  <c r="V116" i="6"/>
  <c r="AJ116" i="6"/>
  <c r="U116" i="6"/>
  <c r="T116" i="6"/>
  <c r="S116" i="6"/>
  <c r="R116" i="6"/>
  <c r="AE116" i="6"/>
  <c r="AD116" i="6"/>
  <c r="Q116" i="6"/>
  <c r="P116" i="6"/>
  <c r="AA115" i="6"/>
  <c r="AN115" i="6" s="1"/>
  <c r="Z115" i="6"/>
  <c r="Y115" i="6"/>
  <c r="X115" i="6"/>
  <c r="AL115" i="6"/>
  <c r="W115" i="6"/>
  <c r="AK115" i="6"/>
  <c r="V115" i="6"/>
  <c r="AI115" i="6" s="1"/>
  <c r="U115" i="6"/>
  <c r="T115" i="6"/>
  <c r="AH115" i="6"/>
  <c r="S115" i="6"/>
  <c r="AG115" i="6"/>
  <c r="R115" i="6"/>
  <c r="Q115" i="6"/>
  <c r="P115" i="6"/>
  <c r="AA114" i="6"/>
  <c r="AN114" i="6" s="1"/>
  <c r="Z114" i="6"/>
  <c r="Y114" i="6"/>
  <c r="AM114" i="6" s="1"/>
  <c r="X114" i="6"/>
  <c r="W114" i="6"/>
  <c r="V114" i="6"/>
  <c r="U114" i="6"/>
  <c r="T114" i="6"/>
  <c r="AG114" i="6" s="1"/>
  <c r="S114" i="6"/>
  <c r="R114" i="6"/>
  <c r="Q114" i="6"/>
  <c r="P114" i="6"/>
  <c r="AA113" i="6"/>
  <c r="Z113" i="6"/>
  <c r="AM113" i="6" s="1"/>
  <c r="Y113" i="6"/>
  <c r="X113" i="6"/>
  <c r="AL113" i="6" s="1"/>
  <c r="W113" i="6"/>
  <c r="V113" i="6"/>
  <c r="AI113" i="6" s="1"/>
  <c r="U113" i="6"/>
  <c r="T113" i="6"/>
  <c r="AH113" i="6" s="1"/>
  <c r="S113" i="6"/>
  <c r="R113" i="6"/>
  <c r="Q113" i="6"/>
  <c r="P113" i="6"/>
  <c r="AA112" i="6"/>
  <c r="Z112" i="6"/>
  <c r="AM112" i="6" s="1"/>
  <c r="Y112" i="6"/>
  <c r="X112" i="6"/>
  <c r="W112" i="6"/>
  <c r="V112" i="6"/>
  <c r="AJ112" i="6"/>
  <c r="U112" i="6"/>
  <c r="T112" i="6"/>
  <c r="AG112" i="6" s="1"/>
  <c r="S112" i="6"/>
  <c r="R112" i="6"/>
  <c r="Q112" i="6"/>
  <c r="P112" i="6"/>
  <c r="AA111" i="6"/>
  <c r="Z111" i="6"/>
  <c r="AN111" i="6"/>
  <c r="Y111" i="6"/>
  <c r="X111" i="6"/>
  <c r="AE111" i="6" s="1"/>
  <c r="W111" i="6"/>
  <c r="AD111" i="6" s="1"/>
  <c r="V111" i="6"/>
  <c r="AI111" i="6" s="1"/>
  <c r="AJ111" i="6"/>
  <c r="U111" i="6"/>
  <c r="AH111" i="6" s="1"/>
  <c r="T111" i="6"/>
  <c r="S111" i="6"/>
  <c r="AF111" i="6" s="1"/>
  <c r="R111" i="6"/>
  <c r="Q111" i="6"/>
  <c r="P111" i="6"/>
  <c r="AA110" i="6"/>
  <c r="Z110" i="6"/>
  <c r="AN110" i="6"/>
  <c r="Y110" i="6"/>
  <c r="AL110" i="6" s="1"/>
  <c r="X110" i="6"/>
  <c r="W110" i="6"/>
  <c r="V110" i="6"/>
  <c r="U110" i="6"/>
  <c r="T110" i="6"/>
  <c r="AG110" i="6" s="1"/>
  <c r="AH110" i="6"/>
  <c r="S110" i="6"/>
  <c r="R110" i="6"/>
  <c r="AF110" i="6" s="1"/>
  <c r="AB110" i="6"/>
  <c r="Q110" i="6"/>
  <c r="P110" i="6"/>
  <c r="AA109" i="6"/>
  <c r="AN109" i="6" s="1"/>
  <c r="Z109" i="6"/>
  <c r="Y109" i="6"/>
  <c r="X109" i="6"/>
  <c r="AL109" i="6"/>
  <c r="W109" i="6"/>
  <c r="V109" i="6"/>
  <c r="U109" i="6"/>
  <c r="T109" i="6"/>
  <c r="S109" i="6"/>
  <c r="AF109" i="6" s="1"/>
  <c r="R109" i="6"/>
  <c r="Q109" i="6"/>
  <c r="P109" i="6"/>
  <c r="AA108" i="6"/>
  <c r="Z108" i="6"/>
  <c r="AM108" i="6" s="1"/>
  <c r="Y108" i="6"/>
  <c r="AL108" i="6" s="1"/>
  <c r="X108" i="6"/>
  <c r="W108" i="6"/>
  <c r="V108" i="6"/>
  <c r="AI108" i="6" s="1"/>
  <c r="U108" i="6"/>
  <c r="T108" i="6"/>
  <c r="S108" i="6"/>
  <c r="AF108" i="6" s="1"/>
  <c r="R108" i="6"/>
  <c r="AB108" i="6"/>
  <c r="Q108" i="6"/>
  <c r="P108" i="6"/>
  <c r="AA107" i="6"/>
  <c r="Z107" i="6"/>
  <c r="Y107" i="6"/>
  <c r="X107" i="6"/>
  <c r="AK107" i="6" s="1"/>
  <c r="W107" i="6"/>
  <c r="V107" i="6"/>
  <c r="U107" i="6"/>
  <c r="T107" i="6"/>
  <c r="AH107" i="6"/>
  <c r="S107" i="6"/>
  <c r="AG107" i="6" s="1"/>
  <c r="R107" i="6"/>
  <c r="AF107" i="6"/>
  <c r="Q107" i="6"/>
  <c r="P107" i="6"/>
  <c r="AA106" i="6"/>
  <c r="AN106" i="6" s="1"/>
  <c r="Z106" i="6"/>
  <c r="Y106" i="6"/>
  <c r="X106" i="6"/>
  <c r="W106" i="6"/>
  <c r="V106" i="6"/>
  <c r="U106" i="6"/>
  <c r="T106" i="6"/>
  <c r="S106" i="6"/>
  <c r="AF106" i="6" s="1"/>
  <c r="R106" i="6"/>
  <c r="AB106" i="6"/>
  <c r="Q106" i="6"/>
  <c r="P106" i="6"/>
  <c r="AA105" i="6"/>
  <c r="Z105" i="6"/>
  <c r="Y105" i="6"/>
  <c r="AM105" i="6"/>
  <c r="X105" i="6"/>
  <c r="W105" i="6"/>
  <c r="AJ105" i="6" s="1"/>
  <c r="V105" i="6"/>
  <c r="U105" i="6"/>
  <c r="AI105" i="6" s="1"/>
  <c r="T105" i="6"/>
  <c r="AH105" i="6"/>
  <c r="S105" i="6"/>
  <c r="R105" i="6"/>
  <c r="AF105" i="6"/>
  <c r="AD105" i="6"/>
  <c r="Q105" i="6"/>
  <c r="P105" i="6"/>
  <c r="AA104" i="6"/>
  <c r="Z104" i="6"/>
  <c r="Y104" i="6"/>
  <c r="X104" i="6"/>
  <c r="AK104" i="6" s="1"/>
  <c r="W104" i="6"/>
  <c r="V104" i="6"/>
  <c r="AI104" i="6" s="1"/>
  <c r="U104" i="6"/>
  <c r="T104" i="6"/>
  <c r="S104" i="6"/>
  <c r="R104" i="6"/>
  <c r="Q104" i="6"/>
  <c r="P104" i="6"/>
  <c r="AA103" i="6"/>
  <c r="Z103" i="6"/>
  <c r="Y103" i="6"/>
  <c r="AL103" i="6" s="1"/>
  <c r="X103" i="6"/>
  <c r="AK103" i="6" s="1"/>
  <c r="W103" i="6"/>
  <c r="V103" i="6"/>
  <c r="AD103" i="6" s="1"/>
  <c r="U103" i="6"/>
  <c r="T103" i="6"/>
  <c r="AH103" i="6"/>
  <c r="S103" i="6"/>
  <c r="R103" i="6"/>
  <c r="Q103" i="6"/>
  <c r="P103" i="6"/>
  <c r="AA102" i="6"/>
  <c r="AN102" i="6" s="1"/>
  <c r="Z102" i="6"/>
  <c r="Y102" i="6"/>
  <c r="X102" i="6"/>
  <c r="W102" i="6"/>
  <c r="AK102" i="6"/>
  <c r="V102" i="6"/>
  <c r="U102" i="6"/>
  <c r="T102" i="6"/>
  <c r="AG102" i="6" s="1"/>
  <c r="S102" i="6"/>
  <c r="R102" i="6"/>
  <c r="Q102" i="6"/>
  <c r="P102" i="6"/>
  <c r="AA101" i="6"/>
  <c r="AN101" i="6" s="1"/>
  <c r="Z101" i="6"/>
  <c r="Y101" i="6"/>
  <c r="X101" i="6"/>
  <c r="AL101" i="6" s="1"/>
  <c r="W101" i="6"/>
  <c r="AJ101" i="6" s="1"/>
  <c r="AK101" i="6"/>
  <c r="V101" i="6"/>
  <c r="U101" i="6"/>
  <c r="T101" i="6"/>
  <c r="S101" i="6"/>
  <c r="R101" i="6"/>
  <c r="Q101" i="6"/>
  <c r="P101" i="6"/>
  <c r="AA100" i="6"/>
  <c r="AN100" i="6" s="1"/>
  <c r="Z100" i="6"/>
  <c r="Y100" i="6"/>
  <c r="X100" i="6"/>
  <c r="W100" i="6"/>
  <c r="V100" i="6"/>
  <c r="AI100" i="6" s="1"/>
  <c r="U100" i="6"/>
  <c r="AH100" i="6" s="1"/>
  <c r="T100" i="6"/>
  <c r="S100" i="6"/>
  <c r="R100" i="6"/>
  <c r="Q100" i="6"/>
  <c r="P100" i="6"/>
  <c r="AA99" i="6"/>
  <c r="Z99" i="6"/>
  <c r="AN99" i="6"/>
  <c r="Y99" i="6"/>
  <c r="AM99" i="6"/>
  <c r="X99" i="6"/>
  <c r="W99" i="6"/>
  <c r="AJ99" i="6" s="1"/>
  <c r="AK99" i="6"/>
  <c r="V99" i="6"/>
  <c r="U99" i="6"/>
  <c r="T99" i="6"/>
  <c r="AG99" i="6" s="1"/>
  <c r="S99" i="6"/>
  <c r="R99" i="6"/>
  <c r="AE99" i="6"/>
  <c r="AD99" i="6"/>
  <c r="Q99" i="6"/>
  <c r="P99" i="6"/>
  <c r="AA98" i="6"/>
  <c r="Z98" i="6"/>
  <c r="Y98" i="6"/>
  <c r="X98" i="6"/>
  <c r="W98" i="6"/>
  <c r="V98" i="6"/>
  <c r="U98" i="6"/>
  <c r="AH98" i="6" s="1"/>
  <c r="T98" i="6"/>
  <c r="AG98" i="6" s="1"/>
  <c r="S98" i="6"/>
  <c r="R98" i="6"/>
  <c r="Q98" i="6"/>
  <c r="P98" i="6"/>
  <c r="AA97" i="6"/>
  <c r="Z97" i="6"/>
  <c r="Y97" i="6"/>
  <c r="X97" i="6"/>
  <c r="W97" i="6"/>
  <c r="AJ97" i="6" s="1"/>
  <c r="V97" i="6"/>
  <c r="U97" i="6"/>
  <c r="AH97" i="6" s="1"/>
  <c r="T97" i="6"/>
  <c r="AG97" i="6" s="1"/>
  <c r="S97" i="6"/>
  <c r="R97" i="6"/>
  <c r="AF97" i="6" s="1"/>
  <c r="Q97" i="6"/>
  <c r="P97" i="6"/>
  <c r="AA96" i="6"/>
  <c r="Z96" i="6"/>
  <c r="AM96" i="6" s="1"/>
  <c r="Y96" i="6"/>
  <c r="X96" i="6"/>
  <c r="AE96" i="6" s="1"/>
  <c r="W96" i="6"/>
  <c r="V96" i="6"/>
  <c r="U96" i="6"/>
  <c r="AH96" i="6" s="1"/>
  <c r="T96" i="6"/>
  <c r="S96" i="6"/>
  <c r="AG96" i="6" s="1"/>
  <c r="R96" i="6"/>
  <c r="AF96" i="6"/>
  <c r="AD96" i="6"/>
  <c r="AB96" i="6"/>
  <c r="Q96" i="6"/>
  <c r="P96" i="6"/>
  <c r="AA95" i="6"/>
  <c r="Z95" i="6"/>
  <c r="Y95" i="6"/>
  <c r="AM95" i="6"/>
  <c r="X95" i="6"/>
  <c r="AL95" i="6"/>
  <c r="W95" i="6"/>
  <c r="V95" i="6"/>
  <c r="AJ95" i="6"/>
  <c r="U95" i="6"/>
  <c r="AI95" i="6"/>
  <c r="T95" i="6"/>
  <c r="S95" i="6"/>
  <c r="AF95" i="6" s="1"/>
  <c r="R95" i="6"/>
  <c r="Q95" i="6"/>
  <c r="P95" i="6"/>
  <c r="AA94" i="6"/>
  <c r="Z94" i="6"/>
  <c r="AM94" i="6" s="1"/>
  <c r="Y94" i="6"/>
  <c r="X94" i="6"/>
  <c r="W94" i="6"/>
  <c r="V94" i="6"/>
  <c r="U94" i="6"/>
  <c r="T94" i="6"/>
  <c r="AH94" i="6"/>
  <c r="S94" i="6"/>
  <c r="AF94" i="6" s="1"/>
  <c r="AG94" i="6"/>
  <c r="R94" i="6"/>
  <c r="AB94" i="6"/>
  <c r="Q94" i="6"/>
  <c r="P94" i="6"/>
  <c r="AA93" i="6"/>
  <c r="Z93" i="6"/>
  <c r="Y93" i="6"/>
  <c r="X93" i="6"/>
  <c r="W93" i="6"/>
  <c r="V93" i="6"/>
  <c r="U93" i="6"/>
  <c r="AI93" i="6"/>
  <c r="T93" i="6"/>
  <c r="AH93" i="6"/>
  <c r="S93" i="6"/>
  <c r="AF93" i="6" s="1"/>
  <c r="AG93" i="6"/>
  <c r="R93" i="6"/>
  <c r="Q93" i="6"/>
  <c r="P93" i="6"/>
  <c r="AA92" i="6"/>
  <c r="AN92" i="6" s="1"/>
  <c r="Z92" i="6"/>
  <c r="Y92" i="6"/>
  <c r="X92" i="6"/>
  <c r="W92" i="6"/>
  <c r="V92" i="6"/>
  <c r="U92" i="6"/>
  <c r="T92" i="6"/>
  <c r="S92" i="6"/>
  <c r="AF92" i="6" s="1"/>
  <c r="R92" i="6"/>
  <c r="Q92" i="6"/>
  <c r="P92" i="6"/>
  <c r="AA91" i="6"/>
  <c r="Z91" i="6"/>
  <c r="Y91" i="6"/>
  <c r="X91" i="6"/>
  <c r="AE91" i="6" s="1"/>
  <c r="AL91" i="6"/>
  <c r="W91" i="6"/>
  <c r="V91" i="6"/>
  <c r="AJ91" i="6"/>
  <c r="U91" i="6"/>
  <c r="T91" i="6"/>
  <c r="S91" i="6"/>
  <c r="AF91" i="6" s="1"/>
  <c r="R91" i="6"/>
  <c r="Q91" i="6"/>
  <c r="P91" i="6"/>
  <c r="AA90" i="6"/>
  <c r="AN90" i="6" s="1"/>
  <c r="Z90" i="6"/>
  <c r="Y90" i="6"/>
  <c r="AM90" i="6" s="1"/>
  <c r="X90" i="6"/>
  <c r="W90" i="6"/>
  <c r="V90" i="6"/>
  <c r="U90" i="6"/>
  <c r="T90" i="6"/>
  <c r="AG90" i="6" s="1"/>
  <c r="S90" i="6"/>
  <c r="AF90" i="6" s="1"/>
  <c r="R90" i="6"/>
  <c r="Q90" i="6"/>
  <c r="P90" i="6"/>
  <c r="AA89" i="6"/>
  <c r="AN89" i="6" s="1"/>
  <c r="Z89" i="6"/>
  <c r="Y89" i="6"/>
  <c r="X89" i="6"/>
  <c r="AK89" i="6" s="1"/>
  <c r="W89" i="6"/>
  <c r="V89" i="6"/>
  <c r="U89" i="6"/>
  <c r="AH89" i="6" s="1"/>
  <c r="T89" i="6"/>
  <c r="S89" i="6"/>
  <c r="AF89" i="6" s="1"/>
  <c r="R89" i="6"/>
  <c r="Q89" i="6"/>
  <c r="P89" i="6"/>
  <c r="AA88" i="6"/>
  <c r="AN88" i="6" s="1"/>
  <c r="Z88" i="6"/>
  <c r="Y88" i="6"/>
  <c r="X88" i="6"/>
  <c r="W88" i="6"/>
  <c r="V88" i="6"/>
  <c r="U88" i="6"/>
  <c r="AI88" i="6"/>
  <c r="T88" i="6"/>
  <c r="S88" i="6"/>
  <c r="AG88" i="6"/>
  <c r="R88" i="6"/>
  <c r="AF88" i="6"/>
  <c r="Q88" i="6"/>
  <c r="P88" i="6"/>
  <c r="AA87" i="6"/>
  <c r="Z87" i="6"/>
  <c r="AM87" i="6" s="1"/>
  <c r="Y87" i="6"/>
  <c r="X87" i="6"/>
  <c r="AK87" i="6" s="1"/>
  <c r="W87" i="6"/>
  <c r="V87" i="6"/>
  <c r="AI87" i="6" s="1"/>
  <c r="U87" i="6"/>
  <c r="T87" i="6"/>
  <c r="S87" i="6"/>
  <c r="AG87" i="6" s="1"/>
  <c r="R87" i="6"/>
  <c r="AF87" i="6" s="1"/>
  <c r="Q87" i="6"/>
  <c r="P87" i="6"/>
  <c r="AA86" i="6"/>
  <c r="Z86" i="6"/>
  <c r="Y86" i="6"/>
  <c r="X86" i="6"/>
  <c r="W86" i="6"/>
  <c r="V86" i="6"/>
  <c r="U86" i="6"/>
  <c r="T86" i="6"/>
  <c r="AH86" i="6"/>
  <c r="S86" i="6"/>
  <c r="R86" i="6"/>
  <c r="AE86" i="6"/>
  <c r="Q86" i="6"/>
  <c r="P86" i="6"/>
  <c r="AA85" i="6"/>
  <c r="AN85" i="6" s="1"/>
  <c r="Z85" i="6"/>
  <c r="Y85" i="6"/>
  <c r="X85" i="6"/>
  <c r="W85" i="6"/>
  <c r="V85" i="6"/>
  <c r="U85" i="6"/>
  <c r="AI85" i="6"/>
  <c r="T85" i="6"/>
  <c r="AH85" i="6"/>
  <c r="S85" i="6"/>
  <c r="R85" i="6"/>
  <c r="Q85" i="6"/>
  <c r="P85" i="6"/>
  <c r="AA84" i="6"/>
  <c r="Z84" i="6"/>
  <c r="Y84" i="6"/>
  <c r="X84" i="6"/>
  <c r="W84" i="6"/>
  <c r="AJ84" i="6" s="1"/>
  <c r="V84" i="6"/>
  <c r="U84" i="6"/>
  <c r="T84" i="6"/>
  <c r="S84" i="6"/>
  <c r="R84" i="6"/>
  <c r="AF84" i="6" s="1"/>
  <c r="Q84" i="6"/>
  <c r="P84" i="6"/>
  <c r="AA83" i="6"/>
  <c r="Z83" i="6"/>
  <c r="Y83" i="6"/>
  <c r="X83" i="6"/>
  <c r="W83" i="6"/>
  <c r="V83" i="6"/>
  <c r="U83" i="6"/>
  <c r="AI83" i="6"/>
  <c r="T83" i="6"/>
  <c r="S83" i="6"/>
  <c r="AF83" i="6" s="1"/>
  <c r="R83" i="6"/>
  <c r="Q83" i="6"/>
  <c r="P83" i="6"/>
  <c r="AA82" i="6"/>
  <c r="Z82" i="6"/>
  <c r="AN82" i="6" s="1"/>
  <c r="Y82" i="6"/>
  <c r="X82" i="6"/>
  <c r="AK82" i="6" s="1"/>
  <c r="W82" i="6"/>
  <c r="V82" i="6"/>
  <c r="AI82" i="6" s="1"/>
  <c r="AJ82" i="6"/>
  <c r="U82" i="6"/>
  <c r="T82" i="6"/>
  <c r="S82" i="6"/>
  <c r="R82" i="6"/>
  <c r="AB82" i="6"/>
  <c r="Q82" i="6"/>
  <c r="P82" i="6"/>
  <c r="AA81" i="6"/>
  <c r="Z81" i="6"/>
  <c r="Y81" i="6"/>
  <c r="AL81" i="6" s="1"/>
  <c r="X81" i="6"/>
  <c r="W81" i="6"/>
  <c r="V81" i="6"/>
  <c r="AI81" i="6" s="1"/>
  <c r="U81" i="6"/>
  <c r="AH81" i="6" s="1"/>
  <c r="T81" i="6"/>
  <c r="AG81" i="6" s="1"/>
  <c r="S81" i="6"/>
  <c r="AF81" i="6" s="1"/>
  <c r="R81" i="6"/>
  <c r="AB81" i="6"/>
  <c r="Q81" i="6"/>
  <c r="P81" i="6"/>
  <c r="AA80" i="6"/>
  <c r="Z80" i="6"/>
  <c r="AN80" i="6"/>
  <c r="Y80" i="6"/>
  <c r="AM80" i="6" s="1"/>
  <c r="X80" i="6"/>
  <c r="AE80" i="6" s="1"/>
  <c r="W80" i="6"/>
  <c r="AJ80" i="6" s="1"/>
  <c r="AK80" i="6"/>
  <c r="V80" i="6"/>
  <c r="U80" i="6"/>
  <c r="AH80" i="6" s="1"/>
  <c r="T80" i="6"/>
  <c r="S80" i="6"/>
  <c r="R80" i="6"/>
  <c r="AD80" i="6"/>
  <c r="AB80" i="6"/>
  <c r="Q80" i="6"/>
  <c r="P80" i="6"/>
  <c r="AA79" i="6"/>
  <c r="Z79" i="6"/>
  <c r="Y79" i="6"/>
  <c r="X79" i="6"/>
  <c r="W79" i="6"/>
  <c r="AJ79" i="6" s="1"/>
  <c r="V79" i="6"/>
  <c r="U79" i="6"/>
  <c r="T79" i="6"/>
  <c r="S79" i="6"/>
  <c r="R79" i="6"/>
  <c r="AF79" i="6"/>
  <c r="AD79" i="6"/>
  <c r="AB79" i="6"/>
  <c r="Q79" i="6"/>
  <c r="P79" i="6"/>
  <c r="AA78" i="6"/>
  <c r="Z78" i="6"/>
  <c r="AN78" i="6"/>
  <c r="Y78" i="6"/>
  <c r="X78" i="6"/>
  <c r="W78" i="6"/>
  <c r="V78" i="6"/>
  <c r="AJ78" i="6" s="1"/>
  <c r="U78" i="6"/>
  <c r="AI78" i="6"/>
  <c r="T78" i="6"/>
  <c r="AH78" i="6" s="1"/>
  <c r="S78" i="6"/>
  <c r="AF78" i="6" s="1"/>
  <c r="R78" i="6"/>
  <c r="Q78" i="6"/>
  <c r="P78" i="6"/>
  <c r="AA77" i="6"/>
  <c r="AN77" i="6" s="1"/>
  <c r="Z77" i="6"/>
  <c r="Y77" i="6"/>
  <c r="AM77" i="6"/>
  <c r="X77" i="6"/>
  <c r="AE77" i="6" s="1"/>
  <c r="W77" i="6"/>
  <c r="V77" i="6"/>
  <c r="U77" i="6"/>
  <c r="AH77" i="6" s="1"/>
  <c r="T77" i="6"/>
  <c r="S77" i="6"/>
  <c r="R77" i="6"/>
  <c r="Q77" i="6"/>
  <c r="P77" i="6"/>
  <c r="AA76" i="6"/>
  <c r="Z76" i="6"/>
  <c r="AN76" i="6"/>
  <c r="Y76" i="6"/>
  <c r="AM76" i="6"/>
  <c r="X76" i="6"/>
  <c r="W76" i="6"/>
  <c r="V76" i="6"/>
  <c r="AI76" i="6" s="1"/>
  <c r="U76" i="6"/>
  <c r="T76" i="6"/>
  <c r="S76" i="6"/>
  <c r="AF76" i="6" s="1"/>
  <c r="R76" i="6"/>
  <c r="AB76" i="6"/>
  <c r="Q76" i="6"/>
  <c r="P76" i="6"/>
  <c r="AA75" i="6"/>
  <c r="Z75" i="6"/>
  <c r="Y75" i="6"/>
  <c r="X75" i="6"/>
  <c r="W75" i="6"/>
  <c r="AJ75" i="6" s="1"/>
  <c r="V75" i="6"/>
  <c r="U75" i="6"/>
  <c r="AI75" i="6"/>
  <c r="T75" i="6"/>
  <c r="S75" i="6"/>
  <c r="R75" i="6"/>
  <c r="AD75" i="6"/>
  <c r="Q75" i="6"/>
  <c r="P75" i="6"/>
  <c r="AA74" i="6"/>
  <c r="AN74" i="6" s="1"/>
  <c r="Z74" i="6"/>
  <c r="Y74" i="6"/>
  <c r="AL74" i="6" s="1"/>
  <c r="X74" i="6"/>
  <c r="W74" i="6"/>
  <c r="V74" i="6"/>
  <c r="U74" i="6"/>
  <c r="AI74" i="6"/>
  <c r="T74" i="6"/>
  <c r="AH74" i="6" s="1"/>
  <c r="S74" i="6"/>
  <c r="AF74" i="6" s="1"/>
  <c r="AG74" i="6"/>
  <c r="R74" i="6"/>
  <c r="AE74" i="6"/>
  <c r="Q74" i="6"/>
  <c r="P74" i="6"/>
  <c r="AA73" i="6"/>
  <c r="Z73" i="6"/>
  <c r="Y73" i="6"/>
  <c r="AM73" i="6"/>
  <c r="X73" i="6"/>
  <c r="AL73" i="6" s="1"/>
  <c r="W73" i="6"/>
  <c r="AK73" i="6" s="1"/>
  <c r="V73" i="6"/>
  <c r="U73" i="6"/>
  <c r="AH73" i="6" s="1"/>
  <c r="T73" i="6"/>
  <c r="S73" i="6"/>
  <c r="R73" i="6"/>
  <c r="Q73" i="6"/>
  <c r="P73" i="6"/>
  <c r="AA72" i="6"/>
  <c r="Z72" i="6"/>
  <c r="Y72" i="6"/>
  <c r="X72" i="6"/>
  <c r="AE72" i="6" s="1"/>
  <c r="W72" i="6"/>
  <c r="V72" i="6"/>
  <c r="U72" i="6"/>
  <c r="AH72" i="6" s="1"/>
  <c r="AI72" i="6"/>
  <c r="T72" i="6"/>
  <c r="S72" i="6"/>
  <c r="R72" i="6"/>
  <c r="AF72" i="6"/>
  <c r="Q72" i="6"/>
  <c r="P72" i="6"/>
  <c r="AA71" i="6"/>
  <c r="Z71" i="6"/>
  <c r="Y71" i="6"/>
  <c r="X71" i="6"/>
  <c r="W71" i="6"/>
  <c r="AJ71" i="6" s="1"/>
  <c r="V71" i="6"/>
  <c r="AI71" i="6" s="1"/>
  <c r="U71" i="6"/>
  <c r="AH71" i="6" s="1"/>
  <c r="T71" i="6"/>
  <c r="S71" i="6"/>
  <c r="AG71" i="6" s="1"/>
  <c r="R71" i="6"/>
  <c r="AF71" i="6"/>
  <c r="Q71" i="6"/>
  <c r="P71" i="6"/>
  <c r="AA70" i="6"/>
  <c r="Z70" i="6"/>
  <c r="AM70" i="6" s="1"/>
  <c r="Y70" i="6"/>
  <c r="X70" i="6"/>
  <c r="W70" i="6"/>
  <c r="V70" i="6"/>
  <c r="U70" i="6"/>
  <c r="T70" i="6"/>
  <c r="S70" i="6"/>
  <c r="AG70" i="6" s="1"/>
  <c r="R70" i="6"/>
  <c r="AD70" i="6"/>
  <c r="Q70" i="6"/>
  <c r="P70" i="6"/>
  <c r="AA69" i="6"/>
  <c r="Z69" i="6"/>
  <c r="AM69" i="6" s="1"/>
  <c r="Y69" i="6"/>
  <c r="X69" i="6"/>
  <c r="W69" i="6"/>
  <c r="AK69" i="6"/>
  <c r="V69" i="6"/>
  <c r="AJ69" i="6"/>
  <c r="U69" i="6"/>
  <c r="AI69" i="6" s="1"/>
  <c r="T69" i="6"/>
  <c r="AG69" i="6" s="1"/>
  <c r="S69" i="6"/>
  <c r="R69" i="6"/>
  <c r="AF69" i="6"/>
  <c r="AD69" i="6"/>
  <c r="Q69" i="6"/>
  <c r="P69" i="6"/>
  <c r="AA68" i="6"/>
  <c r="Z68" i="6"/>
  <c r="Y68" i="6"/>
  <c r="X68" i="6"/>
  <c r="AK68" i="6" s="1"/>
  <c r="W68" i="6"/>
  <c r="V68" i="6"/>
  <c r="AI68" i="6" s="1"/>
  <c r="AJ68" i="6"/>
  <c r="U68" i="6"/>
  <c r="T68" i="6"/>
  <c r="AG68" i="6" s="1"/>
  <c r="S68" i="6"/>
  <c r="R68" i="6"/>
  <c r="AB68" i="6"/>
  <c r="Q68" i="6"/>
  <c r="P68" i="6"/>
  <c r="AA67" i="6"/>
  <c r="Z67" i="6"/>
  <c r="AN67" i="6" s="1"/>
  <c r="Y67" i="6"/>
  <c r="X67" i="6"/>
  <c r="AK67" i="6" s="1"/>
  <c r="W67" i="6"/>
  <c r="V67" i="6"/>
  <c r="U67" i="6"/>
  <c r="T67" i="6"/>
  <c r="S67" i="6"/>
  <c r="AF67" i="6" s="1"/>
  <c r="R67" i="6"/>
  <c r="AD67" i="6"/>
  <c r="Q67" i="6"/>
  <c r="P67" i="6"/>
  <c r="AA66" i="6"/>
  <c r="AN66" i="6" s="1"/>
  <c r="Z66" i="6"/>
  <c r="Y66" i="6"/>
  <c r="AM66" i="6" s="1"/>
  <c r="X66" i="6"/>
  <c r="AE66" i="6" s="1"/>
  <c r="W66" i="6"/>
  <c r="V66" i="6"/>
  <c r="U66" i="6"/>
  <c r="AH66" i="6" s="1"/>
  <c r="T66" i="6"/>
  <c r="S66" i="6"/>
  <c r="R66" i="6"/>
  <c r="AB66" i="6"/>
  <c r="Q66" i="6"/>
  <c r="P66" i="6"/>
  <c r="AA65" i="6"/>
  <c r="AN65" i="6" s="1"/>
  <c r="Z65" i="6"/>
  <c r="Y65" i="6"/>
  <c r="X65" i="6"/>
  <c r="AK65" i="6" s="1"/>
  <c r="W65" i="6"/>
  <c r="V65" i="6"/>
  <c r="AJ65" i="6"/>
  <c r="U65" i="6"/>
  <c r="AI65" i="6" s="1"/>
  <c r="T65" i="6"/>
  <c r="AH65" i="6"/>
  <c r="S65" i="6"/>
  <c r="AF65" i="6" s="1"/>
  <c r="R65" i="6"/>
  <c r="AB65" i="6"/>
  <c r="Q65" i="6"/>
  <c r="P65" i="6"/>
  <c r="AA64" i="6"/>
  <c r="AN64" i="6" s="1"/>
  <c r="Z64" i="6"/>
  <c r="Y64" i="6"/>
  <c r="AM64" i="6" s="1"/>
  <c r="X64" i="6"/>
  <c r="W64" i="6"/>
  <c r="V64" i="6"/>
  <c r="U64" i="6"/>
  <c r="T64" i="6"/>
  <c r="AH64" i="6" s="1"/>
  <c r="S64" i="6"/>
  <c r="AG64" i="6"/>
  <c r="R64" i="6"/>
  <c r="Q64" i="6"/>
  <c r="P64" i="6"/>
  <c r="AA63" i="6"/>
  <c r="Z63" i="6"/>
  <c r="AM63" i="6" s="1"/>
  <c r="Y63" i="6"/>
  <c r="X63" i="6"/>
  <c r="AL63" i="6"/>
  <c r="W63" i="6"/>
  <c r="V63" i="6"/>
  <c r="U63" i="6"/>
  <c r="AH63" i="6" s="1"/>
  <c r="T63" i="6"/>
  <c r="AG63" i="6" s="1"/>
  <c r="S63" i="6"/>
  <c r="R63" i="6"/>
  <c r="AB63" i="6"/>
  <c r="Q63" i="6"/>
  <c r="P63" i="6"/>
  <c r="AA62" i="6"/>
  <c r="AN62" i="6" s="1"/>
  <c r="Z62" i="6"/>
  <c r="Y62" i="6"/>
  <c r="X62" i="6"/>
  <c r="W62" i="6"/>
  <c r="V62" i="6"/>
  <c r="U62" i="6"/>
  <c r="AI62" i="6"/>
  <c r="T62" i="6"/>
  <c r="AG62" i="6" s="1"/>
  <c r="S62" i="6"/>
  <c r="R62" i="6"/>
  <c r="AF62" i="6" s="1"/>
  <c r="Q62" i="6"/>
  <c r="P62" i="6"/>
  <c r="AA61" i="6"/>
  <c r="Z61" i="6"/>
  <c r="Y61" i="6"/>
  <c r="X61" i="6"/>
  <c r="AL61" i="6"/>
  <c r="W61" i="6"/>
  <c r="V61" i="6"/>
  <c r="AJ61" i="6"/>
  <c r="U61" i="6"/>
  <c r="AI61" i="6"/>
  <c r="T61" i="6"/>
  <c r="AH61" i="6"/>
  <c r="S61" i="6"/>
  <c r="R61" i="6"/>
  <c r="AE61" i="6"/>
  <c r="Q61" i="6"/>
  <c r="P61" i="6"/>
  <c r="AA60" i="6"/>
  <c r="Z60" i="6"/>
  <c r="Y60" i="6"/>
  <c r="X60" i="6"/>
  <c r="W60" i="6"/>
  <c r="V60" i="6"/>
  <c r="U60" i="6"/>
  <c r="T60" i="6"/>
  <c r="AH60" i="6"/>
  <c r="S60" i="6"/>
  <c r="R60" i="6"/>
  <c r="AF60" i="6"/>
  <c r="Q60" i="6"/>
  <c r="P60" i="6"/>
  <c r="AA59" i="6"/>
  <c r="Z59" i="6"/>
  <c r="Y59" i="6"/>
  <c r="AM59" i="6" s="1"/>
  <c r="X59" i="6"/>
  <c r="W59" i="6"/>
  <c r="AE59" i="6" s="1"/>
  <c r="V59" i="6"/>
  <c r="U59" i="6"/>
  <c r="T59" i="6"/>
  <c r="S59" i="6"/>
  <c r="R59" i="6"/>
  <c r="Q59" i="6"/>
  <c r="P59" i="6"/>
  <c r="AA58" i="6"/>
  <c r="Z58" i="6"/>
  <c r="AM58" i="6" s="1"/>
  <c r="Y58" i="6"/>
  <c r="X58" i="6"/>
  <c r="AL58" i="6"/>
  <c r="W58" i="6"/>
  <c r="AD58" i="6" s="1"/>
  <c r="V58" i="6"/>
  <c r="AI58" i="6" s="1"/>
  <c r="U58" i="6"/>
  <c r="T58" i="6"/>
  <c r="AG58" i="6" s="1"/>
  <c r="S58" i="6"/>
  <c r="R58" i="6"/>
  <c r="Q58" i="6"/>
  <c r="P58" i="6"/>
  <c r="AA57" i="6"/>
  <c r="Z57" i="6"/>
  <c r="Y57" i="6"/>
  <c r="X57" i="6"/>
  <c r="W57" i="6"/>
  <c r="AJ57" i="6" s="1"/>
  <c r="V57" i="6"/>
  <c r="U57" i="6"/>
  <c r="T57" i="6"/>
  <c r="S57" i="6"/>
  <c r="AG57" i="6"/>
  <c r="R57" i="6"/>
  <c r="AF57" i="6"/>
  <c r="Q57" i="6"/>
  <c r="P57" i="6"/>
  <c r="AA56" i="6"/>
  <c r="Z56" i="6"/>
  <c r="Y56" i="6"/>
  <c r="AM56" i="6"/>
  <c r="X56" i="6"/>
  <c r="W56" i="6"/>
  <c r="V56" i="6"/>
  <c r="U56" i="6"/>
  <c r="AI56" i="6"/>
  <c r="T56" i="6"/>
  <c r="S56" i="6"/>
  <c r="R56" i="6"/>
  <c r="AF56" i="6" s="1"/>
  <c r="Q56" i="6"/>
  <c r="P56" i="6"/>
  <c r="AA55" i="6"/>
  <c r="AN55" i="6" s="1"/>
  <c r="Z55" i="6"/>
  <c r="Y55" i="6"/>
  <c r="AL55" i="6" s="1"/>
  <c r="X55" i="6"/>
  <c r="W55" i="6"/>
  <c r="AE55" i="6" s="1"/>
  <c r="V55" i="6"/>
  <c r="U55" i="6"/>
  <c r="AI55" i="6"/>
  <c r="T55" i="6"/>
  <c r="S55" i="6"/>
  <c r="AG55" i="6"/>
  <c r="R55" i="6"/>
  <c r="AF55" i="6"/>
  <c r="Q55" i="6"/>
  <c r="P55" i="6"/>
  <c r="AA54" i="6"/>
  <c r="Z54" i="6"/>
  <c r="Y54" i="6"/>
  <c r="AL54" i="6" s="1"/>
  <c r="X54" i="6"/>
  <c r="W54" i="6"/>
  <c r="V54" i="6"/>
  <c r="AJ54" i="6"/>
  <c r="U54" i="6"/>
  <c r="AI54" i="6" s="1"/>
  <c r="T54" i="6"/>
  <c r="AH54" i="6"/>
  <c r="S54" i="6"/>
  <c r="R54" i="6"/>
  <c r="AB54" i="6"/>
  <c r="Q54" i="6"/>
  <c r="P54" i="6"/>
  <c r="AA53" i="6"/>
  <c r="Z53" i="6"/>
  <c r="AM53" i="6" s="1"/>
  <c r="Y53" i="6"/>
  <c r="X53" i="6"/>
  <c r="AK53" i="6" s="1"/>
  <c r="AL53" i="6"/>
  <c r="W53" i="6"/>
  <c r="V53" i="6"/>
  <c r="U53" i="6"/>
  <c r="AI53" i="6" s="1"/>
  <c r="T53" i="6"/>
  <c r="S53" i="6"/>
  <c r="R53" i="6"/>
  <c r="Q53" i="6"/>
  <c r="P53" i="6"/>
  <c r="AA52" i="6"/>
  <c r="Z52" i="6"/>
  <c r="Y52" i="6"/>
  <c r="X52" i="6"/>
  <c r="W52" i="6"/>
  <c r="AD52" i="6" s="1"/>
  <c r="V52" i="6"/>
  <c r="U52" i="6"/>
  <c r="T52" i="6"/>
  <c r="S52" i="6"/>
  <c r="R52" i="6"/>
  <c r="Q52" i="6"/>
  <c r="P52" i="6"/>
  <c r="AA51" i="6"/>
  <c r="Z51" i="6"/>
  <c r="AM51" i="6" s="1"/>
  <c r="Y51" i="6"/>
  <c r="X51" i="6"/>
  <c r="W51" i="6"/>
  <c r="V51" i="6"/>
  <c r="AI51" i="6" s="1"/>
  <c r="U51" i="6"/>
  <c r="AH51" i="6" s="1"/>
  <c r="T51" i="6"/>
  <c r="S51" i="6"/>
  <c r="AF51" i="6" s="1"/>
  <c r="R51" i="6"/>
  <c r="AB51" i="6"/>
  <c r="Q51" i="6"/>
  <c r="P51" i="6"/>
  <c r="AA50" i="6"/>
  <c r="AN50" i="6" s="1"/>
  <c r="Z50" i="6"/>
  <c r="AM50" i="6" s="1"/>
  <c r="Y50" i="6"/>
  <c r="X50" i="6"/>
  <c r="W50" i="6"/>
  <c r="AJ50" i="6" s="1"/>
  <c r="V50" i="6"/>
  <c r="AI50" i="6" s="1"/>
  <c r="U50" i="6"/>
  <c r="T50" i="6"/>
  <c r="AH50" i="6"/>
  <c r="S50" i="6"/>
  <c r="R50" i="6"/>
  <c r="AF50" i="6" s="1"/>
  <c r="AB50" i="6"/>
  <c r="Q50" i="6"/>
  <c r="P50" i="6"/>
  <c r="AA49" i="6"/>
  <c r="AN49" i="6" s="1"/>
  <c r="Z49" i="6"/>
  <c r="AM49" i="6" s="1"/>
  <c r="Y49" i="6"/>
  <c r="X49" i="6"/>
  <c r="AL49" i="6"/>
  <c r="W49" i="6"/>
  <c r="V49" i="6"/>
  <c r="U49" i="6"/>
  <c r="T49" i="6"/>
  <c r="AH49" i="6"/>
  <c r="S49" i="6"/>
  <c r="AG49" i="6"/>
  <c r="R49" i="6"/>
  <c r="AE49" i="6"/>
  <c r="Q49" i="6"/>
  <c r="P49" i="6"/>
  <c r="AA48" i="6"/>
  <c r="Z48" i="6"/>
  <c r="AN48" i="6" s="1"/>
  <c r="Y48" i="6"/>
  <c r="X48" i="6"/>
  <c r="AL48" i="6"/>
  <c r="W48" i="6"/>
  <c r="V48" i="6"/>
  <c r="AI48" i="6" s="1"/>
  <c r="U48" i="6"/>
  <c r="T48" i="6"/>
  <c r="AG48" i="6" s="1"/>
  <c r="S48" i="6"/>
  <c r="R48" i="6"/>
  <c r="AF48" i="6"/>
  <c r="Q48" i="6"/>
  <c r="P48" i="6"/>
  <c r="AA47" i="6"/>
  <c r="Z47" i="6"/>
  <c r="Y47" i="6"/>
  <c r="X47" i="6"/>
  <c r="W47" i="6"/>
  <c r="V47" i="6"/>
  <c r="AJ47" i="6"/>
  <c r="U47" i="6"/>
  <c r="T47" i="6"/>
  <c r="AH47" i="6" s="1"/>
  <c r="S47" i="6"/>
  <c r="R47" i="6"/>
  <c r="AB47" i="6"/>
  <c r="Q47" i="6"/>
  <c r="P47" i="6"/>
  <c r="AA46" i="6"/>
  <c r="Z46" i="6"/>
  <c r="Y46" i="6"/>
  <c r="AL46" i="6" s="1"/>
  <c r="AM46" i="6"/>
  <c r="X46" i="6"/>
  <c r="W46" i="6"/>
  <c r="AD46" i="6" s="1"/>
  <c r="V46" i="6"/>
  <c r="AI46" i="6" s="1"/>
  <c r="U46" i="6"/>
  <c r="T46" i="6"/>
  <c r="S46" i="6"/>
  <c r="R46" i="6"/>
  <c r="AF46" i="6" s="1"/>
  <c r="Q46" i="6"/>
  <c r="P46" i="6"/>
  <c r="AA45" i="6"/>
  <c r="Z45" i="6"/>
  <c r="Y45" i="6"/>
  <c r="AM45" i="6"/>
  <c r="X45" i="6"/>
  <c r="W45" i="6"/>
  <c r="AJ45" i="6" s="1"/>
  <c r="V45" i="6"/>
  <c r="U45" i="6"/>
  <c r="T45" i="6"/>
  <c r="S45" i="6"/>
  <c r="AF45" i="6" s="1"/>
  <c r="R45" i="6"/>
  <c r="Q45" i="6"/>
  <c r="P45" i="6"/>
  <c r="AB45" i="6"/>
  <c r="AA44" i="6"/>
  <c r="Z44" i="6"/>
  <c r="AM44" i="6" s="1"/>
  <c r="Y44" i="6"/>
  <c r="X44" i="6"/>
  <c r="W44" i="6"/>
  <c r="V44" i="6"/>
  <c r="AI44" i="6" s="1"/>
  <c r="U44" i="6"/>
  <c r="T44" i="6"/>
  <c r="S44" i="6"/>
  <c r="R44" i="6"/>
  <c r="Q44" i="6"/>
  <c r="AD44" i="6" s="1"/>
  <c r="P44" i="6"/>
  <c r="AA43" i="6"/>
  <c r="AN43" i="6" s="1"/>
  <c r="Z43" i="6"/>
  <c r="AM43" i="6" s="1"/>
  <c r="Y43" i="6"/>
  <c r="AL43" i="6" s="1"/>
  <c r="X43" i="6"/>
  <c r="W43" i="6"/>
  <c r="AJ43" i="6" s="1"/>
  <c r="V43" i="6"/>
  <c r="U43" i="6"/>
  <c r="T43" i="6"/>
  <c r="S43" i="6"/>
  <c r="R43" i="6"/>
  <c r="AF43" i="6" s="1"/>
  <c r="Q43" i="6"/>
  <c r="P43" i="6"/>
  <c r="AA42" i="6"/>
  <c r="Z42" i="6"/>
  <c r="Y42" i="6"/>
  <c r="AL42" i="6" s="1"/>
  <c r="X42" i="6"/>
  <c r="W42" i="6"/>
  <c r="V42" i="6"/>
  <c r="AI42" i="6" s="1"/>
  <c r="U42" i="6"/>
  <c r="T42" i="6"/>
  <c r="AG42" i="6" s="1"/>
  <c r="S42" i="6"/>
  <c r="AF42" i="6" s="1"/>
  <c r="R42" i="6"/>
  <c r="Q42" i="6"/>
  <c r="AE42" i="6"/>
  <c r="P42" i="6"/>
  <c r="AA41" i="6"/>
  <c r="AN41" i="6" s="1"/>
  <c r="Z41" i="6"/>
  <c r="Y41" i="6"/>
  <c r="X41" i="6"/>
  <c r="W41" i="6"/>
  <c r="V41" i="6"/>
  <c r="U41" i="6"/>
  <c r="T41" i="6"/>
  <c r="AG41" i="6" s="1"/>
  <c r="S41" i="6"/>
  <c r="R41" i="6"/>
  <c r="AE41" i="6" s="1"/>
  <c r="Q41" i="6"/>
  <c r="P41" i="6"/>
  <c r="AD41" i="6"/>
  <c r="AA40" i="6"/>
  <c r="Z40" i="6"/>
  <c r="AM40" i="6" s="1"/>
  <c r="AN40" i="6"/>
  <c r="Y40" i="6"/>
  <c r="X40" i="6"/>
  <c r="AK40" i="6" s="1"/>
  <c r="W40" i="6"/>
  <c r="V40" i="6"/>
  <c r="AI40" i="6" s="1"/>
  <c r="U40" i="6"/>
  <c r="T40" i="6"/>
  <c r="AG40" i="6" s="1"/>
  <c r="S40" i="6"/>
  <c r="AF40" i="6" s="1"/>
  <c r="R40" i="6"/>
  <c r="AE40" i="6" s="1"/>
  <c r="Q40" i="6"/>
  <c r="P40" i="6"/>
  <c r="AB40" i="6"/>
  <c r="AA39" i="6"/>
  <c r="Z39" i="6"/>
  <c r="AN39" i="6"/>
  <c r="Y39" i="6"/>
  <c r="X39" i="6"/>
  <c r="AL39" i="6"/>
  <c r="W39" i="6"/>
  <c r="V39" i="6"/>
  <c r="U39" i="6"/>
  <c r="T39" i="6"/>
  <c r="AH39" i="6"/>
  <c r="S39" i="6"/>
  <c r="R39" i="6"/>
  <c r="Q39" i="6"/>
  <c r="P39" i="6"/>
  <c r="AD39" i="6"/>
  <c r="AB39" i="6"/>
  <c r="AA38" i="6"/>
  <c r="Z38" i="6"/>
  <c r="Y38" i="6"/>
  <c r="AL38" i="6" s="1"/>
  <c r="X38" i="6"/>
  <c r="AK38" i="6" s="1"/>
  <c r="W38" i="6"/>
  <c r="AJ38" i="6" s="1"/>
  <c r="V38" i="6"/>
  <c r="U38" i="6"/>
  <c r="AI38" i="6"/>
  <c r="T38" i="6"/>
  <c r="AH38" i="6" s="1"/>
  <c r="S38" i="6"/>
  <c r="R38" i="6"/>
  <c r="Q38" i="6"/>
  <c r="P38" i="6"/>
  <c r="AB38" i="6"/>
  <c r="AA37" i="6"/>
  <c r="Z37" i="6"/>
  <c r="AM37" i="6" s="1"/>
  <c r="Y37" i="6"/>
  <c r="X37" i="6"/>
  <c r="AK37" i="6" s="1"/>
  <c r="W37" i="6"/>
  <c r="V37" i="6"/>
  <c r="U37" i="6"/>
  <c r="T37" i="6"/>
  <c r="AG37" i="6" s="1"/>
  <c r="S37" i="6"/>
  <c r="R37" i="6"/>
  <c r="AF37" i="6"/>
  <c r="Q37" i="6"/>
  <c r="P37" i="6"/>
  <c r="AA36" i="6"/>
  <c r="Z36" i="6"/>
  <c r="AN36" i="6"/>
  <c r="Y36" i="6"/>
  <c r="X36" i="6"/>
  <c r="W36" i="6"/>
  <c r="V36" i="6"/>
  <c r="AI36" i="6" s="1"/>
  <c r="U36" i="6"/>
  <c r="AH36" i="6" s="1"/>
  <c r="T36" i="6"/>
  <c r="S36" i="6"/>
  <c r="R36" i="6"/>
  <c r="AE36" i="6" s="1"/>
  <c r="Q36" i="6"/>
  <c r="P36" i="6"/>
  <c r="AD36" i="6" s="1"/>
  <c r="AA35" i="6"/>
  <c r="Z35" i="6"/>
  <c r="AM35" i="6" s="1"/>
  <c r="Y35" i="6"/>
  <c r="AL35" i="6" s="1"/>
  <c r="X35" i="6"/>
  <c r="W35" i="6"/>
  <c r="V35" i="6"/>
  <c r="AI35" i="6" s="1"/>
  <c r="U35" i="6"/>
  <c r="T35" i="6"/>
  <c r="S35" i="6"/>
  <c r="R35" i="6"/>
  <c r="AE35" i="6" s="1"/>
  <c r="AF35" i="6"/>
  <c r="Q35" i="6"/>
  <c r="P35" i="6"/>
  <c r="AD35" i="6"/>
  <c r="AB35" i="6"/>
  <c r="AA34" i="6"/>
  <c r="Z34" i="6"/>
  <c r="Y34" i="6"/>
  <c r="X34" i="6"/>
  <c r="W34" i="6"/>
  <c r="AJ34" i="6" s="1"/>
  <c r="V34" i="6"/>
  <c r="U34" i="6"/>
  <c r="T34" i="6"/>
  <c r="AH34" i="6" s="1"/>
  <c r="S34" i="6"/>
  <c r="R34" i="6"/>
  <c r="Q34" i="6"/>
  <c r="P34" i="6"/>
  <c r="AD34" i="6"/>
  <c r="AA33" i="6"/>
  <c r="AN33" i="6" s="1"/>
  <c r="Z33" i="6"/>
  <c r="AM33" i="6" s="1"/>
  <c r="Y33" i="6"/>
  <c r="X33" i="6"/>
  <c r="AL33" i="6"/>
  <c r="W33" i="6"/>
  <c r="V33" i="6"/>
  <c r="AJ33" i="6"/>
  <c r="U33" i="6"/>
  <c r="AI33" i="6"/>
  <c r="T33" i="6"/>
  <c r="AH33" i="6"/>
  <c r="S33" i="6"/>
  <c r="AG33" i="6"/>
  <c r="R33" i="6"/>
  <c r="Q33" i="6"/>
  <c r="AD33" i="6" s="1"/>
  <c r="AE33" i="6"/>
  <c r="P33" i="6"/>
  <c r="AA32" i="6"/>
  <c r="Z32" i="6"/>
  <c r="Y32" i="6"/>
  <c r="X32" i="6"/>
  <c r="W32" i="6"/>
  <c r="AK32" i="6"/>
  <c r="V32" i="6"/>
  <c r="U32" i="6"/>
  <c r="T32" i="6"/>
  <c r="AG32" i="6" s="1"/>
  <c r="AH32" i="6"/>
  <c r="S32" i="6"/>
  <c r="R32" i="6"/>
  <c r="AF32" i="6"/>
  <c r="Q32" i="6"/>
  <c r="AE32" i="6"/>
  <c r="P32" i="6"/>
  <c r="AD32" i="6" s="1"/>
  <c r="AA31" i="6"/>
  <c r="Z31" i="6"/>
  <c r="Y31" i="6"/>
  <c r="AM31" i="6"/>
  <c r="X31" i="6"/>
  <c r="W31" i="6"/>
  <c r="V31" i="6"/>
  <c r="AI31" i="6" s="1"/>
  <c r="AJ31" i="6"/>
  <c r="U31" i="6"/>
  <c r="AH31" i="6" s="1"/>
  <c r="T31" i="6"/>
  <c r="S31" i="6"/>
  <c r="R31" i="6"/>
  <c r="AF31" i="6"/>
  <c r="Q31" i="6"/>
  <c r="AE31" i="6" s="1"/>
  <c r="P31" i="6"/>
  <c r="AD31" i="6"/>
  <c r="AA30" i="6"/>
  <c r="Z30" i="6"/>
  <c r="AN30" i="6" s="1"/>
  <c r="Y30" i="6"/>
  <c r="X30" i="6"/>
  <c r="W30" i="6"/>
  <c r="V30" i="6"/>
  <c r="AI30" i="6" s="1"/>
  <c r="AJ30" i="6"/>
  <c r="U30" i="6"/>
  <c r="T30" i="6"/>
  <c r="AG30" i="6" s="1"/>
  <c r="S30" i="6"/>
  <c r="R30" i="6"/>
  <c r="Q30" i="6"/>
  <c r="P30" i="6"/>
  <c r="AA29" i="6"/>
  <c r="AN29" i="6" s="1"/>
  <c r="Z29" i="6"/>
  <c r="Y29" i="6"/>
  <c r="AL29" i="6" s="1"/>
  <c r="X29" i="6"/>
  <c r="AK29" i="6" s="1"/>
  <c r="W29" i="6"/>
  <c r="V29" i="6"/>
  <c r="AI29" i="6" s="1"/>
  <c r="U29" i="6"/>
  <c r="T29" i="6"/>
  <c r="AH29" i="6"/>
  <c r="S29" i="6"/>
  <c r="R29" i="6"/>
  <c r="Q29" i="6"/>
  <c r="AD29" i="6" s="1"/>
  <c r="P29" i="6"/>
  <c r="AA28" i="6"/>
  <c r="Z28" i="6"/>
  <c r="Y28" i="6"/>
  <c r="AL28" i="6" s="1"/>
  <c r="X28" i="6"/>
  <c r="W28" i="6"/>
  <c r="AJ28" i="6" s="1"/>
  <c r="V28" i="6"/>
  <c r="AI28" i="6" s="1"/>
  <c r="U28" i="6"/>
  <c r="T28" i="6"/>
  <c r="AG28" i="6" s="1"/>
  <c r="S28" i="6"/>
  <c r="AF28" i="6" s="1"/>
  <c r="R28" i="6"/>
  <c r="Q28" i="6"/>
  <c r="AD28" i="6" s="1"/>
  <c r="P28" i="6"/>
  <c r="AA27" i="6"/>
  <c r="AN27" i="6" s="1"/>
  <c r="Z27" i="6"/>
  <c r="Y27" i="6"/>
  <c r="X27" i="6"/>
  <c r="W27" i="6"/>
  <c r="AK27" i="6"/>
  <c r="V27" i="6"/>
  <c r="AI27" i="6" s="1"/>
  <c r="U27" i="6"/>
  <c r="T27" i="6"/>
  <c r="S27" i="6"/>
  <c r="R27" i="6"/>
  <c r="Q27" i="6"/>
  <c r="AD27" i="6" s="1"/>
  <c r="P27" i="6"/>
  <c r="AA26" i="6"/>
  <c r="Z26" i="6"/>
  <c r="AN26" i="6"/>
  <c r="Y26" i="6"/>
  <c r="X26" i="6"/>
  <c r="W26" i="6"/>
  <c r="AJ26" i="6" s="1"/>
  <c r="V26" i="6"/>
  <c r="U26" i="6"/>
  <c r="T26" i="6"/>
  <c r="S26" i="6"/>
  <c r="AF26" i="6" s="1"/>
  <c r="R26" i="6"/>
  <c r="AE26" i="6" s="1"/>
  <c r="Q26" i="6"/>
  <c r="P26" i="6"/>
  <c r="AB26" i="6"/>
  <c r="AA25" i="6"/>
  <c r="Z25" i="6"/>
  <c r="AN25" i="6" s="1"/>
  <c r="Y25" i="6"/>
  <c r="AM25" i="6"/>
  <c r="X25" i="6"/>
  <c r="AK25" i="6" s="1"/>
  <c r="W25" i="6"/>
  <c r="AJ25" i="6" s="1"/>
  <c r="V25" i="6"/>
  <c r="U25" i="6"/>
  <c r="T25" i="6"/>
  <c r="S25" i="6"/>
  <c r="R25" i="6"/>
  <c r="Q25" i="6"/>
  <c r="AE25" i="6"/>
  <c r="P25" i="6"/>
  <c r="AA24" i="6"/>
  <c r="Z24" i="6"/>
  <c r="Y24" i="6"/>
  <c r="AL24" i="6" s="1"/>
  <c r="X24" i="6"/>
  <c r="AK24" i="6" s="1"/>
  <c r="W24" i="6"/>
  <c r="V24" i="6"/>
  <c r="AJ24" i="6" s="1"/>
  <c r="U24" i="6"/>
  <c r="T24" i="6"/>
  <c r="AH24" i="6"/>
  <c r="S24" i="6"/>
  <c r="R24" i="6"/>
  <c r="Q24" i="6"/>
  <c r="P24" i="6"/>
  <c r="AD24" i="6" s="1"/>
  <c r="AB24" i="6"/>
  <c r="AA23" i="6"/>
  <c r="AN23" i="6" s="1"/>
  <c r="Z23" i="6"/>
  <c r="AM23" i="6" s="1"/>
  <c r="Y23" i="6"/>
  <c r="X23" i="6"/>
  <c r="W23" i="6"/>
  <c r="AK23" i="6"/>
  <c r="V23" i="6"/>
  <c r="AJ23" i="6" s="1"/>
  <c r="U23" i="6"/>
  <c r="AI23" i="6"/>
  <c r="T23" i="6"/>
  <c r="AH23" i="6"/>
  <c r="S23" i="6"/>
  <c r="R23" i="6"/>
  <c r="AE23" i="6" s="1"/>
  <c r="Q23" i="6"/>
  <c r="AD23" i="6" s="1"/>
  <c r="P23" i="6"/>
  <c r="AA22" i="6"/>
  <c r="Z22" i="6"/>
  <c r="AM22" i="6" s="1"/>
  <c r="Y22" i="6"/>
  <c r="X22" i="6"/>
  <c r="AL22" i="6"/>
  <c r="W22" i="6"/>
  <c r="AK22" i="6"/>
  <c r="V22" i="6"/>
  <c r="U22" i="6"/>
  <c r="T22" i="6"/>
  <c r="AG22" i="6" s="1"/>
  <c r="S22" i="6"/>
  <c r="R22" i="6"/>
  <c r="AF22" i="6"/>
  <c r="Q22" i="6"/>
  <c r="AE22" i="6"/>
  <c r="P22" i="6"/>
  <c r="AB22" i="6"/>
  <c r="AA21" i="6"/>
  <c r="AN21" i="6" s="1"/>
  <c r="Z21" i="6"/>
  <c r="Y21" i="6"/>
  <c r="X21" i="6"/>
  <c r="W21" i="6"/>
  <c r="AJ21" i="6" s="1"/>
  <c r="AK21" i="6"/>
  <c r="V21" i="6"/>
  <c r="U21" i="6"/>
  <c r="AH21" i="6" s="1"/>
  <c r="T21" i="6"/>
  <c r="S21" i="6"/>
  <c r="AG21" i="6" s="1"/>
  <c r="R21" i="6"/>
  <c r="Q21" i="6"/>
  <c r="P21" i="6"/>
  <c r="AA20" i="6"/>
  <c r="Z20" i="6"/>
  <c r="Y20" i="6"/>
  <c r="X20" i="6"/>
  <c r="W20" i="6"/>
  <c r="AK20" i="6"/>
  <c r="V20" i="6"/>
  <c r="AJ20" i="6"/>
  <c r="U20" i="6"/>
  <c r="AH20" i="6" s="1"/>
  <c r="T20" i="6"/>
  <c r="S20" i="6"/>
  <c r="AF20" i="6" s="1"/>
  <c r="AG20" i="6"/>
  <c r="R20" i="6"/>
  <c r="Q20" i="6"/>
  <c r="P20" i="6"/>
  <c r="AA19" i="6"/>
  <c r="AN19" i="6" s="1"/>
  <c r="Z19" i="6"/>
  <c r="Y19" i="6"/>
  <c r="AL19" i="6" s="1"/>
  <c r="X19" i="6"/>
  <c r="W19" i="6"/>
  <c r="V19" i="6"/>
  <c r="AI19" i="6" s="1"/>
  <c r="U19" i="6"/>
  <c r="AH19" i="6" s="1"/>
  <c r="T19" i="6"/>
  <c r="S19" i="6"/>
  <c r="AF19" i="6" s="1"/>
  <c r="AG19" i="6"/>
  <c r="R19" i="6"/>
  <c r="AE19" i="6" s="1"/>
  <c r="Q19" i="6"/>
  <c r="P19" i="6"/>
  <c r="AA18" i="6"/>
  <c r="Z18" i="6"/>
  <c r="AM18" i="6" s="1"/>
  <c r="Y18" i="6"/>
  <c r="X18" i="6"/>
  <c r="W18" i="6"/>
  <c r="V18" i="6"/>
  <c r="U18" i="6"/>
  <c r="T18" i="6"/>
  <c r="S18" i="6"/>
  <c r="AG18" i="6"/>
  <c r="R18" i="6"/>
  <c r="AF18" i="6"/>
  <c r="Q18" i="6"/>
  <c r="AE18" i="6" s="1"/>
  <c r="P18" i="6"/>
  <c r="AA17" i="6"/>
  <c r="AN17" i="6" s="1"/>
  <c r="Z17" i="6"/>
  <c r="Y17" i="6"/>
  <c r="AM17" i="6" s="1"/>
  <c r="X17" i="6"/>
  <c r="AK17" i="6" s="1"/>
  <c r="W17" i="6"/>
  <c r="AJ17" i="6" s="1"/>
  <c r="V17" i="6"/>
  <c r="AI17" i="6" s="1"/>
  <c r="U17" i="6"/>
  <c r="T17" i="6"/>
  <c r="AG17" i="6" s="1"/>
  <c r="S17" i="6"/>
  <c r="R17" i="6"/>
  <c r="AF17" i="6"/>
  <c r="Q17" i="6"/>
  <c r="AE17" i="6"/>
  <c r="P17" i="6"/>
  <c r="AA16" i="6"/>
  <c r="Z16" i="6"/>
  <c r="AM16" i="6" s="1"/>
  <c r="Y16" i="6"/>
  <c r="X16" i="6"/>
  <c r="AK16" i="6" s="1"/>
  <c r="W16" i="6"/>
  <c r="V16" i="6"/>
  <c r="AI16" i="6" s="1"/>
  <c r="AJ16" i="6"/>
  <c r="U16" i="6"/>
  <c r="T16" i="6"/>
  <c r="S16" i="6"/>
  <c r="AG16" i="6"/>
  <c r="R16" i="6"/>
  <c r="AE16" i="6" s="1"/>
  <c r="AF16" i="6"/>
  <c r="Q16" i="6"/>
  <c r="P16" i="6"/>
  <c r="AA15" i="6"/>
  <c r="AN15" i="6" s="1"/>
  <c r="Z15" i="6"/>
  <c r="Y15" i="6"/>
  <c r="AL15" i="6" s="1"/>
  <c r="X15" i="6"/>
  <c r="W15" i="6"/>
  <c r="V15" i="6"/>
  <c r="U15" i="6"/>
  <c r="T15" i="6"/>
  <c r="S15" i="6"/>
  <c r="R15" i="6"/>
  <c r="AE15" i="6" s="1"/>
  <c r="Q15" i="6"/>
  <c r="P15" i="6"/>
  <c r="AD15" i="6"/>
  <c r="AA14" i="6"/>
  <c r="Z14" i="6"/>
  <c r="Y14" i="6"/>
  <c r="X14" i="6"/>
  <c r="W14" i="6"/>
  <c r="AJ14" i="6" s="1"/>
  <c r="AK14" i="6"/>
  <c r="V14" i="6"/>
  <c r="U14" i="6"/>
  <c r="T14" i="6"/>
  <c r="S14" i="6"/>
  <c r="R14" i="6"/>
  <c r="AF14" i="6"/>
  <c r="Q14" i="6"/>
  <c r="AE14" i="6" s="1"/>
  <c r="P14" i="6"/>
  <c r="AD14" i="6"/>
  <c r="AA13" i="6"/>
  <c r="AN13" i="6" s="1"/>
  <c r="Z13" i="6"/>
  <c r="Y13" i="6"/>
  <c r="X13" i="6"/>
  <c r="AK13" i="6" s="1"/>
  <c r="W13" i="6"/>
  <c r="V13" i="6"/>
  <c r="AI13" i="6" s="1"/>
  <c r="U13" i="6"/>
  <c r="T13" i="6"/>
  <c r="S13" i="6"/>
  <c r="R13" i="6"/>
  <c r="Q13" i="6"/>
  <c r="P13" i="6"/>
  <c r="AD13" i="6"/>
  <c r="AA12" i="6"/>
  <c r="AN12" i="6" s="1"/>
  <c r="Z12" i="6"/>
  <c r="AM12" i="6" s="1"/>
  <c r="Y12" i="6"/>
  <c r="X12" i="6"/>
  <c r="W12" i="6"/>
  <c r="V12" i="6"/>
  <c r="U12" i="6"/>
  <c r="T12" i="6"/>
  <c r="S12" i="6"/>
  <c r="R12" i="6"/>
  <c r="AE12" i="6" s="1"/>
  <c r="Q12" i="6"/>
  <c r="P12" i="6"/>
  <c r="AB12" i="6"/>
  <c r="AA11" i="6"/>
  <c r="Z11" i="6"/>
  <c r="Y11" i="6"/>
  <c r="X11" i="6"/>
  <c r="AL11" i="6"/>
  <c r="W11" i="6"/>
  <c r="AK11" i="6"/>
  <c r="V11" i="6"/>
  <c r="AJ11" i="6"/>
  <c r="U11" i="6"/>
  <c r="AH11" i="6" s="1"/>
  <c r="T11" i="6"/>
  <c r="S11" i="6"/>
  <c r="AF11" i="6" s="1"/>
  <c r="AG11" i="6"/>
  <c r="R11" i="6"/>
  <c r="Q11" i="6"/>
  <c r="P11" i="6"/>
  <c r="AA10" i="6"/>
  <c r="Z10" i="6"/>
  <c r="Y10" i="6"/>
  <c r="AM10" i="6"/>
  <c r="X10" i="6"/>
  <c r="AL10" i="6"/>
  <c r="W10" i="6"/>
  <c r="AJ10" i="6" s="1"/>
  <c r="V10" i="6"/>
  <c r="AI10" i="6" s="1"/>
  <c r="U10" i="6"/>
  <c r="AH10" i="6" s="1"/>
  <c r="T10" i="6"/>
  <c r="S10" i="6"/>
  <c r="R10" i="6"/>
  <c r="AE10" i="6" s="1"/>
  <c r="Q10" i="6"/>
  <c r="P10" i="6"/>
  <c r="AD10" i="6" s="1"/>
  <c r="AB10" i="6"/>
  <c r="AA9" i="6"/>
  <c r="Z9" i="6"/>
  <c r="Y9" i="6"/>
  <c r="X9" i="6"/>
  <c r="AK9" i="6" s="1"/>
  <c r="W9" i="6"/>
  <c r="V9" i="6"/>
  <c r="AI9" i="6" s="1"/>
  <c r="AJ9" i="6"/>
  <c r="U9" i="6"/>
  <c r="AH9" i="6" s="1"/>
  <c r="T9" i="6"/>
  <c r="S9" i="6"/>
  <c r="R9" i="6"/>
  <c r="AE9" i="6" s="1"/>
  <c r="AF9" i="6"/>
  <c r="Q9" i="6"/>
  <c r="P9" i="6"/>
  <c r="AD9" i="6"/>
  <c r="AB9" i="6"/>
  <c r="AA8" i="6"/>
  <c r="AN8" i="6" s="1"/>
  <c r="Z8" i="6"/>
  <c r="AM8" i="6" s="1"/>
  <c r="Y8" i="6"/>
  <c r="X8" i="6"/>
  <c r="W8" i="6"/>
  <c r="V8" i="6"/>
  <c r="U8" i="6"/>
  <c r="AH8" i="6" s="1"/>
  <c r="T8" i="6"/>
  <c r="AG8" i="6" s="1"/>
  <c r="S8" i="6"/>
  <c r="AF8" i="6" s="1"/>
  <c r="R8" i="6"/>
  <c r="Q8" i="6"/>
  <c r="P8" i="6"/>
  <c r="AB8" i="6"/>
  <c r="AA7" i="6"/>
  <c r="Z7" i="6"/>
  <c r="AN7" i="6"/>
  <c r="Y7" i="6"/>
  <c r="AM7" i="6"/>
  <c r="X7" i="6"/>
  <c r="AL7" i="6" s="1"/>
  <c r="W7" i="6"/>
  <c r="V7" i="6"/>
  <c r="AI7" i="6" s="1"/>
  <c r="U7" i="6"/>
  <c r="T7" i="6"/>
  <c r="S7" i="6"/>
  <c r="R7" i="6"/>
  <c r="AE7" i="6" s="1"/>
  <c r="Q7" i="6"/>
  <c r="AD7" i="6" s="1"/>
  <c r="P7" i="6"/>
  <c r="AB7" i="6"/>
  <c r="AA6" i="6"/>
  <c r="Z6" i="6"/>
  <c r="AM6" i="6" s="1"/>
  <c r="Y6" i="6"/>
  <c r="AL6" i="6" s="1"/>
  <c r="X6" i="6"/>
  <c r="W6" i="6"/>
  <c r="AJ6" i="6" s="1"/>
  <c r="AK6" i="6"/>
  <c r="V6" i="6"/>
  <c r="U6" i="6"/>
  <c r="AH6" i="6" s="1"/>
  <c r="T6" i="6"/>
  <c r="S6" i="6"/>
  <c r="AG6" i="6"/>
  <c r="R6" i="6"/>
  <c r="AE6" i="6" s="1"/>
  <c r="Q6" i="6"/>
  <c r="P6" i="6"/>
  <c r="AA5" i="6"/>
  <c r="Z5" i="6"/>
  <c r="AM5" i="6" s="1"/>
  <c r="Y5" i="6"/>
  <c r="X5" i="6"/>
  <c r="AL5" i="6"/>
  <c r="W5" i="6"/>
  <c r="V5" i="6"/>
  <c r="AJ5" i="6"/>
  <c r="U5" i="6"/>
  <c r="AI5" i="6"/>
  <c r="T5" i="6"/>
  <c r="AH5" i="6" s="1"/>
  <c r="S5" i="6"/>
  <c r="R5" i="6"/>
  <c r="AF5" i="6" s="1"/>
  <c r="Q5" i="6"/>
  <c r="P5" i="6"/>
  <c r="AB5" i="6"/>
  <c r="N5" i="5"/>
  <c r="N6" i="5"/>
  <c r="N7" i="5"/>
  <c r="N8" i="5"/>
  <c r="N235" i="5"/>
  <c r="N234" i="5"/>
  <c r="N233" i="5"/>
  <c r="N232" i="5"/>
  <c r="AB232" i="5" s="1"/>
  <c r="N231" i="5"/>
  <c r="N230" i="5"/>
  <c r="N229" i="5"/>
  <c r="N228" i="5"/>
  <c r="N227" i="5"/>
  <c r="N226" i="5"/>
  <c r="N225" i="5"/>
  <c r="N224" i="5"/>
  <c r="N223" i="5"/>
  <c r="N222" i="5"/>
  <c r="AB222" i="5" s="1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AB208" i="5" s="1"/>
  <c r="N207" i="5"/>
  <c r="N206" i="5"/>
  <c r="N205" i="5"/>
  <c r="N204" i="5"/>
  <c r="N203" i="5"/>
  <c r="N202" i="5"/>
  <c r="N201" i="5"/>
  <c r="N200" i="5"/>
  <c r="N199" i="5"/>
  <c r="N198" i="5"/>
  <c r="N197" i="5"/>
  <c r="N196" i="5"/>
  <c r="AB196" i="5" s="1"/>
  <c r="N195" i="5"/>
  <c r="N194" i="5"/>
  <c r="AB194" i="5" s="1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AB166" i="5" s="1"/>
  <c r="N165" i="5"/>
  <c r="N164" i="5"/>
  <c r="N163" i="5"/>
  <c r="N162" i="5"/>
  <c r="N161" i="5"/>
  <c r="N160" i="5"/>
  <c r="N159" i="5"/>
  <c r="N158" i="5"/>
  <c r="N157" i="5"/>
  <c r="N156" i="5"/>
  <c r="N155" i="5"/>
  <c r="N154" i="5"/>
  <c r="AB154" i="5" s="1"/>
  <c r="N153" i="5"/>
  <c r="N152" i="5"/>
  <c r="AB152" i="5" s="1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AB138" i="5" s="1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AB124" i="5" s="1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AB102" i="5" s="1"/>
  <c r="N101" i="5"/>
  <c r="N100" i="5"/>
  <c r="N99" i="5"/>
  <c r="N98" i="5"/>
  <c r="N97" i="5"/>
  <c r="N96" i="5"/>
  <c r="AB96" i="5" s="1"/>
  <c r="N95" i="5"/>
  <c r="N94" i="5"/>
  <c r="N93" i="5"/>
  <c r="N92" i="5"/>
  <c r="N91" i="5"/>
  <c r="N90" i="5"/>
  <c r="N89" i="5"/>
  <c r="N88" i="5"/>
  <c r="N87" i="5"/>
  <c r="N86" i="5"/>
  <c r="N85" i="5"/>
  <c r="N84" i="5"/>
  <c r="AB84" i="5" s="1"/>
  <c r="N83" i="5"/>
  <c r="N82" i="5"/>
  <c r="N81" i="5"/>
  <c r="N80" i="5"/>
  <c r="N79" i="5"/>
  <c r="N78" i="5"/>
  <c r="N77" i="5"/>
  <c r="N76" i="5"/>
  <c r="N75" i="5"/>
  <c r="N74" i="5"/>
  <c r="AB74" i="5" s="1"/>
  <c r="N73" i="5"/>
  <c r="N72" i="5"/>
  <c r="N71" i="5"/>
  <c r="N70" i="5"/>
  <c r="N69" i="5"/>
  <c r="N68" i="5"/>
  <c r="AB68" i="5" s="1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AB54" i="5" s="1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AB32" i="5" s="1"/>
  <c r="N31" i="5"/>
  <c r="N30" i="5"/>
  <c r="N29" i="5"/>
  <c r="N28" i="5"/>
  <c r="N27" i="5"/>
  <c r="N26" i="5"/>
  <c r="AB26" i="5" s="1"/>
  <c r="N25" i="5"/>
  <c r="N24" i="5"/>
  <c r="N23" i="5"/>
  <c r="N22" i="5"/>
  <c r="N21" i="5"/>
  <c r="N20" i="5"/>
  <c r="N19" i="5"/>
  <c r="N18" i="5"/>
  <c r="AB18" i="5" s="1"/>
  <c r="N17" i="5"/>
  <c r="N16" i="5"/>
  <c r="N15" i="5"/>
  <c r="N14" i="5"/>
  <c r="N13" i="5"/>
  <c r="N12" i="5"/>
  <c r="N11" i="5"/>
  <c r="N10" i="5"/>
  <c r="N9" i="5"/>
  <c r="AA236" i="5"/>
  <c r="Z236" i="5"/>
  <c r="Y236" i="5"/>
  <c r="X236" i="5"/>
  <c r="W236" i="5"/>
  <c r="V236" i="5"/>
  <c r="U236" i="5"/>
  <c r="T236" i="5"/>
  <c r="L236" i="5"/>
  <c r="R236" i="5" s="1"/>
  <c r="K236" i="5"/>
  <c r="Q236" i="5" s="1"/>
  <c r="E236" i="5"/>
  <c r="J236" i="5"/>
  <c r="D236" i="5"/>
  <c r="H5" i="5"/>
  <c r="H6" i="5"/>
  <c r="H7" i="5"/>
  <c r="H8" i="5"/>
  <c r="H235" i="5"/>
  <c r="H234" i="5"/>
  <c r="H233" i="5"/>
  <c r="AB233" i="5" s="1"/>
  <c r="H232" i="5"/>
  <c r="H231" i="5"/>
  <c r="AB231" i="5" s="1"/>
  <c r="H230" i="5"/>
  <c r="AB230" i="5" s="1"/>
  <c r="H229" i="5"/>
  <c r="AB229" i="5" s="1"/>
  <c r="H228" i="5"/>
  <c r="H227" i="5"/>
  <c r="H226" i="5"/>
  <c r="AB226" i="5" s="1"/>
  <c r="H225" i="5"/>
  <c r="H224" i="5"/>
  <c r="H223" i="5"/>
  <c r="H222" i="5"/>
  <c r="H221" i="5"/>
  <c r="AB221" i="5" s="1"/>
  <c r="H220" i="5"/>
  <c r="H219" i="5"/>
  <c r="AB219" i="5" s="1"/>
  <c r="H218" i="5"/>
  <c r="H217" i="5"/>
  <c r="AB217" i="5" s="1"/>
  <c r="H216" i="5"/>
  <c r="AB216" i="5" s="1"/>
  <c r="H215" i="5"/>
  <c r="AB215" i="5" s="1"/>
  <c r="H214" i="5"/>
  <c r="H213" i="5"/>
  <c r="H212" i="5"/>
  <c r="H211" i="5"/>
  <c r="AB211" i="5" s="1"/>
  <c r="H210" i="5"/>
  <c r="H209" i="5"/>
  <c r="H208" i="5"/>
  <c r="H207" i="5"/>
  <c r="AB207" i="5" s="1"/>
  <c r="H206" i="5"/>
  <c r="H205" i="5"/>
  <c r="H204" i="5"/>
  <c r="H203" i="5"/>
  <c r="H202" i="5"/>
  <c r="H201" i="5"/>
  <c r="AB201" i="5" s="1"/>
  <c r="H200" i="5"/>
  <c r="H199" i="5"/>
  <c r="H198" i="5"/>
  <c r="H197" i="5"/>
  <c r="H196" i="5"/>
  <c r="H195" i="5"/>
  <c r="H194" i="5"/>
  <c r="H193" i="5"/>
  <c r="AB193" i="5" s="1"/>
  <c r="H192" i="5"/>
  <c r="H191" i="5"/>
  <c r="AB191" i="5" s="1"/>
  <c r="H190" i="5"/>
  <c r="H189" i="5"/>
  <c r="H188" i="5"/>
  <c r="H187" i="5"/>
  <c r="AB187" i="5" s="1"/>
  <c r="H186" i="5"/>
  <c r="H185" i="5"/>
  <c r="H184" i="5"/>
  <c r="AB184" i="5" s="1"/>
  <c r="H183" i="5"/>
  <c r="AB183" i="5" s="1"/>
  <c r="H182" i="5"/>
  <c r="H181" i="5"/>
  <c r="H180" i="5"/>
  <c r="H179" i="5"/>
  <c r="AB179" i="5" s="1"/>
  <c r="H178" i="5"/>
  <c r="H177" i="5"/>
  <c r="AB177" i="5" s="1"/>
  <c r="H176" i="5"/>
  <c r="H175" i="5"/>
  <c r="AB175" i="5" s="1"/>
  <c r="H174" i="5"/>
  <c r="H173" i="5"/>
  <c r="H172" i="5"/>
  <c r="H171" i="5"/>
  <c r="H170" i="5"/>
  <c r="H169" i="5"/>
  <c r="H168" i="5"/>
  <c r="H167" i="5"/>
  <c r="H166" i="5"/>
  <c r="H165" i="5"/>
  <c r="AB165" i="5" s="1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AB151" i="5" s="1"/>
  <c r="H150" i="5"/>
  <c r="H149" i="5"/>
  <c r="AB149" i="5" s="1"/>
  <c r="H148" i="5"/>
  <c r="H147" i="5"/>
  <c r="H146" i="5"/>
  <c r="H145" i="5"/>
  <c r="H144" i="5"/>
  <c r="H143" i="5"/>
  <c r="H142" i="5"/>
  <c r="H141" i="5"/>
  <c r="H140" i="5"/>
  <c r="H139" i="5"/>
  <c r="H138" i="5"/>
  <c r="H137" i="5"/>
  <c r="AB137" i="5" s="1"/>
  <c r="H136" i="5"/>
  <c r="H135" i="5"/>
  <c r="AB135" i="5" s="1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AB121" i="5" s="1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AB107" i="5" s="1"/>
  <c r="H106" i="5"/>
  <c r="H105" i="5"/>
  <c r="H104" i="5"/>
  <c r="H103" i="5"/>
  <c r="H102" i="5"/>
  <c r="H101" i="5"/>
  <c r="H100" i="5"/>
  <c r="H99" i="5"/>
  <c r="AB99" i="5" s="1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Z204" i="5"/>
  <c r="Y204" i="5"/>
  <c r="X204" i="5"/>
  <c r="W204" i="5"/>
  <c r="V204" i="5"/>
  <c r="U204" i="5"/>
  <c r="T204" i="5"/>
  <c r="S204" i="5"/>
  <c r="AF204" i="5" s="1"/>
  <c r="R204" i="5"/>
  <c r="Q204" i="5"/>
  <c r="AE204" i="5"/>
  <c r="P204" i="5"/>
  <c r="AA203" i="5"/>
  <c r="Z203" i="5"/>
  <c r="Y203" i="5"/>
  <c r="X203" i="5"/>
  <c r="W203" i="5"/>
  <c r="V203" i="5"/>
  <c r="U203" i="5"/>
  <c r="T203" i="5"/>
  <c r="S203" i="5"/>
  <c r="AF203" i="5" s="1"/>
  <c r="R203" i="5"/>
  <c r="Q203" i="5"/>
  <c r="AE203" i="5" s="1"/>
  <c r="P203" i="5"/>
  <c r="AD203" i="5"/>
  <c r="AB203" i="5"/>
  <c r="AA202" i="5"/>
  <c r="Z202" i="5"/>
  <c r="AM202" i="5" s="1"/>
  <c r="AN202" i="5"/>
  <c r="Y202" i="5"/>
  <c r="X202" i="5"/>
  <c r="AL202" i="5"/>
  <c r="W202" i="5"/>
  <c r="V202" i="5"/>
  <c r="AI202" i="5" s="1"/>
  <c r="U202" i="5"/>
  <c r="T202" i="5"/>
  <c r="AG202" i="5" s="1"/>
  <c r="AH202" i="5"/>
  <c r="S202" i="5"/>
  <c r="R202" i="5"/>
  <c r="AE202" i="5" s="1"/>
  <c r="Q202" i="5"/>
  <c r="P202" i="5"/>
  <c r="AD202" i="5"/>
  <c r="AB202" i="5"/>
  <c r="AA201" i="5"/>
  <c r="Z201" i="5"/>
  <c r="Y201" i="5"/>
  <c r="AM201" i="5"/>
  <c r="X201" i="5"/>
  <c r="W201" i="5"/>
  <c r="V201" i="5"/>
  <c r="U201" i="5"/>
  <c r="T201" i="5"/>
  <c r="S201" i="5"/>
  <c r="AF201" i="5" s="1"/>
  <c r="R201" i="5"/>
  <c r="Q201" i="5"/>
  <c r="AE201" i="5"/>
  <c r="P201" i="5"/>
  <c r="AA200" i="5"/>
  <c r="Z200" i="5"/>
  <c r="Y200" i="5"/>
  <c r="AL200" i="5" s="1"/>
  <c r="AM200" i="5"/>
  <c r="X200" i="5"/>
  <c r="W200" i="5"/>
  <c r="AJ200" i="5" s="1"/>
  <c r="V200" i="5"/>
  <c r="U200" i="5"/>
  <c r="AH200" i="5" s="1"/>
  <c r="T200" i="5"/>
  <c r="S200" i="5"/>
  <c r="AG200" i="5" s="1"/>
  <c r="R200" i="5"/>
  <c r="Q200" i="5"/>
  <c r="P200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AD199" i="5" s="1"/>
  <c r="AB199" i="5"/>
  <c r="AA198" i="5"/>
  <c r="AN198" i="5" s="1"/>
  <c r="Z198" i="5"/>
  <c r="AM198" i="5" s="1"/>
  <c r="Y198" i="5"/>
  <c r="X198" i="5"/>
  <c r="W198" i="5"/>
  <c r="AJ198" i="5" s="1"/>
  <c r="V198" i="5"/>
  <c r="AI198" i="5" s="1"/>
  <c r="U198" i="5"/>
  <c r="T198" i="5"/>
  <c r="S198" i="5"/>
  <c r="AF198" i="5" s="1"/>
  <c r="R198" i="5"/>
  <c r="Q198" i="5"/>
  <c r="P198" i="5"/>
  <c r="AB198" i="5"/>
  <c r="AA197" i="5"/>
  <c r="AN197" i="5" s="1"/>
  <c r="Z197" i="5"/>
  <c r="AM197" i="5" s="1"/>
  <c r="Y197" i="5"/>
  <c r="AL197" i="5" s="1"/>
  <c r="X197" i="5"/>
  <c r="W197" i="5"/>
  <c r="V197" i="5"/>
  <c r="U197" i="5"/>
  <c r="AH197" i="5" s="1"/>
  <c r="T197" i="5"/>
  <c r="S197" i="5"/>
  <c r="R197" i="5"/>
  <c r="Q197" i="5"/>
  <c r="AD197" i="5" s="1"/>
  <c r="P197" i="5"/>
  <c r="AA196" i="5"/>
  <c r="Z196" i="5"/>
  <c r="AN196" i="5" s="1"/>
  <c r="Y196" i="5"/>
  <c r="AM196" i="5"/>
  <c r="X196" i="5"/>
  <c r="W196" i="5"/>
  <c r="AK196" i="5"/>
  <c r="V196" i="5"/>
  <c r="U196" i="5"/>
  <c r="T196" i="5"/>
  <c r="S196" i="5"/>
  <c r="R196" i="5"/>
  <c r="Q196" i="5"/>
  <c r="P196" i="5"/>
  <c r="AD196" i="5"/>
  <c r="AA195" i="5"/>
  <c r="AN195" i="5" s="1"/>
  <c r="Z195" i="5"/>
  <c r="Y195" i="5"/>
  <c r="X195" i="5"/>
  <c r="W195" i="5"/>
  <c r="V195" i="5"/>
  <c r="AJ195" i="5"/>
  <c r="U195" i="5"/>
  <c r="T195" i="5"/>
  <c r="AG195" i="5" s="1"/>
  <c r="S195" i="5"/>
  <c r="R195" i="5"/>
  <c r="Q195" i="5"/>
  <c r="P195" i="5"/>
  <c r="AB195" i="5"/>
  <c r="AA194" i="5"/>
  <c r="Z194" i="5"/>
  <c r="Y194" i="5"/>
  <c r="X194" i="5"/>
  <c r="W194" i="5"/>
  <c r="V194" i="5"/>
  <c r="AJ194" i="5" s="1"/>
  <c r="U194" i="5"/>
  <c r="T194" i="5"/>
  <c r="S194" i="5"/>
  <c r="R194" i="5"/>
  <c r="AE194" i="5" s="1"/>
  <c r="Q194" i="5"/>
  <c r="P194" i="5"/>
  <c r="AA193" i="5"/>
  <c r="Z193" i="5"/>
  <c r="Y193" i="5"/>
  <c r="AL193" i="5" s="1"/>
  <c r="X193" i="5"/>
  <c r="W193" i="5"/>
  <c r="AK193" i="5" s="1"/>
  <c r="V193" i="5"/>
  <c r="AJ193" i="5"/>
  <c r="U193" i="5"/>
  <c r="T193" i="5"/>
  <c r="S193" i="5"/>
  <c r="R193" i="5"/>
  <c r="Q193" i="5"/>
  <c r="P193" i="5"/>
  <c r="AA192" i="5"/>
  <c r="Z192" i="5"/>
  <c r="Y192" i="5"/>
  <c r="X192" i="5"/>
  <c r="W192" i="5"/>
  <c r="V192" i="5"/>
  <c r="AI192" i="5" s="1"/>
  <c r="U192" i="5"/>
  <c r="T192" i="5"/>
  <c r="S192" i="5"/>
  <c r="R192" i="5"/>
  <c r="Q192" i="5"/>
  <c r="AD192" i="5" s="1"/>
  <c r="P192" i="5"/>
  <c r="AB192" i="5"/>
  <c r="AA191" i="5"/>
  <c r="AN191" i="5" s="1"/>
  <c r="Z191" i="5"/>
  <c r="Y191" i="5"/>
  <c r="AM191" i="5"/>
  <c r="X191" i="5"/>
  <c r="W191" i="5"/>
  <c r="AJ191" i="5" s="1"/>
  <c r="V191" i="5"/>
  <c r="AI191" i="5" s="1"/>
  <c r="U191" i="5"/>
  <c r="T191" i="5"/>
  <c r="S191" i="5"/>
  <c r="AF191" i="5" s="1"/>
  <c r="R191" i="5"/>
  <c r="Q191" i="5"/>
  <c r="P191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A189" i="5"/>
  <c r="Z189" i="5"/>
  <c r="AN189" i="5" s="1"/>
  <c r="Y189" i="5"/>
  <c r="AL189" i="5" s="1"/>
  <c r="AM189" i="5"/>
  <c r="X189" i="5"/>
  <c r="AK189" i="5" s="1"/>
  <c r="W189" i="5"/>
  <c r="V189" i="5"/>
  <c r="U189" i="5"/>
  <c r="T189" i="5"/>
  <c r="AG189" i="5" s="1"/>
  <c r="S189" i="5"/>
  <c r="R189" i="5"/>
  <c r="Q189" i="5"/>
  <c r="P189" i="5"/>
  <c r="AB189" i="5"/>
  <c r="AA188" i="5"/>
  <c r="Z188" i="5"/>
  <c r="Y188" i="5"/>
  <c r="AL188" i="5" s="1"/>
  <c r="X188" i="5"/>
  <c r="W188" i="5"/>
  <c r="AJ188" i="5" s="1"/>
  <c r="AK188" i="5"/>
  <c r="V188" i="5"/>
  <c r="U188" i="5"/>
  <c r="T188" i="5"/>
  <c r="S188" i="5"/>
  <c r="R188" i="5"/>
  <c r="Q188" i="5"/>
  <c r="P188" i="5"/>
  <c r="AD188" i="5"/>
  <c r="AB188" i="5"/>
  <c r="AA187" i="5"/>
  <c r="Z187" i="5"/>
  <c r="AM187" i="5" s="1"/>
  <c r="AN187" i="5"/>
  <c r="Y187" i="5"/>
  <c r="X187" i="5"/>
  <c r="W187" i="5"/>
  <c r="V187" i="5"/>
  <c r="U187" i="5"/>
  <c r="AH187" i="5" s="1"/>
  <c r="T187" i="5"/>
  <c r="S187" i="5"/>
  <c r="R187" i="5"/>
  <c r="AF187" i="5"/>
  <c r="Q187" i="5"/>
  <c r="P187" i="5"/>
  <c r="AA186" i="5"/>
  <c r="Z186" i="5"/>
  <c r="AM186" i="5" s="1"/>
  <c r="Y186" i="5"/>
  <c r="X186" i="5"/>
  <c r="W186" i="5"/>
  <c r="AJ186" i="5" s="1"/>
  <c r="V186" i="5"/>
  <c r="U186" i="5"/>
  <c r="T186" i="5"/>
  <c r="AG186" i="5" s="1"/>
  <c r="S186" i="5"/>
  <c r="R186" i="5"/>
  <c r="Q186" i="5"/>
  <c r="AE186" i="5"/>
  <c r="P186" i="5"/>
  <c r="AA185" i="5"/>
  <c r="Z185" i="5"/>
  <c r="Y185" i="5"/>
  <c r="AL185" i="5" s="1"/>
  <c r="X185" i="5"/>
  <c r="W185" i="5"/>
  <c r="AJ185" i="5" s="1"/>
  <c r="V185" i="5"/>
  <c r="U185" i="5"/>
  <c r="AI185" i="5" s="1"/>
  <c r="T185" i="5"/>
  <c r="AH185" i="5"/>
  <c r="S185" i="5"/>
  <c r="AF185" i="5" s="1"/>
  <c r="R185" i="5"/>
  <c r="Q185" i="5"/>
  <c r="P185" i="5"/>
  <c r="AB185" i="5"/>
  <c r="AA184" i="5"/>
  <c r="AN184" i="5" s="1"/>
  <c r="Z184" i="5"/>
  <c r="Y184" i="5"/>
  <c r="AM184" i="5"/>
  <c r="X184" i="5"/>
  <c r="W184" i="5"/>
  <c r="AK184" i="5"/>
  <c r="V184" i="5"/>
  <c r="U184" i="5"/>
  <c r="T184" i="5"/>
  <c r="S184" i="5"/>
  <c r="AG184" i="5"/>
  <c r="R184" i="5"/>
  <c r="Q184" i="5"/>
  <c r="AD184" i="5" s="1"/>
  <c r="P184" i="5"/>
  <c r="AA183" i="5"/>
  <c r="Z183" i="5"/>
  <c r="Y183" i="5"/>
  <c r="AM183" i="5"/>
  <c r="X183" i="5"/>
  <c r="W183" i="5"/>
  <c r="AJ183" i="5" s="1"/>
  <c r="V183" i="5"/>
  <c r="U183" i="5"/>
  <c r="T183" i="5"/>
  <c r="S183" i="5"/>
  <c r="AF183" i="5" s="1"/>
  <c r="AG183" i="5"/>
  <c r="R183" i="5"/>
  <c r="Q183" i="5"/>
  <c r="AE183" i="5" s="1"/>
  <c r="P183" i="5"/>
  <c r="AA182" i="5"/>
  <c r="Z182" i="5"/>
  <c r="AM182" i="5" s="1"/>
  <c r="AN182" i="5"/>
  <c r="Y182" i="5"/>
  <c r="X182" i="5"/>
  <c r="AL182" i="5" s="1"/>
  <c r="W182" i="5"/>
  <c r="V182" i="5"/>
  <c r="AJ182" i="5" s="1"/>
  <c r="U182" i="5"/>
  <c r="T182" i="5"/>
  <c r="S182" i="5"/>
  <c r="AF182" i="5" s="1"/>
  <c r="R182" i="5"/>
  <c r="Q182" i="5"/>
  <c r="P182" i="5"/>
  <c r="AA181" i="5"/>
  <c r="Z181" i="5"/>
  <c r="Y181" i="5"/>
  <c r="X181" i="5"/>
  <c r="W181" i="5"/>
  <c r="V181" i="5"/>
  <c r="AI181" i="5" s="1"/>
  <c r="U181" i="5"/>
  <c r="AH181" i="5" s="1"/>
  <c r="T181" i="5"/>
  <c r="S181" i="5"/>
  <c r="R181" i="5"/>
  <c r="Q181" i="5"/>
  <c r="AE181" i="5" s="1"/>
  <c r="P181" i="5"/>
  <c r="AD181" i="5"/>
  <c r="AB181" i="5"/>
  <c r="AA180" i="5"/>
  <c r="Z180" i="5"/>
  <c r="Y180" i="5"/>
  <c r="X180" i="5"/>
  <c r="W180" i="5"/>
  <c r="AJ180" i="5" s="1"/>
  <c r="V180" i="5"/>
  <c r="U180" i="5"/>
  <c r="T180" i="5"/>
  <c r="AG180" i="5" s="1"/>
  <c r="S180" i="5"/>
  <c r="R180" i="5"/>
  <c r="Q180" i="5"/>
  <c r="P180" i="5"/>
  <c r="AB180" i="5"/>
  <c r="AA179" i="5"/>
  <c r="Z179" i="5"/>
  <c r="AN179" i="5" s="1"/>
  <c r="Y179" i="5"/>
  <c r="AL179" i="5" s="1"/>
  <c r="X179" i="5"/>
  <c r="W179" i="5"/>
  <c r="V179" i="5"/>
  <c r="U179" i="5"/>
  <c r="T179" i="5"/>
  <c r="S179" i="5"/>
  <c r="R179" i="5"/>
  <c r="AF179" i="5" s="1"/>
  <c r="Q179" i="5"/>
  <c r="AD179" i="5" s="1"/>
  <c r="P179" i="5"/>
  <c r="AA178" i="5"/>
  <c r="Z178" i="5"/>
  <c r="Y178" i="5"/>
  <c r="X178" i="5"/>
  <c r="AK178" i="5" s="1"/>
  <c r="W178" i="5"/>
  <c r="AJ178" i="5" s="1"/>
  <c r="V178" i="5"/>
  <c r="U178" i="5"/>
  <c r="T178" i="5"/>
  <c r="S178" i="5"/>
  <c r="R178" i="5"/>
  <c r="Q178" i="5"/>
  <c r="P178" i="5"/>
  <c r="AB178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A176" i="5"/>
  <c r="Z176" i="5"/>
  <c r="AM176" i="5" s="1"/>
  <c r="Y176" i="5"/>
  <c r="X176" i="5"/>
  <c r="W176" i="5"/>
  <c r="V176" i="5"/>
  <c r="U176" i="5"/>
  <c r="T176" i="5"/>
  <c r="AG176" i="5" s="1"/>
  <c r="S176" i="5"/>
  <c r="R176" i="5"/>
  <c r="Q176" i="5"/>
  <c r="AE176" i="5" s="1"/>
  <c r="P176" i="5"/>
  <c r="AA175" i="5"/>
  <c r="AN175" i="5" s="1"/>
  <c r="Z175" i="5"/>
  <c r="Y175" i="5"/>
  <c r="AL175" i="5" s="1"/>
  <c r="X175" i="5"/>
  <c r="W175" i="5"/>
  <c r="AJ175" i="5" s="1"/>
  <c r="V175" i="5"/>
  <c r="U175" i="5"/>
  <c r="AI175" i="5"/>
  <c r="T175" i="5"/>
  <c r="S175" i="5"/>
  <c r="AG175" i="5"/>
  <c r="R175" i="5"/>
  <c r="Q175" i="5"/>
  <c r="P175" i="5"/>
  <c r="AA174" i="5"/>
  <c r="Z174" i="5"/>
  <c r="Y174" i="5"/>
  <c r="X174" i="5"/>
  <c r="W174" i="5"/>
  <c r="V174" i="5"/>
  <c r="U174" i="5"/>
  <c r="AH174" i="5" s="1"/>
  <c r="T174" i="5"/>
  <c r="S174" i="5"/>
  <c r="R174" i="5"/>
  <c r="Q174" i="5"/>
  <c r="AD174" i="5" s="1"/>
  <c r="AE174" i="5"/>
  <c r="P174" i="5"/>
  <c r="AB174" i="5"/>
  <c r="AA173" i="5"/>
  <c r="Z173" i="5"/>
  <c r="Y173" i="5"/>
  <c r="X173" i="5"/>
  <c r="W173" i="5"/>
  <c r="V173" i="5"/>
  <c r="AI173" i="5" s="1"/>
  <c r="U173" i="5"/>
  <c r="T173" i="5"/>
  <c r="AH173" i="5"/>
  <c r="S173" i="5"/>
  <c r="AG173" i="5" s="1"/>
  <c r="R173" i="5"/>
  <c r="Q173" i="5"/>
  <c r="AE173" i="5"/>
  <c r="P173" i="5"/>
  <c r="AB173" i="5"/>
  <c r="AA172" i="5"/>
  <c r="Z172" i="5"/>
  <c r="Y172" i="5"/>
  <c r="AL172" i="5" s="1"/>
  <c r="X172" i="5"/>
  <c r="W172" i="5"/>
  <c r="AK172" i="5" s="1"/>
  <c r="V172" i="5"/>
  <c r="AJ172" i="5"/>
  <c r="U172" i="5"/>
  <c r="T172" i="5"/>
  <c r="S172" i="5"/>
  <c r="AF172" i="5" s="1"/>
  <c r="AG172" i="5"/>
  <c r="R172" i="5"/>
  <c r="Q172" i="5"/>
  <c r="AE172" i="5" s="1"/>
  <c r="P172" i="5"/>
  <c r="AA171" i="5"/>
  <c r="Z171" i="5"/>
  <c r="Y171" i="5"/>
  <c r="X171" i="5"/>
  <c r="AL171" i="5"/>
  <c r="W171" i="5"/>
  <c r="V171" i="5"/>
  <c r="U171" i="5"/>
  <c r="AH171" i="5" s="1"/>
  <c r="T171" i="5"/>
  <c r="S171" i="5"/>
  <c r="AG171" i="5" s="1"/>
  <c r="R171" i="5"/>
  <c r="AE171" i="5" s="1"/>
  <c r="Q171" i="5"/>
  <c r="P171" i="5"/>
  <c r="AD171" i="5" s="1"/>
  <c r="AB171" i="5"/>
  <c r="AA170" i="5"/>
  <c r="Z170" i="5"/>
  <c r="Y170" i="5"/>
  <c r="X170" i="5"/>
  <c r="AL170" i="5" s="1"/>
  <c r="W170" i="5"/>
  <c r="V170" i="5"/>
  <c r="AI170" i="5" s="1"/>
  <c r="AJ170" i="5"/>
  <c r="U170" i="5"/>
  <c r="T170" i="5"/>
  <c r="AH170" i="5" s="1"/>
  <c r="S170" i="5"/>
  <c r="R170" i="5"/>
  <c r="AF170" i="5"/>
  <c r="Q170" i="5"/>
  <c r="P170" i="5"/>
  <c r="AB170" i="5"/>
  <c r="AA169" i="5"/>
  <c r="AN169" i="5" s="1"/>
  <c r="Z169" i="5"/>
  <c r="Y169" i="5"/>
  <c r="AM169" i="5"/>
  <c r="X169" i="5"/>
  <c r="W169" i="5"/>
  <c r="V169" i="5"/>
  <c r="U169" i="5"/>
  <c r="T169" i="5"/>
  <c r="S169" i="5"/>
  <c r="AG169" i="5" s="1"/>
  <c r="R169" i="5"/>
  <c r="Q169" i="5"/>
  <c r="AE169" i="5" s="1"/>
  <c r="P169" i="5"/>
  <c r="AB169" i="5"/>
  <c r="AA168" i="5"/>
  <c r="AN168" i="5" s="1"/>
  <c r="Z168" i="5"/>
  <c r="Y168" i="5"/>
  <c r="AL168" i="5" s="1"/>
  <c r="X168" i="5"/>
  <c r="W168" i="5"/>
  <c r="AK168" i="5" s="1"/>
  <c r="V168" i="5"/>
  <c r="U168" i="5"/>
  <c r="T168" i="5"/>
  <c r="S168" i="5"/>
  <c r="R168" i="5"/>
  <c r="AE168" i="5" s="1"/>
  <c r="Q168" i="5"/>
  <c r="P168" i="5"/>
  <c r="AD168" i="5" s="1"/>
  <c r="AA167" i="5"/>
  <c r="Z167" i="5"/>
  <c r="AN167" i="5"/>
  <c r="Y167" i="5"/>
  <c r="X167" i="5"/>
  <c r="AK167" i="5" s="1"/>
  <c r="W167" i="5"/>
  <c r="AJ167" i="5" s="1"/>
  <c r="V167" i="5"/>
  <c r="U167" i="5"/>
  <c r="T167" i="5"/>
  <c r="S167" i="5"/>
  <c r="R167" i="5"/>
  <c r="Q167" i="5"/>
  <c r="P167" i="5"/>
  <c r="AB167" i="5"/>
  <c r="AA166" i="5"/>
  <c r="AN166" i="5" s="1"/>
  <c r="Z166" i="5"/>
  <c r="Y166" i="5"/>
  <c r="AM166" i="5" s="1"/>
  <c r="X166" i="5"/>
  <c r="W166" i="5"/>
  <c r="AK166" i="5" s="1"/>
  <c r="V166" i="5"/>
  <c r="AJ166" i="5"/>
  <c r="U166" i="5"/>
  <c r="AI166" i="5" s="1"/>
  <c r="T166" i="5"/>
  <c r="S166" i="5"/>
  <c r="R166" i="5"/>
  <c r="Q166" i="5"/>
  <c r="P166" i="5"/>
  <c r="AD166" i="5" s="1"/>
  <c r="AA165" i="5"/>
  <c r="Z165" i="5"/>
  <c r="AM165" i="5" s="1"/>
  <c r="Y165" i="5"/>
  <c r="X165" i="5"/>
  <c r="AL165" i="5" s="1"/>
  <c r="W165" i="5"/>
  <c r="AK165" i="5" s="1"/>
  <c r="V165" i="5"/>
  <c r="AJ165" i="5"/>
  <c r="U165" i="5"/>
  <c r="T165" i="5"/>
  <c r="AH165" i="5"/>
  <c r="S165" i="5"/>
  <c r="AG165" i="5"/>
  <c r="R165" i="5"/>
  <c r="AF165" i="5" s="1"/>
  <c r="Q165" i="5"/>
  <c r="P165" i="5"/>
  <c r="AD165" i="5" s="1"/>
  <c r="AA164" i="5"/>
  <c r="Z164" i="5"/>
  <c r="AM164" i="5" s="1"/>
  <c r="Y164" i="5"/>
  <c r="X164" i="5"/>
  <c r="W164" i="5"/>
  <c r="AJ164" i="5" s="1"/>
  <c r="V164" i="5"/>
  <c r="U164" i="5"/>
  <c r="AH164" i="5" s="1"/>
  <c r="T164" i="5"/>
  <c r="S164" i="5"/>
  <c r="R164" i="5"/>
  <c r="AE164" i="5" s="1"/>
  <c r="Q164" i="5"/>
  <c r="P164" i="5"/>
  <c r="AD164" i="5" s="1"/>
  <c r="AB164" i="5"/>
  <c r="AA163" i="5"/>
  <c r="Z163" i="5"/>
  <c r="Y163" i="5"/>
  <c r="X163" i="5"/>
  <c r="W163" i="5"/>
  <c r="AJ163" i="5" s="1"/>
  <c r="AK163" i="5"/>
  <c r="V163" i="5"/>
  <c r="U163" i="5"/>
  <c r="T163" i="5"/>
  <c r="S163" i="5"/>
  <c r="R163" i="5"/>
  <c r="Q163" i="5"/>
  <c r="P163" i="5"/>
  <c r="AD163" i="5" s="1"/>
  <c r="AB163" i="5"/>
  <c r="AA162" i="5"/>
  <c r="AN162" i="5" s="1"/>
  <c r="Z162" i="5"/>
  <c r="AM162" i="5" s="1"/>
  <c r="Y162" i="5"/>
  <c r="X162" i="5"/>
  <c r="W162" i="5"/>
  <c r="V162" i="5"/>
  <c r="U162" i="5"/>
  <c r="T162" i="5"/>
  <c r="S162" i="5"/>
  <c r="R162" i="5"/>
  <c r="AF162" i="5" s="1"/>
  <c r="Q162" i="5"/>
  <c r="P162" i="5"/>
  <c r="AB162" i="5"/>
  <c r="AA161" i="5"/>
  <c r="Z161" i="5"/>
  <c r="AM161" i="5" s="1"/>
  <c r="AN161" i="5"/>
  <c r="Y161" i="5"/>
  <c r="AL161" i="5" s="1"/>
  <c r="X161" i="5"/>
  <c r="AK161" i="5" s="1"/>
  <c r="W161" i="5"/>
  <c r="V161" i="5"/>
  <c r="U161" i="5"/>
  <c r="T161" i="5"/>
  <c r="S161" i="5"/>
  <c r="AF161" i="5" s="1"/>
  <c r="R161" i="5"/>
  <c r="Q161" i="5"/>
  <c r="P161" i="5"/>
  <c r="AD161" i="5"/>
  <c r="AB161" i="5"/>
  <c r="AA160" i="5"/>
  <c r="Z160" i="5"/>
  <c r="AN160" i="5"/>
  <c r="Y160" i="5"/>
  <c r="X160" i="5"/>
  <c r="AL160" i="5" s="1"/>
  <c r="W160" i="5"/>
  <c r="V160" i="5"/>
  <c r="AI160" i="5" s="1"/>
  <c r="U160" i="5"/>
  <c r="T160" i="5"/>
  <c r="AH160" i="5" s="1"/>
  <c r="S160" i="5"/>
  <c r="AG160" i="5"/>
  <c r="R160" i="5"/>
  <c r="AF160" i="5" s="1"/>
  <c r="Q160" i="5"/>
  <c r="P160" i="5"/>
  <c r="AB160" i="5"/>
  <c r="AA159" i="5"/>
  <c r="Z159" i="5"/>
  <c r="Y159" i="5"/>
  <c r="AL159" i="5" s="1"/>
  <c r="AM159" i="5"/>
  <c r="X159" i="5"/>
  <c r="W159" i="5"/>
  <c r="V159" i="5"/>
  <c r="U159" i="5"/>
  <c r="T159" i="5"/>
  <c r="AG159" i="5" s="1"/>
  <c r="S159" i="5"/>
  <c r="R159" i="5"/>
  <c r="AF159" i="5"/>
  <c r="Q159" i="5"/>
  <c r="AE159" i="5"/>
  <c r="P159" i="5"/>
  <c r="AD159" i="5" s="1"/>
  <c r="AB159" i="5"/>
  <c r="AA158" i="5"/>
  <c r="Z158" i="5"/>
  <c r="Y158" i="5"/>
  <c r="X158" i="5"/>
  <c r="W158" i="5"/>
  <c r="V158" i="5"/>
  <c r="U158" i="5"/>
  <c r="AH158" i="5" s="1"/>
  <c r="T158" i="5"/>
  <c r="S158" i="5"/>
  <c r="AF158" i="5" s="1"/>
  <c r="R158" i="5"/>
  <c r="Q158" i="5"/>
  <c r="P158" i="5"/>
  <c r="AA157" i="5"/>
  <c r="Z157" i="5"/>
  <c r="AM157" i="5" s="1"/>
  <c r="Y157" i="5"/>
  <c r="X157" i="5"/>
  <c r="AL157" i="5"/>
  <c r="W157" i="5"/>
  <c r="V157" i="5"/>
  <c r="AI157" i="5" s="1"/>
  <c r="U157" i="5"/>
  <c r="T157" i="5"/>
  <c r="AH157" i="5"/>
  <c r="S157" i="5"/>
  <c r="R157" i="5"/>
  <c r="AF157" i="5" s="1"/>
  <c r="Q157" i="5"/>
  <c r="AE157" i="5" s="1"/>
  <c r="P157" i="5"/>
  <c r="AB157" i="5"/>
  <c r="AA156" i="5"/>
  <c r="AN156" i="5" s="1"/>
  <c r="Z156" i="5"/>
  <c r="Y156" i="5"/>
  <c r="X156" i="5"/>
  <c r="W156" i="5"/>
  <c r="V156" i="5"/>
  <c r="AJ156" i="5" s="1"/>
  <c r="U156" i="5"/>
  <c r="T156" i="5"/>
  <c r="S156" i="5"/>
  <c r="AG156" i="5" s="1"/>
  <c r="R156" i="5"/>
  <c r="Q156" i="5"/>
  <c r="P156" i="5"/>
  <c r="AB156" i="5"/>
  <c r="AA155" i="5"/>
  <c r="AN155" i="5" s="1"/>
  <c r="Z155" i="5"/>
  <c r="Y155" i="5"/>
  <c r="AM155" i="5" s="1"/>
  <c r="X155" i="5"/>
  <c r="W155" i="5"/>
  <c r="V155" i="5"/>
  <c r="AJ155" i="5" s="1"/>
  <c r="U155" i="5"/>
  <c r="AI155" i="5"/>
  <c r="T155" i="5"/>
  <c r="S155" i="5"/>
  <c r="R155" i="5"/>
  <c r="Q155" i="5"/>
  <c r="P155" i="5"/>
  <c r="AB155" i="5"/>
  <c r="AA154" i="5"/>
  <c r="Z154" i="5"/>
  <c r="Y154" i="5"/>
  <c r="X154" i="5"/>
  <c r="AL154" i="5" s="1"/>
  <c r="W154" i="5"/>
  <c r="AK154" i="5"/>
  <c r="V154" i="5"/>
  <c r="AJ154" i="5" s="1"/>
  <c r="U154" i="5"/>
  <c r="AI154" i="5"/>
  <c r="T154" i="5"/>
  <c r="S154" i="5"/>
  <c r="AG154" i="5"/>
  <c r="R154" i="5"/>
  <c r="Q154" i="5"/>
  <c r="P154" i="5"/>
  <c r="AA153" i="5"/>
  <c r="AN153" i="5" s="1"/>
  <c r="Z153" i="5"/>
  <c r="Y153" i="5"/>
  <c r="AM153" i="5" s="1"/>
  <c r="X153" i="5"/>
  <c r="AK153" i="5" s="1"/>
  <c r="AL153" i="5"/>
  <c r="W153" i="5"/>
  <c r="V153" i="5"/>
  <c r="AJ153" i="5"/>
  <c r="U153" i="5"/>
  <c r="AH153" i="5" s="1"/>
  <c r="AI153" i="5"/>
  <c r="T153" i="5"/>
  <c r="S153" i="5"/>
  <c r="AG153" i="5"/>
  <c r="R153" i="5"/>
  <c r="Q153" i="5"/>
  <c r="P153" i="5"/>
  <c r="AB153" i="5"/>
  <c r="AA152" i="5"/>
  <c r="AN152" i="5" s="1"/>
  <c r="Z152" i="5"/>
  <c r="AM152" i="5" s="1"/>
  <c r="Y152" i="5"/>
  <c r="X152" i="5"/>
  <c r="W152" i="5"/>
  <c r="V152" i="5"/>
  <c r="AI152" i="5" s="1"/>
  <c r="U152" i="5"/>
  <c r="T152" i="5"/>
  <c r="AH152" i="5" s="1"/>
  <c r="S152" i="5"/>
  <c r="AG152" i="5"/>
  <c r="R152" i="5"/>
  <c r="AF152" i="5" s="1"/>
  <c r="Q152" i="5"/>
  <c r="P152" i="5"/>
  <c r="AD152" i="5" s="1"/>
  <c r="AA151" i="5"/>
  <c r="Z151" i="5"/>
  <c r="AM151" i="5" s="1"/>
  <c r="Y151" i="5"/>
  <c r="AL151" i="5" s="1"/>
  <c r="X151" i="5"/>
  <c r="W151" i="5"/>
  <c r="AK151" i="5" s="1"/>
  <c r="V151" i="5"/>
  <c r="U151" i="5"/>
  <c r="T151" i="5"/>
  <c r="S151" i="5"/>
  <c r="AF151" i="5" s="1"/>
  <c r="R151" i="5"/>
  <c r="Q151" i="5"/>
  <c r="AE151" i="5"/>
  <c r="P151" i="5"/>
  <c r="AD151" i="5"/>
  <c r="AA150" i="5"/>
  <c r="Z150" i="5"/>
  <c r="Y150" i="5"/>
  <c r="AL150" i="5" s="1"/>
  <c r="X150" i="5"/>
  <c r="W150" i="5"/>
  <c r="AJ150" i="5" s="1"/>
  <c r="V150" i="5"/>
  <c r="U150" i="5"/>
  <c r="T150" i="5"/>
  <c r="S150" i="5"/>
  <c r="AF150" i="5" s="1"/>
  <c r="R150" i="5"/>
  <c r="Q150" i="5"/>
  <c r="P150" i="5"/>
  <c r="AB150" i="5"/>
  <c r="AA149" i="5"/>
  <c r="Z149" i="5"/>
  <c r="AM149" i="5" s="1"/>
  <c r="Y149" i="5"/>
  <c r="X149" i="5"/>
  <c r="W149" i="5"/>
  <c r="V149" i="5"/>
  <c r="AI149" i="5" s="1"/>
  <c r="AJ149" i="5"/>
  <c r="U149" i="5"/>
  <c r="T149" i="5"/>
  <c r="S149" i="5"/>
  <c r="AG149" i="5"/>
  <c r="R149" i="5"/>
  <c r="Q149" i="5"/>
  <c r="P149" i="5"/>
  <c r="AD149" i="5" s="1"/>
  <c r="AA148" i="5"/>
  <c r="Z148" i="5"/>
  <c r="Y148" i="5"/>
  <c r="AL148" i="5" s="1"/>
  <c r="AM148" i="5"/>
  <c r="X148" i="5"/>
  <c r="W148" i="5"/>
  <c r="AK148" i="5"/>
  <c r="V148" i="5"/>
  <c r="U148" i="5"/>
  <c r="AI148" i="5" s="1"/>
  <c r="T148" i="5"/>
  <c r="S148" i="5"/>
  <c r="R148" i="5"/>
  <c r="Q148" i="5"/>
  <c r="P148" i="5"/>
  <c r="AD148" i="5" s="1"/>
  <c r="AB148" i="5"/>
  <c r="AA147" i="5"/>
  <c r="AN147" i="5" s="1"/>
  <c r="Z147" i="5"/>
  <c r="Y147" i="5"/>
  <c r="AM147" i="5" s="1"/>
  <c r="X147" i="5"/>
  <c r="W147" i="5"/>
  <c r="V147" i="5"/>
  <c r="U147" i="5"/>
  <c r="T147" i="5"/>
  <c r="S147" i="5"/>
  <c r="R147" i="5"/>
  <c r="Q147" i="5"/>
  <c r="P147" i="5"/>
  <c r="AD147" i="5"/>
  <c r="AB147" i="5"/>
  <c r="AA146" i="5"/>
  <c r="Z146" i="5"/>
  <c r="Y146" i="5"/>
  <c r="X146" i="5"/>
  <c r="W146" i="5"/>
  <c r="AK146" i="5" s="1"/>
  <c r="V146" i="5"/>
  <c r="U146" i="5"/>
  <c r="AI146" i="5"/>
  <c r="T146" i="5"/>
  <c r="AH146" i="5"/>
  <c r="S146" i="5"/>
  <c r="R146" i="5"/>
  <c r="Q146" i="5"/>
  <c r="AD146" i="5" s="1"/>
  <c r="P146" i="5"/>
  <c r="AB146" i="5"/>
  <c r="AA145" i="5"/>
  <c r="Z145" i="5"/>
  <c r="Y145" i="5"/>
  <c r="X145" i="5"/>
  <c r="W145" i="5"/>
  <c r="V145" i="5"/>
  <c r="U145" i="5"/>
  <c r="T145" i="5"/>
  <c r="AG145" i="5" s="1"/>
  <c r="S145" i="5"/>
  <c r="R145" i="5"/>
  <c r="AF145" i="5"/>
  <c r="Q145" i="5"/>
  <c r="AE145" i="5"/>
  <c r="P145" i="5"/>
  <c r="AD145" i="5" s="1"/>
  <c r="AB145" i="5"/>
  <c r="AA144" i="5"/>
  <c r="AN144" i="5" s="1"/>
  <c r="Z144" i="5"/>
  <c r="Y144" i="5"/>
  <c r="AL144" i="5" s="1"/>
  <c r="X144" i="5"/>
  <c r="W144" i="5"/>
  <c r="AJ144" i="5" s="1"/>
  <c r="AK144" i="5"/>
  <c r="V144" i="5"/>
  <c r="U144" i="5"/>
  <c r="T144" i="5"/>
  <c r="S144" i="5"/>
  <c r="AF144" i="5" s="1"/>
  <c r="R144" i="5"/>
  <c r="AE144" i="5" s="1"/>
  <c r="Q144" i="5"/>
  <c r="P144" i="5"/>
  <c r="AD144" i="5" s="1"/>
  <c r="AA143" i="5"/>
  <c r="Z143" i="5"/>
  <c r="Y143" i="5"/>
  <c r="X143" i="5"/>
  <c r="AL143" i="5"/>
  <c r="W143" i="5"/>
  <c r="V143" i="5"/>
  <c r="U143" i="5"/>
  <c r="AH143" i="5" s="1"/>
  <c r="T143" i="5"/>
  <c r="AG143" i="5" s="1"/>
  <c r="S143" i="5"/>
  <c r="R143" i="5"/>
  <c r="Q143" i="5"/>
  <c r="P143" i="5"/>
  <c r="AD143" i="5"/>
  <c r="AB143" i="5"/>
  <c r="AA142" i="5"/>
  <c r="Z142" i="5"/>
  <c r="AM142" i="5" s="1"/>
  <c r="Y142" i="5"/>
  <c r="X142" i="5"/>
  <c r="AL142" i="5" s="1"/>
  <c r="W142" i="5"/>
  <c r="V142" i="5"/>
  <c r="AJ142" i="5"/>
  <c r="U142" i="5"/>
  <c r="T142" i="5"/>
  <c r="S142" i="5"/>
  <c r="R142" i="5"/>
  <c r="Q142" i="5"/>
  <c r="AE142" i="5"/>
  <c r="P142" i="5"/>
  <c r="AD142" i="5" s="1"/>
  <c r="AB142" i="5"/>
  <c r="AA141" i="5"/>
  <c r="Z141" i="5"/>
  <c r="Y141" i="5"/>
  <c r="AL141" i="5" s="1"/>
  <c r="X141" i="5"/>
  <c r="AK141" i="5" s="1"/>
  <c r="W141" i="5"/>
  <c r="V141" i="5"/>
  <c r="U141" i="5"/>
  <c r="T141" i="5"/>
  <c r="S141" i="5"/>
  <c r="R141" i="5"/>
  <c r="Q141" i="5"/>
  <c r="AE141" i="5" s="1"/>
  <c r="P141" i="5"/>
  <c r="AB141" i="5"/>
  <c r="AA140" i="5"/>
  <c r="Z140" i="5"/>
  <c r="Y140" i="5"/>
  <c r="X140" i="5"/>
  <c r="W140" i="5"/>
  <c r="AJ140" i="5" s="1"/>
  <c r="V140" i="5"/>
  <c r="AI140" i="5" s="1"/>
  <c r="U140" i="5"/>
  <c r="T140" i="5"/>
  <c r="S140" i="5"/>
  <c r="R140" i="5"/>
  <c r="Q140" i="5"/>
  <c r="P140" i="5"/>
  <c r="AB140" i="5"/>
  <c r="AA139" i="5"/>
  <c r="Z139" i="5"/>
  <c r="Y139" i="5"/>
  <c r="AM139" i="5"/>
  <c r="X139" i="5"/>
  <c r="W139" i="5"/>
  <c r="V139" i="5"/>
  <c r="AI139" i="5" s="1"/>
  <c r="U139" i="5"/>
  <c r="T139" i="5"/>
  <c r="S139" i="5"/>
  <c r="R139" i="5"/>
  <c r="Q139" i="5"/>
  <c r="AD139" i="5" s="1"/>
  <c r="P139" i="5"/>
  <c r="AB139" i="5"/>
  <c r="AA138" i="5"/>
  <c r="Z138" i="5"/>
  <c r="Y138" i="5"/>
  <c r="X138" i="5"/>
  <c r="AK138" i="5" s="1"/>
  <c r="W138" i="5"/>
  <c r="V138" i="5"/>
  <c r="AJ138" i="5" s="1"/>
  <c r="U138" i="5"/>
  <c r="T138" i="5"/>
  <c r="S138" i="5"/>
  <c r="R138" i="5"/>
  <c r="AE138" i="5" s="1"/>
  <c r="Q138" i="5"/>
  <c r="P138" i="5"/>
  <c r="AD138" i="5" s="1"/>
  <c r="AA137" i="5"/>
  <c r="Z137" i="5"/>
  <c r="Y137" i="5"/>
  <c r="X137" i="5"/>
  <c r="AK137" i="5" s="1"/>
  <c r="W137" i="5"/>
  <c r="V137" i="5"/>
  <c r="U137" i="5"/>
  <c r="AH137" i="5" s="1"/>
  <c r="T137" i="5"/>
  <c r="S137" i="5"/>
  <c r="AG137" i="5" s="1"/>
  <c r="R137" i="5"/>
  <c r="Q137" i="5"/>
  <c r="P137" i="5"/>
  <c r="AD137" i="5"/>
  <c r="AA136" i="5"/>
  <c r="Z136" i="5"/>
  <c r="Y136" i="5"/>
  <c r="X136" i="5"/>
  <c r="AK136" i="5" s="1"/>
  <c r="W136" i="5"/>
  <c r="V136" i="5"/>
  <c r="U136" i="5"/>
  <c r="T136" i="5"/>
  <c r="S136" i="5"/>
  <c r="AG136" i="5" s="1"/>
  <c r="R136" i="5"/>
  <c r="AE136" i="5" s="1"/>
  <c r="AF136" i="5"/>
  <c r="Q136" i="5"/>
  <c r="P136" i="5"/>
  <c r="AB136" i="5"/>
  <c r="AA135" i="5"/>
  <c r="Z135" i="5"/>
  <c r="Y135" i="5"/>
  <c r="AL135" i="5" s="1"/>
  <c r="X135" i="5"/>
  <c r="W135" i="5"/>
  <c r="AK135" i="5"/>
  <c r="V135" i="5"/>
  <c r="AJ135" i="5"/>
  <c r="U135" i="5"/>
  <c r="AI135" i="5"/>
  <c r="T135" i="5"/>
  <c r="AG135" i="5" s="1"/>
  <c r="S135" i="5"/>
  <c r="R135" i="5"/>
  <c r="Q135" i="5"/>
  <c r="P135" i="5"/>
  <c r="AA134" i="5"/>
  <c r="Z134" i="5"/>
  <c r="AM134" i="5" s="1"/>
  <c r="AN134" i="5"/>
  <c r="Y134" i="5"/>
  <c r="X134" i="5"/>
  <c r="W134" i="5"/>
  <c r="V134" i="5"/>
  <c r="U134" i="5"/>
  <c r="T134" i="5"/>
  <c r="S134" i="5"/>
  <c r="AF134" i="5" s="1"/>
  <c r="R134" i="5"/>
  <c r="Q134" i="5"/>
  <c r="P134" i="5"/>
  <c r="AA133" i="5"/>
  <c r="Z133" i="5"/>
  <c r="AM133" i="5" s="1"/>
  <c r="AN133" i="5"/>
  <c r="Y133" i="5"/>
  <c r="X133" i="5"/>
  <c r="AK133" i="5" s="1"/>
  <c r="W133" i="5"/>
  <c r="V133" i="5"/>
  <c r="AJ133" i="5" s="1"/>
  <c r="U133" i="5"/>
  <c r="T133" i="5"/>
  <c r="AG133" i="5" s="1"/>
  <c r="S133" i="5"/>
  <c r="R133" i="5"/>
  <c r="AF133" i="5" s="1"/>
  <c r="Q133" i="5"/>
  <c r="AD133" i="5" s="1"/>
  <c r="P133" i="5"/>
  <c r="AB133" i="5"/>
  <c r="AA132" i="5"/>
  <c r="Z132" i="5"/>
  <c r="Y132" i="5"/>
  <c r="X132" i="5"/>
  <c r="W132" i="5"/>
  <c r="V132" i="5"/>
  <c r="U132" i="5"/>
  <c r="T132" i="5"/>
  <c r="S132" i="5"/>
  <c r="AF132" i="5" s="1"/>
  <c r="R132" i="5"/>
  <c r="Q132" i="5"/>
  <c r="P132" i="5"/>
  <c r="AB132" i="5"/>
  <c r="AA131" i="5"/>
  <c r="Z131" i="5"/>
  <c r="Y131" i="5"/>
  <c r="X131" i="5"/>
  <c r="AK131" i="5" s="1"/>
  <c r="W131" i="5"/>
  <c r="V131" i="5"/>
  <c r="AI131" i="5" s="1"/>
  <c r="U131" i="5"/>
  <c r="AH131" i="5" s="1"/>
  <c r="T131" i="5"/>
  <c r="S131" i="5"/>
  <c r="R131" i="5"/>
  <c r="AF131" i="5"/>
  <c r="Q131" i="5"/>
  <c r="P131" i="5"/>
  <c r="AB131" i="5"/>
  <c r="AA130" i="5"/>
  <c r="Z130" i="5"/>
  <c r="AN130" i="5" s="1"/>
  <c r="Y130" i="5"/>
  <c r="AM130" i="5"/>
  <c r="X130" i="5"/>
  <c r="W130" i="5"/>
  <c r="V130" i="5"/>
  <c r="AI130" i="5" s="1"/>
  <c r="U130" i="5"/>
  <c r="T130" i="5"/>
  <c r="S130" i="5"/>
  <c r="AF130" i="5" s="1"/>
  <c r="R130" i="5"/>
  <c r="Q130" i="5"/>
  <c r="AD130" i="5" s="1"/>
  <c r="P130" i="5"/>
  <c r="AA129" i="5"/>
  <c r="Z129" i="5"/>
  <c r="AN129" i="5"/>
  <c r="Y129" i="5"/>
  <c r="AM129" i="5" s="1"/>
  <c r="X129" i="5"/>
  <c r="W129" i="5"/>
  <c r="AK129" i="5" s="1"/>
  <c r="V129" i="5"/>
  <c r="U129" i="5"/>
  <c r="T129" i="5"/>
  <c r="S129" i="5"/>
  <c r="R129" i="5"/>
  <c r="AF129" i="5" s="1"/>
  <c r="Q129" i="5"/>
  <c r="P129" i="5"/>
  <c r="AB129" i="5"/>
  <c r="AA128" i="5"/>
  <c r="Z128" i="5"/>
  <c r="Y128" i="5"/>
  <c r="AL128" i="5" s="1"/>
  <c r="X128" i="5"/>
  <c r="AK128" i="5" s="1"/>
  <c r="W128" i="5"/>
  <c r="V128" i="5"/>
  <c r="U128" i="5"/>
  <c r="T128" i="5"/>
  <c r="AG128" i="5" s="1"/>
  <c r="S128" i="5"/>
  <c r="R128" i="5"/>
  <c r="Q128" i="5"/>
  <c r="AD128" i="5" s="1"/>
  <c r="P128" i="5"/>
  <c r="AB128" i="5"/>
  <c r="AA127" i="5"/>
  <c r="Z127" i="5"/>
  <c r="AN127" i="5"/>
  <c r="Y127" i="5"/>
  <c r="AL127" i="5" s="1"/>
  <c r="X127" i="5"/>
  <c r="W127" i="5"/>
  <c r="V127" i="5"/>
  <c r="AJ127" i="5"/>
  <c r="U127" i="5"/>
  <c r="T127" i="5"/>
  <c r="S127" i="5"/>
  <c r="R127" i="5"/>
  <c r="Q127" i="5"/>
  <c r="AD127" i="5" s="1"/>
  <c r="P127" i="5"/>
  <c r="AB127" i="5"/>
  <c r="AA126" i="5"/>
  <c r="Z126" i="5"/>
  <c r="Y126" i="5"/>
  <c r="X126" i="5"/>
  <c r="W126" i="5"/>
  <c r="V126" i="5"/>
  <c r="AJ126" i="5"/>
  <c r="U126" i="5"/>
  <c r="T126" i="5"/>
  <c r="S126" i="5"/>
  <c r="R126" i="5"/>
  <c r="Q126" i="5"/>
  <c r="AD126" i="5" s="1"/>
  <c r="P126" i="5"/>
  <c r="AB126" i="5"/>
  <c r="AA125" i="5"/>
  <c r="Z125" i="5"/>
  <c r="Y125" i="5"/>
  <c r="AM125" i="5" s="1"/>
  <c r="X125" i="5"/>
  <c r="AK125" i="5" s="1"/>
  <c r="W125" i="5"/>
  <c r="V125" i="5"/>
  <c r="AJ125" i="5" s="1"/>
  <c r="U125" i="5"/>
  <c r="AH125" i="5" s="1"/>
  <c r="T125" i="5"/>
  <c r="S125" i="5"/>
  <c r="AF125" i="5" s="1"/>
  <c r="R125" i="5"/>
  <c r="Q125" i="5"/>
  <c r="P125" i="5"/>
  <c r="AB125" i="5"/>
  <c r="AA124" i="5"/>
  <c r="Z124" i="5"/>
  <c r="Y124" i="5"/>
  <c r="AM124" i="5"/>
  <c r="X124" i="5"/>
  <c r="W124" i="5"/>
  <c r="AK124" i="5"/>
  <c r="V124" i="5"/>
  <c r="U124" i="5"/>
  <c r="T124" i="5"/>
  <c r="AH124" i="5" s="1"/>
  <c r="S124" i="5"/>
  <c r="R124" i="5"/>
  <c r="Q124" i="5"/>
  <c r="P124" i="5"/>
  <c r="AA123" i="5"/>
  <c r="AN123" i="5" s="1"/>
  <c r="Z123" i="5"/>
  <c r="Y123" i="5"/>
  <c r="AL123" i="5" s="1"/>
  <c r="X123" i="5"/>
  <c r="W123" i="5"/>
  <c r="AJ123" i="5" s="1"/>
  <c r="V123" i="5"/>
  <c r="U123" i="5"/>
  <c r="T123" i="5"/>
  <c r="AG123" i="5" s="1"/>
  <c r="S123" i="5"/>
  <c r="R123" i="5"/>
  <c r="AF123" i="5"/>
  <c r="Q123" i="5"/>
  <c r="P123" i="5"/>
  <c r="AB123" i="5"/>
  <c r="AA122" i="5"/>
  <c r="Z122" i="5"/>
  <c r="Y122" i="5"/>
  <c r="X122" i="5"/>
  <c r="W122" i="5"/>
  <c r="V122" i="5"/>
  <c r="U122" i="5"/>
  <c r="AH122" i="5" s="1"/>
  <c r="T122" i="5"/>
  <c r="S122" i="5"/>
  <c r="R122" i="5"/>
  <c r="AE122" i="5" s="1"/>
  <c r="Q122" i="5"/>
  <c r="P122" i="5"/>
  <c r="AB122" i="5"/>
  <c r="AA121" i="5"/>
  <c r="Z121" i="5"/>
  <c r="AN121" i="5"/>
  <c r="Y121" i="5"/>
  <c r="X121" i="5"/>
  <c r="W121" i="5"/>
  <c r="AJ121" i="5" s="1"/>
  <c r="V121" i="5"/>
  <c r="U121" i="5"/>
  <c r="T121" i="5"/>
  <c r="S121" i="5"/>
  <c r="R121" i="5"/>
  <c r="Q121" i="5"/>
  <c r="AE121" i="5"/>
  <c r="P121" i="5"/>
  <c r="AA120" i="5"/>
  <c r="Z120" i="5"/>
  <c r="AM120" i="5" s="1"/>
  <c r="Y120" i="5"/>
  <c r="X120" i="5"/>
  <c r="AK120" i="5" s="1"/>
  <c r="W120" i="5"/>
  <c r="AJ120" i="5" s="1"/>
  <c r="V120" i="5"/>
  <c r="U120" i="5"/>
  <c r="AI120" i="5"/>
  <c r="T120" i="5"/>
  <c r="S120" i="5"/>
  <c r="AF120" i="5" s="1"/>
  <c r="R120" i="5"/>
  <c r="Q120" i="5"/>
  <c r="P120" i="5"/>
  <c r="AA119" i="5"/>
  <c r="Z119" i="5"/>
  <c r="AN119" i="5"/>
  <c r="Y119" i="5"/>
  <c r="X119" i="5"/>
  <c r="W119" i="5"/>
  <c r="AJ119" i="5" s="1"/>
  <c r="V119" i="5"/>
  <c r="U119" i="5"/>
  <c r="AH119" i="5" s="1"/>
  <c r="T119" i="5"/>
  <c r="S119" i="5"/>
  <c r="AF119" i="5" s="1"/>
  <c r="R119" i="5"/>
  <c r="Q119" i="5"/>
  <c r="AD119" i="5" s="1"/>
  <c r="P119" i="5"/>
  <c r="AB119" i="5"/>
  <c r="AA118" i="5"/>
  <c r="AN118" i="5" s="1"/>
  <c r="Z118" i="5"/>
  <c r="Y118" i="5"/>
  <c r="X118" i="5"/>
  <c r="AK118" i="5" s="1"/>
  <c r="W118" i="5"/>
  <c r="V118" i="5"/>
  <c r="AI118" i="5" s="1"/>
  <c r="AJ118" i="5"/>
  <c r="U118" i="5"/>
  <c r="T118" i="5"/>
  <c r="AG118" i="5" s="1"/>
  <c r="S118" i="5"/>
  <c r="AF118" i="5" s="1"/>
  <c r="R118" i="5"/>
  <c r="Q118" i="5"/>
  <c r="P118" i="5"/>
  <c r="AB118" i="5"/>
  <c r="AA117" i="5"/>
  <c r="Z117" i="5"/>
  <c r="Y117" i="5"/>
  <c r="X117" i="5"/>
  <c r="W117" i="5"/>
  <c r="AJ117" i="5" s="1"/>
  <c r="V117" i="5"/>
  <c r="AI117" i="5" s="1"/>
  <c r="U117" i="5"/>
  <c r="T117" i="5"/>
  <c r="AG117" i="5" s="1"/>
  <c r="S117" i="5"/>
  <c r="R117" i="5"/>
  <c r="Q117" i="5"/>
  <c r="P117" i="5"/>
  <c r="AB117" i="5"/>
  <c r="AA116" i="5"/>
  <c r="Z116" i="5"/>
  <c r="AM116" i="5" s="1"/>
  <c r="Y116" i="5"/>
  <c r="AL116" i="5" s="1"/>
  <c r="X116" i="5"/>
  <c r="W116" i="5"/>
  <c r="AK116" i="5" s="1"/>
  <c r="V116" i="5"/>
  <c r="U116" i="5"/>
  <c r="T116" i="5"/>
  <c r="S116" i="5"/>
  <c r="R116" i="5"/>
  <c r="Q116" i="5"/>
  <c r="P116" i="5"/>
  <c r="AD116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AB115" i="5"/>
  <c r="AA114" i="5"/>
  <c r="Z114" i="5"/>
  <c r="Y114" i="5"/>
  <c r="AM114" i="5"/>
  <c r="X114" i="5"/>
  <c r="AL114" i="5" s="1"/>
  <c r="W114" i="5"/>
  <c r="V114" i="5"/>
  <c r="U114" i="5"/>
  <c r="T114" i="5"/>
  <c r="S114" i="5"/>
  <c r="R114" i="5"/>
  <c r="AE114" i="5" s="1"/>
  <c r="Q114" i="5"/>
  <c r="P114" i="5"/>
  <c r="AD114" i="5" s="1"/>
  <c r="AB114" i="5"/>
  <c r="AA113" i="5"/>
  <c r="Z113" i="5"/>
  <c r="AM113" i="5" s="1"/>
  <c r="Y113" i="5"/>
  <c r="AL113" i="5" s="1"/>
  <c r="X113" i="5"/>
  <c r="W113" i="5"/>
  <c r="AJ113" i="5" s="1"/>
  <c r="V113" i="5"/>
  <c r="U113" i="5"/>
  <c r="AH113" i="5" s="1"/>
  <c r="AI113" i="5"/>
  <c r="T113" i="5"/>
  <c r="S113" i="5"/>
  <c r="AG113" i="5" s="1"/>
  <c r="R113" i="5"/>
  <c r="Q113" i="5"/>
  <c r="AD113" i="5" s="1"/>
  <c r="P113" i="5"/>
  <c r="AB113" i="5"/>
  <c r="AA112" i="5"/>
  <c r="Z112" i="5"/>
  <c r="Y112" i="5"/>
  <c r="X112" i="5"/>
  <c r="W112" i="5"/>
  <c r="V112" i="5"/>
  <c r="U112" i="5"/>
  <c r="AH112" i="5" s="1"/>
  <c r="T112" i="5"/>
  <c r="S112" i="5"/>
  <c r="R112" i="5"/>
  <c r="Q112" i="5"/>
  <c r="P112" i="5"/>
  <c r="AB112" i="5"/>
  <c r="AA111" i="5"/>
  <c r="AN111" i="5" s="1"/>
  <c r="Z111" i="5"/>
  <c r="AM111" i="5" s="1"/>
  <c r="Y111" i="5"/>
  <c r="X111" i="5"/>
  <c r="AL111" i="5"/>
  <c r="W111" i="5"/>
  <c r="V111" i="5"/>
  <c r="AI111" i="5" s="1"/>
  <c r="AJ111" i="5"/>
  <c r="U111" i="5"/>
  <c r="T111" i="5"/>
  <c r="S111" i="5"/>
  <c r="AF111" i="5" s="1"/>
  <c r="R111" i="5"/>
  <c r="Q111" i="5"/>
  <c r="AE111" i="5" s="1"/>
  <c r="P111" i="5"/>
  <c r="AB111" i="5"/>
  <c r="AA110" i="5"/>
  <c r="Z110" i="5"/>
  <c r="Y110" i="5"/>
  <c r="AL110" i="5" s="1"/>
  <c r="X110" i="5"/>
  <c r="W110" i="5"/>
  <c r="V110" i="5"/>
  <c r="AI110" i="5" s="1"/>
  <c r="U110" i="5"/>
  <c r="T110" i="5"/>
  <c r="AH110" i="5" s="1"/>
  <c r="S110" i="5"/>
  <c r="R110" i="5"/>
  <c r="AF110" i="5"/>
  <c r="Q110" i="5"/>
  <c r="P110" i="5"/>
  <c r="AB110" i="5"/>
  <c r="AA109" i="5"/>
  <c r="Z109" i="5"/>
  <c r="Y109" i="5"/>
  <c r="X109" i="5"/>
  <c r="W109" i="5"/>
  <c r="AJ109" i="5" s="1"/>
  <c r="V109" i="5"/>
  <c r="U109" i="5"/>
  <c r="AI109" i="5"/>
  <c r="T109" i="5"/>
  <c r="S109" i="5"/>
  <c r="R109" i="5"/>
  <c r="Q109" i="5"/>
  <c r="AD109" i="5" s="1"/>
  <c r="AE109" i="5"/>
  <c r="P109" i="5"/>
  <c r="AB109" i="5"/>
  <c r="AA108" i="5"/>
  <c r="Z108" i="5"/>
  <c r="AN108" i="5"/>
  <c r="Y108" i="5"/>
  <c r="X108" i="5"/>
  <c r="W108" i="5"/>
  <c r="AJ108" i="5" s="1"/>
  <c r="V108" i="5"/>
  <c r="U108" i="5"/>
  <c r="T108" i="5"/>
  <c r="AG108" i="5" s="1"/>
  <c r="S108" i="5"/>
  <c r="AF108" i="5" s="1"/>
  <c r="R108" i="5"/>
  <c r="Q108" i="5"/>
  <c r="AD108" i="5" s="1"/>
  <c r="P108" i="5"/>
  <c r="AB108" i="5"/>
  <c r="AA107" i="5"/>
  <c r="Z107" i="5"/>
  <c r="Y107" i="5"/>
  <c r="X107" i="5"/>
  <c r="W107" i="5"/>
  <c r="V107" i="5"/>
  <c r="U107" i="5"/>
  <c r="AH107" i="5" s="1"/>
  <c r="T107" i="5"/>
  <c r="S107" i="5"/>
  <c r="AG107" i="5" s="1"/>
  <c r="R107" i="5"/>
  <c r="Q107" i="5"/>
  <c r="P107" i="5"/>
  <c r="AA106" i="5"/>
  <c r="Z106" i="5"/>
  <c r="Y106" i="5"/>
  <c r="X106" i="5"/>
  <c r="AL106" i="5" s="1"/>
  <c r="W106" i="5"/>
  <c r="AJ106" i="5" s="1"/>
  <c r="AK106" i="5"/>
  <c r="V106" i="5"/>
  <c r="U106" i="5"/>
  <c r="T106" i="5"/>
  <c r="S106" i="5"/>
  <c r="R106" i="5"/>
  <c r="Q106" i="5"/>
  <c r="P106" i="5"/>
  <c r="AA105" i="5"/>
  <c r="Z105" i="5"/>
  <c r="AM105" i="5" s="1"/>
  <c r="Y105" i="5"/>
  <c r="X105" i="5"/>
  <c r="AL105" i="5" s="1"/>
  <c r="W105" i="5"/>
  <c r="V105" i="5"/>
  <c r="AI105" i="5" s="1"/>
  <c r="U105" i="5"/>
  <c r="T105" i="5"/>
  <c r="AG105" i="5" s="1"/>
  <c r="S105" i="5"/>
  <c r="R105" i="5"/>
  <c r="AE105" i="5" s="1"/>
  <c r="Q105" i="5"/>
  <c r="P105" i="5"/>
  <c r="AD105" i="5" s="1"/>
  <c r="AB105" i="5"/>
  <c r="AA104" i="5"/>
  <c r="Z104" i="5"/>
  <c r="AM104" i="5" s="1"/>
  <c r="Y104" i="5"/>
  <c r="X104" i="5"/>
  <c r="AL104" i="5"/>
  <c r="W104" i="5"/>
  <c r="AJ104" i="5" s="1"/>
  <c r="V104" i="5"/>
  <c r="U104" i="5"/>
  <c r="T104" i="5"/>
  <c r="S104" i="5"/>
  <c r="AF104" i="5" s="1"/>
  <c r="R104" i="5"/>
  <c r="Q104" i="5"/>
  <c r="AE104" i="5" s="1"/>
  <c r="P104" i="5"/>
  <c r="AB104" i="5"/>
  <c r="AA103" i="5"/>
  <c r="AN103" i="5" s="1"/>
  <c r="Z103" i="5"/>
  <c r="Y103" i="5"/>
  <c r="X103" i="5"/>
  <c r="W103" i="5"/>
  <c r="V103" i="5"/>
  <c r="U103" i="5"/>
  <c r="AH103" i="5" s="1"/>
  <c r="T103" i="5"/>
  <c r="S103" i="5"/>
  <c r="AG103" i="5"/>
  <c r="R103" i="5"/>
  <c r="Q103" i="5"/>
  <c r="AD103" i="5" s="1"/>
  <c r="P103" i="5"/>
  <c r="AB103" i="5"/>
  <c r="AA102" i="5"/>
  <c r="Z102" i="5"/>
  <c r="AM102" i="5" s="1"/>
  <c r="Y102" i="5"/>
  <c r="X102" i="5"/>
  <c r="AK102" i="5" s="1"/>
  <c r="W102" i="5"/>
  <c r="V102" i="5"/>
  <c r="AI102" i="5" s="1"/>
  <c r="AJ102" i="5"/>
  <c r="U102" i="5"/>
  <c r="T102" i="5"/>
  <c r="S102" i="5"/>
  <c r="R102" i="5"/>
  <c r="AF102" i="5"/>
  <c r="Q102" i="5"/>
  <c r="AE102" i="5" s="1"/>
  <c r="P102" i="5"/>
  <c r="AA101" i="5"/>
  <c r="Z101" i="5"/>
  <c r="AN101" i="5"/>
  <c r="Y101" i="5"/>
  <c r="X101" i="5"/>
  <c r="W101" i="5"/>
  <c r="AJ101" i="5" s="1"/>
  <c r="V101" i="5"/>
  <c r="U101" i="5"/>
  <c r="AH101" i="5" s="1"/>
  <c r="T101" i="5"/>
  <c r="S101" i="5"/>
  <c r="R101" i="5"/>
  <c r="Q101" i="5"/>
  <c r="AD101" i="5" s="1"/>
  <c r="P101" i="5"/>
  <c r="AB101" i="5"/>
  <c r="AA100" i="5"/>
  <c r="Z100" i="5"/>
  <c r="Y100" i="5"/>
  <c r="AM100" i="5"/>
  <c r="X100" i="5"/>
  <c r="AL100" i="5"/>
  <c r="W100" i="5"/>
  <c r="V100" i="5"/>
  <c r="AI100" i="5" s="1"/>
  <c r="U100" i="5"/>
  <c r="T100" i="5"/>
  <c r="AH100" i="5"/>
  <c r="S100" i="5"/>
  <c r="R100" i="5"/>
  <c r="Q100" i="5"/>
  <c r="P100" i="5"/>
  <c r="AB100" i="5"/>
  <c r="AA99" i="5"/>
  <c r="Z99" i="5"/>
  <c r="Y99" i="5"/>
  <c r="AM99" i="5" s="1"/>
  <c r="X99" i="5"/>
  <c r="W99" i="5"/>
  <c r="V99" i="5"/>
  <c r="AJ99" i="5" s="1"/>
  <c r="U99" i="5"/>
  <c r="AI99" i="5" s="1"/>
  <c r="T99" i="5"/>
  <c r="S99" i="5"/>
  <c r="AF99" i="5" s="1"/>
  <c r="R99" i="5"/>
  <c r="Q99" i="5"/>
  <c r="AE99" i="5"/>
  <c r="P99" i="5"/>
  <c r="AA98" i="5"/>
  <c r="Z98" i="5"/>
  <c r="Y98" i="5"/>
  <c r="X98" i="5"/>
  <c r="W98" i="5"/>
  <c r="V98" i="5"/>
  <c r="AJ98" i="5" s="1"/>
  <c r="U98" i="5"/>
  <c r="AI98" i="5"/>
  <c r="T98" i="5"/>
  <c r="S98" i="5"/>
  <c r="R98" i="5"/>
  <c r="AE98" i="5" s="1"/>
  <c r="Q98" i="5"/>
  <c r="AD98" i="5" s="1"/>
  <c r="P98" i="5"/>
  <c r="AB98" i="5"/>
  <c r="AA97" i="5"/>
  <c r="AN97" i="5" s="1"/>
  <c r="Z97" i="5"/>
  <c r="Y97" i="5"/>
  <c r="AM97" i="5" s="1"/>
  <c r="X97" i="5"/>
  <c r="AL97" i="5"/>
  <c r="W97" i="5"/>
  <c r="AJ97" i="5" s="1"/>
  <c r="V97" i="5"/>
  <c r="U97" i="5"/>
  <c r="AH97" i="5" s="1"/>
  <c r="T97" i="5"/>
  <c r="S97" i="5"/>
  <c r="AG97" i="5"/>
  <c r="R97" i="5"/>
  <c r="AF97" i="5" s="1"/>
  <c r="Q97" i="5"/>
  <c r="P97" i="5"/>
  <c r="AB97" i="5"/>
  <c r="AA96" i="5"/>
  <c r="Z96" i="5"/>
  <c r="Y96" i="5"/>
  <c r="AL96" i="5" s="1"/>
  <c r="X96" i="5"/>
  <c r="W96" i="5"/>
  <c r="AJ96" i="5" s="1"/>
  <c r="AK96" i="5"/>
  <c r="V96" i="5"/>
  <c r="U96" i="5"/>
  <c r="T96" i="5"/>
  <c r="AG96" i="5" s="1"/>
  <c r="S96" i="5"/>
  <c r="R96" i="5"/>
  <c r="AE96" i="5" s="1"/>
  <c r="Q96" i="5"/>
  <c r="P96" i="5"/>
  <c r="AD96" i="5" s="1"/>
  <c r="AA95" i="5"/>
  <c r="Z95" i="5"/>
  <c r="AM95" i="5" s="1"/>
  <c r="Y95" i="5"/>
  <c r="X95" i="5"/>
  <c r="AL95" i="5" s="1"/>
  <c r="W95" i="5"/>
  <c r="V95" i="5"/>
  <c r="AI95" i="5" s="1"/>
  <c r="U95" i="5"/>
  <c r="T95" i="5"/>
  <c r="S95" i="5"/>
  <c r="R95" i="5"/>
  <c r="Q95" i="5"/>
  <c r="P95" i="5"/>
  <c r="AB95" i="5"/>
  <c r="AA94" i="5"/>
  <c r="AN94" i="5" s="1"/>
  <c r="Z94" i="5"/>
  <c r="Y94" i="5"/>
  <c r="AM94" i="5"/>
  <c r="X94" i="5"/>
  <c r="W94" i="5"/>
  <c r="V94" i="5"/>
  <c r="AI94" i="5" s="1"/>
  <c r="U94" i="5"/>
  <c r="T94" i="5"/>
  <c r="AH94" i="5"/>
  <c r="S94" i="5"/>
  <c r="R94" i="5"/>
  <c r="AF94" i="5"/>
  <c r="Q94" i="5"/>
  <c r="AD94" i="5" s="1"/>
  <c r="P94" i="5"/>
  <c r="AB94" i="5"/>
  <c r="AA93" i="5"/>
  <c r="AN93" i="5" s="1"/>
  <c r="Z93" i="5"/>
  <c r="Y93" i="5"/>
  <c r="X93" i="5"/>
  <c r="W93" i="5"/>
  <c r="V93" i="5"/>
  <c r="AI93" i="5" s="1"/>
  <c r="U93" i="5"/>
  <c r="T93" i="5"/>
  <c r="AH93" i="5"/>
  <c r="S93" i="5"/>
  <c r="AG93" i="5"/>
  <c r="R93" i="5"/>
  <c r="Q93" i="5"/>
  <c r="P93" i="5"/>
  <c r="AB93" i="5"/>
  <c r="AA92" i="5"/>
  <c r="Z92" i="5"/>
  <c r="Y92" i="5"/>
  <c r="AL92" i="5" s="1"/>
  <c r="AM92" i="5"/>
  <c r="X92" i="5"/>
  <c r="W92" i="5"/>
  <c r="V92" i="5"/>
  <c r="U92" i="5"/>
  <c r="T92" i="5"/>
  <c r="AG92" i="5" s="1"/>
  <c r="S92" i="5"/>
  <c r="R92" i="5"/>
  <c r="Q92" i="5"/>
  <c r="P92" i="5"/>
  <c r="AD92" i="5" s="1"/>
  <c r="AA91" i="5"/>
  <c r="Z91" i="5"/>
  <c r="Y91" i="5"/>
  <c r="AL91" i="5" s="1"/>
  <c r="X91" i="5"/>
  <c r="W91" i="5"/>
  <c r="AK91" i="5" s="1"/>
  <c r="V91" i="5"/>
  <c r="U91" i="5"/>
  <c r="AH91" i="5" s="1"/>
  <c r="T91" i="5"/>
  <c r="AG91" i="5" s="1"/>
  <c r="S91" i="5"/>
  <c r="R91" i="5"/>
  <c r="AE91" i="5" s="1"/>
  <c r="Q91" i="5"/>
  <c r="P91" i="5"/>
  <c r="AB91" i="5"/>
  <c r="AA90" i="5"/>
  <c r="Z90" i="5"/>
  <c r="AM90" i="5" s="1"/>
  <c r="AN90" i="5"/>
  <c r="Y90" i="5"/>
  <c r="X90" i="5"/>
  <c r="AL90" i="5" s="1"/>
  <c r="W90" i="5"/>
  <c r="V90" i="5"/>
  <c r="AI90" i="5" s="1"/>
  <c r="U90" i="5"/>
  <c r="T90" i="5"/>
  <c r="AH90" i="5"/>
  <c r="S90" i="5"/>
  <c r="R90" i="5"/>
  <c r="Q90" i="5"/>
  <c r="P90" i="5"/>
  <c r="AD90" i="5"/>
  <c r="AB90" i="5"/>
  <c r="AA89" i="5"/>
  <c r="AN89" i="5" s="1"/>
  <c r="Z89" i="5"/>
  <c r="Y89" i="5"/>
  <c r="AM89" i="5"/>
  <c r="X89" i="5"/>
  <c r="AK89" i="5" s="1"/>
  <c r="W89" i="5"/>
  <c r="AJ89" i="5" s="1"/>
  <c r="V89" i="5"/>
  <c r="AI89" i="5" s="1"/>
  <c r="U89" i="5"/>
  <c r="T89" i="5"/>
  <c r="AG89" i="5" s="1"/>
  <c r="AH89" i="5"/>
  <c r="S89" i="5"/>
  <c r="R89" i="5"/>
  <c r="AF89" i="5"/>
  <c r="Q89" i="5"/>
  <c r="AD89" i="5" s="1"/>
  <c r="P89" i="5"/>
  <c r="AB89" i="5"/>
  <c r="AA88" i="5"/>
  <c r="AN88" i="5" s="1"/>
  <c r="Z88" i="5"/>
  <c r="Y88" i="5"/>
  <c r="AL88" i="5" s="1"/>
  <c r="X88" i="5"/>
  <c r="W88" i="5"/>
  <c r="AK88" i="5"/>
  <c r="V88" i="5"/>
  <c r="AJ88" i="5"/>
  <c r="U88" i="5"/>
  <c r="T88" i="5"/>
  <c r="AH88" i="5"/>
  <c r="S88" i="5"/>
  <c r="R88" i="5"/>
  <c r="AE88" i="5" s="1"/>
  <c r="AF88" i="5"/>
  <c r="Q88" i="5"/>
  <c r="P88" i="5"/>
  <c r="AD88" i="5" s="1"/>
  <c r="AA87" i="5"/>
  <c r="Z87" i="5"/>
  <c r="Y87" i="5"/>
  <c r="AM87" i="5"/>
  <c r="X87" i="5"/>
  <c r="AK87" i="5" s="1"/>
  <c r="W87" i="5"/>
  <c r="V87" i="5"/>
  <c r="AI87" i="5" s="1"/>
  <c r="U87" i="5"/>
  <c r="T87" i="5"/>
  <c r="S87" i="5"/>
  <c r="R87" i="5"/>
  <c r="Q87" i="5"/>
  <c r="AD87" i="5" s="1"/>
  <c r="P87" i="5"/>
  <c r="AB87" i="5"/>
  <c r="AA86" i="5"/>
  <c r="Z86" i="5"/>
  <c r="AN86" i="5"/>
  <c r="Y86" i="5"/>
  <c r="AM86" i="5" s="1"/>
  <c r="X86" i="5"/>
  <c r="W86" i="5"/>
  <c r="AK86" i="5" s="1"/>
  <c r="V86" i="5"/>
  <c r="U86" i="5"/>
  <c r="AI86" i="5"/>
  <c r="T86" i="5"/>
  <c r="S86" i="5"/>
  <c r="AG86" i="5"/>
  <c r="R86" i="5"/>
  <c r="Q86" i="5"/>
  <c r="P86" i="5"/>
  <c r="AD86" i="5" s="1"/>
  <c r="AB86" i="5"/>
  <c r="AA85" i="5"/>
  <c r="Z85" i="5"/>
  <c r="AN85" i="5"/>
  <c r="Y85" i="5"/>
  <c r="AL85" i="5" s="1"/>
  <c r="X85" i="5"/>
  <c r="W85" i="5"/>
  <c r="V85" i="5"/>
  <c r="U85" i="5"/>
  <c r="T85" i="5"/>
  <c r="AG85" i="5" s="1"/>
  <c r="S85" i="5"/>
  <c r="R85" i="5"/>
  <c r="Q85" i="5"/>
  <c r="AE85" i="5"/>
  <c r="P85" i="5"/>
  <c r="AD85" i="5" s="1"/>
  <c r="AB85" i="5"/>
  <c r="AA84" i="5"/>
  <c r="AN84" i="5" s="1"/>
  <c r="Z84" i="5"/>
  <c r="Y84" i="5"/>
  <c r="X84" i="5"/>
  <c r="AK84" i="5" s="1"/>
  <c r="AL84" i="5"/>
  <c r="W84" i="5"/>
  <c r="V84" i="5"/>
  <c r="AJ84" i="5"/>
  <c r="U84" i="5"/>
  <c r="AI84" i="5"/>
  <c r="T84" i="5"/>
  <c r="S84" i="5"/>
  <c r="R84" i="5"/>
  <c r="AE84" i="5" s="1"/>
  <c r="Q84" i="5"/>
  <c r="P84" i="5"/>
  <c r="AA83" i="5"/>
  <c r="AN83" i="5" s="1"/>
  <c r="Z83" i="5"/>
  <c r="Y83" i="5"/>
  <c r="AL83" i="5" s="1"/>
  <c r="X83" i="5"/>
  <c r="W83" i="5"/>
  <c r="V83" i="5"/>
  <c r="AI83" i="5" s="1"/>
  <c r="U83" i="5"/>
  <c r="T83" i="5"/>
  <c r="S83" i="5"/>
  <c r="R83" i="5"/>
  <c r="Q83" i="5"/>
  <c r="P83" i="5"/>
  <c r="AD83" i="5" s="1"/>
  <c r="AB83" i="5"/>
  <c r="AA82" i="5"/>
  <c r="Z82" i="5"/>
  <c r="Y82" i="5"/>
  <c r="X82" i="5"/>
  <c r="W82" i="5"/>
  <c r="V82" i="5"/>
  <c r="AJ82" i="5" s="1"/>
  <c r="U82" i="5"/>
  <c r="AI82" i="5"/>
  <c r="T82" i="5"/>
  <c r="AG82" i="5" s="1"/>
  <c r="S82" i="5"/>
  <c r="R82" i="5"/>
  <c r="AF82" i="5"/>
  <c r="Q82" i="5"/>
  <c r="P82" i="5"/>
  <c r="AB82" i="5"/>
  <c r="AA81" i="5"/>
  <c r="AN81" i="5" s="1"/>
  <c r="Z81" i="5"/>
  <c r="Y81" i="5"/>
  <c r="AM81" i="5"/>
  <c r="X81" i="5"/>
  <c r="W81" i="5"/>
  <c r="AK81" i="5"/>
  <c r="V81" i="5"/>
  <c r="AI81" i="5" s="1"/>
  <c r="U81" i="5"/>
  <c r="T81" i="5"/>
  <c r="AG81" i="5" s="1"/>
  <c r="AH81" i="5"/>
  <c r="S81" i="5"/>
  <c r="R81" i="5"/>
  <c r="Q81" i="5"/>
  <c r="AD81" i="5" s="1"/>
  <c r="P81" i="5"/>
  <c r="AB81" i="5"/>
  <c r="AA80" i="5"/>
  <c r="AN80" i="5" s="1"/>
  <c r="Z80" i="5"/>
  <c r="Y80" i="5"/>
  <c r="AM80" i="5" s="1"/>
  <c r="X80" i="5"/>
  <c r="AL80" i="5"/>
  <c r="W80" i="5"/>
  <c r="V80" i="5"/>
  <c r="AI80" i="5" s="1"/>
  <c r="U80" i="5"/>
  <c r="T80" i="5"/>
  <c r="S80" i="5"/>
  <c r="R80" i="5"/>
  <c r="AF80" i="5" s="1"/>
  <c r="Q80" i="5"/>
  <c r="P80" i="5"/>
  <c r="AB80" i="5"/>
  <c r="AA79" i="5"/>
  <c r="Z79" i="5"/>
  <c r="AN79" i="5"/>
  <c r="Y79" i="5"/>
  <c r="X79" i="5"/>
  <c r="W79" i="5"/>
  <c r="V79" i="5"/>
  <c r="U79" i="5"/>
  <c r="AH79" i="5" s="1"/>
  <c r="T79" i="5"/>
  <c r="S79" i="5"/>
  <c r="AG79" i="5"/>
  <c r="R79" i="5"/>
  <c r="AE79" i="5" s="1"/>
  <c r="AF79" i="5"/>
  <c r="Q79" i="5"/>
  <c r="P79" i="5"/>
  <c r="AD79" i="5" s="1"/>
  <c r="AB79" i="5"/>
  <c r="AA78" i="5"/>
  <c r="Z78" i="5"/>
  <c r="AM78" i="5" s="1"/>
  <c r="Y78" i="5"/>
  <c r="X78" i="5"/>
  <c r="AK78" i="5" s="1"/>
  <c r="W78" i="5"/>
  <c r="V78" i="5"/>
  <c r="AJ78" i="5"/>
  <c r="U78" i="5"/>
  <c r="AH78" i="5" s="1"/>
  <c r="T78" i="5"/>
  <c r="S78" i="5"/>
  <c r="R78" i="5"/>
  <c r="Q78" i="5"/>
  <c r="AE78" i="5"/>
  <c r="P78" i="5"/>
  <c r="AD78" i="5" s="1"/>
  <c r="AA77" i="5"/>
  <c r="Z77" i="5"/>
  <c r="AM77" i="5" s="1"/>
  <c r="AN77" i="5"/>
  <c r="Y77" i="5"/>
  <c r="AL77" i="5" s="1"/>
  <c r="X77" i="5"/>
  <c r="W77" i="5"/>
  <c r="V77" i="5"/>
  <c r="U77" i="5"/>
  <c r="T77" i="5"/>
  <c r="AG77" i="5" s="1"/>
  <c r="S77" i="5"/>
  <c r="R77" i="5"/>
  <c r="AF77" i="5" s="1"/>
  <c r="Q77" i="5"/>
  <c r="P77" i="5"/>
  <c r="AB77" i="5"/>
  <c r="AA76" i="5"/>
  <c r="Z76" i="5"/>
  <c r="AM76" i="5" s="1"/>
  <c r="Y76" i="5"/>
  <c r="X76" i="5"/>
  <c r="W76" i="5"/>
  <c r="V76" i="5"/>
  <c r="U76" i="5"/>
  <c r="AH76" i="5" s="1"/>
  <c r="T76" i="5"/>
  <c r="S76" i="5"/>
  <c r="AG76" i="5"/>
  <c r="R76" i="5"/>
  <c r="AE76" i="5" s="1"/>
  <c r="AF76" i="5"/>
  <c r="Q76" i="5"/>
  <c r="P76" i="5"/>
  <c r="AB76" i="5"/>
  <c r="AA75" i="5"/>
  <c r="Z75" i="5"/>
  <c r="Y75" i="5"/>
  <c r="X75" i="5"/>
  <c r="W75" i="5"/>
  <c r="AJ75" i="5" s="1"/>
  <c r="V75" i="5"/>
  <c r="AI75" i="5" s="1"/>
  <c r="U75" i="5"/>
  <c r="T75" i="5"/>
  <c r="S75" i="5"/>
  <c r="AF75" i="5" s="1"/>
  <c r="R75" i="5"/>
  <c r="Q75" i="5"/>
  <c r="AD75" i="5" s="1"/>
  <c r="AE75" i="5"/>
  <c r="P75" i="5"/>
  <c r="AB75" i="5"/>
  <c r="AA74" i="5"/>
  <c r="AN74" i="5" s="1"/>
  <c r="Z74" i="5"/>
  <c r="Y74" i="5"/>
  <c r="AM74" i="5"/>
  <c r="X74" i="5"/>
  <c r="AK74" i="5" s="1"/>
  <c r="W74" i="5"/>
  <c r="V74" i="5"/>
  <c r="AJ74" i="5" s="1"/>
  <c r="U74" i="5"/>
  <c r="T74" i="5"/>
  <c r="S74" i="5"/>
  <c r="AF74" i="5" s="1"/>
  <c r="AG74" i="5"/>
  <c r="R74" i="5"/>
  <c r="Q74" i="5"/>
  <c r="AD74" i="5" s="1"/>
  <c r="P74" i="5"/>
  <c r="AA73" i="5"/>
  <c r="Z73" i="5"/>
  <c r="AN73" i="5" s="1"/>
  <c r="Y73" i="5"/>
  <c r="X73" i="5"/>
  <c r="AK73" i="5" s="1"/>
  <c r="W73" i="5"/>
  <c r="V73" i="5"/>
  <c r="U73" i="5"/>
  <c r="AH73" i="5" s="1"/>
  <c r="T73" i="5"/>
  <c r="AG73" i="5" s="1"/>
  <c r="S73" i="5"/>
  <c r="R73" i="5"/>
  <c r="AF73" i="5"/>
  <c r="Q73" i="5"/>
  <c r="AE73" i="5" s="1"/>
  <c r="P73" i="5"/>
  <c r="AB73" i="5"/>
  <c r="AA72" i="5"/>
  <c r="AN72" i="5" s="1"/>
  <c r="Z72" i="5"/>
  <c r="Y72" i="5"/>
  <c r="X72" i="5"/>
  <c r="AK72" i="5" s="1"/>
  <c r="W72" i="5"/>
  <c r="V72" i="5"/>
  <c r="AI72" i="5" s="1"/>
  <c r="AJ72" i="5"/>
  <c r="U72" i="5"/>
  <c r="T72" i="5"/>
  <c r="S72" i="5"/>
  <c r="R72" i="5"/>
  <c r="Q72" i="5"/>
  <c r="P72" i="5"/>
  <c r="AB72" i="5"/>
  <c r="AA71" i="5"/>
  <c r="AN71" i="5" s="1"/>
  <c r="Z71" i="5"/>
  <c r="Y71" i="5"/>
  <c r="AL71" i="5" s="1"/>
  <c r="X71" i="5"/>
  <c r="W71" i="5"/>
  <c r="V71" i="5"/>
  <c r="U71" i="5"/>
  <c r="T71" i="5"/>
  <c r="S71" i="5"/>
  <c r="AG71" i="5"/>
  <c r="R71" i="5"/>
  <c r="Q71" i="5"/>
  <c r="P71" i="5"/>
  <c r="AD71" i="5" s="1"/>
  <c r="AB71" i="5"/>
  <c r="AA70" i="5"/>
  <c r="Z70" i="5"/>
  <c r="Y70" i="5"/>
  <c r="X70" i="5"/>
  <c r="AK70" i="5" s="1"/>
  <c r="W70" i="5"/>
  <c r="V70" i="5"/>
  <c r="U70" i="5"/>
  <c r="T70" i="5"/>
  <c r="AH70" i="5"/>
  <c r="S70" i="5"/>
  <c r="R70" i="5"/>
  <c r="Q70" i="5"/>
  <c r="P70" i="5"/>
  <c r="AB70" i="5"/>
  <c r="AA69" i="5"/>
  <c r="Z69" i="5"/>
  <c r="AN69" i="5"/>
  <c r="Y69" i="5"/>
  <c r="X69" i="5"/>
  <c r="W69" i="5"/>
  <c r="AJ69" i="5" s="1"/>
  <c r="V69" i="5"/>
  <c r="AI69" i="5" s="1"/>
  <c r="U69" i="5"/>
  <c r="T69" i="5"/>
  <c r="S69" i="5"/>
  <c r="R69" i="5"/>
  <c r="Q69" i="5"/>
  <c r="P69" i="5"/>
  <c r="AB69" i="5"/>
  <c r="AA68" i="5"/>
  <c r="AN68" i="5" s="1"/>
  <c r="Z68" i="5"/>
  <c r="Y68" i="5"/>
  <c r="AL68" i="5" s="1"/>
  <c r="X68" i="5"/>
  <c r="W68" i="5"/>
  <c r="V68" i="5"/>
  <c r="AI68" i="5" s="1"/>
  <c r="U68" i="5"/>
  <c r="T68" i="5"/>
  <c r="S68" i="5"/>
  <c r="AF68" i="5" s="1"/>
  <c r="R68" i="5"/>
  <c r="Q68" i="5"/>
  <c r="AE68" i="5"/>
  <c r="P68" i="5"/>
  <c r="AD68" i="5"/>
  <c r="AA67" i="5"/>
  <c r="Z67" i="5"/>
  <c r="Y67" i="5"/>
  <c r="AL67" i="5" s="1"/>
  <c r="AM67" i="5"/>
  <c r="X67" i="5"/>
  <c r="W67" i="5"/>
  <c r="V67" i="5"/>
  <c r="AI67" i="5" s="1"/>
  <c r="AJ67" i="5"/>
  <c r="U67" i="5"/>
  <c r="T67" i="5"/>
  <c r="AH67" i="5"/>
  <c r="S67" i="5"/>
  <c r="AF67" i="5" s="1"/>
  <c r="R67" i="5"/>
  <c r="AE67" i="5" s="1"/>
  <c r="Q67" i="5"/>
  <c r="P67" i="5"/>
  <c r="AB67" i="5"/>
  <c r="AA66" i="5"/>
  <c r="Z66" i="5"/>
  <c r="AN66" i="5"/>
  <c r="Y66" i="5"/>
  <c r="AM66" i="5" s="1"/>
  <c r="X66" i="5"/>
  <c r="W66" i="5"/>
  <c r="V66" i="5"/>
  <c r="AI66" i="5" s="1"/>
  <c r="U66" i="5"/>
  <c r="T66" i="5"/>
  <c r="S66" i="5"/>
  <c r="R66" i="5"/>
  <c r="Q66" i="5"/>
  <c r="P66" i="5"/>
  <c r="AD66" i="5"/>
  <c r="AB66" i="5"/>
  <c r="AA65" i="5"/>
  <c r="AN65" i="5" s="1"/>
  <c r="Z65" i="5"/>
  <c r="Y65" i="5"/>
  <c r="X65" i="5"/>
  <c r="W65" i="5"/>
  <c r="V65" i="5"/>
  <c r="U65" i="5"/>
  <c r="T65" i="5"/>
  <c r="S65" i="5"/>
  <c r="AF65" i="5" s="1"/>
  <c r="R65" i="5"/>
  <c r="Q65" i="5"/>
  <c r="P65" i="5"/>
  <c r="AD65" i="5" s="1"/>
  <c r="AB65" i="5"/>
  <c r="AA64" i="5"/>
  <c r="Z64" i="5"/>
  <c r="Y64" i="5"/>
  <c r="X64" i="5"/>
  <c r="W64" i="5"/>
  <c r="V64" i="5"/>
  <c r="AI64" i="5" s="1"/>
  <c r="U64" i="5"/>
  <c r="T64" i="5"/>
  <c r="S64" i="5"/>
  <c r="R64" i="5"/>
  <c r="Q64" i="5"/>
  <c r="P64" i="5"/>
  <c r="AB64" i="5"/>
  <c r="AA63" i="5"/>
  <c r="AN63" i="5" s="1"/>
  <c r="Z63" i="5"/>
  <c r="Y63" i="5"/>
  <c r="AL63" i="5" s="1"/>
  <c r="AM63" i="5"/>
  <c r="X63" i="5"/>
  <c r="W63" i="5"/>
  <c r="AJ63" i="5" s="1"/>
  <c r="V63" i="5"/>
  <c r="U63" i="5"/>
  <c r="T63" i="5"/>
  <c r="S63" i="5"/>
  <c r="R63" i="5"/>
  <c r="AF63" i="5" s="1"/>
  <c r="Q63" i="5"/>
  <c r="AD63" i="5" s="1"/>
  <c r="AE63" i="5"/>
  <c r="P63" i="5"/>
  <c r="AB63" i="5"/>
  <c r="AA62" i="5"/>
  <c r="Z62" i="5"/>
  <c r="AM62" i="5" s="1"/>
  <c r="Y62" i="5"/>
  <c r="AL62" i="5" s="1"/>
  <c r="X62" i="5"/>
  <c r="W62" i="5"/>
  <c r="V62" i="5"/>
  <c r="U62" i="5"/>
  <c r="T62" i="5"/>
  <c r="S62" i="5"/>
  <c r="R62" i="5"/>
  <c r="AE62" i="5" s="1"/>
  <c r="AF62" i="5"/>
  <c r="Q62" i="5"/>
  <c r="P62" i="5"/>
  <c r="AD62" i="5"/>
  <c r="AB62" i="5"/>
  <c r="AA61" i="5"/>
  <c r="Z61" i="5"/>
  <c r="Y61" i="5"/>
  <c r="X61" i="5"/>
  <c r="AL61" i="5"/>
  <c r="W61" i="5"/>
  <c r="AJ61" i="5" s="1"/>
  <c r="V61" i="5"/>
  <c r="U61" i="5"/>
  <c r="AH61" i="5" s="1"/>
  <c r="AI61" i="5"/>
  <c r="T61" i="5"/>
  <c r="S61" i="5"/>
  <c r="R61" i="5"/>
  <c r="Q61" i="5"/>
  <c r="AE61" i="5" s="1"/>
  <c r="P61" i="5"/>
  <c r="AB61" i="5"/>
  <c r="AA60" i="5"/>
  <c r="Z60" i="5"/>
  <c r="AN60" i="5"/>
  <c r="Y60" i="5"/>
  <c r="AM60" i="5" s="1"/>
  <c r="X60" i="5"/>
  <c r="W60" i="5"/>
  <c r="V60" i="5"/>
  <c r="U60" i="5"/>
  <c r="T60" i="5"/>
  <c r="S60" i="5"/>
  <c r="AF60" i="5" s="1"/>
  <c r="R60" i="5"/>
  <c r="Q60" i="5"/>
  <c r="AD60" i="5" s="1"/>
  <c r="P60" i="5"/>
  <c r="AA59" i="5"/>
  <c r="Z59" i="5"/>
  <c r="Y59" i="5"/>
  <c r="AM59" i="5" s="1"/>
  <c r="X59" i="5"/>
  <c r="AL59" i="5"/>
  <c r="W59" i="5"/>
  <c r="AJ59" i="5" s="1"/>
  <c r="V59" i="5"/>
  <c r="U59" i="5"/>
  <c r="T59" i="5"/>
  <c r="S59" i="5"/>
  <c r="AG59" i="5"/>
  <c r="R59" i="5"/>
  <c r="AE59" i="5" s="1"/>
  <c r="Q59" i="5"/>
  <c r="P59" i="5"/>
  <c r="AD59" i="5" s="1"/>
  <c r="AB59" i="5"/>
  <c r="AA58" i="5"/>
  <c r="AN58" i="5" s="1"/>
  <c r="Z58" i="5"/>
  <c r="Y58" i="5"/>
  <c r="X58" i="5"/>
  <c r="W58" i="5"/>
  <c r="AJ58" i="5" s="1"/>
  <c r="V58" i="5"/>
  <c r="AI58" i="5" s="1"/>
  <c r="U58" i="5"/>
  <c r="T58" i="5"/>
  <c r="S58" i="5"/>
  <c r="R58" i="5"/>
  <c r="Q58" i="5"/>
  <c r="P58" i="5"/>
  <c r="AB58" i="5"/>
  <c r="AA57" i="5"/>
  <c r="Z57" i="5"/>
  <c r="AN57" i="5" s="1"/>
  <c r="Y57" i="5"/>
  <c r="X57" i="5"/>
  <c r="AK57" i="5" s="1"/>
  <c r="W57" i="5"/>
  <c r="AJ57" i="5" s="1"/>
  <c r="V57" i="5"/>
  <c r="U57" i="5"/>
  <c r="T57" i="5"/>
  <c r="S57" i="5"/>
  <c r="AF57" i="5" s="1"/>
  <c r="R57" i="5"/>
  <c r="AE57" i="5" s="1"/>
  <c r="Q57" i="5"/>
  <c r="P57" i="5"/>
  <c r="AD57" i="5" s="1"/>
  <c r="AB57" i="5"/>
  <c r="AA56" i="5"/>
  <c r="Z56" i="5"/>
  <c r="Y56" i="5"/>
  <c r="X56" i="5"/>
  <c r="W56" i="5"/>
  <c r="AJ56" i="5" s="1"/>
  <c r="V56" i="5"/>
  <c r="U56" i="5"/>
  <c r="AI56" i="5"/>
  <c r="T56" i="5"/>
  <c r="AH56" i="5" s="1"/>
  <c r="S56" i="5"/>
  <c r="AF56" i="5" s="1"/>
  <c r="R56" i="5"/>
  <c r="Q56" i="5"/>
  <c r="P56" i="5"/>
  <c r="AB56" i="5"/>
  <c r="AA55" i="5"/>
  <c r="Z55" i="5"/>
  <c r="Y55" i="5"/>
  <c r="AL55" i="5" s="1"/>
  <c r="AM55" i="5"/>
  <c r="X55" i="5"/>
  <c r="W55" i="5"/>
  <c r="V55" i="5"/>
  <c r="AJ55" i="5"/>
  <c r="U55" i="5"/>
  <c r="AH55" i="5" s="1"/>
  <c r="T55" i="5"/>
  <c r="AG55" i="5" s="1"/>
  <c r="S55" i="5"/>
  <c r="R55" i="5"/>
  <c r="Q55" i="5"/>
  <c r="AE55" i="5" s="1"/>
  <c r="P55" i="5"/>
  <c r="AB55" i="5"/>
  <c r="AA54" i="5"/>
  <c r="Z54" i="5"/>
  <c r="AM54" i="5" s="1"/>
  <c r="Y54" i="5"/>
  <c r="X54" i="5"/>
  <c r="AL54" i="5"/>
  <c r="W54" i="5"/>
  <c r="AJ54" i="5" s="1"/>
  <c r="AK54" i="5"/>
  <c r="V54" i="5"/>
  <c r="AI54" i="5" s="1"/>
  <c r="U54" i="5"/>
  <c r="T54" i="5"/>
  <c r="S54" i="5"/>
  <c r="R54" i="5"/>
  <c r="Q54" i="5"/>
  <c r="AE54" i="5"/>
  <c r="P54" i="5"/>
  <c r="AD54" i="5" s="1"/>
  <c r="AA53" i="5"/>
  <c r="AN53" i="5" s="1"/>
  <c r="Z53" i="5"/>
  <c r="Y53" i="5"/>
  <c r="AM53" i="5"/>
  <c r="X53" i="5"/>
  <c r="AK53" i="5" s="1"/>
  <c r="W53" i="5"/>
  <c r="V53" i="5"/>
  <c r="U53" i="5"/>
  <c r="AH53" i="5" s="1"/>
  <c r="T53" i="5"/>
  <c r="S53" i="5"/>
  <c r="AF53" i="5" s="1"/>
  <c r="AG53" i="5"/>
  <c r="R53" i="5"/>
  <c r="Q53" i="5"/>
  <c r="P53" i="5"/>
  <c r="AB53" i="5"/>
  <c r="AA52" i="5"/>
  <c r="Z52" i="5"/>
  <c r="Y52" i="5"/>
  <c r="AL52" i="5" s="1"/>
  <c r="X52" i="5"/>
  <c r="AK52" i="5" s="1"/>
  <c r="W52" i="5"/>
  <c r="V52" i="5"/>
  <c r="U52" i="5"/>
  <c r="T52" i="5"/>
  <c r="AH52" i="5" s="1"/>
  <c r="S52" i="5"/>
  <c r="R52" i="5"/>
  <c r="Q52" i="5"/>
  <c r="AD52" i="5" s="1"/>
  <c r="P52" i="5"/>
  <c r="AB52" i="5"/>
  <c r="AA51" i="5"/>
  <c r="Z51" i="5"/>
  <c r="AM51" i="5" s="1"/>
  <c r="Y51" i="5"/>
  <c r="X51" i="5"/>
  <c r="W51" i="5"/>
  <c r="V51" i="5"/>
  <c r="U51" i="5"/>
  <c r="T51" i="5"/>
  <c r="S51" i="5"/>
  <c r="R51" i="5"/>
  <c r="AF51" i="5" s="1"/>
  <c r="Q51" i="5"/>
  <c r="P51" i="5"/>
  <c r="AB51" i="5"/>
  <c r="AA50" i="5"/>
  <c r="Z50" i="5"/>
  <c r="Y50" i="5"/>
  <c r="AL50" i="5" s="1"/>
  <c r="X50" i="5"/>
  <c r="W50" i="5"/>
  <c r="V50" i="5"/>
  <c r="U50" i="5"/>
  <c r="T50" i="5"/>
  <c r="S50" i="5"/>
  <c r="R50" i="5"/>
  <c r="Q50" i="5"/>
  <c r="P50" i="5"/>
  <c r="AB50" i="5"/>
  <c r="AA49" i="5"/>
  <c r="Z49" i="5"/>
  <c r="AN49" i="5" s="1"/>
  <c r="Y49" i="5"/>
  <c r="AL49" i="5" s="1"/>
  <c r="X49" i="5"/>
  <c r="W49" i="5"/>
  <c r="AJ49" i="5" s="1"/>
  <c r="V49" i="5"/>
  <c r="U49" i="5"/>
  <c r="T49" i="5"/>
  <c r="S49" i="5"/>
  <c r="R49" i="5"/>
  <c r="Q49" i="5"/>
  <c r="P49" i="5"/>
  <c r="AB49" i="5"/>
  <c r="AA48" i="5"/>
  <c r="Z48" i="5"/>
  <c r="AN48" i="5" s="1"/>
  <c r="Y48" i="5"/>
  <c r="AL48" i="5" s="1"/>
  <c r="X48" i="5"/>
  <c r="AK48" i="5" s="1"/>
  <c r="W48" i="5"/>
  <c r="AJ48" i="5" s="1"/>
  <c r="V48" i="5"/>
  <c r="U48" i="5"/>
  <c r="T48" i="5"/>
  <c r="S48" i="5"/>
  <c r="AG48" i="5"/>
  <c r="R48" i="5"/>
  <c r="AE48" i="5" s="1"/>
  <c r="Q48" i="5"/>
  <c r="P48" i="5"/>
  <c r="AD48" i="5"/>
  <c r="AB48" i="5"/>
  <c r="AA47" i="5"/>
  <c r="Z47" i="5"/>
  <c r="Y47" i="5"/>
  <c r="AL47" i="5" s="1"/>
  <c r="X47" i="5"/>
  <c r="W47" i="5"/>
  <c r="V47" i="5"/>
  <c r="U47" i="5"/>
  <c r="AI47" i="5"/>
  <c r="T47" i="5"/>
  <c r="AG47" i="5" s="1"/>
  <c r="S47" i="5"/>
  <c r="R47" i="5"/>
  <c r="Q47" i="5"/>
  <c r="AE47" i="5" s="1"/>
  <c r="P47" i="5"/>
  <c r="AB47" i="5"/>
  <c r="AA46" i="5"/>
  <c r="Z46" i="5"/>
  <c r="Y46" i="5"/>
  <c r="X46" i="5"/>
  <c r="AK46" i="5" s="1"/>
  <c r="W46" i="5"/>
  <c r="V46" i="5"/>
  <c r="AI46" i="5" s="1"/>
  <c r="AJ46" i="5"/>
  <c r="U46" i="5"/>
  <c r="T46" i="5"/>
  <c r="S46" i="5"/>
  <c r="AG46" i="5"/>
  <c r="R46" i="5"/>
  <c r="Q46" i="5"/>
  <c r="AD46" i="5" s="1"/>
  <c r="P46" i="5"/>
  <c r="AA45" i="5"/>
  <c r="Z45" i="5"/>
  <c r="AN45" i="5"/>
  <c r="Y45" i="5"/>
  <c r="X45" i="5"/>
  <c r="AL45" i="5"/>
  <c r="W45" i="5"/>
  <c r="AJ45" i="5" s="1"/>
  <c r="V45" i="5"/>
  <c r="AI45" i="5" s="1"/>
  <c r="U45" i="5"/>
  <c r="T45" i="5"/>
  <c r="S45" i="5"/>
  <c r="AF45" i="5" s="1"/>
  <c r="AG45" i="5"/>
  <c r="R45" i="5"/>
  <c r="Q45" i="5"/>
  <c r="P45" i="5"/>
  <c r="AB45" i="5"/>
  <c r="AA44" i="5"/>
  <c r="AN44" i="5" s="1"/>
  <c r="Z44" i="5"/>
  <c r="Y44" i="5"/>
  <c r="AM44" i="5" s="1"/>
  <c r="X44" i="5"/>
  <c r="W44" i="5"/>
  <c r="V44" i="5"/>
  <c r="AI44" i="5" s="1"/>
  <c r="U44" i="5"/>
  <c r="T44" i="5"/>
  <c r="S44" i="5"/>
  <c r="R44" i="5"/>
  <c r="Q44" i="5"/>
  <c r="P44" i="5"/>
  <c r="AD44" i="5" s="1"/>
  <c r="AB44" i="5"/>
  <c r="AA43" i="5"/>
  <c r="AN43" i="5" s="1"/>
  <c r="Z43" i="5"/>
  <c r="Y43" i="5"/>
  <c r="AL43" i="5" s="1"/>
  <c r="AM43" i="5"/>
  <c r="X43" i="5"/>
  <c r="W43" i="5"/>
  <c r="AJ43" i="5" s="1"/>
  <c r="V43" i="5"/>
  <c r="U43" i="5"/>
  <c r="T43" i="5"/>
  <c r="S43" i="5"/>
  <c r="R43" i="5"/>
  <c r="Q43" i="5"/>
  <c r="P43" i="5"/>
  <c r="AB43" i="5"/>
  <c r="AA42" i="5"/>
  <c r="Z42" i="5"/>
  <c r="AN42" i="5"/>
  <c r="Y42" i="5"/>
  <c r="AL42" i="5" s="1"/>
  <c r="X42" i="5"/>
  <c r="W42" i="5"/>
  <c r="V42" i="5"/>
  <c r="AI42" i="5" s="1"/>
  <c r="U42" i="5"/>
  <c r="T42" i="5"/>
  <c r="S42" i="5"/>
  <c r="R42" i="5"/>
  <c r="Q42" i="5"/>
  <c r="P42" i="5"/>
  <c r="AB42" i="5"/>
  <c r="AA41" i="5"/>
  <c r="Z41" i="5"/>
  <c r="AN41" i="5" s="1"/>
  <c r="Y41" i="5"/>
  <c r="AL41" i="5" s="1"/>
  <c r="X41" i="5"/>
  <c r="W41" i="5"/>
  <c r="V41" i="5"/>
  <c r="AI41" i="5" s="1"/>
  <c r="U41" i="5"/>
  <c r="T41" i="5"/>
  <c r="S41" i="5"/>
  <c r="R41" i="5"/>
  <c r="Q41" i="5"/>
  <c r="P41" i="5"/>
  <c r="AB41" i="5"/>
  <c r="AA40" i="5"/>
  <c r="Z40" i="5"/>
  <c r="Y40" i="5"/>
  <c r="AL40" i="5" s="1"/>
  <c r="X40" i="5"/>
  <c r="W40" i="5"/>
  <c r="V40" i="5"/>
  <c r="AI40" i="5" s="1"/>
  <c r="U40" i="5"/>
  <c r="T40" i="5"/>
  <c r="S40" i="5"/>
  <c r="AF40" i="5" s="1"/>
  <c r="R40" i="5"/>
  <c r="Q40" i="5"/>
  <c r="AE40" i="5" s="1"/>
  <c r="P40" i="5"/>
  <c r="AD40" i="5"/>
  <c r="AB40" i="5"/>
  <c r="AA39" i="5"/>
  <c r="Z39" i="5"/>
  <c r="Y39" i="5"/>
  <c r="AL39" i="5" s="1"/>
  <c r="X39" i="5"/>
  <c r="W39" i="5"/>
  <c r="V39" i="5"/>
  <c r="U39" i="5"/>
  <c r="T39" i="5"/>
  <c r="AG39" i="5" s="1"/>
  <c r="S39" i="5"/>
  <c r="R39" i="5"/>
  <c r="Q39" i="5"/>
  <c r="P39" i="5"/>
  <c r="AB39" i="5"/>
  <c r="AA38" i="5"/>
  <c r="Z38" i="5"/>
  <c r="AM38" i="5" s="1"/>
  <c r="Y38" i="5"/>
  <c r="X38" i="5"/>
  <c r="W38" i="5"/>
  <c r="V38" i="5"/>
  <c r="AI38" i="5" s="1"/>
  <c r="U38" i="5"/>
  <c r="T38" i="5"/>
  <c r="S38" i="5"/>
  <c r="AF38" i="5" s="1"/>
  <c r="R38" i="5"/>
  <c r="Q38" i="5"/>
  <c r="AE38" i="5" s="1"/>
  <c r="P38" i="5"/>
  <c r="AD38" i="5" s="1"/>
  <c r="AB38" i="5"/>
  <c r="AA37" i="5"/>
  <c r="AN37" i="5" s="1"/>
  <c r="Z37" i="5"/>
  <c r="Y37" i="5"/>
  <c r="AM37" i="5"/>
  <c r="X37" i="5"/>
  <c r="AL37" i="5"/>
  <c r="W37" i="5"/>
  <c r="V37" i="5"/>
  <c r="U37" i="5"/>
  <c r="T37" i="5"/>
  <c r="S37" i="5"/>
  <c r="R37" i="5"/>
  <c r="Q37" i="5"/>
  <c r="P37" i="5"/>
  <c r="AB37" i="5"/>
  <c r="AA36" i="5"/>
  <c r="Z36" i="5"/>
  <c r="AN36" i="5"/>
  <c r="Y36" i="5"/>
  <c r="AM36" i="5"/>
  <c r="X36" i="5"/>
  <c r="AK36" i="5" s="1"/>
  <c r="W36" i="5"/>
  <c r="V36" i="5"/>
  <c r="AJ36" i="5"/>
  <c r="U36" i="5"/>
  <c r="AI36" i="5" s="1"/>
  <c r="T36" i="5"/>
  <c r="S36" i="5"/>
  <c r="AF36" i="5" s="1"/>
  <c r="R36" i="5"/>
  <c r="AE36" i="5" s="1"/>
  <c r="Q36" i="5"/>
  <c r="P36" i="5"/>
  <c r="AD36" i="5"/>
  <c r="AB36" i="5"/>
  <c r="AA35" i="5"/>
  <c r="Z35" i="5"/>
  <c r="Y35" i="5"/>
  <c r="X35" i="5"/>
  <c r="W35" i="5"/>
  <c r="AJ35" i="5" s="1"/>
  <c r="V35" i="5"/>
  <c r="U35" i="5"/>
  <c r="AI35" i="5" s="1"/>
  <c r="T35" i="5"/>
  <c r="S35" i="5"/>
  <c r="AG35" i="5" s="1"/>
  <c r="R35" i="5"/>
  <c r="AF35" i="5"/>
  <c r="Q35" i="5"/>
  <c r="P35" i="5"/>
  <c r="AB35" i="5"/>
  <c r="AA34" i="5"/>
  <c r="Z34" i="5"/>
  <c r="AN34" i="5" s="1"/>
  <c r="Y34" i="5"/>
  <c r="AM34" i="5"/>
  <c r="X34" i="5"/>
  <c r="W34" i="5"/>
  <c r="AJ34" i="5" s="1"/>
  <c r="AK34" i="5"/>
  <c r="V34" i="5"/>
  <c r="U34" i="5"/>
  <c r="AI34" i="5"/>
  <c r="T34" i="5"/>
  <c r="AG34" i="5" s="1"/>
  <c r="S34" i="5"/>
  <c r="AF34" i="5" s="1"/>
  <c r="R34" i="5"/>
  <c r="Q34" i="5"/>
  <c r="P34" i="5"/>
  <c r="AB34" i="5"/>
  <c r="AA33" i="5"/>
  <c r="Z33" i="5"/>
  <c r="AN33" i="5"/>
  <c r="Y33" i="5"/>
  <c r="X33" i="5"/>
  <c r="W33" i="5"/>
  <c r="V33" i="5"/>
  <c r="U33" i="5"/>
  <c r="AH33" i="5" s="1"/>
  <c r="AI33" i="5"/>
  <c r="T33" i="5"/>
  <c r="AG33" i="5" s="1"/>
  <c r="S33" i="5"/>
  <c r="R33" i="5"/>
  <c r="Q33" i="5"/>
  <c r="AD33" i="5" s="1"/>
  <c r="AE33" i="5"/>
  <c r="P33" i="5"/>
  <c r="AB33" i="5"/>
  <c r="AA32" i="5"/>
  <c r="Z32" i="5"/>
  <c r="Y32" i="5"/>
  <c r="X32" i="5"/>
  <c r="W32" i="5"/>
  <c r="AJ32" i="5" s="1"/>
  <c r="V32" i="5"/>
  <c r="AI32" i="5" s="1"/>
  <c r="U32" i="5"/>
  <c r="T32" i="5"/>
  <c r="S32" i="5"/>
  <c r="R32" i="5"/>
  <c r="Q32" i="5"/>
  <c r="AD32" i="5" s="1"/>
  <c r="AE32" i="5"/>
  <c r="P32" i="5"/>
  <c r="AA31" i="5"/>
  <c r="Z31" i="5"/>
  <c r="Y31" i="5"/>
  <c r="AL31" i="5" s="1"/>
  <c r="AM31" i="5"/>
  <c r="X31" i="5"/>
  <c r="W31" i="5"/>
  <c r="V31" i="5"/>
  <c r="U31" i="5"/>
  <c r="T31" i="5"/>
  <c r="AH31" i="5" s="1"/>
  <c r="S31" i="5"/>
  <c r="R31" i="5"/>
  <c r="Q31" i="5"/>
  <c r="AD31" i="5" s="1"/>
  <c r="P31" i="5"/>
  <c r="AB31" i="5"/>
  <c r="AA30" i="5"/>
  <c r="Z30" i="5"/>
  <c r="Y30" i="5"/>
  <c r="AM30" i="5" s="1"/>
  <c r="X30" i="5"/>
  <c r="AK30" i="5" s="1"/>
  <c r="W30" i="5"/>
  <c r="V30" i="5"/>
  <c r="AI30" i="5" s="1"/>
  <c r="U30" i="5"/>
  <c r="T30" i="5"/>
  <c r="AG30" i="5" s="1"/>
  <c r="AH30" i="5"/>
  <c r="S30" i="5"/>
  <c r="R30" i="5"/>
  <c r="AF30" i="5" s="1"/>
  <c r="Q30" i="5"/>
  <c r="P30" i="5"/>
  <c r="AD30" i="5"/>
  <c r="AB30" i="5"/>
  <c r="AA29" i="5"/>
  <c r="Z29" i="5"/>
  <c r="Y29" i="5"/>
  <c r="X29" i="5"/>
  <c r="W29" i="5"/>
  <c r="V29" i="5"/>
  <c r="U29" i="5"/>
  <c r="AH29" i="5" s="1"/>
  <c r="T29" i="5"/>
  <c r="AG29" i="5" s="1"/>
  <c r="S29" i="5"/>
  <c r="R29" i="5"/>
  <c r="Q29" i="5"/>
  <c r="P29" i="5"/>
  <c r="AD29" i="5" s="1"/>
  <c r="AB29" i="5"/>
  <c r="AA28" i="5"/>
  <c r="Z28" i="5"/>
  <c r="Y28" i="5"/>
  <c r="X28" i="5"/>
  <c r="AL28" i="5"/>
  <c r="W28" i="5"/>
  <c r="V28" i="5"/>
  <c r="U28" i="5"/>
  <c r="AI28" i="5" s="1"/>
  <c r="T28" i="5"/>
  <c r="S28" i="5"/>
  <c r="R28" i="5"/>
  <c r="Q28" i="5"/>
  <c r="AE28" i="5" s="1"/>
  <c r="P28" i="5"/>
  <c r="AB28" i="5"/>
  <c r="AA27" i="5"/>
  <c r="Z27" i="5"/>
  <c r="Y27" i="5"/>
  <c r="X27" i="5"/>
  <c r="W27" i="5"/>
  <c r="AK27" i="5"/>
  <c r="V27" i="5"/>
  <c r="AJ27" i="5" s="1"/>
  <c r="U27" i="5"/>
  <c r="T27" i="5"/>
  <c r="S27" i="5"/>
  <c r="AF27" i="5" s="1"/>
  <c r="AG27" i="5"/>
  <c r="R27" i="5"/>
  <c r="AE27" i="5" s="1"/>
  <c r="Q27" i="5"/>
  <c r="AD27" i="5" s="1"/>
  <c r="P27" i="5"/>
  <c r="AB27" i="5"/>
  <c r="AA26" i="5"/>
  <c r="AN26" i="5" s="1"/>
  <c r="Z26" i="5"/>
  <c r="Y26" i="5"/>
  <c r="AL26" i="5" s="1"/>
  <c r="X26" i="5"/>
  <c r="AK26" i="5" s="1"/>
  <c r="W26" i="5"/>
  <c r="V26" i="5"/>
  <c r="U26" i="5"/>
  <c r="AH26" i="5" s="1"/>
  <c r="T26" i="5"/>
  <c r="AG26" i="5" s="1"/>
  <c r="S26" i="5"/>
  <c r="AF26" i="5" s="1"/>
  <c r="R26" i="5"/>
  <c r="Q26" i="5"/>
  <c r="P26" i="5"/>
  <c r="AA25" i="5"/>
  <c r="AN25" i="5" s="1"/>
  <c r="Z25" i="5"/>
  <c r="AM25" i="5" s="1"/>
  <c r="Y25" i="5"/>
  <c r="X25" i="5"/>
  <c r="W25" i="5"/>
  <c r="AJ25" i="5" s="1"/>
  <c r="V25" i="5"/>
  <c r="AI25" i="5" s="1"/>
  <c r="U25" i="5"/>
  <c r="T25" i="5"/>
  <c r="AH25" i="5"/>
  <c r="S25" i="5"/>
  <c r="AF25" i="5" s="1"/>
  <c r="R25" i="5"/>
  <c r="Q25" i="5"/>
  <c r="AE25" i="5"/>
  <c r="P25" i="5"/>
  <c r="AB25" i="5"/>
  <c r="AA24" i="5"/>
  <c r="Z24" i="5"/>
  <c r="Y24" i="5"/>
  <c r="AL24" i="5" s="1"/>
  <c r="AM24" i="5"/>
  <c r="X24" i="5"/>
  <c r="AK24" i="5" s="1"/>
  <c r="W24" i="5"/>
  <c r="V24" i="5"/>
  <c r="U24" i="5"/>
  <c r="T24" i="5"/>
  <c r="AH24" i="5"/>
  <c r="S24" i="5"/>
  <c r="AF24" i="5" s="1"/>
  <c r="AG24" i="5"/>
  <c r="R24" i="5"/>
  <c r="Q24" i="5"/>
  <c r="AE24" i="5"/>
  <c r="P24" i="5"/>
  <c r="AB24" i="5"/>
  <c r="AA23" i="5"/>
  <c r="AN23" i="5" s="1"/>
  <c r="Z23" i="5"/>
  <c r="Y23" i="5"/>
  <c r="AM23" i="5"/>
  <c r="X23" i="5"/>
  <c r="W23" i="5"/>
  <c r="V23" i="5"/>
  <c r="AJ23" i="5"/>
  <c r="U23" i="5"/>
  <c r="AI23" i="5" s="1"/>
  <c r="T23" i="5"/>
  <c r="S23" i="5"/>
  <c r="R23" i="5"/>
  <c r="AE23" i="5" s="1"/>
  <c r="AF23" i="5"/>
  <c r="Q23" i="5"/>
  <c r="AD23" i="5" s="1"/>
  <c r="P23" i="5"/>
  <c r="AB23" i="5"/>
  <c r="AA22" i="5"/>
  <c r="Z22" i="5"/>
  <c r="Y22" i="5"/>
  <c r="AL22" i="5" s="1"/>
  <c r="X22" i="5"/>
  <c r="W22" i="5"/>
  <c r="AK22" i="5" s="1"/>
  <c r="V22" i="5"/>
  <c r="AI22" i="5" s="1"/>
  <c r="U22" i="5"/>
  <c r="T22" i="5"/>
  <c r="S22" i="5"/>
  <c r="AF22" i="5" s="1"/>
  <c r="R22" i="5"/>
  <c r="AE22" i="5" s="1"/>
  <c r="Q22" i="5"/>
  <c r="P22" i="5"/>
  <c r="AD22" i="5" s="1"/>
  <c r="AB22" i="5"/>
  <c r="AA21" i="5"/>
  <c r="Z21" i="5"/>
  <c r="AN21" i="5" s="1"/>
  <c r="Y21" i="5"/>
  <c r="X21" i="5"/>
  <c r="W21" i="5"/>
  <c r="V21" i="5"/>
  <c r="U21" i="5"/>
  <c r="AI21" i="5"/>
  <c r="T21" i="5"/>
  <c r="S21" i="5"/>
  <c r="R21" i="5"/>
  <c r="Q21" i="5"/>
  <c r="P21" i="5"/>
  <c r="AB21" i="5"/>
  <c r="AA20" i="5"/>
  <c r="Z20" i="5"/>
  <c r="AN20" i="5"/>
  <c r="Y20" i="5"/>
  <c r="AL20" i="5" s="1"/>
  <c r="X20" i="5"/>
  <c r="W20" i="5"/>
  <c r="V20" i="5"/>
  <c r="AI20" i="5" s="1"/>
  <c r="U20" i="5"/>
  <c r="AH20" i="5" s="1"/>
  <c r="T20" i="5"/>
  <c r="S20" i="5"/>
  <c r="R20" i="5"/>
  <c r="AE20" i="5" s="1"/>
  <c r="Q20" i="5"/>
  <c r="P20" i="5"/>
  <c r="AD20" i="5" s="1"/>
  <c r="AB20" i="5"/>
  <c r="AA19" i="5"/>
  <c r="AN19" i="5" s="1"/>
  <c r="Z19" i="5"/>
  <c r="AM19" i="5" s="1"/>
  <c r="Y19" i="5"/>
  <c r="X19" i="5"/>
  <c r="AL19" i="5"/>
  <c r="W19" i="5"/>
  <c r="AJ19" i="5" s="1"/>
  <c r="V19" i="5"/>
  <c r="U19" i="5"/>
  <c r="T19" i="5"/>
  <c r="AH19" i="5"/>
  <c r="S19" i="5"/>
  <c r="R19" i="5"/>
  <c r="Q19" i="5"/>
  <c r="P19" i="5"/>
  <c r="AB19" i="5"/>
  <c r="AA18" i="5"/>
  <c r="Z18" i="5"/>
  <c r="AN18" i="5"/>
  <c r="Y18" i="5"/>
  <c r="AL18" i="5" s="1"/>
  <c r="AM18" i="5"/>
  <c r="X18" i="5"/>
  <c r="AK18" i="5" s="1"/>
  <c r="W18" i="5"/>
  <c r="V18" i="5"/>
  <c r="AI18" i="5" s="1"/>
  <c r="AJ18" i="5"/>
  <c r="U18" i="5"/>
  <c r="T18" i="5"/>
  <c r="AG18" i="5" s="1"/>
  <c r="S18" i="5"/>
  <c r="R18" i="5"/>
  <c r="AF18" i="5" s="1"/>
  <c r="Q18" i="5"/>
  <c r="AD18" i="5" s="1"/>
  <c r="P18" i="5"/>
  <c r="AA17" i="5"/>
  <c r="Z17" i="5"/>
  <c r="AN17" i="5"/>
  <c r="Y17" i="5"/>
  <c r="AL17" i="5" s="1"/>
  <c r="X17" i="5"/>
  <c r="W17" i="5"/>
  <c r="AK17" i="5"/>
  <c r="V17" i="5"/>
  <c r="AJ17" i="5"/>
  <c r="U17" i="5"/>
  <c r="T17" i="5"/>
  <c r="AH17" i="5" s="1"/>
  <c r="S17" i="5"/>
  <c r="AF17" i="5" s="1"/>
  <c r="R17" i="5"/>
  <c r="Q17" i="5"/>
  <c r="AE17" i="5"/>
  <c r="P17" i="5"/>
  <c r="AB17" i="5"/>
  <c r="AA16" i="5"/>
  <c r="Z16" i="5"/>
  <c r="Y16" i="5"/>
  <c r="X16" i="5"/>
  <c r="W16" i="5"/>
  <c r="AJ16" i="5" s="1"/>
  <c r="V16" i="5"/>
  <c r="U16" i="5"/>
  <c r="AH16" i="5" s="1"/>
  <c r="T16" i="5"/>
  <c r="AG16" i="5" s="1"/>
  <c r="S16" i="5"/>
  <c r="R16" i="5"/>
  <c r="AF16" i="5"/>
  <c r="Q16" i="5"/>
  <c r="AD16" i="5" s="1"/>
  <c r="P16" i="5"/>
  <c r="AB16" i="5"/>
  <c r="AA15" i="5"/>
  <c r="Z15" i="5"/>
  <c r="Y15" i="5"/>
  <c r="AL15" i="5" s="1"/>
  <c r="X15" i="5"/>
  <c r="W15" i="5"/>
  <c r="AJ15" i="5" s="1"/>
  <c r="AK15" i="5"/>
  <c r="V15" i="5"/>
  <c r="AI15" i="5" s="1"/>
  <c r="U15" i="5"/>
  <c r="T15" i="5"/>
  <c r="AH15" i="5"/>
  <c r="S15" i="5"/>
  <c r="R15" i="5"/>
  <c r="Q15" i="5"/>
  <c r="P15" i="5"/>
  <c r="AB15" i="5"/>
  <c r="AA14" i="5"/>
  <c r="Z14" i="5"/>
  <c r="AM14" i="5" s="1"/>
  <c r="Y14" i="5"/>
  <c r="X14" i="5"/>
  <c r="AK14" i="5" s="1"/>
  <c r="W14" i="5"/>
  <c r="AJ14" i="5" s="1"/>
  <c r="V14" i="5"/>
  <c r="U14" i="5"/>
  <c r="AH14" i="5" s="1"/>
  <c r="AI14" i="5"/>
  <c r="T14" i="5"/>
  <c r="S14" i="5"/>
  <c r="AG14" i="5" s="1"/>
  <c r="R14" i="5"/>
  <c r="AF14" i="5"/>
  <c r="Q14" i="5"/>
  <c r="AE14" i="5"/>
  <c r="P14" i="5"/>
  <c r="AB14" i="5"/>
  <c r="AA13" i="5"/>
  <c r="AN13" i="5" s="1"/>
  <c r="Z13" i="5"/>
  <c r="Y13" i="5"/>
  <c r="AM13" i="5" s="1"/>
  <c r="X13" i="5"/>
  <c r="AL13" i="5"/>
  <c r="W13" i="5"/>
  <c r="AK13" i="5" s="1"/>
  <c r="V13" i="5"/>
  <c r="U13" i="5"/>
  <c r="T13" i="5"/>
  <c r="S13" i="5"/>
  <c r="AG13" i="5" s="1"/>
  <c r="R13" i="5"/>
  <c r="AF13" i="5" s="1"/>
  <c r="Q13" i="5"/>
  <c r="P13" i="5"/>
  <c r="AB13" i="5"/>
  <c r="AA12" i="5"/>
  <c r="AN12" i="5" s="1"/>
  <c r="Z12" i="5"/>
  <c r="Y12" i="5"/>
  <c r="X12" i="5"/>
  <c r="AL12" i="5" s="1"/>
  <c r="W12" i="5"/>
  <c r="V12" i="5"/>
  <c r="AJ12" i="5"/>
  <c r="U12" i="5"/>
  <c r="T12" i="5"/>
  <c r="AH12" i="5"/>
  <c r="S12" i="5"/>
  <c r="AG12" i="5"/>
  <c r="R12" i="5"/>
  <c r="AE12" i="5" s="1"/>
  <c r="Q12" i="5"/>
  <c r="AD12" i="5" s="1"/>
  <c r="P12" i="5"/>
  <c r="AB12" i="5"/>
  <c r="AA11" i="5"/>
  <c r="Z11" i="5"/>
  <c r="AM11" i="5" s="1"/>
  <c r="Y11" i="5"/>
  <c r="X11" i="5"/>
  <c r="AL11" i="5"/>
  <c r="W11" i="5"/>
  <c r="V11" i="5"/>
  <c r="U11" i="5"/>
  <c r="T11" i="5"/>
  <c r="AH11" i="5"/>
  <c r="S11" i="5"/>
  <c r="R11" i="5"/>
  <c r="Q11" i="5"/>
  <c r="P11" i="5"/>
  <c r="AB11" i="5"/>
  <c r="AA10" i="5"/>
  <c r="AN10" i="5" s="1"/>
  <c r="Z10" i="5"/>
  <c r="Y10" i="5"/>
  <c r="X10" i="5"/>
  <c r="AL10" i="5"/>
  <c r="W10" i="5"/>
  <c r="AJ10" i="5" s="1"/>
  <c r="V10" i="5"/>
  <c r="U10" i="5"/>
  <c r="AH10" i="5" s="1"/>
  <c r="T10" i="5"/>
  <c r="S10" i="5"/>
  <c r="R10" i="5"/>
  <c r="Q10" i="5"/>
  <c r="AD10" i="5" s="1"/>
  <c r="P10" i="5"/>
  <c r="AB10" i="5"/>
  <c r="AA9" i="5"/>
  <c r="Z9" i="5"/>
  <c r="Y9" i="5"/>
  <c r="AM9" i="5"/>
  <c r="X9" i="5"/>
  <c r="AK9" i="5" s="1"/>
  <c r="AL9" i="5"/>
  <c r="W9" i="5"/>
  <c r="V9" i="5"/>
  <c r="U9" i="5"/>
  <c r="T9" i="5"/>
  <c r="AH9" i="5"/>
  <c r="S9" i="5"/>
  <c r="AF9" i="5" s="1"/>
  <c r="R9" i="5"/>
  <c r="AE9" i="5" s="1"/>
  <c r="Q9" i="5"/>
  <c r="P9" i="5"/>
  <c r="AB9" i="5"/>
  <c r="AA8" i="5"/>
  <c r="Z8" i="5"/>
  <c r="Y8" i="5"/>
  <c r="AL8" i="5" s="1"/>
  <c r="X8" i="5"/>
  <c r="W8" i="5"/>
  <c r="V8" i="5"/>
  <c r="AJ8" i="5"/>
  <c r="U8" i="5"/>
  <c r="AH8" i="5" s="1"/>
  <c r="T8" i="5"/>
  <c r="AG8" i="5" s="1"/>
  <c r="S8" i="5"/>
  <c r="R8" i="5"/>
  <c r="Q8" i="5"/>
  <c r="P8" i="5"/>
  <c r="AD8" i="5" s="1"/>
  <c r="AB8" i="5"/>
  <c r="AA7" i="5"/>
  <c r="Z7" i="5"/>
  <c r="AN7" i="5"/>
  <c r="Y7" i="5"/>
  <c r="AL7" i="5" s="1"/>
  <c r="X7" i="5"/>
  <c r="W7" i="5"/>
  <c r="AK7" i="5"/>
  <c r="V7" i="5"/>
  <c r="U7" i="5"/>
  <c r="AH7" i="5" s="1"/>
  <c r="T7" i="5"/>
  <c r="S7" i="5"/>
  <c r="R7" i="5"/>
  <c r="AF7" i="5"/>
  <c r="Q7" i="5"/>
  <c r="AD7" i="5" s="1"/>
  <c r="P7" i="5"/>
  <c r="AB7" i="5"/>
  <c r="AA6" i="5"/>
  <c r="Z6" i="5"/>
  <c r="AN6" i="5"/>
  <c r="Y6" i="5"/>
  <c r="X6" i="5"/>
  <c r="AK6" i="5" s="1"/>
  <c r="W6" i="5"/>
  <c r="AJ6" i="5" s="1"/>
  <c r="V6" i="5"/>
  <c r="U6" i="5"/>
  <c r="T6" i="5"/>
  <c r="S6" i="5"/>
  <c r="AG6" i="5" s="1"/>
  <c r="R6" i="5"/>
  <c r="AF6" i="5"/>
  <c r="Q6" i="5"/>
  <c r="AD6" i="5" s="1"/>
  <c r="P6" i="5"/>
  <c r="AB6" i="5"/>
  <c r="AA5" i="5"/>
  <c r="Z5" i="5"/>
  <c r="Y5" i="5"/>
  <c r="AL5" i="5" s="1"/>
  <c r="X5" i="5"/>
  <c r="W5" i="5"/>
  <c r="V5" i="5"/>
  <c r="AJ5" i="5"/>
  <c r="U5" i="5"/>
  <c r="AH5" i="5" s="1"/>
  <c r="T5" i="5"/>
  <c r="S5" i="5"/>
  <c r="AF5" i="5" s="1"/>
  <c r="R5" i="5"/>
  <c r="Q5" i="5"/>
  <c r="AE5" i="5"/>
  <c r="P5" i="5"/>
  <c r="AD5" i="5" s="1"/>
  <c r="AB5" i="5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/>
  <c r="M7" i="3"/>
  <c r="M10" i="3"/>
  <c r="L7" i="3"/>
  <c r="L10" i="3"/>
  <c r="K7" i="3"/>
  <c r="K10" i="3"/>
  <c r="J7" i="3"/>
  <c r="J10" i="3"/>
  <c r="I7" i="3"/>
  <c r="I10" i="3"/>
  <c r="H7" i="3"/>
  <c r="H10" i="3"/>
  <c r="G7" i="3"/>
  <c r="G10" i="3"/>
  <c r="F7" i="3"/>
  <c r="F10" i="3"/>
  <c r="E7" i="3"/>
  <c r="E10" i="3"/>
  <c r="D7" i="3"/>
  <c r="D10" i="3"/>
  <c r="C7" i="3"/>
  <c r="C10" i="3"/>
  <c r="O5" i="3"/>
  <c r="O6" i="3"/>
  <c r="O7" i="3"/>
  <c r="N50" i="2"/>
  <c r="N51" i="2"/>
  <c r="N52" i="2"/>
  <c r="N56" i="2"/>
  <c r="M50" i="2"/>
  <c r="M51" i="2"/>
  <c r="M52" i="2"/>
  <c r="M56" i="2"/>
  <c r="L50" i="2"/>
  <c r="L51" i="2"/>
  <c r="L52" i="2"/>
  <c r="L56" i="2"/>
  <c r="K50" i="2"/>
  <c r="K51" i="2"/>
  <c r="K52" i="2"/>
  <c r="K56" i="2"/>
  <c r="J50" i="2"/>
  <c r="J51" i="2"/>
  <c r="J52" i="2"/>
  <c r="J56" i="2"/>
  <c r="I50" i="2"/>
  <c r="I51" i="2"/>
  <c r="I52" i="2"/>
  <c r="I56" i="2"/>
  <c r="H50" i="2"/>
  <c r="H51" i="2"/>
  <c r="H52" i="2"/>
  <c r="H56" i="2"/>
  <c r="G50" i="2"/>
  <c r="G51" i="2"/>
  <c r="G52" i="2"/>
  <c r="G56" i="2"/>
  <c r="F50" i="2"/>
  <c r="F51" i="2"/>
  <c r="F52" i="2"/>
  <c r="F56" i="2"/>
  <c r="E50" i="2"/>
  <c r="E51" i="2"/>
  <c r="E52" i="2"/>
  <c r="E56" i="2"/>
  <c r="D50" i="2"/>
  <c r="D51" i="2"/>
  <c r="D52" i="2"/>
  <c r="D56" i="2"/>
  <c r="C50" i="2"/>
  <c r="C51" i="2"/>
  <c r="C52" i="2"/>
  <c r="C56" i="2"/>
  <c r="N47" i="2"/>
  <c r="N55" i="2"/>
  <c r="M47" i="2"/>
  <c r="M55" i="2"/>
  <c r="L47" i="2"/>
  <c r="L55" i="2"/>
  <c r="K47" i="2"/>
  <c r="K55" i="2"/>
  <c r="J47" i="2"/>
  <c r="J55" i="2"/>
  <c r="I47" i="2"/>
  <c r="I55" i="2"/>
  <c r="H47" i="2"/>
  <c r="H55" i="2"/>
  <c r="G47" i="2"/>
  <c r="G55" i="2"/>
  <c r="F47" i="2"/>
  <c r="F55" i="2"/>
  <c r="E47" i="2"/>
  <c r="E55" i="2"/>
  <c r="D47" i="2"/>
  <c r="D55" i="2"/>
  <c r="C47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49" i="2"/>
  <c r="M49" i="2"/>
  <c r="L49" i="2"/>
  <c r="K49" i="2"/>
  <c r="J49" i="2"/>
  <c r="I49" i="2"/>
  <c r="H49" i="2"/>
  <c r="G49" i="2"/>
  <c r="F49" i="2"/>
  <c r="E49" i="2"/>
  <c r="D49" i="2"/>
  <c r="C49" i="2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23" i="2"/>
  <c r="N5" i="2"/>
  <c r="N35" i="2"/>
  <c r="M23" i="2"/>
  <c r="M5" i="2"/>
  <c r="M35" i="2"/>
  <c r="L23" i="2"/>
  <c r="L5" i="2"/>
  <c r="L35" i="2"/>
  <c r="K23" i="2"/>
  <c r="K5" i="2"/>
  <c r="K35" i="2"/>
  <c r="J23" i="2"/>
  <c r="J5" i="2"/>
  <c r="J35" i="2"/>
  <c r="I23" i="2"/>
  <c r="I5" i="2"/>
  <c r="I35" i="2"/>
  <c r="H23" i="2"/>
  <c r="H5" i="2"/>
  <c r="H35" i="2"/>
  <c r="G23" i="2"/>
  <c r="G5" i="2"/>
  <c r="G35" i="2"/>
  <c r="F23" i="2"/>
  <c r="F5" i="2"/>
  <c r="F35" i="2"/>
  <c r="E23" i="2"/>
  <c r="E5" i="2"/>
  <c r="E35" i="2"/>
  <c r="D23" i="2"/>
  <c r="D5" i="2"/>
  <c r="D35" i="2"/>
  <c r="C23" i="2"/>
  <c r="C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13" i="2"/>
  <c r="N29" i="2"/>
  <c r="M9" i="2"/>
  <c r="M13" i="2"/>
  <c r="M29" i="2"/>
  <c r="L9" i="2"/>
  <c r="L13" i="2"/>
  <c r="L29" i="2"/>
  <c r="K9" i="2"/>
  <c r="K13" i="2"/>
  <c r="K29" i="2"/>
  <c r="J9" i="2"/>
  <c r="J13" i="2"/>
  <c r="J29" i="2"/>
  <c r="I9" i="2"/>
  <c r="I13" i="2"/>
  <c r="I29" i="2"/>
  <c r="H9" i="2"/>
  <c r="H13" i="2"/>
  <c r="H29" i="2"/>
  <c r="G9" i="2"/>
  <c r="G13" i="2"/>
  <c r="G29" i="2"/>
  <c r="F9" i="2"/>
  <c r="F13" i="2"/>
  <c r="F29" i="2"/>
  <c r="E9" i="2"/>
  <c r="E13" i="2"/>
  <c r="E29" i="2"/>
  <c r="D9" i="2"/>
  <c r="D13" i="2"/>
  <c r="D29" i="2"/>
  <c r="C9" i="2"/>
  <c r="C13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19" i="2"/>
  <c r="M19" i="2"/>
  <c r="L19" i="2"/>
  <c r="K19" i="2"/>
  <c r="J19" i="2"/>
  <c r="I19" i="2"/>
  <c r="H19" i="2"/>
  <c r="G19" i="2"/>
  <c r="F19" i="2"/>
  <c r="E19" i="2"/>
  <c r="D19" i="2"/>
  <c r="C19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5" i="2"/>
  <c r="O9" i="2"/>
  <c r="O13" i="2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AK90" i="6" l="1"/>
  <c r="AE90" i="6"/>
  <c r="AJ7" i="6"/>
  <c r="AL13" i="6"/>
  <c r="AG26" i="6"/>
  <c r="AG27" i="6"/>
  <c r="AL34" i="6"/>
  <c r="AH37" i="6"/>
  <c r="AE43" i="6"/>
  <c r="AK52" i="6"/>
  <c r="AJ58" i="6"/>
  <c r="AM67" i="6"/>
  <c r="AI73" i="6"/>
  <c r="AM81" i="6"/>
  <c r="AE114" i="6"/>
  <c r="AK150" i="6"/>
  <c r="AE150" i="6"/>
  <c r="AL154" i="6"/>
  <c r="AG180" i="6"/>
  <c r="AE190" i="6"/>
  <c r="AN192" i="6"/>
  <c r="AM15" i="6"/>
  <c r="AF21" i="6"/>
  <c r="AI26" i="6"/>
  <c r="AJ36" i="6"/>
  <c r="AI37" i="6"/>
  <c r="AD43" i="6"/>
  <c r="AD45" i="6"/>
  <c r="AJ51" i="6"/>
  <c r="AI60" i="6"/>
  <c r="AG61" i="6"/>
  <c r="AG78" i="6"/>
  <c r="AK100" i="6"/>
  <c r="AE100" i="6"/>
  <c r="AK108" i="6"/>
  <c r="AJ108" i="6"/>
  <c r="AI112" i="6"/>
  <c r="AJ119" i="6"/>
  <c r="AD119" i="6"/>
  <c r="AL121" i="6"/>
  <c r="AL150" i="6"/>
  <c r="AM153" i="6"/>
  <c r="AM154" i="6"/>
  <c r="AI175" i="6"/>
  <c r="AG177" i="6"/>
  <c r="AH180" i="6"/>
  <c r="AK186" i="6"/>
  <c r="AJ186" i="6"/>
  <c r="AD186" i="6"/>
  <c r="AL190" i="6"/>
  <c r="AE5" i="6"/>
  <c r="AN52" i="6"/>
  <c r="AM52" i="6"/>
  <c r="AE56" i="6"/>
  <c r="AK58" i="6"/>
  <c r="AK72" i="6"/>
  <c r="AE101" i="6"/>
  <c r="AM109" i="6"/>
  <c r="AE110" i="6"/>
  <c r="AK110" i="6"/>
  <c r="AE119" i="6"/>
  <c r="AK119" i="6"/>
  <c r="AM149" i="6"/>
  <c r="AF177" i="6"/>
  <c r="AG202" i="6"/>
  <c r="AJ19" i="6"/>
  <c r="AN35" i="6"/>
  <c r="AJ40" i="6"/>
  <c r="AH41" i="6"/>
  <c r="AJ72" i="6"/>
  <c r="AD72" i="6"/>
  <c r="AD118" i="6"/>
  <c r="AJ118" i="6"/>
  <c r="AJ173" i="6"/>
  <c r="AD185" i="6"/>
  <c r="AJ185" i="6"/>
  <c r="P237" i="6"/>
  <c r="AJ237" i="6"/>
  <c r="AD237" i="6"/>
  <c r="AG5" i="6"/>
  <c r="AM24" i="6"/>
  <c r="AL25" i="6"/>
  <c r="AK26" i="6"/>
  <c r="AM38" i="6"/>
  <c r="AL56" i="6"/>
  <c r="AL57" i="6"/>
  <c r="AE58" i="6"/>
  <c r="AL60" i="6"/>
  <c r="AE65" i="6"/>
  <c r="AM71" i="6"/>
  <c r="AI77" i="6"/>
  <c r="AN97" i="6"/>
  <c r="AN108" i="6"/>
  <c r="AF146" i="6"/>
  <c r="AF165" i="6"/>
  <c r="AF166" i="6"/>
  <c r="AH169" i="6"/>
  <c r="AD173" i="6"/>
  <c r="AL174" i="6"/>
  <c r="AE174" i="6"/>
  <c r="AB33" i="6"/>
  <c r="AJ172" i="6"/>
  <c r="AD172" i="6"/>
  <c r="AJ174" i="6"/>
  <c r="AD174" i="6"/>
  <c r="AE13" i="6"/>
  <c r="AD16" i="6"/>
  <c r="AL18" i="6"/>
  <c r="AL40" i="6"/>
  <c r="AH43" i="6"/>
  <c r="AE53" i="6"/>
  <c r="AM55" i="6"/>
  <c r="AN56" i="6"/>
  <c r="AG80" i="6"/>
  <c r="AF80" i="6"/>
  <c r="AE89" i="6"/>
  <c r="AN107" i="6"/>
  <c r="AM117" i="6"/>
  <c r="AH127" i="6"/>
  <c r="AG129" i="6"/>
  <c r="AH130" i="6"/>
  <c r="AG165" i="6"/>
  <c r="AJ170" i="6"/>
  <c r="AD170" i="6"/>
  <c r="AF203" i="6"/>
  <c r="AB20" i="6"/>
  <c r="AB160" i="6"/>
  <c r="AG131" i="6"/>
  <c r="AF131" i="6"/>
  <c r="AF13" i="6"/>
  <c r="AD37" i="6"/>
  <c r="AM39" i="6"/>
  <c r="AJ42" i="6"/>
  <c r="AD48" i="6"/>
  <c r="AD51" i="6"/>
  <c r="AF53" i="6"/>
  <c r="AF54" i="6"/>
  <c r="AD62" i="6"/>
  <c r="AJ62" i="6"/>
  <c r="AI63" i="6"/>
  <c r="AF66" i="6"/>
  <c r="AN69" i="6"/>
  <c r="AL75" i="6"/>
  <c r="AI79" i="6"/>
  <c r="AH79" i="6"/>
  <c r="AH82" i="6"/>
  <c r="AG83" i="6"/>
  <c r="AG85" i="6"/>
  <c r="AE107" i="6"/>
  <c r="AI126" i="6"/>
  <c r="AD128" i="6"/>
  <c r="AH143" i="6"/>
  <c r="AI163" i="6"/>
  <c r="AG164" i="6"/>
  <c r="AM184" i="6"/>
  <c r="AH22" i="6"/>
  <c r="AD38" i="6"/>
  <c r="AG53" i="6"/>
  <c r="AK62" i="6"/>
  <c r="AK63" i="6"/>
  <c r="AD63" i="6"/>
  <c r="AI64" i="6"/>
  <c r="AG65" i="6"/>
  <c r="AH67" i="6"/>
  <c r="AG67" i="6"/>
  <c r="AE78" i="6"/>
  <c r="AK78" i="6"/>
  <c r="AG84" i="6"/>
  <c r="AH92" i="6"/>
  <c r="AG142" i="6"/>
  <c r="AI162" i="6"/>
  <c r="AD163" i="6"/>
  <c r="AN184" i="6"/>
  <c r="AG15" i="6"/>
  <c r="AI22" i="6"/>
  <c r="AE38" i="6"/>
  <c r="AL47" i="6"/>
  <c r="AG52" i="6"/>
  <c r="AG54" i="6"/>
  <c r="AL62" i="6"/>
  <c r="AD64" i="6"/>
  <c r="AN75" i="6"/>
  <c r="AI90" i="6"/>
  <c r="AD90" i="6"/>
  <c r="AG104" i="6"/>
  <c r="AD126" i="6"/>
  <c r="AJ126" i="6"/>
  <c r="AL127" i="6"/>
  <c r="AL134" i="6"/>
  <c r="AK134" i="6"/>
  <c r="AL137" i="6"/>
  <c r="AK155" i="6"/>
  <c r="AD161" i="6"/>
  <c r="AJ162" i="6"/>
  <c r="AD162" i="6"/>
  <c r="AI197" i="6"/>
  <c r="AE83" i="6"/>
  <c r="AK83" i="6"/>
  <c r="AE75" i="6"/>
  <c r="AK75" i="6"/>
  <c r="AH167" i="6"/>
  <c r="AI167" i="6"/>
  <c r="AG12" i="6"/>
  <c r="AF15" i="6"/>
  <c r="AD17" i="6"/>
  <c r="AG23" i="6"/>
  <c r="AK47" i="6"/>
  <c r="AD8" i="6"/>
  <c r="AE8" i="6"/>
  <c r="AI12" i="6"/>
  <c r="AH15" i="6"/>
  <c r="AD20" i="6"/>
  <c r="AL21" i="6"/>
  <c r="AF25" i="6"/>
  <c r="AE28" i="6"/>
  <c r="AG36" i="6"/>
  <c r="AH52" i="6"/>
  <c r="AI67" i="6"/>
  <c r="AD82" i="6"/>
  <c r="AJ83" i="6"/>
  <c r="AK91" i="6"/>
  <c r="AI103" i="6"/>
  <c r="AH114" i="6"/>
  <c r="AK124" i="6"/>
  <c r="AE124" i="6"/>
  <c r="AM127" i="6"/>
  <c r="AK137" i="6"/>
  <c r="AE137" i="6"/>
  <c r="AI138" i="6"/>
  <c r="AK141" i="6"/>
  <c r="AE162" i="6"/>
  <c r="AK192" i="6"/>
  <c r="AE192" i="6"/>
  <c r="AL193" i="6"/>
  <c r="AJ190" i="6"/>
  <c r="AD190" i="6"/>
  <c r="AM9" i="6"/>
  <c r="AG13" i="6"/>
  <c r="AI6" i="6"/>
  <c r="AH7" i="6"/>
  <c r="AI14" i="6"/>
  <c r="AE20" i="6"/>
  <c r="AE27" i="6"/>
  <c r="AN44" i="6"/>
  <c r="AN47" i="6"/>
  <c r="AI52" i="6"/>
  <c r="AG60" i="6"/>
  <c r="AJ67" i="6"/>
  <c r="AH68" i="6"/>
  <c r="AG73" i="6"/>
  <c r="AL82" i="6"/>
  <c r="AD85" i="6"/>
  <c r="AJ85" i="6"/>
  <c r="AL90" i="6"/>
  <c r="AE92" i="6"/>
  <c r="AG116" i="6"/>
  <c r="AE123" i="6"/>
  <c r="AK123" i="6"/>
  <c r="AL124" i="6"/>
  <c r="AL126" i="6"/>
  <c r="AD138" i="6"/>
  <c r="AL140" i="6"/>
  <c r="AJ154" i="6"/>
  <c r="AD154" i="6"/>
  <c r="AL155" i="6"/>
  <c r="AL160" i="6"/>
  <c r="AK190" i="6"/>
  <c r="AL191" i="6"/>
  <c r="AL192" i="6"/>
  <c r="AF7" i="6"/>
  <c r="AN16" i="6"/>
  <c r="AM20" i="6"/>
  <c r="AM29" i="6"/>
  <c r="AL30" i="6"/>
  <c r="AK35" i="6"/>
  <c r="AK39" i="6"/>
  <c r="AL44" i="6"/>
  <c r="AK45" i="6"/>
  <c r="AD47" i="6"/>
  <c r="AM54" i="6"/>
  <c r="AM65" i="6"/>
  <c r="AD66" i="6"/>
  <c r="AF68" i="6"/>
  <c r="AD76" i="6"/>
  <c r="AJ76" i="6"/>
  <c r="AN87" i="6"/>
  <c r="AJ90" i="6"/>
  <c r="AL96" i="6"/>
  <c r="AN98" i="6"/>
  <c r="AD100" i="6"/>
  <c r="AD101" i="6"/>
  <c r="AG103" i="6"/>
  <c r="AF104" i="6"/>
  <c r="AM106" i="6"/>
  <c r="AL107" i="6"/>
  <c r="AD124" i="6"/>
  <c r="AH141" i="6"/>
  <c r="AF143" i="6"/>
  <c r="AE145" i="6"/>
  <c r="AD164" i="6"/>
  <c r="AF169" i="6"/>
  <c r="AN181" i="6"/>
  <c r="AK185" i="6"/>
  <c r="AE185" i="6"/>
  <c r="AL185" i="6"/>
  <c r="AJ193" i="6"/>
  <c r="AF199" i="6"/>
  <c r="S237" i="6"/>
  <c r="AG237" i="6" s="1"/>
  <c r="AK15" i="6"/>
  <c r="AH16" i="6"/>
  <c r="AE21" i="6"/>
  <c r="AF24" i="6"/>
  <c r="AL26" i="6"/>
  <c r="AJ27" i="6"/>
  <c r="AH28" i="6"/>
  <c r="AN31" i="6"/>
  <c r="AL32" i="6"/>
  <c r="AF34" i="6"/>
  <c r="AK36" i="6"/>
  <c r="AJ41" i="6"/>
  <c r="AG43" i="6"/>
  <c r="AM48" i="6"/>
  <c r="AI49" i="6"/>
  <c r="AG50" i="6"/>
  <c r="AJ53" i="6"/>
  <c r="AN57" i="6"/>
  <c r="AK59" i="6"/>
  <c r="AJ60" i="6"/>
  <c r="AK64" i="6"/>
  <c r="AL67" i="6"/>
  <c r="AF70" i="6"/>
  <c r="AM72" i="6"/>
  <c r="AN81" i="6"/>
  <c r="AD83" i="6"/>
  <c r="AG86" i="6"/>
  <c r="AM91" i="6"/>
  <c r="AM92" i="6"/>
  <c r="AM110" i="6"/>
  <c r="AL112" i="6"/>
  <c r="AK129" i="6"/>
  <c r="AI146" i="6"/>
  <c r="AJ147" i="6"/>
  <c r="AF148" i="6"/>
  <c r="AM159" i="6"/>
  <c r="AN160" i="6"/>
  <c r="AE161" i="6"/>
  <c r="AE170" i="6"/>
  <c r="AL172" i="6"/>
  <c r="AK173" i="6"/>
  <c r="AD179" i="6"/>
  <c r="AJ179" i="6"/>
  <c r="AG182" i="6"/>
  <c r="AB118" i="6"/>
  <c r="AB174" i="6"/>
  <c r="AB202" i="6"/>
  <c r="AH69" i="6"/>
  <c r="AG79" i="6"/>
  <c r="AI86" i="6"/>
  <c r="AG89" i="6"/>
  <c r="AM102" i="6"/>
  <c r="AL114" i="6"/>
  <c r="AI133" i="6"/>
  <c r="AH148" i="6"/>
  <c r="AK180" i="6"/>
  <c r="AL199" i="6"/>
  <c r="AK200" i="6"/>
  <c r="AE200" i="6"/>
  <c r="AI8" i="6"/>
  <c r="AJ12" i="6"/>
  <c r="AH13" i="6"/>
  <c r="AI20" i="6"/>
  <c r="AK33" i="6"/>
  <c r="AG35" i="6"/>
  <c r="AG45" i="6"/>
  <c r="AF47" i="6"/>
  <c r="AG56" i="6"/>
  <c r="AN59" i="6"/>
  <c r="AM60" i="6"/>
  <c r="AD61" i="6"/>
  <c r="AD65" i="6"/>
  <c r="AL68" i="6"/>
  <c r="AG75" i="6"/>
  <c r="AL78" i="6"/>
  <c r="AL84" i="6"/>
  <c r="AM93" i="6"/>
  <c r="AI99" i="6"/>
  <c r="AL104" i="6"/>
  <c r="AG109" i="6"/>
  <c r="AN113" i="6"/>
  <c r="AF137" i="6"/>
  <c r="AL145" i="6"/>
  <c r="AL146" i="6"/>
  <c r="AN170" i="6"/>
  <c r="AM171" i="6"/>
  <c r="AE180" i="6"/>
  <c r="AD184" i="6"/>
  <c r="AJ184" i="6"/>
  <c r="AG186" i="6"/>
  <c r="AG187" i="6"/>
  <c r="AJ29" i="6"/>
  <c r="AI34" i="6"/>
  <c r="AD40" i="6"/>
  <c r="AK42" i="6"/>
  <c r="AG66" i="6"/>
  <c r="AG119" i="6"/>
  <c r="AM179" i="6"/>
  <c r="AH185" i="6"/>
  <c r="AB210" i="6"/>
  <c r="AB224" i="6"/>
  <c r="AB230" i="6"/>
  <c r="AK8" i="6"/>
  <c r="AD11" i="6"/>
  <c r="AN11" i="6"/>
  <c r="AL23" i="6"/>
  <c r="AG31" i="6"/>
  <c r="AK34" i="6"/>
  <c r="AH35" i="6"/>
  <c r="AH46" i="6"/>
  <c r="AI47" i="6"/>
  <c r="AF52" i="6"/>
  <c r="AN68" i="6"/>
  <c r="AN73" i="6"/>
  <c r="AL86" i="6"/>
  <c r="AI89" i="6"/>
  <c r="AG91" i="6"/>
  <c r="AN94" i="6"/>
  <c r="AG101" i="6"/>
  <c r="AE103" i="6"/>
  <c r="AI107" i="6"/>
  <c r="AI119" i="6"/>
  <c r="AN130" i="6"/>
  <c r="AL132" i="6"/>
  <c r="AI135" i="6"/>
  <c r="AH136" i="6"/>
  <c r="AG150" i="6"/>
  <c r="AM166" i="6"/>
  <c r="AN168" i="6"/>
  <c r="AN176" i="6"/>
  <c r="AM178" i="6"/>
  <c r="AK181" i="6"/>
  <c r="AH187" i="6"/>
  <c r="AM199" i="6"/>
  <c r="AL12" i="6"/>
  <c r="AL16" i="6"/>
  <c r="AI25" i="6"/>
  <c r="AN28" i="6"/>
  <c r="AJ35" i="6"/>
  <c r="AD42" i="6"/>
  <c r="AK44" i="6"/>
  <c r="AI45" i="6"/>
  <c r="AD53" i="6"/>
  <c r="AK54" i="6"/>
  <c r="AD60" i="6"/>
  <c r="AF63" i="6"/>
  <c r="AL65" i="6"/>
  <c r="AJ66" i="6"/>
  <c r="AE69" i="6"/>
  <c r="AJ70" i="6"/>
  <c r="AK74" i="6"/>
  <c r="AM86" i="6"/>
  <c r="AE88" i="6"/>
  <c r="AN95" i="6"/>
  <c r="AK97" i="6"/>
  <c r="AL99" i="6"/>
  <c r="AJ100" i="6"/>
  <c r="AI101" i="6"/>
  <c r="AF103" i="6"/>
  <c r="AL106" i="6"/>
  <c r="AL116" i="6"/>
  <c r="AH123" i="6"/>
  <c r="AM132" i="6"/>
  <c r="AD133" i="6"/>
  <c r="AD134" i="6"/>
  <c r="AH137" i="6"/>
  <c r="AF139" i="6"/>
  <c r="AF141" i="6"/>
  <c r="AG158" i="6"/>
  <c r="AN165" i="6"/>
  <c r="AG196" i="6"/>
  <c r="AE199" i="6"/>
  <c r="AG122" i="6"/>
  <c r="AK128" i="6"/>
  <c r="AI130" i="6"/>
  <c r="AH131" i="6"/>
  <c r="AL133" i="6"/>
  <c r="AJ135" i="6"/>
  <c r="AI137" i="6"/>
  <c r="AI148" i="6"/>
  <c r="AN154" i="6"/>
  <c r="AH158" i="6"/>
  <c r="AH159" i="6"/>
  <c r="AF160" i="6"/>
  <c r="AM174" i="6"/>
  <c r="AL175" i="6"/>
  <c r="AL180" i="6"/>
  <c r="AF189" i="6"/>
  <c r="AD196" i="6"/>
  <c r="AI203" i="6"/>
  <c r="AG204" i="6"/>
  <c r="AB211" i="6"/>
  <c r="AB225" i="6"/>
  <c r="AB229" i="6"/>
  <c r="AB148" i="6"/>
  <c r="AL83" i="6"/>
  <c r="AM85" i="6"/>
  <c r="AD87" i="6"/>
  <c r="AH88" i="6"/>
  <c r="AN91" i="6"/>
  <c r="AI94" i="6"/>
  <c r="AF98" i="6"/>
  <c r="AG117" i="6"/>
  <c r="AF124" i="6"/>
  <c r="AH125" i="6"/>
  <c r="AH132" i="6"/>
  <c r="AN139" i="6"/>
  <c r="AL141" i="6"/>
  <c r="AD142" i="6"/>
  <c r="AK143" i="6"/>
  <c r="AH149" i="6"/>
  <c r="AN155" i="6"/>
  <c r="AI159" i="6"/>
  <c r="AF172" i="6"/>
  <c r="AN175" i="6"/>
  <c r="AM180" i="6"/>
  <c r="AH183" i="6"/>
  <c r="AG184" i="6"/>
  <c r="AE186" i="6"/>
  <c r="AH189" i="6"/>
  <c r="AF191" i="6"/>
  <c r="AL196" i="6"/>
  <c r="AH199" i="6"/>
  <c r="AL202" i="6"/>
  <c r="AI204" i="6"/>
  <c r="AB13" i="6"/>
  <c r="AB27" i="6"/>
  <c r="AB41" i="6"/>
  <c r="AB55" i="6"/>
  <c r="AB69" i="6"/>
  <c r="AB83" i="6"/>
  <c r="AB97" i="6"/>
  <c r="AB111" i="6"/>
  <c r="AB125" i="6"/>
  <c r="AB139" i="6"/>
  <c r="AB153" i="6"/>
  <c r="AB167" i="6"/>
  <c r="AB181" i="6"/>
  <c r="AB195" i="6"/>
  <c r="AI117" i="6"/>
  <c r="AJ123" i="6"/>
  <c r="AG124" i="6"/>
  <c r="AL131" i="6"/>
  <c r="AN141" i="6"/>
  <c r="AL142" i="6"/>
  <c r="AI151" i="6"/>
  <c r="AH152" i="6"/>
  <c r="AG153" i="6"/>
  <c r="AH179" i="6"/>
  <c r="AD182" i="6"/>
  <c r="AN185" i="6"/>
  <c r="AH191" i="6"/>
  <c r="AN196" i="6"/>
  <c r="AM203" i="6"/>
  <c r="AK204" i="6"/>
  <c r="AM115" i="6"/>
  <c r="AJ125" i="6"/>
  <c r="AF127" i="6"/>
  <c r="AM129" i="6"/>
  <c r="AM131" i="6"/>
  <c r="AN135" i="6"/>
  <c r="AN143" i="6"/>
  <c r="AJ151" i="6"/>
  <c r="AF155" i="6"/>
  <c r="AK168" i="6"/>
  <c r="AE169" i="6"/>
  <c r="AI170" i="6"/>
  <c r="AF174" i="6"/>
  <c r="AK182" i="6"/>
  <c r="AE188" i="6"/>
  <c r="AF195" i="6"/>
  <c r="AH201" i="6"/>
  <c r="AK163" i="6"/>
  <c r="AE163" i="6"/>
  <c r="AI191" i="6"/>
  <c r="AJ191" i="6"/>
  <c r="AG44" i="6"/>
  <c r="AJ32" i="6"/>
  <c r="AE39" i="6"/>
  <c r="AE45" i="6"/>
  <c r="AN46" i="6"/>
  <c r="AE50" i="6"/>
  <c r="AK50" i="6"/>
  <c r="AI59" i="6"/>
  <c r="AD59" i="6"/>
  <c r="AL76" i="6"/>
  <c r="AK76" i="6"/>
  <c r="AH102" i="6"/>
  <c r="AL111" i="6"/>
  <c r="AM111" i="6"/>
  <c r="AD112" i="6"/>
  <c r="AE112" i="6"/>
  <c r="AI118" i="6"/>
  <c r="AH118" i="6"/>
  <c r="AE128" i="6"/>
  <c r="AD136" i="6"/>
  <c r="AJ136" i="6"/>
  <c r="AI136" i="6"/>
  <c r="AM158" i="6"/>
  <c r="AL158" i="6"/>
  <c r="AJ168" i="6"/>
  <c r="AD168" i="6"/>
  <c r="AI168" i="6"/>
  <c r="AN174" i="6"/>
  <c r="AG188" i="6"/>
  <c r="AF188" i="6"/>
  <c r="AM237" i="6"/>
  <c r="AN237" i="6"/>
  <c r="AB89" i="6"/>
  <c r="AB103" i="6"/>
  <c r="AB145" i="6"/>
  <c r="AB159" i="6"/>
  <c r="AB187" i="6"/>
  <c r="AB201" i="6"/>
  <c r="AK5" i="6"/>
  <c r="AL8" i="6"/>
  <c r="AG9" i="6"/>
  <c r="AF12" i="6"/>
  <c r="AM13" i="6"/>
  <c r="AM19" i="6"/>
  <c r="AE24" i="6"/>
  <c r="AN24" i="6"/>
  <c r="AM28" i="6"/>
  <c r="AF30" i="6"/>
  <c r="AM34" i="6"/>
  <c r="AF36" i="6"/>
  <c r="AL37" i="6"/>
  <c r="AF39" i="6"/>
  <c r="AG39" i="6"/>
  <c r="AJ44" i="6"/>
  <c r="AH48" i="6"/>
  <c r="AE54" i="6"/>
  <c r="AD54" i="6"/>
  <c r="AM57" i="6"/>
  <c r="AE62" i="6"/>
  <c r="AF64" i="6"/>
  <c r="AD68" i="6"/>
  <c r="AL72" i="6"/>
  <c r="AD73" i="6"/>
  <c r="AJ73" i="6"/>
  <c r="AE73" i="6"/>
  <c r="AL80" i="6"/>
  <c r="AE84" i="6"/>
  <c r="AK84" i="6"/>
  <c r="AI102" i="6"/>
  <c r="AD102" i="6"/>
  <c r="AI114" i="6"/>
  <c r="AJ114" i="6"/>
  <c r="AE117" i="6"/>
  <c r="AK117" i="6"/>
  <c r="AM122" i="6"/>
  <c r="AL130" i="6"/>
  <c r="AK130" i="6"/>
  <c r="AD143" i="6"/>
  <c r="AI143" i="6"/>
  <c r="AK159" i="6"/>
  <c r="AE159" i="6"/>
  <c r="AD160" i="6"/>
  <c r="AJ160" i="6"/>
  <c r="AK160" i="6"/>
  <c r="AE167" i="6"/>
  <c r="AK167" i="6"/>
  <c r="AD5" i="6"/>
  <c r="AD22" i="6"/>
  <c r="AH26" i="6"/>
  <c r="AI41" i="6"/>
  <c r="AJ59" i="6"/>
  <c r="AJ77" i="6"/>
  <c r="AD77" i="6"/>
  <c r="AM83" i="6"/>
  <c r="AN83" i="6"/>
  <c r="AI91" i="6"/>
  <c r="AH91" i="6"/>
  <c r="AM100" i="6"/>
  <c r="AL100" i="6"/>
  <c r="AD109" i="6"/>
  <c r="AK109" i="6"/>
  <c r="AJ109" i="6"/>
  <c r="AE109" i="6"/>
  <c r="AN116" i="6"/>
  <c r="AM116" i="6"/>
  <c r="AH162" i="6"/>
  <c r="AG162" i="6"/>
  <c r="AE34" i="6"/>
  <c r="AN53" i="6"/>
  <c r="AN72" i="6"/>
  <c r="AL77" i="6"/>
  <c r="AK77" i="6"/>
  <c r="AM84" i="6"/>
  <c r="AE85" i="6"/>
  <c r="AK85" i="6"/>
  <c r="AE157" i="6"/>
  <c r="AD171" i="6"/>
  <c r="AJ171" i="6"/>
  <c r="AE171" i="6"/>
  <c r="AI172" i="6"/>
  <c r="AH172" i="6"/>
  <c r="AI177" i="6"/>
  <c r="AJ177" i="6"/>
  <c r="AB222" i="6"/>
  <c r="AG100" i="6"/>
  <c r="AF100" i="6"/>
  <c r="AE179" i="6"/>
  <c r="AK179" i="6"/>
  <c r="AN187" i="6"/>
  <c r="AM187" i="6"/>
  <c r="AH192" i="6"/>
  <c r="AG192" i="6"/>
  <c r="AG25" i="6"/>
  <c r="AL36" i="6"/>
  <c r="AN38" i="6"/>
  <c r="AE44" i="6"/>
  <c r="AJ46" i="6"/>
  <c r="AI57" i="6"/>
  <c r="AH57" i="6"/>
  <c r="AN60" i="6"/>
  <c r="AG76" i="6"/>
  <c r="AF85" i="6"/>
  <c r="AL97" i="6"/>
  <c r="AK98" i="6"/>
  <c r="AE98" i="6"/>
  <c r="AG106" i="6"/>
  <c r="AF113" i="6"/>
  <c r="AG113" i="6"/>
  <c r="AF130" i="6"/>
  <c r="AG130" i="6"/>
  <c r="AN162" i="6"/>
  <c r="AG167" i="6"/>
  <c r="AF167" i="6"/>
  <c r="AK178" i="6"/>
  <c r="AE178" i="6"/>
  <c r="AL179" i="6"/>
  <c r="AL182" i="6"/>
  <c r="N237" i="6"/>
  <c r="AP19" i="6" s="1"/>
  <c r="AP70" i="6"/>
  <c r="AB70" i="6"/>
  <c r="AP84" i="6"/>
  <c r="AB126" i="6"/>
  <c r="AB154" i="6"/>
  <c r="AB168" i="6"/>
  <c r="AB182" i="6"/>
  <c r="AB196" i="6"/>
  <c r="AK7" i="6"/>
  <c r="AM26" i="6"/>
  <c r="AF29" i="6"/>
  <c r="AG29" i="6"/>
  <c r="AM30" i="6"/>
  <c r="AF38" i="6"/>
  <c r="AI43" i="6"/>
  <c r="AF44" i="6"/>
  <c r="AH58" i="6"/>
  <c r="AN70" i="6"/>
  <c r="AL87" i="6"/>
  <c r="AL98" i="6"/>
  <c r="AM103" i="6"/>
  <c r="AN103" i="6"/>
  <c r="AH106" i="6"/>
  <c r="AI122" i="6"/>
  <c r="AH129" i="6"/>
  <c r="AI129" i="6"/>
  <c r="AN132" i="6"/>
  <c r="AG141" i="6"/>
  <c r="AM145" i="6"/>
  <c r="AI200" i="6"/>
  <c r="AD200" i="6"/>
  <c r="AL204" i="6"/>
  <c r="AM204" i="6"/>
  <c r="AB15" i="6"/>
  <c r="AP29" i="6"/>
  <c r="AP43" i="6"/>
  <c r="AP57" i="6"/>
  <c r="AB99" i="6"/>
  <c r="AB141" i="6"/>
  <c r="AB169" i="6"/>
  <c r="AB183" i="6"/>
  <c r="AP183" i="6"/>
  <c r="AP197" i="6"/>
  <c r="AN9" i="6"/>
  <c r="AG14" i="6"/>
  <c r="AD18" i="6"/>
  <c r="AN18" i="6"/>
  <c r="AM21" i="6"/>
  <c r="AK31" i="6"/>
  <c r="AM36" i="6"/>
  <c r="AN42" i="6"/>
  <c r="AM42" i="6"/>
  <c r="AH44" i="6"/>
  <c r="AL52" i="6"/>
  <c r="AF59" i="6"/>
  <c r="AE71" i="6"/>
  <c r="AK71" i="6"/>
  <c r="AM74" i="6"/>
  <c r="AE79" i="6"/>
  <c r="AK79" i="6"/>
  <c r="AD88" i="6"/>
  <c r="AJ88" i="6"/>
  <c r="AM104" i="6"/>
  <c r="AI106" i="6"/>
  <c r="AD106" i="6"/>
  <c r="AJ106" i="6"/>
  <c r="AG108" i="6"/>
  <c r="AH108" i="6"/>
  <c r="AE120" i="6"/>
  <c r="AK120" i="6"/>
  <c r="AK121" i="6"/>
  <c r="AE121" i="6"/>
  <c r="AD139" i="6"/>
  <c r="AJ139" i="6"/>
  <c r="AJ152" i="6"/>
  <c r="AD152" i="6"/>
  <c r="AD175" i="6"/>
  <c r="AK175" i="6"/>
  <c r="AJ175" i="6"/>
  <c r="AE182" i="6"/>
  <c r="AB197" i="6"/>
  <c r="AB16" i="6"/>
  <c r="AP44" i="6"/>
  <c r="AP58" i="6"/>
  <c r="AB58" i="6"/>
  <c r="AB72" i="6"/>
  <c r="AB114" i="6"/>
  <c r="AP156" i="6"/>
  <c r="AB170" i="6"/>
  <c r="AB184" i="6"/>
  <c r="AP184" i="6"/>
  <c r="AB198" i="6"/>
  <c r="AD30" i="6"/>
  <c r="AF33" i="6"/>
  <c r="AN45" i="6"/>
  <c r="AE52" i="6"/>
  <c r="AD57" i="6"/>
  <c r="AE57" i="6"/>
  <c r="AK57" i="6"/>
  <c r="AH59" i="6"/>
  <c r="AG59" i="6"/>
  <c r="AM61" i="6"/>
  <c r="AN61" i="6"/>
  <c r="AE64" i="6"/>
  <c r="AL79" i="6"/>
  <c r="AE82" i="6"/>
  <c r="AH84" i="6"/>
  <c r="AI84" i="6"/>
  <c r="AK88" i="6"/>
  <c r="AK93" i="6"/>
  <c r="AE93" i="6"/>
  <c r="AL93" i="6"/>
  <c r="AJ94" i="6"/>
  <c r="AD94" i="6"/>
  <c r="AE97" i="6"/>
  <c r="AM120" i="6"/>
  <c r="AL120" i="6"/>
  <c r="AB127" i="6"/>
  <c r="AB128" i="6"/>
  <c r="AE139" i="6"/>
  <c r="AK139" i="6"/>
  <c r="AD140" i="6"/>
  <c r="AJ140" i="6"/>
  <c r="AK140" i="6"/>
  <c r="AE140" i="6"/>
  <c r="AF144" i="6"/>
  <c r="AE153" i="6"/>
  <c r="AK153" i="6"/>
  <c r="AK164" i="6"/>
  <c r="AE164" i="6"/>
  <c r="AH181" i="6"/>
  <c r="AK237" i="6"/>
  <c r="AE237" i="6"/>
  <c r="AK10" i="6"/>
  <c r="AD12" i="6"/>
  <c r="AH14" i="6"/>
  <c r="AE30" i="6"/>
  <c r="AL31" i="6"/>
  <c r="AJ37" i="6"/>
  <c r="AB43" i="6"/>
  <c r="AK43" i="6"/>
  <c r="AD50" i="6"/>
  <c r="AB56" i="6"/>
  <c r="AB71" i="6"/>
  <c r="AM79" i="6"/>
  <c r="AE87" i="6"/>
  <c r="AE94" i="6"/>
  <c r="AL94" i="6"/>
  <c r="AK94" i="6"/>
  <c r="AD95" i="6"/>
  <c r="AK95" i="6"/>
  <c r="AK105" i="6"/>
  <c r="AE105" i="6"/>
  <c r="AJ113" i="6"/>
  <c r="AE113" i="6"/>
  <c r="AD113" i="6"/>
  <c r="AK113" i="6"/>
  <c r="AL128" i="6"/>
  <c r="AK138" i="6"/>
  <c r="AE138" i="6"/>
  <c r="AH160" i="6"/>
  <c r="AL164" i="6"/>
  <c r="AD194" i="6"/>
  <c r="AI194" i="6"/>
  <c r="AL237" i="6"/>
  <c r="AP18" i="6"/>
  <c r="AB18" i="6"/>
  <c r="AB46" i="6"/>
  <c r="AP60" i="6"/>
  <c r="AB60" i="6"/>
  <c r="AB88" i="6"/>
  <c r="AP88" i="6"/>
  <c r="AB102" i="6"/>
  <c r="AB116" i="6"/>
  <c r="AB172" i="6"/>
  <c r="AB186" i="6"/>
  <c r="AP200" i="6"/>
  <c r="AB200" i="6"/>
  <c r="AN10" i="6"/>
  <c r="AB14" i="6"/>
  <c r="AH18" i="6"/>
  <c r="AN22" i="6"/>
  <c r="AF10" i="6"/>
  <c r="AH12" i="6"/>
  <c r="AI15" i="6"/>
  <c r="AI18" i="6"/>
  <c r="AI21" i="6"/>
  <c r="AM32" i="6"/>
  <c r="AK41" i="6"/>
  <c r="AH42" i="6"/>
  <c r="AE51" i="6"/>
  <c r="AK51" i="6"/>
  <c r="AD55" i="6"/>
  <c r="AK55" i="6"/>
  <c r="AJ55" i="6"/>
  <c r="AM62" i="6"/>
  <c r="AH70" i="6"/>
  <c r="AD86" i="6"/>
  <c r="AK86" i="6"/>
  <c r="AJ86" i="6"/>
  <c r="AE102" i="6"/>
  <c r="AL102" i="6"/>
  <c r="AD110" i="6"/>
  <c r="AI110" i="6"/>
  <c r="AN112" i="6"/>
  <c r="AE118" i="6"/>
  <c r="AK118" i="6"/>
  <c r="AM124" i="6"/>
  <c r="AN124" i="6"/>
  <c r="AI127" i="6"/>
  <c r="AN134" i="6"/>
  <c r="AB158" i="6"/>
  <c r="AE175" i="6"/>
  <c r="AN5" i="6"/>
  <c r="AM11" i="6"/>
  <c r="AL14" i="6"/>
  <c r="AJ18" i="6"/>
  <c r="AL20" i="6"/>
  <c r="AI24" i="6"/>
  <c r="AD25" i="6"/>
  <c r="AB29" i="6"/>
  <c r="AJ39" i="6"/>
  <c r="AL41" i="6"/>
  <c r="AB44" i="6"/>
  <c r="AE47" i="6"/>
  <c r="AK48" i="6"/>
  <c r="AE48" i="6"/>
  <c r="AJ52" i="6"/>
  <c r="AH56" i="6"/>
  <c r="AK60" i="6"/>
  <c r="AE60" i="6"/>
  <c r="AJ64" i="6"/>
  <c r="AK66" i="6"/>
  <c r="AI70" i="6"/>
  <c r="AJ87" i="6"/>
  <c r="AD89" i="6"/>
  <c r="AE95" i="6"/>
  <c r="AI98" i="6"/>
  <c r="AH99" i="6"/>
  <c r="AB100" i="6"/>
  <c r="AL118" i="6"/>
  <c r="AN131" i="6"/>
  <c r="AJ149" i="6"/>
  <c r="AD149" i="6"/>
  <c r="AG157" i="6"/>
  <c r="AH173" i="6"/>
  <c r="AM194" i="6"/>
  <c r="AN194" i="6"/>
  <c r="AP112" i="6"/>
  <c r="AJ56" i="6"/>
  <c r="AD56" i="6"/>
  <c r="AE29" i="6"/>
  <c r="AJ15" i="6"/>
  <c r="AL17" i="6"/>
  <c r="AG34" i="6"/>
  <c r="AG46" i="6"/>
  <c r="AE68" i="6"/>
  <c r="AD74" i="6"/>
  <c r="AJ74" i="6"/>
  <c r="AE76" i="6"/>
  <c r="AB84" i="6"/>
  <c r="AD107" i="6"/>
  <c r="AF116" i="6"/>
  <c r="AM144" i="6"/>
  <c r="AL144" i="6"/>
  <c r="AL149" i="6"/>
  <c r="AD159" i="6"/>
  <c r="AI183" i="6"/>
  <c r="AJ183" i="6"/>
  <c r="AD183" i="6"/>
  <c r="AD203" i="6"/>
  <c r="AJ203" i="6"/>
  <c r="AK203" i="6"/>
  <c r="AB86" i="6"/>
  <c r="AP86" i="6"/>
  <c r="AL27" i="6"/>
  <c r="AI32" i="6"/>
  <c r="AG38" i="6"/>
  <c r="AN14" i="6"/>
  <c r="AM14" i="6"/>
  <c r="AD6" i="6"/>
  <c r="AN6" i="6"/>
  <c r="AE11" i="6"/>
  <c r="AK12" i="6"/>
  <c r="AN20" i="6"/>
  <c r="AF23" i="6"/>
  <c r="AK30" i="6"/>
  <c r="AL45" i="6"/>
  <c r="AG47" i="6"/>
  <c r="AJ49" i="6"/>
  <c r="AD49" i="6"/>
  <c r="AK49" i="6"/>
  <c r="AN51" i="6"/>
  <c r="AH53" i="6"/>
  <c r="AK56" i="6"/>
  <c r="AL66" i="6"/>
  <c r="AL69" i="6"/>
  <c r="AK70" i="6"/>
  <c r="AE70" i="6"/>
  <c r="AD84" i="6"/>
  <c r="AB85" i="6"/>
  <c r="AI92" i="6"/>
  <c r="AN96" i="6"/>
  <c r="AB113" i="6"/>
  <c r="AD115" i="6"/>
  <c r="AE115" i="6"/>
  <c r="AJ115" i="6"/>
  <c r="AE130" i="6"/>
  <c r="AF134" i="6"/>
  <c r="AD150" i="6"/>
  <c r="AJ150" i="6"/>
  <c r="AI150" i="6"/>
  <c r="AH153" i="6"/>
  <c r="AB155" i="6"/>
  <c r="AH165" i="6"/>
  <c r="AI165" i="6"/>
  <c r="AK172" i="6"/>
  <c r="AE172" i="6"/>
  <c r="AF192" i="6"/>
  <c r="AF6" i="6"/>
  <c r="AI11" i="6"/>
  <c r="AJ13" i="6"/>
  <c r="AK19" i="6"/>
  <c r="AD21" i="6"/>
  <c r="AG24" i="6"/>
  <c r="AH30" i="6"/>
  <c r="AH40" i="6"/>
  <c r="AM41" i="6"/>
  <c r="AM47" i="6"/>
  <c r="AJ48" i="6"/>
  <c r="AF49" i="6"/>
  <c r="AL64" i="6"/>
  <c r="AL70" i="6"/>
  <c r="AH83" i="6"/>
  <c r="AD98" i="6"/>
  <c r="AJ98" i="6"/>
  <c r="AJ102" i="6"/>
  <c r="AF114" i="6"/>
  <c r="AH116" i="6"/>
  <c r="AI116" i="6"/>
  <c r="AG127" i="6"/>
  <c r="AI141" i="6"/>
  <c r="AD151" i="6"/>
  <c r="AK152" i="6"/>
  <c r="AE152" i="6"/>
  <c r="AF158" i="6"/>
  <c r="AJ165" i="6"/>
  <c r="AD165" i="6"/>
  <c r="AN178" i="6"/>
  <c r="AD193" i="6"/>
  <c r="AB208" i="6"/>
  <c r="AP208" i="6"/>
  <c r="AN37" i="6"/>
  <c r="AF41" i="6"/>
  <c r="AK46" i="6"/>
  <c r="AL50" i="6"/>
  <c r="AH55" i="6"/>
  <c r="AF58" i="6"/>
  <c r="AN58" i="6"/>
  <c r="AK61" i="6"/>
  <c r="AM68" i="6"/>
  <c r="AG72" i="6"/>
  <c r="AG77" i="6"/>
  <c r="AF77" i="6"/>
  <c r="AF82" i="6"/>
  <c r="AG82" i="6"/>
  <c r="AL88" i="6"/>
  <c r="AM88" i="6"/>
  <c r="AJ92" i="6"/>
  <c r="AD92" i="6"/>
  <c r="AM98" i="6"/>
  <c r="AM101" i="6"/>
  <c r="AH104" i="6"/>
  <c r="AL105" i="6"/>
  <c r="AN118" i="6"/>
  <c r="AM118" i="6"/>
  <c r="AG120" i="6"/>
  <c r="AN122" i="6"/>
  <c r="AN129" i="6"/>
  <c r="AN136" i="6"/>
  <c r="AI142" i="6"/>
  <c r="AH142" i="6"/>
  <c r="AN145" i="6"/>
  <c r="AN148" i="6"/>
  <c r="AK154" i="6"/>
  <c r="AG155" i="6"/>
  <c r="AF163" i="6"/>
  <c r="AF178" i="6"/>
  <c r="AL59" i="6"/>
  <c r="AJ63" i="6"/>
  <c r="AD71" i="6"/>
  <c r="AL85" i="6"/>
  <c r="AL92" i="6"/>
  <c r="AE106" i="6"/>
  <c r="AK106" i="6"/>
  <c r="AG125" i="6"/>
  <c r="AE126" i="6"/>
  <c r="AD127" i="6"/>
  <c r="AE127" i="6"/>
  <c r="AJ127" i="6"/>
  <c r="AM164" i="6"/>
  <c r="AJ166" i="6"/>
  <c r="AD166" i="6"/>
  <c r="AK166" i="6"/>
  <c r="AD167" i="6"/>
  <c r="AJ167" i="6"/>
  <c r="AM173" i="6"/>
  <c r="AL173" i="6"/>
  <c r="AK174" i="6"/>
  <c r="AK191" i="6"/>
  <c r="AE191" i="6"/>
  <c r="AH198" i="6"/>
  <c r="AG198" i="6"/>
  <c r="AM200" i="6"/>
  <c r="AN200" i="6"/>
  <c r="AL9" i="6"/>
  <c r="AK18" i="6"/>
  <c r="AJ22" i="6"/>
  <c r="AF27" i="6"/>
  <c r="AK28" i="6"/>
  <c r="AH45" i="6"/>
  <c r="AE46" i="6"/>
  <c r="AN54" i="6"/>
  <c r="AF73" i="6"/>
  <c r="AF75" i="6"/>
  <c r="AM78" i="6"/>
  <c r="AD81" i="6"/>
  <c r="AJ81" i="6"/>
  <c r="AJ89" i="6"/>
  <c r="AI96" i="6"/>
  <c r="AH101" i="6"/>
  <c r="AJ107" i="6"/>
  <c r="AH112" i="6"/>
  <c r="AH117" i="6"/>
  <c r="AG121" i="6"/>
  <c r="AH121" i="6"/>
  <c r="AD123" i="6"/>
  <c r="AN123" i="6"/>
  <c r="AM123" i="6"/>
  <c r="AM126" i="6"/>
  <c r="AM133" i="6"/>
  <c r="AG135" i="6"/>
  <c r="AJ143" i="6"/>
  <c r="AN156" i="6"/>
  <c r="AL157" i="6"/>
  <c r="AG159" i="6"/>
  <c r="AK162" i="6"/>
  <c r="AH163" i="6"/>
  <c r="AL167" i="6"/>
  <c r="AF171" i="6"/>
  <c r="AH175" i="6"/>
  <c r="AD177" i="6"/>
  <c r="AM196" i="6"/>
  <c r="AD197" i="6"/>
  <c r="AJ197" i="6"/>
  <c r="AI198" i="6"/>
  <c r="AJ198" i="6"/>
  <c r="AB214" i="6"/>
  <c r="AP214" i="6"/>
  <c r="AL71" i="6"/>
  <c r="AK81" i="6"/>
  <c r="AE81" i="6"/>
  <c r="AL89" i="6"/>
  <c r="AG95" i="6"/>
  <c r="AJ96" i="6"/>
  <c r="AK96" i="6"/>
  <c r="AK111" i="6"/>
  <c r="AF136" i="6"/>
  <c r="AG136" i="6"/>
  <c r="AG139" i="6"/>
  <c r="AE146" i="6"/>
  <c r="AN146" i="6"/>
  <c r="AM146" i="6"/>
  <c r="AD147" i="6"/>
  <c r="AK147" i="6"/>
  <c r="AK151" i="6"/>
  <c r="AK177" i="6"/>
  <c r="AE177" i="6"/>
  <c r="AL177" i="6"/>
  <c r="AB215" i="6"/>
  <c r="AB228" i="6"/>
  <c r="AP228" i="6"/>
  <c r="AD108" i="6"/>
  <c r="AE108" i="6"/>
  <c r="AI121" i="6"/>
  <c r="AD121" i="6"/>
  <c r="AJ169" i="6"/>
  <c r="AD169" i="6"/>
  <c r="AJ187" i="6"/>
  <c r="AD187" i="6"/>
  <c r="AK187" i="6"/>
  <c r="AB216" i="6"/>
  <c r="AH237" i="6"/>
  <c r="AI237" i="6"/>
  <c r="AG7" i="6"/>
  <c r="AJ8" i="6"/>
  <c r="AH17" i="6"/>
  <c r="AH25" i="6"/>
  <c r="AD26" i="6"/>
  <c r="AH27" i="6"/>
  <c r="AN32" i="6"/>
  <c r="AN34" i="6"/>
  <c r="AI39" i="6"/>
  <c r="AL51" i="6"/>
  <c r="AN63" i="6"/>
  <c r="AI66" i="6"/>
  <c r="AE67" i="6"/>
  <c r="AN71" i="6"/>
  <c r="AH75" i="6"/>
  <c r="AI97" i="6"/>
  <c r="AF102" i="6"/>
  <c r="AD104" i="6"/>
  <c r="AJ104" i="6"/>
  <c r="AM107" i="6"/>
  <c r="AH109" i="6"/>
  <c r="AJ121" i="6"/>
  <c r="AG140" i="6"/>
  <c r="AH140" i="6"/>
  <c r="AM142" i="6"/>
  <c r="AM143" i="6"/>
  <c r="AD144" i="6"/>
  <c r="AM150" i="6"/>
  <c r="AD157" i="6"/>
  <c r="AN161" i="6"/>
  <c r="AL162" i="6"/>
  <c r="AN166" i="6"/>
  <c r="AK169" i="6"/>
  <c r="AF176" i="6"/>
  <c r="AE193" i="6"/>
  <c r="AK193" i="6"/>
  <c r="AK198" i="6"/>
  <c r="AE198" i="6"/>
  <c r="AM89" i="6"/>
  <c r="AK92" i="6"/>
  <c r="AN105" i="6"/>
  <c r="AI109" i="6"/>
  <c r="AF112" i="6"/>
  <c r="AD122" i="6"/>
  <c r="AK122" i="6"/>
  <c r="AJ122" i="6"/>
  <c r="AJ131" i="6"/>
  <c r="AD131" i="6"/>
  <c r="AH134" i="6"/>
  <c r="AM135" i="6"/>
  <c r="AG137" i="6"/>
  <c r="AJ138" i="6"/>
  <c r="AD141" i="6"/>
  <c r="AE154" i="6"/>
  <c r="AI155" i="6"/>
  <c r="AD155" i="6"/>
  <c r="AJ155" i="6"/>
  <c r="AJ157" i="6"/>
  <c r="AF161" i="6"/>
  <c r="AE165" i="6"/>
  <c r="AM182" i="6"/>
  <c r="AH184" i="6"/>
  <c r="AD191" i="6"/>
  <c r="AM193" i="6"/>
  <c r="AN193" i="6"/>
  <c r="AG199" i="6"/>
  <c r="AP87" i="6"/>
  <c r="AB129" i="6"/>
  <c r="AB143" i="6"/>
  <c r="AB157" i="6"/>
  <c r="AL168" i="6"/>
  <c r="AI181" i="6"/>
  <c r="AM186" i="6"/>
  <c r="AN186" i="6"/>
  <c r="AG189" i="6"/>
  <c r="AM201" i="6"/>
  <c r="AH76" i="6"/>
  <c r="AM82" i="6"/>
  <c r="AH87" i="6"/>
  <c r="AJ93" i="6"/>
  <c r="AD93" i="6"/>
  <c r="AM97" i="6"/>
  <c r="AF99" i="6"/>
  <c r="AF101" i="6"/>
  <c r="AE104" i="6"/>
  <c r="AD114" i="6"/>
  <c r="AF119" i="6"/>
  <c r="AD125" i="6"/>
  <c r="AE125" i="6"/>
  <c r="AE131" i="6"/>
  <c r="AI132" i="6"/>
  <c r="AG143" i="6"/>
  <c r="AK149" i="6"/>
  <c r="AM157" i="6"/>
  <c r="AD158" i="6"/>
  <c r="AE160" i="6"/>
  <c r="AI161" i="6"/>
  <c r="AH170" i="6"/>
  <c r="AM191" i="6"/>
  <c r="AJ195" i="6"/>
  <c r="AD195" i="6"/>
  <c r="AE195" i="6"/>
  <c r="AK195" i="6"/>
  <c r="AB207" i="6"/>
  <c r="AP22" i="6"/>
  <c r="AP36" i="6"/>
  <c r="AP50" i="6"/>
  <c r="AB162" i="6"/>
  <c r="AP190" i="6"/>
  <c r="AP204" i="6"/>
  <c r="AG10" i="6"/>
  <c r="AD19" i="6"/>
  <c r="AM27" i="6"/>
  <c r="AB36" i="6"/>
  <c r="AE37" i="6"/>
  <c r="AH62" i="6"/>
  <c r="AE63" i="6"/>
  <c r="AM75" i="6"/>
  <c r="AN84" i="6"/>
  <c r="AF86" i="6"/>
  <c r="AN86" i="6"/>
  <c r="AN104" i="6"/>
  <c r="AK112" i="6"/>
  <c r="AB120" i="6"/>
  <c r="AN127" i="6"/>
  <c r="AI128" i="6"/>
  <c r="AH135" i="6"/>
  <c r="AG144" i="6"/>
  <c r="AE149" i="6"/>
  <c r="AL152" i="6"/>
  <c r="AD153" i="6"/>
  <c r="AJ153" i="6"/>
  <c r="AE166" i="6"/>
  <c r="AL169" i="6"/>
  <c r="AK170" i="6"/>
  <c r="AG171" i="6"/>
  <c r="AI179" i="6"/>
  <c r="AD189" i="6"/>
  <c r="AK189" i="6"/>
  <c r="AJ189" i="6"/>
  <c r="AG92" i="6"/>
  <c r="AN93" i="6"/>
  <c r="AH124" i="6"/>
  <c r="AE134" i="6"/>
  <c r="AL153" i="6"/>
  <c r="AE158" i="6"/>
  <c r="AN169" i="6"/>
  <c r="AI171" i="6"/>
  <c r="AN188" i="6"/>
  <c r="AM188" i="6"/>
  <c r="AK196" i="6"/>
  <c r="AE196" i="6"/>
  <c r="AJ200" i="6"/>
  <c r="AF204" i="6"/>
  <c r="AG51" i="6"/>
  <c r="AF61" i="6"/>
  <c r="AD78" i="6"/>
  <c r="AN79" i="6"/>
  <c r="AI80" i="6"/>
  <c r="AH90" i="6"/>
  <c r="AD97" i="6"/>
  <c r="AG111" i="6"/>
  <c r="AK114" i="6"/>
  <c r="AI120" i="6"/>
  <c r="AG126" i="6"/>
  <c r="AK131" i="6"/>
  <c r="AK135" i="6"/>
  <c r="AE135" i="6"/>
  <c r="AM141" i="6"/>
  <c r="AN147" i="6"/>
  <c r="AD148" i="6"/>
  <c r="AK156" i="6"/>
  <c r="AM160" i="6"/>
  <c r="AJ161" i="6"/>
  <c r="AL163" i="6"/>
  <c r="AM167" i="6"/>
  <c r="AM172" i="6"/>
  <c r="AF179" i="6"/>
  <c r="AH186" i="6"/>
  <c r="AI186" i="6"/>
  <c r="AN190" i="6"/>
  <c r="AE203" i="6"/>
  <c r="AB209" i="6"/>
  <c r="AN119" i="6"/>
  <c r="AL129" i="6"/>
  <c r="AI166" i="6"/>
  <c r="AE173" i="6"/>
  <c r="AN197" i="6"/>
  <c r="AJ201" i="6"/>
  <c r="AD201" i="6"/>
  <c r="AE201" i="6"/>
  <c r="AP219" i="6"/>
  <c r="AP20" i="6"/>
  <c r="AP34" i="6"/>
  <c r="AP48" i="6"/>
  <c r="AP76" i="6"/>
  <c r="AP132" i="6"/>
  <c r="AP174" i="6"/>
  <c r="AP202" i="6"/>
  <c r="AD91" i="6"/>
  <c r="AJ103" i="6"/>
  <c r="AJ110" i="6"/>
  <c r="AJ117" i="6"/>
  <c r="AJ124" i="6"/>
  <c r="AN125" i="6"/>
  <c r="AL139" i="6"/>
  <c r="AG168" i="6"/>
  <c r="AK171" i="6"/>
  <c r="AG176" i="6"/>
  <c r="AI180" i="6"/>
  <c r="AK184" i="6"/>
  <c r="AG190" i="6"/>
  <c r="AN191" i="6"/>
  <c r="AG195" i="6"/>
  <c r="AE197" i="6"/>
  <c r="AL197" i="6"/>
  <c r="AK197" i="6"/>
  <c r="AJ202" i="6"/>
  <c r="AD202" i="6"/>
  <c r="AG203" i="6"/>
  <c r="AG151" i="6"/>
  <c r="AN177" i="6"/>
  <c r="AI195" i="6"/>
  <c r="AB223" i="6"/>
  <c r="AH95" i="6"/>
  <c r="AG105" i="6"/>
  <c r="AF115" i="6"/>
  <c r="AD132" i="6"/>
  <c r="AN133" i="6"/>
  <c r="AI134" i="6"/>
  <c r="AH144" i="6"/>
  <c r="AG154" i="6"/>
  <c r="AF164" i="6"/>
  <c r="AI174" i="6"/>
  <c r="AH176" i="6"/>
  <c r="AJ181" i="6"/>
  <c r="AF186" i="6"/>
  <c r="AD199" i="6"/>
  <c r="AF200" i="6"/>
  <c r="AL203" i="6"/>
  <c r="AP205" i="6"/>
  <c r="AN183" i="6"/>
  <c r="AI184" i="6"/>
  <c r="AM185" i="6"/>
  <c r="AI190" i="6"/>
  <c r="AH194" i="6"/>
  <c r="AL195" i="6"/>
  <c r="AH200" i="6"/>
  <c r="H237" i="6"/>
  <c r="AP226" i="6"/>
  <c r="AJ188" i="6"/>
  <c r="AD188" i="6"/>
  <c r="AF193" i="6"/>
  <c r="AJ194" i="6"/>
  <c r="AN203" i="6"/>
  <c r="AP26" i="6"/>
  <c r="AP82" i="6"/>
  <c r="AP124" i="6"/>
  <c r="AP152" i="6"/>
  <c r="AP180" i="6"/>
  <c r="AP194" i="6"/>
  <c r="AN51" i="5"/>
  <c r="AI76" i="5"/>
  <c r="AJ90" i="5"/>
  <c r="AD95" i="5"/>
  <c r="AF114" i="5"/>
  <c r="AI8" i="5"/>
  <c r="AJ20" i="5"/>
  <c r="AK25" i="5"/>
  <c r="AN30" i="5"/>
  <c r="AN62" i="5"/>
  <c r="AD69" i="5"/>
  <c r="AL89" i="5"/>
  <c r="AL6" i="5"/>
  <c r="AN50" i="5"/>
  <c r="AM82" i="5"/>
  <c r="AG22" i="5"/>
  <c r="AE29" i="5"/>
  <c r="AK32" i="5"/>
  <c r="AE35" i="5"/>
  <c r="AK65" i="5"/>
  <c r="AL66" i="5"/>
  <c r="AJ77" i="5"/>
  <c r="AH92" i="5"/>
  <c r="AJ124" i="5"/>
  <c r="AL132" i="5"/>
  <c r="AM132" i="5"/>
  <c r="AK198" i="5"/>
  <c r="AM6" i="5"/>
  <c r="AI9" i="5"/>
  <c r="AE11" i="5"/>
  <c r="AM12" i="5"/>
  <c r="AN24" i="5"/>
  <c r="AH27" i="5"/>
  <c r="AF28" i="5"/>
  <c r="AF29" i="5"/>
  <c r="AN31" i="5"/>
  <c r="AJ33" i="5"/>
  <c r="AH34" i="5"/>
  <c r="AK40" i="5"/>
  <c r="AK42" i="5"/>
  <c r="AH45" i="5"/>
  <c r="AH46" i="5"/>
  <c r="AF47" i="5"/>
  <c r="AD51" i="5"/>
  <c r="AH59" i="5"/>
  <c r="AH60" i="5"/>
  <c r="AL64" i="5"/>
  <c r="AM65" i="5"/>
  <c r="AK66" i="5"/>
  <c r="AF69" i="5"/>
  <c r="AE71" i="5"/>
  <c r="AD72" i="5"/>
  <c r="AG80" i="5"/>
  <c r="AH80" i="5"/>
  <c r="AE81" i="5"/>
  <c r="AK123" i="5"/>
  <c r="AM136" i="5"/>
  <c r="AN136" i="5"/>
  <c r="AK64" i="5"/>
  <c r="AJ64" i="5"/>
  <c r="AK132" i="5"/>
  <c r="AJ7" i="5"/>
  <c r="AD11" i="5"/>
  <c r="AG15" i="5"/>
  <c r="AD17" i="5"/>
  <c r="AK19" i="5"/>
  <c r="AH21" i="5"/>
  <c r="AJ42" i="5"/>
  <c r="AM52" i="5"/>
  <c r="AG60" i="5"/>
  <c r="AG67" i="5"/>
  <c r="AK76" i="5"/>
  <c r="AJ76" i="5"/>
  <c r="AI78" i="5"/>
  <c r="AJ91" i="5"/>
  <c r="AJ105" i="5"/>
  <c r="AK108" i="5"/>
  <c r="AK20" i="5"/>
  <c r="AJ21" i="5"/>
  <c r="AJ22" i="5"/>
  <c r="AG23" i="5"/>
  <c r="AE30" i="5"/>
  <c r="AH35" i="5"/>
  <c r="AM42" i="5"/>
  <c r="AH47" i="5"/>
  <c r="AD50" i="5"/>
  <c r="AJ60" i="5"/>
  <c r="AI60" i="5"/>
  <c r="AG69" i="5"/>
  <c r="AL78" i="5"/>
  <c r="AM84" i="5"/>
  <c r="AK92" i="5"/>
  <c r="AJ92" i="5"/>
  <c r="AK105" i="5"/>
  <c r="AN107" i="5"/>
  <c r="AM122" i="5"/>
  <c r="AM123" i="5"/>
  <c r="AN154" i="5"/>
  <c r="AM154" i="5"/>
  <c r="AM204" i="5"/>
  <c r="AN204" i="5"/>
  <c r="AN38" i="5"/>
  <c r="AE50" i="5"/>
  <c r="AN122" i="5"/>
  <c r="AD154" i="5"/>
  <c r="AE154" i="5"/>
  <c r="AE7" i="5"/>
  <c r="AN8" i="5"/>
  <c r="AI10" i="5"/>
  <c r="AF12" i="5"/>
  <c r="AD13" i="5"/>
  <c r="AL14" i="5"/>
  <c r="AD19" i="5"/>
  <c r="AM20" i="5"/>
  <c r="AD25" i="5"/>
  <c r="AI29" i="5"/>
  <c r="AE31" i="5"/>
  <c r="AN40" i="5"/>
  <c r="AK59" i="5"/>
  <c r="AG62" i="5"/>
  <c r="AD64" i="5"/>
  <c r="AN78" i="5"/>
  <c r="AJ80" i="5"/>
  <c r="AK80" i="5"/>
  <c r="AG84" i="5"/>
  <c r="AM85" i="5"/>
  <c r="AJ87" i="5"/>
  <c r="AN113" i="5"/>
  <c r="AD177" i="5"/>
  <c r="AK183" i="5"/>
  <c r="AI188" i="5"/>
  <c r="AH188" i="5"/>
  <c r="AK191" i="5"/>
  <c r="AP18" i="5"/>
  <c r="AP172" i="5"/>
  <c r="AJ115" i="5"/>
  <c r="AK115" i="5"/>
  <c r="AL21" i="5"/>
  <c r="AG36" i="5"/>
  <c r="AM21" i="5"/>
  <c r="AH50" i="5"/>
  <c r="AG50" i="5"/>
  <c r="AL86" i="5"/>
  <c r="AM22" i="5"/>
  <c r="AE26" i="5"/>
  <c r="AD26" i="5"/>
  <c r="AL27" i="5"/>
  <c r="AF32" i="5"/>
  <c r="AL34" i="5"/>
  <c r="AJ47" i="5"/>
  <c r="AF54" i="5"/>
  <c r="AN56" i="5"/>
  <c r="AH62" i="5"/>
  <c r="AE64" i="5"/>
  <c r="AJ68" i="5"/>
  <c r="AD77" i="5"/>
  <c r="AI143" i="5"/>
  <c r="AD167" i="5"/>
  <c r="AJ181" i="5"/>
  <c r="AI163" i="5"/>
  <c r="AH163" i="5"/>
  <c r="AP32" i="5"/>
  <c r="AP60" i="5"/>
  <c r="AB88" i="5"/>
  <c r="AP144" i="5"/>
  <c r="AP186" i="5"/>
  <c r="AB186" i="5"/>
  <c r="AP228" i="5"/>
  <c r="AG44" i="5"/>
  <c r="AM40" i="5"/>
  <c r="AG68" i="5"/>
  <c r="AH96" i="5"/>
  <c r="AN104" i="5"/>
  <c r="AL93" i="5"/>
  <c r="AM93" i="5"/>
  <c r="AJ141" i="5"/>
  <c r="AI141" i="5"/>
  <c r="AK10" i="5"/>
  <c r="AL16" i="5"/>
  <c r="AN22" i="5"/>
  <c r="AI24" i="5"/>
  <c r="AL29" i="5"/>
  <c r="AG32" i="5"/>
  <c r="AL35" i="5"/>
  <c r="AG37" i="5"/>
  <c r="AD41" i="5"/>
  <c r="AD43" i="5"/>
  <c r="AD45" i="5"/>
  <c r="AM45" i="5"/>
  <c r="AN59" i="5"/>
  <c r="AJ62" i="5"/>
  <c r="AE66" i="5"/>
  <c r="AH83" i="5"/>
  <c r="AH84" i="5"/>
  <c r="AG101" i="5"/>
  <c r="AN114" i="5"/>
  <c r="AB116" i="5"/>
  <c r="AK142" i="5"/>
  <c r="AI150" i="5"/>
  <c r="AH150" i="5"/>
  <c r="AE49" i="5"/>
  <c r="AE8" i="5"/>
  <c r="AH13" i="5"/>
  <c r="AD21" i="5"/>
  <c r="AM29" i="5"/>
  <c r="AF33" i="5"/>
  <c r="AI134" i="5"/>
  <c r="AJ134" i="5"/>
  <c r="AE162" i="5"/>
  <c r="AD162" i="5"/>
  <c r="AI123" i="5"/>
  <c r="AH123" i="5"/>
  <c r="AP46" i="5"/>
  <c r="AB46" i="5"/>
  <c r="AP74" i="5"/>
  <c r="AB130" i="5"/>
  <c r="AP158" i="5"/>
  <c r="AP200" i="5"/>
  <c r="AG58" i="5"/>
  <c r="AF146" i="5"/>
  <c r="AE146" i="5"/>
  <c r="AM39" i="5"/>
  <c r="AN54" i="5"/>
  <c r="AN76" i="5"/>
  <c r="AH36" i="5"/>
  <c r="AL60" i="5"/>
  <c r="AI5" i="5"/>
  <c r="AM15" i="5"/>
  <c r="AH6" i="5"/>
  <c r="AN9" i="5"/>
  <c r="AK11" i="5"/>
  <c r="AM16" i="5"/>
  <c r="AM28" i="5"/>
  <c r="AJ30" i="5"/>
  <c r="AI31" i="5"/>
  <c r="AL51" i="5"/>
  <c r="AB60" i="5"/>
  <c r="AI74" i="5"/>
  <c r="AE77" i="5"/>
  <c r="AK5" i="5"/>
  <c r="AI6" i="5"/>
  <c r="AG7" i="5"/>
  <c r="AM10" i="5"/>
  <c r="AI12" i="5"/>
  <c r="AI13" i="5"/>
  <c r="AD15" i="5"/>
  <c r="AN28" i="5"/>
  <c r="AL30" i="5"/>
  <c r="AJ31" i="5"/>
  <c r="AJ37" i="5"/>
  <c r="AF39" i="5"/>
  <c r="AG41" i="5"/>
  <c r="AG42" i="5"/>
  <c r="AE43" i="5"/>
  <c r="AM47" i="5"/>
  <c r="AJ53" i="5"/>
  <c r="AH54" i="5"/>
  <c r="AF55" i="5"/>
  <c r="AH66" i="5"/>
  <c r="AM68" i="5"/>
  <c r="AM69" i="5"/>
  <c r="AM73" i="5"/>
  <c r="AH75" i="5"/>
  <c r="AM96" i="5"/>
  <c r="AH105" i="5"/>
  <c r="AH108" i="5"/>
  <c r="AI108" i="5"/>
  <c r="AF109" i="5"/>
  <c r="AD115" i="5"/>
  <c r="AG127" i="5"/>
  <c r="AE193" i="5"/>
  <c r="AD193" i="5"/>
  <c r="AK60" i="5"/>
  <c r="AN11" i="5"/>
  <c r="AK12" i="5"/>
  <c r="AG21" i="5"/>
  <c r="AD28" i="5"/>
  <c r="AD35" i="5"/>
  <c r="AH39" i="5"/>
  <c r="AD47" i="5"/>
  <c r="AM49" i="5"/>
  <c r="AG56" i="5"/>
  <c r="AF58" i="5"/>
  <c r="AM71" i="5"/>
  <c r="AL73" i="5"/>
  <c r="AM88" i="5"/>
  <c r="AF93" i="5"/>
  <c r="AE93" i="5"/>
  <c r="AD100" i="5"/>
  <c r="AD110" i="5"/>
  <c r="AK117" i="5"/>
  <c r="AK121" i="5"/>
  <c r="AH126" i="5"/>
  <c r="AH127" i="5"/>
  <c r="AE150" i="5"/>
  <c r="AN177" i="5"/>
  <c r="AD186" i="5"/>
  <c r="AM199" i="5"/>
  <c r="AM46" i="5"/>
  <c r="AH48" i="5"/>
  <c r="AE52" i="5"/>
  <c r="AD53" i="5"/>
  <c r="AF59" i="5"/>
  <c r="AM61" i="5"/>
  <c r="AG63" i="5"/>
  <c r="AE65" i="5"/>
  <c r="AH68" i="5"/>
  <c r="AH69" i="5"/>
  <c r="AM75" i="5"/>
  <c r="AL81" i="5"/>
  <c r="AJ83" i="5"/>
  <c r="AE90" i="5"/>
  <c r="AM91" i="5"/>
  <c r="AF96" i="5"/>
  <c r="AK98" i="5"/>
  <c r="AJ100" i="5"/>
  <c r="AG102" i="5"/>
  <c r="AI112" i="5"/>
  <c r="AG114" i="5"/>
  <c r="AF115" i="5"/>
  <c r="AE116" i="5"/>
  <c r="AD120" i="5"/>
  <c r="AD121" i="5"/>
  <c r="AM140" i="5"/>
  <c r="AG166" i="5"/>
  <c r="AE175" i="5"/>
  <c r="AK181" i="5"/>
  <c r="AL190" i="5"/>
  <c r="AK8" i="5"/>
  <c r="AG9" i="5"/>
  <c r="AE10" i="5"/>
  <c r="AN15" i="5"/>
  <c r="AI17" i="5"/>
  <c r="AH18" i="5"/>
  <c r="AF19" i="5"/>
  <c r="AM26" i="5"/>
  <c r="AJ28" i="5"/>
  <c r="AL33" i="5"/>
  <c r="AL36" i="5"/>
  <c r="AK37" i="5"/>
  <c r="AJ38" i="5"/>
  <c r="AJ39" i="5"/>
  <c r="AH41" i="5"/>
  <c r="AF43" i="5"/>
  <c r="AF44" i="5"/>
  <c r="AE45" i="5"/>
  <c r="AK47" i="5"/>
  <c r="AI49" i="5"/>
  <c r="AF50" i="5"/>
  <c r="AG51" i="5"/>
  <c r="AH58" i="5"/>
  <c r="AK62" i="5"/>
  <c r="AG64" i="5"/>
  <c r="AK67" i="5"/>
  <c r="AG70" i="5"/>
  <c r="AG72" i="5"/>
  <c r="AE86" i="5"/>
  <c r="AF86" i="5"/>
  <c r="AN87" i="5"/>
  <c r="AL98" i="5"/>
  <c r="AG104" i="5"/>
  <c r="AD107" i="5"/>
  <c r="AL109" i="5"/>
  <c r="AH114" i="5"/>
  <c r="AE120" i="5"/>
  <c r="AD122" i="5"/>
  <c r="AN145" i="5"/>
  <c r="AM145" i="5"/>
  <c r="AL152" i="5"/>
  <c r="AE196" i="5"/>
  <c r="AB210" i="5"/>
  <c r="N236" i="5"/>
  <c r="AP175" i="5" s="1"/>
  <c r="AD93" i="5"/>
  <c r="AJ95" i="5"/>
  <c r="AE106" i="5"/>
  <c r="AM109" i="5"/>
  <c r="AL112" i="5"/>
  <c r="AI115" i="5"/>
  <c r="AH117" i="5"/>
  <c r="AF122" i="5"/>
  <c r="AE129" i="5"/>
  <c r="AD129" i="5"/>
  <c r="AN181" i="5"/>
  <c r="AI199" i="5"/>
  <c r="AG203" i="5"/>
  <c r="AJ94" i="5"/>
  <c r="AN98" i="5"/>
  <c r="AK101" i="5"/>
  <c r="AG5" i="5"/>
  <c r="AE6" i="5"/>
  <c r="AJ9" i="5"/>
  <c r="AG10" i="5"/>
  <c r="AG11" i="5"/>
  <c r="AE15" i="5"/>
  <c r="AN16" i="5"/>
  <c r="AI19" i="5"/>
  <c r="AL23" i="5"/>
  <c r="AJ24" i="5"/>
  <c r="AM27" i="5"/>
  <c r="AG31" i="5"/>
  <c r="AM33" i="5"/>
  <c r="AL38" i="5"/>
  <c r="AK39" i="5"/>
  <c r="AE46" i="5"/>
  <c r="AN47" i="5"/>
  <c r="AI50" i="5"/>
  <c r="AJ51" i="5"/>
  <c r="AI52" i="5"/>
  <c r="AN55" i="5"/>
  <c r="AL57" i="5"/>
  <c r="AI59" i="5"/>
  <c r="AF61" i="5"/>
  <c r="AK63" i="5"/>
  <c r="AG65" i="5"/>
  <c r="AF66" i="5"/>
  <c r="AD67" i="5"/>
  <c r="AN67" i="5"/>
  <c r="AK68" i="5"/>
  <c r="AK69" i="5"/>
  <c r="AJ70" i="5"/>
  <c r="AK71" i="5"/>
  <c r="AI73" i="5"/>
  <c r="AH74" i="5"/>
  <c r="AD76" i="5"/>
  <c r="AK79" i="5"/>
  <c r="AN82" i="5"/>
  <c r="AM83" i="5"/>
  <c r="AF87" i="5"/>
  <c r="AE87" i="5"/>
  <c r="AF92" i="5"/>
  <c r="AJ103" i="5"/>
  <c r="AI104" i="5"/>
  <c r="AE125" i="5"/>
  <c r="AD125" i="5"/>
  <c r="AJ160" i="5"/>
  <c r="AJ171" i="5"/>
  <c r="AF193" i="5"/>
  <c r="AH194" i="5"/>
  <c r="AG194" i="5"/>
  <c r="AH195" i="5"/>
  <c r="AJ199" i="5"/>
  <c r="AM131" i="5"/>
  <c r="AH145" i="5"/>
  <c r="AG151" i="5"/>
  <c r="AD153" i="5"/>
  <c r="AD158" i="5"/>
  <c r="AM170" i="5"/>
  <c r="AE187" i="5"/>
  <c r="AN188" i="5"/>
  <c r="AM190" i="5"/>
  <c r="AK192" i="5"/>
  <c r="AF197" i="5"/>
  <c r="AG204" i="5"/>
  <c r="AL236" i="5"/>
  <c r="AD141" i="5"/>
  <c r="AF156" i="5"/>
  <c r="AK160" i="5"/>
  <c r="AK171" i="5"/>
  <c r="AF174" i="5"/>
  <c r="AF175" i="5"/>
  <c r="AF178" i="5"/>
  <c r="AE180" i="5"/>
  <c r="AL192" i="5"/>
  <c r="AI195" i="5"/>
  <c r="AD198" i="5"/>
  <c r="AK202" i="5"/>
  <c r="P236" i="5"/>
  <c r="AD236" i="5" s="1"/>
  <c r="AL75" i="5"/>
  <c r="AM79" i="5"/>
  <c r="AF81" i="5"/>
  <c r="AF85" i="5"/>
  <c r="AI88" i="5"/>
  <c r="AI96" i="5"/>
  <c r="AN99" i="5"/>
  <c r="AD112" i="5"/>
  <c r="AF113" i="5"/>
  <c r="AG119" i="5"/>
  <c r="AD123" i="5"/>
  <c r="AI127" i="5"/>
  <c r="AG129" i="5"/>
  <c r="AE130" i="5"/>
  <c r="AL133" i="5"/>
  <c r="AF137" i="5"/>
  <c r="AE140" i="5"/>
  <c r="AK145" i="5"/>
  <c r="AG146" i="5"/>
  <c r="AE147" i="5"/>
  <c r="AE148" i="5"/>
  <c r="AN148" i="5"/>
  <c r="AJ151" i="5"/>
  <c r="AH155" i="5"/>
  <c r="AG157" i="5"/>
  <c r="AE158" i="5"/>
  <c r="AN159" i="5"/>
  <c r="AM160" i="5"/>
  <c r="AE163" i="5"/>
  <c r="AN164" i="5"/>
  <c r="AH167" i="5"/>
  <c r="AF168" i="5"/>
  <c r="AM171" i="5"/>
  <c r="AF176" i="5"/>
  <c r="AG179" i="5"/>
  <c r="AD183" i="5"/>
  <c r="AL183" i="5"/>
  <c r="AF186" i="5"/>
  <c r="AE188" i="5"/>
  <c r="AM192" i="5"/>
  <c r="AK194" i="5"/>
  <c r="AK195" i="5"/>
  <c r="AH196" i="5"/>
  <c r="AG197" i="5"/>
  <c r="AD200" i="5"/>
  <c r="AN200" i="5"/>
  <c r="AN201" i="5"/>
  <c r="AB144" i="5"/>
  <c r="AB158" i="5"/>
  <c r="AB172" i="5"/>
  <c r="AB200" i="5"/>
  <c r="AB214" i="5"/>
  <c r="AB228" i="5"/>
  <c r="AM144" i="5"/>
  <c r="AE182" i="5"/>
  <c r="AG187" i="5"/>
  <c r="AB218" i="5"/>
  <c r="AH121" i="5"/>
  <c r="AL126" i="5"/>
  <c r="AH129" i="5"/>
  <c r="AI136" i="5"/>
  <c r="AF138" i="5"/>
  <c r="AH141" i="5"/>
  <c r="AF142" i="5"/>
  <c r="AF163" i="5"/>
  <c r="AL166" i="5"/>
  <c r="AN171" i="5"/>
  <c r="AH176" i="5"/>
  <c r="AI177" i="5"/>
  <c r="AN183" i="5"/>
  <c r="AK185" i="5"/>
  <c r="AE189" i="5"/>
  <c r="AD190" i="5"/>
  <c r="AD191" i="5"/>
  <c r="AL195" i="5"/>
  <c r="AI197" i="5"/>
  <c r="AI70" i="5"/>
  <c r="AH72" i="5"/>
  <c r="AE74" i="5"/>
  <c r="AN75" i="5"/>
  <c r="AL76" i="5"/>
  <c r="AE83" i="5"/>
  <c r="AG98" i="5"/>
  <c r="AD99" i="5"/>
  <c r="AN100" i="5"/>
  <c r="AL101" i="5"/>
  <c r="AD106" i="5"/>
  <c r="AL108" i="5"/>
  <c r="AN115" i="5"/>
  <c r="AL117" i="5"/>
  <c r="AG122" i="5"/>
  <c r="AD124" i="5"/>
  <c r="AK127" i="5"/>
  <c r="AI129" i="5"/>
  <c r="AH140" i="5"/>
  <c r="AG142" i="5"/>
  <c r="AL145" i="5"/>
  <c r="AJ146" i="5"/>
  <c r="AH148" i="5"/>
  <c r="AE149" i="5"/>
  <c r="AK155" i="5"/>
  <c r="AG158" i="5"/>
  <c r="AI167" i="5"/>
  <c r="AJ168" i="5"/>
  <c r="AH169" i="5"/>
  <c r="AG170" i="5"/>
  <c r="AD172" i="5"/>
  <c r="AM172" i="5"/>
  <c r="AJ174" i="5"/>
  <c r="AJ177" i="5"/>
  <c r="AG182" i="5"/>
  <c r="AJ197" i="5"/>
  <c r="AG199" i="5"/>
  <c r="AD201" i="5"/>
  <c r="AL203" i="5"/>
  <c r="AJ147" i="5"/>
  <c r="AD150" i="5"/>
  <c r="AI158" i="5"/>
  <c r="AN165" i="5"/>
  <c r="AJ169" i="5"/>
  <c r="AF171" i="5"/>
  <c r="AF189" i="5"/>
  <c r="AH198" i="5"/>
  <c r="AD84" i="5"/>
  <c r="AH86" i="5"/>
  <c r="AF90" i="5"/>
  <c r="AD91" i="5"/>
  <c r="AN92" i="5"/>
  <c r="AJ93" i="5"/>
  <c r="AG94" i="5"/>
  <c r="AE95" i="5"/>
  <c r="AH98" i="5"/>
  <c r="AG99" i="5"/>
  <c r="AE100" i="5"/>
  <c r="AL102" i="5"/>
  <c r="AK103" i="5"/>
  <c r="AF105" i="5"/>
  <c r="AK110" i="5"/>
  <c r="AK112" i="5"/>
  <c r="AD117" i="5"/>
  <c r="AJ122" i="5"/>
  <c r="AF124" i="5"/>
  <c r="AM127" i="5"/>
  <c r="AM128" i="5"/>
  <c r="AL129" i="5"/>
  <c r="AG132" i="5"/>
  <c r="AE134" i="5"/>
  <c r="AK139" i="5"/>
  <c r="AL140" i="5"/>
  <c r="AI142" i="5"/>
  <c r="AG144" i="5"/>
  <c r="AJ148" i="5"/>
  <c r="AF149" i="5"/>
  <c r="AN151" i="5"/>
  <c r="AM156" i="5"/>
  <c r="AH159" i="5"/>
  <c r="AD173" i="5"/>
  <c r="AN173" i="5"/>
  <c r="AM174" i="5"/>
  <c r="AK175" i="5"/>
  <c r="AM179" i="5"/>
  <c r="AK180" i="5"/>
  <c r="AK182" i="5"/>
  <c r="AM185" i="5"/>
  <c r="AH189" i="5"/>
  <c r="AI190" i="5"/>
  <c r="AD195" i="5"/>
  <c r="AD204" i="5"/>
  <c r="S236" i="5"/>
  <c r="AF236" i="5" s="1"/>
  <c r="AG150" i="5"/>
  <c r="AL158" i="5"/>
  <c r="AK159" i="5"/>
  <c r="AI171" i="5"/>
  <c r="AD175" i="5"/>
  <c r="AN176" i="5"/>
  <c r="AN178" i="5"/>
  <c r="AD185" i="5"/>
  <c r="AJ189" i="5"/>
  <c r="AJ190" i="5"/>
  <c r="AG192" i="5"/>
  <c r="AK200" i="5"/>
  <c r="AI201" i="5"/>
  <c r="AB197" i="5"/>
  <c r="AB225" i="5"/>
  <c r="AM103" i="5"/>
  <c r="AK104" i="5"/>
  <c r="AN109" i="5"/>
  <c r="AK113" i="5"/>
  <c r="AI114" i="5"/>
  <c r="AH115" i="5"/>
  <c r="AI124" i="5"/>
  <c r="AL130" i="5"/>
  <c r="AJ131" i="5"/>
  <c r="AH133" i="5"/>
  <c r="AM137" i="5"/>
  <c r="AM138" i="5"/>
  <c r="AN140" i="5"/>
  <c r="AM141" i="5"/>
  <c r="AN146" i="5"/>
  <c r="AH149" i="5"/>
  <c r="AH154" i="5"/>
  <c r="AE155" i="5"/>
  <c r="AD157" i="5"/>
  <c r="AE161" i="5"/>
  <c r="AL163" i="5"/>
  <c r="AI165" i="5"/>
  <c r="AF173" i="5"/>
  <c r="AN180" i="5"/>
  <c r="AL181" i="5"/>
  <c r="AH184" i="5"/>
  <c r="AE185" i="5"/>
  <c r="AG193" i="5"/>
  <c r="AL198" i="5"/>
  <c r="AB168" i="5"/>
  <c r="AB182" i="5"/>
  <c r="AB224" i="5"/>
  <c r="AJ236" i="5"/>
  <c r="AH43" i="5"/>
  <c r="AI43" i="5"/>
  <c r="AI65" i="5"/>
  <c r="AJ65" i="5"/>
  <c r="AN236" i="5"/>
  <c r="AM236" i="5"/>
  <c r="AN29" i="5"/>
  <c r="AM35" i="5"/>
  <c r="AK50" i="5"/>
  <c r="AJ50" i="5"/>
  <c r="AF11" i="5"/>
  <c r="AF21" i="5"/>
  <c r="AH23" i="5"/>
  <c r="AN35" i="5"/>
  <c r="AI37" i="5"/>
  <c r="AJ40" i="5"/>
  <c r="AF41" i="5"/>
  <c r="AK43" i="5"/>
  <c r="AH44" i="5"/>
  <c r="AK51" i="5"/>
  <c r="AG52" i="5"/>
  <c r="AL53" i="5"/>
  <c r="AK58" i="5"/>
  <c r="AD61" i="5"/>
  <c r="AK61" i="5"/>
  <c r="AM64" i="5"/>
  <c r="AN64" i="5"/>
  <c r="AL65" i="5"/>
  <c r="AD70" i="5"/>
  <c r="AM72" i="5"/>
  <c r="AL72" i="5"/>
  <c r="AL79" i="5"/>
  <c r="AK82" i="5"/>
  <c r="AL82" i="5"/>
  <c r="AF84" i="5"/>
  <c r="AK95" i="5"/>
  <c r="AD102" i="5"/>
  <c r="AM108" i="5"/>
  <c r="AM112" i="5"/>
  <c r="AN112" i="5"/>
  <c r="AG115" i="5"/>
  <c r="AL118" i="5"/>
  <c r="AM118" i="5"/>
  <c r="AI122" i="5"/>
  <c r="AD131" i="5"/>
  <c r="AM158" i="5"/>
  <c r="AN158" i="5"/>
  <c r="AM32" i="5"/>
  <c r="AN32" i="5"/>
  <c r="AJ85" i="5"/>
  <c r="AK85" i="5"/>
  <c r="AG28" i="5"/>
  <c r="AN52" i="5"/>
  <c r="AK94" i="5"/>
  <c r="AD97" i="5"/>
  <c r="AE97" i="5"/>
  <c r="AN117" i="5"/>
  <c r="AM117" i="5"/>
  <c r="AN138" i="5"/>
  <c r="AJ143" i="5"/>
  <c r="AK143" i="5"/>
  <c r="AE21" i="5"/>
  <c r="AH37" i="5"/>
  <c r="AF52" i="5"/>
  <c r="AD56" i="5"/>
  <c r="AE56" i="5"/>
  <c r="AL58" i="5"/>
  <c r="AM58" i="5"/>
  <c r="AG66" i="5"/>
  <c r="AE70" i="5"/>
  <c r="AF70" i="5"/>
  <c r="AJ86" i="5"/>
  <c r="AK99" i="5"/>
  <c r="AL99" i="5"/>
  <c r="AG110" i="5"/>
  <c r="AE117" i="5"/>
  <c r="AF117" i="5"/>
  <c r="AL125" i="5"/>
  <c r="AI128" i="5"/>
  <c r="AJ128" i="5"/>
  <c r="AK134" i="5"/>
  <c r="AL134" i="5"/>
  <c r="AG40" i="5"/>
  <c r="AH40" i="5"/>
  <c r="AH51" i="5"/>
  <c r="AI51" i="5"/>
  <c r="AI79" i="5"/>
  <c r="AJ79" i="5"/>
  <c r="AN106" i="5"/>
  <c r="AM106" i="5"/>
  <c r="AL178" i="5"/>
  <c r="AM178" i="5"/>
  <c r="AL186" i="5"/>
  <c r="AK186" i="5"/>
  <c r="AH28" i="5"/>
  <c r="AK33" i="5"/>
  <c r="AE41" i="5"/>
  <c r="AI62" i="5"/>
  <c r="AD9" i="5"/>
  <c r="AJ13" i="5"/>
  <c r="AD14" i="5"/>
  <c r="AE16" i="5"/>
  <c r="AE19" i="5"/>
  <c r="AD24" i="5"/>
  <c r="AL25" i="5"/>
  <c r="AN27" i="5"/>
  <c r="AK31" i="5"/>
  <c r="AD42" i="5"/>
  <c r="AF48" i="5"/>
  <c r="AF78" i="5"/>
  <c r="AG78" i="5"/>
  <c r="AM98" i="5"/>
  <c r="AK100" i="5"/>
  <c r="AJ114" i="5"/>
  <c r="AK114" i="5"/>
  <c r="AM119" i="5"/>
  <c r="AL119" i="5"/>
  <c r="AL121" i="5"/>
  <c r="AM126" i="5"/>
  <c r="AN126" i="5"/>
  <c r="AG130" i="5"/>
  <c r="AH130" i="5"/>
  <c r="AG155" i="5"/>
  <c r="AF155" i="5"/>
  <c r="AM163" i="5"/>
  <c r="AN163" i="5"/>
  <c r="AL164" i="5"/>
  <c r="AK164" i="5"/>
  <c r="AH166" i="5"/>
  <c r="AI172" i="5"/>
  <c r="AH172" i="5"/>
  <c r="AK28" i="5"/>
  <c r="AH38" i="5"/>
  <c r="AG38" i="5"/>
  <c r="AN39" i="5"/>
  <c r="AH42" i="5"/>
  <c r="AJ44" i="5"/>
  <c r="AF49" i="5"/>
  <c r="AD58" i="5"/>
  <c r="AE58" i="5"/>
  <c r="AH64" i="5"/>
  <c r="AK83" i="5"/>
  <c r="AH106" i="5"/>
  <c r="AI106" i="5"/>
  <c r="AF112" i="5"/>
  <c r="AG112" i="5"/>
  <c r="AE119" i="5"/>
  <c r="AE133" i="5"/>
  <c r="AF147" i="5"/>
  <c r="AM150" i="5"/>
  <c r="AI236" i="5"/>
  <c r="AH236" i="5"/>
  <c r="AM7" i="5"/>
  <c r="AD73" i="5"/>
  <c r="AE113" i="5"/>
  <c r="AI116" i="5"/>
  <c r="AJ116" i="5"/>
  <c r="AH147" i="5"/>
  <c r="AG147" i="5"/>
  <c r="AG148" i="5"/>
  <c r="AF148" i="5"/>
  <c r="AI156" i="5"/>
  <c r="AH156" i="5"/>
  <c r="AL56" i="5"/>
  <c r="AM56" i="5"/>
  <c r="AG87" i="5"/>
  <c r="AH87" i="5"/>
  <c r="AF106" i="5"/>
  <c r="AG106" i="5"/>
  <c r="AD132" i="5"/>
  <c r="AE132" i="5"/>
  <c r="AI26" i="5"/>
  <c r="AN46" i="5"/>
  <c r="AH63" i="5"/>
  <c r="AI63" i="5"/>
  <c r="AD82" i="5"/>
  <c r="AE82" i="5"/>
  <c r="AG116" i="5"/>
  <c r="AH116" i="5"/>
  <c r="AJ161" i="5"/>
  <c r="AI161" i="5"/>
  <c r="AJ26" i="5"/>
  <c r="AK44" i="5"/>
  <c r="AL44" i="5"/>
  <c r="AI16" i="5"/>
  <c r="AG19" i="5"/>
  <c r="AJ41" i="5"/>
  <c r="AK41" i="5"/>
  <c r="AF46" i="5"/>
  <c r="AE51" i="5"/>
  <c r="AG57" i="5"/>
  <c r="AH71" i="5"/>
  <c r="AF91" i="5"/>
  <c r="AF103" i="5"/>
  <c r="AE103" i="5"/>
  <c r="AE126" i="5"/>
  <c r="AF126" i="5"/>
  <c r="AM135" i="5"/>
  <c r="AN135" i="5"/>
  <c r="AH138" i="5"/>
  <c r="AI138" i="5"/>
  <c r="AI178" i="5"/>
  <c r="AH178" i="5"/>
  <c r="AF181" i="5"/>
  <c r="AG181" i="5"/>
  <c r="AE42" i="5"/>
  <c r="AF42" i="5"/>
  <c r="AD39" i="5"/>
  <c r="AE39" i="5"/>
  <c r="AJ130" i="5"/>
  <c r="AK130" i="5"/>
  <c r="AF143" i="5"/>
  <c r="AE143" i="5"/>
  <c r="AJ11" i="5"/>
  <c r="AI11" i="5"/>
  <c r="AM8" i="5"/>
  <c r="AK16" i="5"/>
  <c r="AG17" i="5"/>
  <c r="AK21" i="5"/>
  <c r="AK23" i="5"/>
  <c r="AI27" i="5"/>
  <c r="AK29" i="5"/>
  <c r="AJ29" i="5"/>
  <c r="AD34" i="5"/>
  <c r="AE34" i="5"/>
  <c r="AK35" i="5"/>
  <c r="AK45" i="5"/>
  <c r="AI53" i="5"/>
  <c r="AK55" i="5"/>
  <c r="AH57" i="5"/>
  <c r="AI57" i="5"/>
  <c r="AL69" i="5"/>
  <c r="AI71" i="5"/>
  <c r="AJ71" i="5"/>
  <c r="AH82" i="5"/>
  <c r="AL87" i="5"/>
  <c r="AG88" i="5"/>
  <c r="AE89" i="5"/>
  <c r="AJ112" i="5"/>
  <c r="AD135" i="5"/>
  <c r="AE135" i="5"/>
  <c r="AF199" i="5"/>
  <c r="AE199" i="5"/>
  <c r="AM5" i="5"/>
  <c r="AN5" i="5"/>
  <c r="AH32" i="5"/>
  <c r="AG49" i="5"/>
  <c r="AH49" i="5"/>
  <c r="AD55" i="5"/>
  <c r="AE69" i="5"/>
  <c r="AD80" i="5"/>
  <c r="AE80" i="5"/>
  <c r="AJ107" i="5"/>
  <c r="AK107" i="5"/>
  <c r="AL115" i="5"/>
  <c r="AM115" i="5"/>
  <c r="AI132" i="5"/>
  <c r="AJ132" i="5"/>
  <c r="AF31" i="5"/>
  <c r="AM41" i="5"/>
  <c r="AD37" i="5"/>
  <c r="AI39" i="5"/>
  <c r="AM48" i="5"/>
  <c r="AL70" i="5"/>
  <c r="AH85" i="5"/>
  <c r="AI85" i="5"/>
  <c r="AM110" i="5"/>
  <c r="AG120" i="5"/>
  <c r="AH120" i="5"/>
  <c r="AE128" i="5"/>
  <c r="AG134" i="5"/>
  <c r="AK162" i="5"/>
  <c r="AL162" i="5"/>
  <c r="AK174" i="5"/>
  <c r="AL174" i="5"/>
  <c r="AI182" i="5"/>
  <c r="AI187" i="5"/>
  <c r="AJ187" i="5"/>
  <c r="AI77" i="5"/>
  <c r="AH77" i="5"/>
  <c r="AE107" i="5"/>
  <c r="AF107" i="5"/>
  <c r="AI145" i="5"/>
  <c r="AJ145" i="5"/>
  <c r="AE72" i="5"/>
  <c r="AF72" i="5"/>
  <c r="AN91" i="5"/>
  <c r="AG111" i="5"/>
  <c r="AH111" i="5"/>
  <c r="AF140" i="5"/>
  <c r="AG140" i="5"/>
  <c r="AI151" i="5"/>
  <c r="AH151" i="5"/>
  <c r="AN14" i="5"/>
  <c r="AM17" i="5"/>
  <c r="AE13" i="5"/>
  <c r="AE18" i="5"/>
  <c r="AE44" i="5"/>
  <c r="AK75" i="5"/>
  <c r="AN96" i="5"/>
  <c r="AI7" i="5"/>
  <c r="AF8" i="5"/>
  <c r="AF10" i="5"/>
  <c r="AF15" i="5"/>
  <c r="AG20" i="5"/>
  <c r="AF20" i="5"/>
  <c r="AH22" i="5"/>
  <c r="AG25" i="5"/>
  <c r="AL32" i="5"/>
  <c r="AE37" i="5"/>
  <c r="AF37" i="5"/>
  <c r="AK38" i="5"/>
  <c r="AG43" i="5"/>
  <c r="AK49" i="5"/>
  <c r="AG54" i="5"/>
  <c r="AK56" i="5"/>
  <c r="AH65" i="5"/>
  <c r="AM70" i="5"/>
  <c r="AN70" i="5"/>
  <c r="AF83" i="5"/>
  <c r="AG83" i="5"/>
  <c r="AG95" i="5"/>
  <c r="AH95" i="5"/>
  <c r="AF100" i="5"/>
  <c r="AG100" i="5"/>
  <c r="AH104" i="5"/>
  <c r="AL107" i="5"/>
  <c r="AM107" i="5"/>
  <c r="AE110" i="5"/>
  <c r="AN110" i="5"/>
  <c r="AN116" i="5"/>
  <c r="AN137" i="5"/>
  <c r="AL139" i="5"/>
  <c r="AN95" i="5"/>
  <c r="AG125" i="5"/>
  <c r="AG139" i="5"/>
  <c r="AH139" i="5"/>
  <c r="AK157" i="5"/>
  <c r="AJ157" i="5"/>
  <c r="AK158" i="5"/>
  <c r="AJ158" i="5"/>
  <c r="AL46" i="5"/>
  <c r="AI55" i="5"/>
  <c r="AE60" i="5"/>
  <c r="AJ73" i="5"/>
  <c r="AJ81" i="5"/>
  <c r="AG90" i="5"/>
  <c r="AF95" i="5"/>
  <c r="AI97" i="5"/>
  <c r="AE101" i="5"/>
  <c r="AF101" i="5"/>
  <c r="AE112" i="5"/>
  <c r="AI121" i="5"/>
  <c r="AE127" i="5"/>
  <c r="AN128" i="5"/>
  <c r="AF141" i="5"/>
  <c r="AG141" i="5"/>
  <c r="AI159" i="5"/>
  <c r="AJ159" i="5"/>
  <c r="AG198" i="5"/>
  <c r="AM50" i="5"/>
  <c r="AF64" i="5"/>
  <c r="AK77" i="5"/>
  <c r="AF98" i="5"/>
  <c r="AD104" i="5"/>
  <c r="AG109" i="5"/>
  <c r="AH109" i="5"/>
  <c r="AD118" i="5"/>
  <c r="AE118" i="5"/>
  <c r="AI125" i="5"/>
  <c r="AL137" i="5"/>
  <c r="AN143" i="5"/>
  <c r="AM143" i="5"/>
  <c r="AM167" i="5"/>
  <c r="AL167" i="5"/>
  <c r="AN194" i="5"/>
  <c r="AM194" i="5"/>
  <c r="AD49" i="5"/>
  <c r="AM57" i="5"/>
  <c r="AN61" i="5"/>
  <c r="AF71" i="5"/>
  <c r="AI101" i="5"/>
  <c r="AN105" i="5"/>
  <c r="AI107" i="5"/>
  <c r="AE108" i="5"/>
  <c r="AF116" i="5"/>
  <c r="AH118" i="5"/>
  <c r="AM121" i="5"/>
  <c r="AK122" i="5"/>
  <c r="AH132" i="5"/>
  <c r="AD169" i="5"/>
  <c r="AI48" i="5"/>
  <c r="AE53" i="5"/>
  <c r="AJ66" i="5"/>
  <c r="AG75" i="5"/>
  <c r="AK90" i="5"/>
  <c r="AE92" i="5"/>
  <c r="AH99" i="5"/>
  <c r="AL103" i="5"/>
  <c r="AK109" i="5"/>
  <c r="AN141" i="5"/>
  <c r="AK152" i="5"/>
  <c r="AJ152" i="5"/>
  <c r="AG162" i="5"/>
  <c r="AH162" i="5"/>
  <c r="AI144" i="5"/>
  <c r="AH144" i="5"/>
  <c r="AL147" i="5"/>
  <c r="AK147" i="5"/>
  <c r="AJ52" i="5"/>
  <c r="AG61" i="5"/>
  <c r="AL74" i="5"/>
  <c r="AI91" i="5"/>
  <c r="AL131" i="5"/>
  <c r="AF139" i="5"/>
  <c r="AE139" i="5"/>
  <c r="AK199" i="5"/>
  <c r="AL199" i="5"/>
  <c r="AK97" i="5"/>
  <c r="AE115" i="5"/>
  <c r="AK119" i="5"/>
  <c r="AL124" i="5"/>
  <c r="AD134" i="5"/>
  <c r="AG163" i="5"/>
  <c r="AF167" i="5"/>
  <c r="AE167" i="5"/>
  <c r="AI180" i="5"/>
  <c r="AH180" i="5"/>
  <c r="AF121" i="5"/>
  <c r="AG121" i="5"/>
  <c r="AL122" i="5"/>
  <c r="AG126" i="5"/>
  <c r="AH128" i="5"/>
  <c r="AH136" i="5"/>
  <c r="AE137" i="5"/>
  <c r="AJ139" i="5"/>
  <c r="AL176" i="5"/>
  <c r="AK176" i="5"/>
  <c r="AJ179" i="5"/>
  <c r="AK179" i="5"/>
  <c r="AP231" i="5"/>
  <c r="AP203" i="5"/>
  <c r="AP189" i="5"/>
  <c r="AP161" i="5"/>
  <c r="AP147" i="5"/>
  <c r="AP133" i="5"/>
  <c r="AP119" i="5"/>
  <c r="AP105" i="5"/>
  <c r="AP91" i="5"/>
  <c r="AP77" i="5"/>
  <c r="AP63" i="5"/>
  <c r="AP49" i="5"/>
  <c r="AP35" i="5"/>
  <c r="AP230" i="5"/>
  <c r="AP216" i="5"/>
  <c r="AP236" i="5"/>
  <c r="AP223" i="5"/>
  <c r="AP163" i="5"/>
  <c r="AP123" i="5"/>
  <c r="AP104" i="5"/>
  <c r="AP65" i="5"/>
  <c r="AP25" i="5"/>
  <c r="AP6" i="5"/>
  <c r="AP222" i="5"/>
  <c r="AP201" i="5"/>
  <c r="AP140" i="5"/>
  <c r="AP122" i="5"/>
  <c r="AP42" i="5"/>
  <c r="AP24" i="5"/>
  <c r="AP5" i="5"/>
  <c r="AQ5" i="5" s="1"/>
  <c r="AP221" i="5"/>
  <c r="AP197" i="5"/>
  <c r="AP179" i="5"/>
  <c r="AP160" i="5"/>
  <c r="AP139" i="5"/>
  <c r="AP121" i="5"/>
  <c r="AP99" i="5"/>
  <c r="AP62" i="5"/>
  <c r="AP41" i="5"/>
  <c r="AP220" i="5"/>
  <c r="AP196" i="5"/>
  <c r="AP178" i="5"/>
  <c r="AP159" i="5"/>
  <c r="AP98" i="5"/>
  <c r="AP80" i="5"/>
  <c r="AP61" i="5"/>
  <c r="AP219" i="5"/>
  <c r="AP195" i="5"/>
  <c r="AP177" i="5"/>
  <c r="AP118" i="5"/>
  <c r="AP97" i="5"/>
  <c r="AP39" i="5"/>
  <c r="AP20" i="5"/>
  <c r="AP235" i="5"/>
  <c r="AP192" i="5"/>
  <c r="AP173" i="5"/>
  <c r="AP112" i="5"/>
  <c r="AP94" i="5"/>
  <c r="AP75" i="5"/>
  <c r="AP14" i="5"/>
  <c r="AP232" i="5"/>
  <c r="AP188" i="5"/>
  <c r="AP167" i="5"/>
  <c r="AP127" i="5"/>
  <c r="AP109" i="5"/>
  <c r="AP90" i="5"/>
  <c r="AP69" i="5"/>
  <c r="AP51" i="5"/>
  <c r="AP29" i="5"/>
  <c r="AP11" i="5"/>
  <c r="AP229" i="5"/>
  <c r="AP207" i="5"/>
  <c r="AP187" i="5"/>
  <c r="AP108" i="5"/>
  <c r="AP89" i="5"/>
  <c r="AP10" i="5"/>
  <c r="AP191" i="5"/>
  <c r="AP146" i="5"/>
  <c r="AP53" i="5"/>
  <c r="AP9" i="5"/>
  <c r="AP145" i="5"/>
  <c r="AP95" i="5"/>
  <c r="AP52" i="5"/>
  <c r="AP8" i="5"/>
  <c r="AP234" i="5"/>
  <c r="AP136" i="5"/>
  <c r="AP93" i="5"/>
  <c r="AP233" i="5"/>
  <c r="AP182" i="5"/>
  <c r="AP135" i="5"/>
  <c r="AP47" i="5"/>
  <c r="AP225" i="5"/>
  <c r="AP132" i="5"/>
  <c r="AP85" i="5"/>
  <c r="AP38" i="5"/>
  <c r="AP224" i="5"/>
  <c r="AP174" i="5"/>
  <c r="AP84" i="5"/>
  <c r="AP37" i="5"/>
  <c r="AP168" i="5"/>
  <c r="AP124" i="5"/>
  <c r="AP76" i="5"/>
  <c r="AP33" i="5"/>
  <c r="AP206" i="5"/>
  <c r="AP154" i="5"/>
  <c r="AP111" i="5"/>
  <c r="AP67" i="5"/>
  <c r="AP19" i="5"/>
  <c r="AP205" i="5"/>
  <c r="AP169" i="5"/>
  <c r="AP70" i="5"/>
  <c r="AP66" i="5"/>
  <c r="AP164" i="5"/>
  <c r="AP56" i="5"/>
  <c r="AP151" i="5"/>
  <c r="AP34" i="5"/>
  <c r="AP150" i="5"/>
  <c r="AP27" i="5"/>
  <c r="AP22" i="5"/>
  <c r="AP36" i="5"/>
  <c r="AP50" i="5"/>
  <c r="AB78" i="5"/>
  <c r="AP78" i="5"/>
  <c r="AB92" i="5"/>
  <c r="AP106" i="5"/>
  <c r="AB106" i="5"/>
  <c r="AP120" i="5"/>
  <c r="AB120" i="5"/>
  <c r="AP134" i="5"/>
  <c r="AB134" i="5"/>
  <c r="AP148" i="5"/>
  <c r="AP162" i="5"/>
  <c r="AP176" i="5"/>
  <c r="AB176" i="5"/>
  <c r="AB190" i="5"/>
  <c r="AP190" i="5"/>
  <c r="AB204" i="5"/>
  <c r="AL94" i="5"/>
  <c r="AN102" i="5"/>
  <c r="AI103" i="5"/>
  <c r="AK111" i="5"/>
  <c r="AL120" i="5"/>
  <c r="AG124" i="5"/>
  <c r="AI133" i="5"/>
  <c r="AI147" i="5"/>
  <c r="AL156" i="5"/>
  <c r="AK156" i="5"/>
  <c r="AI168" i="5"/>
  <c r="AF169" i="5"/>
  <c r="AL180" i="5"/>
  <c r="AH190" i="5"/>
  <c r="AK204" i="5"/>
  <c r="AL204" i="5"/>
  <c r="AP110" i="5"/>
  <c r="AK93" i="5"/>
  <c r="AE94" i="5"/>
  <c r="AH102" i="5"/>
  <c r="AJ110" i="5"/>
  <c r="AD111" i="5"/>
  <c r="AN120" i="5"/>
  <c r="AN132" i="5"/>
  <c r="AH134" i="5"/>
  <c r="AL136" i="5"/>
  <c r="AI137" i="5"/>
  <c r="AN139" i="5"/>
  <c r="AH161" i="5"/>
  <c r="AG161" i="5"/>
  <c r="AE170" i="5"/>
  <c r="AD170" i="5"/>
  <c r="AD176" i="5"/>
  <c r="AK197" i="5"/>
  <c r="AP113" i="5"/>
  <c r="AI92" i="5"/>
  <c r="AM101" i="5"/>
  <c r="AM146" i="5"/>
  <c r="AL146" i="5"/>
  <c r="AL149" i="5"/>
  <c r="AK149" i="5"/>
  <c r="AE178" i="5"/>
  <c r="AD178" i="5"/>
  <c r="AI183" i="5"/>
  <c r="AH183" i="5"/>
  <c r="AE192" i="5"/>
  <c r="AF192" i="5"/>
  <c r="AP117" i="5"/>
  <c r="AD136" i="5"/>
  <c r="AG138" i="5"/>
  <c r="AH142" i="5"/>
  <c r="AE152" i="5"/>
  <c r="AK173" i="5"/>
  <c r="AJ173" i="5"/>
  <c r="AE177" i="5"/>
  <c r="AF177" i="5"/>
  <c r="AP125" i="5"/>
  <c r="AN149" i="5"/>
  <c r="AK150" i="5"/>
  <c r="AE156" i="5"/>
  <c r="AD156" i="5"/>
  <c r="AF166" i="5"/>
  <c r="AE166" i="5"/>
  <c r="AN172" i="5"/>
  <c r="AH177" i="5"/>
  <c r="AG177" i="5"/>
  <c r="AI184" i="5"/>
  <c r="AJ184" i="5"/>
  <c r="AI126" i="5"/>
  <c r="AE131" i="5"/>
  <c r="AN131" i="5"/>
  <c r="AF135" i="5"/>
  <c r="AJ136" i="5"/>
  <c r="AF154" i="5"/>
  <c r="AL155" i="5"/>
  <c r="AI169" i="5"/>
  <c r="AI176" i="5"/>
  <c r="AF188" i="5"/>
  <c r="AE195" i="5"/>
  <c r="AK203" i="5"/>
  <c r="AJ203" i="5"/>
  <c r="AE123" i="5"/>
  <c r="AN125" i="5"/>
  <c r="AF127" i="5"/>
  <c r="AK140" i="5"/>
  <c r="AD155" i="5"/>
  <c r="AG164" i="5"/>
  <c r="AF164" i="5"/>
  <c r="AE165" i="5"/>
  <c r="AG178" i="5"/>
  <c r="AD189" i="5"/>
  <c r="AH193" i="5"/>
  <c r="AF194" i="5"/>
  <c r="AK126" i="5"/>
  <c r="AG131" i="5"/>
  <c r="AH135" i="5"/>
  <c r="AD140" i="5"/>
  <c r="AN142" i="5"/>
  <c r="AE160" i="5"/>
  <c r="AI164" i="5"/>
  <c r="AG167" i="5"/>
  <c r="AK177" i="5"/>
  <c r="AN185" i="5"/>
  <c r="AI194" i="5"/>
  <c r="AG201" i="5"/>
  <c r="H236" i="5"/>
  <c r="AB236" i="5" s="1"/>
  <c r="AP96" i="5"/>
  <c r="AL138" i="5"/>
  <c r="AF153" i="5"/>
  <c r="AE153" i="5"/>
  <c r="AD160" i="5"/>
  <c r="AM168" i="5"/>
  <c r="AL169" i="5"/>
  <c r="AK169" i="5"/>
  <c r="AG174" i="5"/>
  <c r="AL177" i="5"/>
  <c r="AM177" i="5"/>
  <c r="AF180" i="5"/>
  <c r="AK187" i="5"/>
  <c r="AL187" i="5"/>
  <c r="AG190" i="5"/>
  <c r="AF190" i="5"/>
  <c r="AJ201" i="5"/>
  <c r="AI119" i="5"/>
  <c r="AE124" i="5"/>
  <c r="AN124" i="5"/>
  <c r="AF128" i="5"/>
  <c r="AJ129" i="5"/>
  <c r="AJ137" i="5"/>
  <c r="AJ162" i="5"/>
  <c r="AI162" i="5"/>
  <c r="AH168" i="5"/>
  <c r="AG168" i="5"/>
  <c r="AM173" i="5"/>
  <c r="AL173" i="5"/>
  <c r="AI174" i="5"/>
  <c r="AG185" i="5"/>
  <c r="AG191" i="5"/>
  <c r="AI196" i="5"/>
  <c r="AE236" i="5"/>
  <c r="AJ196" i="5"/>
  <c r="AH201" i="5"/>
  <c r="AN203" i="5"/>
  <c r="AM203" i="5"/>
  <c r="AN150" i="5"/>
  <c r="AK170" i="5"/>
  <c r="AE179" i="5"/>
  <c r="AN186" i="5"/>
  <c r="AG188" i="5"/>
  <c r="AH191" i="5"/>
  <c r="AF195" i="5"/>
  <c r="AL196" i="5"/>
  <c r="AK201" i="5"/>
  <c r="AL201" i="5"/>
  <c r="AN174" i="5"/>
  <c r="AM193" i="5"/>
  <c r="AF200" i="5"/>
  <c r="AJ202" i="5"/>
  <c r="AP40" i="5"/>
  <c r="AP54" i="5"/>
  <c r="AP68" i="5"/>
  <c r="AP82" i="5"/>
  <c r="AP152" i="5"/>
  <c r="AP166" i="5"/>
  <c r="AN157" i="5"/>
  <c r="AD182" i="5"/>
  <c r="AE184" i="5"/>
  <c r="AF184" i="5"/>
  <c r="AD187" i="5"/>
  <c r="AH192" i="5"/>
  <c r="AN193" i="5"/>
  <c r="AL194" i="5"/>
  <c r="AE200" i="5"/>
  <c r="AP83" i="5"/>
  <c r="AP181" i="5"/>
  <c r="AH203" i="5"/>
  <c r="AI203" i="5"/>
  <c r="AH186" i="5"/>
  <c r="AG196" i="5"/>
  <c r="AF196" i="5"/>
  <c r="AP43" i="5"/>
  <c r="AP57" i="5"/>
  <c r="AP141" i="5"/>
  <c r="AP155" i="5"/>
  <c r="AP211" i="5"/>
  <c r="AN170" i="5"/>
  <c r="AM175" i="5"/>
  <c r="AH179" i="5"/>
  <c r="AE190" i="5"/>
  <c r="AN190" i="5"/>
  <c r="AH204" i="5"/>
  <c r="AJ176" i="5"/>
  <c r="AI179" i="5"/>
  <c r="AM180" i="5"/>
  <c r="AI186" i="5"/>
  <c r="AI189" i="5"/>
  <c r="AJ192" i="5"/>
  <c r="AD194" i="5"/>
  <c r="AE197" i="5"/>
  <c r="AI204" i="5"/>
  <c r="AM195" i="5"/>
  <c r="AJ204" i="5"/>
  <c r="AH175" i="5"/>
  <c r="AL184" i="5"/>
  <c r="AN192" i="5"/>
  <c r="AI193" i="5"/>
  <c r="AF202" i="5"/>
  <c r="AH182" i="5"/>
  <c r="AL191" i="5"/>
  <c r="AN199" i="5"/>
  <c r="AI200" i="5"/>
  <c r="AP7" i="5"/>
  <c r="AM181" i="5"/>
  <c r="AK190" i="5"/>
  <c r="AE191" i="5"/>
  <c r="AH199" i="5"/>
  <c r="AK236" i="5"/>
  <c r="AP30" i="5"/>
  <c r="AP44" i="5"/>
  <c r="AP72" i="5"/>
  <c r="AP86" i="5"/>
  <c r="AP100" i="5"/>
  <c r="AP114" i="5"/>
  <c r="AP128" i="5"/>
  <c r="AP142" i="5"/>
  <c r="AP156" i="5"/>
  <c r="AP170" i="5"/>
  <c r="AP184" i="5"/>
  <c r="AP198" i="5"/>
  <c r="AP226" i="5"/>
  <c r="AD180" i="5"/>
  <c r="AM188" i="5"/>
  <c r="AE198" i="5"/>
  <c r="AP17" i="5"/>
  <c r="AP31" i="5"/>
  <c r="AP45" i="5"/>
  <c r="AP59" i="5"/>
  <c r="AP73" i="5"/>
  <c r="AP87" i="5"/>
  <c r="AP101" i="5"/>
  <c r="AP115" i="5"/>
  <c r="AP129" i="5"/>
  <c r="AP157" i="5"/>
  <c r="AP171" i="5"/>
  <c r="AP199" i="5"/>
  <c r="AP213" i="5"/>
  <c r="AP227" i="5"/>
  <c r="AF237" i="6" l="1"/>
  <c r="AP30" i="6"/>
  <c r="AP56" i="6"/>
  <c r="AP89" i="6"/>
  <c r="AP75" i="6"/>
  <c r="AP215" i="6"/>
  <c r="AP61" i="6"/>
  <c r="AP134" i="6"/>
  <c r="AP129" i="6"/>
  <c r="AP166" i="6"/>
  <c r="AP78" i="6"/>
  <c r="AP101" i="6"/>
  <c r="AP216" i="6"/>
  <c r="AP158" i="6"/>
  <c r="AP198" i="6"/>
  <c r="AP71" i="6"/>
  <c r="AP47" i="6"/>
  <c r="AP138" i="6"/>
  <c r="AP223" i="6"/>
  <c r="AP188" i="6"/>
  <c r="AP176" i="6"/>
  <c r="AP17" i="6"/>
  <c r="AP117" i="6"/>
  <c r="AP186" i="6"/>
  <c r="AP46" i="6"/>
  <c r="AP170" i="6"/>
  <c r="AP16" i="6"/>
  <c r="AP196" i="6"/>
  <c r="AP42" i="6"/>
  <c r="AP201" i="6"/>
  <c r="AP234" i="6"/>
  <c r="AP227" i="6"/>
  <c r="AP220" i="6"/>
  <c r="AP213" i="6"/>
  <c r="AP206" i="6"/>
  <c r="AP193" i="6"/>
  <c r="AP179" i="6"/>
  <c r="AP165" i="6"/>
  <c r="AP192" i="6"/>
  <c r="AP178" i="6"/>
  <c r="AP164" i="6"/>
  <c r="AP150" i="6"/>
  <c r="AP136" i="6"/>
  <c r="AP122" i="6"/>
  <c r="AP108" i="6"/>
  <c r="AP94" i="6"/>
  <c r="AP80" i="6"/>
  <c r="AP66" i="6"/>
  <c r="AP52" i="6"/>
  <c r="AP38" i="6"/>
  <c r="AP24" i="6"/>
  <c r="AP10" i="6"/>
  <c r="AB237" i="6"/>
  <c r="AP191" i="6"/>
  <c r="AP177" i="6"/>
  <c r="AP163" i="6"/>
  <c r="AP149" i="6"/>
  <c r="AP135" i="6"/>
  <c r="AP121" i="6"/>
  <c r="AP107" i="6"/>
  <c r="AP93" i="6"/>
  <c r="AP79" i="6"/>
  <c r="AP65" i="6"/>
  <c r="AP51" i="6"/>
  <c r="AP37" i="6"/>
  <c r="AP23" i="6"/>
  <c r="AP9" i="6"/>
  <c r="AP8" i="6"/>
  <c r="AP237" i="6"/>
  <c r="AP6" i="6"/>
  <c r="AP151" i="6"/>
  <c r="AP105" i="6"/>
  <c r="AP235" i="6"/>
  <c r="AP218" i="6"/>
  <c r="AP210" i="6"/>
  <c r="AP147" i="6"/>
  <c r="AP41" i="6"/>
  <c r="AP225" i="6"/>
  <c r="AP217" i="6"/>
  <c r="AP195" i="6"/>
  <c r="AP125" i="6"/>
  <c r="AP81" i="6"/>
  <c r="AP35" i="6"/>
  <c r="AP224" i="6"/>
  <c r="AP175" i="6"/>
  <c r="AP63" i="6"/>
  <c r="AP5" i="6"/>
  <c r="AQ5" i="6" s="1"/>
  <c r="AP97" i="6"/>
  <c r="AP67" i="6"/>
  <c r="AP211" i="6"/>
  <c r="AP123" i="6"/>
  <c r="AP91" i="6"/>
  <c r="AP27" i="6"/>
  <c r="AP77" i="6"/>
  <c r="AP139" i="6"/>
  <c r="AP55" i="6"/>
  <c r="AP181" i="6"/>
  <c r="AP133" i="6"/>
  <c r="AP95" i="6"/>
  <c r="AP49" i="6"/>
  <c r="AP11" i="6"/>
  <c r="AP161" i="6"/>
  <c r="AP119" i="6"/>
  <c r="AP21" i="6"/>
  <c r="AP13" i="6"/>
  <c r="AP111" i="6"/>
  <c r="AP59" i="6"/>
  <c r="AP157" i="6"/>
  <c r="AP109" i="6"/>
  <c r="AP53" i="6"/>
  <c r="AP39" i="6"/>
  <c r="AP199" i="6"/>
  <c r="AP229" i="6"/>
  <c r="AP189" i="6"/>
  <c r="AP7" i="6"/>
  <c r="AP185" i="6"/>
  <c r="AP83" i="6"/>
  <c r="AP236" i="6"/>
  <c r="AP167" i="6"/>
  <c r="AP73" i="6"/>
  <c r="AP137" i="6"/>
  <c r="AP231" i="6"/>
  <c r="AP25" i="6"/>
  <c r="AP173" i="6"/>
  <c r="AP153" i="6"/>
  <c r="AP140" i="6"/>
  <c r="AP131" i="6"/>
  <c r="AP69" i="6"/>
  <c r="AP203" i="6"/>
  <c r="AP45" i="6"/>
  <c r="AP221" i="6"/>
  <c r="AP232" i="6"/>
  <c r="AP31" i="6"/>
  <c r="AP110" i="6"/>
  <c r="AP212" i="6"/>
  <c r="AP160" i="6"/>
  <c r="AP162" i="6"/>
  <c r="AP230" i="6"/>
  <c r="AP32" i="6"/>
  <c r="AP142" i="6"/>
  <c r="AP155" i="6"/>
  <c r="AP14" i="6"/>
  <c r="AP187" i="6"/>
  <c r="AP169" i="6"/>
  <c r="AP15" i="6"/>
  <c r="AP182" i="6"/>
  <c r="AP96" i="6"/>
  <c r="AP233" i="6"/>
  <c r="AP146" i="6"/>
  <c r="AP148" i="6"/>
  <c r="AP115" i="6"/>
  <c r="AP172" i="6"/>
  <c r="AP128" i="6"/>
  <c r="AP141" i="6"/>
  <c r="AP168" i="6"/>
  <c r="AP159" i="6"/>
  <c r="AP68" i="6"/>
  <c r="AP118" i="6"/>
  <c r="AP120" i="6"/>
  <c r="AP144" i="6"/>
  <c r="AP114" i="6"/>
  <c r="AP127" i="6"/>
  <c r="AP154" i="6"/>
  <c r="AP207" i="6"/>
  <c r="AP145" i="6"/>
  <c r="AP54" i="6"/>
  <c r="AP106" i="6"/>
  <c r="AP171" i="6"/>
  <c r="AP28" i="6"/>
  <c r="AP100" i="6"/>
  <c r="AP113" i="6"/>
  <c r="AP33" i="6"/>
  <c r="AP104" i="6"/>
  <c r="AP40" i="6"/>
  <c r="AP90" i="6"/>
  <c r="AP92" i="6"/>
  <c r="AP116" i="6"/>
  <c r="AP102" i="6"/>
  <c r="AP72" i="6"/>
  <c r="AP99" i="6"/>
  <c r="AP126" i="6"/>
  <c r="AP222" i="6"/>
  <c r="AP103" i="6"/>
  <c r="AP12" i="6"/>
  <c r="AP62" i="6"/>
  <c r="AP209" i="6"/>
  <c r="AP64" i="6"/>
  <c r="AP143" i="6"/>
  <c r="AP130" i="6"/>
  <c r="AP85" i="6"/>
  <c r="AP98" i="6"/>
  <c r="AP74" i="6"/>
  <c r="AP12" i="5"/>
  <c r="AP116" i="5"/>
  <c r="AP130" i="5"/>
  <c r="AP26" i="5"/>
  <c r="AP102" i="5"/>
  <c r="AP88" i="5"/>
  <c r="AP185" i="5"/>
  <c r="AP58" i="5"/>
  <c r="AP204" i="5"/>
  <c r="AP92" i="5"/>
  <c r="AP165" i="5"/>
  <c r="AP215" i="5"/>
  <c r="AP48" i="5"/>
  <c r="AP28" i="5"/>
  <c r="AP149" i="5"/>
  <c r="AP79" i="5"/>
  <c r="AP23" i="5"/>
  <c r="AP103" i="5"/>
  <c r="AP202" i="5"/>
  <c r="AG236" i="5"/>
  <c r="AP15" i="5"/>
  <c r="AP13" i="5"/>
  <c r="AP218" i="5"/>
  <c r="AP209" i="5"/>
  <c r="AP193" i="5"/>
  <c r="AP153" i="5"/>
  <c r="AP107" i="5"/>
  <c r="AP71" i="5"/>
  <c r="AP55" i="5"/>
  <c r="AP143" i="5"/>
  <c r="AP212" i="5"/>
  <c r="AP16" i="5"/>
  <c r="AP138" i="5"/>
  <c r="AP64" i="5"/>
  <c r="AP194" i="5"/>
  <c r="AP131" i="5"/>
  <c r="AP183" i="5"/>
  <c r="AP126" i="5"/>
  <c r="AP208" i="5"/>
  <c r="AP137" i="5"/>
  <c r="AP81" i="5"/>
  <c r="AP180" i="5"/>
  <c r="AP21" i="5"/>
  <c r="AP217" i="5"/>
  <c r="AP210" i="5"/>
  <c r="AP214" i="5"/>
  <c r="AQ6" i="5"/>
  <c r="AQ7" i="5" s="1"/>
  <c r="AQ8" i="5" s="1"/>
  <c r="AQ9" i="5" s="1"/>
  <c r="AQ10" i="5" s="1"/>
  <c r="AQ11" i="5" s="1"/>
  <c r="AQ12" i="5" s="1"/>
  <c r="AQ6" i="6" l="1"/>
  <c r="AQ7" i="6" s="1"/>
  <c r="AQ8" i="6" s="1"/>
  <c r="AQ9" i="6" s="1"/>
  <c r="AQ10" i="6" s="1"/>
  <c r="AQ11" i="6" s="1"/>
  <c r="AQ12" i="6" s="1"/>
  <c r="AQ13" i="6" s="1"/>
  <c r="AQ14" i="6" s="1"/>
  <c r="AQ15" i="6" s="1"/>
  <c r="AQ16" i="6" s="1"/>
  <c r="AQ17" i="6" s="1"/>
  <c r="AQ18" i="6" s="1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Q29" i="6" s="1"/>
  <c r="AQ30" i="6" s="1"/>
  <c r="AQ31" i="6" s="1"/>
  <c r="AQ32" i="6" s="1"/>
  <c r="AQ33" i="6" s="1"/>
  <c r="AQ34" i="6" s="1"/>
  <c r="AQ35" i="6" s="1"/>
  <c r="AQ36" i="6" s="1"/>
  <c r="AQ37" i="6" s="1"/>
  <c r="AQ38" i="6" s="1"/>
  <c r="AQ39" i="6" s="1"/>
  <c r="AQ40" i="6" s="1"/>
  <c r="AQ41" i="6" s="1"/>
  <c r="AQ42" i="6" s="1"/>
  <c r="AQ43" i="6" s="1"/>
  <c r="AQ44" i="6" s="1"/>
  <c r="AQ45" i="6" s="1"/>
  <c r="AQ46" i="6" s="1"/>
  <c r="AQ47" i="6" s="1"/>
  <c r="AQ48" i="6" s="1"/>
  <c r="AQ49" i="6" s="1"/>
  <c r="AQ50" i="6" s="1"/>
  <c r="AQ51" i="6" s="1"/>
  <c r="AQ52" i="6" s="1"/>
  <c r="AQ53" i="6" s="1"/>
  <c r="AQ54" i="6" s="1"/>
  <c r="AQ55" i="6" s="1"/>
  <c r="AQ56" i="6" s="1"/>
  <c r="AQ57" i="6" s="1"/>
  <c r="AQ58" i="6" s="1"/>
  <c r="AQ59" i="6" s="1"/>
  <c r="AQ60" i="6" s="1"/>
  <c r="AQ61" i="6" s="1"/>
  <c r="AQ62" i="6" s="1"/>
  <c r="AQ63" i="6" s="1"/>
  <c r="AQ64" i="6" s="1"/>
  <c r="AQ65" i="6" s="1"/>
  <c r="AQ66" i="6" s="1"/>
  <c r="AQ67" i="6" s="1"/>
  <c r="AQ68" i="6" s="1"/>
  <c r="AQ69" i="6" s="1"/>
  <c r="AQ70" i="6" s="1"/>
  <c r="AQ71" i="6" s="1"/>
  <c r="AQ72" i="6" s="1"/>
  <c r="AQ73" i="6" s="1"/>
  <c r="AQ74" i="6" s="1"/>
  <c r="AQ75" i="6" s="1"/>
  <c r="AQ76" i="6" s="1"/>
  <c r="AQ77" i="6" s="1"/>
  <c r="AQ78" i="6" s="1"/>
  <c r="AQ79" i="6" s="1"/>
  <c r="AQ80" i="6" s="1"/>
  <c r="AQ81" i="6" s="1"/>
  <c r="AQ82" i="6" s="1"/>
  <c r="AQ83" i="6" s="1"/>
  <c r="AQ84" i="6" s="1"/>
  <c r="AQ85" i="6" s="1"/>
  <c r="AQ86" i="6" s="1"/>
  <c r="AQ87" i="6" s="1"/>
  <c r="AQ88" i="6" s="1"/>
  <c r="AQ89" i="6" s="1"/>
  <c r="AQ90" i="6" s="1"/>
  <c r="AQ91" i="6" s="1"/>
  <c r="AQ92" i="6" s="1"/>
  <c r="AQ93" i="6" s="1"/>
  <c r="AQ94" i="6" s="1"/>
  <c r="AQ95" i="6" s="1"/>
  <c r="AQ96" i="6" s="1"/>
  <c r="AQ97" i="6" s="1"/>
  <c r="AQ98" i="6" s="1"/>
  <c r="AQ99" i="6" s="1"/>
  <c r="AQ100" i="6" s="1"/>
  <c r="AQ101" i="6" s="1"/>
  <c r="AQ102" i="6" s="1"/>
  <c r="AQ103" i="6" s="1"/>
  <c r="AQ104" i="6" s="1"/>
  <c r="AQ105" i="6" s="1"/>
  <c r="AQ106" i="6" s="1"/>
  <c r="AQ107" i="6" s="1"/>
  <c r="AQ108" i="6" s="1"/>
  <c r="AQ109" i="6" s="1"/>
  <c r="AQ110" i="6" s="1"/>
  <c r="AQ111" i="6" s="1"/>
  <c r="AQ112" i="6" s="1"/>
  <c r="AQ113" i="6" s="1"/>
  <c r="AQ114" i="6" s="1"/>
  <c r="AQ115" i="6" s="1"/>
  <c r="AQ116" i="6" s="1"/>
  <c r="AQ117" i="6" s="1"/>
  <c r="AQ118" i="6" s="1"/>
  <c r="AQ119" i="6" s="1"/>
  <c r="AQ120" i="6" s="1"/>
  <c r="AQ121" i="6" s="1"/>
  <c r="AQ122" i="6" s="1"/>
  <c r="AQ123" i="6" s="1"/>
  <c r="AQ124" i="6" s="1"/>
  <c r="AQ125" i="6" s="1"/>
  <c r="AQ126" i="6" s="1"/>
  <c r="AQ127" i="6" s="1"/>
  <c r="AQ128" i="6" s="1"/>
  <c r="AQ129" i="6" s="1"/>
  <c r="AQ130" i="6" s="1"/>
  <c r="AQ131" i="6" s="1"/>
  <c r="AQ132" i="6" s="1"/>
  <c r="AQ133" i="6" s="1"/>
  <c r="AQ134" i="6" s="1"/>
  <c r="AQ135" i="6" s="1"/>
  <c r="AQ136" i="6" s="1"/>
  <c r="AQ137" i="6" s="1"/>
  <c r="AQ138" i="6" s="1"/>
  <c r="AQ139" i="6" s="1"/>
  <c r="AQ140" i="6" s="1"/>
  <c r="AQ141" i="6" s="1"/>
  <c r="AQ142" i="6" s="1"/>
  <c r="AQ143" i="6" s="1"/>
  <c r="AQ144" i="6" s="1"/>
  <c r="AQ145" i="6" s="1"/>
  <c r="AQ146" i="6" s="1"/>
  <c r="AQ147" i="6" s="1"/>
  <c r="AQ148" i="6" s="1"/>
  <c r="AQ149" i="6" s="1"/>
  <c r="AQ150" i="6" s="1"/>
  <c r="AQ151" i="6" s="1"/>
  <c r="AQ152" i="6" s="1"/>
  <c r="AQ153" i="6" s="1"/>
  <c r="AQ154" i="6" s="1"/>
  <c r="AQ155" i="6" s="1"/>
  <c r="AQ156" i="6" s="1"/>
  <c r="AQ157" i="6" s="1"/>
  <c r="AQ158" i="6" s="1"/>
  <c r="AQ159" i="6" s="1"/>
  <c r="AQ160" i="6" s="1"/>
  <c r="AQ161" i="6" s="1"/>
  <c r="AQ162" i="6" s="1"/>
  <c r="AQ163" i="6" s="1"/>
  <c r="AQ164" i="6" s="1"/>
  <c r="AQ165" i="6" s="1"/>
  <c r="AQ166" i="6" s="1"/>
  <c r="AQ167" i="6" s="1"/>
  <c r="AQ168" i="6" s="1"/>
  <c r="AQ169" i="6" s="1"/>
  <c r="AQ170" i="6" s="1"/>
  <c r="AQ171" i="6" s="1"/>
  <c r="AQ172" i="6" s="1"/>
  <c r="AQ173" i="6" s="1"/>
  <c r="AQ174" i="6" s="1"/>
  <c r="AQ175" i="6" s="1"/>
  <c r="AQ176" i="6" s="1"/>
  <c r="AQ177" i="6" s="1"/>
  <c r="AQ178" i="6" s="1"/>
  <c r="AQ179" i="6" s="1"/>
  <c r="AQ180" i="6" s="1"/>
  <c r="AQ181" i="6" s="1"/>
  <c r="AQ182" i="6" s="1"/>
  <c r="AQ183" i="6" s="1"/>
  <c r="AQ184" i="6" s="1"/>
  <c r="AQ185" i="6" s="1"/>
  <c r="AQ186" i="6" s="1"/>
  <c r="AQ187" i="6" s="1"/>
  <c r="AQ188" i="6" s="1"/>
  <c r="AQ189" i="6" s="1"/>
  <c r="AQ190" i="6" s="1"/>
  <c r="AQ191" i="6" s="1"/>
  <c r="AQ192" i="6" s="1"/>
  <c r="AQ193" i="6" s="1"/>
  <c r="AQ194" i="6" s="1"/>
  <c r="AQ195" i="6" s="1"/>
  <c r="AQ196" i="6" s="1"/>
  <c r="AQ197" i="6" s="1"/>
  <c r="AQ198" i="6" s="1"/>
  <c r="AQ199" i="6" s="1"/>
  <c r="AQ200" i="6" s="1"/>
  <c r="AQ201" i="6" s="1"/>
  <c r="AQ202" i="6" s="1"/>
  <c r="AQ203" i="6" s="1"/>
  <c r="AQ204" i="6" s="1"/>
  <c r="AQ205" i="6" s="1"/>
  <c r="AQ206" i="6" s="1"/>
  <c r="AQ207" i="6" s="1"/>
  <c r="AQ208" i="6" s="1"/>
  <c r="AQ209" i="6" s="1"/>
  <c r="AQ210" i="6" s="1"/>
  <c r="AQ211" i="6" s="1"/>
  <c r="AQ212" i="6" s="1"/>
  <c r="AQ213" i="6" s="1"/>
  <c r="AQ214" i="6" s="1"/>
  <c r="AQ215" i="6" s="1"/>
  <c r="AQ216" i="6" s="1"/>
  <c r="AQ217" i="6" s="1"/>
  <c r="AQ218" i="6" s="1"/>
  <c r="AQ219" i="6" s="1"/>
  <c r="AQ220" i="6" s="1"/>
  <c r="AQ221" i="6" s="1"/>
  <c r="AQ222" i="6" s="1"/>
  <c r="AQ223" i="6" s="1"/>
  <c r="AQ224" i="6" s="1"/>
  <c r="AQ225" i="6" s="1"/>
  <c r="AQ226" i="6" s="1"/>
  <c r="AQ227" i="6" s="1"/>
  <c r="AQ228" i="6" s="1"/>
  <c r="AQ229" i="6" s="1"/>
  <c r="AQ230" i="6" s="1"/>
  <c r="AQ231" i="6" s="1"/>
  <c r="AQ232" i="6" s="1"/>
  <c r="AQ233" i="6" s="1"/>
  <c r="AQ234" i="6" s="1"/>
  <c r="AQ235" i="6" s="1"/>
  <c r="AQ236" i="6" s="1"/>
  <c r="AQ13" i="5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Q122" i="5" s="1"/>
  <c r="AQ123" i="5" s="1"/>
  <c r="AQ124" i="5" s="1"/>
  <c r="AQ125" i="5" s="1"/>
  <c r="AQ126" i="5" s="1"/>
  <c r="AQ127" i="5" s="1"/>
  <c r="AQ128" i="5" s="1"/>
  <c r="AQ129" i="5" s="1"/>
  <c r="AQ130" i="5" s="1"/>
  <c r="AQ131" i="5" s="1"/>
  <c r="AQ132" i="5" s="1"/>
  <c r="AQ133" i="5" s="1"/>
  <c r="AQ134" i="5" s="1"/>
  <c r="AQ135" i="5" s="1"/>
  <c r="AQ136" i="5" s="1"/>
  <c r="AQ137" i="5" s="1"/>
  <c r="AQ138" i="5" s="1"/>
  <c r="AQ139" i="5" s="1"/>
  <c r="AQ140" i="5" s="1"/>
  <c r="AQ141" i="5" s="1"/>
  <c r="AQ142" i="5" s="1"/>
  <c r="AQ143" i="5" s="1"/>
  <c r="AQ144" i="5" s="1"/>
  <c r="AQ145" i="5" s="1"/>
  <c r="AQ146" i="5" s="1"/>
  <c r="AQ147" i="5" s="1"/>
  <c r="AQ148" i="5" s="1"/>
  <c r="AQ149" i="5" s="1"/>
  <c r="AQ150" i="5" s="1"/>
  <c r="AQ151" i="5" s="1"/>
  <c r="AQ152" i="5" s="1"/>
  <c r="AQ153" i="5" s="1"/>
  <c r="AQ154" i="5" s="1"/>
  <c r="AQ155" i="5" s="1"/>
  <c r="AQ156" i="5" s="1"/>
  <c r="AQ157" i="5" s="1"/>
  <c r="AQ158" i="5" s="1"/>
  <c r="AQ159" i="5" s="1"/>
  <c r="AQ160" i="5" s="1"/>
  <c r="AQ161" i="5" s="1"/>
  <c r="AQ162" i="5" s="1"/>
  <c r="AQ163" i="5" s="1"/>
  <c r="AQ164" i="5" s="1"/>
  <c r="AQ165" i="5" s="1"/>
  <c r="AQ166" i="5" s="1"/>
  <c r="AQ167" i="5" s="1"/>
  <c r="AQ168" i="5" s="1"/>
  <c r="AQ169" i="5" s="1"/>
  <c r="AQ170" i="5" s="1"/>
  <c r="AQ171" i="5" s="1"/>
  <c r="AQ172" i="5" s="1"/>
  <c r="AQ173" i="5" s="1"/>
  <c r="AQ174" i="5" s="1"/>
  <c r="AQ175" i="5" s="1"/>
  <c r="AQ176" i="5" s="1"/>
  <c r="AQ177" i="5" s="1"/>
  <c r="AQ178" i="5" s="1"/>
  <c r="AQ179" i="5" s="1"/>
  <c r="AQ180" i="5" s="1"/>
  <c r="AQ181" i="5" s="1"/>
  <c r="AQ182" i="5" s="1"/>
  <c r="AQ183" i="5" s="1"/>
  <c r="AQ184" i="5" s="1"/>
  <c r="AQ185" i="5" s="1"/>
  <c r="AQ186" i="5" s="1"/>
  <c r="AQ187" i="5" s="1"/>
  <c r="AQ188" i="5" s="1"/>
  <c r="AQ189" i="5" s="1"/>
  <c r="AQ190" i="5" s="1"/>
  <c r="AQ191" i="5" s="1"/>
  <c r="AQ192" i="5" s="1"/>
  <c r="AQ193" i="5" s="1"/>
  <c r="AQ194" i="5" s="1"/>
  <c r="AQ195" i="5" s="1"/>
  <c r="AQ196" i="5" s="1"/>
  <c r="AQ197" i="5" s="1"/>
  <c r="AQ198" i="5" s="1"/>
  <c r="AQ199" i="5" s="1"/>
  <c r="AQ200" i="5" s="1"/>
  <c r="AQ201" i="5" s="1"/>
  <c r="AQ202" i="5" s="1"/>
  <c r="AQ203" i="5" s="1"/>
  <c r="AQ204" i="5" s="1"/>
  <c r="AQ205" i="5" s="1"/>
  <c r="AQ206" i="5" s="1"/>
  <c r="AQ207" i="5" s="1"/>
  <c r="AQ208" i="5" s="1"/>
  <c r="AQ209" i="5" s="1"/>
  <c r="AQ210" i="5" s="1"/>
  <c r="AQ211" i="5" s="1"/>
  <c r="AQ212" i="5" s="1"/>
  <c r="AQ213" i="5" s="1"/>
  <c r="AQ214" i="5" s="1"/>
  <c r="AQ215" i="5" s="1"/>
  <c r="AQ216" i="5" s="1"/>
  <c r="AQ217" i="5" s="1"/>
  <c r="AQ218" i="5" s="1"/>
  <c r="AQ219" i="5" s="1"/>
  <c r="AQ220" i="5" s="1"/>
  <c r="AQ221" i="5" s="1"/>
  <c r="AQ222" i="5" s="1"/>
  <c r="AQ223" i="5" s="1"/>
  <c r="AQ224" i="5" s="1"/>
  <c r="AQ225" i="5" s="1"/>
  <c r="AQ226" i="5" s="1"/>
  <c r="AQ227" i="5" s="1"/>
  <c r="AQ228" i="5" s="1"/>
  <c r="AQ229" i="5" s="1"/>
  <c r="AQ230" i="5" s="1"/>
  <c r="AQ231" i="5" s="1"/>
  <c r="AQ232" i="5" s="1"/>
  <c r="AQ233" i="5" s="1"/>
  <c r="AQ234" i="5" s="1"/>
  <c r="AQ235" i="5" s="1"/>
</calcChain>
</file>

<file path=xl/sharedStrings.xml><?xml version="1.0" encoding="utf-8"?>
<sst xmlns="http://schemas.openxmlformats.org/spreadsheetml/2006/main" count="1402" uniqueCount="445">
  <si>
    <t>Share Total 2026: considera Amex, Visa y MC.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</si>
  <si>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</si>
  <si>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</si>
  <si>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</si>
  <si>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</si>
  <si>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</si>
  <si>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</si>
  <si>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</si>
  <si>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</si>
  <si>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</si>
  <si>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</si>
  <si>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</si>
  <si>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</si>
  <si>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</si>
  <si>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</si>
  <si>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</si>
  <si>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</si>
  <si>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</si>
  <si>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</si>
  <si>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</si>
  <si>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</si>
  <si>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</si>
  <si>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</si>
  <si>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</si>
  <si>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</si>
  <si>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</si>
  <si>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</si>
  <si>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</si>
  <si>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</si>
  <si>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</si>
  <si>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</si>
  <si>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</si>
  <si>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</si>
  <si>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</si>
  <si>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</si>
  <si>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</si>
  <si>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</si>
  <si>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</si>
  <si>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</si>
  <si>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</si>
  <si>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</si>
  <si>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</si>
  <si>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</si>
  <si>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</si>
  <si>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</si>
  <si>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</si>
  <si>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</si>
  <si>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</si>
  <si>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</si>
  <si>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</si>
  <si>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</si>
  <si>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</si>
  <si>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</si>
  <si>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</si>
  <si>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</si>
  <si>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</si>
  <si>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</si>
  <si>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</si>
  <si>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</si>
  <si>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</si>
  <si>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Facturación Mastercard 2026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</si>
  <si>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</si>
  <si>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</si>
  <si>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</si>
  <si>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</si>
  <si>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</si>
  <si>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</si>
  <si>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</si>
  <si>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</si>
  <si>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</si>
  <si>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</si>
  <si>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</si>
  <si>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</si>
  <si>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</si>
  <si>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</si>
  <si>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</si>
  <si>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</si>
  <si>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</si>
  <si>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</si>
  <si>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</si>
  <si>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Con efectivo - foráneas</t>
  </si>
  <si>
    <t>Importes Crédito Local</t>
  </si>
  <si>
    <t>Importes Crédito IBK</t>
  </si>
  <si>
    <t>Share IBK</t>
  </si>
  <si>
    <t>pp: puntos porcentuales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</si>
  <si>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</si>
  <si>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</si>
  <si>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</si>
  <si>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</si>
  <si>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</si>
  <si>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</si>
  <si>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</si>
  <si>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</si>
  <si>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</si>
  <si>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</si>
  <si>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</si>
  <si>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pp. Dic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</si>
  <si>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</si>
  <si>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</si>
  <si>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</si>
  <si>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</si>
  <si>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</si>
  <si>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</si>
  <si>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</si>
  <si>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</si>
  <si>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</si>
  <si>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</si>
  <si>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</si>
  <si>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</si>
  <si>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</si>
  <si>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</si>
  <si>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</si>
  <si>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</si>
  <si>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</si>
  <si>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</si>
  <si>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</si>
  <si>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</si>
  <si>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</si>
  <si>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</si>
  <si>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</si>
  <si>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</si>
  <si>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</si>
  <si>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</si>
  <si>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</si>
  <si>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</si>
  <si>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</si>
  <si>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</si>
  <si>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</si>
  <si>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</si>
  <si>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</si>
  <si>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</si>
  <si>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</si>
  <si>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</si>
  <si>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</si>
  <si>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</si>
  <si>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</si>
  <si>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</si>
  <si>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</si>
  <si>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</si>
  <si>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</si>
  <si>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</si>
  <si>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</si>
  <si>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</si>
  <si>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</si>
  <si>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</si>
  <si>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</si>
  <si>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</si>
  <si>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</si>
  <si>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</si>
  <si>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</si>
  <si>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</si>
  <si>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</si>
  <si>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</si>
  <si>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</si>
  <si>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</si>
  <si>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</si>
  <si>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</si>
  <si>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</si>
  <si>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</si>
  <si>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</si>
  <si>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</si>
  <si>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</si>
  <si>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</si>
  <si>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</si>
  <si>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</si>
  <si>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</si>
  <si>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</si>
  <si>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</si>
  <si>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</si>
  <si>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</si>
  <si>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</si>
  <si>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</si>
  <si>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</si>
  <si>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</si>
  <si>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</si>
  <si>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</si>
  <si>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</si>
  <si>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</si>
  <si>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Unicas/Cajeros Automaticos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</si>
  <si>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</si>
  <si>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</si>
  <si>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</si>
  <si>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</si>
  <si>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</si>
  <si>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</si>
  <si>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</si>
  <si>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</si>
  <si>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</si>
  <si>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</si>
  <si>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</si>
  <si>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</si>
  <si>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</si>
  <si>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</si>
  <si>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</si>
  <si>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</si>
  <si>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</si>
  <si>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</si>
  <si>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</si>
  <si>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</si>
  <si>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</si>
  <si>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</si>
  <si>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</si>
  <si>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</si>
  <si>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</si>
  <si>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</si>
  <si>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</si>
  <si>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</si>
  <si>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</si>
  <si>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</si>
  <si>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</si>
  <si>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</si>
  <si>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</si>
  <si>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</si>
  <si>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</si>
  <si>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</si>
  <si>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</si>
  <si>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</si>
  <si>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</si>
  <si>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</si>
  <si>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</si>
  <si>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</si>
  <si>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</si>
  <si>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</si>
  <si>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</si>
  <si>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</si>
  <si>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</si>
  <si>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</si>
  <si>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</si>
  <si>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</si>
  <si>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</si>
  <si>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</si>
  <si>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</si>
  <si>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</si>
  <si>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</si>
  <si>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</si>
  <si>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</si>
  <si>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</si>
  <si>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</si>
  <si>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</si>
  <si>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</si>
  <si>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</si>
  <si>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</si>
  <si>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</si>
  <si>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</si>
  <si>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</si>
  <si>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</si>
  <si>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</si>
  <si>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</si>
  <si>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</si>
  <si>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</si>
  <si>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</si>
  <si>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</si>
  <si>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</si>
  <si>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</si>
  <si>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</si>
  <si>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</si>
  <si>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</si>
  <si>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</si>
  <si>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</si>
  <si>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</si>
  <si>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</si>
  <si>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</si>
  <si>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</si>
  <si>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</si>
  <si>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</si>
  <si>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</si>
  <si>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</si>
  <si>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</si>
  <si>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</si>
  <si>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</si>
  <si>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</si>
  <si>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</si>
  <si>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</si>
  <si>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</si>
  <si>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</si>
  <si>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</si>
  <si>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</si>
  <si>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</si>
  <si>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</si>
  <si>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</si>
  <si>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</si>
  <si>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</si>
  <si>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</si>
  <si>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</si>
  <si>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</si>
  <si>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</si>
  <si>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</si>
  <si>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</si>
  <si>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</si>
  <si>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</si>
  <si>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</si>
  <si>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</si>
  <si>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</si>
  <si>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</si>
  <si>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</si>
  <si>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</si>
  <si>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</si>
  <si>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</si>
  <si>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Activ. Comercial no clasific.</t>
  </si>
  <si>
    <t>AGENCIAS DE INFORMES CREDITICIOS DEL CONSUMIDOR</t>
  </si>
  <si>
    <t>ALQUILER DE BIENES INMOBILIARIOS</t>
  </si>
  <si>
    <t>Alquiler de equipos y muebles</t>
  </si>
  <si>
    <t>Bancos - Disp.efectivo ventanilla</t>
  </si>
  <si>
    <t>Bienes Digitales</t>
  </si>
  <si>
    <t>Contrat.calef.plomer</t>
  </si>
  <si>
    <t>Corredores de bolsa</t>
  </si>
  <si>
    <t>Direct Marketing-Inbound Telemarketing Merchants</t>
  </si>
  <si>
    <t>Escuelas arte y ofic</t>
  </si>
  <si>
    <t>Estudios fotografia</t>
  </si>
  <si>
    <t>Florists Supplies- Nursery Stock- and Flowers</t>
  </si>
  <si>
    <t>MANTENIMIENTO Y REPARACIÓN DE COMPUTADORAS (NO</t>
  </si>
  <si>
    <t>Maquinas afeitar</t>
  </si>
  <si>
    <t>Organizaciones religiosas</t>
  </si>
  <si>
    <t>PETROLEOS Y PRODUCTOS DE PETRO LEOS</t>
  </si>
  <si>
    <t>SERVICIOS DE ARQUITECTURA- INGENIER-A Y TOPOGRA</t>
  </si>
  <si>
    <t>TALLERES DE REPARACIÓN Y SERVICIOS AFINES</t>
  </si>
  <si>
    <t>Timeshares</t>
  </si>
  <si>
    <t>Transacciones de fondos de PDI (excluyendo MoneySend)</t>
  </si>
  <si>
    <t>Vta por correo/telefono Venta por Telemarketing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</si>
  <si>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</si>
  <si>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</si>
  <si>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</si>
  <si>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</si>
  <si>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</si>
  <si>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</si>
  <si>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</si>
  <si>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</si>
  <si>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</si>
  <si>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</si>
  <si>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</si>
  <si>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Total general</t>
  </si>
  <si>
    <t>Importes Débito Local</t>
  </si>
  <si>
    <t>Importes Débito IBK</t>
  </si>
  <si>
    <t>Suministros y acces. de autos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</si>
  <si>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</si>
  <si>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</si>
  <si>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</si>
  <si>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</si>
  <si>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</si>
  <si>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</si>
  <si>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</si>
  <si>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</si>
  <si>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</si>
  <si>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</si>
  <si>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</si>
  <si>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</si>
  <si>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</si>
  <si>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</si>
  <si>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</si>
  <si>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</si>
  <si>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</si>
  <si>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</si>
  <si>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</si>
  <si>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</si>
  <si>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</si>
  <si>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</si>
  <si>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INVERSIONES KAMADO SAC</t>
  </si>
  <si>
    <t>LA PLAZA GASTRONOMICA S.A.C.</t>
  </si>
  <si>
    <t>INVERSIONES INDEPENDENCIA S.A.C.</t>
  </si>
  <si>
    <t>ORIENTAL POLO S.A.C.</t>
  </si>
  <si>
    <t>INVERSIONES PABECSA SAC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</si>
  <si>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</si>
  <si>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</si>
  <si>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</si>
  <si>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</si>
  <si>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</si>
  <si>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</si>
  <si>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</si>
  <si>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</si>
  <si>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</si>
  <si>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</si>
  <si>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</si>
  <si>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</si>
  <si>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</si>
  <si>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</si>
  <si>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</si>
  <si>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</si>
  <si>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</si>
  <si>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</si>
  <si>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</si>
  <si>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</si>
  <si>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</si>
  <si>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</si>
  <si>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</si>
  <si>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</si>
  <si>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</si>
  <si>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</si>
  <si>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</si>
  <si>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</si>
  <si>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</si>
  <si>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</si>
  <si>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 &amp; M SERVICENTROS SAC</t>
  </si>
  <si>
    <t>JE OPERADORES SAC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</si>
  <si>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</si>
  <si>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</si>
  <si>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</si>
  <si>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</si>
  <si>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</si>
  <si>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</si>
  <si>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</si>
  <si>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</si>
  <si>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</si>
  <si>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</si>
  <si>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</si>
  <si>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</si>
  <si>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</si>
  <si>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</si>
  <si>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</si>
  <si>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CORPORATION INTHERPHARMA SAC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</si>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</sst>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"/>
    <numFmt numFmtId="167" formatCode="_-&quot;S/&quot;\ * #,##0_-;\-&quot;S/&quot;\ * #,##0_-;_-&quot;S/&quot;\ * &quot;-&quot;??_-;_-@_-"/>
    <numFmt numFmtId="168" formatCode="_-* #,##0_-;\-* #,##0_-;_-* &quot;-&quot;??_-;_-@_-"/>
    <numFmt numFmtId="169" formatCode="0.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165" fontId="1" fillId="0" borderId="0"/>
    <xf numFmtId="164" fontId="1" fillId="0" borderId="0"/>
    <xf numFmtId="0" fontId="14" fillId="0" borderId="0"/>
    <xf numFmtId="9" fontId="14" fillId="0" borderId="0"/>
  </cellStyleXfs>
  <cellXfs count="218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6" fontId="0" fillId="0" borderId="0" xfId="0" applyNumberFormat="1"/>
    <xf numFmtId="167" fontId="19" fillId="2" borderId="31" xfId="3" applyNumberFormat="1" applyFont="1" applyFill="1" applyBorder="1" applyAlignment="1">
      <alignment horizontal="center" vertical="center"/>
    </xf>
    <xf numFmtId="167" fontId="19" fillId="2" borderId="4" xfId="3" applyNumberFormat="1" applyFont="1" applyFill="1" applyBorder="1" applyAlignment="1">
      <alignment horizontal="center" vertical="center"/>
    </xf>
    <xf numFmtId="167" fontId="19" fillId="2" borderId="5" xfId="3" applyNumberFormat="1" applyFont="1" applyFill="1" applyBorder="1" applyAlignment="1">
      <alignment horizontal="center" vertical="center"/>
    </xf>
    <xf numFmtId="167" fontId="20" fillId="2" borderId="36" xfId="3" applyNumberFormat="1" applyFont="1" applyFill="1" applyBorder="1" applyAlignment="1">
      <alignment horizontal="center" vertical="center"/>
    </xf>
    <xf numFmtId="167" fontId="20" fillId="2" borderId="13" xfId="3" applyNumberFormat="1" applyFont="1" applyFill="1" applyBorder="1" applyAlignment="1">
      <alignment horizontal="center" vertical="center"/>
    </xf>
    <xf numFmtId="167" fontId="20" fillId="2" borderId="14" xfId="3" applyNumberFormat="1" applyFont="1" applyFill="1" applyBorder="1" applyAlignment="1">
      <alignment horizontal="center" vertical="center"/>
    </xf>
    <xf numFmtId="167" fontId="20" fillId="2" borderId="29" xfId="3" applyNumberFormat="1" applyFont="1" applyFill="1" applyBorder="1" applyAlignment="1">
      <alignment horizontal="center" vertical="center"/>
    </xf>
    <xf numFmtId="167" fontId="20" fillId="2" borderId="24" xfId="3" applyNumberFormat="1" applyFont="1" applyFill="1" applyBorder="1" applyAlignment="1">
      <alignment horizontal="center" vertical="center"/>
    </xf>
    <xf numFmtId="167" fontId="20" fillId="2" borderId="25" xfId="3" applyNumberFormat="1" applyFont="1" applyFill="1" applyBorder="1" applyAlignment="1">
      <alignment horizontal="center" vertical="center"/>
    </xf>
    <xf numFmtId="168" fontId="18" fillId="2" borderId="0" xfId="2" applyNumberFormat="1" applyFont="1" applyFill="1" applyAlignment="1">
      <alignment horizontal="center"/>
    </xf>
    <xf numFmtId="167" fontId="18" fillId="3" borderId="28" xfId="3" applyNumberFormat="1" applyFont="1" applyFill="1" applyBorder="1" applyAlignment="1">
      <alignment horizontal="center" vertical="center"/>
    </xf>
    <xf numFmtId="167" fontId="18" fillId="3" borderId="1" xfId="3" applyNumberFormat="1" applyFont="1" applyFill="1" applyBorder="1" applyAlignment="1">
      <alignment horizontal="center" vertical="center"/>
    </xf>
    <xf numFmtId="167" fontId="18" fillId="3" borderId="30" xfId="3" applyNumberFormat="1" applyFont="1" applyFill="1" applyBorder="1" applyAlignment="1">
      <alignment horizontal="center" vertical="center"/>
    </xf>
    <xf numFmtId="169" fontId="18" fillId="3" borderId="7" xfId="1" applyNumberFormat="1" applyFont="1" applyFill="1" applyBorder="1" applyAlignment="1">
      <alignment horizontal="center" vertical="center"/>
    </xf>
    <xf numFmtId="167" fontId="23" fillId="2" borderId="32" xfId="3" applyNumberFormat="1" applyFont="1" applyFill="1" applyBorder="1" applyAlignment="1">
      <alignment horizontal="left" vertical="center"/>
    </xf>
    <xf numFmtId="167" fontId="23" fillId="2" borderId="13" xfId="3" applyNumberFormat="1" applyFont="1" applyFill="1" applyBorder="1" applyAlignment="1">
      <alignment horizontal="left" vertical="center"/>
    </xf>
    <xf numFmtId="167" fontId="23" fillId="2" borderId="16" xfId="3" applyNumberFormat="1" applyFont="1" applyFill="1" applyBorder="1" applyAlignment="1">
      <alignment horizontal="center" vertical="center"/>
    </xf>
    <xf numFmtId="167" fontId="23" fillId="2" borderId="13" xfId="3" applyNumberFormat="1" applyFont="1" applyFill="1" applyBorder="1" applyAlignment="1">
      <alignment horizontal="center" vertical="center"/>
    </xf>
    <xf numFmtId="169" fontId="23" fillId="2" borderId="12" xfId="1" applyNumberFormat="1" applyFont="1" applyFill="1" applyBorder="1" applyAlignment="1">
      <alignment horizontal="center" vertical="center"/>
    </xf>
    <xf numFmtId="168" fontId="23" fillId="2" borderId="0" xfId="2" applyNumberFormat="1" applyFont="1" applyFill="1" applyAlignment="1">
      <alignment horizontal="center"/>
    </xf>
    <xf numFmtId="167" fontId="18" fillId="4" borderId="35" xfId="3" applyNumberFormat="1" applyFont="1" applyFill="1" applyBorder="1" applyAlignment="1">
      <alignment horizontal="center" vertical="center"/>
    </xf>
    <xf numFmtId="167" fontId="18" fillId="4" borderId="1" xfId="3" applyNumberFormat="1" applyFont="1" applyFill="1" applyBorder="1" applyAlignment="1">
      <alignment horizontal="center" vertical="center"/>
    </xf>
    <xf numFmtId="167" fontId="18" fillId="4" borderId="8" xfId="3" applyNumberFormat="1" applyFont="1" applyFill="1" applyBorder="1" applyAlignment="1">
      <alignment horizontal="center" vertical="center"/>
    </xf>
    <xf numFmtId="167" fontId="18" fillId="4" borderId="39" xfId="3" applyNumberFormat="1" applyFont="1" applyFill="1" applyBorder="1" applyAlignment="1">
      <alignment horizontal="center" vertical="center"/>
    </xf>
    <xf numFmtId="169" fontId="23" fillId="2" borderId="0" xfId="0" applyNumberFormat="1" applyFont="1" applyFill="1" applyAlignment="1">
      <alignment horizontal="center" vertical="center"/>
    </xf>
    <xf numFmtId="167" fontId="23" fillId="2" borderId="0" xfId="3" applyNumberFormat="1" applyFont="1" applyFill="1" applyAlignment="1">
      <alignment horizontal="left" vertical="center"/>
    </xf>
    <xf numFmtId="169" fontId="23" fillId="2" borderId="0" xfId="1" applyNumberFormat="1" applyFont="1" applyFill="1"/>
    <xf numFmtId="167" fontId="23" fillId="2" borderId="18" xfId="3" applyNumberFormat="1" applyFont="1" applyFill="1" applyBorder="1" applyAlignment="1">
      <alignment horizontal="center" vertical="center"/>
    </xf>
    <xf numFmtId="167" fontId="23" fillId="2" borderId="20" xfId="3" applyNumberFormat="1" applyFont="1" applyFill="1" applyBorder="1" applyAlignment="1">
      <alignment horizontal="center" vertical="center"/>
    </xf>
    <xf numFmtId="167" fontId="23" fillId="2" borderId="19" xfId="3" applyNumberFormat="1" applyFont="1" applyFill="1" applyBorder="1" applyAlignment="1">
      <alignment horizontal="center" vertical="center"/>
    </xf>
    <xf numFmtId="167" fontId="18" fillId="2" borderId="0" xfId="3" applyNumberFormat="1" applyFont="1" applyFill="1" applyAlignment="1">
      <alignment horizontal="left" indent="1"/>
    </xf>
    <xf numFmtId="167" fontId="18" fillId="2" borderId="0" xfId="3" applyNumberFormat="1" applyFont="1" applyFill="1" applyAlignment="1">
      <alignment horizontal="center"/>
    </xf>
    <xf numFmtId="167" fontId="23" fillId="2" borderId="0" xfId="3" applyNumberFormat="1" applyFont="1" applyFill="1" applyAlignment="1">
      <alignment horizontal="center"/>
    </xf>
    <xf numFmtId="169" fontId="23" fillId="2" borderId="16" xfId="1" applyNumberFormat="1" applyFont="1" applyFill="1" applyBorder="1" applyAlignment="1">
      <alignment horizontal="center"/>
    </xf>
    <xf numFmtId="169" fontId="23" fillId="2" borderId="19" xfId="1" applyNumberFormat="1" applyFont="1" applyFill="1" applyBorder="1" applyAlignment="1">
      <alignment horizontal="center"/>
    </xf>
    <xf numFmtId="169" fontId="23" fillId="2" borderId="0" xfId="1" applyNumberFormat="1" applyFont="1" applyFill="1" applyAlignment="1">
      <alignment horizontal="center"/>
    </xf>
    <xf numFmtId="167" fontId="23" fillId="2" borderId="16" xfId="3" applyNumberFormat="1" applyFont="1" applyFill="1" applyBorder="1" applyAlignment="1">
      <alignment horizontal="left" vertical="center"/>
    </xf>
    <xf numFmtId="167" fontId="23" fillId="2" borderId="34" xfId="3" applyNumberFormat="1" applyFont="1" applyFill="1" applyBorder="1" applyAlignment="1">
      <alignment horizontal="center" vertical="center"/>
    </xf>
    <xf numFmtId="167" fontId="23" fillId="2" borderId="22" xfId="3" applyNumberFormat="1" applyFont="1" applyFill="1" applyBorder="1" applyAlignment="1">
      <alignment horizontal="center" vertical="center"/>
    </xf>
    <xf numFmtId="167" fontId="23" fillId="2" borderId="10" xfId="3" applyNumberFormat="1" applyFont="1" applyFill="1" applyBorder="1" applyAlignment="1">
      <alignment horizontal="center" vertical="center"/>
    </xf>
    <xf numFmtId="168" fontId="23" fillId="2" borderId="0" xfId="2" applyNumberFormat="1" applyFont="1" applyFill="1"/>
    <xf numFmtId="167" fontId="23" fillId="2" borderId="40" xfId="3" applyNumberFormat="1" applyFont="1" applyFill="1" applyBorder="1" applyAlignment="1">
      <alignment horizontal="center" vertical="center"/>
    </xf>
    <xf numFmtId="167" fontId="23" fillId="2" borderId="41" xfId="3" applyNumberFormat="1" applyFont="1" applyFill="1" applyBorder="1" applyAlignment="1">
      <alignment horizontal="center" vertical="center"/>
    </xf>
    <xf numFmtId="167" fontId="23" fillId="2" borderId="11" xfId="3" applyNumberFormat="1" applyFont="1" applyFill="1" applyBorder="1" applyAlignment="1">
      <alignment horizontal="center" vertical="center"/>
    </xf>
    <xf numFmtId="167" fontId="18" fillId="4" borderId="28" xfId="3" applyNumberFormat="1" applyFont="1" applyFill="1" applyBorder="1" applyAlignment="1">
      <alignment horizontal="center" vertical="center"/>
    </xf>
    <xf numFmtId="167" fontId="18" fillId="4" borderId="2" xfId="3" applyNumberFormat="1" applyFont="1" applyFill="1" applyBorder="1" applyAlignment="1">
      <alignment horizontal="center" vertical="center"/>
    </xf>
    <xf numFmtId="167" fontId="28" fillId="0" borderId="21" xfId="3" applyNumberFormat="1" applyFont="1" applyBorder="1"/>
    <xf numFmtId="169" fontId="29" fillId="9" borderId="21" xfId="1" applyNumberFormat="1" applyFont="1" applyFill="1" applyBorder="1" applyAlignment="1">
      <alignment horizontal="center"/>
    </xf>
    <xf numFmtId="169" fontId="29" fillId="0" borderId="21" xfId="1" applyNumberFormat="1" applyFont="1" applyBorder="1" applyAlignment="1">
      <alignment horizontal="center"/>
    </xf>
    <xf numFmtId="167" fontId="27" fillId="0" borderId="21" xfId="3" applyNumberFormat="1" applyFont="1" applyBorder="1"/>
    <xf numFmtId="167" fontId="6" fillId="0" borderId="21" xfId="3" applyNumberFormat="1" applyFont="1" applyBorder="1"/>
    <xf numFmtId="169" fontId="4" fillId="9" borderId="21" xfId="1" applyNumberFormat="1" applyFont="1" applyFill="1" applyBorder="1" applyAlignment="1">
      <alignment horizontal="center"/>
    </xf>
    <xf numFmtId="169" fontId="4" fillId="0" borderId="21" xfId="1" applyNumberFormat="1" applyFont="1" applyBorder="1" applyAlignment="1">
      <alignment horizontal="center"/>
    </xf>
    <xf numFmtId="167" fontId="7" fillId="0" borderId="21" xfId="3" applyNumberFormat="1" applyFont="1" applyBorder="1"/>
    <xf numFmtId="169" fontId="9" fillId="0" borderId="21" xfId="1" applyNumberFormat="1" applyFont="1" applyBorder="1" applyAlignment="1">
      <alignment horizontal="center"/>
    </xf>
    <xf numFmtId="168" fontId="6" fillId="0" borderId="21" xfId="2" applyNumberFormat="1" applyFont="1" applyBorder="1"/>
    <xf numFmtId="168" fontId="7" fillId="0" borderId="21" xfId="2" applyNumberFormat="1" applyFont="1" applyBorder="1"/>
    <xf numFmtId="167" fontId="3" fillId="0" borderId="0" xfId="0" applyNumberFormat="1" applyFont="1"/>
    <xf numFmtId="169" fontId="3" fillId="0" borderId="0" xfId="1" applyNumberFormat="1" applyFont="1"/>
    <xf numFmtId="167" fontId="5" fillId="0" borderId="27" xfId="0" applyNumberFormat="1" applyFont="1" applyBorder="1"/>
    <xf numFmtId="169" fontId="5" fillId="0" borderId="27" xfId="1" applyNumberFormat="1" applyFont="1" applyBorder="1"/>
    <xf numFmtId="167" fontId="5" fillId="0" borderId="0" xfId="0" applyNumberFormat="1" applyFont="1"/>
    <xf numFmtId="169" fontId="5" fillId="0" borderId="0" xfId="1" applyNumberFormat="1" applyFont="1"/>
    <xf numFmtId="167" fontId="3" fillId="11" borderId="0" xfId="0" applyNumberFormat="1" applyFont="1" applyFill="1"/>
    <xf numFmtId="0" fontId="34" fillId="2" borderId="0" xfId="0" applyFont="1" applyFill="1"/>
    <xf numFmtId="0" fontId="35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48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left" indent="1"/>
    </xf>
    <xf numFmtId="3" fontId="0" fillId="2" borderId="47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6" xfId="0" applyNumberFormat="1" applyFill="1" applyBorder="1" applyAlignment="1">
      <alignment horizontal="center"/>
    </xf>
    <xf numFmtId="0" fontId="0" fillId="2" borderId="49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0" xfId="0" applyNumberFormat="1" applyFill="1" applyBorder="1" applyAlignment="1">
      <alignment horizontal="center"/>
    </xf>
    <xf numFmtId="3" fontId="0" fillId="2" borderId="49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48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7" fontId="0" fillId="0" borderId="0" xfId="0" applyNumberFormat="1"/>
    <xf numFmtId="0" fontId="36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49" xfId="0" applyNumberFormat="1" applyFont="1" applyFill="1" applyBorder="1" applyAlignment="1">
      <alignment horizontal="center"/>
    </xf>
    <xf numFmtId="3" fontId="23" fillId="2" borderId="50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37" fillId="2" borderId="21" xfId="0" applyNumberFormat="1" applyFont="1" applyFill="1" applyBorder="1" applyAlignment="1">
      <alignment horizontal="center" vertical="center"/>
    </xf>
    <xf numFmtId="17" fontId="37" fillId="4" borderId="21" xfId="0" applyNumberFormat="1" applyFont="1" applyFill="1" applyBorder="1" applyAlignment="1">
      <alignment horizontal="center" vertical="center"/>
    </xf>
    <xf numFmtId="17" fontId="37" fillId="6" borderId="21" xfId="0" applyNumberFormat="1" applyFont="1" applyFill="1" applyBorder="1" applyAlignment="1">
      <alignment horizontal="center" vertical="center"/>
    </xf>
    <xf numFmtId="17" fontId="37" fillId="7" borderId="21" xfId="0" applyNumberFormat="1" applyFont="1" applyFill="1" applyBorder="1" applyAlignment="1">
      <alignment horizontal="center" vertical="center"/>
    </xf>
    <xf numFmtId="169" fontId="3" fillId="0" borderId="0" xfId="1" applyNumberFormat="1" applyFont="1" applyAlignment="1">
      <alignment horizontal="center"/>
    </xf>
    <xf numFmtId="169" fontId="5" fillId="0" borderId="27" xfId="1" applyNumberFormat="1" applyFont="1" applyBorder="1" applyAlignment="1">
      <alignment horizontal="center"/>
    </xf>
    <xf numFmtId="169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9" fontId="3" fillId="11" borderId="0" xfId="1" applyNumberFormat="1" applyFont="1" applyFill="1" applyAlignment="1">
      <alignment horizontal="center"/>
    </xf>
    <xf numFmtId="169" fontId="3" fillId="11" borderId="0" xfId="1" applyNumberFormat="1" applyFont="1" applyFill="1"/>
    <xf numFmtId="10" fontId="38" fillId="0" borderId="21" xfId="1" applyNumberFormat="1" applyFont="1" applyBorder="1" applyAlignment="1">
      <alignment horizontal="center"/>
    </xf>
    <xf numFmtId="169" fontId="38" fillId="0" borderId="21" xfId="1" applyNumberFormat="1" applyFont="1" applyBorder="1" applyAlignment="1">
      <alignment horizontal="center"/>
    </xf>
    <xf numFmtId="9" fontId="39" fillId="0" borderId="0" xfId="1" applyFont="1" applyAlignment="1">
      <alignment horizontal="center"/>
    </xf>
    <xf numFmtId="167" fontId="3" fillId="3" borderId="0" xfId="0" applyNumberFormat="1" applyFont="1" applyFill="1"/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23" fillId="2" borderId="0" xfId="3" applyNumberFormat="1" applyFont="1" applyFill="1"/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6" fillId="2" borderId="46" xfId="0" applyFont="1" applyFill="1" applyBorder="1" applyAlignment="1">
      <alignment horizontal="center" vertical="center"/>
    </xf>
    <xf numFmtId="0" fontId="0" fillId="0" borderId="51" xfId="0" applyBorder="1"/>
    <xf numFmtId="0" fontId="16" fillId="2" borderId="47" xfId="0" applyFont="1" applyFill="1" applyBorder="1" applyAlignment="1">
      <alignment horizontal="center" vertical="center"/>
    </xf>
    <xf numFmtId="0" fontId="0" fillId="0" borderId="31" xfId="0" applyBorder="1"/>
    <xf numFmtId="0" fontId="5" fillId="0" borderId="0" xfId="0" applyFont="1" applyAlignment="1">
      <alignment horizontal="center"/>
    </xf>
    <xf numFmtId="0" fontId="3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5" sqref="E5:E7"/>
    </sheetView>
  </sheetViews>
  <sheetFormatPr baseColWidth="10" defaultColWidth="11.453125" defaultRowHeight="14.5" x14ac:dyDescent="0.35"/>
  <cols>
    <col min="1" max="1" width="2.7265625" customWidth="1"/>
    <col min="2" max="2" width="23" customWidth="1"/>
    <col min="3" max="14" width="20.7265625" customWidth="1"/>
    <col min="15" max="15" width="16.1796875" bestFit="1" customWidth="1"/>
    <col min="16" max="28" width="11.453125" customWidth="1"/>
  </cols>
  <sheetData>
    <row r="2" spans="2:14" ht="18" customHeight="1" x14ac:dyDescent="0.45">
      <c r="B2" s="18" t="s">
        <v>0</v>
      </c>
    </row>
    <row r="3" spans="2:14" ht="11.5" customHeight="1" thickBot="1" x14ac:dyDescent="0.4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4">
      <c r="C4" s="19" t="s">
        <v>1</v>
      </c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  <c r="N4" s="21" t="s">
        <v>12</v>
      </c>
    </row>
    <row r="5" spans="2:14" x14ac:dyDescent="0.35">
      <c r="B5" s="22" t="s">
        <v>13</v>
      </c>
      <c r="C5" s="91">
        <v>895463131.43000007</v>
      </c>
      <c r="D5" s="92">
        <v>869165941.94999993</v>
      </c>
      <c r="E5" s="92">
        <v>887861250.66000009</v>
      </c>
      <c r="F5" s="92">
        <v>812052577.55000007</v>
      </c>
      <c r="G5" s="92"/>
      <c r="H5" s="92"/>
      <c r="I5" s="92"/>
      <c r="J5" s="92"/>
      <c r="K5" s="92"/>
      <c r="L5" s="92"/>
      <c r="M5" s="92"/>
      <c r="N5" s="93"/>
    </row>
    <row r="6" spans="2:14" x14ac:dyDescent="0.35">
      <c r="B6" s="23" t="s">
        <v>14</v>
      </c>
      <c r="C6" s="94">
        <v>5766552459.2400007</v>
      </c>
      <c r="D6" s="95">
        <v>5570738565.6800032</v>
      </c>
      <c r="E6" s="95">
        <v>5621704139.7200022</v>
      </c>
      <c r="F6" s="95">
        <v>5270549200.7199993</v>
      </c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4">
      <c r="B7" s="24" t="s">
        <v>15</v>
      </c>
      <c r="C7" s="97">
        <v>6102335520.1099987</v>
      </c>
      <c r="D7" s="98">
        <v>5856202548.2399998</v>
      </c>
      <c r="E7" s="98">
        <v>5996593245.1999979</v>
      </c>
      <c r="F7" s="98">
        <v>5596195600.7700005</v>
      </c>
      <c r="G7" s="98"/>
      <c r="H7" s="98"/>
      <c r="I7" s="98"/>
      <c r="J7" s="98"/>
      <c r="K7" s="98"/>
      <c r="L7" s="98"/>
      <c r="M7" s="98"/>
      <c r="N7" s="99"/>
    </row>
    <row r="8" spans="2:14" ht="7.15" customHeight="1" x14ac:dyDescent="0.35"/>
    <row r="9" spans="2:14" x14ac:dyDescent="0.35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5">
      <c r="B10" s="25" t="s">
        <v>16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0.15793453881481237</v>
      </c>
      <c r="F10" s="29">
        <f t="shared" si="1"/>
        <v>0.15407361673790412</v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5">
      <c r="B11" s="26" t="s">
        <v>17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0.14806094299804193</v>
      </c>
      <c r="F11" s="31">
        <f t="shared" si="2"/>
        <v>0.14510796896346276</v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6328125" style="32" customWidth="1"/>
    <col min="2" max="2" width="19.7265625" style="32" customWidth="1"/>
    <col min="3" max="4" width="19" style="32" customWidth="1"/>
    <col min="5" max="14" width="17.1796875" style="32" bestFit="1" customWidth="1"/>
    <col min="15" max="15" width="16.81640625" style="32" customWidth="1"/>
    <col min="16" max="16" width="11.453125" style="32" customWidth="1"/>
    <col min="17" max="17" width="16.36328125" style="32" bestFit="1" customWidth="1"/>
    <col min="18" max="21" width="11.453125" style="32" customWidth="1"/>
    <col min="22" max="22" width="22.08984375" style="32" bestFit="1" customWidth="1"/>
    <col min="23" max="115" width="11.453125" style="32" customWidth="1"/>
    <col min="116" max="16384" width="11.453125" style="32"/>
  </cols>
  <sheetData>
    <row r="1" spans="2:21" ht="11.5" customHeight="1" x14ac:dyDescent="0.35">
      <c r="E1" s="181"/>
      <c r="F1" s="180"/>
    </row>
    <row r="2" spans="2:21" ht="18" customHeight="1" x14ac:dyDescent="0.45">
      <c r="B2" s="50" t="s">
        <v>18</v>
      </c>
      <c r="C2" s="33"/>
      <c r="D2" s="33"/>
      <c r="E2" s="181"/>
      <c r="F2" s="180"/>
      <c r="G2" s="33"/>
      <c r="H2" s="33"/>
      <c r="I2" s="33"/>
      <c r="J2" s="33"/>
      <c r="K2" s="33"/>
      <c r="L2" s="33"/>
      <c r="M2" s="33"/>
      <c r="N2" s="33"/>
      <c r="O2" s="33"/>
    </row>
    <row r="3" spans="2:21" ht="15" customHeight="1" thickBot="1" x14ac:dyDescent="0.4">
      <c r="B3" s="34"/>
      <c r="C3" s="34"/>
      <c r="D3" s="34"/>
      <c r="E3" s="181"/>
      <c r="F3" s="180"/>
      <c r="G3" s="100"/>
      <c r="O3" s="34"/>
    </row>
    <row r="4" spans="2:21" ht="15" customHeight="1" thickBot="1" x14ac:dyDescent="0.4">
      <c r="B4" s="51" t="s">
        <v>19</v>
      </c>
      <c r="C4" s="19" t="s">
        <v>20</v>
      </c>
      <c r="D4" s="20" t="s">
        <v>21</v>
      </c>
      <c r="E4" s="20" t="s">
        <v>22</v>
      </c>
      <c r="F4" s="20" t="s">
        <v>23</v>
      </c>
      <c r="G4" s="20" t="s">
        <v>24</v>
      </c>
      <c r="H4" s="20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0" t="s">
        <v>30</v>
      </c>
      <c r="N4" s="56" t="s">
        <v>31</v>
      </c>
      <c r="O4" s="57" t="s">
        <v>32</v>
      </c>
    </row>
    <row r="5" spans="2:21" ht="15" customHeight="1" thickBot="1" x14ac:dyDescent="0.4">
      <c r="B5" s="40" t="s">
        <v>33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5015663085.3000002</v>
      </c>
      <c r="F5" s="102">
        <f t="shared" si="0"/>
        <v>4765356957.0199995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0.96623025713805755</v>
      </c>
      <c r="R5" s="36"/>
      <c r="S5" s="36"/>
      <c r="T5" s="36"/>
      <c r="U5" s="36"/>
    </row>
    <row r="6" spans="2:21" x14ac:dyDescent="0.35">
      <c r="B6" s="37" t="s">
        <v>34</v>
      </c>
      <c r="C6" s="105">
        <v>1758281137.8099999</v>
      </c>
      <c r="D6" s="106">
        <v>1728712045.03</v>
      </c>
      <c r="E6" s="106">
        <v>1813780160.27</v>
      </c>
      <c r="F6" s="107">
        <v>1658370000.28</v>
      </c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5">
      <c r="B7" s="37" t="s">
        <v>35</v>
      </c>
      <c r="C7" s="105">
        <v>3378387892.0599999</v>
      </c>
      <c r="D7" s="106">
        <v>3246181622.5</v>
      </c>
      <c r="E7" s="106">
        <v>3143618899.9000001</v>
      </c>
      <c r="F7" s="107">
        <v>3055092760.9899998</v>
      </c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4">
      <c r="B8" s="37" t="s">
        <v>36</v>
      </c>
      <c r="C8" s="105">
        <v>71432490.310000002</v>
      </c>
      <c r="D8" s="106">
        <v>60450995.740000002</v>
      </c>
      <c r="E8" s="106">
        <v>58264025.130000003</v>
      </c>
      <c r="F8" s="107">
        <v>51894195.75</v>
      </c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4">
      <c r="B9" s="40" t="s">
        <v>37</v>
      </c>
      <c r="C9" s="102">
        <f t="shared" ref="C9:M9" si="1">+SUM(C10:C12)</f>
        <v>153103652.16999999</v>
      </c>
      <c r="D9" s="102">
        <f t="shared" si="1"/>
        <v>128054866.93999998</v>
      </c>
      <c r="E9" s="102">
        <f t="shared" si="1"/>
        <v>164638260.04999998</v>
      </c>
      <c r="F9" s="102">
        <f t="shared" si="1"/>
        <v>150151537.05000001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v>103906682.53</v>
      </c>
      <c r="O9" s="104">
        <f>+IFERROR(SUM(C9:N9)/SUM(C13:N13),"")</f>
        <v>3.3769742861942502E-2</v>
      </c>
      <c r="R9" s="100"/>
      <c r="S9" s="100"/>
      <c r="T9" s="100"/>
      <c r="U9" s="100"/>
    </row>
    <row r="10" spans="2:21" x14ac:dyDescent="0.35">
      <c r="B10" s="37" t="s">
        <v>34</v>
      </c>
      <c r="C10" s="105">
        <v>101082993.38</v>
      </c>
      <c r="D10" s="106">
        <v>85054048.299999997</v>
      </c>
      <c r="E10" s="106">
        <v>112820406.76000001</v>
      </c>
      <c r="F10" s="107">
        <v>99746045.939999998</v>
      </c>
      <c r="G10" s="108"/>
      <c r="H10" s="108"/>
      <c r="I10" s="108"/>
      <c r="J10" s="108"/>
      <c r="K10" s="108"/>
      <c r="L10" s="108"/>
      <c r="M10" s="108"/>
      <c r="N10" s="108"/>
      <c r="O10" s="109"/>
      <c r="Q10" s="174"/>
      <c r="R10" s="110"/>
      <c r="S10" s="110"/>
      <c r="T10" s="110"/>
      <c r="U10" s="110"/>
    </row>
    <row r="11" spans="2:21" x14ac:dyDescent="0.35">
      <c r="B11" s="37" t="s">
        <v>35</v>
      </c>
      <c r="C11" s="105">
        <v>48679459.640000001</v>
      </c>
      <c r="D11" s="106">
        <v>40510806.119999997</v>
      </c>
      <c r="E11" s="106">
        <v>48449305.189999998</v>
      </c>
      <c r="F11" s="107">
        <v>46765008</v>
      </c>
      <c r="G11" s="108"/>
      <c r="H11" s="108"/>
      <c r="I11" s="108"/>
      <c r="J11" s="108"/>
      <c r="K11" s="108"/>
      <c r="L11" s="108"/>
      <c r="M11" s="108"/>
      <c r="N11" s="108"/>
      <c r="O11" s="109"/>
      <c r="Q11" s="174"/>
    </row>
    <row r="12" spans="2:21" ht="15" customHeight="1" thickBot="1" x14ac:dyDescent="0.4">
      <c r="B12" s="39" t="s">
        <v>36</v>
      </c>
      <c r="C12" s="105">
        <v>3341199.15</v>
      </c>
      <c r="D12" s="106">
        <v>2490012.52</v>
      </c>
      <c r="E12" s="106">
        <v>3368548.1</v>
      </c>
      <c r="F12" s="107">
        <v>3640483.11</v>
      </c>
      <c r="G12" s="108"/>
      <c r="H12" s="108"/>
      <c r="I12" s="108"/>
      <c r="J12" s="108"/>
      <c r="K12" s="108"/>
      <c r="L12" s="108"/>
      <c r="M12" s="108"/>
      <c r="N12" s="108"/>
      <c r="O12" s="109"/>
      <c r="Q12" s="174"/>
    </row>
    <row r="13" spans="2:21" ht="15" customHeight="1" thickBot="1" x14ac:dyDescent="0.4">
      <c r="B13" s="52" t="s">
        <v>38</v>
      </c>
      <c r="C13" s="101">
        <f t="shared" ref="C13:N13" si="2">SUM(C5,C9)</f>
        <v>5361205172.3500004</v>
      </c>
      <c r="D13" s="102">
        <f t="shared" si="2"/>
        <v>5163399530.2099991</v>
      </c>
      <c r="E13" s="102">
        <f t="shared" si="2"/>
        <v>5180301345.3500004</v>
      </c>
      <c r="F13" s="102">
        <f t="shared" si="2"/>
        <v>4915508494.0699997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103906682.53</v>
      </c>
      <c r="O13" s="104">
        <f>SUM(O5:O9)</f>
        <v>1</v>
      </c>
    </row>
    <row r="14" spans="2:21" ht="15" customHeight="1" thickBot="1" x14ac:dyDescent="0.4"/>
    <row r="15" spans="2:21" ht="15" customHeight="1" thickBot="1" x14ac:dyDescent="0.4">
      <c r="B15" s="41" t="s">
        <v>39</v>
      </c>
      <c r="C15" s="111">
        <v>702662554.41999996</v>
      </c>
      <c r="D15" s="112">
        <v>684549084.78000009</v>
      </c>
      <c r="E15" s="113">
        <v>702199428.14999986</v>
      </c>
      <c r="F15" s="113">
        <v>632332067.58999991</v>
      </c>
      <c r="G15" s="113"/>
      <c r="H15" s="113"/>
      <c r="I15" s="113"/>
      <c r="J15" s="113"/>
      <c r="K15" s="113"/>
      <c r="L15" s="113"/>
      <c r="M15" s="113"/>
      <c r="N15" s="114"/>
    </row>
    <row r="16" spans="2:21" x14ac:dyDescent="0.35">
      <c r="B16" s="42" t="s">
        <v>40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0.13555184946534354</v>
      </c>
      <c r="F16" s="115">
        <f t="shared" si="3"/>
        <v>0.12864021460909617</v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>
        <f t="shared" si="3"/>
        <v>0</v>
      </c>
    </row>
    <row r="17" spans="2:20" x14ac:dyDescent="0.35">
      <c r="B17" s="42" t="s">
        <v>41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0.1400013151218269</v>
      </c>
      <c r="F17" s="115">
        <f t="shared" si="4"/>
        <v>0.1326935365583666</v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5">
      <c r="B19" s="62" t="s">
        <v>39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5">
      <c r="B20" s="58" t="s">
        <v>42</v>
      </c>
      <c r="C20" s="116">
        <v>253932768</v>
      </c>
      <c r="D20" s="106">
        <v>250319400</v>
      </c>
      <c r="E20" s="106">
        <v>265096119</v>
      </c>
      <c r="F20" s="107">
        <v>241267046</v>
      </c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5">
      <c r="B21" s="59" t="s">
        <v>43</v>
      </c>
      <c r="C21" s="116">
        <v>424800123</v>
      </c>
      <c r="D21" s="106">
        <v>414006085</v>
      </c>
      <c r="E21" s="106">
        <v>419637839</v>
      </c>
      <c r="F21" s="107">
        <v>372791821</v>
      </c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4">
      <c r="B22" s="60" t="s">
        <v>36</v>
      </c>
      <c r="C22" s="118">
        <v>23929662</v>
      </c>
      <c r="D22" s="119">
        <v>20223598</v>
      </c>
      <c r="E22" s="119">
        <v>17465469</v>
      </c>
      <c r="F22" s="120">
        <v>18273199</v>
      </c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5">
      <c r="B23" s="121" t="s">
        <v>44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702199427</v>
      </c>
      <c r="F23" s="122">
        <f t="shared" si="6"/>
        <v>632332066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5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5">
      <c r="B25" s="61" t="s">
        <v>45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5">
      <c r="B26" s="47" t="s">
        <v>46</v>
      </c>
      <c r="C26" s="124">
        <f t="shared" ref="C26:N26" si="8">IFERROR(C20/(C6+C10),"")</f>
        <v>0.13656968193609398</v>
      </c>
      <c r="D26" s="124">
        <f t="shared" si="8"/>
        <v>0.13801084986676748</v>
      </c>
      <c r="E26" s="124">
        <f t="shared" si="8"/>
        <v>0.13759786202526955</v>
      </c>
      <c r="F26" s="124">
        <f t="shared" si="8"/>
        <v>0.13723044421255984</v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 t="shared" si="8"/>
        <v/>
      </c>
    </row>
    <row r="27" spans="2:20" x14ac:dyDescent="0.35">
      <c r="B27" s="47" t="s">
        <v>47</v>
      </c>
      <c r="C27" s="124">
        <f t="shared" ref="C27:N27" si="9">IFERROR(C21/(C7+C11),"")</f>
        <v>0.12395441332347248</v>
      </c>
      <c r="D27" s="124">
        <f t="shared" si="9"/>
        <v>0.12596435291446811</v>
      </c>
      <c r="E27" s="124">
        <f t="shared" si="9"/>
        <v>0.13146267937848413</v>
      </c>
      <c r="F27" s="124">
        <f t="shared" si="9"/>
        <v>0.12018340258115229</v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 t="shared" si="9"/>
        <v/>
      </c>
    </row>
    <row r="28" spans="2:20" ht="15" customHeight="1" thickBot="1" x14ac:dyDescent="0.4">
      <c r="B28" s="48" t="s">
        <v>48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0.28338049321456182</v>
      </c>
      <c r="F28" s="125">
        <f t="shared" si="10"/>
        <v>0.3290412292842419</v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5">
      <c r="B29" s="121" t="s">
        <v>44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0.13555184924334876</v>
      </c>
      <c r="F29" s="53">
        <f t="shared" si="11"/>
        <v>0.12864021428563016</v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>
        <f t="shared" si="11"/>
        <v>0</v>
      </c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5">
      <c r="B31" s="61" t="s">
        <v>33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5">
      <c r="B32" s="47" t="s">
        <v>46</v>
      </c>
      <c r="C32" s="124">
        <f t="shared" ref="C32:N32" si="13">+IFERROR(C20/C6,"")</f>
        <v>0.14442102718356067</v>
      </c>
      <c r="D32" s="124">
        <f t="shared" si="13"/>
        <v>0.14480109670066885</v>
      </c>
      <c r="E32" s="124">
        <f t="shared" si="13"/>
        <v>0.14615669793220018</v>
      </c>
      <c r="F32" s="124">
        <f t="shared" si="13"/>
        <v>0.14548444916349448</v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5">
      <c r="B33" s="47" t="s">
        <v>47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0.13348877594970207</v>
      </c>
      <c r="F33" s="124">
        <f t="shared" si="14"/>
        <v>0.12202307758380376</v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4">
      <c r="B34" s="48" t="s">
        <v>48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0.29976420202742005</v>
      </c>
      <c r="F34" s="125">
        <f t="shared" si="15"/>
        <v>0.3521241390468991</v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5">
      <c r="B35" s="121" t="s">
        <v>44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0.14000131489254516</v>
      </c>
      <c r="F35" s="53">
        <f t="shared" si="16"/>
        <v>0.1326935362247085</v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5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45">
      <c r="B37" s="50" t="s">
        <v>49</v>
      </c>
    </row>
    <row r="38" spans="2:14" ht="9" customHeight="1" x14ac:dyDescent="0.35"/>
    <row r="39" spans="2:14" x14ac:dyDescent="0.35">
      <c r="B39" s="55" t="s">
        <v>50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5">
      <c r="B40" s="47" t="s">
        <v>13</v>
      </c>
      <c r="C40" s="127">
        <v>702662554.41999996</v>
      </c>
      <c r="D40" s="127">
        <v>684549084.78000009</v>
      </c>
      <c r="E40" s="127">
        <v>702199428.14999986</v>
      </c>
      <c r="F40" s="127">
        <v>632332067.58999991</v>
      </c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4">
      <c r="B41" s="48" t="s">
        <v>51</v>
      </c>
      <c r="C41" s="120">
        <v>4505438965.7599993</v>
      </c>
      <c r="D41" s="120">
        <v>4350795578.4899998</v>
      </c>
      <c r="E41" s="120">
        <v>0</v>
      </c>
      <c r="F41" s="120">
        <v>4133024889.4299998</v>
      </c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5">
      <c r="B42" s="45" t="s">
        <v>45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702199428.14999986</v>
      </c>
      <c r="F42" s="122">
        <f t="shared" si="18"/>
        <v>4765356957.0199995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5">
      <c r="B44" s="55" t="s">
        <v>52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5">
      <c r="B45" s="47" t="s">
        <v>13</v>
      </c>
      <c r="C45" s="127">
        <v>511739091.76999998</v>
      </c>
      <c r="D45" s="127">
        <v>487149145.82999992</v>
      </c>
      <c r="E45" s="127">
        <v>500229487.25999999</v>
      </c>
      <c r="F45" s="127">
        <v>437516149.02999997</v>
      </c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4">
      <c r="B46" s="48" t="s">
        <v>51</v>
      </c>
      <c r="C46" s="120">
        <v>3607816508.1300001</v>
      </c>
      <c r="D46" s="120">
        <v>3481266262.48</v>
      </c>
      <c r="E46" s="120">
        <v>0</v>
      </c>
      <c r="F46" s="120">
        <v>3209318535.3299999</v>
      </c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5">
      <c r="B47" s="45" t="s">
        <v>45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500229487.25999999</v>
      </c>
      <c r="F47" s="122">
        <f t="shared" si="20"/>
        <v>3646834684.3599997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5">
      <c r="B49" s="55" t="s">
        <v>53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5">
      <c r="B50" s="47" t="s">
        <v>13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201969940.88999987</v>
      </c>
      <c r="F50" s="127">
        <f t="shared" si="22"/>
        <v>194815918.55999994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4">
      <c r="B51" s="48" t="s">
        <v>51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0</v>
      </c>
      <c r="F51" s="120">
        <f t="shared" si="23"/>
        <v>923706354.0999999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5">
      <c r="B52" s="45" t="s">
        <v>45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201969940.88999987</v>
      </c>
      <c r="F52" s="122">
        <f t="shared" si="24"/>
        <v>1118522272.6599998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5">
      <c r="B54" s="43" t="s">
        <v>39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5">
      <c r="B55" s="58" t="s">
        <v>54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1</v>
      </c>
      <c r="F55" s="124">
        <f t="shared" si="26"/>
        <v>0.11997147852803801</v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4">
      <c r="B56" s="63" t="s">
        <v>55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1</v>
      </c>
      <c r="F56" s="125">
        <f t="shared" si="27"/>
        <v>0.17417258763806365</v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5"/>
  </sheetData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9" sqref="E9"/>
    </sheetView>
  </sheetViews>
  <sheetFormatPr baseColWidth="10" defaultColWidth="11.453125" defaultRowHeight="14.5" x14ac:dyDescent="0.35"/>
  <cols>
    <col min="1" max="1" width="3.36328125" style="32" customWidth="1"/>
    <col min="2" max="2" width="24.1796875" style="32" customWidth="1"/>
    <col min="3" max="15" width="16.81640625" style="32" customWidth="1"/>
    <col min="16" max="16" width="11.453125" style="32" customWidth="1"/>
    <col min="17" max="17" width="14.36328125" style="32" bestFit="1" customWidth="1"/>
    <col min="18" max="110" width="11.453125" style="32" customWidth="1"/>
    <col min="111" max="16384" width="11.453125" style="32"/>
  </cols>
  <sheetData>
    <row r="2" spans="2:17" ht="21" customHeight="1" x14ac:dyDescent="0.45">
      <c r="B2" s="49" t="s">
        <v>56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4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4">
      <c r="B4" s="35" t="s">
        <v>19</v>
      </c>
      <c r="C4" s="64" t="s">
        <v>20</v>
      </c>
      <c r="D4" s="64" t="s">
        <v>21</v>
      </c>
      <c r="E4" s="64" t="s">
        <v>22</v>
      </c>
      <c r="F4" s="64" t="s">
        <v>23</v>
      </c>
      <c r="G4" s="64" t="s">
        <v>24</v>
      </c>
      <c r="H4" s="64" t="s">
        <v>25</v>
      </c>
      <c r="I4" s="64" t="s">
        <v>26</v>
      </c>
      <c r="J4" s="64" t="s">
        <v>27</v>
      </c>
      <c r="K4" s="64" t="s">
        <v>28</v>
      </c>
      <c r="L4" s="64" t="s">
        <v>29</v>
      </c>
      <c r="M4" s="64" t="s">
        <v>30</v>
      </c>
      <c r="N4" s="73" t="s">
        <v>31</v>
      </c>
      <c r="O4" s="57" t="s">
        <v>32</v>
      </c>
    </row>
    <row r="5" spans="2:17" x14ac:dyDescent="0.35">
      <c r="B5" s="65" t="s">
        <v>33</v>
      </c>
      <c r="C5" s="128">
        <v>267983149.02000001</v>
      </c>
      <c r="D5" s="129">
        <v>254946875.94</v>
      </c>
      <c r="E5" s="129">
        <v>270170415.38999999</v>
      </c>
      <c r="F5" s="129">
        <v>248535735.81</v>
      </c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0.78153251676762847</v>
      </c>
      <c r="P5" s="131"/>
      <c r="Q5" s="203"/>
    </row>
    <row r="6" spans="2:17" ht="14.5" customHeight="1" thickBot="1" x14ac:dyDescent="0.4">
      <c r="B6" s="66" t="s">
        <v>37</v>
      </c>
      <c r="C6" s="132">
        <v>71691887.38000001</v>
      </c>
      <c r="D6" s="133">
        <v>61475266.700000003</v>
      </c>
      <c r="E6" s="133">
        <v>93531436.769999996</v>
      </c>
      <c r="F6" s="133">
        <v>64477564.93</v>
      </c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0.21846748323237158</v>
      </c>
      <c r="P6" s="131"/>
      <c r="Q6" s="203"/>
    </row>
    <row r="7" spans="2:17" ht="14.5" customHeight="1" thickBot="1" x14ac:dyDescent="0.4">
      <c r="B7" s="67" t="s">
        <v>57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363701852.15999997</v>
      </c>
      <c r="F7" s="102">
        <f t="shared" si="0"/>
        <v>313013300.74000001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</v>
      </c>
      <c r="Q7" s="203"/>
    </row>
    <row r="8" spans="2:17" ht="11.5" customHeight="1" thickBot="1" x14ac:dyDescent="0.4"/>
    <row r="9" spans="2:17" ht="14.5" customHeight="1" thickBot="1" x14ac:dyDescent="0.4">
      <c r="B9" s="68" t="s">
        <v>39</v>
      </c>
      <c r="C9" s="135">
        <v>192800577.00999999</v>
      </c>
      <c r="D9" s="112">
        <v>184616857.16999999</v>
      </c>
      <c r="E9" s="112">
        <v>185661822.50999999</v>
      </c>
      <c r="F9" s="112">
        <v>179720509.96000001</v>
      </c>
      <c r="G9" s="112"/>
      <c r="H9" s="112"/>
      <c r="I9" s="112"/>
      <c r="J9" s="112"/>
      <c r="K9" s="112"/>
      <c r="L9" s="112"/>
      <c r="M9" s="112"/>
      <c r="N9" s="136"/>
    </row>
    <row r="10" spans="2:17" x14ac:dyDescent="0.35">
      <c r="B10" s="69" t="s">
        <v>58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0.51047807814936152</v>
      </c>
      <c r="F10" s="70">
        <f t="shared" si="1"/>
        <v>0.57416253410037121</v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5">
      <c r="B11" s="71" t="s">
        <v>59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0.68720263927488501</v>
      </c>
      <c r="F11" s="72">
        <f t="shared" si="2"/>
        <v>0.72311737937514264</v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K33"/>
  <sheetViews>
    <sheetView zoomScale="70" zoomScaleNormal="70" workbookViewId="0">
      <selection activeCell="D9" sqref="D9"/>
    </sheetView>
  </sheetViews>
  <sheetFormatPr baseColWidth="10" defaultColWidth="13.7265625" defaultRowHeight="14.5" x14ac:dyDescent="0.35"/>
  <cols>
    <col min="1" max="1" width="6.08984375" style="157" customWidth="1"/>
    <col min="2" max="4" width="16.81640625" style="157" customWidth="1"/>
    <col min="5" max="5" width="2.1796875" style="157" customWidth="1"/>
    <col min="6" max="7" width="16.81640625" style="157" customWidth="1"/>
    <col min="8" max="8" width="2.1796875" style="157" customWidth="1"/>
    <col min="9" max="10" width="16.81640625" style="157" customWidth="1"/>
    <col min="11" max="11" width="3.7265625" style="157" customWidth="1"/>
    <col min="12" max="81" width="13.7265625" style="157" customWidth="1"/>
    <col min="82" max="16384" width="13.7265625" style="157"/>
  </cols>
  <sheetData>
    <row r="2" spans="2:11" ht="25.9" customHeight="1" x14ac:dyDescent="0.6">
      <c r="B2" s="155" t="s">
        <v>60</v>
      </c>
      <c r="C2" s="156"/>
      <c r="D2" s="156"/>
      <c r="E2" s="156"/>
      <c r="F2" s="156"/>
      <c r="G2" s="156"/>
      <c r="H2" s="156"/>
      <c r="I2" s="156"/>
      <c r="J2" s="156"/>
      <c r="K2" s="156"/>
    </row>
    <row r="3" spans="2:11" ht="15" customHeight="1" thickBot="1" x14ac:dyDescent="0.4">
      <c r="B3" s="157" t="s">
        <v>61</v>
      </c>
    </row>
    <row r="4" spans="2:11" x14ac:dyDescent="0.35">
      <c r="B4" s="208" t="s">
        <v>62</v>
      </c>
      <c r="C4" s="210" t="s">
        <v>63</v>
      </c>
      <c r="D4" s="209"/>
      <c r="E4" s="158"/>
      <c r="F4" s="208" t="s">
        <v>64</v>
      </c>
      <c r="G4" s="209"/>
      <c r="I4" s="208" t="s">
        <v>65</v>
      </c>
      <c r="J4" s="209"/>
    </row>
    <row r="5" spans="2:11" ht="15" customHeight="1" thickBot="1" x14ac:dyDescent="0.4">
      <c r="B5" s="211"/>
      <c r="C5" s="159" t="s">
        <v>66</v>
      </c>
      <c r="D5" s="160" t="s">
        <v>67</v>
      </c>
      <c r="E5" s="158"/>
      <c r="F5" s="161" t="s">
        <v>66</v>
      </c>
      <c r="G5" s="160" t="s">
        <v>67</v>
      </c>
      <c r="I5" s="161" t="s">
        <v>66</v>
      </c>
      <c r="J5" s="160" t="s">
        <v>67</v>
      </c>
    </row>
    <row r="6" spans="2:11" x14ac:dyDescent="0.35">
      <c r="B6" s="162" t="s">
        <v>68</v>
      </c>
      <c r="C6" s="163">
        <v>1336309</v>
      </c>
      <c r="D6" s="164">
        <v>158466723.06999999</v>
      </c>
      <c r="F6" s="165">
        <v>1643323</v>
      </c>
      <c r="G6" s="164">
        <v>112127174.66</v>
      </c>
      <c r="I6" s="165">
        <v>348559</v>
      </c>
      <c r="J6" s="164">
        <v>19873892.309999999</v>
      </c>
    </row>
    <row r="7" spans="2:11" x14ac:dyDescent="0.35">
      <c r="B7" s="166" t="s">
        <v>69</v>
      </c>
      <c r="C7" s="177">
        <v>1311107</v>
      </c>
      <c r="D7" s="179">
        <v>156986691.19</v>
      </c>
      <c r="E7" s="176"/>
      <c r="F7" s="178">
        <v>1540930</v>
      </c>
      <c r="G7" s="179">
        <v>105989101.66</v>
      </c>
      <c r="H7" s="176"/>
      <c r="I7" s="169">
        <v>293733</v>
      </c>
      <c r="J7" s="168">
        <v>17471233.620000001</v>
      </c>
    </row>
    <row r="8" spans="2:11" x14ac:dyDescent="0.35">
      <c r="B8" s="166" t="s">
        <v>70</v>
      </c>
      <c r="C8" s="167">
        <v>1522860</v>
      </c>
      <c r="D8" s="168">
        <v>194258886.62</v>
      </c>
      <c r="F8" s="169">
        <v>1798555</v>
      </c>
      <c r="G8" s="168">
        <v>120403481.65000001</v>
      </c>
      <c r="I8" s="169">
        <v>365382</v>
      </c>
      <c r="J8" s="168">
        <v>21208270.760000002</v>
      </c>
    </row>
    <row r="9" spans="2:11" x14ac:dyDescent="0.35">
      <c r="B9" s="166" t="s">
        <v>71</v>
      </c>
      <c r="C9" s="167">
        <v>1266851</v>
      </c>
      <c r="D9" s="168">
        <v>145749953.56</v>
      </c>
      <c r="F9" s="169">
        <v>1401213</v>
      </c>
      <c r="G9" s="168">
        <v>95986490.449999988</v>
      </c>
      <c r="I9" s="169">
        <v>260281</v>
      </c>
      <c r="J9" s="168">
        <v>14920063.880000001</v>
      </c>
    </row>
    <row r="10" spans="2:11" x14ac:dyDescent="0.35">
      <c r="B10" s="166" t="s">
        <v>72</v>
      </c>
      <c r="C10" s="167"/>
      <c r="D10" s="168"/>
      <c r="F10" s="169"/>
      <c r="G10" s="168"/>
      <c r="I10" s="169"/>
      <c r="J10" s="168"/>
    </row>
    <row r="11" spans="2:11" x14ac:dyDescent="0.35">
      <c r="B11" s="166" t="s">
        <v>73</v>
      </c>
      <c r="C11" s="167"/>
      <c r="D11" s="168"/>
      <c r="F11" s="169"/>
      <c r="G11" s="168"/>
      <c r="I11" s="169"/>
      <c r="J11" s="168"/>
    </row>
    <row r="12" spans="2:11" x14ac:dyDescent="0.35">
      <c r="B12" s="166" t="s">
        <v>74</v>
      </c>
      <c r="C12" s="167"/>
      <c r="D12" s="168"/>
      <c r="F12" s="169"/>
      <c r="G12" s="168"/>
      <c r="I12" s="169"/>
      <c r="J12" s="168"/>
    </row>
    <row r="13" spans="2:11" x14ac:dyDescent="0.35">
      <c r="B13" s="166" t="s">
        <v>75</v>
      </c>
      <c r="C13" s="167"/>
      <c r="D13" s="168"/>
      <c r="F13" s="169"/>
      <c r="G13" s="168"/>
      <c r="I13" s="169"/>
      <c r="J13" s="168"/>
    </row>
    <row r="14" spans="2:11" x14ac:dyDescent="0.35">
      <c r="B14" s="166" t="s">
        <v>76</v>
      </c>
      <c r="C14" s="167"/>
      <c r="D14" s="168"/>
      <c r="F14" s="169"/>
      <c r="G14" s="168"/>
      <c r="I14" s="169"/>
      <c r="J14" s="168"/>
    </row>
    <row r="15" spans="2:11" x14ac:dyDescent="0.35">
      <c r="B15" s="166" t="s">
        <v>77</v>
      </c>
      <c r="C15" s="167"/>
      <c r="D15" s="168"/>
      <c r="F15" s="169"/>
      <c r="G15" s="168"/>
      <c r="I15" s="169"/>
      <c r="J15" s="168"/>
    </row>
    <row r="16" spans="2:11" x14ac:dyDescent="0.35">
      <c r="B16" s="166" t="s">
        <v>78</v>
      </c>
      <c r="C16" s="167"/>
      <c r="D16" s="168"/>
      <c r="F16" s="169"/>
      <c r="G16" s="168"/>
      <c r="I16" s="169"/>
      <c r="J16" s="168"/>
    </row>
    <row r="17" spans="2:10" ht="15" customHeight="1" thickBot="1" x14ac:dyDescent="0.4">
      <c r="B17" s="170" t="s">
        <v>79</v>
      </c>
      <c r="C17" s="171"/>
      <c r="D17" s="172"/>
      <c r="F17" s="173"/>
      <c r="G17" s="172"/>
      <c r="I17" s="173"/>
      <c r="J17" s="172"/>
    </row>
    <row r="19" spans="2:10" ht="15" customHeight="1" thickBot="1" x14ac:dyDescent="0.4">
      <c r="B19" s="157" t="s">
        <v>80</v>
      </c>
    </row>
    <row r="20" spans="2:10" x14ac:dyDescent="0.35">
      <c r="B20" s="208" t="s">
        <v>62</v>
      </c>
      <c r="C20" s="210" t="s">
        <v>63</v>
      </c>
      <c r="D20" s="209"/>
      <c r="E20" s="158"/>
      <c r="F20" s="208" t="s">
        <v>64</v>
      </c>
      <c r="G20" s="209"/>
      <c r="I20" s="208" t="s">
        <v>65</v>
      </c>
      <c r="J20" s="209"/>
    </row>
    <row r="21" spans="2:10" ht="15" customHeight="1" thickBot="1" x14ac:dyDescent="0.4">
      <c r="B21" s="211"/>
      <c r="C21" s="159" t="s">
        <v>66</v>
      </c>
      <c r="D21" s="160" t="s">
        <v>67</v>
      </c>
      <c r="E21" s="158"/>
      <c r="F21" s="161" t="s">
        <v>66</v>
      </c>
      <c r="G21" s="160" t="s">
        <v>67</v>
      </c>
      <c r="I21" s="161" t="s">
        <v>66</v>
      </c>
      <c r="J21" s="160" t="s">
        <v>67</v>
      </c>
    </row>
    <row r="22" spans="2:10" x14ac:dyDescent="0.35">
      <c r="B22" s="162" t="s">
        <v>68</v>
      </c>
      <c r="C22" s="163">
        <v>1683590</v>
      </c>
      <c r="D22" s="164">
        <v>243315953.77000001</v>
      </c>
      <c r="F22" s="165">
        <v>1841561</v>
      </c>
      <c r="G22" s="164">
        <v>135384511.24000001</v>
      </c>
      <c r="I22" s="165">
        <v>389433</v>
      </c>
      <c r="J22" s="164">
        <v>22753302.710000001</v>
      </c>
    </row>
    <row r="23" spans="2:10" x14ac:dyDescent="0.35">
      <c r="B23" s="166" t="s">
        <v>69</v>
      </c>
      <c r="C23" s="177">
        <v>1604311</v>
      </c>
      <c r="D23" s="179">
        <v>229407668.71000001</v>
      </c>
      <c r="E23" s="176"/>
      <c r="F23" s="178">
        <v>1701036</v>
      </c>
      <c r="G23" s="179">
        <v>125904042.7</v>
      </c>
      <c r="H23" s="176"/>
      <c r="I23" s="178">
        <v>335491</v>
      </c>
      <c r="J23" s="179">
        <v>21069163.98</v>
      </c>
    </row>
    <row r="24" spans="2:10" x14ac:dyDescent="0.35">
      <c r="B24" s="166" t="s">
        <v>70</v>
      </c>
      <c r="C24" s="167">
        <v>1955989</v>
      </c>
      <c r="D24" s="168">
        <v>291420375.27999997</v>
      </c>
      <c r="F24" s="169">
        <v>1933319</v>
      </c>
      <c r="G24" s="168">
        <v>137630247.25999999</v>
      </c>
      <c r="I24" s="169">
        <v>382053</v>
      </c>
      <c r="J24" s="168">
        <v>23535020.609999999</v>
      </c>
    </row>
    <row r="25" spans="2:10" x14ac:dyDescent="0.35">
      <c r="B25" s="166" t="s">
        <v>71</v>
      </c>
      <c r="C25" s="167">
        <v>1595483</v>
      </c>
      <c r="D25" s="168">
        <v>226464850.03999999</v>
      </c>
      <c r="F25" s="169">
        <v>1615325</v>
      </c>
      <c r="G25" s="168">
        <v>120206419.61</v>
      </c>
      <c r="I25" s="169">
        <v>340910</v>
      </c>
      <c r="J25" s="168">
        <v>21002536.309999999</v>
      </c>
    </row>
    <row r="26" spans="2:10" x14ac:dyDescent="0.35">
      <c r="B26" s="166" t="s">
        <v>72</v>
      </c>
      <c r="C26" s="167"/>
      <c r="D26" s="168"/>
      <c r="F26" s="169"/>
      <c r="G26" s="168"/>
      <c r="I26" s="169"/>
      <c r="J26" s="168"/>
    </row>
    <row r="27" spans="2:10" x14ac:dyDescent="0.35">
      <c r="B27" s="166" t="s">
        <v>73</v>
      </c>
      <c r="C27" s="167"/>
      <c r="D27" s="168"/>
      <c r="F27" s="169"/>
      <c r="G27" s="168"/>
      <c r="I27" s="169"/>
      <c r="J27" s="168"/>
    </row>
    <row r="28" spans="2:10" x14ac:dyDescent="0.35">
      <c r="B28" s="166" t="s">
        <v>74</v>
      </c>
      <c r="C28" s="167"/>
      <c r="D28" s="168"/>
      <c r="F28" s="169"/>
      <c r="G28" s="168"/>
      <c r="I28" s="169"/>
      <c r="J28" s="168"/>
    </row>
    <row r="29" spans="2:10" x14ac:dyDescent="0.35">
      <c r="B29" s="166" t="s">
        <v>75</v>
      </c>
      <c r="C29" s="167"/>
      <c r="D29" s="168"/>
      <c r="F29" s="169"/>
      <c r="G29" s="168"/>
      <c r="I29" s="169"/>
      <c r="J29" s="168"/>
    </row>
    <row r="30" spans="2:10" x14ac:dyDescent="0.35">
      <c r="B30" s="166" t="s">
        <v>76</v>
      </c>
      <c r="C30" s="167"/>
      <c r="D30" s="168"/>
      <c r="F30" s="169"/>
      <c r="G30" s="168"/>
      <c r="I30" s="169"/>
      <c r="J30" s="168"/>
    </row>
    <row r="31" spans="2:10" x14ac:dyDescent="0.35">
      <c r="B31" s="166" t="s">
        <v>77</v>
      </c>
      <c r="C31" s="167"/>
      <c r="D31" s="168"/>
      <c r="F31" s="169"/>
      <c r="G31" s="168"/>
      <c r="I31" s="169"/>
      <c r="J31" s="168"/>
    </row>
    <row r="32" spans="2:10" x14ac:dyDescent="0.35">
      <c r="B32" s="166" t="s">
        <v>78</v>
      </c>
      <c r="C32" s="167"/>
      <c r="D32" s="168"/>
      <c r="F32" s="169"/>
      <c r="G32" s="168"/>
      <c r="I32" s="169"/>
      <c r="J32" s="168"/>
    </row>
    <row r="33" spans="2:10" ht="15" customHeight="1" thickBot="1" x14ac:dyDescent="0.4">
      <c r="B33" s="170" t="s">
        <v>79</v>
      </c>
      <c r="C33" s="171"/>
      <c r="D33" s="172"/>
      <c r="F33" s="173"/>
      <c r="G33" s="172"/>
      <c r="I33" s="173"/>
      <c r="J33" s="172"/>
    </row>
  </sheetData>
  <mergeCells count="8">
    <mergeCell ref="F4:G4"/>
    <mergeCell ref="C20:D20"/>
    <mergeCell ref="I4:J4"/>
    <mergeCell ref="I20:J20"/>
    <mergeCell ref="B4:B5"/>
    <mergeCell ref="F20:G20"/>
    <mergeCell ref="B20:B21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AQ240"/>
  <sheetViews>
    <sheetView showGridLines="0" tabSelected="1" zoomScale="70" zoomScaleNormal="70" workbookViewId="0">
      <pane xSplit="2" ySplit="4" topLeftCell="C197" activePane="bottomRight" state="frozen"/>
      <selection activeCell="B212" sqref="B212"/>
      <selection pane="topRight" activeCell="B212" sqref="B212"/>
      <selection pane="bottomLeft" activeCell="B212" sqref="B212"/>
      <selection pane="bottomRight" activeCell="G236" sqref="G236"/>
    </sheetView>
  </sheetViews>
  <sheetFormatPr baseColWidth="10" defaultColWidth="11.54296875" defaultRowHeight="14.5" outlineLevelCol="1" x14ac:dyDescent="0.35"/>
  <cols>
    <col min="1" max="1" width="1.36328125" customWidth="1"/>
    <col min="2" max="2" width="60.26953125" bestFit="1" customWidth="1"/>
    <col min="3" max="3" width="10.08984375" customWidth="1"/>
    <col min="4" max="4" width="18.26953125" bestFit="1" customWidth="1" outlineLevel="1"/>
    <col min="5" max="5" width="19.1796875" bestFit="1" customWidth="1" outlineLevel="1"/>
    <col min="6" max="6" width="18.26953125" bestFit="1" customWidth="1" outlineLevel="1"/>
    <col min="7" max="8" width="19.1796875" bestFit="1" customWidth="1" outlineLevel="1"/>
    <col min="9" max="9" width="1.6328125" customWidth="1"/>
    <col min="10" max="10" width="17.7265625" bestFit="1" customWidth="1" outlineLevel="1"/>
    <col min="11" max="11" width="17.26953125" customWidth="1" outlineLevel="1"/>
    <col min="12" max="12" width="17.7265625" bestFit="1" customWidth="1" outlineLevel="1"/>
    <col min="13" max="13" width="17.26953125" bestFit="1" customWidth="1" outlineLevel="1"/>
    <col min="14" max="14" width="18.6328125" bestFit="1" customWidth="1" outlineLevel="1"/>
    <col min="15" max="15" width="1.6328125" customWidth="1"/>
    <col min="16" max="16" width="8.6328125" hidden="1" customWidth="1"/>
    <col min="17" max="18" width="8.6328125" customWidth="1"/>
    <col min="19" max="22" width="7.81640625" hidden="1" customWidth="1"/>
    <col min="23" max="23" width="8.6328125" hidden="1" customWidth="1"/>
    <col min="24" max="24" width="7.81640625" hidden="1" customWidth="1"/>
    <col min="25" max="25" width="8.6328125" hidden="1" customWidth="1"/>
    <col min="26" max="27" width="7.81640625" hidden="1" customWidth="1"/>
    <col min="28" max="28" width="8.6328125" bestFit="1" customWidth="1"/>
    <col min="29" max="29" width="2.7265625" customWidth="1"/>
    <col min="30" max="30" width="8.6328125" customWidth="1"/>
    <col min="31" max="31" width="9.1796875" customWidth="1"/>
    <col min="32" max="32" width="8.6328125" hidden="1" customWidth="1"/>
    <col min="33" max="33" width="9.26953125" hidden="1" customWidth="1"/>
    <col min="34" max="34" width="8.36328125" hidden="1" customWidth="1"/>
    <col min="35" max="35" width="7.54296875" hidden="1" customWidth="1"/>
    <col min="36" max="36" width="8.7265625" hidden="1" customWidth="1"/>
    <col min="37" max="37" width="8.6328125" hidden="1" customWidth="1"/>
    <col min="38" max="38" width="8.453125" hidden="1" customWidth="1"/>
    <col min="39" max="39" width="8.90625" hidden="1" customWidth="1"/>
    <col min="40" max="40" width="7.90625" hidden="1" customWidth="1"/>
    <col min="41" max="41" width="3.6328125" customWidth="1"/>
    <col min="42" max="42" width="6.08984375" bestFit="1" customWidth="1"/>
    <col min="43" max="43" width="9.1796875" bestFit="1" customWidth="1"/>
    <col min="44" max="55" width="11.54296875" customWidth="1"/>
  </cols>
  <sheetData>
    <row r="1" spans="2:43" ht="22.9" customHeight="1" x14ac:dyDescent="0.35"/>
    <row r="2" spans="2:43" x14ac:dyDescent="0.35">
      <c r="D2" s="204" t="s">
        <v>81</v>
      </c>
      <c r="E2" s="205"/>
      <c r="F2" s="205"/>
      <c r="G2" s="205"/>
      <c r="H2" s="205"/>
      <c r="J2" s="207" t="s">
        <v>82</v>
      </c>
      <c r="K2" s="205"/>
      <c r="L2" s="205"/>
      <c r="M2" s="205"/>
      <c r="N2" s="205"/>
      <c r="P2" s="204" t="s">
        <v>83</v>
      </c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D2" s="206" t="s">
        <v>84</v>
      </c>
      <c r="AE2" s="205"/>
      <c r="AF2" s="205"/>
      <c r="AG2" s="205"/>
      <c r="AH2" s="205"/>
      <c r="AI2" s="205"/>
      <c r="AJ2" s="205"/>
      <c r="AK2" s="205"/>
      <c r="AL2" s="205"/>
      <c r="AM2" s="205"/>
      <c r="AN2" s="205"/>
    </row>
    <row r="3" spans="2:43" ht="4.9000000000000004" customHeight="1" x14ac:dyDescent="0.35"/>
    <row r="4" spans="2:43" ht="17.5" customHeight="1" x14ac:dyDescent="0.35">
      <c r="B4" s="76" t="s">
        <v>85</v>
      </c>
      <c r="D4" s="77" t="s">
        <v>20</v>
      </c>
      <c r="E4" s="77" t="s">
        <v>21</v>
      </c>
      <c r="F4" s="77" t="s">
        <v>22</v>
      </c>
      <c r="G4" s="77" t="s">
        <v>23</v>
      </c>
      <c r="H4" s="77" t="s">
        <v>45</v>
      </c>
      <c r="J4" s="78" t="s">
        <v>20</v>
      </c>
      <c r="K4" s="78" t="s">
        <v>21</v>
      </c>
      <c r="L4" s="78" t="s">
        <v>22</v>
      </c>
      <c r="M4" s="78" t="s">
        <v>23</v>
      </c>
      <c r="N4" s="78" t="s">
        <v>45</v>
      </c>
      <c r="P4" s="79" t="s">
        <v>20</v>
      </c>
      <c r="Q4" s="79" t="s">
        <v>21</v>
      </c>
      <c r="R4" s="79" t="s">
        <v>22</v>
      </c>
      <c r="S4" s="79" t="s">
        <v>23</v>
      </c>
      <c r="T4" s="79" t="s">
        <v>24</v>
      </c>
      <c r="U4" s="79" t="s">
        <v>25</v>
      </c>
      <c r="V4" s="79" t="s">
        <v>26</v>
      </c>
      <c r="W4" s="79" t="s">
        <v>27</v>
      </c>
      <c r="X4" s="79" t="s">
        <v>28</v>
      </c>
      <c r="Y4" s="79" t="s">
        <v>29</v>
      </c>
      <c r="Z4" s="79" t="s">
        <v>30</v>
      </c>
      <c r="AA4" s="79" t="s">
        <v>31</v>
      </c>
      <c r="AB4" s="79" t="s">
        <v>45</v>
      </c>
      <c r="AD4" s="76" t="s">
        <v>86</v>
      </c>
      <c r="AE4" s="76" t="s">
        <v>87</v>
      </c>
      <c r="AF4" s="76" t="s">
        <v>88</v>
      </c>
      <c r="AG4" s="76" t="s">
        <v>89</v>
      </c>
      <c r="AH4" s="76" t="s">
        <v>90</v>
      </c>
      <c r="AI4" s="76" t="s">
        <v>91</v>
      </c>
      <c r="AJ4" s="76" t="s">
        <v>92</v>
      </c>
      <c r="AK4" s="76" t="s">
        <v>93</v>
      </c>
      <c r="AL4" s="76" t="s">
        <v>94</v>
      </c>
      <c r="AM4" s="76" t="s">
        <v>95</v>
      </c>
      <c r="AN4" s="76" t="s">
        <v>96</v>
      </c>
      <c r="AP4" s="76" t="s">
        <v>97</v>
      </c>
      <c r="AQ4" s="76" t="s">
        <v>98</v>
      </c>
    </row>
    <row r="5" spans="2:43" x14ac:dyDescent="0.35">
      <c r="B5" s="80" t="s">
        <v>99</v>
      </c>
      <c r="D5" s="137">
        <v>112747135</v>
      </c>
      <c r="E5" s="137">
        <v>105746923</v>
      </c>
      <c r="F5" s="137">
        <v>114855528</v>
      </c>
      <c r="G5" s="137">
        <v>94958306</v>
      </c>
      <c r="H5" s="137">
        <f t="shared" ref="H5:H68" si="0">+SUM(D5:G5)</f>
        <v>428307892</v>
      </c>
      <c r="J5" s="137">
        <v>16444200</v>
      </c>
      <c r="K5" s="137">
        <v>15425572</v>
      </c>
      <c r="L5" s="137">
        <v>17352396</v>
      </c>
      <c r="M5" s="137">
        <v>13694387</v>
      </c>
      <c r="N5" s="137">
        <f t="shared" ref="N5:N68" si="1">+SUM(J5:M5)</f>
        <v>62916555</v>
      </c>
      <c r="P5" s="81">
        <f t="shared" ref="P5:P68" si="2">+IFERROR(J5/D5,"")</f>
        <v>0.14585026927735237</v>
      </c>
      <c r="Q5" s="81">
        <f t="shared" ref="Q5:Q68" si="3">+IFERROR(K5/E5,"")</f>
        <v>0.14587253758674379</v>
      </c>
      <c r="R5" s="81">
        <f t="shared" ref="R5:R68" si="4">+IFERROR(L5/F5,"")</f>
        <v>0.1510801987693618</v>
      </c>
      <c r="S5" s="81">
        <f t="shared" ref="S5:S68" si="5">+IFERROR(M5/G5,"")</f>
        <v>0.14421473567567644</v>
      </c>
      <c r="T5" s="81" t="str">
        <f>+IFERROR(#REF!/#REF!,"")</f>
        <v/>
      </c>
      <c r="U5" s="81" t="str">
        <f>+IFERROR(#REF!/#REF!,"")</f>
        <v/>
      </c>
      <c r="V5" s="81" t="str">
        <f>+IFERROR(#REF!/#REF!,"")</f>
        <v/>
      </c>
      <c r="W5" s="81" t="str">
        <f>+IFERROR(#REF!/#REF!,"")</f>
        <v/>
      </c>
      <c r="X5" s="81" t="str">
        <f>+IFERROR(#REF!/#REF!,"")</f>
        <v/>
      </c>
      <c r="Y5" s="81" t="str">
        <f>+IFERROR(#REF!/#REF!,"")</f>
        <v/>
      </c>
      <c r="Z5" s="81" t="str">
        <f>+IFERROR(#REF!/#REF!,"")</f>
        <v/>
      </c>
      <c r="AA5" s="81" t="str">
        <f>+IFERROR(#REF!/#REF!,"")</f>
        <v/>
      </c>
      <c r="AB5" s="81">
        <f t="shared" ref="AB5:AB68" si="6">+IFERROR(N5/H5,"")</f>
        <v>0.14689562386116387</v>
      </c>
      <c r="AD5" s="138">
        <f t="shared" ref="AD5:AD36" si="7">+IFERROR(Q5-P5,"")</f>
        <v>2.2268309391421104E-5</v>
      </c>
      <c r="AE5" s="138">
        <f t="shared" ref="AE5:AE36" si="8">+IFERROR(R5-Q5,"")</f>
        <v>5.2076611826180064E-3</v>
      </c>
      <c r="AF5" s="138">
        <f t="shared" ref="AF5:AF36" si="9">+IFERROR(S5-R5,"")</f>
        <v>-6.8654630936853533E-3</v>
      </c>
      <c r="AG5" s="138" t="str">
        <f t="shared" ref="AG5:AG36" si="10">+IFERROR(T5-S5,"")</f>
        <v/>
      </c>
      <c r="AH5" s="138" t="str">
        <f t="shared" ref="AH5:AH36" si="11">+IFERROR(U5-T5,"")</f>
        <v/>
      </c>
      <c r="AI5" s="138" t="str">
        <f t="shared" ref="AI5:AI36" si="12">+IFERROR(V5-U5,"")</f>
        <v/>
      </c>
      <c r="AJ5" s="138" t="str">
        <f t="shared" ref="AJ5:AJ36" si="13">+IFERROR(W5-V5,"")</f>
        <v/>
      </c>
      <c r="AK5" s="138" t="str">
        <f t="shared" ref="AK5:AK36" si="14">+IFERROR(X5-W5,"")</f>
        <v/>
      </c>
      <c r="AL5" s="138" t="str">
        <f t="shared" ref="AL5:AL36" si="15">+IFERROR(Y5-X5,"")</f>
        <v/>
      </c>
      <c r="AM5" s="138" t="str">
        <f t="shared" ref="AM5:AM36" si="16">+IFERROR(Z5-Y5,"")</f>
        <v/>
      </c>
      <c r="AN5" s="138" t="str">
        <f t="shared" ref="AN5:AN36" si="17">+IFERROR(AA5-Z5,"")</f>
        <v/>
      </c>
      <c r="AP5" s="82">
        <f t="shared" ref="AP5:AP68" si="18">+N5/$N$236</f>
        <v>6.2123828667819105E-2</v>
      </c>
      <c r="AQ5" s="82">
        <f>+AP5</f>
        <v>6.2123828667819105E-2</v>
      </c>
    </row>
    <row r="6" spans="2:43" x14ac:dyDescent="0.35">
      <c r="B6" s="80" t="s">
        <v>100</v>
      </c>
      <c r="D6" s="137">
        <v>218028733</v>
      </c>
      <c r="E6" s="137">
        <v>221668455</v>
      </c>
      <c r="F6" s="137">
        <v>241905894</v>
      </c>
      <c r="G6" s="137">
        <v>237280000</v>
      </c>
      <c r="H6" s="137">
        <f t="shared" si="0"/>
        <v>918883082</v>
      </c>
      <c r="J6" s="137">
        <v>23632419</v>
      </c>
      <c r="K6" s="137">
        <v>23060673</v>
      </c>
      <c r="L6" s="137">
        <v>24534412</v>
      </c>
      <c r="M6" s="137">
        <v>21810998</v>
      </c>
      <c r="N6" s="137">
        <f t="shared" si="1"/>
        <v>93038502</v>
      </c>
      <c r="P6" s="81">
        <f t="shared" si="2"/>
        <v>0.10839130547073353</v>
      </c>
      <c r="Q6" s="81">
        <f t="shared" si="3"/>
        <v>0.10403227198024184</v>
      </c>
      <c r="R6" s="81">
        <f t="shared" si="4"/>
        <v>0.10142130724603179</v>
      </c>
      <c r="S6" s="81">
        <f t="shared" si="5"/>
        <v>9.1920928860418069E-2</v>
      </c>
      <c r="T6" s="81" t="str">
        <f>+IFERROR(#REF!/#REF!,"")</f>
        <v/>
      </c>
      <c r="U6" s="81" t="str">
        <f>+IFERROR(#REF!/#REF!,"")</f>
        <v/>
      </c>
      <c r="V6" s="81" t="str">
        <f>+IFERROR(#REF!/#REF!,"")</f>
        <v/>
      </c>
      <c r="W6" s="81" t="str">
        <f>+IFERROR(#REF!/#REF!,"")</f>
        <v/>
      </c>
      <c r="X6" s="81" t="str">
        <f>+IFERROR(#REF!/#REF!,"")</f>
        <v/>
      </c>
      <c r="Y6" s="81" t="str">
        <f>+IFERROR(#REF!/#REF!,"")</f>
        <v/>
      </c>
      <c r="Z6" s="81" t="str">
        <f>+IFERROR(#REF!/#REF!,"")</f>
        <v/>
      </c>
      <c r="AA6" s="81" t="str">
        <f>+IFERROR(#REF!/#REF!,"")</f>
        <v/>
      </c>
      <c r="AB6" s="81">
        <f t="shared" si="6"/>
        <v>0.10125173030446544</v>
      </c>
      <c r="AD6" s="138">
        <f t="shared" si="7"/>
        <v>-4.3590334904916872E-3</v>
      </c>
      <c r="AE6" s="138">
        <f t="shared" si="8"/>
        <v>-2.6109647342100473E-3</v>
      </c>
      <c r="AF6" s="138">
        <f t="shared" si="9"/>
        <v>-9.5003783856137253E-3</v>
      </c>
      <c r="AG6" s="138" t="str">
        <f t="shared" si="10"/>
        <v/>
      </c>
      <c r="AH6" s="138" t="str">
        <f t="shared" si="11"/>
        <v/>
      </c>
      <c r="AI6" s="138" t="str">
        <f t="shared" si="12"/>
        <v/>
      </c>
      <c r="AJ6" s="138" t="str">
        <f t="shared" si="13"/>
        <v/>
      </c>
      <c r="AK6" s="138" t="str">
        <f t="shared" si="14"/>
        <v/>
      </c>
      <c r="AL6" s="138" t="str">
        <f t="shared" si="15"/>
        <v/>
      </c>
      <c r="AM6" s="138" t="str">
        <f t="shared" si="16"/>
        <v/>
      </c>
      <c r="AN6" s="138" t="str">
        <f t="shared" si="17"/>
        <v/>
      </c>
      <c r="AP6" s="82">
        <f t="shared" si="18"/>
        <v>9.1866249793214921E-2</v>
      </c>
      <c r="AQ6" s="82">
        <f t="shared" ref="AQ6:AQ69" si="19">+AP6+AQ5</f>
        <v>0.15399007846103402</v>
      </c>
    </row>
    <row r="7" spans="2:43" x14ac:dyDescent="0.35">
      <c r="B7" s="80" t="s">
        <v>101</v>
      </c>
      <c r="D7" s="137">
        <v>117317466</v>
      </c>
      <c r="E7" s="137">
        <v>113475422</v>
      </c>
      <c r="F7" s="137">
        <v>125981877</v>
      </c>
      <c r="G7" s="137">
        <v>142496838</v>
      </c>
      <c r="H7" s="137">
        <f t="shared" si="0"/>
        <v>499271603</v>
      </c>
      <c r="J7" s="137">
        <v>17639568</v>
      </c>
      <c r="K7" s="137">
        <v>16883400</v>
      </c>
      <c r="L7" s="137">
        <v>18878546</v>
      </c>
      <c r="M7" s="137">
        <v>21327035</v>
      </c>
      <c r="N7" s="137">
        <f t="shared" si="1"/>
        <v>74728549</v>
      </c>
      <c r="P7" s="81">
        <f t="shared" si="2"/>
        <v>0.15035756056988139</v>
      </c>
      <c r="Q7" s="81">
        <f t="shared" si="3"/>
        <v>0.14878464166451832</v>
      </c>
      <c r="R7" s="81">
        <f t="shared" si="4"/>
        <v>0.14985128376837883</v>
      </c>
      <c r="S7" s="81">
        <f t="shared" si="5"/>
        <v>0.14966672453461738</v>
      </c>
      <c r="T7" s="81" t="str">
        <f>+IFERROR(#REF!/#REF!,"")</f>
        <v/>
      </c>
      <c r="U7" s="81" t="str">
        <f>+IFERROR(#REF!/#REF!,"")</f>
        <v/>
      </c>
      <c r="V7" s="81" t="str">
        <f>+IFERROR(#REF!/#REF!,"")</f>
        <v/>
      </c>
      <c r="W7" s="81" t="str">
        <f>+IFERROR(#REF!/#REF!,"")</f>
        <v/>
      </c>
      <c r="X7" s="81" t="str">
        <f>+IFERROR(#REF!/#REF!,"")</f>
        <v/>
      </c>
      <c r="Y7" s="81" t="str">
        <f>+IFERROR(#REF!/#REF!,"")</f>
        <v/>
      </c>
      <c r="Z7" s="81" t="str">
        <f>+IFERROR(#REF!/#REF!,"")</f>
        <v/>
      </c>
      <c r="AA7" s="81" t="str">
        <f>+IFERROR(#REF!/#REF!,"")</f>
        <v/>
      </c>
      <c r="AB7" s="81">
        <f t="shared" si="6"/>
        <v>0.14967514385151201</v>
      </c>
      <c r="AD7" s="138">
        <f t="shared" si="7"/>
        <v>-1.5729189053630688E-3</v>
      </c>
      <c r="AE7" s="138">
        <f t="shared" si="8"/>
        <v>1.0666421038605101E-3</v>
      </c>
      <c r="AF7" s="138">
        <f t="shared" si="9"/>
        <v>-1.8455923376145544E-4</v>
      </c>
      <c r="AG7" s="138" t="str">
        <f t="shared" si="10"/>
        <v/>
      </c>
      <c r="AH7" s="138" t="str">
        <f t="shared" si="11"/>
        <v/>
      </c>
      <c r="AI7" s="138" t="str">
        <f t="shared" si="12"/>
        <v/>
      </c>
      <c r="AJ7" s="138" t="str">
        <f t="shared" si="13"/>
        <v/>
      </c>
      <c r="AK7" s="138" t="str">
        <f t="shared" si="14"/>
        <v/>
      </c>
      <c r="AL7" s="138" t="str">
        <f t="shared" si="15"/>
        <v/>
      </c>
      <c r="AM7" s="138" t="str">
        <f t="shared" si="16"/>
        <v/>
      </c>
      <c r="AN7" s="138" t="str">
        <f t="shared" si="17"/>
        <v/>
      </c>
      <c r="AP7" s="82">
        <f t="shared" si="18"/>
        <v>7.3786995722679424E-2</v>
      </c>
      <c r="AQ7" s="82">
        <f t="shared" si="19"/>
        <v>0.22777707418371346</v>
      </c>
    </row>
    <row r="8" spans="2:43" x14ac:dyDescent="0.35">
      <c r="B8" s="80" t="s">
        <v>102</v>
      </c>
      <c r="D8" s="137">
        <v>124428472</v>
      </c>
      <c r="E8" s="137">
        <v>113953819</v>
      </c>
      <c r="F8" s="137">
        <v>116927467</v>
      </c>
      <c r="G8" s="137">
        <v>109016606</v>
      </c>
      <c r="H8" s="137">
        <f t="shared" si="0"/>
        <v>464326364</v>
      </c>
      <c r="J8" s="137">
        <v>16268628</v>
      </c>
      <c r="K8" s="137">
        <v>14763094</v>
      </c>
      <c r="L8" s="137">
        <v>15310168</v>
      </c>
      <c r="M8" s="137">
        <v>14045773</v>
      </c>
      <c r="N8" s="137">
        <f t="shared" si="1"/>
        <v>60387663</v>
      </c>
      <c r="P8" s="81">
        <f t="shared" si="2"/>
        <v>0.1307468277839175</v>
      </c>
      <c r="Q8" s="81">
        <f t="shared" si="3"/>
        <v>0.12955330615115235</v>
      </c>
      <c r="R8" s="81">
        <f t="shared" si="4"/>
        <v>0.1309373100505119</v>
      </c>
      <c r="S8" s="81">
        <f t="shared" si="5"/>
        <v>0.12884067405290531</v>
      </c>
      <c r="T8" s="81" t="str">
        <f>+IFERROR(#REF!/#REF!,"")</f>
        <v/>
      </c>
      <c r="U8" s="81" t="str">
        <f>+IFERROR(#REF!/#REF!,"")</f>
        <v/>
      </c>
      <c r="V8" s="81" t="str">
        <f>+IFERROR(#REF!/#REF!,"")</f>
        <v/>
      </c>
      <c r="W8" s="81" t="str">
        <f>+IFERROR(#REF!/#REF!,"")</f>
        <v/>
      </c>
      <c r="X8" s="81" t="str">
        <f>+IFERROR(#REF!/#REF!,"")</f>
        <v/>
      </c>
      <c r="Y8" s="81" t="str">
        <f>+IFERROR(#REF!/#REF!,"")</f>
        <v/>
      </c>
      <c r="Z8" s="81" t="str">
        <f>+IFERROR(#REF!/#REF!,"")</f>
        <v/>
      </c>
      <c r="AA8" s="81" t="str">
        <f>+IFERROR(#REF!/#REF!,"")</f>
        <v/>
      </c>
      <c r="AB8" s="81">
        <f t="shared" si="6"/>
        <v>0.13005434901387594</v>
      </c>
      <c r="AD8" s="138">
        <f t="shared" si="7"/>
        <v>-1.1935216327651488E-3</v>
      </c>
      <c r="AE8" s="138">
        <f t="shared" si="8"/>
        <v>1.3840038993595538E-3</v>
      </c>
      <c r="AF8" s="138">
        <f t="shared" si="9"/>
        <v>-2.096635997606594E-3</v>
      </c>
      <c r="AG8" s="138" t="str">
        <f t="shared" si="10"/>
        <v/>
      </c>
      <c r="AH8" s="138" t="str">
        <f t="shared" si="11"/>
        <v/>
      </c>
      <c r="AI8" s="138" t="str">
        <f t="shared" si="12"/>
        <v/>
      </c>
      <c r="AJ8" s="138" t="str">
        <f t="shared" si="13"/>
        <v/>
      </c>
      <c r="AK8" s="138" t="str">
        <f t="shared" si="14"/>
        <v/>
      </c>
      <c r="AL8" s="138" t="str">
        <f t="shared" si="15"/>
        <v/>
      </c>
      <c r="AM8" s="138" t="str">
        <f t="shared" si="16"/>
        <v/>
      </c>
      <c r="AN8" s="138" t="str">
        <f t="shared" si="17"/>
        <v/>
      </c>
      <c r="AP8" s="82">
        <f t="shared" si="18"/>
        <v>5.9626799812259254E-2</v>
      </c>
      <c r="AQ8" s="82">
        <f t="shared" si="19"/>
        <v>0.28740387399597273</v>
      </c>
    </row>
    <row r="9" spans="2:43" x14ac:dyDescent="0.35">
      <c r="B9" s="80" t="s">
        <v>103</v>
      </c>
      <c r="D9" s="137">
        <v>199865960</v>
      </c>
      <c r="E9" s="137">
        <v>192640480</v>
      </c>
      <c r="F9" s="137">
        <v>240386422</v>
      </c>
      <c r="G9" s="137">
        <v>191512072</v>
      </c>
      <c r="H9" s="137">
        <f t="shared" si="0"/>
        <v>824404934</v>
      </c>
      <c r="J9" s="137">
        <v>25658586</v>
      </c>
      <c r="K9" s="137">
        <v>24176350</v>
      </c>
      <c r="L9" s="137">
        <v>30679270</v>
      </c>
      <c r="M9" s="137">
        <v>24317891</v>
      </c>
      <c r="N9" s="137">
        <f t="shared" si="1"/>
        <v>104832097</v>
      </c>
      <c r="P9" s="81">
        <f t="shared" si="2"/>
        <v>0.12837896958541614</v>
      </c>
      <c r="Q9" s="81">
        <f t="shared" si="3"/>
        <v>0.12549984302364695</v>
      </c>
      <c r="R9" s="81">
        <f t="shared" si="4"/>
        <v>0.12762480403323279</v>
      </c>
      <c r="S9" s="81">
        <f t="shared" si="5"/>
        <v>0.12697837136867279</v>
      </c>
      <c r="T9" s="81" t="str">
        <f>+IFERROR(#REF!/#REF!,"")</f>
        <v/>
      </c>
      <c r="U9" s="81" t="str">
        <f>+IFERROR(#REF!/#REF!,"")</f>
        <v/>
      </c>
      <c r="V9" s="81" t="str">
        <f>+IFERROR(#REF!/#REF!,"")</f>
        <v/>
      </c>
      <c r="W9" s="81" t="str">
        <f>+IFERROR(#REF!/#REF!,"")</f>
        <v/>
      </c>
      <c r="X9" s="81" t="str">
        <f>+IFERROR(#REF!/#REF!,"")</f>
        <v/>
      </c>
      <c r="Y9" s="81" t="str">
        <f>+IFERROR(#REF!/#REF!,"")</f>
        <v/>
      </c>
      <c r="Z9" s="81" t="str">
        <f>+IFERROR(#REF!/#REF!,"")</f>
        <v/>
      </c>
      <c r="AA9" s="81" t="str">
        <f>+IFERROR(#REF!/#REF!,"")</f>
        <v/>
      </c>
      <c r="AB9" s="81">
        <f t="shared" si="6"/>
        <v>0.12716092866081755</v>
      </c>
      <c r="AD9" s="138">
        <f t="shared" si="7"/>
        <v>-2.8791265617691963E-3</v>
      </c>
      <c r="AE9" s="138">
        <f t="shared" si="8"/>
        <v>2.1249610095858407E-3</v>
      </c>
      <c r="AF9" s="138">
        <f t="shared" si="9"/>
        <v>-6.4643266455999271E-4</v>
      </c>
      <c r="AG9" s="138" t="str">
        <f t="shared" si="10"/>
        <v/>
      </c>
      <c r="AH9" s="138" t="str">
        <f t="shared" si="11"/>
        <v/>
      </c>
      <c r="AI9" s="138" t="str">
        <f t="shared" si="12"/>
        <v/>
      </c>
      <c r="AJ9" s="138" t="str">
        <f t="shared" si="13"/>
        <v/>
      </c>
      <c r="AK9" s="138" t="str">
        <f t="shared" si="14"/>
        <v/>
      </c>
      <c r="AL9" s="138" t="str">
        <f t="shared" si="15"/>
        <v/>
      </c>
      <c r="AM9" s="138" t="str">
        <f t="shared" si="16"/>
        <v/>
      </c>
      <c r="AN9" s="138" t="str">
        <f t="shared" si="17"/>
        <v/>
      </c>
      <c r="AP9" s="82">
        <f t="shared" si="18"/>
        <v>0.1035112496689654</v>
      </c>
      <c r="AQ9" s="82">
        <f t="shared" si="19"/>
        <v>0.39091512366493814</v>
      </c>
    </row>
    <row r="10" spans="2:43" x14ac:dyDescent="0.35">
      <c r="B10" s="83" t="s">
        <v>104</v>
      </c>
      <c r="D10" s="137">
        <v>61180609</v>
      </c>
      <c r="E10" s="137">
        <v>57980926</v>
      </c>
      <c r="F10" s="137">
        <v>47208933</v>
      </c>
      <c r="G10" s="137">
        <v>53578601</v>
      </c>
      <c r="H10" s="137">
        <f t="shared" si="0"/>
        <v>219949069</v>
      </c>
      <c r="J10" s="137">
        <v>5752791</v>
      </c>
      <c r="K10" s="137">
        <v>5810603</v>
      </c>
      <c r="L10" s="137">
        <v>4933318</v>
      </c>
      <c r="M10" s="137">
        <v>5153772</v>
      </c>
      <c r="N10" s="137">
        <f t="shared" si="1"/>
        <v>21650484</v>
      </c>
      <c r="P10" s="84">
        <f t="shared" si="2"/>
        <v>9.4029645896463704E-2</v>
      </c>
      <c r="Q10" s="84">
        <f t="shared" si="3"/>
        <v>0.10021576750947372</v>
      </c>
      <c r="R10" s="84">
        <f t="shared" si="4"/>
        <v>0.10449967170408193</v>
      </c>
      <c r="S10" s="84">
        <f t="shared" si="5"/>
        <v>9.6190865453915086E-2</v>
      </c>
      <c r="T10" s="84" t="str">
        <f>+IFERROR(#REF!/#REF!,"")</f>
        <v/>
      </c>
      <c r="U10" s="84" t="str">
        <f>+IFERROR(#REF!/#REF!,"")</f>
        <v/>
      </c>
      <c r="V10" s="84" t="str">
        <f>+IFERROR(#REF!/#REF!,"")</f>
        <v/>
      </c>
      <c r="W10" s="84" t="str">
        <f>+IFERROR(#REF!/#REF!,"")</f>
        <v/>
      </c>
      <c r="X10" s="84" t="str">
        <f>+IFERROR(#REF!/#REF!,"")</f>
        <v/>
      </c>
      <c r="Y10" s="84" t="str">
        <f>+IFERROR(#REF!/#REF!,"")</f>
        <v/>
      </c>
      <c r="Z10" s="84" t="str">
        <f>+IFERROR(#REF!/#REF!,"")</f>
        <v/>
      </c>
      <c r="AA10" s="84" t="str">
        <f>+IFERROR(#REF!/#REF!,"")</f>
        <v/>
      </c>
      <c r="AB10" s="84">
        <f t="shared" si="6"/>
        <v>9.8434078845771336E-2</v>
      </c>
      <c r="AD10" s="139">
        <f t="shared" si="7"/>
        <v>6.1861216130100205E-3</v>
      </c>
      <c r="AE10" s="139">
        <f t="shared" si="8"/>
        <v>4.2839041946082096E-3</v>
      </c>
      <c r="AF10" s="139">
        <f t="shared" si="9"/>
        <v>-8.3088062501668475E-3</v>
      </c>
      <c r="AG10" s="139" t="str">
        <f t="shared" si="10"/>
        <v/>
      </c>
      <c r="AH10" s="139" t="str">
        <f t="shared" si="11"/>
        <v/>
      </c>
      <c r="AI10" s="139" t="str">
        <f t="shared" si="12"/>
        <v/>
      </c>
      <c r="AJ10" s="139" t="str">
        <f t="shared" si="13"/>
        <v/>
      </c>
      <c r="AK10" s="139" t="str">
        <f t="shared" si="14"/>
        <v/>
      </c>
      <c r="AL10" s="139" t="str">
        <f t="shared" si="15"/>
        <v/>
      </c>
      <c r="AM10" s="139" t="str">
        <f t="shared" si="16"/>
        <v/>
      </c>
      <c r="AN10" s="139" t="str">
        <f t="shared" si="17"/>
        <v/>
      </c>
      <c r="AP10" s="82">
        <f t="shared" si="18"/>
        <v>2.1377695561865376E-2</v>
      </c>
      <c r="AQ10" s="82">
        <f t="shared" si="19"/>
        <v>0.4122928192268035</v>
      </c>
    </row>
    <row r="11" spans="2:43" x14ac:dyDescent="0.35">
      <c r="B11" s="83" t="s">
        <v>105</v>
      </c>
      <c r="D11" s="137">
        <v>44302578</v>
      </c>
      <c r="E11" s="137">
        <v>42971012</v>
      </c>
      <c r="F11" s="137">
        <v>42593098</v>
      </c>
      <c r="G11" s="137">
        <v>39270125</v>
      </c>
      <c r="H11" s="137">
        <f t="shared" si="0"/>
        <v>169136813</v>
      </c>
      <c r="J11" s="137">
        <v>8260175</v>
      </c>
      <c r="K11" s="137">
        <v>8227434</v>
      </c>
      <c r="L11" s="137">
        <v>7919091</v>
      </c>
      <c r="M11" s="137">
        <v>7398408</v>
      </c>
      <c r="N11" s="137">
        <f t="shared" si="1"/>
        <v>31805108</v>
      </c>
      <c r="P11" s="84">
        <f t="shared" si="2"/>
        <v>0.18644908203761867</v>
      </c>
      <c r="Q11" s="84">
        <f t="shared" si="3"/>
        <v>0.19146474837502081</v>
      </c>
      <c r="R11" s="84">
        <f t="shared" si="4"/>
        <v>0.18592427815417417</v>
      </c>
      <c r="S11" s="84">
        <f t="shared" si="5"/>
        <v>0.1883978724284682</v>
      </c>
      <c r="T11" s="84" t="str">
        <f>+IFERROR(#REF!/#REF!,"")</f>
        <v/>
      </c>
      <c r="U11" s="84" t="str">
        <f>+IFERROR(#REF!/#REF!,"")</f>
        <v/>
      </c>
      <c r="V11" s="84" t="str">
        <f>+IFERROR(#REF!/#REF!,"")</f>
        <v/>
      </c>
      <c r="W11" s="84" t="str">
        <f>+IFERROR(#REF!/#REF!,"")</f>
        <v/>
      </c>
      <c r="X11" s="84" t="str">
        <f>+IFERROR(#REF!/#REF!,"")</f>
        <v/>
      </c>
      <c r="Y11" s="84" t="str">
        <f>+IFERROR(#REF!/#REF!,"")</f>
        <v/>
      </c>
      <c r="Z11" s="84" t="str">
        <f>+IFERROR(#REF!/#REF!,"")</f>
        <v/>
      </c>
      <c r="AA11" s="84" t="str">
        <f>+IFERROR(#REF!/#REF!,"")</f>
        <v/>
      </c>
      <c r="AB11" s="84">
        <f t="shared" si="6"/>
        <v>0.18804367562489191</v>
      </c>
      <c r="AD11" s="139">
        <f t="shared" si="7"/>
        <v>5.015666337402136E-3</v>
      </c>
      <c r="AE11" s="139">
        <f t="shared" si="8"/>
        <v>-5.5404702208466383E-3</v>
      </c>
      <c r="AF11" s="139">
        <f t="shared" si="9"/>
        <v>2.4735942742940276E-3</v>
      </c>
      <c r="AG11" s="139" t="str">
        <f t="shared" si="10"/>
        <v/>
      </c>
      <c r="AH11" s="139" t="str">
        <f t="shared" si="11"/>
        <v/>
      </c>
      <c r="AI11" s="139" t="str">
        <f t="shared" si="12"/>
        <v/>
      </c>
      <c r="AJ11" s="139" t="str">
        <f t="shared" si="13"/>
        <v/>
      </c>
      <c r="AK11" s="139" t="str">
        <f t="shared" si="14"/>
        <v/>
      </c>
      <c r="AL11" s="139" t="str">
        <f t="shared" si="15"/>
        <v/>
      </c>
      <c r="AM11" s="139" t="str">
        <f t="shared" si="16"/>
        <v/>
      </c>
      <c r="AN11" s="139" t="str">
        <f t="shared" si="17"/>
        <v/>
      </c>
      <c r="AP11" s="82">
        <f t="shared" si="18"/>
        <v>3.1404374892323374E-2</v>
      </c>
      <c r="AQ11" s="82">
        <f t="shared" si="19"/>
        <v>0.44369719411912689</v>
      </c>
    </row>
    <row r="12" spans="2:43" x14ac:dyDescent="0.35">
      <c r="B12" s="83" t="s">
        <v>106</v>
      </c>
      <c r="D12" s="137">
        <v>40835754</v>
      </c>
      <c r="E12" s="137">
        <v>38364263</v>
      </c>
      <c r="F12" s="137">
        <v>39835338</v>
      </c>
      <c r="G12" s="137">
        <v>34599822</v>
      </c>
      <c r="H12" s="137">
        <f t="shared" si="0"/>
        <v>153635177</v>
      </c>
      <c r="J12" s="137">
        <v>5989752</v>
      </c>
      <c r="K12" s="137">
        <v>5651230</v>
      </c>
      <c r="L12" s="137">
        <v>5777407</v>
      </c>
      <c r="M12" s="137">
        <v>4823047</v>
      </c>
      <c r="N12" s="137">
        <f t="shared" si="1"/>
        <v>22241436</v>
      </c>
      <c r="P12" s="84">
        <f t="shared" si="2"/>
        <v>0.14667910870459255</v>
      </c>
      <c r="Q12" s="84">
        <f t="shared" si="3"/>
        <v>0.14730453703750285</v>
      </c>
      <c r="R12" s="84">
        <f t="shared" si="4"/>
        <v>0.14503220733309707</v>
      </c>
      <c r="S12" s="84">
        <f t="shared" si="5"/>
        <v>0.13939513908481957</v>
      </c>
      <c r="T12" s="84" t="str">
        <f>+IFERROR(#REF!/#REF!,"")</f>
        <v/>
      </c>
      <c r="U12" s="84" t="str">
        <f>+IFERROR(#REF!/#REF!,"")</f>
        <v/>
      </c>
      <c r="V12" s="84" t="str">
        <f>+IFERROR(#REF!/#REF!,"")</f>
        <v/>
      </c>
      <c r="W12" s="84" t="str">
        <f>+IFERROR(#REF!/#REF!,"")</f>
        <v/>
      </c>
      <c r="X12" s="84" t="str">
        <f>+IFERROR(#REF!/#REF!,"")</f>
        <v/>
      </c>
      <c r="Y12" s="84" t="str">
        <f>+IFERROR(#REF!/#REF!,"")</f>
        <v/>
      </c>
      <c r="Z12" s="84" t="str">
        <f>+IFERROR(#REF!/#REF!,"")</f>
        <v/>
      </c>
      <c r="AA12" s="84" t="str">
        <f>+IFERROR(#REF!/#REF!,"")</f>
        <v/>
      </c>
      <c r="AB12" s="84">
        <f t="shared" si="6"/>
        <v>0.14476786133425681</v>
      </c>
      <c r="AD12" s="139">
        <f t="shared" si="7"/>
        <v>6.2542833291029387E-4</v>
      </c>
      <c r="AE12" s="139">
        <f t="shared" si="8"/>
        <v>-2.2723297044057733E-3</v>
      </c>
      <c r="AF12" s="139">
        <f t="shared" si="9"/>
        <v>-5.6370682482775047E-3</v>
      </c>
      <c r="AG12" s="139" t="str">
        <f t="shared" si="10"/>
        <v/>
      </c>
      <c r="AH12" s="139" t="str">
        <f t="shared" si="11"/>
        <v/>
      </c>
      <c r="AI12" s="139" t="str">
        <f t="shared" si="12"/>
        <v/>
      </c>
      <c r="AJ12" s="139" t="str">
        <f t="shared" si="13"/>
        <v/>
      </c>
      <c r="AK12" s="139" t="str">
        <f t="shared" si="14"/>
        <v/>
      </c>
      <c r="AL12" s="139" t="str">
        <f t="shared" si="15"/>
        <v/>
      </c>
      <c r="AM12" s="139" t="str">
        <f t="shared" si="16"/>
        <v/>
      </c>
      <c r="AN12" s="139" t="str">
        <f t="shared" si="17"/>
        <v/>
      </c>
      <c r="AP12" s="82">
        <f t="shared" si="18"/>
        <v>2.1961201775753041E-2</v>
      </c>
      <c r="AQ12" s="82">
        <f t="shared" si="19"/>
        <v>0.46565839589487995</v>
      </c>
    </row>
    <row r="13" spans="2:43" x14ac:dyDescent="0.35">
      <c r="B13" s="83" t="s">
        <v>107</v>
      </c>
      <c r="D13" s="137">
        <v>29810171</v>
      </c>
      <c r="E13" s="137">
        <v>23451798</v>
      </c>
      <c r="F13" s="137">
        <v>37418085</v>
      </c>
      <c r="G13" s="137">
        <v>27629939</v>
      </c>
      <c r="H13" s="137">
        <f t="shared" si="0"/>
        <v>118309993</v>
      </c>
      <c r="J13" s="137">
        <v>5090481</v>
      </c>
      <c r="K13" s="137">
        <v>3914784</v>
      </c>
      <c r="L13" s="137">
        <v>6222588</v>
      </c>
      <c r="M13" s="137">
        <v>4808662</v>
      </c>
      <c r="N13" s="137">
        <f t="shared" si="1"/>
        <v>20036515</v>
      </c>
      <c r="P13" s="84">
        <f t="shared" si="2"/>
        <v>0.17076322708782851</v>
      </c>
      <c r="Q13" s="84">
        <f t="shared" si="3"/>
        <v>0.16692894932832017</v>
      </c>
      <c r="R13" s="84">
        <f t="shared" si="4"/>
        <v>0.16629894341198914</v>
      </c>
      <c r="S13" s="84">
        <f t="shared" si="5"/>
        <v>0.17403809686297173</v>
      </c>
      <c r="T13" s="84" t="str">
        <f>+IFERROR(#REF!/#REF!,"")</f>
        <v/>
      </c>
      <c r="U13" s="84" t="str">
        <f>+IFERROR(#REF!/#REF!,"")</f>
        <v/>
      </c>
      <c r="V13" s="84" t="str">
        <f>+IFERROR(#REF!/#REF!,"")</f>
        <v/>
      </c>
      <c r="W13" s="84" t="str">
        <f>+IFERROR(#REF!/#REF!,"")</f>
        <v/>
      </c>
      <c r="X13" s="84" t="str">
        <f>+IFERROR(#REF!/#REF!,"")</f>
        <v/>
      </c>
      <c r="Y13" s="84" t="str">
        <f>+IFERROR(#REF!/#REF!,"")</f>
        <v/>
      </c>
      <c r="Z13" s="84" t="str">
        <f>+IFERROR(#REF!/#REF!,"")</f>
        <v/>
      </c>
      <c r="AA13" s="84" t="str">
        <f>+IFERROR(#REF!/#REF!,"")</f>
        <v/>
      </c>
      <c r="AB13" s="84">
        <f t="shared" si="6"/>
        <v>0.1693560661439647</v>
      </c>
      <c r="AD13" s="139">
        <f t="shared" si="7"/>
        <v>-3.8342777595083422E-3</v>
      </c>
      <c r="AE13" s="139">
        <f t="shared" si="8"/>
        <v>-6.3000591633102787E-4</v>
      </c>
      <c r="AF13" s="139">
        <f t="shared" si="9"/>
        <v>7.7391534509825832E-3</v>
      </c>
      <c r="AG13" s="139" t="str">
        <f t="shared" si="10"/>
        <v/>
      </c>
      <c r="AH13" s="139" t="str">
        <f t="shared" si="11"/>
        <v/>
      </c>
      <c r="AI13" s="139" t="str">
        <f t="shared" si="12"/>
        <v/>
      </c>
      <c r="AJ13" s="139" t="str">
        <f t="shared" si="13"/>
        <v/>
      </c>
      <c r="AK13" s="139" t="str">
        <f t="shared" si="14"/>
        <v/>
      </c>
      <c r="AL13" s="139" t="str">
        <f t="shared" si="15"/>
        <v/>
      </c>
      <c r="AM13" s="139" t="str">
        <f t="shared" si="16"/>
        <v/>
      </c>
      <c r="AN13" s="139" t="str">
        <f t="shared" si="17"/>
        <v/>
      </c>
      <c r="AP13" s="82">
        <f t="shared" si="18"/>
        <v>1.9784062000218979E-2</v>
      </c>
      <c r="AQ13" s="82">
        <f t="shared" si="19"/>
        <v>0.48544245789509893</v>
      </c>
    </row>
    <row r="14" spans="2:43" x14ac:dyDescent="0.35">
      <c r="B14" s="83" t="s">
        <v>108</v>
      </c>
      <c r="D14" s="137">
        <v>41265349</v>
      </c>
      <c r="E14" s="137">
        <v>40481871</v>
      </c>
      <c r="F14" s="137">
        <v>46572198</v>
      </c>
      <c r="G14" s="137">
        <v>37089740</v>
      </c>
      <c r="H14" s="137">
        <f t="shared" si="0"/>
        <v>165409158</v>
      </c>
      <c r="J14" s="137">
        <v>6347059</v>
      </c>
      <c r="K14" s="137">
        <v>5762253</v>
      </c>
      <c r="L14" s="137">
        <v>6300529</v>
      </c>
      <c r="M14" s="137">
        <v>5394860</v>
      </c>
      <c r="N14" s="137">
        <f t="shared" si="1"/>
        <v>23804701</v>
      </c>
      <c r="P14" s="84">
        <f t="shared" si="2"/>
        <v>0.15381086441314237</v>
      </c>
      <c r="Q14" s="84">
        <f t="shared" si="3"/>
        <v>0.14234156815528609</v>
      </c>
      <c r="R14" s="84">
        <f t="shared" si="4"/>
        <v>0.13528519740468337</v>
      </c>
      <c r="S14" s="84">
        <f t="shared" si="5"/>
        <v>0.14545424152339703</v>
      </c>
      <c r="T14" s="84" t="str">
        <f>+IFERROR(#REF!/#REF!,"")</f>
        <v/>
      </c>
      <c r="U14" s="84" t="str">
        <f>+IFERROR(#REF!/#REF!,"")</f>
        <v/>
      </c>
      <c r="V14" s="84" t="str">
        <f>+IFERROR(#REF!/#REF!,"")</f>
        <v/>
      </c>
      <c r="W14" s="84" t="str">
        <f>+IFERROR(#REF!/#REF!,"")</f>
        <v/>
      </c>
      <c r="X14" s="84" t="str">
        <f>+IFERROR(#REF!/#REF!,"")</f>
        <v/>
      </c>
      <c r="Y14" s="84" t="str">
        <f>+IFERROR(#REF!/#REF!,"")</f>
        <v/>
      </c>
      <c r="Z14" s="84" t="str">
        <f>+IFERROR(#REF!/#REF!,"")</f>
        <v/>
      </c>
      <c r="AA14" s="84" t="str">
        <f>+IFERROR(#REF!/#REF!,"")</f>
        <v/>
      </c>
      <c r="AB14" s="84">
        <f t="shared" si="6"/>
        <v>0.14391404495269844</v>
      </c>
      <c r="AD14" s="139">
        <f t="shared" si="7"/>
        <v>-1.1469296257856282E-2</v>
      </c>
      <c r="AE14" s="139">
        <f t="shared" si="8"/>
        <v>-7.0563707506027251E-3</v>
      </c>
      <c r="AF14" s="139">
        <f t="shared" si="9"/>
        <v>1.0169044118713666E-2</v>
      </c>
      <c r="AG14" s="139" t="str">
        <f t="shared" si="10"/>
        <v/>
      </c>
      <c r="AH14" s="139" t="str">
        <f t="shared" si="11"/>
        <v/>
      </c>
      <c r="AI14" s="139" t="str">
        <f t="shared" si="12"/>
        <v/>
      </c>
      <c r="AJ14" s="139" t="str">
        <f t="shared" si="13"/>
        <v/>
      </c>
      <c r="AK14" s="139" t="str">
        <f t="shared" si="14"/>
        <v/>
      </c>
      <c r="AL14" s="139" t="str">
        <f t="shared" si="15"/>
        <v/>
      </c>
      <c r="AM14" s="139" t="str">
        <f t="shared" si="16"/>
        <v/>
      </c>
      <c r="AN14" s="139" t="str">
        <f t="shared" si="17"/>
        <v/>
      </c>
      <c r="AP14" s="82">
        <f t="shared" si="18"/>
        <v>2.3504770189859601E-2</v>
      </c>
      <c r="AQ14" s="82">
        <f t="shared" si="19"/>
        <v>0.50894722808495851</v>
      </c>
    </row>
    <row r="15" spans="2:43" x14ac:dyDescent="0.35">
      <c r="B15" s="83" t="s">
        <v>109</v>
      </c>
      <c r="D15" s="137">
        <v>28889629</v>
      </c>
      <c r="E15" s="137">
        <v>28686154</v>
      </c>
      <c r="F15" s="137">
        <v>24819674</v>
      </c>
      <c r="G15" s="137">
        <v>20409250</v>
      </c>
      <c r="H15" s="137">
        <f t="shared" si="0"/>
        <v>102804707</v>
      </c>
      <c r="J15" s="137">
        <v>3655956</v>
      </c>
      <c r="K15" s="137">
        <v>3959817</v>
      </c>
      <c r="L15" s="137">
        <v>2919806</v>
      </c>
      <c r="M15" s="137">
        <v>2502425</v>
      </c>
      <c r="N15" s="137">
        <f t="shared" si="1"/>
        <v>13038004</v>
      </c>
      <c r="P15" s="84">
        <f t="shared" si="2"/>
        <v>0.12654908098681364</v>
      </c>
      <c r="Q15" s="84">
        <f t="shared" si="3"/>
        <v>0.13803931332168126</v>
      </c>
      <c r="R15" s="84">
        <f t="shared" si="4"/>
        <v>0.11764078770736473</v>
      </c>
      <c r="S15" s="84">
        <f t="shared" si="5"/>
        <v>0.12261229589524358</v>
      </c>
      <c r="T15" s="84" t="str">
        <f>+IFERROR(#REF!/#REF!,"")</f>
        <v/>
      </c>
      <c r="U15" s="84" t="str">
        <f>+IFERROR(#REF!/#REF!,"")</f>
        <v/>
      </c>
      <c r="V15" s="84" t="str">
        <f>+IFERROR(#REF!/#REF!,"")</f>
        <v/>
      </c>
      <c r="W15" s="84" t="str">
        <f>+IFERROR(#REF!/#REF!,"")</f>
        <v/>
      </c>
      <c r="X15" s="84" t="str">
        <f>+IFERROR(#REF!/#REF!,"")</f>
        <v/>
      </c>
      <c r="Y15" s="84" t="str">
        <f>+IFERROR(#REF!/#REF!,"")</f>
        <v/>
      </c>
      <c r="Z15" s="84" t="str">
        <f>+IFERROR(#REF!/#REF!,"")</f>
        <v/>
      </c>
      <c r="AA15" s="84" t="str">
        <f>+IFERROR(#REF!/#REF!,"")</f>
        <v/>
      </c>
      <c r="AB15" s="84">
        <f t="shared" si="6"/>
        <v>0.12682302572001883</v>
      </c>
      <c r="AD15" s="139">
        <f t="shared" si="7"/>
        <v>1.1490232334867623E-2</v>
      </c>
      <c r="AE15" s="139">
        <f t="shared" si="8"/>
        <v>-2.0398525614316529E-2</v>
      </c>
      <c r="AF15" s="139">
        <f t="shared" si="9"/>
        <v>4.9715081878788508E-3</v>
      </c>
      <c r="AG15" s="139" t="str">
        <f t="shared" si="10"/>
        <v/>
      </c>
      <c r="AH15" s="139" t="str">
        <f t="shared" si="11"/>
        <v/>
      </c>
      <c r="AI15" s="139" t="str">
        <f t="shared" si="12"/>
        <v/>
      </c>
      <c r="AJ15" s="139" t="str">
        <f t="shared" si="13"/>
        <v/>
      </c>
      <c r="AK15" s="139" t="str">
        <f t="shared" si="14"/>
        <v/>
      </c>
      <c r="AL15" s="139" t="str">
        <f t="shared" si="15"/>
        <v/>
      </c>
      <c r="AM15" s="139" t="str">
        <f t="shared" si="16"/>
        <v/>
      </c>
      <c r="AN15" s="139" t="str">
        <f t="shared" si="17"/>
        <v/>
      </c>
      <c r="AP15" s="82">
        <f t="shared" si="18"/>
        <v>1.2873729762641012E-2</v>
      </c>
      <c r="AQ15" s="82">
        <f t="shared" si="19"/>
        <v>0.52182095784759952</v>
      </c>
    </row>
    <row r="16" spans="2:43" x14ac:dyDescent="0.35">
      <c r="B16" s="83" t="s">
        <v>110</v>
      </c>
      <c r="D16" s="137">
        <v>58123330</v>
      </c>
      <c r="E16" s="137">
        <v>61140886</v>
      </c>
      <c r="F16" s="137">
        <v>56604497</v>
      </c>
      <c r="G16" s="137">
        <v>82025045</v>
      </c>
      <c r="H16" s="137">
        <f t="shared" si="0"/>
        <v>257893758</v>
      </c>
      <c r="J16" s="137">
        <v>4327858</v>
      </c>
      <c r="K16" s="137">
        <v>4549660</v>
      </c>
      <c r="L16" s="137">
        <v>2995655</v>
      </c>
      <c r="M16" s="137">
        <v>4523658</v>
      </c>
      <c r="N16" s="137">
        <f t="shared" si="1"/>
        <v>16396831</v>
      </c>
      <c r="P16" s="84">
        <f t="shared" si="2"/>
        <v>7.4459911364335107E-2</v>
      </c>
      <c r="Q16" s="84">
        <f t="shared" si="3"/>
        <v>7.4412726043911109E-2</v>
      </c>
      <c r="R16" s="84">
        <f t="shared" si="4"/>
        <v>5.2922561965350563E-2</v>
      </c>
      <c r="S16" s="84">
        <f t="shared" si="5"/>
        <v>5.5149716772480893E-2</v>
      </c>
      <c r="T16" s="84" t="str">
        <f>+IFERROR(#REF!/#REF!,"")</f>
        <v/>
      </c>
      <c r="U16" s="84" t="str">
        <f>+IFERROR(#REF!/#REF!,"")</f>
        <v/>
      </c>
      <c r="V16" s="84" t="str">
        <f>+IFERROR(#REF!/#REF!,"")</f>
        <v/>
      </c>
      <c r="W16" s="84" t="str">
        <f>+IFERROR(#REF!/#REF!,"")</f>
        <v/>
      </c>
      <c r="X16" s="84" t="str">
        <f>+IFERROR(#REF!/#REF!,"")</f>
        <v/>
      </c>
      <c r="Y16" s="84" t="str">
        <f>+IFERROR(#REF!/#REF!,"")</f>
        <v/>
      </c>
      <c r="Z16" s="84" t="str">
        <f>+IFERROR(#REF!/#REF!,"")</f>
        <v/>
      </c>
      <c r="AA16" s="84" t="str">
        <f>+IFERROR(#REF!/#REF!,"")</f>
        <v/>
      </c>
      <c r="AB16" s="84">
        <f t="shared" si="6"/>
        <v>6.3579790093252278E-2</v>
      </c>
      <c r="AD16" s="139">
        <f t="shared" si="7"/>
        <v>-4.7185320423998034E-5</v>
      </c>
      <c r="AE16" s="139">
        <f t="shared" si="8"/>
        <v>-2.1490164078560546E-2</v>
      </c>
      <c r="AF16" s="139">
        <f t="shared" si="9"/>
        <v>2.2271548071303299E-3</v>
      </c>
      <c r="AG16" s="139" t="str">
        <f t="shared" si="10"/>
        <v/>
      </c>
      <c r="AH16" s="139" t="str">
        <f t="shared" si="11"/>
        <v/>
      </c>
      <c r="AI16" s="139" t="str">
        <f t="shared" si="12"/>
        <v/>
      </c>
      <c r="AJ16" s="139" t="str">
        <f t="shared" si="13"/>
        <v/>
      </c>
      <c r="AK16" s="139" t="str">
        <f t="shared" si="14"/>
        <v/>
      </c>
      <c r="AL16" s="139" t="str">
        <f t="shared" si="15"/>
        <v/>
      </c>
      <c r="AM16" s="139" t="str">
        <f t="shared" si="16"/>
        <v/>
      </c>
      <c r="AN16" s="139" t="str">
        <f t="shared" si="17"/>
        <v/>
      </c>
      <c r="AP16" s="82">
        <f t="shared" si="18"/>
        <v>1.6190236730844288E-2</v>
      </c>
      <c r="AQ16" s="82">
        <f t="shared" si="19"/>
        <v>0.53801119457844382</v>
      </c>
    </row>
    <row r="17" spans="2:43" x14ac:dyDescent="0.35">
      <c r="B17" s="83" t="s">
        <v>111</v>
      </c>
      <c r="D17" s="137">
        <v>27328000</v>
      </c>
      <c r="E17" s="137">
        <v>29527339</v>
      </c>
      <c r="F17" s="137">
        <v>23358646</v>
      </c>
      <c r="G17" s="137">
        <v>25669042</v>
      </c>
      <c r="H17" s="137">
        <f t="shared" si="0"/>
        <v>105883027</v>
      </c>
      <c r="J17" s="137">
        <v>3851373</v>
      </c>
      <c r="K17" s="137">
        <v>4136697</v>
      </c>
      <c r="L17" s="137">
        <v>3262023</v>
      </c>
      <c r="M17" s="137">
        <v>3504108</v>
      </c>
      <c r="N17" s="137">
        <f t="shared" si="1"/>
        <v>14754201</v>
      </c>
      <c r="P17" s="84">
        <f t="shared" si="2"/>
        <v>0.14093138905152225</v>
      </c>
      <c r="Q17" s="84">
        <f t="shared" si="3"/>
        <v>0.14009718247892233</v>
      </c>
      <c r="R17" s="84">
        <f t="shared" si="4"/>
        <v>0.1396494899575943</v>
      </c>
      <c r="S17" s="84">
        <f t="shared" si="5"/>
        <v>0.13651105483406822</v>
      </c>
      <c r="T17" s="84" t="str">
        <f>+IFERROR(#REF!/#REF!,"")</f>
        <v/>
      </c>
      <c r="U17" s="84" t="str">
        <f>+IFERROR(#REF!/#REF!,"")</f>
        <v/>
      </c>
      <c r="V17" s="84" t="str">
        <f>+IFERROR(#REF!/#REF!,"")</f>
        <v/>
      </c>
      <c r="W17" s="84" t="str">
        <f>+IFERROR(#REF!/#REF!,"")</f>
        <v/>
      </c>
      <c r="X17" s="84" t="str">
        <f>+IFERROR(#REF!/#REF!,"")</f>
        <v/>
      </c>
      <c r="Y17" s="84" t="str">
        <f>+IFERROR(#REF!/#REF!,"")</f>
        <v/>
      </c>
      <c r="Z17" s="84" t="str">
        <f>+IFERROR(#REF!/#REF!,"")</f>
        <v/>
      </c>
      <c r="AA17" s="84" t="str">
        <f>+IFERROR(#REF!/#REF!,"")</f>
        <v/>
      </c>
      <c r="AB17" s="84">
        <f t="shared" si="6"/>
        <v>0.13934434458508632</v>
      </c>
      <c r="AD17" s="139">
        <f t="shared" si="7"/>
        <v>-8.3420657259991593E-4</v>
      </c>
      <c r="AE17" s="139">
        <f t="shared" si="8"/>
        <v>-4.4769252132803583E-4</v>
      </c>
      <c r="AF17" s="139">
        <f t="shared" si="9"/>
        <v>-3.1384351235260732E-3</v>
      </c>
      <c r="AG17" s="139" t="str">
        <f t="shared" si="10"/>
        <v/>
      </c>
      <c r="AH17" s="139" t="str">
        <f t="shared" si="11"/>
        <v/>
      </c>
      <c r="AI17" s="139" t="str">
        <f t="shared" si="12"/>
        <v/>
      </c>
      <c r="AJ17" s="139" t="str">
        <f t="shared" si="13"/>
        <v/>
      </c>
      <c r="AK17" s="139" t="str">
        <f t="shared" si="14"/>
        <v/>
      </c>
      <c r="AL17" s="139" t="str">
        <f t="shared" si="15"/>
        <v/>
      </c>
      <c r="AM17" s="139" t="str">
        <f t="shared" si="16"/>
        <v/>
      </c>
      <c r="AN17" s="139" t="str">
        <f t="shared" si="17"/>
        <v/>
      </c>
      <c r="AP17" s="82">
        <f t="shared" si="18"/>
        <v>1.4568303287657203E-2</v>
      </c>
      <c r="AQ17" s="82">
        <f t="shared" si="19"/>
        <v>0.55257949786610105</v>
      </c>
    </row>
    <row r="18" spans="2:43" x14ac:dyDescent="0.35">
      <c r="B18" s="83" t="s">
        <v>112</v>
      </c>
      <c r="D18" s="137">
        <v>47853968</v>
      </c>
      <c r="E18" s="137">
        <v>44632788</v>
      </c>
      <c r="F18" s="137">
        <v>56157848</v>
      </c>
      <c r="G18" s="137">
        <v>3886608</v>
      </c>
      <c r="H18" s="137">
        <f t="shared" si="0"/>
        <v>152531212</v>
      </c>
      <c r="J18" s="137">
        <v>904900</v>
      </c>
      <c r="K18" s="137">
        <v>866821</v>
      </c>
      <c r="L18" s="137">
        <v>12618904</v>
      </c>
      <c r="M18" s="137">
        <v>111382</v>
      </c>
      <c r="N18" s="137">
        <f t="shared" si="1"/>
        <v>14502007</v>
      </c>
      <c r="P18" s="84">
        <f t="shared" si="2"/>
        <v>1.8909612678304964E-2</v>
      </c>
      <c r="Q18" s="84">
        <f t="shared" si="3"/>
        <v>1.9421170821773446E-2</v>
      </c>
      <c r="R18" s="84">
        <f t="shared" si="4"/>
        <v>0.22470419450545898</v>
      </c>
      <c r="S18" s="84">
        <f t="shared" si="5"/>
        <v>2.8657893978502592E-2</v>
      </c>
      <c r="T18" s="84" t="str">
        <f>+IFERROR(#REF!/#REF!,"")</f>
        <v/>
      </c>
      <c r="U18" s="84" t="str">
        <f>+IFERROR(#REF!/#REF!,"")</f>
        <v/>
      </c>
      <c r="V18" s="84" t="str">
        <f>+IFERROR(#REF!/#REF!,"")</f>
        <v/>
      </c>
      <c r="W18" s="84" t="str">
        <f>+IFERROR(#REF!/#REF!,"")</f>
        <v/>
      </c>
      <c r="X18" s="84" t="str">
        <f>+IFERROR(#REF!/#REF!,"")</f>
        <v/>
      </c>
      <c r="Y18" s="84" t="str">
        <f>+IFERROR(#REF!/#REF!,"")</f>
        <v/>
      </c>
      <c r="Z18" s="84" t="str">
        <f>+IFERROR(#REF!/#REF!,"")</f>
        <v/>
      </c>
      <c r="AA18" s="84" t="str">
        <f>+IFERROR(#REF!/#REF!,"")</f>
        <v/>
      </c>
      <c r="AB18" s="84">
        <f t="shared" si="6"/>
        <v>9.5075668840814032E-2</v>
      </c>
      <c r="AD18" s="139">
        <f t="shared" si="7"/>
        <v>5.1155814346848238E-4</v>
      </c>
      <c r="AE18" s="139">
        <f t="shared" si="8"/>
        <v>0.20528302368368553</v>
      </c>
      <c r="AF18" s="139">
        <f t="shared" si="9"/>
        <v>-0.19604630052695637</v>
      </c>
      <c r="AG18" s="139" t="str">
        <f t="shared" si="10"/>
        <v/>
      </c>
      <c r="AH18" s="139" t="str">
        <f t="shared" si="11"/>
        <v/>
      </c>
      <c r="AI18" s="139" t="str">
        <f t="shared" si="12"/>
        <v/>
      </c>
      <c r="AJ18" s="139" t="str">
        <f t="shared" si="13"/>
        <v/>
      </c>
      <c r="AK18" s="139" t="str">
        <f t="shared" si="14"/>
        <v/>
      </c>
      <c r="AL18" s="139" t="str">
        <f t="shared" si="15"/>
        <v/>
      </c>
      <c r="AM18" s="139" t="str">
        <f t="shared" si="16"/>
        <v/>
      </c>
      <c r="AN18" s="139" t="str">
        <f t="shared" si="17"/>
        <v/>
      </c>
      <c r="AP18" s="82">
        <f t="shared" si="18"/>
        <v>1.431928684282719E-2</v>
      </c>
      <c r="AQ18" s="82">
        <f t="shared" si="19"/>
        <v>0.56689878470892829</v>
      </c>
    </row>
    <row r="19" spans="2:43" x14ac:dyDescent="0.35">
      <c r="B19" s="83" t="s">
        <v>113</v>
      </c>
      <c r="D19" s="137">
        <v>28943825</v>
      </c>
      <c r="E19" s="137">
        <v>25649339</v>
      </c>
      <c r="F19" s="137">
        <v>28614573</v>
      </c>
      <c r="G19" s="137">
        <v>28275534</v>
      </c>
      <c r="H19" s="137">
        <f t="shared" si="0"/>
        <v>111483271</v>
      </c>
      <c r="J19" s="137">
        <v>7228038</v>
      </c>
      <c r="K19" s="137">
        <v>6798897</v>
      </c>
      <c r="L19" s="137">
        <v>8278112</v>
      </c>
      <c r="M19" s="137">
        <v>7729826</v>
      </c>
      <c r="N19" s="137">
        <f t="shared" si="1"/>
        <v>30034873</v>
      </c>
      <c r="P19" s="84">
        <f t="shared" si="2"/>
        <v>0.24972642696671915</v>
      </c>
      <c r="Q19" s="84">
        <f t="shared" si="3"/>
        <v>0.26507104140188564</v>
      </c>
      <c r="R19" s="84">
        <f t="shared" si="4"/>
        <v>0.28929706551972661</v>
      </c>
      <c r="S19" s="84">
        <f t="shared" si="5"/>
        <v>0.27337506693949615</v>
      </c>
      <c r="T19" s="84" t="str">
        <f>+IFERROR(#REF!/#REF!,"")</f>
        <v/>
      </c>
      <c r="U19" s="84" t="str">
        <f>+IFERROR(#REF!/#REF!,"")</f>
        <v/>
      </c>
      <c r="V19" s="84" t="str">
        <f>+IFERROR(#REF!/#REF!,"")</f>
        <v/>
      </c>
      <c r="W19" s="84" t="str">
        <f>+IFERROR(#REF!/#REF!,"")</f>
        <v/>
      </c>
      <c r="X19" s="84" t="str">
        <f>+IFERROR(#REF!/#REF!,"")</f>
        <v/>
      </c>
      <c r="Y19" s="84" t="str">
        <f>+IFERROR(#REF!/#REF!,"")</f>
        <v/>
      </c>
      <c r="Z19" s="84" t="str">
        <f>+IFERROR(#REF!/#REF!,"")</f>
        <v/>
      </c>
      <c r="AA19" s="84" t="str">
        <f>+IFERROR(#REF!/#REF!,"")</f>
        <v/>
      </c>
      <c r="AB19" s="84">
        <f t="shared" si="6"/>
        <v>0.26941147968290236</v>
      </c>
      <c r="AD19" s="139">
        <f t="shared" si="7"/>
        <v>1.5344614435166493E-2</v>
      </c>
      <c r="AE19" s="139">
        <f t="shared" si="8"/>
        <v>2.4226024117840972E-2</v>
      </c>
      <c r="AF19" s="139">
        <f t="shared" si="9"/>
        <v>-1.5921998580230468E-2</v>
      </c>
      <c r="AG19" s="139" t="str">
        <f t="shared" si="10"/>
        <v/>
      </c>
      <c r="AH19" s="139" t="str">
        <f t="shared" si="11"/>
        <v/>
      </c>
      <c r="AI19" s="139" t="str">
        <f t="shared" si="12"/>
        <v/>
      </c>
      <c r="AJ19" s="139" t="str">
        <f t="shared" si="13"/>
        <v/>
      </c>
      <c r="AK19" s="139" t="str">
        <f t="shared" si="14"/>
        <v/>
      </c>
      <c r="AL19" s="139" t="str">
        <f t="shared" si="15"/>
        <v/>
      </c>
      <c r="AM19" s="139" t="str">
        <f t="shared" si="16"/>
        <v/>
      </c>
      <c r="AN19" s="139" t="str">
        <f t="shared" si="17"/>
        <v/>
      </c>
      <c r="AP19" s="82">
        <f t="shared" si="18"/>
        <v>2.9656444226987728E-2</v>
      </c>
      <c r="AQ19" s="82">
        <f t="shared" si="19"/>
        <v>0.59655522893591606</v>
      </c>
    </row>
    <row r="20" spans="2:43" x14ac:dyDescent="0.35">
      <c r="B20" s="83" t="s">
        <v>114</v>
      </c>
      <c r="D20" s="137">
        <v>4953857</v>
      </c>
      <c r="E20" s="137">
        <v>4801619</v>
      </c>
      <c r="F20" s="137">
        <v>5326546</v>
      </c>
      <c r="G20" s="137">
        <v>3908284</v>
      </c>
      <c r="H20" s="137">
        <f t="shared" si="0"/>
        <v>18990306</v>
      </c>
      <c r="J20" s="137">
        <v>1017759</v>
      </c>
      <c r="K20" s="137">
        <v>1006154</v>
      </c>
      <c r="L20" s="137">
        <v>1023489</v>
      </c>
      <c r="M20" s="137">
        <v>874307</v>
      </c>
      <c r="N20" s="137">
        <f t="shared" si="1"/>
        <v>3921709</v>
      </c>
      <c r="P20" s="84">
        <f t="shared" si="2"/>
        <v>0.20544779552578929</v>
      </c>
      <c r="Q20" s="84">
        <f t="shared" si="3"/>
        <v>0.20954473897241743</v>
      </c>
      <c r="R20" s="84">
        <f t="shared" si="4"/>
        <v>0.19214872076576453</v>
      </c>
      <c r="S20" s="84">
        <f t="shared" si="5"/>
        <v>0.2237061073350862</v>
      </c>
      <c r="T20" s="84" t="str">
        <f>+IFERROR(#REF!/#REF!,"")</f>
        <v/>
      </c>
      <c r="U20" s="84" t="str">
        <f>+IFERROR(#REF!/#REF!,"")</f>
        <v/>
      </c>
      <c r="V20" s="84" t="str">
        <f>+IFERROR(#REF!/#REF!,"")</f>
        <v/>
      </c>
      <c r="W20" s="84" t="str">
        <f>+IFERROR(#REF!/#REF!,"")</f>
        <v/>
      </c>
      <c r="X20" s="84" t="str">
        <f>+IFERROR(#REF!/#REF!,"")</f>
        <v/>
      </c>
      <c r="Y20" s="84" t="str">
        <f>+IFERROR(#REF!/#REF!,"")</f>
        <v/>
      </c>
      <c r="Z20" s="84" t="str">
        <f>+IFERROR(#REF!/#REF!,"")</f>
        <v/>
      </c>
      <c r="AA20" s="84" t="str">
        <f>+IFERROR(#REF!/#REF!,"")</f>
        <v/>
      </c>
      <c r="AB20" s="84">
        <f t="shared" si="6"/>
        <v>0.20651110097962613</v>
      </c>
      <c r="AD20" s="139">
        <f t="shared" si="7"/>
        <v>4.0969434466281429E-3</v>
      </c>
      <c r="AE20" s="139">
        <f t="shared" si="8"/>
        <v>-1.7396018206652902E-2</v>
      </c>
      <c r="AF20" s="139">
        <f t="shared" si="9"/>
        <v>3.1557386569321666E-2</v>
      </c>
      <c r="AG20" s="139" t="str">
        <f t="shared" si="10"/>
        <v/>
      </c>
      <c r="AH20" s="139" t="str">
        <f t="shared" si="11"/>
        <v/>
      </c>
      <c r="AI20" s="139" t="str">
        <f t="shared" si="12"/>
        <v/>
      </c>
      <c r="AJ20" s="139" t="str">
        <f t="shared" si="13"/>
        <v/>
      </c>
      <c r="AK20" s="139" t="str">
        <f t="shared" si="14"/>
        <v/>
      </c>
      <c r="AL20" s="139" t="str">
        <f t="shared" si="15"/>
        <v/>
      </c>
      <c r="AM20" s="139" t="str">
        <f t="shared" si="16"/>
        <v/>
      </c>
      <c r="AN20" s="139" t="str">
        <f t="shared" si="17"/>
        <v/>
      </c>
      <c r="AP20" s="82">
        <f t="shared" si="18"/>
        <v>3.8722968541593573E-3</v>
      </c>
      <c r="AQ20" s="82">
        <f t="shared" si="19"/>
        <v>0.60042752579007541</v>
      </c>
    </row>
    <row r="21" spans="2:43" x14ac:dyDescent="0.35">
      <c r="B21" s="83" t="s">
        <v>115</v>
      </c>
      <c r="D21" s="137">
        <v>21554835</v>
      </c>
      <c r="E21" s="137">
        <v>20602941</v>
      </c>
      <c r="F21" s="137">
        <v>27893409</v>
      </c>
      <c r="G21" s="137">
        <v>18896982</v>
      </c>
      <c r="H21" s="137">
        <f t="shared" si="0"/>
        <v>88948167</v>
      </c>
      <c r="J21" s="137">
        <v>3420639</v>
      </c>
      <c r="K21" s="137">
        <v>3241459</v>
      </c>
      <c r="L21" s="137">
        <v>4593957</v>
      </c>
      <c r="M21" s="137">
        <v>2901627</v>
      </c>
      <c r="N21" s="137">
        <f t="shared" si="1"/>
        <v>14157682</v>
      </c>
      <c r="P21" s="84">
        <f t="shared" si="2"/>
        <v>0.15869474296602132</v>
      </c>
      <c r="Q21" s="84">
        <f t="shared" si="3"/>
        <v>0.1573299171220264</v>
      </c>
      <c r="R21" s="84">
        <f t="shared" si="4"/>
        <v>0.16469686440979658</v>
      </c>
      <c r="S21" s="84">
        <f t="shared" si="5"/>
        <v>0.15354975731045306</v>
      </c>
      <c r="T21" s="84" t="str">
        <f>+IFERROR(#REF!/#REF!,"")</f>
        <v/>
      </c>
      <c r="U21" s="84" t="str">
        <f>+IFERROR(#REF!/#REF!,"")</f>
        <v/>
      </c>
      <c r="V21" s="84" t="str">
        <f>+IFERROR(#REF!/#REF!,"")</f>
        <v/>
      </c>
      <c r="W21" s="84" t="str">
        <f>+IFERROR(#REF!/#REF!,"")</f>
        <v/>
      </c>
      <c r="X21" s="84" t="str">
        <f>+IFERROR(#REF!/#REF!,"")</f>
        <v/>
      </c>
      <c r="Y21" s="84" t="str">
        <f>+IFERROR(#REF!/#REF!,"")</f>
        <v/>
      </c>
      <c r="Z21" s="84" t="str">
        <f>+IFERROR(#REF!/#REF!,"")</f>
        <v/>
      </c>
      <c r="AA21" s="84" t="str">
        <f>+IFERROR(#REF!/#REF!,"")</f>
        <v/>
      </c>
      <c r="AB21" s="84">
        <f t="shared" si="6"/>
        <v>0.15916777689190606</v>
      </c>
      <c r="AD21" s="139">
        <f t="shared" si="7"/>
        <v>-1.3648258439949157E-3</v>
      </c>
      <c r="AE21" s="139">
        <f t="shared" si="8"/>
        <v>7.3669472877701814E-3</v>
      </c>
      <c r="AF21" s="139">
        <f t="shared" si="9"/>
        <v>-1.1147107099343523E-2</v>
      </c>
      <c r="AG21" s="139" t="str">
        <f t="shared" si="10"/>
        <v/>
      </c>
      <c r="AH21" s="139" t="str">
        <f t="shared" si="11"/>
        <v/>
      </c>
      <c r="AI21" s="139" t="str">
        <f t="shared" si="12"/>
        <v/>
      </c>
      <c r="AJ21" s="139" t="str">
        <f t="shared" si="13"/>
        <v/>
      </c>
      <c r="AK21" s="139" t="str">
        <f t="shared" si="14"/>
        <v/>
      </c>
      <c r="AL21" s="139" t="str">
        <f t="shared" si="15"/>
        <v/>
      </c>
      <c r="AM21" s="139" t="str">
        <f t="shared" si="16"/>
        <v/>
      </c>
      <c r="AN21" s="139" t="str">
        <f t="shared" si="17"/>
        <v/>
      </c>
      <c r="AP21" s="82">
        <f t="shared" si="18"/>
        <v>1.397930021599985E-2</v>
      </c>
      <c r="AQ21" s="82">
        <f t="shared" si="19"/>
        <v>0.61440682600607521</v>
      </c>
    </row>
    <row r="22" spans="2:43" x14ac:dyDescent="0.35">
      <c r="B22" s="83" t="s">
        <v>116</v>
      </c>
      <c r="D22" s="137">
        <v>23065050</v>
      </c>
      <c r="E22" s="137">
        <v>20902165</v>
      </c>
      <c r="F22" s="137">
        <v>23975299</v>
      </c>
      <c r="G22" s="137">
        <v>18927628</v>
      </c>
      <c r="H22" s="137">
        <f t="shared" si="0"/>
        <v>86870142</v>
      </c>
      <c r="J22" s="137">
        <v>3084711</v>
      </c>
      <c r="K22" s="137">
        <v>2837093</v>
      </c>
      <c r="L22" s="137">
        <v>3283999</v>
      </c>
      <c r="M22" s="137">
        <v>2627300</v>
      </c>
      <c r="N22" s="137">
        <f t="shared" si="1"/>
        <v>11833103</v>
      </c>
      <c r="P22" s="84">
        <f t="shared" si="2"/>
        <v>0.13373961903399298</v>
      </c>
      <c r="Q22" s="84">
        <f t="shared" si="3"/>
        <v>0.1357320162767828</v>
      </c>
      <c r="R22" s="84">
        <f t="shared" si="4"/>
        <v>0.13697426672343063</v>
      </c>
      <c r="S22" s="84">
        <f t="shared" si="5"/>
        <v>0.13880767310092951</v>
      </c>
      <c r="T22" s="84" t="str">
        <f>+IFERROR(#REF!/#REF!,"")</f>
        <v/>
      </c>
      <c r="U22" s="84" t="str">
        <f>+IFERROR(#REF!/#REF!,"")</f>
        <v/>
      </c>
      <c r="V22" s="84" t="str">
        <f>+IFERROR(#REF!/#REF!,"")</f>
        <v/>
      </c>
      <c r="W22" s="84" t="str">
        <f>+IFERROR(#REF!/#REF!,"")</f>
        <v/>
      </c>
      <c r="X22" s="84" t="str">
        <f>+IFERROR(#REF!/#REF!,"")</f>
        <v/>
      </c>
      <c r="Y22" s="84" t="str">
        <f>+IFERROR(#REF!/#REF!,"")</f>
        <v/>
      </c>
      <c r="Z22" s="84" t="str">
        <f>+IFERROR(#REF!/#REF!,"")</f>
        <v/>
      </c>
      <c r="AA22" s="84" t="str">
        <f>+IFERROR(#REF!/#REF!,"")</f>
        <v/>
      </c>
      <c r="AB22" s="84">
        <f t="shared" si="6"/>
        <v>0.13621599697626832</v>
      </c>
      <c r="AD22" s="139">
        <f t="shared" si="7"/>
        <v>1.9923972427898229E-3</v>
      </c>
      <c r="AE22" s="139">
        <f t="shared" si="8"/>
        <v>1.2422504466478301E-3</v>
      </c>
      <c r="AF22" s="139">
        <f t="shared" si="9"/>
        <v>1.8334063774988751E-3</v>
      </c>
      <c r="AG22" s="139" t="str">
        <f t="shared" si="10"/>
        <v/>
      </c>
      <c r="AH22" s="139" t="str">
        <f t="shared" si="11"/>
        <v/>
      </c>
      <c r="AI22" s="139" t="str">
        <f t="shared" si="12"/>
        <v/>
      </c>
      <c r="AJ22" s="139" t="str">
        <f t="shared" si="13"/>
        <v/>
      </c>
      <c r="AK22" s="139" t="str">
        <f t="shared" si="14"/>
        <v/>
      </c>
      <c r="AL22" s="139" t="str">
        <f t="shared" si="15"/>
        <v/>
      </c>
      <c r="AM22" s="139" t="str">
        <f t="shared" si="16"/>
        <v/>
      </c>
      <c r="AN22" s="139" t="str">
        <f t="shared" si="17"/>
        <v/>
      </c>
      <c r="AP22" s="82">
        <f t="shared" si="18"/>
        <v>1.1684010088928998E-2</v>
      </c>
      <c r="AQ22" s="82">
        <f t="shared" si="19"/>
        <v>0.62609083609500416</v>
      </c>
    </row>
    <row r="23" spans="2:43" x14ac:dyDescent="0.35">
      <c r="B23" s="83" t="s">
        <v>117</v>
      </c>
      <c r="D23" s="137">
        <v>8717272</v>
      </c>
      <c r="E23" s="137">
        <v>8893096</v>
      </c>
      <c r="F23" s="137">
        <v>10286413</v>
      </c>
      <c r="G23" s="137">
        <v>7483775</v>
      </c>
      <c r="H23" s="137">
        <f t="shared" si="0"/>
        <v>35380556</v>
      </c>
      <c r="J23" s="137">
        <v>1827236</v>
      </c>
      <c r="K23" s="137">
        <v>2212261</v>
      </c>
      <c r="L23" s="137">
        <v>1927128</v>
      </c>
      <c r="M23" s="137">
        <v>1796225</v>
      </c>
      <c r="N23" s="137">
        <f t="shared" si="1"/>
        <v>7762850</v>
      </c>
      <c r="P23" s="84">
        <f t="shared" si="2"/>
        <v>0.20961098839178127</v>
      </c>
      <c r="Q23" s="84">
        <f t="shared" si="3"/>
        <v>0.24876162362353899</v>
      </c>
      <c r="R23" s="84">
        <f t="shared" si="4"/>
        <v>0.18734694008494507</v>
      </c>
      <c r="S23" s="84">
        <f t="shared" si="5"/>
        <v>0.24001590106597273</v>
      </c>
      <c r="T23" s="84" t="str">
        <f>+IFERROR(#REF!/#REF!,"")</f>
        <v/>
      </c>
      <c r="U23" s="84" t="str">
        <f>+IFERROR(#REF!/#REF!,"")</f>
        <v/>
      </c>
      <c r="V23" s="84" t="str">
        <f>+IFERROR(#REF!/#REF!,"")</f>
        <v/>
      </c>
      <c r="W23" s="84" t="str">
        <f>+IFERROR(#REF!/#REF!,"")</f>
        <v/>
      </c>
      <c r="X23" s="84" t="str">
        <f>+IFERROR(#REF!/#REF!,"")</f>
        <v/>
      </c>
      <c r="Y23" s="84" t="str">
        <f>+IFERROR(#REF!/#REF!,"")</f>
        <v/>
      </c>
      <c r="Z23" s="84" t="str">
        <f>+IFERROR(#REF!/#REF!,"")</f>
        <v/>
      </c>
      <c r="AA23" s="84" t="str">
        <f>+IFERROR(#REF!/#REF!,"")</f>
        <v/>
      </c>
      <c r="AB23" s="84">
        <f t="shared" si="6"/>
        <v>0.21941006240829003</v>
      </c>
      <c r="AD23" s="139">
        <f t="shared" si="7"/>
        <v>3.9150635231757713E-2</v>
      </c>
      <c r="AE23" s="139">
        <f t="shared" si="8"/>
        <v>-6.1414683538593917E-2</v>
      </c>
      <c r="AF23" s="139">
        <f t="shared" si="9"/>
        <v>5.2668960981027663E-2</v>
      </c>
      <c r="AG23" s="139" t="str">
        <f t="shared" si="10"/>
        <v/>
      </c>
      <c r="AH23" s="139" t="str">
        <f t="shared" si="11"/>
        <v/>
      </c>
      <c r="AI23" s="139" t="str">
        <f t="shared" si="12"/>
        <v/>
      </c>
      <c r="AJ23" s="139" t="str">
        <f t="shared" si="13"/>
        <v/>
      </c>
      <c r="AK23" s="139" t="str">
        <f t="shared" si="14"/>
        <v/>
      </c>
      <c r="AL23" s="139" t="str">
        <f t="shared" si="15"/>
        <v/>
      </c>
      <c r="AM23" s="139" t="str">
        <f t="shared" si="16"/>
        <v/>
      </c>
      <c r="AN23" s="139" t="str">
        <f t="shared" si="17"/>
        <v/>
      </c>
      <c r="AP23" s="82">
        <f t="shared" si="18"/>
        <v>7.6650408366125498E-3</v>
      </c>
      <c r="AQ23" s="82">
        <f t="shared" si="19"/>
        <v>0.63375587693161672</v>
      </c>
    </row>
    <row r="24" spans="2:43" x14ac:dyDescent="0.35">
      <c r="B24" s="83" t="s">
        <v>118</v>
      </c>
      <c r="D24" s="137">
        <v>18601849</v>
      </c>
      <c r="E24" s="137">
        <v>17928684</v>
      </c>
      <c r="F24" s="137">
        <v>20907904</v>
      </c>
      <c r="G24" s="137">
        <v>16611581</v>
      </c>
      <c r="H24" s="137">
        <f t="shared" si="0"/>
        <v>74050018</v>
      </c>
      <c r="J24" s="137">
        <v>2246074</v>
      </c>
      <c r="K24" s="137">
        <v>1930031</v>
      </c>
      <c r="L24" s="137">
        <v>2473543</v>
      </c>
      <c r="M24" s="137">
        <v>2075646</v>
      </c>
      <c r="N24" s="137">
        <f t="shared" si="1"/>
        <v>8725294</v>
      </c>
      <c r="P24" s="84">
        <f t="shared" si="2"/>
        <v>0.12074466360844022</v>
      </c>
      <c r="Q24" s="84">
        <f t="shared" si="3"/>
        <v>0.10765045554933089</v>
      </c>
      <c r="R24" s="84">
        <f t="shared" si="4"/>
        <v>0.11830659830846746</v>
      </c>
      <c r="S24" s="84">
        <f t="shared" si="5"/>
        <v>0.12495174300387182</v>
      </c>
      <c r="T24" s="84" t="str">
        <f>+IFERROR(#REF!/#REF!,"")</f>
        <v/>
      </c>
      <c r="U24" s="84" t="str">
        <f>+IFERROR(#REF!/#REF!,"")</f>
        <v/>
      </c>
      <c r="V24" s="84" t="str">
        <f>+IFERROR(#REF!/#REF!,"")</f>
        <v/>
      </c>
      <c r="W24" s="84" t="str">
        <f>+IFERROR(#REF!/#REF!,"")</f>
        <v/>
      </c>
      <c r="X24" s="84" t="str">
        <f>+IFERROR(#REF!/#REF!,"")</f>
        <v/>
      </c>
      <c r="Y24" s="84" t="str">
        <f>+IFERROR(#REF!/#REF!,"")</f>
        <v/>
      </c>
      <c r="Z24" s="84" t="str">
        <f>+IFERROR(#REF!/#REF!,"")</f>
        <v/>
      </c>
      <c r="AA24" s="84" t="str">
        <f>+IFERROR(#REF!/#REF!,"")</f>
        <v/>
      </c>
      <c r="AB24" s="84">
        <f t="shared" si="6"/>
        <v>0.11782973503125954</v>
      </c>
      <c r="AD24" s="139">
        <f t="shared" si="7"/>
        <v>-1.3094208059109325E-2</v>
      </c>
      <c r="AE24" s="139">
        <f t="shared" si="8"/>
        <v>1.0656142759136567E-2</v>
      </c>
      <c r="AF24" s="139">
        <f t="shared" si="9"/>
        <v>6.6451446954043647E-3</v>
      </c>
      <c r="AG24" s="139" t="str">
        <f t="shared" si="10"/>
        <v/>
      </c>
      <c r="AH24" s="139" t="str">
        <f t="shared" si="11"/>
        <v/>
      </c>
      <c r="AI24" s="139" t="str">
        <f t="shared" si="12"/>
        <v/>
      </c>
      <c r="AJ24" s="139" t="str">
        <f t="shared" si="13"/>
        <v/>
      </c>
      <c r="AK24" s="139" t="str">
        <f t="shared" si="14"/>
        <v/>
      </c>
      <c r="AL24" s="139" t="str">
        <f t="shared" si="15"/>
        <v/>
      </c>
      <c r="AM24" s="139" t="str">
        <f t="shared" si="16"/>
        <v/>
      </c>
      <c r="AN24" s="139" t="str">
        <f t="shared" si="17"/>
        <v/>
      </c>
      <c r="AP24" s="82">
        <f t="shared" si="18"/>
        <v>8.6153583827396456E-3</v>
      </c>
      <c r="AQ24" s="82">
        <f t="shared" si="19"/>
        <v>0.64237123531435636</v>
      </c>
    </row>
    <row r="25" spans="2:43" x14ac:dyDescent="0.35">
      <c r="B25" s="83" t="s">
        <v>119</v>
      </c>
      <c r="D25" s="137">
        <v>4235724</v>
      </c>
      <c r="E25" s="137">
        <v>3952499</v>
      </c>
      <c r="F25" s="137">
        <v>5554053</v>
      </c>
      <c r="G25" s="137">
        <v>3451996</v>
      </c>
      <c r="H25" s="137">
        <f t="shared" si="0"/>
        <v>17194272</v>
      </c>
      <c r="J25" s="137">
        <v>958464</v>
      </c>
      <c r="K25" s="137">
        <v>944994</v>
      </c>
      <c r="L25" s="137">
        <v>1067694</v>
      </c>
      <c r="M25" s="137">
        <v>791166</v>
      </c>
      <c r="N25" s="137">
        <f t="shared" si="1"/>
        <v>3762318</v>
      </c>
      <c r="P25" s="84">
        <f t="shared" si="2"/>
        <v>0.22628103247520376</v>
      </c>
      <c r="Q25" s="84">
        <f t="shared" si="3"/>
        <v>0.23908772652440899</v>
      </c>
      <c r="R25" s="84">
        <f t="shared" si="4"/>
        <v>0.19223691239532645</v>
      </c>
      <c r="S25" s="84">
        <f t="shared" si="5"/>
        <v>0.22919087971133223</v>
      </c>
      <c r="T25" s="84" t="str">
        <f>+IFERROR(#REF!/#REF!,"")</f>
        <v/>
      </c>
      <c r="U25" s="84" t="str">
        <f>+IFERROR(#REF!/#REF!,"")</f>
        <v/>
      </c>
      <c r="V25" s="84" t="str">
        <f>+IFERROR(#REF!/#REF!,"")</f>
        <v/>
      </c>
      <c r="W25" s="84" t="str">
        <f>+IFERROR(#REF!/#REF!,"")</f>
        <v/>
      </c>
      <c r="X25" s="84" t="str">
        <f>+IFERROR(#REF!/#REF!,"")</f>
        <v/>
      </c>
      <c r="Y25" s="84" t="str">
        <f>+IFERROR(#REF!/#REF!,"")</f>
        <v/>
      </c>
      <c r="Z25" s="84" t="str">
        <f>+IFERROR(#REF!/#REF!,"")</f>
        <v/>
      </c>
      <c r="AA25" s="84" t="str">
        <f>+IFERROR(#REF!/#REF!,"")</f>
        <v/>
      </c>
      <c r="AB25" s="84">
        <f t="shared" si="6"/>
        <v>0.21881228818527473</v>
      </c>
      <c r="AD25" s="139">
        <f t="shared" si="7"/>
        <v>1.2806694049205231E-2</v>
      </c>
      <c r="AE25" s="139">
        <f t="shared" si="8"/>
        <v>-4.6850814129082541E-2</v>
      </c>
      <c r="AF25" s="139">
        <f t="shared" si="9"/>
        <v>3.6953967316005781E-2</v>
      </c>
      <c r="AG25" s="139" t="str">
        <f t="shared" si="10"/>
        <v/>
      </c>
      <c r="AH25" s="139" t="str">
        <f t="shared" si="11"/>
        <v/>
      </c>
      <c r="AI25" s="139" t="str">
        <f t="shared" si="12"/>
        <v/>
      </c>
      <c r="AJ25" s="139" t="str">
        <f t="shared" si="13"/>
        <v/>
      </c>
      <c r="AK25" s="139" t="str">
        <f t="shared" si="14"/>
        <v/>
      </c>
      <c r="AL25" s="139" t="str">
        <f t="shared" si="15"/>
        <v/>
      </c>
      <c r="AM25" s="139" t="str">
        <f t="shared" si="16"/>
        <v/>
      </c>
      <c r="AN25" s="139" t="str">
        <f t="shared" si="17"/>
        <v/>
      </c>
      <c r="AP25" s="82">
        <f t="shared" si="18"/>
        <v>3.7149141243644351E-3</v>
      </c>
      <c r="AQ25" s="82">
        <f t="shared" si="19"/>
        <v>0.64608614943872078</v>
      </c>
    </row>
    <row r="26" spans="2:43" x14ac:dyDescent="0.35">
      <c r="B26" s="83" t="s">
        <v>120</v>
      </c>
      <c r="D26" s="137">
        <v>9351755</v>
      </c>
      <c r="E26" s="137">
        <v>8609082</v>
      </c>
      <c r="F26" s="137">
        <v>11173794</v>
      </c>
      <c r="G26" s="137">
        <v>7414006</v>
      </c>
      <c r="H26" s="137">
        <f t="shared" si="0"/>
        <v>36548637</v>
      </c>
      <c r="J26" s="137">
        <v>2286774</v>
      </c>
      <c r="K26" s="137">
        <v>2091300</v>
      </c>
      <c r="L26" s="137">
        <v>2180356</v>
      </c>
      <c r="M26" s="137">
        <v>1916010</v>
      </c>
      <c r="N26" s="137">
        <f t="shared" si="1"/>
        <v>8474440</v>
      </c>
      <c r="P26" s="84">
        <f t="shared" si="2"/>
        <v>0.24452886116028488</v>
      </c>
      <c r="Q26" s="84">
        <f t="shared" si="3"/>
        <v>0.24291788601850928</v>
      </c>
      <c r="R26" s="84">
        <f t="shared" si="4"/>
        <v>0.19513121505551292</v>
      </c>
      <c r="S26" s="84">
        <f t="shared" si="5"/>
        <v>0.25843113695888564</v>
      </c>
      <c r="T26" s="84" t="str">
        <f>+IFERROR(#REF!/#REF!,"")</f>
        <v/>
      </c>
      <c r="U26" s="84" t="str">
        <f>+IFERROR(#REF!/#REF!,"")</f>
        <v/>
      </c>
      <c r="V26" s="84" t="str">
        <f>+IFERROR(#REF!/#REF!,"")</f>
        <v/>
      </c>
      <c r="W26" s="84" t="str">
        <f>+IFERROR(#REF!/#REF!,"")</f>
        <v/>
      </c>
      <c r="X26" s="84" t="str">
        <f>+IFERROR(#REF!/#REF!,"")</f>
        <v/>
      </c>
      <c r="Y26" s="84" t="str">
        <f>+IFERROR(#REF!/#REF!,"")</f>
        <v/>
      </c>
      <c r="Z26" s="84" t="str">
        <f>+IFERROR(#REF!/#REF!,"")</f>
        <v/>
      </c>
      <c r="AA26" s="84" t="str">
        <f>+IFERROR(#REF!/#REF!,"")</f>
        <v/>
      </c>
      <c r="AB26" s="84">
        <f t="shared" si="6"/>
        <v>0.23186747018773915</v>
      </c>
      <c r="AD26" s="139">
        <f t="shared" si="7"/>
        <v>-1.6109751417756057E-3</v>
      </c>
      <c r="AE26" s="139">
        <f t="shared" si="8"/>
        <v>-4.7786670962996353E-2</v>
      </c>
      <c r="AF26" s="139">
        <f t="shared" si="9"/>
        <v>6.3299921903372719E-2</v>
      </c>
      <c r="AG26" s="139" t="str">
        <f t="shared" si="10"/>
        <v/>
      </c>
      <c r="AH26" s="139" t="str">
        <f t="shared" si="11"/>
        <v/>
      </c>
      <c r="AI26" s="139" t="str">
        <f t="shared" si="12"/>
        <v/>
      </c>
      <c r="AJ26" s="139" t="str">
        <f t="shared" si="13"/>
        <v/>
      </c>
      <c r="AK26" s="139" t="str">
        <f t="shared" si="14"/>
        <v/>
      </c>
      <c r="AL26" s="139" t="str">
        <f t="shared" si="15"/>
        <v/>
      </c>
      <c r="AM26" s="139" t="str">
        <f t="shared" si="16"/>
        <v/>
      </c>
      <c r="AN26" s="139" t="str">
        <f t="shared" si="17"/>
        <v/>
      </c>
      <c r="AP26" s="82">
        <f t="shared" si="18"/>
        <v>8.3676650543837456E-3</v>
      </c>
      <c r="AQ26" s="82">
        <f t="shared" si="19"/>
        <v>0.65445381449310458</v>
      </c>
    </row>
    <row r="27" spans="2:43" x14ac:dyDescent="0.35">
      <c r="B27" s="83" t="s">
        <v>121</v>
      </c>
      <c r="D27" s="137">
        <v>12478342</v>
      </c>
      <c r="E27" s="137">
        <v>11014210</v>
      </c>
      <c r="F27" s="137">
        <v>14047209</v>
      </c>
      <c r="G27" s="137">
        <v>9420267</v>
      </c>
      <c r="H27" s="137">
        <f t="shared" si="0"/>
        <v>46960028</v>
      </c>
      <c r="J27" s="137">
        <v>2114629</v>
      </c>
      <c r="K27" s="137">
        <v>1819657</v>
      </c>
      <c r="L27" s="137">
        <v>2132477</v>
      </c>
      <c r="M27" s="137">
        <v>1623502</v>
      </c>
      <c r="N27" s="137">
        <f t="shared" si="1"/>
        <v>7690265</v>
      </c>
      <c r="P27" s="84">
        <f t="shared" si="2"/>
        <v>0.16946394000100334</v>
      </c>
      <c r="Q27" s="84">
        <f t="shared" si="3"/>
        <v>0.16520994242891682</v>
      </c>
      <c r="R27" s="84">
        <f t="shared" si="4"/>
        <v>0.15180787870387633</v>
      </c>
      <c r="S27" s="84">
        <f t="shared" si="5"/>
        <v>0.1723413996652112</v>
      </c>
      <c r="T27" s="84" t="str">
        <f>+IFERROR(#REF!/#REF!,"")</f>
        <v/>
      </c>
      <c r="U27" s="84" t="str">
        <f>+IFERROR(#REF!/#REF!,"")</f>
        <v/>
      </c>
      <c r="V27" s="84" t="str">
        <f>+IFERROR(#REF!/#REF!,"")</f>
        <v/>
      </c>
      <c r="W27" s="84" t="str">
        <f>+IFERROR(#REF!/#REF!,"")</f>
        <v/>
      </c>
      <c r="X27" s="84" t="str">
        <f>+IFERROR(#REF!/#REF!,"")</f>
        <v/>
      </c>
      <c r="Y27" s="84" t="str">
        <f>+IFERROR(#REF!/#REF!,"")</f>
        <v/>
      </c>
      <c r="Z27" s="84" t="str">
        <f>+IFERROR(#REF!/#REF!,"")</f>
        <v/>
      </c>
      <c r="AA27" s="84" t="str">
        <f>+IFERROR(#REF!/#REF!,"")</f>
        <v/>
      </c>
      <c r="AB27" s="84">
        <f t="shared" si="6"/>
        <v>0.16376193387278218</v>
      </c>
      <c r="AD27" s="139">
        <f t="shared" si="7"/>
        <v>-4.2539975720865264E-3</v>
      </c>
      <c r="AE27" s="139">
        <f t="shared" si="8"/>
        <v>-1.3402063725040492E-2</v>
      </c>
      <c r="AF27" s="139">
        <f t="shared" si="9"/>
        <v>2.0533520961334872E-2</v>
      </c>
      <c r="AG27" s="139" t="str">
        <f t="shared" si="10"/>
        <v/>
      </c>
      <c r="AH27" s="139" t="str">
        <f t="shared" si="11"/>
        <v/>
      </c>
      <c r="AI27" s="139" t="str">
        <f t="shared" si="12"/>
        <v/>
      </c>
      <c r="AJ27" s="139" t="str">
        <f t="shared" si="13"/>
        <v/>
      </c>
      <c r="AK27" s="139" t="str">
        <f t="shared" si="14"/>
        <v/>
      </c>
      <c r="AL27" s="139" t="str">
        <f t="shared" si="15"/>
        <v/>
      </c>
      <c r="AM27" s="139" t="str">
        <f t="shared" si="16"/>
        <v/>
      </c>
      <c r="AN27" s="139" t="str">
        <f t="shared" si="17"/>
        <v/>
      </c>
      <c r="AP27" s="82">
        <f t="shared" si="18"/>
        <v>7.59337038193089E-3</v>
      </c>
      <c r="AQ27" s="82">
        <f t="shared" si="19"/>
        <v>0.66204718487503544</v>
      </c>
    </row>
    <row r="28" spans="2:43" x14ac:dyDescent="0.35">
      <c r="B28" s="83" t="s">
        <v>122</v>
      </c>
      <c r="D28" s="137">
        <v>9647288</v>
      </c>
      <c r="E28" s="137"/>
      <c r="F28" s="137"/>
      <c r="G28" s="137"/>
      <c r="H28" s="137">
        <f t="shared" si="0"/>
        <v>9647288</v>
      </c>
      <c r="J28" s="137">
        <v>1691122</v>
      </c>
      <c r="K28" s="137"/>
      <c r="L28" s="137"/>
      <c r="M28" s="137"/>
      <c r="N28" s="137">
        <f t="shared" si="1"/>
        <v>1691122</v>
      </c>
      <c r="P28" s="84">
        <f t="shared" si="2"/>
        <v>0.17529506738059442</v>
      </c>
      <c r="Q28" s="84" t="str">
        <f t="shared" si="3"/>
        <v/>
      </c>
      <c r="R28" s="84" t="str">
        <f t="shared" si="4"/>
        <v/>
      </c>
      <c r="S28" s="84" t="str">
        <f t="shared" si="5"/>
        <v/>
      </c>
      <c r="T28" s="84" t="str">
        <f>+IFERROR(#REF!/#REF!,"")</f>
        <v/>
      </c>
      <c r="U28" s="84" t="str">
        <f>+IFERROR(#REF!/#REF!,"")</f>
        <v/>
      </c>
      <c r="V28" s="84" t="str">
        <f>+IFERROR(#REF!/#REF!,"")</f>
        <v/>
      </c>
      <c r="W28" s="84" t="str">
        <f>+IFERROR(#REF!/#REF!,"")</f>
        <v/>
      </c>
      <c r="X28" s="84" t="str">
        <f>+IFERROR(#REF!/#REF!,"")</f>
        <v/>
      </c>
      <c r="Y28" s="84" t="str">
        <f>+IFERROR(#REF!/#REF!,"")</f>
        <v/>
      </c>
      <c r="Z28" s="84" t="str">
        <f>+IFERROR(#REF!/#REF!,"")</f>
        <v/>
      </c>
      <c r="AA28" s="84" t="str">
        <f>+IFERROR(#REF!/#REF!,"")</f>
        <v/>
      </c>
      <c r="AB28" s="84">
        <f t="shared" si="6"/>
        <v>0.17529506738059442</v>
      </c>
      <c r="AD28" s="139" t="str">
        <f t="shared" si="7"/>
        <v/>
      </c>
      <c r="AE28" s="139" t="str">
        <f t="shared" si="8"/>
        <v/>
      </c>
      <c r="AF28" s="139" t="str">
        <f t="shared" si="9"/>
        <v/>
      </c>
      <c r="AG28" s="139" t="str">
        <f t="shared" si="10"/>
        <v/>
      </c>
      <c r="AH28" s="139" t="str">
        <f t="shared" si="11"/>
        <v/>
      </c>
      <c r="AI28" s="139" t="str">
        <f t="shared" si="12"/>
        <v/>
      </c>
      <c r="AJ28" s="139" t="str">
        <f t="shared" si="13"/>
        <v/>
      </c>
      <c r="AK28" s="139" t="str">
        <f t="shared" si="14"/>
        <v/>
      </c>
      <c r="AL28" s="139" t="str">
        <f t="shared" si="15"/>
        <v/>
      </c>
      <c r="AM28" s="139" t="str">
        <f t="shared" si="16"/>
        <v/>
      </c>
      <c r="AN28" s="139" t="str">
        <f t="shared" si="17"/>
        <v/>
      </c>
      <c r="AP28" s="82">
        <f t="shared" si="18"/>
        <v>1.669814461144282E-3</v>
      </c>
      <c r="AQ28" s="82">
        <f t="shared" si="19"/>
        <v>0.66371699933617978</v>
      </c>
    </row>
    <row r="29" spans="2:43" x14ac:dyDescent="0.35">
      <c r="B29" s="83" t="s">
        <v>123</v>
      </c>
      <c r="D29" s="137">
        <v>1159782</v>
      </c>
      <c r="E29" s="137">
        <v>1138481</v>
      </c>
      <c r="F29" s="137">
        <v>1446419</v>
      </c>
      <c r="G29" s="137">
        <v>1194377</v>
      </c>
      <c r="H29" s="137">
        <f t="shared" si="0"/>
        <v>4939059</v>
      </c>
      <c r="J29" s="137">
        <v>265052</v>
      </c>
      <c r="K29" s="137">
        <v>245988</v>
      </c>
      <c r="L29" s="137">
        <v>274350</v>
      </c>
      <c r="M29" s="137">
        <v>425697</v>
      </c>
      <c r="N29" s="137">
        <f t="shared" si="1"/>
        <v>1211087</v>
      </c>
      <c r="P29" s="84">
        <f t="shared" si="2"/>
        <v>0.22853605246503222</v>
      </c>
      <c r="Q29" s="84">
        <f t="shared" si="3"/>
        <v>0.21606684696538633</v>
      </c>
      <c r="R29" s="84">
        <f t="shared" si="4"/>
        <v>0.18967532920958588</v>
      </c>
      <c r="S29" s="84">
        <f t="shared" si="5"/>
        <v>0.35641761353408513</v>
      </c>
      <c r="T29" s="84" t="str">
        <f>+IFERROR(#REF!/#REF!,"")</f>
        <v/>
      </c>
      <c r="U29" s="84" t="str">
        <f>+IFERROR(#REF!/#REF!,"")</f>
        <v/>
      </c>
      <c r="V29" s="84" t="str">
        <f>+IFERROR(#REF!/#REF!,"")</f>
        <v/>
      </c>
      <c r="W29" s="84" t="str">
        <f>+IFERROR(#REF!/#REF!,"")</f>
        <v/>
      </c>
      <c r="X29" s="84" t="str">
        <f>+IFERROR(#REF!/#REF!,"")</f>
        <v/>
      </c>
      <c r="Y29" s="84" t="str">
        <f>+IFERROR(#REF!/#REF!,"")</f>
        <v/>
      </c>
      <c r="Z29" s="84" t="str">
        <f>+IFERROR(#REF!/#REF!,"")</f>
        <v/>
      </c>
      <c r="AA29" s="84" t="str">
        <f>+IFERROR(#REF!/#REF!,"")</f>
        <v/>
      </c>
      <c r="AB29" s="84">
        <f t="shared" si="6"/>
        <v>0.24520602001312397</v>
      </c>
      <c r="AD29" s="139">
        <f t="shared" si="7"/>
        <v>-1.2469205499645891E-2</v>
      </c>
      <c r="AE29" s="139">
        <f t="shared" si="8"/>
        <v>-2.6391517755800453E-2</v>
      </c>
      <c r="AF29" s="139">
        <f t="shared" si="9"/>
        <v>0.16674228432449925</v>
      </c>
      <c r="AG29" s="139" t="str">
        <f t="shared" si="10"/>
        <v/>
      </c>
      <c r="AH29" s="139" t="str">
        <f t="shared" si="11"/>
        <v/>
      </c>
      <c r="AI29" s="139" t="str">
        <f t="shared" si="12"/>
        <v/>
      </c>
      <c r="AJ29" s="139" t="str">
        <f t="shared" si="13"/>
        <v/>
      </c>
      <c r="AK29" s="139" t="str">
        <f t="shared" si="14"/>
        <v/>
      </c>
      <c r="AL29" s="139" t="str">
        <f t="shared" si="15"/>
        <v/>
      </c>
      <c r="AM29" s="139" t="str">
        <f t="shared" si="16"/>
        <v/>
      </c>
      <c r="AN29" s="139" t="str">
        <f t="shared" si="17"/>
        <v/>
      </c>
      <c r="AP29" s="82">
        <f t="shared" si="18"/>
        <v>1.1958277323007123E-3</v>
      </c>
      <c r="AQ29" s="82">
        <f t="shared" si="19"/>
        <v>0.66491282706848054</v>
      </c>
    </row>
    <row r="30" spans="2:43" x14ac:dyDescent="0.35">
      <c r="B30" s="83" t="s">
        <v>124</v>
      </c>
      <c r="D30" s="137">
        <v>9016427</v>
      </c>
      <c r="E30" s="137">
        <v>8774382</v>
      </c>
      <c r="F30" s="137">
        <v>11995648</v>
      </c>
      <c r="G30" s="137">
        <v>8054915</v>
      </c>
      <c r="H30" s="137">
        <f t="shared" si="0"/>
        <v>37841372</v>
      </c>
      <c r="J30" s="137">
        <v>1468391</v>
      </c>
      <c r="K30" s="137">
        <v>1448560</v>
      </c>
      <c r="L30" s="137">
        <v>1865241</v>
      </c>
      <c r="M30" s="137">
        <v>1310388</v>
      </c>
      <c r="N30" s="137">
        <f t="shared" si="1"/>
        <v>6092580</v>
      </c>
      <c r="P30" s="84">
        <f t="shared" si="2"/>
        <v>0.16285730478381291</v>
      </c>
      <c r="Q30" s="84">
        <f t="shared" si="3"/>
        <v>0.16508968950747757</v>
      </c>
      <c r="R30" s="84">
        <f t="shared" si="4"/>
        <v>0.15549314217956378</v>
      </c>
      <c r="S30" s="84">
        <f t="shared" si="5"/>
        <v>0.16268179117967105</v>
      </c>
      <c r="T30" s="84" t="str">
        <f>+IFERROR(#REF!/#REF!,"")</f>
        <v/>
      </c>
      <c r="U30" s="84" t="str">
        <f>+IFERROR(#REF!/#REF!,"")</f>
        <v/>
      </c>
      <c r="V30" s="84" t="str">
        <f>+IFERROR(#REF!/#REF!,"")</f>
        <v/>
      </c>
      <c r="W30" s="84" t="str">
        <f>+IFERROR(#REF!/#REF!,"")</f>
        <v/>
      </c>
      <c r="X30" s="84" t="str">
        <f>+IFERROR(#REF!/#REF!,"")</f>
        <v/>
      </c>
      <c r="Y30" s="84" t="str">
        <f>+IFERROR(#REF!/#REF!,"")</f>
        <v/>
      </c>
      <c r="Z30" s="84" t="str">
        <f>+IFERROR(#REF!/#REF!,"")</f>
        <v/>
      </c>
      <c r="AA30" s="84" t="str">
        <f>+IFERROR(#REF!/#REF!,"")</f>
        <v/>
      </c>
      <c r="AB30" s="84">
        <f t="shared" si="6"/>
        <v>0.1610031475602946</v>
      </c>
      <c r="AD30" s="139">
        <f t="shared" si="7"/>
        <v>2.2323847236646599E-3</v>
      </c>
      <c r="AE30" s="139">
        <f t="shared" si="8"/>
        <v>-9.5965473279137903E-3</v>
      </c>
      <c r="AF30" s="139">
        <f t="shared" si="9"/>
        <v>7.1886490001072667E-3</v>
      </c>
      <c r="AG30" s="139" t="str">
        <f t="shared" si="10"/>
        <v/>
      </c>
      <c r="AH30" s="139" t="str">
        <f t="shared" si="11"/>
        <v/>
      </c>
      <c r="AI30" s="139" t="str">
        <f t="shared" si="12"/>
        <v/>
      </c>
      <c r="AJ30" s="139" t="str">
        <f t="shared" si="13"/>
        <v/>
      </c>
      <c r="AK30" s="139" t="str">
        <f t="shared" si="14"/>
        <v/>
      </c>
      <c r="AL30" s="139" t="str">
        <f t="shared" si="15"/>
        <v/>
      </c>
      <c r="AM30" s="139" t="str">
        <f t="shared" si="16"/>
        <v/>
      </c>
      <c r="AN30" s="139" t="str">
        <f t="shared" si="17"/>
        <v/>
      </c>
      <c r="AP30" s="82">
        <f t="shared" si="18"/>
        <v>6.0158156476460183E-3</v>
      </c>
      <c r="AQ30" s="82">
        <f t="shared" si="19"/>
        <v>0.67092864271612651</v>
      </c>
    </row>
    <row r="31" spans="2:43" x14ac:dyDescent="0.35">
      <c r="B31" s="83" t="s">
        <v>125</v>
      </c>
      <c r="D31" s="137">
        <v>22215252</v>
      </c>
      <c r="E31" s="137">
        <v>25929673</v>
      </c>
      <c r="F31" s="137">
        <v>23012582</v>
      </c>
      <c r="G31" s="137">
        <v>23165433</v>
      </c>
      <c r="H31" s="137">
        <f t="shared" si="0"/>
        <v>94322940</v>
      </c>
      <c r="J31" s="137">
        <v>3033338</v>
      </c>
      <c r="K31" s="137">
        <v>2883407</v>
      </c>
      <c r="L31" s="137">
        <v>2486579</v>
      </c>
      <c r="M31" s="137">
        <v>2407354</v>
      </c>
      <c r="N31" s="137">
        <f t="shared" si="1"/>
        <v>10810678</v>
      </c>
      <c r="P31" s="84">
        <f t="shared" si="2"/>
        <v>0.13654303808932711</v>
      </c>
      <c r="Q31" s="84">
        <f t="shared" si="3"/>
        <v>0.11120105525434124</v>
      </c>
      <c r="R31" s="84">
        <f t="shared" si="4"/>
        <v>0.10805302073448342</v>
      </c>
      <c r="S31" s="84">
        <f t="shared" si="5"/>
        <v>0.10392009508304896</v>
      </c>
      <c r="T31" s="84" t="str">
        <f>+IFERROR(#REF!/#REF!,"")</f>
        <v/>
      </c>
      <c r="U31" s="84" t="str">
        <f>+IFERROR(#REF!/#REF!,"")</f>
        <v/>
      </c>
      <c r="V31" s="84" t="str">
        <f>+IFERROR(#REF!/#REF!,"")</f>
        <v/>
      </c>
      <c r="W31" s="84" t="str">
        <f>+IFERROR(#REF!/#REF!,"")</f>
        <v/>
      </c>
      <c r="X31" s="84" t="str">
        <f>+IFERROR(#REF!/#REF!,"")</f>
        <v/>
      </c>
      <c r="Y31" s="84" t="str">
        <f>+IFERROR(#REF!/#REF!,"")</f>
        <v/>
      </c>
      <c r="Z31" s="84" t="str">
        <f>+IFERROR(#REF!/#REF!,"")</f>
        <v/>
      </c>
      <c r="AA31" s="84" t="str">
        <f>+IFERROR(#REF!/#REF!,"")</f>
        <v/>
      </c>
      <c r="AB31" s="84">
        <f t="shared" si="6"/>
        <v>0.11461345458485497</v>
      </c>
      <c r="AD31" s="139">
        <f t="shared" si="7"/>
        <v>-2.5341982834985871E-2</v>
      </c>
      <c r="AE31" s="139">
        <f t="shared" si="8"/>
        <v>-3.1480345198578175E-3</v>
      </c>
      <c r="AF31" s="139">
        <f t="shared" si="9"/>
        <v>-4.1329256514344576E-3</v>
      </c>
      <c r="AG31" s="139" t="str">
        <f t="shared" si="10"/>
        <v/>
      </c>
      <c r="AH31" s="139" t="str">
        <f t="shared" si="11"/>
        <v/>
      </c>
      <c r="AI31" s="139" t="str">
        <f t="shared" si="12"/>
        <v/>
      </c>
      <c r="AJ31" s="139" t="str">
        <f t="shared" si="13"/>
        <v/>
      </c>
      <c r="AK31" s="139" t="str">
        <f t="shared" si="14"/>
        <v/>
      </c>
      <c r="AL31" s="139" t="str">
        <f t="shared" si="15"/>
        <v/>
      </c>
      <c r="AM31" s="139" t="str">
        <f t="shared" si="16"/>
        <v/>
      </c>
      <c r="AN31" s="139" t="str">
        <f t="shared" si="17"/>
        <v/>
      </c>
      <c r="AP31" s="82">
        <f t="shared" si="18"/>
        <v>1.0674467282179726E-2</v>
      </c>
      <c r="AQ31" s="82">
        <f t="shared" si="19"/>
        <v>0.6816031099983062</v>
      </c>
    </row>
    <row r="32" spans="2:43" x14ac:dyDescent="0.35">
      <c r="B32" s="83" t="s">
        <v>126</v>
      </c>
      <c r="D32" s="137">
        <v>1113153</v>
      </c>
      <c r="E32" s="137">
        <v>1099169</v>
      </c>
      <c r="F32" s="137">
        <v>1191400</v>
      </c>
      <c r="G32" s="137">
        <v>1039128</v>
      </c>
      <c r="H32" s="137">
        <f t="shared" si="0"/>
        <v>4442850</v>
      </c>
      <c r="J32" s="137">
        <v>196730</v>
      </c>
      <c r="K32" s="137">
        <v>202677</v>
      </c>
      <c r="L32" s="137">
        <v>210402</v>
      </c>
      <c r="M32" s="137">
        <v>208792</v>
      </c>
      <c r="N32" s="137">
        <f t="shared" si="1"/>
        <v>818601</v>
      </c>
      <c r="P32" s="84">
        <f t="shared" si="2"/>
        <v>0.17673221920077473</v>
      </c>
      <c r="Q32" s="84">
        <f t="shared" si="3"/>
        <v>0.18439111728951599</v>
      </c>
      <c r="R32" s="84">
        <f t="shared" si="4"/>
        <v>0.17660063790498573</v>
      </c>
      <c r="S32" s="84">
        <f t="shared" si="5"/>
        <v>0.20093001054730505</v>
      </c>
      <c r="T32" s="84" t="str">
        <f>+IFERROR(#REF!/#REF!,"")</f>
        <v/>
      </c>
      <c r="U32" s="84" t="str">
        <f>+IFERROR(#REF!/#REF!,"")</f>
        <v/>
      </c>
      <c r="V32" s="84" t="str">
        <f>+IFERROR(#REF!/#REF!,"")</f>
        <v/>
      </c>
      <c r="W32" s="84" t="str">
        <f>+IFERROR(#REF!/#REF!,"")</f>
        <v/>
      </c>
      <c r="X32" s="84" t="str">
        <f>+IFERROR(#REF!/#REF!,"")</f>
        <v/>
      </c>
      <c r="Y32" s="84" t="str">
        <f>+IFERROR(#REF!/#REF!,"")</f>
        <v/>
      </c>
      <c r="Z32" s="84" t="str">
        <f>+IFERROR(#REF!/#REF!,"")</f>
        <v/>
      </c>
      <c r="AA32" s="84" t="str">
        <f>+IFERROR(#REF!/#REF!,"")</f>
        <v/>
      </c>
      <c r="AB32" s="84">
        <f t="shared" si="6"/>
        <v>0.18425132516290219</v>
      </c>
      <c r="AD32" s="139">
        <f t="shared" si="7"/>
        <v>7.6588980887412617E-3</v>
      </c>
      <c r="AE32" s="139">
        <f t="shared" si="8"/>
        <v>-7.7904793845302578E-3</v>
      </c>
      <c r="AF32" s="139">
        <f t="shared" si="9"/>
        <v>2.4329372642319325E-2</v>
      </c>
      <c r="AG32" s="139" t="str">
        <f t="shared" si="10"/>
        <v/>
      </c>
      <c r="AH32" s="139" t="str">
        <f t="shared" si="11"/>
        <v/>
      </c>
      <c r="AI32" s="139" t="str">
        <f t="shared" si="12"/>
        <v/>
      </c>
      <c r="AJ32" s="139" t="str">
        <f t="shared" si="13"/>
        <v/>
      </c>
      <c r="AK32" s="139" t="str">
        <f t="shared" si="14"/>
        <v/>
      </c>
      <c r="AL32" s="139" t="str">
        <f t="shared" si="15"/>
        <v/>
      </c>
      <c r="AM32" s="139" t="str">
        <f t="shared" si="16"/>
        <v/>
      </c>
      <c r="AN32" s="139" t="str">
        <f t="shared" si="17"/>
        <v/>
      </c>
      <c r="AP32" s="82">
        <f t="shared" si="18"/>
        <v>8.0828691703328933E-4</v>
      </c>
      <c r="AQ32" s="82">
        <f t="shared" si="19"/>
        <v>0.68241139691533947</v>
      </c>
    </row>
    <row r="33" spans="2:43" x14ac:dyDescent="0.35">
      <c r="B33" s="83" t="s">
        <v>127</v>
      </c>
      <c r="D33" s="137">
        <v>5600896</v>
      </c>
      <c r="E33" s="137">
        <v>4752845</v>
      </c>
      <c r="F33" s="137">
        <v>5939016</v>
      </c>
      <c r="G33" s="137">
        <v>4268133</v>
      </c>
      <c r="H33" s="137">
        <f t="shared" si="0"/>
        <v>20560890</v>
      </c>
      <c r="J33" s="137">
        <v>1009498</v>
      </c>
      <c r="K33" s="137">
        <v>965043</v>
      </c>
      <c r="L33" s="137">
        <v>912885</v>
      </c>
      <c r="M33" s="137">
        <v>773179</v>
      </c>
      <c r="N33" s="137">
        <f t="shared" si="1"/>
        <v>3660605</v>
      </c>
      <c r="P33" s="84">
        <f t="shared" si="2"/>
        <v>0.18023866181410975</v>
      </c>
      <c r="Q33" s="84">
        <f t="shared" si="3"/>
        <v>0.20304533390001148</v>
      </c>
      <c r="R33" s="84">
        <f t="shared" si="4"/>
        <v>0.15370980647299148</v>
      </c>
      <c r="S33" s="84">
        <f t="shared" si="5"/>
        <v>0.18115157142478924</v>
      </c>
      <c r="T33" s="84" t="str">
        <f>+IFERROR(#REF!/#REF!,"")</f>
        <v/>
      </c>
      <c r="U33" s="84" t="str">
        <f>+IFERROR(#REF!/#REF!,"")</f>
        <v/>
      </c>
      <c r="V33" s="84" t="str">
        <f>+IFERROR(#REF!/#REF!,"")</f>
        <v/>
      </c>
      <c r="W33" s="84" t="str">
        <f>+IFERROR(#REF!/#REF!,"")</f>
        <v/>
      </c>
      <c r="X33" s="84" t="str">
        <f>+IFERROR(#REF!/#REF!,"")</f>
        <v/>
      </c>
      <c r="Y33" s="84" t="str">
        <f>+IFERROR(#REF!/#REF!,"")</f>
        <v/>
      </c>
      <c r="Z33" s="84" t="str">
        <f>+IFERROR(#REF!/#REF!,"")</f>
        <v/>
      </c>
      <c r="AA33" s="84" t="str">
        <f>+IFERROR(#REF!/#REF!,"")</f>
        <v/>
      </c>
      <c r="AB33" s="84">
        <f t="shared" si="6"/>
        <v>0.17803728340553351</v>
      </c>
      <c r="AD33" s="139">
        <f t="shared" si="7"/>
        <v>2.280667208590173E-2</v>
      </c>
      <c r="AE33" s="139">
        <f t="shared" si="8"/>
        <v>-4.9335527427019993E-2</v>
      </c>
      <c r="AF33" s="139">
        <f t="shared" si="9"/>
        <v>2.7441764951797759E-2</v>
      </c>
      <c r="AG33" s="139" t="str">
        <f t="shared" si="10"/>
        <v/>
      </c>
      <c r="AH33" s="139" t="str">
        <f t="shared" si="11"/>
        <v/>
      </c>
      <c r="AI33" s="139" t="str">
        <f t="shared" si="12"/>
        <v/>
      </c>
      <c r="AJ33" s="139" t="str">
        <f t="shared" si="13"/>
        <v/>
      </c>
      <c r="AK33" s="139" t="str">
        <f t="shared" si="14"/>
        <v/>
      </c>
      <c r="AL33" s="139" t="str">
        <f t="shared" si="15"/>
        <v/>
      </c>
      <c r="AM33" s="139" t="str">
        <f t="shared" si="16"/>
        <v/>
      </c>
      <c r="AN33" s="139" t="str">
        <f t="shared" si="17"/>
        <v/>
      </c>
      <c r="AP33" s="82">
        <f t="shared" si="18"/>
        <v>3.6144826721768528E-3</v>
      </c>
      <c r="AQ33" s="82">
        <f t="shared" si="19"/>
        <v>0.68602587958751637</v>
      </c>
    </row>
    <row r="34" spans="2:43" x14ac:dyDescent="0.35">
      <c r="B34" s="83" t="s">
        <v>128</v>
      </c>
      <c r="D34" s="137">
        <v>7427920</v>
      </c>
      <c r="E34" s="137">
        <v>6728802</v>
      </c>
      <c r="F34" s="137">
        <v>7874360</v>
      </c>
      <c r="G34" s="137">
        <v>6119945</v>
      </c>
      <c r="H34" s="137">
        <f t="shared" si="0"/>
        <v>28151027</v>
      </c>
      <c r="J34" s="137">
        <v>1177725</v>
      </c>
      <c r="K34" s="137">
        <v>1054491</v>
      </c>
      <c r="L34" s="137">
        <v>1330947</v>
      </c>
      <c r="M34" s="137">
        <v>972899</v>
      </c>
      <c r="N34" s="137">
        <f t="shared" si="1"/>
        <v>4536062</v>
      </c>
      <c r="P34" s="84">
        <f t="shared" si="2"/>
        <v>0.15855380779545283</v>
      </c>
      <c r="Q34" s="84">
        <f t="shared" si="3"/>
        <v>0.15671303747680493</v>
      </c>
      <c r="R34" s="84">
        <f t="shared" si="4"/>
        <v>0.16902287931971613</v>
      </c>
      <c r="S34" s="84">
        <f t="shared" si="5"/>
        <v>0.15897185350521942</v>
      </c>
      <c r="T34" s="84" t="str">
        <f>+IFERROR(#REF!/#REF!,"")</f>
        <v/>
      </c>
      <c r="U34" s="84" t="str">
        <f>+IFERROR(#REF!/#REF!,"")</f>
        <v/>
      </c>
      <c r="V34" s="84" t="str">
        <f>+IFERROR(#REF!/#REF!,"")</f>
        <v/>
      </c>
      <c r="W34" s="84" t="str">
        <f>+IFERROR(#REF!/#REF!,"")</f>
        <v/>
      </c>
      <c r="X34" s="84" t="str">
        <f>+IFERROR(#REF!/#REF!,"")</f>
        <v/>
      </c>
      <c r="Y34" s="84" t="str">
        <f>+IFERROR(#REF!/#REF!,"")</f>
        <v/>
      </c>
      <c r="Z34" s="84" t="str">
        <f>+IFERROR(#REF!/#REF!,"")</f>
        <v/>
      </c>
      <c r="AA34" s="84" t="str">
        <f>+IFERROR(#REF!/#REF!,"")</f>
        <v/>
      </c>
      <c r="AB34" s="84">
        <f t="shared" si="6"/>
        <v>0.1611330911657326</v>
      </c>
      <c r="AD34" s="139">
        <f t="shared" si="7"/>
        <v>-1.8407703186479052E-3</v>
      </c>
      <c r="AE34" s="139">
        <f t="shared" si="8"/>
        <v>1.2309841842911201E-2</v>
      </c>
      <c r="AF34" s="139">
        <f t="shared" si="9"/>
        <v>-1.0051025814496711E-2</v>
      </c>
      <c r="AG34" s="139" t="str">
        <f t="shared" si="10"/>
        <v/>
      </c>
      <c r="AH34" s="139" t="str">
        <f t="shared" si="11"/>
        <v/>
      </c>
      <c r="AI34" s="139" t="str">
        <f t="shared" si="12"/>
        <v/>
      </c>
      <c r="AJ34" s="139" t="str">
        <f t="shared" si="13"/>
        <v/>
      </c>
      <c r="AK34" s="139" t="str">
        <f t="shared" si="14"/>
        <v/>
      </c>
      <c r="AL34" s="139" t="str">
        <f t="shared" si="15"/>
        <v/>
      </c>
      <c r="AM34" s="139" t="str">
        <f t="shared" si="16"/>
        <v/>
      </c>
      <c r="AN34" s="139" t="str">
        <f t="shared" si="17"/>
        <v/>
      </c>
      <c r="AP34" s="82">
        <f t="shared" si="18"/>
        <v>4.4789092237266463E-3</v>
      </c>
      <c r="AQ34" s="82">
        <f t="shared" si="19"/>
        <v>0.690504788811243</v>
      </c>
    </row>
    <row r="35" spans="2:43" x14ac:dyDescent="0.35">
      <c r="B35" s="83" t="s">
        <v>129</v>
      </c>
      <c r="D35" s="137">
        <v>4680577</v>
      </c>
      <c r="E35" s="137">
        <v>4298700</v>
      </c>
      <c r="F35" s="137">
        <v>5378056</v>
      </c>
      <c r="G35" s="137">
        <v>3907610</v>
      </c>
      <c r="H35" s="137">
        <f t="shared" si="0"/>
        <v>18264943</v>
      </c>
      <c r="J35" s="137">
        <v>1222256</v>
      </c>
      <c r="K35" s="137">
        <v>1058637</v>
      </c>
      <c r="L35" s="137">
        <v>1120468</v>
      </c>
      <c r="M35" s="137">
        <v>965381</v>
      </c>
      <c r="N35" s="137">
        <f t="shared" si="1"/>
        <v>4366742</v>
      </c>
      <c r="P35" s="84">
        <f t="shared" si="2"/>
        <v>0.26113361664598189</v>
      </c>
      <c r="Q35" s="84">
        <f t="shared" si="3"/>
        <v>0.24626910461302254</v>
      </c>
      <c r="R35" s="84">
        <f t="shared" si="4"/>
        <v>0.20834070898480789</v>
      </c>
      <c r="S35" s="84">
        <f t="shared" si="5"/>
        <v>0.24705152254191182</v>
      </c>
      <c r="T35" s="84" t="str">
        <f>+IFERROR(#REF!/#REF!,"")</f>
        <v/>
      </c>
      <c r="U35" s="84" t="str">
        <f>+IFERROR(#REF!/#REF!,"")</f>
        <v/>
      </c>
      <c r="V35" s="84" t="str">
        <f>+IFERROR(#REF!/#REF!,"")</f>
        <v/>
      </c>
      <c r="W35" s="84" t="str">
        <f>+IFERROR(#REF!/#REF!,"")</f>
        <v/>
      </c>
      <c r="X35" s="84" t="str">
        <f>+IFERROR(#REF!/#REF!,"")</f>
        <v/>
      </c>
      <c r="Y35" s="84" t="str">
        <f>+IFERROR(#REF!/#REF!,"")</f>
        <v/>
      </c>
      <c r="Z35" s="84" t="str">
        <f>+IFERROR(#REF!/#REF!,"")</f>
        <v/>
      </c>
      <c r="AA35" s="84" t="str">
        <f>+IFERROR(#REF!/#REF!,"")</f>
        <v/>
      </c>
      <c r="AB35" s="84">
        <f t="shared" si="6"/>
        <v>0.23907777867141441</v>
      </c>
      <c r="AD35" s="139">
        <f t="shared" si="7"/>
        <v>-1.4864512032959354E-2</v>
      </c>
      <c r="AE35" s="139">
        <f t="shared" si="8"/>
        <v>-3.7928395628214651E-2</v>
      </c>
      <c r="AF35" s="139">
        <f t="shared" si="9"/>
        <v>3.8710813557103929E-2</v>
      </c>
      <c r="AG35" s="139" t="str">
        <f t="shared" si="10"/>
        <v/>
      </c>
      <c r="AH35" s="139" t="str">
        <f t="shared" si="11"/>
        <v/>
      </c>
      <c r="AI35" s="139" t="str">
        <f t="shared" si="12"/>
        <v/>
      </c>
      <c r="AJ35" s="139" t="str">
        <f t="shared" si="13"/>
        <v/>
      </c>
      <c r="AK35" s="139" t="str">
        <f t="shared" si="14"/>
        <v/>
      </c>
      <c r="AL35" s="139" t="str">
        <f t="shared" si="15"/>
        <v/>
      </c>
      <c r="AM35" s="139" t="str">
        <f t="shared" si="16"/>
        <v/>
      </c>
      <c r="AN35" s="139" t="str">
        <f t="shared" si="17"/>
        <v/>
      </c>
      <c r="AP35" s="82">
        <f t="shared" si="18"/>
        <v>4.3117225958186952E-3</v>
      </c>
      <c r="AQ35" s="82">
        <f t="shared" si="19"/>
        <v>0.69481651140706169</v>
      </c>
    </row>
    <row r="36" spans="2:43" x14ac:dyDescent="0.35">
      <c r="B36" s="83" t="s">
        <v>130</v>
      </c>
      <c r="D36" s="137">
        <v>6626740</v>
      </c>
      <c r="E36" s="137">
        <v>6130290</v>
      </c>
      <c r="F36" s="137">
        <v>7577759</v>
      </c>
      <c r="G36" s="137">
        <v>5405607</v>
      </c>
      <c r="H36" s="137">
        <f t="shared" si="0"/>
        <v>25740396</v>
      </c>
      <c r="J36" s="137">
        <v>1145757</v>
      </c>
      <c r="K36" s="137">
        <v>1025436</v>
      </c>
      <c r="L36" s="137">
        <v>1265367</v>
      </c>
      <c r="M36" s="137">
        <v>833704</v>
      </c>
      <c r="N36" s="137">
        <f t="shared" si="1"/>
        <v>4270264</v>
      </c>
      <c r="P36" s="84">
        <f t="shared" si="2"/>
        <v>0.17289904236472231</v>
      </c>
      <c r="Q36" s="84">
        <f t="shared" si="3"/>
        <v>0.16727365263307281</v>
      </c>
      <c r="R36" s="84">
        <f t="shared" si="4"/>
        <v>0.16698432874415775</v>
      </c>
      <c r="S36" s="84">
        <f t="shared" si="5"/>
        <v>0.15422948801124461</v>
      </c>
      <c r="T36" s="84" t="str">
        <f>+IFERROR(#REF!/#REF!,"")</f>
        <v/>
      </c>
      <c r="U36" s="84" t="str">
        <f>+IFERROR(#REF!/#REF!,"")</f>
        <v/>
      </c>
      <c r="V36" s="84" t="str">
        <f>+IFERROR(#REF!/#REF!,"")</f>
        <v/>
      </c>
      <c r="W36" s="84" t="str">
        <f>+IFERROR(#REF!/#REF!,"")</f>
        <v/>
      </c>
      <c r="X36" s="84" t="str">
        <f>+IFERROR(#REF!/#REF!,"")</f>
        <v/>
      </c>
      <c r="Y36" s="84" t="str">
        <f>+IFERROR(#REF!/#REF!,"")</f>
        <v/>
      </c>
      <c r="Z36" s="84" t="str">
        <f>+IFERROR(#REF!/#REF!,"")</f>
        <v/>
      </c>
      <c r="AA36" s="84" t="str">
        <f>+IFERROR(#REF!/#REF!,"")</f>
        <v/>
      </c>
      <c r="AB36" s="84">
        <f t="shared" si="6"/>
        <v>0.16589737003269103</v>
      </c>
      <c r="AD36" s="139">
        <f t="shared" si="7"/>
        <v>-5.6253897316494994E-3</v>
      </c>
      <c r="AE36" s="139">
        <f t="shared" si="8"/>
        <v>-2.8932388891506067E-4</v>
      </c>
      <c r="AF36" s="139">
        <f t="shared" si="9"/>
        <v>-1.2754840732913136E-2</v>
      </c>
      <c r="AG36" s="139" t="str">
        <f t="shared" si="10"/>
        <v/>
      </c>
      <c r="AH36" s="139" t="str">
        <f t="shared" si="11"/>
        <v/>
      </c>
      <c r="AI36" s="139" t="str">
        <f t="shared" si="12"/>
        <v/>
      </c>
      <c r="AJ36" s="139" t="str">
        <f t="shared" si="13"/>
        <v/>
      </c>
      <c r="AK36" s="139" t="str">
        <f t="shared" si="14"/>
        <v/>
      </c>
      <c r="AL36" s="139" t="str">
        <f t="shared" si="15"/>
        <v/>
      </c>
      <c r="AM36" s="139" t="str">
        <f t="shared" si="16"/>
        <v/>
      </c>
      <c r="AN36" s="139" t="str">
        <f t="shared" si="17"/>
        <v/>
      </c>
      <c r="AP36" s="82">
        <f t="shared" si="18"/>
        <v>4.2164601844833349E-3</v>
      </c>
      <c r="AQ36" s="82">
        <f t="shared" si="19"/>
        <v>0.69903297159154498</v>
      </c>
    </row>
    <row r="37" spans="2:43" x14ac:dyDescent="0.35">
      <c r="B37" s="83" t="s">
        <v>131</v>
      </c>
      <c r="D37" s="137">
        <v>29494326</v>
      </c>
      <c r="E37" s="137">
        <v>29102138</v>
      </c>
      <c r="F37" s="137">
        <v>34164425</v>
      </c>
      <c r="G37" s="137">
        <v>28229056</v>
      </c>
      <c r="H37" s="137">
        <f t="shared" si="0"/>
        <v>120989945</v>
      </c>
      <c r="J37" s="137">
        <v>4191009</v>
      </c>
      <c r="K37" s="137">
        <v>4135700</v>
      </c>
      <c r="L37" s="137">
        <v>5043527</v>
      </c>
      <c r="M37" s="137">
        <v>3987664</v>
      </c>
      <c r="N37" s="137">
        <f t="shared" si="1"/>
        <v>17357900</v>
      </c>
      <c r="P37" s="84">
        <f t="shared" si="2"/>
        <v>0.14209543218583806</v>
      </c>
      <c r="Q37" s="84">
        <f t="shared" si="3"/>
        <v>0.14210983399226546</v>
      </c>
      <c r="R37" s="84">
        <f t="shared" si="4"/>
        <v>0.14762511003770734</v>
      </c>
      <c r="S37" s="84">
        <f t="shared" si="5"/>
        <v>0.14126097592494768</v>
      </c>
      <c r="T37" s="84" t="str">
        <f>+IFERROR(#REF!/#REF!,"")</f>
        <v/>
      </c>
      <c r="U37" s="84" t="str">
        <f>+IFERROR(#REF!/#REF!,"")</f>
        <v/>
      </c>
      <c r="V37" s="84" t="str">
        <f>+IFERROR(#REF!/#REF!,"")</f>
        <v/>
      </c>
      <c r="W37" s="84" t="str">
        <f>+IFERROR(#REF!/#REF!,"")</f>
        <v/>
      </c>
      <c r="X37" s="84" t="str">
        <f>+IFERROR(#REF!/#REF!,"")</f>
        <v/>
      </c>
      <c r="Y37" s="84" t="str">
        <f>+IFERROR(#REF!/#REF!,"")</f>
        <v/>
      </c>
      <c r="Z37" s="84" t="str">
        <f>+IFERROR(#REF!/#REF!,"")</f>
        <v/>
      </c>
      <c r="AA37" s="84" t="str">
        <f>+IFERROR(#REF!/#REF!,"")</f>
        <v/>
      </c>
      <c r="AB37" s="84">
        <f t="shared" si="6"/>
        <v>0.14346564088445532</v>
      </c>
      <c r="AD37" s="139">
        <f t="shared" ref="AD37:AD68" si="20">+IFERROR(Q37-P37,"")</f>
        <v>1.4401806427394304E-5</v>
      </c>
      <c r="AE37" s="139">
        <f t="shared" ref="AE37:AE68" si="21">+IFERROR(R37-Q37,"")</f>
        <v>5.5152760454418859E-3</v>
      </c>
      <c r="AF37" s="139">
        <f t="shared" ref="AF37:AF68" si="22">+IFERROR(S37-R37,"")</f>
        <v>-6.3641341127596562E-3</v>
      </c>
      <c r="AG37" s="139" t="str">
        <f t="shared" ref="AG37:AG68" si="23">+IFERROR(T37-S37,"")</f>
        <v/>
      </c>
      <c r="AH37" s="139" t="str">
        <f t="shared" ref="AH37:AH68" si="24">+IFERROR(U37-T37,"")</f>
        <v/>
      </c>
      <c r="AI37" s="139" t="str">
        <f t="shared" ref="AI37:AI68" si="25">+IFERROR(V37-U37,"")</f>
        <v/>
      </c>
      <c r="AJ37" s="139" t="str">
        <f t="shared" ref="AJ37:AJ68" si="26">+IFERROR(W37-V37,"")</f>
        <v/>
      </c>
      <c r="AK37" s="139" t="str">
        <f t="shared" ref="AK37:AK68" si="27">+IFERROR(X37-W37,"")</f>
        <v/>
      </c>
      <c r="AL37" s="139" t="str">
        <f t="shared" ref="AL37:AL68" si="28">+IFERROR(Y37-X37,"")</f>
        <v/>
      </c>
      <c r="AM37" s="139" t="str">
        <f t="shared" ref="AM37:AM68" si="29">+IFERROR(Z37-Y37,"")</f>
        <v/>
      </c>
      <c r="AN37" s="139" t="str">
        <f t="shared" ref="AN37:AN68" si="30">+IFERROR(AA37-Z37,"")</f>
        <v/>
      </c>
      <c r="AP37" s="82">
        <f t="shared" si="18"/>
        <v>1.7139196601484892E-2</v>
      </c>
      <c r="AQ37" s="82">
        <f t="shared" si="19"/>
        <v>0.71617216819302987</v>
      </c>
    </row>
    <row r="38" spans="2:43" x14ac:dyDescent="0.35">
      <c r="B38" s="83" t="s">
        <v>132</v>
      </c>
      <c r="D38" s="137">
        <v>10809942</v>
      </c>
      <c r="E38" s="137">
        <v>9672335</v>
      </c>
      <c r="F38" s="137">
        <v>11292238</v>
      </c>
      <c r="G38" s="137">
        <v>8344045</v>
      </c>
      <c r="H38" s="137">
        <f t="shared" si="0"/>
        <v>40118560</v>
      </c>
      <c r="J38" s="137">
        <v>1740067</v>
      </c>
      <c r="K38" s="137">
        <v>1491074</v>
      </c>
      <c r="L38" s="137">
        <v>1707767</v>
      </c>
      <c r="M38" s="137">
        <v>1538248</v>
      </c>
      <c r="N38" s="137">
        <f t="shared" si="1"/>
        <v>6477156</v>
      </c>
      <c r="P38" s="84">
        <f t="shared" si="2"/>
        <v>0.16096913378443659</v>
      </c>
      <c r="Q38" s="84">
        <f t="shared" si="3"/>
        <v>0.15415863904631094</v>
      </c>
      <c r="R38" s="84">
        <f t="shared" si="4"/>
        <v>0.15123370584289847</v>
      </c>
      <c r="S38" s="84">
        <f t="shared" si="5"/>
        <v>0.18435279291998066</v>
      </c>
      <c r="T38" s="84" t="str">
        <f>+IFERROR(#REF!/#REF!,"")</f>
        <v/>
      </c>
      <c r="U38" s="84" t="str">
        <f>+IFERROR(#REF!/#REF!,"")</f>
        <v/>
      </c>
      <c r="V38" s="84" t="str">
        <f>+IFERROR(#REF!/#REF!,"")</f>
        <v/>
      </c>
      <c r="W38" s="84" t="str">
        <f>+IFERROR(#REF!/#REF!,"")</f>
        <v/>
      </c>
      <c r="X38" s="84" t="str">
        <f>+IFERROR(#REF!/#REF!,"")</f>
        <v/>
      </c>
      <c r="Y38" s="84" t="str">
        <f>+IFERROR(#REF!/#REF!,"")</f>
        <v/>
      </c>
      <c r="Z38" s="84" t="str">
        <f>+IFERROR(#REF!/#REF!,"")</f>
        <v/>
      </c>
      <c r="AA38" s="84" t="str">
        <f>+IFERROR(#REF!/#REF!,"")</f>
        <v/>
      </c>
      <c r="AB38" s="84">
        <f t="shared" si="6"/>
        <v>0.16145036112961184</v>
      </c>
      <c r="AD38" s="139">
        <f t="shared" si="20"/>
        <v>-6.8104947381256442E-3</v>
      </c>
      <c r="AE38" s="139">
        <f t="shared" si="21"/>
        <v>-2.924933203412472E-3</v>
      </c>
      <c r="AF38" s="139">
        <f t="shared" si="22"/>
        <v>3.3119087077082193E-2</v>
      </c>
      <c r="AG38" s="139" t="str">
        <f t="shared" si="23"/>
        <v/>
      </c>
      <c r="AH38" s="139" t="str">
        <f t="shared" si="24"/>
        <v/>
      </c>
      <c r="AI38" s="139" t="str">
        <f t="shared" si="25"/>
        <v/>
      </c>
      <c r="AJ38" s="139" t="str">
        <f t="shared" si="26"/>
        <v/>
      </c>
      <c r="AK38" s="139" t="str">
        <f t="shared" si="27"/>
        <v/>
      </c>
      <c r="AL38" s="139" t="str">
        <f t="shared" si="28"/>
        <v/>
      </c>
      <c r="AM38" s="139" t="str">
        <f t="shared" si="29"/>
        <v/>
      </c>
      <c r="AN38" s="139" t="str">
        <f t="shared" si="30"/>
        <v/>
      </c>
      <c r="AP38" s="82">
        <f t="shared" si="18"/>
        <v>6.3955461261147647E-3</v>
      </c>
      <c r="AQ38" s="82">
        <f t="shared" si="19"/>
        <v>0.72256771431914468</v>
      </c>
    </row>
    <row r="39" spans="2:43" x14ac:dyDescent="0.35">
      <c r="B39" s="83" t="s">
        <v>133</v>
      </c>
      <c r="D39" s="137">
        <v>7608618</v>
      </c>
      <c r="E39" s="137">
        <v>7465366</v>
      </c>
      <c r="F39" s="137">
        <v>7802260</v>
      </c>
      <c r="G39" s="137">
        <v>7573407</v>
      </c>
      <c r="H39" s="137">
        <f t="shared" si="0"/>
        <v>30449651</v>
      </c>
      <c r="J39" s="137">
        <v>1101908</v>
      </c>
      <c r="K39" s="137">
        <v>1283700</v>
      </c>
      <c r="L39" s="137">
        <v>1140453</v>
      </c>
      <c r="M39" s="137">
        <v>1156015</v>
      </c>
      <c r="N39" s="137">
        <f t="shared" si="1"/>
        <v>4682076</v>
      </c>
      <c r="P39" s="84">
        <f t="shared" si="2"/>
        <v>0.14482367231473572</v>
      </c>
      <c r="Q39" s="84">
        <f t="shared" si="3"/>
        <v>0.17195406092614884</v>
      </c>
      <c r="R39" s="84">
        <f t="shared" si="4"/>
        <v>0.14616957138059997</v>
      </c>
      <c r="S39" s="84">
        <f t="shared" si="5"/>
        <v>0.15264134094470297</v>
      </c>
      <c r="T39" s="84" t="str">
        <f>+IFERROR(#REF!/#REF!,"")</f>
        <v/>
      </c>
      <c r="U39" s="84" t="str">
        <f>+IFERROR(#REF!/#REF!,"")</f>
        <v/>
      </c>
      <c r="V39" s="84" t="str">
        <f>+IFERROR(#REF!/#REF!,"")</f>
        <v/>
      </c>
      <c r="W39" s="84" t="str">
        <f>+IFERROR(#REF!/#REF!,"")</f>
        <v/>
      </c>
      <c r="X39" s="84" t="str">
        <f>+IFERROR(#REF!/#REF!,"")</f>
        <v/>
      </c>
      <c r="Y39" s="84" t="str">
        <f>+IFERROR(#REF!/#REF!,"")</f>
        <v/>
      </c>
      <c r="Z39" s="84" t="str">
        <f>+IFERROR(#REF!/#REF!,"")</f>
        <v/>
      </c>
      <c r="AA39" s="84" t="str">
        <f>+IFERROR(#REF!/#REF!,"")</f>
        <v/>
      </c>
      <c r="AB39" s="84">
        <f t="shared" si="6"/>
        <v>0.15376452097923882</v>
      </c>
      <c r="AD39" s="139">
        <f t="shared" si="20"/>
        <v>2.713038861141312E-2</v>
      </c>
      <c r="AE39" s="139">
        <f t="shared" si="21"/>
        <v>-2.5784489545548878E-2</v>
      </c>
      <c r="AF39" s="139">
        <f t="shared" si="22"/>
        <v>6.4717695641030026E-3</v>
      </c>
      <c r="AG39" s="139" t="str">
        <f t="shared" si="23"/>
        <v/>
      </c>
      <c r="AH39" s="139" t="str">
        <f t="shared" si="24"/>
        <v/>
      </c>
      <c r="AI39" s="139" t="str">
        <f t="shared" si="25"/>
        <v/>
      </c>
      <c r="AJ39" s="139" t="str">
        <f t="shared" si="26"/>
        <v/>
      </c>
      <c r="AK39" s="139" t="str">
        <f t="shared" si="27"/>
        <v/>
      </c>
      <c r="AL39" s="139" t="str">
        <f t="shared" si="28"/>
        <v/>
      </c>
      <c r="AM39" s="139" t="str">
        <f t="shared" si="29"/>
        <v/>
      </c>
      <c r="AN39" s="139" t="str">
        <f t="shared" si="30"/>
        <v/>
      </c>
      <c r="AP39" s="82">
        <f t="shared" si="18"/>
        <v>4.6230834989885857E-3</v>
      </c>
      <c r="AQ39" s="82">
        <f t="shared" si="19"/>
        <v>0.72719079781813323</v>
      </c>
    </row>
    <row r="40" spans="2:43" x14ac:dyDescent="0.35">
      <c r="B40" s="83" t="s">
        <v>134</v>
      </c>
      <c r="D40" s="137">
        <v>6461385</v>
      </c>
      <c r="E40" s="137">
        <v>6045951</v>
      </c>
      <c r="F40" s="137">
        <v>7005776</v>
      </c>
      <c r="G40" s="137">
        <v>5097038</v>
      </c>
      <c r="H40" s="137">
        <f t="shared" si="0"/>
        <v>24610150</v>
      </c>
      <c r="J40" s="137">
        <v>1216091</v>
      </c>
      <c r="K40" s="137">
        <v>1122072</v>
      </c>
      <c r="L40" s="137">
        <v>1201751</v>
      </c>
      <c r="M40" s="137">
        <v>902465</v>
      </c>
      <c r="N40" s="137">
        <f t="shared" si="1"/>
        <v>4442379</v>
      </c>
      <c r="P40" s="84">
        <f t="shared" si="2"/>
        <v>0.18820902948825988</v>
      </c>
      <c r="Q40" s="84">
        <f t="shared" si="3"/>
        <v>0.1855906539765208</v>
      </c>
      <c r="R40" s="84">
        <f t="shared" si="4"/>
        <v>0.17153717161382265</v>
      </c>
      <c r="S40" s="84">
        <f t="shared" si="5"/>
        <v>0.1770567533536144</v>
      </c>
      <c r="T40" s="84" t="str">
        <f>+IFERROR(#REF!/#REF!,"")</f>
        <v/>
      </c>
      <c r="U40" s="84" t="str">
        <f>+IFERROR(#REF!/#REF!,"")</f>
        <v/>
      </c>
      <c r="V40" s="84" t="str">
        <f>+IFERROR(#REF!/#REF!,"")</f>
        <v/>
      </c>
      <c r="W40" s="84" t="str">
        <f>+IFERROR(#REF!/#REF!,"")</f>
        <v/>
      </c>
      <c r="X40" s="84" t="str">
        <f>+IFERROR(#REF!/#REF!,"")</f>
        <v/>
      </c>
      <c r="Y40" s="84" t="str">
        <f>+IFERROR(#REF!/#REF!,"")</f>
        <v/>
      </c>
      <c r="Z40" s="84" t="str">
        <f>+IFERROR(#REF!/#REF!,"")</f>
        <v/>
      </c>
      <c r="AA40" s="84" t="str">
        <f>+IFERROR(#REF!/#REF!,"")</f>
        <v/>
      </c>
      <c r="AB40" s="84">
        <f t="shared" si="6"/>
        <v>0.18051003346180336</v>
      </c>
      <c r="AD40" s="139">
        <f t="shared" si="20"/>
        <v>-2.6183755117390739E-3</v>
      </c>
      <c r="AE40" s="139">
        <f t="shared" si="21"/>
        <v>-1.4053482362698155E-2</v>
      </c>
      <c r="AF40" s="139">
        <f t="shared" si="22"/>
        <v>5.5195817397917513E-3</v>
      </c>
      <c r="AG40" s="139" t="str">
        <f t="shared" si="23"/>
        <v/>
      </c>
      <c r="AH40" s="139" t="str">
        <f t="shared" si="24"/>
        <v/>
      </c>
      <c r="AI40" s="139" t="str">
        <f t="shared" si="25"/>
        <v/>
      </c>
      <c r="AJ40" s="139" t="str">
        <f t="shared" si="26"/>
        <v/>
      </c>
      <c r="AK40" s="139" t="str">
        <f t="shared" si="27"/>
        <v/>
      </c>
      <c r="AL40" s="139" t="str">
        <f t="shared" si="28"/>
        <v/>
      </c>
      <c r="AM40" s="139" t="str">
        <f t="shared" si="29"/>
        <v/>
      </c>
      <c r="AN40" s="139" t="str">
        <f t="shared" si="30"/>
        <v/>
      </c>
      <c r="AP40" s="82">
        <f t="shared" si="18"/>
        <v>4.3864065963801985E-3</v>
      </c>
      <c r="AQ40" s="82">
        <f t="shared" si="19"/>
        <v>0.73157720441451346</v>
      </c>
    </row>
    <row r="41" spans="2:43" x14ac:dyDescent="0.35">
      <c r="B41" s="83" t="s">
        <v>135</v>
      </c>
      <c r="D41" s="137">
        <v>4774438</v>
      </c>
      <c r="E41" s="137">
        <v>4118762</v>
      </c>
      <c r="F41" s="137">
        <v>5512040</v>
      </c>
      <c r="G41" s="137">
        <v>3555759</v>
      </c>
      <c r="H41" s="137">
        <f t="shared" si="0"/>
        <v>17960999</v>
      </c>
      <c r="J41" s="137">
        <v>897101</v>
      </c>
      <c r="K41" s="137">
        <v>708825</v>
      </c>
      <c r="L41" s="137">
        <v>840789</v>
      </c>
      <c r="M41" s="137">
        <v>637965</v>
      </c>
      <c r="N41" s="137">
        <f t="shared" si="1"/>
        <v>3084680</v>
      </c>
      <c r="P41" s="84">
        <f t="shared" si="2"/>
        <v>0.18789666972322189</v>
      </c>
      <c r="Q41" s="84">
        <f t="shared" si="3"/>
        <v>0.17209661543929947</v>
      </c>
      <c r="R41" s="84">
        <f t="shared" si="4"/>
        <v>0.15253681032793667</v>
      </c>
      <c r="S41" s="84">
        <f t="shared" si="5"/>
        <v>0.17941739021120384</v>
      </c>
      <c r="T41" s="84" t="str">
        <f>+IFERROR(#REF!/#REF!,"")</f>
        <v/>
      </c>
      <c r="U41" s="84" t="str">
        <f>+IFERROR(#REF!/#REF!,"")</f>
        <v/>
      </c>
      <c r="V41" s="84" t="str">
        <f>+IFERROR(#REF!/#REF!,"")</f>
        <v/>
      </c>
      <c r="W41" s="84" t="str">
        <f>+IFERROR(#REF!/#REF!,"")</f>
        <v/>
      </c>
      <c r="X41" s="84" t="str">
        <f>+IFERROR(#REF!/#REF!,"")</f>
        <v/>
      </c>
      <c r="Y41" s="84" t="str">
        <f>+IFERROR(#REF!/#REF!,"")</f>
        <v/>
      </c>
      <c r="Z41" s="84" t="str">
        <f>+IFERROR(#REF!/#REF!,"")</f>
        <v/>
      </c>
      <c r="AA41" s="84" t="str">
        <f>+IFERROR(#REF!/#REF!,"")</f>
        <v/>
      </c>
      <c r="AB41" s="84">
        <f t="shared" si="6"/>
        <v>0.17174323098620517</v>
      </c>
      <c r="AD41" s="139">
        <f t="shared" si="20"/>
        <v>-1.5800054283922421E-2</v>
      </c>
      <c r="AE41" s="139">
        <f t="shared" si="21"/>
        <v>-1.9559805111362794E-2</v>
      </c>
      <c r="AF41" s="139">
        <f t="shared" si="22"/>
        <v>2.6880579883267169E-2</v>
      </c>
      <c r="AG41" s="139" t="str">
        <f t="shared" si="23"/>
        <v/>
      </c>
      <c r="AH41" s="139" t="str">
        <f t="shared" si="24"/>
        <v/>
      </c>
      <c r="AI41" s="139" t="str">
        <f t="shared" si="25"/>
        <v/>
      </c>
      <c r="AJ41" s="139" t="str">
        <f t="shared" si="26"/>
        <v/>
      </c>
      <c r="AK41" s="139" t="str">
        <f t="shared" si="27"/>
        <v/>
      </c>
      <c r="AL41" s="139" t="str">
        <f t="shared" si="28"/>
        <v/>
      </c>
      <c r="AM41" s="139" t="str">
        <f t="shared" si="29"/>
        <v/>
      </c>
      <c r="AN41" s="139" t="str">
        <f t="shared" si="30"/>
        <v/>
      </c>
      <c r="AP41" s="82">
        <f t="shared" si="18"/>
        <v>3.0458141234059656E-3</v>
      </c>
      <c r="AQ41" s="82">
        <f t="shared" si="19"/>
        <v>0.73462301853791945</v>
      </c>
    </row>
    <row r="42" spans="2:43" x14ac:dyDescent="0.35">
      <c r="B42" s="83" t="s">
        <v>136</v>
      </c>
      <c r="D42" s="137">
        <v>1860067</v>
      </c>
      <c r="E42" s="137"/>
      <c r="F42" s="137"/>
      <c r="G42" s="137"/>
      <c r="H42" s="137">
        <f t="shared" si="0"/>
        <v>1860067</v>
      </c>
      <c r="J42" s="137">
        <v>323405</v>
      </c>
      <c r="K42" s="137"/>
      <c r="L42" s="137"/>
      <c r="M42" s="137"/>
      <c r="N42" s="137">
        <f t="shared" si="1"/>
        <v>323405</v>
      </c>
      <c r="P42" s="84">
        <f t="shared" si="2"/>
        <v>0.17386739294874862</v>
      </c>
      <c r="Q42" s="84" t="str">
        <f t="shared" si="3"/>
        <v/>
      </c>
      <c r="R42" s="84" t="str">
        <f t="shared" si="4"/>
        <v/>
      </c>
      <c r="S42" s="84" t="str">
        <f t="shared" si="5"/>
        <v/>
      </c>
      <c r="T42" s="84" t="str">
        <f>+IFERROR(#REF!/#REF!,"")</f>
        <v/>
      </c>
      <c r="U42" s="84" t="str">
        <f>+IFERROR(#REF!/#REF!,"")</f>
        <v/>
      </c>
      <c r="V42" s="84" t="str">
        <f>+IFERROR(#REF!/#REF!,"")</f>
        <v/>
      </c>
      <c r="W42" s="84" t="str">
        <f>+IFERROR(#REF!/#REF!,"")</f>
        <v/>
      </c>
      <c r="X42" s="84" t="str">
        <f>+IFERROR(#REF!/#REF!,"")</f>
        <v/>
      </c>
      <c r="Y42" s="84" t="str">
        <f>+IFERROR(#REF!/#REF!,"")</f>
        <v/>
      </c>
      <c r="Z42" s="84" t="str">
        <f>+IFERROR(#REF!/#REF!,"")</f>
        <v/>
      </c>
      <c r="AA42" s="84" t="str">
        <f>+IFERROR(#REF!/#REF!,"")</f>
        <v/>
      </c>
      <c r="AB42" s="84">
        <f t="shared" si="6"/>
        <v>0.17386739294874862</v>
      </c>
      <c r="AD42" s="139" t="str">
        <f t="shared" si="20"/>
        <v/>
      </c>
      <c r="AE42" s="139" t="str">
        <f t="shared" si="21"/>
        <v/>
      </c>
      <c r="AF42" s="139" t="str">
        <f t="shared" si="22"/>
        <v/>
      </c>
      <c r="AG42" s="139" t="str">
        <f t="shared" si="23"/>
        <v/>
      </c>
      <c r="AH42" s="139" t="str">
        <f t="shared" si="24"/>
        <v/>
      </c>
      <c r="AI42" s="139" t="str">
        <f t="shared" si="25"/>
        <v/>
      </c>
      <c r="AJ42" s="139" t="str">
        <f t="shared" si="26"/>
        <v/>
      </c>
      <c r="AK42" s="139" t="str">
        <f t="shared" si="27"/>
        <v/>
      </c>
      <c r="AL42" s="139" t="str">
        <f t="shared" si="28"/>
        <v/>
      </c>
      <c r="AM42" s="139" t="str">
        <f t="shared" si="29"/>
        <v/>
      </c>
      <c r="AN42" s="139" t="str">
        <f t="shared" si="30"/>
        <v/>
      </c>
      <c r="AP42" s="82">
        <f t="shared" si="18"/>
        <v>3.1933021142553078E-4</v>
      </c>
      <c r="AQ42" s="82">
        <f t="shared" si="19"/>
        <v>0.73494234874934494</v>
      </c>
    </row>
    <row r="43" spans="2:43" x14ac:dyDescent="0.35">
      <c r="B43" s="83" t="s">
        <v>137</v>
      </c>
      <c r="D43" s="137">
        <v>55434809</v>
      </c>
      <c r="E43" s="137">
        <v>29011381</v>
      </c>
      <c r="F43" s="137">
        <v>39889667</v>
      </c>
      <c r="G43" s="137">
        <v>36605425</v>
      </c>
      <c r="H43" s="137">
        <f t="shared" si="0"/>
        <v>160941282</v>
      </c>
      <c r="J43" s="137">
        <v>10984246</v>
      </c>
      <c r="K43" s="137">
        <v>7272848</v>
      </c>
      <c r="L43" s="137">
        <v>7486082</v>
      </c>
      <c r="M43" s="137">
        <v>9334186</v>
      </c>
      <c r="N43" s="137">
        <f t="shared" si="1"/>
        <v>35077362</v>
      </c>
      <c r="P43" s="84">
        <f t="shared" si="2"/>
        <v>0.19814708841154302</v>
      </c>
      <c r="Q43" s="84">
        <f t="shared" si="3"/>
        <v>0.25068947941499237</v>
      </c>
      <c r="R43" s="84">
        <f t="shared" si="4"/>
        <v>0.18766970403638616</v>
      </c>
      <c r="S43" s="84">
        <f t="shared" si="5"/>
        <v>0.25499460803965535</v>
      </c>
      <c r="T43" s="84" t="str">
        <f>+IFERROR(#REF!/#REF!,"")</f>
        <v/>
      </c>
      <c r="U43" s="84" t="str">
        <f>+IFERROR(#REF!/#REF!,"")</f>
        <v/>
      </c>
      <c r="V43" s="84" t="str">
        <f>+IFERROR(#REF!/#REF!,"")</f>
        <v/>
      </c>
      <c r="W43" s="84" t="str">
        <f>+IFERROR(#REF!/#REF!,"")</f>
        <v/>
      </c>
      <c r="X43" s="84" t="str">
        <f>+IFERROR(#REF!/#REF!,"")</f>
        <v/>
      </c>
      <c r="Y43" s="84" t="str">
        <f>+IFERROR(#REF!/#REF!,"")</f>
        <v/>
      </c>
      <c r="Z43" s="84" t="str">
        <f>+IFERROR(#REF!/#REF!,"")</f>
        <v/>
      </c>
      <c r="AA43" s="84" t="str">
        <f>+IFERROR(#REF!/#REF!,"")</f>
        <v/>
      </c>
      <c r="AB43" s="84">
        <f t="shared" si="6"/>
        <v>0.21795130226438733</v>
      </c>
      <c r="AD43" s="139">
        <f t="shared" si="20"/>
        <v>5.2542391003449346E-2</v>
      </c>
      <c r="AE43" s="139">
        <f t="shared" si="21"/>
        <v>-6.3019775378606202E-2</v>
      </c>
      <c r="AF43" s="139">
        <f t="shared" si="22"/>
        <v>6.7324904003269181E-2</v>
      </c>
      <c r="AG43" s="139" t="str">
        <f t="shared" si="23"/>
        <v/>
      </c>
      <c r="AH43" s="139" t="str">
        <f t="shared" si="24"/>
        <v/>
      </c>
      <c r="AI43" s="139" t="str">
        <f t="shared" si="25"/>
        <v/>
      </c>
      <c r="AJ43" s="139" t="str">
        <f t="shared" si="26"/>
        <v/>
      </c>
      <c r="AK43" s="139" t="str">
        <f t="shared" si="27"/>
        <v/>
      </c>
      <c r="AL43" s="139" t="str">
        <f t="shared" si="28"/>
        <v/>
      </c>
      <c r="AM43" s="139" t="str">
        <f t="shared" si="29"/>
        <v/>
      </c>
      <c r="AN43" s="139" t="str">
        <f t="shared" si="30"/>
        <v/>
      </c>
      <c r="AP43" s="82">
        <f t="shared" si="18"/>
        <v>3.4635399649695829E-2</v>
      </c>
      <c r="AQ43" s="82">
        <f t="shared" si="19"/>
        <v>0.76957774839904081</v>
      </c>
    </row>
    <row r="44" spans="2:43" x14ac:dyDescent="0.35">
      <c r="B44" s="83" t="s">
        <v>138</v>
      </c>
      <c r="D44" s="137">
        <v>6151597</v>
      </c>
      <c r="E44" s="137">
        <v>6192149</v>
      </c>
      <c r="F44" s="137">
        <v>7361188</v>
      </c>
      <c r="G44" s="137">
        <v>4576971</v>
      </c>
      <c r="H44" s="137">
        <f t="shared" si="0"/>
        <v>24281905</v>
      </c>
      <c r="J44" s="137">
        <v>1223258</v>
      </c>
      <c r="K44" s="137">
        <v>1227000</v>
      </c>
      <c r="L44" s="137">
        <v>1466248</v>
      </c>
      <c r="M44" s="137">
        <v>985233</v>
      </c>
      <c r="N44" s="137">
        <f t="shared" si="1"/>
        <v>4901739</v>
      </c>
      <c r="P44" s="84">
        <f t="shared" si="2"/>
        <v>0.19885210295797986</v>
      </c>
      <c r="Q44" s="84">
        <f t="shared" si="3"/>
        <v>0.1981541464845242</v>
      </c>
      <c r="R44" s="84">
        <f t="shared" si="4"/>
        <v>0.19918632698961092</v>
      </c>
      <c r="S44" s="84">
        <f t="shared" si="5"/>
        <v>0.21525873771103204</v>
      </c>
      <c r="T44" s="84" t="str">
        <f>+IFERROR(#REF!/#REF!,"")</f>
        <v/>
      </c>
      <c r="U44" s="84" t="str">
        <f>+IFERROR(#REF!/#REF!,"")</f>
        <v/>
      </c>
      <c r="V44" s="84" t="str">
        <f>+IFERROR(#REF!/#REF!,"")</f>
        <v/>
      </c>
      <c r="W44" s="84" t="str">
        <f>+IFERROR(#REF!/#REF!,"")</f>
        <v/>
      </c>
      <c r="X44" s="84" t="str">
        <f>+IFERROR(#REF!/#REF!,"")</f>
        <v/>
      </c>
      <c r="Y44" s="84" t="str">
        <f>+IFERROR(#REF!/#REF!,"")</f>
        <v/>
      </c>
      <c r="Z44" s="84" t="str">
        <f>+IFERROR(#REF!/#REF!,"")</f>
        <v/>
      </c>
      <c r="AA44" s="84" t="str">
        <f>+IFERROR(#REF!/#REF!,"")</f>
        <v/>
      </c>
      <c r="AB44" s="84">
        <f t="shared" si="6"/>
        <v>0.20186797535036893</v>
      </c>
      <c r="AD44" s="139">
        <f t="shared" si="20"/>
        <v>-6.9795647345566314E-4</v>
      </c>
      <c r="AE44" s="139">
        <f t="shared" si="21"/>
        <v>1.0321805050867161E-3</v>
      </c>
      <c r="AF44" s="139">
        <f t="shared" si="22"/>
        <v>1.6072410721421126E-2</v>
      </c>
      <c r="AG44" s="139" t="str">
        <f t="shared" si="23"/>
        <v/>
      </c>
      <c r="AH44" s="139" t="str">
        <f t="shared" si="24"/>
        <v/>
      </c>
      <c r="AI44" s="139" t="str">
        <f t="shared" si="25"/>
        <v/>
      </c>
      <c r="AJ44" s="139" t="str">
        <f t="shared" si="26"/>
        <v/>
      </c>
      <c r="AK44" s="139" t="str">
        <f t="shared" si="27"/>
        <v/>
      </c>
      <c r="AL44" s="139" t="str">
        <f t="shared" si="28"/>
        <v/>
      </c>
      <c r="AM44" s="139" t="str">
        <f t="shared" si="29"/>
        <v/>
      </c>
      <c r="AN44" s="139" t="str">
        <f t="shared" si="30"/>
        <v/>
      </c>
      <c r="AP44" s="82">
        <f t="shared" si="18"/>
        <v>4.839978822908644E-3</v>
      </c>
      <c r="AQ44" s="82">
        <f t="shared" si="19"/>
        <v>0.77441772722194946</v>
      </c>
    </row>
    <row r="45" spans="2:43" x14ac:dyDescent="0.35">
      <c r="B45" s="83" t="s">
        <v>139</v>
      </c>
      <c r="D45" s="137">
        <v>3367819</v>
      </c>
      <c r="E45" s="137">
        <v>3475149</v>
      </c>
      <c r="F45" s="137">
        <v>1818057</v>
      </c>
      <c r="G45" s="137">
        <v>3683325</v>
      </c>
      <c r="H45" s="137">
        <f t="shared" si="0"/>
        <v>12344350</v>
      </c>
      <c r="J45" s="137">
        <v>595081</v>
      </c>
      <c r="K45" s="137">
        <v>584195</v>
      </c>
      <c r="L45" s="137">
        <v>314814</v>
      </c>
      <c r="M45" s="137">
        <v>612951</v>
      </c>
      <c r="N45" s="137">
        <f t="shared" si="1"/>
        <v>2107041</v>
      </c>
      <c r="P45" s="84">
        <f t="shared" si="2"/>
        <v>0.17669625356944657</v>
      </c>
      <c r="Q45" s="84">
        <f t="shared" si="3"/>
        <v>0.16810646104670621</v>
      </c>
      <c r="R45" s="84">
        <f t="shared" si="4"/>
        <v>0.17315958740567539</v>
      </c>
      <c r="S45" s="84">
        <f t="shared" si="5"/>
        <v>0.16641241269776627</v>
      </c>
      <c r="T45" s="84" t="str">
        <f>+IFERROR(#REF!/#REF!,"")</f>
        <v/>
      </c>
      <c r="U45" s="84" t="str">
        <f>+IFERROR(#REF!/#REF!,"")</f>
        <v/>
      </c>
      <c r="V45" s="84" t="str">
        <f>+IFERROR(#REF!/#REF!,"")</f>
        <v/>
      </c>
      <c r="W45" s="84" t="str">
        <f>+IFERROR(#REF!/#REF!,"")</f>
        <v/>
      </c>
      <c r="X45" s="84" t="str">
        <f>+IFERROR(#REF!/#REF!,"")</f>
        <v/>
      </c>
      <c r="Y45" s="84" t="str">
        <f>+IFERROR(#REF!/#REF!,"")</f>
        <v/>
      </c>
      <c r="Z45" s="84" t="str">
        <f>+IFERROR(#REF!/#REF!,"")</f>
        <v/>
      </c>
      <c r="AA45" s="84" t="str">
        <f>+IFERROR(#REF!/#REF!,"")</f>
        <v/>
      </c>
      <c r="AB45" s="84">
        <f t="shared" si="6"/>
        <v>0.17068869563808545</v>
      </c>
      <c r="AD45" s="139">
        <f t="shared" si="20"/>
        <v>-8.5897925227403638E-3</v>
      </c>
      <c r="AE45" s="139">
        <f t="shared" si="21"/>
        <v>5.0531263589691788E-3</v>
      </c>
      <c r="AF45" s="139">
        <f t="shared" si="22"/>
        <v>-6.7471747079091149E-3</v>
      </c>
      <c r="AG45" s="139" t="str">
        <f t="shared" si="23"/>
        <v/>
      </c>
      <c r="AH45" s="139" t="str">
        <f t="shared" si="24"/>
        <v/>
      </c>
      <c r="AI45" s="139" t="str">
        <f t="shared" si="25"/>
        <v/>
      </c>
      <c r="AJ45" s="139" t="str">
        <f t="shared" si="26"/>
        <v/>
      </c>
      <c r="AK45" s="139" t="str">
        <f t="shared" si="27"/>
        <v/>
      </c>
      <c r="AL45" s="139" t="str">
        <f t="shared" si="28"/>
        <v/>
      </c>
      <c r="AM45" s="139" t="str">
        <f t="shared" si="29"/>
        <v/>
      </c>
      <c r="AN45" s="139" t="str">
        <f t="shared" si="30"/>
        <v/>
      </c>
      <c r="AP45" s="82">
        <f t="shared" si="18"/>
        <v>2.0804930289026508E-3</v>
      </c>
      <c r="AQ45" s="82">
        <f t="shared" si="19"/>
        <v>0.77649822025085213</v>
      </c>
    </row>
    <row r="46" spans="2:43" x14ac:dyDescent="0.35">
      <c r="B46" s="83" t="s">
        <v>140</v>
      </c>
      <c r="D46" s="137">
        <v>2363062</v>
      </c>
      <c r="E46" s="137">
        <v>2882099</v>
      </c>
      <c r="F46" s="137">
        <v>3085686</v>
      </c>
      <c r="G46" s="137">
        <v>2268830</v>
      </c>
      <c r="H46" s="137">
        <f t="shared" si="0"/>
        <v>10599677</v>
      </c>
      <c r="J46" s="137">
        <v>457515</v>
      </c>
      <c r="K46" s="137">
        <v>462861</v>
      </c>
      <c r="L46" s="137">
        <v>499562</v>
      </c>
      <c r="M46" s="137">
        <v>408246</v>
      </c>
      <c r="N46" s="137">
        <f t="shared" si="1"/>
        <v>1828184</v>
      </c>
      <c r="P46" s="84">
        <f t="shared" si="2"/>
        <v>0.19361108595542564</v>
      </c>
      <c r="Q46" s="84">
        <f t="shared" si="3"/>
        <v>0.16059857763387031</v>
      </c>
      <c r="R46" s="84">
        <f t="shared" si="4"/>
        <v>0.16189657664454515</v>
      </c>
      <c r="S46" s="84">
        <f t="shared" si="5"/>
        <v>0.17993679561712425</v>
      </c>
      <c r="T46" s="84" t="str">
        <f>+IFERROR(#REF!/#REF!,"")</f>
        <v/>
      </c>
      <c r="U46" s="84" t="str">
        <f>+IFERROR(#REF!/#REF!,"")</f>
        <v/>
      </c>
      <c r="V46" s="84" t="str">
        <f>+IFERROR(#REF!/#REF!,"")</f>
        <v/>
      </c>
      <c r="W46" s="84" t="str">
        <f>+IFERROR(#REF!/#REF!,"")</f>
        <v/>
      </c>
      <c r="X46" s="84" t="str">
        <f>+IFERROR(#REF!/#REF!,"")</f>
        <v/>
      </c>
      <c r="Y46" s="84" t="str">
        <f>+IFERROR(#REF!/#REF!,"")</f>
        <v/>
      </c>
      <c r="Z46" s="84" t="str">
        <f>+IFERROR(#REF!/#REF!,"")</f>
        <v/>
      </c>
      <c r="AA46" s="84" t="str">
        <f>+IFERROR(#REF!/#REF!,"")</f>
        <v/>
      </c>
      <c r="AB46" s="84">
        <f t="shared" si="6"/>
        <v>0.1724754442989159</v>
      </c>
      <c r="AD46" s="139">
        <f t="shared" si="20"/>
        <v>-3.3012508321555334E-2</v>
      </c>
      <c r="AE46" s="139">
        <f t="shared" si="21"/>
        <v>1.297999010674844E-3</v>
      </c>
      <c r="AF46" s="139">
        <f t="shared" si="22"/>
        <v>1.8040218972579097E-2</v>
      </c>
      <c r="AG46" s="139" t="str">
        <f t="shared" si="23"/>
        <v/>
      </c>
      <c r="AH46" s="139" t="str">
        <f t="shared" si="24"/>
        <v/>
      </c>
      <c r="AI46" s="139" t="str">
        <f t="shared" si="25"/>
        <v/>
      </c>
      <c r="AJ46" s="139" t="str">
        <f t="shared" si="26"/>
        <v/>
      </c>
      <c r="AK46" s="139" t="str">
        <f t="shared" si="27"/>
        <v/>
      </c>
      <c r="AL46" s="139" t="str">
        <f t="shared" si="28"/>
        <v/>
      </c>
      <c r="AM46" s="139" t="str">
        <f t="shared" si="29"/>
        <v/>
      </c>
      <c r="AN46" s="139" t="str">
        <f t="shared" si="30"/>
        <v/>
      </c>
      <c r="AP46" s="82">
        <f t="shared" si="18"/>
        <v>1.8051495284388695E-3</v>
      </c>
      <c r="AQ46" s="82">
        <f t="shared" si="19"/>
        <v>0.77830336977929104</v>
      </c>
    </row>
    <row r="47" spans="2:43" x14ac:dyDescent="0.35">
      <c r="B47" s="83" t="s">
        <v>141</v>
      </c>
      <c r="D47" s="137">
        <v>8366023</v>
      </c>
      <c r="E47" s="137">
        <v>7578544</v>
      </c>
      <c r="F47" s="137">
        <v>6650860</v>
      </c>
      <c r="G47" s="137">
        <v>6789803</v>
      </c>
      <c r="H47" s="137">
        <f t="shared" si="0"/>
        <v>29385230</v>
      </c>
      <c r="J47" s="137">
        <v>1003517</v>
      </c>
      <c r="K47" s="137">
        <v>907026</v>
      </c>
      <c r="L47" s="137">
        <v>812440</v>
      </c>
      <c r="M47" s="137">
        <v>798638</v>
      </c>
      <c r="N47" s="137">
        <f t="shared" si="1"/>
        <v>3521621</v>
      </c>
      <c r="P47" s="84">
        <f t="shared" si="2"/>
        <v>0.11995149905755698</v>
      </c>
      <c r="Q47" s="84">
        <f t="shared" si="3"/>
        <v>0.11968341148378897</v>
      </c>
      <c r="R47" s="84">
        <f t="shared" si="4"/>
        <v>0.12215563100110362</v>
      </c>
      <c r="S47" s="84">
        <f t="shared" si="5"/>
        <v>0.11762314753461919</v>
      </c>
      <c r="T47" s="84" t="str">
        <f>+IFERROR(#REF!/#REF!,"")</f>
        <v/>
      </c>
      <c r="U47" s="84" t="str">
        <f>+IFERROR(#REF!/#REF!,"")</f>
        <v/>
      </c>
      <c r="V47" s="84" t="str">
        <f>+IFERROR(#REF!/#REF!,"")</f>
        <v/>
      </c>
      <c r="W47" s="84" t="str">
        <f>+IFERROR(#REF!/#REF!,"")</f>
        <v/>
      </c>
      <c r="X47" s="84" t="str">
        <f>+IFERROR(#REF!/#REF!,"")</f>
        <v/>
      </c>
      <c r="Y47" s="84" t="str">
        <f>+IFERROR(#REF!/#REF!,"")</f>
        <v/>
      </c>
      <c r="Z47" s="84" t="str">
        <f>+IFERROR(#REF!/#REF!,"")</f>
        <v/>
      </c>
      <c r="AA47" s="84" t="str">
        <f>+IFERROR(#REF!/#REF!,"")</f>
        <v/>
      </c>
      <c r="AB47" s="84">
        <f t="shared" si="6"/>
        <v>0.1198432341690026</v>
      </c>
      <c r="AD47" s="139">
        <f t="shared" si="20"/>
        <v>-2.6808757376800552E-4</v>
      </c>
      <c r="AE47" s="139">
        <f t="shared" si="21"/>
        <v>2.4722195173146472E-3</v>
      </c>
      <c r="AF47" s="139">
        <f t="shared" si="22"/>
        <v>-4.5324834664844244E-3</v>
      </c>
      <c r="AG47" s="139" t="str">
        <f t="shared" si="23"/>
        <v/>
      </c>
      <c r="AH47" s="139" t="str">
        <f t="shared" si="24"/>
        <v/>
      </c>
      <c r="AI47" s="139" t="str">
        <f t="shared" si="25"/>
        <v/>
      </c>
      <c r="AJ47" s="139" t="str">
        <f t="shared" si="26"/>
        <v/>
      </c>
      <c r="AK47" s="139" t="str">
        <f t="shared" si="27"/>
        <v/>
      </c>
      <c r="AL47" s="139" t="str">
        <f t="shared" si="28"/>
        <v/>
      </c>
      <c r="AM47" s="139" t="str">
        <f t="shared" si="29"/>
        <v/>
      </c>
      <c r="AN47" s="139" t="str">
        <f t="shared" si="30"/>
        <v/>
      </c>
      <c r="AP47" s="82">
        <f t="shared" si="18"/>
        <v>3.4772498214022331E-3</v>
      </c>
      <c r="AQ47" s="82">
        <f t="shared" si="19"/>
        <v>0.78178061960069323</v>
      </c>
    </row>
    <row r="48" spans="2:43" x14ac:dyDescent="0.35">
      <c r="B48" s="83" t="s">
        <v>142</v>
      </c>
      <c r="D48" s="137">
        <v>8326890</v>
      </c>
      <c r="E48" s="137">
        <v>12194767</v>
      </c>
      <c r="F48" s="137">
        <v>10855432</v>
      </c>
      <c r="G48" s="137">
        <v>5849411</v>
      </c>
      <c r="H48" s="137">
        <f t="shared" si="0"/>
        <v>37226500</v>
      </c>
      <c r="J48" s="137">
        <v>1172782</v>
      </c>
      <c r="K48" s="137">
        <v>1267775</v>
      </c>
      <c r="L48" s="137">
        <v>1356507</v>
      </c>
      <c r="M48" s="137">
        <v>813895</v>
      </c>
      <c r="N48" s="137">
        <f t="shared" si="1"/>
        <v>4610959</v>
      </c>
      <c r="P48" s="84">
        <f t="shared" si="2"/>
        <v>0.14084273960626356</v>
      </c>
      <c r="Q48" s="84">
        <f t="shared" si="3"/>
        <v>0.10396057587652147</v>
      </c>
      <c r="R48" s="84">
        <f t="shared" si="4"/>
        <v>0.1249611254531372</v>
      </c>
      <c r="S48" s="84">
        <f t="shared" si="5"/>
        <v>0.13914135970271194</v>
      </c>
      <c r="T48" s="84" t="str">
        <f>+IFERROR(#REF!/#REF!,"")</f>
        <v/>
      </c>
      <c r="U48" s="84" t="str">
        <f>+IFERROR(#REF!/#REF!,"")</f>
        <v/>
      </c>
      <c r="V48" s="84" t="str">
        <f>+IFERROR(#REF!/#REF!,"")</f>
        <v/>
      </c>
      <c r="W48" s="84" t="str">
        <f>+IFERROR(#REF!/#REF!,"")</f>
        <v/>
      </c>
      <c r="X48" s="84" t="str">
        <f>+IFERROR(#REF!/#REF!,"")</f>
        <v/>
      </c>
      <c r="Y48" s="84" t="str">
        <f>+IFERROR(#REF!/#REF!,"")</f>
        <v/>
      </c>
      <c r="Z48" s="84" t="str">
        <f>+IFERROR(#REF!/#REF!,"")</f>
        <v/>
      </c>
      <c r="AA48" s="84" t="str">
        <f>+IFERROR(#REF!/#REF!,"")</f>
        <v/>
      </c>
      <c r="AB48" s="84">
        <f t="shared" si="6"/>
        <v>0.12386227552952869</v>
      </c>
      <c r="AD48" s="139">
        <f t="shared" si="20"/>
        <v>-3.6882163729742096E-2</v>
      </c>
      <c r="AE48" s="139">
        <f t="shared" si="21"/>
        <v>2.1000549576615735E-2</v>
      </c>
      <c r="AF48" s="139">
        <f t="shared" si="22"/>
        <v>1.4180234249574736E-2</v>
      </c>
      <c r="AG48" s="139" t="str">
        <f t="shared" si="23"/>
        <v/>
      </c>
      <c r="AH48" s="139" t="str">
        <f t="shared" si="24"/>
        <v/>
      </c>
      <c r="AI48" s="139" t="str">
        <f t="shared" si="25"/>
        <v/>
      </c>
      <c r="AJ48" s="139" t="str">
        <f t="shared" si="26"/>
        <v/>
      </c>
      <c r="AK48" s="139" t="str">
        <f t="shared" si="27"/>
        <v/>
      </c>
      <c r="AL48" s="139" t="str">
        <f t="shared" si="28"/>
        <v/>
      </c>
      <c r="AM48" s="139" t="str">
        <f t="shared" si="29"/>
        <v/>
      </c>
      <c r="AN48" s="139" t="str">
        <f t="shared" si="30"/>
        <v/>
      </c>
      <c r="AP48" s="82">
        <f t="shared" si="18"/>
        <v>4.5528625480263261E-3</v>
      </c>
      <c r="AQ48" s="82">
        <f t="shared" si="19"/>
        <v>0.78633348214871956</v>
      </c>
    </row>
    <row r="49" spans="2:43" x14ac:dyDescent="0.35">
      <c r="B49" s="83" t="s">
        <v>143</v>
      </c>
      <c r="D49" s="137">
        <v>3684849</v>
      </c>
      <c r="E49" s="137">
        <v>3526914</v>
      </c>
      <c r="F49" s="137">
        <v>4426155</v>
      </c>
      <c r="G49" s="137">
        <v>3020358</v>
      </c>
      <c r="H49" s="137">
        <f t="shared" si="0"/>
        <v>14658276</v>
      </c>
      <c r="J49" s="137">
        <v>624117</v>
      </c>
      <c r="K49" s="137">
        <v>602778</v>
      </c>
      <c r="L49" s="137">
        <v>680607</v>
      </c>
      <c r="M49" s="137">
        <v>510004</v>
      </c>
      <c r="N49" s="137">
        <f t="shared" si="1"/>
        <v>2417506</v>
      </c>
      <c r="P49" s="84">
        <f t="shared" si="2"/>
        <v>0.16937383322898714</v>
      </c>
      <c r="Q49" s="84">
        <f t="shared" si="3"/>
        <v>0.17090805162813724</v>
      </c>
      <c r="R49" s="84">
        <f t="shared" si="4"/>
        <v>0.1537693551174778</v>
      </c>
      <c r="S49" s="84">
        <f t="shared" si="5"/>
        <v>0.16885548004574291</v>
      </c>
      <c r="T49" s="84" t="str">
        <f>+IFERROR(#REF!/#REF!,"")</f>
        <v/>
      </c>
      <c r="U49" s="84" t="str">
        <f>+IFERROR(#REF!/#REF!,"")</f>
        <v/>
      </c>
      <c r="V49" s="84" t="str">
        <f>+IFERROR(#REF!/#REF!,"")</f>
        <v/>
      </c>
      <c r="W49" s="84" t="str">
        <f>+IFERROR(#REF!/#REF!,"")</f>
        <v/>
      </c>
      <c r="X49" s="84" t="str">
        <f>+IFERROR(#REF!/#REF!,"")</f>
        <v/>
      </c>
      <c r="Y49" s="84" t="str">
        <f>+IFERROR(#REF!/#REF!,"")</f>
        <v/>
      </c>
      <c r="Z49" s="84" t="str">
        <f>+IFERROR(#REF!/#REF!,"")</f>
        <v/>
      </c>
      <c r="AA49" s="84" t="str">
        <f>+IFERROR(#REF!/#REF!,"")</f>
        <v/>
      </c>
      <c r="AB49" s="84">
        <f t="shared" si="6"/>
        <v>0.16492430624174356</v>
      </c>
      <c r="AD49" s="139">
        <f t="shared" si="20"/>
        <v>1.5342183991501057E-3</v>
      </c>
      <c r="AE49" s="139">
        <f t="shared" si="21"/>
        <v>-1.713869651065944E-2</v>
      </c>
      <c r="AF49" s="139">
        <f t="shared" si="22"/>
        <v>1.508612492826511E-2</v>
      </c>
      <c r="AG49" s="139" t="str">
        <f t="shared" si="23"/>
        <v/>
      </c>
      <c r="AH49" s="139" t="str">
        <f t="shared" si="24"/>
        <v/>
      </c>
      <c r="AI49" s="139" t="str">
        <f t="shared" si="25"/>
        <v/>
      </c>
      <c r="AJ49" s="139" t="str">
        <f t="shared" si="26"/>
        <v/>
      </c>
      <c r="AK49" s="139" t="str">
        <f t="shared" si="27"/>
        <v/>
      </c>
      <c r="AL49" s="139" t="str">
        <f t="shared" si="28"/>
        <v/>
      </c>
      <c r="AM49" s="139" t="str">
        <f t="shared" si="29"/>
        <v/>
      </c>
      <c r="AN49" s="139" t="str">
        <f t="shared" si="30"/>
        <v/>
      </c>
      <c r="AP49" s="82">
        <f t="shared" si="18"/>
        <v>2.3870462797498161E-3</v>
      </c>
      <c r="AQ49" s="82">
        <f t="shared" si="19"/>
        <v>0.7887205284284694</v>
      </c>
    </row>
    <row r="50" spans="2:43" x14ac:dyDescent="0.35">
      <c r="B50" s="83" t="s">
        <v>144</v>
      </c>
      <c r="D50" s="137">
        <v>1302841</v>
      </c>
      <c r="E50" s="137">
        <v>2233035</v>
      </c>
      <c r="F50" s="137">
        <v>2451354</v>
      </c>
      <c r="G50" s="137">
        <v>6986774</v>
      </c>
      <c r="H50" s="137">
        <f t="shared" si="0"/>
        <v>12974004</v>
      </c>
      <c r="J50" s="137">
        <v>224750</v>
      </c>
      <c r="K50" s="137">
        <v>418083</v>
      </c>
      <c r="L50" s="137">
        <v>435445</v>
      </c>
      <c r="M50" s="137">
        <v>1040906</v>
      </c>
      <c r="N50" s="137">
        <f t="shared" si="1"/>
        <v>2119184</v>
      </c>
      <c r="P50" s="84">
        <f t="shared" si="2"/>
        <v>0.17250761988607974</v>
      </c>
      <c r="Q50" s="84">
        <f t="shared" si="3"/>
        <v>0.18722635337108465</v>
      </c>
      <c r="R50" s="84">
        <f t="shared" si="4"/>
        <v>0.17763448282051469</v>
      </c>
      <c r="S50" s="84">
        <f t="shared" si="5"/>
        <v>0.14898234864903315</v>
      </c>
      <c r="T50" s="84" t="str">
        <f>+IFERROR(#REF!/#REF!,"")</f>
        <v/>
      </c>
      <c r="U50" s="84" t="str">
        <f>+IFERROR(#REF!/#REF!,"")</f>
        <v/>
      </c>
      <c r="V50" s="84" t="str">
        <f>+IFERROR(#REF!/#REF!,"")</f>
        <v/>
      </c>
      <c r="W50" s="84" t="str">
        <f>+IFERROR(#REF!/#REF!,"")</f>
        <v/>
      </c>
      <c r="X50" s="84" t="str">
        <f>+IFERROR(#REF!/#REF!,"")</f>
        <v/>
      </c>
      <c r="Y50" s="84" t="str">
        <f>+IFERROR(#REF!/#REF!,"")</f>
        <v/>
      </c>
      <c r="Z50" s="84" t="str">
        <f>+IFERROR(#REF!/#REF!,"")</f>
        <v/>
      </c>
      <c r="AA50" s="84" t="str">
        <f>+IFERROR(#REF!/#REF!,"")</f>
        <v/>
      </c>
      <c r="AB50" s="84">
        <f t="shared" si="6"/>
        <v>0.16334078515776626</v>
      </c>
      <c r="AD50" s="139">
        <f t="shared" si="20"/>
        <v>1.4718733485004909E-2</v>
      </c>
      <c r="AE50" s="139">
        <f t="shared" si="21"/>
        <v>-9.5918705505699531E-3</v>
      </c>
      <c r="AF50" s="139">
        <f t="shared" si="22"/>
        <v>-2.8652134171481547E-2</v>
      </c>
      <c r="AG50" s="139" t="str">
        <f t="shared" si="23"/>
        <v/>
      </c>
      <c r="AH50" s="139" t="str">
        <f t="shared" si="24"/>
        <v/>
      </c>
      <c r="AI50" s="139" t="str">
        <f t="shared" si="25"/>
        <v/>
      </c>
      <c r="AJ50" s="139" t="str">
        <f t="shared" si="26"/>
        <v/>
      </c>
      <c r="AK50" s="139" t="str">
        <f t="shared" si="27"/>
        <v/>
      </c>
      <c r="AL50" s="139" t="str">
        <f t="shared" si="28"/>
        <v/>
      </c>
      <c r="AM50" s="139" t="str">
        <f t="shared" si="29"/>
        <v/>
      </c>
      <c r="AN50" s="139" t="str">
        <f t="shared" si="30"/>
        <v/>
      </c>
      <c r="AP50" s="82">
        <f t="shared" si="18"/>
        <v>2.0924830313990262E-3</v>
      </c>
      <c r="AQ50" s="82">
        <f t="shared" si="19"/>
        <v>0.79081301145986838</v>
      </c>
    </row>
    <row r="51" spans="2:43" x14ac:dyDescent="0.35">
      <c r="B51" s="83" t="s">
        <v>145</v>
      </c>
      <c r="D51" s="137">
        <v>5011967</v>
      </c>
      <c r="E51" s="137">
        <v>4721562</v>
      </c>
      <c r="F51" s="137">
        <v>4711080</v>
      </c>
      <c r="G51" s="137">
        <v>3794951</v>
      </c>
      <c r="H51" s="137">
        <f t="shared" si="0"/>
        <v>18239560</v>
      </c>
      <c r="J51" s="137">
        <v>1057787</v>
      </c>
      <c r="K51" s="137">
        <v>1061540</v>
      </c>
      <c r="L51" s="137">
        <v>828963</v>
      </c>
      <c r="M51" s="137">
        <v>814744</v>
      </c>
      <c r="N51" s="137">
        <f t="shared" si="1"/>
        <v>3763034</v>
      </c>
      <c r="P51" s="84">
        <f t="shared" si="2"/>
        <v>0.21105226750295841</v>
      </c>
      <c r="Q51" s="84">
        <f t="shared" si="3"/>
        <v>0.22482813950129216</v>
      </c>
      <c r="R51" s="84">
        <f t="shared" si="4"/>
        <v>0.17596028936040142</v>
      </c>
      <c r="S51" s="84">
        <f t="shared" si="5"/>
        <v>0.21469157309277512</v>
      </c>
      <c r="T51" s="84" t="str">
        <f>+IFERROR(#REF!/#REF!,"")</f>
        <v/>
      </c>
      <c r="U51" s="84" t="str">
        <f>+IFERROR(#REF!/#REF!,"")</f>
        <v/>
      </c>
      <c r="V51" s="84" t="str">
        <f>+IFERROR(#REF!/#REF!,"")</f>
        <v/>
      </c>
      <c r="W51" s="84" t="str">
        <f>+IFERROR(#REF!/#REF!,"")</f>
        <v/>
      </c>
      <c r="X51" s="84" t="str">
        <f>+IFERROR(#REF!/#REF!,"")</f>
        <v/>
      </c>
      <c r="Y51" s="84" t="str">
        <f>+IFERROR(#REF!/#REF!,"")</f>
        <v/>
      </c>
      <c r="Z51" s="84" t="str">
        <f>+IFERROR(#REF!/#REF!,"")</f>
        <v/>
      </c>
      <c r="AA51" s="84" t="str">
        <f>+IFERROR(#REF!/#REF!,"")</f>
        <v/>
      </c>
      <c r="AB51" s="84">
        <f t="shared" si="6"/>
        <v>0.20631166541298146</v>
      </c>
      <c r="AD51" s="139">
        <f t="shared" si="20"/>
        <v>1.3775871998333744E-2</v>
      </c>
      <c r="AE51" s="139">
        <f t="shared" si="21"/>
        <v>-4.8867850140890734E-2</v>
      </c>
      <c r="AF51" s="139">
        <f t="shared" si="22"/>
        <v>3.8731283732373695E-2</v>
      </c>
      <c r="AG51" s="139" t="str">
        <f t="shared" si="23"/>
        <v/>
      </c>
      <c r="AH51" s="139" t="str">
        <f t="shared" si="24"/>
        <v/>
      </c>
      <c r="AI51" s="139" t="str">
        <f t="shared" si="25"/>
        <v/>
      </c>
      <c r="AJ51" s="139" t="str">
        <f t="shared" si="26"/>
        <v/>
      </c>
      <c r="AK51" s="139" t="str">
        <f t="shared" si="27"/>
        <v/>
      </c>
      <c r="AL51" s="139" t="str">
        <f t="shared" si="28"/>
        <v/>
      </c>
      <c r="AM51" s="139" t="str">
        <f t="shared" si="29"/>
        <v/>
      </c>
      <c r="AN51" s="139" t="str">
        <f t="shared" si="30"/>
        <v/>
      </c>
      <c r="AP51" s="82">
        <f t="shared" si="18"/>
        <v>3.7156211030177667E-3</v>
      </c>
      <c r="AQ51" s="82">
        <f t="shared" si="19"/>
        <v>0.79452863256288619</v>
      </c>
    </row>
    <row r="52" spans="2:43" x14ac:dyDescent="0.35">
      <c r="B52" s="83" t="s">
        <v>146</v>
      </c>
      <c r="D52" s="137">
        <v>4823234</v>
      </c>
      <c r="E52" s="137">
        <v>4151876</v>
      </c>
      <c r="F52" s="137">
        <v>5195009</v>
      </c>
      <c r="G52" s="137">
        <v>3699231</v>
      </c>
      <c r="H52" s="137">
        <f t="shared" si="0"/>
        <v>17869350</v>
      </c>
      <c r="J52" s="137">
        <v>1149652</v>
      </c>
      <c r="K52" s="137">
        <v>953227</v>
      </c>
      <c r="L52" s="137">
        <v>974839</v>
      </c>
      <c r="M52" s="137">
        <v>1046712</v>
      </c>
      <c r="N52" s="137">
        <f t="shared" si="1"/>
        <v>4124430</v>
      </c>
      <c r="P52" s="84">
        <f t="shared" si="2"/>
        <v>0.23835708572298173</v>
      </c>
      <c r="Q52" s="84">
        <f t="shared" si="3"/>
        <v>0.22958946750818185</v>
      </c>
      <c r="R52" s="84">
        <f t="shared" si="4"/>
        <v>0.18764914555489701</v>
      </c>
      <c r="S52" s="84">
        <f t="shared" si="5"/>
        <v>0.28295394367099541</v>
      </c>
      <c r="T52" s="84" t="str">
        <f>+IFERROR(#REF!/#REF!,"")</f>
        <v/>
      </c>
      <c r="U52" s="84" t="str">
        <f>+IFERROR(#REF!/#REF!,"")</f>
        <v/>
      </c>
      <c r="V52" s="84" t="str">
        <f>+IFERROR(#REF!/#REF!,"")</f>
        <v/>
      </c>
      <c r="W52" s="84" t="str">
        <f>+IFERROR(#REF!/#REF!,"")</f>
        <v/>
      </c>
      <c r="X52" s="84" t="str">
        <f>+IFERROR(#REF!/#REF!,"")</f>
        <v/>
      </c>
      <c r="Y52" s="84" t="str">
        <f>+IFERROR(#REF!/#REF!,"")</f>
        <v/>
      </c>
      <c r="Z52" s="84" t="str">
        <f>+IFERROR(#REF!/#REF!,"")</f>
        <v/>
      </c>
      <c r="AA52" s="84" t="str">
        <f>+IFERROR(#REF!/#REF!,"")</f>
        <v/>
      </c>
      <c r="AB52" s="84">
        <f t="shared" si="6"/>
        <v>0.23081029808023235</v>
      </c>
      <c r="AD52" s="139">
        <f t="shared" si="20"/>
        <v>-8.7676182147998771E-3</v>
      </c>
      <c r="AE52" s="139">
        <f t="shared" si="21"/>
        <v>-4.1940321953284843E-2</v>
      </c>
      <c r="AF52" s="139">
        <f t="shared" si="22"/>
        <v>9.5304798116098405E-2</v>
      </c>
      <c r="AG52" s="139" t="str">
        <f t="shared" si="23"/>
        <v/>
      </c>
      <c r="AH52" s="139" t="str">
        <f t="shared" si="24"/>
        <v/>
      </c>
      <c r="AI52" s="139" t="str">
        <f t="shared" si="25"/>
        <v/>
      </c>
      <c r="AJ52" s="139" t="str">
        <f t="shared" si="26"/>
        <v/>
      </c>
      <c r="AK52" s="139" t="str">
        <f t="shared" si="27"/>
        <v/>
      </c>
      <c r="AL52" s="139" t="str">
        <f t="shared" si="28"/>
        <v/>
      </c>
      <c r="AM52" s="139" t="str">
        <f t="shared" si="29"/>
        <v/>
      </c>
      <c r="AN52" s="139" t="str">
        <f t="shared" si="30"/>
        <v/>
      </c>
      <c r="AP52" s="82">
        <f t="shared" si="18"/>
        <v>4.0724636412850825E-3</v>
      </c>
      <c r="AQ52" s="82">
        <f t="shared" si="19"/>
        <v>0.7986010962041713</v>
      </c>
    </row>
    <row r="53" spans="2:43" x14ac:dyDescent="0.35">
      <c r="B53" s="83" t="s">
        <v>147</v>
      </c>
      <c r="D53" s="137">
        <v>46959441</v>
      </c>
      <c r="E53" s="137">
        <v>49624464</v>
      </c>
      <c r="F53" s="137">
        <v>59761234</v>
      </c>
      <c r="G53" s="137">
        <v>63646135</v>
      </c>
      <c r="H53" s="137">
        <f t="shared" si="0"/>
        <v>219991274</v>
      </c>
      <c r="J53" s="137">
        <v>8364972</v>
      </c>
      <c r="K53" s="137">
        <v>9414182</v>
      </c>
      <c r="L53" s="137">
        <v>14442729</v>
      </c>
      <c r="M53" s="137">
        <v>13515923</v>
      </c>
      <c r="N53" s="137">
        <f t="shared" si="1"/>
        <v>45737806</v>
      </c>
      <c r="P53" s="84">
        <f t="shared" si="2"/>
        <v>0.17813184786420264</v>
      </c>
      <c r="Q53" s="84">
        <f t="shared" si="3"/>
        <v>0.18970848732995887</v>
      </c>
      <c r="R53" s="84">
        <f t="shared" si="4"/>
        <v>0.24167387507426638</v>
      </c>
      <c r="S53" s="84">
        <f t="shared" si="5"/>
        <v>0.21236046776446049</v>
      </c>
      <c r="T53" s="84" t="str">
        <f>+IFERROR(#REF!/#REF!,"")</f>
        <v/>
      </c>
      <c r="U53" s="84" t="str">
        <f>+IFERROR(#REF!/#REF!,"")</f>
        <v/>
      </c>
      <c r="V53" s="84" t="str">
        <f>+IFERROR(#REF!/#REF!,"")</f>
        <v/>
      </c>
      <c r="W53" s="84" t="str">
        <f>+IFERROR(#REF!/#REF!,"")</f>
        <v/>
      </c>
      <c r="X53" s="84" t="str">
        <f>+IFERROR(#REF!/#REF!,"")</f>
        <v/>
      </c>
      <c r="Y53" s="84" t="str">
        <f>+IFERROR(#REF!/#REF!,"")</f>
        <v/>
      </c>
      <c r="Z53" s="84" t="str">
        <f>+IFERROR(#REF!/#REF!,"")</f>
        <v/>
      </c>
      <c r="AA53" s="84" t="str">
        <f>+IFERROR(#REF!/#REF!,"")</f>
        <v/>
      </c>
      <c r="AB53" s="84">
        <f t="shared" si="6"/>
        <v>0.20790736454392278</v>
      </c>
      <c r="AD53" s="139">
        <f t="shared" si="20"/>
        <v>1.1576639465756239E-2</v>
      </c>
      <c r="AE53" s="139">
        <f t="shared" si="21"/>
        <v>5.1965387744307506E-2</v>
      </c>
      <c r="AF53" s="139">
        <f t="shared" si="22"/>
        <v>-2.9313407309805889E-2</v>
      </c>
      <c r="AG53" s="139" t="str">
        <f t="shared" si="23"/>
        <v/>
      </c>
      <c r="AH53" s="139" t="str">
        <f t="shared" si="24"/>
        <v/>
      </c>
      <c r="AI53" s="139" t="str">
        <f t="shared" si="25"/>
        <v/>
      </c>
      <c r="AJ53" s="139" t="str">
        <f t="shared" si="26"/>
        <v/>
      </c>
      <c r="AK53" s="139" t="str">
        <f t="shared" si="27"/>
        <v/>
      </c>
      <c r="AL53" s="139" t="str">
        <f t="shared" si="28"/>
        <v/>
      </c>
      <c r="AM53" s="139" t="str">
        <f t="shared" si="29"/>
        <v/>
      </c>
      <c r="AN53" s="139" t="str">
        <f t="shared" si="30"/>
        <v/>
      </c>
      <c r="AP53" s="82">
        <f t="shared" si="18"/>
        <v>4.5161525827120519E-2</v>
      </c>
      <c r="AQ53" s="82">
        <f t="shared" si="19"/>
        <v>0.84376262203129182</v>
      </c>
    </row>
    <row r="54" spans="2:43" x14ac:dyDescent="0.35">
      <c r="B54" s="83" t="s">
        <v>148</v>
      </c>
      <c r="D54" s="137">
        <v>1087658</v>
      </c>
      <c r="E54" s="137">
        <v>1107103</v>
      </c>
      <c r="F54" s="137">
        <v>1196377</v>
      </c>
      <c r="G54" s="137">
        <v>960814</v>
      </c>
      <c r="H54" s="137">
        <f t="shared" si="0"/>
        <v>4351952</v>
      </c>
      <c r="J54" s="137">
        <v>191247</v>
      </c>
      <c r="K54" s="137">
        <v>286596</v>
      </c>
      <c r="L54" s="137">
        <v>254907</v>
      </c>
      <c r="M54" s="137">
        <v>114638</v>
      </c>
      <c r="N54" s="137">
        <f t="shared" si="1"/>
        <v>847388</v>
      </c>
      <c r="P54" s="84">
        <f t="shared" si="2"/>
        <v>0.17583376392211522</v>
      </c>
      <c r="Q54" s="84">
        <f t="shared" si="3"/>
        <v>0.25887022255381836</v>
      </c>
      <c r="R54" s="84">
        <f t="shared" si="4"/>
        <v>0.21306578110411684</v>
      </c>
      <c r="S54" s="84">
        <f t="shared" si="5"/>
        <v>0.11931341549977414</v>
      </c>
      <c r="T54" s="84" t="str">
        <f>+IFERROR(#REF!/#REF!,"")</f>
        <v/>
      </c>
      <c r="U54" s="84" t="str">
        <f>+IFERROR(#REF!/#REF!,"")</f>
        <v/>
      </c>
      <c r="V54" s="84" t="str">
        <f>+IFERROR(#REF!/#REF!,"")</f>
        <v/>
      </c>
      <c r="W54" s="84" t="str">
        <f>+IFERROR(#REF!/#REF!,"")</f>
        <v/>
      </c>
      <c r="X54" s="84" t="str">
        <f>+IFERROR(#REF!/#REF!,"")</f>
        <v/>
      </c>
      <c r="Y54" s="84" t="str">
        <f>+IFERROR(#REF!/#REF!,"")</f>
        <v/>
      </c>
      <c r="Z54" s="84" t="str">
        <f>+IFERROR(#REF!/#REF!,"")</f>
        <v/>
      </c>
      <c r="AA54" s="84" t="str">
        <f>+IFERROR(#REF!/#REF!,"")</f>
        <v/>
      </c>
      <c r="AB54" s="84">
        <f t="shared" si="6"/>
        <v>0.19471446376246798</v>
      </c>
      <c r="AD54" s="139">
        <f t="shared" si="20"/>
        <v>8.3036458631703142E-2</v>
      </c>
      <c r="AE54" s="139">
        <f t="shared" si="21"/>
        <v>-4.5804441449701527E-2</v>
      </c>
      <c r="AF54" s="139">
        <f t="shared" si="22"/>
        <v>-9.3752365604342691E-2</v>
      </c>
      <c r="AG54" s="139" t="str">
        <f t="shared" si="23"/>
        <v/>
      </c>
      <c r="AH54" s="139" t="str">
        <f t="shared" si="24"/>
        <v/>
      </c>
      <c r="AI54" s="139" t="str">
        <f t="shared" si="25"/>
        <v/>
      </c>
      <c r="AJ54" s="139" t="str">
        <f t="shared" si="26"/>
        <v/>
      </c>
      <c r="AK54" s="139" t="str">
        <f t="shared" si="27"/>
        <v/>
      </c>
      <c r="AL54" s="139" t="str">
        <f t="shared" si="28"/>
        <v/>
      </c>
      <c r="AM54" s="139" t="str">
        <f t="shared" si="29"/>
        <v/>
      </c>
      <c r="AN54" s="139" t="str">
        <f t="shared" si="30"/>
        <v/>
      </c>
      <c r="AP54" s="82">
        <f t="shared" si="18"/>
        <v>8.3671121101856088E-4</v>
      </c>
      <c r="AQ54" s="82">
        <f t="shared" si="19"/>
        <v>0.8445993332423104</v>
      </c>
    </row>
    <row r="55" spans="2:43" x14ac:dyDescent="0.35">
      <c r="B55" s="83" t="s">
        <v>149</v>
      </c>
      <c r="D55" s="137">
        <v>2607780</v>
      </c>
      <c r="E55" s="137">
        <v>2848461</v>
      </c>
      <c r="F55" s="137">
        <v>3492925</v>
      </c>
      <c r="G55" s="137">
        <v>2262424</v>
      </c>
      <c r="H55" s="137">
        <f t="shared" si="0"/>
        <v>11211590</v>
      </c>
      <c r="J55" s="137">
        <v>532879</v>
      </c>
      <c r="K55" s="137">
        <v>588193</v>
      </c>
      <c r="L55" s="137">
        <v>601024</v>
      </c>
      <c r="M55" s="137">
        <v>559754</v>
      </c>
      <c r="N55" s="137">
        <f t="shared" si="1"/>
        <v>2281850</v>
      </c>
      <c r="P55" s="84">
        <f t="shared" si="2"/>
        <v>0.20434200737792299</v>
      </c>
      <c r="Q55" s="84">
        <f t="shared" si="3"/>
        <v>0.20649501608061335</v>
      </c>
      <c r="R55" s="84">
        <f t="shared" si="4"/>
        <v>0.17206896798528454</v>
      </c>
      <c r="S55" s="84">
        <f t="shared" si="5"/>
        <v>0.24741339377587931</v>
      </c>
      <c r="T55" s="84" t="str">
        <f>+IFERROR(#REF!/#REF!,"")</f>
        <v/>
      </c>
      <c r="U55" s="84" t="str">
        <f>+IFERROR(#REF!/#REF!,"")</f>
        <v/>
      </c>
      <c r="V55" s="84" t="str">
        <f>+IFERROR(#REF!/#REF!,"")</f>
        <v/>
      </c>
      <c r="W55" s="84" t="str">
        <f>+IFERROR(#REF!/#REF!,"")</f>
        <v/>
      </c>
      <c r="X55" s="84" t="str">
        <f>+IFERROR(#REF!/#REF!,"")</f>
        <v/>
      </c>
      <c r="Y55" s="84" t="str">
        <f>+IFERROR(#REF!/#REF!,"")</f>
        <v/>
      </c>
      <c r="Z55" s="84" t="str">
        <f>+IFERROR(#REF!/#REF!,"")</f>
        <v/>
      </c>
      <c r="AA55" s="84" t="str">
        <f>+IFERROR(#REF!/#REF!,"")</f>
        <v/>
      </c>
      <c r="AB55" s="84">
        <f t="shared" si="6"/>
        <v>0.20352599408290883</v>
      </c>
      <c r="AD55" s="139">
        <f t="shared" si="20"/>
        <v>2.1530087026903622E-3</v>
      </c>
      <c r="AE55" s="139">
        <f t="shared" si="21"/>
        <v>-3.4426048095328815E-2</v>
      </c>
      <c r="AF55" s="139">
        <f t="shared" si="22"/>
        <v>7.5344425790594777E-2</v>
      </c>
      <c r="AG55" s="139" t="str">
        <f t="shared" si="23"/>
        <v/>
      </c>
      <c r="AH55" s="139" t="str">
        <f t="shared" si="24"/>
        <v/>
      </c>
      <c r="AI55" s="139" t="str">
        <f t="shared" si="25"/>
        <v/>
      </c>
      <c r="AJ55" s="139" t="str">
        <f t="shared" si="26"/>
        <v/>
      </c>
      <c r="AK55" s="139" t="str">
        <f t="shared" si="27"/>
        <v/>
      </c>
      <c r="AL55" s="139" t="str">
        <f t="shared" si="28"/>
        <v/>
      </c>
      <c r="AM55" s="139" t="str">
        <f t="shared" si="29"/>
        <v/>
      </c>
      <c r="AN55" s="139" t="str">
        <f t="shared" si="30"/>
        <v/>
      </c>
      <c r="AP55" s="82">
        <f t="shared" si="18"/>
        <v>2.2530994973526922E-3</v>
      </c>
      <c r="AQ55" s="82">
        <f t="shared" si="19"/>
        <v>0.84685243273966304</v>
      </c>
    </row>
    <row r="56" spans="2:43" x14ac:dyDescent="0.35">
      <c r="B56" s="83" t="s">
        <v>150</v>
      </c>
      <c r="D56" s="137">
        <v>29858618</v>
      </c>
      <c r="E56" s="137">
        <v>53429301</v>
      </c>
      <c r="F56" s="137">
        <v>6970848</v>
      </c>
      <c r="G56" s="137">
        <v>19763836</v>
      </c>
      <c r="H56" s="137">
        <f t="shared" si="0"/>
        <v>110022603</v>
      </c>
      <c r="J56" s="137">
        <v>4039090</v>
      </c>
      <c r="K56" s="137">
        <v>6506500</v>
      </c>
      <c r="L56" s="137">
        <v>929506</v>
      </c>
      <c r="M56" s="137">
        <v>2470906</v>
      </c>
      <c r="N56" s="137">
        <f t="shared" si="1"/>
        <v>13946002</v>
      </c>
      <c r="P56" s="84">
        <f t="shared" si="2"/>
        <v>0.13527384288181055</v>
      </c>
      <c r="Q56" s="84">
        <f t="shared" si="3"/>
        <v>0.12177774887977666</v>
      </c>
      <c r="R56" s="84">
        <f t="shared" si="4"/>
        <v>0.13334188322568502</v>
      </c>
      <c r="S56" s="84">
        <f t="shared" si="5"/>
        <v>0.12502157981881654</v>
      </c>
      <c r="T56" s="84" t="str">
        <f>+IFERROR(#REF!/#REF!,"")</f>
        <v/>
      </c>
      <c r="U56" s="84" t="str">
        <f>+IFERROR(#REF!/#REF!,"")</f>
        <v/>
      </c>
      <c r="V56" s="84" t="str">
        <f>+IFERROR(#REF!/#REF!,"")</f>
        <v/>
      </c>
      <c r="W56" s="84" t="str">
        <f>+IFERROR(#REF!/#REF!,"")</f>
        <v/>
      </c>
      <c r="X56" s="84" t="str">
        <f>+IFERROR(#REF!/#REF!,"")</f>
        <v/>
      </c>
      <c r="Y56" s="84" t="str">
        <f>+IFERROR(#REF!/#REF!,"")</f>
        <v/>
      </c>
      <c r="Z56" s="84" t="str">
        <f>+IFERROR(#REF!/#REF!,"")</f>
        <v/>
      </c>
      <c r="AA56" s="84" t="str">
        <f>+IFERROR(#REF!/#REF!,"")</f>
        <v/>
      </c>
      <c r="AB56" s="84">
        <f t="shared" si="6"/>
        <v>0.12675579035336948</v>
      </c>
      <c r="AD56" s="139">
        <f t="shared" si="20"/>
        <v>-1.3496094002033887E-2</v>
      </c>
      <c r="AE56" s="139">
        <f t="shared" si="21"/>
        <v>1.1564134345908361E-2</v>
      </c>
      <c r="AF56" s="139">
        <f t="shared" si="22"/>
        <v>-8.3203034068684845E-3</v>
      </c>
      <c r="AG56" s="139" t="str">
        <f t="shared" si="23"/>
        <v/>
      </c>
      <c r="AH56" s="139" t="str">
        <f t="shared" si="24"/>
        <v/>
      </c>
      <c r="AI56" s="139" t="str">
        <f t="shared" si="25"/>
        <v/>
      </c>
      <c r="AJ56" s="139" t="str">
        <f t="shared" si="26"/>
        <v/>
      </c>
      <c r="AK56" s="139" t="str">
        <f t="shared" si="27"/>
        <v/>
      </c>
      <c r="AL56" s="139" t="str">
        <f t="shared" si="28"/>
        <v/>
      </c>
      <c r="AM56" s="139" t="str">
        <f t="shared" si="29"/>
        <v/>
      </c>
      <c r="AN56" s="139" t="str">
        <f t="shared" si="30"/>
        <v/>
      </c>
      <c r="AP56" s="82">
        <f t="shared" si="18"/>
        <v>1.3770287309104297E-2</v>
      </c>
      <c r="AQ56" s="82">
        <f t="shared" si="19"/>
        <v>0.86062272004876739</v>
      </c>
    </row>
    <row r="57" spans="2:43" x14ac:dyDescent="0.35">
      <c r="B57" s="83" t="s">
        <v>151</v>
      </c>
      <c r="D57" s="137">
        <v>2827833</v>
      </c>
      <c r="E57" s="137">
        <v>2775763</v>
      </c>
      <c r="F57" s="137">
        <v>2376597</v>
      </c>
      <c r="G57" s="137">
        <v>2522920</v>
      </c>
      <c r="H57" s="137">
        <f t="shared" si="0"/>
        <v>10503113</v>
      </c>
      <c r="J57" s="137">
        <v>409711</v>
      </c>
      <c r="K57" s="137">
        <v>406361</v>
      </c>
      <c r="L57" s="137">
        <v>393948</v>
      </c>
      <c r="M57" s="137">
        <v>390696</v>
      </c>
      <c r="N57" s="137">
        <f t="shared" si="1"/>
        <v>1600716</v>
      </c>
      <c r="P57" s="84">
        <f t="shared" si="2"/>
        <v>0.14488514703661778</v>
      </c>
      <c r="Q57" s="84">
        <f t="shared" si="3"/>
        <v>0.14639614405120321</v>
      </c>
      <c r="R57" s="84">
        <f t="shared" si="4"/>
        <v>0.16576138066319196</v>
      </c>
      <c r="S57" s="84">
        <f t="shared" si="5"/>
        <v>0.15485865584322928</v>
      </c>
      <c r="T57" s="84" t="str">
        <f>+IFERROR(#REF!/#REF!,"")</f>
        <v/>
      </c>
      <c r="U57" s="84" t="str">
        <f>+IFERROR(#REF!/#REF!,"")</f>
        <v/>
      </c>
      <c r="V57" s="84" t="str">
        <f>+IFERROR(#REF!/#REF!,"")</f>
        <v/>
      </c>
      <c r="W57" s="84" t="str">
        <f>+IFERROR(#REF!/#REF!,"")</f>
        <v/>
      </c>
      <c r="X57" s="84" t="str">
        <f>+IFERROR(#REF!/#REF!,"")</f>
        <v/>
      </c>
      <c r="Y57" s="84" t="str">
        <f>+IFERROR(#REF!/#REF!,"")</f>
        <v/>
      </c>
      <c r="Z57" s="84" t="str">
        <f>+IFERROR(#REF!/#REF!,"")</f>
        <v/>
      </c>
      <c r="AA57" s="84" t="str">
        <f>+IFERROR(#REF!/#REF!,"")</f>
        <v/>
      </c>
      <c r="AB57" s="84">
        <f t="shared" si="6"/>
        <v>0.15240395871205042</v>
      </c>
      <c r="AD57" s="139">
        <f t="shared" si="20"/>
        <v>1.5109970145854301E-3</v>
      </c>
      <c r="AE57" s="139">
        <f t="shared" si="21"/>
        <v>1.9365236611988745E-2</v>
      </c>
      <c r="AF57" s="139">
        <f t="shared" si="22"/>
        <v>-1.0902724819962684E-2</v>
      </c>
      <c r="AG57" s="139" t="str">
        <f t="shared" si="23"/>
        <v/>
      </c>
      <c r="AH57" s="139" t="str">
        <f t="shared" si="24"/>
        <v/>
      </c>
      <c r="AI57" s="139" t="str">
        <f t="shared" si="25"/>
        <v/>
      </c>
      <c r="AJ57" s="139" t="str">
        <f t="shared" si="26"/>
        <v/>
      </c>
      <c r="AK57" s="139" t="str">
        <f t="shared" si="27"/>
        <v/>
      </c>
      <c r="AL57" s="139" t="str">
        <f t="shared" si="28"/>
        <v/>
      </c>
      <c r="AM57" s="139" t="str">
        <f t="shared" si="29"/>
        <v/>
      </c>
      <c r="AN57" s="139" t="str">
        <f t="shared" si="30"/>
        <v/>
      </c>
      <c r="AP57" s="82">
        <f t="shared" si="18"/>
        <v>1.5805475447572856E-3</v>
      </c>
      <c r="AQ57" s="82">
        <f t="shared" si="19"/>
        <v>0.86220326759352472</v>
      </c>
    </row>
    <row r="58" spans="2:43" x14ac:dyDescent="0.35">
      <c r="B58" s="83" t="s">
        <v>152</v>
      </c>
      <c r="D58" s="137">
        <v>569623</v>
      </c>
      <c r="E58" s="137">
        <v>535983</v>
      </c>
      <c r="F58" s="137">
        <v>595978</v>
      </c>
      <c r="G58" s="137">
        <v>527766</v>
      </c>
      <c r="H58" s="137">
        <f t="shared" si="0"/>
        <v>2229350</v>
      </c>
      <c r="J58" s="137">
        <v>84501</v>
      </c>
      <c r="K58" s="137">
        <v>100687</v>
      </c>
      <c r="L58" s="137">
        <v>90563</v>
      </c>
      <c r="M58" s="137">
        <v>93223</v>
      </c>
      <c r="N58" s="137">
        <f t="shared" si="1"/>
        <v>368974</v>
      </c>
      <c r="P58" s="84">
        <f t="shared" si="2"/>
        <v>0.14834548464510738</v>
      </c>
      <c r="Q58" s="84">
        <f t="shared" si="3"/>
        <v>0.187854838679585</v>
      </c>
      <c r="R58" s="84">
        <f t="shared" si="4"/>
        <v>0.15195695143109308</v>
      </c>
      <c r="S58" s="84">
        <f t="shared" si="5"/>
        <v>0.1766369944255598</v>
      </c>
      <c r="T58" s="84" t="str">
        <f>+IFERROR(#REF!/#REF!,"")</f>
        <v/>
      </c>
      <c r="U58" s="84" t="str">
        <f>+IFERROR(#REF!/#REF!,"")</f>
        <v/>
      </c>
      <c r="V58" s="84" t="str">
        <f>+IFERROR(#REF!/#REF!,"")</f>
        <v/>
      </c>
      <c r="W58" s="84" t="str">
        <f>+IFERROR(#REF!/#REF!,"")</f>
        <v/>
      </c>
      <c r="X58" s="84" t="str">
        <f>+IFERROR(#REF!/#REF!,"")</f>
        <v/>
      </c>
      <c r="Y58" s="84" t="str">
        <f>+IFERROR(#REF!/#REF!,"")</f>
        <v/>
      </c>
      <c r="Z58" s="84" t="str">
        <f>+IFERROR(#REF!/#REF!,"")</f>
        <v/>
      </c>
      <c r="AA58" s="84" t="str">
        <f>+IFERROR(#REF!/#REF!,"")</f>
        <v/>
      </c>
      <c r="AB58" s="84">
        <f t="shared" si="6"/>
        <v>0.16550743490255007</v>
      </c>
      <c r="AD58" s="139">
        <f t="shared" si="20"/>
        <v>3.9509354034477612E-2</v>
      </c>
      <c r="AE58" s="139">
        <f t="shared" si="21"/>
        <v>-3.5897887248491911E-2</v>
      </c>
      <c r="AF58" s="139">
        <f t="shared" si="22"/>
        <v>2.4680042994466717E-2</v>
      </c>
      <c r="AG58" s="139" t="str">
        <f t="shared" si="23"/>
        <v/>
      </c>
      <c r="AH58" s="139" t="str">
        <f t="shared" si="24"/>
        <v/>
      </c>
      <c r="AI58" s="139" t="str">
        <f t="shared" si="25"/>
        <v/>
      </c>
      <c r="AJ58" s="139" t="str">
        <f t="shared" si="26"/>
        <v/>
      </c>
      <c r="AK58" s="139" t="str">
        <f t="shared" si="27"/>
        <v/>
      </c>
      <c r="AL58" s="139" t="str">
        <f t="shared" si="28"/>
        <v/>
      </c>
      <c r="AM58" s="139" t="str">
        <f t="shared" si="29"/>
        <v/>
      </c>
      <c r="AN58" s="139" t="str">
        <f t="shared" si="30"/>
        <v/>
      </c>
      <c r="AP58" s="82">
        <f t="shared" si="18"/>
        <v>3.643250581485252E-4</v>
      </c>
      <c r="AQ58" s="82">
        <f t="shared" si="19"/>
        <v>0.86256759265167327</v>
      </c>
    </row>
    <row r="59" spans="2:43" x14ac:dyDescent="0.35">
      <c r="B59" s="83" t="s">
        <v>153</v>
      </c>
      <c r="D59" s="137">
        <v>2103572</v>
      </c>
      <c r="E59" s="137">
        <v>1908003</v>
      </c>
      <c r="F59" s="137">
        <v>2350702</v>
      </c>
      <c r="G59" s="137">
        <v>1614468</v>
      </c>
      <c r="H59" s="137">
        <f t="shared" si="0"/>
        <v>7976745</v>
      </c>
      <c r="J59" s="137">
        <v>533244</v>
      </c>
      <c r="K59" s="137">
        <v>439962</v>
      </c>
      <c r="L59" s="137">
        <v>472637</v>
      </c>
      <c r="M59" s="137">
        <v>397263</v>
      </c>
      <c r="N59" s="137">
        <f t="shared" si="1"/>
        <v>1843106</v>
      </c>
      <c r="P59" s="84">
        <f t="shared" si="2"/>
        <v>0.25349453215768225</v>
      </c>
      <c r="Q59" s="84">
        <f t="shared" si="3"/>
        <v>0.23058768775520794</v>
      </c>
      <c r="R59" s="84">
        <f t="shared" si="4"/>
        <v>0.20106206571483753</v>
      </c>
      <c r="S59" s="84">
        <f t="shared" si="5"/>
        <v>0.2460643382216309</v>
      </c>
      <c r="T59" s="84" t="str">
        <f>+IFERROR(#REF!/#REF!,"")</f>
        <v/>
      </c>
      <c r="U59" s="84" t="str">
        <f>+IFERROR(#REF!/#REF!,"")</f>
        <v/>
      </c>
      <c r="V59" s="84" t="str">
        <f>+IFERROR(#REF!/#REF!,"")</f>
        <v/>
      </c>
      <c r="W59" s="84" t="str">
        <f>+IFERROR(#REF!/#REF!,"")</f>
        <v/>
      </c>
      <c r="X59" s="84" t="str">
        <f>+IFERROR(#REF!/#REF!,"")</f>
        <v/>
      </c>
      <c r="Y59" s="84" t="str">
        <f>+IFERROR(#REF!/#REF!,"")</f>
        <v/>
      </c>
      <c r="Z59" s="84" t="str">
        <f>+IFERROR(#REF!/#REF!,"")</f>
        <v/>
      </c>
      <c r="AA59" s="84" t="str">
        <f>+IFERROR(#REF!/#REF!,"")</f>
        <v/>
      </c>
      <c r="AB59" s="84">
        <f t="shared" si="6"/>
        <v>0.23105991228251624</v>
      </c>
      <c r="AD59" s="139">
        <f t="shared" si="20"/>
        <v>-2.2906844402474313E-2</v>
      </c>
      <c r="AE59" s="139">
        <f t="shared" si="21"/>
        <v>-2.9525622040370403E-2</v>
      </c>
      <c r="AF59" s="139">
        <f t="shared" si="22"/>
        <v>4.5002272506793367E-2</v>
      </c>
      <c r="AG59" s="139" t="str">
        <f t="shared" si="23"/>
        <v/>
      </c>
      <c r="AH59" s="139" t="str">
        <f t="shared" si="24"/>
        <v/>
      </c>
      <c r="AI59" s="139" t="str">
        <f t="shared" si="25"/>
        <v/>
      </c>
      <c r="AJ59" s="139" t="str">
        <f t="shared" si="26"/>
        <v/>
      </c>
      <c r="AK59" s="139" t="str">
        <f t="shared" si="27"/>
        <v/>
      </c>
      <c r="AL59" s="139" t="str">
        <f t="shared" si="28"/>
        <v/>
      </c>
      <c r="AM59" s="139" t="str">
        <f t="shared" si="29"/>
        <v/>
      </c>
      <c r="AN59" s="139" t="str">
        <f t="shared" si="30"/>
        <v/>
      </c>
      <c r="AP59" s="82">
        <f t="shared" si="18"/>
        <v>1.8198835165184966E-3</v>
      </c>
      <c r="AQ59" s="82">
        <f t="shared" si="19"/>
        <v>0.86438747616819178</v>
      </c>
    </row>
    <row r="60" spans="2:43" x14ac:dyDescent="0.35">
      <c r="B60" s="83" t="s">
        <v>154</v>
      </c>
      <c r="D60" s="137">
        <v>3140991</v>
      </c>
      <c r="E60" s="137">
        <v>3089175</v>
      </c>
      <c r="F60" s="137">
        <v>1125948</v>
      </c>
      <c r="G60" s="137">
        <v>2382026</v>
      </c>
      <c r="H60" s="137">
        <f t="shared" si="0"/>
        <v>9738140</v>
      </c>
      <c r="J60" s="137">
        <v>629313</v>
      </c>
      <c r="K60" s="137">
        <v>648207</v>
      </c>
      <c r="L60" s="137">
        <v>200695</v>
      </c>
      <c r="M60" s="137">
        <v>477107</v>
      </c>
      <c r="N60" s="137">
        <f t="shared" si="1"/>
        <v>1955322</v>
      </c>
      <c r="P60" s="84">
        <f t="shared" si="2"/>
        <v>0.20035491983262607</v>
      </c>
      <c r="Q60" s="84">
        <f t="shared" si="3"/>
        <v>0.2098317511957076</v>
      </c>
      <c r="R60" s="84">
        <f t="shared" si="4"/>
        <v>0.17824535413713599</v>
      </c>
      <c r="S60" s="84">
        <f t="shared" si="5"/>
        <v>0.20029462314852986</v>
      </c>
      <c r="T60" s="84" t="str">
        <f>+IFERROR(#REF!/#REF!,"")</f>
        <v/>
      </c>
      <c r="U60" s="84" t="str">
        <f>+IFERROR(#REF!/#REF!,"")</f>
        <v/>
      </c>
      <c r="V60" s="84" t="str">
        <f>+IFERROR(#REF!/#REF!,"")</f>
        <v/>
      </c>
      <c r="W60" s="84" t="str">
        <f>+IFERROR(#REF!/#REF!,"")</f>
        <v/>
      </c>
      <c r="X60" s="84" t="str">
        <f>+IFERROR(#REF!/#REF!,"")</f>
        <v/>
      </c>
      <c r="Y60" s="84" t="str">
        <f>+IFERROR(#REF!/#REF!,"")</f>
        <v/>
      </c>
      <c r="Z60" s="84" t="str">
        <f>+IFERROR(#REF!/#REF!,"")</f>
        <v/>
      </c>
      <c r="AA60" s="84" t="str">
        <f>+IFERROR(#REF!/#REF!,"")</f>
        <v/>
      </c>
      <c r="AB60" s="84">
        <f t="shared" si="6"/>
        <v>0.20079008927782924</v>
      </c>
      <c r="AD60" s="139">
        <f t="shared" si="20"/>
        <v>9.4768313630815282E-3</v>
      </c>
      <c r="AE60" s="139">
        <f t="shared" si="21"/>
        <v>-3.1586397058571608E-2</v>
      </c>
      <c r="AF60" s="139">
        <f t="shared" si="22"/>
        <v>2.2049269011393868E-2</v>
      </c>
      <c r="AG60" s="139" t="str">
        <f t="shared" si="23"/>
        <v/>
      </c>
      <c r="AH60" s="139" t="str">
        <f t="shared" si="24"/>
        <v/>
      </c>
      <c r="AI60" s="139" t="str">
        <f t="shared" si="25"/>
        <v/>
      </c>
      <c r="AJ60" s="139" t="str">
        <f t="shared" si="26"/>
        <v/>
      </c>
      <c r="AK60" s="139" t="str">
        <f t="shared" si="27"/>
        <v/>
      </c>
      <c r="AL60" s="139" t="str">
        <f t="shared" si="28"/>
        <v/>
      </c>
      <c r="AM60" s="139" t="str">
        <f t="shared" si="29"/>
        <v/>
      </c>
      <c r="AN60" s="139" t="str">
        <f t="shared" si="30"/>
        <v/>
      </c>
      <c r="AP60" s="82">
        <f t="shared" si="18"/>
        <v>1.9306856346221974E-3</v>
      </c>
      <c r="AQ60" s="82">
        <f t="shared" si="19"/>
        <v>0.86631816180281396</v>
      </c>
    </row>
    <row r="61" spans="2:43" x14ac:dyDescent="0.35">
      <c r="B61" s="83" t="s">
        <v>155</v>
      </c>
      <c r="D61" s="137">
        <v>2381200</v>
      </c>
      <c r="E61" s="137">
        <v>1941872</v>
      </c>
      <c r="F61" s="137">
        <v>1698861</v>
      </c>
      <c r="G61" s="137">
        <v>1782270</v>
      </c>
      <c r="H61" s="137">
        <f t="shared" si="0"/>
        <v>7804203</v>
      </c>
      <c r="J61" s="137">
        <v>447316</v>
      </c>
      <c r="K61" s="137">
        <v>370026</v>
      </c>
      <c r="L61" s="137">
        <v>265702</v>
      </c>
      <c r="M61" s="137">
        <v>357465</v>
      </c>
      <c r="N61" s="137">
        <f t="shared" si="1"/>
        <v>1440509</v>
      </c>
      <c r="P61" s="84">
        <f t="shared" si="2"/>
        <v>0.18785318326894004</v>
      </c>
      <c r="Q61" s="84">
        <f t="shared" si="3"/>
        <v>0.19055117948041889</v>
      </c>
      <c r="R61" s="84">
        <f t="shared" si="4"/>
        <v>0.15640008217270276</v>
      </c>
      <c r="S61" s="84">
        <f t="shared" si="5"/>
        <v>0.20056725411974616</v>
      </c>
      <c r="T61" s="84" t="str">
        <f>+IFERROR(#REF!/#REF!,"")</f>
        <v/>
      </c>
      <c r="U61" s="84" t="str">
        <f>+IFERROR(#REF!/#REF!,"")</f>
        <v/>
      </c>
      <c r="V61" s="84" t="str">
        <f>+IFERROR(#REF!/#REF!,"")</f>
        <v/>
      </c>
      <c r="W61" s="84" t="str">
        <f>+IFERROR(#REF!/#REF!,"")</f>
        <v/>
      </c>
      <c r="X61" s="84" t="str">
        <f>+IFERROR(#REF!/#REF!,"")</f>
        <v/>
      </c>
      <c r="Y61" s="84" t="str">
        <f>+IFERROR(#REF!/#REF!,"")</f>
        <v/>
      </c>
      <c r="Z61" s="84" t="str">
        <f>+IFERROR(#REF!/#REF!,"")</f>
        <v/>
      </c>
      <c r="AA61" s="84" t="str">
        <f>+IFERROR(#REF!/#REF!,"")</f>
        <v/>
      </c>
      <c r="AB61" s="84">
        <f t="shared" si="6"/>
        <v>0.18458118016663586</v>
      </c>
      <c r="AD61" s="139">
        <f t="shared" si="20"/>
        <v>2.6979962114788425E-3</v>
      </c>
      <c r="AE61" s="139">
        <f t="shared" si="21"/>
        <v>-3.4151097307716122E-2</v>
      </c>
      <c r="AF61" s="139">
        <f t="shared" si="22"/>
        <v>4.4167171947043393E-2</v>
      </c>
      <c r="AG61" s="139" t="str">
        <f t="shared" si="23"/>
        <v/>
      </c>
      <c r="AH61" s="139" t="str">
        <f t="shared" si="24"/>
        <v/>
      </c>
      <c r="AI61" s="139" t="str">
        <f t="shared" si="25"/>
        <v/>
      </c>
      <c r="AJ61" s="139" t="str">
        <f t="shared" si="26"/>
        <v/>
      </c>
      <c r="AK61" s="139" t="str">
        <f t="shared" si="27"/>
        <v/>
      </c>
      <c r="AL61" s="139" t="str">
        <f t="shared" si="28"/>
        <v/>
      </c>
      <c r="AM61" s="139" t="str">
        <f t="shared" si="29"/>
        <v/>
      </c>
      <c r="AN61" s="139" t="str">
        <f t="shared" si="30"/>
        <v/>
      </c>
      <c r="AP61" s="82">
        <f t="shared" si="18"/>
        <v>1.4223590962736505E-3</v>
      </c>
      <c r="AQ61" s="82">
        <f t="shared" si="19"/>
        <v>0.8677405208990876</v>
      </c>
    </row>
    <row r="62" spans="2:43" x14ac:dyDescent="0.35">
      <c r="B62" s="83" t="s">
        <v>156</v>
      </c>
      <c r="D62" s="137">
        <v>8241866</v>
      </c>
      <c r="E62" s="137">
        <v>22786394</v>
      </c>
      <c r="F62" s="137">
        <v>25373273</v>
      </c>
      <c r="G62" s="137">
        <v>7075922</v>
      </c>
      <c r="H62" s="137">
        <f t="shared" si="0"/>
        <v>63477455</v>
      </c>
      <c r="J62" s="137">
        <v>1405259</v>
      </c>
      <c r="K62" s="137">
        <v>3908129</v>
      </c>
      <c r="L62" s="137">
        <v>3725939</v>
      </c>
      <c r="M62" s="137">
        <v>1098471</v>
      </c>
      <c r="N62" s="137">
        <f t="shared" si="1"/>
        <v>10137798</v>
      </c>
      <c r="P62" s="84">
        <f t="shared" si="2"/>
        <v>0.1705025294029289</v>
      </c>
      <c r="Q62" s="84">
        <f t="shared" si="3"/>
        <v>0.17151151691663016</v>
      </c>
      <c r="R62" s="84">
        <f t="shared" si="4"/>
        <v>0.14684502862519944</v>
      </c>
      <c r="S62" s="84">
        <f t="shared" si="5"/>
        <v>0.15524068806863614</v>
      </c>
      <c r="T62" s="84" t="str">
        <f>+IFERROR(#REF!/#REF!,"")</f>
        <v/>
      </c>
      <c r="U62" s="84" t="str">
        <f>+IFERROR(#REF!/#REF!,"")</f>
        <v/>
      </c>
      <c r="V62" s="84" t="str">
        <f>+IFERROR(#REF!/#REF!,"")</f>
        <v/>
      </c>
      <c r="W62" s="84" t="str">
        <f>+IFERROR(#REF!/#REF!,"")</f>
        <v/>
      </c>
      <c r="X62" s="84" t="str">
        <f>+IFERROR(#REF!/#REF!,"")</f>
        <v/>
      </c>
      <c r="Y62" s="84" t="str">
        <f>+IFERROR(#REF!/#REF!,"")</f>
        <v/>
      </c>
      <c r="Z62" s="84" t="str">
        <f>+IFERROR(#REF!/#REF!,"")</f>
        <v/>
      </c>
      <c r="AA62" s="84" t="str">
        <f>+IFERROR(#REF!/#REF!,"")</f>
        <v/>
      </c>
      <c r="AB62" s="84">
        <f t="shared" si="6"/>
        <v>0.15970706450030173</v>
      </c>
      <c r="AD62" s="139">
        <f t="shared" si="20"/>
        <v>1.0089875137012649E-3</v>
      </c>
      <c r="AE62" s="139">
        <f t="shared" si="21"/>
        <v>-2.4666488291430727E-2</v>
      </c>
      <c r="AF62" s="139">
        <f t="shared" si="22"/>
        <v>8.3956594434367038E-3</v>
      </c>
      <c r="AG62" s="139" t="str">
        <f t="shared" si="23"/>
        <v/>
      </c>
      <c r="AH62" s="139" t="str">
        <f t="shared" si="24"/>
        <v/>
      </c>
      <c r="AI62" s="139" t="str">
        <f t="shared" si="25"/>
        <v/>
      </c>
      <c r="AJ62" s="139" t="str">
        <f t="shared" si="26"/>
        <v/>
      </c>
      <c r="AK62" s="139" t="str">
        <f t="shared" si="27"/>
        <v/>
      </c>
      <c r="AL62" s="139" t="str">
        <f t="shared" si="28"/>
        <v/>
      </c>
      <c r="AM62" s="139" t="str">
        <f t="shared" si="29"/>
        <v/>
      </c>
      <c r="AN62" s="139" t="str">
        <f t="shared" si="30"/>
        <v/>
      </c>
      <c r="AP62" s="82">
        <f t="shared" si="18"/>
        <v>1.0010065332104709E-2</v>
      </c>
      <c r="AQ62" s="82">
        <f t="shared" si="19"/>
        <v>0.87775058623119229</v>
      </c>
    </row>
    <row r="63" spans="2:43" x14ac:dyDescent="0.35">
      <c r="B63" s="83" t="s">
        <v>157</v>
      </c>
      <c r="D63" s="137">
        <v>7947340</v>
      </c>
      <c r="E63" s="137">
        <v>6554363</v>
      </c>
      <c r="F63" s="137">
        <v>8137797</v>
      </c>
      <c r="G63" s="137">
        <v>1671563</v>
      </c>
      <c r="H63" s="137">
        <f t="shared" si="0"/>
        <v>24311063</v>
      </c>
      <c r="J63" s="137">
        <v>1251522</v>
      </c>
      <c r="K63" s="137">
        <v>959035</v>
      </c>
      <c r="L63" s="137">
        <v>1184414</v>
      </c>
      <c r="M63" s="137">
        <v>375038</v>
      </c>
      <c r="N63" s="137">
        <f t="shared" si="1"/>
        <v>3770009</v>
      </c>
      <c r="P63" s="84">
        <f t="shared" si="2"/>
        <v>0.15747684130790932</v>
      </c>
      <c r="Q63" s="84">
        <f t="shared" si="3"/>
        <v>0.14632009243308616</v>
      </c>
      <c r="R63" s="84">
        <f t="shared" si="4"/>
        <v>0.14554479547720348</v>
      </c>
      <c r="S63" s="84">
        <f t="shared" si="5"/>
        <v>0.2243636644266474</v>
      </c>
      <c r="T63" s="84" t="str">
        <f>+IFERROR(#REF!/#REF!,"")</f>
        <v/>
      </c>
      <c r="U63" s="84" t="str">
        <f>+IFERROR(#REF!/#REF!,"")</f>
        <v/>
      </c>
      <c r="V63" s="84" t="str">
        <f>+IFERROR(#REF!/#REF!,"")</f>
        <v/>
      </c>
      <c r="W63" s="84" t="str">
        <f>+IFERROR(#REF!/#REF!,"")</f>
        <v/>
      </c>
      <c r="X63" s="84" t="str">
        <f>+IFERROR(#REF!/#REF!,"")</f>
        <v/>
      </c>
      <c r="Y63" s="84" t="str">
        <f>+IFERROR(#REF!/#REF!,"")</f>
        <v/>
      </c>
      <c r="Z63" s="84" t="str">
        <f>+IFERROR(#REF!/#REF!,"")</f>
        <v/>
      </c>
      <c r="AA63" s="84" t="str">
        <f>+IFERROR(#REF!/#REF!,"")</f>
        <v/>
      </c>
      <c r="AB63" s="84">
        <f t="shared" si="6"/>
        <v>0.15507380323106398</v>
      </c>
      <c r="AD63" s="139">
        <f t="shared" si="20"/>
        <v>-1.1156748874823152E-2</v>
      </c>
      <c r="AE63" s="139">
        <f t="shared" si="21"/>
        <v>-7.7529695588268721E-4</v>
      </c>
      <c r="AF63" s="139">
        <f t="shared" si="22"/>
        <v>7.8818868949443927E-2</v>
      </c>
      <c r="AG63" s="139" t="str">
        <f t="shared" si="23"/>
        <v/>
      </c>
      <c r="AH63" s="139" t="str">
        <f t="shared" si="24"/>
        <v/>
      </c>
      <c r="AI63" s="139" t="str">
        <f t="shared" si="25"/>
        <v/>
      </c>
      <c r="AJ63" s="139" t="str">
        <f t="shared" si="26"/>
        <v/>
      </c>
      <c r="AK63" s="139" t="str">
        <f t="shared" si="27"/>
        <v/>
      </c>
      <c r="AL63" s="139" t="str">
        <f t="shared" si="28"/>
        <v/>
      </c>
      <c r="AM63" s="139" t="str">
        <f t="shared" si="29"/>
        <v/>
      </c>
      <c r="AN63" s="139" t="str">
        <f t="shared" si="30"/>
        <v/>
      </c>
      <c r="AP63" s="82">
        <f t="shared" si="18"/>
        <v>3.7225082204856261E-3</v>
      </c>
      <c r="AQ63" s="82">
        <f t="shared" si="19"/>
        <v>0.88147309445167787</v>
      </c>
    </row>
    <row r="64" spans="2:43" x14ac:dyDescent="0.35">
      <c r="B64" s="83" t="s">
        <v>158</v>
      </c>
      <c r="D64" s="137">
        <v>1403061</v>
      </c>
      <c r="E64" s="137">
        <v>1416732</v>
      </c>
      <c r="F64" s="137">
        <v>1618956</v>
      </c>
      <c r="G64" s="137">
        <v>1485936</v>
      </c>
      <c r="H64" s="137">
        <f t="shared" si="0"/>
        <v>5924685</v>
      </c>
      <c r="J64" s="137">
        <v>208718</v>
      </c>
      <c r="K64" s="137">
        <v>212075</v>
      </c>
      <c r="L64" s="137">
        <v>213971</v>
      </c>
      <c r="M64" s="137">
        <v>218783</v>
      </c>
      <c r="N64" s="137">
        <f t="shared" si="1"/>
        <v>853547</v>
      </c>
      <c r="P64" s="84">
        <f t="shared" si="2"/>
        <v>0.14875903471053648</v>
      </c>
      <c r="Q64" s="84">
        <f t="shared" si="3"/>
        <v>0.14969309650660817</v>
      </c>
      <c r="R64" s="84">
        <f t="shared" si="4"/>
        <v>0.13216603786637809</v>
      </c>
      <c r="S64" s="84">
        <f t="shared" si="5"/>
        <v>0.14723581634740662</v>
      </c>
      <c r="T64" s="84" t="str">
        <f>+IFERROR(#REF!/#REF!,"")</f>
        <v/>
      </c>
      <c r="U64" s="84" t="str">
        <f>+IFERROR(#REF!/#REF!,"")</f>
        <v/>
      </c>
      <c r="V64" s="84" t="str">
        <f>+IFERROR(#REF!/#REF!,"")</f>
        <v/>
      </c>
      <c r="W64" s="84" t="str">
        <f>+IFERROR(#REF!/#REF!,"")</f>
        <v/>
      </c>
      <c r="X64" s="84" t="str">
        <f>+IFERROR(#REF!/#REF!,"")</f>
        <v/>
      </c>
      <c r="Y64" s="84" t="str">
        <f>+IFERROR(#REF!/#REF!,"")</f>
        <v/>
      </c>
      <c r="Z64" s="84" t="str">
        <f>+IFERROR(#REF!/#REF!,"")</f>
        <v/>
      </c>
      <c r="AA64" s="84" t="str">
        <f>+IFERROR(#REF!/#REF!,"")</f>
        <v/>
      </c>
      <c r="AB64" s="84">
        <f t="shared" si="6"/>
        <v>0.14406622461784888</v>
      </c>
      <c r="AD64" s="139">
        <f t="shared" si="20"/>
        <v>9.3406179607169459E-4</v>
      </c>
      <c r="AE64" s="139">
        <f t="shared" si="21"/>
        <v>-1.7527058640230075E-2</v>
      </c>
      <c r="AF64" s="139">
        <f t="shared" si="22"/>
        <v>1.5069778481028528E-2</v>
      </c>
      <c r="AG64" s="139" t="str">
        <f t="shared" si="23"/>
        <v/>
      </c>
      <c r="AH64" s="139" t="str">
        <f t="shared" si="24"/>
        <v/>
      </c>
      <c r="AI64" s="139" t="str">
        <f t="shared" si="25"/>
        <v/>
      </c>
      <c r="AJ64" s="139" t="str">
        <f t="shared" si="26"/>
        <v/>
      </c>
      <c r="AK64" s="139" t="str">
        <f t="shared" si="27"/>
        <v/>
      </c>
      <c r="AL64" s="139" t="str">
        <f t="shared" si="28"/>
        <v/>
      </c>
      <c r="AM64" s="139" t="str">
        <f t="shared" si="29"/>
        <v/>
      </c>
      <c r="AN64" s="139" t="str">
        <f t="shared" si="30"/>
        <v/>
      </c>
      <c r="AP64" s="82">
        <f t="shared" si="18"/>
        <v>8.4279260979770731E-4</v>
      </c>
      <c r="AQ64" s="82">
        <f t="shared" si="19"/>
        <v>0.88231588706147557</v>
      </c>
    </row>
    <row r="65" spans="2:43" x14ac:dyDescent="0.35">
      <c r="B65" s="83" t="s">
        <v>159</v>
      </c>
      <c r="D65" s="137">
        <v>2873554</v>
      </c>
      <c r="E65" s="137">
        <v>2432206</v>
      </c>
      <c r="F65" s="137">
        <v>3708296</v>
      </c>
      <c r="G65" s="137">
        <v>2819338</v>
      </c>
      <c r="H65" s="137">
        <f t="shared" si="0"/>
        <v>11833394</v>
      </c>
      <c r="J65" s="137">
        <v>436800</v>
      </c>
      <c r="K65" s="137">
        <v>324209</v>
      </c>
      <c r="L65" s="137">
        <v>460211</v>
      </c>
      <c r="M65" s="137">
        <v>432315</v>
      </c>
      <c r="N65" s="137">
        <f t="shared" si="1"/>
        <v>1653535</v>
      </c>
      <c r="P65" s="84">
        <f t="shared" si="2"/>
        <v>0.15200688763809556</v>
      </c>
      <c r="Q65" s="84">
        <f t="shared" si="3"/>
        <v>0.13329833081572859</v>
      </c>
      <c r="R65" s="84">
        <f t="shared" si="4"/>
        <v>0.12410309209405075</v>
      </c>
      <c r="S65" s="84">
        <f t="shared" si="5"/>
        <v>0.15333918813565453</v>
      </c>
      <c r="T65" s="84" t="str">
        <f>+IFERROR(#REF!/#REF!,"")</f>
        <v/>
      </c>
      <c r="U65" s="84" t="str">
        <f>+IFERROR(#REF!/#REF!,"")</f>
        <v/>
      </c>
      <c r="V65" s="84" t="str">
        <f>+IFERROR(#REF!/#REF!,"")</f>
        <v/>
      </c>
      <c r="W65" s="84" t="str">
        <f>+IFERROR(#REF!/#REF!,"")</f>
        <v/>
      </c>
      <c r="X65" s="84" t="str">
        <f>+IFERROR(#REF!/#REF!,"")</f>
        <v/>
      </c>
      <c r="Y65" s="84" t="str">
        <f>+IFERROR(#REF!/#REF!,"")</f>
        <v/>
      </c>
      <c r="Z65" s="84" t="str">
        <f>+IFERROR(#REF!/#REF!,"")</f>
        <v/>
      </c>
      <c r="AA65" s="84" t="str">
        <f>+IFERROR(#REF!/#REF!,"")</f>
        <v/>
      </c>
      <c r="AB65" s="84">
        <f t="shared" si="6"/>
        <v>0.13973463572665629</v>
      </c>
      <c r="AD65" s="139">
        <f t="shared" si="20"/>
        <v>-1.8708556822366967E-2</v>
      </c>
      <c r="AE65" s="139">
        <f t="shared" si="21"/>
        <v>-9.195238721677837E-3</v>
      </c>
      <c r="AF65" s="139">
        <f t="shared" si="22"/>
        <v>2.9236096041603779E-2</v>
      </c>
      <c r="AG65" s="139" t="str">
        <f t="shared" si="23"/>
        <v/>
      </c>
      <c r="AH65" s="139" t="str">
        <f t="shared" si="24"/>
        <v/>
      </c>
      <c r="AI65" s="139" t="str">
        <f t="shared" si="25"/>
        <v/>
      </c>
      <c r="AJ65" s="139" t="str">
        <f t="shared" si="26"/>
        <v/>
      </c>
      <c r="AK65" s="139" t="str">
        <f t="shared" si="27"/>
        <v/>
      </c>
      <c r="AL65" s="139" t="str">
        <f t="shared" si="28"/>
        <v/>
      </c>
      <c r="AM65" s="139" t="str">
        <f t="shared" si="29"/>
        <v/>
      </c>
      <c r="AN65" s="139" t="str">
        <f t="shared" si="30"/>
        <v/>
      </c>
      <c r="AP65" s="82">
        <f t="shared" si="18"/>
        <v>1.6327010440454386E-3</v>
      </c>
      <c r="AQ65" s="82">
        <f t="shared" si="19"/>
        <v>0.88394858810552102</v>
      </c>
    </row>
    <row r="66" spans="2:43" x14ac:dyDescent="0.35">
      <c r="B66" s="83" t="s">
        <v>160</v>
      </c>
      <c r="D66" s="137">
        <v>15393342</v>
      </c>
      <c r="E66" s="137">
        <v>14907478</v>
      </c>
      <c r="F66" s="137">
        <v>13671978</v>
      </c>
      <c r="G66" s="137">
        <v>32526144</v>
      </c>
      <c r="H66" s="137">
        <f t="shared" si="0"/>
        <v>76498942</v>
      </c>
      <c r="J66" s="137">
        <v>8932167</v>
      </c>
      <c r="K66" s="137">
        <v>8423161</v>
      </c>
      <c r="L66" s="137">
        <v>2703463</v>
      </c>
      <c r="M66" s="137">
        <v>12024200</v>
      </c>
      <c r="N66" s="137">
        <f t="shared" si="1"/>
        <v>32082991</v>
      </c>
      <c r="P66" s="84">
        <f t="shared" si="2"/>
        <v>0.58026171314845076</v>
      </c>
      <c r="Q66" s="84">
        <f t="shared" si="3"/>
        <v>0.56502924237084229</v>
      </c>
      <c r="R66" s="84">
        <f t="shared" si="4"/>
        <v>0.19773751830203354</v>
      </c>
      <c r="S66" s="84">
        <f t="shared" si="5"/>
        <v>0.36967800425405484</v>
      </c>
      <c r="T66" s="84" t="str">
        <f>+IFERROR(#REF!/#REF!,"")</f>
        <v/>
      </c>
      <c r="U66" s="84" t="str">
        <f>+IFERROR(#REF!/#REF!,"")</f>
        <v/>
      </c>
      <c r="V66" s="84" t="str">
        <f>+IFERROR(#REF!/#REF!,"")</f>
        <v/>
      </c>
      <c r="W66" s="84" t="str">
        <f>+IFERROR(#REF!/#REF!,"")</f>
        <v/>
      </c>
      <c r="X66" s="84" t="str">
        <f>+IFERROR(#REF!/#REF!,"")</f>
        <v/>
      </c>
      <c r="Y66" s="84" t="str">
        <f>+IFERROR(#REF!/#REF!,"")</f>
        <v/>
      </c>
      <c r="Z66" s="84" t="str">
        <f>+IFERROR(#REF!/#REF!,"")</f>
        <v/>
      </c>
      <c r="AA66" s="84" t="str">
        <f>+IFERROR(#REF!/#REF!,"")</f>
        <v/>
      </c>
      <c r="AB66" s="84">
        <f t="shared" si="6"/>
        <v>0.41939130347711212</v>
      </c>
      <c r="AD66" s="139">
        <f t="shared" si="20"/>
        <v>-1.5232470777608476E-2</v>
      </c>
      <c r="AE66" s="139">
        <f t="shared" si="21"/>
        <v>-0.36729172406880872</v>
      </c>
      <c r="AF66" s="139">
        <f t="shared" si="22"/>
        <v>0.1719404859520213</v>
      </c>
      <c r="AG66" s="139" t="str">
        <f t="shared" si="23"/>
        <v/>
      </c>
      <c r="AH66" s="139" t="str">
        <f t="shared" si="24"/>
        <v/>
      </c>
      <c r="AI66" s="139" t="str">
        <f t="shared" si="25"/>
        <v/>
      </c>
      <c r="AJ66" s="139" t="str">
        <f t="shared" si="26"/>
        <v/>
      </c>
      <c r="AK66" s="139" t="str">
        <f t="shared" si="27"/>
        <v/>
      </c>
      <c r="AL66" s="139" t="str">
        <f t="shared" si="28"/>
        <v/>
      </c>
      <c r="AM66" s="139" t="str">
        <f t="shared" si="29"/>
        <v/>
      </c>
      <c r="AN66" s="139" t="str">
        <f t="shared" si="30"/>
        <v/>
      </c>
      <c r="AP66" s="82">
        <f t="shared" si="18"/>
        <v>3.1678756664842538E-2</v>
      </c>
      <c r="AQ66" s="82">
        <f t="shared" si="19"/>
        <v>0.91562734477036356</v>
      </c>
    </row>
    <row r="67" spans="2:43" x14ac:dyDescent="0.35">
      <c r="B67" s="83" t="s">
        <v>161</v>
      </c>
      <c r="D67" s="137">
        <v>1129615</v>
      </c>
      <c r="E67" s="137">
        <v>1169624</v>
      </c>
      <c r="F67" s="137">
        <v>1360553</v>
      </c>
      <c r="G67" s="137">
        <v>980782</v>
      </c>
      <c r="H67" s="137">
        <f t="shared" si="0"/>
        <v>4640574</v>
      </c>
      <c r="J67" s="137">
        <v>220703</v>
      </c>
      <c r="K67" s="137">
        <v>201241</v>
      </c>
      <c r="L67" s="137">
        <v>254881</v>
      </c>
      <c r="M67" s="137">
        <v>182045</v>
      </c>
      <c r="N67" s="137">
        <f t="shared" si="1"/>
        <v>858870</v>
      </c>
      <c r="P67" s="84">
        <f t="shared" si="2"/>
        <v>0.19537895654714216</v>
      </c>
      <c r="Q67" s="84">
        <f t="shared" si="3"/>
        <v>0.17205614795866023</v>
      </c>
      <c r="R67" s="84">
        <f t="shared" si="4"/>
        <v>0.18733632574401732</v>
      </c>
      <c r="S67" s="84">
        <f t="shared" si="5"/>
        <v>0.18561209320725708</v>
      </c>
      <c r="T67" s="84" t="str">
        <f>+IFERROR(#REF!/#REF!,"")</f>
        <v/>
      </c>
      <c r="U67" s="84" t="str">
        <f>+IFERROR(#REF!/#REF!,"")</f>
        <v/>
      </c>
      <c r="V67" s="84" t="str">
        <f>+IFERROR(#REF!/#REF!,"")</f>
        <v/>
      </c>
      <c r="W67" s="84" t="str">
        <f>+IFERROR(#REF!/#REF!,"")</f>
        <v/>
      </c>
      <c r="X67" s="84" t="str">
        <f>+IFERROR(#REF!/#REF!,"")</f>
        <v/>
      </c>
      <c r="Y67" s="84" t="str">
        <f>+IFERROR(#REF!/#REF!,"")</f>
        <v/>
      </c>
      <c r="Z67" s="84" t="str">
        <f>+IFERROR(#REF!/#REF!,"")</f>
        <v/>
      </c>
      <c r="AA67" s="84" t="str">
        <f>+IFERROR(#REF!/#REF!,"")</f>
        <v/>
      </c>
      <c r="AB67" s="84">
        <f t="shared" si="6"/>
        <v>0.18507839762925879</v>
      </c>
      <c r="AD67" s="139">
        <f t="shared" si="20"/>
        <v>-2.332280858848193E-2</v>
      </c>
      <c r="AE67" s="139">
        <f t="shared" si="21"/>
        <v>1.5280177785357091E-2</v>
      </c>
      <c r="AF67" s="139">
        <f t="shared" si="22"/>
        <v>-1.7242325367602396E-3</v>
      </c>
      <c r="AG67" s="139" t="str">
        <f t="shared" si="23"/>
        <v/>
      </c>
      <c r="AH67" s="139" t="str">
        <f t="shared" si="24"/>
        <v/>
      </c>
      <c r="AI67" s="139" t="str">
        <f t="shared" si="25"/>
        <v/>
      </c>
      <c r="AJ67" s="139" t="str">
        <f t="shared" si="26"/>
        <v/>
      </c>
      <c r="AK67" s="139" t="str">
        <f t="shared" si="27"/>
        <v/>
      </c>
      <c r="AL67" s="139" t="str">
        <f t="shared" si="28"/>
        <v/>
      </c>
      <c r="AM67" s="139" t="str">
        <f t="shared" si="29"/>
        <v/>
      </c>
      <c r="AN67" s="139" t="str">
        <f t="shared" si="30"/>
        <v/>
      </c>
      <c r="AP67" s="82">
        <f t="shared" si="18"/>
        <v>8.4804854188106444E-4</v>
      </c>
      <c r="AQ67" s="82">
        <f t="shared" si="19"/>
        <v>0.91647539331224459</v>
      </c>
    </row>
    <row r="68" spans="2:43" x14ac:dyDescent="0.35">
      <c r="B68" s="83" t="s">
        <v>162</v>
      </c>
      <c r="D68" s="137">
        <v>2119723</v>
      </c>
      <c r="E68" s="137">
        <v>1481010</v>
      </c>
      <c r="F68" s="137">
        <v>1927017</v>
      </c>
      <c r="G68" s="137">
        <v>1369999</v>
      </c>
      <c r="H68" s="137">
        <f t="shared" si="0"/>
        <v>6897749</v>
      </c>
      <c r="J68" s="137">
        <v>293347</v>
      </c>
      <c r="K68" s="137">
        <v>236900</v>
      </c>
      <c r="L68" s="137">
        <v>327324</v>
      </c>
      <c r="M68" s="137">
        <v>180192</v>
      </c>
      <c r="N68" s="137">
        <f t="shared" si="1"/>
        <v>1037763</v>
      </c>
      <c r="P68" s="84">
        <f t="shared" si="2"/>
        <v>0.13838930841435415</v>
      </c>
      <c r="Q68" s="84">
        <f t="shared" si="3"/>
        <v>0.15995840676295231</v>
      </c>
      <c r="R68" s="84">
        <f t="shared" si="4"/>
        <v>0.16986046308880512</v>
      </c>
      <c r="S68" s="84">
        <f t="shared" si="5"/>
        <v>0.13152710330445497</v>
      </c>
      <c r="T68" s="84" t="str">
        <f>+IFERROR(#REF!/#REF!,"")</f>
        <v/>
      </c>
      <c r="U68" s="84" t="str">
        <f>+IFERROR(#REF!/#REF!,"")</f>
        <v/>
      </c>
      <c r="V68" s="84" t="str">
        <f>+IFERROR(#REF!/#REF!,"")</f>
        <v/>
      </c>
      <c r="W68" s="84" t="str">
        <f>+IFERROR(#REF!/#REF!,"")</f>
        <v/>
      </c>
      <c r="X68" s="84" t="str">
        <f>+IFERROR(#REF!/#REF!,"")</f>
        <v/>
      </c>
      <c r="Y68" s="84" t="str">
        <f>+IFERROR(#REF!/#REF!,"")</f>
        <v/>
      </c>
      <c r="Z68" s="84" t="str">
        <f>+IFERROR(#REF!/#REF!,"")</f>
        <v/>
      </c>
      <c r="AA68" s="84" t="str">
        <f>+IFERROR(#REF!/#REF!,"")</f>
        <v/>
      </c>
      <c r="AB68" s="84">
        <f t="shared" si="6"/>
        <v>0.15044951621173805</v>
      </c>
      <c r="AD68" s="139">
        <f t="shared" si="20"/>
        <v>2.1569098348598159E-2</v>
      </c>
      <c r="AE68" s="139">
        <f t="shared" si="21"/>
        <v>9.9020563258528094E-3</v>
      </c>
      <c r="AF68" s="139">
        <f t="shared" si="22"/>
        <v>-3.8333359784350152E-2</v>
      </c>
      <c r="AG68" s="139" t="str">
        <f t="shared" si="23"/>
        <v/>
      </c>
      <c r="AH68" s="139" t="str">
        <f t="shared" si="24"/>
        <v/>
      </c>
      <c r="AI68" s="139" t="str">
        <f t="shared" si="25"/>
        <v/>
      </c>
      <c r="AJ68" s="139" t="str">
        <f t="shared" si="26"/>
        <v/>
      </c>
      <c r="AK68" s="139" t="str">
        <f t="shared" si="27"/>
        <v/>
      </c>
      <c r="AL68" s="139" t="str">
        <f t="shared" si="28"/>
        <v/>
      </c>
      <c r="AM68" s="139" t="str">
        <f t="shared" si="29"/>
        <v/>
      </c>
      <c r="AN68" s="139" t="str">
        <f t="shared" si="30"/>
        <v/>
      </c>
      <c r="AP68" s="82">
        <f t="shared" si="18"/>
        <v>1.0246875533760861E-3</v>
      </c>
      <c r="AQ68" s="82">
        <f t="shared" si="19"/>
        <v>0.91750008086562063</v>
      </c>
    </row>
    <row r="69" spans="2:43" x14ac:dyDescent="0.35">
      <c r="B69" s="83" t="s">
        <v>163</v>
      </c>
      <c r="D69" s="137">
        <v>59504</v>
      </c>
      <c r="E69" s="137"/>
      <c r="F69" s="137"/>
      <c r="G69" s="137"/>
      <c r="H69" s="137">
        <f t="shared" ref="H69:H132" si="31">+SUM(D69:G69)</f>
        <v>59504</v>
      </c>
      <c r="J69" s="137">
        <v>9149</v>
      </c>
      <c r="K69" s="137"/>
      <c r="L69" s="137"/>
      <c r="M69" s="137"/>
      <c r="N69" s="137">
        <f t="shared" ref="N69:N132" si="32">+SUM(J69:M69)</f>
        <v>9149</v>
      </c>
      <c r="P69" s="84">
        <f t="shared" ref="P69:P132" si="33">+IFERROR(J69/D69,"")</f>
        <v>0.15375436945415435</v>
      </c>
      <c r="Q69" s="84" t="str">
        <f t="shared" ref="Q69:Q132" si="34">+IFERROR(K69/E69,"")</f>
        <v/>
      </c>
      <c r="R69" s="84" t="str">
        <f t="shared" ref="R69:R132" si="35">+IFERROR(L69/F69,"")</f>
        <v/>
      </c>
      <c r="S69" s="84" t="str">
        <f t="shared" ref="S69:S132" si="36">+IFERROR(M69/G69,"")</f>
        <v/>
      </c>
      <c r="T69" s="84" t="str">
        <f>+IFERROR(#REF!/#REF!,"")</f>
        <v/>
      </c>
      <c r="U69" s="84" t="str">
        <f>+IFERROR(#REF!/#REF!,"")</f>
        <v/>
      </c>
      <c r="V69" s="84" t="str">
        <f>+IFERROR(#REF!/#REF!,"")</f>
        <v/>
      </c>
      <c r="W69" s="84" t="str">
        <f>+IFERROR(#REF!/#REF!,"")</f>
        <v/>
      </c>
      <c r="X69" s="84" t="str">
        <f>+IFERROR(#REF!/#REF!,"")</f>
        <v/>
      </c>
      <c r="Y69" s="84" t="str">
        <f>+IFERROR(#REF!/#REF!,"")</f>
        <v/>
      </c>
      <c r="Z69" s="84" t="str">
        <f>+IFERROR(#REF!/#REF!,"")</f>
        <v/>
      </c>
      <c r="AA69" s="84" t="str">
        <f>+IFERROR(#REF!/#REF!,"")</f>
        <v/>
      </c>
      <c r="AB69" s="84">
        <f t="shared" ref="AB69:AB132" si="37">+IFERROR(N69/H69,"")</f>
        <v>0.15375436945415435</v>
      </c>
      <c r="AD69" s="139" t="str">
        <f t="shared" ref="AD69:AD100" si="38">+IFERROR(Q69-P69,"")</f>
        <v/>
      </c>
      <c r="AE69" s="139" t="str">
        <f t="shared" ref="AE69:AE100" si="39">+IFERROR(R69-Q69,"")</f>
        <v/>
      </c>
      <c r="AF69" s="139" t="str">
        <f t="shared" ref="AF69:AF100" si="40">+IFERROR(S69-R69,"")</f>
        <v/>
      </c>
      <c r="AG69" s="139" t="str">
        <f t="shared" ref="AG69:AG100" si="41">+IFERROR(T69-S69,"")</f>
        <v/>
      </c>
      <c r="AH69" s="139" t="str">
        <f t="shared" ref="AH69:AH100" si="42">+IFERROR(U69-T69,"")</f>
        <v/>
      </c>
      <c r="AI69" s="139" t="str">
        <f t="shared" ref="AI69:AI100" si="43">+IFERROR(V69-U69,"")</f>
        <v/>
      </c>
      <c r="AJ69" s="139" t="str">
        <f t="shared" ref="AJ69:AJ100" si="44">+IFERROR(W69-V69,"")</f>
        <v/>
      </c>
      <c r="AK69" s="139" t="str">
        <f t="shared" ref="AK69:AK100" si="45">+IFERROR(X69-W69,"")</f>
        <v/>
      </c>
      <c r="AL69" s="139" t="str">
        <f t="shared" ref="AL69:AL100" si="46">+IFERROR(Y69-X69,"")</f>
        <v/>
      </c>
      <c r="AM69" s="139" t="str">
        <f t="shared" ref="AM69:AM100" si="47">+IFERROR(Z69-Y69,"")</f>
        <v/>
      </c>
      <c r="AN69" s="139" t="str">
        <f t="shared" ref="AN69:AN100" si="48">+IFERROR(AA69-Z69,"")</f>
        <v/>
      </c>
      <c r="AP69" s="82">
        <f t="shared" ref="AP69:AP132" si="49">+N69/$N$236</f>
        <v>9.0337258370531725E-6</v>
      </c>
      <c r="AQ69" s="82">
        <f t="shared" si="19"/>
        <v>0.91750911459145768</v>
      </c>
    </row>
    <row r="70" spans="2:43" x14ac:dyDescent="0.35">
      <c r="B70" s="83" t="s">
        <v>164</v>
      </c>
      <c r="D70" s="137">
        <v>3261574</v>
      </c>
      <c r="E70" s="137">
        <v>3025581</v>
      </c>
      <c r="F70" s="137">
        <v>4602837</v>
      </c>
      <c r="G70" s="137">
        <v>2796918</v>
      </c>
      <c r="H70" s="137">
        <f t="shared" si="31"/>
        <v>13686910</v>
      </c>
      <c r="J70" s="137">
        <v>294904</v>
      </c>
      <c r="K70" s="137">
        <v>243152</v>
      </c>
      <c r="L70" s="137">
        <v>675218</v>
      </c>
      <c r="M70" s="137">
        <v>135788</v>
      </c>
      <c r="N70" s="137">
        <f t="shared" si="32"/>
        <v>1349062</v>
      </c>
      <c r="P70" s="84">
        <f t="shared" si="33"/>
        <v>9.0417694033616894E-2</v>
      </c>
      <c r="Q70" s="84">
        <f t="shared" si="34"/>
        <v>8.0365390977798976E-2</v>
      </c>
      <c r="R70" s="84">
        <f t="shared" si="35"/>
        <v>0.14669604854571214</v>
      </c>
      <c r="S70" s="84">
        <f t="shared" si="36"/>
        <v>4.8549153032015957E-2</v>
      </c>
      <c r="T70" s="84" t="str">
        <f>+IFERROR(#REF!/#REF!,"")</f>
        <v/>
      </c>
      <c r="U70" s="84" t="str">
        <f>+IFERROR(#REF!/#REF!,"")</f>
        <v/>
      </c>
      <c r="V70" s="84" t="str">
        <f>+IFERROR(#REF!/#REF!,"")</f>
        <v/>
      </c>
      <c r="W70" s="84" t="str">
        <f>+IFERROR(#REF!/#REF!,"")</f>
        <v/>
      </c>
      <c r="X70" s="84" t="str">
        <f>+IFERROR(#REF!/#REF!,"")</f>
        <v/>
      </c>
      <c r="Y70" s="84" t="str">
        <f>+IFERROR(#REF!/#REF!,"")</f>
        <v/>
      </c>
      <c r="Z70" s="84" t="str">
        <f>+IFERROR(#REF!/#REF!,"")</f>
        <v/>
      </c>
      <c r="AA70" s="84" t="str">
        <f>+IFERROR(#REF!/#REF!,"")</f>
        <v/>
      </c>
      <c r="AB70" s="84">
        <f t="shared" si="37"/>
        <v>9.8565855989408854E-2</v>
      </c>
      <c r="AD70" s="139">
        <f t="shared" si="38"/>
        <v>-1.0052303055817918E-2</v>
      </c>
      <c r="AE70" s="139">
        <f t="shared" si="39"/>
        <v>6.6330657567913162E-2</v>
      </c>
      <c r="AF70" s="139">
        <f t="shared" si="40"/>
        <v>-9.8146895513696181E-2</v>
      </c>
      <c r="AG70" s="139" t="str">
        <f t="shared" si="41"/>
        <v/>
      </c>
      <c r="AH70" s="139" t="str">
        <f t="shared" si="42"/>
        <v/>
      </c>
      <c r="AI70" s="139" t="str">
        <f t="shared" si="43"/>
        <v/>
      </c>
      <c r="AJ70" s="139" t="str">
        <f t="shared" si="44"/>
        <v/>
      </c>
      <c r="AK70" s="139" t="str">
        <f t="shared" si="45"/>
        <v/>
      </c>
      <c r="AL70" s="139" t="str">
        <f t="shared" si="46"/>
        <v/>
      </c>
      <c r="AM70" s="139" t="str">
        <f t="shared" si="47"/>
        <v/>
      </c>
      <c r="AN70" s="139" t="str">
        <f t="shared" si="48"/>
        <v/>
      </c>
      <c r="AP70" s="82">
        <f t="shared" si="49"/>
        <v>1.3320642961183328E-3</v>
      </c>
      <c r="AQ70" s="82">
        <f t="shared" ref="AQ70:AQ133" si="50">+AP70+AQ69</f>
        <v>0.91884117888757599</v>
      </c>
    </row>
    <row r="71" spans="2:43" x14ac:dyDescent="0.35">
      <c r="B71" s="83" t="s">
        <v>165</v>
      </c>
      <c r="D71" s="137">
        <v>254131</v>
      </c>
      <c r="E71" s="137">
        <v>245277</v>
      </c>
      <c r="F71" s="137">
        <v>149079</v>
      </c>
      <c r="G71" s="137">
        <v>252800</v>
      </c>
      <c r="H71" s="137">
        <f t="shared" si="31"/>
        <v>901287</v>
      </c>
      <c r="J71" s="137">
        <v>24240</v>
      </c>
      <c r="K71" s="137">
        <v>32995</v>
      </c>
      <c r="L71" s="137">
        <v>19825</v>
      </c>
      <c r="M71" s="137">
        <v>31605</v>
      </c>
      <c r="N71" s="137">
        <f t="shared" si="32"/>
        <v>108665</v>
      </c>
      <c r="P71" s="84">
        <f t="shared" si="33"/>
        <v>9.5383876819435651E-2</v>
      </c>
      <c r="Q71" s="84">
        <f t="shared" si="34"/>
        <v>0.1345213778707339</v>
      </c>
      <c r="R71" s="84">
        <f t="shared" si="35"/>
        <v>0.13298318341282139</v>
      </c>
      <c r="S71" s="84">
        <f t="shared" si="36"/>
        <v>0.12501977848101264</v>
      </c>
      <c r="T71" s="84" t="str">
        <f>+IFERROR(#REF!/#REF!,"")</f>
        <v/>
      </c>
      <c r="U71" s="84" t="str">
        <f>+IFERROR(#REF!/#REF!,"")</f>
        <v/>
      </c>
      <c r="V71" s="84" t="str">
        <f>+IFERROR(#REF!/#REF!,"")</f>
        <v/>
      </c>
      <c r="W71" s="84" t="str">
        <f>+IFERROR(#REF!/#REF!,"")</f>
        <v/>
      </c>
      <c r="X71" s="84" t="str">
        <f>+IFERROR(#REF!/#REF!,"")</f>
        <v/>
      </c>
      <c r="Y71" s="84" t="str">
        <f>+IFERROR(#REF!/#REF!,"")</f>
        <v/>
      </c>
      <c r="Z71" s="84" t="str">
        <f>+IFERROR(#REF!/#REF!,"")</f>
        <v/>
      </c>
      <c r="AA71" s="84" t="str">
        <f>+IFERROR(#REF!/#REF!,"")</f>
        <v/>
      </c>
      <c r="AB71" s="84">
        <f t="shared" si="37"/>
        <v>0.12056647882417032</v>
      </c>
      <c r="AD71" s="139">
        <f t="shared" si="38"/>
        <v>3.9137501051298249E-2</v>
      </c>
      <c r="AE71" s="139">
        <f t="shared" si="39"/>
        <v>-1.5381944579125062E-3</v>
      </c>
      <c r="AF71" s="139">
        <f t="shared" si="40"/>
        <v>-7.9634049318087485E-3</v>
      </c>
      <c r="AG71" s="139" t="str">
        <f t="shared" si="41"/>
        <v/>
      </c>
      <c r="AH71" s="139" t="str">
        <f t="shared" si="42"/>
        <v/>
      </c>
      <c r="AI71" s="139" t="str">
        <f t="shared" si="43"/>
        <v/>
      </c>
      <c r="AJ71" s="139" t="str">
        <f t="shared" si="44"/>
        <v/>
      </c>
      <c r="AK71" s="139" t="str">
        <f t="shared" si="45"/>
        <v/>
      </c>
      <c r="AL71" s="139" t="str">
        <f t="shared" si="46"/>
        <v/>
      </c>
      <c r="AM71" s="139" t="str">
        <f t="shared" si="47"/>
        <v/>
      </c>
      <c r="AN71" s="139" t="str">
        <f t="shared" si="48"/>
        <v/>
      </c>
      <c r="AP71" s="82">
        <f t="shared" si="49"/>
        <v>1.0729585944730386E-4</v>
      </c>
      <c r="AQ71" s="82">
        <f t="shared" si="50"/>
        <v>0.91894847474702335</v>
      </c>
    </row>
    <row r="72" spans="2:43" x14ac:dyDescent="0.35">
      <c r="B72" s="83" t="s">
        <v>166</v>
      </c>
      <c r="D72" s="137">
        <v>891268</v>
      </c>
      <c r="E72" s="137">
        <v>962161</v>
      </c>
      <c r="F72" s="137">
        <v>1338301</v>
      </c>
      <c r="G72" s="137">
        <v>888911</v>
      </c>
      <c r="H72" s="137">
        <f t="shared" si="31"/>
        <v>4080641</v>
      </c>
      <c r="J72" s="137">
        <v>187719</v>
      </c>
      <c r="K72" s="137">
        <v>206023</v>
      </c>
      <c r="L72" s="137">
        <v>273635</v>
      </c>
      <c r="M72" s="137">
        <v>189084</v>
      </c>
      <c r="N72" s="137">
        <f t="shared" si="32"/>
        <v>856461</v>
      </c>
      <c r="P72" s="84">
        <f t="shared" si="33"/>
        <v>0.21062015016807514</v>
      </c>
      <c r="Q72" s="84">
        <f t="shared" si="34"/>
        <v>0.21412528672436318</v>
      </c>
      <c r="R72" s="84">
        <f t="shared" si="35"/>
        <v>0.20446446651388589</v>
      </c>
      <c r="S72" s="84">
        <f t="shared" si="36"/>
        <v>0.21271420873405775</v>
      </c>
      <c r="T72" s="84" t="str">
        <f>+IFERROR(#REF!/#REF!,"")</f>
        <v/>
      </c>
      <c r="U72" s="84" t="str">
        <f>+IFERROR(#REF!/#REF!,"")</f>
        <v/>
      </c>
      <c r="V72" s="84" t="str">
        <f>+IFERROR(#REF!/#REF!,"")</f>
        <v/>
      </c>
      <c r="W72" s="84" t="str">
        <f>+IFERROR(#REF!/#REF!,"")</f>
        <v/>
      </c>
      <c r="X72" s="84" t="str">
        <f>+IFERROR(#REF!/#REF!,"")</f>
        <v/>
      </c>
      <c r="Y72" s="84" t="str">
        <f>+IFERROR(#REF!/#REF!,"")</f>
        <v/>
      </c>
      <c r="Z72" s="84" t="str">
        <f>+IFERROR(#REF!/#REF!,"")</f>
        <v/>
      </c>
      <c r="AA72" s="84" t="str">
        <f>+IFERROR(#REF!/#REF!,"")</f>
        <v/>
      </c>
      <c r="AB72" s="84">
        <f t="shared" si="37"/>
        <v>0.20988393735199937</v>
      </c>
      <c r="AD72" s="139">
        <f t="shared" si="38"/>
        <v>3.5051365562880354E-3</v>
      </c>
      <c r="AE72" s="139">
        <f t="shared" si="39"/>
        <v>-9.6608202104772889E-3</v>
      </c>
      <c r="AF72" s="139">
        <f t="shared" si="40"/>
        <v>8.2497422201718573E-3</v>
      </c>
      <c r="AG72" s="139" t="str">
        <f t="shared" si="41"/>
        <v/>
      </c>
      <c r="AH72" s="139" t="str">
        <f t="shared" si="42"/>
        <v/>
      </c>
      <c r="AI72" s="139" t="str">
        <f t="shared" si="43"/>
        <v/>
      </c>
      <c r="AJ72" s="139" t="str">
        <f t="shared" si="44"/>
        <v/>
      </c>
      <c r="AK72" s="139" t="str">
        <f t="shared" si="45"/>
        <v/>
      </c>
      <c r="AL72" s="139" t="str">
        <f t="shared" si="46"/>
        <v/>
      </c>
      <c r="AM72" s="139" t="str">
        <f t="shared" si="47"/>
        <v/>
      </c>
      <c r="AN72" s="139" t="str">
        <f t="shared" si="48"/>
        <v/>
      </c>
      <c r="AP72" s="82">
        <f t="shared" si="49"/>
        <v>8.4566989442872418E-4</v>
      </c>
      <c r="AQ72" s="82">
        <f t="shared" si="50"/>
        <v>0.91979414464145204</v>
      </c>
    </row>
    <row r="73" spans="2:43" x14ac:dyDescent="0.35">
      <c r="B73" s="83" t="s">
        <v>167</v>
      </c>
      <c r="D73" s="137">
        <v>810970</v>
      </c>
      <c r="E73" s="137">
        <v>738078</v>
      </c>
      <c r="F73" s="137">
        <v>960035</v>
      </c>
      <c r="G73" s="137">
        <v>578147</v>
      </c>
      <c r="H73" s="137">
        <f t="shared" si="31"/>
        <v>3087230</v>
      </c>
      <c r="J73" s="137">
        <v>129427</v>
      </c>
      <c r="K73" s="137">
        <v>134448</v>
      </c>
      <c r="L73" s="137">
        <v>135146</v>
      </c>
      <c r="M73" s="137">
        <v>101036</v>
      </c>
      <c r="N73" s="137">
        <f t="shared" si="32"/>
        <v>500057</v>
      </c>
      <c r="P73" s="84">
        <f t="shared" si="33"/>
        <v>0.15959529945620676</v>
      </c>
      <c r="Q73" s="84">
        <f t="shared" si="34"/>
        <v>0.18215960914700072</v>
      </c>
      <c r="R73" s="84">
        <f t="shared" si="35"/>
        <v>0.14077195102261897</v>
      </c>
      <c r="S73" s="84">
        <f t="shared" si="36"/>
        <v>0.17475832271031416</v>
      </c>
      <c r="T73" s="84" t="str">
        <f>+IFERROR(#REF!/#REF!,"")</f>
        <v/>
      </c>
      <c r="U73" s="84" t="str">
        <f>+IFERROR(#REF!/#REF!,"")</f>
        <v/>
      </c>
      <c r="V73" s="84" t="str">
        <f>+IFERROR(#REF!/#REF!,"")</f>
        <v/>
      </c>
      <c r="W73" s="84" t="str">
        <f>+IFERROR(#REF!/#REF!,"")</f>
        <v/>
      </c>
      <c r="X73" s="84" t="str">
        <f>+IFERROR(#REF!/#REF!,"")</f>
        <v/>
      </c>
      <c r="Y73" s="84" t="str">
        <f>+IFERROR(#REF!/#REF!,"")</f>
        <v/>
      </c>
      <c r="Z73" s="84" t="str">
        <f>+IFERROR(#REF!/#REF!,"")</f>
        <v/>
      </c>
      <c r="AA73" s="84" t="str">
        <f>+IFERROR(#REF!/#REF!,"")</f>
        <v/>
      </c>
      <c r="AB73" s="84">
        <f t="shared" si="37"/>
        <v>0.16197594607463647</v>
      </c>
      <c r="AD73" s="139">
        <f t="shared" si="38"/>
        <v>2.2564309690793954E-2</v>
      </c>
      <c r="AE73" s="139">
        <f t="shared" si="39"/>
        <v>-4.1387658124381749E-2</v>
      </c>
      <c r="AF73" s="139">
        <f t="shared" si="40"/>
        <v>3.3986371687695194E-2</v>
      </c>
      <c r="AG73" s="139" t="str">
        <f t="shared" si="41"/>
        <v/>
      </c>
      <c r="AH73" s="139" t="str">
        <f t="shared" si="42"/>
        <v/>
      </c>
      <c r="AI73" s="139" t="str">
        <f t="shared" si="43"/>
        <v/>
      </c>
      <c r="AJ73" s="139" t="str">
        <f t="shared" si="44"/>
        <v/>
      </c>
      <c r="AK73" s="139" t="str">
        <f t="shared" si="45"/>
        <v/>
      </c>
      <c r="AL73" s="139" t="str">
        <f t="shared" si="46"/>
        <v/>
      </c>
      <c r="AM73" s="139" t="str">
        <f t="shared" si="47"/>
        <v/>
      </c>
      <c r="AN73" s="139" t="str">
        <f t="shared" si="48"/>
        <v/>
      </c>
      <c r="AP73" s="82">
        <f t="shared" si="49"/>
        <v>4.9375645872765312E-4</v>
      </c>
      <c r="AQ73" s="82">
        <f t="shared" si="50"/>
        <v>0.92028790110017966</v>
      </c>
    </row>
    <row r="74" spans="2:43" x14ac:dyDescent="0.35">
      <c r="B74" s="83" t="s">
        <v>168</v>
      </c>
      <c r="D74" s="137">
        <v>6154417</v>
      </c>
      <c r="E74" s="137">
        <v>5435931</v>
      </c>
      <c r="F74" s="137">
        <v>5495478</v>
      </c>
      <c r="G74" s="137">
        <v>3912005</v>
      </c>
      <c r="H74" s="137">
        <f t="shared" si="31"/>
        <v>20997831</v>
      </c>
      <c r="J74" s="137">
        <v>1153233</v>
      </c>
      <c r="K74" s="137">
        <v>1016190</v>
      </c>
      <c r="L74" s="137">
        <v>897852</v>
      </c>
      <c r="M74" s="137">
        <v>716053</v>
      </c>
      <c r="N74" s="137">
        <f t="shared" si="32"/>
        <v>3783328</v>
      </c>
      <c r="P74" s="84">
        <f t="shared" si="33"/>
        <v>0.18738298038628193</v>
      </c>
      <c r="Q74" s="84">
        <f t="shared" si="34"/>
        <v>0.18693945894456718</v>
      </c>
      <c r="R74" s="84">
        <f t="shared" si="35"/>
        <v>0.16338014636761353</v>
      </c>
      <c r="S74" s="84">
        <f t="shared" si="36"/>
        <v>0.18303989897763423</v>
      </c>
      <c r="T74" s="84" t="str">
        <f>+IFERROR(#REF!/#REF!,"")</f>
        <v/>
      </c>
      <c r="U74" s="84" t="str">
        <f>+IFERROR(#REF!/#REF!,"")</f>
        <v/>
      </c>
      <c r="V74" s="84" t="str">
        <f>+IFERROR(#REF!/#REF!,"")</f>
        <v/>
      </c>
      <c r="W74" s="84" t="str">
        <f>+IFERROR(#REF!/#REF!,"")</f>
        <v/>
      </c>
      <c r="X74" s="84" t="str">
        <f>+IFERROR(#REF!/#REF!,"")</f>
        <v/>
      </c>
      <c r="Y74" s="84" t="str">
        <f>+IFERROR(#REF!/#REF!,"")</f>
        <v/>
      </c>
      <c r="Z74" s="84" t="str">
        <f>+IFERROR(#REF!/#REF!,"")</f>
        <v/>
      </c>
      <c r="AA74" s="84" t="str">
        <f>+IFERROR(#REF!/#REF!,"")</f>
        <v/>
      </c>
      <c r="AB74" s="84">
        <f t="shared" si="37"/>
        <v>0.18017708590949227</v>
      </c>
      <c r="AD74" s="139">
        <f t="shared" si="38"/>
        <v>-4.4352144171475039E-4</v>
      </c>
      <c r="AE74" s="139">
        <f t="shared" si="39"/>
        <v>-2.355931257695365E-2</v>
      </c>
      <c r="AF74" s="139">
        <f t="shared" si="40"/>
        <v>1.9659752610020703E-2</v>
      </c>
      <c r="AG74" s="139" t="str">
        <f t="shared" si="41"/>
        <v/>
      </c>
      <c r="AH74" s="139" t="str">
        <f t="shared" si="42"/>
        <v/>
      </c>
      <c r="AI74" s="139" t="str">
        <f t="shared" si="43"/>
        <v/>
      </c>
      <c r="AJ74" s="139" t="str">
        <f t="shared" si="44"/>
        <v/>
      </c>
      <c r="AK74" s="139" t="str">
        <f t="shared" si="45"/>
        <v/>
      </c>
      <c r="AL74" s="139" t="str">
        <f t="shared" si="46"/>
        <v/>
      </c>
      <c r="AM74" s="139" t="str">
        <f t="shared" si="47"/>
        <v/>
      </c>
      <c r="AN74" s="139" t="str">
        <f t="shared" si="48"/>
        <v/>
      </c>
      <c r="AP74" s="82">
        <f t="shared" si="49"/>
        <v>3.735659405798088E-3</v>
      </c>
      <c r="AQ74" s="82">
        <f t="shared" si="50"/>
        <v>0.92402356050597778</v>
      </c>
    </row>
    <row r="75" spans="2:43" x14ac:dyDescent="0.35">
      <c r="B75" s="83" t="s">
        <v>169</v>
      </c>
      <c r="D75" s="137">
        <v>487209</v>
      </c>
      <c r="E75" s="137">
        <v>495917</v>
      </c>
      <c r="F75" s="137">
        <v>659763</v>
      </c>
      <c r="G75" s="137">
        <v>430913</v>
      </c>
      <c r="H75" s="137">
        <f t="shared" si="31"/>
        <v>2073802</v>
      </c>
      <c r="J75" s="137">
        <v>89271</v>
      </c>
      <c r="K75" s="137">
        <v>58232</v>
      </c>
      <c r="L75" s="137">
        <v>144275</v>
      </c>
      <c r="M75" s="137">
        <v>67663</v>
      </c>
      <c r="N75" s="137">
        <f t="shared" si="32"/>
        <v>359441</v>
      </c>
      <c r="P75" s="84">
        <f t="shared" si="33"/>
        <v>0.18322937384161622</v>
      </c>
      <c r="Q75" s="84">
        <f t="shared" si="34"/>
        <v>0.11742287519887401</v>
      </c>
      <c r="R75" s="84">
        <f t="shared" si="35"/>
        <v>0.21867700977472213</v>
      </c>
      <c r="S75" s="84">
        <f t="shared" si="36"/>
        <v>0.15702241519749927</v>
      </c>
      <c r="T75" s="84" t="str">
        <f>+IFERROR(#REF!/#REF!,"")</f>
        <v/>
      </c>
      <c r="U75" s="84" t="str">
        <f>+IFERROR(#REF!/#REF!,"")</f>
        <v/>
      </c>
      <c r="V75" s="84" t="str">
        <f>+IFERROR(#REF!/#REF!,"")</f>
        <v/>
      </c>
      <c r="W75" s="84" t="str">
        <f>+IFERROR(#REF!/#REF!,"")</f>
        <v/>
      </c>
      <c r="X75" s="84" t="str">
        <f>+IFERROR(#REF!/#REF!,"")</f>
        <v/>
      </c>
      <c r="Y75" s="84" t="str">
        <f>+IFERROR(#REF!/#REF!,"")</f>
        <v/>
      </c>
      <c r="Z75" s="84" t="str">
        <f>+IFERROR(#REF!/#REF!,"")</f>
        <v/>
      </c>
      <c r="AA75" s="84" t="str">
        <f>+IFERROR(#REF!/#REF!,"")</f>
        <v/>
      </c>
      <c r="AB75" s="84">
        <f t="shared" si="37"/>
        <v>0.17332464719389798</v>
      </c>
      <c r="AD75" s="139">
        <f t="shared" si="38"/>
        <v>-6.5806498642742212E-2</v>
      </c>
      <c r="AE75" s="139">
        <f t="shared" si="39"/>
        <v>0.10125413457584811</v>
      </c>
      <c r="AF75" s="139">
        <f t="shared" si="40"/>
        <v>-6.165459457722286E-2</v>
      </c>
      <c r="AG75" s="139" t="str">
        <f t="shared" si="41"/>
        <v/>
      </c>
      <c r="AH75" s="139" t="str">
        <f t="shared" si="42"/>
        <v/>
      </c>
      <c r="AI75" s="139" t="str">
        <f t="shared" si="43"/>
        <v/>
      </c>
      <c r="AJ75" s="139" t="str">
        <f t="shared" si="44"/>
        <v/>
      </c>
      <c r="AK75" s="139" t="str">
        <f t="shared" si="45"/>
        <v/>
      </c>
      <c r="AL75" s="139" t="str">
        <f t="shared" si="46"/>
        <v/>
      </c>
      <c r="AM75" s="139" t="str">
        <f t="shared" si="47"/>
        <v/>
      </c>
      <c r="AN75" s="139" t="str">
        <f t="shared" si="48"/>
        <v/>
      </c>
      <c r="AP75" s="82">
        <f t="shared" si="49"/>
        <v>3.5491217057560711E-4</v>
      </c>
      <c r="AQ75" s="82">
        <f t="shared" si="50"/>
        <v>0.92437847267655338</v>
      </c>
    </row>
    <row r="76" spans="2:43" x14ac:dyDescent="0.35">
      <c r="B76" s="83" t="s">
        <v>170</v>
      </c>
      <c r="D76" s="137">
        <v>2067583</v>
      </c>
      <c r="E76" s="137">
        <v>2237154</v>
      </c>
      <c r="F76" s="137">
        <v>2101359</v>
      </c>
      <c r="G76" s="137">
        <v>1771005</v>
      </c>
      <c r="H76" s="137">
        <f t="shared" si="31"/>
        <v>8177101</v>
      </c>
      <c r="J76" s="137">
        <v>440597</v>
      </c>
      <c r="K76" s="137">
        <v>443851</v>
      </c>
      <c r="L76" s="137">
        <v>356557</v>
      </c>
      <c r="M76" s="137">
        <v>354035</v>
      </c>
      <c r="N76" s="137">
        <f t="shared" si="32"/>
        <v>1595040</v>
      </c>
      <c r="P76" s="84">
        <f t="shared" si="33"/>
        <v>0.21309761204266045</v>
      </c>
      <c r="Q76" s="84">
        <f t="shared" si="34"/>
        <v>0.19839984194203886</v>
      </c>
      <c r="R76" s="84">
        <f t="shared" si="35"/>
        <v>0.1696792409102871</v>
      </c>
      <c r="S76" s="84">
        <f t="shared" si="36"/>
        <v>0.1999062679100285</v>
      </c>
      <c r="T76" s="84" t="str">
        <f>+IFERROR(#REF!/#REF!,"")</f>
        <v/>
      </c>
      <c r="U76" s="84" t="str">
        <f>+IFERROR(#REF!/#REF!,"")</f>
        <v/>
      </c>
      <c r="V76" s="84" t="str">
        <f>+IFERROR(#REF!/#REF!,"")</f>
        <v/>
      </c>
      <c r="W76" s="84" t="str">
        <f>+IFERROR(#REF!/#REF!,"")</f>
        <v/>
      </c>
      <c r="X76" s="84" t="str">
        <f>+IFERROR(#REF!/#REF!,"")</f>
        <v/>
      </c>
      <c r="Y76" s="84" t="str">
        <f>+IFERROR(#REF!/#REF!,"")</f>
        <v/>
      </c>
      <c r="Z76" s="84" t="str">
        <f>+IFERROR(#REF!/#REF!,"")</f>
        <v/>
      </c>
      <c r="AA76" s="84" t="str">
        <f>+IFERROR(#REF!/#REF!,"")</f>
        <v/>
      </c>
      <c r="AB76" s="84">
        <f t="shared" si="37"/>
        <v>0.19506179512763752</v>
      </c>
      <c r="AD76" s="139">
        <f t="shared" si="38"/>
        <v>-1.4697770100621593E-2</v>
      </c>
      <c r="AE76" s="139">
        <f t="shared" si="39"/>
        <v>-2.8720601031751752E-2</v>
      </c>
      <c r="AF76" s="139">
        <f t="shared" si="40"/>
        <v>3.0227026999741391E-2</v>
      </c>
      <c r="AG76" s="139" t="str">
        <f t="shared" si="41"/>
        <v/>
      </c>
      <c r="AH76" s="139" t="str">
        <f t="shared" si="42"/>
        <v/>
      </c>
      <c r="AI76" s="139" t="str">
        <f t="shared" si="43"/>
        <v/>
      </c>
      <c r="AJ76" s="139" t="str">
        <f t="shared" si="44"/>
        <v/>
      </c>
      <c r="AK76" s="139" t="str">
        <f t="shared" si="45"/>
        <v/>
      </c>
      <c r="AL76" s="139" t="str">
        <f t="shared" si="46"/>
        <v/>
      </c>
      <c r="AM76" s="139" t="str">
        <f t="shared" si="47"/>
        <v/>
      </c>
      <c r="AN76" s="139" t="str">
        <f t="shared" si="48"/>
        <v/>
      </c>
      <c r="AP76" s="82">
        <f t="shared" si="49"/>
        <v>1.5749430603490319E-3</v>
      </c>
      <c r="AQ76" s="82">
        <f t="shared" si="50"/>
        <v>0.92595341573690237</v>
      </c>
    </row>
    <row r="77" spans="2:43" x14ac:dyDescent="0.35">
      <c r="B77" s="83" t="s">
        <v>171</v>
      </c>
      <c r="D77" s="137">
        <v>779639</v>
      </c>
      <c r="E77" s="137">
        <v>705288</v>
      </c>
      <c r="F77" s="137">
        <v>825735</v>
      </c>
      <c r="G77" s="137">
        <v>566501</v>
      </c>
      <c r="H77" s="137">
        <f t="shared" si="31"/>
        <v>2877163</v>
      </c>
      <c r="J77" s="137">
        <v>128285</v>
      </c>
      <c r="K77" s="137">
        <v>112151</v>
      </c>
      <c r="L77" s="137">
        <v>116450</v>
      </c>
      <c r="M77" s="137">
        <v>96346</v>
      </c>
      <c r="N77" s="137">
        <f t="shared" si="32"/>
        <v>453232</v>
      </c>
      <c r="P77" s="84">
        <f t="shared" si="33"/>
        <v>0.16454410310412895</v>
      </c>
      <c r="Q77" s="84">
        <f t="shared" si="34"/>
        <v>0.1590144735200372</v>
      </c>
      <c r="R77" s="84">
        <f t="shared" si="35"/>
        <v>0.14102587391838786</v>
      </c>
      <c r="S77" s="84">
        <f t="shared" si="36"/>
        <v>0.17007207401222593</v>
      </c>
      <c r="T77" s="84" t="str">
        <f>+IFERROR(#REF!/#REF!,"")</f>
        <v/>
      </c>
      <c r="U77" s="84" t="str">
        <f>+IFERROR(#REF!/#REF!,"")</f>
        <v/>
      </c>
      <c r="V77" s="84" t="str">
        <f>+IFERROR(#REF!/#REF!,"")</f>
        <v/>
      </c>
      <c r="W77" s="84" t="str">
        <f>+IFERROR(#REF!/#REF!,"")</f>
        <v/>
      </c>
      <c r="X77" s="84" t="str">
        <f>+IFERROR(#REF!/#REF!,"")</f>
        <v/>
      </c>
      <c r="Y77" s="84" t="str">
        <f>+IFERROR(#REF!/#REF!,"")</f>
        <v/>
      </c>
      <c r="Z77" s="84" t="str">
        <f>+IFERROR(#REF!/#REF!,"")</f>
        <v/>
      </c>
      <c r="AA77" s="84" t="str">
        <f>+IFERROR(#REF!/#REF!,"")</f>
        <v/>
      </c>
      <c r="AB77" s="84">
        <f t="shared" si="37"/>
        <v>0.15752739764830842</v>
      </c>
      <c r="AD77" s="139">
        <f t="shared" si="38"/>
        <v>-5.5296295840917553E-3</v>
      </c>
      <c r="AE77" s="139">
        <f t="shared" si="39"/>
        <v>-1.7988599601649335E-2</v>
      </c>
      <c r="AF77" s="139">
        <f t="shared" si="40"/>
        <v>2.904620009383807E-2</v>
      </c>
      <c r="AG77" s="139" t="str">
        <f t="shared" si="41"/>
        <v/>
      </c>
      <c r="AH77" s="139" t="str">
        <f t="shared" si="42"/>
        <v/>
      </c>
      <c r="AI77" s="139" t="str">
        <f t="shared" si="43"/>
        <v/>
      </c>
      <c r="AJ77" s="139" t="str">
        <f t="shared" si="44"/>
        <v/>
      </c>
      <c r="AK77" s="139" t="str">
        <f t="shared" si="45"/>
        <v/>
      </c>
      <c r="AL77" s="139" t="str">
        <f t="shared" si="46"/>
        <v/>
      </c>
      <c r="AM77" s="139" t="str">
        <f t="shared" si="47"/>
        <v/>
      </c>
      <c r="AN77" s="139" t="str">
        <f t="shared" si="48"/>
        <v/>
      </c>
      <c r="AP77" s="82">
        <f t="shared" si="49"/>
        <v>4.4752143716026707E-4</v>
      </c>
      <c r="AQ77" s="82">
        <f t="shared" si="50"/>
        <v>0.92640093717406269</v>
      </c>
    </row>
    <row r="78" spans="2:43" x14ac:dyDescent="0.35">
      <c r="B78" s="83" t="s">
        <v>172</v>
      </c>
      <c r="D78" s="137">
        <v>16475560</v>
      </c>
      <c r="E78" s="137">
        <v>26398296</v>
      </c>
      <c r="F78" s="137">
        <v>2240060</v>
      </c>
      <c r="G78" s="137">
        <v>21690461</v>
      </c>
      <c r="H78" s="137">
        <f t="shared" si="31"/>
        <v>66804377</v>
      </c>
      <c r="J78" s="137">
        <v>2735756</v>
      </c>
      <c r="K78" s="137">
        <v>4222723</v>
      </c>
      <c r="L78" s="137">
        <v>366272</v>
      </c>
      <c r="M78" s="137">
        <v>2894573</v>
      </c>
      <c r="N78" s="137">
        <f t="shared" si="32"/>
        <v>10219324</v>
      </c>
      <c r="P78" s="84">
        <f t="shared" si="33"/>
        <v>0.16604934824673637</v>
      </c>
      <c r="Q78" s="84">
        <f t="shared" si="34"/>
        <v>0.15996195360488419</v>
      </c>
      <c r="R78" s="84">
        <f t="shared" si="35"/>
        <v>0.16350990598466111</v>
      </c>
      <c r="S78" s="84">
        <f t="shared" si="36"/>
        <v>0.1334491230960928</v>
      </c>
      <c r="T78" s="84" t="str">
        <f>+IFERROR(#REF!/#REF!,"")</f>
        <v/>
      </c>
      <c r="U78" s="84" t="str">
        <f>+IFERROR(#REF!/#REF!,"")</f>
        <v/>
      </c>
      <c r="V78" s="84" t="str">
        <f>+IFERROR(#REF!/#REF!,"")</f>
        <v/>
      </c>
      <c r="W78" s="84" t="str">
        <f>+IFERROR(#REF!/#REF!,"")</f>
        <v/>
      </c>
      <c r="X78" s="84" t="str">
        <f>+IFERROR(#REF!/#REF!,"")</f>
        <v/>
      </c>
      <c r="Y78" s="84" t="str">
        <f>+IFERROR(#REF!/#REF!,"")</f>
        <v/>
      </c>
      <c r="Z78" s="84" t="str">
        <f>+IFERROR(#REF!/#REF!,"")</f>
        <v/>
      </c>
      <c r="AA78" s="84" t="str">
        <f>+IFERROR(#REF!/#REF!,"")</f>
        <v/>
      </c>
      <c r="AB78" s="84">
        <f t="shared" si="37"/>
        <v>0.15297386876312011</v>
      </c>
      <c r="AD78" s="139">
        <f t="shared" si="38"/>
        <v>-6.0873946418521785E-3</v>
      </c>
      <c r="AE78" s="139">
        <f t="shared" si="39"/>
        <v>3.5479523797769252E-3</v>
      </c>
      <c r="AF78" s="139">
        <f t="shared" si="40"/>
        <v>-3.006078288856831E-2</v>
      </c>
      <c r="AG78" s="139" t="str">
        <f t="shared" si="41"/>
        <v/>
      </c>
      <c r="AH78" s="139" t="str">
        <f t="shared" si="42"/>
        <v/>
      </c>
      <c r="AI78" s="139" t="str">
        <f t="shared" si="43"/>
        <v/>
      </c>
      <c r="AJ78" s="139" t="str">
        <f t="shared" si="44"/>
        <v/>
      </c>
      <c r="AK78" s="139" t="str">
        <f t="shared" si="45"/>
        <v/>
      </c>
      <c r="AL78" s="139" t="str">
        <f t="shared" si="46"/>
        <v/>
      </c>
      <c r="AM78" s="139" t="str">
        <f t="shared" si="47"/>
        <v/>
      </c>
      <c r="AN78" s="139" t="str">
        <f t="shared" si="48"/>
        <v/>
      </c>
      <c r="AP78" s="82">
        <f t="shared" si="49"/>
        <v>1.0090564133349827E-2</v>
      </c>
      <c r="AQ78" s="82">
        <f t="shared" si="50"/>
        <v>0.93649150130741254</v>
      </c>
    </row>
    <row r="79" spans="2:43" x14ac:dyDescent="0.35">
      <c r="B79" s="83" t="s">
        <v>173</v>
      </c>
      <c r="D79" s="137">
        <v>3722341</v>
      </c>
      <c r="E79" s="137">
        <v>4126552</v>
      </c>
      <c r="F79" s="137">
        <v>1817229</v>
      </c>
      <c r="G79" s="137">
        <v>5080650</v>
      </c>
      <c r="H79" s="137">
        <f t="shared" si="31"/>
        <v>14746772</v>
      </c>
      <c r="J79" s="137">
        <v>555940</v>
      </c>
      <c r="K79" s="137">
        <v>638583</v>
      </c>
      <c r="L79" s="137">
        <v>245919</v>
      </c>
      <c r="M79" s="137">
        <v>805023</v>
      </c>
      <c r="N79" s="137">
        <f t="shared" si="32"/>
        <v>2245465</v>
      </c>
      <c r="P79" s="84">
        <f t="shared" si="33"/>
        <v>0.14935224902823249</v>
      </c>
      <c r="Q79" s="84">
        <f t="shared" si="34"/>
        <v>0.15474977656891273</v>
      </c>
      <c r="R79" s="84">
        <f t="shared" si="35"/>
        <v>0.13532636778303669</v>
      </c>
      <c r="S79" s="84">
        <f t="shared" si="36"/>
        <v>0.15844882052493284</v>
      </c>
      <c r="T79" s="84" t="str">
        <f>+IFERROR(#REF!/#REF!,"")</f>
        <v/>
      </c>
      <c r="U79" s="84" t="str">
        <f>+IFERROR(#REF!/#REF!,"")</f>
        <v/>
      </c>
      <c r="V79" s="84" t="str">
        <f>+IFERROR(#REF!/#REF!,"")</f>
        <v/>
      </c>
      <c r="W79" s="84" t="str">
        <f>+IFERROR(#REF!/#REF!,"")</f>
        <v/>
      </c>
      <c r="X79" s="84" t="str">
        <f>+IFERROR(#REF!/#REF!,"")</f>
        <v/>
      </c>
      <c r="Y79" s="84" t="str">
        <f>+IFERROR(#REF!/#REF!,"")</f>
        <v/>
      </c>
      <c r="Z79" s="84" t="str">
        <f>+IFERROR(#REF!/#REF!,"")</f>
        <v/>
      </c>
      <c r="AA79" s="84" t="str">
        <f>+IFERROR(#REF!/#REF!,"")</f>
        <v/>
      </c>
      <c r="AB79" s="84">
        <f t="shared" si="37"/>
        <v>0.15226823877116971</v>
      </c>
      <c r="AD79" s="139">
        <f t="shared" si="38"/>
        <v>5.3975275406802359E-3</v>
      </c>
      <c r="AE79" s="139">
        <f t="shared" si="39"/>
        <v>-1.9423408785876034E-2</v>
      </c>
      <c r="AF79" s="139">
        <f t="shared" si="40"/>
        <v>2.3122452741896143E-2</v>
      </c>
      <c r="AG79" s="139" t="str">
        <f t="shared" si="41"/>
        <v/>
      </c>
      <c r="AH79" s="139" t="str">
        <f t="shared" si="42"/>
        <v/>
      </c>
      <c r="AI79" s="139" t="str">
        <f t="shared" si="43"/>
        <v/>
      </c>
      <c r="AJ79" s="139" t="str">
        <f t="shared" si="44"/>
        <v/>
      </c>
      <c r="AK79" s="139" t="str">
        <f t="shared" si="45"/>
        <v/>
      </c>
      <c r="AL79" s="139" t="str">
        <f t="shared" si="46"/>
        <v/>
      </c>
      <c r="AM79" s="139" t="str">
        <f t="shared" si="47"/>
        <v/>
      </c>
      <c r="AN79" s="139" t="str">
        <f t="shared" si="48"/>
        <v/>
      </c>
      <c r="AP79" s="82">
        <f t="shared" si="49"/>
        <v>2.2171729354791346E-3</v>
      </c>
      <c r="AQ79" s="82">
        <f t="shared" si="50"/>
        <v>0.93870867424289173</v>
      </c>
    </row>
    <row r="80" spans="2:43" x14ac:dyDescent="0.35">
      <c r="B80" s="83" t="s">
        <v>174</v>
      </c>
      <c r="D80" s="137">
        <v>788872</v>
      </c>
      <c r="E80" s="137">
        <v>724715</v>
      </c>
      <c r="F80" s="137">
        <v>656443</v>
      </c>
      <c r="G80" s="137">
        <v>544293</v>
      </c>
      <c r="H80" s="137">
        <f t="shared" si="31"/>
        <v>2714323</v>
      </c>
      <c r="J80" s="137">
        <v>124859</v>
      </c>
      <c r="K80" s="137">
        <v>121443</v>
      </c>
      <c r="L80" s="137">
        <v>115419</v>
      </c>
      <c r="M80" s="137">
        <v>73835</v>
      </c>
      <c r="N80" s="137">
        <f t="shared" si="32"/>
        <v>435556</v>
      </c>
      <c r="P80" s="84">
        <f t="shared" si="33"/>
        <v>0.15827536026123376</v>
      </c>
      <c r="Q80" s="84">
        <f t="shared" si="34"/>
        <v>0.1675734599118274</v>
      </c>
      <c r="R80" s="84">
        <f t="shared" si="35"/>
        <v>0.17582486217386734</v>
      </c>
      <c r="S80" s="84">
        <f t="shared" si="36"/>
        <v>0.13565303981495261</v>
      </c>
      <c r="T80" s="84" t="str">
        <f>+IFERROR(#REF!/#REF!,"")</f>
        <v/>
      </c>
      <c r="U80" s="84" t="str">
        <f>+IFERROR(#REF!/#REF!,"")</f>
        <v/>
      </c>
      <c r="V80" s="84" t="str">
        <f>+IFERROR(#REF!/#REF!,"")</f>
        <v/>
      </c>
      <c r="W80" s="84" t="str">
        <f>+IFERROR(#REF!/#REF!,"")</f>
        <v/>
      </c>
      <c r="X80" s="84" t="str">
        <f>+IFERROR(#REF!/#REF!,"")</f>
        <v/>
      </c>
      <c r="Y80" s="84" t="str">
        <f>+IFERROR(#REF!/#REF!,"")</f>
        <v/>
      </c>
      <c r="Z80" s="84" t="str">
        <f>+IFERROR(#REF!/#REF!,"")</f>
        <v/>
      </c>
      <c r="AA80" s="84" t="str">
        <f>+IFERROR(#REF!/#REF!,"")</f>
        <v/>
      </c>
      <c r="AB80" s="84">
        <f t="shared" si="37"/>
        <v>0.16046579570670108</v>
      </c>
      <c r="AD80" s="139">
        <f t="shared" si="38"/>
        <v>9.2980996505936386E-3</v>
      </c>
      <c r="AE80" s="139">
        <f t="shared" si="39"/>
        <v>8.2514022620399363E-3</v>
      </c>
      <c r="AF80" s="139">
        <f t="shared" si="40"/>
        <v>-4.0171822358914727E-2</v>
      </c>
      <c r="AG80" s="139" t="str">
        <f t="shared" si="41"/>
        <v/>
      </c>
      <c r="AH80" s="139" t="str">
        <f t="shared" si="42"/>
        <v/>
      </c>
      <c r="AI80" s="139" t="str">
        <f t="shared" si="43"/>
        <v/>
      </c>
      <c r="AJ80" s="139" t="str">
        <f t="shared" si="44"/>
        <v/>
      </c>
      <c r="AK80" s="139" t="str">
        <f t="shared" si="45"/>
        <v/>
      </c>
      <c r="AL80" s="139" t="str">
        <f t="shared" si="46"/>
        <v/>
      </c>
      <c r="AM80" s="139" t="str">
        <f t="shared" si="47"/>
        <v/>
      </c>
      <c r="AN80" s="139" t="str">
        <f t="shared" si="48"/>
        <v/>
      </c>
      <c r="AP80" s="82">
        <f t="shared" si="49"/>
        <v>4.3006814850623365E-4</v>
      </c>
      <c r="AQ80" s="82">
        <f t="shared" si="50"/>
        <v>0.93913874239139794</v>
      </c>
    </row>
    <row r="81" spans="2:43" x14ac:dyDescent="0.35">
      <c r="B81" s="83" t="s">
        <v>175</v>
      </c>
      <c r="D81" s="137">
        <v>725914</v>
      </c>
      <c r="E81" s="137">
        <v>754466</v>
      </c>
      <c r="F81" s="137">
        <v>880324</v>
      </c>
      <c r="G81" s="137">
        <v>701140</v>
      </c>
      <c r="H81" s="137">
        <f t="shared" si="31"/>
        <v>3061844</v>
      </c>
      <c r="J81" s="137">
        <v>184233</v>
      </c>
      <c r="K81" s="137">
        <v>181607</v>
      </c>
      <c r="L81" s="137">
        <v>174171</v>
      </c>
      <c r="M81" s="137">
        <v>168659</v>
      </c>
      <c r="N81" s="137">
        <f t="shared" si="32"/>
        <v>708670</v>
      </c>
      <c r="P81" s="84">
        <f t="shared" si="33"/>
        <v>0.25379452662436597</v>
      </c>
      <c r="Q81" s="84">
        <f t="shared" si="34"/>
        <v>0.24070932288532551</v>
      </c>
      <c r="R81" s="84">
        <f t="shared" si="35"/>
        <v>0.19784874659784352</v>
      </c>
      <c r="S81" s="84">
        <f t="shared" si="36"/>
        <v>0.24054967624154946</v>
      </c>
      <c r="T81" s="84" t="str">
        <f>+IFERROR(#REF!/#REF!,"")</f>
        <v/>
      </c>
      <c r="U81" s="84" t="str">
        <f>+IFERROR(#REF!/#REF!,"")</f>
        <v/>
      </c>
      <c r="V81" s="84" t="str">
        <f>+IFERROR(#REF!/#REF!,"")</f>
        <v/>
      </c>
      <c r="W81" s="84" t="str">
        <f>+IFERROR(#REF!/#REF!,"")</f>
        <v/>
      </c>
      <c r="X81" s="84" t="str">
        <f>+IFERROR(#REF!/#REF!,"")</f>
        <v/>
      </c>
      <c r="Y81" s="84" t="str">
        <f>+IFERROR(#REF!/#REF!,"")</f>
        <v/>
      </c>
      <c r="Z81" s="84" t="str">
        <f>+IFERROR(#REF!/#REF!,"")</f>
        <v/>
      </c>
      <c r="AA81" s="84" t="str">
        <f>+IFERROR(#REF!/#REF!,"")</f>
        <v/>
      </c>
      <c r="AB81" s="84">
        <f t="shared" si="37"/>
        <v>0.23145202694846634</v>
      </c>
      <c r="AD81" s="139">
        <f t="shared" si="38"/>
        <v>-1.3085203739040457E-2</v>
      </c>
      <c r="AE81" s="139">
        <f t="shared" si="39"/>
        <v>-4.2860576287481994E-2</v>
      </c>
      <c r="AF81" s="139">
        <f t="shared" si="40"/>
        <v>4.2700929643705948E-2</v>
      </c>
      <c r="AG81" s="139" t="str">
        <f t="shared" si="41"/>
        <v/>
      </c>
      <c r="AH81" s="139" t="str">
        <f t="shared" si="42"/>
        <v/>
      </c>
      <c r="AI81" s="139" t="str">
        <f t="shared" si="43"/>
        <v/>
      </c>
      <c r="AJ81" s="139" t="str">
        <f t="shared" si="44"/>
        <v/>
      </c>
      <c r="AK81" s="139" t="str">
        <f t="shared" si="45"/>
        <v/>
      </c>
      <c r="AL81" s="139" t="str">
        <f t="shared" si="46"/>
        <v/>
      </c>
      <c r="AM81" s="139" t="str">
        <f t="shared" si="47"/>
        <v/>
      </c>
      <c r="AN81" s="139" t="str">
        <f t="shared" si="48"/>
        <v/>
      </c>
      <c r="AP81" s="82">
        <f t="shared" si="49"/>
        <v>6.9974100873805567E-4</v>
      </c>
      <c r="AQ81" s="82">
        <f t="shared" si="50"/>
        <v>0.93983848340013598</v>
      </c>
    </row>
    <row r="82" spans="2:43" x14ac:dyDescent="0.35">
      <c r="B82" s="83" t="s">
        <v>176</v>
      </c>
      <c r="D82" s="137">
        <v>1102048</v>
      </c>
      <c r="E82" s="137">
        <v>983588</v>
      </c>
      <c r="F82" s="137">
        <v>999272</v>
      </c>
      <c r="G82" s="137">
        <v>786545</v>
      </c>
      <c r="H82" s="137">
        <f t="shared" si="31"/>
        <v>3871453</v>
      </c>
      <c r="J82" s="137">
        <v>285336</v>
      </c>
      <c r="K82" s="137">
        <v>307950</v>
      </c>
      <c r="L82" s="137">
        <v>193952</v>
      </c>
      <c r="M82" s="137">
        <v>175314</v>
      </c>
      <c r="N82" s="137">
        <f t="shared" si="32"/>
        <v>962552</v>
      </c>
      <c r="P82" s="84">
        <f t="shared" si="33"/>
        <v>0.2589143122622608</v>
      </c>
      <c r="Q82" s="84">
        <f t="shared" si="34"/>
        <v>0.31308840693461082</v>
      </c>
      <c r="R82" s="84">
        <f t="shared" si="35"/>
        <v>0.19409329992234348</v>
      </c>
      <c r="S82" s="84">
        <f t="shared" si="36"/>
        <v>0.2228912522487588</v>
      </c>
      <c r="T82" s="84" t="str">
        <f>+IFERROR(#REF!/#REF!,"")</f>
        <v/>
      </c>
      <c r="U82" s="84" t="str">
        <f>+IFERROR(#REF!/#REF!,"")</f>
        <v/>
      </c>
      <c r="V82" s="84" t="str">
        <f>+IFERROR(#REF!/#REF!,"")</f>
        <v/>
      </c>
      <c r="W82" s="84" t="str">
        <f>+IFERROR(#REF!/#REF!,"")</f>
        <v/>
      </c>
      <c r="X82" s="84" t="str">
        <f>+IFERROR(#REF!/#REF!,"")</f>
        <v/>
      </c>
      <c r="Y82" s="84" t="str">
        <f>+IFERROR(#REF!/#REF!,"")</f>
        <v/>
      </c>
      <c r="Z82" s="84" t="str">
        <f>+IFERROR(#REF!/#REF!,"")</f>
        <v/>
      </c>
      <c r="AA82" s="84" t="str">
        <f>+IFERROR(#REF!/#REF!,"")</f>
        <v/>
      </c>
      <c r="AB82" s="84">
        <f t="shared" si="37"/>
        <v>0.24862809906254835</v>
      </c>
      <c r="AD82" s="139">
        <f t="shared" si="38"/>
        <v>5.4174094672350015E-2</v>
      </c>
      <c r="AE82" s="139">
        <f t="shared" si="39"/>
        <v>-0.11899510701226734</v>
      </c>
      <c r="AF82" s="139">
        <f t="shared" si="40"/>
        <v>2.8797952326415327E-2</v>
      </c>
      <c r="AG82" s="139" t="str">
        <f t="shared" si="41"/>
        <v/>
      </c>
      <c r="AH82" s="139" t="str">
        <f t="shared" si="42"/>
        <v/>
      </c>
      <c r="AI82" s="139" t="str">
        <f t="shared" si="43"/>
        <v/>
      </c>
      <c r="AJ82" s="139" t="str">
        <f t="shared" si="44"/>
        <v/>
      </c>
      <c r="AK82" s="139" t="str">
        <f t="shared" si="45"/>
        <v/>
      </c>
      <c r="AL82" s="139" t="str">
        <f t="shared" si="46"/>
        <v/>
      </c>
      <c r="AM82" s="139" t="str">
        <f t="shared" si="47"/>
        <v/>
      </c>
      <c r="AN82" s="139" t="str">
        <f t="shared" si="48"/>
        <v/>
      </c>
      <c r="AP82" s="82">
        <f t="shared" si="49"/>
        <v>9.5042418536530823E-4</v>
      </c>
      <c r="AQ82" s="82">
        <f t="shared" si="50"/>
        <v>0.94078890758550127</v>
      </c>
    </row>
    <row r="83" spans="2:43" x14ac:dyDescent="0.35">
      <c r="B83" s="83" t="s">
        <v>177</v>
      </c>
      <c r="D83" s="137">
        <v>782363</v>
      </c>
      <c r="E83" s="137">
        <v>786072</v>
      </c>
      <c r="F83" s="137">
        <v>749621</v>
      </c>
      <c r="G83" s="137">
        <v>902284</v>
      </c>
      <c r="H83" s="137">
        <f t="shared" si="31"/>
        <v>3220340</v>
      </c>
      <c r="J83" s="137">
        <v>269334</v>
      </c>
      <c r="K83" s="137">
        <v>261568</v>
      </c>
      <c r="L83" s="137">
        <v>129871</v>
      </c>
      <c r="M83" s="137">
        <v>253488</v>
      </c>
      <c r="N83" s="137">
        <f t="shared" si="32"/>
        <v>914261</v>
      </c>
      <c r="P83" s="84">
        <f t="shared" si="33"/>
        <v>0.34425707759697227</v>
      </c>
      <c r="Q83" s="84">
        <f t="shared" si="34"/>
        <v>0.33275323380046612</v>
      </c>
      <c r="R83" s="84">
        <f t="shared" si="35"/>
        <v>0.17324888176825357</v>
      </c>
      <c r="S83" s="84">
        <f t="shared" si="36"/>
        <v>0.28094036910773107</v>
      </c>
      <c r="T83" s="84" t="str">
        <f>+IFERROR(#REF!/#REF!,"")</f>
        <v/>
      </c>
      <c r="U83" s="84" t="str">
        <f>+IFERROR(#REF!/#REF!,"")</f>
        <v/>
      </c>
      <c r="V83" s="84" t="str">
        <f>+IFERROR(#REF!/#REF!,"")</f>
        <v/>
      </c>
      <c r="W83" s="84" t="str">
        <f>+IFERROR(#REF!/#REF!,"")</f>
        <v/>
      </c>
      <c r="X83" s="84" t="str">
        <f>+IFERROR(#REF!/#REF!,"")</f>
        <v/>
      </c>
      <c r="Y83" s="84" t="str">
        <f>+IFERROR(#REF!/#REF!,"")</f>
        <v/>
      </c>
      <c r="Z83" s="84" t="str">
        <f>+IFERROR(#REF!/#REF!,"")</f>
        <v/>
      </c>
      <c r="AA83" s="84" t="str">
        <f>+IFERROR(#REF!/#REF!,"")</f>
        <v/>
      </c>
      <c r="AB83" s="84">
        <f t="shared" si="37"/>
        <v>0.28390201034673357</v>
      </c>
      <c r="AD83" s="139">
        <f t="shared" si="38"/>
        <v>-1.1503843796506152E-2</v>
      </c>
      <c r="AE83" s="139">
        <f t="shared" si="39"/>
        <v>-0.15950435203221255</v>
      </c>
      <c r="AF83" s="139">
        <f t="shared" si="40"/>
        <v>0.1076914873394775</v>
      </c>
      <c r="AG83" s="139" t="str">
        <f t="shared" si="41"/>
        <v/>
      </c>
      <c r="AH83" s="139" t="str">
        <f t="shared" si="42"/>
        <v/>
      </c>
      <c r="AI83" s="139" t="str">
        <f t="shared" si="43"/>
        <v/>
      </c>
      <c r="AJ83" s="139" t="str">
        <f t="shared" si="44"/>
        <v/>
      </c>
      <c r="AK83" s="139" t="str">
        <f t="shared" si="45"/>
        <v/>
      </c>
      <c r="AL83" s="139" t="str">
        <f t="shared" si="46"/>
        <v/>
      </c>
      <c r="AM83" s="139" t="str">
        <f t="shared" si="47"/>
        <v/>
      </c>
      <c r="AN83" s="139" t="str">
        <f t="shared" si="48"/>
        <v/>
      </c>
      <c r="AP83" s="82">
        <f t="shared" si="49"/>
        <v>9.0274163487922947E-4</v>
      </c>
      <c r="AQ83" s="82">
        <f t="shared" si="50"/>
        <v>0.94169164922038051</v>
      </c>
    </row>
    <row r="84" spans="2:43" x14ac:dyDescent="0.35">
      <c r="B84" s="83" t="s">
        <v>178</v>
      </c>
      <c r="D84" s="137">
        <v>11669154</v>
      </c>
      <c r="E84" s="137">
        <v>9108259</v>
      </c>
      <c r="F84" s="137">
        <v>7827705</v>
      </c>
      <c r="G84" s="137">
        <v>7311623</v>
      </c>
      <c r="H84" s="137">
        <f t="shared" si="31"/>
        <v>35916741</v>
      </c>
      <c r="J84" s="137">
        <v>1907911</v>
      </c>
      <c r="K84" s="137">
        <v>1603146</v>
      </c>
      <c r="L84" s="137">
        <v>1854859</v>
      </c>
      <c r="M84" s="137">
        <v>1424906</v>
      </c>
      <c r="N84" s="137">
        <f t="shared" si="32"/>
        <v>6790822</v>
      </c>
      <c r="P84" s="84">
        <f t="shared" si="33"/>
        <v>0.16350037029248221</v>
      </c>
      <c r="Q84" s="84">
        <f t="shared" si="34"/>
        <v>0.17601014639570525</v>
      </c>
      <c r="R84" s="84">
        <f t="shared" si="35"/>
        <v>0.23696076947202277</v>
      </c>
      <c r="S84" s="84">
        <f t="shared" si="36"/>
        <v>0.1948823127231806</v>
      </c>
      <c r="T84" s="84" t="str">
        <f>+IFERROR(#REF!/#REF!,"")</f>
        <v/>
      </c>
      <c r="U84" s="84" t="str">
        <f>+IFERROR(#REF!/#REF!,"")</f>
        <v/>
      </c>
      <c r="V84" s="84" t="str">
        <f>+IFERROR(#REF!/#REF!,"")</f>
        <v/>
      </c>
      <c r="W84" s="84" t="str">
        <f>+IFERROR(#REF!/#REF!,"")</f>
        <v/>
      </c>
      <c r="X84" s="84" t="str">
        <f>+IFERROR(#REF!/#REF!,"")</f>
        <v/>
      </c>
      <c r="Y84" s="84" t="str">
        <f>+IFERROR(#REF!/#REF!,"")</f>
        <v/>
      </c>
      <c r="Z84" s="84" t="str">
        <f>+IFERROR(#REF!/#REF!,"")</f>
        <v/>
      </c>
      <c r="AA84" s="84" t="str">
        <f>+IFERROR(#REF!/#REF!,"")</f>
        <v/>
      </c>
      <c r="AB84" s="84">
        <f t="shared" si="37"/>
        <v>0.18907121890596923</v>
      </c>
      <c r="AD84" s="139">
        <f t="shared" si="38"/>
        <v>1.2509776103223041E-2</v>
      </c>
      <c r="AE84" s="139">
        <f t="shared" si="39"/>
        <v>6.0950623076317517E-2</v>
      </c>
      <c r="AF84" s="139">
        <f t="shared" si="40"/>
        <v>-4.2078456748842169E-2</v>
      </c>
      <c r="AG84" s="139" t="str">
        <f t="shared" si="41"/>
        <v/>
      </c>
      <c r="AH84" s="139" t="str">
        <f t="shared" si="42"/>
        <v/>
      </c>
      <c r="AI84" s="139" t="str">
        <f t="shared" si="43"/>
        <v/>
      </c>
      <c r="AJ84" s="139" t="str">
        <f t="shared" si="44"/>
        <v/>
      </c>
      <c r="AK84" s="139" t="str">
        <f t="shared" si="45"/>
        <v/>
      </c>
      <c r="AL84" s="139" t="str">
        <f t="shared" si="46"/>
        <v/>
      </c>
      <c r="AM84" s="139" t="str">
        <f t="shared" si="47"/>
        <v/>
      </c>
      <c r="AN84" s="139" t="str">
        <f t="shared" si="48"/>
        <v/>
      </c>
      <c r="AP84" s="82">
        <f t="shared" si="49"/>
        <v>6.7052600454944912E-3</v>
      </c>
      <c r="AQ84" s="82">
        <f t="shared" si="50"/>
        <v>0.94839690926587505</v>
      </c>
    </row>
    <row r="85" spans="2:43" x14ac:dyDescent="0.35">
      <c r="B85" s="83" t="s">
        <v>179</v>
      </c>
      <c r="D85" s="137">
        <v>2631011</v>
      </c>
      <c r="E85" s="137">
        <v>1566702</v>
      </c>
      <c r="F85" s="137">
        <v>1296640</v>
      </c>
      <c r="G85" s="137">
        <v>1137226</v>
      </c>
      <c r="H85" s="137">
        <f t="shared" si="31"/>
        <v>6631579</v>
      </c>
      <c r="J85" s="137">
        <v>439730</v>
      </c>
      <c r="K85" s="137">
        <v>221192</v>
      </c>
      <c r="L85" s="137">
        <v>159908</v>
      </c>
      <c r="M85" s="137">
        <v>143735</v>
      </c>
      <c r="N85" s="137">
        <f t="shared" si="32"/>
        <v>964565</v>
      </c>
      <c r="P85" s="84">
        <f t="shared" si="33"/>
        <v>0.16713347074565632</v>
      </c>
      <c r="Q85" s="84">
        <f t="shared" si="34"/>
        <v>0.14118319884700473</v>
      </c>
      <c r="R85" s="84">
        <f t="shared" si="35"/>
        <v>0.12332490128331688</v>
      </c>
      <c r="S85" s="84">
        <f t="shared" si="36"/>
        <v>0.12639088448558158</v>
      </c>
      <c r="T85" s="84" t="str">
        <f>+IFERROR(#REF!/#REF!,"")</f>
        <v/>
      </c>
      <c r="U85" s="84" t="str">
        <f>+IFERROR(#REF!/#REF!,"")</f>
        <v/>
      </c>
      <c r="V85" s="84" t="str">
        <f>+IFERROR(#REF!/#REF!,"")</f>
        <v/>
      </c>
      <c r="W85" s="84" t="str">
        <f>+IFERROR(#REF!/#REF!,"")</f>
        <v/>
      </c>
      <c r="X85" s="84" t="str">
        <f>+IFERROR(#REF!/#REF!,"")</f>
        <v/>
      </c>
      <c r="Y85" s="84" t="str">
        <f>+IFERROR(#REF!/#REF!,"")</f>
        <v/>
      </c>
      <c r="Z85" s="84" t="str">
        <f>+IFERROR(#REF!/#REF!,"")</f>
        <v/>
      </c>
      <c r="AA85" s="84" t="str">
        <f>+IFERROR(#REF!/#REF!,"")</f>
        <v/>
      </c>
      <c r="AB85" s="84">
        <f t="shared" si="37"/>
        <v>0.14545027662341051</v>
      </c>
      <c r="AD85" s="139">
        <f t="shared" si="38"/>
        <v>-2.5950271898651595E-2</v>
      </c>
      <c r="AE85" s="139">
        <f t="shared" si="39"/>
        <v>-1.7858297563687842E-2</v>
      </c>
      <c r="AF85" s="139">
        <f t="shared" si="40"/>
        <v>3.0659832022646993E-3</v>
      </c>
      <c r="AG85" s="139" t="str">
        <f t="shared" si="41"/>
        <v/>
      </c>
      <c r="AH85" s="139" t="str">
        <f t="shared" si="42"/>
        <v/>
      </c>
      <c r="AI85" s="139" t="str">
        <f t="shared" si="43"/>
        <v/>
      </c>
      <c r="AJ85" s="139" t="str">
        <f t="shared" si="44"/>
        <v/>
      </c>
      <c r="AK85" s="139" t="str">
        <f t="shared" si="45"/>
        <v/>
      </c>
      <c r="AL85" s="139" t="str">
        <f t="shared" si="46"/>
        <v/>
      </c>
      <c r="AM85" s="139" t="str">
        <f t="shared" si="47"/>
        <v/>
      </c>
      <c r="AN85" s="139" t="str">
        <f t="shared" si="48"/>
        <v/>
      </c>
      <c r="AP85" s="82">
        <f t="shared" si="49"/>
        <v>9.5241182227753785E-4</v>
      </c>
      <c r="AQ85" s="82">
        <f t="shared" si="50"/>
        <v>0.94934932108815262</v>
      </c>
    </row>
    <row r="86" spans="2:43" x14ac:dyDescent="0.35">
      <c r="B86" s="83" t="s">
        <v>180</v>
      </c>
      <c r="D86" s="137">
        <v>406807</v>
      </c>
      <c r="E86" s="137">
        <v>338113</v>
      </c>
      <c r="F86" s="137">
        <v>593837</v>
      </c>
      <c r="G86" s="137">
        <v>399340</v>
      </c>
      <c r="H86" s="137">
        <f t="shared" si="31"/>
        <v>1738097</v>
      </c>
      <c r="J86" s="137">
        <v>71941</v>
      </c>
      <c r="K86" s="137">
        <v>54305</v>
      </c>
      <c r="L86" s="137">
        <v>90906</v>
      </c>
      <c r="M86" s="137">
        <v>55506</v>
      </c>
      <c r="N86" s="137">
        <f t="shared" si="32"/>
        <v>272658</v>
      </c>
      <c r="P86" s="84">
        <f t="shared" si="33"/>
        <v>0.1768430730051351</v>
      </c>
      <c r="Q86" s="84">
        <f t="shared" si="34"/>
        <v>0.16061198475066027</v>
      </c>
      <c r="R86" s="84">
        <f t="shared" si="35"/>
        <v>0.15308241150349339</v>
      </c>
      <c r="S86" s="84">
        <f t="shared" si="36"/>
        <v>0.13899434066209246</v>
      </c>
      <c r="T86" s="84" t="str">
        <f>+IFERROR(#REF!/#REF!,"")</f>
        <v/>
      </c>
      <c r="U86" s="84" t="str">
        <f>+IFERROR(#REF!/#REF!,"")</f>
        <v/>
      </c>
      <c r="V86" s="84" t="str">
        <f>+IFERROR(#REF!/#REF!,"")</f>
        <v/>
      </c>
      <c r="W86" s="84" t="str">
        <f>+IFERROR(#REF!/#REF!,"")</f>
        <v/>
      </c>
      <c r="X86" s="84" t="str">
        <f>+IFERROR(#REF!/#REF!,"")</f>
        <v/>
      </c>
      <c r="Y86" s="84" t="str">
        <f>+IFERROR(#REF!/#REF!,"")</f>
        <v/>
      </c>
      <c r="Z86" s="84" t="str">
        <f>+IFERROR(#REF!/#REF!,"")</f>
        <v/>
      </c>
      <c r="AA86" s="84" t="str">
        <f>+IFERROR(#REF!/#REF!,"")</f>
        <v/>
      </c>
      <c r="AB86" s="84">
        <f t="shared" si="37"/>
        <v>0.15687156700690469</v>
      </c>
      <c r="AD86" s="139">
        <f t="shared" si="38"/>
        <v>-1.6231088254474835E-2</v>
      </c>
      <c r="AE86" s="139">
        <f t="shared" si="39"/>
        <v>-7.5295732471668819E-3</v>
      </c>
      <c r="AF86" s="139">
        <f t="shared" si="40"/>
        <v>-1.4088070841400929E-2</v>
      </c>
      <c r="AG86" s="139" t="str">
        <f t="shared" si="41"/>
        <v/>
      </c>
      <c r="AH86" s="139" t="str">
        <f t="shared" si="42"/>
        <v/>
      </c>
      <c r="AI86" s="139" t="str">
        <f t="shared" si="43"/>
        <v/>
      </c>
      <c r="AJ86" s="139" t="str">
        <f t="shared" si="44"/>
        <v/>
      </c>
      <c r="AK86" s="139" t="str">
        <f t="shared" si="45"/>
        <v/>
      </c>
      <c r="AL86" s="139" t="str">
        <f t="shared" si="46"/>
        <v/>
      </c>
      <c r="AM86" s="139" t="str">
        <f t="shared" si="47"/>
        <v/>
      </c>
      <c r="AN86" s="139" t="str">
        <f t="shared" si="48"/>
        <v/>
      </c>
      <c r="AP86" s="82">
        <f t="shared" si="49"/>
        <v>2.6922260567048247E-4</v>
      </c>
      <c r="AQ86" s="82">
        <f t="shared" si="50"/>
        <v>0.94961854369382315</v>
      </c>
    </row>
    <row r="87" spans="2:43" x14ac:dyDescent="0.35">
      <c r="B87" s="83" t="s">
        <v>181</v>
      </c>
      <c r="D87" s="137">
        <v>1110855</v>
      </c>
      <c r="E87" s="137">
        <v>1012071</v>
      </c>
      <c r="F87" s="137">
        <v>1337387</v>
      </c>
      <c r="G87" s="137">
        <v>910963</v>
      </c>
      <c r="H87" s="137">
        <f t="shared" si="31"/>
        <v>4371276</v>
      </c>
      <c r="J87" s="137">
        <v>188586</v>
      </c>
      <c r="K87" s="137">
        <v>168895</v>
      </c>
      <c r="L87" s="137">
        <v>215225</v>
      </c>
      <c r="M87" s="137">
        <v>143640</v>
      </c>
      <c r="N87" s="137">
        <f t="shared" si="32"/>
        <v>716346</v>
      </c>
      <c r="P87" s="84">
        <f t="shared" si="33"/>
        <v>0.16976653118543825</v>
      </c>
      <c r="Q87" s="84">
        <f t="shared" si="34"/>
        <v>0.1668805844649239</v>
      </c>
      <c r="R87" s="84">
        <f t="shared" si="35"/>
        <v>0.16092948413585598</v>
      </c>
      <c r="S87" s="84">
        <f t="shared" si="36"/>
        <v>0.15767929103596962</v>
      </c>
      <c r="T87" s="84" t="str">
        <f>+IFERROR(#REF!/#REF!,"")</f>
        <v/>
      </c>
      <c r="U87" s="84" t="str">
        <f>+IFERROR(#REF!/#REF!,"")</f>
        <v/>
      </c>
      <c r="V87" s="84" t="str">
        <f>+IFERROR(#REF!/#REF!,"")</f>
        <v/>
      </c>
      <c r="W87" s="84" t="str">
        <f>+IFERROR(#REF!/#REF!,"")</f>
        <v/>
      </c>
      <c r="X87" s="84" t="str">
        <f>+IFERROR(#REF!/#REF!,"")</f>
        <v/>
      </c>
      <c r="Y87" s="84" t="str">
        <f>+IFERROR(#REF!/#REF!,"")</f>
        <v/>
      </c>
      <c r="Z87" s="84" t="str">
        <f>+IFERROR(#REF!/#REF!,"")</f>
        <v/>
      </c>
      <c r="AA87" s="84" t="str">
        <f>+IFERROR(#REF!/#REF!,"")</f>
        <v/>
      </c>
      <c r="AB87" s="84">
        <f t="shared" si="37"/>
        <v>0.16387571958393843</v>
      </c>
      <c r="AD87" s="139">
        <f t="shared" si="38"/>
        <v>-2.885946720514343E-3</v>
      </c>
      <c r="AE87" s="139">
        <f t="shared" si="39"/>
        <v>-5.9511003290679265E-3</v>
      </c>
      <c r="AF87" s="139">
        <f t="shared" si="40"/>
        <v>-3.2501930998863615E-3</v>
      </c>
      <c r="AG87" s="139" t="str">
        <f t="shared" si="41"/>
        <v/>
      </c>
      <c r="AH87" s="139" t="str">
        <f t="shared" si="42"/>
        <v/>
      </c>
      <c r="AI87" s="139" t="str">
        <f t="shared" si="43"/>
        <v/>
      </c>
      <c r="AJ87" s="139" t="str">
        <f t="shared" si="44"/>
        <v/>
      </c>
      <c r="AK87" s="139" t="str">
        <f t="shared" si="45"/>
        <v/>
      </c>
      <c r="AL87" s="139" t="str">
        <f t="shared" si="46"/>
        <v/>
      </c>
      <c r="AM87" s="139" t="str">
        <f t="shared" si="47"/>
        <v/>
      </c>
      <c r="AN87" s="139" t="str">
        <f t="shared" si="48"/>
        <v/>
      </c>
      <c r="AP87" s="82">
        <f t="shared" si="49"/>
        <v>7.0732029385393944E-4</v>
      </c>
      <c r="AQ87" s="82">
        <f t="shared" si="50"/>
        <v>0.95032586398767704</v>
      </c>
    </row>
    <row r="88" spans="2:43" x14ac:dyDescent="0.35">
      <c r="B88" s="83" t="s">
        <v>182</v>
      </c>
      <c r="D88" s="137">
        <v>1465022</v>
      </c>
      <c r="E88" s="137">
        <v>1038601</v>
      </c>
      <c r="F88" s="137">
        <v>1762676</v>
      </c>
      <c r="G88" s="137">
        <v>1105302</v>
      </c>
      <c r="H88" s="137">
        <f t="shared" si="31"/>
        <v>5371601</v>
      </c>
      <c r="J88" s="137">
        <v>236763</v>
      </c>
      <c r="K88" s="137">
        <v>132569</v>
      </c>
      <c r="L88" s="137">
        <v>244098</v>
      </c>
      <c r="M88" s="137">
        <v>142425</v>
      </c>
      <c r="N88" s="137">
        <f t="shared" si="32"/>
        <v>755855</v>
      </c>
      <c r="P88" s="84">
        <f t="shared" si="33"/>
        <v>0.16161054236728187</v>
      </c>
      <c r="Q88" s="84">
        <f t="shared" si="34"/>
        <v>0.127641895203259</v>
      </c>
      <c r="R88" s="84">
        <f t="shared" si="35"/>
        <v>0.13848149064263654</v>
      </c>
      <c r="S88" s="84">
        <f t="shared" si="36"/>
        <v>0.12885618591118084</v>
      </c>
      <c r="T88" s="84" t="str">
        <f>+IFERROR(#REF!/#REF!,"")</f>
        <v/>
      </c>
      <c r="U88" s="84" t="str">
        <f>+IFERROR(#REF!/#REF!,"")</f>
        <v/>
      </c>
      <c r="V88" s="84" t="str">
        <f>+IFERROR(#REF!/#REF!,"")</f>
        <v/>
      </c>
      <c r="W88" s="84" t="str">
        <f>+IFERROR(#REF!/#REF!,"")</f>
        <v/>
      </c>
      <c r="X88" s="84" t="str">
        <f>+IFERROR(#REF!/#REF!,"")</f>
        <v/>
      </c>
      <c r="Y88" s="84" t="str">
        <f>+IFERROR(#REF!/#REF!,"")</f>
        <v/>
      </c>
      <c r="Z88" s="84" t="str">
        <f>+IFERROR(#REF!/#REF!,"")</f>
        <v/>
      </c>
      <c r="AA88" s="84" t="str">
        <f>+IFERROR(#REF!/#REF!,"")</f>
        <v/>
      </c>
      <c r="AB88" s="84">
        <f t="shared" si="37"/>
        <v>0.14071316912778889</v>
      </c>
      <c r="AD88" s="139">
        <f t="shared" si="38"/>
        <v>-3.3968647164022869E-2</v>
      </c>
      <c r="AE88" s="139">
        <f t="shared" si="39"/>
        <v>1.0839595439377542E-2</v>
      </c>
      <c r="AF88" s="139">
        <f t="shared" si="40"/>
        <v>-9.6253047314557028E-3</v>
      </c>
      <c r="AG88" s="139" t="str">
        <f t="shared" si="41"/>
        <v/>
      </c>
      <c r="AH88" s="139" t="str">
        <f t="shared" si="42"/>
        <v/>
      </c>
      <c r="AI88" s="139" t="str">
        <f t="shared" si="43"/>
        <v/>
      </c>
      <c r="AJ88" s="139" t="str">
        <f t="shared" si="44"/>
        <v/>
      </c>
      <c r="AK88" s="139" t="str">
        <f t="shared" si="45"/>
        <v/>
      </c>
      <c r="AL88" s="139" t="str">
        <f t="shared" si="46"/>
        <v/>
      </c>
      <c r="AM88" s="139" t="str">
        <f t="shared" si="47"/>
        <v/>
      </c>
      <c r="AN88" s="139" t="str">
        <f t="shared" si="48"/>
        <v/>
      </c>
      <c r="AP88" s="82">
        <f t="shared" si="49"/>
        <v>7.4633149443281515E-4</v>
      </c>
      <c r="AQ88" s="82">
        <f t="shared" si="50"/>
        <v>0.95107219548210986</v>
      </c>
    </row>
    <row r="89" spans="2:43" x14ac:dyDescent="0.35">
      <c r="B89" s="83" t="s">
        <v>183</v>
      </c>
      <c r="D89" s="137">
        <v>74629</v>
      </c>
      <c r="E89" s="137">
        <v>71594</v>
      </c>
      <c r="F89" s="137">
        <v>111612</v>
      </c>
      <c r="G89" s="137">
        <v>66108</v>
      </c>
      <c r="H89" s="137">
        <f t="shared" si="31"/>
        <v>323943</v>
      </c>
      <c r="J89" s="137">
        <v>11674</v>
      </c>
      <c r="K89" s="137">
        <v>12361</v>
      </c>
      <c r="L89" s="137">
        <v>24005</v>
      </c>
      <c r="M89" s="137">
        <v>12177</v>
      </c>
      <c r="N89" s="137">
        <f t="shared" si="32"/>
        <v>60217</v>
      </c>
      <c r="P89" s="84">
        <f t="shared" si="33"/>
        <v>0.15642712618419113</v>
      </c>
      <c r="Q89" s="84">
        <f t="shared" si="34"/>
        <v>0.17265413302790736</v>
      </c>
      <c r="R89" s="84">
        <f t="shared" si="35"/>
        <v>0.21507543991685482</v>
      </c>
      <c r="S89" s="84">
        <f t="shared" si="36"/>
        <v>0.18419858413505175</v>
      </c>
      <c r="T89" s="84" t="str">
        <f>+IFERROR(#REF!/#REF!,"")</f>
        <v/>
      </c>
      <c r="U89" s="84" t="str">
        <f>+IFERROR(#REF!/#REF!,"")</f>
        <v/>
      </c>
      <c r="V89" s="84" t="str">
        <f>+IFERROR(#REF!/#REF!,"")</f>
        <v/>
      </c>
      <c r="W89" s="84" t="str">
        <f>+IFERROR(#REF!/#REF!,"")</f>
        <v/>
      </c>
      <c r="X89" s="84" t="str">
        <f>+IFERROR(#REF!/#REF!,"")</f>
        <v/>
      </c>
      <c r="Y89" s="84" t="str">
        <f>+IFERROR(#REF!/#REF!,"")</f>
        <v/>
      </c>
      <c r="Z89" s="84" t="str">
        <f>+IFERROR(#REF!/#REF!,"")</f>
        <v/>
      </c>
      <c r="AA89" s="84" t="str">
        <f>+IFERROR(#REF!/#REF!,"")</f>
        <v/>
      </c>
      <c r="AB89" s="84">
        <f t="shared" si="37"/>
        <v>0.18588764072691802</v>
      </c>
      <c r="AD89" s="139">
        <f t="shared" si="38"/>
        <v>1.6227006843716224E-2</v>
      </c>
      <c r="AE89" s="139">
        <f t="shared" si="39"/>
        <v>4.2421306888947463E-2</v>
      </c>
      <c r="AF89" s="139">
        <f t="shared" si="40"/>
        <v>-3.0876855781803075E-2</v>
      </c>
      <c r="AG89" s="139" t="str">
        <f t="shared" si="41"/>
        <v/>
      </c>
      <c r="AH89" s="139" t="str">
        <f t="shared" si="42"/>
        <v/>
      </c>
      <c r="AI89" s="139" t="str">
        <f t="shared" si="43"/>
        <v/>
      </c>
      <c r="AJ89" s="139" t="str">
        <f t="shared" si="44"/>
        <v/>
      </c>
      <c r="AK89" s="139" t="str">
        <f t="shared" si="45"/>
        <v/>
      </c>
      <c r="AL89" s="139" t="str">
        <f t="shared" si="46"/>
        <v/>
      </c>
      <c r="AM89" s="139" t="str">
        <f t="shared" si="47"/>
        <v/>
      </c>
      <c r="AN89" s="139" t="str">
        <f t="shared" si="48"/>
        <v/>
      </c>
      <c r="AP89" s="82">
        <f t="shared" si="49"/>
        <v>5.9458287105676126E-5</v>
      </c>
      <c r="AQ89" s="82">
        <f t="shared" si="50"/>
        <v>0.95113165376921549</v>
      </c>
    </row>
    <row r="90" spans="2:43" x14ac:dyDescent="0.35">
      <c r="B90" s="83" t="s">
        <v>184</v>
      </c>
      <c r="D90" s="137">
        <v>1016037</v>
      </c>
      <c r="E90" s="137">
        <v>942007</v>
      </c>
      <c r="F90" s="137">
        <v>898383</v>
      </c>
      <c r="G90" s="137">
        <v>812414</v>
      </c>
      <c r="H90" s="137">
        <f t="shared" si="31"/>
        <v>3668841</v>
      </c>
      <c r="J90" s="137">
        <v>231058</v>
      </c>
      <c r="K90" s="137">
        <v>177660</v>
      </c>
      <c r="L90" s="137">
        <v>161712</v>
      </c>
      <c r="M90" s="137">
        <v>180621</v>
      </c>
      <c r="N90" s="137">
        <f t="shared" si="32"/>
        <v>751051</v>
      </c>
      <c r="P90" s="84">
        <f t="shared" si="33"/>
        <v>0.22741100963842853</v>
      </c>
      <c r="Q90" s="84">
        <f t="shared" si="34"/>
        <v>0.18859732464833065</v>
      </c>
      <c r="R90" s="84">
        <f t="shared" si="35"/>
        <v>0.18000340611966165</v>
      </c>
      <c r="S90" s="84">
        <f t="shared" si="36"/>
        <v>0.22232630161469399</v>
      </c>
      <c r="T90" s="84" t="str">
        <f>+IFERROR(#REF!/#REF!,"")</f>
        <v/>
      </c>
      <c r="U90" s="84" t="str">
        <f>+IFERROR(#REF!/#REF!,"")</f>
        <v/>
      </c>
      <c r="V90" s="84" t="str">
        <f>+IFERROR(#REF!/#REF!,"")</f>
        <v/>
      </c>
      <c r="W90" s="84" t="str">
        <f>+IFERROR(#REF!/#REF!,"")</f>
        <v/>
      </c>
      <c r="X90" s="84" t="str">
        <f>+IFERROR(#REF!/#REF!,"")</f>
        <v/>
      </c>
      <c r="Y90" s="84" t="str">
        <f>+IFERROR(#REF!/#REF!,"")</f>
        <v/>
      </c>
      <c r="Z90" s="84" t="str">
        <f>+IFERROR(#REF!/#REF!,"")</f>
        <v/>
      </c>
      <c r="AA90" s="84" t="str">
        <f>+IFERROR(#REF!/#REF!,"")</f>
        <v/>
      </c>
      <c r="AB90" s="84">
        <f t="shared" si="37"/>
        <v>0.20471069746549386</v>
      </c>
      <c r="AD90" s="139">
        <f t="shared" si="38"/>
        <v>-3.881368499009788E-2</v>
      </c>
      <c r="AE90" s="139">
        <f t="shared" si="39"/>
        <v>-8.5939185286690034E-3</v>
      </c>
      <c r="AF90" s="139">
        <f t="shared" si="40"/>
        <v>4.2322895495032348E-2</v>
      </c>
      <c r="AG90" s="139" t="str">
        <f t="shared" si="41"/>
        <v/>
      </c>
      <c r="AH90" s="139" t="str">
        <f t="shared" si="42"/>
        <v/>
      </c>
      <c r="AI90" s="139" t="str">
        <f t="shared" si="43"/>
        <v/>
      </c>
      <c r="AJ90" s="139" t="str">
        <f t="shared" si="44"/>
        <v/>
      </c>
      <c r="AK90" s="139" t="str">
        <f t="shared" si="45"/>
        <v/>
      </c>
      <c r="AL90" s="139" t="str">
        <f t="shared" si="46"/>
        <v/>
      </c>
      <c r="AM90" s="139" t="str">
        <f t="shared" si="47"/>
        <v/>
      </c>
      <c r="AN90" s="139" t="str">
        <f t="shared" si="48"/>
        <v/>
      </c>
      <c r="AP90" s="82">
        <f t="shared" si="49"/>
        <v>7.4158802313308806E-4</v>
      </c>
      <c r="AQ90" s="82">
        <f t="shared" si="50"/>
        <v>0.95187324179234856</v>
      </c>
    </row>
    <row r="91" spans="2:43" x14ac:dyDescent="0.35">
      <c r="B91" s="83" t="s">
        <v>185</v>
      </c>
      <c r="D91" s="137">
        <v>496849</v>
      </c>
      <c r="E91" s="137">
        <v>450197</v>
      </c>
      <c r="F91" s="137">
        <v>737627</v>
      </c>
      <c r="G91" s="137">
        <v>481311</v>
      </c>
      <c r="H91" s="137">
        <f t="shared" si="31"/>
        <v>2165984</v>
      </c>
      <c r="J91" s="137">
        <v>121983</v>
      </c>
      <c r="K91" s="137">
        <v>128143</v>
      </c>
      <c r="L91" s="137">
        <v>173848</v>
      </c>
      <c r="M91" s="137">
        <v>170536</v>
      </c>
      <c r="N91" s="137">
        <f t="shared" si="32"/>
        <v>594510</v>
      </c>
      <c r="P91" s="84">
        <f t="shared" si="33"/>
        <v>0.24551322433978937</v>
      </c>
      <c r="Q91" s="84">
        <f t="shared" si="34"/>
        <v>0.28463761420000577</v>
      </c>
      <c r="R91" s="84">
        <f t="shared" si="35"/>
        <v>0.23568551585015191</v>
      </c>
      <c r="S91" s="84">
        <f t="shared" si="36"/>
        <v>0.35431560882672536</v>
      </c>
      <c r="T91" s="84" t="str">
        <f>+IFERROR(#REF!/#REF!,"")</f>
        <v/>
      </c>
      <c r="U91" s="84" t="str">
        <f>+IFERROR(#REF!/#REF!,"")</f>
        <v/>
      </c>
      <c r="V91" s="84" t="str">
        <f>+IFERROR(#REF!/#REF!,"")</f>
        <v/>
      </c>
      <c r="W91" s="84" t="str">
        <f>+IFERROR(#REF!/#REF!,"")</f>
        <v/>
      </c>
      <c r="X91" s="84" t="str">
        <f>+IFERROR(#REF!/#REF!,"")</f>
        <v/>
      </c>
      <c r="Y91" s="84" t="str">
        <f>+IFERROR(#REF!/#REF!,"")</f>
        <v/>
      </c>
      <c r="Z91" s="84" t="str">
        <f>+IFERROR(#REF!/#REF!,"")</f>
        <v/>
      </c>
      <c r="AA91" s="84" t="str">
        <f>+IFERROR(#REF!/#REF!,"")</f>
        <v/>
      </c>
      <c r="AB91" s="84">
        <f t="shared" si="37"/>
        <v>0.27447571173194263</v>
      </c>
      <c r="AD91" s="139">
        <f t="shared" si="38"/>
        <v>3.9124389860216408E-2</v>
      </c>
      <c r="AE91" s="139">
        <f t="shared" si="39"/>
        <v>-4.8952098349853868E-2</v>
      </c>
      <c r="AF91" s="139">
        <f t="shared" si="40"/>
        <v>0.11863009297657345</v>
      </c>
      <c r="AG91" s="139" t="str">
        <f t="shared" si="41"/>
        <v/>
      </c>
      <c r="AH91" s="139" t="str">
        <f t="shared" si="42"/>
        <v/>
      </c>
      <c r="AI91" s="139" t="str">
        <f t="shared" si="43"/>
        <v/>
      </c>
      <c r="AJ91" s="139" t="str">
        <f t="shared" si="44"/>
        <v/>
      </c>
      <c r="AK91" s="139" t="str">
        <f t="shared" si="45"/>
        <v/>
      </c>
      <c r="AL91" s="139" t="str">
        <f t="shared" si="46"/>
        <v/>
      </c>
      <c r="AM91" s="139" t="str">
        <f t="shared" si="47"/>
        <v/>
      </c>
      <c r="AN91" s="139" t="str">
        <f t="shared" si="48"/>
        <v/>
      </c>
      <c r="AP91" s="82">
        <f t="shared" si="49"/>
        <v>5.8701938434653858E-4</v>
      </c>
      <c r="AQ91" s="82">
        <f t="shared" si="50"/>
        <v>0.95246026117669513</v>
      </c>
    </row>
    <row r="92" spans="2:43" x14ac:dyDescent="0.35">
      <c r="B92" s="83" t="s">
        <v>186</v>
      </c>
      <c r="D92" s="137">
        <v>1201899</v>
      </c>
      <c r="E92" s="137">
        <v>1174312</v>
      </c>
      <c r="F92" s="137">
        <v>1284182</v>
      </c>
      <c r="G92" s="137">
        <v>1283965</v>
      </c>
      <c r="H92" s="137">
        <f t="shared" si="31"/>
        <v>4944358</v>
      </c>
      <c r="J92" s="137">
        <v>221845</v>
      </c>
      <c r="K92" s="137">
        <v>212160</v>
      </c>
      <c r="L92" s="137">
        <v>223065</v>
      </c>
      <c r="M92" s="137">
        <v>235142</v>
      </c>
      <c r="N92" s="137">
        <f t="shared" si="32"/>
        <v>892212</v>
      </c>
      <c r="P92" s="84">
        <f t="shared" si="33"/>
        <v>0.18457873748126921</v>
      </c>
      <c r="Q92" s="84">
        <f t="shared" si="34"/>
        <v>0.18066748870828195</v>
      </c>
      <c r="R92" s="84">
        <f t="shared" si="35"/>
        <v>0.17370201420047937</v>
      </c>
      <c r="S92" s="84">
        <f t="shared" si="36"/>
        <v>0.18313739081672786</v>
      </c>
      <c r="T92" s="84" t="str">
        <f>+IFERROR(#REF!/#REF!,"")</f>
        <v/>
      </c>
      <c r="U92" s="84" t="str">
        <f>+IFERROR(#REF!/#REF!,"")</f>
        <v/>
      </c>
      <c r="V92" s="84" t="str">
        <f>+IFERROR(#REF!/#REF!,"")</f>
        <v/>
      </c>
      <c r="W92" s="84" t="str">
        <f>+IFERROR(#REF!/#REF!,"")</f>
        <v/>
      </c>
      <c r="X92" s="84" t="str">
        <f>+IFERROR(#REF!/#REF!,"")</f>
        <v/>
      </c>
      <c r="Y92" s="84" t="str">
        <f>+IFERROR(#REF!/#REF!,"")</f>
        <v/>
      </c>
      <c r="Z92" s="84" t="str">
        <f>+IFERROR(#REF!/#REF!,"")</f>
        <v/>
      </c>
      <c r="AA92" s="84" t="str">
        <f>+IFERROR(#REF!/#REF!,"")</f>
        <v/>
      </c>
      <c r="AB92" s="84">
        <f t="shared" si="37"/>
        <v>0.18045052562941438</v>
      </c>
      <c r="AD92" s="139">
        <f t="shared" si="38"/>
        <v>-3.9112487729872636E-3</v>
      </c>
      <c r="AE92" s="139">
        <f t="shared" si="39"/>
        <v>-6.965474507802577E-3</v>
      </c>
      <c r="AF92" s="139">
        <f t="shared" si="40"/>
        <v>9.435376616248492E-3</v>
      </c>
      <c r="AG92" s="139" t="str">
        <f t="shared" si="41"/>
        <v/>
      </c>
      <c r="AH92" s="139" t="str">
        <f t="shared" si="42"/>
        <v/>
      </c>
      <c r="AI92" s="139" t="str">
        <f t="shared" si="43"/>
        <v/>
      </c>
      <c r="AJ92" s="139" t="str">
        <f t="shared" si="44"/>
        <v/>
      </c>
      <c r="AK92" s="139" t="str">
        <f t="shared" si="45"/>
        <v/>
      </c>
      <c r="AL92" s="139" t="str">
        <f t="shared" si="46"/>
        <v/>
      </c>
      <c r="AM92" s="139" t="str">
        <f t="shared" si="47"/>
        <v/>
      </c>
      <c r="AN92" s="139" t="str">
        <f t="shared" si="48"/>
        <v/>
      </c>
      <c r="AP92" s="82">
        <f t="shared" si="49"/>
        <v>8.8097044447796313E-4</v>
      </c>
      <c r="AQ92" s="82">
        <f t="shared" si="50"/>
        <v>0.95334123162117312</v>
      </c>
    </row>
    <row r="93" spans="2:43" x14ac:dyDescent="0.35">
      <c r="B93" s="83" t="s">
        <v>187</v>
      </c>
      <c r="D93" s="137">
        <v>2327681</v>
      </c>
      <c r="E93" s="137">
        <v>2027813</v>
      </c>
      <c r="F93" s="137">
        <v>1936631</v>
      </c>
      <c r="G93" s="137">
        <v>1458681</v>
      </c>
      <c r="H93" s="137">
        <f t="shared" si="31"/>
        <v>7750806</v>
      </c>
      <c r="J93" s="137">
        <v>369406</v>
      </c>
      <c r="K93" s="137">
        <v>306548</v>
      </c>
      <c r="L93" s="137">
        <v>359128</v>
      </c>
      <c r="M93" s="137">
        <v>255947</v>
      </c>
      <c r="N93" s="137">
        <f t="shared" si="32"/>
        <v>1291029</v>
      </c>
      <c r="P93" s="84">
        <f t="shared" si="33"/>
        <v>0.1587012997055868</v>
      </c>
      <c r="Q93" s="84">
        <f t="shared" si="34"/>
        <v>0.15117173033213616</v>
      </c>
      <c r="R93" s="84">
        <f t="shared" si="35"/>
        <v>0.18543955973027387</v>
      </c>
      <c r="S93" s="84">
        <f t="shared" si="36"/>
        <v>0.17546468350516664</v>
      </c>
      <c r="T93" s="84" t="str">
        <f>+IFERROR(#REF!/#REF!,"")</f>
        <v/>
      </c>
      <c r="U93" s="84" t="str">
        <f>+IFERROR(#REF!/#REF!,"")</f>
        <v/>
      </c>
      <c r="V93" s="84" t="str">
        <f>+IFERROR(#REF!/#REF!,"")</f>
        <v/>
      </c>
      <c r="W93" s="84" t="str">
        <f>+IFERROR(#REF!/#REF!,"")</f>
        <v/>
      </c>
      <c r="X93" s="84" t="str">
        <f>+IFERROR(#REF!/#REF!,"")</f>
        <v/>
      </c>
      <c r="Y93" s="84" t="str">
        <f>+IFERROR(#REF!/#REF!,"")</f>
        <v/>
      </c>
      <c r="Z93" s="84" t="str">
        <f>+IFERROR(#REF!/#REF!,"")</f>
        <v/>
      </c>
      <c r="AA93" s="84" t="str">
        <f>+IFERROR(#REF!/#REF!,"")</f>
        <v/>
      </c>
      <c r="AB93" s="84">
        <f t="shared" si="37"/>
        <v>0.16656706412210551</v>
      </c>
      <c r="AD93" s="139">
        <f t="shared" si="38"/>
        <v>-7.5295693734506453E-3</v>
      </c>
      <c r="AE93" s="139">
        <f t="shared" si="39"/>
        <v>3.4267829398137717E-2</v>
      </c>
      <c r="AF93" s="139">
        <f t="shared" si="40"/>
        <v>-9.974876225107232E-3</v>
      </c>
      <c r="AG93" s="139" t="str">
        <f t="shared" si="41"/>
        <v/>
      </c>
      <c r="AH93" s="139" t="str">
        <f t="shared" si="42"/>
        <v/>
      </c>
      <c r="AI93" s="139" t="str">
        <f t="shared" si="43"/>
        <v/>
      </c>
      <c r="AJ93" s="139" t="str">
        <f t="shared" si="44"/>
        <v/>
      </c>
      <c r="AK93" s="139" t="str">
        <f t="shared" si="45"/>
        <v/>
      </c>
      <c r="AL93" s="139" t="str">
        <f t="shared" si="46"/>
        <v/>
      </c>
      <c r="AM93" s="139" t="str">
        <f t="shared" si="47"/>
        <v/>
      </c>
      <c r="AN93" s="139" t="str">
        <f t="shared" si="48"/>
        <v/>
      </c>
      <c r="AP93" s="82">
        <f t="shared" si="49"/>
        <v>1.2747624913853886E-3</v>
      </c>
      <c r="AQ93" s="82">
        <f t="shared" si="50"/>
        <v>0.95461599411255849</v>
      </c>
    </row>
    <row r="94" spans="2:43" x14ac:dyDescent="0.35">
      <c r="B94" s="83" t="s">
        <v>188</v>
      </c>
      <c r="D94" s="137">
        <v>986067</v>
      </c>
      <c r="E94" s="137">
        <v>1073874</v>
      </c>
      <c r="F94" s="137">
        <v>1124402</v>
      </c>
      <c r="G94" s="137">
        <v>979316</v>
      </c>
      <c r="H94" s="137">
        <f t="shared" si="31"/>
        <v>4163659</v>
      </c>
      <c r="J94" s="137">
        <v>342042</v>
      </c>
      <c r="K94" s="137">
        <v>413502</v>
      </c>
      <c r="L94" s="137">
        <v>207043</v>
      </c>
      <c r="M94" s="137">
        <v>407609</v>
      </c>
      <c r="N94" s="137">
        <f t="shared" si="32"/>
        <v>1370196</v>
      </c>
      <c r="P94" s="84">
        <f t="shared" si="33"/>
        <v>0.34687500950746752</v>
      </c>
      <c r="Q94" s="84">
        <f t="shared" si="34"/>
        <v>0.38505634739271088</v>
      </c>
      <c r="R94" s="84">
        <f t="shared" si="35"/>
        <v>0.18413610078957526</v>
      </c>
      <c r="S94" s="84">
        <f t="shared" si="36"/>
        <v>0.41621805423377134</v>
      </c>
      <c r="T94" s="84" t="str">
        <f>+IFERROR(#REF!/#REF!,"")</f>
        <v/>
      </c>
      <c r="U94" s="84" t="str">
        <f>+IFERROR(#REF!/#REF!,"")</f>
        <v/>
      </c>
      <c r="V94" s="84" t="str">
        <f>+IFERROR(#REF!/#REF!,"")</f>
        <v/>
      </c>
      <c r="W94" s="84" t="str">
        <f>+IFERROR(#REF!/#REF!,"")</f>
        <v/>
      </c>
      <c r="X94" s="84" t="str">
        <f>+IFERROR(#REF!/#REF!,"")</f>
        <v/>
      </c>
      <c r="Y94" s="84" t="str">
        <f>+IFERROR(#REF!/#REF!,"")</f>
        <v/>
      </c>
      <c r="Z94" s="84" t="str">
        <f>+IFERROR(#REF!/#REF!,"")</f>
        <v/>
      </c>
      <c r="AA94" s="84" t="str">
        <f>+IFERROR(#REF!/#REF!,"")</f>
        <v/>
      </c>
      <c r="AB94" s="84">
        <f t="shared" si="37"/>
        <v>0.32908458641785987</v>
      </c>
      <c r="AD94" s="139">
        <f t="shared" si="38"/>
        <v>3.818133788524336E-2</v>
      </c>
      <c r="AE94" s="139">
        <f t="shared" si="39"/>
        <v>-0.20092024660313562</v>
      </c>
      <c r="AF94" s="139">
        <f t="shared" si="40"/>
        <v>0.23208195344419608</v>
      </c>
      <c r="AG94" s="139" t="str">
        <f t="shared" si="41"/>
        <v/>
      </c>
      <c r="AH94" s="139" t="str">
        <f t="shared" si="42"/>
        <v/>
      </c>
      <c r="AI94" s="139" t="str">
        <f t="shared" si="43"/>
        <v/>
      </c>
      <c r="AJ94" s="139" t="str">
        <f t="shared" si="44"/>
        <v/>
      </c>
      <c r="AK94" s="139" t="str">
        <f t="shared" si="45"/>
        <v/>
      </c>
      <c r="AL94" s="139" t="str">
        <f t="shared" si="46"/>
        <v/>
      </c>
      <c r="AM94" s="139" t="str">
        <f t="shared" si="47"/>
        <v/>
      </c>
      <c r="AN94" s="139" t="str">
        <f t="shared" si="48"/>
        <v/>
      </c>
      <c r="AP94" s="82">
        <f t="shared" si="49"/>
        <v>1.3529320151958585E-3</v>
      </c>
      <c r="AQ94" s="82">
        <f t="shared" si="50"/>
        <v>0.9559689261277543</v>
      </c>
    </row>
    <row r="95" spans="2:43" x14ac:dyDescent="0.35">
      <c r="B95" s="83" t="s">
        <v>189</v>
      </c>
      <c r="D95" s="137">
        <v>4710733</v>
      </c>
      <c r="E95" s="137">
        <v>4418482</v>
      </c>
      <c r="F95" s="137">
        <v>3914534</v>
      </c>
      <c r="G95" s="137">
        <v>4093604</v>
      </c>
      <c r="H95" s="137">
        <f t="shared" si="31"/>
        <v>17137353</v>
      </c>
      <c r="J95" s="137">
        <v>571170</v>
      </c>
      <c r="K95" s="137">
        <v>539219</v>
      </c>
      <c r="L95" s="137">
        <v>514264</v>
      </c>
      <c r="M95" s="137">
        <v>491198</v>
      </c>
      <c r="N95" s="137">
        <f t="shared" si="32"/>
        <v>2115851</v>
      </c>
      <c r="P95" s="84">
        <f t="shared" si="33"/>
        <v>0.12124864644207176</v>
      </c>
      <c r="Q95" s="84">
        <f t="shared" si="34"/>
        <v>0.12203716117888451</v>
      </c>
      <c r="R95" s="84">
        <f t="shared" si="35"/>
        <v>0.13137298079413795</v>
      </c>
      <c r="S95" s="84">
        <f t="shared" si="36"/>
        <v>0.11999157710418497</v>
      </c>
      <c r="T95" s="84" t="str">
        <f>+IFERROR(#REF!/#REF!,"")</f>
        <v/>
      </c>
      <c r="U95" s="84" t="str">
        <f>+IFERROR(#REF!/#REF!,"")</f>
        <v/>
      </c>
      <c r="V95" s="84" t="str">
        <f>+IFERROR(#REF!/#REF!,"")</f>
        <v/>
      </c>
      <c r="W95" s="84" t="str">
        <f>+IFERROR(#REF!/#REF!,"")</f>
        <v/>
      </c>
      <c r="X95" s="84" t="str">
        <f>+IFERROR(#REF!/#REF!,"")</f>
        <v/>
      </c>
      <c r="Y95" s="84" t="str">
        <f>+IFERROR(#REF!/#REF!,"")</f>
        <v/>
      </c>
      <c r="Z95" s="84" t="str">
        <f>+IFERROR(#REF!/#REF!,"")</f>
        <v/>
      </c>
      <c r="AA95" s="84" t="str">
        <f>+IFERROR(#REF!/#REF!,"")</f>
        <v/>
      </c>
      <c r="AB95" s="84">
        <f t="shared" si="37"/>
        <v>0.12346428296131848</v>
      </c>
      <c r="AD95" s="139">
        <f t="shared" si="38"/>
        <v>7.8851473681275375E-4</v>
      </c>
      <c r="AE95" s="139">
        <f t="shared" si="39"/>
        <v>9.3358196152534406E-3</v>
      </c>
      <c r="AF95" s="139">
        <f t="shared" si="40"/>
        <v>-1.1381403689952982E-2</v>
      </c>
      <c r="AG95" s="139" t="str">
        <f t="shared" si="41"/>
        <v/>
      </c>
      <c r="AH95" s="139" t="str">
        <f t="shared" si="42"/>
        <v/>
      </c>
      <c r="AI95" s="139" t="str">
        <f t="shared" si="43"/>
        <v/>
      </c>
      <c r="AJ95" s="139" t="str">
        <f t="shared" si="44"/>
        <v/>
      </c>
      <c r="AK95" s="139" t="str">
        <f t="shared" si="45"/>
        <v/>
      </c>
      <c r="AL95" s="139" t="str">
        <f t="shared" si="46"/>
        <v/>
      </c>
      <c r="AM95" s="139" t="str">
        <f t="shared" si="47"/>
        <v/>
      </c>
      <c r="AN95" s="139" t="str">
        <f t="shared" si="48"/>
        <v/>
      </c>
      <c r="AP95" s="82">
        <f t="shared" si="49"/>
        <v>2.0891920260197607E-3</v>
      </c>
      <c r="AQ95" s="82">
        <f t="shared" si="50"/>
        <v>0.95805811815377406</v>
      </c>
    </row>
    <row r="96" spans="2:43" x14ac:dyDescent="0.35">
      <c r="B96" s="83" t="s">
        <v>190</v>
      </c>
      <c r="D96" s="137">
        <v>883466</v>
      </c>
      <c r="E96" s="137">
        <v>745543</v>
      </c>
      <c r="F96" s="137">
        <v>844968</v>
      </c>
      <c r="G96" s="137">
        <v>832936</v>
      </c>
      <c r="H96" s="137">
        <f t="shared" si="31"/>
        <v>3306913</v>
      </c>
      <c r="J96" s="137">
        <v>149206</v>
      </c>
      <c r="K96" s="137">
        <v>116662</v>
      </c>
      <c r="L96" s="137">
        <v>144598</v>
      </c>
      <c r="M96" s="137">
        <v>188611</v>
      </c>
      <c r="N96" s="137">
        <f t="shared" si="32"/>
        <v>599077</v>
      </c>
      <c r="P96" s="84">
        <f t="shared" si="33"/>
        <v>0.16888708790151516</v>
      </c>
      <c r="Q96" s="84">
        <f t="shared" si="34"/>
        <v>0.15647923728074706</v>
      </c>
      <c r="R96" s="84">
        <f t="shared" si="35"/>
        <v>0.17112837409227333</v>
      </c>
      <c r="S96" s="84">
        <f t="shared" si="36"/>
        <v>0.22644116714849641</v>
      </c>
      <c r="T96" s="84" t="str">
        <f>+IFERROR(#REF!/#REF!,"")</f>
        <v/>
      </c>
      <c r="U96" s="84" t="str">
        <f>+IFERROR(#REF!/#REF!,"")</f>
        <v/>
      </c>
      <c r="V96" s="84" t="str">
        <f>+IFERROR(#REF!/#REF!,"")</f>
        <v/>
      </c>
      <c r="W96" s="84" t="str">
        <f>+IFERROR(#REF!/#REF!,"")</f>
        <v/>
      </c>
      <c r="X96" s="84" t="str">
        <f>+IFERROR(#REF!/#REF!,"")</f>
        <v/>
      </c>
      <c r="Y96" s="84" t="str">
        <f>+IFERROR(#REF!/#REF!,"")</f>
        <v/>
      </c>
      <c r="Z96" s="84" t="str">
        <f>+IFERROR(#REF!/#REF!,"")</f>
        <v/>
      </c>
      <c r="AA96" s="84" t="str">
        <f>+IFERROR(#REF!/#REF!,"")</f>
        <v/>
      </c>
      <c r="AB96" s="84">
        <f t="shared" si="37"/>
        <v>0.18115898422486471</v>
      </c>
      <c r="AD96" s="139">
        <f t="shared" si="38"/>
        <v>-1.2407850620768102E-2</v>
      </c>
      <c r="AE96" s="139">
        <f t="shared" si="39"/>
        <v>1.464913681152627E-2</v>
      </c>
      <c r="AF96" s="139">
        <f t="shared" si="40"/>
        <v>5.5312793056223081E-2</v>
      </c>
      <c r="AG96" s="139" t="str">
        <f t="shared" si="41"/>
        <v/>
      </c>
      <c r="AH96" s="139" t="str">
        <f t="shared" si="42"/>
        <v/>
      </c>
      <c r="AI96" s="139" t="str">
        <f t="shared" si="43"/>
        <v/>
      </c>
      <c r="AJ96" s="139" t="str">
        <f t="shared" si="44"/>
        <v/>
      </c>
      <c r="AK96" s="139" t="str">
        <f t="shared" si="45"/>
        <v/>
      </c>
      <c r="AL96" s="139" t="str">
        <f t="shared" si="46"/>
        <v/>
      </c>
      <c r="AM96" s="139" t="str">
        <f t="shared" si="47"/>
        <v/>
      </c>
      <c r="AN96" s="139" t="str">
        <f t="shared" si="48"/>
        <v/>
      </c>
      <c r="AP96" s="82">
        <f t="shared" si="49"/>
        <v>5.9152884176241153E-4</v>
      </c>
      <c r="AQ96" s="82">
        <f t="shared" si="50"/>
        <v>0.95864964699553645</v>
      </c>
    </row>
    <row r="97" spans="2:43" x14ac:dyDescent="0.35">
      <c r="B97" s="83" t="s">
        <v>191</v>
      </c>
      <c r="D97" s="137">
        <v>2123549</v>
      </c>
      <c r="E97" s="137">
        <v>1702450</v>
      </c>
      <c r="F97" s="137">
        <v>1917621</v>
      </c>
      <c r="G97" s="137">
        <v>1100280</v>
      </c>
      <c r="H97" s="137">
        <f t="shared" si="31"/>
        <v>6843900</v>
      </c>
      <c r="J97" s="137">
        <v>298855</v>
      </c>
      <c r="K97" s="137">
        <v>245588</v>
      </c>
      <c r="L97" s="137">
        <v>298395</v>
      </c>
      <c r="M97" s="137">
        <v>173326</v>
      </c>
      <c r="N97" s="137">
        <f t="shared" si="32"/>
        <v>1016164</v>
      </c>
      <c r="P97" s="84">
        <f t="shared" si="33"/>
        <v>0.14073374337017888</v>
      </c>
      <c r="Q97" s="84">
        <f t="shared" si="34"/>
        <v>0.14425563158976767</v>
      </c>
      <c r="R97" s="84">
        <f t="shared" si="35"/>
        <v>0.15560686913628918</v>
      </c>
      <c r="S97" s="84">
        <f t="shared" si="36"/>
        <v>0.15752899262006034</v>
      </c>
      <c r="T97" s="84" t="str">
        <f>+IFERROR(#REF!/#REF!,"")</f>
        <v/>
      </c>
      <c r="U97" s="84" t="str">
        <f>+IFERROR(#REF!/#REF!,"")</f>
        <v/>
      </c>
      <c r="V97" s="84" t="str">
        <f>+IFERROR(#REF!/#REF!,"")</f>
        <v/>
      </c>
      <c r="W97" s="84" t="str">
        <f>+IFERROR(#REF!/#REF!,"")</f>
        <v/>
      </c>
      <c r="X97" s="84" t="str">
        <f>+IFERROR(#REF!/#REF!,"")</f>
        <v/>
      </c>
      <c r="Y97" s="84" t="str">
        <f>+IFERROR(#REF!/#REF!,"")</f>
        <v/>
      </c>
      <c r="Z97" s="84" t="str">
        <f>+IFERROR(#REF!/#REF!,"")</f>
        <v/>
      </c>
      <c r="AA97" s="84" t="str">
        <f>+IFERROR(#REF!/#REF!,"")</f>
        <v/>
      </c>
      <c r="AB97" s="84">
        <f t="shared" si="37"/>
        <v>0.14847733017723813</v>
      </c>
      <c r="AD97" s="139">
        <f t="shared" si="38"/>
        <v>3.5218882195887924E-3</v>
      </c>
      <c r="AE97" s="139">
        <f t="shared" si="39"/>
        <v>1.1351237546521509E-2</v>
      </c>
      <c r="AF97" s="139">
        <f t="shared" si="40"/>
        <v>1.9221234837711598E-3</v>
      </c>
      <c r="AG97" s="139" t="str">
        <f t="shared" si="41"/>
        <v/>
      </c>
      <c r="AH97" s="139" t="str">
        <f t="shared" si="42"/>
        <v/>
      </c>
      <c r="AI97" s="139" t="str">
        <f t="shared" si="43"/>
        <v/>
      </c>
      <c r="AJ97" s="139" t="str">
        <f t="shared" si="44"/>
        <v/>
      </c>
      <c r="AK97" s="139" t="str">
        <f t="shared" si="45"/>
        <v/>
      </c>
      <c r="AL97" s="139" t="str">
        <f t="shared" si="46"/>
        <v/>
      </c>
      <c r="AM97" s="139" t="str">
        <f t="shared" si="47"/>
        <v/>
      </c>
      <c r="AN97" s="139" t="str">
        <f t="shared" si="48"/>
        <v/>
      </c>
      <c r="AP97" s="82">
        <f t="shared" si="49"/>
        <v>1.0033606931340365E-3</v>
      </c>
      <c r="AQ97" s="82">
        <f t="shared" si="50"/>
        <v>0.95965300768867046</v>
      </c>
    </row>
    <row r="98" spans="2:43" x14ac:dyDescent="0.35">
      <c r="B98" s="83" t="s">
        <v>192</v>
      </c>
      <c r="D98" s="137">
        <v>499843</v>
      </c>
      <c r="E98" s="137">
        <v>513786</v>
      </c>
      <c r="F98" s="137">
        <v>521828</v>
      </c>
      <c r="G98" s="137">
        <v>400381</v>
      </c>
      <c r="H98" s="137">
        <f t="shared" si="31"/>
        <v>1935838</v>
      </c>
      <c r="J98" s="137">
        <v>96810</v>
      </c>
      <c r="K98" s="137">
        <v>92280</v>
      </c>
      <c r="L98" s="137">
        <v>92523</v>
      </c>
      <c r="M98" s="137">
        <v>71506</v>
      </c>
      <c r="N98" s="137">
        <f t="shared" si="32"/>
        <v>353119</v>
      </c>
      <c r="P98" s="84">
        <f t="shared" si="33"/>
        <v>0.1936808157761537</v>
      </c>
      <c r="Q98" s="84">
        <f t="shared" si="34"/>
        <v>0.17960785229648141</v>
      </c>
      <c r="R98" s="84">
        <f t="shared" si="35"/>
        <v>0.17730554895482803</v>
      </c>
      <c r="S98" s="84">
        <f t="shared" si="36"/>
        <v>0.1785948883688287</v>
      </c>
      <c r="T98" s="84" t="str">
        <f>+IFERROR(#REF!/#REF!,"")</f>
        <v/>
      </c>
      <c r="U98" s="84" t="str">
        <f>+IFERROR(#REF!/#REF!,"")</f>
        <v/>
      </c>
      <c r="V98" s="84" t="str">
        <f>+IFERROR(#REF!/#REF!,"")</f>
        <v/>
      </c>
      <c r="W98" s="84" t="str">
        <f>+IFERROR(#REF!/#REF!,"")</f>
        <v/>
      </c>
      <c r="X98" s="84" t="str">
        <f>+IFERROR(#REF!/#REF!,"")</f>
        <v/>
      </c>
      <c r="Y98" s="84" t="str">
        <f>+IFERROR(#REF!/#REF!,"")</f>
        <v/>
      </c>
      <c r="Z98" s="84" t="str">
        <f>+IFERROR(#REF!/#REF!,"")</f>
        <v/>
      </c>
      <c r="AA98" s="84" t="str">
        <f>+IFERROR(#REF!/#REF!,"")</f>
        <v/>
      </c>
      <c r="AB98" s="84">
        <f t="shared" si="37"/>
        <v>0.1824114414532621</v>
      </c>
      <c r="AD98" s="139">
        <f t="shared" si="38"/>
        <v>-1.4072963479672296E-2</v>
      </c>
      <c r="AE98" s="139">
        <f t="shared" si="39"/>
        <v>-2.3023033416533778E-3</v>
      </c>
      <c r="AF98" s="139">
        <f t="shared" si="40"/>
        <v>1.2893394140006675E-3</v>
      </c>
      <c r="AG98" s="139" t="str">
        <f t="shared" si="41"/>
        <v/>
      </c>
      <c r="AH98" s="139" t="str">
        <f t="shared" si="42"/>
        <v/>
      </c>
      <c r="AI98" s="139" t="str">
        <f t="shared" si="43"/>
        <v/>
      </c>
      <c r="AJ98" s="139" t="str">
        <f t="shared" si="44"/>
        <v/>
      </c>
      <c r="AK98" s="139" t="str">
        <f t="shared" si="45"/>
        <v/>
      </c>
      <c r="AL98" s="139" t="str">
        <f t="shared" si="46"/>
        <v/>
      </c>
      <c r="AM98" s="139" t="str">
        <f t="shared" si="47"/>
        <v/>
      </c>
      <c r="AN98" s="139" t="str">
        <f t="shared" si="48"/>
        <v/>
      </c>
      <c r="AP98" s="82">
        <f t="shared" si="49"/>
        <v>3.4866982553878888E-4</v>
      </c>
      <c r="AQ98" s="82">
        <f t="shared" si="50"/>
        <v>0.96000167751420928</v>
      </c>
    </row>
    <row r="99" spans="2:43" x14ac:dyDescent="0.35">
      <c r="B99" s="83" t="s">
        <v>193</v>
      </c>
      <c r="D99" s="137">
        <v>14204997</v>
      </c>
      <c r="E99" s="137">
        <v>12401195</v>
      </c>
      <c r="F99" s="137">
        <v>7230176</v>
      </c>
      <c r="G99" s="137">
        <v>11872422</v>
      </c>
      <c r="H99" s="137">
        <f t="shared" si="31"/>
        <v>45708790</v>
      </c>
      <c r="J99" s="137">
        <v>2077260</v>
      </c>
      <c r="K99" s="137">
        <v>1956357</v>
      </c>
      <c r="L99" s="137">
        <v>1005634</v>
      </c>
      <c r="M99" s="137">
        <v>1894493</v>
      </c>
      <c r="N99" s="137">
        <f t="shared" si="32"/>
        <v>6933744</v>
      </c>
      <c r="P99" s="84">
        <f t="shared" si="33"/>
        <v>0.14623445538214475</v>
      </c>
      <c r="Q99" s="84">
        <f t="shared" si="34"/>
        <v>0.15775552275405716</v>
      </c>
      <c r="R99" s="84">
        <f t="shared" si="35"/>
        <v>0.13908845372505454</v>
      </c>
      <c r="S99" s="84">
        <f t="shared" si="36"/>
        <v>0.15957089463295696</v>
      </c>
      <c r="T99" s="84" t="str">
        <f>+IFERROR(#REF!/#REF!,"")</f>
        <v/>
      </c>
      <c r="U99" s="84" t="str">
        <f>+IFERROR(#REF!/#REF!,"")</f>
        <v/>
      </c>
      <c r="V99" s="84" t="str">
        <f>+IFERROR(#REF!/#REF!,"")</f>
        <v/>
      </c>
      <c r="W99" s="84" t="str">
        <f>+IFERROR(#REF!/#REF!,"")</f>
        <v/>
      </c>
      <c r="X99" s="84" t="str">
        <f>+IFERROR(#REF!/#REF!,"")</f>
        <v/>
      </c>
      <c r="Y99" s="84" t="str">
        <f>+IFERROR(#REF!/#REF!,"")</f>
        <v/>
      </c>
      <c r="Z99" s="84" t="str">
        <f>+IFERROR(#REF!/#REF!,"")</f>
        <v/>
      </c>
      <c r="AA99" s="84" t="str">
        <f>+IFERROR(#REF!/#REF!,"")</f>
        <v/>
      </c>
      <c r="AB99" s="84">
        <f t="shared" si="37"/>
        <v>0.15169388644941159</v>
      </c>
      <c r="AD99" s="139">
        <f t="shared" si="38"/>
        <v>1.1521067371912413E-2</v>
      </c>
      <c r="AE99" s="139">
        <f t="shared" si="39"/>
        <v>-1.8667069029002614E-2</v>
      </c>
      <c r="AF99" s="139">
        <f t="shared" si="40"/>
        <v>2.0482440907902411E-2</v>
      </c>
      <c r="AG99" s="139" t="str">
        <f t="shared" si="41"/>
        <v/>
      </c>
      <c r="AH99" s="139" t="str">
        <f t="shared" si="42"/>
        <v/>
      </c>
      <c r="AI99" s="139" t="str">
        <f t="shared" si="43"/>
        <v/>
      </c>
      <c r="AJ99" s="139" t="str">
        <f t="shared" si="44"/>
        <v/>
      </c>
      <c r="AK99" s="139" t="str">
        <f t="shared" si="45"/>
        <v/>
      </c>
      <c r="AL99" s="139" t="str">
        <f t="shared" si="46"/>
        <v/>
      </c>
      <c r="AM99" s="139" t="str">
        <f t="shared" si="47"/>
        <v/>
      </c>
      <c r="AN99" s="139" t="str">
        <f t="shared" si="48"/>
        <v/>
      </c>
      <c r="AP99" s="82">
        <f t="shared" si="49"/>
        <v>6.8463812788624344E-3</v>
      </c>
      <c r="AQ99" s="82">
        <f t="shared" si="50"/>
        <v>0.96684805879307167</v>
      </c>
    </row>
    <row r="100" spans="2:43" x14ac:dyDescent="0.35">
      <c r="B100" s="83" t="s">
        <v>194</v>
      </c>
      <c r="D100" s="137">
        <v>2914347</v>
      </c>
      <c r="E100" s="137">
        <v>2293418</v>
      </c>
      <c r="F100" s="137">
        <v>3392178</v>
      </c>
      <c r="G100" s="137">
        <v>1496131</v>
      </c>
      <c r="H100" s="137">
        <f t="shared" si="31"/>
        <v>10096074</v>
      </c>
      <c r="J100" s="137">
        <v>500945</v>
      </c>
      <c r="K100" s="137">
        <v>448120</v>
      </c>
      <c r="L100" s="137">
        <v>650806</v>
      </c>
      <c r="M100" s="137">
        <v>248495</v>
      </c>
      <c r="N100" s="137">
        <f t="shared" si="32"/>
        <v>1848366</v>
      </c>
      <c r="P100" s="84">
        <f t="shared" si="33"/>
        <v>0.17188927742646981</v>
      </c>
      <c r="Q100" s="84">
        <f t="shared" si="34"/>
        <v>0.19539394911873892</v>
      </c>
      <c r="R100" s="84">
        <f t="shared" si="35"/>
        <v>0.19185490855727499</v>
      </c>
      <c r="S100" s="84">
        <f t="shared" si="36"/>
        <v>0.16609173929288276</v>
      </c>
      <c r="T100" s="84" t="str">
        <f>+IFERROR(#REF!/#REF!,"")</f>
        <v/>
      </c>
      <c r="U100" s="84" t="str">
        <f>+IFERROR(#REF!/#REF!,"")</f>
        <v/>
      </c>
      <c r="V100" s="84" t="str">
        <f>+IFERROR(#REF!/#REF!,"")</f>
        <v/>
      </c>
      <c r="W100" s="84" t="str">
        <f>+IFERROR(#REF!/#REF!,"")</f>
        <v/>
      </c>
      <c r="X100" s="84" t="str">
        <f>+IFERROR(#REF!/#REF!,"")</f>
        <v/>
      </c>
      <c r="Y100" s="84" t="str">
        <f>+IFERROR(#REF!/#REF!,"")</f>
        <v/>
      </c>
      <c r="Z100" s="84" t="str">
        <f>+IFERROR(#REF!/#REF!,"")</f>
        <v/>
      </c>
      <c r="AA100" s="84" t="str">
        <f>+IFERROR(#REF!/#REF!,"")</f>
        <v/>
      </c>
      <c r="AB100" s="84">
        <f t="shared" si="37"/>
        <v>0.18307769931163342</v>
      </c>
      <c r="AD100" s="139">
        <f t="shared" si="38"/>
        <v>2.3504671692269108E-2</v>
      </c>
      <c r="AE100" s="139">
        <f t="shared" si="39"/>
        <v>-3.5390405614639242E-3</v>
      </c>
      <c r="AF100" s="139">
        <f t="shared" si="40"/>
        <v>-2.5763169264392233E-2</v>
      </c>
      <c r="AG100" s="139" t="str">
        <f t="shared" si="41"/>
        <v/>
      </c>
      <c r="AH100" s="139" t="str">
        <f t="shared" si="42"/>
        <v/>
      </c>
      <c r="AI100" s="139" t="str">
        <f t="shared" si="43"/>
        <v/>
      </c>
      <c r="AJ100" s="139" t="str">
        <f t="shared" si="44"/>
        <v/>
      </c>
      <c r="AK100" s="139" t="str">
        <f t="shared" si="45"/>
        <v/>
      </c>
      <c r="AL100" s="139" t="str">
        <f t="shared" si="46"/>
        <v/>
      </c>
      <c r="AM100" s="139" t="str">
        <f t="shared" si="47"/>
        <v/>
      </c>
      <c r="AN100" s="139" t="str">
        <f t="shared" si="48"/>
        <v/>
      </c>
      <c r="AP100" s="82">
        <f t="shared" si="49"/>
        <v>1.8250772423795633E-3</v>
      </c>
      <c r="AQ100" s="82">
        <f t="shared" si="50"/>
        <v>0.96867313603545124</v>
      </c>
    </row>
    <row r="101" spans="2:43" x14ac:dyDescent="0.35">
      <c r="B101" s="83" t="s">
        <v>195</v>
      </c>
      <c r="D101" s="137">
        <v>970881</v>
      </c>
      <c r="E101" s="137">
        <v>724083</v>
      </c>
      <c r="F101" s="137">
        <v>756893</v>
      </c>
      <c r="G101" s="137">
        <v>766896</v>
      </c>
      <c r="H101" s="137">
        <f t="shared" si="31"/>
        <v>3218753</v>
      </c>
      <c r="J101" s="137">
        <v>116396</v>
      </c>
      <c r="K101" s="137">
        <v>72589</v>
      </c>
      <c r="L101" s="137">
        <v>102721</v>
      </c>
      <c r="M101" s="137">
        <v>92597</v>
      </c>
      <c r="N101" s="137">
        <f t="shared" si="32"/>
        <v>384303</v>
      </c>
      <c r="P101" s="84">
        <f t="shared" si="33"/>
        <v>0.11988698923966995</v>
      </c>
      <c r="Q101" s="84">
        <f t="shared" si="34"/>
        <v>0.10024955702592106</v>
      </c>
      <c r="R101" s="84">
        <f t="shared" si="35"/>
        <v>0.13571403091322023</v>
      </c>
      <c r="S101" s="84">
        <f t="shared" si="36"/>
        <v>0.12074257787235818</v>
      </c>
      <c r="T101" s="84" t="str">
        <f>+IFERROR(#REF!/#REF!,"")</f>
        <v/>
      </c>
      <c r="U101" s="84" t="str">
        <f>+IFERROR(#REF!/#REF!,"")</f>
        <v/>
      </c>
      <c r="V101" s="84" t="str">
        <f>+IFERROR(#REF!/#REF!,"")</f>
        <v/>
      </c>
      <c r="W101" s="84" t="str">
        <f>+IFERROR(#REF!/#REF!,"")</f>
        <v/>
      </c>
      <c r="X101" s="84" t="str">
        <f>+IFERROR(#REF!/#REF!,"")</f>
        <v/>
      </c>
      <c r="Y101" s="84" t="str">
        <f>+IFERROR(#REF!/#REF!,"")</f>
        <v/>
      </c>
      <c r="Z101" s="84" t="str">
        <f>+IFERROR(#REF!/#REF!,"")</f>
        <v/>
      </c>
      <c r="AA101" s="84" t="str">
        <f>+IFERROR(#REF!/#REF!,"")</f>
        <v/>
      </c>
      <c r="AB101" s="84">
        <f t="shared" si="37"/>
        <v>0.11939499551534398</v>
      </c>
      <c r="AD101" s="139">
        <f t="shared" ref="AD101:AD132" si="51">+IFERROR(Q101-P101,"")</f>
        <v>-1.963743221374889E-2</v>
      </c>
      <c r="AE101" s="139">
        <f t="shared" ref="AE101:AE132" si="52">+IFERROR(R101-Q101,"")</f>
        <v>3.5464473887299175E-2</v>
      </c>
      <c r="AF101" s="139">
        <f t="shared" ref="AF101:AF132" si="53">+IFERROR(S101-R101,"")</f>
        <v>-1.4971453040862059E-2</v>
      </c>
      <c r="AG101" s="139" t="str">
        <f t="shared" ref="AG101:AG132" si="54">+IFERROR(T101-S101,"")</f>
        <v/>
      </c>
      <c r="AH101" s="139" t="str">
        <f t="shared" ref="AH101:AH132" si="55">+IFERROR(U101-T101,"")</f>
        <v/>
      </c>
      <c r="AI101" s="139" t="str">
        <f t="shared" ref="AI101:AI132" si="56">+IFERROR(V101-U101,"")</f>
        <v/>
      </c>
      <c r="AJ101" s="139" t="str">
        <f t="shared" ref="AJ101:AJ132" si="57">+IFERROR(W101-V101,"")</f>
        <v/>
      </c>
      <c r="AK101" s="139" t="str">
        <f t="shared" ref="AK101:AK132" si="58">+IFERROR(X101-W101,"")</f>
        <v/>
      </c>
      <c r="AL101" s="139" t="str">
        <f t="shared" ref="AL101:AL132" si="59">+IFERROR(Y101-X101,"")</f>
        <v/>
      </c>
      <c r="AM101" s="139" t="str">
        <f t="shared" ref="AM101:AM132" si="60">+IFERROR(Z101-Y101,"")</f>
        <v/>
      </c>
      <c r="AN101" s="139" t="str">
        <f t="shared" ref="AN101:AN132" si="61">+IFERROR(AA101-Z101,"")</f>
        <v/>
      </c>
      <c r="AP101" s="82">
        <f t="shared" si="49"/>
        <v>3.7946091817215493E-4</v>
      </c>
      <c r="AQ101" s="82">
        <f t="shared" si="50"/>
        <v>0.96905259695362345</v>
      </c>
    </row>
    <row r="102" spans="2:43" x14ac:dyDescent="0.35">
      <c r="B102" s="83" t="s">
        <v>196</v>
      </c>
      <c r="D102" s="137">
        <v>546759</v>
      </c>
      <c r="E102" s="137">
        <v>454534</v>
      </c>
      <c r="F102" s="137">
        <v>607914</v>
      </c>
      <c r="G102" s="137">
        <v>259286</v>
      </c>
      <c r="H102" s="137">
        <f t="shared" si="31"/>
        <v>1868493</v>
      </c>
      <c r="J102" s="137">
        <v>91022</v>
      </c>
      <c r="K102" s="137">
        <v>120238</v>
      </c>
      <c r="L102" s="137">
        <v>61849</v>
      </c>
      <c r="M102" s="137">
        <v>37865</v>
      </c>
      <c r="N102" s="137">
        <f t="shared" si="32"/>
        <v>310974</v>
      </c>
      <c r="P102" s="84">
        <f t="shared" si="33"/>
        <v>0.16647554041177193</v>
      </c>
      <c r="Q102" s="84">
        <f t="shared" si="34"/>
        <v>0.26453026616270731</v>
      </c>
      <c r="R102" s="84">
        <f t="shared" si="35"/>
        <v>0.10173971976299279</v>
      </c>
      <c r="S102" s="84">
        <f t="shared" si="36"/>
        <v>0.14603565175134794</v>
      </c>
      <c r="T102" s="84" t="str">
        <f>+IFERROR(#REF!/#REF!,"")</f>
        <v/>
      </c>
      <c r="U102" s="84" t="str">
        <f>+IFERROR(#REF!/#REF!,"")</f>
        <v/>
      </c>
      <c r="V102" s="84" t="str">
        <f>+IFERROR(#REF!/#REF!,"")</f>
        <v/>
      </c>
      <c r="W102" s="84" t="str">
        <f>+IFERROR(#REF!/#REF!,"")</f>
        <v/>
      </c>
      <c r="X102" s="84" t="str">
        <f>+IFERROR(#REF!/#REF!,"")</f>
        <v/>
      </c>
      <c r="Y102" s="84" t="str">
        <f>+IFERROR(#REF!/#REF!,"")</f>
        <v/>
      </c>
      <c r="Z102" s="84" t="str">
        <f>+IFERROR(#REF!/#REF!,"")</f>
        <v/>
      </c>
      <c r="AA102" s="84" t="str">
        <f>+IFERROR(#REF!/#REF!,"")</f>
        <v/>
      </c>
      <c r="AB102" s="84">
        <f t="shared" si="37"/>
        <v>0.1664303799907198</v>
      </c>
      <c r="AD102" s="139">
        <f t="shared" si="51"/>
        <v>9.8054725750935379E-2</v>
      </c>
      <c r="AE102" s="139">
        <f t="shared" si="52"/>
        <v>-0.16279054639971452</v>
      </c>
      <c r="AF102" s="139">
        <f t="shared" si="53"/>
        <v>4.4295931988355158E-2</v>
      </c>
      <c r="AG102" s="139" t="str">
        <f t="shared" si="54"/>
        <v/>
      </c>
      <c r="AH102" s="139" t="str">
        <f t="shared" si="55"/>
        <v/>
      </c>
      <c r="AI102" s="139" t="str">
        <f t="shared" si="56"/>
        <v/>
      </c>
      <c r="AJ102" s="139" t="str">
        <f t="shared" si="57"/>
        <v/>
      </c>
      <c r="AK102" s="139" t="str">
        <f t="shared" si="58"/>
        <v/>
      </c>
      <c r="AL102" s="139" t="str">
        <f t="shared" si="59"/>
        <v/>
      </c>
      <c r="AM102" s="139" t="str">
        <f t="shared" si="60"/>
        <v/>
      </c>
      <c r="AN102" s="139" t="str">
        <f t="shared" si="61"/>
        <v/>
      </c>
      <c r="AP102" s="82">
        <f t="shared" si="49"/>
        <v>3.0705583762725687E-4</v>
      </c>
      <c r="AQ102" s="82">
        <f t="shared" si="50"/>
        <v>0.96935965279125069</v>
      </c>
    </row>
    <row r="103" spans="2:43" x14ac:dyDescent="0.35">
      <c r="B103" s="83" t="s">
        <v>197</v>
      </c>
      <c r="D103" s="137">
        <v>375574</v>
      </c>
      <c r="E103" s="137">
        <v>331622</v>
      </c>
      <c r="F103" s="137">
        <v>505671</v>
      </c>
      <c r="G103" s="137">
        <v>292062</v>
      </c>
      <c r="H103" s="137">
        <f t="shared" si="31"/>
        <v>1504929</v>
      </c>
      <c r="J103" s="137">
        <v>58643</v>
      </c>
      <c r="K103" s="137">
        <v>41597</v>
      </c>
      <c r="L103" s="137">
        <v>72856</v>
      </c>
      <c r="M103" s="137">
        <v>61579</v>
      </c>
      <c r="N103" s="137">
        <f t="shared" si="32"/>
        <v>234675</v>
      </c>
      <c r="P103" s="84">
        <f t="shared" si="33"/>
        <v>0.15614233147129461</v>
      </c>
      <c r="Q103" s="84">
        <f t="shared" si="34"/>
        <v>0.12543498320376814</v>
      </c>
      <c r="R103" s="84">
        <f t="shared" si="35"/>
        <v>0.14407786881193504</v>
      </c>
      <c r="S103" s="84">
        <f t="shared" si="36"/>
        <v>0.21084221843307244</v>
      </c>
      <c r="T103" s="84" t="str">
        <f>+IFERROR(#REF!/#REF!,"")</f>
        <v/>
      </c>
      <c r="U103" s="84" t="str">
        <f>+IFERROR(#REF!/#REF!,"")</f>
        <v/>
      </c>
      <c r="V103" s="84" t="str">
        <f>+IFERROR(#REF!/#REF!,"")</f>
        <v/>
      </c>
      <c r="W103" s="84" t="str">
        <f>+IFERROR(#REF!/#REF!,"")</f>
        <v/>
      </c>
      <c r="X103" s="84" t="str">
        <f>+IFERROR(#REF!/#REF!,"")</f>
        <v/>
      </c>
      <c r="Y103" s="84" t="str">
        <f>+IFERROR(#REF!/#REF!,"")</f>
        <v/>
      </c>
      <c r="Z103" s="84" t="str">
        <f>+IFERROR(#REF!/#REF!,"")</f>
        <v/>
      </c>
      <c r="AA103" s="84" t="str">
        <f>+IFERROR(#REF!/#REF!,"")</f>
        <v/>
      </c>
      <c r="AB103" s="84">
        <f t="shared" si="37"/>
        <v>0.15593758908227565</v>
      </c>
      <c r="AD103" s="139">
        <f t="shared" si="51"/>
        <v>-3.0707348267526469E-2</v>
      </c>
      <c r="AE103" s="139">
        <f t="shared" si="52"/>
        <v>1.8642885608166904E-2</v>
      </c>
      <c r="AF103" s="139">
        <f t="shared" si="53"/>
        <v>6.6764349621137392E-2</v>
      </c>
      <c r="AG103" s="139" t="str">
        <f t="shared" si="54"/>
        <v/>
      </c>
      <c r="AH103" s="139" t="str">
        <f t="shared" si="55"/>
        <v/>
      </c>
      <c r="AI103" s="139" t="str">
        <f t="shared" si="56"/>
        <v/>
      </c>
      <c r="AJ103" s="139" t="str">
        <f t="shared" si="57"/>
        <v/>
      </c>
      <c r="AK103" s="139" t="str">
        <f t="shared" si="58"/>
        <v/>
      </c>
      <c r="AL103" s="139" t="str">
        <f t="shared" si="59"/>
        <v/>
      </c>
      <c r="AM103" s="139" t="str">
        <f t="shared" si="60"/>
        <v/>
      </c>
      <c r="AN103" s="139" t="str">
        <f t="shared" si="61"/>
        <v/>
      </c>
      <c r="AP103" s="82">
        <f t="shared" si="49"/>
        <v>2.3171817803152838E-4</v>
      </c>
      <c r="AQ103" s="82">
        <f t="shared" si="50"/>
        <v>0.96959137096928227</v>
      </c>
    </row>
    <row r="104" spans="2:43" x14ac:dyDescent="0.35">
      <c r="B104" s="83" t="s">
        <v>198</v>
      </c>
      <c r="D104" s="137">
        <v>338407</v>
      </c>
      <c r="E104" s="137">
        <v>347515</v>
      </c>
      <c r="F104" s="137">
        <v>509697</v>
      </c>
      <c r="G104" s="137">
        <v>280221</v>
      </c>
      <c r="H104" s="137">
        <f t="shared" si="31"/>
        <v>1475840</v>
      </c>
      <c r="J104" s="137">
        <v>85895</v>
      </c>
      <c r="K104" s="137">
        <v>55886</v>
      </c>
      <c r="L104" s="137">
        <v>130277</v>
      </c>
      <c r="M104" s="137">
        <v>45927</v>
      </c>
      <c r="N104" s="137">
        <f t="shared" si="32"/>
        <v>317985</v>
      </c>
      <c r="P104" s="84">
        <f t="shared" si="33"/>
        <v>0.25382158170487018</v>
      </c>
      <c r="Q104" s="84">
        <f t="shared" si="34"/>
        <v>0.16081607988144397</v>
      </c>
      <c r="R104" s="84">
        <f t="shared" si="35"/>
        <v>0.25559695269934884</v>
      </c>
      <c r="S104" s="84">
        <f t="shared" si="36"/>
        <v>0.1638956395130986</v>
      </c>
      <c r="T104" s="84" t="str">
        <f>+IFERROR(#REF!/#REF!,"")</f>
        <v/>
      </c>
      <c r="U104" s="84" t="str">
        <f>+IFERROR(#REF!/#REF!,"")</f>
        <v/>
      </c>
      <c r="V104" s="84" t="str">
        <f>+IFERROR(#REF!/#REF!,"")</f>
        <v/>
      </c>
      <c r="W104" s="84" t="str">
        <f>+IFERROR(#REF!/#REF!,"")</f>
        <v/>
      </c>
      <c r="X104" s="84" t="str">
        <f>+IFERROR(#REF!/#REF!,"")</f>
        <v/>
      </c>
      <c r="Y104" s="84" t="str">
        <f>+IFERROR(#REF!/#REF!,"")</f>
        <v/>
      </c>
      <c r="Z104" s="84" t="str">
        <f>+IFERROR(#REF!/#REF!,"")</f>
        <v/>
      </c>
      <c r="AA104" s="84" t="str">
        <f>+IFERROR(#REF!/#REF!,"")</f>
        <v/>
      </c>
      <c r="AB104" s="84">
        <f t="shared" si="37"/>
        <v>0.21546034800520381</v>
      </c>
      <c r="AD104" s="139">
        <f t="shared" si="51"/>
        <v>-9.3005501823426207E-2</v>
      </c>
      <c r="AE104" s="139">
        <f t="shared" si="52"/>
        <v>9.4780872817904871E-2</v>
      </c>
      <c r="AF104" s="139">
        <f t="shared" si="53"/>
        <v>-9.1701313186250244E-2</v>
      </c>
      <c r="AG104" s="139" t="str">
        <f t="shared" si="54"/>
        <v/>
      </c>
      <c r="AH104" s="139" t="str">
        <f t="shared" si="55"/>
        <v/>
      </c>
      <c r="AI104" s="139" t="str">
        <f t="shared" si="56"/>
        <v/>
      </c>
      <c r="AJ104" s="139" t="str">
        <f t="shared" si="57"/>
        <v/>
      </c>
      <c r="AK104" s="139" t="str">
        <f t="shared" si="58"/>
        <v/>
      </c>
      <c r="AL104" s="139" t="str">
        <f t="shared" si="59"/>
        <v/>
      </c>
      <c r="AM104" s="139" t="str">
        <f t="shared" si="60"/>
        <v/>
      </c>
      <c r="AN104" s="139" t="str">
        <f t="shared" si="61"/>
        <v/>
      </c>
      <c r="AP104" s="82">
        <f t="shared" si="49"/>
        <v>3.1397850150785366E-4</v>
      </c>
      <c r="AQ104" s="82">
        <f t="shared" si="50"/>
        <v>0.9699053494707901</v>
      </c>
    </row>
    <row r="105" spans="2:43" x14ac:dyDescent="0.35">
      <c r="B105" s="83" t="s">
        <v>199</v>
      </c>
      <c r="D105" s="137">
        <v>505261</v>
      </c>
      <c r="E105" s="137">
        <v>471447</v>
      </c>
      <c r="F105" s="137">
        <v>590754</v>
      </c>
      <c r="G105" s="137">
        <v>488372</v>
      </c>
      <c r="H105" s="137">
        <f t="shared" si="31"/>
        <v>2055834</v>
      </c>
      <c r="J105" s="137">
        <v>134365</v>
      </c>
      <c r="K105" s="137">
        <v>125782</v>
      </c>
      <c r="L105" s="137">
        <v>116401</v>
      </c>
      <c r="M105" s="137">
        <v>168260</v>
      </c>
      <c r="N105" s="137">
        <f t="shared" si="32"/>
        <v>544808</v>
      </c>
      <c r="P105" s="84">
        <f t="shared" si="33"/>
        <v>0.26593186491733978</v>
      </c>
      <c r="Q105" s="84">
        <f t="shared" si="34"/>
        <v>0.2667998735806994</v>
      </c>
      <c r="R105" s="84">
        <f t="shared" si="35"/>
        <v>0.19703802259485337</v>
      </c>
      <c r="S105" s="84">
        <f t="shared" si="36"/>
        <v>0.3445324465776089</v>
      </c>
      <c r="T105" s="84" t="str">
        <f>+IFERROR(#REF!/#REF!,"")</f>
        <v/>
      </c>
      <c r="U105" s="84" t="str">
        <f>+IFERROR(#REF!/#REF!,"")</f>
        <v/>
      </c>
      <c r="V105" s="84" t="str">
        <f>+IFERROR(#REF!/#REF!,"")</f>
        <v/>
      </c>
      <c r="W105" s="84" t="str">
        <f>+IFERROR(#REF!/#REF!,"")</f>
        <v/>
      </c>
      <c r="X105" s="84" t="str">
        <f>+IFERROR(#REF!/#REF!,"")</f>
        <v/>
      </c>
      <c r="Y105" s="84" t="str">
        <f>+IFERROR(#REF!/#REF!,"")</f>
        <v/>
      </c>
      <c r="Z105" s="84" t="str">
        <f>+IFERROR(#REF!/#REF!,"")</f>
        <v/>
      </c>
      <c r="AA105" s="84" t="str">
        <f>+IFERROR(#REF!/#REF!,"")</f>
        <v/>
      </c>
      <c r="AB105" s="84">
        <f t="shared" si="37"/>
        <v>0.2650058321829486</v>
      </c>
      <c r="AD105" s="139">
        <f t="shared" si="51"/>
        <v>8.6800866335962068E-4</v>
      </c>
      <c r="AE105" s="139">
        <f t="shared" si="52"/>
        <v>-6.976185098584603E-2</v>
      </c>
      <c r="AF105" s="139">
        <f t="shared" si="53"/>
        <v>0.14749442398275553</v>
      </c>
      <c r="AG105" s="139" t="str">
        <f t="shared" si="54"/>
        <v/>
      </c>
      <c r="AH105" s="139" t="str">
        <f t="shared" si="55"/>
        <v/>
      </c>
      <c r="AI105" s="139" t="str">
        <f t="shared" si="56"/>
        <v/>
      </c>
      <c r="AJ105" s="139" t="str">
        <f t="shared" si="57"/>
        <v/>
      </c>
      <c r="AK105" s="139" t="str">
        <f t="shared" si="58"/>
        <v/>
      </c>
      <c r="AL105" s="139" t="str">
        <f t="shared" si="59"/>
        <v/>
      </c>
      <c r="AM105" s="139" t="str">
        <f t="shared" si="60"/>
        <v/>
      </c>
      <c r="AN105" s="139" t="str">
        <f t="shared" si="61"/>
        <v/>
      </c>
      <c r="AP105" s="82">
        <f t="shared" si="49"/>
        <v>5.3794361196122685E-4</v>
      </c>
      <c r="AQ105" s="82">
        <f t="shared" si="50"/>
        <v>0.97044329308275135</v>
      </c>
    </row>
    <row r="106" spans="2:43" x14ac:dyDescent="0.35">
      <c r="B106" s="83" t="s">
        <v>200</v>
      </c>
      <c r="D106" s="137">
        <v>364999</v>
      </c>
      <c r="E106" s="137">
        <v>337489</v>
      </c>
      <c r="F106" s="137">
        <v>458873</v>
      </c>
      <c r="G106" s="137">
        <v>346681</v>
      </c>
      <c r="H106" s="137">
        <f t="shared" si="31"/>
        <v>1508042</v>
      </c>
      <c r="J106" s="137">
        <v>68687</v>
      </c>
      <c r="K106" s="137">
        <v>67429</v>
      </c>
      <c r="L106" s="137">
        <v>90788</v>
      </c>
      <c r="M106" s="137">
        <v>76415</v>
      </c>
      <c r="N106" s="137">
        <f t="shared" si="32"/>
        <v>303319</v>
      </c>
      <c r="P106" s="84">
        <f t="shared" si="33"/>
        <v>0.1881840772166499</v>
      </c>
      <c r="Q106" s="84">
        <f t="shared" si="34"/>
        <v>0.19979614150387123</v>
      </c>
      <c r="R106" s="84">
        <f t="shared" si="35"/>
        <v>0.19784994976823653</v>
      </c>
      <c r="S106" s="84">
        <f t="shared" si="36"/>
        <v>0.22041877114696221</v>
      </c>
      <c r="T106" s="84" t="str">
        <f>+IFERROR(#REF!/#REF!,"")</f>
        <v/>
      </c>
      <c r="U106" s="84" t="str">
        <f>+IFERROR(#REF!/#REF!,"")</f>
        <v/>
      </c>
      <c r="V106" s="84" t="str">
        <f>+IFERROR(#REF!/#REF!,"")</f>
        <v/>
      </c>
      <c r="W106" s="84" t="str">
        <f>+IFERROR(#REF!/#REF!,"")</f>
        <v/>
      </c>
      <c r="X106" s="84" t="str">
        <f>+IFERROR(#REF!/#REF!,"")</f>
        <v/>
      </c>
      <c r="Y106" s="84" t="str">
        <f>+IFERROR(#REF!/#REF!,"")</f>
        <v/>
      </c>
      <c r="Z106" s="84" t="str">
        <f>+IFERROR(#REF!/#REF!,"")</f>
        <v/>
      </c>
      <c r="AA106" s="84" t="str">
        <f>+IFERROR(#REF!/#REF!,"")</f>
        <v/>
      </c>
      <c r="AB106" s="84">
        <f t="shared" si="37"/>
        <v>0.20113431854019981</v>
      </c>
      <c r="AD106" s="139">
        <f t="shared" si="51"/>
        <v>1.1612064287221335E-2</v>
      </c>
      <c r="AE106" s="139">
        <f t="shared" si="52"/>
        <v>-1.9461917356347058E-3</v>
      </c>
      <c r="AF106" s="139">
        <f t="shared" si="53"/>
        <v>2.2568821378725679E-2</v>
      </c>
      <c r="AG106" s="139" t="str">
        <f t="shared" si="54"/>
        <v/>
      </c>
      <c r="AH106" s="139" t="str">
        <f t="shared" si="55"/>
        <v/>
      </c>
      <c r="AI106" s="139" t="str">
        <f t="shared" si="56"/>
        <v/>
      </c>
      <c r="AJ106" s="139" t="str">
        <f t="shared" si="57"/>
        <v/>
      </c>
      <c r="AK106" s="139" t="str">
        <f t="shared" si="58"/>
        <v/>
      </c>
      <c r="AL106" s="139" t="str">
        <f t="shared" si="59"/>
        <v/>
      </c>
      <c r="AM106" s="139" t="str">
        <f t="shared" si="60"/>
        <v/>
      </c>
      <c r="AN106" s="139" t="str">
        <f t="shared" si="61"/>
        <v/>
      </c>
      <c r="AP106" s="82">
        <f t="shared" si="49"/>
        <v>2.994972879188033E-4</v>
      </c>
      <c r="AQ106" s="82">
        <f t="shared" si="50"/>
        <v>0.97074279037067013</v>
      </c>
    </row>
    <row r="107" spans="2:43" x14ac:dyDescent="0.35">
      <c r="B107" s="83" t="s">
        <v>201</v>
      </c>
      <c r="D107" s="137">
        <v>145313</v>
      </c>
      <c r="E107" s="137">
        <v>133473</v>
      </c>
      <c r="F107" s="137">
        <v>138342</v>
      </c>
      <c r="G107" s="137">
        <v>147783</v>
      </c>
      <c r="H107" s="137">
        <f t="shared" si="31"/>
        <v>564911</v>
      </c>
      <c r="J107" s="137">
        <v>22394</v>
      </c>
      <c r="K107" s="137">
        <v>31961</v>
      </c>
      <c r="L107" s="137">
        <v>29985</v>
      </c>
      <c r="M107" s="137">
        <v>10381</v>
      </c>
      <c r="N107" s="137">
        <f t="shared" si="32"/>
        <v>94721</v>
      </c>
      <c r="P107" s="84">
        <f t="shared" si="33"/>
        <v>0.15410871704527468</v>
      </c>
      <c r="Q107" s="84">
        <f t="shared" si="34"/>
        <v>0.23945666913907682</v>
      </c>
      <c r="R107" s="84">
        <f t="shared" si="35"/>
        <v>0.21674545691113328</v>
      </c>
      <c r="S107" s="84">
        <f t="shared" si="36"/>
        <v>7.024488608297301E-2</v>
      </c>
      <c r="T107" s="84" t="str">
        <f>+IFERROR(#REF!/#REF!,"")</f>
        <v/>
      </c>
      <c r="U107" s="84" t="str">
        <f>+IFERROR(#REF!/#REF!,"")</f>
        <v/>
      </c>
      <c r="V107" s="84" t="str">
        <f>+IFERROR(#REF!/#REF!,"")</f>
        <v/>
      </c>
      <c r="W107" s="84" t="str">
        <f>+IFERROR(#REF!/#REF!,"")</f>
        <v/>
      </c>
      <c r="X107" s="84" t="str">
        <f>+IFERROR(#REF!/#REF!,"")</f>
        <v/>
      </c>
      <c r="Y107" s="84" t="str">
        <f>+IFERROR(#REF!/#REF!,"")</f>
        <v/>
      </c>
      <c r="Z107" s="84" t="str">
        <f>+IFERROR(#REF!/#REF!,"")</f>
        <v/>
      </c>
      <c r="AA107" s="84" t="str">
        <f>+IFERROR(#REF!/#REF!,"")</f>
        <v/>
      </c>
      <c r="AB107" s="84">
        <f t="shared" si="37"/>
        <v>0.16767420000672673</v>
      </c>
      <c r="AD107" s="139">
        <f t="shared" si="51"/>
        <v>8.5347952093802137E-2</v>
      </c>
      <c r="AE107" s="139">
        <f t="shared" si="52"/>
        <v>-2.2711212227943534E-2</v>
      </c>
      <c r="AF107" s="139">
        <f t="shared" si="53"/>
        <v>-0.14650057082816026</v>
      </c>
      <c r="AG107" s="139" t="str">
        <f t="shared" si="54"/>
        <v/>
      </c>
      <c r="AH107" s="139" t="str">
        <f t="shared" si="55"/>
        <v/>
      </c>
      <c r="AI107" s="139" t="str">
        <f t="shared" si="56"/>
        <v/>
      </c>
      <c r="AJ107" s="139" t="str">
        <f t="shared" si="57"/>
        <v/>
      </c>
      <c r="AK107" s="139" t="str">
        <f t="shared" si="58"/>
        <v/>
      </c>
      <c r="AL107" s="139" t="str">
        <f t="shared" si="59"/>
        <v/>
      </c>
      <c r="AM107" s="139" t="str">
        <f t="shared" si="60"/>
        <v/>
      </c>
      <c r="AN107" s="139" t="str">
        <f t="shared" si="61"/>
        <v/>
      </c>
      <c r="AP107" s="82">
        <f t="shared" si="49"/>
        <v>9.3527548913707891E-5</v>
      </c>
      <c r="AQ107" s="82">
        <f t="shared" si="50"/>
        <v>0.9708363179195838</v>
      </c>
    </row>
    <row r="108" spans="2:43" x14ac:dyDescent="0.35">
      <c r="B108" s="83" t="s">
        <v>202</v>
      </c>
      <c r="D108" s="137">
        <v>421715</v>
      </c>
      <c r="E108" s="137">
        <v>510053</v>
      </c>
      <c r="F108" s="137">
        <v>784030</v>
      </c>
      <c r="G108" s="137">
        <v>342604</v>
      </c>
      <c r="H108" s="137">
        <f t="shared" si="31"/>
        <v>2058402</v>
      </c>
      <c r="J108" s="137">
        <v>68274</v>
      </c>
      <c r="K108" s="137">
        <v>93533</v>
      </c>
      <c r="L108" s="137">
        <v>96489</v>
      </c>
      <c r="M108" s="137">
        <v>53241</v>
      </c>
      <c r="N108" s="137">
        <f t="shared" si="32"/>
        <v>311537</v>
      </c>
      <c r="P108" s="84">
        <f t="shared" si="33"/>
        <v>0.16189606724920858</v>
      </c>
      <c r="Q108" s="84">
        <f t="shared" si="34"/>
        <v>0.1833789821842044</v>
      </c>
      <c r="R108" s="84">
        <f t="shared" si="35"/>
        <v>0.12306799484713594</v>
      </c>
      <c r="S108" s="84">
        <f t="shared" si="36"/>
        <v>0.15540098772927344</v>
      </c>
      <c r="T108" s="84" t="str">
        <f>+IFERROR(#REF!/#REF!,"")</f>
        <v/>
      </c>
      <c r="U108" s="84" t="str">
        <f>+IFERROR(#REF!/#REF!,"")</f>
        <v/>
      </c>
      <c r="V108" s="84" t="str">
        <f>+IFERROR(#REF!/#REF!,"")</f>
        <v/>
      </c>
      <c r="W108" s="84" t="str">
        <f>+IFERROR(#REF!/#REF!,"")</f>
        <v/>
      </c>
      <c r="X108" s="84" t="str">
        <f>+IFERROR(#REF!/#REF!,"")</f>
        <v/>
      </c>
      <c r="Y108" s="84" t="str">
        <f>+IFERROR(#REF!/#REF!,"")</f>
        <v/>
      </c>
      <c r="Z108" s="84" t="str">
        <f>+IFERROR(#REF!/#REF!,"")</f>
        <v/>
      </c>
      <c r="AA108" s="84" t="str">
        <f>+IFERROR(#REF!/#REF!,"")</f>
        <v/>
      </c>
      <c r="AB108" s="84">
        <f t="shared" si="37"/>
        <v>0.15134895904687229</v>
      </c>
      <c r="AD108" s="139">
        <f t="shared" si="51"/>
        <v>2.1482914934995823E-2</v>
      </c>
      <c r="AE108" s="139">
        <f t="shared" si="52"/>
        <v>-6.0310987337068453E-2</v>
      </c>
      <c r="AF108" s="139">
        <f t="shared" si="53"/>
        <v>3.2332992882137493E-2</v>
      </c>
      <c r="AG108" s="139" t="str">
        <f t="shared" si="54"/>
        <v/>
      </c>
      <c r="AH108" s="139" t="str">
        <f t="shared" si="55"/>
        <v/>
      </c>
      <c r="AI108" s="139" t="str">
        <f t="shared" si="56"/>
        <v/>
      </c>
      <c r="AJ108" s="139" t="str">
        <f t="shared" si="57"/>
        <v/>
      </c>
      <c r="AK108" s="139" t="str">
        <f t="shared" si="58"/>
        <v/>
      </c>
      <c r="AL108" s="139" t="str">
        <f t="shared" si="59"/>
        <v/>
      </c>
      <c r="AM108" s="139" t="str">
        <f t="shared" si="60"/>
        <v/>
      </c>
      <c r="AN108" s="139" t="str">
        <f t="shared" si="61"/>
        <v/>
      </c>
      <c r="AP108" s="82">
        <f t="shared" si="49"/>
        <v>3.0761174402645471E-4</v>
      </c>
      <c r="AQ108" s="82">
        <f t="shared" si="50"/>
        <v>0.97114392966361029</v>
      </c>
    </row>
    <row r="109" spans="2:43" x14ac:dyDescent="0.35">
      <c r="B109" s="83" t="s">
        <v>203</v>
      </c>
      <c r="D109" s="137">
        <v>1264736</v>
      </c>
      <c r="E109" s="137">
        <v>879654</v>
      </c>
      <c r="F109" s="137">
        <v>1039174</v>
      </c>
      <c r="G109" s="137">
        <v>1000283</v>
      </c>
      <c r="H109" s="137">
        <f t="shared" si="31"/>
        <v>4183847</v>
      </c>
      <c r="J109" s="137">
        <v>154135</v>
      </c>
      <c r="K109" s="137">
        <v>100495</v>
      </c>
      <c r="L109" s="137">
        <v>138115</v>
      </c>
      <c r="M109" s="137">
        <v>115646</v>
      </c>
      <c r="N109" s="137">
        <f t="shared" si="32"/>
        <v>508391</v>
      </c>
      <c r="P109" s="84">
        <f t="shared" si="33"/>
        <v>0.12187128380942742</v>
      </c>
      <c r="Q109" s="84">
        <f t="shared" si="34"/>
        <v>0.11424378221437065</v>
      </c>
      <c r="R109" s="84">
        <f t="shared" si="35"/>
        <v>0.13290844459156984</v>
      </c>
      <c r="S109" s="84">
        <f t="shared" si="36"/>
        <v>0.11561328144135209</v>
      </c>
      <c r="T109" s="84" t="str">
        <f>+IFERROR(#REF!/#REF!,"")</f>
        <v/>
      </c>
      <c r="U109" s="84" t="str">
        <f>+IFERROR(#REF!/#REF!,"")</f>
        <v/>
      </c>
      <c r="V109" s="84" t="str">
        <f>+IFERROR(#REF!/#REF!,"")</f>
        <v/>
      </c>
      <c r="W109" s="84" t="str">
        <f>+IFERROR(#REF!/#REF!,"")</f>
        <v/>
      </c>
      <c r="X109" s="84" t="str">
        <f>+IFERROR(#REF!/#REF!,"")</f>
        <v/>
      </c>
      <c r="Y109" s="84" t="str">
        <f>+IFERROR(#REF!/#REF!,"")</f>
        <v/>
      </c>
      <c r="Z109" s="84" t="str">
        <f>+IFERROR(#REF!/#REF!,"")</f>
        <v/>
      </c>
      <c r="AA109" s="84" t="str">
        <f>+IFERROR(#REF!/#REF!,"")</f>
        <v/>
      </c>
      <c r="AB109" s="84">
        <f t="shared" si="37"/>
        <v>0.12151280866628249</v>
      </c>
      <c r="AD109" s="139">
        <f t="shared" si="51"/>
        <v>-7.6275015950567765E-3</v>
      </c>
      <c r="AE109" s="139">
        <f t="shared" si="52"/>
        <v>1.8664662377199187E-2</v>
      </c>
      <c r="AF109" s="139">
        <f t="shared" si="53"/>
        <v>-1.7295163150217743E-2</v>
      </c>
      <c r="AG109" s="139" t="str">
        <f t="shared" si="54"/>
        <v/>
      </c>
      <c r="AH109" s="139" t="str">
        <f t="shared" si="55"/>
        <v/>
      </c>
      <c r="AI109" s="139" t="str">
        <f t="shared" si="56"/>
        <v/>
      </c>
      <c r="AJ109" s="139" t="str">
        <f t="shared" si="57"/>
        <v/>
      </c>
      <c r="AK109" s="139" t="str">
        <f t="shared" si="58"/>
        <v/>
      </c>
      <c r="AL109" s="139" t="str">
        <f t="shared" si="59"/>
        <v/>
      </c>
      <c r="AM109" s="139" t="str">
        <f t="shared" si="60"/>
        <v/>
      </c>
      <c r="AN109" s="139" t="str">
        <f t="shared" si="61"/>
        <v/>
      </c>
      <c r="AP109" s="82">
        <f t="shared" si="49"/>
        <v>5.0198545327634705E-4</v>
      </c>
      <c r="AQ109" s="82">
        <f t="shared" si="50"/>
        <v>0.97164591511688669</v>
      </c>
    </row>
    <row r="110" spans="2:43" x14ac:dyDescent="0.35">
      <c r="B110" s="83" t="s">
        <v>204</v>
      </c>
      <c r="D110" s="137"/>
      <c r="E110" s="137"/>
      <c r="F110" s="137"/>
      <c r="G110" s="137"/>
      <c r="H110" s="137">
        <f t="shared" si="31"/>
        <v>0</v>
      </c>
      <c r="J110" s="137"/>
      <c r="K110" s="137"/>
      <c r="L110" s="137"/>
      <c r="M110" s="137"/>
      <c r="N110" s="137">
        <f t="shared" si="32"/>
        <v>0</v>
      </c>
      <c r="P110" s="84" t="str">
        <f t="shared" si="33"/>
        <v/>
      </c>
      <c r="Q110" s="84" t="str">
        <f t="shared" si="34"/>
        <v/>
      </c>
      <c r="R110" s="84" t="str">
        <f t="shared" si="35"/>
        <v/>
      </c>
      <c r="S110" s="84" t="str">
        <f t="shared" si="36"/>
        <v/>
      </c>
      <c r="T110" s="84" t="str">
        <f>+IFERROR(#REF!/#REF!,"")</f>
        <v/>
      </c>
      <c r="U110" s="84" t="str">
        <f>+IFERROR(#REF!/#REF!,"")</f>
        <v/>
      </c>
      <c r="V110" s="84" t="str">
        <f>+IFERROR(#REF!/#REF!,"")</f>
        <v/>
      </c>
      <c r="W110" s="84" t="str">
        <f>+IFERROR(#REF!/#REF!,"")</f>
        <v/>
      </c>
      <c r="X110" s="84" t="str">
        <f>+IFERROR(#REF!/#REF!,"")</f>
        <v/>
      </c>
      <c r="Y110" s="84" t="str">
        <f>+IFERROR(#REF!/#REF!,"")</f>
        <v/>
      </c>
      <c r="Z110" s="84" t="str">
        <f>+IFERROR(#REF!/#REF!,"")</f>
        <v/>
      </c>
      <c r="AA110" s="84" t="str">
        <f>+IFERROR(#REF!/#REF!,"")</f>
        <v/>
      </c>
      <c r="AB110" s="84" t="str">
        <f t="shared" si="37"/>
        <v/>
      </c>
      <c r="AD110" s="139" t="str">
        <f t="shared" si="51"/>
        <v/>
      </c>
      <c r="AE110" s="139" t="str">
        <f t="shared" si="52"/>
        <v/>
      </c>
      <c r="AF110" s="139" t="str">
        <f t="shared" si="53"/>
        <v/>
      </c>
      <c r="AG110" s="139" t="str">
        <f t="shared" si="54"/>
        <v/>
      </c>
      <c r="AH110" s="139" t="str">
        <f t="shared" si="55"/>
        <v/>
      </c>
      <c r="AI110" s="139" t="str">
        <f t="shared" si="56"/>
        <v/>
      </c>
      <c r="AJ110" s="139" t="str">
        <f t="shared" si="57"/>
        <v/>
      </c>
      <c r="AK110" s="139" t="str">
        <f t="shared" si="58"/>
        <v/>
      </c>
      <c r="AL110" s="139" t="str">
        <f t="shared" si="59"/>
        <v/>
      </c>
      <c r="AM110" s="139" t="str">
        <f t="shared" si="60"/>
        <v/>
      </c>
      <c r="AN110" s="139" t="str">
        <f t="shared" si="61"/>
        <v/>
      </c>
      <c r="AP110" s="82">
        <f t="shared" si="49"/>
        <v>0</v>
      </c>
      <c r="AQ110" s="82">
        <f t="shared" si="50"/>
        <v>0.97164591511688669</v>
      </c>
    </row>
    <row r="111" spans="2:43" x14ac:dyDescent="0.35">
      <c r="B111" s="83" t="s">
        <v>205</v>
      </c>
      <c r="D111" s="137">
        <v>462963</v>
      </c>
      <c r="E111" s="137">
        <v>904492</v>
      </c>
      <c r="F111" s="137">
        <v>556123</v>
      </c>
      <c r="G111" s="137">
        <v>486881</v>
      </c>
      <c r="H111" s="137">
        <f t="shared" si="31"/>
        <v>2410459</v>
      </c>
      <c r="J111" s="137">
        <v>71447</v>
      </c>
      <c r="K111" s="137">
        <v>149154</v>
      </c>
      <c r="L111" s="137">
        <v>81263</v>
      </c>
      <c r="M111" s="137">
        <v>68365</v>
      </c>
      <c r="N111" s="137">
        <f t="shared" si="32"/>
        <v>370229</v>
      </c>
      <c r="P111" s="84">
        <f t="shared" si="33"/>
        <v>0.15432550765395939</v>
      </c>
      <c r="Q111" s="84">
        <f t="shared" si="34"/>
        <v>0.16490361440454973</v>
      </c>
      <c r="R111" s="84">
        <f t="shared" si="35"/>
        <v>0.14612414879442137</v>
      </c>
      <c r="S111" s="84">
        <f t="shared" si="36"/>
        <v>0.14041418745032153</v>
      </c>
      <c r="T111" s="84" t="str">
        <f>+IFERROR(#REF!/#REF!,"")</f>
        <v/>
      </c>
      <c r="U111" s="84" t="str">
        <f>+IFERROR(#REF!/#REF!,"")</f>
        <v/>
      </c>
      <c r="V111" s="84" t="str">
        <f>+IFERROR(#REF!/#REF!,"")</f>
        <v/>
      </c>
      <c r="W111" s="84" t="str">
        <f>+IFERROR(#REF!/#REF!,"")</f>
        <v/>
      </c>
      <c r="X111" s="84" t="str">
        <f>+IFERROR(#REF!/#REF!,"")</f>
        <v/>
      </c>
      <c r="Y111" s="84" t="str">
        <f>+IFERROR(#REF!/#REF!,"")</f>
        <v/>
      </c>
      <c r="Z111" s="84" t="str">
        <f>+IFERROR(#REF!/#REF!,"")</f>
        <v/>
      </c>
      <c r="AA111" s="84" t="str">
        <f>+IFERROR(#REF!/#REF!,"")</f>
        <v/>
      </c>
      <c r="AB111" s="84">
        <f t="shared" si="37"/>
        <v>0.15359273897626965</v>
      </c>
      <c r="AD111" s="139">
        <f t="shared" si="51"/>
        <v>1.0578106750590344E-2</v>
      </c>
      <c r="AE111" s="139">
        <f t="shared" si="52"/>
        <v>-1.877946561012836E-2</v>
      </c>
      <c r="AF111" s="139">
        <f t="shared" si="53"/>
        <v>-5.7099613440998453E-3</v>
      </c>
      <c r="AG111" s="139" t="str">
        <f t="shared" si="54"/>
        <v/>
      </c>
      <c r="AH111" s="139" t="str">
        <f t="shared" si="55"/>
        <v/>
      </c>
      <c r="AI111" s="139" t="str">
        <f t="shared" si="56"/>
        <v/>
      </c>
      <c r="AJ111" s="139" t="str">
        <f t="shared" si="57"/>
        <v/>
      </c>
      <c r="AK111" s="139" t="str">
        <f t="shared" si="58"/>
        <v/>
      </c>
      <c r="AL111" s="139" t="str">
        <f t="shared" si="59"/>
        <v/>
      </c>
      <c r="AM111" s="139" t="str">
        <f t="shared" si="60"/>
        <v/>
      </c>
      <c r="AN111" s="139" t="str">
        <f t="shared" si="61"/>
        <v/>
      </c>
      <c r="AP111" s="82">
        <f t="shared" si="49"/>
        <v>3.6556424559256302E-4</v>
      </c>
      <c r="AQ111" s="82">
        <f t="shared" si="50"/>
        <v>0.97201147936247922</v>
      </c>
    </row>
    <row r="112" spans="2:43" x14ac:dyDescent="0.35">
      <c r="B112" s="83" t="s">
        <v>206</v>
      </c>
      <c r="D112" s="137">
        <v>244170</v>
      </c>
      <c r="E112" s="137">
        <v>222784</v>
      </c>
      <c r="F112" s="137">
        <v>394513</v>
      </c>
      <c r="G112" s="137">
        <v>219863</v>
      </c>
      <c r="H112" s="137">
        <f t="shared" si="31"/>
        <v>1081330</v>
      </c>
      <c r="J112" s="137">
        <v>43714</v>
      </c>
      <c r="K112" s="137">
        <v>33360</v>
      </c>
      <c r="L112" s="137">
        <v>95819</v>
      </c>
      <c r="M112" s="137">
        <v>26476</v>
      </c>
      <c r="N112" s="137">
        <f t="shared" si="32"/>
        <v>199369</v>
      </c>
      <c r="P112" s="84">
        <f t="shared" si="33"/>
        <v>0.17903100298972027</v>
      </c>
      <c r="Q112" s="84">
        <f t="shared" si="34"/>
        <v>0.14974145360528585</v>
      </c>
      <c r="R112" s="84">
        <f t="shared" si="35"/>
        <v>0.2428791953623835</v>
      </c>
      <c r="S112" s="84">
        <f t="shared" si="36"/>
        <v>0.12042044363990304</v>
      </c>
      <c r="T112" s="84" t="str">
        <f>+IFERROR(#REF!/#REF!,"")</f>
        <v/>
      </c>
      <c r="U112" s="84" t="str">
        <f>+IFERROR(#REF!/#REF!,"")</f>
        <v/>
      </c>
      <c r="V112" s="84" t="str">
        <f>+IFERROR(#REF!/#REF!,"")</f>
        <v/>
      </c>
      <c r="W112" s="84" t="str">
        <f>+IFERROR(#REF!/#REF!,"")</f>
        <v/>
      </c>
      <c r="X112" s="84" t="str">
        <f>+IFERROR(#REF!/#REF!,"")</f>
        <v/>
      </c>
      <c r="Y112" s="84" t="str">
        <f>+IFERROR(#REF!/#REF!,"")</f>
        <v/>
      </c>
      <c r="Z112" s="84" t="str">
        <f>+IFERROR(#REF!/#REF!,"")</f>
        <v/>
      </c>
      <c r="AA112" s="84" t="str">
        <f>+IFERROR(#REF!/#REF!,"")</f>
        <v/>
      </c>
      <c r="AB112" s="84">
        <f t="shared" si="37"/>
        <v>0.18437387291576116</v>
      </c>
      <c r="AD112" s="139">
        <f t="shared" si="51"/>
        <v>-2.9289549384434427E-2</v>
      </c>
      <c r="AE112" s="139">
        <f t="shared" si="52"/>
        <v>9.3137741757097658E-2</v>
      </c>
      <c r="AF112" s="139">
        <f t="shared" si="53"/>
        <v>-0.12245875172248047</v>
      </c>
      <c r="AG112" s="139" t="str">
        <f t="shared" si="54"/>
        <v/>
      </c>
      <c r="AH112" s="139" t="str">
        <f t="shared" si="55"/>
        <v/>
      </c>
      <c r="AI112" s="139" t="str">
        <f t="shared" si="56"/>
        <v/>
      </c>
      <c r="AJ112" s="139" t="str">
        <f t="shared" si="57"/>
        <v/>
      </c>
      <c r="AK112" s="139" t="str">
        <f t="shared" si="58"/>
        <v/>
      </c>
      <c r="AL112" s="139" t="str">
        <f t="shared" si="59"/>
        <v/>
      </c>
      <c r="AM112" s="139" t="str">
        <f t="shared" si="60"/>
        <v/>
      </c>
      <c r="AN112" s="139" t="str">
        <f t="shared" si="61"/>
        <v/>
      </c>
      <c r="AP112" s="82">
        <f t="shared" si="49"/>
        <v>1.96857021139737E-4</v>
      </c>
      <c r="AQ112" s="82">
        <f t="shared" si="50"/>
        <v>0.97220833638361892</v>
      </c>
    </row>
    <row r="113" spans="2:43" x14ac:dyDescent="0.35">
      <c r="B113" s="83" t="s">
        <v>207</v>
      </c>
      <c r="D113" s="137">
        <v>859089</v>
      </c>
      <c r="E113" s="137">
        <v>928078</v>
      </c>
      <c r="F113" s="137">
        <v>799488</v>
      </c>
      <c r="G113" s="137">
        <v>1687896</v>
      </c>
      <c r="H113" s="137">
        <f t="shared" si="31"/>
        <v>4274551</v>
      </c>
      <c r="J113" s="137">
        <v>101192</v>
      </c>
      <c r="K113" s="137">
        <v>156537</v>
      </c>
      <c r="L113" s="137">
        <v>128296</v>
      </c>
      <c r="M113" s="137">
        <v>134316</v>
      </c>
      <c r="N113" s="137">
        <f t="shared" si="32"/>
        <v>520341</v>
      </c>
      <c r="P113" s="84">
        <f t="shared" si="33"/>
        <v>0.11778989138494382</v>
      </c>
      <c r="Q113" s="84">
        <f t="shared" si="34"/>
        <v>0.16866793523820195</v>
      </c>
      <c r="R113" s="84">
        <f t="shared" si="35"/>
        <v>0.16047270252961895</v>
      </c>
      <c r="S113" s="84">
        <f t="shared" si="36"/>
        <v>7.9575992833681691E-2</v>
      </c>
      <c r="T113" s="84" t="str">
        <f>+IFERROR(#REF!/#REF!,"")</f>
        <v/>
      </c>
      <c r="U113" s="84" t="str">
        <f>+IFERROR(#REF!/#REF!,"")</f>
        <v/>
      </c>
      <c r="V113" s="84" t="str">
        <f>+IFERROR(#REF!/#REF!,"")</f>
        <v/>
      </c>
      <c r="W113" s="84" t="str">
        <f>+IFERROR(#REF!/#REF!,"")</f>
        <v/>
      </c>
      <c r="X113" s="84" t="str">
        <f>+IFERROR(#REF!/#REF!,"")</f>
        <v/>
      </c>
      <c r="Y113" s="84" t="str">
        <f>+IFERROR(#REF!/#REF!,"")</f>
        <v/>
      </c>
      <c r="Z113" s="84" t="str">
        <f>+IFERROR(#REF!/#REF!,"")</f>
        <v/>
      </c>
      <c r="AA113" s="84" t="str">
        <f>+IFERROR(#REF!/#REF!,"")</f>
        <v/>
      </c>
      <c r="AB113" s="84">
        <f t="shared" si="37"/>
        <v>0.12172997818952212</v>
      </c>
      <c r="AD113" s="139">
        <f t="shared" si="51"/>
        <v>5.0878043853258129E-2</v>
      </c>
      <c r="AE113" s="139">
        <f t="shared" si="52"/>
        <v>-8.1952327085829946E-3</v>
      </c>
      <c r="AF113" s="139">
        <f t="shared" si="53"/>
        <v>-8.0896709695937263E-2</v>
      </c>
      <c r="AG113" s="139" t="str">
        <f t="shared" si="54"/>
        <v/>
      </c>
      <c r="AH113" s="139" t="str">
        <f t="shared" si="55"/>
        <v/>
      </c>
      <c r="AI113" s="139" t="str">
        <f t="shared" si="56"/>
        <v/>
      </c>
      <c r="AJ113" s="139" t="str">
        <f t="shared" si="57"/>
        <v/>
      </c>
      <c r="AK113" s="139" t="str">
        <f t="shared" si="58"/>
        <v/>
      </c>
      <c r="AL113" s="139" t="str">
        <f t="shared" si="59"/>
        <v/>
      </c>
      <c r="AM113" s="139" t="str">
        <f t="shared" si="60"/>
        <v/>
      </c>
      <c r="AN113" s="139" t="str">
        <f t="shared" si="61"/>
        <v/>
      </c>
      <c r="AP113" s="82">
        <f t="shared" si="49"/>
        <v>5.1378488750443603E-4</v>
      </c>
      <c r="AQ113" s="82">
        <f t="shared" si="50"/>
        <v>0.97272212127112334</v>
      </c>
    </row>
    <row r="114" spans="2:43" x14ac:dyDescent="0.35">
      <c r="B114" s="83" t="s">
        <v>208</v>
      </c>
      <c r="D114" s="137">
        <v>453213</v>
      </c>
      <c r="E114" s="137">
        <v>329465</v>
      </c>
      <c r="F114" s="137">
        <v>273708</v>
      </c>
      <c r="G114" s="137">
        <v>243906</v>
      </c>
      <c r="H114" s="137">
        <f t="shared" si="31"/>
        <v>1300292</v>
      </c>
      <c r="J114" s="137">
        <v>69686</v>
      </c>
      <c r="K114" s="137">
        <v>49792</v>
      </c>
      <c r="L114" s="137">
        <v>48961</v>
      </c>
      <c r="M114" s="137">
        <v>33800</v>
      </c>
      <c r="N114" s="137">
        <f t="shared" si="32"/>
        <v>202239</v>
      </c>
      <c r="P114" s="84">
        <f t="shared" si="33"/>
        <v>0.15375993186426692</v>
      </c>
      <c r="Q114" s="84">
        <f t="shared" si="34"/>
        <v>0.15112986204907958</v>
      </c>
      <c r="R114" s="84">
        <f t="shared" si="35"/>
        <v>0.17888041270258817</v>
      </c>
      <c r="S114" s="84">
        <f t="shared" si="36"/>
        <v>0.13857797676153927</v>
      </c>
      <c r="T114" s="84" t="str">
        <f>+IFERROR(#REF!/#REF!,"")</f>
        <v/>
      </c>
      <c r="U114" s="84" t="str">
        <f>+IFERROR(#REF!/#REF!,"")</f>
        <v/>
      </c>
      <c r="V114" s="84" t="str">
        <f>+IFERROR(#REF!/#REF!,"")</f>
        <v/>
      </c>
      <c r="W114" s="84" t="str">
        <f>+IFERROR(#REF!/#REF!,"")</f>
        <v/>
      </c>
      <c r="X114" s="84" t="str">
        <f>+IFERROR(#REF!/#REF!,"")</f>
        <v/>
      </c>
      <c r="Y114" s="84" t="str">
        <f>+IFERROR(#REF!/#REF!,"")</f>
        <v/>
      </c>
      <c r="Z114" s="84" t="str">
        <f>+IFERROR(#REF!/#REF!,"")</f>
        <v/>
      </c>
      <c r="AA114" s="84" t="str">
        <f>+IFERROR(#REF!/#REF!,"")</f>
        <v/>
      </c>
      <c r="AB114" s="84">
        <f t="shared" si="37"/>
        <v>0.15553352631562756</v>
      </c>
      <c r="AD114" s="139">
        <f t="shared" si="51"/>
        <v>-2.6300698151873469E-3</v>
      </c>
      <c r="AE114" s="139">
        <f t="shared" si="52"/>
        <v>2.7750550653508593E-2</v>
      </c>
      <c r="AF114" s="139">
        <f t="shared" si="53"/>
        <v>-4.0302435941048903E-2</v>
      </c>
      <c r="AG114" s="139" t="str">
        <f t="shared" si="54"/>
        <v/>
      </c>
      <c r="AH114" s="139" t="str">
        <f t="shared" si="55"/>
        <v/>
      </c>
      <c r="AI114" s="139" t="str">
        <f t="shared" si="56"/>
        <v/>
      </c>
      <c r="AJ114" s="139" t="str">
        <f t="shared" si="57"/>
        <v/>
      </c>
      <c r="AK114" s="139" t="str">
        <f t="shared" si="58"/>
        <v/>
      </c>
      <c r="AL114" s="139" t="str">
        <f t="shared" si="59"/>
        <v/>
      </c>
      <c r="AM114" s="139" t="str">
        <f t="shared" si="60"/>
        <v/>
      </c>
      <c r="AN114" s="139" t="str">
        <f t="shared" si="61"/>
        <v/>
      </c>
      <c r="AP114" s="82">
        <f t="shared" si="49"/>
        <v>1.9969086015518599E-4</v>
      </c>
      <c r="AQ114" s="82">
        <f t="shared" si="50"/>
        <v>0.97292181213127849</v>
      </c>
    </row>
    <row r="115" spans="2:43" x14ac:dyDescent="0.35">
      <c r="B115" s="83" t="s">
        <v>209</v>
      </c>
      <c r="D115" s="137">
        <v>283166</v>
      </c>
      <c r="E115" s="137">
        <v>310461</v>
      </c>
      <c r="F115" s="137">
        <v>598781</v>
      </c>
      <c r="G115" s="137">
        <v>228866</v>
      </c>
      <c r="H115" s="137">
        <f t="shared" si="31"/>
        <v>1421274</v>
      </c>
      <c r="J115" s="137">
        <v>45713</v>
      </c>
      <c r="K115" s="137">
        <v>53527</v>
      </c>
      <c r="L115" s="137">
        <v>84831</v>
      </c>
      <c r="M115" s="137">
        <v>44777</v>
      </c>
      <c r="N115" s="137">
        <f t="shared" si="32"/>
        <v>228848</v>
      </c>
      <c r="P115" s="84">
        <f t="shared" si="33"/>
        <v>0.16143534181363581</v>
      </c>
      <c r="Q115" s="84">
        <f t="shared" si="34"/>
        <v>0.17241134957369847</v>
      </c>
      <c r="R115" s="84">
        <f t="shared" si="35"/>
        <v>0.14167283197028629</v>
      </c>
      <c r="S115" s="84">
        <f t="shared" si="36"/>
        <v>0.19564723462637526</v>
      </c>
      <c r="T115" s="84" t="str">
        <f>+IFERROR(#REF!/#REF!,"")</f>
        <v/>
      </c>
      <c r="U115" s="84" t="str">
        <f>+IFERROR(#REF!/#REF!,"")</f>
        <v/>
      </c>
      <c r="V115" s="84" t="str">
        <f>+IFERROR(#REF!/#REF!,"")</f>
        <v/>
      </c>
      <c r="W115" s="84" t="str">
        <f>+IFERROR(#REF!/#REF!,"")</f>
        <v/>
      </c>
      <c r="X115" s="84" t="str">
        <f>+IFERROR(#REF!/#REF!,"")</f>
        <v/>
      </c>
      <c r="Y115" s="84" t="str">
        <f>+IFERROR(#REF!/#REF!,"")</f>
        <v/>
      </c>
      <c r="Z115" s="84" t="str">
        <f>+IFERROR(#REF!/#REF!,"")</f>
        <v/>
      </c>
      <c r="AA115" s="84" t="str">
        <f>+IFERROR(#REF!/#REF!,"")</f>
        <v/>
      </c>
      <c r="AB115" s="84">
        <f t="shared" si="37"/>
        <v>0.16101610245455839</v>
      </c>
      <c r="AD115" s="139">
        <f t="shared" si="51"/>
        <v>1.0976007760062662E-2</v>
      </c>
      <c r="AE115" s="139">
        <f t="shared" si="52"/>
        <v>-3.0738517603412174E-2</v>
      </c>
      <c r="AF115" s="139">
        <f t="shared" si="53"/>
        <v>5.3974402656088966E-2</v>
      </c>
      <c r="AG115" s="139" t="str">
        <f t="shared" si="54"/>
        <v/>
      </c>
      <c r="AH115" s="139" t="str">
        <f t="shared" si="55"/>
        <v/>
      </c>
      <c r="AI115" s="139" t="str">
        <f t="shared" si="56"/>
        <v/>
      </c>
      <c r="AJ115" s="139" t="str">
        <f t="shared" si="57"/>
        <v/>
      </c>
      <c r="AK115" s="139" t="str">
        <f t="shared" si="58"/>
        <v/>
      </c>
      <c r="AL115" s="139" t="str">
        <f t="shared" si="59"/>
        <v/>
      </c>
      <c r="AM115" s="139" t="str">
        <f t="shared" si="60"/>
        <v/>
      </c>
      <c r="AN115" s="139" t="str">
        <f t="shared" si="61"/>
        <v/>
      </c>
      <c r="AP115" s="82">
        <f t="shared" si="49"/>
        <v>2.2596459616984856E-4</v>
      </c>
      <c r="AQ115" s="82">
        <f t="shared" si="50"/>
        <v>0.97314777672744834</v>
      </c>
    </row>
    <row r="116" spans="2:43" x14ac:dyDescent="0.35">
      <c r="B116" s="83" t="s">
        <v>210</v>
      </c>
      <c r="D116" s="137">
        <v>16843</v>
      </c>
      <c r="E116" s="137">
        <v>6101</v>
      </c>
      <c r="F116" s="137">
        <v>159975</v>
      </c>
      <c r="G116" s="137">
        <v>9975</v>
      </c>
      <c r="H116" s="137">
        <f t="shared" si="31"/>
        <v>192894</v>
      </c>
      <c r="J116" s="137">
        <v>731</v>
      </c>
      <c r="K116" s="137">
        <v>1653</v>
      </c>
      <c r="L116" s="137">
        <v>7464</v>
      </c>
      <c r="M116" s="137">
        <v>42</v>
      </c>
      <c r="N116" s="137">
        <f t="shared" si="32"/>
        <v>9890</v>
      </c>
      <c r="P116" s="84">
        <f t="shared" si="33"/>
        <v>4.3400819331473016E-2</v>
      </c>
      <c r="Q116" s="84">
        <f t="shared" si="34"/>
        <v>0.27093919029667268</v>
      </c>
      <c r="R116" s="84">
        <f t="shared" si="35"/>
        <v>4.6657290201594002E-2</v>
      </c>
      <c r="S116" s="84">
        <f t="shared" si="36"/>
        <v>4.2105263157894736E-3</v>
      </c>
      <c r="T116" s="84" t="str">
        <f>+IFERROR(#REF!/#REF!,"")</f>
        <v/>
      </c>
      <c r="U116" s="84" t="str">
        <f>+IFERROR(#REF!/#REF!,"")</f>
        <v/>
      </c>
      <c r="V116" s="84" t="str">
        <f>+IFERROR(#REF!/#REF!,"")</f>
        <v/>
      </c>
      <c r="W116" s="84" t="str">
        <f>+IFERROR(#REF!/#REF!,"")</f>
        <v/>
      </c>
      <c r="X116" s="84" t="str">
        <f>+IFERROR(#REF!/#REF!,"")</f>
        <v/>
      </c>
      <c r="Y116" s="84" t="str">
        <f>+IFERROR(#REF!/#REF!,"")</f>
        <v/>
      </c>
      <c r="Z116" s="84" t="str">
        <f>+IFERROR(#REF!/#REF!,"")</f>
        <v/>
      </c>
      <c r="AA116" s="84" t="str">
        <f>+IFERROR(#REF!/#REF!,"")</f>
        <v/>
      </c>
      <c r="AB116" s="84">
        <f t="shared" si="37"/>
        <v>5.1271682893195225E-2</v>
      </c>
      <c r="AD116" s="139">
        <f t="shared" si="51"/>
        <v>0.22753837096519966</v>
      </c>
      <c r="AE116" s="139">
        <f t="shared" si="52"/>
        <v>-0.22428190009507867</v>
      </c>
      <c r="AF116" s="139">
        <f t="shared" si="53"/>
        <v>-4.2446763885804525E-2</v>
      </c>
      <c r="AG116" s="139" t="str">
        <f t="shared" si="54"/>
        <v/>
      </c>
      <c r="AH116" s="139" t="str">
        <f t="shared" si="55"/>
        <v/>
      </c>
      <c r="AI116" s="139" t="str">
        <f t="shared" si="56"/>
        <v/>
      </c>
      <c r="AJ116" s="139" t="str">
        <f t="shared" si="57"/>
        <v/>
      </c>
      <c r="AK116" s="139" t="str">
        <f t="shared" si="58"/>
        <v/>
      </c>
      <c r="AL116" s="139" t="str">
        <f t="shared" si="59"/>
        <v/>
      </c>
      <c r="AM116" s="139" t="str">
        <f t="shared" si="60"/>
        <v/>
      </c>
      <c r="AN116" s="139" t="str">
        <f t="shared" si="61"/>
        <v/>
      </c>
      <c r="AP116" s="82">
        <f t="shared" si="49"/>
        <v>9.7653894992300667E-6</v>
      </c>
      <c r="AQ116" s="82">
        <f t="shared" si="50"/>
        <v>0.9731575421169476</v>
      </c>
    </row>
    <row r="117" spans="2:43" x14ac:dyDescent="0.35">
      <c r="B117" s="83" t="s">
        <v>211</v>
      </c>
      <c r="D117" s="137">
        <v>803366</v>
      </c>
      <c r="E117" s="137">
        <v>761066</v>
      </c>
      <c r="F117" s="137">
        <v>408287</v>
      </c>
      <c r="G117" s="137">
        <v>510478</v>
      </c>
      <c r="H117" s="137">
        <f t="shared" si="31"/>
        <v>2483197</v>
      </c>
      <c r="J117" s="137">
        <v>134413</v>
      </c>
      <c r="K117" s="137">
        <v>117707</v>
      </c>
      <c r="L117" s="137">
        <v>80781</v>
      </c>
      <c r="M117" s="137">
        <v>101388</v>
      </c>
      <c r="N117" s="137">
        <f t="shared" si="32"/>
        <v>434289</v>
      </c>
      <c r="P117" s="84">
        <f t="shared" si="33"/>
        <v>0.16731228356689229</v>
      </c>
      <c r="Q117" s="84">
        <f t="shared" si="34"/>
        <v>0.15466069959766959</v>
      </c>
      <c r="R117" s="84">
        <f t="shared" si="35"/>
        <v>0.19785347072035112</v>
      </c>
      <c r="S117" s="84">
        <f t="shared" si="36"/>
        <v>0.19861384819717989</v>
      </c>
      <c r="T117" s="84" t="str">
        <f>+IFERROR(#REF!/#REF!,"")</f>
        <v/>
      </c>
      <c r="U117" s="84" t="str">
        <f>+IFERROR(#REF!/#REF!,"")</f>
        <v/>
      </c>
      <c r="V117" s="84" t="str">
        <f>+IFERROR(#REF!/#REF!,"")</f>
        <v/>
      </c>
      <c r="W117" s="84" t="str">
        <f>+IFERROR(#REF!/#REF!,"")</f>
        <v/>
      </c>
      <c r="X117" s="84" t="str">
        <f>+IFERROR(#REF!/#REF!,"")</f>
        <v/>
      </c>
      <c r="Y117" s="84" t="str">
        <f>+IFERROR(#REF!/#REF!,"")</f>
        <v/>
      </c>
      <c r="Z117" s="84" t="str">
        <f>+IFERROR(#REF!/#REF!,"")</f>
        <v/>
      </c>
      <c r="AA117" s="84" t="str">
        <f>+IFERROR(#REF!/#REF!,"")</f>
        <v/>
      </c>
      <c r="AB117" s="84">
        <f t="shared" si="37"/>
        <v>0.17489107791286798</v>
      </c>
      <c r="AD117" s="139">
        <f t="shared" si="51"/>
        <v>-1.2651583969222696E-2</v>
      </c>
      <c r="AE117" s="139">
        <f t="shared" si="52"/>
        <v>4.3192771122681523E-2</v>
      </c>
      <c r="AF117" s="139">
        <f t="shared" si="53"/>
        <v>7.6037747682877743E-4</v>
      </c>
      <c r="AG117" s="139" t="str">
        <f t="shared" si="54"/>
        <v/>
      </c>
      <c r="AH117" s="139" t="str">
        <f t="shared" si="55"/>
        <v/>
      </c>
      <c r="AI117" s="139" t="str">
        <f t="shared" si="56"/>
        <v/>
      </c>
      <c r="AJ117" s="139" t="str">
        <f t="shared" si="57"/>
        <v/>
      </c>
      <c r="AK117" s="139" t="str">
        <f t="shared" si="58"/>
        <v/>
      </c>
      <c r="AL117" s="139" t="str">
        <f t="shared" si="59"/>
        <v/>
      </c>
      <c r="AM117" s="139" t="str">
        <f t="shared" si="60"/>
        <v/>
      </c>
      <c r="AN117" s="139" t="str">
        <f t="shared" si="61"/>
        <v/>
      </c>
      <c r="AP117" s="82">
        <f t="shared" si="49"/>
        <v>4.2881711225795007E-4</v>
      </c>
      <c r="AQ117" s="82">
        <f t="shared" si="50"/>
        <v>0.97358635922920556</v>
      </c>
    </row>
    <row r="118" spans="2:43" x14ac:dyDescent="0.35">
      <c r="B118" s="83" t="s">
        <v>212</v>
      </c>
      <c r="D118" s="137">
        <v>124305</v>
      </c>
      <c r="E118" s="137">
        <v>110018</v>
      </c>
      <c r="F118" s="137">
        <v>175050</v>
      </c>
      <c r="G118" s="137">
        <v>111807</v>
      </c>
      <c r="H118" s="137">
        <f t="shared" si="31"/>
        <v>521180</v>
      </c>
      <c r="J118" s="137">
        <v>24454</v>
      </c>
      <c r="K118" s="137">
        <v>24444</v>
      </c>
      <c r="L118" s="137">
        <v>36435</v>
      </c>
      <c r="M118" s="137">
        <v>21073</v>
      </c>
      <c r="N118" s="137">
        <f t="shared" si="32"/>
        <v>106406</v>
      </c>
      <c r="P118" s="84">
        <f t="shared" si="33"/>
        <v>0.19672579542254937</v>
      </c>
      <c r="Q118" s="84">
        <f t="shared" si="34"/>
        <v>0.22218182479230672</v>
      </c>
      <c r="R118" s="84">
        <f t="shared" si="35"/>
        <v>0.20814053127677806</v>
      </c>
      <c r="S118" s="84">
        <f t="shared" si="36"/>
        <v>0.18847657123435921</v>
      </c>
      <c r="T118" s="84" t="str">
        <f>+IFERROR(#REF!/#REF!,"")</f>
        <v/>
      </c>
      <c r="U118" s="84" t="str">
        <f>+IFERROR(#REF!/#REF!,"")</f>
        <v/>
      </c>
      <c r="V118" s="84" t="str">
        <f>+IFERROR(#REF!/#REF!,"")</f>
        <v/>
      </c>
      <c r="W118" s="84" t="str">
        <f>+IFERROR(#REF!/#REF!,"")</f>
        <v/>
      </c>
      <c r="X118" s="84" t="str">
        <f>+IFERROR(#REF!/#REF!,"")</f>
        <v/>
      </c>
      <c r="Y118" s="84" t="str">
        <f>+IFERROR(#REF!/#REF!,"")</f>
        <v/>
      </c>
      <c r="Z118" s="84" t="str">
        <f>+IFERROR(#REF!/#REF!,"")</f>
        <v/>
      </c>
      <c r="AA118" s="84" t="str">
        <f>+IFERROR(#REF!/#REF!,"")</f>
        <v/>
      </c>
      <c r="AB118" s="84">
        <f t="shared" si="37"/>
        <v>0.20416362868874477</v>
      </c>
      <c r="AD118" s="139">
        <f t="shared" si="51"/>
        <v>2.5456029369757355E-2</v>
      </c>
      <c r="AE118" s="139">
        <f t="shared" si="52"/>
        <v>-1.4041293515528658E-2</v>
      </c>
      <c r="AF118" s="139">
        <f t="shared" si="53"/>
        <v>-1.9663960042418854E-2</v>
      </c>
      <c r="AG118" s="139" t="str">
        <f t="shared" si="54"/>
        <v/>
      </c>
      <c r="AH118" s="139" t="str">
        <f t="shared" si="55"/>
        <v/>
      </c>
      <c r="AI118" s="139" t="str">
        <f t="shared" si="56"/>
        <v/>
      </c>
      <c r="AJ118" s="139" t="str">
        <f t="shared" si="57"/>
        <v/>
      </c>
      <c r="AK118" s="139" t="str">
        <f t="shared" si="58"/>
        <v/>
      </c>
      <c r="AL118" s="139" t="str">
        <f t="shared" si="59"/>
        <v/>
      </c>
      <c r="AM118" s="139" t="str">
        <f t="shared" si="60"/>
        <v/>
      </c>
      <c r="AN118" s="139" t="str">
        <f t="shared" si="61"/>
        <v/>
      </c>
      <c r="AP118" s="82">
        <f t="shared" si="49"/>
        <v>1.0506532204803583E-4</v>
      </c>
      <c r="AQ118" s="82">
        <f t="shared" si="50"/>
        <v>0.97369142455125357</v>
      </c>
    </row>
    <row r="119" spans="2:43" x14ac:dyDescent="0.35">
      <c r="B119" s="83" t="s">
        <v>213</v>
      </c>
      <c r="D119" s="137">
        <v>108958</v>
      </c>
      <c r="E119" s="137">
        <v>80843</v>
      </c>
      <c r="F119" s="137">
        <v>333621</v>
      </c>
      <c r="G119" s="137">
        <v>87416</v>
      </c>
      <c r="H119" s="137">
        <f t="shared" si="31"/>
        <v>610838</v>
      </c>
      <c r="J119" s="137">
        <v>15351</v>
      </c>
      <c r="K119" s="137">
        <v>10853</v>
      </c>
      <c r="L119" s="137">
        <v>56038</v>
      </c>
      <c r="M119" s="137">
        <v>14607</v>
      </c>
      <c r="N119" s="137">
        <f t="shared" si="32"/>
        <v>96849</v>
      </c>
      <c r="P119" s="84">
        <f t="shared" si="33"/>
        <v>0.14088914994768625</v>
      </c>
      <c r="Q119" s="84">
        <f t="shared" si="34"/>
        <v>0.13424786314213971</v>
      </c>
      <c r="R119" s="84">
        <f t="shared" si="35"/>
        <v>0.16796904271613597</v>
      </c>
      <c r="S119" s="84">
        <f t="shared" si="36"/>
        <v>0.1670975565113938</v>
      </c>
      <c r="T119" s="84" t="str">
        <f>+IFERROR(#REF!/#REF!,"")</f>
        <v/>
      </c>
      <c r="U119" s="84" t="str">
        <f>+IFERROR(#REF!/#REF!,"")</f>
        <v/>
      </c>
      <c r="V119" s="84" t="str">
        <f>+IFERROR(#REF!/#REF!,"")</f>
        <v/>
      </c>
      <c r="W119" s="84" t="str">
        <f>+IFERROR(#REF!/#REF!,"")</f>
        <v/>
      </c>
      <c r="X119" s="84" t="str">
        <f>+IFERROR(#REF!/#REF!,"")</f>
        <v/>
      </c>
      <c r="Y119" s="84" t="str">
        <f>+IFERROR(#REF!/#REF!,"")</f>
        <v/>
      </c>
      <c r="Z119" s="84" t="str">
        <f>+IFERROR(#REF!/#REF!,"")</f>
        <v/>
      </c>
      <c r="AA119" s="84" t="str">
        <f>+IFERROR(#REF!/#REF!,"")</f>
        <v/>
      </c>
      <c r="AB119" s="84">
        <f t="shared" si="37"/>
        <v>0.15855103971920542</v>
      </c>
      <c r="AD119" s="139">
        <f t="shared" si="51"/>
        <v>-6.6412868055465424E-3</v>
      </c>
      <c r="AE119" s="139">
        <f t="shared" si="52"/>
        <v>3.3721179573996257E-2</v>
      </c>
      <c r="AF119" s="139">
        <f t="shared" si="53"/>
        <v>-8.7148620474217231E-4</v>
      </c>
      <c r="AG119" s="139" t="str">
        <f t="shared" si="54"/>
        <v/>
      </c>
      <c r="AH119" s="139" t="str">
        <f t="shared" si="55"/>
        <v/>
      </c>
      <c r="AI119" s="139" t="str">
        <f t="shared" si="56"/>
        <v/>
      </c>
      <c r="AJ119" s="139" t="str">
        <f t="shared" si="57"/>
        <v/>
      </c>
      <c r="AK119" s="139" t="str">
        <f t="shared" si="58"/>
        <v/>
      </c>
      <c r="AL119" s="139" t="str">
        <f t="shared" si="59"/>
        <v/>
      </c>
      <c r="AM119" s="139" t="str">
        <f t="shared" si="60"/>
        <v/>
      </c>
      <c r="AN119" s="139" t="str">
        <f t="shared" si="61"/>
        <v/>
      </c>
      <c r="AP119" s="82">
        <f t="shared" si="49"/>
        <v>9.5628736866626161E-5</v>
      </c>
      <c r="AQ119" s="82">
        <f t="shared" si="50"/>
        <v>0.97378705328812021</v>
      </c>
    </row>
    <row r="120" spans="2:43" x14ac:dyDescent="0.35">
      <c r="B120" s="83" t="s">
        <v>214</v>
      </c>
      <c r="D120" s="137">
        <v>119115</v>
      </c>
      <c r="E120" s="137">
        <v>94550</v>
      </c>
      <c r="F120" s="137">
        <v>206863</v>
      </c>
      <c r="G120" s="137">
        <v>85912</v>
      </c>
      <c r="H120" s="137">
        <f t="shared" si="31"/>
        <v>506440</v>
      </c>
      <c r="J120" s="137">
        <v>19883</v>
      </c>
      <c r="K120" s="137">
        <v>20370</v>
      </c>
      <c r="L120" s="137">
        <v>44284</v>
      </c>
      <c r="M120" s="137">
        <v>9931</v>
      </c>
      <c r="N120" s="137">
        <f t="shared" si="32"/>
        <v>94468</v>
      </c>
      <c r="P120" s="84">
        <f t="shared" si="33"/>
        <v>0.16692272173949543</v>
      </c>
      <c r="Q120" s="84">
        <f t="shared" si="34"/>
        <v>0.21544156530936012</v>
      </c>
      <c r="R120" s="84">
        <f t="shared" si="35"/>
        <v>0.21407404900828084</v>
      </c>
      <c r="S120" s="84">
        <f t="shared" si="36"/>
        <v>0.11559502746996927</v>
      </c>
      <c r="T120" s="84" t="str">
        <f>+IFERROR(#REF!/#REF!,"")</f>
        <v/>
      </c>
      <c r="U120" s="84" t="str">
        <f>+IFERROR(#REF!/#REF!,"")</f>
        <v/>
      </c>
      <c r="V120" s="84" t="str">
        <f>+IFERROR(#REF!/#REF!,"")</f>
        <v/>
      </c>
      <c r="W120" s="84" t="str">
        <f>+IFERROR(#REF!/#REF!,"")</f>
        <v/>
      </c>
      <c r="X120" s="84" t="str">
        <f>+IFERROR(#REF!/#REF!,"")</f>
        <v/>
      </c>
      <c r="Y120" s="84" t="str">
        <f>+IFERROR(#REF!/#REF!,"")</f>
        <v/>
      </c>
      <c r="Z120" s="84" t="str">
        <f>+IFERROR(#REF!/#REF!,"")</f>
        <v/>
      </c>
      <c r="AA120" s="84" t="str">
        <f>+IFERROR(#REF!/#REF!,"")</f>
        <v/>
      </c>
      <c r="AB120" s="84">
        <f t="shared" si="37"/>
        <v>0.18653344917463074</v>
      </c>
      <c r="AD120" s="139">
        <f t="shared" si="51"/>
        <v>4.8518843569864689E-2</v>
      </c>
      <c r="AE120" s="139">
        <f t="shared" si="52"/>
        <v>-1.3675163010792857E-3</v>
      </c>
      <c r="AF120" s="139">
        <f t="shared" si="53"/>
        <v>-9.8479021538311562E-2</v>
      </c>
      <c r="AG120" s="139" t="str">
        <f t="shared" si="54"/>
        <v/>
      </c>
      <c r="AH120" s="139" t="str">
        <f t="shared" si="55"/>
        <v/>
      </c>
      <c r="AI120" s="139" t="str">
        <f t="shared" si="56"/>
        <v/>
      </c>
      <c r="AJ120" s="139" t="str">
        <f t="shared" si="57"/>
        <v/>
      </c>
      <c r="AK120" s="139" t="str">
        <f t="shared" si="58"/>
        <v/>
      </c>
      <c r="AL120" s="139" t="str">
        <f t="shared" si="59"/>
        <v/>
      </c>
      <c r="AM120" s="139" t="str">
        <f t="shared" si="60"/>
        <v/>
      </c>
      <c r="AN120" s="139" t="str">
        <f t="shared" si="61"/>
        <v/>
      </c>
      <c r="AP120" s="82">
        <f t="shared" si="49"/>
        <v>9.3277736624192709E-5</v>
      </c>
      <c r="AQ120" s="82">
        <f t="shared" si="50"/>
        <v>0.97388033102474436</v>
      </c>
    </row>
    <row r="121" spans="2:43" x14ac:dyDescent="0.35">
      <c r="B121" s="83" t="s">
        <v>215</v>
      </c>
      <c r="D121" s="137">
        <v>273499</v>
      </c>
      <c r="E121" s="137">
        <v>257024</v>
      </c>
      <c r="F121" s="137">
        <v>237809</v>
      </c>
      <c r="G121" s="137">
        <v>318573</v>
      </c>
      <c r="H121" s="137">
        <f t="shared" si="31"/>
        <v>1086905</v>
      </c>
      <c r="J121" s="137">
        <v>69451</v>
      </c>
      <c r="K121" s="137">
        <v>65017</v>
      </c>
      <c r="L121" s="137">
        <v>26806</v>
      </c>
      <c r="M121" s="137">
        <v>87070</v>
      </c>
      <c r="N121" s="137">
        <f t="shared" si="32"/>
        <v>248344</v>
      </c>
      <c r="P121" s="84">
        <f t="shared" si="33"/>
        <v>0.25393511493643489</v>
      </c>
      <c r="Q121" s="84">
        <f t="shared" si="34"/>
        <v>0.25296081299800799</v>
      </c>
      <c r="R121" s="84">
        <f t="shared" si="35"/>
        <v>0.11272071284097743</v>
      </c>
      <c r="S121" s="84">
        <f t="shared" si="36"/>
        <v>0.2733125531667781</v>
      </c>
      <c r="T121" s="84" t="str">
        <f>+IFERROR(#REF!/#REF!,"")</f>
        <v/>
      </c>
      <c r="U121" s="84" t="str">
        <f>+IFERROR(#REF!/#REF!,"")</f>
        <v/>
      </c>
      <c r="V121" s="84" t="str">
        <f>+IFERROR(#REF!/#REF!,"")</f>
        <v/>
      </c>
      <c r="W121" s="84" t="str">
        <f>+IFERROR(#REF!/#REF!,"")</f>
        <v/>
      </c>
      <c r="X121" s="84" t="str">
        <f>+IFERROR(#REF!/#REF!,"")</f>
        <v/>
      </c>
      <c r="Y121" s="84" t="str">
        <f>+IFERROR(#REF!/#REF!,"")</f>
        <v/>
      </c>
      <c r="Z121" s="84" t="str">
        <f>+IFERROR(#REF!/#REF!,"")</f>
        <v/>
      </c>
      <c r="AA121" s="84" t="str">
        <f>+IFERROR(#REF!/#REF!,"")</f>
        <v/>
      </c>
      <c r="AB121" s="84">
        <f t="shared" si="37"/>
        <v>0.22848731029850816</v>
      </c>
      <c r="AD121" s="139">
        <f t="shared" si="51"/>
        <v>-9.7430193842690249E-4</v>
      </c>
      <c r="AE121" s="139">
        <f t="shared" si="52"/>
        <v>-0.14024010015703056</v>
      </c>
      <c r="AF121" s="139">
        <f t="shared" si="53"/>
        <v>0.16059184032580068</v>
      </c>
      <c r="AG121" s="139" t="str">
        <f t="shared" si="54"/>
        <v/>
      </c>
      <c r="AH121" s="139" t="str">
        <f t="shared" si="55"/>
        <v/>
      </c>
      <c r="AI121" s="139" t="str">
        <f t="shared" si="56"/>
        <v/>
      </c>
      <c r="AJ121" s="139" t="str">
        <f t="shared" si="57"/>
        <v/>
      </c>
      <c r="AK121" s="139" t="str">
        <f t="shared" si="58"/>
        <v/>
      </c>
      <c r="AL121" s="139" t="str">
        <f t="shared" si="59"/>
        <v/>
      </c>
      <c r="AM121" s="139" t="str">
        <f t="shared" si="60"/>
        <v/>
      </c>
      <c r="AN121" s="139" t="str">
        <f t="shared" si="61"/>
        <v/>
      </c>
      <c r="AP121" s="82">
        <f t="shared" si="49"/>
        <v>2.4521495346782526E-4</v>
      </c>
      <c r="AQ121" s="82">
        <f t="shared" si="50"/>
        <v>0.97412554597821222</v>
      </c>
    </row>
    <row r="122" spans="2:43" x14ac:dyDescent="0.35">
      <c r="B122" s="83" t="s">
        <v>216</v>
      </c>
      <c r="D122" s="137">
        <v>4576574</v>
      </c>
      <c r="E122" s="137">
        <v>4232054</v>
      </c>
      <c r="F122" s="137">
        <v>5774531</v>
      </c>
      <c r="G122" s="137">
        <v>3483106</v>
      </c>
      <c r="H122" s="137">
        <f t="shared" si="31"/>
        <v>18066265</v>
      </c>
      <c r="J122" s="137">
        <v>629199</v>
      </c>
      <c r="K122" s="137">
        <v>585066</v>
      </c>
      <c r="L122" s="137">
        <v>785120</v>
      </c>
      <c r="M122" s="137">
        <v>463076</v>
      </c>
      <c r="N122" s="137">
        <f t="shared" si="32"/>
        <v>2462461</v>
      </c>
      <c r="P122" s="84">
        <f t="shared" si="33"/>
        <v>0.13748253606300259</v>
      </c>
      <c r="Q122" s="84">
        <f t="shared" si="34"/>
        <v>0.13824634562791496</v>
      </c>
      <c r="R122" s="84">
        <f t="shared" si="35"/>
        <v>0.13596255695917123</v>
      </c>
      <c r="S122" s="84">
        <f t="shared" si="36"/>
        <v>0.1329491551506041</v>
      </c>
      <c r="T122" s="84" t="str">
        <f>+IFERROR(#REF!/#REF!,"")</f>
        <v/>
      </c>
      <c r="U122" s="84" t="str">
        <f>+IFERROR(#REF!/#REF!,"")</f>
        <v/>
      </c>
      <c r="V122" s="84" t="str">
        <f>+IFERROR(#REF!/#REF!,"")</f>
        <v/>
      </c>
      <c r="W122" s="84" t="str">
        <f>+IFERROR(#REF!/#REF!,"")</f>
        <v/>
      </c>
      <c r="X122" s="84" t="str">
        <f>+IFERROR(#REF!/#REF!,"")</f>
        <v/>
      </c>
      <c r="Y122" s="84" t="str">
        <f>+IFERROR(#REF!/#REF!,"")</f>
        <v/>
      </c>
      <c r="Z122" s="84" t="str">
        <f>+IFERROR(#REF!/#REF!,"")</f>
        <v/>
      </c>
      <c r="AA122" s="84" t="str">
        <f>+IFERROR(#REF!/#REF!,"")</f>
        <v/>
      </c>
      <c r="AB122" s="84">
        <f t="shared" si="37"/>
        <v>0.13630160965755789</v>
      </c>
      <c r="AD122" s="139">
        <f t="shared" si="51"/>
        <v>7.6380956491237106E-4</v>
      </c>
      <c r="AE122" s="139">
        <f t="shared" si="52"/>
        <v>-2.2837886687437359E-3</v>
      </c>
      <c r="AF122" s="139">
        <f t="shared" si="53"/>
        <v>-3.0134018085671288E-3</v>
      </c>
      <c r="AG122" s="139" t="str">
        <f t="shared" si="54"/>
        <v/>
      </c>
      <c r="AH122" s="139" t="str">
        <f t="shared" si="55"/>
        <v/>
      </c>
      <c r="AI122" s="139" t="str">
        <f t="shared" si="56"/>
        <v/>
      </c>
      <c r="AJ122" s="139" t="str">
        <f t="shared" si="57"/>
        <v/>
      </c>
      <c r="AK122" s="139" t="str">
        <f t="shared" si="58"/>
        <v/>
      </c>
      <c r="AL122" s="139" t="str">
        <f t="shared" si="59"/>
        <v/>
      </c>
      <c r="AM122" s="139" t="str">
        <f t="shared" si="60"/>
        <v/>
      </c>
      <c r="AN122" s="139" t="str">
        <f t="shared" si="61"/>
        <v/>
      </c>
      <c r="AP122" s="82">
        <f t="shared" si="49"/>
        <v>2.4314348626555682E-3</v>
      </c>
      <c r="AQ122" s="82">
        <f t="shared" si="50"/>
        <v>0.97655698084086784</v>
      </c>
    </row>
    <row r="123" spans="2:43" x14ac:dyDescent="0.35">
      <c r="B123" s="83" t="s">
        <v>217</v>
      </c>
      <c r="D123" s="137">
        <v>6549604</v>
      </c>
      <c r="E123" s="137">
        <v>4988517</v>
      </c>
      <c r="F123" s="137">
        <v>4369246</v>
      </c>
      <c r="G123" s="137">
        <v>10243784</v>
      </c>
      <c r="H123" s="137">
        <f t="shared" si="31"/>
        <v>26151151</v>
      </c>
      <c r="J123" s="137">
        <v>1134185</v>
      </c>
      <c r="K123" s="137">
        <v>834390</v>
      </c>
      <c r="L123" s="137">
        <v>966288</v>
      </c>
      <c r="M123" s="137">
        <v>1647105</v>
      </c>
      <c r="N123" s="137">
        <f t="shared" si="32"/>
        <v>4581968</v>
      </c>
      <c r="P123" s="84">
        <f t="shared" si="33"/>
        <v>0.17316848469006677</v>
      </c>
      <c r="Q123" s="84">
        <f t="shared" si="34"/>
        <v>0.16726213421744379</v>
      </c>
      <c r="R123" s="84">
        <f t="shared" si="35"/>
        <v>0.22115669385518691</v>
      </c>
      <c r="S123" s="84">
        <f t="shared" si="36"/>
        <v>0.1607906804751057</v>
      </c>
      <c r="T123" s="84" t="str">
        <f>+IFERROR(#REF!/#REF!,"")</f>
        <v/>
      </c>
      <c r="U123" s="84" t="str">
        <f>+IFERROR(#REF!/#REF!,"")</f>
        <v/>
      </c>
      <c r="V123" s="84" t="str">
        <f>+IFERROR(#REF!/#REF!,"")</f>
        <v/>
      </c>
      <c r="W123" s="84" t="str">
        <f>+IFERROR(#REF!/#REF!,"")</f>
        <v/>
      </c>
      <c r="X123" s="84" t="str">
        <f>+IFERROR(#REF!/#REF!,"")</f>
        <v/>
      </c>
      <c r="Y123" s="84" t="str">
        <f>+IFERROR(#REF!/#REF!,"")</f>
        <v/>
      </c>
      <c r="Z123" s="84" t="str">
        <f>+IFERROR(#REF!/#REF!,"")</f>
        <v/>
      </c>
      <c r="AA123" s="84" t="str">
        <f>+IFERROR(#REF!/#REF!,"")</f>
        <v/>
      </c>
      <c r="AB123" s="84">
        <f t="shared" si="37"/>
        <v>0.17521094960600395</v>
      </c>
      <c r="AD123" s="139">
        <f t="shared" si="51"/>
        <v>-5.9063504726229732E-3</v>
      </c>
      <c r="AE123" s="139">
        <f t="shared" si="52"/>
        <v>5.3894559637743117E-2</v>
      </c>
      <c r="AF123" s="139">
        <f t="shared" si="53"/>
        <v>-6.0366013380081213E-2</v>
      </c>
      <c r="AG123" s="139" t="str">
        <f t="shared" si="54"/>
        <v/>
      </c>
      <c r="AH123" s="139" t="str">
        <f t="shared" si="55"/>
        <v/>
      </c>
      <c r="AI123" s="139" t="str">
        <f t="shared" si="56"/>
        <v/>
      </c>
      <c r="AJ123" s="139" t="str">
        <f t="shared" si="57"/>
        <v/>
      </c>
      <c r="AK123" s="139" t="str">
        <f t="shared" si="58"/>
        <v/>
      </c>
      <c r="AL123" s="139" t="str">
        <f t="shared" si="59"/>
        <v/>
      </c>
      <c r="AM123" s="139" t="str">
        <f t="shared" si="60"/>
        <v/>
      </c>
      <c r="AN123" s="139" t="str">
        <f t="shared" si="61"/>
        <v/>
      </c>
      <c r="AP123" s="82">
        <f t="shared" si="49"/>
        <v>4.5242368243688762E-3</v>
      </c>
      <c r="AQ123" s="82">
        <f t="shared" si="50"/>
        <v>0.9810812176652367</v>
      </c>
    </row>
    <row r="124" spans="2:43" x14ac:dyDescent="0.35">
      <c r="B124" s="83" t="s">
        <v>218</v>
      </c>
      <c r="D124" s="137">
        <v>349711</v>
      </c>
      <c r="E124" s="137">
        <v>354363</v>
      </c>
      <c r="F124" s="137">
        <v>446979</v>
      </c>
      <c r="G124" s="137">
        <v>298538</v>
      </c>
      <c r="H124" s="137">
        <f t="shared" si="31"/>
        <v>1449591</v>
      </c>
      <c r="J124" s="137">
        <v>50465</v>
      </c>
      <c r="K124" s="137">
        <v>62576</v>
      </c>
      <c r="L124" s="137">
        <v>71887</v>
      </c>
      <c r="M124" s="137">
        <v>46549</v>
      </c>
      <c r="N124" s="137">
        <f t="shared" si="32"/>
        <v>231477</v>
      </c>
      <c r="P124" s="84">
        <f t="shared" si="33"/>
        <v>0.14430486887744451</v>
      </c>
      <c r="Q124" s="84">
        <f t="shared" si="34"/>
        <v>0.17658728478989058</v>
      </c>
      <c r="R124" s="84">
        <f t="shared" si="35"/>
        <v>0.16082858478809967</v>
      </c>
      <c r="S124" s="84">
        <f t="shared" si="36"/>
        <v>0.15592319905673649</v>
      </c>
      <c r="T124" s="84" t="str">
        <f>+IFERROR(#REF!/#REF!,"")</f>
        <v/>
      </c>
      <c r="U124" s="84" t="str">
        <f>+IFERROR(#REF!/#REF!,"")</f>
        <v/>
      </c>
      <c r="V124" s="84" t="str">
        <f>+IFERROR(#REF!/#REF!,"")</f>
        <v/>
      </c>
      <c r="W124" s="84" t="str">
        <f>+IFERROR(#REF!/#REF!,"")</f>
        <v/>
      </c>
      <c r="X124" s="84" t="str">
        <f>+IFERROR(#REF!/#REF!,"")</f>
        <v/>
      </c>
      <c r="Y124" s="84" t="str">
        <f>+IFERROR(#REF!/#REF!,"")</f>
        <v/>
      </c>
      <c r="Z124" s="84" t="str">
        <f>+IFERROR(#REF!/#REF!,"")</f>
        <v/>
      </c>
      <c r="AA124" s="84" t="str">
        <f>+IFERROR(#REF!/#REF!,"")</f>
        <v/>
      </c>
      <c r="AB124" s="84">
        <f t="shared" si="37"/>
        <v>0.1596843523449028</v>
      </c>
      <c r="AD124" s="139">
        <f t="shared" si="51"/>
        <v>3.2282415912446072E-2</v>
      </c>
      <c r="AE124" s="139">
        <f t="shared" si="52"/>
        <v>-1.5758700001790915E-2</v>
      </c>
      <c r="AF124" s="139">
        <f t="shared" si="53"/>
        <v>-4.9053857313631766E-3</v>
      </c>
      <c r="AG124" s="139" t="str">
        <f t="shared" si="54"/>
        <v/>
      </c>
      <c r="AH124" s="139" t="str">
        <f t="shared" si="55"/>
        <v/>
      </c>
      <c r="AI124" s="139" t="str">
        <f t="shared" si="56"/>
        <v/>
      </c>
      <c r="AJ124" s="139" t="str">
        <f t="shared" si="57"/>
        <v/>
      </c>
      <c r="AK124" s="139" t="str">
        <f t="shared" si="58"/>
        <v/>
      </c>
      <c r="AL124" s="139" t="str">
        <f t="shared" si="59"/>
        <v/>
      </c>
      <c r="AM124" s="139" t="str">
        <f t="shared" si="60"/>
        <v/>
      </c>
      <c r="AN124" s="139" t="str">
        <f t="shared" si="61"/>
        <v/>
      </c>
      <c r="AP124" s="82">
        <f t="shared" si="49"/>
        <v>2.2856047170002812E-4</v>
      </c>
      <c r="AQ124" s="82">
        <f t="shared" si="50"/>
        <v>0.98130977813693676</v>
      </c>
    </row>
    <row r="125" spans="2:43" x14ac:dyDescent="0.35">
      <c r="B125" s="83" t="s">
        <v>219</v>
      </c>
      <c r="D125" s="137">
        <v>645788</v>
      </c>
      <c r="E125" s="137">
        <v>610496</v>
      </c>
      <c r="F125" s="137">
        <v>733948</v>
      </c>
      <c r="G125" s="137">
        <v>699500</v>
      </c>
      <c r="H125" s="137">
        <f t="shared" si="31"/>
        <v>2689732</v>
      </c>
      <c r="J125" s="137">
        <v>112236</v>
      </c>
      <c r="K125" s="137">
        <v>109647</v>
      </c>
      <c r="L125" s="137">
        <v>128749</v>
      </c>
      <c r="M125" s="137">
        <v>107582</v>
      </c>
      <c r="N125" s="137">
        <f t="shared" si="32"/>
        <v>458214</v>
      </c>
      <c r="P125" s="84">
        <f t="shared" si="33"/>
        <v>0.17379697361982571</v>
      </c>
      <c r="Q125" s="84">
        <f t="shared" si="34"/>
        <v>0.17960314236293112</v>
      </c>
      <c r="R125" s="84">
        <f t="shared" si="35"/>
        <v>0.17541978450789431</v>
      </c>
      <c r="S125" s="84">
        <f t="shared" si="36"/>
        <v>0.15379842744817726</v>
      </c>
      <c r="T125" s="84" t="str">
        <f>+IFERROR(#REF!/#REF!,"")</f>
        <v/>
      </c>
      <c r="U125" s="84" t="str">
        <f>+IFERROR(#REF!/#REF!,"")</f>
        <v/>
      </c>
      <c r="V125" s="84" t="str">
        <f>+IFERROR(#REF!/#REF!,"")</f>
        <v/>
      </c>
      <c r="W125" s="84" t="str">
        <f>+IFERROR(#REF!/#REF!,"")</f>
        <v/>
      </c>
      <c r="X125" s="84" t="str">
        <f>+IFERROR(#REF!/#REF!,"")</f>
        <v/>
      </c>
      <c r="Y125" s="84" t="str">
        <f>+IFERROR(#REF!/#REF!,"")</f>
        <v/>
      </c>
      <c r="Z125" s="84" t="str">
        <f>+IFERROR(#REF!/#REF!,"")</f>
        <v/>
      </c>
      <c r="AA125" s="84" t="str">
        <f>+IFERROR(#REF!/#REF!,"")</f>
        <v/>
      </c>
      <c r="AB125" s="84">
        <f t="shared" si="37"/>
        <v>0.17035674929695599</v>
      </c>
      <c r="AD125" s="139">
        <f t="shared" si="51"/>
        <v>5.806168743105411E-3</v>
      </c>
      <c r="AE125" s="139">
        <f t="shared" si="52"/>
        <v>-4.1833578550368178E-3</v>
      </c>
      <c r="AF125" s="139">
        <f t="shared" si="53"/>
        <v>-2.1621357059717045E-2</v>
      </c>
      <c r="AG125" s="139" t="str">
        <f t="shared" si="54"/>
        <v/>
      </c>
      <c r="AH125" s="139" t="str">
        <f t="shared" si="55"/>
        <v/>
      </c>
      <c r="AI125" s="139" t="str">
        <f t="shared" si="56"/>
        <v/>
      </c>
      <c r="AJ125" s="139" t="str">
        <f t="shared" si="57"/>
        <v/>
      </c>
      <c r="AK125" s="139" t="str">
        <f t="shared" si="58"/>
        <v/>
      </c>
      <c r="AL125" s="139" t="str">
        <f t="shared" si="59"/>
        <v/>
      </c>
      <c r="AM125" s="139" t="str">
        <f t="shared" si="60"/>
        <v/>
      </c>
      <c r="AN125" s="139" t="str">
        <f t="shared" si="61"/>
        <v/>
      </c>
      <c r="AP125" s="82">
        <f t="shared" si="49"/>
        <v>4.5244066572297325E-4</v>
      </c>
      <c r="AQ125" s="82">
        <f t="shared" si="50"/>
        <v>0.98176221880265968</v>
      </c>
    </row>
    <row r="126" spans="2:43" x14ac:dyDescent="0.35">
      <c r="B126" s="83" t="s">
        <v>220</v>
      </c>
      <c r="D126" s="137">
        <v>218867</v>
      </c>
      <c r="E126" s="137">
        <v>182725</v>
      </c>
      <c r="F126" s="137">
        <v>184913</v>
      </c>
      <c r="G126" s="137">
        <v>114025</v>
      </c>
      <c r="H126" s="137">
        <f t="shared" si="31"/>
        <v>700530</v>
      </c>
      <c r="J126" s="137">
        <v>76265</v>
      </c>
      <c r="K126" s="137">
        <v>30282</v>
      </c>
      <c r="L126" s="137">
        <v>43271</v>
      </c>
      <c r="M126" s="137">
        <v>17131</v>
      </c>
      <c r="N126" s="137">
        <f t="shared" si="32"/>
        <v>166949</v>
      </c>
      <c r="P126" s="84">
        <f t="shared" si="33"/>
        <v>0.34845362708859717</v>
      </c>
      <c r="Q126" s="84">
        <f t="shared" si="34"/>
        <v>0.16572444930907101</v>
      </c>
      <c r="R126" s="84">
        <f t="shared" si="35"/>
        <v>0.23400734399420267</v>
      </c>
      <c r="S126" s="84">
        <f t="shared" si="36"/>
        <v>0.15023898267923702</v>
      </c>
      <c r="T126" s="84" t="str">
        <f>+IFERROR(#REF!/#REF!,"")</f>
        <v/>
      </c>
      <c r="U126" s="84" t="str">
        <f>+IFERROR(#REF!/#REF!,"")</f>
        <v/>
      </c>
      <c r="V126" s="84" t="str">
        <f>+IFERROR(#REF!/#REF!,"")</f>
        <v/>
      </c>
      <c r="W126" s="84" t="str">
        <f>+IFERROR(#REF!/#REF!,"")</f>
        <v/>
      </c>
      <c r="X126" s="84" t="str">
        <f>+IFERROR(#REF!/#REF!,"")</f>
        <v/>
      </c>
      <c r="Y126" s="84" t="str">
        <f>+IFERROR(#REF!/#REF!,"")</f>
        <v/>
      </c>
      <c r="Z126" s="84" t="str">
        <f>+IFERROR(#REF!/#REF!,"")</f>
        <v/>
      </c>
      <c r="AA126" s="84" t="str">
        <f>+IFERROR(#REF!/#REF!,"")</f>
        <v/>
      </c>
      <c r="AB126" s="84">
        <f t="shared" si="37"/>
        <v>0.23831813055829157</v>
      </c>
      <c r="AD126" s="139">
        <f t="shared" si="51"/>
        <v>-0.18272917777952616</v>
      </c>
      <c r="AE126" s="139">
        <f t="shared" si="52"/>
        <v>6.8282894685131656E-2</v>
      </c>
      <c r="AF126" s="139">
        <f t="shared" si="53"/>
        <v>-8.376836131496565E-2</v>
      </c>
      <c r="AG126" s="139" t="str">
        <f t="shared" si="54"/>
        <v/>
      </c>
      <c r="AH126" s="139" t="str">
        <f t="shared" si="55"/>
        <v/>
      </c>
      <c r="AI126" s="139" t="str">
        <f t="shared" si="56"/>
        <v/>
      </c>
      <c r="AJ126" s="139" t="str">
        <f t="shared" si="57"/>
        <v/>
      </c>
      <c r="AK126" s="139" t="str">
        <f t="shared" si="58"/>
        <v/>
      </c>
      <c r="AL126" s="139" t="str">
        <f t="shared" si="59"/>
        <v/>
      </c>
      <c r="AM126" s="139" t="str">
        <f t="shared" si="60"/>
        <v/>
      </c>
      <c r="AN126" s="139" t="str">
        <f t="shared" si="61"/>
        <v/>
      </c>
      <c r="AP126" s="82">
        <f t="shared" si="49"/>
        <v>1.6484550166905563E-4</v>
      </c>
      <c r="AQ126" s="82">
        <f t="shared" si="50"/>
        <v>0.98192706430432874</v>
      </c>
    </row>
    <row r="127" spans="2:43" x14ac:dyDescent="0.35">
      <c r="B127" s="83" t="s">
        <v>221</v>
      </c>
      <c r="D127" s="137">
        <v>200213</v>
      </c>
      <c r="E127" s="137">
        <v>187036</v>
      </c>
      <c r="F127" s="137">
        <v>222634</v>
      </c>
      <c r="G127" s="137">
        <v>185318</v>
      </c>
      <c r="H127" s="137">
        <f t="shared" si="31"/>
        <v>795201</v>
      </c>
      <c r="J127" s="137">
        <v>41799</v>
      </c>
      <c r="K127" s="137">
        <v>35556</v>
      </c>
      <c r="L127" s="137">
        <v>29444</v>
      </c>
      <c r="M127" s="137">
        <v>46809</v>
      </c>
      <c r="N127" s="137">
        <f t="shared" si="32"/>
        <v>153608</v>
      </c>
      <c r="P127" s="84">
        <f t="shared" si="33"/>
        <v>0.20877265712016702</v>
      </c>
      <c r="Q127" s="84">
        <f t="shared" si="34"/>
        <v>0.1901024401719455</v>
      </c>
      <c r="R127" s="84">
        <f t="shared" si="35"/>
        <v>0.13225293531086896</v>
      </c>
      <c r="S127" s="84">
        <f t="shared" si="36"/>
        <v>0.25258744428495883</v>
      </c>
      <c r="T127" s="84" t="str">
        <f>+IFERROR(#REF!/#REF!,"")</f>
        <v/>
      </c>
      <c r="U127" s="84" t="str">
        <f>+IFERROR(#REF!/#REF!,"")</f>
        <v/>
      </c>
      <c r="V127" s="84" t="str">
        <f>+IFERROR(#REF!/#REF!,"")</f>
        <v/>
      </c>
      <c r="W127" s="84" t="str">
        <f>+IFERROR(#REF!/#REF!,"")</f>
        <v/>
      </c>
      <c r="X127" s="84" t="str">
        <f>+IFERROR(#REF!/#REF!,"")</f>
        <v/>
      </c>
      <c r="Y127" s="84" t="str">
        <f>+IFERROR(#REF!/#REF!,"")</f>
        <v/>
      </c>
      <c r="Z127" s="84" t="str">
        <f>+IFERROR(#REF!/#REF!,"")</f>
        <v/>
      </c>
      <c r="AA127" s="84" t="str">
        <f>+IFERROR(#REF!/#REF!,"")</f>
        <v/>
      </c>
      <c r="AB127" s="84">
        <f t="shared" si="37"/>
        <v>0.19316877116603223</v>
      </c>
      <c r="AD127" s="139">
        <f t="shared" si="51"/>
        <v>-1.8670216948221519E-2</v>
      </c>
      <c r="AE127" s="139">
        <f t="shared" si="52"/>
        <v>-5.7849504861076539E-2</v>
      </c>
      <c r="AF127" s="139">
        <f t="shared" si="53"/>
        <v>0.12033450897408987</v>
      </c>
      <c r="AG127" s="139" t="str">
        <f t="shared" si="54"/>
        <v/>
      </c>
      <c r="AH127" s="139" t="str">
        <f t="shared" si="55"/>
        <v/>
      </c>
      <c r="AI127" s="139" t="str">
        <f t="shared" si="56"/>
        <v/>
      </c>
      <c r="AJ127" s="139" t="str">
        <f t="shared" si="57"/>
        <v/>
      </c>
      <c r="AK127" s="139" t="str">
        <f t="shared" si="58"/>
        <v/>
      </c>
      <c r="AL127" s="139" t="str">
        <f t="shared" si="59"/>
        <v/>
      </c>
      <c r="AM127" s="139" t="str">
        <f t="shared" si="60"/>
        <v/>
      </c>
      <c r="AN127" s="139" t="str">
        <f t="shared" si="61"/>
        <v/>
      </c>
      <c r="AP127" s="82">
        <f t="shared" si="49"/>
        <v>1.5167259354881011E-4</v>
      </c>
      <c r="AQ127" s="82">
        <f t="shared" si="50"/>
        <v>0.9820787368978775</v>
      </c>
    </row>
    <row r="128" spans="2:43" x14ac:dyDescent="0.35">
      <c r="B128" s="83" t="s">
        <v>222</v>
      </c>
      <c r="D128" s="137">
        <v>559167</v>
      </c>
      <c r="E128" s="137">
        <v>423395</v>
      </c>
      <c r="F128" s="137">
        <v>134477</v>
      </c>
      <c r="G128" s="137">
        <v>272524</v>
      </c>
      <c r="H128" s="137">
        <f t="shared" si="31"/>
        <v>1389563</v>
      </c>
      <c r="J128" s="137">
        <v>78416</v>
      </c>
      <c r="K128" s="137">
        <v>66042</v>
      </c>
      <c r="L128" s="137">
        <v>23279</v>
      </c>
      <c r="M128" s="137">
        <v>34029</v>
      </c>
      <c r="N128" s="137">
        <f t="shared" si="32"/>
        <v>201766</v>
      </c>
      <c r="P128" s="84">
        <f t="shared" si="33"/>
        <v>0.14023717422523146</v>
      </c>
      <c r="Q128" s="84">
        <f t="shared" si="34"/>
        <v>0.15598200262166534</v>
      </c>
      <c r="R128" s="84">
        <f t="shared" si="35"/>
        <v>0.17310766896941485</v>
      </c>
      <c r="S128" s="84">
        <f t="shared" si="36"/>
        <v>0.12486606684181943</v>
      </c>
      <c r="T128" s="84" t="str">
        <f>+IFERROR(#REF!/#REF!,"")</f>
        <v/>
      </c>
      <c r="U128" s="84" t="str">
        <f>+IFERROR(#REF!/#REF!,"")</f>
        <v/>
      </c>
      <c r="V128" s="84" t="str">
        <f>+IFERROR(#REF!/#REF!,"")</f>
        <v/>
      </c>
      <c r="W128" s="84" t="str">
        <f>+IFERROR(#REF!/#REF!,"")</f>
        <v/>
      </c>
      <c r="X128" s="84" t="str">
        <f>+IFERROR(#REF!/#REF!,"")</f>
        <v/>
      </c>
      <c r="Y128" s="84" t="str">
        <f>+IFERROR(#REF!/#REF!,"")</f>
        <v/>
      </c>
      <c r="Z128" s="84" t="str">
        <f>+IFERROR(#REF!/#REF!,"")</f>
        <v/>
      </c>
      <c r="AA128" s="84" t="str">
        <f>+IFERROR(#REF!/#REF!,"")</f>
        <v/>
      </c>
      <c r="AB128" s="84">
        <f t="shared" si="37"/>
        <v>0.14520104522069169</v>
      </c>
      <c r="AD128" s="139">
        <f t="shared" si="51"/>
        <v>1.5744828396433874E-2</v>
      </c>
      <c r="AE128" s="139">
        <f t="shared" si="52"/>
        <v>1.7125666347749507E-2</v>
      </c>
      <c r="AF128" s="139">
        <f t="shared" si="53"/>
        <v>-4.8241602127595415E-2</v>
      </c>
      <c r="AG128" s="139" t="str">
        <f t="shared" si="54"/>
        <v/>
      </c>
      <c r="AH128" s="139" t="str">
        <f t="shared" si="55"/>
        <v/>
      </c>
      <c r="AI128" s="139" t="str">
        <f t="shared" si="56"/>
        <v/>
      </c>
      <c r="AJ128" s="139" t="str">
        <f t="shared" si="57"/>
        <v/>
      </c>
      <c r="AK128" s="139" t="str">
        <f t="shared" si="58"/>
        <v/>
      </c>
      <c r="AL128" s="139" t="str">
        <f t="shared" si="59"/>
        <v/>
      </c>
      <c r="AM128" s="139" t="str">
        <f t="shared" si="60"/>
        <v/>
      </c>
      <c r="AN128" s="139" t="str">
        <f t="shared" si="61"/>
        <v/>
      </c>
      <c r="AP128" s="82">
        <f t="shared" si="49"/>
        <v>1.992238197878315E-4</v>
      </c>
      <c r="AQ128" s="82">
        <f t="shared" si="50"/>
        <v>0.98227796071766538</v>
      </c>
    </row>
    <row r="129" spans="2:43" x14ac:dyDescent="0.35">
      <c r="B129" s="83" t="s">
        <v>223</v>
      </c>
      <c r="D129" s="137">
        <v>55321</v>
      </c>
      <c r="E129" s="137">
        <v>47764</v>
      </c>
      <c r="F129" s="137">
        <v>46959</v>
      </c>
      <c r="G129" s="137">
        <v>39797</v>
      </c>
      <c r="H129" s="137">
        <f t="shared" si="31"/>
        <v>189841</v>
      </c>
      <c r="J129" s="137">
        <v>12923</v>
      </c>
      <c r="K129" s="137">
        <v>7560</v>
      </c>
      <c r="L129" s="137">
        <v>4542</v>
      </c>
      <c r="M129" s="137">
        <v>7685</v>
      </c>
      <c r="N129" s="137">
        <f t="shared" si="32"/>
        <v>32710</v>
      </c>
      <c r="P129" s="84">
        <f t="shared" si="33"/>
        <v>0.23360026029898232</v>
      </c>
      <c r="Q129" s="84">
        <f t="shared" si="34"/>
        <v>0.15827820115568211</v>
      </c>
      <c r="R129" s="84">
        <f t="shared" si="35"/>
        <v>9.6722672970037699E-2</v>
      </c>
      <c r="S129" s="84">
        <f t="shared" si="36"/>
        <v>0.19310500791516949</v>
      </c>
      <c r="T129" s="84" t="str">
        <f>+IFERROR(#REF!/#REF!,"")</f>
        <v/>
      </c>
      <c r="U129" s="84" t="str">
        <f>+IFERROR(#REF!/#REF!,"")</f>
        <v/>
      </c>
      <c r="V129" s="84" t="str">
        <f>+IFERROR(#REF!/#REF!,"")</f>
        <v/>
      </c>
      <c r="W129" s="84" t="str">
        <f>+IFERROR(#REF!/#REF!,"")</f>
        <v/>
      </c>
      <c r="X129" s="84" t="str">
        <f>+IFERROR(#REF!/#REF!,"")</f>
        <v/>
      </c>
      <c r="Y129" s="84" t="str">
        <f>+IFERROR(#REF!/#REF!,"")</f>
        <v/>
      </c>
      <c r="Z129" s="84" t="str">
        <f>+IFERROR(#REF!/#REF!,"")</f>
        <v/>
      </c>
      <c r="AA129" s="84" t="str">
        <f>+IFERROR(#REF!/#REF!,"")</f>
        <v/>
      </c>
      <c r="AB129" s="84">
        <f t="shared" si="37"/>
        <v>0.17230208437587244</v>
      </c>
      <c r="AD129" s="139">
        <f t="shared" si="51"/>
        <v>-7.5322059143300202E-2</v>
      </c>
      <c r="AE129" s="139">
        <f t="shared" si="52"/>
        <v>-6.1555528185644415E-2</v>
      </c>
      <c r="AF129" s="139">
        <f t="shared" si="53"/>
        <v>9.6382334945131792E-2</v>
      </c>
      <c r="AG129" s="139" t="str">
        <f t="shared" si="54"/>
        <v/>
      </c>
      <c r="AH129" s="139" t="str">
        <f t="shared" si="55"/>
        <v/>
      </c>
      <c r="AI129" s="139" t="str">
        <f t="shared" si="56"/>
        <v/>
      </c>
      <c r="AJ129" s="139" t="str">
        <f t="shared" si="57"/>
        <v/>
      </c>
      <c r="AK129" s="139" t="str">
        <f t="shared" si="58"/>
        <v/>
      </c>
      <c r="AL129" s="139" t="str">
        <f t="shared" si="59"/>
        <v/>
      </c>
      <c r="AM129" s="139" t="str">
        <f t="shared" si="60"/>
        <v/>
      </c>
      <c r="AN129" s="139" t="str">
        <f t="shared" si="61"/>
        <v/>
      </c>
      <c r="AP129" s="82">
        <f t="shared" si="49"/>
        <v>3.2297865573287713E-5</v>
      </c>
      <c r="AQ129" s="82">
        <f t="shared" si="50"/>
        <v>0.98231025858323862</v>
      </c>
    </row>
    <row r="130" spans="2:43" x14ac:dyDescent="0.35">
      <c r="B130" s="83" t="s">
        <v>224</v>
      </c>
      <c r="D130" s="137">
        <v>88598</v>
      </c>
      <c r="E130" s="137">
        <v>144259</v>
      </c>
      <c r="F130" s="137">
        <v>177988</v>
      </c>
      <c r="G130" s="137">
        <v>209356</v>
      </c>
      <c r="H130" s="137">
        <f t="shared" si="31"/>
        <v>620201</v>
      </c>
      <c r="J130" s="137">
        <v>13852</v>
      </c>
      <c r="K130" s="137">
        <v>52737</v>
      </c>
      <c r="L130" s="137">
        <v>22526</v>
      </c>
      <c r="M130" s="137">
        <v>59366</v>
      </c>
      <c r="N130" s="137">
        <f t="shared" si="32"/>
        <v>148481</v>
      </c>
      <c r="P130" s="84">
        <f t="shared" si="33"/>
        <v>0.15634664439377863</v>
      </c>
      <c r="Q130" s="84">
        <f t="shared" si="34"/>
        <v>0.36557164544326526</v>
      </c>
      <c r="R130" s="84">
        <f t="shared" si="35"/>
        <v>0.12655909387149694</v>
      </c>
      <c r="S130" s="84">
        <f t="shared" si="36"/>
        <v>0.28356483692848544</v>
      </c>
      <c r="T130" s="84" t="str">
        <f>+IFERROR(#REF!/#REF!,"")</f>
        <v/>
      </c>
      <c r="U130" s="84" t="str">
        <f>+IFERROR(#REF!/#REF!,"")</f>
        <v/>
      </c>
      <c r="V130" s="84" t="str">
        <f>+IFERROR(#REF!/#REF!,"")</f>
        <v/>
      </c>
      <c r="W130" s="84" t="str">
        <f>+IFERROR(#REF!/#REF!,"")</f>
        <v/>
      </c>
      <c r="X130" s="84" t="str">
        <f>+IFERROR(#REF!/#REF!,"")</f>
        <v/>
      </c>
      <c r="Y130" s="84" t="str">
        <f>+IFERROR(#REF!/#REF!,"")</f>
        <v/>
      </c>
      <c r="Z130" s="84" t="str">
        <f>+IFERROR(#REF!/#REF!,"")</f>
        <v/>
      </c>
      <c r="AA130" s="84" t="str">
        <f>+IFERROR(#REF!/#REF!,"")</f>
        <v/>
      </c>
      <c r="AB130" s="84">
        <f t="shared" si="37"/>
        <v>0.23940786938428027</v>
      </c>
      <c r="AD130" s="139">
        <f t="shared" si="51"/>
        <v>0.20922500104948663</v>
      </c>
      <c r="AE130" s="139">
        <f t="shared" si="52"/>
        <v>-0.23901255157176832</v>
      </c>
      <c r="AF130" s="139">
        <f t="shared" si="53"/>
        <v>0.1570057430569885</v>
      </c>
      <c r="AG130" s="139" t="str">
        <f t="shared" si="54"/>
        <v/>
      </c>
      <c r="AH130" s="139" t="str">
        <f t="shared" si="55"/>
        <v/>
      </c>
      <c r="AI130" s="139" t="str">
        <f t="shared" si="56"/>
        <v/>
      </c>
      <c r="AJ130" s="139" t="str">
        <f t="shared" si="57"/>
        <v/>
      </c>
      <c r="AK130" s="139" t="str">
        <f t="shared" si="58"/>
        <v/>
      </c>
      <c r="AL130" s="139" t="str">
        <f t="shared" si="59"/>
        <v/>
      </c>
      <c r="AM130" s="139" t="str">
        <f t="shared" si="60"/>
        <v/>
      </c>
      <c r="AN130" s="139" t="str">
        <f t="shared" si="61"/>
        <v/>
      </c>
      <c r="AP130" s="82">
        <f t="shared" si="49"/>
        <v>1.4661019193480074E-4</v>
      </c>
      <c r="AQ130" s="82">
        <f t="shared" si="50"/>
        <v>0.98245686877517346</v>
      </c>
    </row>
    <row r="131" spans="2:43" x14ac:dyDescent="0.35">
      <c r="B131" s="83" t="s">
        <v>225</v>
      </c>
      <c r="D131" s="137">
        <v>2869438</v>
      </c>
      <c r="E131" s="137">
        <v>10355945</v>
      </c>
      <c r="F131" s="137">
        <v>5687119</v>
      </c>
      <c r="G131" s="137">
        <v>7251739</v>
      </c>
      <c r="H131" s="137">
        <f t="shared" si="31"/>
        <v>26164241</v>
      </c>
      <c r="J131" s="137">
        <v>678689</v>
      </c>
      <c r="K131" s="137">
        <v>4555506</v>
      </c>
      <c r="L131" s="137">
        <v>1197301</v>
      </c>
      <c r="M131" s="137">
        <v>2347651</v>
      </c>
      <c r="N131" s="137">
        <f t="shared" si="32"/>
        <v>8779147</v>
      </c>
      <c r="P131" s="84">
        <f t="shared" si="33"/>
        <v>0.23652331920048456</v>
      </c>
      <c r="Q131" s="84">
        <f t="shared" si="34"/>
        <v>0.43989283450230759</v>
      </c>
      <c r="R131" s="84">
        <f t="shared" si="35"/>
        <v>0.21052856463879163</v>
      </c>
      <c r="S131" s="84">
        <f t="shared" si="36"/>
        <v>0.3237362789808072</v>
      </c>
      <c r="T131" s="84" t="str">
        <f>+IFERROR(#REF!/#REF!,"")</f>
        <v/>
      </c>
      <c r="U131" s="84" t="str">
        <f>+IFERROR(#REF!/#REF!,"")</f>
        <v/>
      </c>
      <c r="V131" s="84" t="str">
        <f>+IFERROR(#REF!/#REF!,"")</f>
        <v/>
      </c>
      <c r="W131" s="84" t="str">
        <f>+IFERROR(#REF!/#REF!,"")</f>
        <v/>
      </c>
      <c r="X131" s="84" t="str">
        <f>+IFERROR(#REF!/#REF!,"")</f>
        <v/>
      </c>
      <c r="Y131" s="84" t="str">
        <f>+IFERROR(#REF!/#REF!,"")</f>
        <v/>
      </c>
      <c r="Z131" s="84" t="str">
        <f>+IFERROR(#REF!/#REF!,"")</f>
        <v/>
      </c>
      <c r="AA131" s="84" t="str">
        <f>+IFERROR(#REF!/#REF!,"")</f>
        <v/>
      </c>
      <c r="AB131" s="84">
        <f t="shared" si="37"/>
        <v>0.33553990731089811</v>
      </c>
      <c r="AD131" s="139">
        <f t="shared" si="51"/>
        <v>0.20336951530182304</v>
      </c>
      <c r="AE131" s="139">
        <f t="shared" si="52"/>
        <v>-0.22936426986351596</v>
      </c>
      <c r="AF131" s="139">
        <f t="shared" si="53"/>
        <v>0.11320771434201557</v>
      </c>
      <c r="AG131" s="139" t="str">
        <f t="shared" si="54"/>
        <v/>
      </c>
      <c r="AH131" s="139" t="str">
        <f t="shared" si="55"/>
        <v/>
      </c>
      <c r="AI131" s="139" t="str">
        <f t="shared" si="56"/>
        <v/>
      </c>
      <c r="AJ131" s="139" t="str">
        <f t="shared" si="57"/>
        <v/>
      </c>
      <c r="AK131" s="139" t="str">
        <f t="shared" si="58"/>
        <v/>
      </c>
      <c r="AL131" s="139" t="str">
        <f t="shared" si="59"/>
        <v/>
      </c>
      <c r="AM131" s="139" t="str">
        <f t="shared" si="60"/>
        <v/>
      </c>
      <c r="AN131" s="139" t="str">
        <f t="shared" si="61"/>
        <v/>
      </c>
      <c r="AP131" s="82">
        <f t="shared" si="49"/>
        <v>8.6685328539936445E-3</v>
      </c>
      <c r="AQ131" s="82">
        <f t="shared" si="50"/>
        <v>0.99112540162916707</v>
      </c>
    </row>
    <row r="132" spans="2:43" x14ac:dyDescent="0.35">
      <c r="B132" s="83" t="s">
        <v>226</v>
      </c>
      <c r="D132" s="137">
        <v>275029</v>
      </c>
      <c r="E132" s="137">
        <v>149955</v>
      </c>
      <c r="F132" s="137">
        <v>189623</v>
      </c>
      <c r="G132" s="137">
        <v>235677</v>
      </c>
      <c r="H132" s="137">
        <f t="shared" si="31"/>
        <v>850284</v>
      </c>
      <c r="J132" s="137">
        <v>75962</v>
      </c>
      <c r="K132" s="137">
        <v>59534</v>
      </c>
      <c r="L132" s="137">
        <v>57472</v>
      </c>
      <c r="M132" s="137">
        <v>92377</v>
      </c>
      <c r="N132" s="137">
        <f t="shared" si="32"/>
        <v>285345</v>
      </c>
      <c r="P132" s="84">
        <f t="shared" si="33"/>
        <v>0.27619632838718827</v>
      </c>
      <c r="Q132" s="84">
        <f t="shared" si="34"/>
        <v>0.39701243706445266</v>
      </c>
      <c r="R132" s="84">
        <f t="shared" si="35"/>
        <v>0.30308559615658437</v>
      </c>
      <c r="S132" s="84">
        <f t="shared" si="36"/>
        <v>0.39196442588797381</v>
      </c>
      <c r="T132" s="84" t="str">
        <f>+IFERROR(#REF!/#REF!,"")</f>
        <v/>
      </c>
      <c r="U132" s="84" t="str">
        <f>+IFERROR(#REF!/#REF!,"")</f>
        <v/>
      </c>
      <c r="V132" s="84" t="str">
        <f>+IFERROR(#REF!/#REF!,"")</f>
        <v/>
      </c>
      <c r="W132" s="84" t="str">
        <f>+IFERROR(#REF!/#REF!,"")</f>
        <v/>
      </c>
      <c r="X132" s="84" t="str">
        <f>+IFERROR(#REF!/#REF!,"")</f>
        <v/>
      </c>
      <c r="Y132" s="84" t="str">
        <f>+IFERROR(#REF!/#REF!,"")</f>
        <v/>
      </c>
      <c r="Z132" s="84" t="str">
        <f>+IFERROR(#REF!/#REF!,"")</f>
        <v/>
      </c>
      <c r="AA132" s="84" t="str">
        <f>+IFERROR(#REF!/#REF!,"")</f>
        <v/>
      </c>
      <c r="AB132" s="84">
        <f t="shared" si="37"/>
        <v>0.33558787416910113</v>
      </c>
      <c r="AD132" s="139">
        <f t="shared" si="51"/>
        <v>0.12081610867726439</v>
      </c>
      <c r="AE132" s="139">
        <f t="shared" si="52"/>
        <v>-9.3926840907868292E-2</v>
      </c>
      <c r="AF132" s="139">
        <f t="shared" si="53"/>
        <v>8.8878829731389442E-2</v>
      </c>
      <c r="AG132" s="139" t="str">
        <f t="shared" si="54"/>
        <v/>
      </c>
      <c r="AH132" s="139" t="str">
        <f t="shared" si="55"/>
        <v/>
      </c>
      <c r="AI132" s="139" t="str">
        <f t="shared" si="56"/>
        <v/>
      </c>
      <c r="AJ132" s="139" t="str">
        <f t="shared" si="57"/>
        <v/>
      </c>
      <c r="AK132" s="139" t="str">
        <f t="shared" si="58"/>
        <v/>
      </c>
      <c r="AL132" s="139" t="str">
        <f t="shared" si="59"/>
        <v/>
      </c>
      <c r="AM132" s="139" t="str">
        <f t="shared" si="60"/>
        <v/>
      </c>
      <c r="AN132" s="139" t="str">
        <f t="shared" si="61"/>
        <v/>
      </c>
      <c r="AP132" s="82">
        <f t="shared" si="49"/>
        <v>2.8174975395933298E-4</v>
      </c>
      <c r="AQ132" s="82">
        <f t="shared" si="50"/>
        <v>0.99140715138312641</v>
      </c>
    </row>
    <row r="133" spans="2:43" x14ac:dyDescent="0.35">
      <c r="B133" s="83" t="s">
        <v>227</v>
      </c>
      <c r="D133" s="137">
        <v>154241</v>
      </c>
      <c r="E133" s="137">
        <v>168558</v>
      </c>
      <c r="F133" s="137">
        <v>139404</v>
      </c>
      <c r="G133" s="137">
        <v>97217</v>
      </c>
      <c r="H133" s="137">
        <f t="shared" ref="H133:H196" si="62">+SUM(D133:G133)</f>
        <v>559420</v>
      </c>
      <c r="J133" s="137">
        <v>17987</v>
      </c>
      <c r="K133" s="137">
        <v>31752</v>
      </c>
      <c r="L133" s="137">
        <v>2187</v>
      </c>
      <c r="M133" s="137">
        <v>6587</v>
      </c>
      <c r="N133" s="137">
        <f t="shared" ref="N133:N196" si="63">+SUM(J133:M133)</f>
        <v>58513</v>
      </c>
      <c r="P133" s="84">
        <f t="shared" ref="P133:P196" si="64">+IFERROR(J133/D133,"")</f>
        <v>0.1166162045111222</v>
      </c>
      <c r="Q133" s="84">
        <f t="shared" ref="Q133:Q196" si="65">+IFERROR(K133/E133,"")</f>
        <v>0.18837432812444382</v>
      </c>
      <c r="R133" s="84">
        <f t="shared" ref="R133:R196" si="66">+IFERROR(L133/F133,"")</f>
        <v>1.568821554618232E-2</v>
      </c>
      <c r="S133" s="84">
        <f t="shared" ref="S133:S196" si="67">+IFERROR(M133/G133,"")</f>
        <v>6.775563944577595E-2</v>
      </c>
      <c r="T133" s="84" t="str">
        <f>+IFERROR(#REF!/#REF!,"")</f>
        <v/>
      </c>
      <c r="U133" s="84" t="str">
        <f>+IFERROR(#REF!/#REF!,"")</f>
        <v/>
      </c>
      <c r="V133" s="84" t="str">
        <f>+IFERROR(#REF!/#REF!,"")</f>
        <v/>
      </c>
      <c r="W133" s="84" t="str">
        <f>+IFERROR(#REF!/#REF!,"")</f>
        <v/>
      </c>
      <c r="X133" s="84" t="str">
        <f>+IFERROR(#REF!/#REF!,"")</f>
        <v/>
      </c>
      <c r="Y133" s="84" t="str">
        <f>+IFERROR(#REF!/#REF!,"")</f>
        <v/>
      </c>
      <c r="Z133" s="84" t="str">
        <f>+IFERROR(#REF!/#REF!,"")</f>
        <v/>
      </c>
      <c r="AA133" s="84" t="str">
        <f>+IFERROR(#REF!/#REF!,"")</f>
        <v/>
      </c>
      <c r="AB133" s="84">
        <f t="shared" ref="AB133:AB196" si="68">+IFERROR(N133/H133,"")</f>
        <v>0.10459583139680383</v>
      </c>
      <c r="AD133" s="139">
        <f t="shared" ref="AD133:AD164" si="69">+IFERROR(Q133-P133,"")</f>
        <v>7.1758123613321623E-2</v>
      </c>
      <c r="AE133" s="139">
        <f t="shared" ref="AE133:AE164" si="70">+IFERROR(R133-Q133,"")</f>
        <v>-0.1726861125782615</v>
      </c>
      <c r="AF133" s="139">
        <f t="shared" ref="AF133:AF164" si="71">+IFERROR(S133-R133,"")</f>
        <v>5.206742389959363E-2</v>
      </c>
      <c r="AG133" s="139" t="str">
        <f t="shared" ref="AG133:AG164" si="72">+IFERROR(T133-S133,"")</f>
        <v/>
      </c>
      <c r="AH133" s="139" t="str">
        <f t="shared" ref="AH133:AH164" si="73">+IFERROR(U133-T133,"")</f>
        <v/>
      </c>
      <c r="AI133" s="139" t="str">
        <f t="shared" ref="AI133:AI164" si="74">+IFERROR(V133-U133,"")</f>
        <v/>
      </c>
      <c r="AJ133" s="139" t="str">
        <f t="shared" ref="AJ133:AJ164" si="75">+IFERROR(W133-V133,"")</f>
        <v/>
      </c>
      <c r="AK133" s="139" t="str">
        <f t="shared" ref="AK133:AK164" si="76">+IFERROR(X133-W133,"")</f>
        <v/>
      </c>
      <c r="AL133" s="139" t="str">
        <f t="shared" ref="AL133:AL164" si="77">+IFERROR(Y133-X133,"")</f>
        <v/>
      </c>
      <c r="AM133" s="139" t="str">
        <f t="shared" ref="AM133:AM164" si="78">+IFERROR(Z133-Y133,"")</f>
        <v/>
      </c>
      <c r="AN133" s="139" t="str">
        <f t="shared" ref="AN133:AN164" si="79">+IFERROR(AA133-Z133,"")</f>
        <v/>
      </c>
      <c r="AP133" s="82">
        <f t="shared" ref="AP133:AP196" si="80">+N133/$N$236</f>
        <v>5.7775756902775416E-5</v>
      </c>
      <c r="AQ133" s="82">
        <f t="shared" si="50"/>
        <v>0.99146492714002921</v>
      </c>
    </row>
    <row r="134" spans="2:43" x14ac:dyDescent="0.35">
      <c r="B134" s="83" t="s">
        <v>228</v>
      </c>
      <c r="D134" s="137">
        <v>77152</v>
      </c>
      <c r="E134" s="137">
        <v>82250</v>
      </c>
      <c r="F134" s="137">
        <v>82528</v>
      </c>
      <c r="G134" s="137">
        <v>72803</v>
      </c>
      <c r="H134" s="137">
        <f t="shared" si="62"/>
        <v>314733</v>
      </c>
      <c r="J134" s="137">
        <v>14436</v>
      </c>
      <c r="K134" s="137">
        <v>21364</v>
      </c>
      <c r="L134" s="137">
        <v>18406</v>
      </c>
      <c r="M134" s="137">
        <v>11576</v>
      </c>
      <c r="N134" s="137">
        <f t="shared" si="63"/>
        <v>65782</v>
      </c>
      <c r="P134" s="84">
        <f t="shared" si="64"/>
        <v>0.18711115719618415</v>
      </c>
      <c r="Q134" s="84">
        <f t="shared" si="65"/>
        <v>0.25974468085106384</v>
      </c>
      <c r="R134" s="84">
        <f t="shared" si="66"/>
        <v>0.22302733617681272</v>
      </c>
      <c r="S134" s="84">
        <f t="shared" si="67"/>
        <v>0.15900443663035863</v>
      </c>
      <c r="T134" s="84" t="str">
        <f>+IFERROR(#REF!/#REF!,"")</f>
        <v/>
      </c>
      <c r="U134" s="84" t="str">
        <f>+IFERROR(#REF!/#REF!,"")</f>
        <v/>
      </c>
      <c r="V134" s="84" t="str">
        <f>+IFERROR(#REF!/#REF!,"")</f>
        <v/>
      </c>
      <c r="W134" s="84" t="str">
        <f>+IFERROR(#REF!/#REF!,"")</f>
        <v/>
      </c>
      <c r="X134" s="84" t="str">
        <f>+IFERROR(#REF!/#REF!,"")</f>
        <v/>
      </c>
      <c r="Y134" s="84" t="str">
        <f>+IFERROR(#REF!/#REF!,"")</f>
        <v/>
      </c>
      <c r="Z134" s="84" t="str">
        <f>+IFERROR(#REF!/#REF!,"")</f>
        <v/>
      </c>
      <c r="AA134" s="84" t="str">
        <f>+IFERROR(#REF!/#REF!,"")</f>
        <v/>
      </c>
      <c r="AB134" s="84">
        <f t="shared" si="68"/>
        <v>0.20900890596156108</v>
      </c>
      <c r="AD134" s="139">
        <f t="shared" si="69"/>
        <v>7.2633523654879684E-2</v>
      </c>
      <c r="AE134" s="139">
        <f t="shared" si="70"/>
        <v>-3.6717344674251112E-2</v>
      </c>
      <c r="AF134" s="139">
        <f t="shared" si="71"/>
        <v>-6.4022899546454098E-2</v>
      </c>
      <c r="AG134" s="139" t="str">
        <f t="shared" si="72"/>
        <v/>
      </c>
      <c r="AH134" s="139" t="str">
        <f t="shared" si="73"/>
        <v/>
      </c>
      <c r="AI134" s="139" t="str">
        <f t="shared" si="74"/>
        <v/>
      </c>
      <c r="AJ134" s="139" t="str">
        <f t="shared" si="75"/>
        <v/>
      </c>
      <c r="AK134" s="139" t="str">
        <f t="shared" si="76"/>
        <v/>
      </c>
      <c r="AL134" s="139" t="str">
        <f t="shared" si="77"/>
        <v/>
      </c>
      <c r="AM134" s="139" t="str">
        <f t="shared" si="78"/>
        <v/>
      </c>
      <c r="AN134" s="139" t="str">
        <f t="shared" si="79"/>
        <v/>
      </c>
      <c r="AP134" s="82">
        <f t="shared" si="80"/>
        <v>6.4953170074656438E-5</v>
      </c>
      <c r="AQ134" s="82">
        <f t="shared" ref="AQ134:AQ197" si="81">+AP134+AQ133</f>
        <v>0.99152988031010392</v>
      </c>
    </row>
    <row r="135" spans="2:43" x14ac:dyDescent="0.35">
      <c r="B135" s="83" t="s">
        <v>229</v>
      </c>
      <c r="D135" s="137">
        <v>117886</v>
      </c>
      <c r="E135" s="137">
        <v>103095</v>
      </c>
      <c r="F135" s="137">
        <v>228939</v>
      </c>
      <c r="G135" s="137">
        <v>85250</v>
      </c>
      <c r="H135" s="137">
        <f t="shared" si="62"/>
        <v>535170</v>
      </c>
      <c r="J135" s="137">
        <v>14885</v>
      </c>
      <c r="K135" s="137">
        <v>10661</v>
      </c>
      <c r="L135" s="137">
        <v>31052</v>
      </c>
      <c r="M135" s="137">
        <v>13373</v>
      </c>
      <c r="N135" s="137">
        <f t="shared" si="63"/>
        <v>69971</v>
      </c>
      <c r="P135" s="84">
        <f t="shared" si="64"/>
        <v>0.12626605364504692</v>
      </c>
      <c r="Q135" s="84">
        <f t="shared" si="65"/>
        <v>0.10340947669625103</v>
      </c>
      <c r="R135" s="84">
        <f t="shared" si="66"/>
        <v>0.13563438295790581</v>
      </c>
      <c r="S135" s="84">
        <f t="shared" si="67"/>
        <v>0.15686803519061585</v>
      </c>
      <c r="T135" s="84" t="str">
        <f>+IFERROR(#REF!/#REF!,"")</f>
        <v/>
      </c>
      <c r="U135" s="84" t="str">
        <f>+IFERROR(#REF!/#REF!,"")</f>
        <v/>
      </c>
      <c r="V135" s="84" t="str">
        <f>+IFERROR(#REF!/#REF!,"")</f>
        <v/>
      </c>
      <c r="W135" s="84" t="str">
        <f>+IFERROR(#REF!/#REF!,"")</f>
        <v/>
      </c>
      <c r="X135" s="84" t="str">
        <f>+IFERROR(#REF!/#REF!,"")</f>
        <v/>
      </c>
      <c r="Y135" s="84" t="str">
        <f>+IFERROR(#REF!/#REF!,"")</f>
        <v/>
      </c>
      <c r="Z135" s="84" t="str">
        <f>+IFERROR(#REF!/#REF!,"")</f>
        <v/>
      </c>
      <c r="AA135" s="84" t="str">
        <f>+IFERROR(#REF!/#REF!,"")</f>
        <v/>
      </c>
      <c r="AB135" s="84">
        <f t="shared" si="68"/>
        <v>0.1307453706298933</v>
      </c>
      <c r="AD135" s="139">
        <f t="shared" si="69"/>
        <v>-2.2856576948795893E-2</v>
      </c>
      <c r="AE135" s="139">
        <f t="shared" si="70"/>
        <v>3.2224906261654779E-2</v>
      </c>
      <c r="AF135" s="139">
        <f t="shared" si="71"/>
        <v>2.1233652232710037E-2</v>
      </c>
      <c r="AG135" s="139" t="str">
        <f t="shared" si="72"/>
        <v/>
      </c>
      <c r="AH135" s="139" t="str">
        <f t="shared" si="73"/>
        <v/>
      </c>
      <c r="AI135" s="139" t="str">
        <f t="shared" si="74"/>
        <v/>
      </c>
      <c r="AJ135" s="139" t="str">
        <f t="shared" si="75"/>
        <v/>
      </c>
      <c r="AK135" s="139" t="str">
        <f t="shared" si="76"/>
        <v/>
      </c>
      <c r="AL135" s="139" t="str">
        <f t="shared" si="77"/>
        <v/>
      </c>
      <c r="AM135" s="139" t="str">
        <f t="shared" si="78"/>
        <v/>
      </c>
      <c r="AN135" s="139" t="str">
        <f t="shared" si="79"/>
        <v/>
      </c>
      <c r="AP135" s="82">
        <f t="shared" si="80"/>
        <v>6.9089390156787359E-5</v>
      </c>
      <c r="AQ135" s="82">
        <f t="shared" si="81"/>
        <v>0.99159896970026074</v>
      </c>
    </row>
    <row r="136" spans="2:43" x14ac:dyDescent="0.35">
      <c r="B136" s="83" t="s">
        <v>230</v>
      </c>
      <c r="D136" s="137">
        <v>50147</v>
      </c>
      <c r="E136" s="137">
        <v>62222</v>
      </c>
      <c r="F136" s="137">
        <v>161525</v>
      </c>
      <c r="G136" s="137">
        <v>13038</v>
      </c>
      <c r="H136" s="137">
        <f t="shared" si="62"/>
        <v>286932</v>
      </c>
      <c r="J136" s="137">
        <v>9616</v>
      </c>
      <c r="K136" s="137">
        <v>10694</v>
      </c>
      <c r="L136" s="137">
        <v>22775</v>
      </c>
      <c r="M136" s="137">
        <v>587</v>
      </c>
      <c r="N136" s="137">
        <f t="shared" si="63"/>
        <v>43672</v>
      </c>
      <c r="P136" s="84">
        <f t="shared" si="64"/>
        <v>0.19175623666420724</v>
      </c>
      <c r="Q136" s="84">
        <f t="shared" si="65"/>
        <v>0.17186847095882485</v>
      </c>
      <c r="R136" s="84">
        <f t="shared" si="66"/>
        <v>0.14099984522519735</v>
      </c>
      <c r="S136" s="84">
        <f t="shared" si="67"/>
        <v>4.5022242675256945E-2</v>
      </c>
      <c r="T136" s="84" t="str">
        <f>+IFERROR(#REF!/#REF!,"")</f>
        <v/>
      </c>
      <c r="U136" s="84" t="str">
        <f>+IFERROR(#REF!/#REF!,"")</f>
        <v/>
      </c>
      <c r="V136" s="84" t="str">
        <f>+IFERROR(#REF!/#REF!,"")</f>
        <v/>
      </c>
      <c r="W136" s="84" t="str">
        <f>+IFERROR(#REF!/#REF!,"")</f>
        <v/>
      </c>
      <c r="X136" s="84" t="str">
        <f>+IFERROR(#REF!/#REF!,"")</f>
        <v/>
      </c>
      <c r="Y136" s="84" t="str">
        <f>+IFERROR(#REF!/#REF!,"")</f>
        <v/>
      </c>
      <c r="Z136" s="84" t="str">
        <f>+IFERROR(#REF!/#REF!,"")</f>
        <v/>
      </c>
      <c r="AA136" s="84" t="str">
        <f>+IFERROR(#REF!/#REF!,"")</f>
        <v/>
      </c>
      <c r="AB136" s="84">
        <f t="shared" si="68"/>
        <v>0.1522033094949326</v>
      </c>
      <c r="AD136" s="139">
        <f t="shared" si="69"/>
        <v>-1.9887765705382393E-2</v>
      </c>
      <c r="AE136" s="139">
        <f t="shared" si="70"/>
        <v>-3.0868625733627503E-2</v>
      </c>
      <c r="AF136" s="139">
        <f t="shared" si="71"/>
        <v>-9.5977602549940394E-2</v>
      </c>
      <c r="AG136" s="139" t="str">
        <f t="shared" si="72"/>
        <v/>
      </c>
      <c r="AH136" s="139" t="str">
        <f t="shared" si="73"/>
        <v/>
      </c>
      <c r="AI136" s="139" t="str">
        <f t="shared" si="74"/>
        <v/>
      </c>
      <c r="AJ136" s="139" t="str">
        <f t="shared" si="75"/>
        <v/>
      </c>
      <c r="AK136" s="139" t="str">
        <f t="shared" si="76"/>
        <v/>
      </c>
      <c r="AL136" s="139" t="str">
        <f t="shared" si="77"/>
        <v/>
      </c>
      <c r="AM136" s="139" t="str">
        <f t="shared" si="78"/>
        <v/>
      </c>
      <c r="AN136" s="139" t="str">
        <f t="shared" si="79"/>
        <v/>
      </c>
      <c r="AP136" s="82">
        <f t="shared" si="80"/>
        <v>4.3121748251807427E-5</v>
      </c>
      <c r="AQ136" s="82">
        <f t="shared" si="81"/>
        <v>0.99164209144851256</v>
      </c>
    </row>
    <row r="137" spans="2:43" x14ac:dyDescent="0.35">
      <c r="B137" s="83" t="s">
        <v>231</v>
      </c>
      <c r="D137" s="137">
        <v>70883</v>
      </c>
      <c r="E137" s="137">
        <v>67008</v>
      </c>
      <c r="F137" s="137">
        <v>52457</v>
      </c>
      <c r="G137" s="137">
        <v>52268</v>
      </c>
      <c r="H137" s="137">
        <f t="shared" si="62"/>
        <v>242616</v>
      </c>
      <c r="J137" s="137">
        <v>11577</v>
      </c>
      <c r="K137" s="137">
        <v>10461</v>
      </c>
      <c r="L137" s="137">
        <v>5264</v>
      </c>
      <c r="M137" s="137">
        <v>6856</v>
      </c>
      <c r="N137" s="137">
        <f t="shared" si="63"/>
        <v>34158</v>
      </c>
      <c r="P137" s="84">
        <f t="shared" si="64"/>
        <v>0.16332548001636499</v>
      </c>
      <c r="Q137" s="84">
        <f t="shared" si="65"/>
        <v>0.1561156876790831</v>
      </c>
      <c r="R137" s="84">
        <f t="shared" si="66"/>
        <v>0.10034885715919706</v>
      </c>
      <c r="S137" s="84">
        <f t="shared" si="67"/>
        <v>0.13117012321114258</v>
      </c>
      <c r="T137" s="84" t="str">
        <f>+IFERROR(#REF!/#REF!,"")</f>
        <v/>
      </c>
      <c r="U137" s="84" t="str">
        <f>+IFERROR(#REF!/#REF!,"")</f>
        <v/>
      </c>
      <c r="V137" s="84" t="str">
        <f>+IFERROR(#REF!/#REF!,"")</f>
        <v/>
      </c>
      <c r="W137" s="84" t="str">
        <f>+IFERROR(#REF!/#REF!,"")</f>
        <v/>
      </c>
      <c r="X137" s="84" t="str">
        <f>+IFERROR(#REF!/#REF!,"")</f>
        <v/>
      </c>
      <c r="Y137" s="84" t="str">
        <f>+IFERROR(#REF!/#REF!,"")</f>
        <v/>
      </c>
      <c r="Z137" s="84" t="str">
        <f>+IFERROR(#REF!/#REF!,"")</f>
        <v/>
      </c>
      <c r="AA137" s="84" t="str">
        <f>+IFERROR(#REF!/#REF!,"")</f>
        <v/>
      </c>
      <c r="AB137" s="84">
        <f t="shared" si="68"/>
        <v>0.14079038480561876</v>
      </c>
      <c r="AD137" s="139">
        <f t="shared" si="69"/>
        <v>-7.2097923372818895E-3</v>
      </c>
      <c r="AE137" s="139">
        <f t="shared" si="70"/>
        <v>-5.576683051988604E-2</v>
      </c>
      <c r="AF137" s="139">
        <f t="shared" si="71"/>
        <v>3.0821266051945517E-2</v>
      </c>
      <c r="AG137" s="139" t="str">
        <f t="shared" si="72"/>
        <v/>
      </c>
      <c r="AH137" s="139" t="str">
        <f t="shared" si="73"/>
        <v/>
      </c>
      <c r="AI137" s="139" t="str">
        <f t="shared" si="74"/>
        <v/>
      </c>
      <c r="AJ137" s="139" t="str">
        <f t="shared" si="75"/>
        <v/>
      </c>
      <c r="AK137" s="139" t="str">
        <f t="shared" si="76"/>
        <v/>
      </c>
      <c r="AL137" s="139" t="str">
        <f t="shared" si="77"/>
        <v/>
      </c>
      <c r="AM137" s="139" t="str">
        <f t="shared" si="78"/>
        <v/>
      </c>
      <c r="AN137" s="139" t="str">
        <f t="shared" si="79"/>
        <v/>
      </c>
      <c r="AP137" s="82">
        <f t="shared" si="80"/>
        <v>3.3727621285611788E-5</v>
      </c>
      <c r="AQ137" s="82">
        <f t="shared" si="81"/>
        <v>0.99167581906979818</v>
      </c>
    </row>
    <row r="138" spans="2:43" x14ac:dyDescent="0.35">
      <c r="B138" s="83" t="s">
        <v>232</v>
      </c>
      <c r="D138" s="137">
        <v>183118</v>
      </c>
      <c r="E138" s="137">
        <v>202829</v>
      </c>
      <c r="F138" s="137">
        <v>183563</v>
      </c>
      <c r="G138" s="137">
        <v>121601</v>
      </c>
      <c r="H138" s="137">
        <f t="shared" si="62"/>
        <v>691111</v>
      </c>
      <c r="J138" s="137">
        <v>40247</v>
      </c>
      <c r="K138" s="137">
        <v>38025</v>
      </c>
      <c r="L138" s="137">
        <v>37491</v>
      </c>
      <c r="M138" s="137">
        <v>30650</v>
      </c>
      <c r="N138" s="137">
        <f t="shared" si="63"/>
        <v>146413</v>
      </c>
      <c r="P138" s="84">
        <f t="shared" si="64"/>
        <v>0.21978724101399097</v>
      </c>
      <c r="Q138" s="84">
        <f t="shared" si="65"/>
        <v>0.18747319170335602</v>
      </c>
      <c r="R138" s="84">
        <f t="shared" si="66"/>
        <v>0.20424050598432145</v>
      </c>
      <c r="S138" s="84">
        <f t="shared" si="67"/>
        <v>0.25205384824137961</v>
      </c>
      <c r="T138" s="84" t="str">
        <f>+IFERROR(#REF!/#REF!,"")</f>
        <v/>
      </c>
      <c r="U138" s="84" t="str">
        <f>+IFERROR(#REF!/#REF!,"")</f>
        <v/>
      </c>
      <c r="V138" s="84" t="str">
        <f>+IFERROR(#REF!/#REF!,"")</f>
        <v/>
      </c>
      <c r="W138" s="84" t="str">
        <f>+IFERROR(#REF!/#REF!,"")</f>
        <v/>
      </c>
      <c r="X138" s="84" t="str">
        <f>+IFERROR(#REF!/#REF!,"")</f>
        <v/>
      </c>
      <c r="Y138" s="84" t="str">
        <f>+IFERROR(#REF!/#REF!,"")</f>
        <v/>
      </c>
      <c r="Z138" s="84" t="str">
        <f>+IFERROR(#REF!/#REF!,"")</f>
        <v/>
      </c>
      <c r="AA138" s="84" t="str">
        <f>+IFERROR(#REF!/#REF!,"")</f>
        <v/>
      </c>
      <c r="AB138" s="84">
        <f t="shared" si="68"/>
        <v>0.21185164177679128</v>
      </c>
      <c r="AD138" s="139">
        <f t="shared" si="69"/>
        <v>-3.2314049310634946E-2</v>
      </c>
      <c r="AE138" s="139">
        <f t="shared" si="70"/>
        <v>1.6767314280965423E-2</v>
      </c>
      <c r="AF138" s="139">
        <f t="shared" si="71"/>
        <v>4.7813342257058161E-2</v>
      </c>
      <c r="AG138" s="139" t="str">
        <f t="shared" si="72"/>
        <v/>
      </c>
      <c r="AH138" s="139" t="str">
        <f t="shared" si="73"/>
        <v/>
      </c>
      <c r="AI138" s="139" t="str">
        <f t="shared" si="74"/>
        <v/>
      </c>
      <c r="AJ138" s="139" t="str">
        <f t="shared" si="75"/>
        <v/>
      </c>
      <c r="AK138" s="139" t="str">
        <f t="shared" si="76"/>
        <v/>
      </c>
      <c r="AL138" s="139" t="str">
        <f t="shared" si="77"/>
        <v/>
      </c>
      <c r="AM138" s="139" t="str">
        <f t="shared" si="78"/>
        <v/>
      </c>
      <c r="AN138" s="139" t="str">
        <f t="shared" si="79"/>
        <v/>
      </c>
      <c r="AP138" s="82">
        <f t="shared" si="80"/>
        <v>1.445682480031114E-4</v>
      </c>
      <c r="AQ138" s="82">
        <f t="shared" si="81"/>
        <v>0.99182038731780131</v>
      </c>
    </row>
    <row r="139" spans="2:43" x14ac:dyDescent="0.35">
      <c r="B139" s="83" t="s">
        <v>233</v>
      </c>
      <c r="D139" s="137">
        <v>218467</v>
      </c>
      <c r="E139" s="137">
        <v>376697</v>
      </c>
      <c r="F139" s="137">
        <v>82883</v>
      </c>
      <c r="G139" s="137">
        <v>176279</v>
      </c>
      <c r="H139" s="137">
        <f t="shared" si="62"/>
        <v>854326</v>
      </c>
      <c r="J139" s="137">
        <v>43824</v>
      </c>
      <c r="K139" s="137">
        <v>53081</v>
      </c>
      <c r="L139" s="137">
        <v>14539</v>
      </c>
      <c r="M139" s="137">
        <v>43139</v>
      </c>
      <c r="N139" s="137">
        <f t="shared" si="63"/>
        <v>154583</v>
      </c>
      <c r="P139" s="84">
        <f t="shared" si="64"/>
        <v>0.20059780195635954</v>
      </c>
      <c r="Q139" s="84">
        <f t="shared" si="65"/>
        <v>0.14091166109631878</v>
      </c>
      <c r="R139" s="84">
        <f t="shared" si="66"/>
        <v>0.17541594778181291</v>
      </c>
      <c r="S139" s="84">
        <f t="shared" si="67"/>
        <v>0.24472001769921545</v>
      </c>
      <c r="T139" s="84" t="str">
        <f>+IFERROR(#REF!/#REF!,"")</f>
        <v/>
      </c>
      <c r="U139" s="84" t="str">
        <f>+IFERROR(#REF!/#REF!,"")</f>
        <v/>
      </c>
      <c r="V139" s="84" t="str">
        <f>+IFERROR(#REF!/#REF!,"")</f>
        <v/>
      </c>
      <c r="W139" s="84" t="str">
        <f>+IFERROR(#REF!/#REF!,"")</f>
        <v/>
      </c>
      <c r="X139" s="84" t="str">
        <f>+IFERROR(#REF!/#REF!,"")</f>
        <v/>
      </c>
      <c r="Y139" s="84" t="str">
        <f>+IFERROR(#REF!/#REF!,"")</f>
        <v/>
      </c>
      <c r="Z139" s="84" t="str">
        <f>+IFERROR(#REF!/#REF!,"")</f>
        <v/>
      </c>
      <c r="AA139" s="84" t="str">
        <f>+IFERROR(#REF!/#REF!,"")</f>
        <v/>
      </c>
      <c r="AB139" s="84">
        <f t="shared" si="68"/>
        <v>0.18094146730873226</v>
      </c>
      <c r="AD139" s="139">
        <f t="shared" si="69"/>
        <v>-5.9686140860040759E-2</v>
      </c>
      <c r="AE139" s="139">
        <f t="shared" si="70"/>
        <v>3.4504286685494129E-2</v>
      </c>
      <c r="AF139" s="139">
        <f t="shared" si="71"/>
        <v>6.9304069917402539E-2</v>
      </c>
      <c r="AG139" s="139" t="str">
        <f t="shared" si="72"/>
        <v/>
      </c>
      <c r="AH139" s="139" t="str">
        <f t="shared" si="73"/>
        <v/>
      </c>
      <c r="AI139" s="139" t="str">
        <f t="shared" si="74"/>
        <v/>
      </c>
      <c r="AJ139" s="139" t="str">
        <f t="shared" si="75"/>
        <v/>
      </c>
      <c r="AK139" s="139" t="str">
        <f t="shared" si="76"/>
        <v/>
      </c>
      <c r="AL139" s="139" t="str">
        <f t="shared" si="77"/>
        <v/>
      </c>
      <c r="AM139" s="139" t="str">
        <f t="shared" si="78"/>
        <v/>
      </c>
      <c r="AN139" s="139" t="str">
        <f t="shared" si="79"/>
        <v/>
      </c>
      <c r="AP139" s="82">
        <f t="shared" si="80"/>
        <v>1.526353088937797E-4</v>
      </c>
      <c r="AQ139" s="82">
        <f t="shared" si="81"/>
        <v>0.99197302262669507</v>
      </c>
    </row>
    <row r="140" spans="2:43" x14ac:dyDescent="0.35">
      <c r="B140" s="83" t="s">
        <v>234</v>
      </c>
      <c r="D140" s="137">
        <v>55256</v>
      </c>
      <c r="E140" s="137">
        <v>71679</v>
      </c>
      <c r="F140" s="137">
        <v>59411</v>
      </c>
      <c r="G140" s="137">
        <v>55849</v>
      </c>
      <c r="H140" s="137">
        <f t="shared" si="62"/>
        <v>242195</v>
      </c>
      <c r="J140" s="137">
        <v>8556</v>
      </c>
      <c r="K140" s="137">
        <v>9232</v>
      </c>
      <c r="L140" s="137">
        <v>9241</v>
      </c>
      <c r="M140" s="137">
        <v>12554</v>
      </c>
      <c r="N140" s="137">
        <f t="shared" si="63"/>
        <v>39583</v>
      </c>
      <c r="P140" s="84">
        <f t="shared" si="64"/>
        <v>0.15484291298682495</v>
      </c>
      <c r="Q140" s="84">
        <f t="shared" si="65"/>
        <v>0.12879643968247326</v>
      </c>
      <c r="R140" s="84">
        <f t="shared" si="66"/>
        <v>0.15554358620457492</v>
      </c>
      <c r="S140" s="84">
        <f t="shared" si="67"/>
        <v>0.22478468728177764</v>
      </c>
      <c r="T140" s="84" t="str">
        <f>+IFERROR(#REF!/#REF!,"")</f>
        <v/>
      </c>
      <c r="U140" s="84" t="str">
        <f>+IFERROR(#REF!/#REF!,"")</f>
        <v/>
      </c>
      <c r="V140" s="84" t="str">
        <f>+IFERROR(#REF!/#REF!,"")</f>
        <v/>
      </c>
      <c r="W140" s="84" t="str">
        <f>+IFERROR(#REF!/#REF!,"")</f>
        <v/>
      </c>
      <c r="X140" s="84" t="str">
        <f>+IFERROR(#REF!/#REF!,"")</f>
        <v/>
      </c>
      <c r="Y140" s="84" t="str">
        <f>+IFERROR(#REF!/#REF!,"")</f>
        <v/>
      </c>
      <c r="Z140" s="84" t="str">
        <f>+IFERROR(#REF!/#REF!,"")</f>
        <v/>
      </c>
      <c r="AA140" s="84" t="str">
        <f>+IFERROR(#REF!/#REF!,"")</f>
        <v/>
      </c>
      <c r="AB140" s="84">
        <f t="shared" si="68"/>
        <v>0.16343442267594294</v>
      </c>
      <c r="AD140" s="139">
        <f t="shared" si="69"/>
        <v>-2.6046473304351697E-2</v>
      </c>
      <c r="AE140" s="139">
        <f t="shared" si="70"/>
        <v>2.6747146522101667E-2</v>
      </c>
      <c r="AF140" s="139">
        <f t="shared" si="71"/>
        <v>6.9241101077202716E-2</v>
      </c>
      <c r="AG140" s="139" t="str">
        <f t="shared" si="72"/>
        <v/>
      </c>
      <c r="AH140" s="139" t="str">
        <f t="shared" si="73"/>
        <v/>
      </c>
      <c r="AI140" s="139" t="str">
        <f t="shared" si="74"/>
        <v/>
      </c>
      <c r="AJ140" s="139" t="str">
        <f t="shared" si="75"/>
        <v/>
      </c>
      <c r="AK140" s="139" t="str">
        <f t="shared" si="76"/>
        <v/>
      </c>
      <c r="AL140" s="139" t="str">
        <f t="shared" si="77"/>
        <v/>
      </c>
      <c r="AM140" s="139" t="str">
        <f t="shared" si="78"/>
        <v/>
      </c>
      <c r="AN140" s="139" t="str">
        <f t="shared" si="79"/>
        <v/>
      </c>
      <c r="AP140" s="82">
        <f t="shared" si="80"/>
        <v>3.908426820505801E-5</v>
      </c>
      <c r="AQ140" s="82">
        <f t="shared" si="81"/>
        <v>0.99201210689490016</v>
      </c>
    </row>
    <row r="141" spans="2:43" x14ac:dyDescent="0.35">
      <c r="B141" s="83" t="s">
        <v>235</v>
      </c>
      <c r="D141" s="137">
        <v>114275</v>
      </c>
      <c r="E141" s="137">
        <v>102218</v>
      </c>
      <c r="F141" s="137">
        <v>88577</v>
      </c>
      <c r="G141" s="137">
        <v>74920</v>
      </c>
      <c r="H141" s="137">
        <f t="shared" si="62"/>
        <v>379990</v>
      </c>
      <c r="J141" s="137">
        <v>27200</v>
      </c>
      <c r="K141" s="137">
        <v>12322</v>
      </c>
      <c r="L141" s="137">
        <v>11986</v>
      </c>
      <c r="M141" s="137">
        <v>12059</v>
      </c>
      <c r="N141" s="137">
        <f t="shared" si="63"/>
        <v>63567</v>
      </c>
      <c r="P141" s="84">
        <f t="shared" si="64"/>
        <v>0.238022314591993</v>
      </c>
      <c r="Q141" s="84">
        <f t="shared" si="65"/>
        <v>0.12054628343344616</v>
      </c>
      <c r="R141" s="84">
        <f t="shared" si="66"/>
        <v>0.13531729455727784</v>
      </c>
      <c r="S141" s="84">
        <f t="shared" si="67"/>
        <v>0.16095835557928456</v>
      </c>
      <c r="T141" s="84" t="str">
        <f>+IFERROR(#REF!/#REF!,"")</f>
        <v/>
      </c>
      <c r="U141" s="84" t="str">
        <f>+IFERROR(#REF!/#REF!,"")</f>
        <v/>
      </c>
      <c r="V141" s="84" t="str">
        <f>+IFERROR(#REF!/#REF!,"")</f>
        <v/>
      </c>
      <c r="W141" s="84" t="str">
        <f>+IFERROR(#REF!/#REF!,"")</f>
        <v/>
      </c>
      <c r="X141" s="84" t="str">
        <f>+IFERROR(#REF!/#REF!,"")</f>
        <v/>
      </c>
      <c r="Y141" s="84" t="str">
        <f>+IFERROR(#REF!/#REF!,"")</f>
        <v/>
      </c>
      <c r="Z141" s="84" t="str">
        <f>+IFERROR(#REF!/#REF!,"")</f>
        <v/>
      </c>
      <c r="AA141" s="84" t="str">
        <f>+IFERROR(#REF!/#REF!,"")</f>
        <v/>
      </c>
      <c r="AB141" s="84">
        <f t="shared" si="68"/>
        <v>0.16728598121003185</v>
      </c>
      <c r="AD141" s="139">
        <f t="shared" si="69"/>
        <v>-0.11747603115854684</v>
      </c>
      <c r="AE141" s="139">
        <f t="shared" si="70"/>
        <v>1.4771011123831682E-2</v>
      </c>
      <c r="AF141" s="139">
        <f t="shared" si="71"/>
        <v>2.5641061022006723E-2</v>
      </c>
      <c r="AG141" s="139" t="str">
        <f t="shared" si="72"/>
        <v/>
      </c>
      <c r="AH141" s="139" t="str">
        <f t="shared" si="73"/>
        <v/>
      </c>
      <c r="AI141" s="139" t="str">
        <f t="shared" si="74"/>
        <v/>
      </c>
      <c r="AJ141" s="139" t="str">
        <f t="shared" si="75"/>
        <v/>
      </c>
      <c r="AK141" s="139" t="str">
        <f t="shared" si="76"/>
        <v/>
      </c>
      <c r="AL141" s="139" t="str">
        <f t="shared" si="77"/>
        <v/>
      </c>
      <c r="AM141" s="139" t="str">
        <f t="shared" si="78"/>
        <v/>
      </c>
      <c r="AN141" s="139" t="str">
        <f t="shared" si="79"/>
        <v/>
      </c>
      <c r="AP141" s="82">
        <f t="shared" si="80"/>
        <v>6.276607829095628E-5</v>
      </c>
      <c r="AQ141" s="82">
        <f t="shared" si="81"/>
        <v>0.99207487297319108</v>
      </c>
    </row>
    <row r="142" spans="2:43" x14ac:dyDescent="0.35">
      <c r="B142" s="83" t="s">
        <v>236</v>
      </c>
      <c r="D142" s="137">
        <v>182716</v>
      </c>
      <c r="E142" s="137">
        <v>174205</v>
      </c>
      <c r="F142" s="137">
        <v>98626</v>
      </c>
      <c r="G142" s="137">
        <v>101472</v>
      </c>
      <c r="H142" s="137">
        <f t="shared" si="62"/>
        <v>557019</v>
      </c>
      <c r="J142" s="137">
        <v>49229</v>
      </c>
      <c r="K142" s="137">
        <v>43932</v>
      </c>
      <c r="L142" s="137">
        <v>30971</v>
      </c>
      <c r="M142" s="137">
        <v>15550</v>
      </c>
      <c r="N142" s="137">
        <f t="shared" si="63"/>
        <v>139682</v>
      </c>
      <c r="P142" s="84">
        <f t="shared" si="64"/>
        <v>0.26942905930515115</v>
      </c>
      <c r="Q142" s="84">
        <f t="shared" si="65"/>
        <v>0.25218564335122412</v>
      </c>
      <c r="R142" s="84">
        <f t="shared" si="66"/>
        <v>0.31402469936933464</v>
      </c>
      <c r="S142" s="84">
        <f t="shared" si="67"/>
        <v>0.15324424471775466</v>
      </c>
      <c r="T142" s="84" t="str">
        <f>+IFERROR(#REF!/#REF!,"")</f>
        <v/>
      </c>
      <c r="U142" s="84" t="str">
        <f>+IFERROR(#REF!/#REF!,"")</f>
        <v/>
      </c>
      <c r="V142" s="84" t="str">
        <f>+IFERROR(#REF!/#REF!,"")</f>
        <v/>
      </c>
      <c r="W142" s="84" t="str">
        <f>+IFERROR(#REF!/#REF!,"")</f>
        <v/>
      </c>
      <c r="X142" s="84" t="str">
        <f>+IFERROR(#REF!/#REF!,"")</f>
        <v/>
      </c>
      <c r="Y142" s="84" t="str">
        <f>+IFERROR(#REF!/#REF!,"")</f>
        <v/>
      </c>
      <c r="Z142" s="84" t="str">
        <f>+IFERROR(#REF!/#REF!,"")</f>
        <v/>
      </c>
      <c r="AA142" s="84" t="str">
        <f>+IFERROR(#REF!/#REF!,"")</f>
        <v/>
      </c>
      <c r="AB142" s="84">
        <f t="shared" si="68"/>
        <v>0.25076702949091501</v>
      </c>
      <c r="AD142" s="139">
        <f t="shared" si="69"/>
        <v>-1.7243415953927033E-2</v>
      </c>
      <c r="AE142" s="139">
        <f t="shared" si="70"/>
        <v>6.1839056018110516E-2</v>
      </c>
      <c r="AF142" s="139">
        <f t="shared" si="71"/>
        <v>-0.16078045465157997</v>
      </c>
      <c r="AG142" s="139" t="str">
        <f t="shared" si="72"/>
        <v/>
      </c>
      <c r="AH142" s="139" t="str">
        <f t="shared" si="73"/>
        <v/>
      </c>
      <c r="AI142" s="139" t="str">
        <f t="shared" si="74"/>
        <v/>
      </c>
      <c r="AJ142" s="139" t="str">
        <f t="shared" si="75"/>
        <v/>
      </c>
      <c r="AK142" s="139" t="str">
        <f t="shared" si="76"/>
        <v/>
      </c>
      <c r="AL142" s="139" t="str">
        <f t="shared" si="77"/>
        <v/>
      </c>
      <c r="AM142" s="139" t="str">
        <f t="shared" si="78"/>
        <v/>
      </c>
      <c r="AN142" s="139" t="str">
        <f t="shared" si="79"/>
        <v/>
      </c>
      <c r="AP142" s="82">
        <f t="shared" si="80"/>
        <v>1.3792205622158282E-4</v>
      </c>
      <c r="AQ142" s="82">
        <f t="shared" si="81"/>
        <v>0.99221279502941262</v>
      </c>
    </row>
    <row r="143" spans="2:43" x14ac:dyDescent="0.35">
      <c r="B143" s="83" t="s">
        <v>237</v>
      </c>
      <c r="D143" s="137">
        <v>18712</v>
      </c>
      <c r="E143" s="137">
        <v>59059</v>
      </c>
      <c r="F143" s="137">
        <v>46241</v>
      </c>
      <c r="G143" s="137">
        <v>26657</v>
      </c>
      <c r="H143" s="137">
        <f t="shared" si="62"/>
        <v>150669</v>
      </c>
      <c r="J143" s="137">
        <v>2357</v>
      </c>
      <c r="K143" s="137">
        <v>4904</v>
      </c>
      <c r="L143" s="137">
        <v>10636</v>
      </c>
      <c r="M143" s="137">
        <v>2266</v>
      </c>
      <c r="N143" s="137">
        <f t="shared" si="63"/>
        <v>20163</v>
      </c>
      <c r="P143" s="84">
        <f t="shared" si="64"/>
        <v>0.12596194955109022</v>
      </c>
      <c r="Q143" s="84">
        <f t="shared" si="65"/>
        <v>8.3035608459337273E-2</v>
      </c>
      <c r="R143" s="84">
        <f t="shared" si="66"/>
        <v>0.23001232672303801</v>
      </c>
      <c r="S143" s="84">
        <f t="shared" si="67"/>
        <v>8.5005814607795327E-2</v>
      </c>
      <c r="T143" s="84" t="str">
        <f>+IFERROR(#REF!/#REF!,"")</f>
        <v/>
      </c>
      <c r="U143" s="84" t="str">
        <f>+IFERROR(#REF!/#REF!,"")</f>
        <v/>
      </c>
      <c r="V143" s="84" t="str">
        <f>+IFERROR(#REF!/#REF!,"")</f>
        <v/>
      </c>
      <c r="W143" s="84" t="str">
        <f>+IFERROR(#REF!/#REF!,"")</f>
        <v/>
      </c>
      <c r="X143" s="84" t="str">
        <f>+IFERROR(#REF!/#REF!,"")</f>
        <v/>
      </c>
      <c r="Y143" s="84" t="str">
        <f>+IFERROR(#REF!/#REF!,"")</f>
        <v/>
      </c>
      <c r="Z143" s="84" t="str">
        <f>+IFERROR(#REF!/#REF!,"")</f>
        <v/>
      </c>
      <c r="AA143" s="84" t="str">
        <f>+IFERROR(#REF!/#REF!,"")</f>
        <v/>
      </c>
      <c r="AB143" s="84">
        <f t="shared" si="68"/>
        <v>0.1338231487565458</v>
      </c>
      <c r="AD143" s="139">
        <f t="shared" si="69"/>
        <v>-4.2926341091752945E-2</v>
      </c>
      <c r="AE143" s="139">
        <f t="shared" si="70"/>
        <v>0.14697671826370073</v>
      </c>
      <c r="AF143" s="139">
        <f t="shared" si="71"/>
        <v>-0.14500651211524268</v>
      </c>
      <c r="AG143" s="139" t="str">
        <f t="shared" si="72"/>
        <v/>
      </c>
      <c r="AH143" s="139" t="str">
        <f t="shared" si="73"/>
        <v/>
      </c>
      <c r="AI143" s="139" t="str">
        <f t="shared" si="74"/>
        <v/>
      </c>
      <c r="AJ143" s="139" t="str">
        <f t="shared" si="75"/>
        <v/>
      </c>
      <c r="AK143" s="139" t="str">
        <f t="shared" si="76"/>
        <v/>
      </c>
      <c r="AL143" s="139" t="str">
        <f t="shared" si="77"/>
        <v/>
      </c>
      <c r="AM143" s="139" t="str">
        <f t="shared" si="78"/>
        <v/>
      </c>
      <c r="AN143" s="139" t="str">
        <f t="shared" si="79"/>
        <v/>
      </c>
      <c r="AP143" s="82">
        <f t="shared" si="80"/>
        <v>1.9908953333971268E-5</v>
      </c>
      <c r="AQ143" s="82">
        <f t="shared" si="81"/>
        <v>0.99223270398274654</v>
      </c>
    </row>
    <row r="144" spans="2:43" x14ac:dyDescent="0.35">
      <c r="B144" s="83" t="s">
        <v>238</v>
      </c>
      <c r="D144" s="137">
        <v>42267</v>
      </c>
      <c r="E144" s="137">
        <v>60719</v>
      </c>
      <c r="F144" s="137">
        <v>134666</v>
      </c>
      <c r="G144" s="137">
        <v>51241</v>
      </c>
      <c r="H144" s="137">
        <f t="shared" si="62"/>
        <v>288893</v>
      </c>
      <c r="J144" s="137">
        <v>9729</v>
      </c>
      <c r="K144" s="137">
        <v>7466</v>
      </c>
      <c r="L144" s="137">
        <v>17476</v>
      </c>
      <c r="M144" s="137">
        <v>10598</v>
      </c>
      <c r="N144" s="137">
        <f t="shared" si="63"/>
        <v>45269</v>
      </c>
      <c r="P144" s="84">
        <f t="shared" si="64"/>
        <v>0.23017957271630349</v>
      </c>
      <c r="Q144" s="84">
        <f t="shared" si="65"/>
        <v>0.1229598642928902</v>
      </c>
      <c r="R144" s="84">
        <f t="shared" si="66"/>
        <v>0.12977291966791915</v>
      </c>
      <c r="S144" s="84">
        <f t="shared" si="67"/>
        <v>0.20682656466501434</v>
      </c>
      <c r="T144" s="84" t="str">
        <f>+IFERROR(#REF!/#REF!,"")</f>
        <v/>
      </c>
      <c r="U144" s="84" t="str">
        <f>+IFERROR(#REF!/#REF!,"")</f>
        <v/>
      </c>
      <c r="V144" s="84" t="str">
        <f>+IFERROR(#REF!/#REF!,"")</f>
        <v/>
      </c>
      <c r="W144" s="84" t="str">
        <f>+IFERROR(#REF!/#REF!,"")</f>
        <v/>
      </c>
      <c r="X144" s="84" t="str">
        <f>+IFERROR(#REF!/#REF!,"")</f>
        <v/>
      </c>
      <c r="Y144" s="84" t="str">
        <f>+IFERROR(#REF!/#REF!,"")</f>
        <v/>
      </c>
      <c r="Z144" s="84" t="str">
        <f>+IFERROR(#REF!/#REF!,"")</f>
        <v/>
      </c>
      <c r="AA144" s="84" t="str">
        <f>+IFERROR(#REF!/#REF!,"")</f>
        <v/>
      </c>
      <c r="AB144" s="84">
        <f t="shared" si="68"/>
        <v>0.15669815468010648</v>
      </c>
      <c r="AD144" s="139">
        <f t="shared" si="69"/>
        <v>-0.10721970842341329</v>
      </c>
      <c r="AE144" s="139">
        <f t="shared" si="70"/>
        <v>6.8130553750289508E-3</v>
      </c>
      <c r="AF144" s="139">
        <f t="shared" si="71"/>
        <v>7.7053644997095189E-2</v>
      </c>
      <c r="AG144" s="139" t="str">
        <f t="shared" si="72"/>
        <v/>
      </c>
      <c r="AH144" s="139" t="str">
        <f t="shared" si="73"/>
        <v/>
      </c>
      <c r="AI144" s="139" t="str">
        <f t="shared" si="74"/>
        <v/>
      </c>
      <c r="AJ144" s="139" t="str">
        <f t="shared" si="75"/>
        <v/>
      </c>
      <c r="AK144" s="139" t="str">
        <f t="shared" si="76"/>
        <v/>
      </c>
      <c r="AL144" s="139" t="str">
        <f t="shared" si="77"/>
        <v/>
      </c>
      <c r="AM144" s="139" t="str">
        <f t="shared" si="78"/>
        <v/>
      </c>
      <c r="AN144" s="139" t="str">
        <f t="shared" si="79"/>
        <v/>
      </c>
      <c r="AP144" s="82">
        <f t="shared" si="80"/>
        <v>4.4698626616849938E-5</v>
      </c>
      <c r="AQ144" s="82">
        <f t="shared" si="81"/>
        <v>0.99227740260936337</v>
      </c>
    </row>
    <row r="145" spans="2:43" x14ac:dyDescent="0.35">
      <c r="B145" s="83" t="s">
        <v>239</v>
      </c>
      <c r="D145" s="137">
        <v>119583</v>
      </c>
      <c r="E145" s="137">
        <v>132721</v>
      </c>
      <c r="F145" s="137">
        <v>125601</v>
      </c>
      <c r="G145" s="137">
        <v>122860</v>
      </c>
      <c r="H145" s="137">
        <f t="shared" si="62"/>
        <v>500765</v>
      </c>
      <c r="J145" s="137">
        <v>14079</v>
      </c>
      <c r="K145" s="137">
        <v>41381</v>
      </c>
      <c r="L145" s="137">
        <v>24751</v>
      </c>
      <c r="M145" s="137">
        <v>36620</v>
      </c>
      <c r="N145" s="137">
        <f t="shared" si="63"/>
        <v>116831</v>
      </c>
      <c r="P145" s="84">
        <f t="shared" si="64"/>
        <v>0.11773412608815634</v>
      </c>
      <c r="Q145" s="84">
        <f t="shared" si="65"/>
        <v>0.31178939278637141</v>
      </c>
      <c r="R145" s="84">
        <f t="shared" si="66"/>
        <v>0.19706053295754014</v>
      </c>
      <c r="S145" s="84">
        <f t="shared" si="67"/>
        <v>0.29806283574800585</v>
      </c>
      <c r="T145" s="84" t="str">
        <f>+IFERROR(#REF!/#REF!,"")</f>
        <v/>
      </c>
      <c r="U145" s="84" t="str">
        <f>+IFERROR(#REF!/#REF!,"")</f>
        <v/>
      </c>
      <c r="V145" s="84" t="str">
        <f>+IFERROR(#REF!/#REF!,"")</f>
        <v/>
      </c>
      <c r="W145" s="84" t="str">
        <f>+IFERROR(#REF!/#REF!,"")</f>
        <v/>
      </c>
      <c r="X145" s="84" t="str">
        <f>+IFERROR(#REF!/#REF!,"")</f>
        <v/>
      </c>
      <c r="Y145" s="84" t="str">
        <f>+IFERROR(#REF!/#REF!,"")</f>
        <v/>
      </c>
      <c r="Z145" s="84" t="str">
        <f>+IFERROR(#REF!/#REF!,"")</f>
        <v/>
      </c>
      <c r="AA145" s="84" t="str">
        <f>+IFERROR(#REF!/#REF!,"")</f>
        <v/>
      </c>
      <c r="AB145" s="84">
        <f t="shared" si="68"/>
        <v>0.23330504328377583</v>
      </c>
      <c r="AD145" s="139">
        <f t="shared" si="69"/>
        <v>0.19405526669821507</v>
      </c>
      <c r="AE145" s="139">
        <f t="shared" si="70"/>
        <v>-0.11472885982883127</v>
      </c>
      <c r="AF145" s="139">
        <f t="shared" si="71"/>
        <v>0.10100230279046571</v>
      </c>
      <c r="AG145" s="139" t="str">
        <f t="shared" si="72"/>
        <v/>
      </c>
      <c r="AH145" s="139" t="str">
        <f t="shared" si="73"/>
        <v/>
      </c>
      <c r="AI145" s="139" t="str">
        <f t="shared" si="74"/>
        <v/>
      </c>
      <c r="AJ145" s="139" t="str">
        <f t="shared" si="75"/>
        <v/>
      </c>
      <c r="AK145" s="139" t="str">
        <f t="shared" si="76"/>
        <v/>
      </c>
      <c r="AL145" s="139" t="str">
        <f t="shared" si="77"/>
        <v/>
      </c>
      <c r="AM145" s="139" t="str">
        <f t="shared" si="78"/>
        <v/>
      </c>
      <c r="AN145" s="139" t="str">
        <f t="shared" si="79"/>
        <v/>
      </c>
      <c r="AP145" s="82">
        <f t="shared" si="80"/>
        <v>1.1535897073655691E-4</v>
      </c>
      <c r="AQ145" s="82">
        <f t="shared" si="81"/>
        <v>0.99239276158009992</v>
      </c>
    </row>
    <row r="146" spans="2:43" x14ac:dyDescent="0.35">
      <c r="B146" s="83" t="s">
        <v>240</v>
      </c>
      <c r="D146" s="137">
        <v>43633</v>
      </c>
      <c r="E146" s="137">
        <v>46244</v>
      </c>
      <c r="F146" s="137">
        <v>51113</v>
      </c>
      <c r="G146" s="137">
        <v>53133</v>
      </c>
      <c r="H146" s="137">
        <f t="shared" si="62"/>
        <v>194123</v>
      </c>
      <c r="J146" s="137">
        <v>5199</v>
      </c>
      <c r="K146" s="137">
        <v>4877</v>
      </c>
      <c r="L146" s="137">
        <v>5950</v>
      </c>
      <c r="M146" s="137">
        <v>10452</v>
      </c>
      <c r="N146" s="137">
        <f t="shared" si="63"/>
        <v>26478</v>
      </c>
      <c r="P146" s="84">
        <f t="shared" si="64"/>
        <v>0.11915293470538355</v>
      </c>
      <c r="Q146" s="84">
        <f t="shared" si="65"/>
        <v>0.10546233024824841</v>
      </c>
      <c r="R146" s="84">
        <f t="shared" si="66"/>
        <v>0.1164087414160781</v>
      </c>
      <c r="S146" s="84">
        <f t="shared" si="67"/>
        <v>0.19671390661171023</v>
      </c>
      <c r="T146" s="84" t="str">
        <f>+IFERROR(#REF!/#REF!,"")</f>
        <v/>
      </c>
      <c r="U146" s="84" t="str">
        <f>+IFERROR(#REF!/#REF!,"")</f>
        <v/>
      </c>
      <c r="V146" s="84" t="str">
        <f>+IFERROR(#REF!/#REF!,"")</f>
        <v/>
      </c>
      <c r="W146" s="84" t="str">
        <f>+IFERROR(#REF!/#REF!,"")</f>
        <v/>
      </c>
      <c r="X146" s="84" t="str">
        <f>+IFERROR(#REF!/#REF!,"")</f>
        <v/>
      </c>
      <c r="Y146" s="84" t="str">
        <f>+IFERROR(#REF!/#REF!,"")</f>
        <v/>
      </c>
      <c r="Z146" s="84" t="str">
        <f>+IFERROR(#REF!/#REF!,"")</f>
        <v/>
      </c>
      <c r="AA146" s="84" t="str">
        <f>+IFERROR(#REF!/#REF!,"")</f>
        <v/>
      </c>
      <c r="AB146" s="84">
        <f t="shared" si="68"/>
        <v>0.13639805690206724</v>
      </c>
      <c r="AD146" s="139">
        <f t="shared" si="69"/>
        <v>-1.369060445713513E-2</v>
      </c>
      <c r="AE146" s="139">
        <f t="shared" si="70"/>
        <v>1.0946411167829684E-2</v>
      </c>
      <c r="AF146" s="139">
        <f t="shared" si="71"/>
        <v>8.0305165195632133E-2</v>
      </c>
      <c r="AG146" s="139" t="str">
        <f t="shared" si="72"/>
        <v/>
      </c>
      <c r="AH146" s="139" t="str">
        <f t="shared" si="73"/>
        <v/>
      </c>
      <c r="AI146" s="139" t="str">
        <f t="shared" si="74"/>
        <v/>
      </c>
      <c r="AJ146" s="139" t="str">
        <f t="shared" si="75"/>
        <v/>
      </c>
      <c r="AK146" s="139" t="str">
        <f t="shared" si="76"/>
        <v/>
      </c>
      <c r="AL146" s="139" t="str">
        <f t="shared" si="77"/>
        <v/>
      </c>
      <c r="AM146" s="139" t="str">
        <f t="shared" si="78"/>
        <v/>
      </c>
      <c r="AN146" s="139" t="str">
        <f t="shared" si="79"/>
        <v/>
      </c>
      <c r="AP146" s="82">
        <f t="shared" si="80"/>
        <v>2.614438656831281E-5</v>
      </c>
      <c r="AQ146" s="82">
        <f t="shared" si="81"/>
        <v>0.99241890596666826</v>
      </c>
    </row>
    <row r="147" spans="2:43" x14ac:dyDescent="0.35">
      <c r="B147" s="83" t="s">
        <v>241</v>
      </c>
      <c r="D147" s="137">
        <v>35692</v>
      </c>
      <c r="E147" s="137">
        <v>44627</v>
      </c>
      <c r="F147" s="137">
        <v>66210</v>
      </c>
      <c r="G147" s="137">
        <v>44871</v>
      </c>
      <c r="H147" s="137">
        <f t="shared" si="62"/>
        <v>191400</v>
      </c>
      <c r="J147" s="137">
        <v>4453</v>
      </c>
      <c r="K147" s="137">
        <v>6000</v>
      </c>
      <c r="L147" s="137">
        <v>8569</v>
      </c>
      <c r="M147" s="137">
        <v>8852</v>
      </c>
      <c r="N147" s="137">
        <f t="shared" si="63"/>
        <v>27874</v>
      </c>
      <c r="P147" s="84">
        <f t="shared" si="64"/>
        <v>0.12476185139527064</v>
      </c>
      <c r="Q147" s="84">
        <f t="shared" si="65"/>
        <v>0.13444775584287538</v>
      </c>
      <c r="R147" s="84">
        <f t="shared" si="66"/>
        <v>0.12942153753209484</v>
      </c>
      <c r="S147" s="84">
        <f t="shared" si="67"/>
        <v>0.19727663747186377</v>
      </c>
      <c r="T147" s="84" t="str">
        <f>+IFERROR(#REF!/#REF!,"")</f>
        <v/>
      </c>
      <c r="U147" s="84" t="str">
        <f>+IFERROR(#REF!/#REF!,"")</f>
        <v/>
      </c>
      <c r="V147" s="84" t="str">
        <f>+IFERROR(#REF!/#REF!,"")</f>
        <v/>
      </c>
      <c r="W147" s="84" t="str">
        <f>+IFERROR(#REF!/#REF!,"")</f>
        <v/>
      </c>
      <c r="X147" s="84" t="str">
        <f>+IFERROR(#REF!/#REF!,"")</f>
        <v/>
      </c>
      <c r="Y147" s="84" t="str">
        <f>+IFERROR(#REF!/#REF!,"")</f>
        <v/>
      </c>
      <c r="Z147" s="84" t="str">
        <f>+IFERROR(#REF!/#REF!,"")</f>
        <v/>
      </c>
      <c r="AA147" s="84" t="str">
        <f>+IFERROR(#REF!/#REF!,"")</f>
        <v/>
      </c>
      <c r="AB147" s="84">
        <f t="shared" si="68"/>
        <v>0.14563218390804597</v>
      </c>
      <c r="AD147" s="139">
        <f t="shared" si="69"/>
        <v>9.6859044476047401E-3</v>
      </c>
      <c r="AE147" s="139">
        <f t="shared" si="70"/>
        <v>-5.0262183107805392E-3</v>
      </c>
      <c r="AF147" s="139">
        <f t="shared" si="71"/>
        <v>6.7855099939768931E-2</v>
      </c>
      <c r="AG147" s="139" t="str">
        <f t="shared" si="72"/>
        <v/>
      </c>
      <c r="AH147" s="139" t="str">
        <f t="shared" si="73"/>
        <v/>
      </c>
      <c r="AI147" s="139" t="str">
        <f t="shared" si="74"/>
        <v/>
      </c>
      <c r="AJ147" s="139" t="str">
        <f t="shared" si="75"/>
        <v/>
      </c>
      <c r="AK147" s="139" t="str">
        <f t="shared" si="76"/>
        <v/>
      </c>
      <c r="AL147" s="139" t="str">
        <f t="shared" si="77"/>
        <v/>
      </c>
      <c r="AM147" s="139" t="str">
        <f t="shared" si="78"/>
        <v/>
      </c>
      <c r="AN147" s="139" t="str">
        <f t="shared" si="79"/>
        <v/>
      </c>
      <c r="AP147" s="82">
        <f t="shared" si="80"/>
        <v>2.7522797462238509E-5</v>
      </c>
      <c r="AQ147" s="82">
        <f t="shared" si="81"/>
        <v>0.99244642876413047</v>
      </c>
    </row>
    <row r="148" spans="2:43" x14ac:dyDescent="0.35">
      <c r="B148" s="83" t="s">
        <v>242</v>
      </c>
      <c r="D148" s="137">
        <v>48129</v>
      </c>
      <c r="E148" s="137">
        <v>37595</v>
      </c>
      <c r="F148" s="137">
        <v>48301</v>
      </c>
      <c r="G148" s="137">
        <v>19330</v>
      </c>
      <c r="H148" s="137">
        <f t="shared" si="62"/>
        <v>153355</v>
      </c>
      <c r="J148" s="137">
        <v>4041</v>
      </c>
      <c r="K148" s="137">
        <v>7428</v>
      </c>
      <c r="L148" s="137">
        <v>16621</v>
      </c>
      <c r="M148" s="137">
        <v>5271</v>
      </c>
      <c r="N148" s="137">
        <f t="shared" si="63"/>
        <v>33361</v>
      </c>
      <c r="P148" s="84">
        <f t="shared" si="64"/>
        <v>8.396185252134887E-2</v>
      </c>
      <c r="Q148" s="84">
        <f t="shared" si="65"/>
        <v>0.19757946535443544</v>
      </c>
      <c r="R148" s="84">
        <f t="shared" si="66"/>
        <v>0.34411295832384425</v>
      </c>
      <c r="S148" s="84">
        <f t="shared" si="67"/>
        <v>0.27268494568028973</v>
      </c>
      <c r="T148" s="84" t="str">
        <f>+IFERROR(#REF!/#REF!,"")</f>
        <v/>
      </c>
      <c r="U148" s="84" t="str">
        <f>+IFERROR(#REF!/#REF!,"")</f>
        <v/>
      </c>
      <c r="V148" s="84" t="str">
        <f>+IFERROR(#REF!/#REF!,"")</f>
        <v/>
      </c>
      <c r="W148" s="84" t="str">
        <f>+IFERROR(#REF!/#REF!,"")</f>
        <v/>
      </c>
      <c r="X148" s="84" t="str">
        <f>+IFERROR(#REF!/#REF!,"")</f>
        <v/>
      </c>
      <c r="Y148" s="84" t="str">
        <f>+IFERROR(#REF!/#REF!,"")</f>
        <v/>
      </c>
      <c r="Z148" s="84" t="str">
        <f>+IFERROR(#REF!/#REF!,"")</f>
        <v/>
      </c>
      <c r="AA148" s="84" t="str">
        <f>+IFERROR(#REF!/#REF!,"")</f>
        <v/>
      </c>
      <c r="AB148" s="84">
        <f t="shared" si="68"/>
        <v>0.21754099964135504</v>
      </c>
      <c r="AD148" s="139">
        <f t="shared" si="69"/>
        <v>0.11361761283308656</v>
      </c>
      <c r="AE148" s="139">
        <f t="shared" si="70"/>
        <v>0.14653349296940882</v>
      </c>
      <c r="AF148" s="139">
        <f t="shared" si="71"/>
        <v>-7.1428012643554528E-2</v>
      </c>
      <c r="AG148" s="139" t="str">
        <f t="shared" si="72"/>
        <v/>
      </c>
      <c r="AH148" s="139" t="str">
        <f t="shared" si="73"/>
        <v/>
      </c>
      <c r="AI148" s="139" t="str">
        <f t="shared" si="74"/>
        <v/>
      </c>
      <c r="AJ148" s="139" t="str">
        <f t="shared" si="75"/>
        <v/>
      </c>
      <c r="AK148" s="139" t="str">
        <f t="shared" si="76"/>
        <v/>
      </c>
      <c r="AL148" s="139" t="str">
        <f t="shared" si="77"/>
        <v/>
      </c>
      <c r="AM148" s="139" t="str">
        <f t="shared" si="78"/>
        <v/>
      </c>
      <c r="AN148" s="139" t="str">
        <f t="shared" si="79"/>
        <v/>
      </c>
      <c r="AP148" s="82">
        <f t="shared" si="80"/>
        <v>3.2940663203621259E-5</v>
      </c>
      <c r="AQ148" s="82">
        <f t="shared" si="81"/>
        <v>0.99247936942733406</v>
      </c>
    </row>
    <row r="149" spans="2:43" x14ac:dyDescent="0.35">
      <c r="B149" s="83" t="s">
        <v>243</v>
      </c>
      <c r="D149" s="137">
        <v>91061</v>
      </c>
      <c r="E149" s="137">
        <v>93111</v>
      </c>
      <c r="F149" s="137">
        <v>98795</v>
      </c>
      <c r="G149" s="137">
        <v>75984</v>
      </c>
      <c r="H149" s="137">
        <f t="shared" si="62"/>
        <v>358951</v>
      </c>
      <c r="J149" s="137">
        <v>25257</v>
      </c>
      <c r="K149" s="137">
        <v>23606</v>
      </c>
      <c r="L149" s="137">
        <v>9868</v>
      </c>
      <c r="M149" s="137">
        <v>14446</v>
      </c>
      <c r="N149" s="137">
        <f t="shared" si="63"/>
        <v>73177</v>
      </c>
      <c r="P149" s="84">
        <f t="shared" si="64"/>
        <v>0.27736352554880794</v>
      </c>
      <c r="Q149" s="84">
        <f t="shared" si="65"/>
        <v>0.25352536220210287</v>
      </c>
      <c r="R149" s="84">
        <f t="shared" si="66"/>
        <v>9.9883597348043932E-2</v>
      </c>
      <c r="S149" s="84">
        <f t="shared" si="67"/>
        <v>0.19011897241524531</v>
      </c>
      <c r="T149" s="84" t="str">
        <f>+IFERROR(#REF!/#REF!,"")</f>
        <v/>
      </c>
      <c r="U149" s="84" t="str">
        <f>+IFERROR(#REF!/#REF!,"")</f>
        <v/>
      </c>
      <c r="V149" s="84" t="str">
        <f>+IFERROR(#REF!/#REF!,"")</f>
        <v/>
      </c>
      <c r="W149" s="84" t="str">
        <f>+IFERROR(#REF!/#REF!,"")</f>
        <v/>
      </c>
      <c r="X149" s="84" t="str">
        <f>+IFERROR(#REF!/#REF!,"")</f>
        <v/>
      </c>
      <c r="Y149" s="84" t="str">
        <f>+IFERROR(#REF!/#REF!,"")</f>
        <v/>
      </c>
      <c r="Z149" s="84" t="str">
        <f>+IFERROR(#REF!/#REF!,"")</f>
        <v/>
      </c>
      <c r="AA149" s="84" t="str">
        <f>+IFERROR(#REF!/#REF!,"")</f>
        <v/>
      </c>
      <c r="AB149" s="84">
        <f t="shared" si="68"/>
        <v>0.20386347997358972</v>
      </c>
      <c r="AD149" s="139">
        <f t="shared" si="69"/>
        <v>-2.3838163346705077E-2</v>
      </c>
      <c r="AE149" s="139">
        <f t="shared" si="70"/>
        <v>-0.15364176485405895</v>
      </c>
      <c r="AF149" s="139">
        <f t="shared" si="71"/>
        <v>9.0235375067201376E-2</v>
      </c>
      <c r="AG149" s="139" t="str">
        <f t="shared" si="72"/>
        <v/>
      </c>
      <c r="AH149" s="139" t="str">
        <f t="shared" si="73"/>
        <v/>
      </c>
      <c r="AI149" s="139" t="str">
        <f t="shared" si="74"/>
        <v/>
      </c>
      <c r="AJ149" s="139" t="str">
        <f t="shared" si="75"/>
        <v/>
      </c>
      <c r="AK149" s="139" t="str">
        <f t="shared" si="76"/>
        <v/>
      </c>
      <c r="AL149" s="139" t="str">
        <f t="shared" si="77"/>
        <v/>
      </c>
      <c r="AM149" s="139" t="str">
        <f t="shared" si="78"/>
        <v/>
      </c>
      <c r="AN149" s="139" t="str">
        <f t="shared" si="79"/>
        <v/>
      </c>
      <c r="AP149" s="82">
        <f t="shared" si="80"/>
        <v>7.2254995691118154E-5</v>
      </c>
      <c r="AQ149" s="82">
        <f t="shared" si="81"/>
        <v>0.99255162442302514</v>
      </c>
    </row>
    <row r="150" spans="2:43" x14ac:dyDescent="0.35">
      <c r="B150" s="83" t="s">
        <v>244</v>
      </c>
      <c r="D150" s="137">
        <v>553694</v>
      </c>
      <c r="E150" s="137">
        <v>2840972</v>
      </c>
      <c r="F150" s="137">
        <v>2167022</v>
      </c>
      <c r="G150" s="137">
        <v>352332</v>
      </c>
      <c r="H150" s="137">
        <f t="shared" si="62"/>
        <v>5914020</v>
      </c>
      <c r="J150" s="137">
        <v>70804</v>
      </c>
      <c r="K150" s="137">
        <v>443877</v>
      </c>
      <c r="L150" s="137">
        <v>289601</v>
      </c>
      <c r="M150" s="137">
        <v>45290</v>
      </c>
      <c r="N150" s="137">
        <f t="shared" si="63"/>
        <v>849572</v>
      </c>
      <c r="P150" s="84">
        <f t="shared" si="64"/>
        <v>0.12787568584813994</v>
      </c>
      <c r="Q150" s="84">
        <f t="shared" si="65"/>
        <v>0.15624124419388857</v>
      </c>
      <c r="R150" s="84">
        <f t="shared" si="66"/>
        <v>0.13364008302638367</v>
      </c>
      <c r="S150" s="84">
        <f t="shared" si="67"/>
        <v>0.12854353280428688</v>
      </c>
      <c r="T150" s="84" t="str">
        <f>+IFERROR(#REF!/#REF!,"")</f>
        <v/>
      </c>
      <c r="U150" s="84" t="str">
        <f>+IFERROR(#REF!/#REF!,"")</f>
        <v/>
      </c>
      <c r="V150" s="84" t="str">
        <f>+IFERROR(#REF!/#REF!,"")</f>
        <v/>
      </c>
      <c r="W150" s="84" t="str">
        <f>+IFERROR(#REF!/#REF!,"")</f>
        <v/>
      </c>
      <c r="X150" s="84" t="str">
        <f>+IFERROR(#REF!/#REF!,"")</f>
        <v/>
      </c>
      <c r="Y150" s="84" t="str">
        <f>+IFERROR(#REF!/#REF!,"")</f>
        <v/>
      </c>
      <c r="Z150" s="84" t="str">
        <f>+IFERROR(#REF!/#REF!,"")</f>
        <v/>
      </c>
      <c r="AA150" s="84" t="str">
        <f>+IFERROR(#REF!/#REF!,"")</f>
        <v/>
      </c>
      <c r="AB150" s="84">
        <f t="shared" si="68"/>
        <v>0.14365389362903744</v>
      </c>
      <c r="AD150" s="139">
        <f t="shared" si="69"/>
        <v>2.8365558345748637E-2</v>
      </c>
      <c r="AE150" s="139">
        <f t="shared" si="70"/>
        <v>-2.2601161167504907E-2</v>
      </c>
      <c r="AF150" s="139">
        <f t="shared" si="71"/>
        <v>-5.0965502220967906E-3</v>
      </c>
      <c r="AG150" s="139" t="str">
        <f t="shared" si="72"/>
        <v/>
      </c>
      <c r="AH150" s="139" t="str">
        <f t="shared" si="73"/>
        <v/>
      </c>
      <c r="AI150" s="139" t="str">
        <f t="shared" si="74"/>
        <v/>
      </c>
      <c r="AJ150" s="139" t="str">
        <f t="shared" si="75"/>
        <v/>
      </c>
      <c r="AK150" s="139" t="str">
        <f t="shared" si="76"/>
        <v/>
      </c>
      <c r="AL150" s="139" t="str">
        <f t="shared" si="77"/>
        <v/>
      </c>
      <c r="AM150" s="139" t="str">
        <f t="shared" si="78"/>
        <v/>
      </c>
      <c r="AN150" s="139" t="str">
        <f t="shared" si="79"/>
        <v/>
      </c>
      <c r="AP150" s="82">
        <f t="shared" si="80"/>
        <v>8.3886769339129282E-4</v>
      </c>
      <c r="AQ150" s="82">
        <f t="shared" si="81"/>
        <v>0.99339049211641639</v>
      </c>
    </row>
    <row r="151" spans="2:43" x14ac:dyDescent="0.35">
      <c r="B151" s="83" t="s">
        <v>245</v>
      </c>
      <c r="D151" s="137">
        <v>435117</v>
      </c>
      <c r="E151" s="137">
        <v>258387</v>
      </c>
      <c r="F151" s="137">
        <v>272627</v>
      </c>
      <c r="G151" s="137">
        <v>158400</v>
      </c>
      <c r="H151" s="137">
        <f t="shared" si="62"/>
        <v>1124531</v>
      </c>
      <c r="J151" s="137">
        <v>66489</v>
      </c>
      <c r="K151" s="137">
        <v>28305</v>
      </c>
      <c r="L151" s="137">
        <v>27511</v>
      </c>
      <c r="M151" s="137">
        <v>15362</v>
      </c>
      <c r="N151" s="137">
        <f t="shared" si="63"/>
        <v>137667</v>
      </c>
      <c r="P151" s="84">
        <f t="shared" si="64"/>
        <v>0.15280717600093768</v>
      </c>
      <c r="Q151" s="84">
        <f t="shared" si="65"/>
        <v>0.10954498484830894</v>
      </c>
      <c r="R151" s="84">
        <f t="shared" si="66"/>
        <v>0.10091076819243876</v>
      </c>
      <c r="S151" s="84">
        <f t="shared" si="67"/>
        <v>9.6982323232323239E-2</v>
      </c>
      <c r="T151" s="84" t="str">
        <f>+IFERROR(#REF!/#REF!,"")</f>
        <v/>
      </c>
      <c r="U151" s="84" t="str">
        <f>+IFERROR(#REF!/#REF!,"")</f>
        <v/>
      </c>
      <c r="V151" s="84" t="str">
        <f>+IFERROR(#REF!/#REF!,"")</f>
        <v/>
      </c>
      <c r="W151" s="84" t="str">
        <f>+IFERROR(#REF!/#REF!,"")</f>
        <v/>
      </c>
      <c r="X151" s="84" t="str">
        <f>+IFERROR(#REF!/#REF!,"")</f>
        <v/>
      </c>
      <c r="Y151" s="84" t="str">
        <f>+IFERROR(#REF!/#REF!,"")</f>
        <v/>
      </c>
      <c r="Z151" s="84" t="str">
        <f>+IFERROR(#REF!/#REF!,"")</f>
        <v/>
      </c>
      <c r="AA151" s="84" t="str">
        <f>+IFERROR(#REF!/#REF!,"")</f>
        <v/>
      </c>
      <c r="AB151" s="84">
        <f t="shared" si="68"/>
        <v>0.12242170291437053</v>
      </c>
      <c r="AD151" s="139">
        <f t="shared" si="69"/>
        <v>-4.3262191152628748E-2</v>
      </c>
      <c r="AE151" s="139">
        <f t="shared" si="70"/>
        <v>-8.6342166558701777E-3</v>
      </c>
      <c r="AF151" s="139">
        <f t="shared" si="71"/>
        <v>-3.928444960115518E-3</v>
      </c>
      <c r="AG151" s="139" t="str">
        <f t="shared" si="72"/>
        <v/>
      </c>
      <c r="AH151" s="139" t="str">
        <f t="shared" si="73"/>
        <v/>
      </c>
      <c r="AI151" s="139" t="str">
        <f t="shared" si="74"/>
        <v/>
      </c>
      <c r="AJ151" s="139" t="str">
        <f t="shared" si="75"/>
        <v/>
      </c>
      <c r="AK151" s="139" t="str">
        <f t="shared" si="76"/>
        <v/>
      </c>
      <c r="AL151" s="139" t="str">
        <f t="shared" si="77"/>
        <v/>
      </c>
      <c r="AM151" s="139" t="str">
        <f t="shared" si="78"/>
        <v/>
      </c>
      <c r="AN151" s="139" t="str">
        <f t="shared" si="79"/>
        <v/>
      </c>
      <c r="AP151" s="82">
        <f t="shared" si="80"/>
        <v>1.3593244450864564E-4</v>
      </c>
      <c r="AQ151" s="82">
        <f t="shared" si="81"/>
        <v>0.99352642456092499</v>
      </c>
    </row>
    <row r="152" spans="2:43" x14ac:dyDescent="0.35">
      <c r="B152" s="83" t="s">
        <v>246</v>
      </c>
      <c r="D152" s="137">
        <v>8500528</v>
      </c>
      <c r="E152" s="137">
        <v>3665044</v>
      </c>
      <c r="F152" s="137">
        <v>3070839</v>
      </c>
      <c r="G152" s="137">
        <v>2536468</v>
      </c>
      <c r="H152" s="137">
        <f t="shared" si="62"/>
        <v>17772879</v>
      </c>
      <c r="J152" s="137">
        <v>799883</v>
      </c>
      <c r="K152" s="137">
        <v>315386</v>
      </c>
      <c r="L152" s="137">
        <v>315182</v>
      </c>
      <c r="M152" s="137">
        <v>276777</v>
      </c>
      <c r="N152" s="137">
        <f t="shared" si="63"/>
        <v>1707228</v>
      </c>
      <c r="P152" s="84">
        <f t="shared" si="64"/>
        <v>9.4098037204277188E-2</v>
      </c>
      <c r="Q152" s="84">
        <f t="shared" si="65"/>
        <v>8.6052445755085069E-2</v>
      </c>
      <c r="R152" s="84">
        <f t="shared" si="66"/>
        <v>0.1026370968976231</v>
      </c>
      <c r="S152" s="84">
        <f t="shared" si="67"/>
        <v>0.1091190584702823</v>
      </c>
      <c r="T152" s="84" t="str">
        <f>+IFERROR(#REF!/#REF!,"")</f>
        <v/>
      </c>
      <c r="U152" s="84" t="str">
        <f>+IFERROR(#REF!/#REF!,"")</f>
        <v/>
      </c>
      <c r="V152" s="84" t="str">
        <f>+IFERROR(#REF!/#REF!,"")</f>
        <v/>
      </c>
      <c r="W152" s="84" t="str">
        <f>+IFERROR(#REF!/#REF!,"")</f>
        <v/>
      </c>
      <c r="X152" s="84" t="str">
        <f>+IFERROR(#REF!/#REF!,"")</f>
        <v/>
      </c>
      <c r="Y152" s="84" t="str">
        <f>+IFERROR(#REF!/#REF!,"")</f>
        <v/>
      </c>
      <c r="Z152" s="84" t="str">
        <f>+IFERROR(#REF!/#REF!,"")</f>
        <v/>
      </c>
      <c r="AA152" s="84" t="str">
        <f>+IFERROR(#REF!/#REF!,"")</f>
        <v/>
      </c>
      <c r="AB152" s="84">
        <f t="shared" si="68"/>
        <v>9.6058044394495681E-2</v>
      </c>
      <c r="AD152" s="139">
        <f t="shared" si="69"/>
        <v>-8.0455914491921188E-3</v>
      </c>
      <c r="AE152" s="139">
        <f t="shared" si="70"/>
        <v>1.6584651142538029E-2</v>
      </c>
      <c r="AF152" s="139">
        <f t="shared" si="71"/>
        <v>6.4819615726592061E-3</v>
      </c>
      <c r="AG152" s="139" t="str">
        <f t="shared" si="72"/>
        <v/>
      </c>
      <c r="AH152" s="139" t="str">
        <f t="shared" si="73"/>
        <v/>
      </c>
      <c r="AI152" s="139" t="str">
        <f t="shared" si="74"/>
        <v/>
      </c>
      <c r="AJ152" s="139" t="str">
        <f t="shared" si="75"/>
        <v/>
      </c>
      <c r="AK152" s="139" t="str">
        <f t="shared" si="76"/>
        <v/>
      </c>
      <c r="AL152" s="139" t="str">
        <f t="shared" si="77"/>
        <v/>
      </c>
      <c r="AM152" s="139" t="str">
        <f t="shared" si="78"/>
        <v/>
      </c>
      <c r="AN152" s="139" t="str">
        <f t="shared" si="79"/>
        <v/>
      </c>
      <c r="AP152" s="82">
        <f t="shared" si="80"/>
        <v>1.6857175312428258E-3</v>
      </c>
      <c r="AQ152" s="82">
        <f t="shared" si="81"/>
        <v>0.9952121420921678</v>
      </c>
    </row>
    <row r="153" spans="2:43" x14ac:dyDescent="0.35">
      <c r="B153" s="83" t="s">
        <v>247</v>
      </c>
      <c r="D153" s="137">
        <v>51213</v>
      </c>
      <c r="E153" s="137">
        <v>51161</v>
      </c>
      <c r="F153" s="137">
        <v>48262</v>
      </c>
      <c r="G153" s="137">
        <v>36158</v>
      </c>
      <c r="H153" s="137">
        <f t="shared" si="62"/>
        <v>186794</v>
      </c>
      <c r="J153" s="137">
        <v>10187</v>
      </c>
      <c r="K153" s="137">
        <v>7345</v>
      </c>
      <c r="L153" s="137">
        <v>7134</v>
      </c>
      <c r="M153" s="137">
        <v>2871</v>
      </c>
      <c r="N153" s="137">
        <f t="shared" si="63"/>
        <v>27537</v>
      </c>
      <c r="P153" s="84">
        <f t="shared" si="64"/>
        <v>0.1989143381563275</v>
      </c>
      <c r="Q153" s="84">
        <f t="shared" si="65"/>
        <v>0.14356638845995973</v>
      </c>
      <c r="R153" s="84">
        <f t="shared" si="66"/>
        <v>0.14781815921428867</v>
      </c>
      <c r="S153" s="84">
        <f t="shared" si="67"/>
        <v>7.9401515570551473E-2</v>
      </c>
      <c r="T153" s="84" t="str">
        <f>+IFERROR(#REF!/#REF!,"")</f>
        <v/>
      </c>
      <c r="U153" s="84" t="str">
        <f>+IFERROR(#REF!/#REF!,"")</f>
        <v/>
      </c>
      <c r="V153" s="84" t="str">
        <f>+IFERROR(#REF!/#REF!,"")</f>
        <v/>
      </c>
      <c r="W153" s="84" t="str">
        <f>+IFERROR(#REF!/#REF!,"")</f>
        <v/>
      </c>
      <c r="X153" s="84" t="str">
        <f>+IFERROR(#REF!/#REF!,"")</f>
        <v/>
      </c>
      <c r="Y153" s="84" t="str">
        <f>+IFERROR(#REF!/#REF!,"")</f>
        <v/>
      </c>
      <c r="Z153" s="84" t="str">
        <f>+IFERROR(#REF!/#REF!,"")</f>
        <v/>
      </c>
      <c r="AA153" s="84" t="str">
        <f>+IFERROR(#REF!/#REF!,"")</f>
        <v/>
      </c>
      <c r="AB153" s="84">
        <f t="shared" si="68"/>
        <v>0.14741908198336134</v>
      </c>
      <c r="AD153" s="139">
        <f t="shared" si="69"/>
        <v>-5.5347949696367776E-2</v>
      </c>
      <c r="AE153" s="139">
        <f t="shared" si="70"/>
        <v>4.2517707543289485E-3</v>
      </c>
      <c r="AF153" s="139">
        <f t="shared" si="71"/>
        <v>-6.8416643643737202E-2</v>
      </c>
      <c r="AG153" s="139" t="str">
        <f t="shared" si="72"/>
        <v/>
      </c>
      <c r="AH153" s="139" t="str">
        <f t="shared" si="73"/>
        <v/>
      </c>
      <c r="AI153" s="139" t="str">
        <f t="shared" si="74"/>
        <v/>
      </c>
      <c r="AJ153" s="139" t="str">
        <f t="shared" si="75"/>
        <v/>
      </c>
      <c r="AK153" s="139" t="str">
        <f t="shared" si="76"/>
        <v/>
      </c>
      <c r="AL153" s="139" t="str">
        <f t="shared" si="77"/>
        <v/>
      </c>
      <c r="AM153" s="139" t="str">
        <f t="shared" si="78"/>
        <v/>
      </c>
      <c r="AN153" s="139" t="str">
        <f t="shared" si="79"/>
        <v/>
      </c>
      <c r="AP153" s="82">
        <f t="shared" si="80"/>
        <v>2.7190043543002864E-5</v>
      </c>
      <c r="AQ153" s="82">
        <f t="shared" si="81"/>
        <v>0.99523933213571081</v>
      </c>
    </row>
    <row r="154" spans="2:43" x14ac:dyDescent="0.35">
      <c r="B154" s="83" t="s">
        <v>248</v>
      </c>
      <c r="D154" s="137">
        <v>30013</v>
      </c>
      <c r="E154" s="137">
        <v>26551</v>
      </c>
      <c r="F154" s="137">
        <v>11562</v>
      </c>
      <c r="G154" s="137">
        <v>17018</v>
      </c>
      <c r="H154" s="137">
        <f t="shared" si="62"/>
        <v>85144</v>
      </c>
      <c r="J154" s="137">
        <v>11804</v>
      </c>
      <c r="K154" s="137">
        <v>304</v>
      </c>
      <c r="L154" s="137">
        <v>5660</v>
      </c>
      <c r="M154" s="137">
        <v>8189</v>
      </c>
      <c r="N154" s="137">
        <f t="shared" si="63"/>
        <v>25957</v>
      </c>
      <c r="P154" s="84">
        <f t="shared" si="64"/>
        <v>0.3932962382967381</v>
      </c>
      <c r="Q154" s="84">
        <f t="shared" si="65"/>
        <v>1.1449662912884637E-2</v>
      </c>
      <c r="R154" s="84">
        <f t="shared" si="66"/>
        <v>0.48953468258086835</v>
      </c>
      <c r="S154" s="84">
        <f t="shared" si="67"/>
        <v>0.48119638030320838</v>
      </c>
      <c r="T154" s="84" t="str">
        <f>+IFERROR(#REF!/#REF!,"")</f>
        <v/>
      </c>
      <c r="U154" s="84" t="str">
        <f>+IFERROR(#REF!/#REF!,"")</f>
        <v/>
      </c>
      <c r="V154" s="84" t="str">
        <f>+IFERROR(#REF!/#REF!,"")</f>
        <v/>
      </c>
      <c r="W154" s="84" t="str">
        <f>+IFERROR(#REF!/#REF!,"")</f>
        <v/>
      </c>
      <c r="X154" s="84" t="str">
        <f>+IFERROR(#REF!/#REF!,"")</f>
        <v/>
      </c>
      <c r="Y154" s="84" t="str">
        <f>+IFERROR(#REF!/#REF!,"")</f>
        <v/>
      </c>
      <c r="Z154" s="84" t="str">
        <f>+IFERROR(#REF!/#REF!,"")</f>
        <v/>
      </c>
      <c r="AA154" s="84" t="str">
        <f>+IFERROR(#REF!/#REF!,"")</f>
        <v/>
      </c>
      <c r="AB154" s="84">
        <f t="shared" si="68"/>
        <v>0.3048600018791694</v>
      </c>
      <c r="AD154" s="139">
        <f t="shared" si="69"/>
        <v>-0.38184657538385347</v>
      </c>
      <c r="AE154" s="139">
        <f t="shared" si="70"/>
        <v>0.47808501966798372</v>
      </c>
      <c r="AF154" s="139">
        <f t="shared" si="71"/>
        <v>-8.3383022776599702E-3</v>
      </c>
      <c r="AG154" s="139" t="str">
        <f t="shared" si="72"/>
        <v/>
      </c>
      <c r="AH154" s="139" t="str">
        <f t="shared" si="73"/>
        <v/>
      </c>
      <c r="AI154" s="139" t="str">
        <f t="shared" si="74"/>
        <v/>
      </c>
      <c r="AJ154" s="139" t="str">
        <f t="shared" si="75"/>
        <v/>
      </c>
      <c r="AK154" s="139" t="str">
        <f t="shared" si="76"/>
        <v/>
      </c>
      <c r="AL154" s="139" t="str">
        <f t="shared" si="77"/>
        <v/>
      </c>
      <c r="AM154" s="139" t="str">
        <f t="shared" si="78"/>
        <v/>
      </c>
      <c r="AN154" s="139" t="str">
        <f t="shared" si="79"/>
        <v/>
      </c>
      <c r="AP154" s="82">
        <f t="shared" si="80"/>
        <v>2.562995098397521E-5</v>
      </c>
      <c r="AQ154" s="82">
        <f t="shared" si="81"/>
        <v>0.99526496208669479</v>
      </c>
    </row>
    <row r="155" spans="2:43" x14ac:dyDescent="0.35">
      <c r="B155" s="83" t="s">
        <v>249</v>
      </c>
      <c r="D155" s="137">
        <v>46186</v>
      </c>
      <c r="E155" s="137">
        <v>40411</v>
      </c>
      <c r="F155" s="137">
        <v>29452</v>
      </c>
      <c r="G155" s="137">
        <v>58431</v>
      </c>
      <c r="H155" s="137">
        <f t="shared" si="62"/>
        <v>174480</v>
      </c>
      <c r="J155" s="137">
        <v>26387</v>
      </c>
      <c r="K155" s="137">
        <v>26196</v>
      </c>
      <c r="L155" s="137">
        <v>7196</v>
      </c>
      <c r="M155" s="137">
        <v>38949</v>
      </c>
      <c r="N155" s="137">
        <f t="shared" si="63"/>
        <v>98728</v>
      </c>
      <c r="P155" s="84">
        <f t="shared" si="64"/>
        <v>0.57132031351491797</v>
      </c>
      <c r="Q155" s="84">
        <f t="shared" si="65"/>
        <v>0.64823934077355172</v>
      </c>
      <c r="R155" s="84">
        <f t="shared" si="66"/>
        <v>0.24432975689257097</v>
      </c>
      <c r="S155" s="84">
        <f t="shared" si="67"/>
        <v>0.66658109565128099</v>
      </c>
      <c r="T155" s="84" t="str">
        <f>+IFERROR(#REF!/#REF!,"")</f>
        <v/>
      </c>
      <c r="U155" s="84" t="str">
        <f>+IFERROR(#REF!/#REF!,"")</f>
        <v/>
      </c>
      <c r="V155" s="84" t="str">
        <f>+IFERROR(#REF!/#REF!,"")</f>
        <v/>
      </c>
      <c r="W155" s="84" t="str">
        <f>+IFERROR(#REF!/#REF!,"")</f>
        <v/>
      </c>
      <c r="X155" s="84" t="str">
        <f>+IFERROR(#REF!/#REF!,"")</f>
        <v/>
      </c>
      <c r="Y155" s="84" t="str">
        <f>+IFERROR(#REF!/#REF!,"")</f>
        <v/>
      </c>
      <c r="Z155" s="84" t="str">
        <f>+IFERROR(#REF!/#REF!,"")</f>
        <v/>
      </c>
      <c r="AA155" s="84" t="str">
        <f>+IFERROR(#REF!/#REF!,"")</f>
        <v/>
      </c>
      <c r="AB155" s="84">
        <f t="shared" si="68"/>
        <v>0.56584135717560757</v>
      </c>
      <c r="AD155" s="139">
        <f t="shared" si="69"/>
        <v>7.6919027258633754E-2</v>
      </c>
      <c r="AE155" s="139">
        <f t="shared" si="70"/>
        <v>-0.40390958388098075</v>
      </c>
      <c r="AF155" s="139">
        <f t="shared" si="71"/>
        <v>0.42225133875871002</v>
      </c>
      <c r="AG155" s="139" t="str">
        <f t="shared" si="72"/>
        <v/>
      </c>
      <c r="AH155" s="139" t="str">
        <f t="shared" si="73"/>
        <v/>
      </c>
      <c r="AI155" s="139" t="str">
        <f t="shared" si="74"/>
        <v/>
      </c>
      <c r="AJ155" s="139" t="str">
        <f t="shared" si="75"/>
        <v/>
      </c>
      <c r="AK155" s="139" t="str">
        <f t="shared" si="76"/>
        <v/>
      </c>
      <c r="AL155" s="139" t="str">
        <f t="shared" si="77"/>
        <v/>
      </c>
      <c r="AM155" s="139" t="str">
        <f t="shared" si="78"/>
        <v/>
      </c>
      <c r="AN155" s="139" t="str">
        <f t="shared" si="79"/>
        <v/>
      </c>
      <c r="AP155" s="82">
        <f t="shared" si="80"/>
        <v>9.7484062131444484E-5</v>
      </c>
      <c r="AQ155" s="82">
        <f t="shared" si="81"/>
        <v>0.99536244614882619</v>
      </c>
    </row>
    <row r="156" spans="2:43" x14ac:dyDescent="0.35">
      <c r="B156" s="83" t="s">
        <v>250</v>
      </c>
      <c r="D156" s="137">
        <v>534996</v>
      </c>
      <c r="E156" s="137">
        <v>544457</v>
      </c>
      <c r="F156" s="137">
        <v>106898</v>
      </c>
      <c r="G156" s="137">
        <v>521814</v>
      </c>
      <c r="H156" s="137">
        <f t="shared" si="62"/>
        <v>1708165</v>
      </c>
      <c r="J156" s="137">
        <v>90160</v>
      </c>
      <c r="K156" s="137">
        <v>82474</v>
      </c>
      <c r="L156" s="137">
        <v>16387</v>
      </c>
      <c r="M156" s="137">
        <v>96019</v>
      </c>
      <c r="N156" s="137">
        <f t="shared" si="63"/>
        <v>285040</v>
      </c>
      <c r="P156" s="84">
        <f t="shared" si="64"/>
        <v>0.16852462448317371</v>
      </c>
      <c r="Q156" s="84">
        <f t="shared" si="65"/>
        <v>0.15147936384324198</v>
      </c>
      <c r="R156" s="84">
        <f t="shared" si="66"/>
        <v>0.15329566502647385</v>
      </c>
      <c r="S156" s="84">
        <f t="shared" si="67"/>
        <v>0.18401001123005514</v>
      </c>
      <c r="T156" s="84" t="str">
        <f>+IFERROR(#REF!/#REF!,"")</f>
        <v/>
      </c>
      <c r="U156" s="84" t="str">
        <f>+IFERROR(#REF!/#REF!,"")</f>
        <v/>
      </c>
      <c r="V156" s="84" t="str">
        <f>+IFERROR(#REF!/#REF!,"")</f>
        <v/>
      </c>
      <c r="W156" s="84" t="str">
        <f>+IFERROR(#REF!/#REF!,"")</f>
        <v/>
      </c>
      <c r="X156" s="84" t="str">
        <f>+IFERROR(#REF!/#REF!,"")</f>
        <v/>
      </c>
      <c r="Y156" s="84" t="str">
        <f>+IFERROR(#REF!/#REF!,"")</f>
        <v/>
      </c>
      <c r="Z156" s="84" t="str">
        <f>+IFERROR(#REF!/#REF!,"")</f>
        <v/>
      </c>
      <c r="AA156" s="84" t="str">
        <f>+IFERROR(#REF!/#REF!,"")</f>
        <v/>
      </c>
      <c r="AB156" s="84">
        <f t="shared" si="68"/>
        <v>0.16686912564067288</v>
      </c>
      <c r="AD156" s="139">
        <f t="shared" si="69"/>
        <v>-1.7045260639931725E-2</v>
      </c>
      <c r="AE156" s="139">
        <f t="shared" si="70"/>
        <v>1.8163011832318665E-3</v>
      </c>
      <c r="AF156" s="139">
        <f t="shared" si="71"/>
        <v>3.0714346203581294E-2</v>
      </c>
      <c r="AG156" s="139" t="str">
        <f t="shared" si="72"/>
        <v/>
      </c>
      <c r="AH156" s="139" t="str">
        <f t="shared" si="73"/>
        <v/>
      </c>
      <c r="AI156" s="139" t="str">
        <f t="shared" si="74"/>
        <v/>
      </c>
      <c r="AJ156" s="139" t="str">
        <f t="shared" si="75"/>
        <v/>
      </c>
      <c r="AK156" s="139" t="str">
        <f t="shared" si="76"/>
        <v/>
      </c>
      <c r="AL156" s="139" t="str">
        <f t="shared" si="77"/>
        <v/>
      </c>
      <c r="AM156" s="139" t="str">
        <f t="shared" si="78"/>
        <v/>
      </c>
      <c r="AN156" s="139" t="str">
        <f t="shared" si="79"/>
        <v/>
      </c>
      <c r="AP156" s="82">
        <f t="shared" si="80"/>
        <v>2.8144859685141942E-4</v>
      </c>
      <c r="AQ156" s="82">
        <f t="shared" si="81"/>
        <v>0.9956438947456776</v>
      </c>
    </row>
    <row r="157" spans="2:43" x14ac:dyDescent="0.35">
      <c r="B157" s="83" t="s">
        <v>251</v>
      </c>
      <c r="D157" s="137">
        <v>1369902</v>
      </c>
      <c r="E157" s="137">
        <v>1494672</v>
      </c>
      <c r="F157" s="137">
        <v>1402058</v>
      </c>
      <c r="G157" s="137">
        <v>1063782</v>
      </c>
      <c r="H157" s="137">
        <f t="shared" si="62"/>
        <v>5330414</v>
      </c>
      <c r="J157" s="137">
        <v>211210</v>
      </c>
      <c r="K157" s="137">
        <v>270710</v>
      </c>
      <c r="L157" s="137">
        <v>192485</v>
      </c>
      <c r="M157" s="137">
        <v>149681</v>
      </c>
      <c r="N157" s="137">
        <f t="shared" si="63"/>
        <v>824086</v>
      </c>
      <c r="P157" s="84">
        <f t="shared" si="64"/>
        <v>0.15417891206816253</v>
      </c>
      <c r="Q157" s="84">
        <f t="shared" si="65"/>
        <v>0.18111665970861834</v>
      </c>
      <c r="R157" s="84">
        <f t="shared" si="66"/>
        <v>0.13728747312878639</v>
      </c>
      <c r="S157" s="84">
        <f t="shared" si="67"/>
        <v>0.14070646053420718</v>
      </c>
      <c r="T157" s="84" t="str">
        <f>+IFERROR(#REF!/#REF!,"")</f>
        <v/>
      </c>
      <c r="U157" s="84" t="str">
        <f>+IFERROR(#REF!/#REF!,"")</f>
        <v/>
      </c>
      <c r="V157" s="84" t="str">
        <f>+IFERROR(#REF!/#REF!,"")</f>
        <v/>
      </c>
      <c r="W157" s="84" t="str">
        <f>+IFERROR(#REF!/#REF!,"")</f>
        <v/>
      </c>
      <c r="X157" s="84" t="str">
        <f>+IFERROR(#REF!/#REF!,"")</f>
        <v/>
      </c>
      <c r="Y157" s="84" t="str">
        <f>+IFERROR(#REF!/#REF!,"")</f>
        <v/>
      </c>
      <c r="Z157" s="84" t="str">
        <f>+IFERROR(#REF!/#REF!,"")</f>
        <v/>
      </c>
      <c r="AA157" s="84" t="str">
        <f>+IFERROR(#REF!/#REF!,"")</f>
        <v/>
      </c>
      <c r="AB157" s="84">
        <f t="shared" si="68"/>
        <v>0.15460074958530426</v>
      </c>
      <c r="AD157" s="139">
        <f t="shared" si="69"/>
        <v>2.6937747640455811E-2</v>
      </c>
      <c r="AE157" s="139">
        <f t="shared" si="70"/>
        <v>-4.3829186579831952E-2</v>
      </c>
      <c r="AF157" s="139">
        <f t="shared" si="71"/>
        <v>3.4189874054207925E-3</v>
      </c>
      <c r="AG157" s="139" t="str">
        <f t="shared" si="72"/>
        <v/>
      </c>
      <c r="AH157" s="139" t="str">
        <f t="shared" si="73"/>
        <v/>
      </c>
      <c r="AI157" s="139" t="str">
        <f t="shared" si="74"/>
        <v/>
      </c>
      <c r="AJ157" s="139" t="str">
        <f t="shared" si="75"/>
        <v/>
      </c>
      <c r="AK157" s="139" t="str">
        <f t="shared" si="76"/>
        <v/>
      </c>
      <c r="AL157" s="139" t="str">
        <f t="shared" si="77"/>
        <v/>
      </c>
      <c r="AM157" s="139" t="str">
        <f t="shared" si="78"/>
        <v/>
      </c>
      <c r="AN157" s="139" t="str">
        <f t="shared" si="79"/>
        <v/>
      </c>
      <c r="AP157" s="82">
        <f t="shared" si="80"/>
        <v>8.1370280797396445E-4</v>
      </c>
      <c r="AQ157" s="82">
        <f t="shared" si="81"/>
        <v>0.9964575975536516</v>
      </c>
    </row>
    <row r="158" spans="2:43" x14ac:dyDescent="0.35">
      <c r="B158" s="83" t="s">
        <v>252</v>
      </c>
      <c r="D158" s="137">
        <v>51492</v>
      </c>
      <c r="E158" s="137">
        <v>108340</v>
      </c>
      <c r="F158" s="137">
        <v>54965</v>
      </c>
      <c r="G158" s="137">
        <v>26751</v>
      </c>
      <c r="H158" s="137">
        <f t="shared" si="62"/>
        <v>241548</v>
      </c>
      <c r="J158" s="137">
        <v>5997</v>
      </c>
      <c r="K158" s="137">
        <v>18892</v>
      </c>
      <c r="L158" s="137">
        <v>14987</v>
      </c>
      <c r="M158" s="137">
        <v>8874</v>
      </c>
      <c r="N158" s="137">
        <f t="shared" si="63"/>
        <v>48750</v>
      </c>
      <c r="P158" s="84">
        <f t="shared" si="64"/>
        <v>0.11646469354462829</v>
      </c>
      <c r="Q158" s="84">
        <f t="shared" si="65"/>
        <v>0.17437696141775891</v>
      </c>
      <c r="R158" s="84">
        <f t="shared" si="66"/>
        <v>0.2726644228145183</v>
      </c>
      <c r="S158" s="84">
        <f t="shared" si="67"/>
        <v>0.33172591678815744</v>
      </c>
      <c r="T158" s="84" t="str">
        <f>+IFERROR(#REF!/#REF!,"")</f>
        <v/>
      </c>
      <c r="U158" s="84" t="str">
        <f>+IFERROR(#REF!/#REF!,"")</f>
        <v/>
      </c>
      <c r="V158" s="84" t="str">
        <f>+IFERROR(#REF!/#REF!,"")</f>
        <v/>
      </c>
      <c r="W158" s="84" t="str">
        <f>+IFERROR(#REF!/#REF!,"")</f>
        <v/>
      </c>
      <c r="X158" s="84" t="str">
        <f>+IFERROR(#REF!/#REF!,"")</f>
        <v/>
      </c>
      <c r="Y158" s="84" t="str">
        <f>+IFERROR(#REF!/#REF!,"")</f>
        <v/>
      </c>
      <c r="Z158" s="84" t="str">
        <f>+IFERROR(#REF!/#REF!,"")</f>
        <v/>
      </c>
      <c r="AA158" s="84" t="str">
        <f>+IFERROR(#REF!/#REF!,"")</f>
        <v/>
      </c>
      <c r="AB158" s="84">
        <f t="shared" si="68"/>
        <v>0.20182324010134631</v>
      </c>
      <c r="AD158" s="139">
        <f t="shared" si="69"/>
        <v>5.7912267873130613E-2</v>
      </c>
      <c r="AE158" s="139">
        <f t="shared" si="70"/>
        <v>9.8287461396759396E-2</v>
      </c>
      <c r="AF158" s="139">
        <f t="shared" si="71"/>
        <v>5.9061493973639134E-2</v>
      </c>
      <c r="AG158" s="139" t="str">
        <f t="shared" si="72"/>
        <v/>
      </c>
      <c r="AH158" s="139" t="str">
        <f t="shared" si="73"/>
        <v/>
      </c>
      <c r="AI158" s="139" t="str">
        <f t="shared" si="74"/>
        <v/>
      </c>
      <c r="AJ158" s="139" t="str">
        <f t="shared" si="75"/>
        <v/>
      </c>
      <c r="AK158" s="139" t="str">
        <f t="shared" si="76"/>
        <v/>
      </c>
      <c r="AL158" s="139" t="str">
        <f t="shared" si="77"/>
        <v/>
      </c>
      <c r="AM158" s="139" t="str">
        <f t="shared" si="78"/>
        <v/>
      </c>
      <c r="AN158" s="139" t="str">
        <f t="shared" si="79"/>
        <v/>
      </c>
      <c r="AP158" s="82">
        <f t="shared" si="80"/>
        <v>4.813576724847985E-5</v>
      </c>
      <c r="AQ158" s="82">
        <f t="shared" si="81"/>
        <v>0.99650573332090009</v>
      </c>
    </row>
    <row r="159" spans="2:43" x14ac:dyDescent="0.35">
      <c r="B159" s="83" t="s">
        <v>253</v>
      </c>
      <c r="D159" s="137">
        <v>499281</v>
      </c>
      <c r="E159" s="137">
        <v>453599</v>
      </c>
      <c r="F159" s="137">
        <v>84817</v>
      </c>
      <c r="G159" s="137">
        <v>482940</v>
      </c>
      <c r="H159" s="137">
        <f t="shared" si="62"/>
        <v>1520637</v>
      </c>
      <c r="J159" s="137">
        <v>81673</v>
      </c>
      <c r="K159" s="137">
        <v>73605</v>
      </c>
      <c r="L159" s="137">
        <v>22276</v>
      </c>
      <c r="M159" s="137">
        <v>70327</v>
      </c>
      <c r="N159" s="137">
        <f t="shared" si="63"/>
        <v>247881</v>
      </c>
      <c r="P159" s="84">
        <f t="shared" si="64"/>
        <v>0.16358122980846457</v>
      </c>
      <c r="Q159" s="84">
        <f t="shared" si="65"/>
        <v>0.16226887625413636</v>
      </c>
      <c r="R159" s="84">
        <f t="shared" si="66"/>
        <v>0.26263602815473314</v>
      </c>
      <c r="S159" s="84">
        <f t="shared" si="67"/>
        <v>0.14562264463494429</v>
      </c>
      <c r="T159" s="84" t="str">
        <f>+IFERROR(#REF!/#REF!,"")</f>
        <v/>
      </c>
      <c r="U159" s="84" t="str">
        <f>+IFERROR(#REF!/#REF!,"")</f>
        <v/>
      </c>
      <c r="V159" s="84" t="str">
        <f>+IFERROR(#REF!/#REF!,"")</f>
        <v/>
      </c>
      <c r="W159" s="84" t="str">
        <f>+IFERROR(#REF!/#REF!,"")</f>
        <v/>
      </c>
      <c r="X159" s="84" t="str">
        <f>+IFERROR(#REF!/#REF!,"")</f>
        <v/>
      </c>
      <c r="Y159" s="84" t="str">
        <f>+IFERROR(#REF!/#REF!,"")</f>
        <v/>
      </c>
      <c r="Z159" s="84" t="str">
        <f>+IFERROR(#REF!/#REF!,"")</f>
        <v/>
      </c>
      <c r="AA159" s="84" t="str">
        <f>+IFERROR(#REF!/#REF!,"")</f>
        <v/>
      </c>
      <c r="AB159" s="84">
        <f t="shared" si="68"/>
        <v>0.16301129066305764</v>
      </c>
      <c r="AD159" s="139">
        <f t="shared" si="69"/>
        <v>-1.3123535543282105E-3</v>
      </c>
      <c r="AE159" s="139">
        <f t="shared" si="70"/>
        <v>0.10036715190059678</v>
      </c>
      <c r="AF159" s="139">
        <f t="shared" si="71"/>
        <v>-0.11701338351978885</v>
      </c>
      <c r="AG159" s="139" t="str">
        <f t="shared" si="72"/>
        <v/>
      </c>
      <c r="AH159" s="139" t="str">
        <f t="shared" si="73"/>
        <v/>
      </c>
      <c r="AI159" s="139" t="str">
        <f t="shared" si="74"/>
        <v/>
      </c>
      <c r="AJ159" s="139" t="str">
        <f t="shared" si="75"/>
        <v/>
      </c>
      <c r="AK159" s="139" t="str">
        <f t="shared" si="76"/>
        <v/>
      </c>
      <c r="AL159" s="139" t="str">
        <f t="shared" si="77"/>
        <v/>
      </c>
      <c r="AM159" s="139" t="str">
        <f t="shared" si="78"/>
        <v/>
      </c>
      <c r="AN159" s="139" t="str">
        <f t="shared" si="79"/>
        <v/>
      </c>
      <c r="AP159" s="82">
        <f t="shared" si="80"/>
        <v>2.4475778710400888E-4</v>
      </c>
      <c r="AQ159" s="82">
        <f t="shared" si="81"/>
        <v>0.99675049110800407</v>
      </c>
    </row>
    <row r="160" spans="2:43" x14ac:dyDescent="0.35">
      <c r="B160" s="83" t="s">
        <v>254</v>
      </c>
      <c r="D160" s="137">
        <v>12093</v>
      </c>
      <c r="E160" s="137">
        <v>14059</v>
      </c>
      <c r="F160" s="137">
        <v>41093</v>
      </c>
      <c r="G160" s="137">
        <v>21425</v>
      </c>
      <c r="H160" s="137">
        <f t="shared" si="62"/>
        <v>88670</v>
      </c>
      <c r="J160" s="137">
        <v>530</v>
      </c>
      <c r="K160" s="137">
        <v>2064</v>
      </c>
      <c r="L160" s="137">
        <v>5915</v>
      </c>
      <c r="M160" s="137">
        <v>1440</v>
      </c>
      <c r="N160" s="137">
        <f t="shared" si="63"/>
        <v>9949</v>
      </c>
      <c r="P160" s="84">
        <f t="shared" si="64"/>
        <v>4.3827007359629536E-2</v>
      </c>
      <c r="Q160" s="84">
        <f t="shared" si="65"/>
        <v>0.14680987267942244</v>
      </c>
      <c r="R160" s="84">
        <f t="shared" si="66"/>
        <v>0.14394179057260362</v>
      </c>
      <c r="S160" s="84">
        <f t="shared" si="67"/>
        <v>6.7211201866977835E-2</v>
      </c>
      <c r="T160" s="84" t="str">
        <f>+IFERROR(#REF!/#REF!,"")</f>
        <v/>
      </c>
      <c r="U160" s="84" t="str">
        <f>+IFERROR(#REF!/#REF!,"")</f>
        <v/>
      </c>
      <c r="V160" s="84" t="str">
        <f>+IFERROR(#REF!/#REF!,"")</f>
        <v/>
      </c>
      <c r="W160" s="84" t="str">
        <f>+IFERROR(#REF!/#REF!,"")</f>
        <v/>
      </c>
      <c r="X160" s="84" t="str">
        <f>+IFERROR(#REF!/#REF!,"")</f>
        <v/>
      </c>
      <c r="Y160" s="84" t="str">
        <f>+IFERROR(#REF!/#REF!,"")</f>
        <v/>
      </c>
      <c r="Z160" s="84" t="str">
        <f>+IFERROR(#REF!/#REF!,"")</f>
        <v/>
      </c>
      <c r="AA160" s="84" t="str">
        <f>+IFERROR(#REF!/#REF!,"")</f>
        <v/>
      </c>
      <c r="AB160" s="84">
        <f t="shared" si="68"/>
        <v>0.11220254877636179</v>
      </c>
      <c r="AD160" s="139">
        <f t="shared" si="69"/>
        <v>0.10298286531979291</v>
      </c>
      <c r="AE160" s="139">
        <f t="shared" si="70"/>
        <v>-2.8680821068188256E-3</v>
      </c>
      <c r="AF160" s="139">
        <f t="shared" si="71"/>
        <v>-7.6730588705625782E-2</v>
      </c>
      <c r="AG160" s="139" t="str">
        <f t="shared" si="72"/>
        <v/>
      </c>
      <c r="AH160" s="139" t="str">
        <f t="shared" si="73"/>
        <v/>
      </c>
      <c r="AI160" s="139" t="str">
        <f t="shared" si="74"/>
        <v/>
      </c>
      <c r="AJ160" s="139" t="str">
        <f t="shared" si="75"/>
        <v/>
      </c>
      <c r="AK160" s="139" t="str">
        <f t="shared" si="76"/>
        <v/>
      </c>
      <c r="AL160" s="139" t="str">
        <f t="shared" si="77"/>
        <v/>
      </c>
      <c r="AM160" s="139" t="str">
        <f t="shared" si="78"/>
        <v/>
      </c>
      <c r="AN160" s="139" t="str">
        <f t="shared" si="79"/>
        <v/>
      </c>
      <c r="AP160" s="82">
        <f t="shared" si="80"/>
        <v>9.8236461201051497E-6</v>
      </c>
      <c r="AQ160" s="82">
        <f t="shared" si="81"/>
        <v>0.99676031475412419</v>
      </c>
    </row>
    <row r="161" spans="2:43" x14ac:dyDescent="0.35">
      <c r="B161" s="83" t="s">
        <v>255</v>
      </c>
      <c r="D161" s="137">
        <v>3754</v>
      </c>
      <c r="E161" s="137">
        <v>11254</v>
      </c>
      <c r="F161" s="137">
        <v>315</v>
      </c>
      <c r="G161" s="137">
        <v>3187</v>
      </c>
      <c r="H161" s="137">
        <f t="shared" si="62"/>
        <v>18510</v>
      </c>
      <c r="J161" s="137">
        <v>73</v>
      </c>
      <c r="K161" s="137">
        <v>290</v>
      </c>
      <c r="L161" s="137">
        <v>32</v>
      </c>
      <c r="M161" s="137">
        <v>67</v>
      </c>
      <c r="N161" s="137">
        <f t="shared" si="63"/>
        <v>462</v>
      </c>
      <c r="P161" s="84">
        <f t="shared" si="64"/>
        <v>1.9445924347362812E-2</v>
      </c>
      <c r="Q161" s="84">
        <f t="shared" si="65"/>
        <v>2.5768615603341035E-2</v>
      </c>
      <c r="R161" s="84">
        <f t="shared" si="66"/>
        <v>0.10158730158730159</v>
      </c>
      <c r="S161" s="84">
        <f t="shared" si="67"/>
        <v>2.1022905553812362E-2</v>
      </c>
      <c r="T161" s="84" t="str">
        <f>+IFERROR(#REF!/#REF!,"")</f>
        <v/>
      </c>
      <c r="U161" s="84" t="str">
        <f>+IFERROR(#REF!/#REF!,"")</f>
        <v/>
      </c>
      <c r="V161" s="84" t="str">
        <f>+IFERROR(#REF!/#REF!,"")</f>
        <v/>
      </c>
      <c r="W161" s="84" t="str">
        <f>+IFERROR(#REF!/#REF!,"")</f>
        <v/>
      </c>
      <c r="X161" s="84" t="str">
        <f>+IFERROR(#REF!/#REF!,"")</f>
        <v/>
      </c>
      <c r="Y161" s="84" t="str">
        <f>+IFERROR(#REF!/#REF!,"")</f>
        <v/>
      </c>
      <c r="Z161" s="84" t="str">
        <f>+IFERROR(#REF!/#REF!,"")</f>
        <v/>
      </c>
      <c r="AA161" s="84" t="str">
        <f>+IFERROR(#REF!/#REF!,"")</f>
        <v/>
      </c>
      <c r="AB161" s="84">
        <f t="shared" si="68"/>
        <v>2.4959481361426256E-2</v>
      </c>
      <c r="AD161" s="139">
        <f t="shared" si="69"/>
        <v>6.3226912559782231E-3</v>
      </c>
      <c r="AE161" s="139">
        <f t="shared" si="70"/>
        <v>7.5818685983960549E-2</v>
      </c>
      <c r="AF161" s="139">
        <f t="shared" si="71"/>
        <v>-8.0564396033489222E-2</v>
      </c>
      <c r="AG161" s="139" t="str">
        <f t="shared" si="72"/>
        <v/>
      </c>
      <c r="AH161" s="139" t="str">
        <f t="shared" si="73"/>
        <v/>
      </c>
      <c r="AI161" s="139" t="str">
        <f t="shared" si="74"/>
        <v/>
      </c>
      <c r="AJ161" s="139" t="str">
        <f t="shared" si="75"/>
        <v/>
      </c>
      <c r="AK161" s="139" t="str">
        <f t="shared" si="76"/>
        <v/>
      </c>
      <c r="AL161" s="139" t="str">
        <f t="shared" si="77"/>
        <v/>
      </c>
      <c r="AM161" s="139" t="str">
        <f t="shared" si="78"/>
        <v/>
      </c>
      <c r="AN161" s="139" t="str">
        <f t="shared" si="79"/>
        <v/>
      </c>
      <c r="AP161" s="82">
        <f t="shared" si="80"/>
        <v>4.5617896346251673E-7</v>
      </c>
      <c r="AQ161" s="82">
        <f t="shared" si="81"/>
        <v>0.99676077093308768</v>
      </c>
    </row>
    <row r="162" spans="2:43" x14ac:dyDescent="0.35">
      <c r="B162" s="83" t="s">
        <v>256</v>
      </c>
      <c r="D162" s="137"/>
      <c r="E162" s="137">
        <v>47113</v>
      </c>
      <c r="F162" s="137">
        <v>54058</v>
      </c>
      <c r="G162" s="137">
        <v>302154</v>
      </c>
      <c r="H162" s="137">
        <f t="shared" si="62"/>
        <v>403325</v>
      </c>
      <c r="J162" s="137"/>
      <c r="K162" s="137">
        <v>10439</v>
      </c>
      <c r="L162" s="137">
        <v>4011</v>
      </c>
      <c r="M162" s="137">
        <v>82277</v>
      </c>
      <c r="N162" s="137">
        <f t="shared" si="63"/>
        <v>96727</v>
      </c>
      <c r="P162" s="84" t="str">
        <f t="shared" si="64"/>
        <v/>
      </c>
      <c r="Q162" s="84">
        <f t="shared" si="65"/>
        <v>0.22157366332010273</v>
      </c>
      <c r="R162" s="84">
        <f t="shared" si="66"/>
        <v>7.4198083539901594E-2</v>
      </c>
      <c r="S162" s="84">
        <f t="shared" si="67"/>
        <v>0.27230154159799308</v>
      </c>
      <c r="T162" s="84" t="str">
        <f>+IFERROR(#REF!/#REF!,"")</f>
        <v/>
      </c>
      <c r="U162" s="84" t="str">
        <f>+IFERROR(#REF!/#REF!,"")</f>
        <v/>
      </c>
      <c r="V162" s="84" t="str">
        <f>+IFERROR(#REF!/#REF!,"")</f>
        <v/>
      </c>
      <c r="W162" s="84" t="str">
        <f>+IFERROR(#REF!/#REF!,"")</f>
        <v/>
      </c>
      <c r="X162" s="84" t="str">
        <f>+IFERROR(#REF!/#REF!,"")</f>
        <v/>
      </c>
      <c r="Y162" s="84" t="str">
        <f>+IFERROR(#REF!/#REF!,"")</f>
        <v/>
      </c>
      <c r="Z162" s="84" t="str">
        <f>+IFERROR(#REF!/#REF!,"")</f>
        <v/>
      </c>
      <c r="AA162" s="84" t="str">
        <f>+IFERROR(#REF!/#REF!,"")</f>
        <v/>
      </c>
      <c r="AB162" s="84">
        <f t="shared" si="68"/>
        <v>0.23982396330502698</v>
      </c>
      <c r="AD162" s="139" t="str">
        <f t="shared" si="69"/>
        <v/>
      </c>
      <c r="AE162" s="139">
        <f t="shared" si="70"/>
        <v>-0.14737557978020113</v>
      </c>
      <c r="AF162" s="139">
        <f t="shared" si="71"/>
        <v>0.19810345805809149</v>
      </c>
      <c r="AG162" s="139" t="str">
        <f t="shared" si="72"/>
        <v/>
      </c>
      <c r="AH162" s="139" t="str">
        <f t="shared" si="73"/>
        <v/>
      </c>
      <c r="AI162" s="139" t="str">
        <f t="shared" si="74"/>
        <v/>
      </c>
      <c r="AJ162" s="139" t="str">
        <f t="shared" si="75"/>
        <v/>
      </c>
      <c r="AK162" s="139" t="str">
        <f t="shared" si="76"/>
        <v/>
      </c>
      <c r="AL162" s="139" t="str">
        <f t="shared" si="77"/>
        <v/>
      </c>
      <c r="AM162" s="139" t="str">
        <f t="shared" si="78"/>
        <v/>
      </c>
      <c r="AN162" s="139" t="str">
        <f t="shared" si="79"/>
        <v/>
      </c>
      <c r="AP162" s="82">
        <f t="shared" si="80"/>
        <v>9.5508274023460723E-5</v>
      </c>
      <c r="AQ162" s="82">
        <f t="shared" si="81"/>
        <v>0.99685627920711117</v>
      </c>
    </row>
    <row r="163" spans="2:43" x14ac:dyDescent="0.35">
      <c r="B163" s="83" t="s">
        <v>257</v>
      </c>
      <c r="D163" s="137">
        <v>28105</v>
      </c>
      <c r="E163" s="137">
        <v>41110</v>
      </c>
      <c r="F163" s="137">
        <v>41075</v>
      </c>
      <c r="G163" s="137">
        <v>34452</v>
      </c>
      <c r="H163" s="137">
        <f t="shared" si="62"/>
        <v>144742</v>
      </c>
      <c r="J163" s="137">
        <v>26178</v>
      </c>
      <c r="K163" s="137">
        <v>35032</v>
      </c>
      <c r="L163" s="137">
        <v>14913</v>
      </c>
      <c r="M163" s="137">
        <v>27911</v>
      </c>
      <c r="N163" s="137">
        <f t="shared" si="63"/>
        <v>104034</v>
      </c>
      <c r="P163" s="84">
        <f t="shared" si="64"/>
        <v>0.93143568760007112</v>
      </c>
      <c r="Q163" s="84">
        <f t="shared" si="65"/>
        <v>0.85215276088542935</v>
      </c>
      <c r="R163" s="84">
        <f t="shared" si="66"/>
        <v>0.36306755934266588</v>
      </c>
      <c r="S163" s="84">
        <f t="shared" si="67"/>
        <v>0.81014164634854291</v>
      </c>
      <c r="T163" s="84" t="str">
        <f>+IFERROR(#REF!/#REF!,"")</f>
        <v/>
      </c>
      <c r="U163" s="84" t="str">
        <f>+IFERROR(#REF!/#REF!,"")</f>
        <v/>
      </c>
      <c r="V163" s="84" t="str">
        <f>+IFERROR(#REF!/#REF!,"")</f>
        <v/>
      </c>
      <c r="W163" s="84" t="str">
        <f>+IFERROR(#REF!/#REF!,"")</f>
        <v/>
      </c>
      <c r="X163" s="84" t="str">
        <f>+IFERROR(#REF!/#REF!,"")</f>
        <v/>
      </c>
      <c r="Y163" s="84" t="str">
        <f>+IFERROR(#REF!/#REF!,"")</f>
        <v/>
      </c>
      <c r="Z163" s="84" t="str">
        <f>+IFERROR(#REF!/#REF!,"")</f>
        <v/>
      </c>
      <c r="AA163" s="84" t="str">
        <f>+IFERROR(#REF!/#REF!,"")</f>
        <v/>
      </c>
      <c r="AB163" s="84">
        <f t="shared" si="68"/>
        <v>0.71875474983073329</v>
      </c>
      <c r="AD163" s="139">
        <f t="shared" si="69"/>
        <v>-7.9282926714641766E-2</v>
      </c>
      <c r="AE163" s="139">
        <f t="shared" si="70"/>
        <v>-0.48908520154276347</v>
      </c>
      <c r="AF163" s="139">
        <f t="shared" si="71"/>
        <v>0.44707408700587703</v>
      </c>
      <c r="AG163" s="139" t="str">
        <f t="shared" si="72"/>
        <v/>
      </c>
      <c r="AH163" s="139" t="str">
        <f t="shared" si="73"/>
        <v/>
      </c>
      <c r="AI163" s="139" t="str">
        <f t="shared" si="74"/>
        <v/>
      </c>
      <c r="AJ163" s="139" t="str">
        <f t="shared" si="75"/>
        <v/>
      </c>
      <c r="AK163" s="139" t="str">
        <f t="shared" si="76"/>
        <v/>
      </c>
      <c r="AL163" s="139" t="str">
        <f t="shared" si="77"/>
        <v/>
      </c>
      <c r="AM163" s="139" t="str">
        <f t="shared" si="78"/>
        <v/>
      </c>
      <c r="AN163" s="139" t="str">
        <f t="shared" si="79"/>
        <v/>
      </c>
      <c r="AP163" s="82">
        <f t="shared" si="80"/>
        <v>1.0272320840878673E-4</v>
      </c>
      <c r="AQ163" s="82">
        <f t="shared" si="81"/>
        <v>0.99695900241551993</v>
      </c>
    </row>
    <row r="164" spans="2:43" x14ac:dyDescent="0.35">
      <c r="B164" s="83" t="s">
        <v>258</v>
      </c>
      <c r="D164" s="137">
        <v>10273</v>
      </c>
      <c r="E164" s="137">
        <v>15138</v>
      </c>
      <c r="F164" s="137">
        <v>8343</v>
      </c>
      <c r="G164" s="137">
        <v>20685</v>
      </c>
      <c r="H164" s="137">
        <f t="shared" si="62"/>
        <v>54439</v>
      </c>
      <c r="J164" s="137">
        <v>722</v>
      </c>
      <c r="K164" s="137">
        <v>10682</v>
      </c>
      <c r="L164" s="137">
        <v>762</v>
      </c>
      <c r="M164" s="137">
        <v>6990</v>
      </c>
      <c r="N164" s="137">
        <f t="shared" si="63"/>
        <v>19156</v>
      </c>
      <c r="P164" s="84">
        <f t="shared" si="64"/>
        <v>7.0281319964956679E-2</v>
      </c>
      <c r="Q164" s="84">
        <f t="shared" si="65"/>
        <v>0.70564143215748443</v>
      </c>
      <c r="R164" s="84">
        <f t="shared" si="66"/>
        <v>9.1334052499101037E-2</v>
      </c>
      <c r="S164" s="84">
        <f t="shared" si="67"/>
        <v>0.33792603335750543</v>
      </c>
      <c r="T164" s="84" t="str">
        <f>+IFERROR(#REF!/#REF!,"")</f>
        <v/>
      </c>
      <c r="U164" s="84" t="str">
        <f>+IFERROR(#REF!/#REF!,"")</f>
        <v/>
      </c>
      <c r="V164" s="84" t="str">
        <f>+IFERROR(#REF!/#REF!,"")</f>
        <v/>
      </c>
      <c r="W164" s="84" t="str">
        <f>+IFERROR(#REF!/#REF!,"")</f>
        <v/>
      </c>
      <c r="X164" s="84" t="str">
        <f>+IFERROR(#REF!/#REF!,"")</f>
        <v/>
      </c>
      <c r="Y164" s="84" t="str">
        <f>+IFERROR(#REF!/#REF!,"")</f>
        <v/>
      </c>
      <c r="Z164" s="84" t="str">
        <f>+IFERROR(#REF!/#REF!,"")</f>
        <v/>
      </c>
      <c r="AA164" s="84" t="str">
        <f>+IFERROR(#REF!/#REF!,"")</f>
        <v/>
      </c>
      <c r="AB164" s="84">
        <f t="shared" si="68"/>
        <v>0.35188008596778048</v>
      </c>
      <c r="AD164" s="139">
        <f t="shared" si="69"/>
        <v>0.63536011219252775</v>
      </c>
      <c r="AE164" s="139">
        <f t="shared" si="70"/>
        <v>-0.61430737965838333</v>
      </c>
      <c r="AF164" s="139">
        <f t="shared" si="71"/>
        <v>0.24659198085840439</v>
      </c>
      <c r="AG164" s="139" t="str">
        <f t="shared" si="72"/>
        <v/>
      </c>
      <c r="AH164" s="139" t="str">
        <f t="shared" si="73"/>
        <v/>
      </c>
      <c r="AI164" s="139" t="str">
        <f t="shared" si="74"/>
        <v/>
      </c>
      <c r="AJ164" s="139" t="str">
        <f t="shared" si="75"/>
        <v/>
      </c>
      <c r="AK164" s="139" t="str">
        <f t="shared" si="76"/>
        <v/>
      </c>
      <c r="AL164" s="139" t="str">
        <f t="shared" si="77"/>
        <v/>
      </c>
      <c r="AM164" s="139" t="str">
        <f t="shared" si="78"/>
        <v/>
      </c>
      <c r="AN164" s="139" t="str">
        <f t="shared" si="79"/>
        <v/>
      </c>
      <c r="AP164" s="82">
        <f t="shared" si="80"/>
        <v>1.891464117767959E-5</v>
      </c>
      <c r="AQ164" s="82">
        <f t="shared" si="81"/>
        <v>0.99697791705669758</v>
      </c>
    </row>
    <row r="165" spans="2:43" x14ac:dyDescent="0.35">
      <c r="B165" s="83" t="s">
        <v>259</v>
      </c>
      <c r="D165" s="137">
        <v>20485</v>
      </c>
      <c r="E165" s="137">
        <v>11632</v>
      </c>
      <c r="F165" s="137">
        <v>49727</v>
      </c>
      <c r="G165" s="137">
        <v>18207</v>
      </c>
      <c r="H165" s="137">
        <f t="shared" si="62"/>
        <v>100051</v>
      </c>
      <c r="J165" s="137">
        <v>3667</v>
      </c>
      <c r="K165" s="137">
        <v>2227</v>
      </c>
      <c r="L165" s="137">
        <v>1008</v>
      </c>
      <c r="M165" s="137">
        <v>3265</v>
      </c>
      <c r="N165" s="137">
        <f t="shared" si="63"/>
        <v>10167</v>
      </c>
      <c r="P165" s="84">
        <f t="shared" si="64"/>
        <v>0.17900903099829144</v>
      </c>
      <c r="Q165" s="84">
        <f t="shared" si="65"/>
        <v>0.19145460797799174</v>
      </c>
      <c r="R165" s="84">
        <f t="shared" si="66"/>
        <v>2.0270677901341325E-2</v>
      </c>
      <c r="S165" s="84">
        <f t="shared" si="67"/>
        <v>0.17932663261382983</v>
      </c>
      <c r="T165" s="84" t="str">
        <f>+IFERROR(#REF!/#REF!,"")</f>
        <v/>
      </c>
      <c r="U165" s="84" t="str">
        <f>+IFERROR(#REF!/#REF!,"")</f>
        <v/>
      </c>
      <c r="V165" s="84" t="str">
        <f>+IFERROR(#REF!/#REF!,"")</f>
        <v/>
      </c>
      <c r="W165" s="84" t="str">
        <f>+IFERROR(#REF!/#REF!,"")</f>
        <v/>
      </c>
      <c r="X165" s="84" t="str">
        <f>+IFERROR(#REF!/#REF!,"")</f>
        <v/>
      </c>
      <c r="Y165" s="84" t="str">
        <f>+IFERROR(#REF!/#REF!,"")</f>
        <v/>
      </c>
      <c r="Z165" s="84" t="str">
        <f>+IFERROR(#REF!/#REF!,"")</f>
        <v/>
      </c>
      <c r="AA165" s="84" t="str">
        <f>+IFERROR(#REF!/#REF!,"")</f>
        <v/>
      </c>
      <c r="AB165" s="84">
        <f t="shared" si="68"/>
        <v>0.10161817473088725</v>
      </c>
      <c r="AD165" s="139">
        <f t="shared" ref="AD165:AD196" si="82">+IFERROR(Q165-P165,"")</f>
        <v>1.2445576979700307E-2</v>
      </c>
      <c r="AE165" s="139">
        <f t="shared" ref="AE165:AE196" si="83">+IFERROR(R165-Q165,"")</f>
        <v>-0.17118393007665042</v>
      </c>
      <c r="AF165" s="139">
        <f t="shared" ref="AF165:AF196" si="84">+IFERROR(S165-R165,"")</f>
        <v>0.15905595471248851</v>
      </c>
      <c r="AG165" s="139" t="str">
        <f t="shared" ref="AG165:AG196" si="85">+IFERROR(T165-S165,"")</f>
        <v/>
      </c>
      <c r="AH165" s="139" t="str">
        <f t="shared" ref="AH165:AH196" si="86">+IFERROR(U165-T165,"")</f>
        <v/>
      </c>
      <c r="AI165" s="139" t="str">
        <f t="shared" ref="AI165:AI196" si="87">+IFERROR(V165-U165,"")</f>
        <v/>
      </c>
      <c r="AJ165" s="139" t="str">
        <f t="shared" ref="AJ165:AJ196" si="88">+IFERROR(W165-V165,"")</f>
        <v/>
      </c>
      <c r="AK165" s="139" t="str">
        <f t="shared" ref="AK165:AK196" si="89">+IFERROR(X165-W165,"")</f>
        <v/>
      </c>
      <c r="AL165" s="139" t="str">
        <f t="shared" ref="AL165:AL196" si="90">+IFERROR(Y165-X165,"")</f>
        <v/>
      </c>
      <c r="AM165" s="139" t="str">
        <f t="shared" ref="AM165:AM196" si="91">+IFERROR(Z165-Y165,"")</f>
        <v/>
      </c>
      <c r="AN165" s="139" t="str">
        <f t="shared" ref="AN165:AN196" si="92">+IFERROR(AA165-Z165,"")</f>
        <v/>
      </c>
      <c r="AP165" s="82">
        <f t="shared" si="80"/>
        <v>1.0038899397236813E-5</v>
      </c>
      <c r="AQ165" s="82">
        <f t="shared" si="81"/>
        <v>0.9969879559560948</v>
      </c>
    </row>
    <row r="166" spans="2:43" x14ac:dyDescent="0.35">
      <c r="B166" s="83" t="s">
        <v>260</v>
      </c>
      <c r="D166" s="137">
        <v>604120</v>
      </c>
      <c r="E166" s="137">
        <v>928624</v>
      </c>
      <c r="F166" s="137">
        <v>143920</v>
      </c>
      <c r="G166" s="137">
        <v>364891</v>
      </c>
      <c r="H166" s="137">
        <f t="shared" si="62"/>
        <v>2041555</v>
      </c>
      <c r="J166" s="137">
        <v>75391</v>
      </c>
      <c r="K166" s="137">
        <v>183240</v>
      </c>
      <c r="L166" s="137">
        <v>29429</v>
      </c>
      <c r="M166" s="137">
        <v>89237</v>
      </c>
      <c r="N166" s="137">
        <f t="shared" si="63"/>
        <v>377297</v>
      </c>
      <c r="P166" s="84">
        <f t="shared" si="64"/>
        <v>0.12479474276633781</v>
      </c>
      <c r="Q166" s="84">
        <f t="shared" si="65"/>
        <v>0.19732421302917005</v>
      </c>
      <c r="R166" s="84">
        <f t="shared" si="66"/>
        <v>0.2044816564758199</v>
      </c>
      <c r="S166" s="84">
        <f t="shared" si="67"/>
        <v>0.24455796388510542</v>
      </c>
      <c r="T166" s="84" t="str">
        <f>+IFERROR(#REF!/#REF!,"")</f>
        <v/>
      </c>
      <c r="U166" s="84" t="str">
        <f>+IFERROR(#REF!/#REF!,"")</f>
        <v/>
      </c>
      <c r="V166" s="84" t="str">
        <f>+IFERROR(#REF!/#REF!,"")</f>
        <v/>
      </c>
      <c r="W166" s="84" t="str">
        <f>+IFERROR(#REF!/#REF!,"")</f>
        <v/>
      </c>
      <c r="X166" s="84" t="str">
        <f>+IFERROR(#REF!/#REF!,"")</f>
        <v/>
      </c>
      <c r="Y166" s="84" t="str">
        <f>+IFERROR(#REF!/#REF!,"")</f>
        <v/>
      </c>
      <c r="Z166" s="84" t="str">
        <f>+IFERROR(#REF!/#REF!,"")</f>
        <v/>
      </c>
      <c r="AA166" s="84" t="str">
        <f>+IFERROR(#REF!/#REF!,"")</f>
        <v/>
      </c>
      <c r="AB166" s="84">
        <f t="shared" si="68"/>
        <v>0.1848086385132901</v>
      </c>
      <c r="AD166" s="139">
        <f t="shared" si="82"/>
        <v>7.2529470262832241E-2</v>
      </c>
      <c r="AE166" s="139">
        <f t="shared" si="83"/>
        <v>7.1574434466498416E-3</v>
      </c>
      <c r="AF166" s="139">
        <f t="shared" si="84"/>
        <v>4.0076307409285528E-2</v>
      </c>
      <c r="AG166" s="139" t="str">
        <f t="shared" si="85"/>
        <v/>
      </c>
      <c r="AH166" s="139" t="str">
        <f t="shared" si="86"/>
        <v/>
      </c>
      <c r="AI166" s="139" t="str">
        <f t="shared" si="87"/>
        <v/>
      </c>
      <c r="AJ166" s="139" t="str">
        <f t="shared" si="88"/>
        <v/>
      </c>
      <c r="AK166" s="139" t="str">
        <f t="shared" si="89"/>
        <v/>
      </c>
      <c r="AL166" s="139" t="str">
        <f t="shared" si="90"/>
        <v/>
      </c>
      <c r="AM166" s="139" t="str">
        <f t="shared" si="91"/>
        <v/>
      </c>
      <c r="AN166" s="139" t="str">
        <f t="shared" si="92"/>
        <v/>
      </c>
      <c r="AP166" s="82">
        <f t="shared" si="80"/>
        <v>3.7254319129332723E-4</v>
      </c>
      <c r="AQ166" s="82">
        <f t="shared" si="81"/>
        <v>0.99736049914738811</v>
      </c>
    </row>
    <row r="167" spans="2:43" x14ac:dyDescent="0.35">
      <c r="B167" s="83" t="s">
        <v>261</v>
      </c>
      <c r="D167" s="137">
        <v>66569</v>
      </c>
      <c r="E167" s="137">
        <v>52818</v>
      </c>
      <c r="F167" s="137">
        <v>14367</v>
      </c>
      <c r="G167" s="137">
        <v>100347</v>
      </c>
      <c r="H167" s="137">
        <f t="shared" si="62"/>
        <v>234101</v>
      </c>
      <c r="J167" s="137">
        <v>7360</v>
      </c>
      <c r="K167" s="137">
        <v>17443</v>
      </c>
      <c r="L167" s="137">
        <v>1812</v>
      </c>
      <c r="M167" s="137">
        <v>8050</v>
      </c>
      <c r="N167" s="137">
        <f t="shared" si="63"/>
        <v>34665</v>
      </c>
      <c r="P167" s="84">
        <f t="shared" si="64"/>
        <v>0.11056197329087113</v>
      </c>
      <c r="Q167" s="84">
        <f t="shared" si="65"/>
        <v>0.3302472641902382</v>
      </c>
      <c r="R167" s="84">
        <f t="shared" si="66"/>
        <v>0.12612236375026101</v>
      </c>
      <c r="S167" s="84">
        <f t="shared" si="67"/>
        <v>8.0221630940635988E-2</v>
      </c>
      <c r="T167" s="84" t="str">
        <f>+IFERROR(#REF!/#REF!,"")</f>
        <v/>
      </c>
      <c r="U167" s="84" t="str">
        <f>+IFERROR(#REF!/#REF!,"")</f>
        <v/>
      </c>
      <c r="V167" s="84" t="str">
        <f>+IFERROR(#REF!/#REF!,"")</f>
        <v/>
      </c>
      <c r="W167" s="84" t="str">
        <f>+IFERROR(#REF!/#REF!,"")</f>
        <v/>
      </c>
      <c r="X167" s="84" t="str">
        <f>+IFERROR(#REF!/#REF!,"")</f>
        <v/>
      </c>
      <c r="Y167" s="84" t="str">
        <f>+IFERROR(#REF!/#REF!,"")</f>
        <v/>
      </c>
      <c r="Z167" s="84" t="str">
        <f>+IFERROR(#REF!/#REF!,"")</f>
        <v/>
      </c>
      <c r="AA167" s="84" t="str">
        <f>+IFERROR(#REF!/#REF!,"")</f>
        <v/>
      </c>
      <c r="AB167" s="84">
        <f t="shared" si="68"/>
        <v>0.14807711201575388</v>
      </c>
      <c r="AD167" s="139">
        <f t="shared" si="82"/>
        <v>0.21968529089936706</v>
      </c>
      <c r="AE167" s="139">
        <f t="shared" si="83"/>
        <v>-0.20412490043997719</v>
      </c>
      <c r="AF167" s="139">
        <f t="shared" si="84"/>
        <v>-4.5900732809625019E-2</v>
      </c>
      <c r="AG167" s="139" t="str">
        <f t="shared" si="85"/>
        <v/>
      </c>
      <c r="AH167" s="139" t="str">
        <f t="shared" si="86"/>
        <v/>
      </c>
      <c r="AI167" s="139" t="str">
        <f t="shared" si="87"/>
        <v/>
      </c>
      <c r="AJ167" s="139" t="str">
        <f t="shared" si="88"/>
        <v/>
      </c>
      <c r="AK167" s="139" t="str">
        <f t="shared" si="89"/>
        <v/>
      </c>
      <c r="AL167" s="139" t="str">
        <f t="shared" si="90"/>
        <v/>
      </c>
      <c r="AM167" s="139" t="str">
        <f t="shared" si="91"/>
        <v/>
      </c>
      <c r="AN167" s="139" t="str">
        <f t="shared" si="92"/>
        <v/>
      </c>
      <c r="AP167" s="82">
        <f t="shared" si="80"/>
        <v>3.4228233264995981E-5</v>
      </c>
      <c r="AQ167" s="82">
        <f t="shared" si="81"/>
        <v>0.99739472738065316</v>
      </c>
    </row>
    <row r="168" spans="2:43" x14ac:dyDescent="0.35">
      <c r="B168" s="83" t="s">
        <v>262</v>
      </c>
      <c r="D168" s="137">
        <v>16079</v>
      </c>
      <c r="E168" s="137">
        <v>12304</v>
      </c>
      <c r="F168" s="137">
        <v>9129</v>
      </c>
      <c r="G168" s="137">
        <v>6595</v>
      </c>
      <c r="H168" s="137">
        <f t="shared" si="62"/>
        <v>44107</v>
      </c>
      <c r="J168" s="137">
        <v>10210</v>
      </c>
      <c r="K168" s="137">
        <v>8407</v>
      </c>
      <c r="L168" s="137">
        <v>2387</v>
      </c>
      <c r="M168" s="137">
        <v>4068</v>
      </c>
      <c r="N168" s="137">
        <f t="shared" si="63"/>
        <v>25072</v>
      </c>
      <c r="P168" s="84">
        <f t="shared" si="64"/>
        <v>0.63498973816779647</v>
      </c>
      <c r="Q168" s="84">
        <f t="shared" si="65"/>
        <v>0.68327373211963593</v>
      </c>
      <c r="R168" s="84">
        <f t="shared" si="66"/>
        <v>0.26147442217110306</v>
      </c>
      <c r="S168" s="84">
        <f t="shared" si="67"/>
        <v>0.61683093252463983</v>
      </c>
      <c r="T168" s="84" t="str">
        <f>+IFERROR(#REF!/#REF!,"")</f>
        <v/>
      </c>
      <c r="U168" s="84" t="str">
        <f>+IFERROR(#REF!/#REF!,"")</f>
        <v/>
      </c>
      <c r="V168" s="84" t="str">
        <f>+IFERROR(#REF!/#REF!,"")</f>
        <v/>
      </c>
      <c r="W168" s="84" t="str">
        <f>+IFERROR(#REF!/#REF!,"")</f>
        <v/>
      </c>
      <c r="X168" s="84" t="str">
        <f>+IFERROR(#REF!/#REF!,"")</f>
        <v/>
      </c>
      <c r="Y168" s="84" t="str">
        <f>+IFERROR(#REF!/#REF!,"")</f>
        <v/>
      </c>
      <c r="Z168" s="84" t="str">
        <f>+IFERROR(#REF!/#REF!,"")</f>
        <v/>
      </c>
      <c r="AA168" s="84" t="str">
        <f>+IFERROR(#REF!/#REF!,"")</f>
        <v/>
      </c>
      <c r="AB168" s="84">
        <f t="shared" si="68"/>
        <v>0.56843584918493661</v>
      </c>
      <c r="AD168" s="139">
        <f t="shared" si="82"/>
        <v>4.8283993951839466E-2</v>
      </c>
      <c r="AE168" s="139">
        <f t="shared" si="83"/>
        <v>-0.42179930994853287</v>
      </c>
      <c r="AF168" s="139">
        <f t="shared" si="84"/>
        <v>0.35535651035353677</v>
      </c>
      <c r="AG168" s="139" t="str">
        <f t="shared" si="85"/>
        <v/>
      </c>
      <c r="AH168" s="139" t="str">
        <f t="shared" si="86"/>
        <v/>
      </c>
      <c r="AI168" s="139" t="str">
        <f t="shared" si="87"/>
        <v/>
      </c>
      <c r="AJ168" s="139" t="str">
        <f t="shared" si="88"/>
        <v/>
      </c>
      <c r="AK168" s="139" t="str">
        <f t="shared" si="89"/>
        <v/>
      </c>
      <c r="AL168" s="139" t="str">
        <f t="shared" si="90"/>
        <v/>
      </c>
      <c r="AM168" s="139" t="str">
        <f t="shared" si="91"/>
        <v/>
      </c>
      <c r="AN168" s="139" t="str">
        <f t="shared" si="92"/>
        <v/>
      </c>
      <c r="AP168" s="82">
        <f t="shared" si="80"/>
        <v>2.475610167084896E-5</v>
      </c>
      <c r="AQ168" s="82">
        <f t="shared" si="81"/>
        <v>0.99741948348232401</v>
      </c>
    </row>
    <row r="169" spans="2:43" x14ac:dyDescent="0.35">
      <c r="B169" s="83" t="s">
        <v>263</v>
      </c>
      <c r="D169" s="137">
        <v>2751</v>
      </c>
      <c r="E169" s="137"/>
      <c r="F169" s="137">
        <v>3522</v>
      </c>
      <c r="G169" s="137">
        <v>20552</v>
      </c>
      <c r="H169" s="137">
        <f t="shared" si="62"/>
        <v>26825</v>
      </c>
      <c r="J169" s="137">
        <v>1365</v>
      </c>
      <c r="K169" s="137"/>
      <c r="L169" s="137">
        <v>961</v>
      </c>
      <c r="M169" s="137">
        <v>829</v>
      </c>
      <c r="N169" s="137">
        <f t="shared" si="63"/>
        <v>3155</v>
      </c>
      <c r="P169" s="84">
        <f t="shared" si="64"/>
        <v>0.49618320610687022</v>
      </c>
      <c r="Q169" s="84" t="str">
        <f t="shared" si="65"/>
        <v/>
      </c>
      <c r="R169" s="84">
        <f t="shared" si="66"/>
        <v>0.27285633162975581</v>
      </c>
      <c r="S169" s="84">
        <f t="shared" si="67"/>
        <v>4.0336706889840403E-2</v>
      </c>
      <c r="T169" s="84" t="str">
        <f>+IFERROR(#REF!/#REF!,"")</f>
        <v/>
      </c>
      <c r="U169" s="84" t="str">
        <f>+IFERROR(#REF!/#REF!,"")</f>
        <v/>
      </c>
      <c r="V169" s="84" t="str">
        <f>+IFERROR(#REF!/#REF!,"")</f>
        <v/>
      </c>
      <c r="W169" s="84" t="str">
        <f>+IFERROR(#REF!/#REF!,"")</f>
        <v/>
      </c>
      <c r="X169" s="84" t="str">
        <f>+IFERROR(#REF!/#REF!,"")</f>
        <v/>
      </c>
      <c r="Y169" s="84" t="str">
        <f>+IFERROR(#REF!/#REF!,"")</f>
        <v/>
      </c>
      <c r="Z169" s="84" t="str">
        <f>+IFERROR(#REF!/#REF!,"")</f>
        <v/>
      </c>
      <c r="AA169" s="84" t="str">
        <f>+IFERROR(#REF!/#REF!,"")</f>
        <v/>
      </c>
      <c r="AB169" s="84">
        <f t="shared" si="68"/>
        <v>0.11761416589002796</v>
      </c>
      <c r="AD169" s="139" t="str">
        <f t="shared" si="82"/>
        <v/>
      </c>
      <c r="AE169" s="139" t="str">
        <f t="shared" si="83"/>
        <v/>
      </c>
      <c r="AF169" s="139">
        <f t="shared" si="84"/>
        <v>-0.23251962473991541</v>
      </c>
      <c r="AG169" s="139" t="str">
        <f t="shared" si="85"/>
        <v/>
      </c>
      <c r="AH169" s="139" t="str">
        <f t="shared" si="86"/>
        <v/>
      </c>
      <c r="AI169" s="139" t="str">
        <f t="shared" si="87"/>
        <v/>
      </c>
      <c r="AJ169" s="139" t="str">
        <f t="shared" si="88"/>
        <v/>
      </c>
      <c r="AK169" s="139" t="str">
        <f t="shared" si="89"/>
        <v/>
      </c>
      <c r="AL169" s="139" t="str">
        <f t="shared" si="90"/>
        <v/>
      </c>
      <c r="AM169" s="139" t="str">
        <f t="shared" si="91"/>
        <v/>
      </c>
      <c r="AN169" s="139" t="str">
        <f t="shared" si="92"/>
        <v/>
      </c>
      <c r="AP169" s="82">
        <f t="shared" si="80"/>
        <v>3.1152481162862343E-6</v>
      </c>
      <c r="AQ169" s="82">
        <f t="shared" si="81"/>
        <v>0.99742259873044026</v>
      </c>
    </row>
    <row r="170" spans="2:43" x14ac:dyDescent="0.35">
      <c r="B170" s="83" t="s">
        <v>264</v>
      </c>
      <c r="D170" s="137">
        <v>26949</v>
      </c>
      <c r="E170" s="137">
        <v>17669</v>
      </c>
      <c r="F170" s="137">
        <v>26028</v>
      </c>
      <c r="G170" s="137">
        <v>1045559</v>
      </c>
      <c r="H170" s="137">
        <f t="shared" si="62"/>
        <v>1116205</v>
      </c>
      <c r="J170" s="137">
        <v>9223</v>
      </c>
      <c r="K170" s="137">
        <v>3267</v>
      </c>
      <c r="L170" s="137">
        <v>25725</v>
      </c>
      <c r="M170" s="137">
        <v>196237</v>
      </c>
      <c r="N170" s="137">
        <f t="shared" si="63"/>
        <v>234452</v>
      </c>
      <c r="P170" s="84">
        <f t="shared" si="64"/>
        <v>0.34223904412037554</v>
      </c>
      <c r="Q170" s="84">
        <f t="shared" si="65"/>
        <v>0.18490010753296734</v>
      </c>
      <c r="R170" s="84">
        <f t="shared" si="66"/>
        <v>0.98835869064084836</v>
      </c>
      <c r="S170" s="84">
        <f t="shared" si="67"/>
        <v>0.18768620422185645</v>
      </c>
      <c r="T170" s="84" t="str">
        <f>+IFERROR(#REF!/#REF!,"")</f>
        <v/>
      </c>
      <c r="U170" s="84" t="str">
        <f>+IFERROR(#REF!/#REF!,"")</f>
        <v/>
      </c>
      <c r="V170" s="84" t="str">
        <f>+IFERROR(#REF!/#REF!,"")</f>
        <v/>
      </c>
      <c r="W170" s="84" t="str">
        <f>+IFERROR(#REF!/#REF!,"")</f>
        <v/>
      </c>
      <c r="X170" s="84" t="str">
        <f>+IFERROR(#REF!/#REF!,"")</f>
        <v/>
      </c>
      <c r="Y170" s="84" t="str">
        <f>+IFERROR(#REF!/#REF!,"")</f>
        <v/>
      </c>
      <c r="Z170" s="84" t="str">
        <f>+IFERROR(#REF!/#REF!,"")</f>
        <v/>
      </c>
      <c r="AA170" s="84" t="str">
        <f>+IFERROR(#REF!/#REF!,"")</f>
        <v/>
      </c>
      <c r="AB170" s="84">
        <f t="shared" si="68"/>
        <v>0.21004385395155908</v>
      </c>
      <c r="AD170" s="139">
        <f t="shared" si="82"/>
        <v>-0.15733893658740819</v>
      </c>
      <c r="AE170" s="139">
        <f t="shared" si="83"/>
        <v>0.80345858310788099</v>
      </c>
      <c r="AF170" s="139">
        <f t="shared" si="84"/>
        <v>-0.80067248641899191</v>
      </c>
      <c r="AG170" s="139" t="str">
        <f t="shared" si="85"/>
        <v/>
      </c>
      <c r="AH170" s="139" t="str">
        <f t="shared" si="86"/>
        <v/>
      </c>
      <c r="AI170" s="139" t="str">
        <f t="shared" si="87"/>
        <v/>
      </c>
      <c r="AJ170" s="139" t="str">
        <f t="shared" si="88"/>
        <v/>
      </c>
      <c r="AK170" s="139" t="str">
        <f t="shared" si="89"/>
        <v/>
      </c>
      <c r="AL170" s="139" t="str">
        <f t="shared" si="90"/>
        <v/>
      </c>
      <c r="AM170" s="139" t="str">
        <f t="shared" si="91"/>
        <v/>
      </c>
      <c r="AN170" s="139" t="str">
        <f t="shared" si="92"/>
        <v/>
      </c>
      <c r="AP170" s="82">
        <f t="shared" si="80"/>
        <v>2.3149798775262765E-4</v>
      </c>
      <c r="AQ170" s="82">
        <f t="shared" si="81"/>
        <v>0.99765409671819294</v>
      </c>
    </row>
    <row r="171" spans="2:43" x14ac:dyDescent="0.35">
      <c r="B171" s="83" t="s">
        <v>265</v>
      </c>
      <c r="D171" s="137">
        <v>122</v>
      </c>
      <c r="E171" s="137"/>
      <c r="F171" s="137"/>
      <c r="G171" s="137"/>
      <c r="H171" s="137">
        <f t="shared" si="62"/>
        <v>122</v>
      </c>
      <c r="J171" s="137">
        <v>122</v>
      </c>
      <c r="K171" s="137"/>
      <c r="L171" s="137"/>
      <c r="M171" s="137"/>
      <c r="N171" s="137">
        <f t="shared" si="63"/>
        <v>122</v>
      </c>
      <c r="P171" s="84">
        <f t="shared" si="64"/>
        <v>1</v>
      </c>
      <c r="Q171" s="84" t="str">
        <f t="shared" si="65"/>
        <v/>
      </c>
      <c r="R171" s="84" t="str">
        <f t="shared" si="66"/>
        <v/>
      </c>
      <c r="S171" s="84" t="str">
        <f t="shared" si="67"/>
        <v/>
      </c>
      <c r="T171" s="84" t="str">
        <f>+IFERROR(#REF!/#REF!,"")</f>
        <v/>
      </c>
      <c r="U171" s="84" t="str">
        <f>+IFERROR(#REF!/#REF!,"")</f>
        <v/>
      </c>
      <c r="V171" s="84" t="str">
        <f>+IFERROR(#REF!/#REF!,"")</f>
        <v/>
      </c>
      <c r="W171" s="84" t="str">
        <f>+IFERROR(#REF!/#REF!,"")</f>
        <v/>
      </c>
      <c r="X171" s="84" t="str">
        <f>+IFERROR(#REF!/#REF!,"")</f>
        <v/>
      </c>
      <c r="Y171" s="84" t="str">
        <f>+IFERROR(#REF!/#REF!,"")</f>
        <v/>
      </c>
      <c r="Z171" s="84" t="str">
        <f>+IFERROR(#REF!/#REF!,"")</f>
        <v/>
      </c>
      <c r="AA171" s="84" t="str">
        <f>+IFERROR(#REF!/#REF!,"")</f>
        <v/>
      </c>
      <c r="AB171" s="84">
        <f t="shared" si="68"/>
        <v>1</v>
      </c>
      <c r="AD171" s="139" t="str">
        <f t="shared" si="82"/>
        <v/>
      </c>
      <c r="AE171" s="139" t="str">
        <f t="shared" si="83"/>
        <v/>
      </c>
      <c r="AF171" s="139" t="str">
        <f t="shared" si="84"/>
        <v/>
      </c>
      <c r="AG171" s="139" t="str">
        <f t="shared" si="85"/>
        <v/>
      </c>
      <c r="AH171" s="139" t="str">
        <f t="shared" si="86"/>
        <v/>
      </c>
      <c r="AI171" s="139" t="str">
        <f t="shared" si="87"/>
        <v/>
      </c>
      <c r="AJ171" s="139" t="str">
        <f t="shared" si="88"/>
        <v/>
      </c>
      <c r="AK171" s="139" t="str">
        <f t="shared" si="89"/>
        <v/>
      </c>
      <c r="AL171" s="139" t="str">
        <f t="shared" si="90"/>
        <v/>
      </c>
      <c r="AM171" s="139" t="str">
        <f t="shared" si="91"/>
        <v/>
      </c>
      <c r="AN171" s="139" t="str">
        <f t="shared" si="92"/>
        <v/>
      </c>
      <c r="AP171" s="82">
        <f t="shared" si="80"/>
        <v>1.2046284316542651E-7</v>
      </c>
      <c r="AQ171" s="82">
        <f t="shared" si="81"/>
        <v>0.99765421718103608</v>
      </c>
    </row>
    <row r="172" spans="2:43" x14ac:dyDescent="0.35">
      <c r="B172" s="83" t="s">
        <v>266</v>
      </c>
      <c r="D172" s="137">
        <v>2615</v>
      </c>
      <c r="E172" s="137">
        <v>8190</v>
      </c>
      <c r="F172" s="137">
        <v>10660</v>
      </c>
      <c r="G172" s="137">
        <v>7515</v>
      </c>
      <c r="H172" s="137">
        <f t="shared" si="62"/>
        <v>28980</v>
      </c>
      <c r="J172" s="137">
        <v>555</v>
      </c>
      <c r="K172" s="137">
        <v>600</v>
      </c>
      <c r="L172" s="137">
        <v>3288</v>
      </c>
      <c r="M172" s="137">
        <v>2086</v>
      </c>
      <c r="N172" s="137">
        <f t="shared" si="63"/>
        <v>6529</v>
      </c>
      <c r="P172" s="84">
        <f t="shared" si="64"/>
        <v>0.21223709369024857</v>
      </c>
      <c r="Q172" s="84">
        <f t="shared" si="65"/>
        <v>7.3260073260073263E-2</v>
      </c>
      <c r="R172" s="84">
        <f t="shared" si="66"/>
        <v>0.30844277673545967</v>
      </c>
      <c r="S172" s="84">
        <f t="shared" si="67"/>
        <v>0.27757817697937459</v>
      </c>
      <c r="T172" s="84" t="str">
        <f>+IFERROR(#REF!/#REF!,"")</f>
        <v/>
      </c>
      <c r="U172" s="84" t="str">
        <f>+IFERROR(#REF!/#REF!,"")</f>
        <v/>
      </c>
      <c r="V172" s="84" t="str">
        <f>+IFERROR(#REF!/#REF!,"")</f>
        <v/>
      </c>
      <c r="W172" s="84" t="str">
        <f>+IFERROR(#REF!/#REF!,"")</f>
        <v/>
      </c>
      <c r="X172" s="84" t="str">
        <f>+IFERROR(#REF!/#REF!,"")</f>
        <v/>
      </c>
      <c r="Y172" s="84" t="str">
        <f>+IFERROR(#REF!/#REF!,"")</f>
        <v/>
      </c>
      <c r="Z172" s="84" t="str">
        <f>+IFERROR(#REF!/#REF!,"")</f>
        <v/>
      </c>
      <c r="AA172" s="84" t="str">
        <f>+IFERROR(#REF!/#REF!,"")</f>
        <v/>
      </c>
      <c r="AB172" s="84">
        <f t="shared" si="68"/>
        <v>0.22529330572808834</v>
      </c>
      <c r="AD172" s="139">
        <f t="shared" si="82"/>
        <v>-0.13897702043017529</v>
      </c>
      <c r="AE172" s="139">
        <f t="shared" si="83"/>
        <v>0.23518270347538639</v>
      </c>
      <c r="AF172" s="139">
        <f t="shared" si="84"/>
        <v>-3.0864599756085076E-2</v>
      </c>
      <c r="AG172" s="139" t="str">
        <f t="shared" si="85"/>
        <v/>
      </c>
      <c r="AH172" s="139" t="str">
        <f t="shared" si="86"/>
        <v/>
      </c>
      <c r="AI172" s="139" t="str">
        <f t="shared" si="87"/>
        <v/>
      </c>
      <c r="AJ172" s="139" t="str">
        <f t="shared" si="88"/>
        <v/>
      </c>
      <c r="AK172" s="139" t="str">
        <f t="shared" si="89"/>
        <v/>
      </c>
      <c r="AL172" s="139" t="str">
        <f t="shared" si="90"/>
        <v/>
      </c>
      <c r="AM172" s="139" t="str">
        <f t="shared" si="91"/>
        <v/>
      </c>
      <c r="AN172" s="139" t="str">
        <f t="shared" si="92"/>
        <v/>
      </c>
      <c r="AP172" s="82">
        <f t="shared" si="80"/>
        <v>6.446736910057948E-6</v>
      </c>
      <c r="AQ172" s="82">
        <f t="shared" si="81"/>
        <v>0.99766066391794617</v>
      </c>
    </row>
    <row r="173" spans="2:43" x14ac:dyDescent="0.35">
      <c r="B173" s="83" t="s">
        <v>267</v>
      </c>
      <c r="D173" s="137">
        <v>1582</v>
      </c>
      <c r="E173" s="137"/>
      <c r="F173" s="137">
        <v>6294</v>
      </c>
      <c r="G173" s="137"/>
      <c r="H173" s="137">
        <f t="shared" si="62"/>
        <v>7876</v>
      </c>
      <c r="J173" s="137">
        <v>316</v>
      </c>
      <c r="K173" s="137"/>
      <c r="L173" s="137">
        <v>1423</v>
      </c>
      <c r="M173" s="137"/>
      <c r="N173" s="137">
        <f t="shared" si="63"/>
        <v>1739</v>
      </c>
      <c r="P173" s="84">
        <f t="shared" si="64"/>
        <v>0.19974715549936789</v>
      </c>
      <c r="Q173" s="84" t="str">
        <f t="shared" si="65"/>
        <v/>
      </c>
      <c r="R173" s="84">
        <f t="shared" si="66"/>
        <v>0.22608833809977757</v>
      </c>
      <c r="S173" s="84" t="str">
        <f t="shared" si="67"/>
        <v/>
      </c>
      <c r="T173" s="84" t="str">
        <f>+IFERROR(#REF!/#REF!,"")</f>
        <v/>
      </c>
      <c r="U173" s="84" t="str">
        <f>+IFERROR(#REF!/#REF!,"")</f>
        <v/>
      </c>
      <c r="V173" s="84" t="str">
        <f>+IFERROR(#REF!/#REF!,"")</f>
        <v/>
      </c>
      <c r="W173" s="84" t="str">
        <f>+IFERROR(#REF!/#REF!,"")</f>
        <v/>
      </c>
      <c r="X173" s="84" t="str">
        <f>+IFERROR(#REF!/#REF!,"")</f>
        <v/>
      </c>
      <c r="Y173" s="84" t="str">
        <f>+IFERROR(#REF!/#REF!,"")</f>
        <v/>
      </c>
      <c r="Z173" s="84" t="str">
        <f>+IFERROR(#REF!/#REF!,"")</f>
        <v/>
      </c>
      <c r="AA173" s="84" t="str">
        <f>+IFERROR(#REF!/#REF!,"")</f>
        <v/>
      </c>
      <c r="AB173" s="84">
        <f t="shared" si="68"/>
        <v>0.22079735906551548</v>
      </c>
      <c r="AD173" s="139" t="str">
        <f t="shared" si="82"/>
        <v/>
      </c>
      <c r="AE173" s="139" t="str">
        <f t="shared" si="83"/>
        <v/>
      </c>
      <c r="AF173" s="139" t="str">
        <f t="shared" si="84"/>
        <v/>
      </c>
      <c r="AG173" s="139" t="str">
        <f t="shared" si="85"/>
        <v/>
      </c>
      <c r="AH173" s="139" t="str">
        <f t="shared" si="86"/>
        <v/>
      </c>
      <c r="AI173" s="139" t="str">
        <f t="shared" si="87"/>
        <v/>
      </c>
      <c r="AJ173" s="139" t="str">
        <f t="shared" si="88"/>
        <v/>
      </c>
      <c r="AK173" s="139" t="str">
        <f t="shared" si="89"/>
        <v/>
      </c>
      <c r="AL173" s="139" t="str">
        <f t="shared" si="90"/>
        <v/>
      </c>
      <c r="AM173" s="139" t="str">
        <f t="shared" si="91"/>
        <v/>
      </c>
      <c r="AN173" s="139" t="str">
        <f t="shared" si="92"/>
        <v/>
      </c>
      <c r="AP173" s="82">
        <f t="shared" si="80"/>
        <v>1.717089215284235E-6</v>
      </c>
      <c r="AQ173" s="82">
        <f t="shared" si="81"/>
        <v>0.99766238100716143</v>
      </c>
    </row>
    <row r="174" spans="2:43" x14ac:dyDescent="0.35">
      <c r="B174" s="83" t="s">
        <v>268</v>
      </c>
      <c r="D174" s="137">
        <v>35301</v>
      </c>
      <c r="E174" s="137">
        <v>45147</v>
      </c>
      <c r="F174" s="137">
        <v>82365</v>
      </c>
      <c r="G174" s="137">
        <v>63282</v>
      </c>
      <c r="H174" s="137">
        <f t="shared" si="62"/>
        <v>226095</v>
      </c>
      <c r="J174" s="137">
        <v>8892</v>
      </c>
      <c r="K174" s="137">
        <v>10856</v>
      </c>
      <c r="L174" s="137">
        <v>51710</v>
      </c>
      <c r="M174" s="137">
        <v>33901</v>
      </c>
      <c r="N174" s="137">
        <f t="shared" si="63"/>
        <v>105359</v>
      </c>
      <c r="P174" s="84">
        <f t="shared" si="64"/>
        <v>0.25189088127815074</v>
      </c>
      <c r="Q174" s="84">
        <f t="shared" si="65"/>
        <v>0.2404589452233814</v>
      </c>
      <c r="R174" s="84">
        <f t="shared" si="66"/>
        <v>0.62781521277241548</v>
      </c>
      <c r="S174" s="84">
        <f t="shared" si="67"/>
        <v>0.53571315697986788</v>
      </c>
      <c r="T174" s="84" t="str">
        <f>+IFERROR(#REF!/#REF!,"")</f>
        <v/>
      </c>
      <c r="U174" s="84" t="str">
        <f>+IFERROR(#REF!/#REF!,"")</f>
        <v/>
      </c>
      <c r="V174" s="84" t="str">
        <f>+IFERROR(#REF!/#REF!,"")</f>
        <v/>
      </c>
      <c r="W174" s="84" t="str">
        <f>+IFERROR(#REF!/#REF!,"")</f>
        <v/>
      </c>
      <c r="X174" s="84" t="str">
        <f>+IFERROR(#REF!/#REF!,"")</f>
        <v/>
      </c>
      <c r="Y174" s="84" t="str">
        <f>+IFERROR(#REF!/#REF!,"")</f>
        <v/>
      </c>
      <c r="Z174" s="84" t="str">
        <f>+IFERROR(#REF!/#REF!,"")</f>
        <v/>
      </c>
      <c r="AA174" s="84" t="str">
        <f>+IFERROR(#REF!/#REF!,"")</f>
        <v/>
      </c>
      <c r="AB174" s="84">
        <f t="shared" si="68"/>
        <v>0.46599438289214712</v>
      </c>
      <c r="AD174" s="139">
        <f t="shared" si="82"/>
        <v>-1.1431936054769332E-2</v>
      </c>
      <c r="AE174" s="139">
        <f t="shared" si="83"/>
        <v>0.38735626754903407</v>
      </c>
      <c r="AF174" s="139">
        <f t="shared" si="84"/>
        <v>-9.2102055792547599E-2</v>
      </c>
      <c r="AG174" s="139" t="str">
        <f t="shared" si="85"/>
        <v/>
      </c>
      <c r="AH174" s="139" t="str">
        <f t="shared" si="86"/>
        <v/>
      </c>
      <c r="AI174" s="139" t="str">
        <f t="shared" si="87"/>
        <v/>
      </c>
      <c r="AJ174" s="139" t="str">
        <f t="shared" si="88"/>
        <v/>
      </c>
      <c r="AK174" s="139" t="str">
        <f t="shared" si="89"/>
        <v/>
      </c>
      <c r="AL174" s="139" t="str">
        <f t="shared" si="90"/>
        <v/>
      </c>
      <c r="AM174" s="139" t="str">
        <f t="shared" si="91"/>
        <v/>
      </c>
      <c r="AN174" s="139" t="str">
        <f t="shared" si="92"/>
        <v/>
      </c>
      <c r="AP174" s="82">
        <f t="shared" si="80"/>
        <v>1.0403151387759156E-4</v>
      </c>
      <c r="AQ174" s="82">
        <f t="shared" si="81"/>
        <v>0.99776641252103904</v>
      </c>
    </row>
    <row r="175" spans="2:43" x14ac:dyDescent="0.35">
      <c r="B175" s="83" t="s">
        <v>269</v>
      </c>
      <c r="D175" s="137"/>
      <c r="E175" s="137"/>
      <c r="F175" s="137"/>
      <c r="G175" s="137">
        <v>395</v>
      </c>
      <c r="H175" s="137">
        <f t="shared" si="62"/>
        <v>395</v>
      </c>
      <c r="J175" s="137"/>
      <c r="K175" s="137"/>
      <c r="L175" s="137"/>
      <c r="M175" s="137">
        <v>395</v>
      </c>
      <c r="N175" s="137">
        <f t="shared" si="63"/>
        <v>395</v>
      </c>
      <c r="P175" s="84" t="str">
        <f t="shared" si="64"/>
        <v/>
      </c>
      <c r="Q175" s="84" t="str">
        <f t="shared" si="65"/>
        <v/>
      </c>
      <c r="R175" s="84" t="str">
        <f t="shared" si="66"/>
        <v/>
      </c>
      <c r="S175" s="84">
        <f t="shared" si="67"/>
        <v>1</v>
      </c>
      <c r="T175" s="84" t="str">
        <f>+IFERROR(#REF!/#REF!,"")</f>
        <v/>
      </c>
      <c r="U175" s="84" t="str">
        <f>+IFERROR(#REF!/#REF!,"")</f>
        <v/>
      </c>
      <c r="V175" s="84" t="str">
        <f>+IFERROR(#REF!/#REF!,"")</f>
        <v/>
      </c>
      <c r="W175" s="84" t="str">
        <f>+IFERROR(#REF!/#REF!,"")</f>
        <v/>
      </c>
      <c r="X175" s="84" t="str">
        <f>+IFERROR(#REF!/#REF!,"")</f>
        <v/>
      </c>
      <c r="Y175" s="84" t="str">
        <f>+IFERROR(#REF!/#REF!,"")</f>
        <v/>
      </c>
      <c r="Z175" s="84" t="str">
        <f>+IFERROR(#REF!/#REF!,"")</f>
        <v/>
      </c>
      <c r="AA175" s="84" t="str">
        <f>+IFERROR(#REF!/#REF!,"")</f>
        <v/>
      </c>
      <c r="AB175" s="84">
        <f t="shared" si="68"/>
        <v>1</v>
      </c>
      <c r="AD175" s="139" t="str">
        <f t="shared" si="82"/>
        <v/>
      </c>
      <c r="AE175" s="139" t="str">
        <f t="shared" si="83"/>
        <v/>
      </c>
      <c r="AF175" s="139" t="str">
        <f t="shared" si="84"/>
        <v/>
      </c>
      <c r="AG175" s="139" t="str">
        <f t="shared" si="85"/>
        <v/>
      </c>
      <c r="AH175" s="139" t="str">
        <f t="shared" si="86"/>
        <v/>
      </c>
      <c r="AI175" s="139" t="str">
        <f t="shared" si="87"/>
        <v/>
      </c>
      <c r="AJ175" s="139" t="str">
        <f t="shared" si="88"/>
        <v/>
      </c>
      <c r="AK175" s="139" t="str">
        <f t="shared" si="89"/>
        <v/>
      </c>
      <c r="AL175" s="139" t="str">
        <f t="shared" si="90"/>
        <v/>
      </c>
      <c r="AM175" s="139" t="str">
        <f t="shared" si="91"/>
        <v/>
      </c>
      <c r="AN175" s="139" t="str">
        <f t="shared" si="92"/>
        <v/>
      </c>
      <c r="AP175" s="82">
        <f t="shared" si="80"/>
        <v>3.9002313975691367E-7</v>
      </c>
      <c r="AQ175" s="82">
        <f t="shared" si="81"/>
        <v>0.99776680254417882</v>
      </c>
    </row>
    <row r="176" spans="2:43" x14ac:dyDescent="0.35">
      <c r="B176" s="83" t="s">
        <v>270</v>
      </c>
      <c r="D176" s="137">
        <v>200962</v>
      </c>
      <c r="E176" s="137"/>
      <c r="F176" s="137">
        <v>175721</v>
      </c>
      <c r="G176" s="137">
        <v>9951</v>
      </c>
      <c r="H176" s="137">
        <f t="shared" si="62"/>
        <v>386634</v>
      </c>
      <c r="J176" s="137">
        <v>40319</v>
      </c>
      <c r="K176" s="137"/>
      <c r="L176" s="137">
        <v>30029</v>
      </c>
      <c r="M176" s="137">
        <v>2863</v>
      </c>
      <c r="N176" s="137">
        <f t="shared" si="63"/>
        <v>73211</v>
      </c>
      <c r="P176" s="84">
        <f t="shared" si="64"/>
        <v>0.20062996984504533</v>
      </c>
      <c r="Q176" s="84" t="str">
        <f t="shared" si="65"/>
        <v/>
      </c>
      <c r="R176" s="84">
        <f t="shared" si="66"/>
        <v>0.17089021801605955</v>
      </c>
      <c r="S176" s="84">
        <f t="shared" si="67"/>
        <v>0.28770977791176766</v>
      </c>
      <c r="T176" s="84" t="str">
        <f>+IFERROR(#REF!/#REF!,"")</f>
        <v/>
      </c>
      <c r="U176" s="84" t="str">
        <f>+IFERROR(#REF!/#REF!,"")</f>
        <v/>
      </c>
      <c r="V176" s="84" t="str">
        <f>+IFERROR(#REF!/#REF!,"")</f>
        <v/>
      </c>
      <c r="W176" s="84" t="str">
        <f>+IFERROR(#REF!/#REF!,"")</f>
        <v/>
      </c>
      <c r="X176" s="84" t="str">
        <f>+IFERROR(#REF!/#REF!,"")</f>
        <v/>
      </c>
      <c r="Y176" s="84" t="str">
        <f>+IFERROR(#REF!/#REF!,"")</f>
        <v/>
      </c>
      <c r="Z176" s="84" t="str">
        <f>+IFERROR(#REF!/#REF!,"")</f>
        <v/>
      </c>
      <c r="AA176" s="84" t="str">
        <f>+IFERROR(#REF!/#REF!,"")</f>
        <v/>
      </c>
      <c r="AB176" s="84">
        <f t="shared" si="68"/>
        <v>0.18935479031849242</v>
      </c>
      <c r="AD176" s="139" t="str">
        <f t="shared" si="82"/>
        <v/>
      </c>
      <c r="AE176" s="139" t="str">
        <f t="shared" si="83"/>
        <v/>
      </c>
      <c r="AF176" s="139">
        <f t="shared" si="84"/>
        <v>0.11681955989570811</v>
      </c>
      <c r="AG176" s="139" t="str">
        <f t="shared" si="85"/>
        <v/>
      </c>
      <c r="AH176" s="139" t="str">
        <f t="shared" si="86"/>
        <v/>
      </c>
      <c r="AI176" s="139" t="str">
        <f t="shared" si="87"/>
        <v/>
      </c>
      <c r="AJ176" s="139" t="str">
        <f t="shared" si="88"/>
        <v/>
      </c>
      <c r="AK176" s="139" t="str">
        <f t="shared" si="89"/>
        <v/>
      </c>
      <c r="AL176" s="139" t="str">
        <f t="shared" si="90"/>
        <v/>
      </c>
      <c r="AM176" s="139" t="str">
        <f t="shared" si="91"/>
        <v/>
      </c>
      <c r="AN176" s="139" t="str">
        <f t="shared" si="92"/>
        <v/>
      </c>
      <c r="AP176" s="82">
        <f t="shared" si="80"/>
        <v>7.2288567303147868E-5</v>
      </c>
      <c r="AQ176" s="82">
        <f t="shared" si="81"/>
        <v>0.99783909111148195</v>
      </c>
    </row>
    <row r="177" spans="2:43" x14ac:dyDescent="0.35">
      <c r="B177" s="83" t="s">
        <v>271</v>
      </c>
      <c r="D177" s="137"/>
      <c r="E177" s="137"/>
      <c r="F177" s="137"/>
      <c r="G177" s="137"/>
      <c r="H177" s="137">
        <f t="shared" si="62"/>
        <v>0</v>
      </c>
      <c r="J177" s="137"/>
      <c r="K177" s="137"/>
      <c r="L177" s="137"/>
      <c r="M177" s="137"/>
      <c r="N177" s="137">
        <f t="shared" si="63"/>
        <v>0</v>
      </c>
      <c r="P177" s="84" t="str">
        <f t="shared" si="64"/>
        <v/>
      </c>
      <c r="Q177" s="84" t="str">
        <f t="shared" si="65"/>
        <v/>
      </c>
      <c r="R177" s="84" t="str">
        <f t="shared" si="66"/>
        <v/>
      </c>
      <c r="S177" s="84" t="str">
        <f t="shared" si="67"/>
        <v/>
      </c>
      <c r="T177" s="84" t="str">
        <f>+IFERROR(#REF!/#REF!,"")</f>
        <v/>
      </c>
      <c r="U177" s="84" t="str">
        <f>+IFERROR(#REF!/#REF!,"")</f>
        <v/>
      </c>
      <c r="V177" s="84" t="str">
        <f>+IFERROR(#REF!/#REF!,"")</f>
        <v/>
      </c>
      <c r="W177" s="84" t="str">
        <f>+IFERROR(#REF!/#REF!,"")</f>
        <v/>
      </c>
      <c r="X177" s="84" t="str">
        <f>+IFERROR(#REF!/#REF!,"")</f>
        <v/>
      </c>
      <c r="Y177" s="84" t="str">
        <f>+IFERROR(#REF!/#REF!,"")</f>
        <v/>
      </c>
      <c r="Z177" s="84" t="str">
        <f>+IFERROR(#REF!/#REF!,"")</f>
        <v/>
      </c>
      <c r="AA177" s="84" t="str">
        <f>+IFERROR(#REF!/#REF!,"")</f>
        <v/>
      </c>
      <c r="AB177" s="84" t="str">
        <f t="shared" si="68"/>
        <v/>
      </c>
      <c r="AD177" s="139" t="str">
        <f t="shared" si="82"/>
        <v/>
      </c>
      <c r="AE177" s="139" t="str">
        <f t="shared" si="83"/>
        <v/>
      </c>
      <c r="AF177" s="139" t="str">
        <f t="shared" si="84"/>
        <v/>
      </c>
      <c r="AG177" s="139" t="str">
        <f t="shared" si="85"/>
        <v/>
      </c>
      <c r="AH177" s="139" t="str">
        <f t="shared" si="86"/>
        <v/>
      </c>
      <c r="AI177" s="139" t="str">
        <f t="shared" si="87"/>
        <v/>
      </c>
      <c r="AJ177" s="139" t="str">
        <f t="shared" si="88"/>
        <v/>
      </c>
      <c r="AK177" s="139" t="str">
        <f t="shared" si="89"/>
        <v/>
      </c>
      <c r="AL177" s="139" t="str">
        <f t="shared" si="90"/>
        <v/>
      </c>
      <c r="AM177" s="139" t="str">
        <f t="shared" si="91"/>
        <v/>
      </c>
      <c r="AN177" s="139" t="str">
        <f t="shared" si="92"/>
        <v/>
      </c>
      <c r="AP177" s="82">
        <f t="shared" si="80"/>
        <v>0</v>
      </c>
      <c r="AQ177" s="82">
        <f t="shared" si="81"/>
        <v>0.99783909111148195</v>
      </c>
    </row>
    <row r="178" spans="2:43" x14ac:dyDescent="0.35">
      <c r="B178" s="83" t="s">
        <v>272</v>
      </c>
      <c r="D178" s="137">
        <v>16352</v>
      </c>
      <c r="E178" s="137">
        <v>480</v>
      </c>
      <c r="F178" s="137">
        <v>13725</v>
      </c>
      <c r="G178" s="137"/>
      <c r="H178" s="137">
        <f t="shared" si="62"/>
        <v>30557</v>
      </c>
      <c r="J178" s="137">
        <v>1813</v>
      </c>
      <c r="K178" s="137">
        <v>200</v>
      </c>
      <c r="L178" s="137">
        <v>580</v>
      </c>
      <c r="M178" s="137"/>
      <c r="N178" s="137">
        <f t="shared" si="63"/>
        <v>2593</v>
      </c>
      <c r="P178" s="84">
        <f t="shared" si="64"/>
        <v>0.11087328767123288</v>
      </c>
      <c r="Q178" s="84">
        <f t="shared" si="65"/>
        <v>0.41666666666666669</v>
      </c>
      <c r="R178" s="84">
        <f t="shared" si="66"/>
        <v>4.2258652094717672E-2</v>
      </c>
      <c r="S178" s="84" t="str">
        <f t="shared" si="67"/>
        <v/>
      </c>
      <c r="T178" s="84" t="str">
        <f>+IFERROR(#REF!/#REF!,"")</f>
        <v/>
      </c>
      <c r="U178" s="84" t="str">
        <f>+IFERROR(#REF!/#REF!,"")</f>
        <v/>
      </c>
      <c r="V178" s="84" t="str">
        <f>+IFERROR(#REF!/#REF!,"")</f>
        <v/>
      </c>
      <c r="W178" s="84" t="str">
        <f>+IFERROR(#REF!/#REF!,"")</f>
        <v/>
      </c>
      <c r="X178" s="84" t="str">
        <f>+IFERROR(#REF!/#REF!,"")</f>
        <v/>
      </c>
      <c r="Y178" s="84" t="str">
        <f>+IFERROR(#REF!/#REF!,"")</f>
        <v/>
      </c>
      <c r="Z178" s="84" t="str">
        <f>+IFERROR(#REF!/#REF!,"")</f>
        <v/>
      </c>
      <c r="AA178" s="84" t="str">
        <f>+IFERROR(#REF!/#REF!,"")</f>
        <v/>
      </c>
      <c r="AB178" s="84">
        <f t="shared" si="68"/>
        <v>8.4857806721864062E-2</v>
      </c>
      <c r="AD178" s="139">
        <f t="shared" si="82"/>
        <v>0.3057933789954338</v>
      </c>
      <c r="AE178" s="139">
        <f t="shared" si="83"/>
        <v>-0.374408014571949</v>
      </c>
      <c r="AF178" s="139" t="str">
        <f t="shared" si="84"/>
        <v/>
      </c>
      <c r="AG178" s="139" t="str">
        <f t="shared" si="85"/>
        <v/>
      </c>
      <c r="AH178" s="139" t="str">
        <f t="shared" si="86"/>
        <v/>
      </c>
      <c r="AI178" s="139" t="str">
        <f t="shared" si="87"/>
        <v/>
      </c>
      <c r="AJ178" s="139" t="str">
        <f t="shared" si="88"/>
        <v/>
      </c>
      <c r="AK178" s="139" t="str">
        <f t="shared" si="89"/>
        <v/>
      </c>
      <c r="AL178" s="139" t="str">
        <f t="shared" si="90"/>
        <v/>
      </c>
      <c r="AM178" s="139" t="str">
        <f t="shared" si="91"/>
        <v/>
      </c>
      <c r="AN178" s="139" t="str">
        <f t="shared" si="92"/>
        <v/>
      </c>
      <c r="AP178" s="82">
        <f t="shared" si="80"/>
        <v>2.5603291174422206E-6</v>
      </c>
      <c r="AQ178" s="82">
        <f t="shared" si="81"/>
        <v>0.99784165144059944</v>
      </c>
    </row>
    <row r="179" spans="2:43" x14ac:dyDescent="0.35">
      <c r="B179" s="83" t="s">
        <v>273</v>
      </c>
      <c r="D179" s="137">
        <v>3309</v>
      </c>
      <c r="E179" s="137">
        <v>1631</v>
      </c>
      <c r="F179" s="137"/>
      <c r="G179" s="137">
        <v>94654</v>
      </c>
      <c r="H179" s="137">
        <f t="shared" si="62"/>
        <v>99594</v>
      </c>
      <c r="J179" s="137">
        <v>45</v>
      </c>
      <c r="K179" s="137">
        <v>215</v>
      </c>
      <c r="L179" s="137"/>
      <c r="M179" s="137">
        <v>15</v>
      </c>
      <c r="N179" s="137">
        <f t="shared" si="63"/>
        <v>275</v>
      </c>
      <c r="P179" s="84">
        <f t="shared" si="64"/>
        <v>1.3599274705349048E-2</v>
      </c>
      <c r="Q179" s="84">
        <f t="shared" si="65"/>
        <v>0.13182096873083998</v>
      </c>
      <c r="R179" s="84" t="str">
        <f t="shared" si="66"/>
        <v/>
      </c>
      <c r="S179" s="84">
        <f t="shared" si="67"/>
        <v>1.5847190821307076E-4</v>
      </c>
      <c r="T179" s="84" t="str">
        <f>+IFERROR(#REF!/#REF!,"")</f>
        <v/>
      </c>
      <c r="U179" s="84" t="str">
        <f>+IFERROR(#REF!/#REF!,"")</f>
        <v/>
      </c>
      <c r="V179" s="84" t="str">
        <f>+IFERROR(#REF!/#REF!,"")</f>
        <v/>
      </c>
      <c r="W179" s="84" t="str">
        <f>+IFERROR(#REF!/#REF!,"")</f>
        <v/>
      </c>
      <c r="X179" s="84" t="str">
        <f>+IFERROR(#REF!/#REF!,"")</f>
        <v/>
      </c>
      <c r="Y179" s="84" t="str">
        <f>+IFERROR(#REF!/#REF!,"")</f>
        <v/>
      </c>
      <c r="Z179" s="84" t="str">
        <f>+IFERROR(#REF!/#REF!,"")</f>
        <v/>
      </c>
      <c r="AA179" s="84" t="str">
        <f>+IFERROR(#REF!/#REF!,"")</f>
        <v/>
      </c>
      <c r="AB179" s="84">
        <f t="shared" si="68"/>
        <v>2.7612105146896399E-3</v>
      </c>
      <c r="AD179" s="139">
        <f t="shared" si="82"/>
        <v>0.11822169402549093</v>
      </c>
      <c r="AE179" s="139" t="str">
        <f t="shared" si="83"/>
        <v/>
      </c>
      <c r="AF179" s="139" t="str">
        <f t="shared" si="84"/>
        <v/>
      </c>
      <c r="AG179" s="139" t="str">
        <f t="shared" si="85"/>
        <v/>
      </c>
      <c r="AH179" s="139" t="str">
        <f t="shared" si="86"/>
        <v/>
      </c>
      <c r="AI179" s="139" t="str">
        <f t="shared" si="87"/>
        <v/>
      </c>
      <c r="AJ179" s="139" t="str">
        <f t="shared" si="88"/>
        <v/>
      </c>
      <c r="AK179" s="139" t="str">
        <f t="shared" si="89"/>
        <v/>
      </c>
      <c r="AL179" s="139" t="str">
        <f t="shared" si="90"/>
        <v/>
      </c>
      <c r="AM179" s="139" t="str">
        <f t="shared" si="91"/>
        <v/>
      </c>
      <c r="AN179" s="139" t="str">
        <f t="shared" si="92"/>
        <v/>
      </c>
      <c r="AP179" s="82">
        <f t="shared" si="80"/>
        <v>2.715350972991171E-7</v>
      </c>
      <c r="AQ179" s="82">
        <f t="shared" si="81"/>
        <v>0.99784192297569674</v>
      </c>
    </row>
    <row r="180" spans="2:43" x14ac:dyDescent="0.35">
      <c r="B180" s="83" t="s">
        <v>274</v>
      </c>
      <c r="D180" s="137">
        <v>5514</v>
      </c>
      <c r="E180" s="137">
        <v>847</v>
      </c>
      <c r="F180" s="137"/>
      <c r="G180" s="137"/>
      <c r="H180" s="137">
        <f t="shared" si="62"/>
        <v>6361</v>
      </c>
      <c r="J180" s="137">
        <v>1787</v>
      </c>
      <c r="K180" s="137">
        <v>847</v>
      </c>
      <c r="L180" s="137"/>
      <c r="M180" s="137"/>
      <c r="N180" s="137">
        <f t="shared" si="63"/>
        <v>2634</v>
      </c>
      <c r="P180" s="84">
        <f t="shared" si="64"/>
        <v>0.32408414943779468</v>
      </c>
      <c r="Q180" s="84">
        <f t="shared" si="65"/>
        <v>1</v>
      </c>
      <c r="R180" s="84" t="str">
        <f t="shared" si="66"/>
        <v/>
      </c>
      <c r="S180" s="84" t="str">
        <f t="shared" si="67"/>
        <v/>
      </c>
      <c r="T180" s="84" t="str">
        <f>+IFERROR(#REF!/#REF!,"")</f>
        <v/>
      </c>
      <c r="U180" s="84" t="str">
        <f>+IFERROR(#REF!/#REF!,"")</f>
        <v/>
      </c>
      <c r="V180" s="84" t="str">
        <f>+IFERROR(#REF!/#REF!,"")</f>
        <v/>
      </c>
      <c r="W180" s="84" t="str">
        <f>+IFERROR(#REF!/#REF!,"")</f>
        <v/>
      </c>
      <c r="X180" s="84" t="str">
        <f>+IFERROR(#REF!/#REF!,"")</f>
        <v/>
      </c>
      <c r="Y180" s="84" t="str">
        <f>+IFERROR(#REF!/#REF!,"")</f>
        <v/>
      </c>
      <c r="Z180" s="84" t="str">
        <f>+IFERROR(#REF!/#REF!,"")</f>
        <v/>
      </c>
      <c r="AA180" s="84" t="str">
        <f>+IFERROR(#REF!/#REF!,"")</f>
        <v/>
      </c>
      <c r="AB180" s="84">
        <f t="shared" si="68"/>
        <v>0.41408583556044648</v>
      </c>
      <c r="AD180" s="139">
        <f t="shared" si="82"/>
        <v>0.67591585056220538</v>
      </c>
      <c r="AE180" s="139" t="str">
        <f t="shared" si="83"/>
        <v/>
      </c>
      <c r="AF180" s="139" t="str">
        <f t="shared" si="84"/>
        <v/>
      </c>
      <c r="AG180" s="139" t="str">
        <f t="shared" si="85"/>
        <v/>
      </c>
      <c r="AH180" s="139" t="str">
        <f t="shared" si="86"/>
        <v/>
      </c>
      <c r="AI180" s="139" t="str">
        <f t="shared" si="87"/>
        <v/>
      </c>
      <c r="AJ180" s="139" t="str">
        <f t="shared" si="88"/>
        <v/>
      </c>
      <c r="AK180" s="139" t="str">
        <f t="shared" si="89"/>
        <v/>
      </c>
      <c r="AL180" s="139" t="str">
        <f t="shared" si="90"/>
        <v/>
      </c>
      <c r="AM180" s="139" t="str">
        <f t="shared" si="91"/>
        <v/>
      </c>
      <c r="AN180" s="139" t="str">
        <f t="shared" si="92"/>
        <v/>
      </c>
      <c r="AP180" s="82">
        <f t="shared" si="80"/>
        <v>2.6008125319486345E-6</v>
      </c>
      <c r="AQ180" s="82">
        <f t="shared" si="81"/>
        <v>0.99784452378822863</v>
      </c>
    </row>
    <row r="181" spans="2:43" x14ac:dyDescent="0.35">
      <c r="B181" s="83" t="s">
        <v>275</v>
      </c>
      <c r="D181" s="137">
        <v>184279</v>
      </c>
      <c r="E181" s="137">
        <v>302653</v>
      </c>
      <c r="F181" s="137">
        <v>446351</v>
      </c>
      <c r="G181" s="137">
        <v>261535</v>
      </c>
      <c r="H181" s="137">
        <f t="shared" si="62"/>
        <v>1194818</v>
      </c>
      <c r="J181" s="137">
        <v>17886</v>
      </c>
      <c r="K181" s="137">
        <v>42048</v>
      </c>
      <c r="L181" s="137">
        <v>68540</v>
      </c>
      <c r="M181" s="137">
        <v>45445</v>
      </c>
      <c r="N181" s="137">
        <f t="shared" si="63"/>
        <v>173919</v>
      </c>
      <c r="P181" s="84">
        <f t="shared" si="64"/>
        <v>9.7059350224388025E-2</v>
      </c>
      <c r="Q181" s="84">
        <f t="shared" si="65"/>
        <v>0.13893138346555295</v>
      </c>
      <c r="R181" s="84">
        <f t="shared" si="66"/>
        <v>0.15355628193954982</v>
      </c>
      <c r="S181" s="84">
        <f t="shared" si="67"/>
        <v>0.17376259391668419</v>
      </c>
      <c r="T181" s="84" t="str">
        <f>+IFERROR(#REF!/#REF!,"")</f>
        <v/>
      </c>
      <c r="U181" s="84" t="str">
        <f>+IFERROR(#REF!/#REF!,"")</f>
        <v/>
      </c>
      <c r="V181" s="84" t="str">
        <f>+IFERROR(#REF!/#REF!,"")</f>
        <v/>
      </c>
      <c r="W181" s="84" t="str">
        <f>+IFERROR(#REF!/#REF!,"")</f>
        <v/>
      </c>
      <c r="X181" s="84" t="str">
        <f>+IFERROR(#REF!/#REF!,"")</f>
        <v/>
      </c>
      <c r="Y181" s="84" t="str">
        <f>+IFERROR(#REF!/#REF!,"")</f>
        <v/>
      </c>
      <c r="Z181" s="84" t="str">
        <f>+IFERROR(#REF!/#REF!,"")</f>
        <v/>
      </c>
      <c r="AA181" s="84" t="str">
        <f>+IFERROR(#REF!/#REF!,"")</f>
        <v/>
      </c>
      <c r="AB181" s="84">
        <f t="shared" si="68"/>
        <v>0.14556108126928119</v>
      </c>
      <c r="AD181" s="139">
        <f t="shared" si="82"/>
        <v>4.1872033241164924E-2</v>
      </c>
      <c r="AE181" s="139">
        <f t="shared" si="83"/>
        <v>1.4624898473996867E-2</v>
      </c>
      <c r="AF181" s="139">
        <f t="shared" si="84"/>
        <v>2.0206311977134378E-2</v>
      </c>
      <c r="AG181" s="139" t="str">
        <f t="shared" si="85"/>
        <v/>
      </c>
      <c r="AH181" s="139" t="str">
        <f t="shared" si="86"/>
        <v/>
      </c>
      <c r="AI181" s="139" t="str">
        <f t="shared" si="87"/>
        <v/>
      </c>
      <c r="AJ181" s="139" t="str">
        <f t="shared" si="88"/>
        <v/>
      </c>
      <c r="AK181" s="139" t="str">
        <f t="shared" si="89"/>
        <v/>
      </c>
      <c r="AL181" s="139" t="str">
        <f t="shared" si="90"/>
        <v/>
      </c>
      <c r="AM181" s="139" t="str">
        <f t="shared" si="91"/>
        <v/>
      </c>
      <c r="AN181" s="139" t="str">
        <f t="shared" si="92"/>
        <v/>
      </c>
      <c r="AP181" s="82">
        <f t="shared" si="80"/>
        <v>1.7172768213514599E-4</v>
      </c>
      <c r="AQ181" s="82">
        <f t="shared" si="81"/>
        <v>0.99801625147036377</v>
      </c>
    </row>
    <row r="182" spans="2:43" x14ac:dyDescent="0.35">
      <c r="B182" s="83" t="s">
        <v>276</v>
      </c>
      <c r="D182" s="137">
        <v>615</v>
      </c>
      <c r="E182" s="137">
        <v>508</v>
      </c>
      <c r="F182" s="137">
        <v>1351</v>
      </c>
      <c r="G182" s="137"/>
      <c r="H182" s="137">
        <f t="shared" si="62"/>
        <v>2474</v>
      </c>
      <c r="J182" s="137">
        <v>149</v>
      </c>
      <c r="K182" s="137">
        <v>86</v>
      </c>
      <c r="L182" s="137">
        <v>293</v>
      </c>
      <c r="M182" s="137"/>
      <c r="N182" s="137">
        <f t="shared" si="63"/>
        <v>528</v>
      </c>
      <c r="P182" s="84">
        <f t="shared" si="64"/>
        <v>0.24227642276422764</v>
      </c>
      <c r="Q182" s="84">
        <f t="shared" si="65"/>
        <v>0.16929133858267717</v>
      </c>
      <c r="R182" s="84">
        <f t="shared" si="66"/>
        <v>0.21687638786084382</v>
      </c>
      <c r="S182" s="84" t="str">
        <f t="shared" si="67"/>
        <v/>
      </c>
      <c r="T182" s="84" t="str">
        <f>+IFERROR(#REF!/#REF!,"")</f>
        <v/>
      </c>
      <c r="U182" s="84" t="str">
        <f>+IFERROR(#REF!/#REF!,"")</f>
        <v/>
      </c>
      <c r="V182" s="84" t="str">
        <f>+IFERROR(#REF!/#REF!,"")</f>
        <v/>
      </c>
      <c r="W182" s="84" t="str">
        <f>+IFERROR(#REF!/#REF!,"")</f>
        <v/>
      </c>
      <c r="X182" s="84" t="str">
        <f>+IFERROR(#REF!/#REF!,"")</f>
        <v/>
      </c>
      <c r="Y182" s="84" t="str">
        <f>+IFERROR(#REF!/#REF!,"")</f>
        <v/>
      </c>
      <c r="Z182" s="84" t="str">
        <f>+IFERROR(#REF!/#REF!,"")</f>
        <v/>
      </c>
      <c r="AA182" s="84" t="str">
        <f>+IFERROR(#REF!/#REF!,"")</f>
        <v/>
      </c>
      <c r="AB182" s="84">
        <f t="shared" si="68"/>
        <v>0.21341956345998384</v>
      </c>
      <c r="AD182" s="139">
        <f t="shared" si="82"/>
        <v>-7.2985084181550475E-2</v>
      </c>
      <c r="AE182" s="139">
        <f t="shared" si="83"/>
        <v>4.7585049278166647E-2</v>
      </c>
      <c r="AF182" s="139" t="str">
        <f t="shared" si="84"/>
        <v/>
      </c>
      <c r="AG182" s="139" t="str">
        <f t="shared" si="85"/>
        <v/>
      </c>
      <c r="AH182" s="139" t="str">
        <f t="shared" si="86"/>
        <v/>
      </c>
      <c r="AI182" s="139" t="str">
        <f t="shared" si="87"/>
        <v/>
      </c>
      <c r="AJ182" s="139" t="str">
        <f t="shared" si="88"/>
        <v/>
      </c>
      <c r="AK182" s="139" t="str">
        <f t="shared" si="89"/>
        <v/>
      </c>
      <c r="AL182" s="139" t="str">
        <f t="shared" si="90"/>
        <v/>
      </c>
      <c r="AM182" s="139" t="str">
        <f t="shared" si="91"/>
        <v/>
      </c>
      <c r="AN182" s="139" t="str">
        <f t="shared" si="92"/>
        <v/>
      </c>
      <c r="AP182" s="82">
        <f t="shared" si="80"/>
        <v>5.213473868143048E-7</v>
      </c>
      <c r="AQ182" s="82">
        <f t="shared" si="81"/>
        <v>0.99801677281775059</v>
      </c>
    </row>
    <row r="183" spans="2:43" x14ac:dyDescent="0.35">
      <c r="B183" s="83" t="s">
        <v>277</v>
      </c>
      <c r="D183" s="137">
        <v>17593</v>
      </c>
      <c r="E183" s="137">
        <v>8880</v>
      </c>
      <c r="F183" s="137">
        <v>812</v>
      </c>
      <c r="G183" s="137">
        <v>8330</v>
      </c>
      <c r="H183" s="137">
        <f t="shared" si="62"/>
        <v>35615</v>
      </c>
      <c r="J183" s="137">
        <v>1577</v>
      </c>
      <c r="K183" s="137">
        <v>1572</v>
      </c>
      <c r="L183" s="137">
        <v>36</v>
      </c>
      <c r="M183" s="137">
        <v>1316</v>
      </c>
      <c r="N183" s="137">
        <f t="shared" si="63"/>
        <v>4501</v>
      </c>
      <c r="P183" s="84">
        <f t="shared" si="64"/>
        <v>8.963792417438754E-2</v>
      </c>
      <c r="Q183" s="84">
        <f t="shared" si="65"/>
        <v>0.17702702702702702</v>
      </c>
      <c r="R183" s="84">
        <f t="shared" si="66"/>
        <v>4.4334975369458129E-2</v>
      </c>
      <c r="S183" s="84">
        <f t="shared" si="67"/>
        <v>0.15798319327731092</v>
      </c>
      <c r="T183" s="84" t="str">
        <f>+IFERROR(#REF!/#REF!,"")</f>
        <v/>
      </c>
      <c r="U183" s="84" t="str">
        <f>+IFERROR(#REF!/#REF!,"")</f>
        <v/>
      </c>
      <c r="V183" s="84" t="str">
        <f>+IFERROR(#REF!/#REF!,"")</f>
        <v/>
      </c>
      <c r="W183" s="84" t="str">
        <f>+IFERROR(#REF!/#REF!,"")</f>
        <v/>
      </c>
      <c r="X183" s="84" t="str">
        <f>+IFERROR(#REF!/#REF!,"")</f>
        <v/>
      </c>
      <c r="Y183" s="84" t="str">
        <f>+IFERROR(#REF!/#REF!,"")</f>
        <v/>
      </c>
      <c r="Z183" s="84" t="str">
        <f>+IFERROR(#REF!/#REF!,"")</f>
        <v/>
      </c>
      <c r="AA183" s="84" t="str">
        <f>+IFERROR(#REF!/#REF!,"")</f>
        <v/>
      </c>
      <c r="AB183" s="84">
        <f t="shared" si="68"/>
        <v>0.12637933455004913</v>
      </c>
      <c r="AD183" s="139">
        <f t="shared" si="82"/>
        <v>8.7389102852639483E-2</v>
      </c>
      <c r="AE183" s="139">
        <f t="shared" si="83"/>
        <v>-0.13269205165756889</v>
      </c>
      <c r="AF183" s="139">
        <f t="shared" si="84"/>
        <v>0.11364821790785279</v>
      </c>
      <c r="AG183" s="139" t="str">
        <f t="shared" si="85"/>
        <v/>
      </c>
      <c r="AH183" s="139" t="str">
        <f t="shared" si="86"/>
        <v/>
      </c>
      <c r="AI183" s="139" t="str">
        <f t="shared" si="87"/>
        <v/>
      </c>
      <c r="AJ183" s="139" t="str">
        <f t="shared" si="88"/>
        <v/>
      </c>
      <c r="AK183" s="139" t="str">
        <f t="shared" si="89"/>
        <v/>
      </c>
      <c r="AL183" s="139" t="str">
        <f t="shared" si="90"/>
        <v/>
      </c>
      <c r="AM183" s="139" t="str">
        <f t="shared" si="91"/>
        <v/>
      </c>
      <c r="AN183" s="139" t="str">
        <f t="shared" si="92"/>
        <v/>
      </c>
      <c r="AP183" s="82">
        <f t="shared" si="80"/>
        <v>4.444288992521186E-6</v>
      </c>
      <c r="AQ183" s="82">
        <f t="shared" si="81"/>
        <v>0.99802121710674307</v>
      </c>
    </row>
    <row r="184" spans="2:43" x14ac:dyDescent="0.35">
      <c r="B184" s="83" t="s">
        <v>278</v>
      </c>
      <c r="D184" s="137">
        <v>154571</v>
      </c>
      <c r="E184" s="137"/>
      <c r="F184" s="137"/>
      <c r="G184" s="137"/>
      <c r="H184" s="137">
        <f t="shared" si="62"/>
        <v>154571</v>
      </c>
      <c r="J184" s="137">
        <v>26372</v>
      </c>
      <c r="K184" s="137"/>
      <c r="L184" s="137"/>
      <c r="M184" s="137"/>
      <c r="N184" s="137">
        <f t="shared" si="63"/>
        <v>26372</v>
      </c>
      <c r="P184" s="84">
        <f t="shared" si="64"/>
        <v>0.17061415142555847</v>
      </c>
      <c r="Q184" s="84" t="str">
        <f t="shared" si="65"/>
        <v/>
      </c>
      <c r="R184" s="84" t="str">
        <f t="shared" si="66"/>
        <v/>
      </c>
      <c r="S184" s="84" t="str">
        <f t="shared" si="67"/>
        <v/>
      </c>
      <c r="T184" s="84" t="str">
        <f>+IFERROR(#REF!/#REF!,"")</f>
        <v/>
      </c>
      <c r="U184" s="84" t="str">
        <f>+IFERROR(#REF!/#REF!,"")</f>
        <v/>
      </c>
      <c r="V184" s="84" t="str">
        <f>+IFERROR(#REF!/#REF!,"")</f>
        <v/>
      </c>
      <c r="W184" s="84" t="str">
        <f>+IFERROR(#REF!/#REF!,"")</f>
        <v/>
      </c>
      <c r="X184" s="84" t="str">
        <f>+IFERROR(#REF!/#REF!,"")</f>
        <v/>
      </c>
      <c r="Y184" s="84" t="str">
        <f>+IFERROR(#REF!/#REF!,"")</f>
        <v/>
      </c>
      <c r="Z184" s="84" t="str">
        <f>+IFERROR(#REF!/#REF!,"")</f>
        <v/>
      </c>
      <c r="AA184" s="84" t="str">
        <f>+IFERROR(#REF!/#REF!,"")</f>
        <v/>
      </c>
      <c r="AB184" s="84">
        <f t="shared" si="68"/>
        <v>0.17061415142555847</v>
      </c>
      <c r="AD184" s="139" t="str">
        <f t="shared" si="82"/>
        <v/>
      </c>
      <c r="AE184" s="139" t="str">
        <f t="shared" si="83"/>
        <v/>
      </c>
      <c r="AF184" s="139" t="str">
        <f t="shared" si="84"/>
        <v/>
      </c>
      <c r="AG184" s="139" t="str">
        <f t="shared" si="85"/>
        <v/>
      </c>
      <c r="AH184" s="139" t="str">
        <f t="shared" si="86"/>
        <v/>
      </c>
      <c r="AI184" s="139" t="str">
        <f t="shared" si="87"/>
        <v/>
      </c>
      <c r="AJ184" s="139" t="str">
        <f t="shared" si="88"/>
        <v/>
      </c>
      <c r="AK184" s="139" t="str">
        <f t="shared" si="89"/>
        <v/>
      </c>
      <c r="AL184" s="139" t="str">
        <f t="shared" si="90"/>
        <v/>
      </c>
      <c r="AM184" s="139" t="str">
        <f t="shared" si="91"/>
        <v/>
      </c>
      <c r="AN184" s="139" t="str">
        <f t="shared" si="92"/>
        <v/>
      </c>
      <c r="AP184" s="82">
        <f t="shared" si="80"/>
        <v>2.6039722130808424E-5</v>
      </c>
      <c r="AQ184" s="82">
        <f t="shared" si="81"/>
        <v>0.99804725682887385</v>
      </c>
    </row>
    <row r="185" spans="2:43" x14ac:dyDescent="0.35">
      <c r="B185" s="83" t="s">
        <v>279</v>
      </c>
      <c r="D185" s="137">
        <v>4623</v>
      </c>
      <c r="E185" s="137">
        <v>14718</v>
      </c>
      <c r="F185" s="137">
        <v>6752</v>
      </c>
      <c r="G185" s="137">
        <v>84492</v>
      </c>
      <c r="H185" s="137">
        <f t="shared" si="62"/>
        <v>110585</v>
      </c>
      <c r="J185" s="137">
        <v>198</v>
      </c>
      <c r="K185" s="137">
        <v>3237</v>
      </c>
      <c r="L185" s="137">
        <v>3927</v>
      </c>
      <c r="M185" s="137">
        <v>23946</v>
      </c>
      <c r="N185" s="137">
        <f t="shared" si="63"/>
        <v>31308</v>
      </c>
      <c r="P185" s="84">
        <f t="shared" si="64"/>
        <v>4.2829331602855292E-2</v>
      </c>
      <c r="Q185" s="84">
        <f t="shared" si="65"/>
        <v>0.21993477374643294</v>
      </c>
      <c r="R185" s="84">
        <f t="shared" si="66"/>
        <v>0.58160545023696686</v>
      </c>
      <c r="S185" s="84">
        <f t="shared" si="67"/>
        <v>0.2834114472376083</v>
      </c>
      <c r="T185" s="84" t="str">
        <f>+IFERROR(#REF!/#REF!,"")</f>
        <v/>
      </c>
      <c r="U185" s="84" t="str">
        <f>+IFERROR(#REF!/#REF!,"")</f>
        <v/>
      </c>
      <c r="V185" s="84" t="str">
        <f>+IFERROR(#REF!/#REF!,"")</f>
        <v/>
      </c>
      <c r="W185" s="84" t="str">
        <f>+IFERROR(#REF!/#REF!,"")</f>
        <v/>
      </c>
      <c r="X185" s="84" t="str">
        <f>+IFERROR(#REF!/#REF!,"")</f>
        <v/>
      </c>
      <c r="Y185" s="84" t="str">
        <f>+IFERROR(#REF!/#REF!,"")</f>
        <v/>
      </c>
      <c r="Z185" s="84" t="str">
        <f>+IFERROR(#REF!/#REF!,"")</f>
        <v/>
      </c>
      <c r="AA185" s="84" t="str">
        <f>+IFERROR(#REF!/#REF!,"")</f>
        <v/>
      </c>
      <c r="AB185" s="84">
        <f t="shared" si="68"/>
        <v>0.2831125378667993</v>
      </c>
      <c r="AD185" s="139">
        <f t="shared" si="82"/>
        <v>0.17710544214357765</v>
      </c>
      <c r="AE185" s="139">
        <f t="shared" si="83"/>
        <v>0.36167067649053392</v>
      </c>
      <c r="AF185" s="139">
        <f t="shared" si="84"/>
        <v>-0.29819400299935855</v>
      </c>
      <c r="AG185" s="139" t="str">
        <f t="shared" si="85"/>
        <v/>
      </c>
      <c r="AH185" s="139" t="str">
        <f t="shared" si="86"/>
        <v/>
      </c>
      <c r="AI185" s="139" t="str">
        <f t="shared" si="87"/>
        <v/>
      </c>
      <c r="AJ185" s="139" t="str">
        <f t="shared" si="88"/>
        <v/>
      </c>
      <c r="AK185" s="139" t="str">
        <f t="shared" si="89"/>
        <v/>
      </c>
      <c r="AL185" s="139" t="str">
        <f t="shared" si="90"/>
        <v/>
      </c>
      <c r="AM185" s="139" t="str">
        <f t="shared" si="91"/>
        <v/>
      </c>
      <c r="AN185" s="139" t="str">
        <f t="shared" si="92"/>
        <v/>
      </c>
      <c r="AP185" s="82">
        <f t="shared" si="80"/>
        <v>3.0913530277239118E-5</v>
      </c>
      <c r="AQ185" s="82">
        <f t="shared" si="81"/>
        <v>0.99807817035915114</v>
      </c>
    </row>
    <row r="186" spans="2:43" x14ac:dyDescent="0.35">
      <c r="B186" s="83" t="s">
        <v>280</v>
      </c>
      <c r="D186" s="137"/>
      <c r="E186" s="137"/>
      <c r="F186" s="137"/>
      <c r="G186" s="137"/>
      <c r="H186" s="137">
        <f t="shared" si="62"/>
        <v>0</v>
      </c>
      <c r="J186" s="137"/>
      <c r="K186" s="137"/>
      <c r="L186" s="137"/>
      <c r="M186" s="137"/>
      <c r="N186" s="137">
        <f t="shared" si="63"/>
        <v>0</v>
      </c>
      <c r="P186" s="84" t="str">
        <f t="shared" si="64"/>
        <v/>
      </c>
      <c r="Q186" s="84" t="str">
        <f t="shared" si="65"/>
        <v/>
      </c>
      <c r="R186" s="84" t="str">
        <f t="shared" si="66"/>
        <v/>
      </c>
      <c r="S186" s="84" t="str">
        <f t="shared" si="67"/>
        <v/>
      </c>
      <c r="T186" s="84" t="str">
        <f>+IFERROR(#REF!/#REF!,"")</f>
        <v/>
      </c>
      <c r="U186" s="84" t="str">
        <f>+IFERROR(#REF!/#REF!,"")</f>
        <v/>
      </c>
      <c r="V186" s="84" t="str">
        <f>+IFERROR(#REF!/#REF!,"")</f>
        <v/>
      </c>
      <c r="W186" s="84" t="str">
        <f>+IFERROR(#REF!/#REF!,"")</f>
        <v/>
      </c>
      <c r="X186" s="84" t="str">
        <f>+IFERROR(#REF!/#REF!,"")</f>
        <v/>
      </c>
      <c r="Y186" s="84" t="str">
        <f>+IFERROR(#REF!/#REF!,"")</f>
        <v/>
      </c>
      <c r="Z186" s="84" t="str">
        <f>+IFERROR(#REF!/#REF!,"")</f>
        <v/>
      </c>
      <c r="AA186" s="84" t="str">
        <f>+IFERROR(#REF!/#REF!,"")</f>
        <v/>
      </c>
      <c r="AB186" s="84" t="str">
        <f t="shared" si="68"/>
        <v/>
      </c>
      <c r="AD186" s="139" t="str">
        <f t="shared" si="82"/>
        <v/>
      </c>
      <c r="AE186" s="139" t="str">
        <f t="shared" si="83"/>
        <v/>
      </c>
      <c r="AF186" s="139" t="str">
        <f t="shared" si="84"/>
        <v/>
      </c>
      <c r="AG186" s="139" t="str">
        <f t="shared" si="85"/>
        <v/>
      </c>
      <c r="AH186" s="139" t="str">
        <f t="shared" si="86"/>
        <v/>
      </c>
      <c r="AI186" s="139" t="str">
        <f t="shared" si="87"/>
        <v/>
      </c>
      <c r="AJ186" s="139" t="str">
        <f t="shared" si="88"/>
        <v/>
      </c>
      <c r="AK186" s="139" t="str">
        <f t="shared" si="89"/>
        <v/>
      </c>
      <c r="AL186" s="139" t="str">
        <f t="shared" si="90"/>
        <v/>
      </c>
      <c r="AM186" s="139" t="str">
        <f t="shared" si="91"/>
        <v/>
      </c>
      <c r="AN186" s="139" t="str">
        <f t="shared" si="92"/>
        <v/>
      </c>
      <c r="AP186" s="82">
        <f t="shared" si="80"/>
        <v>0</v>
      </c>
      <c r="AQ186" s="82">
        <f t="shared" si="81"/>
        <v>0.99807817035915114</v>
      </c>
    </row>
    <row r="187" spans="2:43" x14ac:dyDescent="0.35">
      <c r="B187" s="83" t="s">
        <v>281</v>
      </c>
      <c r="D187" s="137">
        <v>741</v>
      </c>
      <c r="E187" s="137">
        <v>567</v>
      </c>
      <c r="F187" s="137">
        <v>182</v>
      </c>
      <c r="G187" s="137"/>
      <c r="H187" s="137">
        <f t="shared" si="62"/>
        <v>1490</v>
      </c>
      <c r="J187" s="137">
        <v>244</v>
      </c>
      <c r="K187" s="137">
        <v>35</v>
      </c>
      <c r="L187" s="137">
        <v>79</v>
      </c>
      <c r="M187" s="137"/>
      <c r="N187" s="137">
        <f t="shared" si="63"/>
        <v>358</v>
      </c>
      <c r="P187" s="84">
        <f t="shared" si="64"/>
        <v>0.32928475033738192</v>
      </c>
      <c r="Q187" s="84">
        <f t="shared" si="65"/>
        <v>6.1728395061728392E-2</v>
      </c>
      <c r="R187" s="84">
        <f t="shared" si="66"/>
        <v>0.43406593406593408</v>
      </c>
      <c r="S187" s="84" t="str">
        <f t="shared" si="67"/>
        <v/>
      </c>
      <c r="T187" s="84" t="str">
        <f>+IFERROR(#REF!/#REF!,"")</f>
        <v/>
      </c>
      <c r="U187" s="84" t="str">
        <f>+IFERROR(#REF!/#REF!,"")</f>
        <v/>
      </c>
      <c r="V187" s="84" t="str">
        <f>+IFERROR(#REF!/#REF!,"")</f>
        <v/>
      </c>
      <c r="W187" s="84" t="str">
        <f>+IFERROR(#REF!/#REF!,"")</f>
        <v/>
      </c>
      <c r="X187" s="84" t="str">
        <f>+IFERROR(#REF!/#REF!,"")</f>
        <v/>
      </c>
      <c r="Y187" s="84" t="str">
        <f>+IFERROR(#REF!/#REF!,"")</f>
        <v/>
      </c>
      <c r="Z187" s="84" t="str">
        <f>+IFERROR(#REF!/#REF!,"")</f>
        <v/>
      </c>
      <c r="AA187" s="84" t="str">
        <f>+IFERROR(#REF!/#REF!,"")</f>
        <v/>
      </c>
      <c r="AB187" s="84">
        <f t="shared" si="68"/>
        <v>0.24026845637583893</v>
      </c>
      <c r="AD187" s="139">
        <f t="shared" si="82"/>
        <v>-0.26755635527565352</v>
      </c>
      <c r="AE187" s="139">
        <f t="shared" si="83"/>
        <v>0.37233753900420569</v>
      </c>
      <c r="AF187" s="139" t="str">
        <f t="shared" si="84"/>
        <v/>
      </c>
      <c r="AG187" s="139" t="str">
        <f t="shared" si="85"/>
        <v/>
      </c>
      <c r="AH187" s="139" t="str">
        <f t="shared" si="86"/>
        <v/>
      </c>
      <c r="AI187" s="139" t="str">
        <f t="shared" si="87"/>
        <v/>
      </c>
      <c r="AJ187" s="139" t="str">
        <f t="shared" si="88"/>
        <v/>
      </c>
      <c r="AK187" s="139" t="str">
        <f t="shared" si="89"/>
        <v/>
      </c>
      <c r="AL187" s="139" t="str">
        <f t="shared" si="90"/>
        <v/>
      </c>
      <c r="AM187" s="139" t="str">
        <f t="shared" si="91"/>
        <v/>
      </c>
      <c r="AN187" s="139" t="str">
        <f t="shared" si="92"/>
        <v/>
      </c>
      <c r="AP187" s="82">
        <f t="shared" si="80"/>
        <v>3.5348932666575971E-7</v>
      </c>
      <c r="AQ187" s="82">
        <f t="shared" si="81"/>
        <v>0.99807852384847784</v>
      </c>
    </row>
    <row r="188" spans="2:43" x14ac:dyDescent="0.35">
      <c r="B188" s="83" t="s">
        <v>282</v>
      </c>
      <c r="D188" s="137"/>
      <c r="E188" s="137">
        <v>21012</v>
      </c>
      <c r="F188" s="137"/>
      <c r="G188" s="137">
        <v>29891</v>
      </c>
      <c r="H188" s="137">
        <f t="shared" si="62"/>
        <v>50903</v>
      </c>
      <c r="J188" s="137"/>
      <c r="K188" s="137">
        <v>1570</v>
      </c>
      <c r="L188" s="137"/>
      <c r="M188" s="137">
        <v>679</v>
      </c>
      <c r="N188" s="137">
        <f t="shared" si="63"/>
        <v>2249</v>
      </c>
      <c r="P188" s="84" t="str">
        <f t="shared" si="64"/>
        <v/>
      </c>
      <c r="Q188" s="84">
        <f t="shared" si="65"/>
        <v>7.4719208071578141E-2</v>
      </c>
      <c r="R188" s="84" t="str">
        <f t="shared" si="66"/>
        <v/>
      </c>
      <c r="S188" s="84">
        <f t="shared" si="67"/>
        <v>2.2715867652470644E-2</v>
      </c>
      <c r="T188" s="84" t="str">
        <f>+IFERROR(#REF!/#REF!,"")</f>
        <v/>
      </c>
      <c r="U188" s="84" t="str">
        <f>+IFERROR(#REF!/#REF!,"")</f>
        <v/>
      </c>
      <c r="V188" s="84" t="str">
        <f>+IFERROR(#REF!/#REF!,"")</f>
        <v/>
      </c>
      <c r="W188" s="84" t="str">
        <f>+IFERROR(#REF!/#REF!,"")</f>
        <v/>
      </c>
      <c r="X188" s="84" t="str">
        <f>+IFERROR(#REF!/#REF!,"")</f>
        <v/>
      </c>
      <c r="Y188" s="84" t="str">
        <f>+IFERROR(#REF!/#REF!,"")</f>
        <v/>
      </c>
      <c r="Z188" s="84" t="str">
        <f>+IFERROR(#REF!/#REF!,"")</f>
        <v/>
      </c>
      <c r="AA188" s="84" t="str">
        <f>+IFERROR(#REF!/#REF!,"")</f>
        <v/>
      </c>
      <c r="AB188" s="84">
        <f t="shared" si="68"/>
        <v>4.4182071783588392E-2</v>
      </c>
      <c r="AD188" s="139" t="str">
        <f t="shared" si="82"/>
        <v/>
      </c>
      <c r="AE188" s="139" t="str">
        <f t="shared" si="83"/>
        <v/>
      </c>
      <c r="AF188" s="139" t="str">
        <f t="shared" si="84"/>
        <v/>
      </c>
      <c r="AG188" s="139" t="str">
        <f t="shared" si="85"/>
        <v/>
      </c>
      <c r="AH188" s="139" t="str">
        <f t="shared" si="86"/>
        <v/>
      </c>
      <c r="AI188" s="139" t="str">
        <f t="shared" si="87"/>
        <v/>
      </c>
      <c r="AJ188" s="139" t="str">
        <f t="shared" si="88"/>
        <v/>
      </c>
      <c r="AK188" s="139" t="str">
        <f t="shared" si="89"/>
        <v/>
      </c>
      <c r="AL188" s="139" t="str">
        <f t="shared" si="90"/>
        <v/>
      </c>
      <c r="AM188" s="139" t="str">
        <f t="shared" si="91"/>
        <v/>
      </c>
      <c r="AN188" s="139" t="str">
        <f t="shared" si="92"/>
        <v/>
      </c>
      <c r="AP188" s="82">
        <f t="shared" si="80"/>
        <v>2.2206633957298706E-6</v>
      </c>
      <c r="AQ188" s="82">
        <f t="shared" si="81"/>
        <v>0.99808074451187356</v>
      </c>
    </row>
    <row r="189" spans="2:43" x14ac:dyDescent="0.35">
      <c r="B189" s="83" t="s">
        <v>283</v>
      </c>
      <c r="D189" s="137"/>
      <c r="E189" s="137"/>
      <c r="F189" s="137"/>
      <c r="G189" s="137"/>
      <c r="H189" s="137">
        <f t="shared" si="62"/>
        <v>0</v>
      </c>
      <c r="J189" s="137"/>
      <c r="K189" s="137"/>
      <c r="L189" s="137"/>
      <c r="M189" s="137"/>
      <c r="N189" s="137">
        <f t="shared" si="63"/>
        <v>0</v>
      </c>
      <c r="P189" s="84" t="str">
        <f t="shared" si="64"/>
        <v/>
      </c>
      <c r="Q189" s="84" t="str">
        <f t="shared" si="65"/>
        <v/>
      </c>
      <c r="R189" s="84" t="str">
        <f t="shared" si="66"/>
        <v/>
      </c>
      <c r="S189" s="84" t="str">
        <f t="shared" si="67"/>
        <v/>
      </c>
      <c r="T189" s="84" t="str">
        <f>+IFERROR(#REF!/#REF!,"")</f>
        <v/>
      </c>
      <c r="U189" s="84" t="str">
        <f>+IFERROR(#REF!/#REF!,"")</f>
        <v/>
      </c>
      <c r="V189" s="84" t="str">
        <f>+IFERROR(#REF!/#REF!,"")</f>
        <v/>
      </c>
      <c r="W189" s="84" t="str">
        <f>+IFERROR(#REF!/#REF!,"")</f>
        <v/>
      </c>
      <c r="X189" s="84" t="str">
        <f>+IFERROR(#REF!/#REF!,"")</f>
        <v/>
      </c>
      <c r="Y189" s="84" t="str">
        <f>+IFERROR(#REF!/#REF!,"")</f>
        <v/>
      </c>
      <c r="Z189" s="84" t="str">
        <f>+IFERROR(#REF!/#REF!,"")</f>
        <v/>
      </c>
      <c r="AA189" s="84" t="str">
        <f>+IFERROR(#REF!/#REF!,"")</f>
        <v/>
      </c>
      <c r="AB189" s="84" t="str">
        <f t="shared" si="68"/>
        <v/>
      </c>
      <c r="AD189" s="139" t="str">
        <f t="shared" si="82"/>
        <v/>
      </c>
      <c r="AE189" s="139" t="str">
        <f t="shared" si="83"/>
        <v/>
      </c>
      <c r="AF189" s="139" t="str">
        <f t="shared" si="84"/>
        <v/>
      </c>
      <c r="AG189" s="139" t="str">
        <f t="shared" si="85"/>
        <v/>
      </c>
      <c r="AH189" s="139" t="str">
        <f t="shared" si="86"/>
        <v/>
      </c>
      <c r="AI189" s="139" t="str">
        <f t="shared" si="87"/>
        <v/>
      </c>
      <c r="AJ189" s="139" t="str">
        <f t="shared" si="88"/>
        <v/>
      </c>
      <c r="AK189" s="139" t="str">
        <f t="shared" si="89"/>
        <v/>
      </c>
      <c r="AL189" s="139" t="str">
        <f t="shared" si="90"/>
        <v/>
      </c>
      <c r="AM189" s="139" t="str">
        <f t="shared" si="91"/>
        <v/>
      </c>
      <c r="AN189" s="139" t="str">
        <f t="shared" si="92"/>
        <v/>
      </c>
      <c r="AP189" s="82">
        <f t="shared" si="80"/>
        <v>0</v>
      </c>
      <c r="AQ189" s="82">
        <f t="shared" si="81"/>
        <v>0.99808074451187356</v>
      </c>
    </row>
    <row r="190" spans="2:43" x14ac:dyDescent="0.35">
      <c r="B190" s="83" t="s">
        <v>284</v>
      </c>
      <c r="D190" s="137">
        <v>32077</v>
      </c>
      <c r="E190" s="137">
        <v>40822</v>
      </c>
      <c r="F190" s="137">
        <v>205618</v>
      </c>
      <c r="G190" s="137">
        <v>59631</v>
      </c>
      <c r="H190" s="137">
        <f t="shared" si="62"/>
        <v>338148</v>
      </c>
      <c r="J190" s="137">
        <v>-44</v>
      </c>
      <c r="K190" s="137">
        <v>5967</v>
      </c>
      <c r="L190" s="137">
        <v>32805</v>
      </c>
      <c r="M190" s="137">
        <v>7149</v>
      </c>
      <c r="N190" s="137">
        <f t="shared" si="63"/>
        <v>45877</v>
      </c>
      <c r="P190" s="84">
        <f t="shared" si="64"/>
        <v>-1.3716993484428094E-3</v>
      </c>
      <c r="Q190" s="84">
        <f t="shared" si="65"/>
        <v>0.14617118220567341</v>
      </c>
      <c r="R190" s="84">
        <f t="shared" si="66"/>
        <v>0.15954342518651091</v>
      </c>
      <c r="S190" s="84">
        <f t="shared" si="67"/>
        <v>0.11988730693766665</v>
      </c>
      <c r="T190" s="84" t="str">
        <f>+IFERROR(#REF!/#REF!,"")</f>
        <v/>
      </c>
      <c r="U190" s="84" t="str">
        <f>+IFERROR(#REF!/#REF!,"")</f>
        <v/>
      </c>
      <c r="V190" s="84" t="str">
        <f>+IFERROR(#REF!/#REF!,"")</f>
        <v/>
      </c>
      <c r="W190" s="84" t="str">
        <f>+IFERROR(#REF!/#REF!,"")</f>
        <v/>
      </c>
      <c r="X190" s="84" t="str">
        <f>+IFERROR(#REF!/#REF!,"")</f>
        <v/>
      </c>
      <c r="Y190" s="84" t="str">
        <f>+IFERROR(#REF!/#REF!,"")</f>
        <v/>
      </c>
      <c r="Z190" s="84" t="str">
        <f>+IFERROR(#REF!/#REF!,"")</f>
        <v/>
      </c>
      <c r="AA190" s="84" t="str">
        <f>+IFERROR(#REF!/#REF!,"")</f>
        <v/>
      </c>
      <c r="AB190" s="84">
        <f t="shared" si="68"/>
        <v>0.13567136283520825</v>
      </c>
      <c r="AD190" s="139">
        <f t="shared" si="82"/>
        <v>0.14754288155411621</v>
      </c>
      <c r="AE190" s="139">
        <f t="shared" si="83"/>
        <v>1.3372242980837501E-2</v>
      </c>
      <c r="AF190" s="139">
        <f t="shared" si="84"/>
        <v>-3.9656118248844255E-2</v>
      </c>
      <c r="AG190" s="139" t="str">
        <f t="shared" si="85"/>
        <v/>
      </c>
      <c r="AH190" s="139" t="str">
        <f t="shared" si="86"/>
        <v/>
      </c>
      <c r="AI190" s="139" t="str">
        <f t="shared" si="87"/>
        <v/>
      </c>
      <c r="AJ190" s="139" t="str">
        <f t="shared" si="88"/>
        <v/>
      </c>
      <c r="AK190" s="139" t="str">
        <f t="shared" si="89"/>
        <v/>
      </c>
      <c r="AL190" s="139" t="str">
        <f t="shared" si="90"/>
        <v/>
      </c>
      <c r="AM190" s="139" t="str">
        <f t="shared" si="91"/>
        <v/>
      </c>
      <c r="AN190" s="139" t="str">
        <f t="shared" si="92"/>
        <v/>
      </c>
      <c r="AP190" s="82">
        <f t="shared" si="80"/>
        <v>4.5298966031969437E-5</v>
      </c>
      <c r="AQ190" s="82">
        <f t="shared" si="81"/>
        <v>0.99812604347790557</v>
      </c>
    </row>
    <row r="191" spans="2:43" x14ac:dyDescent="0.35">
      <c r="B191" s="83" t="s">
        <v>285</v>
      </c>
      <c r="D191" s="137"/>
      <c r="E191" s="137"/>
      <c r="F191" s="137"/>
      <c r="G191" s="137">
        <v>275</v>
      </c>
      <c r="H191" s="137">
        <f t="shared" si="62"/>
        <v>275</v>
      </c>
      <c r="J191" s="137"/>
      <c r="K191" s="137"/>
      <c r="L191" s="137"/>
      <c r="M191" s="137">
        <v>169</v>
      </c>
      <c r="N191" s="137">
        <f t="shared" si="63"/>
        <v>169</v>
      </c>
      <c r="P191" s="84" t="str">
        <f t="shared" si="64"/>
        <v/>
      </c>
      <c r="Q191" s="84" t="str">
        <f t="shared" si="65"/>
        <v/>
      </c>
      <c r="R191" s="84" t="str">
        <f t="shared" si="66"/>
        <v/>
      </c>
      <c r="S191" s="84">
        <f t="shared" si="67"/>
        <v>0.61454545454545451</v>
      </c>
      <c r="T191" s="84" t="str">
        <f>+IFERROR(#REF!/#REF!,"")</f>
        <v/>
      </c>
      <c r="U191" s="84" t="str">
        <f>+IFERROR(#REF!/#REF!,"")</f>
        <v/>
      </c>
      <c r="V191" s="84" t="str">
        <f>+IFERROR(#REF!/#REF!,"")</f>
        <v/>
      </c>
      <c r="W191" s="84" t="str">
        <f>+IFERROR(#REF!/#REF!,"")</f>
        <v/>
      </c>
      <c r="X191" s="84" t="str">
        <f>+IFERROR(#REF!/#REF!,"")</f>
        <v/>
      </c>
      <c r="Y191" s="84" t="str">
        <f>+IFERROR(#REF!/#REF!,"")</f>
        <v/>
      </c>
      <c r="Z191" s="84" t="str">
        <f>+IFERROR(#REF!/#REF!,"")</f>
        <v/>
      </c>
      <c r="AA191" s="84" t="str">
        <f>+IFERROR(#REF!/#REF!,"")</f>
        <v/>
      </c>
      <c r="AB191" s="84">
        <f t="shared" si="68"/>
        <v>0.61454545454545451</v>
      </c>
      <c r="AD191" s="139" t="str">
        <f t="shared" si="82"/>
        <v/>
      </c>
      <c r="AE191" s="139" t="str">
        <f t="shared" si="83"/>
        <v/>
      </c>
      <c r="AF191" s="139" t="str">
        <f t="shared" si="84"/>
        <v/>
      </c>
      <c r="AG191" s="139" t="str">
        <f t="shared" si="85"/>
        <v/>
      </c>
      <c r="AH191" s="139" t="str">
        <f t="shared" si="86"/>
        <v/>
      </c>
      <c r="AI191" s="139" t="str">
        <f t="shared" si="87"/>
        <v/>
      </c>
      <c r="AJ191" s="139" t="str">
        <f t="shared" si="88"/>
        <v/>
      </c>
      <c r="AK191" s="139" t="str">
        <f t="shared" si="89"/>
        <v/>
      </c>
      <c r="AL191" s="139" t="str">
        <f t="shared" si="90"/>
        <v/>
      </c>
      <c r="AM191" s="139" t="str">
        <f t="shared" si="91"/>
        <v/>
      </c>
      <c r="AN191" s="139" t="str">
        <f t="shared" si="92"/>
        <v/>
      </c>
      <c r="AP191" s="82">
        <f t="shared" si="80"/>
        <v>1.6687065979473014E-7</v>
      </c>
      <c r="AQ191" s="82">
        <f t="shared" si="81"/>
        <v>0.99812621034856541</v>
      </c>
    </row>
    <row r="192" spans="2:43" x14ac:dyDescent="0.35">
      <c r="B192" s="83" t="s">
        <v>286</v>
      </c>
      <c r="D192" s="137">
        <v>22023</v>
      </c>
      <c r="E192" s="137">
        <v>5907</v>
      </c>
      <c r="F192" s="137">
        <v>1592</v>
      </c>
      <c r="G192" s="137">
        <v>12472</v>
      </c>
      <c r="H192" s="137">
        <f t="shared" si="62"/>
        <v>41994</v>
      </c>
      <c r="J192" s="137">
        <v>46</v>
      </c>
      <c r="K192" s="137">
        <v>2450</v>
      </c>
      <c r="L192" s="137">
        <v>1225</v>
      </c>
      <c r="M192" s="137">
        <v>231</v>
      </c>
      <c r="N192" s="137">
        <f t="shared" si="63"/>
        <v>3952</v>
      </c>
      <c r="P192" s="84">
        <f t="shared" si="64"/>
        <v>2.0887254234209689E-3</v>
      </c>
      <c r="Q192" s="84">
        <f t="shared" si="65"/>
        <v>0.41476214660572203</v>
      </c>
      <c r="R192" s="84">
        <f t="shared" si="66"/>
        <v>0.76947236180904521</v>
      </c>
      <c r="S192" s="84">
        <f t="shared" si="67"/>
        <v>1.8521488133418858E-2</v>
      </c>
      <c r="T192" s="84" t="str">
        <f>+IFERROR(#REF!/#REF!,"")</f>
        <v/>
      </c>
      <c r="U192" s="84" t="str">
        <f>+IFERROR(#REF!/#REF!,"")</f>
        <v/>
      </c>
      <c r="V192" s="84" t="str">
        <f>+IFERROR(#REF!/#REF!,"")</f>
        <v/>
      </c>
      <c r="W192" s="84" t="str">
        <f>+IFERROR(#REF!/#REF!,"")</f>
        <v/>
      </c>
      <c r="X192" s="84" t="str">
        <f>+IFERROR(#REF!/#REF!,"")</f>
        <v/>
      </c>
      <c r="Y192" s="84" t="str">
        <f>+IFERROR(#REF!/#REF!,"")</f>
        <v/>
      </c>
      <c r="Z192" s="84" t="str">
        <f>+IFERROR(#REF!/#REF!,"")</f>
        <v/>
      </c>
      <c r="AA192" s="84" t="str">
        <f>+IFERROR(#REF!/#REF!,"")</f>
        <v/>
      </c>
      <c r="AB192" s="84">
        <f t="shared" si="68"/>
        <v>9.4108682192694193E-2</v>
      </c>
      <c r="AD192" s="139">
        <f t="shared" si="82"/>
        <v>0.41267342118230105</v>
      </c>
      <c r="AE192" s="139">
        <f t="shared" si="83"/>
        <v>0.35471021520332319</v>
      </c>
      <c r="AF192" s="139">
        <f t="shared" si="84"/>
        <v>-0.75095087367562641</v>
      </c>
      <c r="AG192" s="139" t="str">
        <f t="shared" si="85"/>
        <v/>
      </c>
      <c r="AH192" s="139" t="str">
        <f t="shared" si="86"/>
        <v/>
      </c>
      <c r="AI192" s="139" t="str">
        <f t="shared" si="87"/>
        <v/>
      </c>
      <c r="AJ192" s="139" t="str">
        <f t="shared" si="88"/>
        <v/>
      </c>
      <c r="AK192" s="139" t="str">
        <f t="shared" si="89"/>
        <v/>
      </c>
      <c r="AL192" s="139" t="str">
        <f t="shared" si="90"/>
        <v/>
      </c>
      <c r="AM192" s="139" t="str">
        <f t="shared" si="91"/>
        <v/>
      </c>
      <c r="AN192" s="139" t="str">
        <f t="shared" si="92"/>
        <v/>
      </c>
      <c r="AP192" s="82">
        <f t="shared" si="80"/>
        <v>3.9022061982767667E-6</v>
      </c>
      <c r="AQ192" s="82">
        <f t="shared" si="81"/>
        <v>0.99813011255476369</v>
      </c>
    </row>
    <row r="193" spans="2:43" x14ac:dyDescent="0.35">
      <c r="B193" s="83" t="s">
        <v>287</v>
      </c>
      <c r="D193" s="137"/>
      <c r="E193" s="137"/>
      <c r="F193" s="137"/>
      <c r="G193" s="137"/>
      <c r="H193" s="137">
        <f t="shared" si="62"/>
        <v>0</v>
      </c>
      <c r="J193" s="137"/>
      <c r="K193" s="137"/>
      <c r="L193" s="137"/>
      <c r="M193" s="137"/>
      <c r="N193" s="137">
        <f t="shared" si="63"/>
        <v>0</v>
      </c>
      <c r="P193" s="84" t="str">
        <f t="shared" si="64"/>
        <v/>
      </c>
      <c r="Q193" s="84" t="str">
        <f t="shared" si="65"/>
        <v/>
      </c>
      <c r="R193" s="84" t="str">
        <f t="shared" si="66"/>
        <v/>
      </c>
      <c r="S193" s="84" t="str">
        <f t="shared" si="67"/>
        <v/>
      </c>
      <c r="T193" s="84" t="str">
        <f>+IFERROR(#REF!/#REF!,"")</f>
        <v/>
      </c>
      <c r="U193" s="84" t="str">
        <f>+IFERROR(#REF!/#REF!,"")</f>
        <v/>
      </c>
      <c r="V193" s="84" t="str">
        <f>+IFERROR(#REF!/#REF!,"")</f>
        <v/>
      </c>
      <c r="W193" s="84" t="str">
        <f>+IFERROR(#REF!/#REF!,"")</f>
        <v/>
      </c>
      <c r="X193" s="84" t="str">
        <f>+IFERROR(#REF!/#REF!,"")</f>
        <v/>
      </c>
      <c r="Y193" s="84" t="str">
        <f>+IFERROR(#REF!/#REF!,"")</f>
        <v/>
      </c>
      <c r="Z193" s="84" t="str">
        <f>+IFERROR(#REF!/#REF!,"")</f>
        <v/>
      </c>
      <c r="AA193" s="84" t="str">
        <f>+IFERROR(#REF!/#REF!,"")</f>
        <v/>
      </c>
      <c r="AB193" s="84" t="str">
        <f t="shared" si="68"/>
        <v/>
      </c>
      <c r="AD193" s="139" t="str">
        <f t="shared" si="82"/>
        <v/>
      </c>
      <c r="AE193" s="139" t="str">
        <f t="shared" si="83"/>
        <v/>
      </c>
      <c r="AF193" s="139" t="str">
        <f t="shared" si="84"/>
        <v/>
      </c>
      <c r="AG193" s="139" t="str">
        <f t="shared" si="85"/>
        <v/>
      </c>
      <c r="AH193" s="139" t="str">
        <f t="shared" si="86"/>
        <v/>
      </c>
      <c r="AI193" s="139" t="str">
        <f t="shared" si="87"/>
        <v/>
      </c>
      <c r="AJ193" s="139" t="str">
        <f t="shared" si="88"/>
        <v/>
      </c>
      <c r="AK193" s="139" t="str">
        <f t="shared" si="89"/>
        <v/>
      </c>
      <c r="AL193" s="139" t="str">
        <f t="shared" si="90"/>
        <v/>
      </c>
      <c r="AM193" s="139" t="str">
        <f t="shared" si="91"/>
        <v/>
      </c>
      <c r="AN193" s="139" t="str">
        <f t="shared" si="92"/>
        <v/>
      </c>
      <c r="AP193" s="82">
        <f t="shared" si="80"/>
        <v>0</v>
      </c>
      <c r="AQ193" s="82">
        <f t="shared" si="81"/>
        <v>0.99813011255476369</v>
      </c>
    </row>
    <row r="194" spans="2:43" x14ac:dyDescent="0.35">
      <c r="B194" s="83" t="s">
        <v>288</v>
      </c>
      <c r="D194" s="137">
        <v>36693</v>
      </c>
      <c r="E194" s="137">
        <v>40306</v>
      </c>
      <c r="F194" s="137">
        <v>5435</v>
      </c>
      <c r="G194" s="137">
        <v>26985</v>
      </c>
      <c r="H194" s="137">
        <f t="shared" si="62"/>
        <v>109419</v>
      </c>
      <c r="J194" s="137">
        <v>8643</v>
      </c>
      <c r="K194" s="137">
        <v>7424</v>
      </c>
      <c r="L194" s="137">
        <v>1783</v>
      </c>
      <c r="M194" s="137">
        <v>5964</v>
      </c>
      <c r="N194" s="137">
        <f t="shared" si="63"/>
        <v>23814</v>
      </c>
      <c r="P194" s="84">
        <f t="shared" si="64"/>
        <v>0.23554901479846294</v>
      </c>
      <c r="Q194" s="84">
        <f t="shared" si="65"/>
        <v>0.18419093931424602</v>
      </c>
      <c r="R194" s="84">
        <f t="shared" si="66"/>
        <v>0.32805887764489422</v>
      </c>
      <c r="S194" s="84">
        <f t="shared" si="67"/>
        <v>0.22101167315175096</v>
      </c>
      <c r="T194" s="84" t="str">
        <f>+IFERROR(#REF!/#REF!,"")</f>
        <v/>
      </c>
      <c r="U194" s="84" t="str">
        <f>+IFERROR(#REF!/#REF!,"")</f>
        <v/>
      </c>
      <c r="V194" s="84" t="str">
        <f>+IFERROR(#REF!/#REF!,"")</f>
        <v/>
      </c>
      <c r="W194" s="84" t="str">
        <f>+IFERROR(#REF!/#REF!,"")</f>
        <v/>
      </c>
      <c r="X194" s="84" t="str">
        <f>+IFERROR(#REF!/#REF!,"")</f>
        <v/>
      </c>
      <c r="Y194" s="84" t="str">
        <f>+IFERROR(#REF!/#REF!,"")</f>
        <v/>
      </c>
      <c r="Z194" s="84" t="str">
        <f>+IFERROR(#REF!/#REF!,"")</f>
        <v/>
      </c>
      <c r="AA194" s="84" t="str">
        <f>+IFERROR(#REF!/#REF!,"")</f>
        <v/>
      </c>
      <c r="AB194" s="84">
        <f t="shared" si="68"/>
        <v>0.21764044635757959</v>
      </c>
      <c r="AD194" s="139">
        <f t="shared" si="82"/>
        <v>-5.135807548421692E-2</v>
      </c>
      <c r="AE194" s="139">
        <f t="shared" si="83"/>
        <v>0.1438679383306482</v>
      </c>
      <c r="AF194" s="139">
        <f t="shared" si="84"/>
        <v>-0.10704720449314326</v>
      </c>
      <c r="AG194" s="139" t="str">
        <f t="shared" si="85"/>
        <v/>
      </c>
      <c r="AH194" s="139" t="str">
        <f t="shared" si="86"/>
        <v/>
      </c>
      <c r="AI194" s="139" t="str">
        <f t="shared" si="87"/>
        <v/>
      </c>
      <c r="AJ194" s="139" t="str">
        <f t="shared" si="88"/>
        <v/>
      </c>
      <c r="AK194" s="139" t="str">
        <f t="shared" si="89"/>
        <v/>
      </c>
      <c r="AL194" s="139" t="str">
        <f t="shared" si="90"/>
        <v/>
      </c>
      <c r="AM194" s="139" t="str">
        <f t="shared" si="91"/>
        <v/>
      </c>
      <c r="AN194" s="139" t="str">
        <f t="shared" si="92"/>
        <v/>
      </c>
      <c r="AP194" s="82">
        <f t="shared" si="80"/>
        <v>2.3513952025749728E-5</v>
      </c>
      <c r="AQ194" s="82">
        <f t="shared" si="81"/>
        <v>0.9981536265067894</v>
      </c>
    </row>
    <row r="195" spans="2:43" x14ac:dyDescent="0.35">
      <c r="B195" s="83" t="s">
        <v>289</v>
      </c>
      <c r="D195" s="137">
        <v>29738</v>
      </c>
      <c r="E195" s="137">
        <v>22869</v>
      </c>
      <c r="F195" s="137">
        <v>1140033</v>
      </c>
      <c r="G195" s="137">
        <v>28273</v>
      </c>
      <c r="H195" s="137">
        <f t="shared" si="62"/>
        <v>1220913</v>
      </c>
      <c r="J195" s="137">
        <v>23080</v>
      </c>
      <c r="K195" s="137">
        <v>18565</v>
      </c>
      <c r="L195" s="137">
        <v>1025653</v>
      </c>
      <c r="M195" s="137">
        <v>18065</v>
      </c>
      <c r="N195" s="137">
        <f t="shared" si="63"/>
        <v>1085363</v>
      </c>
      <c r="P195" s="84">
        <f t="shared" si="64"/>
        <v>0.77611137265451613</v>
      </c>
      <c r="Q195" s="84">
        <f t="shared" si="65"/>
        <v>0.81179762997944815</v>
      </c>
      <c r="R195" s="84">
        <f t="shared" si="66"/>
        <v>0.89966957096855971</v>
      </c>
      <c r="S195" s="84">
        <f t="shared" si="67"/>
        <v>0.63894882042938494</v>
      </c>
      <c r="T195" s="84" t="str">
        <f>+IFERROR(#REF!/#REF!,"")</f>
        <v/>
      </c>
      <c r="U195" s="84" t="str">
        <f>+IFERROR(#REF!/#REF!,"")</f>
        <v/>
      </c>
      <c r="V195" s="84" t="str">
        <f>+IFERROR(#REF!/#REF!,"")</f>
        <v/>
      </c>
      <c r="W195" s="84" t="str">
        <f>+IFERROR(#REF!/#REF!,"")</f>
        <v/>
      </c>
      <c r="X195" s="84" t="str">
        <f>+IFERROR(#REF!/#REF!,"")</f>
        <v/>
      </c>
      <c r="Y195" s="84" t="str">
        <f>+IFERROR(#REF!/#REF!,"")</f>
        <v/>
      </c>
      <c r="Z195" s="84" t="str">
        <f>+IFERROR(#REF!/#REF!,"")</f>
        <v/>
      </c>
      <c r="AA195" s="84" t="str">
        <f>+IFERROR(#REF!/#REF!,"")</f>
        <v/>
      </c>
      <c r="AB195" s="84">
        <f t="shared" si="68"/>
        <v>0.88897652822109352</v>
      </c>
      <c r="AD195" s="139">
        <f t="shared" si="82"/>
        <v>3.5686257324932025E-2</v>
      </c>
      <c r="AE195" s="139">
        <f t="shared" si="83"/>
        <v>8.7871940989111552E-2</v>
      </c>
      <c r="AF195" s="139">
        <f t="shared" si="84"/>
        <v>-0.26072075053917476</v>
      </c>
      <c r="AG195" s="139" t="str">
        <f t="shared" si="85"/>
        <v/>
      </c>
      <c r="AH195" s="139" t="str">
        <f t="shared" si="86"/>
        <v/>
      </c>
      <c r="AI195" s="139" t="str">
        <f t="shared" si="87"/>
        <v/>
      </c>
      <c r="AJ195" s="139" t="str">
        <f t="shared" si="88"/>
        <v/>
      </c>
      <c r="AK195" s="139" t="str">
        <f t="shared" si="89"/>
        <v/>
      </c>
      <c r="AL195" s="139" t="str">
        <f t="shared" si="90"/>
        <v/>
      </c>
      <c r="AM195" s="139" t="str">
        <f t="shared" si="91"/>
        <v/>
      </c>
      <c r="AN195" s="139" t="str">
        <f t="shared" si="92"/>
        <v/>
      </c>
      <c r="AP195" s="82">
        <f t="shared" si="80"/>
        <v>1.0716878102176787E-3</v>
      </c>
      <c r="AQ195" s="82">
        <f t="shared" si="81"/>
        <v>0.99922531431700712</v>
      </c>
    </row>
    <row r="196" spans="2:43" x14ac:dyDescent="0.35">
      <c r="B196" s="83" t="s">
        <v>290</v>
      </c>
      <c r="D196" s="137"/>
      <c r="E196" s="137"/>
      <c r="F196" s="137"/>
      <c r="G196" s="137"/>
      <c r="H196" s="137">
        <f t="shared" si="62"/>
        <v>0</v>
      </c>
      <c r="J196" s="137"/>
      <c r="K196" s="137"/>
      <c r="L196" s="137"/>
      <c r="M196" s="137"/>
      <c r="N196" s="137">
        <f t="shared" si="63"/>
        <v>0</v>
      </c>
      <c r="P196" s="84" t="str">
        <f t="shared" si="64"/>
        <v/>
      </c>
      <c r="Q196" s="84" t="str">
        <f t="shared" si="65"/>
        <v/>
      </c>
      <c r="R196" s="84" t="str">
        <f t="shared" si="66"/>
        <v/>
      </c>
      <c r="S196" s="84" t="str">
        <f t="shared" si="67"/>
        <v/>
      </c>
      <c r="T196" s="84" t="str">
        <f>+IFERROR(#REF!/#REF!,"")</f>
        <v/>
      </c>
      <c r="U196" s="84" t="str">
        <f>+IFERROR(#REF!/#REF!,"")</f>
        <v/>
      </c>
      <c r="V196" s="84" t="str">
        <f>+IFERROR(#REF!/#REF!,"")</f>
        <v/>
      </c>
      <c r="W196" s="84" t="str">
        <f>+IFERROR(#REF!/#REF!,"")</f>
        <v/>
      </c>
      <c r="X196" s="84" t="str">
        <f>+IFERROR(#REF!/#REF!,"")</f>
        <v/>
      </c>
      <c r="Y196" s="84" t="str">
        <f>+IFERROR(#REF!/#REF!,"")</f>
        <v/>
      </c>
      <c r="Z196" s="84" t="str">
        <f>+IFERROR(#REF!/#REF!,"")</f>
        <v/>
      </c>
      <c r="AA196" s="84" t="str">
        <f>+IFERROR(#REF!/#REF!,"")</f>
        <v/>
      </c>
      <c r="AB196" s="84" t="str">
        <f t="shared" si="68"/>
        <v/>
      </c>
      <c r="AD196" s="139" t="str">
        <f t="shared" si="82"/>
        <v/>
      </c>
      <c r="AE196" s="139" t="str">
        <f t="shared" si="83"/>
        <v/>
      </c>
      <c r="AF196" s="139" t="str">
        <f t="shared" si="84"/>
        <v/>
      </c>
      <c r="AG196" s="139" t="str">
        <f t="shared" si="85"/>
        <v/>
      </c>
      <c r="AH196" s="139" t="str">
        <f t="shared" si="86"/>
        <v/>
      </c>
      <c r="AI196" s="139" t="str">
        <f t="shared" si="87"/>
        <v/>
      </c>
      <c r="AJ196" s="139" t="str">
        <f t="shared" si="88"/>
        <v/>
      </c>
      <c r="AK196" s="139" t="str">
        <f t="shared" si="89"/>
        <v/>
      </c>
      <c r="AL196" s="139" t="str">
        <f t="shared" si="90"/>
        <v/>
      </c>
      <c r="AM196" s="139" t="str">
        <f t="shared" si="91"/>
        <v/>
      </c>
      <c r="AN196" s="139" t="str">
        <f t="shared" si="92"/>
        <v/>
      </c>
      <c r="AP196" s="82">
        <f t="shared" si="80"/>
        <v>0</v>
      </c>
      <c r="AQ196" s="82">
        <f t="shared" si="81"/>
        <v>0.99922531431700712</v>
      </c>
    </row>
    <row r="197" spans="2:43" x14ac:dyDescent="0.35">
      <c r="B197" s="83" t="s">
        <v>291</v>
      </c>
      <c r="D197" s="137">
        <v>7671</v>
      </c>
      <c r="E197" s="137"/>
      <c r="F197" s="137"/>
      <c r="G197" s="137"/>
      <c r="H197" s="137">
        <f t="shared" ref="H197:H260" si="93">+SUM(D197:G197)</f>
        <v>7671</v>
      </c>
      <c r="J197" s="137">
        <v>2841</v>
      </c>
      <c r="K197" s="137"/>
      <c r="L197" s="137"/>
      <c r="M197" s="137"/>
      <c r="N197" s="137">
        <f t="shared" ref="N197:N260" si="94">+SUM(J197:M197)</f>
        <v>2841</v>
      </c>
      <c r="P197" s="84">
        <f t="shared" ref="P197:P236" si="95">+IFERROR(J197/D197,"")</f>
        <v>0.37035588580367618</v>
      </c>
      <c r="Q197" s="84" t="str">
        <f t="shared" ref="Q197:Q236" si="96">+IFERROR(K197/E197,"")</f>
        <v/>
      </c>
      <c r="R197" s="84" t="str">
        <f t="shared" ref="R197:R236" si="97">+IFERROR(L197/F197,"")</f>
        <v/>
      </c>
      <c r="S197" s="84" t="str">
        <f t="shared" ref="S197:S236" si="98">+IFERROR(M197/G197,"")</f>
        <v/>
      </c>
      <c r="T197" s="84" t="str">
        <f>+IFERROR(#REF!/#REF!,"")</f>
        <v/>
      </c>
      <c r="U197" s="84" t="str">
        <f>+IFERROR(#REF!/#REF!,"")</f>
        <v/>
      </c>
      <c r="V197" s="84" t="str">
        <f>+IFERROR(#REF!/#REF!,"")</f>
        <v/>
      </c>
      <c r="W197" s="84" t="str">
        <f>+IFERROR(#REF!/#REF!,"")</f>
        <v/>
      </c>
      <c r="X197" s="84" t="str">
        <f>+IFERROR(#REF!/#REF!,"")</f>
        <v/>
      </c>
      <c r="Y197" s="84" t="str">
        <f>+IFERROR(#REF!/#REF!,"")</f>
        <v/>
      </c>
      <c r="Z197" s="84" t="str">
        <f>+IFERROR(#REF!/#REF!,"")</f>
        <v/>
      </c>
      <c r="AA197" s="84" t="str">
        <f>+IFERROR(#REF!/#REF!,"")</f>
        <v/>
      </c>
      <c r="AB197" s="84">
        <f t="shared" ref="AB197:AB236" si="99">+IFERROR(N197/H197,"")</f>
        <v>0.37035588580367618</v>
      </c>
      <c r="AD197" s="139" t="str">
        <f t="shared" ref="AD197:AD204" si="100">+IFERROR(Q197-P197,"")</f>
        <v/>
      </c>
      <c r="AE197" s="139" t="str">
        <f t="shared" ref="AE197:AE204" si="101">+IFERROR(R197-Q197,"")</f>
        <v/>
      </c>
      <c r="AF197" s="139" t="str">
        <f t="shared" ref="AF197:AF204" si="102">+IFERROR(S197-R197,"")</f>
        <v/>
      </c>
      <c r="AG197" s="139" t="str">
        <f t="shared" ref="AG197:AG204" si="103">+IFERROR(T197-S197,"")</f>
        <v/>
      </c>
      <c r="AH197" s="139" t="str">
        <f t="shared" ref="AH197:AH204" si="104">+IFERROR(U197-T197,"")</f>
        <v/>
      </c>
      <c r="AI197" s="139" t="str">
        <f t="shared" ref="AI197:AI204" si="105">+IFERROR(V197-U197,"")</f>
        <v/>
      </c>
      <c r="AJ197" s="139" t="str">
        <f t="shared" ref="AJ197:AJ204" si="106">+IFERROR(W197-V197,"")</f>
        <v/>
      </c>
      <c r="AK197" s="139" t="str">
        <f t="shared" ref="AK197:AK204" si="107">+IFERROR(X197-W197,"")</f>
        <v/>
      </c>
      <c r="AL197" s="139" t="str">
        <f t="shared" ref="AL197:AL204" si="108">+IFERROR(Y197-X197,"")</f>
        <v/>
      </c>
      <c r="AM197" s="139" t="str">
        <f t="shared" ref="AM197:AM204" si="109">+IFERROR(Z197-Y197,"")</f>
        <v/>
      </c>
      <c r="AN197" s="139" t="str">
        <f t="shared" ref="AN197:AN204" si="110">+IFERROR(AA197-Z197,"")</f>
        <v/>
      </c>
      <c r="AP197" s="82">
        <f t="shared" ref="AP197:AP236" si="111">+N197/$N$236</f>
        <v>2.8052044051883336E-6</v>
      </c>
      <c r="AQ197" s="82">
        <f t="shared" si="81"/>
        <v>0.99922811952141233</v>
      </c>
    </row>
    <row r="198" spans="2:43" x14ac:dyDescent="0.35">
      <c r="B198" s="83" t="s">
        <v>292</v>
      </c>
      <c r="D198" s="137">
        <v>262899</v>
      </c>
      <c r="E198" s="137">
        <v>282473</v>
      </c>
      <c r="F198" s="137">
        <v>6798</v>
      </c>
      <c r="G198" s="137">
        <v>236309</v>
      </c>
      <c r="H198" s="137">
        <f t="shared" si="93"/>
        <v>788479</v>
      </c>
      <c r="J198" s="137">
        <v>23941</v>
      </c>
      <c r="K198" s="137">
        <v>67483</v>
      </c>
      <c r="L198" s="137">
        <v>490</v>
      </c>
      <c r="M198" s="137">
        <v>20294</v>
      </c>
      <c r="N198" s="137">
        <f t="shared" si="94"/>
        <v>112208</v>
      </c>
      <c r="P198" s="84">
        <f t="shared" si="95"/>
        <v>9.1065390130810692E-2</v>
      </c>
      <c r="Q198" s="84">
        <f t="shared" si="96"/>
        <v>0.23890070909432051</v>
      </c>
      <c r="R198" s="84">
        <f t="shared" si="97"/>
        <v>7.208002353633422E-2</v>
      </c>
      <c r="S198" s="84">
        <f t="shared" si="98"/>
        <v>8.5879082049350644E-2</v>
      </c>
      <c r="T198" s="84" t="str">
        <f>+IFERROR(#REF!/#REF!,"")</f>
        <v/>
      </c>
      <c r="U198" s="84" t="str">
        <f>+IFERROR(#REF!/#REF!,"")</f>
        <v/>
      </c>
      <c r="V198" s="84" t="str">
        <f>+IFERROR(#REF!/#REF!,"")</f>
        <v/>
      </c>
      <c r="W198" s="84" t="str">
        <f>+IFERROR(#REF!/#REF!,"")</f>
        <v/>
      </c>
      <c r="X198" s="84" t="str">
        <f>+IFERROR(#REF!/#REF!,"")</f>
        <v/>
      </c>
      <c r="Y198" s="84" t="str">
        <f>+IFERROR(#REF!/#REF!,"")</f>
        <v/>
      </c>
      <c r="Z198" s="84" t="str">
        <f>+IFERROR(#REF!/#REF!,"")</f>
        <v/>
      </c>
      <c r="AA198" s="84" t="str">
        <f>+IFERROR(#REF!/#REF!,"")</f>
        <v/>
      </c>
      <c r="AB198" s="84">
        <f t="shared" si="99"/>
        <v>0.14230943373254076</v>
      </c>
      <c r="AD198" s="139">
        <f t="shared" si="100"/>
        <v>0.14783531896350982</v>
      </c>
      <c r="AE198" s="139">
        <f t="shared" si="101"/>
        <v>-0.16682068555798629</v>
      </c>
      <c r="AF198" s="139">
        <f t="shared" si="102"/>
        <v>1.3799058513016424E-2</v>
      </c>
      <c r="AG198" s="139" t="str">
        <f t="shared" si="103"/>
        <v/>
      </c>
      <c r="AH198" s="139" t="str">
        <f t="shared" si="104"/>
        <v/>
      </c>
      <c r="AI198" s="139" t="str">
        <f t="shared" si="105"/>
        <v/>
      </c>
      <c r="AJ198" s="139" t="str">
        <f t="shared" si="106"/>
        <v/>
      </c>
      <c r="AK198" s="139" t="str">
        <f t="shared" si="107"/>
        <v/>
      </c>
      <c r="AL198" s="139" t="str">
        <f t="shared" si="108"/>
        <v/>
      </c>
      <c r="AM198" s="139" t="str">
        <f t="shared" si="109"/>
        <v/>
      </c>
      <c r="AN198" s="139" t="str">
        <f t="shared" si="110"/>
        <v/>
      </c>
      <c r="AP198" s="82">
        <f t="shared" si="111"/>
        <v>1.107942189008703E-4</v>
      </c>
      <c r="AQ198" s="82">
        <f t="shared" ref="AQ198:AQ235" si="112">+AP198+AQ197</f>
        <v>0.99933891374031325</v>
      </c>
    </row>
    <row r="199" spans="2:43" x14ac:dyDescent="0.35">
      <c r="B199" s="83" t="s">
        <v>293</v>
      </c>
      <c r="D199" s="137"/>
      <c r="E199" s="137">
        <v>4914</v>
      </c>
      <c r="F199" s="137"/>
      <c r="G199" s="137">
        <v>18295</v>
      </c>
      <c r="H199" s="137">
        <f t="shared" si="93"/>
        <v>23209</v>
      </c>
      <c r="J199" s="137"/>
      <c r="K199" s="137">
        <v>461</v>
      </c>
      <c r="L199" s="137"/>
      <c r="M199" s="137">
        <v>2</v>
      </c>
      <c r="N199" s="137">
        <f t="shared" si="94"/>
        <v>463</v>
      </c>
      <c r="P199" s="84" t="str">
        <f t="shared" si="95"/>
        <v/>
      </c>
      <c r="Q199" s="84">
        <f t="shared" si="96"/>
        <v>9.3813593813593818E-2</v>
      </c>
      <c r="R199" s="84" t="str">
        <f t="shared" si="97"/>
        <v/>
      </c>
      <c r="S199" s="84">
        <f t="shared" si="98"/>
        <v>1.0931948619841486E-4</v>
      </c>
      <c r="T199" s="84" t="str">
        <f>+IFERROR(#REF!/#REF!,"")</f>
        <v/>
      </c>
      <c r="U199" s="84" t="str">
        <f>+IFERROR(#REF!/#REF!,"")</f>
        <v/>
      </c>
      <c r="V199" s="84" t="str">
        <f>+IFERROR(#REF!/#REF!,"")</f>
        <v/>
      </c>
      <c r="W199" s="84" t="str">
        <f>+IFERROR(#REF!/#REF!,"")</f>
        <v/>
      </c>
      <c r="X199" s="84" t="str">
        <f>+IFERROR(#REF!/#REF!,"")</f>
        <v/>
      </c>
      <c r="Y199" s="84" t="str">
        <f>+IFERROR(#REF!/#REF!,"")</f>
        <v/>
      </c>
      <c r="Z199" s="84" t="str">
        <f>+IFERROR(#REF!/#REF!,"")</f>
        <v/>
      </c>
      <c r="AA199" s="84" t="str">
        <f>+IFERROR(#REF!/#REF!,"")</f>
        <v/>
      </c>
      <c r="AB199" s="84">
        <f t="shared" si="99"/>
        <v>1.9949157654358222E-2</v>
      </c>
      <c r="AD199" s="139" t="str">
        <f t="shared" si="100"/>
        <v/>
      </c>
      <c r="AE199" s="139" t="str">
        <f t="shared" si="101"/>
        <v/>
      </c>
      <c r="AF199" s="139" t="str">
        <f t="shared" si="102"/>
        <v/>
      </c>
      <c r="AG199" s="139" t="str">
        <f t="shared" si="103"/>
        <v/>
      </c>
      <c r="AH199" s="139" t="str">
        <f t="shared" si="104"/>
        <v/>
      </c>
      <c r="AI199" s="139" t="str">
        <f t="shared" si="105"/>
        <v/>
      </c>
      <c r="AJ199" s="139" t="str">
        <f t="shared" si="106"/>
        <v/>
      </c>
      <c r="AK199" s="139" t="str">
        <f t="shared" si="107"/>
        <v/>
      </c>
      <c r="AL199" s="139" t="str">
        <f t="shared" si="108"/>
        <v/>
      </c>
      <c r="AM199" s="139" t="str">
        <f t="shared" si="109"/>
        <v/>
      </c>
      <c r="AN199" s="139" t="str">
        <f t="shared" si="110"/>
        <v/>
      </c>
      <c r="AP199" s="82">
        <f t="shared" si="111"/>
        <v>4.5716636381633171E-7</v>
      </c>
      <c r="AQ199" s="82">
        <f t="shared" si="112"/>
        <v>0.99933937090667702</v>
      </c>
    </row>
    <row r="200" spans="2:43" x14ac:dyDescent="0.35">
      <c r="B200" s="83" t="s">
        <v>294</v>
      </c>
      <c r="D200" s="137">
        <v>98688</v>
      </c>
      <c r="E200" s="137">
        <v>54361</v>
      </c>
      <c r="F200" s="137">
        <v>51081</v>
      </c>
      <c r="G200" s="137">
        <v>49514</v>
      </c>
      <c r="H200" s="137">
        <f t="shared" si="93"/>
        <v>253644</v>
      </c>
      <c r="J200" s="137">
        <v>7376</v>
      </c>
      <c r="K200" s="137">
        <v>5901</v>
      </c>
      <c r="L200" s="137">
        <v>13600</v>
      </c>
      <c r="M200" s="137">
        <v>300</v>
      </c>
      <c r="N200" s="137">
        <f t="shared" si="94"/>
        <v>27177</v>
      </c>
      <c r="P200" s="84">
        <f t="shared" si="95"/>
        <v>7.4740596627756159E-2</v>
      </c>
      <c r="Q200" s="84">
        <f t="shared" si="96"/>
        <v>0.10855208697411747</v>
      </c>
      <c r="R200" s="84">
        <f t="shared" si="97"/>
        <v>0.26624380885260662</v>
      </c>
      <c r="S200" s="84">
        <f t="shared" si="98"/>
        <v>6.0588924344629801E-3</v>
      </c>
      <c r="T200" s="84" t="str">
        <f>+IFERROR(#REF!/#REF!,"")</f>
        <v/>
      </c>
      <c r="U200" s="84" t="str">
        <f>+IFERROR(#REF!/#REF!,"")</f>
        <v/>
      </c>
      <c r="V200" s="84" t="str">
        <f>+IFERROR(#REF!/#REF!,"")</f>
        <v/>
      </c>
      <c r="W200" s="84" t="str">
        <f>+IFERROR(#REF!/#REF!,"")</f>
        <v/>
      </c>
      <c r="X200" s="84" t="str">
        <f>+IFERROR(#REF!/#REF!,"")</f>
        <v/>
      </c>
      <c r="Y200" s="84" t="str">
        <f>+IFERROR(#REF!/#REF!,"")</f>
        <v/>
      </c>
      <c r="Z200" s="84" t="str">
        <f>+IFERROR(#REF!/#REF!,"")</f>
        <v/>
      </c>
      <c r="AA200" s="84" t="str">
        <f>+IFERROR(#REF!/#REF!,"")</f>
        <v/>
      </c>
      <c r="AB200" s="84">
        <f t="shared" si="99"/>
        <v>0.10714623645739699</v>
      </c>
      <c r="AD200" s="139">
        <f t="shared" si="100"/>
        <v>3.3811490346361314E-2</v>
      </c>
      <c r="AE200" s="139">
        <f t="shared" si="101"/>
        <v>0.15769172187848915</v>
      </c>
      <c r="AF200" s="139">
        <f t="shared" si="102"/>
        <v>-0.26018491641814362</v>
      </c>
      <c r="AG200" s="139" t="str">
        <f t="shared" si="103"/>
        <v/>
      </c>
      <c r="AH200" s="139" t="str">
        <f t="shared" si="104"/>
        <v/>
      </c>
      <c r="AI200" s="139" t="str">
        <f t="shared" si="105"/>
        <v/>
      </c>
      <c r="AJ200" s="139" t="str">
        <f t="shared" si="106"/>
        <v/>
      </c>
      <c r="AK200" s="139" t="str">
        <f t="shared" si="107"/>
        <v/>
      </c>
      <c r="AL200" s="139" t="str">
        <f t="shared" si="108"/>
        <v/>
      </c>
      <c r="AM200" s="139" t="str">
        <f t="shared" si="109"/>
        <v/>
      </c>
      <c r="AN200" s="139" t="str">
        <f t="shared" si="110"/>
        <v/>
      </c>
      <c r="AP200" s="82">
        <f t="shared" si="111"/>
        <v>2.6834579415629473E-5</v>
      </c>
      <c r="AQ200" s="82">
        <f t="shared" si="112"/>
        <v>0.99936620548609267</v>
      </c>
    </row>
    <row r="201" spans="2:43" x14ac:dyDescent="0.35">
      <c r="B201" s="83" t="s">
        <v>295</v>
      </c>
      <c r="D201" s="137">
        <v>212737</v>
      </c>
      <c r="E201" s="137">
        <v>239832</v>
      </c>
      <c r="F201" s="137">
        <v>49857</v>
      </c>
      <c r="G201" s="137">
        <v>200000</v>
      </c>
      <c r="H201" s="137">
        <f t="shared" si="93"/>
        <v>702426</v>
      </c>
      <c r="J201" s="137">
        <v>41297</v>
      </c>
      <c r="K201" s="137">
        <v>43573</v>
      </c>
      <c r="L201" s="137">
        <v>8520</v>
      </c>
      <c r="M201" s="137">
        <v>32416</v>
      </c>
      <c r="N201" s="137">
        <f t="shared" si="94"/>
        <v>125806</v>
      </c>
      <c r="P201" s="84">
        <f t="shared" si="95"/>
        <v>0.19412232004775851</v>
      </c>
      <c r="Q201" s="84">
        <f t="shared" si="96"/>
        <v>0.18168134360719171</v>
      </c>
      <c r="R201" s="84">
        <f t="shared" si="97"/>
        <v>0.17088874180155245</v>
      </c>
      <c r="S201" s="84">
        <f t="shared" si="98"/>
        <v>0.16208</v>
      </c>
      <c r="T201" s="84" t="str">
        <f>+IFERROR(#REF!/#REF!,"")</f>
        <v/>
      </c>
      <c r="U201" s="84" t="str">
        <f>+IFERROR(#REF!/#REF!,"")</f>
        <v/>
      </c>
      <c r="V201" s="84" t="str">
        <f>+IFERROR(#REF!/#REF!,"")</f>
        <v/>
      </c>
      <c r="W201" s="84" t="str">
        <f>+IFERROR(#REF!/#REF!,"")</f>
        <v/>
      </c>
      <c r="X201" s="84" t="str">
        <f>+IFERROR(#REF!/#REF!,"")</f>
        <v/>
      </c>
      <c r="Y201" s="84" t="str">
        <f>+IFERROR(#REF!/#REF!,"")</f>
        <v/>
      </c>
      <c r="Z201" s="84" t="str">
        <f>+IFERROR(#REF!/#REF!,"")</f>
        <v/>
      </c>
      <c r="AA201" s="84" t="str">
        <f>+IFERROR(#REF!/#REF!,"")</f>
        <v/>
      </c>
      <c r="AB201" s="84">
        <f t="shared" si="99"/>
        <v>0.1791021402966291</v>
      </c>
      <c r="AD201" s="139">
        <f t="shared" si="100"/>
        <v>-1.2440976440566798E-2</v>
      </c>
      <c r="AE201" s="139">
        <f t="shared" si="101"/>
        <v>-1.0792601805639263E-2</v>
      </c>
      <c r="AF201" s="139">
        <f t="shared" si="102"/>
        <v>-8.8087418015524444E-3</v>
      </c>
      <c r="AG201" s="139" t="str">
        <f t="shared" si="103"/>
        <v/>
      </c>
      <c r="AH201" s="139" t="str">
        <f t="shared" si="104"/>
        <v/>
      </c>
      <c r="AI201" s="139" t="str">
        <f t="shared" si="105"/>
        <v/>
      </c>
      <c r="AJ201" s="139" t="str">
        <f t="shared" si="106"/>
        <v/>
      </c>
      <c r="AK201" s="139" t="str">
        <f t="shared" si="107"/>
        <v/>
      </c>
      <c r="AL201" s="139" t="str">
        <f t="shared" si="108"/>
        <v/>
      </c>
      <c r="AM201" s="139" t="str">
        <f t="shared" si="109"/>
        <v/>
      </c>
      <c r="AN201" s="139" t="str">
        <f t="shared" si="110"/>
        <v/>
      </c>
      <c r="AP201" s="82">
        <f t="shared" si="111"/>
        <v>1.2422088891204629E-4</v>
      </c>
      <c r="AQ201" s="82">
        <f t="shared" si="112"/>
        <v>0.99949042637500474</v>
      </c>
    </row>
    <row r="202" spans="2:43" x14ac:dyDescent="0.35">
      <c r="B202" s="83" t="s">
        <v>296</v>
      </c>
      <c r="D202" s="137">
        <v>1951</v>
      </c>
      <c r="E202" s="137">
        <v>2391</v>
      </c>
      <c r="F202" s="137">
        <v>6338</v>
      </c>
      <c r="G202" s="137">
        <v>15265</v>
      </c>
      <c r="H202" s="137">
        <f t="shared" si="93"/>
        <v>25945</v>
      </c>
      <c r="J202" s="137">
        <v>256</v>
      </c>
      <c r="K202" s="137">
        <v>442</v>
      </c>
      <c r="L202" s="137">
        <v>237</v>
      </c>
      <c r="M202" s="137">
        <v>8021</v>
      </c>
      <c r="N202" s="137">
        <f t="shared" si="94"/>
        <v>8956</v>
      </c>
      <c r="P202" s="84">
        <f t="shared" si="95"/>
        <v>0.13121476166068682</v>
      </c>
      <c r="Q202" s="84">
        <f t="shared" si="96"/>
        <v>0.18485989125888749</v>
      </c>
      <c r="R202" s="84">
        <f t="shared" si="97"/>
        <v>3.7393499526664563E-2</v>
      </c>
      <c r="S202" s="84">
        <f t="shared" si="98"/>
        <v>0.52545037667867667</v>
      </c>
      <c r="T202" s="84" t="str">
        <f>+IFERROR(#REF!/#REF!,"")</f>
        <v/>
      </c>
      <c r="U202" s="84" t="str">
        <f>+IFERROR(#REF!/#REF!,"")</f>
        <v/>
      </c>
      <c r="V202" s="84" t="str">
        <f>+IFERROR(#REF!/#REF!,"")</f>
        <v/>
      </c>
      <c r="W202" s="84" t="str">
        <f>+IFERROR(#REF!/#REF!,"")</f>
        <v/>
      </c>
      <c r="X202" s="84" t="str">
        <f>+IFERROR(#REF!/#REF!,"")</f>
        <v/>
      </c>
      <c r="Y202" s="84" t="str">
        <f>+IFERROR(#REF!/#REF!,"")</f>
        <v/>
      </c>
      <c r="Z202" s="84" t="str">
        <f>+IFERROR(#REF!/#REF!,"")</f>
        <v/>
      </c>
      <c r="AA202" s="84" t="str">
        <f>+IFERROR(#REF!/#REF!,"")</f>
        <v/>
      </c>
      <c r="AB202" s="84">
        <f t="shared" si="99"/>
        <v>0.34519175178261707</v>
      </c>
      <c r="AD202" s="139">
        <f t="shared" si="100"/>
        <v>5.3645129598200669E-2</v>
      </c>
      <c r="AE202" s="139">
        <f t="shared" si="101"/>
        <v>-0.14746639173222292</v>
      </c>
      <c r="AF202" s="139">
        <f t="shared" si="102"/>
        <v>0.48805687715201213</v>
      </c>
      <c r="AG202" s="139" t="str">
        <f t="shared" si="103"/>
        <v/>
      </c>
      <c r="AH202" s="139" t="str">
        <f t="shared" si="104"/>
        <v/>
      </c>
      <c r="AI202" s="139" t="str">
        <f t="shared" si="105"/>
        <v/>
      </c>
      <c r="AJ202" s="139" t="str">
        <f t="shared" si="106"/>
        <v/>
      </c>
      <c r="AK202" s="139" t="str">
        <f t="shared" si="107"/>
        <v/>
      </c>
      <c r="AL202" s="139" t="str">
        <f t="shared" si="108"/>
        <v/>
      </c>
      <c r="AM202" s="139" t="str">
        <f t="shared" si="109"/>
        <v/>
      </c>
      <c r="AN202" s="139" t="str">
        <f t="shared" si="110"/>
        <v/>
      </c>
      <c r="AP202" s="82">
        <f t="shared" si="111"/>
        <v>8.8431575687668822E-6</v>
      </c>
      <c r="AQ202" s="82">
        <f t="shared" si="112"/>
        <v>0.99949926953257351</v>
      </c>
    </row>
    <row r="203" spans="2:43" x14ac:dyDescent="0.35">
      <c r="B203" s="83" t="s">
        <v>297</v>
      </c>
      <c r="D203" s="137">
        <v>43778</v>
      </c>
      <c r="E203" s="137">
        <v>61429</v>
      </c>
      <c r="F203" s="137">
        <v>10083</v>
      </c>
      <c r="G203" s="137">
        <v>60617</v>
      </c>
      <c r="H203" s="137">
        <f t="shared" si="93"/>
        <v>175907</v>
      </c>
      <c r="J203" s="137">
        <v>7888</v>
      </c>
      <c r="K203" s="137">
        <v>7422</v>
      </c>
      <c r="L203" s="137">
        <v>24</v>
      </c>
      <c r="M203" s="137">
        <v>10179</v>
      </c>
      <c r="N203" s="137">
        <f t="shared" si="94"/>
        <v>25513</v>
      </c>
      <c r="P203" s="84">
        <f t="shared" si="95"/>
        <v>0.18018182648819042</v>
      </c>
      <c r="Q203" s="84">
        <f t="shared" si="96"/>
        <v>0.12082241286688697</v>
      </c>
      <c r="R203" s="84">
        <f t="shared" si="97"/>
        <v>2.3802439750074383E-3</v>
      </c>
      <c r="S203" s="84">
        <f t="shared" si="98"/>
        <v>0.16792318986422949</v>
      </c>
      <c r="T203" s="84" t="str">
        <f>+IFERROR(#REF!/#REF!,"")</f>
        <v/>
      </c>
      <c r="U203" s="84" t="str">
        <f>+IFERROR(#REF!/#REF!,"")</f>
        <v/>
      </c>
      <c r="V203" s="84" t="str">
        <f>+IFERROR(#REF!/#REF!,"")</f>
        <v/>
      </c>
      <c r="W203" s="84" t="str">
        <f>+IFERROR(#REF!/#REF!,"")</f>
        <v/>
      </c>
      <c r="X203" s="84" t="str">
        <f>+IFERROR(#REF!/#REF!,"")</f>
        <v/>
      </c>
      <c r="Y203" s="84" t="str">
        <f>+IFERROR(#REF!/#REF!,"")</f>
        <v/>
      </c>
      <c r="Z203" s="84" t="str">
        <f>+IFERROR(#REF!/#REF!,"")</f>
        <v/>
      </c>
      <c r="AA203" s="84" t="str">
        <f>+IFERROR(#REF!/#REF!,"")</f>
        <v/>
      </c>
      <c r="AB203" s="84">
        <f t="shared" si="99"/>
        <v>0.1450368660712763</v>
      </c>
      <c r="AD203" s="139">
        <f t="shared" si="100"/>
        <v>-5.9359413621303453E-2</v>
      </c>
      <c r="AE203" s="139">
        <f t="shared" si="101"/>
        <v>-0.11844216889187953</v>
      </c>
      <c r="AF203" s="139">
        <f t="shared" si="102"/>
        <v>0.16554294588922205</v>
      </c>
      <c r="AG203" s="139" t="str">
        <f t="shared" si="103"/>
        <v/>
      </c>
      <c r="AH203" s="139" t="str">
        <f t="shared" si="104"/>
        <v/>
      </c>
      <c r="AI203" s="139" t="str">
        <f t="shared" si="105"/>
        <v/>
      </c>
      <c r="AJ203" s="139" t="str">
        <f t="shared" si="106"/>
        <v/>
      </c>
      <c r="AK203" s="139" t="str">
        <f t="shared" si="107"/>
        <v/>
      </c>
      <c r="AL203" s="139" t="str">
        <f t="shared" si="108"/>
        <v/>
      </c>
      <c r="AM203" s="139" t="str">
        <f t="shared" si="109"/>
        <v/>
      </c>
      <c r="AN203" s="139" t="str">
        <f t="shared" si="110"/>
        <v/>
      </c>
      <c r="AP203" s="82">
        <f t="shared" si="111"/>
        <v>2.5191545226881364E-5</v>
      </c>
      <c r="AQ203" s="82">
        <f t="shared" si="112"/>
        <v>0.99952446107780035</v>
      </c>
    </row>
    <row r="204" spans="2:43" x14ac:dyDescent="0.35">
      <c r="B204" s="83" t="s">
        <v>298</v>
      </c>
      <c r="D204" s="137">
        <v>60844</v>
      </c>
      <c r="E204" s="137">
        <v>98467</v>
      </c>
      <c r="F204" s="137">
        <v>32466</v>
      </c>
      <c r="G204" s="137">
        <v>133435</v>
      </c>
      <c r="H204" s="137">
        <f t="shared" si="93"/>
        <v>325212</v>
      </c>
      <c r="J204" s="137">
        <v>55122</v>
      </c>
      <c r="K204" s="137">
        <v>93272</v>
      </c>
      <c r="L204" s="137">
        <v>14928</v>
      </c>
      <c r="M204" s="137">
        <v>93486</v>
      </c>
      <c r="N204" s="137">
        <f t="shared" si="94"/>
        <v>256808</v>
      </c>
      <c r="P204" s="84">
        <f t="shared" si="95"/>
        <v>0.90595621589639075</v>
      </c>
      <c r="Q204" s="84">
        <f t="shared" si="96"/>
        <v>0.94724120771425957</v>
      </c>
      <c r="R204" s="84">
        <f t="shared" si="97"/>
        <v>0.45980410275364997</v>
      </c>
      <c r="S204" s="84">
        <f t="shared" si="98"/>
        <v>0.70061078427698875</v>
      </c>
      <c r="T204" s="84" t="str">
        <f>+IFERROR(#REF!/#REF!,"")</f>
        <v/>
      </c>
      <c r="U204" s="84" t="str">
        <f>+IFERROR(#REF!/#REF!,"")</f>
        <v/>
      </c>
      <c r="V204" s="84" t="str">
        <f>+IFERROR(#REF!/#REF!,"")</f>
        <v/>
      </c>
      <c r="W204" s="84" t="str">
        <f>+IFERROR(#REF!/#REF!,"")</f>
        <v/>
      </c>
      <c r="X204" s="84" t="str">
        <f>+IFERROR(#REF!/#REF!,"")</f>
        <v/>
      </c>
      <c r="Y204" s="84" t="str">
        <f>+IFERROR(#REF!/#REF!,"")</f>
        <v/>
      </c>
      <c r="Z204" s="84" t="str">
        <f>+IFERROR(#REF!/#REF!,"")</f>
        <v/>
      </c>
      <c r="AA204" s="84" t="str">
        <f>+IFERROR(#REF!/#REF!,"")</f>
        <v/>
      </c>
      <c r="AB204" s="84">
        <f t="shared" si="99"/>
        <v>0.78966335805566834</v>
      </c>
      <c r="AD204" s="139">
        <f t="shared" si="100"/>
        <v>4.1284991817868821E-2</v>
      </c>
      <c r="AE204" s="139">
        <f t="shared" si="101"/>
        <v>-0.4874371049606096</v>
      </c>
      <c r="AF204" s="139">
        <f t="shared" si="102"/>
        <v>0.24080668152333878</v>
      </c>
      <c r="AG204" s="139" t="str">
        <f t="shared" si="103"/>
        <v/>
      </c>
      <c r="AH204" s="139" t="str">
        <f t="shared" si="104"/>
        <v/>
      </c>
      <c r="AI204" s="139" t="str">
        <f t="shared" si="105"/>
        <v/>
      </c>
      <c r="AJ204" s="139" t="str">
        <f t="shared" si="106"/>
        <v/>
      </c>
      <c r="AK204" s="139" t="str">
        <f t="shared" si="107"/>
        <v/>
      </c>
      <c r="AL204" s="139" t="str">
        <f t="shared" si="108"/>
        <v/>
      </c>
      <c r="AM204" s="139" t="str">
        <f t="shared" si="109"/>
        <v/>
      </c>
      <c r="AN204" s="139" t="str">
        <f t="shared" si="110"/>
        <v/>
      </c>
      <c r="AP204" s="82">
        <f t="shared" si="111"/>
        <v>2.5357231006251514E-4</v>
      </c>
      <c r="AQ204" s="82">
        <f t="shared" si="112"/>
        <v>0.99977803338786286</v>
      </c>
    </row>
    <row r="205" spans="2:43" x14ac:dyDescent="0.35">
      <c r="B205" s="83" t="s">
        <v>299</v>
      </c>
      <c r="D205" s="137"/>
      <c r="E205" s="137"/>
      <c r="F205" s="137"/>
      <c r="G205" s="137"/>
      <c r="H205" s="137">
        <f t="shared" si="93"/>
        <v>0</v>
      </c>
      <c r="J205" s="137"/>
      <c r="K205" s="137"/>
      <c r="L205" s="137"/>
      <c r="M205" s="137"/>
      <c r="N205" s="137">
        <f t="shared" si="94"/>
        <v>0</v>
      </c>
      <c r="P205" s="84" t="str">
        <f t="shared" si="95"/>
        <v/>
      </c>
      <c r="Q205" s="84" t="str">
        <f t="shared" si="96"/>
        <v/>
      </c>
      <c r="R205" s="84" t="str">
        <f t="shared" si="97"/>
        <v/>
      </c>
      <c r="S205" s="84" t="str">
        <f t="shared" si="98"/>
        <v/>
      </c>
      <c r="T205" s="84" t="str">
        <f>+IFERROR(#REF!/#REF!,"")</f>
        <v/>
      </c>
      <c r="U205" s="84" t="str">
        <f>+IFERROR(#REF!/#REF!,"")</f>
        <v/>
      </c>
      <c r="V205" s="84" t="str">
        <f>+IFERROR(#REF!/#REF!,"")</f>
        <v/>
      </c>
      <c r="W205" s="84" t="str">
        <f>+IFERROR(#REF!/#REF!,"")</f>
        <v/>
      </c>
      <c r="X205" s="84" t="str">
        <f>+IFERROR(#REF!/#REF!,"")</f>
        <v/>
      </c>
      <c r="Y205" s="84" t="str">
        <f>+IFERROR(#REF!/#REF!,"")</f>
        <v/>
      </c>
      <c r="Z205" s="84" t="str">
        <f>+IFERROR(#REF!/#REF!,"")</f>
        <v/>
      </c>
      <c r="AA205" s="84" t="str">
        <f>+IFERROR(#REF!/#REF!,"")</f>
        <v/>
      </c>
      <c r="AB205" s="84" t="str">
        <f t="shared" si="99"/>
        <v/>
      </c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P205" s="82">
        <f t="shared" si="111"/>
        <v>0</v>
      </c>
      <c r="AQ205" s="82">
        <f t="shared" si="112"/>
        <v>0.99977803338786286</v>
      </c>
    </row>
    <row r="206" spans="2:43" x14ac:dyDescent="0.35">
      <c r="B206" s="83" t="s">
        <v>300</v>
      </c>
      <c r="D206" s="137"/>
      <c r="E206" s="137">
        <v>7760</v>
      </c>
      <c r="F206" s="137">
        <v>5578</v>
      </c>
      <c r="G206" s="137">
        <v>5000</v>
      </c>
      <c r="H206" s="137">
        <f t="shared" si="93"/>
        <v>18338</v>
      </c>
      <c r="J206" s="137"/>
      <c r="K206" s="137">
        <v>6260</v>
      </c>
      <c r="L206" s="137">
        <v>449</v>
      </c>
      <c r="M206" s="137">
        <v>2000</v>
      </c>
      <c r="N206" s="137">
        <f t="shared" si="94"/>
        <v>8709</v>
      </c>
      <c r="P206" s="84" t="str">
        <f t="shared" si="95"/>
        <v/>
      </c>
      <c r="Q206" s="84">
        <f t="shared" si="96"/>
        <v>0.80670103092783507</v>
      </c>
      <c r="R206" s="84">
        <f t="shared" si="97"/>
        <v>8.0494801003944072E-2</v>
      </c>
      <c r="S206" s="84">
        <f t="shared" si="98"/>
        <v>0.4</v>
      </c>
      <c r="T206" s="84" t="str">
        <f>+IFERROR(#REF!/#REF!,"")</f>
        <v/>
      </c>
      <c r="U206" s="84" t="str">
        <f>+IFERROR(#REF!/#REF!,"")</f>
        <v/>
      </c>
      <c r="V206" s="84" t="str">
        <f>+IFERROR(#REF!/#REF!,"")</f>
        <v/>
      </c>
      <c r="W206" s="84" t="str">
        <f>+IFERROR(#REF!/#REF!,"")</f>
        <v/>
      </c>
      <c r="X206" s="84" t="str">
        <f>+IFERROR(#REF!/#REF!,"")</f>
        <v/>
      </c>
      <c r="Y206" s="84" t="str">
        <f>+IFERROR(#REF!/#REF!,"")</f>
        <v/>
      </c>
      <c r="Z206" s="84" t="str">
        <f>+IFERROR(#REF!/#REF!,"")</f>
        <v/>
      </c>
      <c r="AA206" s="84" t="str">
        <f>+IFERROR(#REF!/#REF!,"")</f>
        <v/>
      </c>
      <c r="AB206" s="84">
        <f t="shared" si="99"/>
        <v>0.47491547606063911</v>
      </c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P206" s="82">
        <f t="shared" si="111"/>
        <v>8.5992696813745847E-6</v>
      </c>
      <c r="AQ206" s="82">
        <f t="shared" si="112"/>
        <v>0.99978663265754419</v>
      </c>
    </row>
    <row r="207" spans="2:43" x14ac:dyDescent="0.35">
      <c r="B207" s="83" t="s">
        <v>301</v>
      </c>
      <c r="D207" s="137"/>
      <c r="E207" s="137"/>
      <c r="F207" s="137"/>
      <c r="G207" s="137">
        <v>12414</v>
      </c>
      <c r="H207" s="137">
        <f t="shared" si="93"/>
        <v>12414</v>
      </c>
      <c r="J207" s="137"/>
      <c r="K207" s="137"/>
      <c r="L207" s="137"/>
      <c r="M207" s="137">
        <v>2362</v>
      </c>
      <c r="N207" s="137">
        <f t="shared" si="94"/>
        <v>2362</v>
      </c>
      <c r="P207" s="84" t="str">
        <f t="shared" si="95"/>
        <v/>
      </c>
      <c r="Q207" s="84" t="str">
        <f t="shared" si="96"/>
        <v/>
      </c>
      <c r="R207" s="84" t="str">
        <f t="shared" si="97"/>
        <v/>
      </c>
      <c r="S207" s="84">
        <f t="shared" si="98"/>
        <v>0.19026905107137104</v>
      </c>
      <c r="T207" s="84" t="str">
        <f>+IFERROR(#REF!/#REF!,"")</f>
        <v/>
      </c>
      <c r="U207" s="84" t="str">
        <f>+IFERROR(#REF!/#REF!,"")</f>
        <v/>
      </c>
      <c r="V207" s="84" t="str">
        <f>+IFERROR(#REF!/#REF!,"")</f>
        <v/>
      </c>
      <c r="W207" s="84" t="str">
        <f>+IFERROR(#REF!/#REF!,"")</f>
        <v/>
      </c>
      <c r="X207" s="84" t="str">
        <f>+IFERROR(#REF!/#REF!,"")</f>
        <v/>
      </c>
      <c r="Y207" s="84" t="str">
        <f>+IFERROR(#REF!/#REF!,"")</f>
        <v/>
      </c>
      <c r="Z207" s="84" t="str">
        <f>+IFERROR(#REF!/#REF!,"")</f>
        <v/>
      </c>
      <c r="AA207" s="84" t="str">
        <f>+IFERROR(#REF!/#REF!,"")</f>
        <v/>
      </c>
      <c r="AB207" s="84">
        <f t="shared" si="99"/>
        <v>0.19026905107137104</v>
      </c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P207" s="82">
        <f t="shared" si="111"/>
        <v>2.3322396357109624E-6</v>
      </c>
      <c r="AQ207" s="82">
        <f t="shared" si="112"/>
        <v>0.99978896489717994</v>
      </c>
    </row>
    <row r="208" spans="2:43" x14ac:dyDescent="0.35">
      <c r="B208" s="83" t="s">
        <v>302</v>
      </c>
      <c r="D208" s="137"/>
      <c r="E208" s="137"/>
      <c r="F208" s="137"/>
      <c r="G208" s="137"/>
      <c r="H208" s="137">
        <f t="shared" si="93"/>
        <v>0</v>
      </c>
      <c r="J208" s="137"/>
      <c r="K208" s="137"/>
      <c r="L208" s="137"/>
      <c r="M208" s="137"/>
      <c r="N208" s="137">
        <f t="shared" si="94"/>
        <v>0</v>
      </c>
      <c r="P208" s="84" t="str">
        <f t="shared" si="95"/>
        <v/>
      </c>
      <c r="Q208" s="84" t="str">
        <f t="shared" si="96"/>
        <v/>
      </c>
      <c r="R208" s="84" t="str">
        <f t="shared" si="97"/>
        <v/>
      </c>
      <c r="S208" s="84" t="str">
        <f t="shared" si="98"/>
        <v/>
      </c>
      <c r="T208" s="84" t="str">
        <f>+IFERROR(#REF!/#REF!,"")</f>
        <v/>
      </c>
      <c r="U208" s="84" t="str">
        <f>+IFERROR(#REF!/#REF!,"")</f>
        <v/>
      </c>
      <c r="V208" s="84" t="str">
        <f>+IFERROR(#REF!/#REF!,"")</f>
        <v/>
      </c>
      <c r="W208" s="84" t="str">
        <f>+IFERROR(#REF!/#REF!,"")</f>
        <v/>
      </c>
      <c r="X208" s="84" t="str">
        <f>+IFERROR(#REF!/#REF!,"")</f>
        <v/>
      </c>
      <c r="Y208" s="84" t="str">
        <f>+IFERROR(#REF!/#REF!,"")</f>
        <v/>
      </c>
      <c r="Z208" s="84" t="str">
        <f>+IFERROR(#REF!/#REF!,"")</f>
        <v/>
      </c>
      <c r="AA208" s="84" t="str">
        <f>+IFERROR(#REF!/#REF!,"")</f>
        <v/>
      </c>
      <c r="AB208" s="84" t="str">
        <f t="shared" si="99"/>
        <v/>
      </c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P208" s="82">
        <f t="shared" si="111"/>
        <v>0</v>
      </c>
      <c r="AQ208" s="82">
        <f t="shared" si="112"/>
        <v>0.99978896489717994</v>
      </c>
    </row>
    <row r="209" spans="2:43" x14ac:dyDescent="0.35">
      <c r="B209" s="83" t="s">
        <v>303</v>
      </c>
      <c r="D209" s="137"/>
      <c r="E209" s="137"/>
      <c r="F209" s="137"/>
      <c r="G209" s="137"/>
      <c r="H209" s="137">
        <f t="shared" si="93"/>
        <v>0</v>
      </c>
      <c r="J209" s="137"/>
      <c r="K209" s="137"/>
      <c r="L209" s="137"/>
      <c r="M209" s="137"/>
      <c r="N209" s="137">
        <f t="shared" si="94"/>
        <v>0</v>
      </c>
      <c r="P209" s="84" t="str">
        <f t="shared" si="95"/>
        <v/>
      </c>
      <c r="Q209" s="84" t="str">
        <f t="shared" si="96"/>
        <v/>
      </c>
      <c r="R209" s="84" t="str">
        <f t="shared" si="97"/>
        <v/>
      </c>
      <c r="S209" s="84" t="str">
        <f t="shared" si="98"/>
        <v/>
      </c>
      <c r="T209" s="84" t="str">
        <f>+IFERROR(#REF!/#REF!,"")</f>
        <v/>
      </c>
      <c r="U209" s="84" t="str">
        <f>+IFERROR(#REF!/#REF!,"")</f>
        <v/>
      </c>
      <c r="V209" s="84" t="str">
        <f>+IFERROR(#REF!/#REF!,"")</f>
        <v/>
      </c>
      <c r="W209" s="84" t="str">
        <f>+IFERROR(#REF!/#REF!,"")</f>
        <v/>
      </c>
      <c r="X209" s="84" t="str">
        <f>+IFERROR(#REF!/#REF!,"")</f>
        <v/>
      </c>
      <c r="Y209" s="84" t="str">
        <f>+IFERROR(#REF!/#REF!,"")</f>
        <v/>
      </c>
      <c r="Z209" s="84" t="str">
        <f>+IFERROR(#REF!/#REF!,"")</f>
        <v/>
      </c>
      <c r="AA209" s="84" t="str">
        <f>+IFERROR(#REF!/#REF!,"")</f>
        <v/>
      </c>
      <c r="AB209" s="84" t="str">
        <f t="shared" si="99"/>
        <v/>
      </c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P209" s="82">
        <f t="shared" si="111"/>
        <v>0</v>
      </c>
      <c r="AQ209" s="82">
        <f t="shared" si="112"/>
        <v>0.99978896489717994</v>
      </c>
    </row>
    <row r="210" spans="2:43" x14ac:dyDescent="0.35">
      <c r="B210" s="83" t="s">
        <v>304</v>
      </c>
      <c r="D210" s="137"/>
      <c r="E210" s="137"/>
      <c r="F210" s="137">
        <v>5200</v>
      </c>
      <c r="G210" s="137">
        <v>541</v>
      </c>
      <c r="H210" s="137">
        <f t="shared" si="93"/>
        <v>5741</v>
      </c>
      <c r="J210" s="137"/>
      <c r="K210" s="137"/>
      <c r="L210" s="137">
        <v>5200</v>
      </c>
      <c r="M210" s="137">
        <v>541</v>
      </c>
      <c r="N210" s="137">
        <f t="shared" si="94"/>
        <v>5741</v>
      </c>
      <c r="P210" s="84" t="str">
        <f t="shared" si="95"/>
        <v/>
      </c>
      <c r="Q210" s="84" t="str">
        <f t="shared" si="96"/>
        <v/>
      </c>
      <c r="R210" s="84">
        <f t="shared" si="97"/>
        <v>1</v>
      </c>
      <c r="S210" s="84">
        <f t="shared" si="98"/>
        <v>1</v>
      </c>
      <c r="T210" s="84" t="str">
        <f>+IFERROR(#REF!/#REF!,"")</f>
        <v/>
      </c>
      <c r="U210" s="84" t="str">
        <f>+IFERROR(#REF!/#REF!,"")</f>
        <v/>
      </c>
      <c r="V210" s="84" t="str">
        <f>+IFERROR(#REF!/#REF!,"")</f>
        <v/>
      </c>
      <c r="W210" s="84" t="str">
        <f>+IFERROR(#REF!/#REF!,"")</f>
        <v/>
      </c>
      <c r="X210" s="84" t="str">
        <f>+IFERROR(#REF!/#REF!,"")</f>
        <v/>
      </c>
      <c r="Y210" s="84" t="str">
        <f>+IFERROR(#REF!/#REF!,"")</f>
        <v/>
      </c>
      <c r="Z210" s="84" t="str">
        <f>+IFERROR(#REF!/#REF!,"")</f>
        <v/>
      </c>
      <c r="AA210" s="84" t="str">
        <f>+IFERROR(#REF!/#REF!,"")</f>
        <v/>
      </c>
      <c r="AB210" s="84">
        <f t="shared" si="99"/>
        <v>1</v>
      </c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P210" s="82">
        <f t="shared" si="111"/>
        <v>5.6686654312517502E-6</v>
      </c>
      <c r="AQ210" s="82">
        <f t="shared" si="112"/>
        <v>0.99979463356261122</v>
      </c>
    </row>
    <row r="211" spans="2:43" x14ac:dyDescent="0.35">
      <c r="B211" s="83" t="s">
        <v>305</v>
      </c>
      <c r="D211" s="137">
        <v>4701</v>
      </c>
      <c r="E211" s="137"/>
      <c r="F211" s="137"/>
      <c r="G211" s="137"/>
      <c r="H211" s="137">
        <f t="shared" si="93"/>
        <v>4701</v>
      </c>
      <c r="J211" s="137">
        <v>864</v>
      </c>
      <c r="K211" s="137"/>
      <c r="L211" s="137"/>
      <c r="M211" s="137"/>
      <c r="N211" s="137">
        <f t="shared" si="94"/>
        <v>864</v>
      </c>
      <c r="P211" s="84">
        <f t="shared" si="95"/>
        <v>0.18379068283343969</v>
      </c>
      <c r="Q211" s="84" t="str">
        <f t="shared" si="96"/>
        <v/>
      </c>
      <c r="R211" s="84" t="str">
        <f t="shared" si="97"/>
        <v/>
      </c>
      <c r="S211" s="84" t="str">
        <f t="shared" si="98"/>
        <v/>
      </c>
      <c r="T211" s="84" t="str">
        <f>+IFERROR(#REF!/#REF!,"")</f>
        <v/>
      </c>
      <c r="U211" s="84" t="str">
        <f>+IFERROR(#REF!/#REF!,"")</f>
        <v/>
      </c>
      <c r="V211" s="84" t="str">
        <f>+IFERROR(#REF!/#REF!,"")</f>
        <v/>
      </c>
      <c r="W211" s="84" t="str">
        <f>+IFERROR(#REF!/#REF!,"")</f>
        <v/>
      </c>
      <c r="X211" s="84" t="str">
        <f>+IFERROR(#REF!/#REF!,"")</f>
        <v/>
      </c>
      <c r="Y211" s="84" t="str">
        <f>+IFERROR(#REF!/#REF!,"")</f>
        <v/>
      </c>
      <c r="Z211" s="84" t="str">
        <f>+IFERROR(#REF!/#REF!,"")</f>
        <v/>
      </c>
      <c r="AA211" s="84" t="str">
        <f>+IFERROR(#REF!/#REF!,"")</f>
        <v/>
      </c>
      <c r="AB211" s="84">
        <f t="shared" si="99"/>
        <v>0.18379068283343969</v>
      </c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P211" s="82">
        <f t="shared" si="111"/>
        <v>8.5311390569613516E-7</v>
      </c>
      <c r="AQ211" s="82">
        <f t="shared" si="112"/>
        <v>0.99979548667651696</v>
      </c>
    </row>
    <row r="212" spans="2:43" x14ac:dyDescent="0.35">
      <c r="B212" s="83" t="s">
        <v>306</v>
      </c>
      <c r="D212" s="137"/>
      <c r="E212" s="137"/>
      <c r="F212" s="137"/>
      <c r="G212" s="137"/>
      <c r="H212" s="137">
        <f t="shared" si="93"/>
        <v>0</v>
      </c>
      <c r="J212" s="137"/>
      <c r="K212" s="137"/>
      <c r="L212" s="137"/>
      <c r="M212" s="137"/>
      <c r="N212" s="137">
        <f t="shared" si="94"/>
        <v>0</v>
      </c>
      <c r="P212" s="84" t="str">
        <f t="shared" si="95"/>
        <v/>
      </c>
      <c r="Q212" s="84" t="str">
        <f t="shared" si="96"/>
        <v/>
      </c>
      <c r="R212" s="84" t="str">
        <f t="shared" si="97"/>
        <v/>
      </c>
      <c r="S212" s="84" t="str">
        <f t="shared" si="98"/>
        <v/>
      </c>
      <c r="T212" s="84" t="str">
        <f>+IFERROR(#REF!/#REF!,"")</f>
        <v/>
      </c>
      <c r="U212" s="84" t="str">
        <f>+IFERROR(#REF!/#REF!,"")</f>
        <v/>
      </c>
      <c r="V212" s="84" t="str">
        <f>+IFERROR(#REF!/#REF!,"")</f>
        <v/>
      </c>
      <c r="W212" s="84" t="str">
        <f>+IFERROR(#REF!/#REF!,"")</f>
        <v/>
      </c>
      <c r="X212" s="84" t="str">
        <f>+IFERROR(#REF!/#REF!,"")</f>
        <v/>
      </c>
      <c r="Y212" s="84" t="str">
        <f>+IFERROR(#REF!/#REF!,"")</f>
        <v/>
      </c>
      <c r="Z212" s="84" t="str">
        <f>+IFERROR(#REF!/#REF!,"")</f>
        <v/>
      </c>
      <c r="AA212" s="84" t="str">
        <f>+IFERROR(#REF!/#REF!,"")</f>
        <v/>
      </c>
      <c r="AB212" s="84" t="str">
        <f t="shared" si="99"/>
        <v/>
      </c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P212" s="82">
        <f t="shared" si="111"/>
        <v>0</v>
      </c>
      <c r="AQ212" s="82">
        <f t="shared" si="112"/>
        <v>0.99979548667651696</v>
      </c>
    </row>
    <row r="213" spans="2:43" x14ac:dyDescent="0.35">
      <c r="B213" s="83" t="s">
        <v>307</v>
      </c>
      <c r="D213" s="137"/>
      <c r="E213" s="137"/>
      <c r="F213" s="137">
        <v>5100</v>
      </c>
      <c r="G213" s="137">
        <v>8998</v>
      </c>
      <c r="H213" s="137">
        <f t="shared" si="93"/>
        <v>14098</v>
      </c>
      <c r="J213" s="137"/>
      <c r="K213" s="137"/>
      <c r="L213" s="137">
        <v>1950</v>
      </c>
      <c r="M213" s="137">
        <v>1200</v>
      </c>
      <c r="N213" s="137">
        <f t="shared" si="94"/>
        <v>3150</v>
      </c>
      <c r="P213" s="84" t="str">
        <f t="shared" si="95"/>
        <v/>
      </c>
      <c r="Q213" s="84" t="str">
        <f t="shared" si="96"/>
        <v/>
      </c>
      <c r="R213" s="84">
        <f t="shared" si="97"/>
        <v>0.38235294117647056</v>
      </c>
      <c r="S213" s="84">
        <f t="shared" si="98"/>
        <v>0.13336296954878862</v>
      </c>
      <c r="T213" s="84" t="str">
        <f>+IFERROR(#REF!/#REF!,"")</f>
        <v/>
      </c>
      <c r="U213" s="84" t="str">
        <f>+IFERROR(#REF!/#REF!,"")</f>
        <v/>
      </c>
      <c r="V213" s="84" t="str">
        <f>+IFERROR(#REF!/#REF!,"")</f>
        <v/>
      </c>
      <c r="W213" s="84" t="str">
        <f>+IFERROR(#REF!/#REF!,"")</f>
        <v/>
      </c>
      <c r="X213" s="84" t="str">
        <f>+IFERROR(#REF!/#REF!,"")</f>
        <v/>
      </c>
      <c r="Y213" s="84" t="str">
        <f>+IFERROR(#REF!/#REF!,"")</f>
        <v/>
      </c>
      <c r="Z213" s="84" t="str">
        <f>+IFERROR(#REF!/#REF!,"")</f>
        <v/>
      </c>
      <c r="AA213" s="84" t="str">
        <f>+IFERROR(#REF!/#REF!,"")</f>
        <v/>
      </c>
      <c r="AB213" s="84">
        <f t="shared" si="99"/>
        <v>0.22343594836146971</v>
      </c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P213" s="82">
        <f t="shared" si="111"/>
        <v>3.1103111145171598E-6</v>
      </c>
      <c r="AQ213" s="82">
        <f t="shared" si="112"/>
        <v>0.99979859698763152</v>
      </c>
    </row>
    <row r="214" spans="2:43" x14ac:dyDescent="0.35">
      <c r="B214" s="83" t="s">
        <v>308</v>
      </c>
      <c r="D214" s="137"/>
      <c r="E214" s="137"/>
      <c r="F214" s="137"/>
      <c r="G214" s="137">
        <v>6260</v>
      </c>
      <c r="H214" s="137">
        <f t="shared" si="93"/>
        <v>6260</v>
      </c>
      <c r="J214" s="137"/>
      <c r="K214" s="137"/>
      <c r="L214" s="137"/>
      <c r="M214" s="137">
        <v>6260</v>
      </c>
      <c r="N214" s="137">
        <f t="shared" si="94"/>
        <v>6260</v>
      </c>
      <c r="P214" s="84" t="str">
        <f t="shared" si="95"/>
        <v/>
      </c>
      <c r="Q214" s="84" t="str">
        <f t="shared" si="96"/>
        <v/>
      </c>
      <c r="R214" s="84" t="str">
        <f t="shared" si="97"/>
        <v/>
      </c>
      <c r="S214" s="84">
        <f t="shared" si="98"/>
        <v>1</v>
      </c>
      <c r="T214" s="84" t="str">
        <f>+IFERROR(#REF!/#REF!,"")</f>
        <v/>
      </c>
      <c r="U214" s="84" t="str">
        <f>+IFERROR(#REF!/#REF!,"")</f>
        <v/>
      </c>
      <c r="V214" s="84" t="str">
        <f>+IFERROR(#REF!/#REF!,"")</f>
        <v/>
      </c>
      <c r="W214" s="84" t="str">
        <f>+IFERROR(#REF!/#REF!,"")</f>
        <v/>
      </c>
      <c r="X214" s="84" t="str">
        <f>+IFERROR(#REF!/#REF!,"")</f>
        <v/>
      </c>
      <c r="Y214" s="84" t="str">
        <f>+IFERROR(#REF!/#REF!,"")</f>
        <v/>
      </c>
      <c r="Z214" s="84" t="str">
        <f>+IFERROR(#REF!/#REF!,"")</f>
        <v/>
      </c>
      <c r="AA214" s="84" t="str">
        <f>+IFERROR(#REF!/#REF!,"")</f>
        <v/>
      </c>
      <c r="AB214" s="84">
        <f t="shared" si="99"/>
        <v>1</v>
      </c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P214" s="82">
        <f t="shared" si="111"/>
        <v>6.1811262148817202E-6</v>
      </c>
      <c r="AQ214" s="82">
        <f t="shared" si="112"/>
        <v>0.99980477811384638</v>
      </c>
    </row>
    <row r="215" spans="2:43" x14ac:dyDescent="0.35">
      <c r="B215" s="83" t="s">
        <v>309</v>
      </c>
      <c r="D215" s="137"/>
      <c r="E215" s="137"/>
      <c r="F215" s="137"/>
      <c r="G215" s="137"/>
      <c r="H215" s="137">
        <f t="shared" si="93"/>
        <v>0</v>
      </c>
      <c r="J215" s="137"/>
      <c r="K215" s="137"/>
      <c r="L215" s="137"/>
      <c r="M215" s="137"/>
      <c r="N215" s="137">
        <f t="shared" si="94"/>
        <v>0</v>
      </c>
      <c r="P215" s="84" t="str">
        <f t="shared" si="95"/>
        <v/>
      </c>
      <c r="Q215" s="84" t="str">
        <f t="shared" si="96"/>
        <v/>
      </c>
      <c r="R215" s="84" t="str">
        <f t="shared" si="97"/>
        <v/>
      </c>
      <c r="S215" s="84" t="str">
        <f t="shared" si="98"/>
        <v/>
      </c>
      <c r="T215" s="84" t="str">
        <f>+IFERROR(#REF!/#REF!,"")</f>
        <v/>
      </c>
      <c r="U215" s="84" t="str">
        <f>+IFERROR(#REF!/#REF!,"")</f>
        <v/>
      </c>
      <c r="V215" s="84" t="str">
        <f>+IFERROR(#REF!/#REF!,"")</f>
        <v/>
      </c>
      <c r="W215" s="84" t="str">
        <f>+IFERROR(#REF!/#REF!,"")</f>
        <v/>
      </c>
      <c r="X215" s="84" t="str">
        <f>+IFERROR(#REF!/#REF!,"")</f>
        <v/>
      </c>
      <c r="Y215" s="84" t="str">
        <f>+IFERROR(#REF!/#REF!,"")</f>
        <v/>
      </c>
      <c r="Z215" s="84" t="str">
        <f>+IFERROR(#REF!/#REF!,"")</f>
        <v/>
      </c>
      <c r="AA215" s="84" t="str">
        <f>+IFERROR(#REF!/#REF!,"")</f>
        <v/>
      </c>
      <c r="AB215" s="84" t="str">
        <f t="shared" si="99"/>
        <v/>
      </c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P215" s="82">
        <f t="shared" si="111"/>
        <v>0</v>
      </c>
      <c r="AQ215" s="82">
        <f t="shared" si="112"/>
        <v>0.99980477811384638</v>
      </c>
    </row>
    <row r="216" spans="2:43" x14ac:dyDescent="0.35">
      <c r="B216" s="83" t="s">
        <v>310</v>
      </c>
      <c r="D216" s="137">
        <v>96133</v>
      </c>
      <c r="E216" s="137">
        <v>87875</v>
      </c>
      <c r="F216" s="137">
        <v>110183</v>
      </c>
      <c r="G216" s="137">
        <v>102847</v>
      </c>
      <c r="H216" s="137">
        <f t="shared" si="93"/>
        <v>397038</v>
      </c>
      <c r="J216" s="137">
        <v>12996</v>
      </c>
      <c r="K216" s="137">
        <v>21848</v>
      </c>
      <c r="L216" s="137">
        <v>32950</v>
      </c>
      <c r="M216" s="137">
        <v>29607</v>
      </c>
      <c r="N216" s="137">
        <f t="shared" si="94"/>
        <v>97401</v>
      </c>
      <c r="P216" s="84">
        <f t="shared" si="95"/>
        <v>0.13518770869524513</v>
      </c>
      <c r="Q216" s="84">
        <f t="shared" si="96"/>
        <v>0.24862588904694169</v>
      </c>
      <c r="R216" s="84">
        <f t="shared" si="97"/>
        <v>0.29904794750551356</v>
      </c>
      <c r="S216" s="84">
        <f t="shared" si="98"/>
        <v>0.2878742209301195</v>
      </c>
      <c r="T216" s="84" t="str">
        <f>+IFERROR(#REF!/#REF!,"")</f>
        <v/>
      </c>
      <c r="U216" s="84" t="str">
        <f>+IFERROR(#REF!/#REF!,"")</f>
        <v/>
      </c>
      <c r="V216" s="84" t="str">
        <f>+IFERROR(#REF!/#REF!,"")</f>
        <v/>
      </c>
      <c r="W216" s="84" t="str">
        <f>+IFERROR(#REF!/#REF!,"")</f>
        <v/>
      </c>
      <c r="X216" s="84" t="str">
        <f>+IFERROR(#REF!/#REF!,"")</f>
        <v/>
      </c>
      <c r="Y216" s="84" t="str">
        <f>+IFERROR(#REF!/#REF!,"")</f>
        <v/>
      </c>
      <c r="Z216" s="84" t="str">
        <f>+IFERROR(#REF!/#REF!,"")</f>
        <v/>
      </c>
      <c r="AA216" s="84" t="str">
        <f>+IFERROR(#REF!/#REF!,"")</f>
        <v/>
      </c>
      <c r="AB216" s="84">
        <f t="shared" si="99"/>
        <v>0.24531908784549589</v>
      </c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P216" s="82">
        <f t="shared" si="111"/>
        <v>9.6173781861932025E-5</v>
      </c>
      <c r="AQ216" s="82">
        <f t="shared" si="112"/>
        <v>0.99990095189570827</v>
      </c>
    </row>
    <row r="217" spans="2:43" x14ac:dyDescent="0.35">
      <c r="B217" s="83" t="s">
        <v>311</v>
      </c>
      <c r="D217" s="137"/>
      <c r="E217" s="137"/>
      <c r="F217" s="137"/>
      <c r="G217" s="137"/>
      <c r="H217" s="137">
        <f t="shared" si="93"/>
        <v>0</v>
      </c>
      <c r="J217" s="137"/>
      <c r="K217" s="137"/>
      <c r="L217" s="137"/>
      <c r="M217" s="137"/>
      <c r="N217" s="137">
        <f t="shared" si="94"/>
        <v>0</v>
      </c>
      <c r="P217" s="84" t="str">
        <f t="shared" si="95"/>
        <v/>
      </c>
      <c r="Q217" s="84" t="str">
        <f t="shared" si="96"/>
        <v/>
      </c>
      <c r="R217" s="84" t="str">
        <f t="shared" si="97"/>
        <v/>
      </c>
      <c r="S217" s="84" t="str">
        <f t="shared" si="98"/>
        <v/>
      </c>
      <c r="T217" s="84" t="str">
        <f>+IFERROR(#REF!/#REF!,"")</f>
        <v/>
      </c>
      <c r="U217" s="84" t="str">
        <f>+IFERROR(#REF!/#REF!,"")</f>
        <v/>
      </c>
      <c r="V217" s="84" t="str">
        <f>+IFERROR(#REF!/#REF!,"")</f>
        <v/>
      </c>
      <c r="W217" s="84" t="str">
        <f>+IFERROR(#REF!/#REF!,"")</f>
        <v/>
      </c>
      <c r="X217" s="84" t="str">
        <f>+IFERROR(#REF!/#REF!,"")</f>
        <v/>
      </c>
      <c r="Y217" s="84" t="str">
        <f>+IFERROR(#REF!/#REF!,"")</f>
        <v/>
      </c>
      <c r="Z217" s="84" t="str">
        <f>+IFERROR(#REF!/#REF!,"")</f>
        <v/>
      </c>
      <c r="AA217" s="84" t="str">
        <f>+IFERROR(#REF!/#REF!,"")</f>
        <v/>
      </c>
      <c r="AB217" s="84" t="str">
        <f t="shared" si="99"/>
        <v/>
      </c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P217" s="82">
        <f t="shared" si="111"/>
        <v>0</v>
      </c>
      <c r="AQ217" s="82">
        <f t="shared" si="112"/>
        <v>0.99990095189570827</v>
      </c>
    </row>
    <row r="218" spans="2:43" x14ac:dyDescent="0.35">
      <c r="B218" s="83" t="s">
        <v>312</v>
      </c>
      <c r="D218" s="137">
        <v>2291</v>
      </c>
      <c r="E218" s="137">
        <v>1892</v>
      </c>
      <c r="F218" s="137">
        <v>414</v>
      </c>
      <c r="G218" s="137">
        <v>1699</v>
      </c>
      <c r="H218" s="137">
        <f t="shared" si="93"/>
        <v>6296</v>
      </c>
      <c r="J218" s="137">
        <v>340</v>
      </c>
      <c r="K218" s="137">
        <v>510</v>
      </c>
      <c r="L218" s="137">
        <v>14</v>
      </c>
      <c r="M218" s="137">
        <v>40</v>
      </c>
      <c r="N218" s="137">
        <f t="shared" si="94"/>
        <v>904</v>
      </c>
      <c r="P218" s="84">
        <f t="shared" si="95"/>
        <v>0.14840680925360106</v>
      </c>
      <c r="Q218" s="84">
        <f t="shared" si="96"/>
        <v>0.26955602536997886</v>
      </c>
      <c r="R218" s="84">
        <f t="shared" si="97"/>
        <v>3.3816425120772944E-2</v>
      </c>
      <c r="S218" s="84">
        <f t="shared" si="98"/>
        <v>2.3543260741612712E-2</v>
      </c>
      <c r="T218" s="84" t="str">
        <f>+IFERROR(#REF!/#REF!,"")</f>
        <v/>
      </c>
      <c r="U218" s="84" t="str">
        <f>+IFERROR(#REF!/#REF!,"")</f>
        <v/>
      </c>
      <c r="V218" s="84" t="str">
        <f>+IFERROR(#REF!/#REF!,"")</f>
        <v/>
      </c>
      <c r="W218" s="84" t="str">
        <f>+IFERROR(#REF!/#REF!,"")</f>
        <v/>
      </c>
      <c r="X218" s="84" t="str">
        <f>+IFERROR(#REF!/#REF!,"")</f>
        <v/>
      </c>
      <c r="Y218" s="84" t="str">
        <f>+IFERROR(#REF!/#REF!,"")</f>
        <v/>
      </c>
      <c r="Z218" s="84" t="str">
        <f>+IFERROR(#REF!/#REF!,"")</f>
        <v/>
      </c>
      <c r="AA218" s="84" t="str">
        <f>+IFERROR(#REF!/#REF!,"")</f>
        <v/>
      </c>
      <c r="AB218" s="84">
        <f t="shared" si="99"/>
        <v>0.14358322744599747</v>
      </c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P218" s="82">
        <f t="shared" si="111"/>
        <v>8.9260991984873402E-7</v>
      </c>
      <c r="AQ218" s="82">
        <f t="shared" si="112"/>
        <v>0.99990184450562813</v>
      </c>
    </row>
    <row r="219" spans="2:43" x14ac:dyDescent="0.35">
      <c r="B219" s="83" t="s">
        <v>313</v>
      </c>
      <c r="D219" s="137">
        <v>92357</v>
      </c>
      <c r="E219" s="137">
        <v>76269</v>
      </c>
      <c r="F219" s="137">
        <v>55846</v>
      </c>
      <c r="G219" s="137">
        <v>105364</v>
      </c>
      <c r="H219" s="137">
        <f t="shared" si="93"/>
        <v>329836</v>
      </c>
      <c r="J219" s="137">
        <v>8530</v>
      </c>
      <c r="K219" s="137">
        <v>8171</v>
      </c>
      <c r="L219" s="137">
        <v>8020</v>
      </c>
      <c r="M219" s="137">
        <v>7173</v>
      </c>
      <c r="N219" s="137">
        <f t="shared" si="94"/>
        <v>31894</v>
      </c>
      <c r="P219" s="84">
        <f t="shared" si="95"/>
        <v>9.2358998235109416E-2</v>
      </c>
      <c r="Q219" s="84">
        <f t="shared" si="96"/>
        <v>0.10713396006241067</v>
      </c>
      <c r="R219" s="84">
        <f t="shared" si="97"/>
        <v>0.14360921104465851</v>
      </c>
      <c r="S219" s="84">
        <f t="shared" si="98"/>
        <v>6.8078281006795485E-2</v>
      </c>
      <c r="T219" s="84" t="str">
        <f>+IFERROR(#REF!/#REF!,"")</f>
        <v/>
      </c>
      <c r="U219" s="84" t="str">
        <f>+IFERROR(#REF!/#REF!,"")</f>
        <v/>
      </c>
      <c r="V219" s="84" t="str">
        <f>+IFERROR(#REF!/#REF!,"")</f>
        <v/>
      </c>
      <c r="W219" s="84" t="str">
        <f>+IFERROR(#REF!/#REF!,"")</f>
        <v/>
      </c>
      <c r="X219" s="84" t="str">
        <f>+IFERROR(#REF!/#REF!,"")</f>
        <v/>
      </c>
      <c r="Y219" s="84" t="str">
        <f>+IFERROR(#REF!/#REF!,"")</f>
        <v/>
      </c>
      <c r="Z219" s="84" t="str">
        <f>+IFERROR(#REF!/#REF!,"")</f>
        <v/>
      </c>
      <c r="AA219" s="84" t="str">
        <f>+IFERROR(#REF!/#REF!,"")</f>
        <v/>
      </c>
      <c r="AB219" s="84">
        <f t="shared" si="99"/>
        <v>9.6696540098715728E-2</v>
      </c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P219" s="82">
        <f t="shared" si="111"/>
        <v>3.1492146884574696E-5</v>
      </c>
      <c r="AQ219" s="82">
        <f t="shared" si="112"/>
        <v>0.99993333665251272</v>
      </c>
    </row>
    <row r="220" spans="2:43" x14ac:dyDescent="0.35">
      <c r="B220" s="83" t="s">
        <v>314</v>
      </c>
      <c r="D220" s="137"/>
      <c r="E220" s="137"/>
      <c r="F220" s="137"/>
      <c r="G220" s="137"/>
      <c r="H220" s="137">
        <f t="shared" si="93"/>
        <v>0</v>
      </c>
      <c r="J220" s="137"/>
      <c r="K220" s="137"/>
      <c r="L220" s="137"/>
      <c r="M220" s="137"/>
      <c r="N220" s="137">
        <f t="shared" si="94"/>
        <v>0</v>
      </c>
      <c r="P220" s="84" t="str">
        <f t="shared" si="95"/>
        <v/>
      </c>
      <c r="Q220" s="84" t="str">
        <f t="shared" si="96"/>
        <v/>
      </c>
      <c r="R220" s="84" t="str">
        <f t="shared" si="97"/>
        <v/>
      </c>
      <c r="S220" s="84" t="str">
        <f t="shared" si="98"/>
        <v/>
      </c>
      <c r="T220" s="84" t="str">
        <f>+IFERROR(#REF!/#REF!,"")</f>
        <v/>
      </c>
      <c r="U220" s="84" t="str">
        <f>+IFERROR(#REF!/#REF!,"")</f>
        <v/>
      </c>
      <c r="V220" s="84" t="str">
        <f>+IFERROR(#REF!/#REF!,"")</f>
        <v/>
      </c>
      <c r="W220" s="84" t="str">
        <f>+IFERROR(#REF!/#REF!,"")</f>
        <v/>
      </c>
      <c r="X220" s="84" t="str">
        <f>+IFERROR(#REF!/#REF!,"")</f>
        <v/>
      </c>
      <c r="Y220" s="84" t="str">
        <f>+IFERROR(#REF!/#REF!,"")</f>
        <v/>
      </c>
      <c r="Z220" s="84" t="str">
        <f>+IFERROR(#REF!/#REF!,"")</f>
        <v/>
      </c>
      <c r="AA220" s="84" t="str">
        <f>+IFERROR(#REF!/#REF!,"")</f>
        <v/>
      </c>
      <c r="AB220" s="84" t="str">
        <f t="shared" si="99"/>
        <v/>
      </c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P220" s="82">
        <f t="shared" si="111"/>
        <v>0</v>
      </c>
      <c r="AQ220" s="82">
        <f t="shared" si="112"/>
        <v>0.99993333665251272</v>
      </c>
    </row>
    <row r="221" spans="2:43" x14ac:dyDescent="0.35">
      <c r="B221" s="83" t="s">
        <v>315</v>
      </c>
      <c r="D221" s="137">
        <v>5290</v>
      </c>
      <c r="E221" s="137">
        <v>13442</v>
      </c>
      <c r="F221" s="137">
        <v>17106</v>
      </c>
      <c r="G221" s="137">
        <v>7682</v>
      </c>
      <c r="H221" s="137">
        <f t="shared" si="93"/>
        <v>43520</v>
      </c>
      <c r="J221" s="137">
        <v>572</v>
      </c>
      <c r="K221" s="137">
        <v>390</v>
      </c>
      <c r="L221" s="137">
        <v>6862</v>
      </c>
      <c r="M221" s="137">
        <v>1424</v>
      </c>
      <c r="N221" s="137">
        <f t="shared" si="94"/>
        <v>9248</v>
      </c>
      <c r="P221" s="84">
        <f t="shared" si="95"/>
        <v>0.10812854442344046</v>
      </c>
      <c r="Q221" s="84">
        <f t="shared" si="96"/>
        <v>2.9013539651837523E-2</v>
      </c>
      <c r="R221" s="84">
        <f t="shared" si="97"/>
        <v>0.40114579679644569</v>
      </c>
      <c r="S221" s="84">
        <f t="shared" si="98"/>
        <v>0.18536839364748764</v>
      </c>
      <c r="T221" s="84" t="str">
        <f>+IFERROR(#REF!/#REF!,"")</f>
        <v/>
      </c>
      <c r="U221" s="84" t="str">
        <f>+IFERROR(#REF!/#REF!,"")</f>
        <v/>
      </c>
      <c r="V221" s="84" t="str">
        <f>+IFERROR(#REF!/#REF!,"")</f>
        <v/>
      </c>
      <c r="W221" s="84" t="str">
        <f>+IFERROR(#REF!/#REF!,"")</f>
        <v/>
      </c>
      <c r="X221" s="84" t="str">
        <f>+IFERROR(#REF!/#REF!,"")</f>
        <v/>
      </c>
      <c r="Y221" s="84" t="str">
        <f>+IFERROR(#REF!/#REF!,"")</f>
        <v/>
      </c>
      <c r="Z221" s="84" t="str">
        <f>+IFERROR(#REF!/#REF!,"")</f>
        <v/>
      </c>
      <c r="AA221" s="84" t="str">
        <f>+IFERROR(#REF!/#REF!,"")</f>
        <v/>
      </c>
      <c r="AB221" s="84">
        <f t="shared" si="99"/>
        <v>0.21249999999999999</v>
      </c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P221" s="82">
        <f t="shared" si="111"/>
        <v>9.1314784720808539E-6</v>
      </c>
      <c r="AQ221" s="82">
        <f t="shared" si="112"/>
        <v>0.99994246813098475</v>
      </c>
    </row>
    <row r="222" spans="2:43" x14ac:dyDescent="0.35">
      <c r="B222" s="83" t="s">
        <v>316</v>
      </c>
      <c r="D222" s="137"/>
      <c r="E222" s="137"/>
      <c r="F222" s="137"/>
      <c r="G222" s="137"/>
      <c r="H222" s="137">
        <f t="shared" si="93"/>
        <v>0</v>
      </c>
      <c r="J222" s="137"/>
      <c r="K222" s="137"/>
      <c r="L222" s="137"/>
      <c r="M222" s="137"/>
      <c r="N222" s="137">
        <f t="shared" si="94"/>
        <v>0</v>
      </c>
      <c r="P222" s="84" t="str">
        <f t="shared" si="95"/>
        <v/>
      </c>
      <c r="Q222" s="84" t="str">
        <f t="shared" si="96"/>
        <v/>
      </c>
      <c r="R222" s="84" t="str">
        <f t="shared" si="97"/>
        <v/>
      </c>
      <c r="S222" s="84" t="str">
        <f t="shared" si="98"/>
        <v/>
      </c>
      <c r="T222" s="84" t="str">
        <f>+IFERROR(#REF!/#REF!,"")</f>
        <v/>
      </c>
      <c r="U222" s="84" t="str">
        <f>+IFERROR(#REF!/#REF!,"")</f>
        <v/>
      </c>
      <c r="V222" s="84" t="str">
        <f>+IFERROR(#REF!/#REF!,"")</f>
        <v/>
      </c>
      <c r="W222" s="84" t="str">
        <f>+IFERROR(#REF!/#REF!,"")</f>
        <v/>
      </c>
      <c r="X222" s="84" t="str">
        <f>+IFERROR(#REF!/#REF!,"")</f>
        <v/>
      </c>
      <c r="Y222" s="84" t="str">
        <f>+IFERROR(#REF!/#REF!,"")</f>
        <v/>
      </c>
      <c r="Z222" s="84" t="str">
        <f>+IFERROR(#REF!/#REF!,"")</f>
        <v/>
      </c>
      <c r="AA222" s="84" t="str">
        <f>+IFERROR(#REF!/#REF!,"")</f>
        <v/>
      </c>
      <c r="AB222" s="84" t="str">
        <f t="shared" si="99"/>
        <v/>
      </c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P222" s="82">
        <f t="shared" si="111"/>
        <v>0</v>
      </c>
      <c r="AQ222" s="82">
        <f t="shared" si="112"/>
        <v>0.99994246813098475</v>
      </c>
    </row>
    <row r="223" spans="2:43" x14ac:dyDescent="0.35">
      <c r="B223" s="83" t="s">
        <v>317</v>
      </c>
      <c r="D223" s="137">
        <v>62448</v>
      </c>
      <c r="E223" s="137">
        <v>48014</v>
      </c>
      <c r="F223" s="137">
        <v>36984</v>
      </c>
      <c r="G223" s="137">
        <v>153606</v>
      </c>
      <c r="H223" s="137">
        <f t="shared" si="93"/>
        <v>301052</v>
      </c>
      <c r="J223" s="137">
        <v>8155</v>
      </c>
      <c r="K223" s="137">
        <v>6734</v>
      </c>
      <c r="L223" s="137">
        <v>2884</v>
      </c>
      <c r="M223" s="137">
        <v>10017</v>
      </c>
      <c r="N223" s="137">
        <f t="shared" si="94"/>
        <v>27790</v>
      </c>
      <c r="P223" s="84">
        <f t="shared" si="95"/>
        <v>0.13058864975659748</v>
      </c>
      <c r="Q223" s="84">
        <f t="shared" si="96"/>
        <v>0.14025076019494315</v>
      </c>
      <c r="R223" s="84">
        <f t="shared" si="97"/>
        <v>7.7979666882976417E-2</v>
      </c>
      <c r="S223" s="84">
        <f t="shared" si="98"/>
        <v>6.521229639467209E-2</v>
      </c>
      <c r="T223" s="84" t="str">
        <f>+IFERROR(#REF!/#REF!,"")</f>
        <v/>
      </c>
      <c r="U223" s="84" t="str">
        <f>+IFERROR(#REF!/#REF!,"")</f>
        <v/>
      </c>
      <c r="V223" s="84" t="str">
        <f>+IFERROR(#REF!/#REF!,"")</f>
        <v/>
      </c>
      <c r="W223" s="84" t="str">
        <f>+IFERROR(#REF!/#REF!,"")</f>
        <v/>
      </c>
      <c r="X223" s="84" t="str">
        <f>+IFERROR(#REF!/#REF!,"")</f>
        <v/>
      </c>
      <c r="Y223" s="84" t="str">
        <f>+IFERROR(#REF!/#REF!,"")</f>
        <v/>
      </c>
      <c r="Z223" s="84" t="str">
        <f>+IFERROR(#REF!/#REF!,"")</f>
        <v/>
      </c>
      <c r="AA223" s="84" t="str">
        <f>+IFERROR(#REF!/#REF!,"")</f>
        <v/>
      </c>
      <c r="AB223" s="84">
        <f t="shared" si="99"/>
        <v>9.2309634216015832E-2</v>
      </c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P223" s="82">
        <f t="shared" si="111"/>
        <v>2.7439855832518053E-5</v>
      </c>
      <c r="AQ223" s="82">
        <f t="shared" si="112"/>
        <v>0.99996990798681729</v>
      </c>
    </row>
    <row r="224" spans="2:43" x14ac:dyDescent="0.35">
      <c r="B224" s="83" t="s">
        <v>318</v>
      </c>
      <c r="D224" s="137">
        <v>2110</v>
      </c>
      <c r="E224" s="137"/>
      <c r="F224" s="137">
        <v>8000</v>
      </c>
      <c r="G224" s="137"/>
      <c r="H224" s="137">
        <f t="shared" si="93"/>
        <v>10110</v>
      </c>
      <c r="J224" s="137">
        <v>2110</v>
      </c>
      <c r="K224" s="137"/>
      <c r="L224" s="137">
        <v>8000</v>
      </c>
      <c r="M224" s="137"/>
      <c r="N224" s="137">
        <f t="shared" si="94"/>
        <v>10110</v>
      </c>
      <c r="P224" s="84">
        <f t="shared" si="95"/>
        <v>1</v>
      </c>
      <c r="Q224" s="84" t="str">
        <f t="shared" si="96"/>
        <v/>
      </c>
      <c r="R224" s="84">
        <f t="shared" si="97"/>
        <v>1</v>
      </c>
      <c r="S224" s="84" t="str">
        <f t="shared" si="98"/>
        <v/>
      </c>
      <c r="T224" s="84" t="str">
        <f>+IFERROR(#REF!/#REF!,"")</f>
        <v/>
      </c>
      <c r="U224" s="84" t="str">
        <f>+IFERROR(#REF!/#REF!,"")</f>
        <v/>
      </c>
      <c r="V224" s="84" t="str">
        <f>+IFERROR(#REF!/#REF!,"")</f>
        <v/>
      </c>
      <c r="W224" s="84" t="str">
        <f>+IFERROR(#REF!/#REF!,"")</f>
        <v/>
      </c>
      <c r="X224" s="84" t="str">
        <f>+IFERROR(#REF!/#REF!,"")</f>
        <v/>
      </c>
      <c r="Y224" s="84" t="str">
        <f>+IFERROR(#REF!/#REF!,"")</f>
        <v/>
      </c>
      <c r="Z224" s="84" t="str">
        <f>+IFERROR(#REF!/#REF!,"")</f>
        <v/>
      </c>
      <c r="AA224" s="84" t="str">
        <f>+IFERROR(#REF!/#REF!,"")</f>
        <v/>
      </c>
      <c r="AB224" s="84">
        <f t="shared" si="99"/>
        <v>1</v>
      </c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P224" s="82">
        <f t="shared" si="111"/>
        <v>9.9826175770693606E-6</v>
      </c>
      <c r="AQ224" s="82">
        <f t="shared" si="112"/>
        <v>0.99997989060439441</v>
      </c>
    </row>
    <row r="225" spans="2:43" x14ac:dyDescent="0.35">
      <c r="B225" s="83" t="s">
        <v>319</v>
      </c>
      <c r="D225" s="137"/>
      <c r="E225" s="137"/>
      <c r="F225" s="137"/>
      <c r="G225" s="137"/>
      <c r="H225" s="137">
        <f t="shared" si="93"/>
        <v>0</v>
      </c>
      <c r="J225" s="137"/>
      <c r="K225" s="137"/>
      <c r="L225" s="137"/>
      <c r="M225" s="137"/>
      <c r="N225" s="137">
        <f t="shared" si="94"/>
        <v>0</v>
      </c>
      <c r="P225" s="84" t="str">
        <f t="shared" si="95"/>
        <v/>
      </c>
      <c r="Q225" s="84" t="str">
        <f t="shared" si="96"/>
        <v/>
      </c>
      <c r="R225" s="84" t="str">
        <f t="shared" si="97"/>
        <v/>
      </c>
      <c r="S225" s="84" t="str">
        <f t="shared" si="98"/>
        <v/>
      </c>
      <c r="T225" s="84" t="str">
        <f>+IFERROR(#REF!/#REF!,"")</f>
        <v/>
      </c>
      <c r="U225" s="84" t="str">
        <f>+IFERROR(#REF!/#REF!,"")</f>
        <v/>
      </c>
      <c r="V225" s="84" t="str">
        <f>+IFERROR(#REF!/#REF!,"")</f>
        <v/>
      </c>
      <c r="W225" s="84" t="str">
        <f>+IFERROR(#REF!/#REF!,"")</f>
        <v/>
      </c>
      <c r="X225" s="84" t="str">
        <f>+IFERROR(#REF!/#REF!,"")</f>
        <v/>
      </c>
      <c r="Y225" s="84" t="str">
        <f>+IFERROR(#REF!/#REF!,"")</f>
        <v/>
      </c>
      <c r="Z225" s="84" t="str">
        <f>+IFERROR(#REF!/#REF!,"")</f>
        <v/>
      </c>
      <c r="AA225" s="84" t="str">
        <f>+IFERROR(#REF!/#REF!,"")</f>
        <v/>
      </c>
      <c r="AB225" s="84" t="str">
        <f t="shared" si="99"/>
        <v/>
      </c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P225" s="82">
        <f t="shared" si="111"/>
        <v>0</v>
      </c>
      <c r="AQ225" s="82">
        <f t="shared" si="112"/>
        <v>0.99997989060439441</v>
      </c>
    </row>
    <row r="226" spans="2:43" x14ac:dyDescent="0.35">
      <c r="B226" s="83" t="s">
        <v>320</v>
      </c>
      <c r="D226" s="137"/>
      <c r="E226" s="137"/>
      <c r="F226" s="137"/>
      <c r="G226" s="137"/>
      <c r="H226" s="137">
        <f t="shared" si="93"/>
        <v>0</v>
      </c>
      <c r="J226" s="137"/>
      <c r="K226" s="137"/>
      <c r="L226" s="137"/>
      <c r="M226" s="137"/>
      <c r="N226" s="137">
        <f t="shared" si="94"/>
        <v>0</v>
      </c>
      <c r="P226" s="84" t="str">
        <f t="shared" si="95"/>
        <v/>
      </c>
      <c r="Q226" s="84" t="str">
        <f t="shared" si="96"/>
        <v/>
      </c>
      <c r="R226" s="84" t="str">
        <f t="shared" si="97"/>
        <v/>
      </c>
      <c r="S226" s="84" t="str">
        <f t="shared" si="98"/>
        <v/>
      </c>
      <c r="T226" s="84" t="str">
        <f>+IFERROR(#REF!/#REF!,"")</f>
        <v/>
      </c>
      <c r="U226" s="84" t="str">
        <f>+IFERROR(#REF!/#REF!,"")</f>
        <v/>
      </c>
      <c r="V226" s="84" t="str">
        <f>+IFERROR(#REF!/#REF!,"")</f>
        <v/>
      </c>
      <c r="W226" s="84" t="str">
        <f>+IFERROR(#REF!/#REF!,"")</f>
        <v/>
      </c>
      <c r="X226" s="84" t="str">
        <f>+IFERROR(#REF!/#REF!,"")</f>
        <v/>
      </c>
      <c r="Y226" s="84" t="str">
        <f>+IFERROR(#REF!/#REF!,"")</f>
        <v/>
      </c>
      <c r="Z226" s="84" t="str">
        <f>+IFERROR(#REF!/#REF!,"")</f>
        <v/>
      </c>
      <c r="AA226" s="84" t="str">
        <f>+IFERROR(#REF!/#REF!,"")</f>
        <v/>
      </c>
      <c r="AB226" s="84" t="str">
        <f t="shared" si="99"/>
        <v/>
      </c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P226" s="82">
        <f t="shared" si="111"/>
        <v>0</v>
      </c>
      <c r="AQ226" s="82">
        <f t="shared" si="112"/>
        <v>0.99997989060439441</v>
      </c>
    </row>
    <row r="227" spans="2:43" x14ac:dyDescent="0.35">
      <c r="B227" s="83" t="s">
        <v>321</v>
      </c>
      <c r="D227" s="137"/>
      <c r="E227" s="137"/>
      <c r="F227" s="137"/>
      <c r="G227" s="137"/>
      <c r="H227" s="137">
        <f t="shared" si="93"/>
        <v>0</v>
      </c>
      <c r="J227" s="137"/>
      <c r="K227" s="137"/>
      <c r="L227" s="137"/>
      <c r="M227" s="137"/>
      <c r="N227" s="137">
        <f t="shared" si="94"/>
        <v>0</v>
      </c>
      <c r="P227" s="84" t="str">
        <f t="shared" si="95"/>
        <v/>
      </c>
      <c r="Q227" s="84" t="str">
        <f t="shared" si="96"/>
        <v/>
      </c>
      <c r="R227" s="84" t="str">
        <f t="shared" si="97"/>
        <v/>
      </c>
      <c r="S227" s="84" t="str">
        <f t="shared" si="98"/>
        <v/>
      </c>
      <c r="T227" s="84" t="str">
        <f>+IFERROR(#REF!/#REF!,"")</f>
        <v/>
      </c>
      <c r="U227" s="84" t="str">
        <f>+IFERROR(#REF!/#REF!,"")</f>
        <v/>
      </c>
      <c r="V227" s="84" t="str">
        <f>+IFERROR(#REF!/#REF!,"")</f>
        <v/>
      </c>
      <c r="W227" s="84" t="str">
        <f>+IFERROR(#REF!/#REF!,"")</f>
        <v/>
      </c>
      <c r="X227" s="84" t="str">
        <f>+IFERROR(#REF!/#REF!,"")</f>
        <v/>
      </c>
      <c r="Y227" s="84" t="str">
        <f>+IFERROR(#REF!/#REF!,"")</f>
        <v/>
      </c>
      <c r="Z227" s="84" t="str">
        <f>+IFERROR(#REF!/#REF!,"")</f>
        <v/>
      </c>
      <c r="AA227" s="84" t="str">
        <f>+IFERROR(#REF!/#REF!,"")</f>
        <v/>
      </c>
      <c r="AB227" s="84" t="str">
        <f t="shared" si="99"/>
        <v/>
      </c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P227" s="82">
        <f t="shared" si="111"/>
        <v>0</v>
      </c>
      <c r="AQ227" s="82">
        <f t="shared" si="112"/>
        <v>0.99997989060439441</v>
      </c>
    </row>
    <row r="228" spans="2:43" x14ac:dyDescent="0.35">
      <c r="B228" s="83" t="s">
        <v>322</v>
      </c>
      <c r="D228" s="137"/>
      <c r="E228" s="137"/>
      <c r="F228" s="137"/>
      <c r="G228" s="137"/>
      <c r="H228" s="137">
        <f t="shared" si="93"/>
        <v>0</v>
      </c>
      <c r="J228" s="137"/>
      <c r="K228" s="137"/>
      <c r="L228" s="137"/>
      <c r="M228" s="137"/>
      <c r="N228" s="137">
        <f t="shared" si="94"/>
        <v>0</v>
      </c>
      <c r="P228" s="84" t="str">
        <f t="shared" si="95"/>
        <v/>
      </c>
      <c r="Q228" s="84" t="str">
        <f t="shared" si="96"/>
        <v/>
      </c>
      <c r="R228" s="84" t="str">
        <f t="shared" si="97"/>
        <v/>
      </c>
      <c r="S228" s="84" t="str">
        <f t="shared" si="98"/>
        <v/>
      </c>
      <c r="T228" s="84" t="str">
        <f>+IFERROR(#REF!/#REF!,"")</f>
        <v/>
      </c>
      <c r="U228" s="84" t="str">
        <f>+IFERROR(#REF!/#REF!,"")</f>
        <v/>
      </c>
      <c r="V228" s="84" t="str">
        <f>+IFERROR(#REF!/#REF!,"")</f>
        <v/>
      </c>
      <c r="W228" s="84" t="str">
        <f>+IFERROR(#REF!/#REF!,"")</f>
        <v/>
      </c>
      <c r="X228" s="84" t="str">
        <f>+IFERROR(#REF!/#REF!,"")</f>
        <v/>
      </c>
      <c r="Y228" s="84" t="str">
        <f>+IFERROR(#REF!/#REF!,"")</f>
        <v/>
      </c>
      <c r="Z228" s="84" t="str">
        <f>+IFERROR(#REF!/#REF!,"")</f>
        <v/>
      </c>
      <c r="AA228" s="84" t="str">
        <f>+IFERROR(#REF!/#REF!,"")</f>
        <v/>
      </c>
      <c r="AB228" s="84" t="str">
        <f t="shared" si="99"/>
        <v/>
      </c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P228" s="82">
        <f t="shared" si="111"/>
        <v>0</v>
      </c>
      <c r="AQ228" s="82">
        <f t="shared" si="112"/>
        <v>0.99997989060439441</v>
      </c>
    </row>
    <row r="229" spans="2:43" x14ac:dyDescent="0.35">
      <c r="B229" s="83" t="s">
        <v>323</v>
      </c>
      <c r="D229" s="137">
        <v>9717</v>
      </c>
      <c r="E229" s="137">
        <v>7685</v>
      </c>
      <c r="F229" s="137">
        <v>5103</v>
      </c>
      <c r="G229" s="137">
        <v>9990</v>
      </c>
      <c r="H229" s="137">
        <f t="shared" si="93"/>
        <v>32495</v>
      </c>
      <c r="J229" s="137">
        <v>2000</v>
      </c>
      <c r="K229" s="137">
        <v>1900</v>
      </c>
      <c r="L229" s="137">
        <v>2143</v>
      </c>
      <c r="M229" s="137">
        <v>4980</v>
      </c>
      <c r="N229" s="137">
        <f t="shared" si="94"/>
        <v>11023</v>
      </c>
      <c r="P229" s="84">
        <f t="shared" si="95"/>
        <v>0.20582484305855717</v>
      </c>
      <c r="Q229" s="84">
        <f t="shared" si="96"/>
        <v>0.24723487312947301</v>
      </c>
      <c r="R229" s="84">
        <f t="shared" si="97"/>
        <v>0.41994904957867923</v>
      </c>
      <c r="S229" s="84">
        <f t="shared" si="98"/>
        <v>0.49849849849849848</v>
      </c>
      <c r="T229" s="84" t="str">
        <f>+IFERROR(#REF!/#REF!,"")</f>
        <v/>
      </c>
      <c r="U229" s="84" t="str">
        <f>+IFERROR(#REF!/#REF!,"")</f>
        <v/>
      </c>
      <c r="V229" s="84" t="str">
        <f>+IFERROR(#REF!/#REF!,"")</f>
        <v/>
      </c>
      <c r="W229" s="84" t="str">
        <f>+IFERROR(#REF!/#REF!,"")</f>
        <v/>
      </c>
      <c r="X229" s="84" t="str">
        <f>+IFERROR(#REF!/#REF!,"")</f>
        <v/>
      </c>
      <c r="Y229" s="84" t="str">
        <f>+IFERROR(#REF!/#REF!,"")</f>
        <v/>
      </c>
      <c r="Z229" s="84" t="str">
        <f>+IFERROR(#REF!/#REF!,"")</f>
        <v/>
      </c>
      <c r="AA229" s="84" t="str">
        <f>+IFERROR(#REF!/#REF!,"")</f>
        <v/>
      </c>
      <c r="AB229" s="84">
        <f t="shared" si="99"/>
        <v>0.33922141867979688</v>
      </c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P229" s="82">
        <f t="shared" si="111"/>
        <v>1.0884114100102428E-5</v>
      </c>
      <c r="AQ229" s="82">
        <f t="shared" si="112"/>
        <v>0.99999077471849451</v>
      </c>
    </row>
    <row r="230" spans="2:43" x14ac:dyDescent="0.35">
      <c r="B230" s="83" t="s">
        <v>324</v>
      </c>
      <c r="D230" s="137"/>
      <c r="E230" s="137"/>
      <c r="F230" s="137"/>
      <c r="G230" s="137"/>
      <c r="H230" s="137">
        <f t="shared" si="93"/>
        <v>0</v>
      </c>
      <c r="J230" s="137"/>
      <c r="K230" s="137"/>
      <c r="L230" s="137"/>
      <c r="M230" s="137"/>
      <c r="N230" s="137">
        <f t="shared" si="94"/>
        <v>0</v>
      </c>
      <c r="P230" s="84" t="str">
        <f t="shared" si="95"/>
        <v/>
      </c>
      <c r="Q230" s="84" t="str">
        <f t="shared" si="96"/>
        <v/>
      </c>
      <c r="R230" s="84" t="str">
        <f t="shared" si="97"/>
        <v/>
      </c>
      <c r="S230" s="84" t="str">
        <f t="shared" si="98"/>
        <v/>
      </c>
      <c r="T230" s="84" t="str">
        <f>+IFERROR(#REF!/#REF!,"")</f>
        <v/>
      </c>
      <c r="U230" s="84" t="str">
        <f>+IFERROR(#REF!/#REF!,"")</f>
        <v/>
      </c>
      <c r="V230" s="84" t="str">
        <f>+IFERROR(#REF!/#REF!,"")</f>
        <v/>
      </c>
      <c r="W230" s="84" t="str">
        <f>+IFERROR(#REF!/#REF!,"")</f>
        <v/>
      </c>
      <c r="X230" s="84" t="str">
        <f>+IFERROR(#REF!/#REF!,"")</f>
        <v/>
      </c>
      <c r="Y230" s="84" t="str">
        <f>+IFERROR(#REF!/#REF!,"")</f>
        <v/>
      </c>
      <c r="Z230" s="84" t="str">
        <f>+IFERROR(#REF!/#REF!,"")</f>
        <v/>
      </c>
      <c r="AA230" s="84" t="str">
        <f>+IFERROR(#REF!/#REF!,"")</f>
        <v/>
      </c>
      <c r="AB230" s="84" t="str">
        <f t="shared" si="99"/>
        <v/>
      </c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P230" s="82">
        <f t="shared" si="111"/>
        <v>0</v>
      </c>
      <c r="AQ230" s="82">
        <f t="shared" si="112"/>
        <v>0.99999077471849451</v>
      </c>
    </row>
    <row r="231" spans="2:43" x14ac:dyDescent="0.35">
      <c r="B231" s="83" t="s">
        <v>325</v>
      </c>
      <c r="D231" s="137">
        <v>428</v>
      </c>
      <c r="E231" s="137"/>
      <c r="F231" s="137">
        <v>2935</v>
      </c>
      <c r="G231" s="137">
        <v>34375</v>
      </c>
      <c r="H231" s="137">
        <f t="shared" si="93"/>
        <v>37738</v>
      </c>
      <c r="J231" s="137">
        <v>98</v>
      </c>
      <c r="K231" s="137"/>
      <c r="L231" s="137">
        <v>1600</v>
      </c>
      <c r="M231" s="137">
        <v>7259</v>
      </c>
      <c r="N231" s="137">
        <f t="shared" si="94"/>
        <v>8957</v>
      </c>
      <c r="P231" s="84">
        <f t="shared" si="95"/>
        <v>0.22897196261682243</v>
      </c>
      <c r="Q231" s="84" t="str">
        <f t="shared" si="96"/>
        <v/>
      </c>
      <c r="R231" s="84">
        <f t="shared" si="97"/>
        <v>0.54514480408858601</v>
      </c>
      <c r="S231" s="84">
        <f t="shared" si="98"/>
        <v>0.2111709090909091</v>
      </c>
      <c r="T231" s="84" t="str">
        <f>+IFERROR(#REF!/#REF!,"")</f>
        <v/>
      </c>
      <c r="U231" s="84" t="str">
        <f>+IFERROR(#REF!/#REF!,"")</f>
        <v/>
      </c>
      <c r="V231" s="84" t="str">
        <f>+IFERROR(#REF!/#REF!,"")</f>
        <v/>
      </c>
      <c r="W231" s="84" t="str">
        <f>+IFERROR(#REF!/#REF!,"")</f>
        <v/>
      </c>
      <c r="X231" s="84" t="str">
        <f>+IFERROR(#REF!/#REF!,"")</f>
        <v/>
      </c>
      <c r="Y231" s="84" t="str">
        <f>+IFERROR(#REF!/#REF!,"")</f>
        <v/>
      </c>
      <c r="Z231" s="84" t="str">
        <f>+IFERROR(#REF!/#REF!,"")</f>
        <v/>
      </c>
      <c r="AA231" s="84" t="str">
        <f>+IFERROR(#REF!/#REF!,"")</f>
        <v/>
      </c>
      <c r="AB231" s="84">
        <f t="shared" si="99"/>
        <v>0.23734697122264031</v>
      </c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P231" s="82">
        <f t="shared" si="111"/>
        <v>8.8441449691206977E-6</v>
      </c>
      <c r="AQ231" s="82">
        <f t="shared" si="112"/>
        <v>0.99999961886346367</v>
      </c>
    </row>
    <row r="232" spans="2:43" x14ac:dyDescent="0.35">
      <c r="B232" s="83" t="s">
        <v>326</v>
      </c>
      <c r="D232" s="137"/>
      <c r="E232" s="137"/>
      <c r="F232" s="137"/>
      <c r="G232" s="137"/>
      <c r="H232" s="137">
        <f t="shared" si="93"/>
        <v>0</v>
      </c>
      <c r="J232" s="137"/>
      <c r="K232" s="137"/>
      <c r="L232" s="137"/>
      <c r="M232" s="137"/>
      <c r="N232" s="137">
        <f t="shared" si="94"/>
        <v>0</v>
      </c>
      <c r="P232" s="84" t="str">
        <f t="shared" si="95"/>
        <v/>
      </c>
      <c r="Q232" s="84" t="str">
        <f t="shared" si="96"/>
        <v/>
      </c>
      <c r="R232" s="84" t="str">
        <f t="shared" si="97"/>
        <v/>
      </c>
      <c r="S232" s="84" t="str">
        <f t="shared" si="98"/>
        <v/>
      </c>
      <c r="T232" s="84" t="str">
        <f>+IFERROR(#REF!/#REF!,"")</f>
        <v/>
      </c>
      <c r="U232" s="84" t="str">
        <f>+IFERROR(#REF!/#REF!,"")</f>
        <v/>
      </c>
      <c r="V232" s="84" t="str">
        <f>+IFERROR(#REF!/#REF!,"")</f>
        <v/>
      </c>
      <c r="W232" s="84" t="str">
        <f>+IFERROR(#REF!/#REF!,"")</f>
        <v/>
      </c>
      <c r="X232" s="84" t="str">
        <f>+IFERROR(#REF!/#REF!,"")</f>
        <v/>
      </c>
      <c r="Y232" s="84" t="str">
        <f>+IFERROR(#REF!/#REF!,"")</f>
        <v/>
      </c>
      <c r="Z232" s="84" t="str">
        <f>+IFERROR(#REF!/#REF!,"")</f>
        <v/>
      </c>
      <c r="AA232" s="84" t="str">
        <f>+IFERROR(#REF!/#REF!,"")</f>
        <v/>
      </c>
      <c r="AB232" s="84" t="str">
        <f t="shared" si="99"/>
        <v/>
      </c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P232" s="82">
        <f t="shared" si="111"/>
        <v>0</v>
      </c>
      <c r="AQ232" s="82">
        <f t="shared" si="112"/>
        <v>0.99999961886346367</v>
      </c>
    </row>
    <row r="233" spans="2:43" x14ac:dyDescent="0.35">
      <c r="B233" s="83" t="s">
        <v>327</v>
      </c>
      <c r="D233" s="137"/>
      <c r="E233" s="137">
        <v>717</v>
      </c>
      <c r="F233" s="137"/>
      <c r="G233" s="137">
        <v>7267</v>
      </c>
      <c r="H233" s="137">
        <f t="shared" si="93"/>
        <v>7984</v>
      </c>
      <c r="J233" s="137"/>
      <c r="K233" s="137">
        <v>214</v>
      </c>
      <c r="L233" s="137"/>
      <c r="M233" s="137">
        <v>172</v>
      </c>
      <c r="N233" s="137">
        <f t="shared" si="94"/>
        <v>386</v>
      </c>
      <c r="P233" s="84" t="str">
        <f t="shared" si="95"/>
        <v/>
      </c>
      <c r="Q233" s="84">
        <f t="shared" si="96"/>
        <v>0.29846582984658299</v>
      </c>
      <c r="R233" s="84" t="str">
        <f t="shared" si="97"/>
        <v/>
      </c>
      <c r="S233" s="84">
        <f t="shared" si="98"/>
        <v>2.3668639053254437E-2</v>
      </c>
      <c r="T233" s="84" t="str">
        <f>+IFERROR(#REF!/#REF!,"")</f>
        <v/>
      </c>
      <c r="U233" s="84" t="str">
        <f>+IFERROR(#REF!/#REF!,"")</f>
        <v/>
      </c>
      <c r="V233" s="84" t="str">
        <f>+IFERROR(#REF!/#REF!,"")</f>
        <v/>
      </c>
      <c r="W233" s="84" t="str">
        <f>+IFERROR(#REF!/#REF!,"")</f>
        <v/>
      </c>
      <c r="X233" s="84" t="str">
        <f>+IFERROR(#REF!/#REF!,"")</f>
        <v/>
      </c>
      <c r="Y233" s="84" t="str">
        <f>+IFERROR(#REF!/#REF!,"")</f>
        <v/>
      </c>
      <c r="Z233" s="84" t="str">
        <f>+IFERROR(#REF!/#REF!,"")</f>
        <v/>
      </c>
      <c r="AA233" s="84" t="str">
        <f>+IFERROR(#REF!/#REF!,"")</f>
        <v/>
      </c>
      <c r="AB233" s="84">
        <f t="shared" si="99"/>
        <v>4.8346693386773547E-2</v>
      </c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P233" s="82">
        <f t="shared" si="111"/>
        <v>3.8113653657257894E-7</v>
      </c>
      <c r="AQ233" s="82">
        <f t="shared" si="112"/>
        <v>1.0000000000000002</v>
      </c>
    </row>
    <row r="234" spans="2:43" x14ac:dyDescent="0.35">
      <c r="B234" s="83" t="s">
        <v>328</v>
      </c>
      <c r="D234" s="137"/>
      <c r="E234" s="137"/>
      <c r="F234" s="137"/>
      <c r="G234" s="137"/>
      <c r="H234" s="137">
        <f t="shared" si="93"/>
        <v>0</v>
      </c>
      <c r="J234" s="137"/>
      <c r="K234" s="137"/>
      <c r="L234" s="137"/>
      <c r="M234" s="137"/>
      <c r="N234" s="137">
        <f t="shared" si="94"/>
        <v>0</v>
      </c>
      <c r="P234" s="84" t="str">
        <f t="shared" si="95"/>
        <v/>
      </c>
      <c r="Q234" s="84" t="str">
        <f t="shared" si="96"/>
        <v/>
      </c>
      <c r="R234" s="84" t="str">
        <f t="shared" si="97"/>
        <v/>
      </c>
      <c r="S234" s="84" t="str">
        <f t="shared" si="98"/>
        <v/>
      </c>
      <c r="T234" s="84" t="str">
        <f>+IFERROR(#REF!/#REF!,"")</f>
        <v/>
      </c>
      <c r="U234" s="84" t="str">
        <f>+IFERROR(#REF!/#REF!,"")</f>
        <v/>
      </c>
      <c r="V234" s="84" t="str">
        <f>+IFERROR(#REF!/#REF!,"")</f>
        <v/>
      </c>
      <c r="W234" s="84" t="str">
        <f>+IFERROR(#REF!/#REF!,"")</f>
        <v/>
      </c>
      <c r="X234" s="84" t="str">
        <f>+IFERROR(#REF!/#REF!,"")</f>
        <v/>
      </c>
      <c r="Y234" s="84" t="str">
        <f>+IFERROR(#REF!/#REF!,"")</f>
        <v/>
      </c>
      <c r="Z234" s="84" t="str">
        <f>+IFERROR(#REF!/#REF!,"")</f>
        <v/>
      </c>
      <c r="AA234" s="84" t="str">
        <f>+IFERROR(#REF!/#REF!,"")</f>
        <v/>
      </c>
      <c r="AB234" s="84" t="str">
        <f t="shared" si="99"/>
        <v/>
      </c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P234" s="82">
        <f t="shared" si="111"/>
        <v>0</v>
      </c>
      <c r="AQ234" s="82">
        <f t="shared" si="112"/>
        <v>1.0000000000000002</v>
      </c>
    </row>
    <row r="235" spans="2:43" x14ac:dyDescent="0.35">
      <c r="B235" s="83" t="s">
        <v>329</v>
      </c>
      <c r="D235" s="137"/>
      <c r="E235" s="137"/>
      <c r="F235" s="137"/>
      <c r="G235" s="137"/>
      <c r="H235" s="137">
        <f t="shared" si="93"/>
        <v>0</v>
      </c>
      <c r="J235" s="137"/>
      <c r="K235" s="137"/>
      <c r="L235" s="137"/>
      <c r="M235" s="137"/>
      <c r="N235" s="137">
        <f t="shared" si="94"/>
        <v>0</v>
      </c>
      <c r="P235" s="84" t="str">
        <f t="shared" si="95"/>
        <v/>
      </c>
      <c r="Q235" s="84" t="str">
        <f t="shared" si="96"/>
        <v/>
      </c>
      <c r="R235" s="84" t="str">
        <f t="shared" si="97"/>
        <v/>
      </c>
      <c r="S235" s="84" t="str">
        <f t="shared" si="98"/>
        <v/>
      </c>
      <c r="T235" s="84" t="str">
        <f>+IFERROR(#REF!/#REF!,"")</f>
        <v/>
      </c>
      <c r="U235" s="84" t="str">
        <f>+IFERROR(#REF!/#REF!,"")</f>
        <v/>
      </c>
      <c r="V235" s="84" t="str">
        <f>+IFERROR(#REF!/#REF!,"")</f>
        <v/>
      </c>
      <c r="W235" s="84" t="str">
        <f>+IFERROR(#REF!/#REF!,"")</f>
        <v/>
      </c>
      <c r="X235" s="84" t="str">
        <f>+IFERROR(#REF!/#REF!,"")</f>
        <v/>
      </c>
      <c r="Y235" s="84" t="str">
        <f>+IFERROR(#REF!/#REF!,"")</f>
        <v/>
      </c>
      <c r="Z235" s="84" t="str">
        <f>+IFERROR(#REF!/#REF!,"")</f>
        <v/>
      </c>
      <c r="AA235" s="84" t="str">
        <f>+IFERROR(#REF!/#REF!,"")</f>
        <v/>
      </c>
      <c r="AB235" s="84" t="str">
        <f t="shared" si="99"/>
        <v/>
      </c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P235" s="82">
        <f t="shared" si="111"/>
        <v>0</v>
      </c>
      <c r="AQ235" s="82">
        <f t="shared" si="112"/>
        <v>1.0000000000000002</v>
      </c>
    </row>
    <row r="236" spans="2:43" s="86" customFormat="1" ht="15.65" customHeight="1" x14ac:dyDescent="0.35">
      <c r="B236" s="85" t="s">
        <v>330</v>
      </c>
      <c r="D236" s="140">
        <f>+SUM(D5:D235)</f>
        <v>1770211334</v>
      </c>
      <c r="E236" s="140">
        <f>+SUM(E5:E235)</f>
        <v>1728699037</v>
      </c>
      <c r="F236" s="140">
        <f>+SUM(F5:F235)</f>
        <v>1814015300</v>
      </c>
      <c r="G236" s="140">
        <f>+SUM(G5:G235)</f>
        <v>1658321703</v>
      </c>
      <c r="H236" s="140">
        <f>+SUM(H5:H235)</f>
        <v>6971247374</v>
      </c>
      <c r="J236" s="140">
        <f>+SUM(J5:J235)</f>
        <v>256028690</v>
      </c>
      <c r="K236" s="140">
        <f>+SUM(K5:K235)</f>
        <v>250316708</v>
      </c>
      <c r="L236" s="140">
        <f t="shared" ref="L236" si="113">+SUM(L5:L204)</f>
        <v>265090059</v>
      </c>
      <c r="M236" s="140">
        <f>+SUM(M5:M235)</f>
        <v>241254894</v>
      </c>
      <c r="N236" s="140">
        <f>+SUM(N5:N235)</f>
        <v>1012760423</v>
      </c>
      <c r="P236" s="87">
        <f t="shared" si="95"/>
        <v>0.14463170870196224</v>
      </c>
      <c r="Q236" s="87">
        <f t="shared" si="96"/>
        <v>0.14480062905247051</v>
      </c>
      <c r="R236" s="87">
        <f t="shared" si="97"/>
        <v>0.14613441187623941</v>
      </c>
      <c r="S236" s="87">
        <f t="shared" si="98"/>
        <v>0.14548135838996495</v>
      </c>
      <c r="T236" s="87" t="str">
        <f>+IFERROR(#REF!/#REF!,"")</f>
        <v/>
      </c>
      <c r="U236" s="87" t="str">
        <f>+IFERROR(#REF!/#REF!,"")</f>
        <v/>
      </c>
      <c r="V236" s="87" t="str">
        <f>+IFERROR(#REF!/#REF!,"")</f>
        <v/>
      </c>
      <c r="W236" s="87" t="str">
        <f>+IFERROR(#REF!/#REF!,"")</f>
        <v/>
      </c>
      <c r="X236" s="87" t="str">
        <f>+IFERROR(#REF!/#REF!,"")</f>
        <v/>
      </c>
      <c r="Y236" s="195" t="str">
        <f>+IFERROR(#REF!/#REF!,"")</f>
        <v/>
      </c>
      <c r="Z236" s="195" t="str">
        <f>+IFERROR(#REF!/#REF!,"")</f>
        <v/>
      </c>
      <c r="AA236" s="195" t="str">
        <f>+IFERROR(#REF!/#REF!,"")</f>
        <v/>
      </c>
      <c r="AB236" s="195">
        <f t="shared" si="99"/>
        <v>0.14527678744799624</v>
      </c>
      <c r="AC236" s="199"/>
      <c r="AD236" s="196">
        <f t="shared" ref="AD236:AN236" si="114">+IFERROR(Q236-P236,"")</f>
        <v>1.6892035050827814E-4</v>
      </c>
      <c r="AE236" s="196">
        <f t="shared" si="114"/>
        <v>1.333782823768892E-3</v>
      </c>
      <c r="AF236" s="196">
        <f t="shared" si="114"/>
        <v>-6.5305348627445192E-4</v>
      </c>
      <c r="AG236" s="196" t="str">
        <f t="shared" si="114"/>
        <v/>
      </c>
      <c r="AH236" s="196" t="str">
        <f t="shared" si="114"/>
        <v/>
      </c>
      <c r="AI236" s="196" t="str">
        <f t="shared" si="114"/>
        <v/>
      </c>
      <c r="AJ236" s="196" t="str">
        <f t="shared" si="114"/>
        <v/>
      </c>
      <c r="AK236" s="196" t="str">
        <f t="shared" si="114"/>
        <v/>
      </c>
      <c r="AL236" s="196" t="str">
        <f t="shared" si="114"/>
        <v/>
      </c>
      <c r="AM236" s="196" t="str">
        <f t="shared" si="114"/>
        <v/>
      </c>
      <c r="AN236" s="196" t="str">
        <f t="shared" si="114"/>
        <v/>
      </c>
      <c r="AO236" s="199"/>
      <c r="AP236" s="197">
        <f t="shared" si="111"/>
        <v>1</v>
      </c>
      <c r="AQ236" s="88"/>
    </row>
    <row r="238" spans="2:43" x14ac:dyDescent="0.35">
      <c r="J238" s="89"/>
      <c r="L238" s="89"/>
      <c r="M238" s="89"/>
      <c r="N238" s="89"/>
    </row>
    <row r="239" spans="2:43" x14ac:dyDescent="0.35">
      <c r="J239" s="89"/>
      <c r="K239" s="89"/>
      <c r="L239" s="89"/>
      <c r="M239" s="89"/>
      <c r="N239" s="89"/>
    </row>
    <row r="240" spans="2:43" x14ac:dyDescent="0.35">
      <c r="E240" s="175"/>
      <c r="K240" s="175"/>
    </row>
  </sheetData>
  <mergeCells count="4">
    <mergeCell ref="P2:AB2"/>
    <mergeCell ref="AD2:AN2"/>
    <mergeCell ref="D2:H2"/>
    <mergeCell ref="J2:N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Q237"/>
  <sheetViews>
    <sheetView showGridLines="0" zoomScale="70" zoomScaleNormal="70" workbookViewId="0">
      <pane xSplit="2" ySplit="4" topLeftCell="C197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M237" sqref="M237"/>
    </sheetView>
  </sheetViews>
  <sheetFormatPr baseColWidth="10" defaultColWidth="11.54296875" defaultRowHeight="14.5" outlineLevelCol="1" x14ac:dyDescent="0.35"/>
  <cols>
    <col min="1" max="1" width="0.90625" style="201" customWidth="1"/>
    <col min="2" max="2" width="51.08984375" style="201" customWidth="1"/>
    <col min="3" max="3" width="3.26953125" style="201" customWidth="1"/>
    <col min="4" max="5" width="19.6328125" style="201" bestFit="1" customWidth="1" outlineLevel="1"/>
    <col min="6" max="6" width="19.1796875" style="201" bestFit="1" customWidth="1" outlineLevel="1"/>
    <col min="7" max="7" width="19.6328125" style="201" bestFit="1" customWidth="1" outlineLevel="1"/>
    <col min="8" max="8" width="20" style="201" bestFit="1" customWidth="1" outlineLevel="1"/>
    <col min="9" max="9" width="0.6328125" style="201" customWidth="1"/>
    <col min="10" max="10" width="17.7265625" style="201" bestFit="1" customWidth="1" outlineLevel="1"/>
    <col min="11" max="11" width="17.26953125" style="201" bestFit="1" customWidth="1" outlineLevel="1"/>
    <col min="12" max="12" width="16.08984375" style="201" bestFit="1" customWidth="1" outlineLevel="1"/>
    <col min="13" max="13" width="17.7265625" style="201" bestFit="1" customWidth="1" outlineLevel="1"/>
    <col min="14" max="14" width="18.6328125" style="201" bestFit="1" customWidth="1" outlineLevel="1"/>
    <col min="15" max="15" width="0.6328125" style="201" customWidth="1"/>
    <col min="16" max="16" width="8.6328125" style="201" hidden="1" customWidth="1"/>
    <col min="17" max="18" width="9.54296875" style="201" bestFit="1" customWidth="1"/>
    <col min="19" max="19" width="8.6328125" style="201" hidden="1" customWidth="1"/>
    <col min="20" max="22" width="8.36328125" style="201" hidden="1" customWidth="1"/>
    <col min="23" max="25" width="8.6328125" style="201" hidden="1" customWidth="1"/>
    <col min="26" max="26" width="8.36328125" style="201" hidden="1" customWidth="1"/>
    <col min="27" max="27" width="8.6328125" style="201" hidden="1" customWidth="1"/>
    <col min="28" max="28" width="9.54296875" style="201" bestFit="1" customWidth="1"/>
    <col min="29" max="29" width="0.6328125" style="201" customWidth="1"/>
    <col min="30" max="30" width="8.6328125" style="201" customWidth="1"/>
    <col min="31" max="31" width="9.1796875" style="201" customWidth="1"/>
    <col min="32" max="32" width="8.6328125" style="201" hidden="1" customWidth="1"/>
    <col min="33" max="33" width="9.26953125" style="201" hidden="1" customWidth="1"/>
    <col min="34" max="34" width="9.453125" style="201" hidden="1" customWidth="1"/>
    <col min="35" max="35" width="8.6328125" style="201" hidden="1" customWidth="1"/>
    <col min="36" max="36" width="9.81640625" style="201" hidden="1" customWidth="1"/>
    <col min="37" max="37" width="9.6328125" style="201" hidden="1" customWidth="1"/>
    <col min="38" max="38" width="9.453125" style="201" hidden="1" customWidth="1"/>
    <col min="39" max="39" width="10.08984375" style="201" hidden="1" customWidth="1"/>
    <col min="40" max="40" width="9" style="201" hidden="1" customWidth="1"/>
    <col min="41" max="41" width="0.6328125" style="201" customWidth="1"/>
    <col min="42" max="42" width="6.453125" style="201" bestFit="1" customWidth="1"/>
    <col min="43" max="43" width="9.1796875" style="201" bestFit="1" customWidth="1"/>
    <col min="44" max="134" width="11.54296875" style="201" customWidth="1"/>
    <col min="135" max="16384" width="11.54296875" style="201"/>
  </cols>
  <sheetData>
    <row r="1" spans="2:43" ht="22.9" customHeight="1" x14ac:dyDescent="0.35"/>
    <row r="2" spans="2:43" x14ac:dyDescent="0.35">
      <c r="D2" s="212" t="s">
        <v>331</v>
      </c>
      <c r="E2" s="213"/>
      <c r="F2" s="213"/>
      <c r="G2" s="213"/>
      <c r="H2" s="213"/>
      <c r="J2" s="215" t="s">
        <v>332</v>
      </c>
      <c r="K2" s="213"/>
      <c r="L2" s="213"/>
      <c r="M2" s="213"/>
      <c r="N2" s="213"/>
      <c r="P2" s="212" t="s">
        <v>83</v>
      </c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D2" s="214" t="s">
        <v>84</v>
      </c>
      <c r="AE2" s="213"/>
      <c r="AF2" s="213"/>
      <c r="AG2" s="213"/>
      <c r="AH2" s="213"/>
      <c r="AI2" s="213"/>
      <c r="AJ2" s="213"/>
      <c r="AK2" s="213"/>
      <c r="AL2" s="213"/>
      <c r="AM2" s="213"/>
      <c r="AN2" s="213"/>
    </row>
    <row r="3" spans="2:43" ht="4.9000000000000004" customHeight="1" x14ac:dyDescent="0.35"/>
    <row r="4" spans="2:43" ht="17.5" customHeight="1" x14ac:dyDescent="0.35">
      <c r="B4" s="1" t="s">
        <v>85</v>
      </c>
      <c r="D4" s="6" t="s">
        <v>20</v>
      </c>
      <c r="E4" s="6" t="s">
        <v>21</v>
      </c>
      <c r="F4" s="188" t="s">
        <v>22</v>
      </c>
      <c r="G4" s="188" t="s">
        <v>23</v>
      </c>
      <c r="H4" s="188" t="s">
        <v>45</v>
      </c>
      <c r="J4" s="5" t="s">
        <v>20</v>
      </c>
      <c r="K4" s="5" t="s">
        <v>21</v>
      </c>
      <c r="L4" s="187" t="s">
        <v>22</v>
      </c>
      <c r="M4" s="187" t="s">
        <v>23</v>
      </c>
      <c r="N4" s="187" t="s">
        <v>45</v>
      </c>
      <c r="P4" s="4" t="s">
        <v>20</v>
      </c>
      <c r="Q4" s="4" t="s">
        <v>21</v>
      </c>
      <c r="R4" s="186" t="s">
        <v>22</v>
      </c>
      <c r="S4" s="186" t="s">
        <v>23</v>
      </c>
      <c r="T4" s="186" t="s">
        <v>24</v>
      </c>
      <c r="U4" s="186" t="s">
        <v>25</v>
      </c>
      <c r="V4" s="186" t="s">
        <v>26</v>
      </c>
      <c r="W4" s="186" t="s">
        <v>27</v>
      </c>
      <c r="X4" s="186" t="s">
        <v>28</v>
      </c>
      <c r="Y4" s="186" t="s">
        <v>29</v>
      </c>
      <c r="Z4" s="186" t="s">
        <v>30</v>
      </c>
      <c r="AA4" s="186" t="s">
        <v>31</v>
      </c>
      <c r="AB4" s="186" t="s">
        <v>45</v>
      </c>
      <c r="AD4" s="185" t="s">
        <v>86</v>
      </c>
      <c r="AE4" s="185" t="s">
        <v>87</v>
      </c>
      <c r="AF4" s="185" t="s">
        <v>88</v>
      </c>
      <c r="AG4" s="185" t="s">
        <v>89</v>
      </c>
      <c r="AH4" s="1" t="s">
        <v>90</v>
      </c>
      <c r="AI4" s="1" t="s">
        <v>91</v>
      </c>
      <c r="AJ4" s="1" t="s">
        <v>92</v>
      </c>
      <c r="AK4" s="1" t="s">
        <v>93</v>
      </c>
      <c r="AL4" s="1" t="s">
        <v>94</v>
      </c>
      <c r="AM4" s="1" t="s">
        <v>95</v>
      </c>
      <c r="AN4" s="1" t="s">
        <v>96</v>
      </c>
      <c r="AP4" s="185" t="s">
        <v>97</v>
      </c>
      <c r="AQ4" s="185" t="s">
        <v>98</v>
      </c>
    </row>
    <row r="5" spans="2:43" x14ac:dyDescent="0.35">
      <c r="B5" s="3" t="s">
        <v>112</v>
      </c>
      <c r="D5" s="141">
        <v>456590839</v>
      </c>
      <c r="E5" s="141">
        <v>450253497</v>
      </c>
      <c r="F5" s="141">
        <v>465282197</v>
      </c>
      <c r="G5" s="141">
        <v>545526326</v>
      </c>
      <c r="H5" s="141">
        <f>+SUM(D5:G5)</f>
        <v>1917652859</v>
      </c>
      <c r="J5" s="141">
        <v>95002792</v>
      </c>
      <c r="K5" s="141">
        <v>93701433</v>
      </c>
      <c r="L5" s="141">
        <v>101996720</v>
      </c>
      <c r="M5" s="141">
        <v>101855282</v>
      </c>
      <c r="N5" s="141">
        <f>+SUM(J5:M5)</f>
        <v>392556227</v>
      </c>
      <c r="P5" s="2">
        <f>+IFERROR(J5/D5,"")</f>
        <v>0.20806986011386006</v>
      </c>
      <c r="Q5" s="2">
        <f>+IFERROR(K5/E5,"")</f>
        <v>0.20810817378282351</v>
      </c>
      <c r="R5" s="2">
        <f>+IFERROR(L5/F5,"")</f>
        <v>0.21921474893654699</v>
      </c>
      <c r="S5" s="2">
        <f>+IFERROR(M5/G5,"")</f>
        <v>0.18671011305144602</v>
      </c>
      <c r="T5" s="2" t="str">
        <f>+IFERROR(#REF!/#REF!,"")</f>
        <v/>
      </c>
      <c r="U5" s="2" t="str">
        <f>+IFERROR(#REF!/#REF!,"")</f>
        <v/>
      </c>
      <c r="V5" s="2" t="str">
        <f>+IFERROR(#REF!/#REF!,"")</f>
        <v/>
      </c>
      <c r="W5" s="2" t="str">
        <f>+IFERROR(#REF!/#REF!,"")</f>
        <v/>
      </c>
      <c r="X5" s="2" t="str">
        <f>+IFERROR(#REF!/#REF!,"")</f>
        <v/>
      </c>
      <c r="Y5" s="2" t="str">
        <f>+IFERROR(#REF!/#REF!,"")</f>
        <v/>
      </c>
      <c r="Z5" s="2" t="str">
        <f>+IFERROR(#REF!/#REF!,"")</f>
        <v/>
      </c>
      <c r="AA5" s="2" t="str">
        <f>+IFERROR(#REF!/#REF!,"")</f>
        <v/>
      </c>
      <c r="AB5" s="2">
        <f>+IFERROR(N5/H5,"")</f>
        <v>0.20470661577648971</v>
      </c>
      <c r="AD5" s="142">
        <f t="shared" ref="AD5:AD45" si="0">+IFERROR(Q5-P5,"")</f>
        <v>3.831366896345223E-5</v>
      </c>
      <c r="AE5" s="142">
        <f t="shared" ref="AE5:AE45" si="1">+IFERROR(R5-Q5,"")</f>
        <v>1.1106575153723486E-2</v>
      </c>
      <c r="AF5" s="142">
        <f t="shared" ref="AF5:AF45" si="2">+IFERROR(S5-R5,"")</f>
        <v>-3.2504635885100969E-2</v>
      </c>
      <c r="AG5" s="142" t="str">
        <f t="shared" ref="AG5:AG45" si="3">+IFERROR(T5-S5,"")</f>
        <v/>
      </c>
      <c r="AH5" s="142" t="str">
        <f t="shared" ref="AH5:AH45" si="4">+IFERROR(U5-T5,"")</f>
        <v/>
      </c>
      <c r="AI5" s="142" t="str">
        <f t="shared" ref="AI5:AI45" si="5">+IFERROR(V5-U5,"")</f>
        <v/>
      </c>
      <c r="AJ5" s="142" t="str">
        <f t="shared" ref="AJ5:AJ45" si="6">+IFERROR(W5-V5,"")</f>
        <v/>
      </c>
      <c r="AK5" s="142" t="str">
        <f t="shared" ref="AK5:AK45" si="7">+IFERROR(X5-W5,"")</f>
        <v/>
      </c>
      <c r="AL5" s="142" t="str">
        <f t="shared" ref="AL5:AL45" si="8">+IFERROR(Y5-X5,"")</f>
        <v/>
      </c>
      <c r="AM5" s="142" t="str">
        <f t="shared" ref="AM5:AM45" si="9">+IFERROR(Z5-Y5,"")</f>
        <v/>
      </c>
      <c r="AN5" s="142" t="str">
        <f t="shared" ref="AN5:AN45" si="10">+IFERROR(AA5-Z5,"")</f>
        <v/>
      </c>
      <c r="AP5" s="9">
        <f t="shared" ref="AP5:AP68" si="11">+N5/$N$237</f>
        <v>0.24033496249404807</v>
      </c>
      <c r="AQ5" s="9">
        <f>+AP5</f>
        <v>0.24033496249404807</v>
      </c>
    </row>
    <row r="6" spans="2:43" x14ac:dyDescent="0.35">
      <c r="B6" s="3" t="s">
        <v>99</v>
      </c>
      <c r="D6" s="141">
        <v>229861859</v>
      </c>
      <c r="E6" s="141">
        <v>212321066</v>
      </c>
      <c r="F6" s="141">
        <v>210196358</v>
      </c>
      <c r="G6" s="141">
        <v>176188152</v>
      </c>
      <c r="H6" s="141">
        <f>+SUM(D6:G6)</f>
        <v>828567435</v>
      </c>
      <c r="J6" s="141">
        <v>26359246</v>
      </c>
      <c r="K6" s="141">
        <v>23915527</v>
      </c>
      <c r="L6" s="141">
        <v>25541062</v>
      </c>
      <c r="M6" s="141">
        <v>19334093</v>
      </c>
      <c r="N6" s="141">
        <f>+SUM(J6:M6)</f>
        <v>95149928</v>
      </c>
      <c r="P6" s="2">
        <f>+IFERROR(J6/D6,"")</f>
        <v>0.11467429226699154</v>
      </c>
      <c r="Q6" s="2">
        <f>+IFERROR(K6/E6,"")</f>
        <v>0.11263850286056871</v>
      </c>
      <c r="R6" s="2">
        <f>+IFERROR(L6/F6,"")</f>
        <v>0.12151048782681573</v>
      </c>
      <c r="S6" s="2">
        <f>+IFERROR(M6/G6,"")</f>
        <v>0.10973548891074128</v>
      </c>
      <c r="T6" s="2" t="str">
        <f>+IFERROR(#REF!/#REF!,"")</f>
        <v/>
      </c>
      <c r="U6" s="2" t="str">
        <f>+IFERROR(#REF!/#REF!,"")</f>
        <v/>
      </c>
      <c r="V6" s="2" t="str">
        <f>+IFERROR(#REF!/#REF!,"")</f>
        <v/>
      </c>
      <c r="W6" s="2" t="str">
        <f>+IFERROR(#REF!/#REF!,"")</f>
        <v/>
      </c>
      <c r="X6" s="2" t="str">
        <f>+IFERROR(#REF!/#REF!,"")</f>
        <v/>
      </c>
      <c r="Y6" s="2" t="str">
        <f>+IFERROR(#REF!/#REF!,"")</f>
        <v/>
      </c>
      <c r="Z6" s="2" t="str">
        <f>+IFERROR(#REF!/#REF!,"")</f>
        <v/>
      </c>
      <c r="AA6" s="2" t="str">
        <f>+IFERROR(#REF!/#REF!,"")</f>
        <v/>
      </c>
      <c r="AB6" s="2">
        <f>+IFERROR(N6/H6,"")</f>
        <v>0.11483667349296681</v>
      </c>
      <c r="AD6" s="142">
        <f t="shared" si="0"/>
        <v>-2.0357894064228221E-3</v>
      </c>
      <c r="AE6" s="142">
        <f t="shared" si="1"/>
        <v>8.8719849662470124E-3</v>
      </c>
      <c r="AF6" s="142">
        <f t="shared" si="2"/>
        <v>-1.1774998916074447E-2</v>
      </c>
      <c r="AG6" s="142" t="str">
        <f t="shared" si="3"/>
        <v/>
      </c>
      <c r="AH6" s="142" t="str">
        <f t="shared" si="4"/>
        <v/>
      </c>
      <c r="AI6" s="142" t="str">
        <f t="shared" si="5"/>
        <v/>
      </c>
      <c r="AJ6" s="142" t="str">
        <f t="shared" si="6"/>
        <v/>
      </c>
      <c r="AK6" s="142" t="str">
        <f t="shared" si="7"/>
        <v/>
      </c>
      <c r="AL6" s="142" t="str">
        <f t="shared" si="8"/>
        <v/>
      </c>
      <c r="AM6" s="142" t="str">
        <f t="shared" si="9"/>
        <v/>
      </c>
      <c r="AN6" s="142" t="str">
        <f t="shared" si="10"/>
        <v/>
      </c>
      <c r="AP6" s="9">
        <f t="shared" si="11"/>
        <v>5.8253704321422912E-2</v>
      </c>
      <c r="AQ6" s="9">
        <f t="shared" ref="AQ6:AQ69" si="12">+AP6+AQ5</f>
        <v>0.29858866681547097</v>
      </c>
    </row>
    <row r="7" spans="2:43" x14ac:dyDescent="0.35">
      <c r="B7" s="3" t="s">
        <v>100</v>
      </c>
      <c r="D7" s="141">
        <v>338459161</v>
      </c>
      <c r="E7" s="141">
        <v>337340779</v>
      </c>
      <c r="F7" s="141">
        <v>311658896</v>
      </c>
      <c r="G7" s="141">
        <v>321106132</v>
      </c>
      <c r="H7" s="141">
        <f>+SUM(D7:G7)</f>
        <v>1308564968</v>
      </c>
      <c r="J7" s="141">
        <v>41887467</v>
      </c>
      <c r="K7" s="141">
        <v>41305766</v>
      </c>
      <c r="L7" s="141">
        <v>39655678</v>
      </c>
      <c r="M7" s="141">
        <v>38336434</v>
      </c>
      <c r="N7" s="141">
        <f>+SUM(J7:M7)</f>
        <v>161185345</v>
      </c>
      <c r="P7" s="2">
        <f>+IFERROR(J7/D7,"")</f>
        <v>0.12375929455193561</v>
      </c>
      <c r="Q7" s="2">
        <f>+IFERROR(K7/E7,"")</f>
        <v>0.12244522029754369</v>
      </c>
      <c r="R7" s="2">
        <f>+IFERROR(L7/F7,"")</f>
        <v>0.12724064196133197</v>
      </c>
      <c r="S7" s="2">
        <f>+IFERROR(M7/G7,"")</f>
        <v>0.11938866991179103</v>
      </c>
      <c r="T7" s="2" t="str">
        <f>+IFERROR(#REF!/#REF!,"")</f>
        <v/>
      </c>
      <c r="U7" s="2" t="str">
        <f>+IFERROR(#REF!/#REF!,"")</f>
        <v/>
      </c>
      <c r="V7" s="2" t="str">
        <f>+IFERROR(#REF!/#REF!,"")</f>
        <v/>
      </c>
      <c r="W7" s="2" t="str">
        <f>+IFERROR(#REF!/#REF!,"")</f>
        <v/>
      </c>
      <c r="X7" s="2" t="str">
        <f>+IFERROR(#REF!/#REF!,"")</f>
        <v/>
      </c>
      <c r="Y7" s="2" t="str">
        <f>+IFERROR(#REF!/#REF!,"")</f>
        <v/>
      </c>
      <c r="Z7" s="2" t="str">
        <f>+IFERROR(#REF!/#REF!,"")</f>
        <v/>
      </c>
      <c r="AA7" s="2" t="str">
        <f>+IFERROR(#REF!/#REF!,"")</f>
        <v/>
      </c>
      <c r="AB7" s="2">
        <f>+IFERROR(N7/H7,"")</f>
        <v>0.12317718183022611</v>
      </c>
      <c r="AD7" s="142">
        <f t="shared" si="0"/>
        <v>-1.3140742543919226E-3</v>
      </c>
      <c r="AE7" s="142">
        <f t="shared" si="1"/>
        <v>4.7954216637882824E-3</v>
      </c>
      <c r="AF7" s="142">
        <f t="shared" si="2"/>
        <v>-7.8519720495409395E-3</v>
      </c>
      <c r="AG7" s="142" t="str">
        <f t="shared" si="3"/>
        <v/>
      </c>
      <c r="AH7" s="142" t="str">
        <f t="shared" si="4"/>
        <v/>
      </c>
      <c r="AI7" s="142" t="str">
        <f t="shared" si="5"/>
        <v/>
      </c>
      <c r="AJ7" s="142" t="str">
        <f t="shared" si="6"/>
        <v/>
      </c>
      <c r="AK7" s="142" t="str">
        <f t="shared" si="7"/>
        <v/>
      </c>
      <c r="AL7" s="142" t="str">
        <f t="shared" si="8"/>
        <v/>
      </c>
      <c r="AM7" s="142" t="str">
        <f t="shared" si="9"/>
        <v/>
      </c>
      <c r="AN7" s="142" t="str">
        <f t="shared" si="10"/>
        <v/>
      </c>
      <c r="AP7" s="9">
        <f t="shared" si="11"/>
        <v>9.8682612020227101E-2</v>
      </c>
      <c r="AQ7" s="9">
        <f t="shared" si="12"/>
        <v>0.39727127883569807</v>
      </c>
    </row>
    <row r="8" spans="2:43" x14ac:dyDescent="0.35">
      <c r="B8" s="3" t="s">
        <v>101</v>
      </c>
      <c r="D8" s="141">
        <v>352927887</v>
      </c>
      <c r="E8" s="141">
        <v>331879983</v>
      </c>
      <c r="F8" s="141">
        <v>333805953</v>
      </c>
      <c r="G8" s="141">
        <v>411876465</v>
      </c>
      <c r="H8" s="141">
        <f>+SUM(D8:G8)</f>
        <v>1430490288</v>
      </c>
      <c r="J8" s="141">
        <v>28840965</v>
      </c>
      <c r="K8" s="141">
        <v>27348435</v>
      </c>
      <c r="L8" s="141">
        <v>27957390</v>
      </c>
      <c r="M8" s="141">
        <v>32388373</v>
      </c>
      <c r="N8" s="141">
        <f>+SUM(J8:M8)</f>
        <v>116535163</v>
      </c>
      <c r="P8" s="2">
        <f>+IFERROR(J8/D8,"")</f>
        <v>8.1719144511807881E-2</v>
      </c>
      <c r="Q8" s="2">
        <f>+IFERROR(K8/E8,"")</f>
        <v>8.2404593229113185E-2</v>
      </c>
      <c r="R8" s="2">
        <f>+IFERROR(L8/F8,"")</f>
        <v>8.375341946043724E-2</v>
      </c>
      <c r="S8" s="2">
        <f>+IFERROR(M8/G8,"")</f>
        <v>7.8636134259334287E-2</v>
      </c>
      <c r="T8" s="2" t="str">
        <f>+IFERROR(#REF!/#REF!,"")</f>
        <v/>
      </c>
      <c r="U8" s="2" t="str">
        <f>+IFERROR(#REF!/#REF!,"")</f>
        <v/>
      </c>
      <c r="V8" s="2" t="str">
        <f>+IFERROR(#REF!/#REF!,"")</f>
        <v/>
      </c>
      <c r="W8" s="2" t="str">
        <f>+IFERROR(#REF!/#REF!,"")</f>
        <v/>
      </c>
      <c r="X8" s="2" t="str">
        <f>+IFERROR(#REF!/#REF!,"")</f>
        <v/>
      </c>
      <c r="Y8" s="2" t="str">
        <f>+IFERROR(#REF!/#REF!,"")</f>
        <v/>
      </c>
      <c r="Z8" s="2" t="str">
        <f>+IFERROR(#REF!/#REF!,"")</f>
        <v/>
      </c>
      <c r="AA8" s="2" t="str">
        <f>+IFERROR(#REF!/#REF!,"")</f>
        <v/>
      </c>
      <c r="AB8" s="2">
        <f>+IFERROR(N8/H8,"")</f>
        <v>8.1465189926546361E-2</v>
      </c>
      <c r="AD8" s="142">
        <f t="shared" si="0"/>
        <v>6.8544871730530366E-4</v>
      </c>
      <c r="AE8" s="142">
        <f t="shared" si="1"/>
        <v>1.3488262313240545E-3</v>
      </c>
      <c r="AF8" s="142">
        <f t="shared" si="2"/>
        <v>-5.1172852011029529E-3</v>
      </c>
      <c r="AG8" s="142" t="str">
        <f t="shared" si="3"/>
        <v/>
      </c>
      <c r="AH8" s="142" t="str">
        <f t="shared" si="4"/>
        <v/>
      </c>
      <c r="AI8" s="142" t="str">
        <f t="shared" si="5"/>
        <v/>
      </c>
      <c r="AJ8" s="142" t="str">
        <f t="shared" si="6"/>
        <v/>
      </c>
      <c r="AK8" s="142" t="str">
        <f t="shared" si="7"/>
        <v/>
      </c>
      <c r="AL8" s="142" t="str">
        <f t="shared" si="8"/>
        <v/>
      </c>
      <c r="AM8" s="142" t="str">
        <f t="shared" si="9"/>
        <v/>
      </c>
      <c r="AN8" s="142" t="str">
        <f t="shared" si="10"/>
        <v/>
      </c>
      <c r="AP8" s="9">
        <f t="shared" si="11"/>
        <v>7.1346401107637444E-2</v>
      </c>
      <c r="AQ8" s="9">
        <f t="shared" si="12"/>
        <v>0.46861767994333553</v>
      </c>
    </row>
    <row r="9" spans="2:43" x14ac:dyDescent="0.35">
      <c r="B9" s="3" t="s">
        <v>102</v>
      </c>
      <c r="D9" s="141">
        <v>247077093</v>
      </c>
      <c r="E9" s="141">
        <v>222092065</v>
      </c>
      <c r="F9" s="141">
        <v>216597404</v>
      </c>
      <c r="G9" s="141">
        <v>198123622</v>
      </c>
      <c r="H9" s="141">
        <f>+SUM(D9:G9)</f>
        <v>883890184</v>
      </c>
      <c r="J9" s="141">
        <v>26591545</v>
      </c>
      <c r="K9" s="141">
        <v>23478885</v>
      </c>
      <c r="L9" s="141">
        <v>24823536</v>
      </c>
      <c r="M9" s="141">
        <v>20694726</v>
      </c>
      <c r="N9" s="141">
        <f>+SUM(J9:M9)</f>
        <v>95588692</v>
      </c>
      <c r="P9" s="2">
        <f>+IFERROR(J9/D9,"")</f>
        <v>0.1076244854475441</v>
      </c>
      <c r="Q9" s="2">
        <f>+IFERROR(K9/E9,"")</f>
        <v>0.10571690168219203</v>
      </c>
      <c r="R9" s="2">
        <f>+IFERROR(L9/F9,"")</f>
        <v>0.114606802951341</v>
      </c>
      <c r="S9" s="2">
        <f>+IFERROR(M9/G9,"")</f>
        <v>0.10445360220600046</v>
      </c>
      <c r="T9" s="2" t="str">
        <f>+IFERROR(#REF!/#REF!,"")</f>
        <v/>
      </c>
      <c r="U9" s="2" t="str">
        <f>+IFERROR(#REF!/#REF!,"")</f>
        <v/>
      </c>
      <c r="V9" s="2" t="str">
        <f>+IFERROR(#REF!/#REF!,"")</f>
        <v/>
      </c>
      <c r="W9" s="2" t="str">
        <f>+IFERROR(#REF!/#REF!,"")</f>
        <v/>
      </c>
      <c r="X9" s="2" t="str">
        <f>+IFERROR(#REF!/#REF!,"")</f>
        <v/>
      </c>
      <c r="Y9" s="2" t="str">
        <f>+IFERROR(#REF!/#REF!,"")</f>
        <v/>
      </c>
      <c r="Z9" s="2" t="str">
        <f>+IFERROR(#REF!/#REF!,"")</f>
        <v/>
      </c>
      <c r="AA9" s="2" t="str">
        <f>+IFERROR(#REF!/#REF!,"")</f>
        <v/>
      </c>
      <c r="AB9" s="2">
        <f>+IFERROR(N9/H9,"")</f>
        <v>0.10814543902662008</v>
      </c>
      <c r="AD9" s="142">
        <f t="shared" si="0"/>
        <v>-1.9075837653520777E-3</v>
      </c>
      <c r="AE9" s="142">
        <f t="shared" si="1"/>
        <v>8.8899012691489726E-3</v>
      </c>
      <c r="AF9" s="142">
        <f t="shared" si="2"/>
        <v>-1.015320074534054E-2</v>
      </c>
      <c r="AG9" s="142" t="str">
        <f t="shared" si="3"/>
        <v/>
      </c>
      <c r="AH9" s="142" t="str">
        <f t="shared" si="4"/>
        <v/>
      </c>
      <c r="AI9" s="142" t="str">
        <f t="shared" si="5"/>
        <v/>
      </c>
      <c r="AJ9" s="142" t="str">
        <f t="shared" si="6"/>
        <v/>
      </c>
      <c r="AK9" s="142" t="str">
        <f t="shared" si="7"/>
        <v/>
      </c>
      <c r="AL9" s="142" t="str">
        <f t="shared" si="8"/>
        <v/>
      </c>
      <c r="AM9" s="142" t="str">
        <f t="shared" si="9"/>
        <v/>
      </c>
      <c r="AN9" s="142" t="str">
        <f t="shared" si="10"/>
        <v/>
      </c>
      <c r="AP9" s="9">
        <f t="shared" si="11"/>
        <v>5.8522329099813544E-2</v>
      </c>
      <c r="AQ9" s="9">
        <f t="shared" si="12"/>
        <v>0.52714000904314906</v>
      </c>
    </row>
    <row r="10" spans="2:43" x14ac:dyDescent="0.35">
      <c r="B10" s="3" t="s">
        <v>103</v>
      </c>
      <c r="D10" s="141">
        <v>313825395</v>
      </c>
      <c r="E10" s="141">
        <v>303628607</v>
      </c>
      <c r="F10" s="141">
        <v>350083087</v>
      </c>
      <c r="G10" s="141">
        <v>264695094</v>
      </c>
      <c r="H10" s="141">
        <f>+SUM(D10:G10)</f>
        <v>1232232183</v>
      </c>
      <c r="J10" s="141">
        <v>34488189</v>
      </c>
      <c r="K10" s="141">
        <v>32682831</v>
      </c>
      <c r="L10" s="141">
        <v>40118418</v>
      </c>
      <c r="M10" s="141">
        <v>28835610</v>
      </c>
      <c r="N10" s="141">
        <f>+SUM(J10:M10)</f>
        <v>136125048</v>
      </c>
      <c r="P10" s="2">
        <f>+IFERROR(J10/D10,"")</f>
        <v>0.10989610640018473</v>
      </c>
      <c r="Q10" s="2">
        <f>+IFERROR(K10/E10,"")</f>
        <v>0.10764081593932287</v>
      </c>
      <c r="R10" s="2">
        <f>+IFERROR(L10/F10,"")</f>
        <v>0.114596847119324</v>
      </c>
      <c r="S10" s="2">
        <f>+IFERROR(M10/G10,"")</f>
        <v>0.10893896658318873</v>
      </c>
      <c r="T10" s="2" t="str">
        <f>+IFERROR(#REF!/#REF!,"")</f>
        <v/>
      </c>
      <c r="U10" s="2" t="str">
        <f>+IFERROR(#REF!/#REF!,"")</f>
        <v/>
      </c>
      <c r="V10" s="2" t="str">
        <f>+IFERROR(#REF!/#REF!,"")</f>
        <v/>
      </c>
      <c r="W10" s="2" t="str">
        <f>+IFERROR(#REF!/#REF!,"")</f>
        <v/>
      </c>
      <c r="X10" s="2" t="str">
        <f>+IFERROR(#REF!/#REF!,"")</f>
        <v/>
      </c>
      <c r="Y10" s="2" t="str">
        <f>+IFERROR(#REF!/#REF!,"")</f>
        <v/>
      </c>
      <c r="Z10" s="2" t="str">
        <f>+IFERROR(#REF!/#REF!,"")</f>
        <v/>
      </c>
      <c r="AA10" s="2" t="str">
        <f>+IFERROR(#REF!/#REF!,"")</f>
        <v/>
      </c>
      <c r="AB10" s="2">
        <f>+IFERROR(N10/H10,"")</f>
        <v>0.1104702911334365</v>
      </c>
      <c r="AD10" s="142">
        <f t="shared" si="0"/>
        <v>-2.2552904608618557E-3</v>
      </c>
      <c r="AE10" s="142">
        <f t="shared" si="1"/>
        <v>6.9560311800011265E-3</v>
      </c>
      <c r="AF10" s="142">
        <f t="shared" si="2"/>
        <v>-5.6578805361352652E-3</v>
      </c>
      <c r="AG10" s="142" t="str">
        <f t="shared" si="3"/>
        <v/>
      </c>
      <c r="AH10" s="142" t="str">
        <f t="shared" si="4"/>
        <v/>
      </c>
      <c r="AI10" s="142" t="str">
        <f t="shared" si="5"/>
        <v/>
      </c>
      <c r="AJ10" s="142" t="str">
        <f t="shared" si="6"/>
        <v/>
      </c>
      <c r="AK10" s="142" t="str">
        <f t="shared" si="7"/>
        <v/>
      </c>
      <c r="AL10" s="142" t="str">
        <f t="shared" si="8"/>
        <v/>
      </c>
      <c r="AM10" s="142" t="str">
        <f t="shared" si="9"/>
        <v/>
      </c>
      <c r="AN10" s="142" t="str">
        <f t="shared" si="10"/>
        <v/>
      </c>
      <c r="AP10" s="9">
        <f t="shared" si="11"/>
        <v>8.33399295576083E-2</v>
      </c>
      <c r="AQ10" s="9">
        <f t="shared" si="12"/>
        <v>0.61047993860075733</v>
      </c>
    </row>
    <row r="11" spans="2:43" x14ac:dyDescent="0.35">
      <c r="B11" s="3" t="s">
        <v>105</v>
      </c>
      <c r="D11" s="141">
        <v>154034974</v>
      </c>
      <c r="E11" s="141">
        <v>145274365</v>
      </c>
      <c r="F11" s="141">
        <v>128605125</v>
      </c>
      <c r="G11" s="141">
        <v>131601858</v>
      </c>
      <c r="H11" s="141">
        <f>+SUM(D11:G11)</f>
        <v>559516322</v>
      </c>
      <c r="J11" s="141">
        <v>16847137</v>
      </c>
      <c r="K11" s="141">
        <v>15694798</v>
      </c>
      <c r="L11" s="141">
        <v>15665004</v>
      </c>
      <c r="M11" s="141">
        <v>13668523</v>
      </c>
      <c r="N11" s="141">
        <f>+SUM(J11:M11)</f>
        <v>61875462</v>
      </c>
      <c r="P11" s="2">
        <f>+IFERROR(J11/D11,"")</f>
        <v>0.10937215466404403</v>
      </c>
      <c r="Q11" s="2">
        <f>+IFERROR(K11/E11,"")</f>
        <v>0.10803556429243384</v>
      </c>
      <c r="R11" s="2">
        <f>+IFERROR(L11/F11,"")</f>
        <v>0.12180699641635588</v>
      </c>
      <c r="S11" s="2">
        <f>+IFERROR(M11/G11,"")</f>
        <v>0.10386269014530175</v>
      </c>
      <c r="T11" s="2" t="str">
        <f>+IFERROR(#REF!/#REF!,"")</f>
        <v/>
      </c>
      <c r="U11" s="2" t="str">
        <f>+IFERROR(#REF!/#REF!,"")</f>
        <v/>
      </c>
      <c r="V11" s="2" t="str">
        <f>+IFERROR(#REF!/#REF!,"")</f>
        <v/>
      </c>
      <c r="W11" s="2" t="str">
        <f>+IFERROR(#REF!/#REF!,"")</f>
        <v/>
      </c>
      <c r="X11" s="2" t="str">
        <f>+IFERROR(#REF!/#REF!,"")</f>
        <v/>
      </c>
      <c r="Y11" s="2" t="str">
        <f>+IFERROR(#REF!/#REF!,"")</f>
        <v/>
      </c>
      <c r="Z11" s="2" t="str">
        <f>+IFERROR(#REF!/#REF!,"")</f>
        <v/>
      </c>
      <c r="AA11" s="2" t="str">
        <f>+IFERROR(#REF!/#REF!,"")</f>
        <v/>
      </c>
      <c r="AB11" s="2">
        <f>+IFERROR(N11/H11,"")</f>
        <v>0.11058741196114739</v>
      </c>
      <c r="AD11" s="142">
        <f t="shared" si="0"/>
        <v>-1.3365903716101857E-3</v>
      </c>
      <c r="AE11" s="142">
        <f t="shared" si="1"/>
        <v>1.3771432123922039E-2</v>
      </c>
      <c r="AF11" s="142">
        <f t="shared" si="2"/>
        <v>-1.7944306271054131E-2</v>
      </c>
      <c r="AG11" s="142" t="str">
        <f t="shared" si="3"/>
        <v/>
      </c>
      <c r="AH11" s="142" t="str">
        <f t="shared" si="4"/>
        <v/>
      </c>
      <c r="AI11" s="142" t="str">
        <f t="shared" si="5"/>
        <v/>
      </c>
      <c r="AJ11" s="142" t="str">
        <f t="shared" si="6"/>
        <v/>
      </c>
      <c r="AK11" s="142" t="str">
        <f t="shared" si="7"/>
        <v/>
      </c>
      <c r="AL11" s="142" t="str">
        <f t="shared" si="8"/>
        <v/>
      </c>
      <c r="AM11" s="142" t="str">
        <f t="shared" si="9"/>
        <v/>
      </c>
      <c r="AN11" s="142" t="str">
        <f t="shared" si="10"/>
        <v/>
      </c>
      <c r="AP11" s="9">
        <f t="shared" si="11"/>
        <v>3.788205565535939E-2</v>
      </c>
      <c r="AQ11" s="9">
        <f t="shared" si="12"/>
        <v>0.64836199425611674</v>
      </c>
    </row>
    <row r="12" spans="2:43" x14ac:dyDescent="0.35">
      <c r="B12" s="3" t="s">
        <v>104</v>
      </c>
      <c r="D12" s="141">
        <v>72257989</v>
      </c>
      <c r="E12" s="141">
        <v>63426048</v>
      </c>
      <c r="F12" s="141">
        <v>50959781</v>
      </c>
      <c r="G12" s="141">
        <v>54590337</v>
      </c>
      <c r="H12" s="141">
        <f>+SUM(D12:G12)</f>
        <v>241234155</v>
      </c>
      <c r="J12" s="141">
        <v>8935085</v>
      </c>
      <c r="K12" s="141">
        <v>7638159</v>
      </c>
      <c r="L12" s="141">
        <v>6075802</v>
      </c>
      <c r="M12" s="141">
        <v>6802908</v>
      </c>
      <c r="N12" s="141">
        <f>+SUM(J12:M12)</f>
        <v>29451954</v>
      </c>
      <c r="P12" s="2">
        <f>+IFERROR(J12/D12,"")</f>
        <v>0.12365532342728221</v>
      </c>
      <c r="Q12" s="2">
        <f>+IFERROR(K12/E12,"")</f>
        <v>0.12042621668624222</v>
      </c>
      <c r="R12" s="2">
        <f>+IFERROR(L12/F12,"")</f>
        <v>0.1192273962087867</v>
      </c>
      <c r="S12" s="2">
        <f>+IFERROR(M12/G12,"")</f>
        <v>0.1246174391632717</v>
      </c>
      <c r="T12" s="2" t="str">
        <f>+IFERROR(#REF!/#REF!,"")</f>
        <v/>
      </c>
      <c r="U12" s="2" t="str">
        <f>+IFERROR(#REF!/#REF!,"")</f>
        <v/>
      </c>
      <c r="V12" s="2" t="str">
        <f>+IFERROR(#REF!/#REF!,"")</f>
        <v/>
      </c>
      <c r="W12" s="2" t="str">
        <f>+IFERROR(#REF!/#REF!,"")</f>
        <v/>
      </c>
      <c r="X12" s="2" t="str">
        <f>+IFERROR(#REF!/#REF!,"")</f>
        <v/>
      </c>
      <c r="Y12" s="2" t="str">
        <f>+IFERROR(#REF!/#REF!,"")</f>
        <v/>
      </c>
      <c r="Z12" s="2" t="str">
        <f>+IFERROR(#REF!/#REF!,"")</f>
        <v/>
      </c>
      <c r="AA12" s="2" t="str">
        <f>+IFERROR(#REF!/#REF!,"")</f>
        <v/>
      </c>
      <c r="AB12" s="2">
        <f>+IFERROR(N12/H12,"")</f>
        <v>0.12208865697313881</v>
      </c>
      <c r="AD12" s="142">
        <f t="shared" si="0"/>
        <v>-3.2291067410399887E-3</v>
      </c>
      <c r="AE12" s="142">
        <f t="shared" si="1"/>
        <v>-1.1988204774555228E-3</v>
      </c>
      <c r="AF12" s="142">
        <f t="shared" si="2"/>
        <v>5.3900429544850026E-3</v>
      </c>
      <c r="AG12" s="142" t="str">
        <f t="shared" si="3"/>
        <v/>
      </c>
      <c r="AH12" s="142" t="str">
        <f t="shared" si="4"/>
        <v/>
      </c>
      <c r="AI12" s="142" t="str">
        <f t="shared" si="5"/>
        <v/>
      </c>
      <c r="AJ12" s="142" t="str">
        <f t="shared" si="6"/>
        <v/>
      </c>
      <c r="AK12" s="142" t="str">
        <f t="shared" si="7"/>
        <v/>
      </c>
      <c r="AL12" s="142" t="str">
        <f t="shared" si="8"/>
        <v/>
      </c>
      <c r="AM12" s="142" t="str">
        <f t="shared" si="9"/>
        <v/>
      </c>
      <c r="AN12" s="142" t="str">
        <f t="shared" si="10"/>
        <v/>
      </c>
      <c r="AP12" s="9">
        <f t="shared" si="11"/>
        <v>1.803138957713293E-2</v>
      </c>
      <c r="AQ12" s="9">
        <f t="shared" si="12"/>
        <v>0.66639338383324964</v>
      </c>
    </row>
    <row r="13" spans="2:43" x14ac:dyDescent="0.35">
      <c r="B13" s="3" t="s">
        <v>106</v>
      </c>
      <c r="D13" s="141">
        <v>57550755</v>
      </c>
      <c r="E13" s="141">
        <v>52209821</v>
      </c>
      <c r="F13" s="141">
        <v>50198081</v>
      </c>
      <c r="G13" s="141">
        <v>41878724</v>
      </c>
      <c r="H13" s="141">
        <f>+SUM(D13:G13)</f>
        <v>201837381</v>
      </c>
      <c r="J13" s="141">
        <v>6858970</v>
      </c>
      <c r="K13" s="141">
        <v>6569200</v>
      </c>
      <c r="L13" s="141">
        <v>6372847</v>
      </c>
      <c r="M13" s="141">
        <v>4787601</v>
      </c>
      <c r="N13" s="141">
        <f>+SUM(J13:M13)</f>
        <v>24588618</v>
      </c>
      <c r="P13" s="2">
        <f>+IFERROR(J13/D13,"")</f>
        <v>0.11918123402551366</v>
      </c>
      <c r="Q13" s="2">
        <f>+IFERROR(K13/E13,"")</f>
        <v>0.12582307072073662</v>
      </c>
      <c r="R13" s="2">
        <f>+IFERROR(L13/F13,"")</f>
        <v>0.12695399650835257</v>
      </c>
      <c r="S13" s="2">
        <f>+IFERROR(M13/G13,"")</f>
        <v>0.11432060346442265</v>
      </c>
      <c r="T13" s="2" t="str">
        <f>+IFERROR(#REF!/#REF!,"")</f>
        <v/>
      </c>
      <c r="U13" s="2" t="str">
        <f>+IFERROR(#REF!/#REF!,"")</f>
        <v/>
      </c>
      <c r="V13" s="2" t="str">
        <f>+IFERROR(#REF!/#REF!,"")</f>
        <v/>
      </c>
      <c r="W13" s="2" t="str">
        <f>+IFERROR(#REF!/#REF!,"")</f>
        <v/>
      </c>
      <c r="X13" s="2" t="str">
        <f>+IFERROR(#REF!/#REF!,"")</f>
        <v/>
      </c>
      <c r="Y13" s="2" t="str">
        <f>+IFERROR(#REF!/#REF!,"")</f>
        <v/>
      </c>
      <c r="Z13" s="2" t="str">
        <f>+IFERROR(#REF!/#REF!,"")</f>
        <v/>
      </c>
      <c r="AA13" s="2" t="str">
        <f>+IFERROR(#REF!/#REF!,"")</f>
        <v/>
      </c>
      <c r="AB13" s="2">
        <f>+IFERROR(N13/H13,"")</f>
        <v>0.12182390535477668</v>
      </c>
      <c r="AD13" s="143">
        <f t="shared" si="0"/>
        <v>6.6418366952229607E-3</v>
      </c>
      <c r="AE13" s="143">
        <f t="shared" si="1"/>
        <v>1.1309257876159495E-3</v>
      </c>
      <c r="AF13" s="143">
        <f t="shared" si="2"/>
        <v>-1.2633393043929922E-2</v>
      </c>
      <c r="AG13" s="143" t="str">
        <f t="shared" si="3"/>
        <v/>
      </c>
      <c r="AH13" s="143" t="str">
        <f t="shared" si="4"/>
        <v/>
      </c>
      <c r="AI13" s="143" t="str">
        <f t="shared" si="5"/>
        <v/>
      </c>
      <c r="AJ13" s="143" t="str">
        <f t="shared" si="6"/>
        <v/>
      </c>
      <c r="AK13" s="143" t="str">
        <f t="shared" si="7"/>
        <v/>
      </c>
      <c r="AL13" s="143" t="str">
        <f t="shared" si="8"/>
        <v/>
      </c>
      <c r="AM13" s="143" t="str">
        <f t="shared" si="9"/>
        <v/>
      </c>
      <c r="AN13" s="143" t="str">
        <f t="shared" si="10"/>
        <v/>
      </c>
      <c r="AP13" s="9">
        <f t="shared" si="11"/>
        <v>1.5053906111672698E-2</v>
      </c>
      <c r="AQ13" s="9">
        <f t="shared" si="12"/>
        <v>0.68144728994492232</v>
      </c>
    </row>
    <row r="14" spans="2:43" x14ac:dyDescent="0.35">
      <c r="B14" s="3" t="s">
        <v>107</v>
      </c>
      <c r="D14" s="141">
        <v>49195189</v>
      </c>
      <c r="E14" s="141">
        <v>39878010</v>
      </c>
      <c r="F14" s="141">
        <v>48700656</v>
      </c>
      <c r="G14" s="141">
        <v>38997563</v>
      </c>
      <c r="H14" s="141">
        <f>+SUM(D14:G14)</f>
        <v>176771418</v>
      </c>
      <c r="J14" s="141">
        <v>6021384</v>
      </c>
      <c r="K14" s="141">
        <v>4732111</v>
      </c>
      <c r="L14" s="141">
        <v>6862352</v>
      </c>
      <c r="M14" s="141">
        <v>4315446</v>
      </c>
      <c r="N14" s="141">
        <f>+SUM(J14:M14)</f>
        <v>21931293</v>
      </c>
      <c r="P14" s="2">
        <f>+IFERROR(J14/D14,"")</f>
        <v>0.122397822274857</v>
      </c>
      <c r="Q14" s="2">
        <f>+IFERROR(K14/E14,"")</f>
        <v>0.11866467258521676</v>
      </c>
      <c r="R14" s="2">
        <f>+IFERROR(L14/F14,"")</f>
        <v>0.14090882061219051</v>
      </c>
      <c r="S14" s="2">
        <f>+IFERROR(M14/G14,"")</f>
        <v>0.11065937633077226</v>
      </c>
      <c r="T14" s="2" t="str">
        <f>+IFERROR(#REF!/#REF!,"")</f>
        <v/>
      </c>
      <c r="U14" s="2" t="str">
        <f>+IFERROR(#REF!/#REF!,"")</f>
        <v/>
      </c>
      <c r="V14" s="2" t="str">
        <f>+IFERROR(#REF!/#REF!,"")</f>
        <v/>
      </c>
      <c r="W14" s="2" t="str">
        <f>+IFERROR(#REF!/#REF!,"")</f>
        <v/>
      </c>
      <c r="X14" s="2" t="str">
        <f>+IFERROR(#REF!/#REF!,"")</f>
        <v/>
      </c>
      <c r="Y14" s="2" t="str">
        <f>+IFERROR(#REF!/#REF!,"")</f>
        <v/>
      </c>
      <c r="Z14" s="2" t="str">
        <f>+IFERROR(#REF!/#REF!,"")</f>
        <v/>
      </c>
      <c r="AA14" s="2" t="str">
        <f>+IFERROR(#REF!/#REF!,"")</f>
        <v/>
      </c>
      <c r="AB14" s="2">
        <f>+IFERROR(N14/H14,"")</f>
        <v>0.12406583172852073</v>
      </c>
      <c r="AD14" s="143">
        <f t="shared" si="0"/>
        <v>-3.7331496896402389E-3</v>
      </c>
      <c r="AE14" s="143">
        <f t="shared" si="1"/>
        <v>2.2244148026973748E-2</v>
      </c>
      <c r="AF14" s="143">
        <f t="shared" si="2"/>
        <v>-3.024944428141825E-2</v>
      </c>
      <c r="AG14" s="143" t="str">
        <f t="shared" si="3"/>
        <v/>
      </c>
      <c r="AH14" s="143" t="str">
        <f t="shared" si="4"/>
        <v/>
      </c>
      <c r="AI14" s="143" t="str">
        <f t="shared" si="5"/>
        <v/>
      </c>
      <c r="AJ14" s="143" t="str">
        <f t="shared" si="6"/>
        <v/>
      </c>
      <c r="AK14" s="143" t="str">
        <f t="shared" si="7"/>
        <v/>
      </c>
      <c r="AL14" s="143" t="str">
        <f t="shared" si="8"/>
        <v/>
      </c>
      <c r="AM14" s="143" t="str">
        <f t="shared" si="9"/>
        <v/>
      </c>
      <c r="AN14" s="143" t="str">
        <f t="shared" si="10"/>
        <v/>
      </c>
      <c r="AP14" s="9">
        <f t="shared" si="11"/>
        <v>1.3427010242283021E-2</v>
      </c>
      <c r="AQ14" s="9">
        <f t="shared" si="12"/>
        <v>0.69487430018720531</v>
      </c>
    </row>
    <row r="15" spans="2:43" x14ac:dyDescent="0.35">
      <c r="B15" s="3" t="s">
        <v>115</v>
      </c>
      <c r="D15" s="141">
        <v>72377139</v>
      </c>
      <c r="E15" s="141">
        <v>66316836</v>
      </c>
      <c r="F15" s="141">
        <v>77648862</v>
      </c>
      <c r="G15" s="141">
        <v>57015667</v>
      </c>
      <c r="H15" s="141">
        <f>+SUM(D15:G15)</f>
        <v>273358504</v>
      </c>
      <c r="J15" s="141">
        <v>7996127</v>
      </c>
      <c r="K15" s="141">
        <v>7464730</v>
      </c>
      <c r="L15" s="141">
        <v>9558133</v>
      </c>
      <c r="M15" s="141">
        <v>6154520</v>
      </c>
      <c r="N15" s="141">
        <f>+SUM(J15:M15)</f>
        <v>31173510</v>
      </c>
      <c r="P15" s="2">
        <f>+IFERROR(J15/D15,"")</f>
        <v>0.1104786277888105</v>
      </c>
      <c r="Q15" s="2">
        <f>+IFERROR(K15/E15,"")</f>
        <v>0.11256161255944117</v>
      </c>
      <c r="R15" s="2">
        <f>+IFERROR(L15/F15,"")</f>
        <v>0.12309430883867944</v>
      </c>
      <c r="S15" s="2">
        <f>+IFERROR(M15/G15,"")</f>
        <v>0.10794436553728294</v>
      </c>
      <c r="T15" s="2" t="str">
        <f>+IFERROR(#REF!/#REF!,"")</f>
        <v/>
      </c>
      <c r="U15" s="2" t="str">
        <f>+IFERROR(#REF!/#REF!,"")</f>
        <v/>
      </c>
      <c r="V15" s="2" t="str">
        <f>+IFERROR(#REF!/#REF!,"")</f>
        <v/>
      </c>
      <c r="W15" s="2" t="str">
        <f>+IFERROR(#REF!/#REF!,"")</f>
        <v/>
      </c>
      <c r="X15" s="2" t="str">
        <f>+IFERROR(#REF!/#REF!,"")</f>
        <v/>
      </c>
      <c r="Y15" s="2" t="str">
        <f>+IFERROR(#REF!/#REF!,"")</f>
        <v/>
      </c>
      <c r="Z15" s="2" t="str">
        <f>+IFERROR(#REF!/#REF!,"")</f>
        <v/>
      </c>
      <c r="AA15" s="2" t="str">
        <f>+IFERROR(#REF!/#REF!,"")</f>
        <v/>
      </c>
      <c r="AB15" s="2">
        <f>+IFERROR(N15/H15,"")</f>
        <v>0.11403892523497275</v>
      </c>
      <c r="AD15" s="143">
        <f t="shared" si="0"/>
        <v>2.0829847706306664E-3</v>
      </c>
      <c r="AE15" s="143">
        <f t="shared" si="1"/>
        <v>1.0532696279238279E-2</v>
      </c>
      <c r="AF15" s="143">
        <f t="shared" si="2"/>
        <v>-1.5149943301396504E-2</v>
      </c>
      <c r="AG15" s="143" t="str">
        <f t="shared" si="3"/>
        <v/>
      </c>
      <c r="AH15" s="143" t="str">
        <f t="shared" si="4"/>
        <v/>
      </c>
      <c r="AI15" s="143" t="str">
        <f t="shared" si="5"/>
        <v/>
      </c>
      <c r="AJ15" s="143" t="str">
        <f t="shared" si="6"/>
        <v/>
      </c>
      <c r="AK15" s="143" t="str">
        <f t="shared" si="7"/>
        <v/>
      </c>
      <c r="AL15" s="143" t="str">
        <f t="shared" si="8"/>
        <v/>
      </c>
      <c r="AM15" s="143" t="str">
        <f t="shared" si="9"/>
        <v/>
      </c>
      <c r="AN15" s="143" t="str">
        <f t="shared" si="10"/>
        <v/>
      </c>
      <c r="AP15" s="9">
        <f t="shared" si="11"/>
        <v>1.9085378963197116E-2</v>
      </c>
      <c r="AQ15" s="9">
        <f t="shared" si="12"/>
        <v>0.71395967915040237</v>
      </c>
    </row>
    <row r="16" spans="2:43" x14ac:dyDescent="0.35">
      <c r="B16" s="3" t="s">
        <v>108</v>
      </c>
      <c r="D16" s="141">
        <v>64343504</v>
      </c>
      <c r="E16" s="141">
        <v>62128206</v>
      </c>
      <c r="F16" s="141">
        <v>62437178</v>
      </c>
      <c r="G16" s="141">
        <v>51158157</v>
      </c>
      <c r="H16" s="141">
        <f>+SUM(D16:G16)</f>
        <v>240067045</v>
      </c>
      <c r="J16" s="141">
        <v>7936862</v>
      </c>
      <c r="K16" s="141">
        <v>7103942</v>
      </c>
      <c r="L16" s="141">
        <v>7680237</v>
      </c>
      <c r="M16" s="141">
        <v>5762207</v>
      </c>
      <c r="N16" s="141">
        <f>+SUM(J16:M16)</f>
        <v>28483248</v>
      </c>
      <c r="P16" s="2">
        <f>+IFERROR(J16/D16,"")</f>
        <v>0.12335141088990118</v>
      </c>
      <c r="Q16" s="2">
        <f>+IFERROR(K16/E16,"")</f>
        <v>0.1143432662452864</v>
      </c>
      <c r="R16" s="2">
        <f>+IFERROR(L16/F16,"")</f>
        <v>0.12300743316746314</v>
      </c>
      <c r="S16" s="2">
        <f>+IFERROR(M16/G16,"")</f>
        <v>0.1126351561100999</v>
      </c>
      <c r="T16" s="2" t="str">
        <f>+IFERROR(#REF!/#REF!,"")</f>
        <v/>
      </c>
      <c r="U16" s="2" t="str">
        <f>+IFERROR(#REF!/#REF!,"")</f>
        <v/>
      </c>
      <c r="V16" s="2" t="str">
        <f>+IFERROR(#REF!/#REF!,"")</f>
        <v/>
      </c>
      <c r="W16" s="2" t="str">
        <f>+IFERROR(#REF!/#REF!,"")</f>
        <v/>
      </c>
      <c r="X16" s="2" t="str">
        <f>+IFERROR(#REF!/#REF!,"")</f>
        <v/>
      </c>
      <c r="Y16" s="2" t="str">
        <f>+IFERROR(#REF!/#REF!,"")</f>
        <v/>
      </c>
      <c r="Z16" s="2" t="str">
        <f>+IFERROR(#REF!/#REF!,"")</f>
        <v/>
      </c>
      <c r="AA16" s="2" t="str">
        <f>+IFERROR(#REF!/#REF!,"")</f>
        <v/>
      </c>
      <c r="AB16" s="2">
        <f>+IFERROR(N16/H16,"")</f>
        <v>0.11864705545069712</v>
      </c>
      <c r="AD16" s="143">
        <f t="shared" si="0"/>
        <v>-9.0081446446147739E-3</v>
      </c>
      <c r="AE16" s="143">
        <f t="shared" si="1"/>
        <v>8.6641669221767387E-3</v>
      </c>
      <c r="AF16" s="143">
        <f t="shared" si="2"/>
        <v>-1.0372277057363238E-2</v>
      </c>
      <c r="AG16" s="143" t="str">
        <f t="shared" si="3"/>
        <v/>
      </c>
      <c r="AH16" s="143" t="str">
        <f t="shared" si="4"/>
        <v/>
      </c>
      <c r="AI16" s="143" t="str">
        <f t="shared" si="5"/>
        <v/>
      </c>
      <c r="AJ16" s="143" t="str">
        <f t="shared" si="6"/>
        <v/>
      </c>
      <c r="AK16" s="143" t="str">
        <f t="shared" si="7"/>
        <v/>
      </c>
      <c r="AL16" s="143" t="str">
        <f t="shared" si="8"/>
        <v/>
      </c>
      <c r="AM16" s="143" t="str">
        <f t="shared" si="9"/>
        <v/>
      </c>
      <c r="AN16" s="143" t="str">
        <f t="shared" si="10"/>
        <v/>
      </c>
      <c r="AP16" s="9">
        <f t="shared" si="11"/>
        <v>1.7438318052177198E-2</v>
      </c>
      <c r="AQ16" s="9">
        <f t="shared" si="12"/>
        <v>0.73139799720257959</v>
      </c>
    </row>
    <row r="17" spans="2:43" x14ac:dyDescent="0.35">
      <c r="B17" s="3" t="s">
        <v>110</v>
      </c>
      <c r="D17" s="141">
        <v>55419720</v>
      </c>
      <c r="E17" s="141">
        <v>46816626</v>
      </c>
      <c r="F17" s="141">
        <v>33399307</v>
      </c>
      <c r="G17" s="141">
        <v>43003151</v>
      </c>
      <c r="H17" s="141">
        <f>+SUM(D17:G17)</f>
        <v>178638804</v>
      </c>
      <c r="J17" s="141">
        <v>6170128</v>
      </c>
      <c r="K17" s="141">
        <v>5125334</v>
      </c>
      <c r="L17" s="141">
        <v>3962933</v>
      </c>
      <c r="M17" s="141">
        <v>4524448</v>
      </c>
      <c r="N17" s="141">
        <f>+SUM(J17:M17)</f>
        <v>19782843</v>
      </c>
      <c r="P17" s="2">
        <f>+IFERROR(J17/D17,"")</f>
        <v>0.11133452135810142</v>
      </c>
      <c r="Q17" s="2">
        <f>+IFERROR(K17/E17,"")</f>
        <v>0.1094767914287544</v>
      </c>
      <c r="R17" s="2">
        <f>+IFERROR(L17/F17,"")</f>
        <v>0.11865315049800285</v>
      </c>
      <c r="S17" s="2">
        <f>+IFERROR(M17/G17,"")</f>
        <v>0.10521201109193137</v>
      </c>
      <c r="T17" s="2" t="str">
        <f>+IFERROR(#REF!/#REF!,"")</f>
        <v/>
      </c>
      <c r="U17" s="2" t="str">
        <f>+IFERROR(#REF!/#REF!,"")</f>
        <v/>
      </c>
      <c r="V17" s="2" t="str">
        <f>+IFERROR(#REF!/#REF!,"")</f>
        <v/>
      </c>
      <c r="W17" s="2" t="str">
        <f>+IFERROR(#REF!/#REF!,"")</f>
        <v/>
      </c>
      <c r="X17" s="2" t="str">
        <f>+IFERROR(#REF!/#REF!,"")</f>
        <v/>
      </c>
      <c r="Y17" s="2" t="str">
        <f>+IFERROR(#REF!/#REF!,"")</f>
        <v/>
      </c>
      <c r="Z17" s="2" t="str">
        <f>+IFERROR(#REF!/#REF!,"")</f>
        <v/>
      </c>
      <c r="AA17" s="2" t="str">
        <f>+IFERROR(#REF!/#REF!,"")</f>
        <v/>
      </c>
      <c r="AB17" s="2">
        <f>+IFERROR(N17/H17,"")</f>
        <v>0.11074213752573041</v>
      </c>
      <c r="AD17" s="143">
        <f t="shared" si="0"/>
        <v>-1.8577299293470184E-3</v>
      </c>
      <c r="AE17" s="143">
        <f t="shared" si="1"/>
        <v>9.1763590692484492E-3</v>
      </c>
      <c r="AF17" s="143">
        <f t="shared" si="2"/>
        <v>-1.3441139406071473E-2</v>
      </c>
      <c r="AG17" s="143" t="str">
        <f t="shared" si="3"/>
        <v/>
      </c>
      <c r="AH17" s="143" t="str">
        <f t="shared" si="4"/>
        <v/>
      </c>
      <c r="AI17" s="143" t="str">
        <f t="shared" si="5"/>
        <v/>
      </c>
      <c r="AJ17" s="143" t="str">
        <f t="shared" si="6"/>
        <v/>
      </c>
      <c r="AK17" s="143" t="str">
        <f t="shared" si="7"/>
        <v/>
      </c>
      <c r="AL17" s="143" t="str">
        <f t="shared" si="8"/>
        <v/>
      </c>
      <c r="AM17" s="143" t="str">
        <f t="shared" si="9"/>
        <v/>
      </c>
      <c r="AN17" s="143" t="str">
        <f t="shared" si="10"/>
        <v/>
      </c>
      <c r="AP17" s="9">
        <f t="shared" si="11"/>
        <v>1.2111663255900004E-2</v>
      </c>
      <c r="AQ17" s="9">
        <f t="shared" si="12"/>
        <v>0.74350966045847955</v>
      </c>
    </row>
    <row r="18" spans="2:43" x14ac:dyDescent="0.35">
      <c r="B18" s="3" t="s">
        <v>109</v>
      </c>
      <c r="D18" s="141">
        <v>26576456</v>
      </c>
      <c r="E18" s="141">
        <v>25034617</v>
      </c>
      <c r="F18" s="141">
        <v>21948578</v>
      </c>
      <c r="G18" s="141">
        <v>17414225</v>
      </c>
      <c r="H18" s="141">
        <f>+SUM(D18:G18)</f>
        <v>90973876</v>
      </c>
      <c r="J18" s="141">
        <v>3754805</v>
      </c>
      <c r="K18" s="141">
        <v>3608612</v>
      </c>
      <c r="L18" s="141">
        <v>3102203</v>
      </c>
      <c r="M18" s="141">
        <v>2319909</v>
      </c>
      <c r="N18" s="141">
        <f>+SUM(J18:M18)</f>
        <v>12785529</v>
      </c>
      <c r="P18" s="2">
        <f>+IFERROR(J18/D18,"")</f>
        <v>0.14128313421473504</v>
      </c>
      <c r="Q18" s="2">
        <f>+IFERROR(K18/E18,"")</f>
        <v>0.14414488546000123</v>
      </c>
      <c r="R18" s="2">
        <f>+IFERROR(L18/F18,"")</f>
        <v>0.14133958928911022</v>
      </c>
      <c r="S18" s="2">
        <f>+IFERROR(M18/G18,"")</f>
        <v>0.13321919292991793</v>
      </c>
      <c r="T18" s="2" t="str">
        <f>+IFERROR(#REF!/#REF!,"")</f>
        <v/>
      </c>
      <c r="U18" s="2" t="str">
        <f>+IFERROR(#REF!/#REF!,"")</f>
        <v/>
      </c>
      <c r="V18" s="2" t="str">
        <f>+IFERROR(#REF!/#REF!,"")</f>
        <v/>
      </c>
      <c r="W18" s="2" t="str">
        <f>+IFERROR(#REF!/#REF!,"")</f>
        <v/>
      </c>
      <c r="X18" s="2" t="str">
        <f>+IFERROR(#REF!/#REF!,"")</f>
        <v/>
      </c>
      <c r="Y18" s="2" t="str">
        <f>+IFERROR(#REF!/#REF!,"")</f>
        <v/>
      </c>
      <c r="Z18" s="2" t="str">
        <f>+IFERROR(#REF!/#REF!,"")</f>
        <v/>
      </c>
      <c r="AA18" s="2" t="str">
        <f>+IFERROR(#REF!/#REF!,"")</f>
        <v/>
      </c>
      <c r="AB18" s="2">
        <f>+IFERROR(N18/H18,"")</f>
        <v>0.1405406646628973</v>
      </c>
      <c r="AD18" s="143">
        <f t="shared" si="0"/>
        <v>2.861751245266192E-3</v>
      </c>
      <c r="AE18" s="143">
        <f t="shared" si="1"/>
        <v>-2.8052961708910085E-3</v>
      </c>
      <c r="AF18" s="143">
        <f t="shared" si="2"/>
        <v>-8.120396359192289E-3</v>
      </c>
      <c r="AG18" s="143" t="str">
        <f t="shared" si="3"/>
        <v/>
      </c>
      <c r="AH18" s="143" t="str">
        <f t="shared" si="4"/>
        <v/>
      </c>
      <c r="AI18" s="143" t="str">
        <f t="shared" si="5"/>
        <v/>
      </c>
      <c r="AJ18" s="143" t="str">
        <f t="shared" si="6"/>
        <v/>
      </c>
      <c r="AK18" s="143" t="str">
        <f t="shared" si="7"/>
        <v/>
      </c>
      <c r="AL18" s="143" t="str">
        <f t="shared" si="8"/>
        <v/>
      </c>
      <c r="AM18" s="143" t="str">
        <f t="shared" si="9"/>
        <v/>
      </c>
      <c r="AN18" s="143" t="str">
        <f t="shared" si="10"/>
        <v/>
      </c>
      <c r="AP18" s="9">
        <f t="shared" si="11"/>
        <v>7.8276930063360412E-3</v>
      </c>
      <c r="AQ18" s="9">
        <f t="shared" si="12"/>
        <v>0.75133735346481556</v>
      </c>
    </row>
    <row r="19" spans="2:43" x14ac:dyDescent="0.35">
      <c r="B19" s="3" t="s">
        <v>111</v>
      </c>
      <c r="D19" s="141">
        <v>52236244</v>
      </c>
      <c r="E19" s="141">
        <v>57366295</v>
      </c>
      <c r="F19" s="141">
        <v>35548967</v>
      </c>
      <c r="G19" s="141">
        <v>44197639</v>
      </c>
      <c r="H19" s="141">
        <f>+SUM(D19:G19)</f>
        <v>189349145</v>
      </c>
      <c r="J19" s="141">
        <v>5622177</v>
      </c>
      <c r="K19" s="141">
        <v>6088469</v>
      </c>
      <c r="L19" s="141">
        <v>4219794</v>
      </c>
      <c r="M19" s="141">
        <v>4597224</v>
      </c>
      <c r="N19" s="141">
        <f>+SUM(J19:M19)</f>
        <v>20527664</v>
      </c>
      <c r="P19" s="2">
        <f>+IFERROR(J19/D19,"")</f>
        <v>0.10762980967774023</v>
      </c>
      <c r="Q19" s="2">
        <f>+IFERROR(K19/E19,"")</f>
        <v>0.10613320940458155</v>
      </c>
      <c r="R19" s="2">
        <f>+IFERROR(L19/F19,"")</f>
        <v>0.11870370241700694</v>
      </c>
      <c r="S19" s="2">
        <f>+IFERROR(M19/G19,"")</f>
        <v>0.10401514886349472</v>
      </c>
      <c r="T19" s="2" t="str">
        <f>+IFERROR(#REF!/#REF!,"")</f>
        <v/>
      </c>
      <c r="U19" s="2" t="str">
        <f>+IFERROR(#REF!/#REF!,"")</f>
        <v/>
      </c>
      <c r="V19" s="2" t="str">
        <f>+IFERROR(#REF!/#REF!,"")</f>
        <v/>
      </c>
      <c r="W19" s="2" t="str">
        <f>+IFERROR(#REF!/#REF!,"")</f>
        <v/>
      </c>
      <c r="X19" s="2" t="str">
        <f>+IFERROR(#REF!/#REF!,"")</f>
        <v/>
      </c>
      <c r="Y19" s="2" t="str">
        <f>+IFERROR(#REF!/#REF!,"")</f>
        <v/>
      </c>
      <c r="Z19" s="2" t="str">
        <f>+IFERROR(#REF!/#REF!,"")</f>
        <v/>
      </c>
      <c r="AA19" s="2" t="str">
        <f>+IFERROR(#REF!/#REF!,"")</f>
        <v/>
      </c>
      <c r="AB19" s="2">
        <f>+IFERROR(N19/H19,"")</f>
        <v>0.10841170684979856</v>
      </c>
      <c r="AD19" s="143">
        <f t="shared" si="0"/>
        <v>-1.4966002731586769E-3</v>
      </c>
      <c r="AE19" s="143">
        <f t="shared" si="1"/>
        <v>1.2570493012425382E-2</v>
      </c>
      <c r="AF19" s="143">
        <f t="shared" si="2"/>
        <v>-1.4688553553512215E-2</v>
      </c>
      <c r="AG19" s="143" t="str">
        <f t="shared" si="3"/>
        <v/>
      </c>
      <c r="AH19" s="143" t="str">
        <f t="shared" si="4"/>
        <v/>
      </c>
      <c r="AI19" s="143" t="str">
        <f t="shared" si="5"/>
        <v/>
      </c>
      <c r="AJ19" s="143" t="str">
        <f t="shared" si="6"/>
        <v/>
      </c>
      <c r="AK19" s="143" t="str">
        <f t="shared" si="7"/>
        <v/>
      </c>
      <c r="AL19" s="143" t="str">
        <f t="shared" si="8"/>
        <v/>
      </c>
      <c r="AM19" s="143" t="str">
        <f t="shared" si="9"/>
        <v/>
      </c>
      <c r="AN19" s="143" t="str">
        <f t="shared" si="10"/>
        <v/>
      </c>
      <c r="AP19" s="9">
        <f t="shared" si="11"/>
        <v>1.256766551694624E-2</v>
      </c>
      <c r="AQ19" s="9">
        <f t="shared" si="12"/>
        <v>0.76390501898176177</v>
      </c>
    </row>
    <row r="20" spans="2:43" x14ac:dyDescent="0.35">
      <c r="B20" s="3" t="s">
        <v>118</v>
      </c>
      <c r="D20" s="141">
        <v>26938169</v>
      </c>
      <c r="E20" s="141">
        <v>24178004</v>
      </c>
      <c r="F20" s="141">
        <v>26496702</v>
      </c>
      <c r="G20" s="141">
        <v>22615875</v>
      </c>
      <c r="H20" s="141">
        <f>+SUM(D20:G20)</f>
        <v>100228750</v>
      </c>
      <c r="J20" s="141">
        <v>3101953</v>
      </c>
      <c r="K20" s="141">
        <v>2834368</v>
      </c>
      <c r="L20" s="141">
        <v>3502897</v>
      </c>
      <c r="M20" s="141">
        <v>2514585</v>
      </c>
      <c r="N20" s="141">
        <f>+SUM(J20:M20)</f>
        <v>11953803</v>
      </c>
      <c r="P20" s="2">
        <f>+IFERROR(J20/D20,"")</f>
        <v>0.11515084785458135</v>
      </c>
      <c r="Q20" s="2">
        <f>+IFERROR(K20/E20,"")</f>
        <v>0.11722919724887133</v>
      </c>
      <c r="R20" s="2">
        <f>+IFERROR(L20/F20,"")</f>
        <v>0.13220124527195876</v>
      </c>
      <c r="S20" s="2">
        <f>+IFERROR(M20/G20,"")</f>
        <v>0.11118672171649339</v>
      </c>
      <c r="T20" s="2" t="str">
        <f>+IFERROR(#REF!/#REF!,"")</f>
        <v/>
      </c>
      <c r="U20" s="2" t="str">
        <f>+IFERROR(#REF!/#REF!,"")</f>
        <v/>
      </c>
      <c r="V20" s="2" t="str">
        <f>+IFERROR(#REF!/#REF!,"")</f>
        <v/>
      </c>
      <c r="W20" s="2" t="str">
        <f>+IFERROR(#REF!/#REF!,"")</f>
        <v/>
      </c>
      <c r="X20" s="2" t="str">
        <f>+IFERROR(#REF!/#REF!,"")</f>
        <v/>
      </c>
      <c r="Y20" s="2" t="str">
        <f>+IFERROR(#REF!/#REF!,"")</f>
        <v/>
      </c>
      <c r="Z20" s="2" t="str">
        <f>+IFERROR(#REF!/#REF!,"")</f>
        <v/>
      </c>
      <c r="AA20" s="2" t="str">
        <f>+IFERROR(#REF!/#REF!,"")</f>
        <v/>
      </c>
      <c r="AB20" s="2">
        <f>+IFERROR(N20/H20,"")</f>
        <v>0.11926521083022586</v>
      </c>
      <c r="AD20" s="143">
        <f t="shared" si="0"/>
        <v>2.0783493942899828E-3</v>
      </c>
      <c r="AE20" s="143">
        <f t="shared" si="1"/>
        <v>1.4972048023087423E-2</v>
      </c>
      <c r="AF20" s="143">
        <f t="shared" si="2"/>
        <v>-2.1014523555465361E-2</v>
      </c>
      <c r="AG20" s="143" t="str">
        <f t="shared" si="3"/>
        <v/>
      </c>
      <c r="AH20" s="143" t="str">
        <f t="shared" si="4"/>
        <v/>
      </c>
      <c r="AI20" s="143" t="str">
        <f t="shared" si="5"/>
        <v/>
      </c>
      <c r="AJ20" s="143" t="str">
        <f t="shared" si="6"/>
        <v/>
      </c>
      <c r="AK20" s="143" t="str">
        <f t="shared" si="7"/>
        <v/>
      </c>
      <c r="AL20" s="143" t="str">
        <f t="shared" si="8"/>
        <v/>
      </c>
      <c r="AM20" s="143" t="str">
        <f t="shared" si="9"/>
        <v/>
      </c>
      <c r="AN20" s="143" t="str">
        <f t="shared" si="10"/>
        <v/>
      </c>
      <c r="AP20" s="9">
        <f t="shared" si="11"/>
        <v>7.3184848387750556E-3</v>
      </c>
      <c r="AQ20" s="9">
        <f t="shared" si="12"/>
        <v>0.77122350382053684</v>
      </c>
    </row>
    <row r="21" spans="2:43" x14ac:dyDescent="0.35">
      <c r="B21" s="3" t="s">
        <v>113</v>
      </c>
      <c r="D21" s="141">
        <v>36780760</v>
      </c>
      <c r="E21" s="141">
        <v>31907945</v>
      </c>
      <c r="F21" s="141">
        <v>29193761</v>
      </c>
      <c r="G21" s="141">
        <v>30395059</v>
      </c>
      <c r="H21" s="141">
        <f>+SUM(D21:G21)</f>
        <v>128277525</v>
      </c>
      <c r="J21" s="141">
        <v>4646038</v>
      </c>
      <c r="K21" s="141">
        <v>4091600</v>
      </c>
      <c r="L21" s="141">
        <v>4213671</v>
      </c>
      <c r="M21" s="141">
        <v>4266670</v>
      </c>
      <c r="N21" s="141">
        <f>+SUM(J21:M21)</f>
        <v>17217979</v>
      </c>
      <c r="P21" s="2">
        <f>+IFERROR(J21/D21,"")</f>
        <v>0.12631707447045684</v>
      </c>
      <c r="Q21" s="2">
        <f>+IFERROR(K21/E21,"")</f>
        <v>0.12823138563138428</v>
      </c>
      <c r="R21" s="2">
        <f>+IFERROR(L21/F21,"")</f>
        <v>0.14433464054186099</v>
      </c>
      <c r="S21" s="2">
        <f>+IFERROR(M21/G21,"")</f>
        <v>0.14037380220252246</v>
      </c>
      <c r="T21" s="2" t="str">
        <f>+IFERROR(#REF!/#REF!,"")</f>
        <v/>
      </c>
      <c r="U21" s="2" t="str">
        <f>+IFERROR(#REF!/#REF!,"")</f>
        <v/>
      </c>
      <c r="V21" s="2" t="str">
        <f>+IFERROR(#REF!/#REF!,"")</f>
        <v/>
      </c>
      <c r="W21" s="2" t="str">
        <f>+IFERROR(#REF!/#REF!,"")</f>
        <v/>
      </c>
      <c r="X21" s="2" t="str">
        <f>+IFERROR(#REF!/#REF!,"")</f>
        <v/>
      </c>
      <c r="Y21" s="2" t="str">
        <f>+IFERROR(#REF!/#REF!,"")</f>
        <v/>
      </c>
      <c r="Z21" s="2" t="str">
        <f>+IFERROR(#REF!/#REF!,"")</f>
        <v/>
      </c>
      <c r="AA21" s="2" t="str">
        <f>+IFERROR(#REF!/#REF!,"")</f>
        <v/>
      </c>
      <c r="AB21" s="2">
        <f>+IFERROR(N21/H21,"")</f>
        <v>0.13422444032966804</v>
      </c>
      <c r="AD21" s="143">
        <f t="shared" si="0"/>
        <v>1.9143111609274399E-3</v>
      </c>
      <c r="AE21" s="143">
        <f t="shared" si="1"/>
        <v>1.6103254910476705E-2</v>
      </c>
      <c r="AF21" s="143">
        <f t="shared" si="2"/>
        <v>-3.9608383393385238E-3</v>
      </c>
      <c r="AG21" s="143" t="str">
        <f t="shared" si="3"/>
        <v/>
      </c>
      <c r="AH21" s="143" t="str">
        <f t="shared" si="4"/>
        <v/>
      </c>
      <c r="AI21" s="143" t="str">
        <f t="shared" si="5"/>
        <v/>
      </c>
      <c r="AJ21" s="143" t="str">
        <f t="shared" si="6"/>
        <v/>
      </c>
      <c r="AK21" s="143" t="str">
        <f t="shared" si="7"/>
        <v/>
      </c>
      <c r="AL21" s="143" t="str">
        <f t="shared" si="8"/>
        <v/>
      </c>
      <c r="AM21" s="143" t="str">
        <f t="shared" si="9"/>
        <v/>
      </c>
      <c r="AN21" s="143" t="str">
        <f t="shared" si="10"/>
        <v/>
      </c>
      <c r="AP21" s="9">
        <f t="shared" si="11"/>
        <v>1.0541374846636446E-2</v>
      </c>
      <c r="AQ21" s="9">
        <f t="shared" si="12"/>
        <v>0.78176487866717326</v>
      </c>
    </row>
    <row r="22" spans="2:43" x14ac:dyDescent="0.35">
      <c r="B22" s="3" t="s">
        <v>128</v>
      </c>
      <c r="D22" s="141">
        <v>28641304</v>
      </c>
      <c r="E22" s="141">
        <v>25547377</v>
      </c>
      <c r="F22" s="141">
        <v>24894703</v>
      </c>
      <c r="G22" s="141">
        <v>20011762</v>
      </c>
      <c r="H22" s="141">
        <f>+SUM(D22:G22)</f>
        <v>99095146</v>
      </c>
      <c r="J22" s="141">
        <v>3057251</v>
      </c>
      <c r="K22" s="141">
        <v>2780900</v>
      </c>
      <c r="L22" s="141">
        <v>2840135</v>
      </c>
      <c r="M22" s="141">
        <v>2147482</v>
      </c>
      <c r="N22" s="141">
        <f>+SUM(J22:M22)</f>
        <v>10825768</v>
      </c>
      <c r="P22" s="2">
        <f>+IFERROR(J22/D22,"")</f>
        <v>0.10674273070807111</v>
      </c>
      <c r="Q22" s="2">
        <f>+IFERROR(K22/E22,"")</f>
        <v>0.10885266225178421</v>
      </c>
      <c r="R22" s="2">
        <f>+IFERROR(L22/F22,"")</f>
        <v>0.11408591618867676</v>
      </c>
      <c r="S22" s="2">
        <f>+IFERROR(M22/G22,"")</f>
        <v>0.10731099040654191</v>
      </c>
      <c r="T22" s="2" t="str">
        <f>+IFERROR(#REF!/#REF!,"")</f>
        <v/>
      </c>
      <c r="U22" s="2" t="str">
        <f>+IFERROR(#REF!/#REF!,"")</f>
        <v/>
      </c>
      <c r="V22" s="2" t="str">
        <f>+IFERROR(#REF!/#REF!,"")</f>
        <v/>
      </c>
      <c r="W22" s="2" t="str">
        <f>+IFERROR(#REF!/#REF!,"")</f>
        <v/>
      </c>
      <c r="X22" s="2" t="str">
        <f>+IFERROR(#REF!/#REF!,"")</f>
        <v/>
      </c>
      <c r="Y22" s="2" t="str">
        <f>+IFERROR(#REF!/#REF!,"")</f>
        <v/>
      </c>
      <c r="Z22" s="2" t="str">
        <f>+IFERROR(#REF!/#REF!,"")</f>
        <v/>
      </c>
      <c r="AA22" s="2" t="str">
        <f>+IFERROR(#REF!/#REF!,"")</f>
        <v/>
      </c>
      <c r="AB22" s="2">
        <f>+IFERROR(N22/H22,"")</f>
        <v>0.10924619859786068</v>
      </c>
      <c r="AD22" s="143">
        <f t="shared" si="0"/>
        <v>2.1099315437130978E-3</v>
      </c>
      <c r="AE22" s="143">
        <f t="shared" si="1"/>
        <v>5.2332539368925568E-3</v>
      </c>
      <c r="AF22" s="143">
        <f t="shared" si="2"/>
        <v>-6.774925782134858E-3</v>
      </c>
      <c r="AG22" s="143" t="str">
        <f t="shared" si="3"/>
        <v/>
      </c>
      <c r="AH22" s="143" t="str">
        <f t="shared" si="4"/>
        <v/>
      </c>
      <c r="AI22" s="143" t="str">
        <f t="shared" si="5"/>
        <v/>
      </c>
      <c r="AJ22" s="143" t="str">
        <f t="shared" si="6"/>
        <v/>
      </c>
      <c r="AK22" s="143" t="str">
        <f t="shared" si="7"/>
        <v/>
      </c>
      <c r="AL22" s="143" t="str">
        <f t="shared" si="8"/>
        <v/>
      </c>
      <c r="AM22" s="143" t="str">
        <f t="shared" si="9"/>
        <v/>
      </c>
      <c r="AN22" s="143" t="str">
        <f t="shared" si="10"/>
        <v/>
      </c>
      <c r="AP22" s="9">
        <f t="shared" si="11"/>
        <v>6.6278672131451517E-3</v>
      </c>
      <c r="AQ22" s="9">
        <f t="shared" si="12"/>
        <v>0.78839274588031838</v>
      </c>
    </row>
    <row r="23" spans="2:43" x14ac:dyDescent="0.35">
      <c r="B23" s="3" t="s">
        <v>116</v>
      </c>
      <c r="D23" s="141">
        <v>22248417</v>
      </c>
      <c r="E23" s="141">
        <v>20226779</v>
      </c>
      <c r="F23" s="141">
        <v>21659592</v>
      </c>
      <c r="G23" s="141">
        <v>16190469</v>
      </c>
      <c r="H23" s="141">
        <f>+SUM(D23:G23)</f>
        <v>80325257</v>
      </c>
      <c r="J23" s="141">
        <v>2672173</v>
      </c>
      <c r="K23" s="141">
        <v>2596110</v>
      </c>
      <c r="L23" s="141">
        <v>2804572</v>
      </c>
      <c r="M23" s="141">
        <v>1985698</v>
      </c>
      <c r="N23" s="141">
        <f>+SUM(J23:M23)</f>
        <v>10058553</v>
      </c>
      <c r="P23" s="2">
        <f>+IFERROR(J23/D23,"")</f>
        <v>0.12010620800572014</v>
      </c>
      <c r="Q23" s="2">
        <f>+IFERROR(K23/E23,"")</f>
        <v>0.12835014413318108</v>
      </c>
      <c r="R23" s="2">
        <f>+IFERROR(L23/F23,"")</f>
        <v>0.12948406415042352</v>
      </c>
      <c r="S23" s="2">
        <f>+IFERROR(M23/G23,"")</f>
        <v>0.12264610741047711</v>
      </c>
      <c r="T23" s="2" t="str">
        <f>+IFERROR(#REF!/#REF!,"")</f>
        <v/>
      </c>
      <c r="U23" s="2" t="str">
        <f>+IFERROR(#REF!/#REF!,"")</f>
        <v/>
      </c>
      <c r="V23" s="2" t="str">
        <f>+IFERROR(#REF!/#REF!,"")</f>
        <v/>
      </c>
      <c r="W23" s="2" t="str">
        <f>+IFERROR(#REF!/#REF!,"")</f>
        <v/>
      </c>
      <c r="X23" s="2" t="str">
        <f>+IFERROR(#REF!/#REF!,"")</f>
        <v/>
      </c>
      <c r="Y23" s="2" t="str">
        <f>+IFERROR(#REF!/#REF!,"")</f>
        <v/>
      </c>
      <c r="Z23" s="2" t="str">
        <f>+IFERROR(#REF!/#REF!,"")</f>
        <v/>
      </c>
      <c r="AA23" s="2" t="str">
        <f>+IFERROR(#REF!/#REF!,"")</f>
        <v/>
      </c>
      <c r="AB23" s="2">
        <f>+IFERROR(N23/H23,"")</f>
        <v>0.12522279262673258</v>
      </c>
      <c r="AD23" s="143">
        <f t="shared" si="0"/>
        <v>8.243936127460938E-3</v>
      </c>
      <c r="AE23" s="143">
        <f t="shared" si="1"/>
        <v>1.1339200172424402E-3</v>
      </c>
      <c r="AF23" s="143">
        <f t="shared" si="2"/>
        <v>-6.837956739946402E-3</v>
      </c>
      <c r="AG23" s="143" t="str">
        <f t="shared" si="3"/>
        <v/>
      </c>
      <c r="AH23" s="143" t="str">
        <f t="shared" si="4"/>
        <v/>
      </c>
      <c r="AI23" s="143" t="str">
        <f t="shared" si="5"/>
        <v/>
      </c>
      <c r="AJ23" s="143" t="str">
        <f t="shared" si="6"/>
        <v/>
      </c>
      <c r="AK23" s="143" t="str">
        <f t="shared" si="7"/>
        <v/>
      </c>
      <c r="AL23" s="143" t="str">
        <f t="shared" si="8"/>
        <v/>
      </c>
      <c r="AM23" s="143" t="str">
        <f t="shared" si="9"/>
        <v/>
      </c>
      <c r="AN23" s="143" t="str">
        <f t="shared" si="10"/>
        <v/>
      </c>
      <c r="AP23" s="9">
        <f t="shared" si="11"/>
        <v>6.1581546584392726E-3</v>
      </c>
      <c r="AQ23" s="9">
        <f t="shared" si="12"/>
        <v>0.79455090053875765</v>
      </c>
    </row>
    <row r="24" spans="2:43" x14ac:dyDescent="0.35">
      <c r="B24" s="3" t="s">
        <v>138</v>
      </c>
      <c r="D24" s="141">
        <v>12497425</v>
      </c>
      <c r="E24" s="141">
        <v>11128566</v>
      </c>
      <c r="F24" s="141">
        <v>11940708</v>
      </c>
      <c r="G24" s="141">
        <v>7627014</v>
      </c>
      <c r="H24" s="141">
        <f>+SUM(D24:G24)</f>
        <v>43193713</v>
      </c>
      <c r="J24" s="141">
        <v>2161136</v>
      </c>
      <c r="K24" s="141">
        <v>1834963</v>
      </c>
      <c r="L24" s="141">
        <v>2001379</v>
      </c>
      <c r="M24" s="141">
        <v>1518042</v>
      </c>
      <c r="N24" s="141">
        <f>+SUM(J24:M24)</f>
        <v>7515520</v>
      </c>
      <c r="P24" s="2">
        <f>+IFERROR(J24/D24,"")</f>
        <v>0.17292650285958908</v>
      </c>
      <c r="Q24" s="2">
        <f>+IFERROR(K24/E24,"")</f>
        <v>0.16488764140860557</v>
      </c>
      <c r="R24" s="2">
        <f>+IFERROR(L24/F24,"")</f>
        <v>0.16760974307386128</v>
      </c>
      <c r="S24" s="2">
        <f>+IFERROR(M24/G24,"")</f>
        <v>0.19903490409221747</v>
      </c>
      <c r="T24" s="2" t="str">
        <f>+IFERROR(#REF!/#REF!,"")</f>
        <v/>
      </c>
      <c r="U24" s="2" t="str">
        <f>+IFERROR(#REF!/#REF!,"")</f>
        <v/>
      </c>
      <c r="V24" s="2" t="str">
        <f>+IFERROR(#REF!/#REF!,"")</f>
        <v/>
      </c>
      <c r="W24" s="2" t="str">
        <f>+IFERROR(#REF!/#REF!,"")</f>
        <v/>
      </c>
      <c r="X24" s="2" t="str">
        <f>+IFERROR(#REF!/#REF!,"")</f>
        <v/>
      </c>
      <c r="Y24" s="2" t="str">
        <f>+IFERROR(#REF!/#REF!,"")</f>
        <v/>
      </c>
      <c r="Z24" s="2" t="str">
        <f>+IFERROR(#REF!/#REF!,"")</f>
        <v/>
      </c>
      <c r="AA24" s="2" t="str">
        <f>+IFERROR(#REF!/#REF!,"")</f>
        <v/>
      </c>
      <c r="AB24" s="2">
        <f>+IFERROR(N24/H24,"")</f>
        <v>0.17399569238236129</v>
      </c>
      <c r="AD24" s="143">
        <f t="shared" si="0"/>
        <v>-8.0388614509835088E-3</v>
      </c>
      <c r="AE24" s="143">
        <f t="shared" si="1"/>
        <v>2.7221016652557162E-3</v>
      </c>
      <c r="AF24" s="143">
        <f t="shared" si="2"/>
        <v>3.1425161018356185E-2</v>
      </c>
      <c r="AG24" s="143" t="str">
        <f t="shared" si="3"/>
        <v/>
      </c>
      <c r="AH24" s="143" t="str">
        <f t="shared" si="4"/>
        <v/>
      </c>
      <c r="AI24" s="143" t="str">
        <f t="shared" si="5"/>
        <v/>
      </c>
      <c r="AJ24" s="143" t="str">
        <f t="shared" si="6"/>
        <v/>
      </c>
      <c r="AK24" s="143" t="str">
        <f t="shared" si="7"/>
        <v/>
      </c>
      <c r="AL24" s="143" t="str">
        <f t="shared" si="8"/>
        <v/>
      </c>
      <c r="AM24" s="143" t="str">
        <f t="shared" si="9"/>
        <v/>
      </c>
      <c r="AN24" s="143" t="str">
        <f t="shared" si="10"/>
        <v/>
      </c>
      <c r="AP24" s="9">
        <f t="shared" si="11"/>
        <v>4.6012318569672514E-3</v>
      </c>
      <c r="AQ24" s="9">
        <f t="shared" si="12"/>
        <v>0.79915213239572491</v>
      </c>
    </row>
    <row r="25" spans="2:43" x14ac:dyDescent="0.35">
      <c r="B25" s="3" t="s">
        <v>131</v>
      </c>
      <c r="D25" s="141">
        <v>67606300</v>
      </c>
      <c r="E25" s="141">
        <v>65505007</v>
      </c>
      <c r="F25" s="141">
        <v>60413232</v>
      </c>
      <c r="G25" s="141">
        <v>59528918</v>
      </c>
      <c r="H25" s="141">
        <f>+SUM(D25:G25)</f>
        <v>253053457</v>
      </c>
      <c r="J25" s="141">
        <v>7738430</v>
      </c>
      <c r="K25" s="141">
        <v>7385861</v>
      </c>
      <c r="L25" s="141">
        <v>7695398</v>
      </c>
      <c r="M25" s="141">
        <v>6483775</v>
      </c>
      <c r="N25" s="141">
        <f>+SUM(J25:M25)</f>
        <v>29303464</v>
      </c>
      <c r="P25" s="2">
        <f>+IFERROR(J25/D25,"")</f>
        <v>0.11446314914438448</v>
      </c>
      <c r="Q25" s="2">
        <f>+IFERROR(K25/E25,"")</f>
        <v>0.11275261752128353</v>
      </c>
      <c r="R25" s="2">
        <f>+IFERROR(L25/F25,"")</f>
        <v>0.12737934629949943</v>
      </c>
      <c r="S25" s="2">
        <f>+IFERROR(M25/G25,"")</f>
        <v>0.10891807238962414</v>
      </c>
      <c r="T25" s="2" t="str">
        <f>+IFERROR(#REF!/#REF!,"")</f>
        <v/>
      </c>
      <c r="U25" s="2" t="str">
        <f>+IFERROR(#REF!/#REF!,"")</f>
        <v/>
      </c>
      <c r="V25" s="2" t="str">
        <f>+IFERROR(#REF!/#REF!,"")</f>
        <v/>
      </c>
      <c r="W25" s="2" t="str">
        <f>+IFERROR(#REF!/#REF!,"")</f>
        <v/>
      </c>
      <c r="X25" s="2" t="str">
        <f>+IFERROR(#REF!/#REF!,"")</f>
        <v/>
      </c>
      <c r="Y25" s="2" t="str">
        <f>+IFERROR(#REF!/#REF!,"")</f>
        <v/>
      </c>
      <c r="Z25" s="2" t="str">
        <f>+IFERROR(#REF!/#REF!,"")</f>
        <v/>
      </c>
      <c r="AA25" s="2" t="str">
        <f>+IFERROR(#REF!/#REF!,"")</f>
        <v/>
      </c>
      <c r="AB25" s="2">
        <f>+IFERROR(N25/H25,"")</f>
        <v>0.11579950081456504</v>
      </c>
      <c r="AD25" s="143">
        <f t="shared" si="0"/>
        <v>-1.7105316231009471E-3</v>
      </c>
      <c r="AE25" s="143">
        <f t="shared" si="1"/>
        <v>1.46267287782159E-2</v>
      </c>
      <c r="AF25" s="143">
        <f t="shared" si="2"/>
        <v>-1.8461273909875286E-2</v>
      </c>
      <c r="AG25" s="143" t="str">
        <f t="shared" si="3"/>
        <v/>
      </c>
      <c r="AH25" s="143" t="str">
        <f t="shared" si="4"/>
        <v/>
      </c>
      <c r="AI25" s="143" t="str">
        <f t="shared" si="5"/>
        <v/>
      </c>
      <c r="AJ25" s="143" t="str">
        <f t="shared" si="6"/>
        <v/>
      </c>
      <c r="AK25" s="143" t="str">
        <f t="shared" si="7"/>
        <v/>
      </c>
      <c r="AL25" s="143" t="str">
        <f t="shared" si="8"/>
        <v/>
      </c>
      <c r="AM25" s="143" t="str">
        <f t="shared" si="9"/>
        <v/>
      </c>
      <c r="AN25" s="143" t="str">
        <f t="shared" si="10"/>
        <v/>
      </c>
      <c r="AP25" s="9">
        <f t="shared" si="11"/>
        <v>1.7940479444708151E-2</v>
      </c>
      <c r="AQ25" s="9">
        <f t="shared" si="12"/>
        <v>0.81709261184043303</v>
      </c>
    </row>
    <row r="26" spans="2:43" x14ac:dyDescent="0.35">
      <c r="B26" s="3" t="s">
        <v>114</v>
      </c>
      <c r="D26" s="141">
        <v>8178101</v>
      </c>
      <c r="E26" s="141">
        <v>7487729</v>
      </c>
      <c r="F26" s="141">
        <v>5911382</v>
      </c>
      <c r="G26" s="141">
        <v>5660016</v>
      </c>
      <c r="H26" s="141">
        <f>+SUM(D26:G26)</f>
        <v>27237228</v>
      </c>
      <c r="J26" s="141">
        <v>856869</v>
      </c>
      <c r="K26" s="141">
        <v>795944</v>
      </c>
      <c r="L26" s="141">
        <v>588466</v>
      </c>
      <c r="M26" s="141">
        <v>582667</v>
      </c>
      <c r="N26" s="141">
        <f>+SUM(J26:M26)</f>
        <v>2823946</v>
      </c>
      <c r="P26" s="2">
        <f>+IFERROR(J26/D26,"")</f>
        <v>0.10477603541457851</v>
      </c>
      <c r="Q26" s="2">
        <f>+IFERROR(K26/E26,"")</f>
        <v>0.10629978729198132</v>
      </c>
      <c r="R26" s="2">
        <f>+IFERROR(L26/F26,"")</f>
        <v>9.9547956806039603E-2</v>
      </c>
      <c r="S26" s="2">
        <f>+IFERROR(M26/G26,"")</f>
        <v>0.1029444086377141</v>
      </c>
      <c r="T26" s="2" t="str">
        <f>+IFERROR(#REF!/#REF!,"")</f>
        <v/>
      </c>
      <c r="U26" s="2" t="str">
        <f>+IFERROR(#REF!/#REF!,"")</f>
        <v/>
      </c>
      <c r="V26" s="2" t="str">
        <f>+IFERROR(#REF!/#REF!,"")</f>
        <v/>
      </c>
      <c r="W26" s="2" t="str">
        <f>+IFERROR(#REF!/#REF!,"")</f>
        <v/>
      </c>
      <c r="X26" s="2" t="str">
        <f>+IFERROR(#REF!/#REF!,"")</f>
        <v/>
      </c>
      <c r="Y26" s="2" t="str">
        <f>+IFERROR(#REF!/#REF!,"")</f>
        <v/>
      </c>
      <c r="Z26" s="2" t="str">
        <f>+IFERROR(#REF!/#REF!,"")</f>
        <v/>
      </c>
      <c r="AA26" s="2" t="str">
        <f>+IFERROR(#REF!/#REF!,"")</f>
        <v/>
      </c>
      <c r="AB26" s="2">
        <f>+IFERROR(N26/H26,"")</f>
        <v>0.1036796402335803</v>
      </c>
      <c r="AD26" s="143">
        <f t="shared" si="0"/>
        <v>1.5237518774028069E-3</v>
      </c>
      <c r="AE26" s="143">
        <f t="shared" si="1"/>
        <v>-6.7518304859417178E-3</v>
      </c>
      <c r="AF26" s="143">
        <f t="shared" si="2"/>
        <v>3.3964518316745018E-3</v>
      </c>
      <c r="AG26" s="143" t="str">
        <f t="shared" si="3"/>
        <v/>
      </c>
      <c r="AH26" s="143" t="str">
        <f t="shared" si="4"/>
        <v/>
      </c>
      <c r="AI26" s="143" t="str">
        <f t="shared" si="5"/>
        <v/>
      </c>
      <c r="AJ26" s="143" t="str">
        <f t="shared" si="6"/>
        <v/>
      </c>
      <c r="AK26" s="143" t="str">
        <f t="shared" si="7"/>
        <v/>
      </c>
      <c r="AL26" s="143" t="str">
        <f t="shared" si="8"/>
        <v/>
      </c>
      <c r="AM26" s="143" t="str">
        <f t="shared" si="9"/>
        <v/>
      </c>
      <c r="AN26" s="143" t="str">
        <f t="shared" si="10"/>
        <v/>
      </c>
      <c r="AP26" s="9">
        <f t="shared" si="11"/>
        <v>1.7289063561210991E-3</v>
      </c>
      <c r="AQ26" s="9">
        <f t="shared" si="12"/>
        <v>0.81882151819655413</v>
      </c>
    </row>
    <row r="27" spans="2:43" x14ac:dyDescent="0.35">
      <c r="B27" s="3" t="s">
        <v>125</v>
      </c>
      <c r="D27" s="141">
        <v>19358396</v>
      </c>
      <c r="E27" s="141">
        <v>21917490</v>
      </c>
      <c r="F27" s="141">
        <v>15800788</v>
      </c>
      <c r="G27" s="141">
        <v>17257794</v>
      </c>
      <c r="H27" s="141">
        <f>+SUM(D27:G27)</f>
        <v>74334468</v>
      </c>
      <c r="J27" s="141">
        <v>2381328</v>
      </c>
      <c r="K27" s="141">
        <v>2524748</v>
      </c>
      <c r="L27" s="141">
        <v>2499107</v>
      </c>
      <c r="M27" s="141">
        <v>2365946</v>
      </c>
      <c r="N27" s="141">
        <f>+SUM(J27:M27)</f>
        <v>9771129</v>
      </c>
      <c r="P27" s="2">
        <f>+IFERROR(J27/D27,"")</f>
        <v>0.12301267109113792</v>
      </c>
      <c r="Q27" s="2">
        <f>+IFERROR(K27/E27,"")</f>
        <v>0.11519329996272383</v>
      </c>
      <c r="R27" s="2">
        <f>+IFERROR(L27/F27,"")</f>
        <v>0.15816344096256466</v>
      </c>
      <c r="S27" s="2">
        <f>+IFERROR(M27/G27,"")</f>
        <v>0.13709434705269979</v>
      </c>
      <c r="T27" s="2" t="str">
        <f>+IFERROR(#REF!/#REF!,"")</f>
        <v/>
      </c>
      <c r="U27" s="2" t="str">
        <f>+IFERROR(#REF!/#REF!,"")</f>
        <v/>
      </c>
      <c r="V27" s="2" t="str">
        <f>+IFERROR(#REF!/#REF!,"")</f>
        <v/>
      </c>
      <c r="W27" s="2" t="str">
        <f>+IFERROR(#REF!/#REF!,"")</f>
        <v/>
      </c>
      <c r="X27" s="2" t="str">
        <f>+IFERROR(#REF!/#REF!,"")</f>
        <v/>
      </c>
      <c r="Y27" s="2" t="str">
        <f>+IFERROR(#REF!/#REF!,"")</f>
        <v/>
      </c>
      <c r="Z27" s="2" t="str">
        <f>+IFERROR(#REF!/#REF!,"")</f>
        <v/>
      </c>
      <c r="AA27" s="2" t="str">
        <f>+IFERROR(#REF!/#REF!,"")</f>
        <v/>
      </c>
      <c r="AB27" s="2">
        <f>+IFERROR(N27/H27,"")</f>
        <v>0.13144815941912708</v>
      </c>
      <c r="AD27" s="143">
        <f t="shared" si="0"/>
        <v>-7.8193711284140904E-3</v>
      </c>
      <c r="AE27" s="143">
        <f t="shared" si="1"/>
        <v>4.2970140999840825E-2</v>
      </c>
      <c r="AF27" s="143">
        <f t="shared" si="2"/>
        <v>-2.1069093909864861E-2</v>
      </c>
      <c r="AG27" s="143" t="str">
        <f t="shared" si="3"/>
        <v/>
      </c>
      <c r="AH27" s="143" t="str">
        <f t="shared" si="4"/>
        <v/>
      </c>
      <c r="AI27" s="143" t="str">
        <f t="shared" si="5"/>
        <v/>
      </c>
      <c r="AJ27" s="143" t="str">
        <f t="shared" si="6"/>
        <v/>
      </c>
      <c r="AK27" s="143" t="str">
        <f t="shared" si="7"/>
        <v/>
      </c>
      <c r="AL27" s="143" t="str">
        <f t="shared" si="8"/>
        <v/>
      </c>
      <c r="AM27" s="143" t="str">
        <f t="shared" si="9"/>
        <v/>
      </c>
      <c r="AN27" s="143" t="str">
        <f t="shared" si="10"/>
        <v/>
      </c>
      <c r="AP27" s="9">
        <f t="shared" si="11"/>
        <v>5.9821848698874552E-3</v>
      </c>
      <c r="AQ27" s="9">
        <f t="shared" si="12"/>
        <v>0.82480370306644157</v>
      </c>
    </row>
    <row r="28" spans="2:43" x14ac:dyDescent="0.35">
      <c r="B28" s="3" t="s">
        <v>122</v>
      </c>
      <c r="D28" s="141">
        <v>14962013</v>
      </c>
      <c r="E28" s="141"/>
      <c r="F28" s="141"/>
      <c r="G28" s="141"/>
      <c r="H28" s="141">
        <f>+SUM(D28:G28)</f>
        <v>14962013</v>
      </c>
      <c r="J28" s="141">
        <v>1780020</v>
      </c>
      <c r="K28" s="141"/>
      <c r="L28" s="141"/>
      <c r="M28" s="141"/>
      <c r="N28" s="141">
        <f>+SUM(J28:M28)</f>
        <v>1780020</v>
      </c>
      <c r="P28" s="2">
        <f>+IFERROR(J28/D28,"")</f>
        <v>0.11896928575052033</v>
      </c>
      <c r="Q28" s="2" t="str">
        <f>+IFERROR(K28/E28,"")</f>
        <v/>
      </c>
      <c r="R28" s="2" t="str">
        <f>+IFERROR(L28/F28,"")</f>
        <v/>
      </c>
      <c r="S28" s="2" t="str">
        <f>+IFERROR(M28/G28,"")</f>
        <v/>
      </c>
      <c r="T28" s="2" t="str">
        <f>+IFERROR(#REF!/#REF!,"")</f>
        <v/>
      </c>
      <c r="U28" s="2" t="str">
        <f>+IFERROR(#REF!/#REF!,"")</f>
        <v/>
      </c>
      <c r="V28" s="2" t="str">
        <f>+IFERROR(#REF!/#REF!,"")</f>
        <v/>
      </c>
      <c r="W28" s="2" t="str">
        <f>+IFERROR(#REF!/#REF!,"")</f>
        <v/>
      </c>
      <c r="X28" s="2" t="str">
        <f>+IFERROR(#REF!/#REF!,"")</f>
        <v/>
      </c>
      <c r="Y28" s="2" t="str">
        <f>+IFERROR(#REF!/#REF!,"")</f>
        <v/>
      </c>
      <c r="Z28" s="2" t="str">
        <f>+IFERROR(#REF!/#REF!,"")</f>
        <v/>
      </c>
      <c r="AA28" s="2" t="str">
        <f>+IFERROR(#REF!/#REF!,"")</f>
        <v/>
      </c>
      <c r="AB28" s="2">
        <f>+IFERROR(N28/H28,"")</f>
        <v>0.11896928575052033</v>
      </c>
      <c r="AD28" s="143" t="str">
        <f t="shared" si="0"/>
        <v/>
      </c>
      <c r="AE28" s="143" t="str">
        <f t="shared" si="1"/>
        <v/>
      </c>
      <c r="AF28" s="143" t="str">
        <f t="shared" si="2"/>
        <v/>
      </c>
      <c r="AG28" s="143" t="str">
        <f t="shared" si="3"/>
        <v/>
      </c>
      <c r="AH28" s="143" t="str">
        <f t="shared" si="4"/>
        <v/>
      </c>
      <c r="AI28" s="143" t="str">
        <f t="shared" si="5"/>
        <v/>
      </c>
      <c r="AJ28" s="143" t="str">
        <f t="shared" si="6"/>
        <v/>
      </c>
      <c r="AK28" s="143" t="str">
        <f t="shared" si="7"/>
        <v/>
      </c>
      <c r="AL28" s="143" t="str">
        <f t="shared" si="8"/>
        <v/>
      </c>
      <c r="AM28" s="143" t="str">
        <f t="shared" si="9"/>
        <v/>
      </c>
      <c r="AN28" s="143" t="str">
        <f t="shared" si="10"/>
        <v/>
      </c>
      <c r="AP28" s="9">
        <f t="shared" si="11"/>
        <v>1.0897828400481732E-3</v>
      </c>
      <c r="AQ28" s="9">
        <f t="shared" si="12"/>
        <v>0.8258934859064897</v>
      </c>
    </row>
    <row r="29" spans="2:43" x14ac:dyDescent="0.35">
      <c r="B29" s="3" t="s">
        <v>117</v>
      </c>
      <c r="D29" s="141">
        <v>17818213</v>
      </c>
      <c r="E29" s="141">
        <v>17828135</v>
      </c>
      <c r="F29" s="141">
        <v>13710844</v>
      </c>
      <c r="G29" s="141">
        <v>14038152</v>
      </c>
      <c r="H29" s="141">
        <f>+SUM(D29:G29)</f>
        <v>63395344</v>
      </c>
      <c r="J29" s="141">
        <v>1437341</v>
      </c>
      <c r="K29" s="141">
        <v>1432740</v>
      </c>
      <c r="L29" s="141">
        <v>1230482</v>
      </c>
      <c r="M29" s="141">
        <v>1140689</v>
      </c>
      <c r="N29" s="141">
        <f>+SUM(J29:M29)</f>
        <v>5241252</v>
      </c>
      <c r="P29" s="2">
        <f>+IFERROR(J29/D29,"")</f>
        <v>8.0666955771602905E-2</v>
      </c>
      <c r="Q29" s="2">
        <f>+IFERROR(K29/E29,"")</f>
        <v>8.0363986474188132E-2</v>
      </c>
      <c r="R29" s="2">
        <f>+IFERROR(L29/F29,"")</f>
        <v>8.9745168131152242E-2</v>
      </c>
      <c r="S29" s="2">
        <f>+IFERROR(M29/G29,"")</f>
        <v>8.1256350550984208E-2</v>
      </c>
      <c r="T29" s="2" t="str">
        <f>+IFERROR(#REF!/#REF!,"")</f>
        <v/>
      </c>
      <c r="U29" s="2" t="str">
        <f>+IFERROR(#REF!/#REF!,"")</f>
        <v/>
      </c>
      <c r="V29" s="2" t="str">
        <f>+IFERROR(#REF!/#REF!,"")</f>
        <v/>
      </c>
      <c r="W29" s="2" t="str">
        <f>+IFERROR(#REF!/#REF!,"")</f>
        <v/>
      </c>
      <c r="X29" s="2" t="str">
        <f>+IFERROR(#REF!/#REF!,"")</f>
        <v/>
      </c>
      <c r="Y29" s="2" t="str">
        <f>+IFERROR(#REF!/#REF!,"")</f>
        <v/>
      </c>
      <c r="Z29" s="2" t="str">
        <f>+IFERROR(#REF!/#REF!,"")</f>
        <v/>
      </c>
      <c r="AA29" s="2" t="str">
        <f>+IFERROR(#REF!/#REF!,"")</f>
        <v/>
      </c>
      <c r="AB29" s="2">
        <f>+IFERROR(N29/H29,"")</f>
        <v>8.2675661480754795E-2</v>
      </c>
      <c r="AD29" s="143">
        <f t="shared" si="0"/>
        <v>-3.0296929741477352E-4</v>
      </c>
      <c r="AE29" s="143">
        <f t="shared" si="1"/>
        <v>9.3811816569641104E-3</v>
      </c>
      <c r="AF29" s="143">
        <f t="shared" si="2"/>
        <v>-8.4888175801680343E-3</v>
      </c>
      <c r="AG29" s="143" t="str">
        <f t="shared" si="3"/>
        <v/>
      </c>
      <c r="AH29" s="143" t="str">
        <f t="shared" si="4"/>
        <v/>
      </c>
      <c r="AI29" s="143" t="str">
        <f t="shared" si="5"/>
        <v/>
      </c>
      <c r="AJ29" s="143" t="str">
        <f t="shared" si="6"/>
        <v/>
      </c>
      <c r="AK29" s="143" t="str">
        <f t="shared" si="7"/>
        <v/>
      </c>
      <c r="AL29" s="143" t="str">
        <f t="shared" si="8"/>
        <v/>
      </c>
      <c r="AM29" s="143" t="str">
        <f t="shared" si="9"/>
        <v/>
      </c>
      <c r="AN29" s="143" t="str">
        <f t="shared" si="10"/>
        <v/>
      </c>
      <c r="AP29" s="9">
        <f t="shared" si="11"/>
        <v>3.2088552319458033E-3</v>
      </c>
      <c r="AQ29" s="9">
        <f t="shared" si="12"/>
        <v>0.82910234113843551</v>
      </c>
    </row>
    <row r="30" spans="2:43" x14ac:dyDescent="0.35">
      <c r="B30" s="3" t="s">
        <v>123</v>
      </c>
      <c r="D30" s="141">
        <v>1386395</v>
      </c>
      <c r="E30" s="141">
        <v>1346597</v>
      </c>
      <c r="F30" s="141">
        <v>2309135</v>
      </c>
      <c r="G30" s="141">
        <v>791940</v>
      </c>
      <c r="H30" s="141">
        <f>+SUM(D30:G30)</f>
        <v>5834067</v>
      </c>
      <c r="J30" s="141">
        <v>117773</v>
      </c>
      <c r="K30" s="141">
        <v>111252</v>
      </c>
      <c r="L30" s="141">
        <v>184521</v>
      </c>
      <c r="M30" s="141">
        <v>87770</v>
      </c>
      <c r="N30" s="141">
        <f>+SUM(J30:M30)</f>
        <v>501316</v>
      </c>
      <c r="P30" s="2">
        <f>+IFERROR(J30/D30,"")</f>
        <v>8.4949094594253441E-2</v>
      </c>
      <c r="Q30" s="2">
        <f>+IFERROR(K30/E30,"")</f>
        <v>8.2617145292912433E-2</v>
      </c>
      <c r="R30" s="2">
        <f>+IFERROR(L30/F30,"")</f>
        <v>7.9909143467142452E-2</v>
      </c>
      <c r="S30" s="2">
        <f>+IFERROR(M30/G30,"")</f>
        <v>0.11082910321489002</v>
      </c>
      <c r="T30" s="2" t="str">
        <f>+IFERROR(#REF!/#REF!,"")</f>
        <v/>
      </c>
      <c r="U30" s="2" t="str">
        <f>+IFERROR(#REF!/#REF!,"")</f>
        <v/>
      </c>
      <c r="V30" s="2" t="str">
        <f>+IFERROR(#REF!/#REF!,"")</f>
        <v/>
      </c>
      <c r="W30" s="2" t="str">
        <f>+IFERROR(#REF!/#REF!,"")</f>
        <v/>
      </c>
      <c r="X30" s="2" t="str">
        <f>+IFERROR(#REF!/#REF!,"")</f>
        <v/>
      </c>
      <c r="Y30" s="2" t="str">
        <f>+IFERROR(#REF!/#REF!,"")</f>
        <v/>
      </c>
      <c r="Z30" s="2" t="str">
        <f>+IFERROR(#REF!/#REF!,"")</f>
        <v/>
      </c>
      <c r="AA30" s="2" t="str">
        <f>+IFERROR(#REF!/#REF!,"")</f>
        <v/>
      </c>
      <c r="AB30" s="2">
        <f>+IFERROR(N30/H30,"")</f>
        <v>8.5929078291353184E-2</v>
      </c>
      <c r="AD30" s="143">
        <f t="shared" si="0"/>
        <v>-2.3319493013410075E-3</v>
      </c>
      <c r="AE30" s="143">
        <f t="shared" si="1"/>
        <v>-2.7080018257699817E-3</v>
      </c>
      <c r="AF30" s="143">
        <f t="shared" si="2"/>
        <v>3.0919959747747569E-2</v>
      </c>
      <c r="AG30" s="143" t="str">
        <f t="shared" si="3"/>
        <v/>
      </c>
      <c r="AH30" s="143" t="str">
        <f t="shared" si="4"/>
        <v/>
      </c>
      <c r="AI30" s="143" t="str">
        <f t="shared" si="5"/>
        <v/>
      </c>
      <c r="AJ30" s="143" t="str">
        <f t="shared" si="6"/>
        <v/>
      </c>
      <c r="AK30" s="143" t="str">
        <f t="shared" si="7"/>
        <v/>
      </c>
      <c r="AL30" s="143" t="str">
        <f t="shared" si="8"/>
        <v/>
      </c>
      <c r="AM30" s="143" t="str">
        <f t="shared" si="9"/>
        <v/>
      </c>
      <c r="AN30" s="143" t="str">
        <f t="shared" si="10"/>
        <v/>
      </c>
      <c r="AP30" s="9">
        <f t="shared" si="11"/>
        <v>3.0692103136009148E-4</v>
      </c>
      <c r="AQ30" s="9">
        <f t="shared" si="12"/>
        <v>0.8294092621697956</v>
      </c>
    </row>
    <row r="31" spans="2:43" x14ac:dyDescent="0.35">
      <c r="B31" s="3" t="s">
        <v>124</v>
      </c>
      <c r="D31" s="141">
        <v>7052280</v>
      </c>
      <c r="E31" s="141">
        <v>6727339</v>
      </c>
      <c r="F31" s="141">
        <v>7801428</v>
      </c>
      <c r="G31" s="141">
        <v>5672926</v>
      </c>
      <c r="H31" s="141">
        <f>+SUM(D31:G31)</f>
        <v>27253973</v>
      </c>
      <c r="J31" s="141">
        <v>994482</v>
      </c>
      <c r="K31" s="141">
        <v>901855</v>
      </c>
      <c r="L31" s="141">
        <v>1116882</v>
      </c>
      <c r="M31" s="141">
        <v>728782</v>
      </c>
      <c r="N31" s="141">
        <f>+SUM(J31:M31)</f>
        <v>3742001</v>
      </c>
      <c r="P31" s="2">
        <f>+IFERROR(J31/D31,"")</f>
        <v>0.14101567152750599</v>
      </c>
      <c r="Q31" s="2">
        <f>+IFERROR(K31/E31,"")</f>
        <v>0.13405820637253452</v>
      </c>
      <c r="R31" s="2">
        <f>+IFERROR(L31/F31,"")</f>
        <v>0.14316379001382823</v>
      </c>
      <c r="S31" s="2">
        <f>+IFERROR(M31/G31,"")</f>
        <v>0.12846668544592332</v>
      </c>
      <c r="T31" s="2" t="str">
        <f>+IFERROR(#REF!/#REF!,"")</f>
        <v/>
      </c>
      <c r="U31" s="2" t="str">
        <f>+IFERROR(#REF!/#REF!,"")</f>
        <v/>
      </c>
      <c r="V31" s="2" t="str">
        <f>+IFERROR(#REF!/#REF!,"")</f>
        <v/>
      </c>
      <c r="W31" s="2" t="str">
        <f>+IFERROR(#REF!/#REF!,"")</f>
        <v/>
      </c>
      <c r="X31" s="2" t="str">
        <f>+IFERROR(#REF!/#REF!,"")</f>
        <v/>
      </c>
      <c r="Y31" s="2" t="str">
        <f>+IFERROR(#REF!/#REF!,"")</f>
        <v/>
      </c>
      <c r="Z31" s="2" t="str">
        <f>+IFERROR(#REF!/#REF!,"")</f>
        <v/>
      </c>
      <c r="AA31" s="2" t="str">
        <f>+IFERROR(#REF!/#REF!,"")</f>
        <v/>
      </c>
      <c r="AB31" s="2">
        <f>+IFERROR(N31/H31,"")</f>
        <v>0.13730111936340436</v>
      </c>
      <c r="AD31" s="143">
        <f t="shared" si="0"/>
        <v>-6.9574651549714761E-3</v>
      </c>
      <c r="AE31" s="143">
        <f t="shared" si="1"/>
        <v>9.105583641293713E-3</v>
      </c>
      <c r="AF31" s="143">
        <f t="shared" si="2"/>
        <v>-1.4697104567904906E-2</v>
      </c>
      <c r="AG31" s="143" t="str">
        <f t="shared" si="3"/>
        <v/>
      </c>
      <c r="AH31" s="143" t="str">
        <f t="shared" si="4"/>
        <v/>
      </c>
      <c r="AI31" s="143" t="str">
        <f t="shared" si="5"/>
        <v/>
      </c>
      <c r="AJ31" s="143" t="str">
        <f t="shared" si="6"/>
        <v/>
      </c>
      <c r="AK31" s="143" t="str">
        <f t="shared" si="7"/>
        <v/>
      </c>
      <c r="AL31" s="143" t="str">
        <f t="shared" si="8"/>
        <v/>
      </c>
      <c r="AM31" s="143" t="str">
        <f t="shared" si="9"/>
        <v/>
      </c>
      <c r="AN31" s="143" t="str">
        <f t="shared" si="10"/>
        <v/>
      </c>
      <c r="AP31" s="9">
        <f t="shared" si="11"/>
        <v>2.290967785329999E-3</v>
      </c>
      <c r="AQ31" s="9">
        <f t="shared" si="12"/>
        <v>0.8317002299551256</v>
      </c>
    </row>
    <row r="32" spans="2:43" x14ac:dyDescent="0.35">
      <c r="B32" s="3" t="s">
        <v>130</v>
      </c>
      <c r="D32" s="141">
        <v>6782256</v>
      </c>
      <c r="E32" s="141">
        <v>5988928</v>
      </c>
      <c r="F32" s="141">
        <v>5844827</v>
      </c>
      <c r="G32" s="141">
        <v>4999019</v>
      </c>
      <c r="H32" s="141">
        <f>+SUM(D32:G32)</f>
        <v>23615030</v>
      </c>
      <c r="J32" s="141">
        <v>853252</v>
      </c>
      <c r="K32" s="141">
        <v>682310</v>
      </c>
      <c r="L32" s="141">
        <v>783372</v>
      </c>
      <c r="M32" s="141">
        <v>590203</v>
      </c>
      <c r="N32" s="141">
        <f>+SUM(J32:M32)</f>
        <v>2909137</v>
      </c>
      <c r="P32" s="2">
        <f>+IFERROR(J32/D32,"")</f>
        <v>0.12580651629782186</v>
      </c>
      <c r="Q32" s="2">
        <f>+IFERROR(K32/E32,"")</f>
        <v>0.11392856952028811</v>
      </c>
      <c r="R32" s="2">
        <f>+IFERROR(L32/F32,"")</f>
        <v>0.13402826122997311</v>
      </c>
      <c r="S32" s="2">
        <f>+IFERROR(M32/G32,"")</f>
        <v>0.11806376411051848</v>
      </c>
      <c r="T32" s="2" t="str">
        <f>+IFERROR(#REF!/#REF!,"")</f>
        <v/>
      </c>
      <c r="U32" s="2" t="str">
        <f>+IFERROR(#REF!/#REF!,"")</f>
        <v/>
      </c>
      <c r="V32" s="2" t="str">
        <f>+IFERROR(#REF!/#REF!,"")</f>
        <v/>
      </c>
      <c r="W32" s="2" t="str">
        <f>+IFERROR(#REF!/#REF!,"")</f>
        <v/>
      </c>
      <c r="X32" s="2" t="str">
        <f>+IFERROR(#REF!/#REF!,"")</f>
        <v/>
      </c>
      <c r="Y32" s="2" t="str">
        <f>+IFERROR(#REF!/#REF!,"")</f>
        <v/>
      </c>
      <c r="Z32" s="2" t="str">
        <f>+IFERROR(#REF!/#REF!,"")</f>
        <v/>
      </c>
      <c r="AA32" s="2" t="str">
        <f>+IFERROR(#REF!/#REF!,"")</f>
        <v/>
      </c>
      <c r="AB32" s="2">
        <f>+IFERROR(N32/H32,"")</f>
        <v>0.12319006158366091</v>
      </c>
      <c r="AD32" s="143">
        <f t="shared" si="0"/>
        <v>-1.1877946777533746E-2</v>
      </c>
      <c r="AE32" s="143">
        <f t="shared" si="1"/>
        <v>2.0099691709684994E-2</v>
      </c>
      <c r="AF32" s="143">
        <f t="shared" si="2"/>
        <v>-1.5964497119454621E-2</v>
      </c>
      <c r="AG32" s="143" t="str">
        <f t="shared" si="3"/>
        <v/>
      </c>
      <c r="AH32" s="143" t="str">
        <f t="shared" si="4"/>
        <v/>
      </c>
      <c r="AI32" s="143" t="str">
        <f t="shared" si="5"/>
        <v/>
      </c>
      <c r="AJ32" s="143" t="str">
        <f t="shared" si="6"/>
        <v/>
      </c>
      <c r="AK32" s="143" t="str">
        <f t="shared" si="7"/>
        <v/>
      </c>
      <c r="AL32" s="143" t="str">
        <f t="shared" si="8"/>
        <v/>
      </c>
      <c r="AM32" s="143" t="str">
        <f t="shared" si="9"/>
        <v/>
      </c>
      <c r="AN32" s="143" t="str">
        <f t="shared" si="10"/>
        <v/>
      </c>
      <c r="AP32" s="9">
        <f t="shared" si="11"/>
        <v>1.7810628992647401E-3</v>
      </c>
      <c r="AQ32" s="9">
        <f t="shared" si="12"/>
        <v>0.83348129285439032</v>
      </c>
    </row>
    <row r="33" spans="2:43" x14ac:dyDescent="0.35">
      <c r="B33" s="3" t="s">
        <v>136</v>
      </c>
      <c r="D33" s="141">
        <v>3736418</v>
      </c>
      <c r="E33" s="141"/>
      <c r="F33" s="141"/>
      <c r="G33" s="141"/>
      <c r="H33" s="141">
        <f>+SUM(D33:G33)</f>
        <v>3736418</v>
      </c>
      <c r="J33" s="141">
        <v>449523</v>
      </c>
      <c r="K33" s="141"/>
      <c r="L33" s="141"/>
      <c r="M33" s="141"/>
      <c r="N33" s="141">
        <f>+SUM(J33:M33)</f>
        <v>449523</v>
      </c>
      <c r="P33" s="2">
        <f>+IFERROR(J33/D33,"")</f>
        <v>0.12030854149616023</v>
      </c>
      <c r="Q33" s="2" t="str">
        <f>+IFERROR(K33/E33,"")</f>
        <v/>
      </c>
      <c r="R33" s="2" t="str">
        <f>+IFERROR(L33/F33,"")</f>
        <v/>
      </c>
      <c r="S33" s="2" t="str">
        <f>+IFERROR(M33/G33,"")</f>
        <v/>
      </c>
      <c r="T33" s="2" t="str">
        <f>+IFERROR(#REF!/#REF!,"")</f>
        <v/>
      </c>
      <c r="U33" s="2" t="str">
        <f>+IFERROR(#REF!/#REF!,"")</f>
        <v/>
      </c>
      <c r="V33" s="2" t="str">
        <f>+IFERROR(#REF!/#REF!,"")</f>
        <v/>
      </c>
      <c r="W33" s="2" t="str">
        <f>+IFERROR(#REF!/#REF!,"")</f>
        <v/>
      </c>
      <c r="X33" s="2" t="str">
        <f>+IFERROR(#REF!/#REF!,"")</f>
        <v/>
      </c>
      <c r="Y33" s="2" t="str">
        <f>+IFERROR(#REF!/#REF!,"")</f>
        <v/>
      </c>
      <c r="Z33" s="2" t="str">
        <f>+IFERROR(#REF!/#REF!,"")</f>
        <v/>
      </c>
      <c r="AA33" s="2" t="str">
        <f>+IFERROR(#REF!/#REF!,"")</f>
        <v/>
      </c>
      <c r="AB33" s="2">
        <f>+IFERROR(N33/H33,"")</f>
        <v>0.12030854149616023</v>
      </c>
      <c r="AD33" s="143" t="str">
        <f t="shared" si="0"/>
        <v/>
      </c>
      <c r="AE33" s="143" t="str">
        <f t="shared" si="1"/>
        <v/>
      </c>
      <c r="AF33" s="143" t="str">
        <f t="shared" si="2"/>
        <v/>
      </c>
      <c r="AG33" s="143" t="str">
        <f t="shared" si="3"/>
        <v/>
      </c>
      <c r="AH33" s="143" t="str">
        <f t="shared" si="4"/>
        <v/>
      </c>
      <c r="AI33" s="143" t="str">
        <f t="shared" si="5"/>
        <v/>
      </c>
      <c r="AJ33" s="143" t="str">
        <f t="shared" si="6"/>
        <v/>
      </c>
      <c r="AK33" s="143" t="str">
        <f t="shared" si="7"/>
        <v/>
      </c>
      <c r="AL33" s="143" t="str">
        <f t="shared" si="8"/>
        <v/>
      </c>
      <c r="AM33" s="143" t="str">
        <f t="shared" si="9"/>
        <v/>
      </c>
      <c r="AN33" s="143" t="str">
        <f t="shared" si="10"/>
        <v/>
      </c>
      <c r="AP33" s="9">
        <f t="shared" si="11"/>
        <v>2.7521176818629846E-4</v>
      </c>
      <c r="AQ33" s="9">
        <f t="shared" si="12"/>
        <v>0.83375650462257667</v>
      </c>
    </row>
    <row r="34" spans="2:43" x14ac:dyDescent="0.35">
      <c r="B34" s="3" t="s">
        <v>137</v>
      </c>
      <c r="D34" s="141">
        <v>35127775</v>
      </c>
      <c r="E34" s="141">
        <v>15324416</v>
      </c>
      <c r="F34" s="141">
        <v>50253064</v>
      </c>
      <c r="G34" s="141">
        <v>12567693</v>
      </c>
      <c r="H34" s="141">
        <f>+SUM(D34:G34)</f>
        <v>113272948</v>
      </c>
      <c r="J34" s="141">
        <v>6153532</v>
      </c>
      <c r="K34" s="141">
        <v>3909788</v>
      </c>
      <c r="L34" s="141">
        <v>7705761</v>
      </c>
      <c r="M34" s="141">
        <v>1720140</v>
      </c>
      <c r="N34" s="141">
        <f>+SUM(J34:M34)</f>
        <v>19489221</v>
      </c>
      <c r="P34" s="2">
        <f>+IFERROR(J34/D34,"")</f>
        <v>0.17517568362926489</v>
      </c>
      <c r="Q34" s="2">
        <f>+IFERROR(K34/E34,"")</f>
        <v>0.25513455129383072</v>
      </c>
      <c r="R34" s="2">
        <f>+IFERROR(L34/F34,"")</f>
        <v>0.15333912773955435</v>
      </c>
      <c r="S34" s="2">
        <f>+IFERROR(M34/G34,"")</f>
        <v>0.13686998878791837</v>
      </c>
      <c r="T34" s="2" t="str">
        <f>+IFERROR(#REF!/#REF!,"")</f>
        <v/>
      </c>
      <c r="U34" s="2" t="str">
        <f>+IFERROR(#REF!/#REF!,"")</f>
        <v/>
      </c>
      <c r="V34" s="2" t="str">
        <f>+IFERROR(#REF!/#REF!,"")</f>
        <v/>
      </c>
      <c r="W34" s="2" t="str">
        <f>+IFERROR(#REF!/#REF!,"")</f>
        <v/>
      </c>
      <c r="X34" s="2" t="str">
        <f>+IFERROR(#REF!/#REF!,"")</f>
        <v/>
      </c>
      <c r="Y34" s="2" t="str">
        <f>+IFERROR(#REF!/#REF!,"")</f>
        <v/>
      </c>
      <c r="Z34" s="2" t="str">
        <f>+IFERROR(#REF!/#REF!,"")</f>
        <v/>
      </c>
      <c r="AA34" s="2" t="str">
        <f>+IFERROR(#REF!/#REF!,"")</f>
        <v/>
      </c>
      <c r="AB34" s="2">
        <f>+IFERROR(N34/H34,"")</f>
        <v>0.17205538784070493</v>
      </c>
      <c r="AD34" s="143">
        <f t="shared" si="0"/>
        <v>7.9958867664565836E-2</v>
      </c>
      <c r="AE34" s="143">
        <f t="shared" si="1"/>
        <v>-0.10179542355427637</v>
      </c>
      <c r="AF34" s="143">
        <f t="shared" si="2"/>
        <v>-1.6469138951635987E-2</v>
      </c>
      <c r="AG34" s="143" t="str">
        <f t="shared" si="3"/>
        <v/>
      </c>
      <c r="AH34" s="143" t="str">
        <f t="shared" si="4"/>
        <v/>
      </c>
      <c r="AI34" s="143" t="str">
        <f t="shared" si="5"/>
        <v/>
      </c>
      <c r="AJ34" s="143" t="str">
        <f t="shared" si="6"/>
        <v/>
      </c>
      <c r="AK34" s="143" t="str">
        <f t="shared" si="7"/>
        <v/>
      </c>
      <c r="AL34" s="143" t="str">
        <f t="shared" si="8"/>
        <v/>
      </c>
      <c r="AM34" s="143" t="str">
        <f t="shared" si="9"/>
        <v/>
      </c>
      <c r="AN34" s="143" t="str">
        <f t="shared" si="10"/>
        <v/>
      </c>
      <c r="AP34" s="9">
        <f t="shared" si="11"/>
        <v>1.1931898861645656E-2</v>
      </c>
      <c r="AQ34" s="9">
        <f t="shared" si="12"/>
        <v>0.84568840348422236</v>
      </c>
    </row>
    <row r="35" spans="2:43" x14ac:dyDescent="0.35">
      <c r="B35" s="3" t="s">
        <v>120</v>
      </c>
      <c r="D35" s="141">
        <v>12624659</v>
      </c>
      <c r="E35" s="141">
        <v>11817624</v>
      </c>
      <c r="F35" s="141">
        <v>14224351</v>
      </c>
      <c r="G35" s="141">
        <v>9203103</v>
      </c>
      <c r="H35" s="141">
        <f>+SUM(D35:G35)</f>
        <v>47869737</v>
      </c>
      <c r="J35" s="141">
        <v>1216141</v>
      </c>
      <c r="K35" s="141">
        <v>1077901</v>
      </c>
      <c r="L35" s="141">
        <v>1391918</v>
      </c>
      <c r="M35" s="141">
        <v>897947</v>
      </c>
      <c r="N35" s="141">
        <f>+SUM(J35:M35)</f>
        <v>4583907</v>
      </c>
      <c r="P35" s="2">
        <f>+IFERROR(J35/D35,"")</f>
        <v>9.6330601880019101E-2</v>
      </c>
      <c r="Q35" s="2">
        <f>+IFERROR(K35/E35,"")</f>
        <v>9.1211312866274985E-2</v>
      </c>
      <c r="R35" s="2">
        <f>+IFERROR(L35/F35,"")</f>
        <v>9.7854587530917927E-2</v>
      </c>
      <c r="S35" s="2">
        <f>+IFERROR(M35/G35,"")</f>
        <v>9.7570026109671928E-2</v>
      </c>
      <c r="T35" s="2" t="str">
        <f>+IFERROR(#REF!/#REF!,"")</f>
        <v/>
      </c>
      <c r="U35" s="2" t="str">
        <f>+IFERROR(#REF!/#REF!,"")</f>
        <v/>
      </c>
      <c r="V35" s="2" t="str">
        <f>+IFERROR(#REF!/#REF!,"")</f>
        <v/>
      </c>
      <c r="W35" s="2" t="str">
        <f>+IFERROR(#REF!/#REF!,"")</f>
        <v/>
      </c>
      <c r="X35" s="2" t="str">
        <f>+IFERROR(#REF!/#REF!,"")</f>
        <v/>
      </c>
      <c r="Y35" s="2" t="str">
        <f>+IFERROR(#REF!/#REF!,"")</f>
        <v/>
      </c>
      <c r="Z35" s="2" t="str">
        <f>+IFERROR(#REF!/#REF!,"")</f>
        <v/>
      </c>
      <c r="AA35" s="2" t="str">
        <f>+IFERROR(#REF!/#REF!,"")</f>
        <v/>
      </c>
      <c r="AB35" s="2">
        <f>+IFERROR(N35/H35,"")</f>
        <v>9.5757931571673352E-2</v>
      </c>
      <c r="AD35" s="143">
        <f t="shared" si="0"/>
        <v>-5.119289013744116E-3</v>
      </c>
      <c r="AE35" s="143">
        <f t="shared" si="1"/>
        <v>6.6432746646429425E-3</v>
      </c>
      <c r="AF35" s="143">
        <f t="shared" si="2"/>
        <v>-2.8456142124599904E-4</v>
      </c>
      <c r="AG35" s="143" t="str">
        <f t="shared" si="3"/>
        <v/>
      </c>
      <c r="AH35" s="143" t="str">
        <f t="shared" si="4"/>
        <v/>
      </c>
      <c r="AI35" s="143" t="str">
        <f t="shared" si="5"/>
        <v/>
      </c>
      <c r="AJ35" s="143" t="str">
        <f t="shared" si="6"/>
        <v/>
      </c>
      <c r="AK35" s="143" t="str">
        <f t="shared" si="7"/>
        <v/>
      </c>
      <c r="AL35" s="143" t="str">
        <f t="shared" si="8"/>
        <v/>
      </c>
      <c r="AM35" s="143" t="str">
        <f t="shared" si="9"/>
        <v/>
      </c>
      <c r="AN35" s="143" t="str">
        <f t="shared" si="10"/>
        <v/>
      </c>
      <c r="AP35" s="9">
        <f t="shared" si="11"/>
        <v>2.8064084611277977E-3</v>
      </c>
      <c r="AQ35" s="9">
        <f t="shared" si="12"/>
        <v>0.84849481194535015</v>
      </c>
    </row>
    <row r="36" spans="2:43" x14ac:dyDescent="0.35">
      <c r="B36" s="3" t="s">
        <v>132</v>
      </c>
      <c r="D36" s="141">
        <v>7510377</v>
      </c>
      <c r="E36" s="141">
        <v>6963525</v>
      </c>
      <c r="F36" s="141">
        <v>7237474</v>
      </c>
      <c r="G36" s="141">
        <v>5400045</v>
      </c>
      <c r="H36" s="141">
        <f>+SUM(D36:G36)</f>
        <v>27111421</v>
      </c>
      <c r="J36" s="141">
        <v>949309</v>
      </c>
      <c r="K36" s="141">
        <v>912910</v>
      </c>
      <c r="L36" s="141">
        <v>980718</v>
      </c>
      <c r="M36" s="141">
        <v>643773</v>
      </c>
      <c r="N36" s="141">
        <f>+SUM(J36:M36)</f>
        <v>3486710</v>
      </c>
      <c r="P36" s="2">
        <f>+IFERROR(J36/D36,"")</f>
        <v>0.12639964678204568</v>
      </c>
      <c r="Q36" s="2">
        <f>+IFERROR(K36/E36,"")</f>
        <v>0.13109883284686993</v>
      </c>
      <c r="R36" s="2">
        <f>+IFERROR(L36/F36,"")</f>
        <v>0.13550556451049081</v>
      </c>
      <c r="S36" s="2">
        <f>+IFERROR(M36/G36,"")</f>
        <v>0.11921622875364928</v>
      </c>
      <c r="T36" s="2" t="str">
        <f>+IFERROR(#REF!/#REF!,"")</f>
        <v/>
      </c>
      <c r="U36" s="2" t="str">
        <f>+IFERROR(#REF!/#REF!,"")</f>
        <v/>
      </c>
      <c r="V36" s="2" t="str">
        <f>+IFERROR(#REF!/#REF!,"")</f>
        <v/>
      </c>
      <c r="W36" s="2" t="str">
        <f>+IFERROR(#REF!/#REF!,"")</f>
        <v/>
      </c>
      <c r="X36" s="2" t="str">
        <f>+IFERROR(#REF!/#REF!,"")</f>
        <v/>
      </c>
      <c r="Y36" s="2" t="str">
        <f>+IFERROR(#REF!/#REF!,"")</f>
        <v/>
      </c>
      <c r="Z36" s="2" t="str">
        <f>+IFERROR(#REF!/#REF!,"")</f>
        <v/>
      </c>
      <c r="AA36" s="2" t="str">
        <f>+IFERROR(#REF!/#REF!,"")</f>
        <v/>
      </c>
      <c r="AB36" s="2">
        <f>+IFERROR(N36/H36,"")</f>
        <v>0.12860668572112099</v>
      </c>
      <c r="AD36" s="143">
        <f t="shared" si="0"/>
        <v>4.6991860648242512E-3</v>
      </c>
      <c r="AE36" s="143">
        <f t="shared" si="1"/>
        <v>4.4067316636208775E-3</v>
      </c>
      <c r="AF36" s="143">
        <f t="shared" si="2"/>
        <v>-1.6289335756841536E-2</v>
      </c>
      <c r="AG36" s="143" t="str">
        <f t="shared" si="3"/>
        <v/>
      </c>
      <c r="AH36" s="143" t="str">
        <f t="shared" si="4"/>
        <v/>
      </c>
      <c r="AI36" s="143" t="str">
        <f t="shared" si="5"/>
        <v/>
      </c>
      <c r="AJ36" s="143" t="str">
        <f t="shared" si="6"/>
        <v/>
      </c>
      <c r="AK36" s="143" t="str">
        <f t="shared" si="7"/>
        <v/>
      </c>
      <c r="AL36" s="143" t="str">
        <f t="shared" si="8"/>
        <v/>
      </c>
      <c r="AM36" s="143" t="str">
        <f t="shared" si="9"/>
        <v/>
      </c>
      <c r="AN36" s="143" t="str">
        <f t="shared" si="10"/>
        <v/>
      </c>
      <c r="AP36" s="9">
        <f t="shared" si="11"/>
        <v>2.1346708049484651E-3</v>
      </c>
      <c r="AQ36" s="9">
        <f t="shared" si="12"/>
        <v>0.85062948275029859</v>
      </c>
    </row>
    <row r="37" spans="2:43" x14ac:dyDescent="0.35">
      <c r="B37" s="3" t="s">
        <v>121</v>
      </c>
      <c r="D37" s="141">
        <v>15997835</v>
      </c>
      <c r="E37" s="141">
        <v>14358346</v>
      </c>
      <c r="F37" s="141">
        <v>14877710</v>
      </c>
      <c r="G37" s="141">
        <v>10832546</v>
      </c>
      <c r="H37" s="141">
        <f>+SUM(D37:G37)</f>
        <v>56066437</v>
      </c>
      <c r="J37" s="141">
        <v>1675354</v>
      </c>
      <c r="K37" s="141">
        <v>1474112</v>
      </c>
      <c r="L37" s="141">
        <v>1531619</v>
      </c>
      <c r="M37" s="141">
        <v>981091</v>
      </c>
      <c r="N37" s="141">
        <f>+SUM(J37:M37)</f>
        <v>5662176</v>
      </c>
      <c r="P37" s="2">
        <f>+IFERROR(J37/D37,"")</f>
        <v>0.10472379543857029</v>
      </c>
      <c r="Q37" s="2">
        <f>+IFERROR(K37/E37,"")</f>
        <v>0.10266586416011983</v>
      </c>
      <c r="R37" s="2">
        <f>+IFERROR(L37/F37,"")</f>
        <v>0.10294722776556338</v>
      </c>
      <c r="S37" s="2">
        <f>+IFERROR(M37/G37,"")</f>
        <v>9.0568828417622232E-2</v>
      </c>
      <c r="T37" s="2" t="str">
        <f>+IFERROR(#REF!/#REF!,"")</f>
        <v/>
      </c>
      <c r="U37" s="2" t="str">
        <f>+IFERROR(#REF!/#REF!,"")</f>
        <v/>
      </c>
      <c r="V37" s="2" t="str">
        <f>+IFERROR(#REF!/#REF!,"")</f>
        <v/>
      </c>
      <c r="W37" s="2" t="str">
        <f>+IFERROR(#REF!/#REF!,"")</f>
        <v/>
      </c>
      <c r="X37" s="2" t="str">
        <f>+IFERROR(#REF!/#REF!,"")</f>
        <v/>
      </c>
      <c r="Y37" s="2" t="str">
        <f>+IFERROR(#REF!/#REF!,"")</f>
        <v/>
      </c>
      <c r="Z37" s="2" t="str">
        <f>+IFERROR(#REF!/#REF!,"")</f>
        <v/>
      </c>
      <c r="AA37" s="2" t="str">
        <f>+IFERROR(#REF!/#REF!,"")</f>
        <v/>
      </c>
      <c r="AB37" s="2">
        <f>+IFERROR(N37/H37,"")</f>
        <v>0.10099047314171221</v>
      </c>
      <c r="AD37" s="143">
        <f t="shared" si="0"/>
        <v>-2.0579312784504561E-3</v>
      </c>
      <c r="AE37" s="143">
        <f t="shared" si="1"/>
        <v>2.8136360544354921E-4</v>
      </c>
      <c r="AF37" s="143">
        <f t="shared" si="2"/>
        <v>-1.2378399347941146E-2</v>
      </c>
      <c r="AG37" s="143" t="str">
        <f t="shared" si="3"/>
        <v/>
      </c>
      <c r="AH37" s="143" t="str">
        <f t="shared" si="4"/>
        <v/>
      </c>
      <c r="AI37" s="143" t="str">
        <f t="shared" si="5"/>
        <v/>
      </c>
      <c r="AJ37" s="143" t="str">
        <f t="shared" si="6"/>
        <v/>
      </c>
      <c r="AK37" s="143" t="str">
        <f t="shared" si="7"/>
        <v/>
      </c>
      <c r="AL37" s="143" t="str">
        <f t="shared" si="8"/>
        <v/>
      </c>
      <c r="AM37" s="143" t="str">
        <f t="shared" si="9"/>
        <v/>
      </c>
      <c r="AN37" s="143" t="str">
        <f t="shared" si="10"/>
        <v/>
      </c>
      <c r="AP37" s="9">
        <f t="shared" si="11"/>
        <v>3.4665578151552262E-3</v>
      </c>
      <c r="AQ37" s="9">
        <f t="shared" si="12"/>
        <v>0.85409604056545385</v>
      </c>
    </row>
    <row r="38" spans="2:43" x14ac:dyDescent="0.35">
      <c r="B38" s="3" t="s">
        <v>142</v>
      </c>
      <c r="D38" s="141">
        <v>16475048</v>
      </c>
      <c r="E38" s="141">
        <v>17999997</v>
      </c>
      <c r="F38" s="141">
        <v>18316524</v>
      </c>
      <c r="G38" s="141">
        <v>9392941</v>
      </c>
      <c r="H38" s="141">
        <f>+SUM(D38:G38)</f>
        <v>62184510</v>
      </c>
      <c r="J38" s="141">
        <v>1881566</v>
      </c>
      <c r="K38" s="141">
        <v>2319936</v>
      </c>
      <c r="L38" s="141">
        <v>2222776</v>
      </c>
      <c r="M38" s="141">
        <v>1080807</v>
      </c>
      <c r="N38" s="141">
        <f>+SUM(J38:M38)</f>
        <v>7505085</v>
      </c>
      <c r="P38" s="2">
        <f>+IFERROR(J38/D38,"")</f>
        <v>0.1142070117185698</v>
      </c>
      <c r="Q38" s="2">
        <f>+IFERROR(K38/E38,"")</f>
        <v>0.12888535481422581</v>
      </c>
      <c r="R38" s="2">
        <f>+IFERROR(L38/F38,"")</f>
        <v>0.12135359307257207</v>
      </c>
      <c r="S38" s="2">
        <f>+IFERROR(M38/G38,"")</f>
        <v>0.11506587766281083</v>
      </c>
      <c r="T38" s="2" t="str">
        <f>+IFERROR(#REF!/#REF!,"")</f>
        <v/>
      </c>
      <c r="U38" s="2" t="str">
        <f>+IFERROR(#REF!/#REF!,"")</f>
        <v/>
      </c>
      <c r="V38" s="2" t="str">
        <f>+IFERROR(#REF!/#REF!,"")</f>
        <v/>
      </c>
      <c r="W38" s="2" t="str">
        <f>+IFERROR(#REF!/#REF!,"")</f>
        <v/>
      </c>
      <c r="X38" s="2" t="str">
        <f>+IFERROR(#REF!/#REF!,"")</f>
        <v/>
      </c>
      <c r="Y38" s="2" t="str">
        <f>+IFERROR(#REF!/#REF!,"")</f>
        <v/>
      </c>
      <c r="Z38" s="2" t="str">
        <f>+IFERROR(#REF!/#REF!,"")</f>
        <v/>
      </c>
      <c r="AA38" s="2" t="str">
        <f>+IFERROR(#REF!/#REF!,"")</f>
        <v/>
      </c>
      <c r="AB38" s="2">
        <f>+IFERROR(N38/H38,"")</f>
        <v>0.12069058677152879</v>
      </c>
      <c r="AD38" s="143">
        <f t="shared" si="0"/>
        <v>1.4678343095656007E-2</v>
      </c>
      <c r="AE38" s="143">
        <f t="shared" si="1"/>
        <v>-7.5317617416537364E-3</v>
      </c>
      <c r="AF38" s="143">
        <f t="shared" si="2"/>
        <v>-6.2877154097612381E-3</v>
      </c>
      <c r="AG38" s="143" t="str">
        <f t="shared" si="3"/>
        <v/>
      </c>
      <c r="AH38" s="143" t="str">
        <f t="shared" si="4"/>
        <v/>
      </c>
      <c r="AI38" s="143" t="str">
        <f t="shared" si="5"/>
        <v/>
      </c>
      <c r="AJ38" s="143" t="str">
        <f t="shared" si="6"/>
        <v/>
      </c>
      <c r="AK38" s="143" t="str">
        <f t="shared" si="7"/>
        <v/>
      </c>
      <c r="AL38" s="143" t="str">
        <f t="shared" si="8"/>
        <v/>
      </c>
      <c r="AM38" s="143" t="str">
        <f t="shared" si="9"/>
        <v/>
      </c>
      <c r="AN38" s="143" t="str">
        <f t="shared" si="10"/>
        <v/>
      </c>
      <c r="AP38" s="9">
        <f t="shared" si="11"/>
        <v>4.5948432299091832E-3</v>
      </c>
      <c r="AQ38" s="9">
        <f t="shared" si="12"/>
        <v>0.85869088379536307</v>
      </c>
    </row>
    <row r="39" spans="2:43" x14ac:dyDescent="0.35">
      <c r="B39" s="3" t="s">
        <v>165</v>
      </c>
      <c r="D39" s="141">
        <v>5278984</v>
      </c>
      <c r="E39" s="141">
        <v>5158166</v>
      </c>
      <c r="F39" s="141">
        <v>3646414</v>
      </c>
      <c r="G39" s="141">
        <v>4555094</v>
      </c>
      <c r="H39" s="141">
        <f>+SUM(D39:G39)</f>
        <v>18638658</v>
      </c>
      <c r="J39" s="141">
        <v>459124</v>
      </c>
      <c r="K39" s="141">
        <v>514427</v>
      </c>
      <c r="L39" s="141">
        <v>292236</v>
      </c>
      <c r="M39" s="141">
        <v>372542</v>
      </c>
      <c r="N39" s="141">
        <f>+SUM(J39:M39)</f>
        <v>1638329</v>
      </c>
      <c r="P39" s="2">
        <f>+IFERROR(J39/D39,"")</f>
        <v>8.697203855893483E-2</v>
      </c>
      <c r="Q39" s="2">
        <f>+IFERROR(K39/E39,"")</f>
        <v>9.9730601923241707E-2</v>
      </c>
      <c r="R39" s="2">
        <f>+IFERROR(L39/F39,"")</f>
        <v>8.0143395675861276E-2</v>
      </c>
      <c r="S39" s="2">
        <f>+IFERROR(M39/G39,"")</f>
        <v>8.1785798492852183E-2</v>
      </c>
      <c r="T39" s="2" t="str">
        <f>+IFERROR(#REF!/#REF!,"")</f>
        <v/>
      </c>
      <c r="U39" s="2" t="str">
        <f>+IFERROR(#REF!/#REF!,"")</f>
        <v/>
      </c>
      <c r="V39" s="2" t="str">
        <f>+IFERROR(#REF!/#REF!,"")</f>
        <v/>
      </c>
      <c r="W39" s="2" t="str">
        <f>+IFERROR(#REF!/#REF!,"")</f>
        <v/>
      </c>
      <c r="X39" s="2" t="str">
        <f>+IFERROR(#REF!/#REF!,"")</f>
        <v/>
      </c>
      <c r="Y39" s="2" t="str">
        <f>+IFERROR(#REF!/#REF!,"")</f>
        <v/>
      </c>
      <c r="Z39" s="2" t="str">
        <f>+IFERROR(#REF!/#REF!,"")</f>
        <v/>
      </c>
      <c r="AA39" s="2" t="str">
        <f>+IFERROR(#REF!/#REF!,"")</f>
        <v/>
      </c>
      <c r="AB39" s="2">
        <f>+IFERROR(N39/H39,"")</f>
        <v>8.7899515083113819E-2</v>
      </c>
      <c r="AD39" s="143">
        <f t="shared" si="0"/>
        <v>1.2758563364306877E-2</v>
      </c>
      <c r="AE39" s="143">
        <f t="shared" si="1"/>
        <v>-1.9587206247380431E-2</v>
      </c>
      <c r="AF39" s="143">
        <f t="shared" si="2"/>
        <v>1.6424028169909066E-3</v>
      </c>
      <c r="AG39" s="143" t="str">
        <f t="shared" si="3"/>
        <v/>
      </c>
      <c r="AH39" s="143" t="str">
        <f t="shared" si="4"/>
        <v/>
      </c>
      <c r="AI39" s="143" t="str">
        <f t="shared" si="5"/>
        <v/>
      </c>
      <c r="AJ39" s="143" t="str">
        <f t="shared" si="6"/>
        <v/>
      </c>
      <c r="AK39" s="143" t="str">
        <f t="shared" si="7"/>
        <v/>
      </c>
      <c r="AL39" s="143" t="str">
        <f t="shared" si="8"/>
        <v/>
      </c>
      <c r="AM39" s="143" t="str">
        <f t="shared" si="9"/>
        <v/>
      </c>
      <c r="AN39" s="143" t="str">
        <f t="shared" si="10"/>
        <v/>
      </c>
      <c r="AP39" s="9">
        <f t="shared" si="11"/>
        <v>1.0030352639595532E-3</v>
      </c>
      <c r="AQ39" s="9">
        <f t="shared" si="12"/>
        <v>0.85969391905932258</v>
      </c>
    </row>
    <row r="40" spans="2:43" x14ac:dyDescent="0.35">
      <c r="B40" s="3" t="s">
        <v>119</v>
      </c>
      <c r="D40" s="141">
        <v>5578643</v>
      </c>
      <c r="E40" s="141">
        <v>5093001</v>
      </c>
      <c r="F40" s="141">
        <v>4800729</v>
      </c>
      <c r="G40" s="141">
        <v>4293543</v>
      </c>
      <c r="H40" s="141">
        <f>+SUM(D40:G40)</f>
        <v>19765916</v>
      </c>
      <c r="J40" s="141">
        <v>466159</v>
      </c>
      <c r="K40" s="141">
        <v>417583</v>
      </c>
      <c r="L40" s="141">
        <v>435613</v>
      </c>
      <c r="M40" s="141">
        <v>337058</v>
      </c>
      <c r="N40" s="141">
        <f>+SUM(J40:M40)</f>
        <v>1656413</v>
      </c>
      <c r="P40" s="2">
        <f>+IFERROR(J40/D40,"")</f>
        <v>8.3561360710839541E-2</v>
      </c>
      <c r="Q40" s="2">
        <f>+IFERROR(K40/E40,"")</f>
        <v>8.1991540940204014E-2</v>
      </c>
      <c r="R40" s="2">
        <f>+IFERROR(L40/F40,"")</f>
        <v>9.0738927358740729E-2</v>
      </c>
      <c r="S40" s="2">
        <f>+IFERROR(M40/G40,"")</f>
        <v>7.8503464388268621E-2</v>
      </c>
      <c r="T40" s="2" t="str">
        <f>+IFERROR(#REF!/#REF!,"")</f>
        <v/>
      </c>
      <c r="U40" s="2" t="str">
        <f>+IFERROR(#REF!/#REF!,"")</f>
        <v/>
      </c>
      <c r="V40" s="2" t="str">
        <f>+IFERROR(#REF!/#REF!,"")</f>
        <v/>
      </c>
      <c r="W40" s="2" t="str">
        <f>+IFERROR(#REF!/#REF!,"")</f>
        <v/>
      </c>
      <c r="X40" s="2" t="str">
        <f>+IFERROR(#REF!/#REF!,"")</f>
        <v/>
      </c>
      <c r="Y40" s="2" t="str">
        <f>+IFERROR(#REF!/#REF!,"")</f>
        <v/>
      </c>
      <c r="Z40" s="2" t="str">
        <f>+IFERROR(#REF!/#REF!,"")</f>
        <v/>
      </c>
      <c r="AA40" s="2" t="str">
        <f>+IFERROR(#REF!/#REF!,"")</f>
        <v/>
      </c>
      <c r="AB40" s="2">
        <f>+IFERROR(N40/H40,"")</f>
        <v>8.3801479273715423E-2</v>
      </c>
      <c r="AD40" s="143">
        <f t="shared" si="0"/>
        <v>-1.5698197706355277E-3</v>
      </c>
      <c r="AE40" s="143">
        <f t="shared" si="1"/>
        <v>8.7473864185367151E-3</v>
      </c>
      <c r="AF40" s="143">
        <f t="shared" si="2"/>
        <v>-1.2235462970472108E-2</v>
      </c>
      <c r="AG40" s="143" t="str">
        <f t="shared" si="3"/>
        <v/>
      </c>
      <c r="AH40" s="143" t="str">
        <f t="shared" si="4"/>
        <v/>
      </c>
      <c r="AI40" s="143" t="str">
        <f t="shared" si="5"/>
        <v/>
      </c>
      <c r="AJ40" s="143" t="str">
        <f t="shared" si="6"/>
        <v/>
      </c>
      <c r="AK40" s="143" t="str">
        <f t="shared" si="7"/>
        <v/>
      </c>
      <c r="AL40" s="143" t="str">
        <f t="shared" si="8"/>
        <v/>
      </c>
      <c r="AM40" s="143" t="str">
        <f t="shared" si="9"/>
        <v/>
      </c>
      <c r="AN40" s="143" t="str">
        <f t="shared" si="10"/>
        <v/>
      </c>
      <c r="AP40" s="9">
        <f t="shared" si="11"/>
        <v>1.0141068434246327E-3</v>
      </c>
      <c r="AQ40" s="9">
        <f t="shared" si="12"/>
        <v>0.8607080259027472</v>
      </c>
    </row>
    <row r="41" spans="2:43" x14ac:dyDescent="0.35">
      <c r="B41" s="3" t="s">
        <v>141</v>
      </c>
      <c r="D41" s="141">
        <v>10207779</v>
      </c>
      <c r="E41" s="141">
        <v>9325983</v>
      </c>
      <c r="F41" s="141">
        <v>6505785</v>
      </c>
      <c r="G41" s="141">
        <v>7299438</v>
      </c>
      <c r="H41" s="141">
        <f>+SUM(D41:G41)</f>
        <v>33338985</v>
      </c>
      <c r="J41" s="141">
        <v>1045267</v>
      </c>
      <c r="K41" s="141">
        <v>986529</v>
      </c>
      <c r="L41" s="141">
        <v>759310</v>
      </c>
      <c r="M41" s="141">
        <v>766698</v>
      </c>
      <c r="N41" s="141">
        <f>+SUM(J41:M41)</f>
        <v>3557804</v>
      </c>
      <c r="P41" s="2">
        <f>+IFERROR(J41/D41,"")</f>
        <v>0.10239906251888878</v>
      </c>
      <c r="Q41" s="2">
        <f>+IFERROR(K41/E41,"")</f>
        <v>0.10578284348148607</v>
      </c>
      <c r="R41" s="2">
        <f>+IFERROR(L41/F41,"")</f>
        <v>0.1167130484637903</v>
      </c>
      <c r="S41" s="2">
        <f>+IFERROR(M41/G41,"")</f>
        <v>0.10503520955996887</v>
      </c>
      <c r="T41" s="2" t="str">
        <f>+IFERROR(#REF!/#REF!,"")</f>
        <v/>
      </c>
      <c r="U41" s="2" t="str">
        <f>+IFERROR(#REF!/#REF!,"")</f>
        <v/>
      </c>
      <c r="V41" s="2" t="str">
        <f>+IFERROR(#REF!/#REF!,"")</f>
        <v/>
      </c>
      <c r="W41" s="2" t="str">
        <f>+IFERROR(#REF!/#REF!,"")</f>
        <v/>
      </c>
      <c r="X41" s="2" t="str">
        <f>+IFERROR(#REF!/#REF!,"")</f>
        <v/>
      </c>
      <c r="Y41" s="2" t="str">
        <f>+IFERROR(#REF!/#REF!,"")</f>
        <v/>
      </c>
      <c r="Z41" s="2" t="str">
        <f>+IFERROR(#REF!/#REF!,"")</f>
        <v/>
      </c>
      <c r="AA41" s="2" t="str">
        <f>+IFERROR(#REF!/#REF!,"")</f>
        <v/>
      </c>
      <c r="AB41" s="2">
        <f>+IFERROR(N41/H41,"")</f>
        <v>0.10671602629774121</v>
      </c>
      <c r="AD41" s="143">
        <f t="shared" si="0"/>
        <v>3.3837809625972964E-3</v>
      </c>
      <c r="AE41" s="143">
        <f t="shared" si="1"/>
        <v>1.0930204982304223E-2</v>
      </c>
      <c r="AF41" s="143">
        <f t="shared" si="2"/>
        <v>-1.167783890382143E-2</v>
      </c>
      <c r="AG41" s="143" t="str">
        <f t="shared" si="3"/>
        <v/>
      </c>
      <c r="AH41" s="143" t="str">
        <f t="shared" si="4"/>
        <v/>
      </c>
      <c r="AI41" s="143" t="str">
        <f t="shared" si="5"/>
        <v/>
      </c>
      <c r="AJ41" s="143" t="str">
        <f t="shared" si="6"/>
        <v/>
      </c>
      <c r="AK41" s="143" t="str">
        <f t="shared" si="7"/>
        <v/>
      </c>
      <c r="AL41" s="143" t="str">
        <f t="shared" si="8"/>
        <v/>
      </c>
      <c r="AM41" s="143" t="str">
        <f t="shared" si="9"/>
        <v/>
      </c>
      <c r="AN41" s="143" t="str">
        <f t="shared" si="10"/>
        <v/>
      </c>
      <c r="AP41" s="9">
        <f t="shared" si="11"/>
        <v>2.1781967323146658E-3</v>
      </c>
      <c r="AQ41" s="9">
        <f t="shared" si="12"/>
        <v>0.86288622263506187</v>
      </c>
    </row>
    <row r="42" spans="2:43" x14ac:dyDescent="0.35">
      <c r="B42" s="3" t="s">
        <v>178</v>
      </c>
      <c r="D42" s="141">
        <v>59119437</v>
      </c>
      <c r="E42" s="141">
        <v>56338941</v>
      </c>
      <c r="F42" s="141">
        <v>45827351</v>
      </c>
      <c r="G42" s="141">
        <v>49502762</v>
      </c>
      <c r="H42" s="141">
        <f>+SUM(D42:G42)</f>
        <v>210788491</v>
      </c>
      <c r="J42" s="141">
        <v>10444285</v>
      </c>
      <c r="K42" s="141">
        <v>11407377</v>
      </c>
      <c r="L42" s="141">
        <v>8394814</v>
      </c>
      <c r="M42" s="141">
        <v>8107898</v>
      </c>
      <c r="N42" s="141">
        <f>+SUM(J42:M42)</f>
        <v>38354374</v>
      </c>
      <c r="P42" s="2">
        <f>+IFERROR(J42/D42,"")</f>
        <v>0.17666414854390444</v>
      </c>
      <c r="Q42" s="2">
        <f>+IFERROR(K42/E42,"")</f>
        <v>0.20247766105507733</v>
      </c>
      <c r="R42" s="2">
        <f>+IFERROR(L42/F42,"")</f>
        <v>0.18318348795678807</v>
      </c>
      <c r="S42" s="2">
        <f>+IFERROR(M42/G42,"")</f>
        <v>0.16378678022046528</v>
      </c>
      <c r="T42" s="2" t="str">
        <f>+IFERROR(#REF!/#REF!,"")</f>
        <v/>
      </c>
      <c r="U42" s="2" t="str">
        <f>+IFERROR(#REF!/#REF!,"")</f>
        <v/>
      </c>
      <c r="V42" s="2" t="str">
        <f>+IFERROR(#REF!/#REF!,"")</f>
        <v/>
      </c>
      <c r="W42" s="2" t="str">
        <f>+IFERROR(#REF!/#REF!,"")</f>
        <v/>
      </c>
      <c r="X42" s="2" t="str">
        <f>+IFERROR(#REF!/#REF!,"")</f>
        <v/>
      </c>
      <c r="Y42" s="2" t="str">
        <f>+IFERROR(#REF!/#REF!,"")</f>
        <v/>
      </c>
      <c r="Z42" s="2" t="str">
        <f>+IFERROR(#REF!/#REF!,"")</f>
        <v/>
      </c>
      <c r="AA42" s="2" t="str">
        <f>+IFERROR(#REF!/#REF!,"")</f>
        <v/>
      </c>
      <c r="AB42" s="2">
        <f>+IFERROR(N42/H42,"")</f>
        <v>0.18195667997832007</v>
      </c>
      <c r="AD42" s="143">
        <f t="shared" si="0"/>
        <v>2.5813512511172892E-2</v>
      </c>
      <c r="AE42" s="143">
        <f t="shared" si="1"/>
        <v>-1.9294173098289263E-2</v>
      </c>
      <c r="AF42" s="143">
        <f t="shared" si="2"/>
        <v>-1.9396707736322794E-2</v>
      </c>
      <c r="AG42" s="143" t="str">
        <f t="shared" si="3"/>
        <v/>
      </c>
      <c r="AH42" s="143" t="str">
        <f t="shared" si="4"/>
        <v/>
      </c>
      <c r="AI42" s="143" t="str">
        <f t="shared" si="5"/>
        <v/>
      </c>
      <c r="AJ42" s="143" t="str">
        <f t="shared" si="6"/>
        <v/>
      </c>
      <c r="AK42" s="143" t="str">
        <f t="shared" si="7"/>
        <v/>
      </c>
      <c r="AL42" s="143" t="str">
        <f t="shared" si="8"/>
        <v/>
      </c>
      <c r="AM42" s="143" t="str">
        <f t="shared" si="9"/>
        <v/>
      </c>
      <c r="AN42" s="143" t="str">
        <f t="shared" si="10"/>
        <v/>
      </c>
      <c r="AP42" s="9">
        <f t="shared" si="11"/>
        <v>2.3481724152531892E-2</v>
      </c>
      <c r="AQ42" s="9">
        <f t="shared" si="12"/>
        <v>0.88636794678759379</v>
      </c>
    </row>
    <row r="43" spans="2:43" x14ac:dyDescent="0.35">
      <c r="B43" s="3" t="s">
        <v>134</v>
      </c>
      <c r="D43" s="141">
        <v>9476729</v>
      </c>
      <c r="E43" s="141">
        <v>8701845</v>
      </c>
      <c r="F43" s="141">
        <v>7895930</v>
      </c>
      <c r="G43" s="141">
        <v>6813434</v>
      </c>
      <c r="H43" s="141">
        <f>+SUM(D43:G43)</f>
        <v>32887938</v>
      </c>
      <c r="J43" s="141">
        <v>976917</v>
      </c>
      <c r="K43" s="141">
        <v>905202</v>
      </c>
      <c r="L43" s="141">
        <v>949640</v>
      </c>
      <c r="M43" s="141">
        <v>691055</v>
      </c>
      <c r="N43" s="141">
        <f>+SUM(J43:M43)</f>
        <v>3522814</v>
      </c>
      <c r="P43" s="2">
        <f>+IFERROR(J43/D43,"")</f>
        <v>0.10308588543578696</v>
      </c>
      <c r="Q43" s="2">
        <f>+IFERROR(K43/E43,"")</f>
        <v>0.10402414660339272</v>
      </c>
      <c r="R43" s="2">
        <f>+IFERROR(L43/F43,"")</f>
        <v>0.12026955659434671</v>
      </c>
      <c r="S43" s="2">
        <f>+IFERROR(M43/G43,"")</f>
        <v>0.10142536054506435</v>
      </c>
      <c r="T43" s="2" t="str">
        <f>+IFERROR(#REF!/#REF!,"")</f>
        <v/>
      </c>
      <c r="U43" s="2" t="str">
        <f>+IFERROR(#REF!/#REF!,"")</f>
        <v/>
      </c>
      <c r="V43" s="2" t="str">
        <f>+IFERROR(#REF!/#REF!,"")</f>
        <v/>
      </c>
      <c r="W43" s="2" t="str">
        <f>+IFERROR(#REF!/#REF!,"")</f>
        <v/>
      </c>
      <c r="X43" s="2" t="str">
        <f>+IFERROR(#REF!/#REF!,"")</f>
        <v/>
      </c>
      <c r="Y43" s="2" t="str">
        <f>+IFERROR(#REF!/#REF!,"")</f>
        <v/>
      </c>
      <c r="Z43" s="2" t="str">
        <f>+IFERROR(#REF!/#REF!,"")</f>
        <v/>
      </c>
      <c r="AA43" s="2" t="str">
        <f>+IFERROR(#REF!/#REF!,"")</f>
        <v/>
      </c>
      <c r="AB43" s="2">
        <f>+IFERROR(N43/H43,"")</f>
        <v>0.10711568478388642</v>
      </c>
      <c r="AD43" s="143">
        <f t="shared" si="0"/>
        <v>9.3826116760575839E-4</v>
      </c>
      <c r="AE43" s="143">
        <f t="shared" si="1"/>
        <v>1.6245409990953988E-2</v>
      </c>
      <c r="AF43" s="143">
        <f t="shared" si="2"/>
        <v>-1.8844196049282363E-2</v>
      </c>
      <c r="AG43" s="143" t="str">
        <f t="shared" si="3"/>
        <v/>
      </c>
      <c r="AH43" s="143" t="str">
        <f t="shared" si="4"/>
        <v/>
      </c>
      <c r="AI43" s="143" t="str">
        <f t="shared" si="5"/>
        <v/>
      </c>
      <c r="AJ43" s="143" t="str">
        <f t="shared" si="6"/>
        <v/>
      </c>
      <c r="AK43" s="143" t="str">
        <f t="shared" si="7"/>
        <v/>
      </c>
      <c r="AL43" s="143" t="str">
        <f t="shared" si="8"/>
        <v/>
      </c>
      <c r="AM43" s="143" t="str">
        <f t="shared" si="9"/>
        <v/>
      </c>
      <c r="AN43" s="143" t="str">
        <f t="shared" si="10"/>
        <v/>
      </c>
      <c r="AP43" s="9">
        <f t="shared" si="11"/>
        <v>2.1567747811156424E-3</v>
      </c>
      <c r="AQ43" s="9">
        <f t="shared" si="12"/>
        <v>0.88852472156870943</v>
      </c>
    </row>
    <row r="44" spans="2:43" x14ac:dyDescent="0.35">
      <c r="B44" s="3" t="s">
        <v>140</v>
      </c>
      <c r="D44" s="141">
        <v>1281976</v>
      </c>
      <c r="E44" s="141">
        <v>1480520</v>
      </c>
      <c r="F44" s="141">
        <v>1497130</v>
      </c>
      <c r="G44" s="141">
        <v>1018129</v>
      </c>
      <c r="H44" s="141">
        <f>+SUM(D44:G44)</f>
        <v>5277755</v>
      </c>
      <c r="J44" s="141">
        <v>184234</v>
      </c>
      <c r="K44" s="141">
        <v>194460</v>
      </c>
      <c r="L44" s="141">
        <v>233784</v>
      </c>
      <c r="M44" s="141">
        <v>137517</v>
      </c>
      <c r="N44" s="141">
        <f>+SUM(J44:M44)</f>
        <v>749995</v>
      </c>
      <c r="P44" s="2">
        <f>+IFERROR(J44/D44,"")</f>
        <v>0.14371095870749531</v>
      </c>
      <c r="Q44" s="2">
        <f>+IFERROR(K44/E44,"")</f>
        <v>0.13134574338745847</v>
      </c>
      <c r="R44" s="2">
        <f>+IFERROR(L44/F44,"")</f>
        <v>0.15615477613834469</v>
      </c>
      <c r="S44" s="2">
        <f>+IFERROR(M44/G44,"")</f>
        <v>0.13506834595616077</v>
      </c>
      <c r="T44" s="2" t="str">
        <f>+IFERROR(#REF!/#REF!,"")</f>
        <v/>
      </c>
      <c r="U44" s="2" t="str">
        <f>+IFERROR(#REF!/#REF!,"")</f>
        <v/>
      </c>
      <c r="V44" s="2" t="str">
        <f>+IFERROR(#REF!/#REF!,"")</f>
        <v/>
      </c>
      <c r="W44" s="2" t="str">
        <f>+IFERROR(#REF!/#REF!,"")</f>
        <v/>
      </c>
      <c r="X44" s="2" t="str">
        <f>+IFERROR(#REF!/#REF!,"")</f>
        <v/>
      </c>
      <c r="Y44" s="2" t="str">
        <f>+IFERROR(#REF!/#REF!,"")</f>
        <v/>
      </c>
      <c r="Z44" s="2" t="str">
        <f>+IFERROR(#REF!/#REF!,"")</f>
        <v/>
      </c>
      <c r="AA44" s="2" t="str">
        <f>+IFERROR(#REF!/#REF!,"")</f>
        <v/>
      </c>
      <c r="AB44" s="2">
        <f>+IFERROR(N44/H44,"")</f>
        <v>0.14210492908443079</v>
      </c>
      <c r="AD44" s="143">
        <f t="shared" si="0"/>
        <v>-1.2365215320036843E-2</v>
      </c>
      <c r="AE44" s="143">
        <f t="shared" si="1"/>
        <v>2.4809032750886223E-2</v>
      </c>
      <c r="AF44" s="143">
        <f t="shared" si="2"/>
        <v>-2.1086430182183924E-2</v>
      </c>
      <c r="AG44" s="143" t="str">
        <f t="shared" si="3"/>
        <v/>
      </c>
      <c r="AH44" s="143" t="str">
        <f t="shared" si="4"/>
        <v/>
      </c>
      <c r="AI44" s="143" t="str">
        <f t="shared" si="5"/>
        <v/>
      </c>
      <c r="AJ44" s="143" t="str">
        <f t="shared" si="6"/>
        <v/>
      </c>
      <c r="AK44" s="143" t="str">
        <f t="shared" si="7"/>
        <v/>
      </c>
      <c r="AL44" s="143" t="str">
        <f t="shared" si="8"/>
        <v/>
      </c>
      <c r="AM44" s="143" t="str">
        <f t="shared" si="9"/>
        <v/>
      </c>
      <c r="AN44" s="143" t="str">
        <f t="shared" si="10"/>
        <v/>
      </c>
      <c r="AP44" s="9">
        <f t="shared" si="11"/>
        <v>4.5916994254105556E-4</v>
      </c>
      <c r="AQ44" s="9">
        <f t="shared" si="12"/>
        <v>0.88898389151125046</v>
      </c>
    </row>
    <row r="45" spans="2:43" x14ac:dyDescent="0.35">
      <c r="B45" s="3" t="s">
        <v>145</v>
      </c>
      <c r="D45" s="141">
        <v>11160201</v>
      </c>
      <c r="E45" s="141">
        <v>11380026</v>
      </c>
      <c r="F45" s="141">
        <v>6689189</v>
      </c>
      <c r="G45" s="141">
        <v>9168790</v>
      </c>
      <c r="H45" s="141">
        <f>+SUM(D45:G45)</f>
        <v>38398206</v>
      </c>
      <c r="J45" s="141">
        <v>995678</v>
      </c>
      <c r="K45" s="141">
        <v>961819</v>
      </c>
      <c r="L45" s="141">
        <v>601465</v>
      </c>
      <c r="M45" s="141">
        <v>798304</v>
      </c>
      <c r="N45" s="141">
        <f>+SUM(J45:M45)</f>
        <v>3357266</v>
      </c>
      <c r="P45" s="2">
        <f>+IFERROR(J45/D45,"")</f>
        <v>8.9216851918706486E-2</v>
      </c>
      <c r="Q45" s="2">
        <f>+IFERROR(K45/E45,"")</f>
        <v>8.4518172454087534E-2</v>
      </c>
      <c r="R45" s="2">
        <f>+IFERROR(L45/F45,"")</f>
        <v>8.991598234105809E-2</v>
      </c>
      <c r="S45" s="2">
        <f>+IFERROR(M45/G45,"")</f>
        <v>8.7067541082302025E-2</v>
      </c>
      <c r="T45" s="2" t="str">
        <f>+IFERROR(#REF!/#REF!,"")</f>
        <v/>
      </c>
      <c r="U45" s="2" t="str">
        <f>+IFERROR(#REF!/#REF!,"")</f>
        <v/>
      </c>
      <c r="V45" s="2" t="str">
        <f>+IFERROR(#REF!/#REF!,"")</f>
        <v/>
      </c>
      <c r="W45" s="2" t="str">
        <f>+IFERROR(#REF!/#REF!,"")</f>
        <v/>
      </c>
      <c r="X45" s="2" t="str">
        <f>+IFERROR(#REF!/#REF!,"")</f>
        <v/>
      </c>
      <c r="Y45" s="2" t="str">
        <f>+IFERROR(#REF!/#REF!,"")</f>
        <v/>
      </c>
      <c r="Z45" s="2" t="str">
        <f>+IFERROR(#REF!/#REF!,"")</f>
        <v/>
      </c>
      <c r="AA45" s="2" t="str">
        <f>+IFERROR(#REF!/#REF!,"")</f>
        <v/>
      </c>
      <c r="AB45" s="2">
        <f>+IFERROR(N45/H45,"")</f>
        <v>8.7432886838515314E-2</v>
      </c>
      <c r="AD45" s="143">
        <f t="shared" si="0"/>
        <v>-4.6986794646189517E-3</v>
      </c>
      <c r="AE45" s="143">
        <f t="shared" si="1"/>
        <v>5.397809886970556E-3</v>
      </c>
      <c r="AF45" s="143">
        <f t="shared" si="2"/>
        <v>-2.8484412587560654E-3</v>
      </c>
      <c r="AG45" s="143" t="str">
        <f t="shared" si="3"/>
        <v/>
      </c>
      <c r="AH45" s="143" t="str">
        <f t="shared" si="4"/>
        <v/>
      </c>
      <c r="AI45" s="143" t="str">
        <f t="shared" si="5"/>
        <v/>
      </c>
      <c r="AJ45" s="143" t="str">
        <f t="shared" si="6"/>
        <v/>
      </c>
      <c r="AK45" s="143" t="str">
        <f t="shared" si="7"/>
        <v/>
      </c>
      <c r="AL45" s="143" t="str">
        <f t="shared" si="8"/>
        <v/>
      </c>
      <c r="AM45" s="143" t="str">
        <f t="shared" si="9"/>
        <v/>
      </c>
      <c r="AN45" s="143" t="str">
        <f t="shared" si="10"/>
        <v/>
      </c>
      <c r="AP45" s="9">
        <f t="shared" si="11"/>
        <v>2.0554212178948384E-3</v>
      </c>
      <c r="AQ45" s="9">
        <f t="shared" si="12"/>
        <v>0.89103931272914527</v>
      </c>
    </row>
    <row r="46" spans="2:43" x14ac:dyDescent="0.35">
      <c r="B46" s="3" t="s">
        <v>139</v>
      </c>
      <c r="D46" s="141">
        <v>2980259</v>
      </c>
      <c r="E46" s="141">
        <v>3028404</v>
      </c>
      <c r="F46" s="141">
        <v>1615758</v>
      </c>
      <c r="G46" s="141">
        <v>2774375</v>
      </c>
      <c r="H46" s="141">
        <f>+SUM(D46:G46)</f>
        <v>10398796</v>
      </c>
      <c r="J46" s="141">
        <v>372815</v>
      </c>
      <c r="K46" s="141">
        <v>382637</v>
      </c>
      <c r="L46" s="141">
        <v>180971</v>
      </c>
      <c r="M46" s="141">
        <v>337332</v>
      </c>
      <c r="N46" s="141">
        <f>+SUM(J46:M46)</f>
        <v>1273755</v>
      </c>
      <c r="P46" s="2">
        <f>+IFERROR(J46/D46,"")</f>
        <v>0.12509483236188532</v>
      </c>
      <c r="Q46" s="2">
        <f>+IFERROR(K46/E46,"")</f>
        <v>0.12634939063612385</v>
      </c>
      <c r="R46" s="2">
        <f>+IFERROR(L46/F46,"")</f>
        <v>0.11200377779345669</v>
      </c>
      <c r="S46" s="2">
        <f>+IFERROR(M46/G46,"")</f>
        <v>0.12158846587069159</v>
      </c>
      <c r="T46" s="2" t="str">
        <f>+IFERROR(#REF!/#REF!,"")</f>
        <v/>
      </c>
      <c r="U46" s="2" t="str">
        <f>+IFERROR(#REF!/#REF!,"")</f>
        <v/>
      </c>
      <c r="V46" s="2" t="str">
        <f>+IFERROR(#REF!/#REF!,"")</f>
        <v/>
      </c>
      <c r="W46" s="2" t="str">
        <f>+IFERROR(#REF!/#REF!,"")</f>
        <v/>
      </c>
      <c r="X46" s="2" t="str">
        <f>+IFERROR(#REF!/#REF!,"")</f>
        <v/>
      </c>
      <c r="Y46" s="2" t="str">
        <f>+IFERROR(#REF!/#REF!,"")</f>
        <v/>
      </c>
      <c r="Z46" s="2" t="str">
        <f>+IFERROR(#REF!/#REF!,"")</f>
        <v/>
      </c>
      <c r="AA46" s="2" t="str">
        <f>+IFERROR(#REF!/#REF!,"")</f>
        <v/>
      </c>
      <c r="AB46" s="2">
        <f>+IFERROR(N46/H46,"")</f>
        <v>0.12249062295288801</v>
      </c>
      <c r="AD46" s="2" t="str">
        <f t="shared" ref="AD46:AD77" si="13">+IFERROR(W46-V46,"")</f>
        <v/>
      </c>
      <c r="AE46" s="2" t="str">
        <f t="shared" ref="AE46:AE77" si="14">+IFERROR(X46-W46,"")</f>
        <v/>
      </c>
      <c r="AF46" s="143">
        <f t="shared" ref="AF46:AF77" si="15">+IFERROR(S46-R46,"")</f>
        <v>9.5846880772349069E-3</v>
      </c>
      <c r="AG46" s="143" t="str">
        <f t="shared" ref="AG46:AG77" si="16">+IFERROR(T46-S46,"")</f>
        <v/>
      </c>
      <c r="AH46" s="143" t="str">
        <f t="shared" ref="AH46:AH77" si="17">+IFERROR(U46-T46,"")</f>
        <v/>
      </c>
      <c r="AI46" s="143" t="str">
        <f t="shared" ref="AI46:AI77" si="18">+IFERROR(V46-U46,"")</f>
        <v/>
      </c>
      <c r="AJ46" s="143" t="str">
        <f t="shared" ref="AJ46:AJ77" si="19">+IFERROR(W46-V46,"")</f>
        <v/>
      </c>
      <c r="AK46" s="143" t="str">
        <f t="shared" ref="AK46:AK77" si="20">+IFERROR(X46-W46,"")</f>
        <v/>
      </c>
      <c r="AL46" s="143" t="str">
        <f t="shared" ref="AL46:AL77" si="21">+IFERROR(Y46-X46,"")</f>
        <v/>
      </c>
      <c r="AM46" s="143" t="str">
        <f t="shared" ref="AM46:AM77" si="22">+IFERROR(Z46-Y46,"")</f>
        <v/>
      </c>
      <c r="AN46" s="143" t="str">
        <f t="shared" ref="AN46:AN77" si="23">+IFERROR(AA46-Z46,"")</f>
        <v/>
      </c>
      <c r="AP46" s="9">
        <f t="shared" si="11"/>
        <v>7.7983187909437025E-4</v>
      </c>
      <c r="AQ46" s="9">
        <f t="shared" si="12"/>
        <v>0.89181914460823963</v>
      </c>
    </row>
    <row r="47" spans="2:43" x14ac:dyDescent="0.35">
      <c r="B47" s="3" t="s">
        <v>144</v>
      </c>
      <c r="D47" s="141">
        <v>2863563</v>
      </c>
      <c r="E47" s="141">
        <v>4501186</v>
      </c>
      <c r="F47" s="141">
        <v>5386577</v>
      </c>
      <c r="G47" s="141">
        <v>9869246</v>
      </c>
      <c r="H47" s="141">
        <f>+SUM(D47:G47)</f>
        <v>22620572</v>
      </c>
      <c r="J47" s="141">
        <v>218068</v>
      </c>
      <c r="K47" s="141">
        <v>354704</v>
      </c>
      <c r="L47" s="141">
        <v>524941</v>
      </c>
      <c r="M47" s="141">
        <v>1087981</v>
      </c>
      <c r="N47" s="141">
        <f>+SUM(J47:M47)</f>
        <v>2185694</v>
      </c>
      <c r="P47" s="2">
        <f>+IFERROR(J47/D47,"")</f>
        <v>7.6152681117894042E-2</v>
      </c>
      <c r="Q47" s="2">
        <f>+IFERROR(K47/E47,"")</f>
        <v>7.8802342316002943E-2</v>
      </c>
      <c r="R47" s="2">
        <f>+IFERROR(L47/F47,"")</f>
        <v>9.7453540532326924E-2</v>
      </c>
      <c r="S47" s="2">
        <f>+IFERROR(M47/G47,"")</f>
        <v>0.11023952589691249</v>
      </c>
      <c r="T47" s="2" t="str">
        <f>+IFERROR(#REF!/#REF!,"")</f>
        <v/>
      </c>
      <c r="U47" s="2" t="str">
        <f>+IFERROR(#REF!/#REF!,"")</f>
        <v/>
      </c>
      <c r="V47" s="2" t="str">
        <f>+IFERROR(#REF!/#REF!,"")</f>
        <v/>
      </c>
      <c r="W47" s="2" t="str">
        <f>+IFERROR(#REF!/#REF!,"")</f>
        <v/>
      </c>
      <c r="X47" s="2" t="str">
        <f>+IFERROR(#REF!/#REF!,"")</f>
        <v/>
      </c>
      <c r="Y47" s="2" t="str">
        <f>+IFERROR(#REF!/#REF!,"")</f>
        <v/>
      </c>
      <c r="Z47" s="2" t="str">
        <f>+IFERROR(#REF!/#REF!,"")</f>
        <v/>
      </c>
      <c r="AA47" s="2" t="str">
        <f>+IFERROR(#REF!/#REF!,"")</f>
        <v/>
      </c>
      <c r="AB47" s="2">
        <f>+IFERROR(N47/H47,"")</f>
        <v>9.662417024644647E-2</v>
      </c>
      <c r="AD47" s="2" t="str">
        <f t="shared" si="13"/>
        <v/>
      </c>
      <c r="AE47" s="2" t="str">
        <f t="shared" si="14"/>
        <v/>
      </c>
      <c r="AF47" s="143">
        <f t="shared" si="15"/>
        <v>1.278598536458557E-2</v>
      </c>
      <c r="AG47" s="143" t="str">
        <f t="shared" si="16"/>
        <v/>
      </c>
      <c r="AH47" s="143" t="str">
        <f t="shared" si="17"/>
        <v/>
      </c>
      <c r="AI47" s="143" t="str">
        <f t="shared" si="18"/>
        <v/>
      </c>
      <c r="AJ47" s="143" t="str">
        <f t="shared" si="19"/>
        <v/>
      </c>
      <c r="AK47" s="143" t="str">
        <f t="shared" si="20"/>
        <v/>
      </c>
      <c r="AL47" s="143" t="str">
        <f t="shared" si="21"/>
        <v/>
      </c>
      <c r="AM47" s="143" t="str">
        <f t="shared" si="22"/>
        <v/>
      </c>
      <c r="AN47" s="143" t="str">
        <f t="shared" si="23"/>
        <v/>
      </c>
      <c r="AP47" s="9">
        <f t="shared" si="11"/>
        <v>1.3381489055158101E-3</v>
      </c>
      <c r="AQ47" s="9">
        <f t="shared" si="12"/>
        <v>0.89315729351375539</v>
      </c>
    </row>
    <row r="48" spans="2:43" x14ac:dyDescent="0.35">
      <c r="B48" s="3" t="s">
        <v>143</v>
      </c>
      <c r="D48" s="141">
        <v>3453511</v>
      </c>
      <c r="E48" s="141">
        <v>3182667</v>
      </c>
      <c r="F48" s="141">
        <v>3351100</v>
      </c>
      <c r="G48" s="141">
        <v>2370389</v>
      </c>
      <c r="H48" s="141">
        <f>+SUM(D48:G48)</f>
        <v>12357667</v>
      </c>
      <c r="J48" s="141">
        <v>399103</v>
      </c>
      <c r="K48" s="141">
        <v>377928</v>
      </c>
      <c r="L48" s="141">
        <v>398137</v>
      </c>
      <c r="M48" s="141">
        <v>255884</v>
      </c>
      <c r="N48" s="141">
        <f>+SUM(J48:M48)</f>
        <v>1431052</v>
      </c>
      <c r="P48" s="2">
        <f>+IFERROR(J48/D48,"")</f>
        <v>0.11556442125130049</v>
      </c>
      <c r="Q48" s="2">
        <f>+IFERROR(K48/E48,"")</f>
        <v>0.11874569347028766</v>
      </c>
      <c r="R48" s="2">
        <f>+IFERROR(L48/F48,"")</f>
        <v>0.11880785413744741</v>
      </c>
      <c r="S48" s="2">
        <f>+IFERROR(M48/G48,"")</f>
        <v>0.10795021407878623</v>
      </c>
      <c r="T48" s="2" t="str">
        <f>+IFERROR(#REF!/#REF!,"")</f>
        <v/>
      </c>
      <c r="U48" s="2" t="str">
        <f>+IFERROR(#REF!/#REF!,"")</f>
        <v/>
      </c>
      <c r="V48" s="2" t="str">
        <f>+IFERROR(#REF!/#REF!,"")</f>
        <v/>
      </c>
      <c r="W48" s="2" t="str">
        <f>+IFERROR(#REF!/#REF!,"")</f>
        <v/>
      </c>
      <c r="X48" s="2" t="str">
        <f>+IFERROR(#REF!/#REF!,"")</f>
        <v/>
      </c>
      <c r="Y48" s="2" t="str">
        <f>+IFERROR(#REF!/#REF!,"")</f>
        <v/>
      </c>
      <c r="Z48" s="2" t="str">
        <f>+IFERROR(#REF!/#REF!,"")</f>
        <v/>
      </c>
      <c r="AA48" s="2" t="str">
        <f>+IFERROR(#REF!/#REF!,"")</f>
        <v/>
      </c>
      <c r="AB48" s="2">
        <f>+IFERROR(N48/H48,"")</f>
        <v>0.11580276438910354</v>
      </c>
      <c r="AD48" s="2" t="str">
        <f t="shared" si="13"/>
        <v/>
      </c>
      <c r="AE48" s="2" t="str">
        <f t="shared" si="14"/>
        <v/>
      </c>
      <c r="AF48" s="143">
        <f t="shared" si="15"/>
        <v>-1.0857640058661175E-2</v>
      </c>
      <c r="AG48" s="143" t="str">
        <f t="shared" si="16"/>
        <v/>
      </c>
      <c r="AH48" s="143" t="str">
        <f t="shared" si="17"/>
        <v/>
      </c>
      <c r="AI48" s="143" t="str">
        <f t="shared" si="18"/>
        <v/>
      </c>
      <c r="AJ48" s="143" t="str">
        <f t="shared" si="19"/>
        <v/>
      </c>
      <c r="AK48" s="143" t="str">
        <f t="shared" si="20"/>
        <v/>
      </c>
      <c r="AL48" s="143" t="str">
        <f t="shared" si="21"/>
        <v/>
      </c>
      <c r="AM48" s="143" t="str">
        <f t="shared" si="22"/>
        <v/>
      </c>
      <c r="AN48" s="143" t="str">
        <f t="shared" si="23"/>
        <v/>
      </c>
      <c r="AP48" s="9">
        <f t="shared" si="11"/>
        <v>8.7613392704386384E-4</v>
      </c>
      <c r="AQ48" s="9">
        <f t="shared" si="12"/>
        <v>0.89403342744079928</v>
      </c>
    </row>
    <row r="49" spans="2:43" x14ac:dyDescent="0.35">
      <c r="B49" s="3" t="s">
        <v>154</v>
      </c>
      <c r="D49" s="141">
        <v>15133532</v>
      </c>
      <c r="E49" s="141">
        <v>14211360</v>
      </c>
      <c r="F49" s="141">
        <v>6205554</v>
      </c>
      <c r="G49" s="141">
        <v>10261414</v>
      </c>
      <c r="H49" s="141">
        <f>+SUM(D49:G49)</f>
        <v>45811860</v>
      </c>
      <c r="J49" s="141">
        <v>1426250</v>
      </c>
      <c r="K49" s="141">
        <v>1516965</v>
      </c>
      <c r="L49" s="141">
        <v>494395</v>
      </c>
      <c r="M49" s="141">
        <v>957016</v>
      </c>
      <c r="N49" s="141">
        <f>+SUM(J49:M49)</f>
        <v>4394626</v>
      </c>
      <c r="P49" s="2">
        <f>+IFERROR(J49/D49,"")</f>
        <v>9.4244357496980874E-2</v>
      </c>
      <c r="Q49" s="2">
        <f>+IFERROR(K49/E49,"")</f>
        <v>0.10674312662546019</v>
      </c>
      <c r="R49" s="2">
        <f>+IFERROR(L49/F49,"")</f>
        <v>7.9669760346940816E-2</v>
      </c>
      <c r="S49" s="2">
        <f>+IFERROR(M49/G49,"")</f>
        <v>9.326355997331362E-2</v>
      </c>
      <c r="T49" s="2" t="str">
        <f>+IFERROR(#REF!/#REF!,"")</f>
        <v/>
      </c>
      <c r="U49" s="2" t="str">
        <f>+IFERROR(#REF!/#REF!,"")</f>
        <v/>
      </c>
      <c r="V49" s="2" t="str">
        <f>+IFERROR(#REF!/#REF!,"")</f>
        <v/>
      </c>
      <c r="W49" s="2" t="str">
        <f>+IFERROR(#REF!/#REF!,"")</f>
        <v/>
      </c>
      <c r="X49" s="2" t="str">
        <f>+IFERROR(#REF!/#REF!,"")</f>
        <v/>
      </c>
      <c r="Y49" s="2" t="str">
        <f>+IFERROR(#REF!/#REF!,"")</f>
        <v/>
      </c>
      <c r="Z49" s="2" t="str">
        <f>+IFERROR(#REF!/#REF!,"")</f>
        <v/>
      </c>
      <c r="AA49" s="2" t="str">
        <f>+IFERROR(#REF!/#REF!,"")</f>
        <v/>
      </c>
      <c r="AB49" s="2">
        <f>+IFERROR(N49/H49,"")</f>
        <v>9.5927692086721653E-2</v>
      </c>
      <c r="AD49" s="2" t="str">
        <f t="shared" si="13"/>
        <v/>
      </c>
      <c r="AE49" s="2" t="str">
        <f t="shared" si="14"/>
        <v/>
      </c>
      <c r="AF49" s="143">
        <f t="shared" si="15"/>
        <v>1.3593799626372804E-2</v>
      </c>
      <c r="AG49" s="143" t="str">
        <f t="shared" si="16"/>
        <v/>
      </c>
      <c r="AH49" s="143" t="str">
        <f t="shared" si="17"/>
        <v/>
      </c>
      <c r="AI49" s="143" t="str">
        <f t="shared" si="18"/>
        <v/>
      </c>
      <c r="AJ49" s="143" t="str">
        <f t="shared" si="19"/>
        <v/>
      </c>
      <c r="AK49" s="143" t="str">
        <f t="shared" si="20"/>
        <v/>
      </c>
      <c r="AL49" s="143" t="str">
        <f t="shared" si="21"/>
        <v/>
      </c>
      <c r="AM49" s="143" t="str">
        <f t="shared" si="22"/>
        <v/>
      </c>
      <c r="AN49" s="143" t="str">
        <f t="shared" si="23"/>
        <v/>
      </c>
      <c r="AP49" s="9">
        <f t="shared" si="11"/>
        <v>2.6905248273780876E-3</v>
      </c>
      <c r="AQ49" s="9">
        <f t="shared" si="12"/>
        <v>0.89672395226817736</v>
      </c>
    </row>
    <row r="50" spans="2:43" x14ac:dyDescent="0.35">
      <c r="B50" s="3" t="s">
        <v>126</v>
      </c>
      <c r="D50" s="141">
        <v>2175485</v>
      </c>
      <c r="E50" s="141">
        <v>2066154</v>
      </c>
      <c r="F50" s="141">
        <v>2036960</v>
      </c>
      <c r="G50" s="141">
        <v>1828137</v>
      </c>
      <c r="H50" s="141">
        <f>+SUM(D50:G50)</f>
        <v>8106736</v>
      </c>
      <c r="J50" s="141">
        <v>240751</v>
      </c>
      <c r="K50" s="141">
        <v>234621</v>
      </c>
      <c r="L50" s="141">
        <v>249636</v>
      </c>
      <c r="M50" s="141">
        <v>195248</v>
      </c>
      <c r="N50" s="141">
        <f>+SUM(J50:M50)</f>
        <v>920256</v>
      </c>
      <c r="P50" s="2">
        <f>+IFERROR(J50/D50,"")</f>
        <v>0.11066543782191098</v>
      </c>
      <c r="Q50" s="2">
        <f>+IFERROR(K50/E50,"")</f>
        <v>0.11355445915454511</v>
      </c>
      <c r="R50" s="2">
        <f>+IFERROR(L50/F50,"")</f>
        <v>0.12255321655800801</v>
      </c>
      <c r="S50" s="2">
        <f>+IFERROR(M50/G50,"")</f>
        <v>0.10680162372951262</v>
      </c>
      <c r="T50" s="2" t="str">
        <f>+IFERROR(#REF!/#REF!,"")</f>
        <v/>
      </c>
      <c r="U50" s="2" t="str">
        <f>+IFERROR(#REF!/#REF!,"")</f>
        <v/>
      </c>
      <c r="V50" s="2" t="str">
        <f>+IFERROR(#REF!/#REF!,"")</f>
        <v/>
      </c>
      <c r="W50" s="2" t="str">
        <f>+IFERROR(#REF!/#REF!,"")</f>
        <v/>
      </c>
      <c r="X50" s="2" t="str">
        <f>+IFERROR(#REF!/#REF!,"")</f>
        <v/>
      </c>
      <c r="Y50" s="2" t="str">
        <f>+IFERROR(#REF!/#REF!,"")</f>
        <v/>
      </c>
      <c r="Z50" s="2" t="str">
        <f>+IFERROR(#REF!/#REF!,"")</f>
        <v/>
      </c>
      <c r="AA50" s="2" t="str">
        <f>+IFERROR(#REF!/#REF!,"")</f>
        <v/>
      </c>
      <c r="AB50" s="2">
        <f>+IFERROR(N50/H50,"")</f>
        <v>0.11351745017970241</v>
      </c>
      <c r="AD50" s="2" t="str">
        <f t="shared" si="13"/>
        <v/>
      </c>
      <c r="AE50" s="2" t="str">
        <f t="shared" si="14"/>
        <v/>
      </c>
      <c r="AF50" s="143">
        <f t="shared" si="15"/>
        <v>-1.5751592828495392E-2</v>
      </c>
      <c r="AG50" s="143" t="str">
        <f t="shared" si="16"/>
        <v/>
      </c>
      <c r="AH50" s="143" t="str">
        <f t="shared" si="17"/>
        <v/>
      </c>
      <c r="AI50" s="143" t="str">
        <f t="shared" si="18"/>
        <v/>
      </c>
      <c r="AJ50" s="143" t="str">
        <f t="shared" si="19"/>
        <v/>
      </c>
      <c r="AK50" s="143" t="str">
        <f t="shared" si="20"/>
        <v/>
      </c>
      <c r="AL50" s="143" t="str">
        <f t="shared" si="21"/>
        <v/>
      </c>
      <c r="AM50" s="143" t="str">
        <f t="shared" si="22"/>
        <v/>
      </c>
      <c r="AN50" s="143" t="str">
        <f t="shared" si="23"/>
        <v/>
      </c>
      <c r="AP50" s="9">
        <f t="shared" si="11"/>
        <v>5.6340894891707496E-4</v>
      </c>
      <c r="AQ50" s="9">
        <f t="shared" si="12"/>
        <v>0.8972873612170944</v>
      </c>
    </row>
    <row r="51" spans="2:43" x14ac:dyDescent="0.35">
      <c r="B51" s="3" t="s">
        <v>150</v>
      </c>
      <c r="D51" s="141">
        <v>44594304</v>
      </c>
      <c r="E51" s="141">
        <v>64433440</v>
      </c>
      <c r="F51" s="141">
        <v>12023027</v>
      </c>
      <c r="G51" s="141">
        <v>37586887</v>
      </c>
      <c r="H51" s="141">
        <f>+SUM(D51:G51)</f>
        <v>158637658</v>
      </c>
      <c r="J51" s="141">
        <v>4589705</v>
      </c>
      <c r="K51" s="141">
        <v>7451069</v>
      </c>
      <c r="L51" s="141">
        <v>1198215</v>
      </c>
      <c r="M51" s="141">
        <v>3608130</v>
      </c>
      <c r="N51" s="141">
        <f>+SUM(J51:M51)</f>
        <v>16847119</v>
      </c>
      <c r="P51" s="2">
        <f>+IFERROR(J51/D51,"")</f>
        <v>0.10292132824855837</v>
      </c>
      <c r="Q51" s="2">
        <f>+IFERROR(K51/E51,"")</f>
        <v>0.11563978269668669</v>
      </c>
      <c r="R51" s="2">
        <f>+IFERROR(L51/F51,"")</f>
        <v>9.9660010744382424E-2</v>
      </c>
      <c r="S51" s="2">
        <f>+IFERROR(M51/G51,"")</f>
        <v>9.5994382296144931E-2</v>
      </c>
      <c r="T51" s="2" t="str">
        <f>+IFERROR(#REF!/#REF!,"")</f>
        <v/>
      </c>
      <c r="U51" s="2" t="str">
        <f>+IFERROR(#REF!/#REF!,"")</f>
        <v/>
      </c>
      <c r="V51" s="2" t="str">
        <f>+IFERROR(#REF!/#REF!,"")</f>
        <v/>
      </c>
      <c r="W51" s="2" t="str">
        <f>+IFERROR(#REF!/#REF!,"")</f>
        <v/>
      </c>
      <c r="X51" s="2" t="str">
        <f>+IFERROR(#REF!/#REF!,"")</f>
        <v/>
      </c>
      <c r="Y51" s="2" t="str">
        <f>+IFERROR(#REF!/#REF!,"")</f>
        <v/>
      </c>
      <c r="Z51" s="2" t="str">
        <f>+IFERROR(#REF!/#REF!,"")</f>
        <v/>
      </c>
      <c r="AA51" s="2" t="str">
        <f>+IFERROR(#REF!/#REF!,"")</f>
        <v/>
      </c>
      <c r="AB51" s="2">
        <f>+IFERROR(N51/H51,"")</f>
        <v>0.10619873750279395</v>
      </c>
      <c r="AD51" s="2" t="str">
        <f t="shared" si="13"/>
        <v/>
      </c>
      <c r="AE51" s="2" t="str">
        <f t="shared" si="14"/>
        <v/>
      </c>
      <c r="AF51" s="143">
        <f t="shared" si="15"/>
        <v>-3.6656284482374929E-3</v>
      </c>
      <c r="AG51" s="143" t="str">
        <f t="shared" si="16"/>
        <v/>
      </c>
      <c r="AH51" s="143" t="str">
        <f t="shared" si="17"/>
        <v/>
      </c>
      <c r="AI51" s="143" t="str">
        <f t="shared" si="18"/>
        <v/>
      </c>
      <c r="AJ51" s="143" t="str">
        <f t="shared" si="19"/>
        <v/>
      </c>
      <c r="AK51" s="143" t="str">
        <f t="shared" si="20"/>
        <v/>
      </c>
      <c r="AL51" s="143" t="str">
        <f t="shared" si="21"/>
        <v/>
      </c>
      <c r="AM51" s="143" t="str">
        <f t="shared" si="22"/>
        <v/>
      </c>
      <c r="AN51" s="143" t="str">
        <f t="shared" si="23"/>
        <v/>
      </c>
      <c r="AP51" s="9">
        <f t="shared" si="11"/>
        <v>1.0314322979769633E-2</v>
      </c>
      <c r="AQ51" s="9">
        <f t="shared" si="12"/>
        <v>0.90760168419686404</v>
      </c>
    </row>
    <row r="52" spans="2:43" x14ac:dyDescent="0.35">
      <c r="B52" s="3" t="s">
        <v>172</v>
      </c>
      <c r="D52" s="141">
        <v>18200655</v>
      </c>
      <c r="E52" s="141">
        <v>31966565</v>
      </c>
      <c r="F52" s="141">
        <v>2962806</v>
      </c>
      <c r="G52" s="141">
        <v>17794934</v>
      </c>
      <c r="H52" s="141">
        <f>+SUM(D52:G52)</f>
        <v>70924960</v>
      </c>
      <c r="J52" s="141">
        <v>3189914</v>
      </c>
      <c r="K52" s="141">
        <v>5676856</v>
      </c>
      <c r="L52" s="141">
        <v>433072</v>
      </c>
      <c r="M52" s="141">
        <v>3070710</v>
      </c>
      <c r="N52" s="141">
        <f>+SUM(J52:M52)</f>
        <v>12370552</v>
      </c>
      <c r="P52" s="2">
        <f>+IFERROR(J52/D52,"")</f>
        <v>0.17526369243304704</v>
      </c>
      <c r="Q52" s="2">
        <f>+IFERROR(K52/E52,"")</f>
        <v>0.1775873009815099</v>
      </c>
      <c r="R52" s="2">
        <f>+IFERROR(L52/F52,"")</f>
        <v>0.14616954333155799</v>
      </c>
      <c r="S52" s="2">
        <f>+IFERROR(M52/G52,"")</f>
        <v>0.17256090975105612</v>
      </c>
      <c r="T52" s="2" t="str">
        <f>+IFERROR(#REF!/#REF!,"")</f>
        <v/>
      </c>
      <c r="U52" s="2" t="str">
        <f>+IFERROR(#REF!/#REF!,"")</f>
        <v/>
      </c>
      <c r="V52" s="2" t="str">
        <f>+IFERROR(#REF!/#REF!,"")</f>
        <v/>
      </c>
      <c r="W52" s="2" t="str">
        <f>+IFERROR(#REF!/#REF!,"")</f>
        <v/>
      </c>
      <c r="X52" s="2" t="str">
        <f>+IFERROR(#REF!/#REF!,"")</f>
        <v/>
      </c>
      <c r="Y52" s="2" t="str">
        <f>+IFERROR(#REF!/#REF!,"")</f>
        <v/>
      </c>
      <c r="Z52" s="2" t="str">
        <f>+IFERROR(#REF!/#REF!,"")</f>
        <v/>
      </c>
      <c r="AA52" s="2" t="str">
        <f>+IFERROR(#REF!/#REF!,"")</f>
        <v/>
      </c>
      <c r="AB52" s="2">
        <f>+IFERROR(N52/H52,"")</f>
        <v>0.17441746882902717</v>
      </c>
      <c r="AD52" s="2" t="str">
        <f t="shared" si="13"/>
        <v/>
      </c>
      <c r="AE52" s="2" t="str">
        <f t="shared" si="14"/>
        <v/>
      </c>
      <c r="AF52" s="143">
        <f t="shared" si="15"/>
        <v>2.639136641949813E-2</v>
      </c>
      <c r="AG52" s="143" t="str">
        <f t="shared" si="16"/>
        <v/>
      </c>
      <c r="AH52" s="143" t="str">
        <f t="shared" si="17"/>
        <v/>
      </c>
      <c r="AI52" s="143" t="str">
        <f t="shared" si="18"/>
        <v/>
      </c>
      <c r="AJ52" s="143" t="str">
        <f t="shared" si="19"/>
        <v/>
      </c>
      <c r="AK52" s="143" t="str">
        <f t="shared" si="20"/>
        <v/>
      </c>
      <c r="AL52" s="143" t="str">
        <f t="shared" si="21"/>
        <v/>
      </c>
      <c r="AM52" s="143" t="str">
        <f t="shared" si="22"/>
        <v/>
      </c>
      <c r="AN52" s="143" t="str">
        <f t="shared" si="23"/>
        <v/>
      </c>
      <c r="AP52" s="9">
        <f t="shared" si="11"/>
        <v>7.5736313589305796E-3</v>
      </c>
      <c r="AQ52" s="9">
        <f t="shared" si="12"/>
        <v>0.91517531555579468</v>
      </c>
    </row>
    <row r="53" spans="2:43" x14ac:dyDescent="0.35">
      <c r="B53" s="3" t="s">
        <v>153</v>
      </c>
      <c r="D53" s="141">
        <v>7099598</v>
      </c>
      <c r="E53" s="141">
        <v>6648618</v>
      </c>
      <c r="F53" s="141">
        <v>4848716</v>
      </c>
      <c r="G53" s="141">
        <v>5253133</v>
      </c>
      <c r="H53" s="141">
        <f>+SUM(D53:G53)</f>
        <v>23850065</v>
      </c>
      <c r="J53" s="141">
        <v>715915</v>
      </c>
      <c r="K53" s="141">
        <v>640915</v>
      </c>
      <c r="L53" s="141">
        <v>512465</v>
      </c>
      <c r="M53" s="141">
        <v>482512</v>
      </c>
      <c r="N53" s="141">
        <f>+SUM(J53:M53)</f>
        <v>2351807</v>
      </c>
      <c r="P53" s="2">
        <f>+IFERROR(J53/D53,"")</f>
        <v>0.10083880805645616</v>
      </c>
      <c r="Q53" s="2">
        <f>+IFERROR(K53/E53,"")</f>
        <v>9.639822892516911E-2</v>
      </c>
      <c r="R53" s="2">
        <f>+IFERROR(L53/F53,"")</f>
        <v>0.10569086743789489</v>
      </c>
      <c r="S53" s="2">
        <f>+IFERROR(M53/G53,"")</f>
        <v>9.1852233705105119E-2</v>
      </c>
      <c r="T53" s="2" t="str">
        <f>+IFERROR(#REF!/#REF!,"")</f>
        <v/>
      </c>
      <c r="U53" s="2" t="str">
        <f>+IFERROR(#REF!/#REF!,"")</f>
        <v/>
      </c>
      <c r="V53" s="2" t="str">
        <f>+IFERROR(#REF!/#REF!,"")</f>
        <v/>
      </c>
      <c r="W53" s="2" t="str">
        <f>+IFERROR(#REF!/#REF!,"")</f>
        <v/>
      </c>
      <c r="X53" s="2" t="str">
        <f>+IFERROR(#REF!/#REF!,"")</f>
        <v/>
      </c>
      <c r="Y53" s="2" t="str">
        <f>+IFERROR(#REF!/#REF!,"")</f>
        <v/>
      </c>
      <c r="Z53" s="2" t="str">
        <f>+IFERROR(#REF!/#REF!,"")</f>
        <v/>
      </c>
      <c r="AA53" s="2" t="str">
        <f>+IFERROR(#REF!/#REF!,"")</f>
        <v/>
      </c>
      <c r="AB53" s="2">
        <f>+IFERROR(N53/H53,"")</f>
        <v>9.8607991215118276E-2</v>
      </c>
      <c r="AD53" s="2" t="str">
        <f t="shared" si="13"/>
        <v/>
      </c>
      <c r="AE53" s="2" t="str">
        <f t="shared" si="14"/>
        <v/>
      </c>
      <c r="AF53" s="143">
        <f t="shared" si="15"/>
        <v>-1.3838633732789776E-2</v>
      </c>
      <c r="AG53" s="143" t="str">
        <f t="shared" si="16"/>
        <v/>
      </c>
      <c r="AH53" s="143" t="str">
        <f t="shared" si="17"/>
        <v/>
      </c>
      <c r="AI53" s="143" t="str">
        <f t="shared" si="18"/>
        <v/>
      </c>
      <c r="AJ53" s="143" t="str">
        <f t="shared" si="19"/>
        <v/>
      </c>
      <c r="AK53" s="143" t="str">
        <f t="shared" si="20"/>
        <v/>
      </c>
      <c r="AL53" s="143" t="str">
        <f t="shared" si="21"/>
        <v/>
      </c>
      <c r="AM53" s="143" t="str">
        <f t="shared" si="22"/>
        <v/>
      </c>
      <c r="AN53" s="143" t="str">
        <f t="shared" si="23"/>
        <v/>
      </c>
      <c r="AP53" s="9">
        <f t="shared" si="11"/>
        <v>1.4398483790660636E-3</v>
      </c>
      <c r="AQ53" s="9">
        <f t="shared" si="12"/>
        <v>0.91661516393486075</v>
      </c>
    </row>
    <row r="54" spans="2:43" x14ac:dyDescent="0.35">
      <c r="B54" s="3" t="s">
        <v>127</v>
      </c>
      <c r="D54" s="141">
        <v>1429200</v>
      </c>
      <c r="E54" s="141">
        <v>1267793</v>
      </c>
      <c r="F54" s="141">
        <v>1317604</v>
      </c>
      <c r="G54" s="141">
        <v>976989</v>
      </c>
      <c r="H54" s="141">
        <f>+SUM(D54:G54)</f>
        <v>4991586</v>
      </c>
      <c r="J54" s="141">
        <v>145532</v>
      </c>
      <c r="K54" s="141">
        <v>146621</v>
      </c>
      <c r="L54" s="141">
        <v>173987</v>
      </c>
      <c r="M54" s="141">
        <v>92484</v>
      </c>
      <c r="N54" s="141">
        <f>+SUM(J54:M54)</f>
        <v>558624</v>
      </c>
      <c r="P54" s="2">
        <f>+IFERROR(J54/D54,"")</f>
        <v>0.10182759585782256</v>
      </c>
      <c r="Q54" s="2">
        <f>+IFERROR(K54/E54,"")</f>
        <v>0.11565058333655415</v>
      </c>
      <c r="R54" s="2">
        <f>+IFERROR(L54/F54,"")</f>
        <v>0.1320480204978127</v>
      </c>
      <c r="S54" s="2">
        <f>+IFERROR(M54/G54,"")</f>
        <v>9.4662273577286946E-2</v>
      </c>
      <c r="T54" s="2" t="str">
        <f>+IFERROR(#REF!/#REF!,"")</f>
        <v/>
      </c>
      <c r="U54" s="2" t="str">
        <f>+IFERROR(#REF!/#REF!,"")</f>
        <v/>
      </c>
      <c r="V54" s="2" t="str">
        <f>+IFERROR(#REF!/#REF!,"")</f>
        <v/>
      </c>
      <c r="W54" s="2" t="str">
        <f>+IFERROR(#REF!/#REF!,"")</f>
        <v/>
      </c>
      <c r="X54" s="2" t="str">
        <f>+IFERROR(#REF!/#REF!,"")</f>
        <v/>
      </c>
      <c r="Y54" s="2" t="str">
        <f>+IFERROR(#REF!/#REF!,"")</f>
        <v/>
      </c>
      <c r="Z54" s="2" t="str">
        <f>+IFERROR(#REF!/#REF!,"")</f>
        <v/>
      </c>
      <c r="AA54" s="2" t="str">
        <f>+IFERROR(#REF!/#REF!,"")</f>
        <v/>
      </c>
      <c r="AB54" s="2">
        <f>+IFERROR(N54/H54,"")</f>
        <v>0.1119131274108069</v>
      </c>
      <c r="AD54" s="2" t="str">
        <f t="shared" si="13"/>
        <v/>
      </c>
      <c r="AE54" s="2" t="str">
        <f t="shared" si="14"/>
        <v/>
      </c>
      <c r="AF54" s="143">
        <f t="shared" si="15"/>
        <v>-3.738574692052575E-2</v>
      </c>
      <c r="AG54" s="143" t="str">
        <f t="shared" si="16"/>
        <v/>
      </c>
      <c r="AH54" s="143" t="str">
        <f t="shared" si="17"/>
        <v/>
      </c>
      <c r="AI54" s="143" t="str">
        <f t="shared" si="18"/>
        <v/>
      </c>
      <c r="AJ54" s="143" t="str">
        <f t="shared" si="19"/>
        <v/>
      </c>
      <c r="AK54" s="143" t="str">
        <f t="shared" si="20"/>
        <v/>
      </c>
      <c r="AL54" s="143" t="str">
        <f t="shared" si="21"/>
        <v/>
      </c>
      <c r="AM54" s="143" t="str">
        <f t="shared" si="22"/>
        <v/>
      </c>
      <c r="AN54" s="143" t="str">
        <f t="shared" si="23"/>
        <v/>
      </c>
      <c r="AP54" s="9">
        <f t="shared" si="11"/>
        <v>3.4200674668771741E-4</v>
      </c>
      <c r="AQ54" s="9">
        <f t="shared" si="12"/>
        <v>0.91695717068154847</v>
      </c>
    </row>
    <row r="55" spans="2:43" x14ac:dyDescent="0.35">
      <c r="B55" s="3" t="s">
        <v>151</v>
      </c>
      <c r="D55" s="141">
        <v>5911946</v>
      </c>
      <c r="E55" s="141">
        <v>5948043</v>
      </c>
      <c r="F55" s="141">
        <v>3590561</v>
      </c>
      <c r="G55" s="141">
        <v>6744499</v>
      </c>
      <c r="H55" s="141">
        <f>+SUM(D55:G55)</f>
        <v>22195049</v>
      </c>
      <c r="J55" s="141">
        <v>495108</v>
      </c>
      <c r="K55" s="141">
        <v>489005</v>
      </c>
      <c r="L55" s="141">
        <v>431531</v>
      </c>
      <c r="M55" s="141">
        <v>571593</v>
      </c>
      <c r="N55" s="141">
        <f>+SUM(J55:M55)</f>
        <v>1987237</v>
      </c>
      <c r="P55" s="2">
        <f>+IFERROR(J55/D55,"")</f>
        <v>8.3747043697625118E-2</v>
      </c>
      <c r="Q55" s="2">
        <f>+IFERROR(K55/E55,"")</f>
        <v>8.2212754682506495E-2</v>
      </c>
      <c r="R55" s="2">
        <f>+IFERROR(L55/F55,"")</f>
        <v>0.12018484019628131</v>
      </c>
      <c r="S55" s="2">
        <f>+IFERROR(M55/G55,"")</f>
        <v>8.4749512157982376E-2</v>
      </c>
      <c r="T55" s="2" t="str">
        <f>+IFERROR(#REF!/#REF!,"")</f>
        <v/>
      </c>
      <c r="U55" s="2" t="str">
        <f>+IFERROR(#REF!/#REF!,"")</f>
        <v/>
      </c>
      <c r="V55" s="2" t="str">
        <f>+IFERROR(#REF!/#REF!,"")</f>
        <v/>
      </c>
      <c r="W55" s="2" t="str">
        <f>+IFERROR(#REF!/#REF!,"")</f>
        <v/>
      </c>
      <c r="X55" s="2" t="str">
        <f>+IFERROR(#REF!/#REF!,"")</f>
        <v/>
      </c>
      <c r="Y55" s="2" t="str">
        <f>+IFERROR(#REF!/#REF!,"")</f>
        <v/>
      </c>
      <c r="Z55" s="2" t="str">
        <f>+IFERROR(#REF!/#REF!,"")</f>
        <v/>
      </c>
      <c r="AA55" s="2" t="str">
        <f>+IFERROR(#REF!/#REF!,"")</f>
        <v/>
      </c>
      <c r="AB55" s="2">
        <f>+IFERROR(N55/H55,"")</f>
        <v>8.9535148131459408E-2</v>
      </c>
      <c r="AD55" s="2" t="str">
        <f t="shared" si="13"/>
        <v/>
      </c>
      <c r="AE55" s="2" t="str">
        <f t="shared" si="14"/>
        <v/>
      </c>
      <c r="AF55" s="143">
        <f t="shared" si="15"/>
        <v>-3.5435328038298936E-2</v>
      </c>
      <c r="AG55" s="143" t="str">
        <f t="shared" si="16"/>
        <v/>
      </c>
      <c r="AH55" s="143" t="str">
        <f t="shared" si="17"/>
        <v/>
      </c>
      <c r="AI55" s="143" t="str">
        <f t="shared" si="18"/>
        <v/>
      </c>
      <c r="AJ55" s="143" t="str">
        <f t="shared" si="19"/>
        <v/>
      </c>
      <c r="AK55" s="143" t="str">
        <f t="shared" si="20"/>
        <v/>
      </c>
      <c r="AL55" s="143" t="str">
        <f t="shared" si="21"/>
        <v/>
      </c>
      <c r="AM55" s="143" t="str">
        <f t="shared" si="22"/>
        <v/>
      </c>
      <c r="AN55" s="143" t="str">
        <f t="shared" si="23"/>
        <v/>
      </c>
      <c r="AP55" s="9">
        <f t="shared" si="11"/>
        <v>1.2166474431235671E-3</v>
      </c>
      <c r="AQ55" s="9">
        <f t="shared" si="12"/>
        <v>0.91817381812467203</v>
      </c>
    </row>
    <row r="56" spans="2:43" x14ac:dyDescent="0.35">
      <c r="B56" s="3" t="s">
        <v>135</v>
      </c>
      <c r="D56" s="141">
        <v>3019706</v>
      </c>
      <c r="E56" s="141">
        <v>2555019</v>
      </c>
      <c r="F56" s="141">
        <v>2240650</v>
      </c>
      <c r="G56" s="141">
        <v>2089061</v>
      </c>
      <c r="H56" s="141">
        <f>+SUM(D56:G56)</f>
        <v>9904436</v>
      </c>
      <c r="J56" s="141">
        <v>324884</v>
      </c>
      <c r="K56" s="141">
        <v>284863</v>
      </c>
      <c r="L56" s="141">
        <v>284338</v>
      </c>
      <c r="M56" s="141">
        <v>237399</v>
      </c>
      <c r="N56" s="141">
        <f>+SUM(J56:M56)</f>
        <v>1131484</v>
      </c>
      <c r="P56" s="2">
        <f>+IFERROR(J56/D56,"")</f>
        <v>0.1075879572382212</v>
      </c>
      <c r="Q56" s="2">
        <f>+IFERROR(K56/E56,"")</f>
        <v>0.11149153881047461</v>
      </c>
      <c r="R56" s="2">
        <f>+IFERROR(L56/F56,"")</f>
        <v>0.12689978354495346</v>
      </c>
      <c r="S56" s="2">
        <f>+IFERROR(M56/G56,"")</f>
        <v>0.11363909431079322</v>
      </c>
      <c r="T56" s="2" t="str">
        <f>+IFERROR(#REF!/#REF!,"")</f>
        <v/>
      </c>
      <c r="U56" s="2" t="str">
        <f>+IFERROR(#REF!/#REF!,"")</f>
        <v/>
      </c>
      <c r="V56" s="2" t="str">
        <f>+IFERROR(#REF!/#REF!,"")</f>
        <v/>
      </c>
      <c r="W56" s="2" t="str">
        <f>+IFERROR(#REF!/#REF!,"")</f>
        <v/>
      </c>
      <c r="X56" s="2" t="str">
        <f>+IFERROR(#REF!/#REF!,"")</f>
        <v/>
      </c>
      <c r="Y56" s="2" t="str">
        <f>+IFERROR(#REF!/#REF!,"")</f>
        <v/>
      </c>
      <c r="Z56" s="2" t="str">
        <f>+IFERROR(#REF!/#REF!,"")</f>
        <v/>
      </c>
      <c r="AA56" s="2" t="str">
        <f>+IFERROR(#REF!/#REF!,"")</f>
        <v/>
      </c>
      <c r="AB56" s="2">
        <f>+IFERROR(N56/H56,"")</f>
        <v>0.11424012432409074</v>
      </c>
      <c r="AD56" s="2" t="str">
        <f t="shared" si="13"/>
        <v/>
      </c>
      <c r="AE56" s="2" t="str">
        <f t="shared" si="14"/>
        <v/>
      </c>
      <c r="AF56" s="143">
        <f t="shared" si="15"/>
        <v>-1.3260689234160239E-2</v>
      </c>
      <c r="AG56" s="143" t="str">
        <f t="shared" si="16"/>
        <v/>
      </c>
      <c r="AH56" s="143" t="str">
        <f t="shared" si="17"/>
        <v/>
      </c>
      <c r="AI56" s="143" t="str">
        <f t="shared" si="18"/>
        <v/>
      </c>
      <c r="AJ56" s="143" t="str">
        <f t="shared" si="19"/>
        <v/>
      </c>
      <c r="AK56" s="143" t="str">
        <f t="shared" si="20"/>
        <v/>
      </c>
      <c r="AL56" s="143" t="str">
        <f t="shared" si="21"/>
        <v/>
      </c>
      <c r="AM56" s="143" t="str">
        <f t="shared" si="22"/>
        <v/>
      </c>
      <c r="AN56" s="143" t="str">
        <f t="shared" si="23"/>
        <v/>
      </c>
      <c r="AP56" s="9">
        <f t="shared" si="11"/>
        <v>6.9272920921622638E-4</v>
      </c>
      <c r="AQ56" s="9">
        <f t="shared" si="12"/>
        <v>0.91886654733388828</v>
      </c>
    </row>
    <row r="57" spans="2:43" x14ac:dyDescent="0.35">
      <c r="B57" s="3" t="s">
        <v>170</v>
      </c>
      <c r="D57" s="141">
        <v>12994735</v>
      </c>
      <c r="E57" s="141">
        <v>12006717</v>
      </c>
      <c r="F57" s="141">
        <v>8571898</v>
      </c>
      <c r="G57" s="141">
        <v>10250939</v>
      </c>
      <c r="H57" s="141">
        <f>+SUM(D57:G57)</f>
        <v>43824289</v>
      </c>
      <c r="J57" s="141">
        <v>1194717</v>
      </c>
      <c r="K57" s="141">
        <v>1131193</v>
      </c>
      <c r="L57" s="141">
        <v>970840</v>
      </c>
      <c r="M57" s="141">
        <v>929598</v>
      </c>
      <c r="N57" s="141">
        <f>+SUM(J57:M57)</f>
        <v>4226348</v>
      </c>
      <c r="P57" s="2">
        <f>+IFERROR(J57/D57,"")</f>
        <v>9.1938542802142559E-2</v>
      </c>
      <c r="Q57" s="2">
        <f>+IFERROR(K57/E57,"")</f>
        <v>9.4213347412119397E-2</v>
      </c>
      <c r="R57" s="2">
        <f>+IFERROR(L57/F57,"")</f>
        <v>0.11325846387812827</v>
      </c>
      <c r="S57" s="2">
        <f>+IFERROR(M57/G57,"")</f>
        <v>9.0684180249243504E-2</v>
      </c>
      <c r="T57" s="2" t="str">
        <f>+IFERROR(#REF!/#REF!,"")</f>
        <v/>
      </c>
      <c r="U57" s="2" t="str">
        <f>+IFERROR(#REF!/#REF!,"")</f>
        <v/>
      </c>
      <c r="V57" s="2" t="str">
        <f>+IFERROR(#REF!/#REF!,"")</f>
        <v/>
      </c>
      <c r="W57" s="2" t="str">
        <f>+IFERROR(#REF!/#REF!,"")</f>
        <v/>
      </c>
      <c r="X57" s="2" t="str">
        <f>+IFERROR(#REF!/#REF!,"")</f>
        <v/>
      </c>
      <c r="Y57" s="2" t="str">
        <f>+IFERROR(#REF!/#REF!,"")</f>
        <v/>
      </c>
      <c r="Z57" s="2" t="str">
        <f>+IFERROR(#REF!/#REF!,"")</f>
        <v/>
      </c>
      <c r="AA57" s="2" t="str">
        <f>+IFERROR(#REF!/#REF!,"")</f>
        <v/>
      </c>
      <c r="AB57" s="2">
        <f>+IFERROR(N57/H57,"")</f>
        <v>9.6438484147455303E-2</v>
      </c>
      <c r="AD57" s="2" t="str">
        <f t="shared" si="13"/>
        <v/>
      </c>
      <c r="AE57" s="2" t="str">
        <f t="shared" si="14"/>
        <v/>
      </c>
      <c r="AF57" s="143">
        <f t="shared" si="15"/>
        <v>-2.2574283628884764E-2</v>
      </c>
      <c r="AG57" s="143" t="str">
        <f t="shared" si="16"/>
        <v/>
      </c>
      <c r="AH57" s="143" t="str">
        <f t="shared" si="17"/>
        <v/>
      </c>
      <c r="AI57" s="143" t="str">
        <f t="shared" si="18"/>
        <v/>
      </c>
      <c r="AJ57" s="143" t="str">
        <f t="shared" si="19"/>
        <v/>
      </c>
      <c r="AK57" s="143" t="str">
        <f t="shared" si="20"/>
        <v/>
      </c>
      <c r="AL57" s="143" t="str">
        <f t="shared" si="21"/>
        <v/>
      </c>
      <c r="AM57" s="143" t="str">
        <f t="shared" si="22"/>
        <v/>
      </c>
      <c r="AN57" s="143" t="str">
        <f t="shared" si="23"/>
        <v/>
      </c>
      <c r="AP57" s="9">
        <f t="shared" si="11"/>
        <v>2.5874998744238363E-3</v>
      </c>
      <c r="AQ57" s="9">
        <f t="shared" si="12"/>
        <v>0.92145404720831214</v>
      </c>
    </row>
    <row r="58" spans="2:43" x14ac:dyDescent="0.35">
      <c r="B58" s="3" t="s">
        <v>168</v>
      </c>
      <c r="D58" s="141">
        <v>9613454</v>
      </c>
      <c r="E58" s="141">
        <v>7949526</v>
      </c>
      <c r="F58" s="141">
        <v>8390804</v>
      </c>
      <c r="G58" s="141">
        <v>4796568</v>
      </c>
      <c r="H58" s="141">
        <f>+SUM(D58:G58)</f>
        <v>30750352</v>
      </c>
      <c r="J58" s="141">
        <v>1094971</v>
      </c>
      <c r="K58" s="141">
        <v>924914</v>
      </c>
      <c r="L58" s="141">
        <v>1137501</v>
      </c>
      <c r="M58" s="141">
        <v>526316</v>
      </c>
      <c r="N58" s="141">
        <f>+SUM(J58:M58)</f>
        <v>3683702</v>
      </c>
      <c r="P58" s="2">
        <f>+IFERROR(J58/D58,"")</f>
        <v>0.11389985326813859</v>
      </c>
      <c r="Q58" s="2">
        <f>+IFERROR(K58/E58,"")</f>
        <v>0.1163483206420106</v>
      </c>
      <c r="R58" s="2">
        <f>+IFERROR(L58/F58,"")</f>
        <v>0.13556519732793187</v>
      </c>
      <c r="S58" s="2">
        <f>+IFERROR(M58/G58,"")</f>
        <v>0.10972762191633685</v>
      </c>
      <c r="T58" s="2" t="str">
        <f>+IFERROR(#REF!/#REF!,"")</f>
        <v/>
      </c>
      <c r="U58" s="2" t="str">
        <f>+IFERROR(#REF!/#REF!,"")</f>
        <v/>
      </c>
      <c r="V58" s="2" t="str">
        <f>+IFERROR(#REF!/#REF!,"")</f>
        <v/>
      </c>
      <c r="W58" s="2" t="str">
        <f>+IFERROR(#REF!/#REF!,"")</f>
        <v/>
      </c>
      <c r="X58" s="2" t="str">
        <f>+IFERROR(#REF!/#REF!,"")</f>
        <v/>
      </c>
      <c r="Y58" s="2" t="str">
        <f>+IFERROR(#REF!/#REF!,"")</f>
        <v/>
      </c>
      <c r="Z58" s="2" t="str">
        <f>+IFERROR(#REF!/#REF!,"")</f>
        <v/>
      </c>
      <c r="AA58" s="2" t="str">
        <f>+IFERROR(#REF!/#REF!,"")</f>
        <v/>
      </c>
      <c r="AB58" s="2">
        <f>+IFERROR(N58/H58,"")</f>
        <v>0.11979381569355693</v>
      </c>
      <c r="AD58" s="2" t="str">
        <f t="shared" si="13"/>
        <v/>
      </c>
      <c r="AE58" s="2" t="str">
        <f t="shared" si="14"/>
        <v/>
      </c>
      <c r="AF58" s="143">
        <f t="shared" si="15"/>
        <v>-2.5837575411595023E-2</v>
      </c>
      <c r="AG58" s="143" t="str">
        <f t="shared" si="16"/>
        <v/>
      </c>
      <c r="AH58" s="143" t="str">
        <f t="shared" si="17"/>
        <v/>
      </c>
      <c r="AI58" s="143" t="str">
        <f t="shared" si="18"/>
        <v/>
      </c>
      <c r="AJ58" s="143" t="str">
        <f t="shared" si="19"/>
        <v/>
      </c>
      <c r="AK58" s="143" t="str">
        <f t="shared" si="20"/>
        <v/>
      </c>
      <c r="AL58" s="143" t="str">
        <f t="shared" si="21"/>
        <v/>
      </c>
      <c r="AM58" s="143" t="str">
        <f t="shared" si="22"/>
        <v/>
      </c>
      <c r="AN58" s="143" t="str">
        <f t="shared" si="23"/>
        <v/>
      </c>
      <c r="AP58" s="9">
        <f t="shared" si="11"/>
        <v>2.2552753494068248E-3</v>
      </c>
      <c r="AQ58" s="9">
        <f t="shared" si="12"/>
        <v>0.92370932255771898</v>
      </c>
    </row>
    <row r="59" spans="2:43" x14ac:dyDescent="0.35">
      <c r="B59" s="3" t="s">
        <v>149</v>
      </c>
      <c r="D59" s="141">
        <v>4460173</v>
      </c>
      <c r="E59" s="141">
        <v>5104276</v>
      </c>
      <c r="F59" s="141">
        <v>6180748</v>
      </c>
      <c r="G59" s="141">
        <v>3643375</v>
      </c>
      <c r="H59" s="141">
        <f>+SUM(D59:G59)</f>
        <v>19388572</v>
      </c>
      <c r="J59" s="141">
        <v>410507</v>
      </c>
      <c r="K59" s="141">
        <v>484141</v>
      </c>
      <c r="L59" s="141">
        <v>485436</v>
      </c>
      <c r="M59" s="141">
        <v>311225</v>
      </c>
      <c r="N59" s="141">
        <f>+SUM(J59:M59)</f>
        <v>1691309</v>
      </c>
      <c r="P59" s="2">
        <f>+IFERROR(J59/D59,"")</f>
        <v>9.203835815337208E-2</v>
      </c>
      <c r="Q59" s="2">
        <f>+IFERROR(K59/E59,"")</f>
        <v>9.4850082558231574E-2</v>
      </c>
      <c r="R59" s="2">
        <f>+IFERROR(L59/F59,"")</f>
        <v>7.8540008426164598E-2</v>
      </c>
      <c r="S59" s="2">
        <f>+IFERROR(M59/G59,"")</f>
        <v>8.5422170377740414E-2</v>
      </c>
      <c r="T59" s="2" t="str">
        <f>+IFERROR(#REF!/#REF!,"")</f>
        <v/>
      </c>
      <c r="U59" s="2" t="str">
        <f>+IFERROR(#REF!/#REF!,"")</f>
        <v/>
      </c>
      <c r="V59" s="2" t="str">
        <f>+IFERROR(#REF!/#REF!,"")</f>
        <v/>
      </c>
      <c r="W59" s="2" t="str">
        <f>+IFERROR(#REF!/#REF!,"")</f>
        <v/>
      </c>
      <c r="X59" s="2" t="str">
        <f>+IFERROR(#REF!/#REF!,"")</f>
        <v/>
      </c>
      <c r="Y59" s="2" t="str">
        <f>+IFERROR(#REF!/#REF!,"")</f>
        <v/>
      </c>
      <c r="Z59" s="2" t="str">
        <f>+IFERROR(#REF!/#REF!,"")</f>
        <v/>
      </c>
      <c r="AA59" s="2" t="str">
        <f>+IFERROR(#REF!/#REF!,"")</f>
        <v/>
      </c>
      <c r="AB59" s="2">
        <f>+IFERROR(N59/H59,"")</f>
        <v>8.7232262386317053E-2</v>
      </c>
      <c r="AD59" s="2" t="str">
        <f t="shared" si="13"/>
        <v/>
      </c>
      <c r="AE59" s="2" t="str">
        <f t="shared" si="14"/>
        <v/>
      </c>
      <c r="AF59" s="143">
        <f t="shared" si="15"/>
        <v>6.8821619515758159E-3</v>
      </c>
      <c r="AG59" s="143" t="str">
        <f t="shared" si="16"/>
        <v/>
      </c>
      <c r="AH59" s="143" t="str">
        <f t="shared" si="17"/>
        <v/>
      </c>
      <c r="AI59" s="143" t="str">
        <f t="shared" si="18"/>
        <v/>
      </c>
      <c r="AJ59" s="143" t="str">
        <f t="shared" si="19"/>
        <v/>
      </c>
      <c r="AK59" s="143" t="str">
        <f t="shared" si="20"/>
        <v/>
      </c>
      <c r="AL59" s="143" t="str">
        <f t="shared" si="21"/>
        <v/>
      </c>
      <c r="AM59" s="143" t="str">
        <f t="shared" si="22"/>
        <v/>
      </c>
      <c r="AN59" s="143" t="str">
        <f t="shared" si="23"/>
        <v/>
      </c>
      <c r="AP59" s="9">
        <f t="shared" si="11"/>
        <v>1.0354712449405265E-3</v>
      </c>
      <c r="AQ59" s="9">
        <f t="shared" si="12"/>
        <v>0.9247447938026595</v>
      </c>
    </row>
    <row r="60" spans="2:43" x14ac:dyDescent="0.35">
      <c r="B60" s="3" t="s">
        <v>155</v>
      </c>
      <c r="D60" s="141">
        <v>3160605</v>
      </c>
      <c r="E60" s="141">
        <v>2445668</v>
      </c>
      <c r="F60" s="141">
        <v>1749634</v>
      </c>
      <c r="G60" s="141">
        <v>1665030</v>
      </c>
      <c r="H60" s="141">
        <f>+SUM(D60:G60)</f>
        <v>9020937</v>
      </c>
      <c r="J60" s="141">
        <v>458948</v>
      </c>
      <c r="K60" s="141">
        <v>352212</v>
      </c>
      <c r="L60" s="141">
        <v>186851</v>
      </c>
      <c r="M60" s="141">
        <v>272116</v>
      </c>
      <c r="N60" s="141">
        <f>+SUM(J60:M60)</f>
        <v>1270127</v>
      </c>
      <c r="P60" s="2">
        <f>+IFERROR(J60/D60,"")</f>
        <v>0.1452089077882241</v>
      </c>
      <c r="Q60" s="2">
        <f>+IFERROR(K60/E60,"")</f>
        <v>0.14401464139858722</v>
      </c>
      <c r="R60" s="2">
        <f>+IFERROR(L60/F60,"")</f>
        <v>0.10679433527240555</v>
      </c>
      <c r="S60" s="2">
        <f>+IFERROR(M60/G60,"")</f>
        <v>0.16343008834675651</v>
      </c>
      <c r="T60" s="2" t="str">
        <f>+IFERROR(#REF!/#REF!,"")</f>
        <v/>
      </c>
      <c r="U60" s="2" t="str">
        <f>+IFERROR(#REF!/#REF!,"")</f>
        <v/>
      </c>
      <c r="V60" s="2" t="str">
        <f>+IFERROR(#REF!/#REF!,"")</f>
        <v/>
      </c>
      <c r="W60" s="2" t="str">
        <f>+IFERROR(#REF!/#REF!,"")</f>
        <v/>
      </c>
      <c r="X60" s="2" t="str">
        <f>+IFERROR(#REF!/#REF!,"")</f>
        <v/>
      </c>
      <c r="Y60" s="2" t="str">
        <f>+IFERROR(#REF!/#REF!,"")</f>
        <v/>
      </c>
      <c r="Z60" s="2" t="str">
        <f>+IFERROR(#REF!/#REF!,"")</f>
        <v/>
      </c>
      <c r="AA60" s="2" t="str">
        <f>+IFERROR(#REF!/#REF!,"")</f>
        <v/>
      </c>
      <c r="AB60" s="2">
        <f>+IFERROR(N60/H60,"")</f>
        <v>0.14079767988624686</v>
      </c>
      <c r="AD60" s="2" t="str">
        <f t="shared" si="13"/>
        <v/>
      </c>
      <c r="AE60" s="2" t="str">
        <f t="shared" si="14"/>
        <v/>
      </c>
      <c r="AF60" s="143">
        <f t="shared" si="15"/>
        <v>5.6635753074350967E-2</v>
      </c>
      <c r="AG60" s="143" t="str">
        <f t="shared" si="16"/>
        <v/>
      </c>
      <c r="AH60" s="143" t="str">
        <f t="shared" si="17"/>
        <v/>
      </c>
      <c r="AI60" s="143" t="str">
        <f t="shared" si="18"/>
        <v/>
      </c>
      <c r="AJ60" s="143" t="str">
        <f t="shared" si="19"/>
        <v/>
      </c>
      <c r="AK60" s="143" t="str">
        <f t="shared" si="20"/>
        <v/>
      </c>
      <c r="AL60" s="143" t="str">
        <f t="shared" si="21"/>
        <v/>
      </c>
      <c r="AM60" s="143" t="str">
        <f t="shared" si="22"/>
        <v/>
      </c>
      <c r="AN60" s="143" t="str">
        <f t="shared" si="23"/>
        <v/>
      </c>
      <c r="AP60" s="9">
        <f t="shared" si="11"/>
        <v>7.7761070621783256E-4</v>
      </c>
      <c r="AQ60" s="9">
        <f t="shared" si="12"/>
        <v>0.92552240450887735</v>
      </c>
    </row>
    <row r="61" spans="2:43" x14ac:dyDescent="0.35">
      <c r="B61" s="3" t="s">
        <v>156</v>
      </c>
      <c r="D61" s="141">
        <v>14861391</v>
      </c>
      <c r="E61" s="141">
        <v>38396548</v>
      </c>
      <c r="F61" s="141">
        <v>48414567</v>
      </c>
      <c r="G61" s="141">
        <v>15757087</v>
      </c>
      <c r="H61" s="141">
        <f>+SUM(D61:G61)</f>
        <v>117429593</v>
      </c>
      <c r="J61" s="141">
        <v>1783923</v>
      </c>
      <c r="K61" s="141">
        <v>5145387</v>
      </c>
      <c r="L61" s="141">
        <v>5508264</v>
      </c>
      <c r="M61" s="141">
        <v>1592562</v>
      </c>
      <c r="N61" s="141">
        <f>+SUM(J61:M61)</f>
        <v>14030136</v>
      </c>
      <c r="P61" s="2">
        <f>+IFERROR(J61/D61,"")</f>
        <v>0.12003741776257687</v>
      </c>
      <c r="Q61" s="2">
        <f>+IFERROR(K61/E61,"")</f>
        <v>0.13400649975096721</v>
      </c>
      <c r="R61" s="2">
        <f>+IFERROR(L61/F61,"")</f>
        <v>0.1137728650965731</v>
      </c>
      <c r="S61" s="2">
        <f>+IFERROR(M61/G61,"")</f>
        <v>0.10106956952132079</v>
      </c>
      <c r="T61" s="2" t="str">
        <f>+IFERROR(#REF!/#REF!,"")</f>
        <v/>
      </c>
      <c r="U61" s="2" t="str">
        <f>+IFERROR(#REF!/#REF!,"")</f>
        <v/>
      </c>
      <c r="V61" s="2" t="str">
        <f>+IFERROR(#REF!/#REF!,"")</f>
        <v/>
      </c>
      <c r="W61" s="2" t="str">
        <f>+IFERROR(#REF!/#REF!,"")</f>
        <v/>
      </c>
      <c r="X61" s="2" t="str">
        <f>+IFERROR(#REF!/#REF!,"")</f>
        <v/>
      </c>
      <c r="Y61" s="2" t="str">
        <f>+IFERROR(#REF!/#REF!,"")</f>
        <v/>
      </c>
      <c r="Z61" s="2" t="str">
        <f>+IFERROR(#REF!/#REF!,"")</f>
        <v/>
      </c>
      <c r="AA61" s="2" t="str">
        <f>+IFERROR(#REF!/#REF!,"")</f>
        <v/>
      </c>
      <c r="AB61" s="2">
        <f>+IFERROR(N61/H61,"")</f>
        <v>0.11947700440382178</v>
      </c>
      <c r="AD61" s="2" t="str">
        <f t="shared" si="13"/>
        <v/>
      </c>
      <c r="AE61" s="2" t="str">
        <f t="shared" si="14"/>
        <v/>
      </c>
      <c r="AF61" s="143">
        <f t="shared" si="15"/>
        <v>-1.2703295575252307E-2</v>
      </c>
      <c r="AG61" s="143" t="str">
        <f t="shared" si="16"/>
        <v/>
      </c>
      <c r="AH61" s="143" t="str">
        <f t="shared" si="17"/>
        <v/>
      </c>
      <c r="AI61" s="143" t="str">
        <f t="shared" si="18"/>
        <v/>
      </c>
      <c r="AJ61" s="143" t="str">
        <f t="shared" si="19"/>
        <v/>
      </c>
      <c r="AK61" s="143" t="str">
        <f t="shared" si="20"/>
        <v/>
      </c>
      <c r="AL61" s="143" t="str">
        <f t="shared" si="21"/>
        <v/>
      </c>
      <c r="AM61" s="143" t="str">
        <f t="shared" si="22"/>
        <v/>
      </c>
      <c r="AN61" s="143" t="str">
        <f t="shared" si="23"/>
        <v/>
      </c>
      <c r="AP61" s="9">
        <f t="shared" si="11"/>
        <v>8.5896795858148318E-3</v>
      </c>
      <c r="AQ61" s="9">
        <f t="shared" si="12"/>
        <v>0.93411208409469215</v>
      </c>
    </row>
    <row r="62" spans="2:43" x14ac:dyDescent="0.35">
      <c r="B62" s="3" t="s">
        <v>152</v>
      </c>
      <c r="D62" s="141">
        <v>691192</v>
      </c>
      <c r="E62" s="141">
        <v>691709</v>
      </c>
      <c r="F62" s="141">
        <v>417960</v>
      </c>
      <c r="G62" s="141">
        <v>581803</v>
      </c>
      <c r="H62" s="141">
        <f>+SUM(D62:G62)</f>
        <v>2382664</v>
      </c>
      <c r="J62" s="141">
        <v>77158</v>
      </c>
      <c r="K62" s="141">
        <v>80198</v>
      </c>
      <c r="L62" s="141">
        <v>47053</v>
      </c>
      <c r="M62" s="141">
        <v>60602</v>
      </c>
      <c r="N62" s="141">
        <f>+SUM(J62:M62)</f>
        <v>265011</v>
      </c>
      <c r="P62" s="2">
        <f>+IFERROR(J62/D62,"")</f>
        <v>0.11163034294378407</v>
      </c>
      <c r="Q62" s="2">
        <f>+IFERROR(K62/E62,"")</f>
        <v>0.11594181946454361</v>
      </c>
      <c r="R62" s="2">
        <f>+IFERROR(L62/F62,"")</f>
        <v>0.11257775863719016</v>
      </c>
      <c r="S62" s="2">
        <f>+IFERROR(M62/G62,"")</f>
        <v>0.1041624054877682</v>
      </c>
      <c r="T62" s="2" t="str">
        <f>+IFERROR(#REF!/#REF!,"")</f>
        <v/>
      </c>
      <c r="U62" s="2" t="str">
        <f>+IFERROR(#REF!/#REF!,"")</f>
        <v/>
      </c>
      <c r="V62" s="2" t="str">
        <f>+IFERROR(#REF!/#REF!,"")</f>
        <v/>
      </c>
      <c r="W62" s="2" t="str">
        <f>+IFERROR(#REF!/#REF!,"")</f>
        <v/>
      </c>
      <c r="X62" s="2" t="str">
        <f>+IFERROR(#REF!/#REF!,"")</f>
        <v/>
      </c>
      <c r="Y62" s="2" t="str">
        <f>+IFERROR(#REF!/#REF!,"")</f>
        <v/>
      </c>
      <c r="Z62" s="2" t="str">
        <f>+IFERROR(#REF!/#REF!,"")</f>
        <v/>
      </c>
      <c r="AA62" s="2" t="str">
        <f>+IFERROR(#REF!/#REF!,"")</f>
        <v/>
      </c>
      <c r="AB62" s="2">
        <f>+IFERROR(N62/H62,"")</f>
        <v>0.11122466281439598</v>
      </c>
      <c r="AD62" s="2" t="str">
        <f t="shared" si="13"/>
        <v/>
      </c>
      <c r="AE62" s="2" t="str">
        <f t="shared" si="14"/>
        <v/>
      </c>
      <c r="AF62" s="143">
        <f t="shared" si="15"/>
        <v>-8.4153531494219613E-3</v>
      </c>
      <c r="AG62" s="143" t="str">
        <f t="shared" si="16"/>
        <v/>
      </c>
      <c r="AH62" s="143" t="str">
        <f t="shared" si="17"/>
        <v/>
      </c>
      <c r="AI62" s="143" t="str">
        <f t="shared" si="18"/>
        <v/>
      </c>
      <c r="AJ62" s="143" t="str">
        <f t="shared" si="19"/>
        <v/>
      </c>
      <c r="AK62" s="143" t="str">
        <f t="shared" si="20"/>
        <v/>
      </c>
      <c r="AL62" s="143" t="str">
        <f t="shared" si="21"/>
        <v/>
      </c>
      <c r="AM62" s="143" t="str">
        <f t="shared" si="22"/>
        <v/>
      </c>
      <c r="AN62" s="143" t="str">
        <f t="shared" si="23"/>
        <v/>
      </c>
      <c r="AP62" s="9">
        <f t="shared" si="11"/>
        <v>1.6224786250941363E-4</v>
      </c>
      <c r="AQ62" s="9">
        <f t="shared" si="12"/>
        <v>0.93427433195720155</v>
      </c>
    </row>
    <row r="63" spans="2:43" x14ac:dyDescent="0.35">
      <c r="B63" s="3" t="s">
        <v>163</v>
      </c>
      <c r="D63" s="141">
        <v>145160</v>
      </c>
      <c r="E63" s="141"/>
      <c r="F63" s="141"/>
      <c r="G63" s="141"/>
      <c r="H63" s="141">
        <f>+SUM(D63:G63)</f>
        <v>145160</v>
      </c>
      <c r="J63" s="141">
        <v>21088</v>
      </c>
      <c r="K63" s="141"/>
      <c r="L63" s="141"/>
      <c r="M63" s="141"/>
      <c r="N63" s="141">
        <f>+SUM(J63:M63)</f>
        <v>21088</v>
      </c>
      <c r="P63" s="2">
        <f>+IFERROR(J63/D63,"")</f>
        <v>0.14527418021493524</v>
      </c>
      <c r="Q63" s="2" t="str">
        <f>+IFERROR(K63/E63,"")</f>
        <v/>
      </c>
      <c r="R63" s="2" t="str">
        <f>+IFERROR(L63/F63,"")</f>
        <v/>
      </c>
      <c r="S63" s="2" t="str">
        <f>+IFERROR(M63/G63,"")</f>
        <v/>
      </c>
      <c r="T63" s="2" t="str">
        <f>+IFERROR(#REF!/#REF!,"")</f>
        <v/>
      </c>
      <c r="U63" s="2" t="str">
        <f>+IFERROR(#REF!/#REF!,"")</f>
        <v/>
      </c>
      <c r="V63" s="2" t="str">
        <f>+IFERROR(#REF!/#REF!,"")</f>
        <v/>
      </c>
      <c r="W63" s="2" t="str">
        <f>+IFERROR(#REF!/#REF!,"")</f>
        <v/>
      </c>
      <c r="X63" s="2" t="str">
        <f>+IFERROR(#REF!/#REF!,"")</f>
        <v/>
      </c>
      <c r="Y63" s="2" t="str">
        <f>+IFERROR(#REF!/#REF!,"")</f>
        <v/>
      </c>
      <c r="Z63" s="2" t="str">
        <f>+IFERROR(#REF!/#REF!,"")</f>
        <v/>
      </c>
      <c r="AA63" s="2" t="str">
        <f>+IFERROR(#REF!/#REF!,"")</f>
        <v/>
      </c>
      <c r="AB63" s="2">
        <f>+IFERROR(N63/H63,"")</f>
        <v>0.14527418021493524</v>
      </c>
      <c r="AD63" s="2" t="str">
        <f t="shared" si="13"/>
        <v/>
      </c>
      <c r="AE63" s="2" t="str">
        <f t="shared" si="14"/>
        <v/>
      </c>
      <c r="AF63" s="143" t="str">
        <f t="shared" si="15"/>
        <v/>
      </c>
      <c r="AG63" s="143" t="str">
        <f t="shared" si="16"/>
        <v/>
      </c>
      <c r="AH63" s="143" t="str">
        <f t="shared" si="17"/>
        <v/>
      </c>
      <c r="AI63" s="143" t="str">
        <f t="shared" si="18"/>
        <v/>
      </c>
      <c r="AJ63" s="143" t="str">
        <f t="shared" si="19"/>
        <v/>
      </c>
      <c r="AK63" s="143" t="str">
        <f t="shared" si="20"/>
        <v/>
      </c>
      <c r="AL63" s="143" t="str">
        <f t="shared" si="21"/>
        <v/>
      </c>
      <c r="AM63" s="143" t="str">
        <f t="shared" si="22"/>
        <v/>
      </c>
      <c r="AN63" s="143" t="str">
        <f t="shared" si="23"/>
        <v/>
      </c>
      <c r="AP63" s="9">
        <f t="shared" si="11"/>
        <v>1.2910720402543724E-5</v>
      </c>
      <c r="AQ63" s="9">
        <f t="shared" si="12"/>
        <v>0.9342872426776041</v>
      </c>
    </row>
    <row r="64" spans="2:43" x14ac:dyDescent="0.35">
      <c r="B64" s="3" t="s">
        <v>196</v>
      </c>
      <c r="D64" s="141">
        <v>1149771</v>
      </c>
      <c r="E64" s="141">
        <v>752949</v>
      </c>
      <c r="F64" s="141">
        <v>671855</v>
      </c>
      <c r="G64" s="141">
        <v>467891</v>
      </c>
      <c r="H64" s="141">
        <f>+SUM(D64:G64)</f>
        <v>3042466</v>
      </c>
      <c r="J64" s="141">
        <v>158291</v>
      </c>
      <c r="K64" s="141">
        <v>98337</v>
      </c>
      <c r="L64" s="141">
        <v>94878</v>
      </c>
      <c r="M64" s="141">
        <v>64793</v>
      </c>
      <c r="N64" s="141">
        <f>+SUM(J64:M64)</f>
        <v>416299</v>
      </c>
      <c r="P64" s="2">
        <f>+IFERROR(J64/D64,"")</f>
        <v>0.1376717624640037</v>
      </c>
      <c r="Q64" s="2">
        <f>+IFERROR(K64/E64,"")</f>
        <v>0.13060247108369891</v>
      </c>
      <c r="R64" s="2">
        <f>+IFERROR(L64/F64,"")</f>
        <v>0.14121797113960602</v>
      </c>
      <c r="S64" s="2">
        <f>+IFERROR(M64/G64,"")</f>
        <v>0.13847883374546635</v>
      </c>
      <c r="T64" s="2" t="str">
        <f>+IFERROR(#REF!/#REF!,"")</f>
        <v/>
      </c>
      <c r="U64" s="2" t="str">
        <f>+IFERROR(#REF!/#REF!,"")</f>
        <v/>
      </c>
      <c r="V64" s="2" t="str">
        <f>+IFERROR(#REF!/#REF!,"")</f>
        <v/>
      </c>
      <c r="W64" s="2" t="str">
        <f>+IFERROR(#REF!/#REF!,"")</f>
        <v/>
      </c>
      <c r="X64" s="2" t="str">
        <f>+IFERROR(#REF!/#REF!,"")</f>
        <v/>
      </c>
      <c r="Y64" s="2" t="str">
        <f>+IFERROR(#REF!/#REF!,"")</f>
        <v/>
      </c>
      <c r="Z64" s="2" t="str">
        <f>+IFERROR(#REF!/#REF!,"")</f>
        <v/>
      </c>
      <c r="AA64" s="2" t="str">
        <f>+IFERROR(#REF!/#REF!,"")</f>
        <v/>
      </c>
      <c r="AB64" s="2">
        <f>+IFERROR(N64/H64,"")</f>
        <v>0.1368294666234561</v>
      </c>
      <c r="AD64" s="2" t="str">
        <f t="shared" si="13"/>
        <v/>
      </c>
      <c r="AE64" s="2" t="str">
        <f t="shared" si="14"/>
        <v/>
      </c>
      <c r="AF64" s="143">
        <f t="shared" si="15"/>
        <v>-2.7391373941396679E-3</v>
      </c>
      <c r="AG64" s="143" t="str">
        <f t="shared" si="16"/>
        <v/>
      </c>
      <c r="AH64" s="143" t="str">
        <f t="shared" si="17"/>
        <v/>
      </c>
      <c r="AI64" s="143" t="str">
        <f t="shared" si="18"/>
        <v/>
      </c>
      <c r="AJ64" s="143" t="str">
        <f t="shared" si="19"/>
        <v/>
      </c>
      <c r="AK64" s="143" t="str">
        <f t="shared" si="20"/>
        <v/>
      </c>
      <c r="AL64" s="143" t="str">
        <f t="shared" si="21"/>
        <v/>
      </c>
      <c r="AM64" s="143" t="str">
        <f t="shared" si="22"/>
        <v/>
      </c>
      <c r="AN64" s="143" t="str">
        <f t="shared" si="23"/>
        <v/>
      </c>
      <c r="AP64" s="9">
        <f t="shared" si="11"/>
        <v>2.5487101635330754E-4</v>
      </c>
      <c r="AQ64" s="9">
        <f t="shared" si="12"/>
        <v>0.93454211369395745</v>
      </c>
    </row>
    <row r="65" spans="2:43" x14ac:dyDescent="0.35">
      <c r="B65" s="3" t="s">
        <v>148</v>
      </c>
      <c r="D65" s="141">
        <v>3481239</v>
      </c>
      <c r="E65" s="141">
        <v>3272180</v>
      </c>
      <c r="F65" s="141">
        <v>1786268</v>
      </c>
      <c r="G65" s="141">
        <v>1583327</v>
      </c>
      <c r="H65" s="141">
        <f>+SUM(D65:G65)</f>
        <v>10123014</v>
      </c>
      <c r="J65" s="141">
        <v>462725</v>
      </c>
      <c r="K65" s="141">
        <v>417007</v>
      </c>
      <c r="L65" s="141">
        <v>203546</v>
      </c>
      <c r="M65" s="141">
        <v>199676</v>
      </c>
      <c r="N65" s="141">
        <f>+SUM(J65:M65)</f>
        <v>1282954</v>
      </c>
      <c r="P65" s="2">
        <f>+IFERROR(J65/D65,"")</f>
        <v>0.13291963005125473</v>
      </c>
      <c r="Q65" s="2">
        <f>+IFERROR(K65/E65,"")</f>
        <v>0.12744011637501604</v>
      </c>
      <c r="R65" s="2">
        <f>+IFERROR(L65/F65,"")</f>
        <v>0.11395042625182783</v>
      </c>
      <c r="S65" s="2">
        <f>+IFERROR(M65/G65,"")</f>
        <v>0.12611166234138621</v>
      </c>
      <c r="T65" s="2" t="str">
        <f>+IFERROR(#REF!/#REF!,"")</f>
        <v/>
      </c>
      <c r="U65" s="2" t="str">
        <f>+IFERROR(#REF!/#REF!,"")</f>
        <v/>
      </c>
      <c r="V65" s="2" t="str">
        <f>+IFERROR(#REF!/#REF!,"")</f>
        <v/>
      </c>
      <c r="W65" s="2" t="str">
        <f>+IFERROR(#REF!/#REF!,"")</f>
        <v/>
      </c>
      <c r="X65" s="2" t="str">
        <f>+IFERROR(#REF!/#REF!,"")</f>
        <v/>
      </c>
      <c r="Y65" s="2" t="str">
        <f>+IFERROR(#REF!/#REF!,"")</f>
        <v/>
      </c>
      <c r="Z65" s="2" t="str">
        <f>+IFERROR(#REF!/#REF!,"")</f>
        <v/>
      </c>
      <c r="AA65" s="2" t="str">
        <f>+IFERROR(#REF!/#REF!,"")</f>
        <v/>
      </c>
      <c r="AB65" s="2">
        <f>+IFERROR(N65/H65,"")</f>
        <v>0.12673636527619145</v>
      </c>
      <c r="AD65" s="2" t="str">
        <f t="shared" si="13"/>
        <v/>
      </c>
      <c r="AE65" s="2" t="str">
        <f t="shared" si="14"/>
        <v/>
      </c>
      <c r="AF65" s="143">
        <f t="shared" si="15"/>
        <v>1.216123608955838E-2</v>
      </c>
      <c r="AG65" s="143" t="str">
        <f t="shared" si="16"/>
        <v/>
      </c>
      <c r="AH65" s="143" t="str">
        <f t="shared" si="17"/>
        <v/>
      </c>
      <c r="AI65" s="143" t="str">
        <f t="shared" si="18"/>
        <v/>
      </c>
      <c r="AJ65" s="143" t="str">
        <f t="shared" si="19"/>
        <v/>
      </c>
      <c r="AK65" s="143" t="str">
        <f t="shared" si="20"/>
        <v/>
      </c>
      <c r="AL65" s="143" t="str">
        <f t="shared" si="21"/>
        <v/>
      </c>
      <c r="AM65" s="143" t="str">
        <f t="shared" si="22"/>
        <v/>
      </c>
      <c r="AN65" s="143" t="str">
        <f t="shared" si="23"/>
        <v/>
      </c>
      <c r="AP65" s="9">
        <f t="shared" si="11"/>
        <v>7.8546378904235015E-4</v>
      </c>
      <c r="AQ65" s="9">
        <f t="shared" si="12"/>
        <v>0.93532757748299977</v>
      </c>
    </row>
    <row r="66" spans="2:43" x14ac:dyDescent="0.35">
      <c r="B66" s="3" t="s">
        <v>177</v>
      </c>
      <c r="D66" s="141">
        <v>1947636</v>
      </c>
      <c r="E66" s="141">
        <v>2315963</v>
      </c>
      <c r="F66" s="141">
        <v>3078485</v>
      </c>
      <c r="G66" s="141">
        <v>1488057</v>
      </c>
      <c r="H66" s="141">
        <f>+SUM(D66:G66)</f>
        <v>8830141</v>
      </c>
      <c r="J66" s="141">
        <v>491532</v>
      </c>
      <c r="K66" s="141">
        <v>485125</v>
      </c>
      <c r="L66" s="141">
        <v>511913</v>
      </c>
      <c r="M66" s="141">
        <v>190107</v>
      </c>
      <c r="N66" s="141">
        <f>+SUM(J66:M66)</f>
        <v>1678677</v>
      </c>
      <c r="P66" s="2">
        <f>+IFERROR(J66/D66,"")</f>
        <v>0.25237364682106922</v>
      </c>
      <c r="Q66" s="2">
        <f>+IFERROR(K66/E66,"")</f>
        <v>0.20947009947913675</v>
      </c>
      <c r="R66" s="2">
        <f>+IFERROR(L66/F66,"")</f>
        <v>0.16628731340253403</v>
      </c>
      <c r="S66" s="2">
        <f>+IFERROR(M66/G66,"")</f>
        <v>0.12775518679727993</v>
      </c>
      <c r="T66" s="2" t="str">
        <f>+IFERROR(#REF!/#REF!,"")</f>
        <v/>
      </c>
      <c r="U66" s="2" t="str">
        <f>+IFERROR(#REF!/#REF!,"")</f>
        <v/>
      </c>
      <c r="V66" s="2" t="str">
        <f>+IFERROR(#REF!/#REF!,"")</f>
        <v/>
      </c>
      <c r="W66" s="2" t="str">
        <f>+IFERROR(#REF!/#REF!,"")</f>
        <v/>
      </c>
      <c r="X66" s="2" t="str">
        <f>+IFERROR(#REF!/#REF!,"")</f>
        <v/>
      </c>
      <c r="Y66" s="2" t="str">
        <f>+IFERROR(#REF!/#REF!,"")</f>
        <v/>
      </c>
      <c r="Z66" s="2" t="str">
        <f>+IFERROR(#REF!/#REF!,"")</f>
        <v/>
      </c>
      <c r="AA66" s="2" t="str">
        <f>+IFERROR(#REF!/#REF!,"")</f>
        <v/>
      </c>
      <c r="AB66" s="2">
        <f>+IFERROR(N66/H66,"")</f>
        <v>0.19010760983318387</v>
      </c>
      <c r="AD66" s="2" t="str">
        <f t="shared" si="13"/>
        <v/>
      </c>
      <c r="AE66" s="2" t="str">
        <f t="shared" si="14"/>
        <v/>
      </c>
      <c r="AF66" s="143">
        <f t="shared" si="15"/>
        <v>-3.8532126605254097E-2</v>
      </c>
      <c r="AG66" s="143" t="str">
        <f t="shared" si="16"/>
        <v/>
      </c>
      <c r="AH66" s="143" t="str">
        <f t="shared" si="17"/>
        <v/>
      </c>
      <c r="AI66" s="143" t="str">
        <f t="shared" si="18"/>
        <v/>
      </c>
      <c r="AJ66" s="143" t="str">
        <f t="shared" si="19"/>
        <v/>
      </c>
      <c r="AK66" s="143" t="str">
        <f t="shared" si="20"/>
        <v/>
      </c>
      <c r="AL66" s="143" t="str">
        <f t="shared" si="21"/>
        <v/>
      </c>
      <c r="AM66" s="143" t="str">
        <f t="shared" si="22"/>
        <v/>
      </c>
      <c r="AN66" s="143" t="str">
        <f t="shared" si="23"/>
        <v/>
      </c>
      <c r="AP66" s="9">
        <f t="shared" si="11"/>
        <v>1.0277375470969694E-3</v>
      </c>
      <c r="AQ66" s="9">
        <f t="shared" si="12"/>
        <v>0.93635531503009672</v>
      </c>
    </row>
    <row r="67" spans="2:43" x14ac:dyDescent="0.35">
      <c r="B67" s="3" t="s">
        <v>158</v>
      </c>
      <c r="D67" s="141">
        <v>1685794</v>
      </c>
      <c r="E67" s="141">
        <v>1524825</v>
      </c>
      <c r="F67" s="141">
        <v>1393249</v>
      </c>
      <c r="G67" s="141">
        <v>1135635</v>
      </c>
      <c r="H67" s="141">
        <f>+SUM(D67:G67)</f>
        <v>5739503</v>
      </c>
      <c r="J67" s="141">
        <v>180587</v>
      </c>
      <c r="K67" s="141">
        <v>151516</v>
      </c>
      <c r="L67" s="141">
        <v>198968</v>
      </c>
      <c r="M67" s="141">
        <v>126958</v>
      </c>
      <c r="N67" s="141">
        <f>+SUM(J67:M67)</f>
        <v>658029</v>
      </c>
      <c r="P67" s="2">
        <f>+IFERROR(J67/D67,"")</f>
        <v>0.10712281571769741</v>
      </c>
      <c r="Q67" s="2">
        <f>+IFERROR(K67/E67,"")</f>
        <v>9.9366156772088599E-2</v>
      </c>
      <c r="R67" s="2">
        <f>+IFERROR(L67/F67,"")</f>
        <v>0.14280864368106491</v>
      </c>
      <c r="S67" s="2">
        <f>+IFERROR(M67/G67,"")</f>
        <v>0.11179472277624412</v>
      </c>
      <c r="T67" s="2" t="str">
        <f>+IFERROR(#REF!/#REF!,"")</f>
        <v/>
      </c>
      <c r="U67" s="2" t="str">
        <f>+IFERROR(#REF!/#REF!,"")</f>
        <v/>
      </c>
      <c r="V67" s="2" t="str">
        <f>+IFERROR(#REF!/#REF!,"")</f>
        <v/>
      </c>
      <c r="W67" s="2" t="str">
        <f>+IFERROR(#REF!/#REF!,"")</f>
        <v/>
      </c>
      <c r="X67" s="2" t="str">
        <f>+IFERROR(#REF!/#REF!,"")</f>
        <v/>
      </c>
      <c r="Y67" s="2" t="str">
        <f>+IFERROR(#REF!/#REF!,"")</f>
        <v/>
      </c>
      <c r="Z67" s="2" t="str">
        <f>+IFERROR(#REF!/#REF!,"")</f>
        <v/>
      </c>
      <c r="AA67" s="2" t="str">
        <f>+IFERROR(#REF!/#REF!,"")</f>
        <v/>
      </c>
      <c r="AB67" s="2">
        <f>+IFERROR(N67/H67,"")</f>
        <v>0.1146491255427517</v>
      </c>
      <c r="AD67" s="2" t="str">
        <f t="shared" si="13"/>
        <v/>
      </c>
      <c r="AE67" s="2" t="str">
        <f t="shared" si="14"/>
        <v/>
      </c>
      <c r="AF67" s="143">
        <f t="shared" si="15"/>
        <v>-3.1013920904820788E-2</v>
      </c>
      <c r="AG67" s="143" t="str">
        <f t="shared" si="16"/>
        <v/>
      </c>
      <c r="AH67" s="143" t="str">
        <f t="shared" si="17"/>
        <v/>
      </c>
      <c r="AI67" s="143" t="str">
        <f t="shared" si="18"/>
        <v/>
      </c>
      <c r="AJ67" s="143" t="str">
        <f t="shared" si="19"/>
        <v/>
      </c>
      <c r="AK67" s="143" t="str">
        <f t="shared" si="20"/>
        <v/>
      </c>
      <c r="AL67" s="143" t="str">
        <f t="shared" si="21"/>
        <v/>
      </c>
      <c r="AM67" s="143" t="str">
        <f t="shared" si="22"/>
        <v/>
      </c>
      <c r="AN67" s="143" t="str">
        <f t="shared" si="23"/>
        <v/>
      </c>
      <c r="AP67" s="9">
        <f t="shared" si="11"/>
        <v>4.0286553659737501E-4</v>
      </c>
      <c r="AQ67" s="9">
        <f t="shared" si="12"/>
        <v>0.93675818056669413</v>
      </c>
    </row>
    <row r="68" spans="2:43" x14ac:dyDescent="0.35">
      <c r="B68" s="3" t="s">
        <v>157</v>
      </c>
      <c r="D68" s="141">
        <v>11020173</v>
      </c>
      <c r="E68" s="141">
        <v>9004367</v>
      </c>
      <c r="F68" s="141">
        <v>8814588</v>
      </c>
      <c r="G68" s="141">
        <v>2128986</v>
      </c>
      <c r="H68" s="141">
        <f>+SUM(D68:G68)</f>
        <v>30968114</v>
      </c>
      <c r="J68" s="141">
        <v>1316794</v>
      </c>
      <c r="K68" s="141">
        <v>994496</v>
      </c>
      <c r="L68" s="141">
        <v>1115498</v>
      </c>
      <c r="M68" s="141">
        <v>173460</v>
      </c>
      <c r="N68" s="141">
        <f>+SUM(J68:M68)</f>
        <v>3600248</v>
      </c>
      <c r="P68" s="2">
        <f>+IFERROR(J68/D68,"")</f>
        <v>0.11948941273426469</v>
      </c>
      <c r="Q68" s="2">
        <f>+IFERROR(K68/E68,"")</f>
        <v>0.11044596471911906</v>
      </c>
      <c r="R68" s="2">
        <f>+IFERROR(L68/F68,"")</f>
        <v>0.12655134874142729</v>
      </c>
      <c r="S68" s="2">
        <f>+IFERROR(M68/G68,"")</f>
        <v>8.1475406602016173E-2</v>
      </c>
      <c r="T68" s="2" t="str">
        <f>+IFERROR(#REF!/#REF!,"")</f>
        <v/>
      </c>
      <c r="U68" s="2" t="str">
        <f>+IFERROR(#REF!/#REF!,"")</f>
        <v/>
      </c>
      <c r="V68" s="2" t="str">
        <f>+IFERROR(#REF!/#REF!,"")</f>
        <v/>
      </c>
      <c r="W68" s="2" t="str">
        <f>+IFERROR(#REF!/#REF!,"")</f>
        <v/>
      </c>
      <c r="X68" s="2" t="str">
        <f>+IFERROR(#REF!/#REF!,"")</f>
        <v/>
      </c>
      <c r="Y68" s="2" t="str">
        <f>+IFERROR(#REF!/#REF!,"")</f>
        <v/>
      </c>
      <c r="Z68" s="2" t="str">
        <f>+IFERROR(#REF!/#REF!,"")</f>
        <v/>
      </c>
      <c r="AA68" s="2" t="str">
        <f>+IFERROR(#REF!/#REF!,"")</f>
        <v/>
      </c>
      <c r="AB68" s="2">
        <f>+IFERROR(N68/H68,"")</f>
        <v>0.11625661155858572</v>
      </c>
      <c r="AD68" s="2" t="str">
        <f t="shared" si="13"/>
        <v/>
      </c>
      <c r="AE68" s="2" t="str">
        <f t="shared" si="14"/>
        <v/>
      </c>
      <c r="AF68" s="143">
        <f t="shared" si="15"/>
        <v>-4.5075942139411115E-2</v>
      </c>
      <c r="AG68" s="143" t="str">
        <f t="shared" si="16"/>
        <v/>
      </c>
      <c r="AH68" s="143" t="str">
        <f t="shared" si="17"/>
        <v/>
      </c>
      <c r="AI68" s="143" t="str">
        <f t="shared" si="18"/>
        <v/>
      </c>
      <c r="AJ68" s="143" t="str">
        <f t="shared" si="19"/>
        <v/>
      </c>
      <c r="AK68" s="143" t="str">
        <f t="shared" si="20"/>
        <v/>
      </c>
      <c r="AL68" s="143" t="str">
        <f t="shared" si="21"/>
        <v/>
      </c>
      <c r="AM68" s="143" t="str">
        <f t="shared" si="22"/>
        <v/>
      </c>
      <c r="AN68" s="143" t="str">
        <f t="shared" si="23"/>
        <v/>
      </c>
      <c r="AP68" s="9">
        <f t="shared" si="11"/>
        <v>2.2041822509397398E-3</v>
      </c>
      <c r="AQ68" s="9">
        <f t="shared" si="12"/>
        <v>0.9389623628176339</v>
      </c>
    </row>
    <row r="69" spans="2:43" x14ac:dyDescent="0.35">
      <c r="B69" s="3" t="s">
        <v>133</v>
      </c>
      <c r="D69" s="141">
        <v>2474277</v>
      </c>
      <c r="E69" s="141">
        <v>2255095</v>
      </c>
      <c r="F69" s="141">
        <v>2376477</v>
      </c>
      <c r="G69" s="141">
        <v>1804351</v>
      </c>
      <c r="H69" s="141">
        <f>+SUM(D69:G69)</f>
        <v>8910200</v>
      </c>
      <c r="J69" s="141">
        <v>412683</v>
      </c>
      <c r="K69" s="141">
        <v>366076</v>
      </c>
      <c r="L69" s="141">
        <v>416474</v>
      </c>
      <c r="M69" s="141">
        <v>332205</v>
      </c>
      <c r="N69" s="141">
        <f>+SUM(J69:M69)</f>
        <v>1527438</v>
      </c>
      <c r="P69" s="2">
        <f>+IFERROR(J69/D69,"")</f>
        <v>0.16678932876149274</v>
      </c>
      <c r="Q69" s="2">
        <f>+IFERROR(K69/E69,"")</f>
        <v>0.16233285072247511</v>
      </c>
      <c r="R69" s="2">
        <f>+IFERROR(L69/F69,"")</f>
        <v>0.17524848757214986</v>
      </c>
      <c r="S69" s="2">
        <f>+IFERROR(M69/G69,"")</f>
        <v>0.18411329059589848</v>
      </c>
      <c r="T69" s="2" t="str">
        <f>+IFERROR(#REF!/#REF!,"")</f>
        <v/>
      </c>
      <c r="U69" s="2" t="str">
        <f>+IFERROR(#REF!/#REF!,"")</f>
        <v/>
      </c>
      <c r="V69" s="2" t="str">
        <f>+IFERROR(#REF!/#REF!,"")</f>
        <v/>
      </c>
      <c r="W69" s="2" t="str">
        <f>+IFERROR(#REF!/#REF!,"")</f>
        <v/>
      </c>
      <c r="X69" s="2" t="str">
        <f>+IFERROR(#REF!/#REF!,"")</f>
        <v/>
      </c>
      <c r="Y69" s="2" t="str">
        <f>+IFERROR(#REF!/#REF!,"")</f>
        <v/>
      </c>
      <c r="Z69" s="2" t="str">
        <f>+IFERROR(#REF!/#REF!,"")</f>
        <v/>
      </c>
      <c r="AA69" s="2" t="str">
        <f>+IFERROR(#REF!/#REF!,"")</f>
        <v/>
      </c>
      <c r="AB69" s="2">
        <f>+IFERROR(N69/H69,"")</f>
        <v>0.17142578168840206</v>
      </c>
      <c r="AD69" s="2" t="str">
        <f t="shared" si="13"/>
        <v/>
      </c>
      <c r="AE69" s="2" t="str">
        <f t="shared" si="14"/>
        <v/>
      </c>
      <c r="AF69" s="143">
        <f t="shared" si="15"/>
        <v>8.8648030237486186E-3</v>
      </c>
      <c r="AG69" s="143" t="str">
        <f t="shared" si="16"/>
        <v/>
      </c>
      <c r="AH69" s="143" t="str">
        <f t="shared" si="17"/>
        <v/>
      </c>
      <c r="AI69" s="143" t="str">
        <f t="shared" si="18"/>
        <v/>
      </c>
      <c r="AJ69" s="143" t="str">
        <f t="shared" si="19"/>
        <v/>
      </c>
      <c r="AK69" s="143" t="str">
        <f t="shared" si="20"/>
        <v/>
      </c>
      <c r="AL69" s="143" t="str">
        <f t="shared" si="21"/>
        <v/>
      </c>
      <c r="AM69" s="143" t="str">
        <f t="shared" si="22"/>
        <v/>
      </c>
      <c r="AN69" s="143" t="str">
        <f t="shared" si="23"/>
        <v/>
      </c>
      <c r="AP69" s="9">
        <f t="shared" ref="AP69:AP132" si="24">+N69/$N$237</f>
        <v>9.3514439255598355E-4</v>
      </c>
      <c r="AQ69" s="9">
        <f t="shared" si="12"/>
        <v>0.93989750721018983</v>
      </c>
    </row>
    <row r="70" spans="2:43" x14ac:dyDescent="0.35">
      <c r="B70" s="3" t="s">
        <v>129</v>
      </c>
      <c r="D70" s="141">
        <v>2979775</v>
      </c>
      <c r="E70" s="141">
        <v>2721414</v>
      </c>
      <c r="F70" s="141">
        <v>2421013</v>
      </c>
      <c r="G70" s="141">
        <v>2254089</v>
      </c>
      <c r="H70" s="141">
        <f>+SUM(D70:G70)</f>
        <v>10376291</v>
      </c>
      <c r="J70" s="141">
        <v>313554</v>
      </c>
      <c r="K70" s="141">
        <v>289265</v>
      </c>
      <c r="L70" s="141">
        <v>341118</v>
      </c>
      <c r="M70" s="141">
        <v>243087</v>
      </c>
      <c r="N70" s="141">
        <f>+SUM(J70:M70)</f>
        <v>1187024</v>
      </c>
      <c r="P70" s="2">
        <f>+IFERROR(J70/D70,"")</f>
        <v>0.10522740810967271</v>
      </c>
      <c r="Q70" s="2">
        <f>+IFERROR(K70/E70,"")</f>
        <v>0.10629217017329962</v>
      </c>
      <c r="R70" s="2">
        <f>+IFERROR(L70/F70,"")</f>
        <v>0.14089887167066018</v>
      </c>
      <c r="S70" s="2">
        <f>+IFERROR(M70/G70,"")</f>
        <v>0.10784268056851348</v>
      </c>
      <c r="T70" s="2" t="str">
        <f>+IFERROR(#REF!/#REF!,"")</f>
        <v/>
      </c>
      <c r="U70" s="2" t="str">
        <f>+IFERROR(#REF!/#REF!,"")</f>
        <v/>
      </c>
      <c r="V70" s="2" t="str">
        <f>+IFERROR(#REF!/#REF!,"")</f>
        <v/>
      </c>
      <c r="W70" s="2" t="str">
        <f>+IFERROR(#REF!/#REF!,"")</f>
        <v/>
      </c>
      <c r="X70" s="2" t="str">
        <f>+IFERROR(#REF!/#REF!,"")</f>
        <v/>
      </c>
      <c r="Y70" s="2" t="str">
        <f>+IFERROR(#REF!/#REF!,"")</f>
        <v/>
      </c>
      <c r="Z70" s="2" t="str">
        <f>+IFERROR(#REF!/#REF!,"")</f>
        <v/>
      </c>
      <c r="AA70" s="2" t="str">
        <f>+IFERROR(#REF!/#REF!,"")</f>
        <v/>
      </c>
      <c r="AB70" s="2">
        <f>+IFERROR(N70/H70,"")</f>
        <v>0.11439771687204994</v>
      </c>
      <c r="AD70" s="2" t="str">
        <f t="shared" si="13"/>
        <v/>
      </c>
      <c r="AE70" s="2" t="str">
        <f t="shared" si="14"/>
        <v/>
      </c>
      <c r="AF70" s="143">
        <f t="shared" si="15"/>
        <v>-3.3056191102146693E-2</v>
      </c>
      <c r="AG70" s="143" t="str">
        <f t="shared" si="16"/>
        <v/>
      </c>
      <c r="AH70" s="143" t="str">
        <f t="shared" si="17"/>
        <v/>
      </c>
      <c r="AI70" s="143" t="str">
        <f t="shared" si="18"/>
        <v/>
      </c>
      <c r="AJ70" s="143" t="str">
        <f t="shared" si="19"/>
        <v/>
      </c>
      <c r="AK70" s="143" t="str">
        <f t="shared" si="20"/>
        <v/>
      </c>
      <c r="AL70" s="143" t="str">
        <f t="shared" si="21"/>
        <v/>
      </c>
      <c r="AM70" s="143" t="str">
        <f t="shared" si="22"/>
        <v/>
      </c>
      <c r="AN70" s="143" t="str">
        <f t="shared" si="23"/>
        <v/>
      </c>
      <c r="AP70" s="9">
        <f t="shared" si="24"/>
        <v>7.2673250071647675E-4</v>
      </c>
      <c r="AQ70" s="9">
        <f t="shared" ref="AQ70:AQ133" si="25">+AP70+AQ69</f>
        <v>0.94062423971090636</v>
      </c>
    </row>
    <row r="71" spans="2:43" x14ac:dyDescent="0.35">
      <c r="B71" s="3" t="s">
        <v>146</v>
      </c>
      <c r="D71" s="141">
        <v>3890940</v>
      </c>
      <c r="E71" s="141">
        <v>3593240</v>
      </c>
      <c r="F71" s="141">
        <v>3600200</v>
      </c>
      <c r="G71" s="141">
        <v>3038369</v>
      </c>
      <c r="H71" s="141">
        <f>+SUM(D71:G71)</f>
        <v>14122749</v>
      </c>
      <c r="J71" s="141">
        <v>364708</v>
      </c>
      <c r="K71" s="141">
        <v>367543</v>
      </c>
      <c r="L71" s="141">
        <v>354173</v>
      </c>
      <c r="M71" s="141">
        <v>282343</v>
      </c>
      <c r="N71" s="141">
        <f>+SUM(J71:M71)</f>
        <v>1368767</v>
      </c>
      <c r="P71" s="2">
        <f>+IFERROR(J71/D71,"")</f>
        <v>9.3732619881057022E-2</v>
      </c>
      <c r="Q71" s="2">
        <f>+IFERROR(K71/E71,"")</f>
        <v>0.10228735069185471</v>
      </c>
      <c r="R71" s="2">
        <f>+IFERROR(L71/F71,"")</f>
        <v>9.8375923559802236E-2</v>
      </c>
      <c r="S71" s="2">
        <f>+IFERROR(M71/G71,"")</f>
        <v>9.2925842779464904E-2</v>
      </c>
      <c r="T71" s="2" t="str">
        <f>+IFERROR(#REF!/#REF!,"")</f>
        <v/>
      </c>
      <c r="U71" s="2" t="str">
        <f>+IFERROR(#REF!/#REF!,"")</f>
        <v/>
      </c>
      <c r="V71" s="2" t="str">
        <f>+IFERROR(#REF!/#REF!,"")</f>
        <v/>
      </c>
      <c r="W71" s="2" t="str">
        <f>+IFERROR(#REF!/#REF!,"")</f>
        <v/>
      </c>
      <c r="X71" s="2" t="str">
        <f>+IFERROR(#REF!/#REF!,"")</f>
        <v/>
      </c>
      <c r="Y71" s="2" t="str">
        <f>+IFERROR(#REF!/#REF!,"")</f>
        <v/>
      </c>
      <c r="Z71" s="2" t="str">
        <f>+IFERROR(#REF!/#REF!,"")</f>
        <v/>
      </c>
      <c r="AA71" s="2" t="str">
        <f>+IFERROR(#REF!/#REF!,"")</f>
        <v/>
      </c>
      <c r="AB71" s="2">
        <f>+IFERROR(N71/H71,"")</f>
        <v>9.6919303741785687E-2</v>
      </c>
      <c r="AD71" s="2" t="str">
        <f t="shared" si="13"/>
        <v/>
      </c>
      <c r="AE71" s="2" t="str">
        <f t="shared" si="14"/>
        <v/>
      </c>
      <c r="AF71" s="143">
        <f t="shared" si="15"/>
        <v>-5.4500807803373325E-3</v>
      </c>
      <c r="AG71" s="143" t="str">
        <f t="shared" si="16"/>
        <v/>
      </c>
      <c r="AH71" s="143" t="str">
        <f t="shared" si="17"/>
        <v/>
      </c>
      <c r="AI71" s="143" t="str">
        <f t="shared" si="18"/>
        <v/>
      </c>
      <c r="AJ71" s="143" t="str">
        <f t="shared" si="19"/>
        <v/>
      </c>
      <c r="AK71" s="143" t="str">
        <f t="shared" si="20"/>
        <v/>
      </c>
      <c r="AL71" s="143" t="str">
        <f t="shared" si="21"/>
        <v/>
      </c>
      <c r="AM71" s="143" t="str">
        <f t="shared" si="22"/>
        <v/>
      </c>
      <c r="AN71" s="143" t="str">
        <f t="shared" si="23"/>
        <v/>
      </c>
      <c r="AP71" s="9">
        <f t="shared" si="24"/>
        <v>8.3800113966372178E-4</v>
      </c>
      <c r="AQ71" s="9">
        <f t="shared" si="25"/>
        <v>0.94146224085057006</v>
      </c>
    </row>
    <row r="72" spans="2:43" x14ac:dyDescent="0.35">
      <c r="B72" s="3" t="s">
        <v>164</v>
      </c>
      <c r="D72" s="141">
        <v>2849040</v>
      </c>
      <c r="E72" s="141">
        <v>2752581</v>
      </c>
      <c r="F72" s="141">
        <v>4068047</v>
      </c>
      <c r="G72" s="141">
        <v>2278818</v>
      </c>
      <c r="H72" s="141">
        <f>+SUM(D72:G72)</f>
        <v>11948486</v>
      </c>
      <c r="J72" s="141">
        <v>233828</v>
      </c>
      <c r="K72" s="141">
        <v>283092</v>
      </c>
      <c r="L72" s="141">
        <v>430446</v>
      </c>
      <c r="M72" s="141">
        <v>185848</v>
      </c>
      <c r="N72" s="141">
        <f>+SUM(J72:M72)</f>
        <v>1133214</v>
      </c>
      <c r="P72" s="2">
        <f>+IFERROR(J72/D72,"")</f>
        <v>8.207255777384663E-2</v>
      </c>
      <c r="Q72" s="2">
        <f>+IFERROR(K72/E72,"")</f>
        <v>0.10284601979015331</v>
      </c>
      <c r="R72" s="2">
        <f>+IFERROR(L72/F72,"")</f>
        <v>0.1058114618636412</v>
      </c>
      <c r="S72" s="2">
        <f>+IFERROR(M72/G72,"")</f>
        <v>8.1554560302753445E-2</v>
      </c>
      <c r="T72" s="2" t="str">
        <f>+IFERROR(#REF!/#REF!,"")</f>
        <v/>
      </c>
      <c r="U72" s="2" t="str">
        <f>+IFERROR(#REF!/#REF!,"")</f>
        <v/>
      </c>
      <c r="V72" s="2" t="str">
        <f>+IFERROR(#REF!/#REF!,"")</f>
        <v/>
      </c>
      <c r="W72" s="2" t="str">
        <f>+IFERROR(#REF!/#REF!,"")</f>
        <v/>
      </c>
      <c r="X72" s="2" t="str">
        <f>+IFERROR(#REF!/#REF!,"")</f>
        <v/>
      </c>
      <c r="Y72" s="2" t="str">
        <f>+IFERROR(#REF!/#REF!,"")</f>
        <v/>
      </c>
      <c r="Z72" s="2" t="str">
        <f>+IFERROR(#REF!/#REF!,"")</f>
        <v/>
      </c>
      <c r="AA72" s="2" t="str">
        <f>+IFERROR(#REF!/#REF!,"")</f>
        <v/>
      </c>
      <c r="AB72" s="2">
        <f>+IFERROR(N72/H72,"")</f>
        <v>9.4841639350793067E-2</v>
      </c>
      <c r="AD72" s="2" t="str">
        <f t="shared" si="13"/>
        <v/>
      </c>
      <c r="AE72" s="2" t="str">
        <f t="shared" si="14"/>
        <v/>
      </c>
      <c r="AF72" s="143">
        <f t="shared" si="15"/>
        <v>-2.425690156088775E-2</v>
      </c>
      <c r="AG72" s="143" t="str">
        <f t="shared" si="16"/>
        <v/>
      </c>
      <c r="AH72" s="143" t="str">
        <f t="shared" si="17"/>
        <v/>
      </c>
      <c r="AI72" s="143" t="str">
        <f t="shared" si="18"/>
        <v/>
      </c>
      <c r="AJ72" s="143" t="str">
        <f t="shared" si="19"/>
        <v/>
      </c>
      <c r="AK72" s="143" t="str">
        <f t="shared" si="20"/>
        <v/>
      </c>
      <c r="AL72" s="143" t="str">
        <f t="shared" si="21"/>
        <v/>
      </c>
      <c r="AM72" s="143" t="str">
        <f t="shared" si="22"/>
        <v/>
      </c>
      <c r="AN72" s="143" t="str">
        <f t="shared" si="23"/>
        <v/>
      </c>
      <c r="AP72" s="9">
        <f t="shared" si="24"/>
        <v>6.9378836827808151E-4</v>
      </c>
      <c r="AQ72" s="9">
        <f t="shared" si="25"/>
        <v>0.94215602921884811</v>
      </c>
    </row>
    <row r="73" spans="2:43" x14ac:dyDescent="0.35">
      <c r="B73" s="3" t="s">
        <v>147</v>
      </c>
      <c r="D73" s="141">
        <v>28536949</v>
      </c>
      <c r="E73" s="141">
        <v>28471618</v>
      </c>
      <c r="F73" s="141">
        <v>54466723</v>
      </c>
      <c r="G73" s="141">
        <v>26681387</v>
      </c>
      <c r="H73" s="141">
        <f>+SUM(D73:G73)</f>
        <v>138156677</v>
      </c>
      <c r="J73" s="141">
        <v>4156992</v>
      </c>
      <c r="K73" s="141">
        <v>4206555</v>
      </c>
      <c r="L73" s="141">
        <v>7954800</v>
      </c>
      <c r="M73" s="141">
        <v>3992953</v>
      </c>
      <c r="N73" s="141">
        <f>+SUM(J73:M73)</f>
        <v>20311300</v>
      </c>
      <c r="P73" s="2">
        <f>+IFERROR(J73/D73,"")</f>
        <v>0.14567051299001865</v>
      </c>
      <c r="Q73" s="2">
        <f>+IFERROR(K73/E73,"")</f>
        <v>0.14774555488908286</v>
      </c>
      <c r="R73" s="2">
        <f>+IFERROR(L73/F73,"")</f>
        <v>0.14604880855416985</v>
      </c>
      <c r="S73" s="2">
        <f>+IFERROR(M73/G73,"")</f>
        <v>0.14965312710317497</v>
      </c>
      <c r="T73" s="2" t="str">
        <f>+IFERROR(#REF!/#REF!,"")</f>
        <v/>
      </c>
      <c r="U73" s="2" t="str">
        <f>+IFERROR(#REF!/#REF!,"")</f>
        <v/>
      </c>
      <c r="V73" s="2" t="str">
        <f>+IFERROR(#REF!/#REF!,"")</f>
        <v/>
      </c>
      <c r="W73" s="2" t="str">
        <f>+IFERROR(#REF!/#REF!,"")</f>
        <v/>
      </c>
      <c r="X73" s="2" t="str">
        <f>+IFERROR(#REF!/#REF!,"")</f>
        <v/>
      </c>
      <c r="Y73" s="2" t="str">
        <f>+IFERROR(#REF!/#REF!,"")</f>
        <v/>
      </c>
      <c r="Z73" s="2" t="str">
        <f>+IFERROR(#REF!/#REF!,"")</f>
        <v/>
      </c>
      <c r="AA73" s="2" t="str">
        <f>+IFERROR(#REF!/#REF!,"")</f>
        <v/>
      </c>
      <c r="AB73" s="2">
        <f>+IFERROR(N73/H73,"")</f>
        <v>0.14701641962624795</v>
      </c>
      <c r="AD73" s="2" t="str">
        <f t="shared" si="13"/>
        <v/>
      </c>
      <c r="AE73" s="2" t="str">
        <f t="shared" si="14"/>
        <v/>
      </c>
      <c r="AF73" s="143">
        <f t="shared" si="15"/>
        <v>3.6043185490051144E-3</v>
      </c>
      <c r="AG73" s="143" t="str">
        <f t="shared" si="16"/>
        <v/>
      </c>
      <c r="AH73" s="143" t="str">
        <f t="shared" si="17"/>
        <v/>
      </c>
      <c r="AI73" s="143" t="str">
        <f t="shared" si="18"/>
        <v/>
      </c>
      <c r="AJ73" s="143" t="str">
        <f t="shared" si="19"/>
        <v/>
      </c>
      <c r="AK73" s="143" t="str">
        <f t="shared" si="20"/>
        <v/>
      </c>
      <c r="AL73" s="143" t="str">
        <f t="shared" si="21"/>
        <v/>
      </c>
      <c r="AM73" s="143" t="str">
        <f t="shared" si="22"/>
        <v/>
      </c>
      <c r="AN73" s="143" t="str">
        <f t="shared" si="23"/>
        <v/>
      </c>
      <c r="AP73" s="9">
        <f t="shared" si="24"/>
        <v>1.2435200839917789E-2</v>
      </c>
      <c r="AQ73" s="9">
        <f t="shared" si="25"/>
        <v>0.95459123005876589</v>
      </c>
    </row>
    <row r="74" spans="2:43" x14ac:dyDescent="0.35">
      <c r="B74" s="3" t="s">
        <v>161</v>
      </c>
      <c r="D74" s="141">
        <v>1285668</v>
      </c>
      <c r="E74" s="141">
        <v>1205950</v>
      </c>
      <c r="F74" s="141">
        <v>1308100</v>
      </c>
      <c r="G74" s="141">
        <v>939933</v>
      </c>
      <c r="H74" s="141">
        <f>+SUM(D74:G74)</f>
        <v>4739651</v>
      </c>
      <c r="J74" s="141">
        <v>141679</v>
      </c>
      <c r="K74" s="141">
        <v>130563</v>
      </c>
      <c r="L74" s="141">
        <v>139652</v>
      </c>
      <c r="M74" s="141">
        <v>100624</v>
      </c>
      <c r="N74" s="141">
        <f>+SUM(J74:M74)</f>
        <v>512518</v>
      </c>
      <c r="P74" s="2">
        <f>+IFERROR(J74/D74,"")</f>
        <v>0.11019874493259535</v>
      </c>
      <c r="Q74" s="2">
        <f>+IFERROR(K74/E74,"")</f>
        <v>0.10826568265682657</v>
      </c>
      <c r="R74" s="2">
        <f>+IFERROR(L74/F74,"")</f>
        <v>0.10675942206253344</v>
      </c>
      <c r="S74" s="2">
        <f>+IFERROR(M74/G74,"")</f>
        <v>0.10705443898660862</v>
      </c>
      <c r="T74" s="2" t="str">
        <f>+IFERROR(#REF!/#REF!,"")</f>
        <v/>
      </c>
      <c r="U74" s="2" t="str">
        <f>+IFERROR(#REF!/#REF!,"")</f>
        <v/>
      </c>
      <c r="V74" s="2" t="str">
        <f>+IFERROR(#REF!/#REF!,"")</f>
        <v/>
      </c>
      <c r="W74" s="2" t="str">
        <f>+IFERROR(#REF!/#REF!,"")</f>
        <v/>
      </c>
      <c r="X74" s="2" t="str">
        <f>+IFERROR(#REF!/#REF!,"")</f>
        <v/>
      </c>
      <c r="Y74" s="2" t="str">
        <f>+IFERROR(#REF!/#REF!,"")</f>
        <v/>
      </c>
      <c r="Z74" s="2" t="str">
        <f>+IFERROR(#REF!/#REF!,"")</f>
        <v/>
      </c>
      <c r="AA74" s="2" t="str">
        <f>+IFERROR(#REF!/#REF!,"")</f>
        <v/>
      </c>
      <c r="AB74" s="2">
        <f>+IFERROR(N74/H74,"")</f>
        <v>0.10813412211152255</v>
      </c>
      <c r="AD74" s="2" t="str">
        <f t="shared" si="13"/>
        <v/>
      </c>
      <c r="AE74" s="2" t="str">
        <f t="shared" si="14"/>
        <v/>
      </c>
      <c r="AF74" s="143">
        <f t="shared" si="15"/>
        <v>2.9501692407517266E-4</v>
      </c>
      <c r="AG74" s="143" t="str">
        <f t="shared" si="16"/>
        <v/>
      </c>
      <c r="AH74" s="143" t="str">
        <f t="shared" si="17"/>
        <v/>
      </c>
      <c r="AI74" s="143" t="str">
        <f t="shared" si="18"/>
        <v/>
      </c>
      <c r="AJ74" s="143" t="str">
        <f t="shared" si="19"/>
        <v/>
      </c>
      <c r="AK74" s="143" t="str">
        <f t="shared" si="20"/>
        <v/>
      </c>
      <c r="AL74" s="143" t="str">
        <f t="shared" si="21"/>
        <v/>
      </c>
      <c r="AM74" s="143" t="str">
        <f t="shared" si="22"/>
        <v/>
      </c>
      <c r="AN74" s="143" t="str">
        <f t="shared" si="23"/>
        <v/>
      </c>
      <c r="AP74" s="9">
        <f t="shared" si="24"/>
        <v>3.1377923934327125E-4</v>
      </c>
      <c r="AQ74" s="9">
        <f t="shared" si="25"/>
        <v>0.95490500929810918</v>
      </c>
    </row>
    <row r="75" spans="2:43" x14ac:dyDescent="0.35">
      <c r="B75" s="3" t="s">
        <v>162</v>
      </c>
      <c r="D75" s="141">
        <v>2460118</v>
      </c>
      <c r="E75" s="141">
        <v>1804572</v>
      </c>
      <c r="F75" s="141">
        <v>1474614</v>
      </c>
      <c r="G75" s="141">
        <v>1612725</v>
      </c>
      <c r="H75" s="141">
        <f>+SUM(D75:G75)</f>
        <v>7352029</v>
      </c>
      <c r="J75" s="141">
        <v>286847</v>
      </c>
      <c r="K75" s="141">
        <v>206921</v>
      </c>
      <c r="L75" s="141">
        <v>188694</v>
      </c>
      <c r="M75" s="141">
        <v>192467</v>
      </c>
      <c r="N75" s="141">
        <f>+SUM(J75:M75)</f>
        <v>874929</v>
      </c>
      <c r="P75" s="2">
        <f>+IFERROR(J75/D75,"")</f>
        <v>0.11659887859037656</v>
      </c>
      <c r="Q75" s="2">
        <f>+IFERROR(K75/E75,"")</f>
        <v>0.11466486236071489</v>
      </c>
      <c r="R75" s="2">
        <f>+IFERROR(L75/F75,"")</f>
        <v>0.12796162249917606</v>
      </c>
      <c r="S75" s="2">
        <f>+IFERROR(M75/G75,"")</f>
        <v>0.11934272737137454</v>
      </c>
      <c r="T75" s="2" t="str">
        <f>+IFERROR(#REF!/#REF!,"")</f>
        <v/>
      </c>
      <c r="U75" s="2" t="str">
        <f>+IFERROR(#REF!/#REF!,"")</f>
        <v/>
      </c>
      <c r="V75" s="2" t="str">
        <f>+IFERROR(#REF!/#REF!,"")</f>
        <v/>
      </c>
      <c r="W75" s="2" t="str">
        <f>+IFERROR(#REF!/#REF!,"")</f>
        <v/>
      </c>
      <c r="X75" s="2" t="str">
        <f>+IFERROR(#REF!/#REF!,"")</f>
        <v/>
      </c>
      <c r="Y75" s="2" t="str">
        <f>+IFERROR(#REF!/#REF!,"")</f>
        <v/>
      </c>
      <c r="Z75" s="2" t="str">
        <f>+IFERROR(#REF!/#REF!,"")</f>
        <v/>
      </c>
      <c r="AA75" s="2" t="str">
        <f>+IFERROR(#REF!/#REF!,"")</f>
        <v/>
      </c>
      <c r="AB75" s="2">
        <f>+IFERROR(N75/H75,"")</f>
        <v>0.11900510729759091</v>
      </c>
      <c r="AD75" s="2" t="str">
        <f t="shared" si="13"/>
        <v/>
      </c>
      <c r="AE75" s="2" t="str">
        <f t="shared" si="14"/>
        <v/>
      </c>
      <c r="AF75" s="143">
        <f t="shared" si="15"/>
        <v>-8.6188951278015208E-3</v>
      </c>
      <c r="AG75" s="143" t="str">
        <f t="shared" si="16"/>
        <v/>
      </c>
      <c r="AH75" s="143" t="str">
        <f t="shared" si="17"/>
        <v/>
      </c>
      <c r="AI75" s="143" t="str">
        <f t="shared" si="18"/>
        <v/>
      </c>
      <c r="AJ75" s="143" t="str">
        <f t="shared" si="19"/>
        <v/>
      </c>
      <c r="AK75" s="143" t="str">
        <f t="shared" si="20"/>
        <v/>
      </c>
      <c r="AL75" s="143" t="str">
        <f t="shared" si="21"/>
        <v/>
      </c>
      <c r="AM75" s="143" t="str">
        <f t="shared" si="22"/>
        <v/>
      </c>
      <c r="AN75" s="143" t="str">
        <f t="shared" si="23"/>
        <v/>
      </c>
      <c r="AP75" s="9">
        <f t="shared" si="24"/>
        <v>5.3565836926579942E-4</v>
      </c>
      <c r="AQ75" s="9">
        <f t="shared" si="25"/>
        <v>0.95544066766737501</v>
      </c>
    </row>
    <row r="76" spans="2:43" x14ac:dyDescent="0.35">
      <c r="B76" s="3" t="s">
        <v>187</v>
      </c>
      <c r="D76" s="141">
        <v>10694331</v>
      </c>
      <c r="E76" s="141">
        <v>8967499</v>
      </c>
      <c r="F76" s="141">
        <v>6614525</v>
      </c>
      <c r="G76" s="141">
        <v>5683545</v>
      </c>
      <c r="H76" s="141">
        <f>+SUM(D76:G76)</f>
        <v>31959900</v>
      </c>
      <c r="J76" s="141">
        <v>1039167</v>
      </c>
      <c r="K76" s="141">
        <v>838195</v>
      </c>
      <c r="L76" s="141">
        <v>627216</v>
      </c>
      <c r="M76" s="141">
        <v>530125</v>
      </c>
      <c r="N76" s="141">
        <f>+SUM(J76:M76)</f>
        <v>3034703</v>
      </c>
      <c r="P76" s="2">
        <f>+IFERROR(J76/D76,"")</f>
        <v>9.7169893095697152E-2</v>
      </c>
      <c r="Q76" s="2">
        <f>+IFERROR(K76/E76,"")</f>
        <v>9.3470319874025071E-2</v>
      </c>
      <c r="R76" s="2">
        <f>+IFERROR(L76/F76,"")</f>
        <v>9.482404254273738E-2</v>
      </c>
      <c r="S76" s="2">
        <f>+IFERROR(M76/G76,"")</f>
        <v>9.3273652271601615E-2</v>
      </c>
      <c r="T76" s="2" t="str">
        <f>+IFERROR(#REF!/#REF!,"")</f>
        <v/>
      </c>
      <c r="U76" s="2" t="str">
        <f>+IFERROR(#REF!/#REF!,"")</f>
        <v/>
      </c>
      <c r="V76" s="2" t="str">
        <f>+IFERROR(#REF!/#REF!,"")</f>
        <v/>
      </c>
      <c r="W76" s="2" t="str">
        <f>+IFERROR(#REF!/#REF!,"")</f>
        <v/>
      </c>
      <c r="X76" s="2" t="str">
        <f>+IFERROR(#REF!/#REF!,"")</f>
        <v/>
      </c>
      <c r="Y76" s="2" t="str">
        <f>+IFERROR(#REF!/#REF!,"")</f>
        <v/>
      </c>
      <c r="Z76" s="2" t="str">
        <f>+IFERROR(#REF!/#REF!,"")</f>
        <v/>
      </c>
      <c r="AA76" s="2" t="str">
        <f>+IFERROR(#REF!/#REF!,"")</f>
        <v/>
      </c>
      <c r="AB76" s="2">
        <f>+IFERROR(N76/H76,"")</f>
        <v>9.4953457301180544E-2</v>
      </c>
      <c r="AD76" s="2" t="str">
        <f t="shared" si="13"/>
        <v/>
      </c>
      <c r="AE76" s="2" t="str">
        <f t="shared" si="14"/>
        <v/>
      </c>
      <c r="AF76" s="143">
        <f t="shared" si="15"/>
        <v>-1.5503902711357653E-3</v>
      </c>
      <c r="AG76" s="143" t="str">
        <f t="shared" si="16"/>
        <v/>
      </c>
      <c r="AH76" s="143" t="str">
        <f t="shared" si="17"/>
        <v/>
      </c>
      <c r="AI76" s="143" t="str">
        <f t="shared" si="18"/>
        <v/>
      </c>
      <c r="AJ76" s="143" t="str">
        <f t="shared" si="19"/>
        <v/>
      </c>
      <c r="AK76" s="143" t="str">
        <f t="shared" si="20"/>
        <v/>
      </c>
      <c r="AL76" s="143" t="str">
        <f t="shared" si="21"/>
        <v/>
      </c>
      <c r="AM76" s="143" t="str">
        <f t="shared" si="22"/>
        <v/>
      </c>
      <c r="AN76" s="143" t="str">
        <f t="shared" si="23"/>
        <v/>
      </c>
      <c r="AP76" s="9">
        <f t="shared" si="24"/>
        <v>1.8579382557739304E-3</v>
      </c>
      <c r="AQ76" s="9">
        <f t="shared" si="25"/>
        <v>0.95729860592314897</v>
      </c>
    </row>
    <row r="77" spans="2:43" x14ac:dyDescent="0.35">
      <c r="B77" s="3" t="s">
        <v>204</v>
      </c>
      <c r="D77" s="141">
        <v>8839</v>
      </c>
      <c r="E77" s="141">
        <v>1231</v>
      </c>
      <c r="F77" s="141">
        <v>13422</v>
      </c>
      <c r="G77" s="141"/>
      <c r="H77" s="141">
        <f>+SUM(D77:G77)</f>
        <v>23492</v>
      </c>
      <c r="J77" s="141">
        <v>6392</v>
      </c>
      <c r="K77" s="141">
        <v>1231</v>
      </c>
      <c r="L77" s="141">
        <v>12645</v>
      </c>
      <c r="M77" s="141"/>
      <c r="N77" s="141">
        <f>+SUM(J77:M77)</f>
        <v>20268</v>
      </c>
      <c r="P77" s="2">
        <f>+IFERROR(J77/D77,"")</f>
        <v>0.72315872836293693</v>
      </c>
      <c r="Q77" s="2">
        <f>+IFERROR(K77/E77,"")</f>
        <v>1</v>
      </c>
      <c r="R77" s="2">
        <f>+IFERROR(L77/F77,"")</f>
        <v>0.94210996870809116</v>
      </c>
      <c r="S77" s="2" t="str">
        <f>+IFERROR(M77/G77,"")</f>
        <v/>
      </c>
      <c r="T77" s="2" t="str">
        <f>+IFERROR(#REF!/#REF!,"")</f>
        <v/>
      </c>
      <c r="U77" s="2" t="str">
        <f>+IFERROR(#REF!/#REF!,"")</f>
        <v/>
      </c>
      <c r="V77" s="2" t="str">
        <f>+IFERROR(#REF!/#REF!,"")</f>
        <v/>
      </c>
      <c r="W77" s="2" t="str">
        <f>+IFERROR(#REF!/#REF!,"")</f>
        <v/>
      </c>
      <c r="X77" s="2" t="str">
        <f>+IFERROR(#REF!/#REF!,"")</f>
        <v/>
      </c>
      <c r="Y77" s="2" t="str">
        <f>+IFERROR(#REF!/#REF!,"")</f>
        <v/>
      </c>
      <c r="Z77" s="2" t="str">
        <f>+IFERROR(#REF!/#REF!,"")</f>
        <v/>
      </c>
      <c r="AA77" s="2" t="str">
        <f>+IFERROR(#REF!/#REF!,"")</f>
        <v/>
      </c>
      <c r="AB77" s="2">
        <f>+IFERROR(N77/H77,"")</f>
        <v>0.8627617912480845</v>
      </c>
      <c r="AD77" s="2" t="str">
        <f t="shared" si="13"/>
        <v/>
      </c>
      <c r="AE77" s="2" t="str">
        <f t="shared" si="14"/>
        <v/>
      </c>
      <c r="AF77" s="143" t="str">
        <f t="shared" si="15"/>
        <v/>
      </c>
      <c r="AG77" s="143" t="str">
        <f t="shared" si="16"/>
        <v/>
      </c>
      <c r="AH77" s="143" t="str">
        <f t="shared" si="17"/>
        <v/>
      </c>
      <c r="AI77" s="143" t="str">
        <f t="shared" si="18"/>
        <v/>
      </c>
      <c r="AJ77" s="143" t="str">
        <f t="shared" si="19"/>
        <v/>
      </c>
      <c r="AK77" s="143" t="str">
        <f t="shared" si="20"/>
        <v/>
      </c>
      <c r="AL77" s="143" t="str">
        <f t="shared" si="21"/>
        <v/>
      </c>
      <c r="AM77" s="143" t="str">
        <f t="shared" si="22"/>
        <v/>
      </c>
      <c r="AN77" s="143" t="str">
        <f t="shared" si="23"/>
        <v/>
      </c>
      <c r="AP77" s="9">
        <f t="shared" si="24"/>
        <v>1.2408691251837831E-5</v>
      </c>
      <c r="AQ77" s="9">
        <f t="shared" si="25"/>
        <v>0.95731101461440082</v>
      </c>
    </row>
    <row r="78" spans="2:43" x14ac:dyDescent="0.35">
      <c r="B78" s="3" t="s">
        <v>159</v>
      </c>
      <c r="D78" s="141">
        <v>1676016</v>
      </c>
      <c r="E78" s="141">
        <v>1401453</v>
      </c>
      <c r="F78" s="141">
        <v>1698085</v>
      </c>
      <c r="G78" s="141">
        <v>1277391</v>
      </c>
      <c r="H78" s="141">
        <f>+SUM(D78:G78)</f>
        <v>6052945</v>
      </c>
      <c r="J78" s="141">
        <v>202738</v>
      </c>
      <c r="K78" s="141">
        <v>201296</v>
      </c>
      <c r="L78" s="141">
        <v>213160</v>
      </c>
      <c r="M78" s="141">
        <v>135433</v>
      </c>
      <c r="N78" s="141">
        <f>+SUM(J78:M78)</f>
        <v>752627</v>
      </c>
      <c r="P78" s="2">
        <f>+IFERROR(J78/D78,"")</f>
        <v>0.12096423900487824</v>
      </c>
      <c r="Q78" s="2">
        <f>+IFERROR(K78/E78,"")</f>
        <v>0.14363378579231698</v>
      </c>
      <c r="R78" s="2">
        <f>+IFERROR(L78/F78,"")</f>
        <v>0.12552964074236567</v>
      </c>
      <c r="S78" s="2">
        <f>+IFERROR(M78/G78,"")</f>
        <v>0.10602313622062469</v>
      </c>
      <c r="T78" s="2" t="str">
        <f>+IFERROR(#REF!/#REF!,"")</f>
        <v/>
      </c>
      <c r="U78" s="2" t="str">
        <f>+IFERROR(#REF!/#REF!,"")</f>
        <v/>
      </c>
      <c r="V78" s="2" t="str">
        <f>+IFERROR(#REF!/#REF!,"")</f>
        <v/>
      </c>
      <c r="W78" s="2" t="str">
        <f>+IFERROR(#REF!/#REF!,"")</f>
        <v/>
      </c>
      <c r="X78" s="2" t="str">
        <f>+IFERROR(#REF!/#REF!,"")</f>
        <v/>
      </c>
      <c r="Y78" s="2" t="str">
        <f>+IFERROR(#REF!/#REF!,"")</f>
        <v/>
      </c>
      <c r="Z78" s="2" t="str">
        <f>+IFERROR(#REF!/#REF!,"")</f>
        <v/>
      </c>
      <c r="AA78" s="2" t="str">
        <f>+IFERROR(#REF!/#REF!,"")</f>
        <v/>
      </c>
      <c r="AB78" s="2">
        <f>+IFERROR(N78/H78,"")</f>
        <v>0.1243406308829834</v>
      </c>
      <c r="AD78" s="2" t="str">
        <f t="shared" ref="AD78:AD109" si="26">+IFERROR(W78-V78,"")</f>
        <v/>
      </c>
      <c r="AE78" s="2" t="str">
        <f t="shared" ref="AE78:AE109" si="27">+IFERROR(X78-W78,"")</f>
        <v/>
      </c>
      <c r="AF78" s="143">
        <f t="shared" ref="AF78:AF109" si="28">+IFERROR(S78-R78,"")</f>
        <v>-1.9506504521740978E-2</v>
      </c>
      <c r="AG78" s="143" t="str">
        <f t="shared" ref="AG78:AG109" si="29">+IFERROR(T78-S78,"")</f>
        <v/>
      </c>
      <c r="AH78" s="143" t="str">
        <f t="shared" ref="AH78:AH109" si="30">+IFERROR(U78-T78,"")</f>
        <v/>
      </c>
      <c r="AI78" s="143" t="str">
        <f t="shared" ref="AI78:AI109" si="31">+IFERROR(V78-U78,"")</f>
        <v/>
      </c>
      <c r="AJ78" s="143" t="str">
        <f t="shared" ref="AJ78:AJ109" si="32">+IFERROR(W78-V78,"")</f>
        <v/>
      </c>
      <c r="AK78" s="143" t="str">
        <f t="shared" ref="AK78:AK109" si="33">+IFERROR(X78-W78,"")</f>
        <v/>
      </c>
      <c r="AL78" s="143" t="str">
        <f t="shared" ref="AL78:AL109" si="34">+IFERROR(Y78-X78,"")</f>
        <v/>
      </c>
      <c r="AM78" s="143" t="str">
        <f t="shared" ref="AM78:AM109" si="35">+IFERROR(Z78-Y78,"")</f>
        <v/>
      </c>
      <c r="AN78" s="143" t="str">
        <f t="shared" ref="AN78:AN109" si="36">+IFERROR(AA78-Z78,"")</f>
        <v/>
      </c>
      <c r="AP78" s="9">
        <f t="shared" si="24"/>
        <v>4.607813336686872E-4</v>
      </c>
      <c r="AQ78" s="9">
        <f t="shared" si="25"/>
        <v>0.95777179594806949</v>
      </c>
    </row>
    <row r="79" spans="2:43" x14ac:dyDescent="0.35">
      <c r="B79" s="3" t="s">
        <v>191</v>
      </c>
      <c r="D79" s="141">
        <v>6305905</v>
      </c>
      <c r="E79" s="141">
        <v>5125822</v>
      </c>
      <c r="F79" s="141">
        <v>4968587</v>
      </c>
      <c r="G79" s="141">
        <v>3390234</v>
      </c>
      <c r="H79" s="141">
        <f>+SUM(D79:G79)</f>
        <v>19790548</v>
      </c>
      <c r="J79" s="141">
        <v>731570</v>
      </c>
      <c r="K79" s="141">
        <v>586746</v>
      </c>
      <c r="L79" s="141">
        <v>597222</v>
      </c>
      <c r="M79" s="141">
        <v>377434</v>
      </c>
      <c r="N79" s="141">
        <f>+SUM(J79:M79)</f>
        <v>2292972</v>
      </c>
      <c r="P79" s="2">
        <f>+IFERROR(J79/D79,"")</f>
        <v>0.11601348260083208</v>
      </c>
      <c r="Q79" s="2">
        <f>+IFERROR(K79/E79,"")</f>
        <v>0.11446866473318816</v>
      </c>
      <c r="R79" s="2">
        <f>+IFERROR(L79/F79,"")</f>
        <v>0.1201995657920451</v>
      </c>
      <c r="S79" s="2">
        <f>+IFERROR(M79/G79,"")</f>
        <v>0.11132977841647508</v>
      </c>
      <c r="T79" s="2" t="str">
        <f>+IFERROR(#REF!/#REF!,"")</f>
        <v/>
      </c>
      <c r="U79" s="2" t="str">
        <f>+IFERROR(#REF!/#REF!,"")</f>
        <v/>
      </c>
      <c r="V79" s="2" t="str">
        <f>+IFERROR(#REF!/#REF!,"")</f>
        <v/>
      </c>
      <c r="W79" s="2" t="str">
        <f>+IFERROR(#REF!/#REF!,"")</f>
        <v/>
      </c>
      <c r="X79" s="2" t="str">
        <f>+IFERROR(#REF!/#REF!,"")</f>
        <v/>
      </c>
      <c r="Y79" s="2" t="str">
        <f>+IFERROR(#REF!/#REF!,"")</f>
        <v/>
      </c>
      <c r="Z79" s="2" t="str">
        <f>+IFERROR(#REF!/#REF!,"")</f>
        <v/>
      </c>
      <c r="AA79" s="2" t="str">
        <f>+IFERROR(#REF!/#REF!,"")</f>
        <v/>
      </c>
      <c r="AB79" s="2">
        <f>+IFERROR(N79/H79,"")</f>
        <v>0.11586197613123193</v>
      </c>
      <c r="AD79" s="2" t="str">
        <f t="shared" si="26"/>
        <v/>
      </c>
      <c r="AE79" s="2" t="str">
        <f t="shared" si="27"/>
        <v/>
      </c>
      <c r="AF79" s="143">
        <f t="shared" si="28"/>
        <v>-8.8697873755700235E-3</v>
      </c>
      <c r="AG79" s="143" t="str">
        <f t="shared" si="29"/>
        <v/>
      </c>
      <c r="AH79" s="143" t="str">
        <f t="shared" si="30"/>
        <v/>
      </c>
      <c r="AI79" s="143" t="str">
        <f t="shared" si="31"/>
        <v/>
      </c>
      <c r="AJ79" s="143" t="str">
        <f t="shared" si="32"/>
        <v/>
      </c>
      <c r="AK79" s="143" t="str">
        <f t="shared" si="33"/>
        <v/>
      </c>
      <c r="AL79" s="143" t="str">
        <f t="shared" si="34"/>
        <v/>
      </c>
      <c r="AM79" s="143" t="str">
        <f t="shared" si="35"/>
        <v/>
      </c>
      <c r="AN79" s="143" t="str">
        <f t="shared" si="36"/>
        <v/>
      </c>
      <c r="AP79" s="9">
        <f t="shared" si="24"/>
        <v>1.4038277875029158E-3</v>
      </c>
      <c r="AQ79" s="9">
        <f t="shared" si="25"/>
        <v>0.95917562373557241</v>
      </c>
    </row>
    <row r="80" spans="2:43" x14ac:dyDescent="0.35">
      <c r="B80" s="3" t="s">
        <v>189</v>
      </c>
      <c r="D80" s="141">
        <v>10938470</v>
      </c>
      <c r="E80" s="141">
        <v>10189183</v>
      </c>
      <c r="F80" s="141">
        <v>8119428</v>
      </c>
      <c r="G80" s="141">
        <v>8980139</v>
      </c>
      <c r="H80" s="141">
        <f>+SUM(D80:G80)</f>
        <v>38227220</v>
      </c>
      <c r="J80" s="141">
        <v>1451120</v>
      </c>
      <c r="K80" s="141">
        <v>1332920</v>
      </c>
      <c r="L80" s="141">
        <v>1118491</v>
      </c>
      <c r="M80" s="141">
        <v>1159029</v>
      </c>
      <c r="N80" s="141">
        <f>+SUM(J80:M80)</f>
        <v>5061560</v>
      </c>
      <c r="P80" s="2">
        <f>+IFERROR(J80/D80,"")</f>
        <v>0.13266206334158251</v>
      </c>
      <c r="Q80" s="2">
        <f>+IFERROR(K80/E80,"")</f>
        <v>0.13081716169000007</v>
      </c>
      <c r="R80" s="2">
        <f>+IFERROR(L80/F80,"")</f>
        <v>0.13775490096100365</v>
      </c>
      <c r="S80" s="2">
        <f>+IFERROR(M80/G80,"")</f>
        <v>0.12906581958252539</v>
      </c>
      <c r="T80" s="2" t="str">
        <f>+IFERROR(#REF!/#REF!,"")</f>
        <v/>
      </c>
      <c r="U80" s="2" t="str">
        <f>+IFERROR(#REF!/#REF!,"")</f>
        <v/>
      </c>
      <c r="V80" s="2" t="str">
        <f>+IFERROR(#REF!/#REF!,"")</f>
        <v/>
      </c>
      <c r="W80" s="2" t="str">
        <f>+IFERROR(#REF!/#REF!,"")</f>
        <v/>
      </c>
      <c r="X80" s="2" t="str">
        <f>+IFERROR(#REF!/#REF!,"")</f>
        <v/>
      </c>
      <c r="Y80" s="2" t="str">
        <f>+IFERROR(#REF!/#REF!,"")</f>
        <v/>
      </c>
      <c r="Z80" s="2" t="str">
        <f>+IFERROR(#REF!/#REF!,"")</f>
        <v/>
      </c>
      <c r="AA80" s="2" t="str">
        <f>+IFERROR(#REF!/#REF!,"")</f>
        <v/>
      </c>
      <c r="AB80" s="2">
        <f>+IFERROR(N80/H80,"")</f>
        <v>0.13240722186965204</v>
      </c>
      <c r="AD80" s="2" t="str">
        <f t="shared" si="26"/>
        <v/>
      </c>
      <c r="AE80" s="2" t="str">
        <f t="shared" si="27"/>
        <v/>
      </c>
      <c r="AF80" s="143">
        <f t="shared" si="28"/>
        <v>-8.6890813784782639E-3</v>
      </c>
      <c r="AG80" s="143" t="str">
        <f t="shared" si="29"/>
        <v/>
      </c>
      <c r="AH80" s="143" t="str">
        <f t="shared" si="30"/>
        <v/>
      </c>
      <c r="AI80" s="143" t="str">
        <f t="shared" si="31"/>
        <v/>
      </c>
      <c r="AJ80" s="143" t="str">
        <f t="shared" si="32"/>
        <v/>
      </c>
      <c r="AK80" s="143" t="str">
        <f t="shared" si="33"/>
        <v/>
      </c>
      <c r="AL80" s="143" t="str">
        <f t="shared" si="34"/>
        <v/>
      </c>
      <c r="AM80" s="143" t="str">
        <f t="shared" si="35"/>
        <v/>
      </c>
      <c r="AN80" s="143" t="str">
        <f t="shared" si="36"/>
        <v/>
      </c>
      <c r="AP80" s="9">
        <f t="shared" si="24"/>
        <v>3.0988422781059945E-3</v>
      </c>
      <c r="AQ80" s="9">
        <f t="shared" si="25"/>
        <v>0.96227446601367839</v>
      </c>
    </row>
    <row r="81" spans="2:43" x14ac:dyDescent="0.35">
      <c r="B81" s="3" t="s">
        <v>210</v>
      </c>
      <c r="D81" s="141">
        <v>67282</v>
      </c>
      <c r="E81" s="141">
        <v>9934</v>
      </c>
      <c r="F81" s="141">
        <v>354516</v>
      </c>
      <c r="G81" s="141">
        <v>6635</v>
      </c>
      <c r="H81" s="141">
        <f>+SUM(D81:G81)</f>
        <v>438367</v>
      </c>
      <c r="J81" s="141">
        <v>27188</v>
      </c>
      <c r="K81" s="141">
        <v>1176</v>
      </c>
      <c r="L81" s="141">
        <v>72743</v>
      </c>
      <c r="M81" s="141">
        <v>2519</v>
      </c>
      <c r="N81" s="141">
        <f>+SUM(J81:M81)</f>
        <v>103626</v>
      </c>
      <c r="P81" s="2">
        <f>+IFERROR(J81/D81,"")</f>
        <v>0.40409024702000534</v>
      </c>
      <c r="Q81" s="2">
        <f>+IFERROR(K81/E81,"")</f>
        <v>0.11838131669015502</v>
      </c>
      <c r="R81" s="2">
        <f>+IFERROR(L81/F81,"")</f>
        <v>0.2051896106240621</v>
      </c>
      <c r="S81" s="2">
        <f>+IFERROR(M81/G81,"")</f>
        <v>0.37965335342878676</v>
      </c>
      <c r="T81" s="2" t="str">
        <f>+IFERROR(#REF!/#REF!,"")</f>
        <v/>
      </c>
      <c r="U81" s="2" t="str">
        <f>+IFERROR(#REF!/#REF!,"")</f>
        <v/>
      </c>
      <c r="V81" s="2" t="str">
        <f>+IFERROR(#REF!/#REF!,"")</f>
        <v/>
      </c>
      <c r="W81" s="2" t="str">
        <f>+IFERROR(#REF!/#REF!,"")</f>
        <v/>
      </c>
      <c r="X81" s="2" t="str">
        <f>+IFERROR(#REF!/#REF!,"")</f>
        <v/>
      </c>
      <c r="Y81" s="2" t="str">
        <f>+IFERROR(#REF!/#REF!,"")</f>
        <v/>
      </c>
      <c r="Z81" s="2" t="str">
        <f>+IFERROR(#REF!/#REF!,"")</f>
        <v/>
      </c>
      <c r="AA81" s="2" t="str">
        <f>+IFERROR(#REF!/#REF!,"")</f>
        <v/>
      </c>
      <c r="AB81" s="2">
        <f>+IFERROR(N81/H81,"")</f>
        <v>0.23639096921072983</v>
      </c>
      <c r="AD81" s="2" t="str">
        <f t="shared" si="26"/>
        <v/>
      </c>
      <c r="AE81" s="2" t="str">
        <f t="shared" si="27"/>
        <v/>
      </c>
      <c r="AF81" s="143">
        <f t="shared" si="28"/>
        <v>0.17446374280472465</v>
      </c>
      <c r="AG81" s="143" t="str">
        <f t="shared" si="29"/>
        <v/>
      </c>
      <c r="AH81" s="143" t="str">
        <f t="shared" si="30"/>
        <v/>
      </c>
      <c r="AI81" s="143" t="str">
        <f t="shared" si="31"/>
        <v/>
      </c>
      <c r="AJ81" s="143" t="str">
        <f t="shared" si="32"/>
        <v/>
      </c>
      <c r="AK81" s="143" t="str">
        <f t="shared" si="33"/>
        <v/>
      </c>
      <c r="AL81" s="143" t="str">
        <f t="shared" si="34"/>
        <v/>
      </c>
      <c r="AM81" s="143" t="str">
        <f t="shared" si="35"/>
        <v/>
      </c>
      <c r="AN81" s="143" t="str">
        <f t="shared" si="36"/>
        <v/>
      </c>
      <c r="AP81" s="9">
        <f t="shared" si="24"/>
        <v>6.3443015574449725E-5</v>
      </c>
      <c r="AQ81" s="9">
        <f t="shared" si="25"/>
        <v>0.96233790902925287</v>
      </c>
    </row>
    <row r="82" spans="2:43" x14ac:dyDescent="0.35">
      <c r="B82" s="3" t="s">
        <v>182</v>
      </c>
      <c r="D82" s="141">
        <v>1283706</v>
      </c>
      <c r="E82" s="141">
        <v>1173417</v>
      </c>
      <c r="F82" s="141">
        <v>1316831</v>
      </c>
      <c r="G82" s="141">
        <v>1032027</v>
      </c>
      <c r="H82" s="141">
        <f>+SUM(D82:G82)</f>
        <v>4805981</v>
      </c>
      <c r="J82" s="141">
        <v>206746</v>
      </c>
      <c r="K82" s="141">
        <v>154301</v>
      </c>
      <c r="L82" s="141">
        <v>193809</v>
      </c>
      <c r="M82" s="141">
        <v>117637</v>
      </c>
      <c r="N82" s="141">
        <f>+SUM(J82:M82)</f>
        <v>672493</v>
      </c>
      <c r="P82" s="2">
        <f>+IFERROR(J82/D82,"")</f>
        <v>0.16105401080932863</v>
      </c>
      <c r="Q82" s="2">
        <f>+IFERROR(K82/E82,"")</f>
        <v>0.1314971574470116</v>
      </c>
      <c r="R82" s="2">
        <f>+IFERROR(L82/F82,"")</f>
        <v>0.14717833951357465</v>
      </c>
      <c r="S82" s="2">
        <f>+IFERROR(M82/G82,"")</f>
        <v>0.11398635888402145</v>
      </c>
      <c r="T82" s="2" t="str">
        <f>+IFERROR(#REF!/#REF!,"")</f>
        <v/>
      </c>
      <c r="U82" s="2" t="str">
        <f>+IFERROR(#REF!/#REF!,"")</f>
        <v/>
      </c>
      <c r="V82" s="2" t="str">
        <f>+IFERROR(#REF!/#REF!,"")</f>
        <v/>
      </c>
      <c r="W82" s="2" t="str">
        <f>+IFERROR(#REF!/#REF!,"")</f>
        <v/>
      </c>
      <c r="X82" s="2" t="str">
        <f>+IFERROR(#REF!/#REF!,"")</f>
        <v/>
      </c>
      <c r="Y82" s="2" t="str">
        <f>+IFERROR(#REF!/#REF!,"")</f>
        <v/>
      </c>
      <c r="Z82" s="2" t="str">
        <f>+IFERROR(#REF!/#REF!,"")</f>
        <v/>
      </c>
      <c r="AA82" s="2" t="str">
        <f>+IFERROR(#REF!/#REF!,"")</f>
        <v/>
      </c>
      <c r="AB82" s="2">
        <f>+IFERROR(N82/H82,"")</f>
        <v>0.13992835177667162</v>
      </c>
      <c r="AD82" s="2" t="str">
        <f t="shared" si="26"/>
        <v/>
      </c>
      <c r="AE82" s="2" t="str">
        <f t="shared" si="27"/>
        <v/>
      </c>
      <c r="AF82" s="143">
        <f t="shared" si="28"/>
        <v>-3.3191980629553197E-2</v>
      </c>
      <c r="AG82" s="143" t="str">
        <f t="shared" si="29"/>
        <v/>
      </c>
      <c r="AH82" s="143" t="str">
        <f t="shared" si="30"/>
        <v/>
      </c>
      <c r="AI82" s="143" t="str">
        <f t="shared" si="31"/>
        <v/>
      </c>
      <c r="AJ82" s="143" t="str">
        <f t="shared" si="32"/>
        <v/>
      </c>
      <c r="AK82" s="143" t="str">
        <f t="shared" si="33"/>
        <v/>
      </c>
      <c r="AL82" s="143" t="str">
        <f t="shared" si="34"/>
        <v/>
      </c>
      <c r="AM82" s="143" t="str">
        <f t="shared" si="35"/>
        <v/>
      </c>
      <c r="AN82" s="143" t="str">
        <f t="shared" si="36"/>
        <v/>
      </c>
      <c r="AP82" s="9">
        <f t="shared" si="24"/>
        <v>4.1172084103128966E-4</v>
      </c>
      <c r="AQ82" s="9">
        <f t="shared" si="25"/>
        <v>0.96274962987028412</v>
      </c>
    </row>
    <row r="83" spans="2:43" x14ac:dyDescent="0.35">
      <c r="B83" s="3" t="s">
        <v>160</v>
      </c>
      <c r="D83" s="141">
        <v>5500895</v>
      </c>
      <c r="E83" s="141">
        <v>5578458</v>
      </c>
      <c r="F83" s="141">
        <v>4792988</v>
      </c>
      <c r="G83" s="141">
        <v>8378461</v>
      </c>
      <c r="H83" s="141">
        <f>+SUM(D83:G83)</f>
        <v>24250802</v>
      </c>
      <c r="J83" s="141">
        <v>814880</v>
      </c>
      <c r="K83" s="141">
        <v>784535</v>
      </c>
      <c r="L83" s="141">
        <v>727024</v>
      </c>
      <c r="M83" s="141">
        <v>1259431</v>
      </c>
      <c r="N83" s="141">
        <f>+SUM(J83:M83)</f>
        <v>3585870</v>
      </c>
      <c r="P83" s="2">
        <f>+IFERROR(J83/D83,"")</f>
        <v>0.1481358942499357</v>
      </c>
      <c r="Q83" s="2">
        <f>+IFERROR(K83/E83,"")</f>
        <v>0.14063653432543546</v>
      </c>
      <c r="R83" s="2">
        <f>+IFERROR(L83/F83,"")</f>
        <v>0.15168491972022463</v>
      </c>
      <c r="S83" s="2">
        <f>+IFERROR(M83/G83,"")</f>
        <v>0.15031770154447219</v>
      </c>
      <c r="T83" s="2" t="str">
        <f>+IFERROR(#REF!/#REF!,"")</f>
        <v/>
      </c>
      <c r="U83" s="2" t="str">
        <f>+IFERROR(#REF!/#REF!,"")</f>
        <v/>
      </c>
      <c r="V83" s="2" t="str">
        <f>+IFERROR(#REF!/#REF!,"")</f>
        <v/>
      </c>
      <c r="W83" s="2" t="str">
        <f>+IFERROR(#REF!/#REF!,"")</f>
        <v/>
      </c>
      <c r="X83" s="2" t="str">
        <f>+IFERROR(#REF!/#REF!,"")</f>
        <v/>
      </c>
      <c r="Y83" s="2" t="str">
        <f>+IFERROR(#REF!/#REF!,"")</f>
        <v/>
      </c>
      <c r="Z83" s="2" t="str">
        <f>+IFERROR(#REF!/#REF!,"")</f>
        <v/>
      </c>
      <c r="AA83" s="2" t="str">
        <f>+IFERROR(#REF!/#REF!,"")</f>
        <v/>
      </c>
      <c r="AB83" s="2">
        <f>+IFERROR(N83/H83,"")</f>
        <v>0.14786603758506625</v>
      </c>
      <c r="AD83" s="2" t="str">
        <f t="shared" si="26"/>
        <v/>
      </c>
      <c r="AE83" s="2" t="str">
        <f t="shared" si="27"/>
        <v/>
      </c>
      <c r="AF83" s="143">
        <f t="shared" si="28"/>
        <v>-1.3672181757524438E-3</v>
      </c>
      <c r="AG83" s="143" t="str">
        <f t="shared" si="29"/>
        <v/>
      </c>
      <c r="AH83" s="143" t="str">
        <f t="shared" si="30"/>
        <v/>
      </c>
      <c r="AI83" s="143" t="str">
        <f t="shared" si="31"/>
        <v/>
      </c>
      <c r="AJ83" s="143" t="str">
        <f t="shared" si="32"/>
        <v/>
      </c>
      <c r="AK83" s="143" t="str">
        <f t="shared" si="33"/>
        <v/>
      </c>
      <c r="AL83" s="143" t="str">
        <f t="shared" si="34"/>
        <v/>
      </c>
      <c r="AM83" s="143" t="str">
        <f t="shared" si="35"/>
        <v/>
      </c>
      <c r="AN83" s="143" t="str">
        <f t="shared" si="36"/>
        <v/>
      </c>
      <c r="AP83" s="9">
        <f t="shared" si="24"/>
        <v>2.1953795983435821E-3</v>
      </c>
      <c r="AQ83" s="9">
        <f t="shared" si="25"/>
        <v>0.96494500946862771</v>
      </c>
    </row>
    <row r="84" spans="2:43" x14ac:dyDescent="0.35">
      <c r="B84" s="3" t="s">
        <v>173</v>
      </c>
      <c r="D84" s="141">
        <v>3826124</v>
      </c>
      <c r="E84" s="141">
        <v>4499058</v>
      </c>
      <c r="F84" s="141">
        <v>1541089</v>
      </c>
      <c r="G84" s="141">
        <v>10827853</v>
      </c>
      <c r="H84" s="141">
        <f>+SUM(D84:G84)</f>
        <v>20694124</v>
      </c>
      <c r="J84" s="141">
        <v>469349</v>
      </c>
      <c r="K84" s="141">
        <v>597810</v>
      </c>
      <c r="L84" s="141">
        <v>210417</v>
      </c>
      <c r="M84" s="141">
        <v>853319</v>
      </c>
      <c r="N84" s="141">
        <f>+SUM(J84:M84)</f>
        <v>2130895</v>
      </c>
      <c r="P84" s="2">
        <f>+IFERROR(J84/D84,"")</f>
        <v>0.12266957369912737</v>
      </c>
      <c r="Q84" s="2">
        <f>+IFERROR(K84/E84,"")</f>
        <v>0.13287448172484106</v>
      </c>
      <c r="R84" s="2">
        <f>+IFERROR(L84/F84,"")</f>
        <v>0.13653786380929331</v>
      </c>
      <c r="S84" s="2">
        <f>+IFERROR(M84/G84,"")</f>
        <v>7.8807774726901078E-2</v>
      </c>
      <c r="T84" s="2" t="str">
        <f>+IFERROR(#REF!/#REF!,"")</f>
        <v/>
      </c>
      <c r="U84" s="2" t="str">
        <f>+IFERROR(#REF!/#REF!,"")</f>
        <v/>
      </c>
      <c r="V84" s="2" t="str">
        <f>+IFERROR(#REF!/#REF!,"")</f>
        <v/>
      </c>
      <c r="W84" s="2" t="str">
        <f>+IFERROR(#REF!/#REF!,"")</f>
        <v/>
      </c>
      <c r="X84" s="2" t="str">
        <f>+IFERROR(#REF!/#REF!,"")</f>
        <v/>
      </c>
      <c r="Y84" s="2" t="str">
        <f>+IFERROR(#REF!/#REF!,"")</f>
        <v/>
      </c>
      <c r="Z84" s="2" t="str">
        <f>+IFERROR(#REF!/#REF!,"")</f>
        <v/>
      </c>
      <c r="AA84" s="2" t="str">
        <f>+IFERROR(#REF!/#REF!,"")</f>
        <v/>
      </c>
      <c r="AB84" s="2">
        <f>+IFERROR(N84/H84,"")</f>
        <v>0.10297101728007428</v>
      </c>
      <c r="AD84" s="2" t="str">
        <f t="shared" si="26"/>
        <v/>
      </c>
      <c r="AE84" s="2" t="str">
        <f t="shared" si="27"/>
        <v/>
      </c>
      <c r="AF84" s="143">
        <f t="shared" si="28"/>
        <v>-5.773008908239223E-2</v>
      </c>
      <c r="AG84" s="143" t="str">
        <f t="shared" si="29"/>
        <v/>
      </c>
      <c r="AH84" s="143" t="str">
        <f t="shared" si="30"/>
        <v/>
      </c>
      <c r="AI84" s="143" t="str">
        <f t="shared" si="31"/>
        <v/>
      </c>
      <c r="AJ84" s="143" t="str">
        <f t="shared" si="32"/>
        <v/>
      </c>
      <c r="AK84" s="143" t="str">
        <f t="shared" si="33"/>
        <v/>
      </c>
      <c r="AL84" s="143" t="str">
        <f t="shared" si="34"/>
        <v/>
      </c>
      <c r="AM84" s="143" t="str">
        <f t="shared" si="35"/>
        <v/>
      </c>
      <c r="AN84" s="143" t="str">
        <f t="shared" si="36"/>
        <v/>
      </c>
      <c r="AP84" s="9">
        <f t="shared" si="24"/>
        <v>1.3045992769432097E-3</v>
      </c>
      <c r="AQ84" s="9">
        <f t="shared" si="25"/>
        <v>0.96624960874557098</v>
      </c>
    </row>
    <row r="85" spans="2:43" x14ac:dyDescent="0.35">
      <c r="B85" s="3" t="s">
        <v>166</v>
      </c>
      <c r="D85" s="141">
        <v>1207659</v>
      </c>
      <c r="E85" s="141">
        <v>1124095</v>
      </c>
      <c r="F85" s="141">
        <v>1264649</v>
      </c>
      <c r="G85" s="141">
        <v>793092</v>
      </c>
      <c r="H85" s="141">
        <f>+SUM(D85:G85)</f>
        <v>4389495</v>
      </c>
      <c r="J85" s="141">
        <v>113666</v>
      </c>
      <c r="K85" s="141">
        <v>113690</v>
      </c>
      <c r="L85" s="141">
        <v>117222</v>
      </c>
      <c r="M85" s="141">
        <v>79532</v>
      </c>
      <c r="N85" s="141">
        <f>+SUM(J85:M85)</f>
        <v>424110</v>
      </c>
      <c r="P85" s="2">
        <f>+IFERROR(J85/D85,"")</f>
        <v>9.412093976859362E-2</v>
      </c>
      <c r="Q85" s="2">
        <f>+IFERROR(K85/E85,"")</f>
        <v>0.10113913859593718</v>
      </c>
      <c r="R85" s="2">
        <f>+IFERROR(L85/F85,"")</f>
        <v>9.269133174501383E-2</v>
      </c>
      <c r="S85" s="2">
        <f>+IFERROR(M85/G85,"")</f>
        <v>0.1002809257942332</v>
      </c>
      <c r="T85" s="2" t="str">
        <f>+IFERROR(#REF!/#REF!,"")</f>
        <v/>
      </c>
      <c r="U85" s="2" t="str">
        <f>+IFERROR(#REF!/#REF!,"")</f>
        <v/>
      </c>
      <c r="V85" s="2" t="str">
        <f>+IFERROR(#REF!/#REF!,"")</f>
        <v/>
      </c>
      <c r="W85" s="2" t="str">
        <f>+IFERROR(#REF!/#REF!,"")</f>
        <v/>
      </c>
      <c r="X85" s="2" t="str">
        <f>+IFERROR(#REF!/#REF!,"")</f>
        <v/>
      </c>
      <c r="Y85" s="2" t="str">
        <f>+IFERROR(#REF!/#REF!,"")</f>
        <v/>
      </c>
      <c r="Z85" s="2" t="str">
        <f>+IFERROR(#REF!/#REF!,"")</f>
        <v/>
      </c>
      <c r="AA85" s="2" t="str">
        <f>+IFERROR(#REF!/#REF!,"")</f>
        <v/>
      </c>
      <c r="AB85" s="2">
        <f>+IFERROR(N85/H85,"")</f>
        <v>9.6619314978146686E-2</v>
      </c>
      <c r="AD85" s="2" t="str">
        <f t="shared" si="26"/>
        <v/>
      </c>
      <c r="AE85" s="2" t="str">
        <f t="shared" si="27"/>
        <v/>
      </c>
      <c r="AF85" s="143">
        <f t="shared" si="28"/>
        <v>7.5895940492193698E-3</v>
      </c>
      <c r="AG85" s="143" t="str">
        <f t="shared" si="29"/>
        <v/>
      </c>
      <c r="AH85" s="143" t="str">
        <f t="shared" si="30"/>
        <v/>
      </c>
      <c r="AI85" s="143" t="str">
        <f t="shared" si="31"/>
        <v/>
      </c>
      <c r="AJ85" s="143" t="str">
        <f t="shared" si="32"/>
        <v/>
      </c>
      <c r="AK85" s="143" t="str">
        <f t="shared" si="33"/>
        <v/>
      </c>
      <c r="AL85" s="143" t="str">
        <f t="shared" si="34"/>
        <v/>
      </c>
      <c r="AM85" s="143" t="str">
        <f t="shared" si="35"/>
        <v/>
      </c>
      <c r="AN85" s="143" t="str">
        <f t="shared" si="36"/>
        <v/>
      </c>
      <c r="AP85" s="9">
        <f t="shared" si="24"/>
        <v>2.5965315012911697E-4</v>
      </c>
      <c r="AQ85" s="9">
        <f t="shared" si="25"/>
        <v>0.96650926189570008</v>
      </c>
    </row>
    <row r="86" spans="2:43" x14ac:dyDescent="0.35">
      <c r="B86" s="3" t="s">
        <v>175</v>
      </c>
      <c r="D86" s="141">
        <v>1106299</v>
      </c>
      <c r="E86" s="141">
        <v>877384</v>
      </c>
      <c r="F86" s="141">
        <v>852581</v>
      </c>
      <c r="G86" s="141">
        <v>697620</v>
      </c>
      <c r="H86" s="141">
        <f>+SUM(D86:G86)</f>
        <v>3533884</v>
      </c>
      <c r="J86" s="141">
        <v>116708</v>
      </c>
      <c r="K86" s="141">
        <v>80689</v>
      </c>
      <c r="L86" s="141">
        <v>103745</v>
      </c>
      <c r="M86" s="141">
        <v>91223</v>
      </c>
      <c r="N86" s="141">
        <f>+SUM(J86:M86)</f>
        <v>392365</v>
      </c>
      <c r="P86" s="2">
        <f>+IFERROR(J86/D86,"")</f>
        <v>0.10549408432982403</v>
      </c>
      <c r="Q86" s="2">
        <f>+IFERROR(K86/E86,"")</f>
        <v>9.1965433607177696E-2</v>
      </c>
      <c r="R86" s="2">
        <f>+IFERROR(L86/F86,"")</f>
        <v>0.12168345295051144</v>
      </c>
      <c r="S86" s="2">
        <f>+IFERROR(M86/G86,"")</f>
        <v>0.13076316619362977</v>
      </c>
      <c r="T86" s="2" t="str">
        <f>+IFERROR(#REF!/#REF!,"")</f>
        <v/>
      </c>
      <c r="U86" s="2" t="str">
        <f>+IFERROR(#REF!/#REF!,"")</f>
        <v/>
      </c>
      <c r="V86" s="2" t="str">
        <f>+IFERROR(#REF!/#REF!,"")</f>
        <v/>
      </c>
      <c r="W86" s="2" t="str">
        <f>+IFERROR(#REF!/#REF!,"")</f>
        <v/>
      </c>
      <c r="X86" s="2" t="str">
        <f>+IFERROR(#REF!/#REF!,"")</f>
        <v/>
      </c>
      <c r="Y86" s="2" t="str">
        <f>+IFERROR(#REF!/#REF!,"")</f>
        <v/>
      </c>
      <c r="Z86" s="2" t="str">
        <f>+IFERROR(#REF!/#REF!,"")</f>
        <v/>
      </c>
      <c r="AA86" s="2" t="str">
        <f>+IFERROR(#REF!/#REF!,"")</f>
        <v/>
      </c>
      <c r="AB86" s="2">
        <f>+IFERROR(N86/H86,"")</f>
        <v>0.11102939428685266</v>
      </c>
      <c r="AD86" s="2" t="str">
        <f t="shared" si="26"/>
        <v/>
      </c>
      <c r="AE86" s="2" t="str">
        <f t="shared" si="27"/>
        <v/>
      </c>
      <c r="AF86" s="143">
        <f t="shared" si="28"/>
        <v>9.0797132431183203E-3</v>
      </c>
      <c r="AG86" s="143" t="str">
        <f t="shared" si="29"/>
        <v/>
      </c>
      <c r="AH86" s="143" t="str">
        <f t="shared" si="30"/>
        <v/>
      </c>
      <c r="AI86" s="143" t="str">
        <f t="shared" si="31"/>
        <v/>
      </c>
      <c r="AJ86" s="143" t="str">
        <f t="shared" si="32"/>
        <v/>
      </c>
      <c r="AK86" s="143" t="str">
        <f t="shared" si="33"/>
        <v/>
      </c>
      <c r="AL86" s="143" t="str">
        <f t="shared" si="34"/>
        <v/>
      </c>
      <c r="AM86" s="143" t="str">
        <f t="shared" si="35"/>
        <v/>
      </c>
      <c r="AN86" s="143" t="str">
        <f t="shared" si="36"/>
        <v/>
      </c>
      <c r="AP86" s="9">
        <f t="shared" si="24"/>
        <v>2.4021788745941141E-4</v>
      </c>
      <c r="AQ86" s="9">
        <f t="shared" si="25"/>
        <v>0.9667494797831595</v>
      </c>
    </row>
    <row r="87" spans="2:43" x14ac:dyDescent="0.35">
      <c r="B87" s="3" t="s">
        <v>179</v>
      </c>
      <c r="D87" s="141">
        <v>3811622</v>
      </c>
      <c r="E87" s="141">
        <v>2451553</v>
      </c>
      <c r="F87" s="141">
        <v>1790686</v>
      </c>
      <c r="G87" s="141">
        <v>1911520</v>
      </c>
      <c r="H87" s="141">
        <f>+SUM(D87:G87)</f>
        <v>9965381</v>
      </c>
      <c r="J87" s="141">
        <v>453579</v>
      </c>
      <c r="K87" s="141">
        <v>294949</v>
      </c>
      <c r="L87" s="141">
        <v>209514</v>
      </c>
      <c r="M87" s="141">
        <v>220767</v>
      </c>
      <c r="N87" s="141">
        <f>+SUM(J87:M87)</f>
        <v>1178809</v>
      </c>
      <c r="P87" s="2">
        <f>+IFERROR(J87/D87,"")</f>
        <v>0.11899894585559638</v>
      </c>
      <c r="Q87" s="2">
        <f>+IFERROR(K87/E87,"")</f>
        <v>0.12031108444320804</v>
      </c>
      <c r="R87" s="2">
        <f>+IFERROR(L87/F87,"")</f>
        <v>0.11700208746815466</v>
      </c>
      <c r="S87" s="2">
        <f>+IFERROR(M87/G87,"")</f>
        <v>0.1154929061689127</v>
      </c>
      <c r="T87" s="2" t="str">
        <f>+IFERROR(#REF!/#REF!,"")</f>
        <v/>
      </c>
      <c r="U87" s="2" t="str">
        <f>+IFERROR(#REF!/#REF!,"")</f>
        <v/>
      </c>
      <c r="V87" s="2" t="str">
        <f>+IFERROR(#REF!/#REF!,"")</f>
        <v/>
      </c>
      <c r="W87" s="2" t="str">
        <f>+IFERROR(#REF!/#REF!,"")</f>
        <v/>
      </c>
      <c r="X87" s="2" t="str">
        <f>+IFERROR(#REF!/#REF!,"")</f>
        <v/>
      </c>
      <c r="Y87" s="2" t="str">
        <f>+IFERROR(#REF!/#REF!,"")</f>
        <v/>
      </c>
      <c r="Z87" s="2" t="str">
        <f>+IFERROR(#REF!/#REF!,"")</f>
        <v/>
      </c>
      <c r="AA87" s="2" t="str">
        <f>+IFERROR(#REF!/#REF!,"")</f>
        <v/>
      </c>
      <c r="AB87" s="2">
        <f>+IFERROR(N87/H87,"")</f>
        <v>0.11829040956888653</v>
      </c>
      <c r="AD87" s="2" t="str">
        <f t="shared" si="26"/>
        <v/>
      </c>
      <c r="AE87" s="2" t="str">
        <f t="shared" si="27"/>
        <v/>
      </c>
      <c r="AF87" s="143">
        <f t="shared" si="28"/>
        <v>-1.5091812992419629E-3</v>
      </c>
      <c r="AG87" s="143" t="str">
        <f t="shared" si="29"/>
        <v/>
      </c>
      <c r="AH87" s="143" t="str">
        <f t="shared" si="30"/>
        <v/>
      </c>
      <c r="AI87" s="143" t="str">
        <f t="shared" si="31"/>
        <v/>
      </c>
      <c r="AJ87" s="143" t="str">
        <f t="shared" si="32"/>
        <v/>
      </c>
      <c r="AK87" s="143" t="str">
        <f t="shared" si="33"/>
        <v/>
      </c>
      <c r="AL87" s="143" t="str">
        <f t="shared" si="34"/>
        <v/>
      </c>
      <c r="AM87" s="143" t="str">
        <f t="shared" si="35"/>
        <v/>
      </c>
      <c r="AN87" s="143" t="str">
        <f t="shared" si="36"/>
        <v/>
      </c>
      <c r="AP87" s="9">
        <f t="shared" si="24"/>
        <v>7.2170302574934393E-4</v>
      </c>
      <c r="AQ87" s="9">
        <f t="shared" si="25"/>
        <v>0.96747118280890887</v>
      </c>
    </row>
    <row r="88" spans="2:43" x14ac:dyDescent="0.35">
      <c r="B88" s="3" t="s">
        <v>216</v>
      </c>
      <c r="D88" s="141">
        <v>36880724</v>
      </c>
      <c r="E88" s="141">
        <v>33524150</v>
      </c>
      <c r="F88" s="141">
        <v>29882545</v>
      </c>
      <c r="G88" s="141">
        <v>26374237</v>
      </c>
      <c r="H88" s="141">
        <f>+SUM(D88:G88)</f>
        <v>126661656</v>
      </c>
      <c r="J88" s="141">
        <v>2691624</v>
      </c>
      <c r="K88" s="141">
        <v>2423381</v>
      </c>
      <c r="L88" s="141">
        <v>2632105</v>
      </c>
      <c r="M88" s="141">
        <v>1832027</v>
      </c>
      <c r="N88" s="141">
        <f>+SUM(J88:M88)</f>
        <v>9579137</v>
      </c>
      <c r="P88" s="2">
        <f>+IFERROR(J88/D88,"")</f>
        <v>7.2981864455806233E-2</v>
      </c>
      <c r="Q88" s="2">
        <f>+IFERROR(K88/E88,"")</f>
        <v>7.2287619522046043E-2</v>
      </c>
      <c r="R88" s="2">
        <f>+IFERROR(L88/F88,"")</f>
        <v>8.808168782143555E-2</v>
      </c>
      <c r="S88" s="2">
        <f>+IFERROR(M88/G88,"")</f>
        <v>6.946274881809851E-2</v>
      </c>
      <c r="T88" s="2" t="str">
        <f>+IFERROR(#REF!/#REF!,"")</f>
        <v/>
      </c>
      <c r="U88" s="2" t="str">
        <f>+IFERROR(#REF!/#REF!,"")</f>
        <v/>
      </c>
      <c r="V88" s="2" t="str">
        <f>+IFERROR(#REF!/#REF!,"")</f>
        <v/>
      </c>
      <c r="W88" s="2" t="str">
        <f>+IFERROR(#REF!/#REF!,"")</f>
        <v/>
      </c>
      <c r="X88" s="2" t="str">
        <f>+IFERROR(#REF!/#REF!,"")</f>
        <v/>
      </c>
      <c r="Y88" s="2" t="str">
        <f>+IFERROR(#REF!/#REF!,"")</f>
        <v/>
      </c>
      <c r="Z88" s="2" t="str">
        <f>+IFERROR(#REF!/#REF!,"")</f>
        <v/>
      </c>
      <c r="AA88" s="2" t="str">
        <f>+IFERROR(#REF!/#REF!,"")</f>
        <v/>
      </c>
      <c r="AB88" s="2">
        <f>+IFERROR(N88/H88,"")</f>
        <v>7.5627757464342638E-2</v>
      </c>
      <c r="AD88" s="2" t="str">
        <f t="shared" si="26"/>
        <v/>
      </c>
      <c r="AE88" s="2" t="str">
        <f t="shared" si="27"/>
        <v/>
      </c>
      <c r="AF88" s="143">
        <f t="shared" si="28"/>
        <v>-1.861893900333704E-2</v>
      </c>
      <c r="AG88" s="143" t="str">
        <f t="shared" si="29"/>
        <v/>
      </c>
      <c r="AH88" s="143" t="str">
        <f t="shared" si="30"/>
        <v/>
      </c>
      <c r="AI88" s="143" t="str">
        <f t="shared" si="31"/>
        <v/>
      </c>
      <c r="AJ88" s="143" t="str">
        <f t="shared" si="32"/>
        <v/>
      </c>
      <c r="AK88" s="143" t="str">
        <f t="shared" si="33"/>
        <v/>
      </c>
      <c r="AL88" s="143" t="str">
        <f t="shared" si="34"/>
        <v/>
      </c>
      <c r="AM88" s="143" t="str">
        <f t="shared" si="35"/>
        <v/>
      </c>
      <c r="AN88" s="143" t="str">
        <f t="shared" si="36"/>
        <v/>
      </c>
      <c r="AP88" s="9">
        <f t="shared" si="24"/>
        <v>5.864641478787058E-3</v>
      </c>
      <c r="AQ88" s="9">
        <f t="shared" si="25"/>
        <v>0.97333582428769594</v>
      </c>
    </row>
    <row r="89" spans="2:43" x14ac:dyDescent="0.35">
      <c r="B89" s="3" t="s">
        <v>176</v>
      </c>
      <c r="D89" s="141">
        <v>1147838</v>
      </c>
      <c r="E89" s="141">
        <v>1012059</v>
      </c>
      <c r="F89" s="141">
        <v>808582</v>
      </c>
      <c r="G89" s="141">
        <v>712531</v>
      </c>
      <c r="H89" s="141">
        <f>+SUM(D89:G89)</f>
        <v>3681010</v>
      </c>
      <c r="J89" s="141">
        <v>107962</v>
      </c>
      <c r="K89" s="141">
        <v>101851</v>
      </c>
      <c r="L89" s="141">
        <v>92030</v>
      </c>
      <c r="M89" s="141">
        <v>70136</v>
      </c>
      <c r="N89" s="141">
        <f>+SUM(J89:M89)</f>
        <v>371979</v>
      </c>
      <c r="P89" s="2">
        <f>+IFERROR(J89/D89,"")</f>
        <v>9.405682683444877E-2</v>
      </c>
      <c r="Q89" s="2">
        <f>+IFERROR(K89/E89,"")</f>
        <v>0.10063741343143039</v>
      </c>
      <c r="R89" s="2">
        <f>+IFERROR(L89/F89,"")</f>
        <v>0.11381653314073278</v>
      </c>
      <c r="S89" s="2">
        <f>+IFERROR(M89/G89,"")</f>
        <v>9.8432208563557236E-2</v>
      </c>
      <c r="T89" s="2" t="str">
        <f>+IFERROR(#REF!/#REF!,"")</f>
        <v/>
      </c>
      <c r="U89" s="2" t="str">
        <f>+IFERROR(#REF!/#REF!,"")</f>
        <v/>
      </c>
      <c r="V89" s="2" t="str">
        <f>+IFERROR(#REF!/#REF!,"")</f>
        <v/>
      </c>
      <c r="W89" s="2" t="str">
        <f>+IFERROR(#REF!/#REF!,"")</f>
        <v/>
      </c>
      <c r="X89" s="2" t="str">
        <f>+IFERROR(#REF!/#REF!,"")</f>
        <v/>
      </c>
      <c r="Y89" s="2" t="str">
        <f>+IFERROR(#REF!/#REF!,"")</f>
        <v/>
      </c>
      <c r="Z89" s="2" t="str">
        <f>+IFERROR(#REF!/#REF!,"")</f>
        <v/>
      </c>
      <c r="AA89" s="2" t="str">
        <f>+IFERROR(#REF!/#REF!,"")</f>
        <v/>
      </c>
      <c r="AB89" s="2">
        <f>+IFERROR(N89/H89,"")</f>
        <v>0.10105351520370767</v>
      </c>
      <c r="AD89" s="2" t="str">
        <f t="shared" si="26"/>
        <v/>
      </c>
      <c r="AE89" s="2" t="str">
        <f t="shared" si="27"/>
        <v/>
      </c>
      <c r="AF89" s="143">
        <f t="shared" si="28"/>
        <v>-1.5384324577175548E-2</v>
      </c>
      <c r="AG89" s="143" t="str">
        <f t="shared" si="29"/>
        <v/>
      </c>
      <c r="AH89" s="143" t="str">
        <f t="shared" si="30"/>
        <v/>
      </c>
      <c r="AI89" s="143" t="str">
        <f t="shared" si="31"/>
        <v/>
      </c>
      <c r="AJ89" s="143" t="str">
        <f t="shared" si="32"/>
        <v/>
      </c>
      <c r="AK89" s="143" t="str">
        <f t="shared" si="33"/>
        <v/>
      </c>
      <c r="AL89" s="143" t="str">
        <f t="shared" si="34"/>
        <v/>
      </c>
      <c r="AM89" s="143" t="str">
        <f t="shared" si="35"/>
        <v/>
      </c>
      <c r="AN89" s="143" t="str">
        <f t="shared" si="36"/>
        <v/>
      </c>
      <c r="AP89" s="9">
        <f t="shared" si="24"/>
        <v>2.2773695298832568E-4</v>
      </c>
      <c r="AQ89" s="9">
        <f t="shared" si="25"/>
        <v>0.97356356124068422</v>
      </c>
    </row>
    <row r="90" spans="2:43" x14ac:dyDescent="0.35">
      <c r="B90" s="3" t="s">
        <v>192</v>
      </c>
      <c r="D90" s="141">
        <v>916077</v>
      </c>
      <c r="E90" s="141">
        <v>875433</v>
      </c>
      <c r="F90" s="141">
        <v>1081398</v>
      </c>
      <c r="G90" s="141">
        <v>766468</v>
      </c>
      <c r="H90" s="141">
        <f>+SUM(D90:G90)</f>
        <v>3639376</v>
      </c>
      <c r="J90" s="141">
        <v>102262</v>
      </c>
      <c r="K90" s="141">
        <v>101945</v>
      </c>
      <c r="L90" s="141">
        <v>113695</v>
      </c>
      <c r="M90" s="141">
        <v>83224</v>
      </c>
      <c r="N90" s="141">
        <f>+SUM(J90:M90)</f>
        <v>401126</v>
      </c>
      <c r="P90" s="2">
        <f>+IFERROR(J90/D90,"")</f>
        <v>0.11163035421694902</v>
      </c>
      <c r="Q90" s="2">
        <f>+IFERROR(K90/E90,"")</f>
        <v>0.11645094484672157</v>
      </c>
      <c r="R90" s="2">
        <f>+IFERROR(L90/F90,"")</f>
        <v>0.10513705407259862</v>
      </c>
      <c r="S90" s="2">
        <f>+IFERROR(M90/G90,"")</f>
        <v>0.10858118016668668</v>
      </c>
      <c r="T90" s="2" t="str">
        <f>+IFERROR(#REF!/#REF!,"")</f>
        <v/>
      </c>
      <c r="U90" s="2" t="str">
        <f>+IFERROR(#REF!/#REF!,"")</f>
        <v/>
      </c>
      <c r="V90" s="2" t="str">
        <f>+IFERROR(#REF!/#REF!,"")</f>
        <v/>
      </c>
      <c r="W90" s="2" t="str">
        <f>+IFERROR(#REF!/#REF!,"")</f>
        <v/>
      </c>
      <c r="X90" s="2" t="str">
        <f>+IFERROR(#REF!/#REF!,"")</f>
        <v/>
      </c>
      <c r="Y90" s="2" t="str">
        <f>+IFERROR(#REF!/#REF!,"")</f>
        <v/>
      </c>
      <c r="Z90" s="2" t="str">
        <f>+IFERROR(#REF!/#REF!,"")</f>
        <v/>
      </c>
      <c r="AA90" s="2" t="str">
        <f>+IFERROR(#REF!/#REF!,"")</f>
        <v/>
      </c>
      <c r="AB90" s="2">
        <f>+IFERROR(N90/H90,"")</f>
        <v>0.11021834512290019</v>
      </c>
      <c r="AD90" s="2" t="str">
        <f t="shared" si="26"/>
        <v/>
      </c>
      <c r="AE90" s="2" t="str">
        <f t="shared" si="27"/>
        <v/>
      </c>
      <c r="AF90" s="143">
        <f t="shared" si="28"/>
        <v>3.4441260940880625E-3</v>
      </c>
      <c r="AG90" s="143" t="str">
        <f t="shared" si="29"/>
        <v/>
      </c>
      <c r="AH90" s="143" t="str">
        <f t="shared" si="30"/>
        <v/>
      </c>
      <c r="AI90" s="143" t="str">
        <f t="shared" si="31"/>
        <v/>
      </c>
      <c r="AJ90" s="143" t="str">
        <f t="shared" si="32"/>
        <v/>
      </c>
      <c r="AK90" s="143" t="str">
        <f t="shared" si="33"/>
        <v/>
      </c>
      <c r="AL90" s="143" t="str">
        <f t="shared" si="34"/>
        <v/>
      </c>
      <c r="AM90" s="143" t="str">
        <f t="shared" si="35"/>
        <v/>
      </c>
      <c r="AN90" s="143" t="str">
        <f t="shared" si="36"/>
        <v/>
      </c>
      <c r="AP90" s="9">
        <f t="shared" si="24"/>
        <v>2.4558164037323375E-4</v>
      </c>
      <c r="AQ90" s="9">
        <f t="shared" si="25"/>
        <v>0.97380914288105747</v>
      </c>
    </row>
    <row r="91" spans="2:43" x14ac:dyDescent="0.35">
      <c r="B91" s="3" t="s">
        <v>181</v>
      </c>
      <c r="D91" s="141">
        <v>923532</v>
      </c>
      <c r="E91" s="141">
        <v>874472</v>
      </c>
      <c r="F91" s="141">
        <v>929757</v>
      </c>
      <c r="G91" s="141">
        <v>686521</v>
      </c>
      <c r="H91" s="141">
        <f>+SUM(D91:G91)</f>
        <v>3414282</v>
      </c>
      <c r="J91" s="141">
        <v>122868</v>
      </c>
      <c r="K91" s="141">
        <v>106267</v>
      </c>
      <c r="L91" s="141">
        <v>130749</v>
      </c>
      <c r="M91" s="141">
        <v>81643</v>
      </c>
      <c r="N91" s="141">
        <f>+SUM(J91:M91)</f>
        <v>441527</v>
      </c>
      <c r="P91" s="2">
        <f>+IFERROR(J91/D91,"")</f>
        <v>0.1330414105845818</v>
      </c>
      <c r="Q91" s="2">
        <f>+IFERROR(K91/E91,"")</f>
        <v>0.12152132944222342</v>
      </c>
      <c r="R91" s="2">
        <f>+IFERROR(L91/F91,"")</f>
        <v>0.14062706707236408</v>
      </c>
      <c r="S91" s="2">
        <f>+IFERROR(M91/G91,"")</f>
        <v>0.11892280061352821</v>
      </c>
      <c r="T91" s="2" t="str">
        <f>+IFERROR(#REF!/#REF!,"")</f>
        <v/>
      </c>
      <c r="U91" s="2" t="str">
        <f>+IFERROR(#REF!/#REF!,"")</f>
        <v/>
      </c>
      <c r="V91" s="2" t="str">
        <f>+IFERROR(#REF!/#REF!,"")</f>
        <v/>
      </c>
      <c r="W91" s="2" t="str">
        <f>+IFERROR(#REF!/#REF!,"")</f>
        <v/>
      </c>
      <c r="X91" s="2" t="str">
        <f>+IFERROR(#REF!/#REF!,"")</f>
        <v/>
      </c>
      <c r="Y91" s="2" t="str">
        <f>+IFERROR(#REF!/#REF!,"")</f>
        <v/>
      </c>
      <c r="Z91" s="2" t="str">
        <f>+IFERROR(#REF!/#REF!,"")</f>
        <v/>
      </c>
      <c r="AA91" s="2" t="str">
        <f>+IFERROR(#REF!/#REF!,"")</f>
        <v/>
      </c>
      <c r="AB91" s="2">
        <f>+IFERROR(N91/H91,"")</f>
        <v>0.12931767206106584</v>
      </c>
      <c r="AD91" s="2" t="str">
        <f t="shared" si="26"/>
        <v/>
      </c>
      <c r="AE91" s="2" t="str">
        <f t="shared" si="27"/>
        <v/>
      </c>
      <c r="AF91" s="143">
        <f t="shared" si="28"/>
        <v>-2.1704266458835872E-2</v>
      </c>
      <c r="AG91" s="143" t="str">
        <f t="shared" si="29"/>
        <v/>
      </c>
      <c r="AH91" s="143" t="str">
        <f t="shared" si="30"/>
        <v/>
      </c>
      <c r="AI91" s="143" t="str">
        <f t="shared" si="31"/>
        <v/>
      </c>
      <c r="AJ91" s="143" t="str">
        <f t="shared" si="32"/>
        <v/>
      </c>
      <c r="AK91" s="143" t="str">
        <f t="shared" si="33"/>
        <v/>
      </c>
      <c r="AL91" s="143" t="str">
        <f t="shared" si="34"/>
        <v/>
      </c>
      <c r="AM91" s="143" t="str">
        <f t="shared" si="35"/>
        <v/>
      </c>
      <c r="AN91" s="143" t="str">
        <f t="shared" si="36"/>
        <v/>
      </c>
      <c r="AP91" s="9">
        <f t="shared" si="24"/>
        <v>2.7031637173624443E-4</v>
      </c>
      <c r="AQ91" s="9">
        <f t="shared" si="25"/>
        <v>0.97407945925279371</v>
      </c>
    </row>
    <row r="92" spans="2:43" x14ac:dyDescent="0.35">
      <c r="B92" s="3" t="s">
        <v>183</v>
      </c>
      <c r="D92" s="141">
        <v>101053</v>
      </c>
      <c r="E92" s="141">
        <v>106052</v>
      </c>
      <c r="F92" s="141">
        <v>161276</v>
      </c>
      <c r="G92" s="141">
        <v>87254</v>
      </c>
      <c r="H92" s="141">
        <f>+SUM(D92:G92)</f>
        <v>455635</v>
      </c>
      <c r="J92" s="141">
        <v>13561</v>
      </c>
      <c r="K92" s="141">
        <v>15087</v>
      </c>
      <c r="L92" s="141">
        <v>27293</v>
      </c>
      <c r="M92" s="141">
        <v>14117</v>
      </c>
      <c r="N92" s="141">
        <f>+SUM(J92:M92)</f>
        <v>70058</v>
      </c>
      <c r="P92" s="2">
        <f>+IFERROR(J92/D92,"")</f>
        <v>0.13419690657377811</v>
      </c>
      <c r="Q92" s="2">
        <f>+IFERROR(K92/E92,"")</f>
        <v>0.14226040055821673</v>
      </c>
      <c r="R92" s="2">
        <f>+IFERROR(L92/F92,"")</f>
        <v>0.16923162776854583</v>
      </c>
      <c r="S92" s="2">
        <f>+IFERROR(M92/G92,"")</f>
        <v>0.16179200953537948</v>
      </c>
      <c r="T92" s="2" t="str">
        <f>+IFERROR(#REF!/#REF!,"")</f>
        <v/>
      </c>
      <c r="U92" s="2" t="str">
        <f>+IFERROR(#REF!/#REF!,"")</f>
        <v/>
      </c>
      <c r="V92" s="2" t="str">
        <f>+IFERROR(#REF!/#REF!,"")</f>
        <v/>
      </c>
      <c r="W92" s="2" t="str">
        <f>+IFERROR(#REF!/#REF!,"")</f>
        <v/>
      </c>
      <c r="X92" s="2" t="str">
        <f>+IFERROR(#REF!/#REF!,"")</f>
        <v/>
      </c>
      <c r="Y92" s="2" t="str">
        <f>+IFERROR(#REF!/#REF!,"")</f>
        <v/>
      </c>
      <c r="Z92" s="2" t="str">
        <f>+IFERROR(#REF!/#REF!,"")</f>
        <v/>
      </c>
      <c r="AA92" s="2" t="str">
        <f>+IFERROR(#REF!/#REF!,"")</f>
        <v/>
      </c>
      <c r="AB92" s="2">
        <f>+IFERROR(N92/H92,"")</f>
        <v>0.15375903958212164</v>
      </c>
      <c r="AD92" s="2" t="str">
        <f t="shared" si="26"/>
        <v/>
      </c>
      <c r="AE92" s="2" t="str">
        <f t="shared" si="27"/>
        <v/>
      </c>
      <c r="AF92" s="143">
        <f t="shared" si="28"/>
        <v>-7.4396182331663563E-3</v>
      </c>
      <c r="AG92" s="143" t="str">
        <f t="shared" si="29"/>
        <v/>
      </c>
      <c r="AH92" s="143" t="str">
        <f t="shared" si="30"/>
        <v/>
      </c>
      <c r="AI92" s="143" t="str">
        <f t="shared" si="31"/>
        <v/>
      </c>
      <c r="AJ92" s="143" t="str">
        <f t="shared" si="32"/>
        <v/>
      </c>
      <c r="AK92" s="143" t="str">
        <f t="shared" si="33"/>
        <v/>
      </c>
      <c r="AL92" s="143" t="str">
        <f t="shared" si="34"/>
        <v/>
      </c>
      <c r="AM92" s="143" t="str">
        <f t="shared" si="35"/>
        <v/>
      </c>
      <c r="AN92" s="143" t="str">
        <f t="shared" si="36"/>
        <v/>
      </c>
      <c r="AP92" s="9">
        <f t="shared" si="24"/>
        <v>4.2891656390430968E-5</v>
      </c>
      <c r="AQ92" s="9">
        <f t="shared" si="25"/>
        <v>0.97412235090918409</v>
      </c>
    </row>
    <row r="93" spans="2:43" x14ac:dyDescent="0.35">
      <c r="B93" s="3" t="s">
        <v>184</v>
      </c>
      <c r="D93" s="141">
        <v>944630</v>
      </c>
      <c r="E93" s="141">
        <v>840438</v>
      </c>
      <c r="F93" s="141">
        <v>711028</v>
      </c>
      <c r="G93" s="141">
        <v>635840</v>
      </c>
      <c r="H93" s="141">
        <f>+SUM(D93:G93)</f>
        <v>3131936</v>
      </c>
      <c r="J93" s="141">
        <v>128242</v>
      </c>
      <c r="K93" s="141">
        <v>98455</v>
      </c>
      <c r="L93" s="141">
        <v>87495</v>
      </c>
      <c r="M93" s="141">
        <v>86695</v>
      </c>
      <c r="N93" s="141">
        <f>+SUM(J93:M93)</f>
        <v>400887</v>
      </c>
      <c r="P93" s="2">
        <f>+IFERROR(J93/D93,"")</f>
        <v>0.13575897441326235</v>
      </c>
      <c r="Q93" s="2">
        <f>+IFERROR(K93/E93,"")</f>
        <v>0.11714724941042647</v>
      </c>
      <c r="R93" s="2">
        <f>+IFERROR(L93/F93,"")</f>
        <v>0.12305422571263017</v>
      </c>
      <c r="S93" s="2">
        <f>+IFERROR(M93/G93,"")</f>
        <v>0.13634719426270761</v>
      </c>
      <c r="T93" s="2" t="str">
        <f>+IFERROR(#REF!/#REF!,"")</f>
        <v/>
      </c>
      <c r="U93" s="2" t="str">
        <f>+IFERROR(#REF!/#REF!,"")</f>
        <v/>
      </c>
      <c r="V93" s="2" t="str">
        <f>+IFERROR(#REF!/#REF!,"")</f>
        <v/>
      </c>
      <c r="W93" s="2" t="str">
        <f>+IFERROR(#REF!/#REF!,"")</f>
        <v/>
      </c>
      <c r="X93" s="2" t="str">
        <f>+IFERROR(#REF!/#REF!,"")</f>
        <v/>
      </c>
      <c r="Y93" s="2" t="str">
        <f>+IFERROR(#REF!/#REF!,"")</f>
        <v/>
      </c>
      <c r="Z93" s="2" t="str">
        <f>+IFERROR(#REF!/#REF!,"")</f>
        <v/>
      </c>
      <c r="AA93" s="2" t="str">
        <f>+IFERROR(#REF!/#REF!,"")</f>
        <v/>
      </c>
      <c r="AB93" s="2">
        <f>+IFERROR(N93/H93,"")</f>
        <v>0.12799974201260816</v>
      </c>
      <c r="AD93" s="2" t="str">
        <f t="shared" si="26"/>
        <v/>
      </c>
      <c r="AE93" s="2" t="str">
        <f t="shared" si="27"/>
        <v/>
      </c>
      <c r="AF93" s="143">
        <f t="shared" si="28"/>
        <v>1.3292968550077444E-2</v>
      </c>
      <c r="AG93" s="143" t="str">
        <f t="shared" si="29"/>
        <v/>
      </c>
      <c r="AH93" s="143" t="str">
        <f t="shared" si="30"/>
        <v/>
      </c>
      <c r="AI93" s="143" t="str">
        <f t="shared" si="31"/>
        <v/>
      </c>
      <c r="AJ93" s="143" t="str">
        <f t="shared" si="32"/>
        <v/>
      </c>
      <c r="AK93" s="143" t="str">
        <f t="shared" si="33"/>
        <v/>
      </c>
      <c r="AL93" s="143" t="str">
        <f t="shared" si="34"/>
        <v/>
      </c>
      <c r="AM93" s="143" t="str">
        <f t="shared" si="35"/>
        <v/>
      </c>
      <c r="AN93" s="143" t="str">
        <f t="shared" si="36"/>
        <v/>
      </c>
      <c r="AP93" s="9">
        <f t="shared" si="24"/>
        <v>2.4543531724272315E-4</v>
      </c>
      <c r="AQ93" s="9">
        <f t="shared" si="25"/>
        <v>0.97436778622642684</v>
      </c>
    </row>
    <row r="94" spans="2:43" x14ac:dyDescent="0.35">
      <c r="B94" s="3" t="s">
        <v>195</v>
      </c>
      <c r="D94" s="141">
        <v>1054541</v>
      </c>
      <c r="E94" s="141">
        <v>1042680</v>
      </c>
      <c r="F94" s="141">
        <v>1083341</v>
      </c>
      <c r="G94" s="141">
        <v>737430</v>
      </c>
      <c r="H94" s="141">
        <f>+SUM(D94:G94)</f>
        <v>3917992</v>
      </c>
      <c r="J94" s="141">
        <v>91292</v>
      </c>
      <c r="K94" s="141">
        <v>154453</v>
      </c>
      <c r="L94" s="141">
        <v>125898</v>
      </c>
      <c r="M94" s="141">
        <v>78372</v>
      </c>
      <c r="N94" s="141">
        <f>+SUM(J94:M94)</f>
        <v>450015</v>
      </c>
      <c r="P94" s="2">
        <f>+IFERROR(J94/D94,"")</f>
        <v>8.6570365685165393E-2</v>
      </c>
      <c r="Q94" s="2">
        <f>+IFERROR(K94/E94,"")</f>
        <v>0.1481307783787931</v>
      </c>
      <c r="R94" s="2">
        <f>+IFERROR(L94/F94,"")</f>
        <v>0.11621271603308654</v>
      </c>
      <c r="S94" s="2">
        <f>+IFERROR(M94/G94,"")</f>
        <v>0.10627720597209227</v>
      </c>
      <c r="T94" s="2" t="str">
        <f>+IFERROR(#REF!/#REF!,"")</f>
        <v/>
      </c>
      <c r="U94" s="2" t="str">
        <f>+IFERROR(#REF!/#REF!,"")</f>
        <v/>
      </c>
      <c r="V94" s="2" t="str">
        <f>+IFERROR(#REF!/#REF!,"")</f>
        <v/>
      </c>
      <c r="W94" s="2" t="str">
        <f>+IFERROR(#REF!/#REF!,"")</f>
        <v/>
      </c>
      <c r="X94" s="2" t="str">
        <f>+IFERROR(#REF!/#REF!,"")</f>
        <v/>
      </c>
      <c r="Y94" s="2" t="str">
        <f>+IFERROR(#REF!/#REF!,"")</f>
        <v/>
      </c>
      <c r="Z94" s="2" t="str">
        <f>+IFERROR(#REF!/#REF!,"")</f>
        <v/>
      </c>
      <c r="AA94" s="2" t="str">
        <f>+IFERROR(#REF!/#REF!,"")</f>
        <v/>
      </c>
      <c r="AB94" s="2">
        <f>+IFERROR(N94/H94,"")</f>
        <v>0.11485858061986855</v>
      </c>
      <c r="AD94" s="2" t="str">
        <f t="shared" si="26"/>
        <v/>
      </c>
      <c r="AE94" s="2" t="str">
        <f t="shared" si="27"/>
        <v/>
      </c>
      <c r="AF94" s="143">
        <f t="shared" si="28"/>
        <v>-9.9355100609942737E-3</v>
      </c>
      <c r="AG94" s="143" t="str">
        <f t="shared" si="29"/>
        <v/>
      </c>
      <c r="AH94" s="143" t="str">
        <f t="shared" si="30"/>
        <v/>
      </c>
      <c r="AI94" s="143" t="str">
        <f t="shared" si="31"/>
        <v/>
      </c>
      <c r="AJ94" s="143" t="str">
        <f t="shared" si="32"/>
        <v/>
      </c>
      <c r="AK94" s="143" t="str">
        <f t="shared" si="33"/>
        <v/>
      </c>
      <c r="AL94" s="143" t="str">
        <f t="shared" si="34"/>
        <v/>
      </c>
      <c r="AM94" s="143" t="str">
        <f t="shared" si="35"/>
        <v/>
      </c>
      <c r="AN94" s="143" t="str">
        <f t="shared" si="36"/>
        <v/>
      </c>
      <c r="AP94" s="9">
        <f t="shared" si="24"/>
        <v>2.7551298567672199E-4</v>
      </c>
      <c r="AQ94" s="9">
        <f t="shared" si="25"/>
        <v>0.97464329921210358</v>
      </c>
    </row>
    <row r="95" spans="2:43" x14ac:dyDescent="0.35">
      <c r="B95" s="3" t="s">
        <v>208</v>
      </c>
      <c r="D95" s="141">
        <v>2100231</v>
      </c>
      <c r="E95" s="141">
        <v>1435649</v>
      </c>
      <c r="F95" s="141">
        <v>787844</v>
      </c>
      <c r="G95" s="141">
        <v>1183292</v>
      </c>
      <c r="H95" s="141">
        <f>+SUM(D95:G95)</f>
        <v>5507016</v>
      </c>
      <c r="J95" s="141">
        <v>230953</v>
      </c>
      <c r="K95" s="141">
        <v>134680</v>
      </c>
      <c r="L95" s="141">
        <v>85642</v>
      </c>
      <c r="M95" s="141">
        <v>110527</v>
      </c>
      <c r="N95" s="141">
        <f>+SUM(J95:M95)</f>
        <v>561802</v>
      </c>
      <c r="P95" s="2">
        <f>+IFERROR(J95/D95,"")</f>
        <v>0.10996552284010663</v>
      </c>
      <c r="Q95" s="2">
        <f>+IFERROR(K95/E95,"")</f>
        <v>9.3811231018166699E-2</v>
      </c>
      <c r="R95" s="2">
        <f>+IFERROR(L95/F95,"")</f>
        <v>0.10870426124968903</v>
      </c>
      <c r="S95" s="2">
        <f>+IFERROR(M95/G95,"")</f>
        <v>9.3406361236279808E-2</v>
      </c>
      <c r="T95" s="2" t="str">
        <f>+IFERROR(#REF!/#REF!,"")</f>
        <v/>
      </c>
      <c r="U95" s="2" t="str">
        <f>+IFERROR(#REF!/#REF!,"")</f>
        <v/>
      </c>
      <c r="V95" s="2" t="str">
        <f>+IFERROR(#REF!/#REF!,"")</f>
        <v/>
      </c>
      <c r="W95" s="2" t="str">
        <f>+IFERROR(#REF!/#REF!,"")</f>
        <v/>
      </c>
      <c r="X95" s="2" t="str">
        <f>+IFERROR(#REF!/#REF!,"")</f>
        <v/>
      </c>
      <c r="Y95" s="2" t="str">
        <f>+IFERROR(#REF!/#REF!,"")</f>
        <v/>
      </c>
      <c r="Z95" s="2" t="str">
        <f>+IFERROR(#REF!/#REF!,"")</f>
        <v/>
      </c>
      <c r="AA95" s="2" t="str">
        <f>+IFERROR(#REF!/#REF!,"")</f>
        <v/>
      </c>
      <c r="AB95" s="2">
        <f>+IFERROR(N95/H95,"")</f>
        <v>0.10201568326658211</v>
      </c>
      <c r="AD95" s="2" t="str">
        <f t="shared" si="26"/>
        <v/>
      </c>
      <c r="AE95" s="2" t="str">
        <f t="shared" si="27"/>
        <v/>
      </c>
      <c r="AF95" s="143">
        <f t="shared" si="28"/>
        <v>-1.5297900013409221E-2</v>
      </c>
      <c r="AG95" s="143" t="str">
        <f t="shared" si="29"/>
        <v/>
      </c>
      <c r="AH95" s="143" t="str">
        <f t="shared" si="30"/>
        <v/>
      </c>
      <c r="AI95" s="143" t="str">
        <f t="shared" si="31"/>
        <v/>
      </c>
      <c r="AJ95" s="143" t="str">
        <f t="shared" si="32"/>
        <v/>
      </c>
      <c r="AK95" s="143" t="str">
        <f t="shared" si="33"/>
        <v/>
      </c>
      <c r="AL95" s="143" t="str">
        <f t="shared" si="34"/>
        <v/>
      </c>
      <c r="AM95" s="143" t="str">
        <f t="shared" si="35"/>
        <v/>
      </c>
      <c r="AN95" s="143" t="str">
        <f t="shared" si="36"/>
        <v/>
      </c>
      <c r="AP95" s="9">
        <f t="shared" si="24"/>
        <v>3.4395241576203853E-4</v>
      </c>
      <c r="AQ95" s="9">
        <f t="shared" si="25"/>
        <v>0.97498725162786559</v>
      </c>
    </row>
    <row r="96" spans="2:43" x14ac:dyDescent="0.35">
      <c r="B96" s="3" t="s">
        <v>203</v>
      </c>
      <c r="D96" s="141">
        <v>1440046</v>
      </c>
      <c r="E96" s="141">
        <v>1086687</v>
      </c>
      <c r="F96" s="141">
        <v>1117045</v>
      </c>
      <c r="G96" s="141">
        <v>1047749</v>
      </c>
      <c r="H96" s="141">
        <f>+SUM(D96:G96)</f>
        <v>4691527</v>
      </c>
      <c r="J96" s="141">
        <v>180494</v>
      </c>
      <c r="K96" s="141">
        <v>127945</v>
      </c>
      <c r="L96" s="141">
        <v>141914</v>
      </c>
      <c r="M96" s="141">
        <v>114760</v>
      </c>
      <c r="N96" s="141">
        <f>+SUM(J96:M96)</f>
        <v>565113</v>
      </c>
      <c r="P96" s="2">
        <f>+IFERROR(J96/D96,"")</f>
        <v>0.1253390516691828</v>
      </c>
      <c r="Q96" s="2">
        <f>+IFERROR(K96/E96,"")</f>
        <v>0.11773859446188277</v>
      </c>
      <c r="R96" s="2">
        <f>+IFERROR(L96/F96,"")</f>
        <v>0.12704412087248051</v>
      </c>
      <c r="S96" s="2">
        <f>+IFERROR(M96/G96,"")</f>
        <v>0.10953004965884004</v>
      </c>
      <c r="T96" s="2" t="str">
        <f>+IFERROR(#REF!/#REF!,"")</f>
        <v/>
      </c>
      <c r="U96" s="2" t="str">
        <f>+IFERROR(#REF!/#REF!,"")</f>
        <v/>
      </c>
      <c r="V96" s="2" t="str">
        <f>+IFERROR(#REF!/#REF!,"")</f>
        <v/>
      </c>
      <c r="W96" s="2" t="str">
        <f>+IFERROR(#REF!/#REF!,"")</f>
        <v/>
      </c>
      <c r="X96" s="2" t="str">
        <f>+IFERROR(#REF!/#REF!,"")</f>
        <v/>
      </c>
      <c r="Y96" s="2" t="str">
        <f>+IFERROR(#REF!/#REF!,"")</f>
        <v/>
      </c>
      <c r="Z96" s="2" t="str">
        <f>+IFERROR(#REF!/#REF!,"")</f>
        <v/>
      </c>
      <c r="AA96" s="2" t="str">
        <f>+IFERROR(#REF!/#REF!,"")</f>
        <v/>
      </c>
      <c r="AB96" s="2">
        <f>+IFERROR(N96/H96,"")</f>
        <v>0.12045395880701529</v>
      </c>
      <c r="AD96" s="2" t="str">
        <f t="shared" si="26"/>
        <v/>
      </c>
      <c r="AE96" s="2" t="str">
        <f t="shared" si="27"/>
        <v/>
      </c>
      <c r="AF96" s="143">
        <f t="shared" si="28"/>
        <v>-1.7514071213640472E-2</v>
      </c>
      <c r="AG96" s="143" t="str">
        <f t="shared" si="29"/>
        <v/>
      </c>
      <c r="AH96" s="143" t="str">
        <f t="shared" si="30"/>
        <v/>
      </c>
      <c r="AI96" s="143" t="str">
        <f t="shared" si="31"/>
        <v/>
      </c>
      <c r="AJ96" s="143" t="str">
        <f t="shared" si="32"/>
        <v/>
      </c>
      <c r="AK96" s="143" t="str">
        <f t="shared" si="33"/>
        <v/>
      </c>
      <c r="AL96" s="143" t="str">
        <f t="shared" si="34"/>
        <v/>
      </c>
      <c r="AM96" s="143" t="str">
        <f t="shared" si="35"/>
        <v/>
      </c>
      <c r="AN96" s="143" t="str">
        <f t="shared" si="36"/>
        <v/>
      </c>
      <c r="AP96" s="9">
        <f t="shared" si="24"/>
        <v>3.4597951151568148E-4</v>
      </c>
      <c r="AQ96" s="9">
        <f t="shared" si="25"/>
        <v>0.97533323113938131</v>
      </c>
    </row>
    <row r="97" spans="2:43" x14ac:dyDescent="0.35">
      <c r="B97" s="3" t="s">
        <v>167</v>
      </c>
      <c r="D97" s="141">
        <v>654628</v>
      </c>
      <c r="E97" s="141">
        <v>580085</v>
      </c>
      <c r="F97" s="141">
        <v>562851</v>
      </c>
      <c r="G97" s="141">
        <v>494519</v>
      </c>
      <c r="H97" s="141">
        <f>+SUM(D97:G97)</f>
        <v>2292083</v>
      </c>
      <c r="J97" s="141">
        <v>81292</v>
      </c>
      <c r="K97" s="141">
        <v>53458</v>
      </c>
      <c r="L97" s="141">
        <v>58915</v>
      </c>
      <c r="M97" s="141">
        <v>52636</v>
      </c>
      <c r="N97" s="141">
        <f>+SUM(J97:M97)</f>
        <v>246301</v>
      </c>
      <c r="P97" s="2">
        <f>+IFERROR(J97/D97,"")</f>
        <v>0.12418045057651063</v>
      </c>
      <c r="Q97" s="2">
        <f>+IFERROR(K97/E97,"")</f>
        <v>9.2155459975693216E-2</v>
      </c>
      <c r="R97" s="2">
        <f>+IFERROR(L97/F97,"")</f>
        <v>0.10467246216138908</v>
      </c>
      <c r="S97" s="2">
        <f>+IFERROR(M97/G97,"")</f>
        <v>0.10643878192748914</v>
      </c>
      <c r="T97" s="2" t="str">
        <f>+IFERROR(#REF!/#REF!,"")</f>
        <v/>
      </c>
      <c r="U97" s="2" t="str">
        <f>+IFERROR(#REF!/#REF!,"")</f>
        <v/>
      </c>
      <c r="V97" s="2" t="str">
        <f>+IFERROR(#REF!/#REF!,"")</f>
        <v/>
      </c>
      <c r="W97" s="2" t="str">
        <f>+IFERROR(#REF!/#REF!,"")</f>
        <v/>
      </c>
      <c r="X97" s="2" t="str">
        <f>+IFERROR(#REF!/#REF!,"")</f>
        <v/>
      </c>
      <c r="Y97" s="2" t="str">
        <f>+IFERROR(#REF!/#REF!,"")</f>
        <v/>
      </c>
      <c r="Z97" s="2" t="str">
        <f>+IFERROR(#REF!/#REF!,"")</f>
        <v/>
      </c>
      <c r="AA97" s="2" t="str">
        <f>+IFERROR(#REF!/#REF!,"")</f>
        <v/>
      </c>
      <c r="AB97" s="2">
        <f>+IFERROR(N97/H97,"")</f>
        <v>0.10745727794325075</v>
      </c>
      <c r="AD97" s="2" t="str">
        <f t="shared" si="26"/>
        <v/>
      </c>
      <c r="AE97" s="2" t="str">
        <f t="shared" si="27"/>
        <v/>
      </c>
      <c r="AF97" s="143">
        <f t="shared" si="28"/>
        <v>1.7663197661000607E-3</v>
      </c>
      <c r="AG97" s="143" t="str">
        <f t="shared" si="29"/>
        <v/>
      </c>
      <c r="AH97" s="143" t="str">
        <f t="shared" si="30"/>
        <v/>
      </c>
      <c r="AI97" s="143" t="str">
        <f t="shared" si="31"/>
        <v/>
      </c>
      <c r="AJ97" s="143" t="str">
        <f t="shared" si="32"/>
        <v/>
      </c>
      <c r="AK97" s="143" t="str">
        <f t="shared" si="33"/>
        <v/>
      </c>
      <c r="AL97" s="143" t="str">
        <f t="shared" si="34"/>
        <v/>
      </c>
      <c r="AM97" s="143" t="str">
        <f t="shared" si="35"/>
        <v/>
      </c>
      <c r="AN97" s="143" t="str">
        <f t="shared" si="36"/>
        <v/>
      </c>
      <c r="AP97" s="9">
        <f t="shared" si="24"/>
        <v>1.50793026643917E-4</v>
      </c>
      <c r="AQ97" s="9">
        <f t="shared" si="25"/>
        <v>0.9754840241660252</v>
      </c>
    </row>
    <row r="98" spans="2:43" x14ac:dyDescent="0.35">
      <c r="B98" s="3" t="s">
        <v>186</v>
      </c>
      <c r="D98" s="141">
        <v>870786</v>
      </c>
      <c r="E98" s="141">
        <v>887763</v>
      </c>
      <c r="F98" s="141">
        <v>623218</v>
      </c>
      <c r="G98" s="141">
        <v>947373</v>
      </c>
      <c r="H98" s="141">
        <f>+SUM(D98:G98)</f>
        <v>3329140</v>
      </c>
      <c r="J98" s="141">
        <v>124245</v>
      </c>
      <c r="K98" s="141">
        <v>111842</v>
      </c>
      <c r="L98" s="141">
        <v>86431</v>
      </c>
      <c r="M98" s="141">
        <v>111444</v>
      </c>
      <c r="N98" s="141">
        <f>+SUM(J98:M98)</f>
        <v>433962</v>
      </c>
      <c r="P98" s="2">
        <f>+IFERROR(J98/D98,"")</f>
        <v>0.14268143952704798</v>
      </c>
      <c r="Q98" s="2">
        <f>+IFERROR(K98/E98,"")</f>
        <v>0.12598182172494235</v>
      </c>
      <c r="R98" s="2">
        <f>+IFERROR(L98/F98,"")</f>
        <v>0.13868501872538982</v>
      </c>
      <c r="S98" s="2">
        <f>+IFERROR(M98/G98,"")</f>
        <v>0.11763476476530363</v>
      </c>
      <c r="T98" s="2" t="str">
        <f>+IFERROR(#REF!/#REF!,"")</f>
        <v/>
      </c>
      <c r="U98" s="2" t="str">
        <f>+IFERROR(#REF!/#REF!,"")</f>
        <v/>
      </c>
      <c r="V98" s="2" t="str">
        <f>+IFERROR(#REF!/#REF!,"")</f>
        <v/>
      </c>
      <c r="W98" s="2" t="str">
        <f>+IFERROR(#REF!/#REF!,"")</f>
        <v/>
      </c>
      <c r="X98" s="2" t="str">
        <f>+IFERROR(#REF!/#REF!,"")</f>
        <v/>
      </c>
      <c r="Y98" s="2" t="str">
        <f>+IFERROR(#REF!/#REF!,"")</f>
        <v/>
      </c>
      <c r="Z98" s="2" t="str">
        <f>+IFERROR(#REF!/#REF!,"")</f>
        <v/>
      </c>
      <c r="AA98" s="2" t="str">
        <f>+IFERROR(#REF!/#REF!,"")</f>
        <v/>
      </c>
      <c r="AB98" s="2">
        <f>+IFERROR(N98/H98,"")</f>
        <v>0.13035258355010604</v>
      </c>
      <c r="AD98" s="2" t="str">
        <f t="shared" si="26"/>
        <v/>
      </c>
      <c r="AE98" s="2" t="str">
        <f t="shared" si="27"/>
        <v/>
      </c>
      <c r="AF98" s="143">
        <f t="shared" si="28"/>
        <v>-2.1050253960086196E-2</v>
      </c>
      <c r="AG98" s="143" t="str">
        <f t="shared" si="29"/>
        <v/>
      </c>
      <c r="AH98" s="143" t="str">
        <f t="shared" si="30"/>
        <v/>
      </c>
      <c r="AI98" s="143" t="str">
        <f t="shared" si="31"/>
        <v/>
      </c>
      <c r="AJ98" s="143" t="str">
        <f t="shared" si="32"/>
        <v/>
      </c>
      <c r="AK98" s="143" t="str">
        <f t="shared" si="33"/>
        <v/>
      </c>
      <c r="AL98" s="143" t="str">
        <f t="shared" si="34"/>
        <v/>
      </c>
      <c r="AM98" s="143" t="str">
        <f t="shared" si="35"/>
        <v/>
      </c>
      <c r="AN98" s="143" t="str">
        <f t="shared" si="36"/>
        <v/>
      </c>
      <c r="AP98" s="9">
        <f t="shared" si="24"/>
        <v>2.6568484670564681E-4</v>
      </c>
      <c r="AQ98" s="9">
        <f t="shared" si="25"/>
        <v>0.97574970901273084</v>
      </c>
    </row>
    <row r="99" spans="2:43" x14ac:dyDescent="0.35">
      <c r="B99" s="3" t="s">
        <v>217</v>
      </c>
      <c r="D99" s="141">
        <v>9489365</v>
      </c>
      <c r="E99" s="141">
        <v>7143600</v>
      </c>
      <c r="F99" s="141">
        <v>5087610</v>
      </c>
      <c r="G99" s="141">
        <v>12789049</v>
      </c>
      <c r="H99" s="141">
        <f>+SUM(D99:G99)</f>
        <v>34509624</v>
      </c>
      <c r="J99" s="141">
        <v>1919493</v>
      </c>
      <c r="K99" s="141">
        <v>1415468</v>
      </c>
      <c r="L99" s="141">
        <v>1257445</v>
      </c>
      <c r="M99" s="141">
        <v>2419100</v>
      </c>
      <c r="N99" s="141">
        <f>+SUM(J99:M99)</f>
        <v>7011506</v>
      </c>
      <c r="P99" s="2">
        <f>+IFERROR(J99/D99,"")</f>
        <v>0.20227834001537512</v>
      </c>
      <c r="Q99" s="2">
        <f>+IFERROR(K99/E99,"")</f>
        <v>0.19814491292905537</v>
      </c>
      <c r="R99" s="2">
        <f>+IFERROR(L99/F99,"")</f>
        <v>0.24715829240055742</v>
      </c>
      <c r="S99" s="2">
        <f>+IFERROR(M99/G99,"")</f>
        <v>0.1891540176286759</v>
      </c>
      <c r="T99" s="2" t="str">
        <f>+IFERROR(#REF!/#REF!,"")</f>
        <v/>
      </c>
      <c r="U99" s="2" t="str">
        <f>+IFERROR(#REF!/#REF!,"")</f>
        <v/>
      </c>
      <c r="V99" s="2" t="str">
        <f>+IFERROR(#REF!/#REF!,"")</f>
        <v/>
      </c>
      <c r="W99" s="2" t="str">
        <f>+IFERROR(#REF!/#REF!,"")</f>
        <v/>
      </c>
      <c r="X99" s="2" t="str">
        <f>+IFERROR(#REF!/#REF!,"")</f>
        <v/>
      </c>
      <c r="Y99" s="2" t="str">
        <f>+IFERROR(#REF!/#REF!,"")</f>
        <v/>
      </c>
      <c r="Z99" s="2" t="str">
        <f>+IFERROR(#REF!/#REF!,"")</f>
        <v/>
      </c>
      <c r="AA99" s="2" t="str">
        <f>+IFERROR(#REF!/#REF!,"")</f>
        <v/>
      </c>
      <c r="AB99" s="2">
        <f>+IFERROR(N99/H99,"")</f>
        <v>0.20317538087346301</v>
      </c>
      <c r="AD99" s="2" t="str">
        <f t="shared" si="26"/>
        <v/>
      </c>
      <c r="AE99" s="2" t="str">
        <f t="shared" si="27"/>
        <v/>
      </c>
      <c r="AF99" s="143">
        <f t="shared" si="28"/>
        <v>-5.8004274771881525E-2</v>
      </c>
      <c r="AG99" s="143" t="str">
        <f t="shared" si="29"/>
        <v/>
      </c>
      <c r="AH99" s="143" t="str">
        <f t="shared" si="30"/>
        <v/>
      </c>
      <c r="AI99" s="143" t="str">
        <f t="shared" si="31"/>
        <v/>
      </c>
      <c r="AJ99" s="143" t="str">
        <f t="shared" si="32"/>
        <v/>
      </c>
      <c r="AK99" s="143" t="str">
        <f t="shared" si="33"/>
        <v/>
      </c>
      <c r="AL99" s="143" t="str">
        <f t="shared" si="34"/>
        <v/>
      </c>
      <c r="AM99" s="143" t="str">
        <f t="shared" si="35"/>
        <v/>
      </c>
      <c r="AN99" s="143" t="str">
        <f t="shared" si="36"/>
        <v/>
      </c>
      <c r="AP99" s="9">
        <f t="shared" si="24"/>
        <v>4.2926590272552032E-3</v>
      </c>
      <c r="AQ99" s="9">
        <f t="shared" si="25"/>
        <v>0.98004236803998601</v>
      </c>
    </row>
    <row r="100" spans="2:43" x14ac:dyDescent="0.35">
      <c r="B100" s="3" t="s">
        <v>194</v>
      </c>
      <c r="D100" s="141">
        <v>4674230</v>
      </c>
      <c r="E100" s="141">
        <v>3563872</v>
      </c>
      <c r="F100" s="141">
        <v>5448731</v>
      </c>
      <c r="G100" s="141">
        <v>1601816</v>
      </c>
      <c r="H100" s="141">
        <f>+SUM(D100:G100)</f>
        <v>15288649</v>
      </c>
      <c r="J100" s="141">
        <v>579754</v>
      </c>
      <c r="K100" s="141">
        <v>516934</v>
      </c>
      <c r="L100" s="141">
        <v>732396</v>
      </c>
      <c r="M100" s="141">
        <v>212505</v>
      </c>
      <c r="N100" s="141">
        <f>+SUM(J100:M100)</f>
        <v>2041589</v>
      </c>
      <c r="P100" s="2">
        <f>+IFERROR(J100/D100,"")</f>
        <v>0.12403197959877883</v>
      </c>
      <c r="Q100" s="2">
        <f>+IFERROR(K100/E100,"")</f>
        <v>0.14504841924738038</v>
      </c>
      <c r="R100" s="2">
        <f>+IFERROR(L100/F100,"")</f>
        <v>0.13441588509324465</v>
      </c>
      <c r="S100" s="2">
        <f>+IFERROR(M100/G100,"")</f>
        <v>0.13266505016805924</v>
      </c>
      <c r="T100" s="2" t="str">
        <f>+IFERROR(#REF!/#REF!,"")</f>
        <v/>
      </c>
      <c r="U100" s="2" t="str">
        <f>+IFERROR(#REF!/#REF!,"")</f>
        <v/>
      </c>
      <c r="V100" s="2" t="str">
        <f>+IFERROR(#REF!/#REF!,"")</f>
        <v/>
      </c>
      <c r="W100" s="2" t="str">
        <f>+IFERROR(#REF!/#REF!,"")</f>
        <v/>
      </c>
      <c r="X100" s="2" t="str">
        <f>+IFERROR(#REF!/#REF!,"")</f>
        <v/>
      </c>
      <c r="Y100" s="2" t="str">
        <f>+IFERROR(#REF!/#REF!,"")</f>
        <v/>
      </c>
      <c r="Z100" s="2" t="str">
        <f>+IFERROR(#REF!/#REF!,"")</f>
        <v/>
      </c>
      <c r="AA100" s="2" t="str">
        <f>+IFERROR(#REF!/#REF!,"")</f>
        <v/>
      </c>
      <c r="AB100" s="2">
        <f>+IFERROR(N100/H100,"")</f>
        <v>0.13353625948244346</v>
      </c>
      <c r="AD100" s="2" t="str">
        <f t="shared" si="26"/>
        <v/>
      </c>
      <c r="AE100" s="2" t="str">
        <f t="shared" si="27"/>
        <v/>
      </c>
      <c r="AF100" s="143">
        <f t="shared" si="28"/>
        <v>-1.7508349251854072E-3</v>
      </c>
      <c r="AG100" s="143" t="str">
        <f t="shared" si="29"/>
        <v/>
      </c>
      <c r="AH100" s="143" t="str">
        <f t="shared" si="30"/>
        <v/>
      </c>
      <c r="AI100" s="143" t="str">
        <f t="shared" si="31"/>
        <v/>
      </c>
      <c r="AJ100" s="143" t="str">
        <f t="shared" si="32"/>
        <v/>
      </c>
      <c r="AK100" s="143" t="str">
        <f t="shared" si="33"/>
        <v/>
      </c>
      <c r="AL100" s="143" t="str">
        <f t="shared" si="34"/>
        <v/>
      </c>
      <c r="AM100" s="143" t="str">
        <f t="shared" si="35"/>
        <v/>
      </c>
      <c r="AN100" s="143" t="str">
        <f t="shared" si="36"/>
        <v/>
      </c>
      <c r="AP100" s="9">
        <f t="shared" si="24"/>
        <v>1.2499234045859654E-3</v>
      </c>
      <c r="AQ100" s="9">
        <f t="shared" si="25"/>
        <v>0.98129229144457197</v>
      </c>
    </row>
    <row r="101" spans="2:43" x14ac:dyDescent="0.35">
      <c r="B101" s="3" t="s">
        <v>188</v>
      </c>
      <c r="D101" s="141">
        <v>955783</v>
      </c>
      <c r="E101" s="141">
        <v>1057565</v>
      </c>
      <c r="F101" s="141">
        <v>1178744</v>
      </c>
      <c r="G101" s="141">
        <v>1684052</v>
      </c>
      <c r="H101" s="141">
        <f>+SUM(D101:G101)</f>
        <v>4876144</v>
      </c>
      <c r="J101" s="141">
        <v>81136</v>
      </c>
      <c r="K101" s="141">
        <v>90401</v>
      </c>
      <c r="L101" s="141">
        <v>103160</v>
      </c>
      <c r="M101" s="141">
        <v>72459</v>
      </c>
      <c r="N101" s="141">
        <f>+SUM(J101:M101)</f>
        <v>347156</v>
      </c>
      <c r="P101" s="2">
        <f>+IFERROR(J101/D101,"")</f>
        <v>8.4889561751987641E-2</v>
      </c>
      <c r="Q101" s="2">
        <f>+IFERROR(K101/E101,"")</f>
        <v>8.5480325086401313E-2</v>
      </c>
      <c r="R101" s="2">
        <f>+IFERROR(L101/F101,"")</f>
        <v>8.7516882376495658E-2</v>
      </c>
      <c r="S101" s="2">
        <f>+IFERROR(M101/G101,"")</f>
        <v>4.3026581126948571E-2</v>
      </c>
      <c r="T101" s="2" t="str">
        <f>+IFERROR(#REF!/#REF!,"")</f>
        <v/>
      </c>
      <c r="U101" s="2" t="str">
        <f>+IFERROR(#REF!/#REF!,"")</f>
        <v/>
      </c>
      <c r="V101" s="2" t="str">
        <f>+IFERROR(#REF!/#REF!,"")</f>
        <v/>
      </c>
      <c r="W101" s="2" t="str">
        <f>+IFERROR(#REF!/#REF!,"")</f>
        <v/>
      </c>
      <c r="X101" s="2" t="str">
        <f>+IFERROR(#REF!/#REF!,"")</f>
        <v/>
      </c>
      <c r="Y101" s="2" t="str">
        <f>+IFERROR(#REF!/#REF!,"")</f>
        <v/>
      </c>
      <c r="Z101" s="2" t="str">
        <f>+IFERROR(#REF!/#REF!,"")</f>
        <v/>
      </c>
      <c r="AA101" s="2" t="str">
        <f>+IFERROR(#REF!/#REF!,"")</f>
        <v/>
      </c>
      <c r="AB101" s="2">
        <f>+IFERROR(N101/H101,"")</f>
        <v>7.1194780137748187E-2</v>
      </c>
      <c r="AD101" s="2" t="str">
        <f t="shared" si="26"/>
        <v/>
      </c>
      <c r="AE101" s="2" t="str">
        <f t="shared" si="27"/>
        <v/>
      </c>
      <c r="AF101" s="143">
        <f t="shared" si="28"/>
        <v>-4.4490301249547087E-2</v>
      </c>
      <c r="AG101" s="143" t="str">
        <f t="shared" si="29"/>
        <v/>
      </c>
      <c r="AH101" s="143" t="str">
        <f t="shared" si="30"/>
        <v/>
      </c>
      <c r="AI101" s="143" t="str">
        <f t="shared" si="31"/>
        <v/>
      </c>
      <c r="AJ101" s="143" t="str">
        <f t="shared" si="32"/>
        <v/>
      </c>
      <c r="AK101" s="143" t="str">
        <f t="shared" si="33"/>
        <v/>
      </c>
      <c r="AL101" s="143" t="str">
        <f t="shared" si="34"/>
        <v/>
      </c>
      <c r="AM101" s="143" t="str">
        <f t="shared" si="35"/>
        <v/>
      </c>
      <c r="AN101" s="143" t="str">
        <f t="shared" si="36"/>
        <v/>
      </c>
      <c r="AP101" s="9">
        <f t="shared" si="24"/>
        <v>2.1253955102738378E-4</v>
      </c>
      <c r="AQ101" s="9">
        <f t="shared" si="25"/>
        <v>0.98150483099559938</v>
      </c>
    </row>
    <row r="102" spans="2:43" x14ac:dyDescent="0.35">
      <c r="B102" s="3" t="s">
        <v>169</v>
      </c>
      <c r="D102" s="141">
        <v>430769</v>
      </c>
      <c r="E102" s="141">
        <v>496043</v>
      </c>
      <c r="F102" s="141">
        <v>567084</v>
      </c>
      <c r="G102" s="141">
        <v>368862</v>
      </c>
      <c r="H102" s="141">
        <f>+SUM(D102:G102)</f>
        <v>1862758</v>
      </c>
      <c r="J102" s="141">
        <v>40474</v>
      </c>
      <c r="K102" s="141">
        <v>36011</v>
      </c>
      <c r="L102" s="141">
        <v>55493</v>
      </c>
      <c r="M102" s="141">
        <v>29658</v>
      </c>
      <c r="N102" s="141">
        <f>+SUM(J102:M102)</f>
        <v>161636</v>
      </c>
      <c r="P102" s="2">
        <f>+IFERROR(J102/D102,"")</f>
        <v>9.3957550334401965E-2</v>
      </c>
      <c r="Q102" s="2">
        <f>+IFERROR(K102/E102,"")</f>
        <v>7.2596528929951637E-2</v>
      </c>
      <c r="R102" s="2">
        <f>+IFERROR(L102/F102,"")</f>
        <v>9.7856754907562196E-2</v>
      </c>
      <c r="S102" s="2">
        <f>+IFERROR(M102/G102,"")</f>
        <v>8.0404053548481541E-2</v>
      </c>
      <c r="T102" s="2" t="str">
        <f>+IFERROR(#REF!/#REF!,"")</f>
        <v/>
      </c>
      <c r="U102" s="2" t="str">
        <f>+IFERROR(#REF!/#REF!,"")</f>
        <v/>
      </c>
      <c r="V102" s="2" t="str">
        <f>+IFERROR(#REF!/#REF!,"")</f>
        <v/>
      </c>
      <c r="W102" s="2" t="str">
        <f>+IFERROR(#REF!/#REF!,"")</f>
        <v/>
      </c>
      <c r="X102" s="2" t="str">
        <f>+IFERROR(#REF!/#REF!,"")</f>
        <v/>
      </c>
      <c r="Y102" s="2" t="str">
        <f>+IFERROR(#REF!/#REF!,"")</f>
        <v/>
      </c>
      <c r="Z102" s="2" t="str">
        <f>+IFERROR(#REF!/#REF!,"")</f>
        <v/>
      </c>
      <c r="AA102" s="2" t="str">
        <f>+IFERROR(#REF!/#REF!,"")</f>
        <v/>
      </c>
      <c r="AB102" s="2">
        <f>+IFERROR(N102/H102,"")</f>
        <v>8.6772409513205681E-2</v>
      </c>
      <c r="AD102" s="2" t="str">
        <f t="shared" si="26"/>
        <v/>
      </c>
      <c r="AE102" s="2" t="str">
        <f t="shared" si="27"/>
        <v/>
      </c>
      <c r="AF102" s="143">
        <f t="shared" si="28"/>
        <v>-1.7452701359080655E-2</v>
      </c>
      <c r="AG102" s="143" t="str">
        <f t="shared" si="29"/>
        <v/>
      </c>
      <c r="AH102" s="143" t="str">
        <f t="shared" si="30"/>
        <v/>
      </c>
      <c r="AI102" s="143" t="str">
        <f t="shared" si="31"/>
        <v/>
      </c>
      <c r="AJ102" s="143" t="str">
        <f t="shared" si="32"/>
        <v/>
      </c>
      <c r="AK102" s="143" t="str">
        <f t="shared" si="33"/>
        <v/>
      </c>
      <c r="AL102" s="143" t="str">
        <f t="shared" si="34"/>
        <v/>
      </c>
      <c r="AM102" s="143" t="str">
        <f t="shared" si="35"/>
        <v/>
      </c>
      <c r="AN102" s="143" t="str">
        <f t="shared" si="36"/>
        <v/>
      </c>
      <c r="AP102" s="9">
        <f t="shared" si="24"/>
        <v>9.8958516833533636E-5</v>
      </c>
      <c r="AQ102" s="9">
        <f t="shared" si="25"/>
        <v>0.98160378951243288</v>
      </c>
    </row>
    <row r="103" spans="2:43" x14ac:dyDescent="0.35">
      <c r="B103" s="3" t="s">
        <v>236</v>
      </c>
      <c r="D103" s="141">
        <v>426550</v>
      </c>
      <c r="E103" s="141">
        <v>363714</v>
      </c>
      <c r="F103" s="141">
        <v>390059</v>
      </c>
      <c r="G103" s="141">
        <v>309805</v>
      </c>
      <c r="H103" s="141">
        <f>+SUM(D103:G103)</f>
        <v>1490128</v>
      </c>
      <c r="J103" s="141">
        <v>56195</v>
      </c>
      <c r="K103" s="141">
        <v>61540</v>
      </c>
      <c r="L103" s="141">
        <v>35834</v>
      </c>
      <c r="M103" s="141">
        <v>47147</v>
      </c>
      <c r="N103" s="141">
        <f>+SUM(J103:M103)</f>
        <v>200716</v>
      </c>
      <c r="P103" s="2">
        <f>+IFERROR(J103/D103,"")</f>
        <v>0.13174305474153089</v>
      </c>
      <c r="Q103" s="2">
        <f>+IFERROR(K103/E103,"")</f>
        <v>0.16919887603996547</v>
      </c>
      <c r="R103" s="2">
        <f>+IFERROR(L103/F103,"")</f>
        <v>9.1868153279375683E-2</v>
      </c>
      <c r="S103" s="2">
        <f>+IFERROR(M103/G103,"")</f>
        <v>0.15218282468004066</v>
      </c>
      <c r="T103" s="2" t="str">
        <f>+IFERROR(#REF!/#REF!,"")</f>
        <v/>
      </c>
      <c r="U103" s="2" t="str">
        <f>+IFERROR(#REF!/#REF!,"")</f>
        <v/>
      </c>
      <c r="V103" s="2" t="str">
        <f>+IFERROR(#REF!/#REF!,"")</f>
        <v/>
      </c>
      <c r="W103" s="2" t="str">
        <f>+IFERROR(#REF!/#REF!,"")</f>
        <v/>
      </c>
      <c r="X103" s="2" t="str">
        <f>+IFERROR(#REF!/#REF!,"")</f>
        <v/>
      </c>
      <c r="Y103" s="2" t="str">
        <f>+IFERROR(#REF!/#REF!,"")</f>
        <v/>
      </c>
      <c r="Z103" s="2" t="str">
        <f>+IFERROR(#REF!/#REF!,"")</f>
        <v/>
      </c>
      <c r="AA103" s="2" t="str">
        <f>+IFERROR(#REF!/#REF!,"")</f>
        <v/>
      </c>
      <c r="AB103" s="2">
        <f>+IFERROR(N103/H103,"")</f>
        <v>0.13469715353311931</v>
      </c>
      <c r="AD103" s="2" t="str">
        <f t="shared" si="26"/>
        <v/>
      </c>
      <c r="AE103" s="2" t="str">
        <f t="shared" si="27"/>
        <v/>
      </c>
      <c r="AF103" s="143">
        <f t="shared" si="28"/>
        <v>6.0314671400664974E-2</v>
      </c>
      <c r="AG103" s="143" t="str">
        <f t="shared" si="29"/>
        <v/>
      </c>
      <c r="AH103" s="143" t="str">
        <f t="shared" si="30"/>
        <v/>
      </c>
      <c r="AI103" s="143" t="str">
        <f t="shared" si="31"/>
        <v/>
      </c>
      <c r="AJ103" s="143" t="str">
        <f t="shared" si="32"/>
        <v/>
      </c>
      <c r="AK103" s="143" t="str">
        <f t="shared" si="33"/>
        <v/>
      </c>
      <c r="AL103" s="143" t="str">
        <f t="shared" si="34"/>
        <v/>
      </c>
      <c r="AM103" s="143" t="str">
        <f t="shared" si="35"/>
        <v/>
      </c>
      <c r="AN103" s="143" t="str">
        <f t="shared" si="36"/>
        <v/>
      </c>
      <c r="AP103" s="9">
        <f t="shared" si="24"/>
        <v>1.2288449147937055E-4</v>
      </c>
      <c r="AQ103" s="9">
        <f t="shared" si="25"/>
        <v>0.98172667400391223</v>
      </c>
    </row>
    <row r="104" spans="2:43" x14ac:dyDescent="0.35">
      <c r="B104" s="3" t="s">
        <v>205</v>
      </c>
      <c r="D104" s="141">
        <v>418533</v>
      </c>
      <c r="E104" s="141">
        <v>943454</v>
      </c>
      <c r="F104" s="141">
        <v>498855</v>
      </c>
      <c r="G104" s="141">
        <v>496966</v>
      </c>
      <c r="H104" s="141">
        <f>+SUM(D104:G104)</f>
        <v>2357808</v>
      </c>
      <c r="J104" s="141">
        <v>51616</v>
      </c>
      <c r="K104" s="141">
        <v>128617</v>
      </c>
      <c r="L104" s="141">
        <v>60551</v>
      </c>
      <c r="M104" s="141">
        <v>50077</v>
      </c>
      <c r="N104" s="141">
        <f>+SUM(J104:M104)</f>
        <v>290861</v>
      </c>
      <c r="P104" s="2">
        <f>+IFERROR(J104/D104,"")</f>
        <v>0.12332599818891223</v>
      </c>
      <c r="Q104" s="2">
        <f>+IFERROR(K104/E104,"")</f>
        <v>0.1363256714158825</v>
      </c>
      <c r="R104" s="2">
        <f>+IFERROR(L104/F104,"")</f>
        <v>0.12137996010864881</v>
      </c>
      <c r="S104" s="2">
        <f>+IFERROR(M104/G104,"")</f>
        <v>0.10076544471855217</v>
      </c>
      <c r="T104" s="2" t="str">
        <f>+IFERROR(#REF!/#REF!,"")</f>
        <v/>
      </c>
      <c r="U104" s="2" t="str">
        <f>+IFERROR(#REF!/#REF!,"")</f>
        <v/>
      </c>
      <c r="V104" s="2" t="str">
        <f>+IFERROR(#REF!/#REF!,"")</f>
        <v/>
      </c>
      <c r="W104" s="2" t="str">
        <f>+IFERROR(#REF!/#REF!,"")</f>
        <v/>
      </c>
      <c r="X104" s="2" t="str">
        <f>+IFERROR(#REF!/#REF!,"")</f>
        <v/>
      </c>
      <c r="Y104" s="2" t="str">
        <f>+IFERROR(#REF!/#REF!,"")</f>
        <v/>
      </c>
      <c r="Z104" s="2" t="str">
        <f>+IFERROR(#REF!/#REF!,"")</f>
        <v/>
      </c>
      <c r="AA104" s="2" t="str">
        <f>+IFERROR(#REF!/#REF!,"")</f>
        <v/>
      </c>
      <c r="AB104" s="2">
        <f>+IFERROR(N104/H104,"")</f>
        <v>0.12336076559244857</v>
      </c>
      <c r="AD104" s="2" t="str">
        <f t="shared" si="26"/>
        <v/>
      </c>
      <c r="AE104" s="2" t="str">
        <f t="shared" si="27"/>
        <v/>
      </c>
      <c r="AF104" s="143">
        <f t="shared" si="28"/>
        <v>-2.0614515390096635E-2</v>
      </c>
      <c r="AG104" s="143" t="str">
        <f t="shared" si="29"/>
        <v/>
      </c>
      <c r="AH104" s="143" t="str">
        <f t="shared" si="30"/>
        <v/>
      </c>
      <c r="AI104" s="143" t="str">
        <f t="shared" si="31"/>
        <v/>
      </c>
      <c r="AJ104" s="143" t="str">
        <f t="shared" si="32"/>
        <v/>
      </c>
      <c r="AK104" s="143" t="str">
        <f t="shared" si="33"/>
        <v/>
      </c>
      <c r="AL104" s="143" t="str">
        <f t="shared" si="34"/>
        <v/>
      </c>
      <c r="AM104" s="143" t="str">
        <f t="shared" si="35"/>
        <v/>
      </c>
      <c r="AN104" s="143" t="str">
        <f t="shared" si="36"/>
        <v/>
      </c>
      <c r="AP104" s="9">
        <f t="shared" si="24"/>
        <v>1.7807402537008108E-4</v>
      </c>
      <c r="AQ104" s="9">
        <f t="shared" si="25"/>
        <v>0.98190474802928229</v>
      </c>
    </row>
    <row r="105" spans="2:43" x14ac:dyDescent="0.35">
      <c r="B105" s="3" t="s">
        <v>211</v>
      </c>
      <c r="D105" s="141">
        <v>1416424</v>
      </c>
      <c r="E105" s="141">
        <v>1128727</v>
      </c>
      <c r="F105" s="141">
        <v>831870</v>
      </c>
      <c r="G105" s="141">
        <v>706714</v>
      </c>
      <c r="H105" s="141">
        <f>+SUM(D105:G105)</f>
        <v>4083735</v>
      </c>
      <c r="J105" s="141">
        <v>189920</v>
      </c>
      <c r="K105" s="141">
        <v>150358</v>
      </c>
      <c r="L105" s="141">
        <v>112970</v>
      </c>
      <c r="M105" s="141">
        <v>84235</v>
      </c>
      <c r="N105" s="141">
        <f>+SUM(J105:M105)</f>
        <v>537483</v>
      </c>
      <c r="P105" s="2">
        <f>+IFERROR(J105/D105,"")</f>
        <v>0.13408414429577584</v>
      </c>
      <c r="Q105" s="2">
        <f>+IFERROR(K105/E105,"")</f>
        <v>0.13321024481561972</v>
      </c>
      <c r="R105" s="2">
        <f>+IFERROR(L105/F105,"")</f>
        <v>0.13580246913580246</v>
      </c>
      <c r="S105" s="2">
        <f>+IFERROR(M105/G105,"")</f>
        <v>0.1191924880503287</v>
      </c>
      <c r="T105" s="2" t="str">
        <f>+IFERROR(#REF!/#REF!,"")</f>
        <v/>
      </c>
      <c r="U105" s="2" t="str">
        <f>+IFERROR(#REF!/#REF!,"")</f>
        <v/>
      </c>
      <c r="V105" s="2" t="str">
        <f>+IFERROR(#REF!/#REF!,"")</f>
        <v/>
      </c>
      <c r="W105" s="2" t="str">
        <f>+IFERROR(#REF!/#REF!,"")</f>
        <v/>
      </c>
      <c r="X105" s="2" t="str">
        <f>+IFERROR(#REF!/#REF!,"")</f>
        <v/>
      </c>
      <c r="Y105" s="2" t="str">
        <f>+IFERROR(#REF!/#REF!,"")</f>
        <v/>
      </c>
      <c r="Z105" s="2" t="str">
        <f>+IFERROR(#REF!/#REF!,"")</f>
        <v/>
      </c>
      <c r="AA105" s="2" t="str">
        <f>+IFERROR(#REF!/#REF!,"")</f>
        <v/>
      </c>
      <c r="AB105" s="2">
        <f>+IFERROR(N105/H105,"")</f>
        <v>0.13161554312412535</v>
      </c>
      <c r="AD105" s="2" t="str">
        <f t="shared" si="26"/>
        <v/>
      </c>
      <c r="AE105" s="2" t="str">
        <f t="shared" si="27"/>
        <v/>
      </c>
      <c r="AF105" s="143">
        <f t="shared" si="28"/>
        <v>-1.6609981085473763E-2</v>
      </c>
      <c r="AG105" s="143" t="str">
        <f t="shared" si="29"/>
        <v/>
      </c>
      <c r="AH105" s="143" t="str">
        <f t="shared" si="30"/>
        <v/>
      </c>
      <c r="AI105" s="143" t="str">
        <f t="shared" si="31"/>
        <v/>
      </c>
      <c r="AJ105" s="143" t="str">
        <f t="shared" si="32"/>
        <v/>
      </c>
      <c r="AK105" s="143" t="str">
        <f t="shared" si="33"/>
        <v/>
      </c>
      <c r="AL105" s="143" t="str">
        <f t="shared" si="34"/>
        <v/>
      </c>
      <c r="AM105" s="143" t="str">
        <f t="shared" si="35"/>
        <v/>
      </c>
      <c r="AN105" s="143" t="str">
        <f t="shared" si="36"/>
        <v/>
      </c>
      <c r="AP105" s="9">
        <f t="shared" si="24"/>
        <v>3.2906357805957931E-4</v>
      </c>
      <c r="AQ105" s="9">
        <f t="shared" si="25"/>
        <v>0.98223381160734191</v>
      </c>
    </row>
    <row r="106" spans="2:43" x14ac:dyDescent="0.35">
      <c r="B106" s="3" t="s">
        <v>193</v>
      </c>
      <c r="D106" s="141">
        <v>25630188</v>
      </c>
      <c r="E106" s="141">
        <v>23300279</v>
      </c>
      <c r="F106" s="141">
        <v>17006893</v>
      </c>
      <c r="G106" s="141">
        <v>18442899</v>
      </c>
      <c r="H106" s="141">
        <f>+SUM(D106:G106)</f>
        <v>84380259</v>
      </c>
      <c r="J106" s="141">
        <v>2464679</v>
      </c>
      <c r="K106" s="141">
        <v>2312130</v>
      </c>
      <c r="L106" s="141">
        <v>1607560</v>
      </c>
      <c r="M106" s="141">
        <v>1807887</v>
      </c>
      <c r="N106" s="141">
        <f>+SUM(J106:M106)</f>
        <v>8192256</v>
      </c>
      <c r="P106" s="2">
        <f>+IFERROR(J106/D106,"")</f>
        <v>9.6163126076172362E-2</v>
      </c>
      <c r="Q106" s="2">
        <f>+IFERROR(K106/E106,"")</f>
        <v>9.9231858983319474E-2</v>
      </c>
      <c r="R106" s="2">
        <f>+IFERROR(L106/F106,"")</f>
        <v>9.4524026228659172E-2</v>
      </c>
      <c r="S106" s="2">
        <f>+IFERROR(M106/G106,"")</f>
        <v>9.8026183410753379E-2</v>
      </c>
      <c r="T106" s="2" t="str">
        <f>+IFERROR(#REF!/#REF!,"")</f>
        <v/>
      </c>
      <c r="U106" s="2" t="str">
        <f>+IFERROR(#REF!/#REF!,"")</f>
        <v/>
      </c>
      <c r="V106" s="2" t="str">
        <f>+IFERROR(#REF!/#REF!,"")</f>
        <v/>
      </c>
      <c r="W106" s="2" t="str">
        <f>+IFERROR(#REF!/#REF!,"")</f>
        <v/>
      </c>
      <c r="X106" s="2" t="str">
        <f>+IFERROR(#REF!/#REF!,"")</f>
        <v/>
      </c>
      <c r="Y106" s="2" t="str">
        <f>+IFERROR(#REF!/#REF!,"")</f>
        <v/>
      </c>
      <c r="Z106" s="2" t="str">
        <f>+IFERROR(#REF!/#REF!,"")</f>
        <v/>
      </c>
      <c r="AA106" s="2" t="str">
        <f>+IFERROR(#REF!/#REF!,"")</f>
        <v/>
      </c>
      <c r="AB106" s="2">
        <f>+IFERROR(N106/H106,"")</f>
        <v>9.7087353097600707E-2</v>
      </c>
      <c r="AD106" s="2" t="str">
        <f t="shared" si="26"/>
        <v/>
      </c>
      <c r="AE106" s="2" t="str">
        <f t="shared" si="27"/>
        <v/>
      </c>
      <c r="AF106" s="143">
        <f t="shared" si="28"/>
        <v>3.5021571820942066E-3</v>
      </c>
      <c r="AG106" s="143" t="str">
        <f t="shared" si="29"/>
        <v/>
      </c>
      <c r="AH106" s="143" t="str">
        <f t="shared" si="30"/>
        <v/>
      </c>
      <c r="AI106" s="143" t="str">
        <f t="shared" si="31"/>
        <v/>
      </c>
      <c r="AJ106" s="143" t="str">
        <f t="shared" si="32"/>
        <v/>
      </c>
      <c r="AK106" s="143" t="str">
        <f t="shared" si="33"/>
        <v/>
      </c>
      <c r="AL106" s="143" t="str">
        <f t="shared" si="34"/>
        <v/>
      </c>
      <c r="AM106" s="143" t="str">
        <f t="shared" si="35"/>
        <v/>
      </c>
      <c r="AN106" s="143" t="str">
        <f t="shared" si="36"/>
        <v/>
      </c>
      <c r="AP106" s="9">
        <f t="shared" si="24"/>
        <v>5.0155503927381091E-3</v>
      </c>
      <c r="AQ106" s="9">
        <f t="shared" si="25"/>
        <v>0.98724936200008007</v>
      </c>
    </row>
    <row r="107" spans="2:43" x14ac:dyDescent="0.35">
      <c r="B107" s="3" t="s">
        <v>180</v>
      </c>
      <c r="D107" s="141">
        <v>399935</v>
      </c>
      <c r="E107" s="141">
        <v>348679</v>
      </c>
      <c r="F107" s="141">
        <v>172469</v>
      </c>
      <c r="G107" s="141">
        <v>281041</v>
      </c>
      <c r="H107" s="141">
        <f>+SUM(D107:G107)</f>
        <v>1202124</v>
      </c>
      <c r="J107" s="141">
        <v>47593</v>
      </c>
      <c r="K107" s="141">
        <v>39603</v>
      </c>
      <c r="L107" s="141">
        <v>21715</v>
      </c>
      <c r="M107" s="141">
        <v>32627</v>
      </c>
      <c r="N107" s="141">
        <f>+SUM(J107:M107)</f>
        <v>141538</v>
      </c>
      <c r="P107" s="2">
        <f>+IFERROR(J107/D107,"")</f>
        <v>0.11900183779864228</v>
      </c>
      <c r="Q107" s="2">
        <f>+IFERROR(K107/E107,"")</f>
        <v>0.11358011236696217</v>
      </c>
      <c r="R107" s="2">
        <f>+IFERROR(L107/F107,"")</f>
        <v>0.12590668467956562</v>
      </c>
      <c r="S107" s="2">
        <f>+IFERROR(M107/G107,"")</f>
        <v>0.11609338139275052</v>
      </c>
      <c r="T107" s="2" t="str">
        <f>+IFERROR(#REF!/#REF!,"")</f>
        <v/>
      </c>
      <c r="U107" s="2" t="str">
        <f>+IFERROR(#REF!/#REF!,"")</f>
        <v/>
      </c>
      <c r="V107" s="2" t="str">
        <f>+IFERROR(#REF!/#REF!,"")</f>
        <v/>
      </c>
      <c r="W107" s="2" t="str">
        <f>+IFERROR(#REF!/#REF!,"")</f>
        <v/>
      </c>
      <c r="X107" s="2" t="str">
        <f>+IFERROR(#REF!/#REF!,"")</f>
        <v/>
      </c>
      <c r="Y107" s="2" t="str">
        <f>+IFERROR(#REF!/#REF!,"")</f>
        <v/>
      </c>
      <c r="Z107" s="2" t="str">
        <f>+IFERROR(#REF!/#REF!,"")</f>
        <v/>
      </c>
      <c r="AA107" s="2" t="str">
        <f>+IFERROR(#REF!/#REF!,"")</f>
        <v/>
      </c>
      <c r="AB107" s="2">
        <f>+IFERROR(N107/H107,"")</f>
        <v>0.11773993365077147</v>
      </c>
      <c r="AD107" s="2" t="str">
        <f t="shared" si="26"/>
        <v/>
      </c>
      <c r="AE107" s="2" t="str">
        <f t="shared" si="27"/>
        <v/>
      </c>
      <c r="AF107" s="143">
        <f t="shared" si="28"/>
        <v>-9.8133032868150949E-3</v>
      </c>
      <c r="AG107" s="143" t="str">
        <f t="shared" si="29"/>
        <v/>
      </c>
      <c r="AH107" s="143" t="str">
        <f t="shared" si="30"/>
        <v/>
      </c>
      <c r="AI107" s="143" t="str">
        <f t="shared" si="31"/>
        <v/>
      </c>
      <c r="AJ107" s="143" t="str">
        <f t="shared" si="32"/>
        <v/>
      </c>
      <c r="AK107" s="143" t="str">
        <f t="shared" si="33"/>
        <v/>
      </c>
      <c r="AL107" s="143" t="str">
        <f t="shared" si="34"/>
        <v/>
      </c>
      <c r="AM107" s="143" t="str">
        <f t="shared" si="35"/>
        <v/>
      </c>
      <c r="AN107" s="143" t="str">
        <f t="shared" si="36"/>
        <v/>
      </c>
      <c r="AP107" s="9">
        <f t="shared" si="24"/>
        <v>8.6653904795866538E-5</v>
      </c>
      <c r="AQ107" s="9">
        <f t="shared" si="25"/>
        <v>0.98733601590487596</v>
      </c>
    </row>
    <row r="108" spans="2:43" x14ac:dyDescent="0.35">
      <c r="B108" s="3" t="s">
        <v>200</v>
      </c>
      <c r="D108" s="141">
        <v>900933</v>
      </c>
      <c r="E108" s="141">
        <v>1016092</v>
      </c>
      <c r="F108" s="141">
        <v>662304</v>
      </c>
      <c r="G108" s="141">
        <v>607994</v>
      </c>
      <c r="H108" s="141">
        <f>+SUM(D108:G108)</f>
        <v>3187323</v>
      </c>
      <c r="J108" s="141">
        <v>114354</v>
      </c>
      <c r="K108" s="141">
        <v>128838</v>
      </c>
      <c r="L108" s="141">
        <v>86430</v>
      </c>
      <c r="M108" s="141">
        <v>92839</v>
      </c>
      <c r="N108" s="141">
        <f>+SUM(J108:M108)</f>
        <v>422461</v>
      </c>
      <c r="P108" s="2">
        <f>+IFERROR(J108/D108,"")</f>
        <v>0.12692841754048304</v>
      </c>
      <c r="Q108" s="2">
        <f>+IFERROR(K108/E108,"")</f>
        <v>0.1267975734480736</v>
      </c>
      <c r="R108" s="2">
        <f>+IFERROR(L108/F108,"")</f>
        <v>0.13049898536019713</v>
      </c>
      <c r="S108" s="2">
        <f>+IFERROR(M108/G108,"")</f>
        <v>0.1526972305647753</v>
      </c>
      <c r="T108" s="2" t="str">
        <f>+IFERROR(#REF!/#REF!,"")</f>
        <v/>
      </c>
      <c r="U108" s="2" t="str">
        <f>+IFERROR(#REF!/#REF!,"")</f>
        <v/>
      </c>
      <c r="V108" s="2" t="str">
        <f>+IFERROR(#REF!/#REF!,"")</f>
        <v/>
      </c>
      <c r="W108" s="2" t="str">
        <f>+IFERROR(#REF!/#REF!,"")</f>
        <v/>
      </c>
      <c r="X108" s="2" t="str">
        <f>+IFERROR(#REF!/#REF!,"")</f>
        <v/>
      </c>
      <c r="Y108" s="2" t="str">
        <f>+IFERROR(#REF!/#REF!,"")</f>
        <v/>
      </c>
      <c r="Z108" s="2" t="str">
        <f>+IFERROR(#REF!/#REF!,"")</f>
        <v/>
      </c>
      <c r="AA108" s="2" t="str">
        <f>+IFERROR(#REF!/#REF!,"")</f>
        <v/>
      </c>
      <c r="AB108" s="2">
        <f>+IFERROR(N108/H108,"")</f>
        <v>0.13254414441209755</v>
      </c>
      <c r="AD108" s="2" t="str">
        <f t="shared" si="26"/>
        <v/>
      </c>
      <c r="AE108" s="2" t="str">
        <f t="shared" si="27"/>
        <v/>
      </c>
      <c r="AF108" s="143">
        <f t="shared" si="28"/>
        <v>2.2198245204578165E-2</v>
      </c>
      <c r="AG108" s="143" t="str">
        <f t="shared" si="29"/>
        <v/>
      </c>
      <c r="AH108" s="143" t="str">
        <f t="shared" si="30"/>
        <v/>
      </c>
      <c r="AI108" s="143" t="str">
        <f t="shared" si="31"/>
        <v/>
      </c>
      <c r="AJ108" s="143" t="str">
        <f t="shared" si="32"/>
        <v/>
      </c>
      <c r="AK108" s="143" t="str">
        <f t="shared" si="33"/>
        <v/>
      </c>
      <c r="AL108" s="143" t="str">
        <f t="shared" si="34"/>
        <v/>
      </c>
      <c r="AM108" s="143" t="str">
        <f t="shared" si="35"/>
        <v/>
      </c>
      <c r="AN108" s="143" t="str">
        <f t="shared" si="36"/>
        <v/>
      </c>
      <c r="AP108" s="9">
        <f t="shared" si="24"/>
        <v>2.5864358175166087E-4</v>
      </c>
      <c r="AQ108" s="9">
        <f t="shared" si="25"/>
        <v>0.98759465948662761</v>
      </c>
    </row>
    <row r="109" spans="2:43" x14ac:dyDescent="0.35">
      <c r="B109" s="3" t="s">
        <v>185</v>
      </c>
      <c r="D109" s="141">
        <v>258585</v>
      </c>
      <c r="E109" s="141">
        <v>227187</v>
      </c>
      <c r="F109" s="141">
        <v>309859</v>
      </c>
      <c r="G109" s="141">
        <v>168200</v>
      </c>
      <c r="H109" s="141">
        <f>+SUM(D109:G109)</f>
        <v>963831</v>
      </c>
      <c r="J109" s="141">
        <v>16488</v>
      </c>
      <c r="K109" s="141">
        <v>14560</v>
      </c>
      <c r="L109" s="141">
        <v>19294</v>
      </c>
      <c r="M109" s="141">
        <v>8245</v>
      </c>
      <c r="N109" s="141">
        <f>+SUM(J109:M109)</f>
        <v>58587</v>
      </c>
      <c r="P109" s="2">
        <f>+IFERROR(J109/D109,"")</f>
        <v>6.3762399211091128E-2</v>
      </c>
      <c r="Q109" s="2">
        <f>+IFERROR(K109/E109,"")</f>
        <v>6.4088174059255154E-2</v>
      </c>
      <c r="R109" s="2">
        <f>+IFERROR(L109/F109,"")</f>
        <v>6.2267031133515567E-2</v>
      </c>
      <c r="S109" s="2">
        <f>+IFERROR(M109/G109,"")</f>
        <v>4.9019024970273481E-2</v>
      </c>
      <c r="T109" s="2" t="str">
        <f>+IFERROR(#REF!/#REF!,"")</f>
        <v/>
      </c>
      <c r="U109" s="2" t="str">
        <f>+IFERROR(#REF!/#REF!,"")</f>
        <v/>
      </c>
      <c r="V109" s="2" t="str">
        <f>+IFERROR(#REF!/#REF!,"")</f>
        <v/>
      </c>
      <c r="W109" s="2" t="str">
        <f>+IFERROR(#REF!/#REF!,"")</f>
        <v/>
      </c>
      <c r="X109" s="2" t="str">
        <f>+IFERROR(#REF!/#REF!,"")</f>
        <v/>
      </c>
      <c r="Y109" s="2" t="str">
        <f>+IFERROR(#REF!/#REF!,"")</f>
        <v/>
      </c>
      <c r="Z109" s="2" t="str">
        <f>+IFERROR(#REF!/#REF!,"")</f>
        <v/>
      </c>
      <c r="AA109" s="2" t="str">
        <f>+IFERROR(#REF!/#REF!,"")</f>
        <v/>
      </c>
      <c r="AB109" s="2">
        <f>+IFERROR(N109/H109,"")</f>
        <v>6.0785552653940367E-2</v>
      </c>
      <c r="AD109" s="2" t="str">
        <f t="shared" si="26"/>
        <v/>
      </c>
      <c r="AE109" s="2" t="str">
        <f t="shared" si="27"/>
        <v/>
      </c>
      <c r="AF109" s="143">
        <f t="shared" si="28"/>
        <v>-1.3248006163242086E-2</v>
      </c>
      <c r="AG109" s="143" t="str">
        <f t="shared" si="29"/>
        <v/>
      </c>
      <c r="AH109" s="143" t="str">
        <f t="shared" si="30"/>
        <v/>
      </c>
      <c r="AI109" s="143" t="str">
        <f t="shared" si="31"/>
        <v/>
      </c>
      <c r="AJ109" s="143" t="str">
        <f t="shared" si="32"/>
        <v/>
      </c>
      <c r="AK109" s="143" t="str">
        <f t="shared" si="33"/>
        <v/>
      </c>
      <c r="AL109" s="143" t="str">
        <f t="shared" si="34"/>
        <v/>
      </c>
      <c r="AM109" s="143" t="str">
        <f t="shared" si="35"/>
        <v/>
      </c>
      <c r="AN109" s="143" t="str">
        <f t="shared" si="36"/>
        <v/>
      </c>
      <c r="AP109" s="9">
        <f t="shared" si="24"/>
        <v>3.586875835659281E-5</v>
      </c>
      <c r="AQ109" s="9">
        <f t="shared" si="25"/>
        <v>0.98763052824498421</v>
      </c>
    </row>
    <row r="110" spans="2:43" x14ac:dyDescent="0.35">
      <c r="B110" s="3" t="s">
        <v>174</v>
      </c>
      <c r="D110" s="141">
        <v>575232</v>
      </c>
      <c r="E110" s="141">
        <v>480447</v>
      </c>
      <c r="F110" s="141">
        <v>446661</v>
      </c>
      <c r="G110" s="141">
        <v>319893</v>
      </c>
      <c r="H110" s="141">
        <f>+SUM(D110:G110)</f>
        <v>1822233</v>
      </c>
      <c r="J110" s="141">
        <v>54956</v>
      </c>
      <c r="K110" s="141">
        <v>50196</v>
      </c>
      <c r="L110" s="141">
        <v>64205</v>
      </c>
      <c r="M110" s="141">
        <v>31346</v>
      </c>
      <c r="N110" s="141">
        <f>+SUM(J110:M110)</f>
        <v>200703</v>
      </c>
      <c r="P110" s="2">
        <f>+IFERROR(J110/D110,"")</f>
        <v>9.5537105028927455E-2</v>
      </c>
      <c r="Q110" s="2">
        <f>+IFERROR(K110/E110,"")</f>
        <v>0.10447770513709108</v>
      </c>
      <c r="R110" s="2">
        <f>+IFERROR(L110/F110,"")</f>
        <v>0.14374436093592233</v>
      </c>
      <c r="S110" s="2">
        <f>+IFERROR(M110/G110,"")</f>
        <v>9.7989015076916347E-2</v>
      </c>
      <c r="T110" s="2" t="str">
        <f>+IFERROR(#REF!/#REF!,"")</f>
        <v/>
      </c>
      <c r="U110" s="2" t="str">
        <f>+IFERROR(#REF!/#REF!,"")</f>
        <v/>
      </c>
      <c r="V110" s="2" t="str">
        <f>+IFERROR(#REF!/#REF!,"")</f>
        <v/>
      </c>
      <c r="W110" s="2" t="str">
        <f>+IFERROR(#REF!/#REF!,"")</f>
        <v/>
      </c>
      <c r="X110" s="2" t="str">
        <f>+IFERROR(#REF!/#REF!,"")</f>
        <v/>
      </c>
      <c r="Y110" s="2" t="str">
        <f>+IFERROR(#REF!/#REF!,"")</f>
        <v/>
      </c>
      <c r="Z110" s="2" t="str">
        <f>+IFERROR(#REF!/#REF!,"")</f>
        <v/>
      </c>
      <c r="AA110" s="2" t="str">
        <f>+IFERROR(#REF!/#REF!,"")</f>
        <v/>
      </c>
      <c r="AB110" s="2">
        <f>+IFERROR(N110/H110,"")</f>
        <v>0.11014123879877052</v>
      </c>
      <c r="AD110" s="2" t="str">
        <f t="shared" ref="AD110:AD141" si="37">+IFERROR(W110-V110,"")</f>
        <v/>
      </c>
      <c r="AE110" s="2" t="str">
        <f t="shared" ref="AE110:AE141" si="38">+IFERROR(X110-W110,"")</f>
        <v/>
      </c>
      <c r="AF110" s="143">
        <f t="shared" ref="AF110:AF141" si="39">+IFERROR(S110-R110,"")</f>
        <v>-4.575534585900598E-2</v>
      </c>
      <c r="AG110" s="143" t="str">
        <f t="shared" ref="AG110:AG141" si="40">+IFERROR(T110-S110,"")</f>
        <v/>
      </c>
      <c r="AH110" s="143" t="str">
        <f t="shared" ref="AH110:AH141" si="41">+IFERROR(U110-T110,"")</f>
        <v/>
      </c>
      <c r="AI110" s="143" t="str">
        <f t="shared" ref="AI110:AI141" si="42">+IFERROR(V110-U110,"")</f>
        <v/>
      </c>
      <c r="AJ110" s="143" t="str">
        <f t="shared" ref="AJ110:AJ141" si="43">+IFERROR(W110-V110,"")</f>
        <v/>
      </c>
      <c r="AK110" s="143" t="str">
        <f t="shared" ref="AK110:AK141" si="44">+IFERROR(X110-W110,"")</f>
        <v/>
      </c>
      <c r="AL110" s="143" t="str">
        <f t="shared" ref="AL110:AL141" si="45">+IFERROR(Y110-X110,"")</f>
        <v/>
      </c>
      <c r="AM110" s="143" t="str">
        <f t="shared" ref="AM110:AM141" si="46">+IFERROR(Z110-Y110,"")</f>
        <v/>
      </c>
      <c r="AN110" s="143" t="str">
        <f t="shared" ref="AN110:AN141" si="47">+IFERROR(AA110-Z110,"")</f>
        <v/>
      </c>
      <c r="AP110" s="9">
        <f t="shared" si="24"/>
        <v>1.2287653248063983E-4</v>
      </c>
      <c r="AQ110" s="9">
        <f t="shared" si="25"/>
        <v>0.98775340477746487</v>
      </c>
    </row>
    <row r="111" spans="2:43" x14ac:dyDescent="0.35">
      <c r="B111" s="3" t="s">
        <v>202</v>
      </c>
      <c r="D111" s="141">
        <v>529163</v>
      </c>
      <c r="E111" s="141">
        <v>438417</v>
      </c>
      <c r="F111" s="141">
        <v>393632</v>
      </c>
      <c r="G111" s="141">
        <v>275593</v>
      </c>
      <c r="H111" s="141">
        <f>+SUM(D111:G111)</f>
        <v>1636805</v>
      </c>
      <c r="J111" s="141">
        <v>45712</v>
      </c>
      <c r="K111" s="141">
        <v>51050</v>
      </c>
      <c r="L111" s="141">
        <v>48402</v>
      </c>
      <c r="M111" s="141">
        <v>32180</v>
      </c>
      <c r="N111" s="141">
        <f>+SUM(J111:M111)</f>
        <v>177344</v>
      </c>
      <c r="P111" s="2">
        <f>+IFERROR(J111/D111,"")</f>
        <v>8.6385480466321343E-2</v>
      </c>
      <c r="Q111" s="2">
        <f>+IFERROR(K111/E111,"")</f>
        <v>0.11644165258190262</v>
      </c>
      <c r="R111" s="2">
        <f>+IFERROR(L111/F111,"")</f>
        <v>0.12296256401918543</v>
      </c>
      <c r="S111" s="2">
        <f>+IFERROR(M111/G111,"")</f>
        <v>0.11676639101863981</v>
      </c>
      <c r="T111" s="2" t="str">
        <f>+IFERROR(#REF!/#REF!,"")</f>
        <v/>
      </c>
      <c r="U111" s="2" t="str">
        <f>+IFERROR(#REF!/#REF!,"")</f>
        <v/>
      </c>
      <c r="V111" s="2" t="str">
        <f>+IFERROR(#REF!/#REF!,"")</f>
        <v/>
      </c>
      <c r="W111" s="2" t="str">
        <f>+IFERROR(#REF!/#REF!,"")</f>
        <v/>
      </c>
      <c r="X111" s="2" t="str">
        <f>+IFERROR(#REF!/#REF!,"")</f>
        <v/>
      </c>
      <c r="Y111" s="2" t="str">
        <f>+IFERROR(#REF!/#REF!,"")</f>
        <v/>
      </c>
      <c r="Z111" s="2" t="str">
        <f>+IFERROR(#REF!/#REF!,"")</f>
        <v/>
      </c>
      <c r="AA111" s="2" t="str">
        <f>+IFERROR(#REF!/#REF!,"")</f>
        <v/>
      </c>
      <c r="AB111" s="2">
        <f>+IFERROR(N111/H111,"")</f>
        <v>0.10834766511588124</v>
      </c>
      <c r="AD111" s="2" t="str">
        <f t="shared" si="37"/>
        <v/>
      </c>
      <c r="AE111" s="2" t="str">
        <f t="shared" si="38"/>
        <v/>
      </c>
      <c r="AF111" s="143">
        <f t="shared" si="39"/>
        <v>-6.1961730005456184E-3</v>
      </c>
      <c r="AG111" s="143" t="str">
        <f t="shared" si="40"/>
        <v/>
      </c>
      <c r="AH111" s="143" t="str">
        <f t="shared" si="41"/>
        <v/>
      </c>
      <c r="AI111" s="143" t="str">
        <f t="shared" si="42"/>
        <v/>
      </c>
      <c r="AJ111" s="143" t="str">
        <f t="shared" si="43"/>
        <v/>
      </c>
      <c r="AK111" s="143" t="str">
        <f t="shared" si="44"/>
        <v/>
      </c>
      <c r="AL111" s="143" t="str">
        <f t="shared" si="45"/>
        <v/>
      </c>
      <c r="AM111" s="143" t="str">
        <f t="shared" si="46"/>
        <v/>
      </c>
      <c r="AN111" s="143" t="str">
        <f t="shared" si="47"/>
        <v/>
      </c>
      <c r="AP111" s="9">
        <f t="shared" si="24"/>
        <v>1.0857543622290943E-4</v>
      </c>
      <c r="AQ111" s="9">
        <f t="shared" si="25"/>
        <v>0.98786198021368776</v>
      </c>
    </row>
    <row r="112" spans="2:43" x14ac:dyDescent="0.35">
      <c r="B112" s="3" t="s">
        <v>198</v>
      </c>
      <c r="D112" s="141">
        <v>528193</v>
      </c>
      <c r="E112" s="141">
        <v>485467</v>
      </c>
      <c r="F112" s="141">
        <v>577285</v>
      </c>
      <c r="G112" s="141">
        <v>418039</v>
      </c>
      <c r="H112" s="141">
        <f>+SUM(D112:G112)</f>
        <v>2008984</v>
      </c>
      <c r="J112" s="141">
        <v>50417</v>
      </c>
      <c r="K112" s="141">
        <v>34669</v>
      </c>
      <c r="L112" s="141">
        <v>42908</v>
      </c>
      <c r="M112" s="141">
        <v>32644</v>
      </c>
      <c r="N112" s="141">
        <f>+SUM(J112:M112)</f>
        <v>160638</v>
      </c>
      <c r="P112" s="2">
        <f>+IFERROR(J112/D112,"")</f>
        <v>9.5451851879899963E-2</v>
      </c>
      <c r="Q112" s="2">
        <f>+IFERROR(K112/E112,"")</f>
        <v>7.1413710921648638E-2</v>
      </c>
      <c r="R112" s="2">
        <f>+IFERROR(L112/F112,"")</f>
        <v>7.4327238712247848E-2</v>
      </c>
      <c r="S112" s="2">
        <f>+IFERROR(M112/G112,"")</f>
        <v>7.808840801934748E-2</v>
      </c>
      <c r="T112" s="2" t="str">
        <f>+IFERROR(#REF!/#REF!,"")</f>
        <v/>
      </c>
      <c r="U112" s="2" t="str">
        <f>+IFERROR(#REF!/#REF!,"")</f>
        <v/>
      </c>
      <c r="V112" s="2" t="str">
        <f>+IFERROR(#REF!/#REF!,"")</f>
        <v/>
      </c>
      <c r="W112" s="2" t="str">
        <f>+IFERROR(#REF!/#REF!,"")</f>
        <v/>
      </c>
      <c r="X112" s="2" t="str">
        <f>+IFERROR(#REF!/#REF!,"")</f>
        <v/>
      </c>
      <c r="Y112" s="2" t="str">
        <f>+IFERROR(#REF!/#REF!,"")</f>
        <v/>
      </c>
      <c r="Z112" s="2" t="str">
        <f>+IFERROR(#REF!/#REF!,"")</f>
        <v/>
      </c>
      <c r="AA112" s="2" t="str">
        <f>+IFERROR(#REF!/#REF!,"")</f>
        <v/>
      </c>
      <c r="AB112" s="2">
        <f>+IFERROR(N112/H112,"")</f>
        <v>7.9959820486375205E-2</v>
      </c>
      <c r="AD112" s="2" t="str">
        <f t="shared" si="37"/>
        <v/>
      </c>
      <c r="AE112" s="2" t="str">
        <f t="shared" si="38"/>
        <v/>
      </c>
      <c r="AF112" s="143">
        <f t="shared" si="39"/>
        <v>3.7611693070996322E-3</v>
      </c>
      <c r="AG112" s="143" t="str">
        <f t="shared" si="40"/>
        <v/>
      </c>
      <c r="AH112" s="143" t="str">
        <f t="shared" si="41"/>
        <v/>
      </c>
      <c r="AI112" s="143" t="str">
        <f t="shared" si="42"/>
        <v/>
      </c>
      <c r="AJ112" s="143" t="str">
        <f t="shared" si="43"/>
        <v/>
      </c>
      <c r="AK112" s="143" t="str">
        <f t="shared" si="44"/>
        <v/>
      </c>
      <c r="AL112" s="143" t="str">
        <f t="shared" si="45"/>
        <v/>
      </c>
      <c r="AM112" s="143" t="str">
        <f t="shared" si="46"/>
        <v/>
      </c>
      <c r="AN112" s="143" t="str">
        <f t="shared" si="47"/>
        <v/>
      </c>
      <c r="AP112" s="9">
        <f t="shared" si="24"/>
        <v>9.8347510623284268E-5</v>
      </c>
      <c r="AQ112" s="9">
        <f t="shared" si="25"/>
        <v>0.98796032772431108</v>
      </c>
    </row>
    <row r="113" spans="2:43" x14ac:dyDescent="0.35">
      <c r="B113" s="3" t="s">
        <v>219</v>
      </c>
      <c r="D113" s="141">
        <v>590548</v>
      </c>
      <c r="E113" s="141">
        <v>545238</v>
      </c>
      <c r="F113" s="141">
        <v>579845</v>
      </c>
      <c r="G113" s="141">
        <v>472683</v>
      </c>
      <c r="H113" s="141">
        <f>+SUM(D113:G113)</f>
        <v>2188314</v>
      </c>
      <c r="J113" s="141">
        <v>83793</v>
      </c>
      <c r="K113" s="141">
        <v>64199</v>
      </c>
      <c r="L113" s="141">
        <v>80142</v>
      </c>
      <c r="M113" s="141">
        <v>62168</v>
      </c>
      <c r="N113" s="141">
        <f>+SUM(J113:M113)</f>
        <v>290302</v>
      </c>
      <c r="P113" s="2">
        <f>+IFERROR(J113/D113,"")</f>
        <v>0.14189024431544939</v>
      </c>
      <c r="Q113" s="2">
        <f>+IFERROR(K113/E113,"")</f>
        <v>0.11774491139649107</v>
      </c>
      <c r="R113" s="2">
        <f>+IFERROR(L113/F113,"")</f>
        <v>0.13821279824780761</v>
      </c>
      <c r="S113" s="2">
        <f>+IFERROR(M113/G113,"")</f>
        <v>0.13152154826807819</v>
      </c>
      <c r="T113" s="2" t="str">
        <f>+IFERROR(#REF!/#REF!,"")</f>
        <v/>
      </c>
      <c r="U113" s="2" t="str">
        <f>+IFERROR(#REF!/#REF!,"")</f>
        <v/>
      </c>
      <c r="V113" s="2" t="str">
        <f>+IFERROR(#REF!/#REF!,"")</f>
        <v/>
      </c>
      <c r="W113" s="2" t="str">
        <f>+IFERROR(#REF!/#REF!,"")</f>
        <v/>
      </c>
      <c r="X113" s="2" t="str">
        <f>+IFERROR(#REF!/#REF!,"")</f>
        <v/>
      </c>
      <c r="Y113" s="2" t="str">
        <f>+IFERROR(#REF!/#REF!,"")</f>
        <v/>
      </c>
      <c r="Z113" s="2" t="str">
        <f>+IFERROR(#REF!/#REF!,"")</f>
        <v/>
      </c>
      <c r="AA113" s="2" t="str">
        <f>+IFERROR(#REF!/#REF!,"")</f>
        <v/>
      </c>
      <c r="AB113" s="2">
        <f>+IFERROR(N113/H113,"")</f>
        <v>0.13266012098812144</v>
      </c>
      <c r="AD113" s="2" t="str">
        <f t="shared" si="37"/>
        <v/>
      </c>
      <c r="AE113" s="2" t="str">
        <f t="shared" si="38"/>
        <v/>
      </c>
      <c r="AF113" s="143">
        <f t="shared" si="39"/>
        <v>-6.6912499797294189E-3</v>
      </c>
      <c r="AG113" s="143" t="str">
        <f t="shared" si="40"/>
        <v/>
      </c>
      <c r="AH113" s="143" t="str">
        <f t="shared" si="41"/>
        <v/>
      </c>
      <c r="AI113" s="143" t="str">
        <f t="shared" si="42"/>
        <v/>
      </c>
      <c r="AJ113" s="143" t="str">
        <f t="shared" si="43"/>
        <v/>
      </c>
      <c r="AK113" s="143" t="str">
        <f t="shared" si="44"/>
        <v/>
      </c>
      <c r="AL113" s="143" t="str">
        <f t="shared" si="45"/>
        <v/>
      </c>
      <c r="AM113" s="143" t="str">
        <f t="shared" si="46"/>
        <v/>
      </c>
      <c r="AN113" s="143" t="str">
        <f t="shared" si="47"/>
        <v/>
      </c>
      <c r="AP113" s="9">
        <f t="shared" si="24"/>
        <v>1.7773178842466085E-4</v>
      </c>
      <c r="AQ113" s="9">
        <f t="shared" si="25"/>
        <v>0.9881380595127357</v>
      </c>
    </row>
    <row r="114" spans="2:43" x14ac:dyDescent="0.35">
      <c r="B114" s="3" t="s">
        <v>201</v>
      </c>
      <c r="D114" s="141">
        <v>71942</v>
      </c>
      <c r="E114" s="141">
        <v>63606</v>
      </c>
      <c r="F114" s="141">
        <v>40410</v>
      </c>
      <c r="G114" s="141">
        <v>35336</v>
      </c>
      <c r="H114" s="141">
        <f>+SUM(D114:G114)</f>
        <v>211294</v>
      </c>
      <c r="J114" s="141">
        <v>9955</v>
      </c>
      <c r="K114" s="141">
        <v>8799</v>
      </c>
      <c r="L114" s="141">
        <v>4286</v>
      </c>
      <c r="M114" s="141">
        <v>2825</v>
      </c>
      <c r="N114" s="141">
        <f>+SUM(J114:M114)</f>
        <v>25865</v>
      </c>
      <c r="P114" s="2">
        <f>+IFERROR(J114/D114,"")</f>
        <v>0.13837535792721914</v>
      </c>
      <c r="Q114" s="2">
        <f>+IFERROR(K114/E114,"")</f>
        <v>0.13833600603716631</v>
      </c>
      <c r="R114" s="2">
        <f>+IFERROR(L114/F114,"")</f>
        <v>0.10606285572878001</v>
      </c>
      <c r="S114" s="2">
        <f>+IFERROR(M114/G114,"")</f>
        <v>7.9946796468191084E-2</v>
      </c>
      <c r="T114" s="2" t="str">
        <f>+IFERROR(#REF!/#REF!,"")</f>
        <v/>
      </c>
      <c r="U114" s="2" t="str">
        <f>+IFERROR(#REF!/#REF!,"")</f>
        <v/>
      </c>
      <c r="V114" s="2" t="str">
        <f>+IFERROR(#REF!/#REF!,"")</f>
        <v/>
      </c>
      <c r="W114" s="2" t="str">
        <f>+IFERROR(#REF!/#REF!,"")</f>
        <v/>
      </c>
      <c r="X114" s="2" t="str">
        <f>+IFERROR(#REF!/#REF!,"")</f>
        <v/>
      </c>
      <c r="Y114" s="2" t="str">
        <f>+IFERROR(#REF!/#REF!,"")</f>
        <v/>
      </c>
      <c r="Z114" s="2" t="str">
        <f>+IFERROR(#REF!/#REF!,"")</f>
        <v/>
      </c>
      <c r="AA114" s="2" t="str">
        <f>+IFERROR(#REF!/#REF!,"")</f>
        <v/>
      </c>
      <c r="AB114" s="2">
        <f>+IFERROR(N114/H114,"")</f>
        <v>0.12241237328083145</v>
      </c>
      <c r="AD114" s="2" t="str">
        <f t="shared" si="37"/>
        <v/>
      </c>
      <c r="AE114" s="2" t="str">
        <f t="shared" si="38"/>
        <v/>
      </c>
      <c r="AF114" s="143">
        <f t="shared" si="39"/>
        <v>-2.6116059260588922E-2</v>
      </c>
      <c r="AG114" s="143" t="str">
        <f t="shared" si="40"/>
        <v/>
      </c>
      <c r="AH114" s="143" t="str">
        <f t="shared" si="41"/>
        <v/>
      </c>
      <c r="AI114" s="143" t="str">
        <f t="shared" si="42"/>
        <v/>
      </c>
      <c r="AJ114" s="143" t="str">
        <f t="shared" si="43"/>
        <v/>
      </c>
      <c r="AK114" s="143" t="str">
        <f t="shared" si="44"/>
        <v/>
      </c>
      <c r="AL114" s="143" t="str">
        <f t="shared" si="45"/>
        <v/>
      </c>
      <c r="AM114" s="143" t="str">
        <f t="shared" si="46"/>
        <v/>
      </c>
      <c r="AN114" s="143" t="str">
        <f t="shared" si="47"/>
        <v/>
      </c>
      <c r="AP114" s="9">
        <f t="shared" si="24"/>
        <v>1.5835346320741341E-5</v>
      </c>
      <c r="AQ114" s="9">
        <f t="shared" si="25"/>
        <v>0.98815389485905647</v>
      </c>
    </row>
    <row r="115" spans="2:43" x14ac:dyDescent="0.35">
      <c r="B115" s="3" t="s">
        <v>190</v>
      </c>
      <c r="D115" s="141">
        <v>451279</v>
      </c>
      <c r="E115" s="141">
        <v>412123</v>
      </c>
      <c r="F115" s="141">
        <v>407263</v>
      </c>
      <c r="G115" s="141">
        <v>304484</v>
      </c>
      <c r="H115" s="141">
        <f>+SUM(D115:G115)</f>
        <v>1575149</v>
      </c>
      <c r="J115" s="141">
        <v>47851</v>
      </c>
      <c r="K115" s="141">
        <v>34055</v>
      </c>
      <c r="L115" s="141">
        <v>51487</v>
      </c>
      <c r="M115" s="141">
        <v>34939</v>
      </c>
      <c r="N115" s="141">
        <f>+SUM(J115:M115)</f>
        <v>168332</v>
      </c>
      <c r="P115" s="2">
        <f>+IFERROR(J115/D115,"")</f>
        <v>0.106034182844759</v>
      </c>
      <c r="Q115" s="2">
        <f>+IFERROR(K115/E115,"")</f>
        <v>8.2633097400533331E-2</v>
      </c>
      <c r="R115" s="2">
        <f>+IFERROR(L115/F115,"")</f>
        <v>0.12642199266812845</v>
      </c>
      <c r="S115" s="2">
        <f>+IFERROR(M115/G115,"")</f>
        <v>0.11474822979204162</v>
      </c>
      <c r="T115" s="2" t="str">
        <f>+IFERROR(#REF!/#REF!,"")</f>
        <v/>
      </c>
      <c r="U115" s="2" t="str">
        <f>+IFERROR(#REF!/#REF!,"")</f>
        <v/>
      </c>
      <c r="V115" s="2" t="str">
        <f>+IFERROR(#REF!/#REF!,"")</f>
        <v/>
      </c>
      <c r="W115" s="2" t="str">
        <f>+IFERROR(#REF!/#REF!,"")</f>
        <v/>
      </c>
      <c r="X115" s="2" t="str">
        <f>+IFERROR(#REF!/#REF!,"")</f>
        <v/>
      </c>
      <c r="Y115" s="2" t="str">
        <f>+IFERROR(#REF!/#REF!,"")</f>
        <v/>
      </c>
      <c r="Z115" s="2" t="str">
        <f>+IFERROR(#REF!/#REF!,"")</f>
        <v/>
      </c>
      <c r="AA115" s="2" t="str">
        <f>+IFERROR(#REF!/#REF!,"")</f>
        <v/>
      </c>
      <c r="AB115" s="2">
        <f>+IFERROR(N115/H115,"")</f>
        <v>0.10686735032685797</v>
      </c>
      <c r="AD115" s="2" t="str">
        <f t="shared" si="37"/>
        <v/>
      </c>
      <c r="AE115" s="2" t="str">
        <f t="shared" si="38"/>
        <v/>
      </c>
      <c r="AF115" s="143">
        <f t="shared" si="39"/>
        <v>-1.1673762876086832E-2</v>
      </c>
      <c r="AG115" s="143" t="str">
        <f t="shared" si="40"/>
        <v/>
      </c>
      <c r="AH115" s="143" t="str">
        <f t="shared" si="41"/>
        <v/>
      </c>
      <c r="AI115" s="143" t="str">
        <f t="shared" si="42"/>
        <v/>
      </c>
      <c r="AJ115" s="143" t="str">
        <f t="shared" si="43"/>
        <v/>
      </c>
      <c r="AK115" s="143" t="str">
        <f t="shared" si="44"/>
        <v/>
      </c>
      <c r="AL115" s="143" t="str">
        <f t="shared" si="45"/>
        <v/>
      </c>
      <c r="AM115" s="143" t="str">
        <f t="shared" si="46"/>
        <v/>
      </c>
      <c r="AN115" s="143" t="str">
        <f t="shared" si="47"/>
        <v/>
      </c>
      <c r="AP115" s="9">
        <f t="shared" si="24"/>
        <v>1.0305801341051735E-4</v>
      </c>
      <c r="AQ115" s="9">
        <f t="shared" si="25"/>
        <v>0.98825695287246695</v>
      </c>
    </row>
    <row r="116" spans="2:43" x14ac:dyDescent="0.35">
      <c r="B116" s="3" t="s">
        <v>209</v>
      </c>
      <c r="D116" s="141">
        <v>207279</v>
      </c>
      <c r="E116" s="141">
        <v>210377</v>
      </c>
      <c r="F116" s="141">
        <v>356211</v>
      </c>
      <c r="G116" s="141">
        <v>166612</v>
      </c>
      <c r="H116" s="141">
        <f>+SUM(D116:G116)</f>
        <v>940479</v>
      </c>
      <c r="J116" s="141">
        <v>22067</v>
      </c>
      <c r="K116" s="141">
        <v>23000</v>
      </c>
      <c r="L116" s="141">
        <v>41406</v>
      </c>
      <c r="M116" s="141">
        <v>20107</v>
      </c>
      <c r="N116" s="141">
        <f>+SUM(J116:M116)</f>
        <v>106580</v>
      </c>
      <c r="P116" s="2">
        <f>+IFERROR(J116/D116,"")</f>
        <v>0.10646037466410008</v>
      </c>
      <c r="Q116" s="2">
        <f>+IFERROR(K116/E116,"")</f>
        <v>0.10932754055814087</v>
      </c>
      <c r="R116" s="2">
        <f>+IFERROR(L116/F116,"")</f>
        <v>0.11624009365235773</v>
      </c>
      <c r="S116" s="2">
        <f>+IFERROR(M116/G116,"")</f>
        <v>0.12068158355940749</v>
      </c>
      <c r="T116" s="2" t="str">
        <f>+IFERROR(#REF!/#REF!,"")</f>
        <v/>
      </c>
      <c r="U116" s="2" t="str">
        <f>+IFERROR(#REF!/#REF!,"")</f>
        <v/>
      </c>
      <c r="V116" s="2" t="str">
        <f>+IFERROR(#REF!/#REF!,"")</f>
        <v/>
      </c>
      <c r="W116" s="2" t="str">
        <f>+IFERROR(#REF!/#REF!,"")</f>
        <v/>
      </c>
      <c r="X116" s="2" t="str">
        <f>+IFERROR(#REF!/#REF!,"")</f>
        <v/>
      </c>
      <c r="Y116" s="2" t="str">
        <f>+IFERROR(#REF!/#REF!,"")</f>
        <v/>
      </c>
      <c r="Z116" s="2" t="str">
        <f>+IFERROR(#REF!/#REF!,"")</f>
        <v/>
      </c>
      <c r="AA116" s="2" t="str">
        <f>+IFERROR(#REF!/#REF!,"")</f>
        <v/>
      </c>
      <c r="AB116" s="2">
        <f>+IFERROR(N116/H116,"")</f>
        <v>0.11332523107905652</v>
      </c>
      <c r="AD116" s="2" t="str">
        <f t="shared" si="37"/>
        <v/>
      </c>
      <c r="AE116" s="2" t="str">
        <f t="shared" si="38"/>
        <v/>
      </c>
      <c r="AF116" s="143">
        <f t="shared" si="39"/>
        <v>4.4414899070497615E-3</v>
      </c>
      <c r="AG116" s="143" t="str">
        <f t="shared" si="40"/>
        <v/>
      </c>
      <c r="AH116" s="143" t="str">
        <f t="shared" si="41"/>
        <v/>
      </c>
      <c r="AI116" s="143" t="str">
        <f t="shared" si="42"/>
        <v/>
      </c>
      <c r="AJ116" s="143" t="str">
        <f t="shared" si="43"/>
        <v/>
      </c>
      <c r="AK116" s="143" t="str">
        <f t="shared" si="44"/>
        <v/>
      </c>
      <c r="AL116" s="143" t="str">
        <f t="shared" si="45"/>
        <v/>
      </c>
      <c r="AM116" s="143" t="str">
        <f t="shared" si="46"/>
        <v/>
      </c>
      <c r="AN116" s="143" t="str">
        <f t="shared" si="47"/>
        <v/>
      </c>
      <c r="AP116" s="9">
        <f t="shared" si="24"/>
        <v>6.5251544978334124E-5</v>
      </c>
      <c r="AQ116" s="9">
        <f t="shared" si="25"/>
        <v>0.98832220441744534</v>
      </c>
    </row>
    <row r="117" spans="2:43" x14ac:dyDescent="0.35">
      <c r="B117" s="3" t="s">
        <v>171</v>
      </c>
      <c r="D117" s="141">
        <v>403227</v>
      </c>
      <c r="E117" s="141">
        <v>298598</v>
      </c>
      <c r="F117" s="141">
        <v>404822</v>
      </c>
      <c r="G117" s="141">
        <v>258951</v>
      </c>
      <c r="H117" s="141">
        <f>+SUM(D117:G117)</f>
        <v>1365598</v>
      </c>
      <c r="J117" s="141">
        <v>59303</v>
      </c>
      <c r="K117" s="141">
        <v>36225</v>
      </c>
      <c r="L117" s="141">
        <v>55467</v>
      </c>
      <c r="M117" s="141">
        <v>34227</v>
      </c>
      <c r="N117" s="141">
        <f>+SUM(J117:M117)</f>
        <v>185222</v>
      </c>
      <c r="P117" s="2">
        <f>+IFERROR(J117/D117,"")</f>
        <v>0.14707100466982617</v>
      </c>
      <c r="Q117" s="2">
        <f>+IFERROR(K117/E117,"")</f>
        <v>0.12131695456767962</v>
      </c>
      <c r="R117" s="2">
        <f>+IFERROR(L117/F117,"")</f>
        <v>0.13701577483437166</v>
      </c>
      <c r="S117" s="2">
        <f>+IFERROR(M117/G117,"")</f>
        <v>0.13217558534240068</v>
      </c>
      <c r="T117" s="2" t="str">
        <f>+IFERROR(#REF!/#REF!,"")</f>
        <v/>
      </c>
      <c r="U117" s="2" t="str">
        <f>+IFERROR(#REF!/#REF!,"")</f>
        <v/>
      </c>
      <c r="V117" s="2" t="str">
        <f>+IFERROR(#REF!/#REF!,"")</f>
        <v/>
      </c>
      <c r="W117" s="2" t="str">
        <f>+IFERROR(#REF!/#REF!,"")</f>
        <v/>
      </c>
      <c r="X117" s="2" t="str">
        <f>+IFERROR(#REF!/#REF!,"")</f>
        <v/>
      </c>
      <c r="Y117" s="2" t="str">
        <f>+IFERROR(#REF!/#REF!,"")</f>
        <v/>
      </c>
      <c r="Z117" s="2" t="str">
        <f>+IFERROR(#REF!/#REF!,"")</f>
        <v/>
      </c>
      <c r="AA117" s="2" t="str">
        <f>+IFERROR(#REF!/#REF!,"")</f>
        <v/>
      </c>
      <c r="AB117" s="2">
        <f>+IFERROR(N117/H117,"")</f>
        <v>0.13563435212998262</v>
      </c>
      <c r="AD117" s="2" t="str">
        <f t="shared" si="37"/>
        <v/>
      </c>
      <c r="AE117" s="2" t="str">
        <f t="shared" si="38"/>
        <v/>
      </c>
      <c r="AF117" s="143">
        <f t="shared" si="39"/>
        <v>-4.8401894919709865E-3</v>
      </c>
      <c r="AG117" s="143" t="str">
        <f t="shared" si="40"/>
        <v/>
      </c>
      <c r="AH117" s="143" t="str">
        <f t="shared" si="41"/>
        <v/>
      </c>
      <c r="AI117" s="143" t="str">
        <f t="shared" si="42"/>
        <v/>
      </c>
      <c r="AJ117" s="143" t="str">
        <f t="shared" si="43"/>
        <v/>
      </c>
      <c r="AK117" s="143" t="str">
        <f t="shared" si="44"/>
        <v/>
      </c>
      <c r="AL117" s="143" t="str">
        <f t="shared" si="45"/>
        <v/>
      </c>
      <c r="AM117" s="143" t="str">
        <f t="shared" si="46"/>
        <v/>
      </c>
      <c r="AN117" s="143" t="str">
        <f t="shared" si="47"/>
        <v/>
      </c>
      <c r="AP117" s="9">
        <f t="shared" si="24"/>
        <v>1.1339858945371555E-4</v>
      </c>
      <c r="AQ117" s="9">
        <f t="shared" si="25"/>
        <v>0.98843560300689903</v>
      </c>
    </row>
    <row r="118" spans="2:43" x14ac:dyDescent="0.35">
      <c r="B118" s="3" t="s">
        <v>218</v>
      </c>
      <c r="D118" s="141">
        <v>343390</v>
      </c>
      <c r="E118" s="141">
        <v>305365</v>
      </c>
      <c r="F118" s="141">
        <v>399893</v>
      </c>
      <c r="G118" s="141">
        <v>280627</v>
      </c>
      <c r="H118" s="141">
        <f>+SUM(D118:G118)</f>
        <v>1329275</v>
      </c>
      <c r="J118" s="141">
        <v>47243</v>
      </c>
      <c r="K118" s="141">
        <v>37283</v>
      </c>
      <c r="L118" s="141">
        <v>53751</v>
      </c>
      <c r="M118" s="141">
        <v>31654</v>
      </c>
      <c r="N118" s="141">
        <f>+SUM(J118:M118)</f>
        <v>169931</v>
      </c>
      <c r="P118" s="2">
        <f>+IFERROR(J118/D118,"")</f>
        <v>0.13757826378170593</v>
      </c>
      <c r="Q118" s="2">
        <f>+IFERROR(K118/E118,"")</f>
        <v>0.12209323268874953</v>
      </c>
      <c r="R118" s="2">
        <f>+IFERROR(L118/F118,"")</f>
        <v>0.13441345559937284</v>
      </c>
      <c r="S118" s="2">
        <f>+IFERROR(M118/G118,"")</f>
        <v>0.11279741436141212</v>
      </c>
      <c r="T118" s="2" t="str">
        <f>+IFERROR(#REF!/#REF!,"")</f>
        <v/>
      </c>
      <c r="U118" s="2" t="str">
        <f>+IFERROR(#REF!/#REF!,"")</f>
        <v/>
      </c>
      <c r="V118" s="2" t="str">
        <f>+IFERROR(#REF!/#REF!,"")</f>
        <v/>
      </c>
      <c r="W118" s="2" t="str">
        <f>+IFERROR(#REF!/#REF!,"")</f>
        <v/>
      </c>
      <c r="X118" s="2" t="str">
        <f>+IFERROR(#REF!/#REF!,"")</f>
        <v/>
      </c>
      <c r="Y118" s="2" t="str">
        <f>+IFERROR(#REF!/#REF!,"")</f>
        <v/>
      </c>
      <c r="Z118" s="2" t="str">
        <f>+IFERROR(#REF!/#REF!,"")</f>
        <v/>
      </c>
      <c r="AA118" s="2" t="str">
        <f>+IFERROR(#REF!/#REF!,"")</f>
        <v/>
      </c>
      <c r="AB118" s="2">
        <f>+IFERROR(N118/H118,"")</f>
        <v>0.1278373549491264</v>
      </c>
      <c r="AD118" s="2" t="str">
        <f t="shared" si="37"/>
        <v/>
      </c>
      <c r="AE118" s="2" t="str">
        <f t="shared" si="38"/>
        <v/>
      </c>
      <c r="AF118" s="143">
        <f t="shared" si="39"/>
        <v>-2.1616041237960723E-2</v>
      </c>
      <c r="AG118" s="143" t="str">
        <f t="shared" si="40"/>
        <v/>
      </c>
      <c r="AH118" s="143" t="str">
        <f t="shared" si="41"/>
        <v/>
      </c>
      <c r="AI118" s="143" t="str">
        <f t="shared" si="42"/>
        <v/>
      </c>
      <c r="AJ118" s="143" t="str">
        <f t="shared" si="43"/>
        <v/>
      </c>
      <c r="AK118" s="143" t="str">
        <f t="shared" si="44"/>
        <v/>
      </c>
      <c r="AL118" s="143" t="str">
        <f t="shared" si="45"/>
        <v/>
      </c>
      <c r="AM118" s="143" t="str">
        <f t="shared" si="46"/>
        <v/>
      </c>
      <c r="AN118" s="143" t="str">
        <f t="shared" si="47"/>
        <v/>
      </c>
      <c r="AP118" s="9">
        <f t="shared" si="24"/>
        <v>1.0403697025439386E-4</v>
      </c>
      <c r="AQ118" s="9">
        <f t="shared" si="25"/>
        <v>0.98853963997715344</v>
      </c>
    </row>
    <row r="119" spans="2:43" x14ac:dyDescent="0.35">
      <c r="B119" s="3" t="s">
        <v>213</v>
      </c>
      <c r="D119" s="141">
        <v>69103</v>
      </c>
      <c r="E119" s="141">
        <v>74871</v>
      </c>
      <c r="F119" s="141">
        <v>190805</v>
      </c>
      <c r="G119" s="141">
        <v>48634</v>
      </c>
      <c r="H119" s="141">
        <f>+SUM(D119:G119)</f>
        <v>383413</v>
      </c>
      <c r="J119" s="141">
        <v>9690</v>
      </c>
      <c r="K119" s="141">
        <v>7254</v>
      </c>
      <c r="L119" s="141">
        <v>29682</v>
      </c>
      <c r="M119" s="141">
        <v>2724</v>
      </c>
      <c r="N119" s="141">
        <f>+SUM(J119:M119)</f>
        <v>49350</v>
      </c>
      <c r="P119" s="2">
        <f>+IFERROR(J119/D119,"")</f>
        <v>0.14022546054440474</v>
      </c>
      <c r="Q119" s="2">
        <f>+IFERROR(K119/E119,"")</f>
        <v>9.6886645029450658E-2</v>
      </c>
      <c r="R119" s="2">
        <f>+IFERROR(L119/F119,"")</f>
        <v>0.15556196116453971</v>
      </c>
      <c r="S119" s="2">
        <f>+IFERROR(M119/G119,"")</f>
        <v>5.6010198626475306E-2</v>
      </c>
      <c r="T119" s="2" t="str">
        <f>+IFERROR(#REF!/#REF!,"")</f>
        <v/>
      </c>
      <c r="U119" s="2" t="str">
        <f>+IFERROR(#REF!/#REF!,"")</f>
        <v/>
      </c>
      <c r="V119" s="2" t="str">
        <f>+IFERROR(#REF!/#REF!,"")</f>
        <v/>
      </c>
      <c r="W119" s="2" t="str">
        <f>+IFERROR(#REF!/#REF!,"")</f>
        <v/>
      </c>
      <c r="X119" s="2" t="str">
        <f>+IFERROR(#REF!/#REF!,"")</f>
        <v/>
      </c>
      <c r="Y119" s="2" t="str">
        <f>+IFERROR(#REF!/#REF!,"")</f>
        <v/>
      </c>
      <c r="Z119" s="2" t="str">
        <f>+IFERROR(#REF!/#REF!,"")</f>
        <v/>
      </c>
      <c r="AA119" s="2" t="str">
        <f>+IFERROR(#REF!/#REF!,"")</f>
        <v/>
      </c>
      <c r="AB119" s="2">
        <f>+IFERROR(N119/H119,"")</f>
        <v>0.12871238064437043</v>
      </c>
      <c r="AD119" s="2" t="str">
        <f t="shared" si="37"/>
        <v/>
      </c>
      <c r="AE119" s="2" t="str">
        <f t="shared" si="38"/>
        <v/>
      </c>
      <c r="AF119" s="143">
        <f t="shared" si="39"/>
        <v>-9.9551762538064414E-2</v>
      </c>
      <c r="AG119" s="143" t="str">
        <f t="shared" si="40"/>
        <v/>
      </c>
      <c r="AH119" s="143" t="str">
        <f t="shared" si="41"/>
        <v/>
      </c>
      <c r="AI119" s="143" t="str">
        <f t="shared" si="42"/>
        <v/>
      </c>
      <c r="AJ119" s="143" t="str">
        <f t="shared" si="43"/>
        <v/>
      </c>
      <c r="AK119" s="143" t="str">
        <f t="shared" si="44"/>
        <v/>
      </c>
      <c r="AL119" s="143" t="str">
        <f t="shared" si="45"/>
        <v/>
      </c>
      <c r="AM119" s="143" t="str">
        <f t="shared" si="46"/>
        <v/>
      </c>
      <c r="AN119" s="143" t="str">
        <f t="shared" si="47"/>
        <v/>
      </c>
      <c r="AP119" s="9">
        <f t="shared" si="24"/>
        <v>3.021358364309241E-5</v>
      </c>
      <c r="AQ119" s="9">
        <f t="shared" si="25"/>
        <v>0.98856985356079652</v>
      </c>
    </row>
    <row r="120" spans="2:43" x14ac:dyDescent="0.35">
      <c r="B120" s="3" t="s">
        <v>207</v>
      </c>
      <c r="D120" s="141">
        <v>532962</v>
      </c>
      <c r="E120" s="141">
        <v>428724</v>
      </c>
      <c r="F120" s="141">
        <v>448601</v>
      </c>
      <c r="G120" s="141">
        <v>465140</v>
      </c>
      <c r="H120" s="141">
        <f>+SUM(D120:G120)</f>
        <v>1875427</v>
      </c>
      <c r="J120" s="141">
        <v>77364</v>
      </c>
      <c r="K120" s="141">
        <v>55643</v>
      </c>
      <c r="L120" s="141">
        <v>54968</v>
      </c>
      <c r="M120" s="141">
        <v>92814</v>
      </c>
      <c r="N120" s="141">
        <f>+SUM(J120:M120)</f>
        <v>280789</v>
      </c>
      <c r="P120" s="2">
        <f>+IFERROR(J120/D120,"")</f>
        <v>0.14515856665203147</v>
      </c>
      <c r="Q120" s="2">
        <f>+IFERROR(K120/E120,"")</f>
        <v>0.12978746233007715</v>
      </c>
      <c r="R120" s="2">
        <f>+IFERROR(L120/F120,"")</f>
        <v>0.12253204963876585</v>
      </c>
      <c r="S120" s="2">
        <f>+IFERROR(M120/G120,"")</f>
        <v>0.19953992346390334</v>
      </c>
      <c r="T120" s="2" t="str">
        <f>+IFERROR(#REF!/#REF!,"")</f>
        <v/>
      </c>
      <c r="U120" s="2" t="str">
        <f>+IFERROR(#REF!/#REF!,"")</f>
        <v/>
      </c>
      <c r="V120" s="2" t="str">
        <f>+IFERROR(#REF!/#REF!,"")</f>
        <v/>
      </c>
      <c r="W120" s="2" t="str">
        <f>+IFERROR(#REF!/#REF!,"")</f>
        <v/>
      </c>
      <c r="X120" s="2" t="str">
        <f>+IFERROR(#REF!/#REF!,"")</f>
        <v/>
      </c>
      <c r="Y120" s="2" t="str">
        <f>+IFERROR(#REF!/#REF!,"")</f>
        <v/>
      </c>
      <c r="Z120" s="2" t="str">
        <f>+IFERROR(#REF!/#REF!,"")</f>
        <v/>
      </c>
      <c r="AA120" s="2" t="str">
        <f>+IFERROR(#REF!/#REF!,"")</f>
        <v/>
      </c>
      <c r="AB120" s="2">
        <f>+IFERROR(N120/H120,"")</f>
        <v>0.14972003709022</v>
      </c>
      <c r="AD120" s="2" t="str">
        <f t="shared" si="37"/>
        <v/>
      </c>
      <c r="AE120" s="2" t="str">
        <f t="shared" si="38"/>
        <v/>
      </c>
      <c r="AF120" s="143">
        <f t="shared" si="39"/>
        <v>7.7007873825137491E-2</v>
      </c>
      <c r="AG120" s="143" t="str">
        <f t="shared" si="40"/>
        <v/>
      </c>
      <c r="AH120" s="143" t="str">
        <f t="shared" si="41"/>
        <v/>
      </c>
      <c r="AI120" s="143" t="str">
        <f t="shared" si="42"/>
        <v/>
      </c>
      <c r="AJ120" s="143" t="str">
        <f t="shared" si="43"/>
        <v/>
      </c>
      <c r="AK120" s="143" t="str">
        <f t="shared" si="44"/>
        <v/>
      </c>
      <c r="AL120" s="143" t="str">
        <f t="shared" si="45"/>
        <v/>
      </c>
      <c r="AM120" s="143" t="str">
        <f t="shared" si="46"/>
        <v/>
      </c>
      <c r="AN120" s="143" t="str">
        <f t="shared" si="47"/>
        <v/>
      </c>
      <c r="AP120" s="9">
        <f t="shared" si="24"/>
        <v>1.7190763804580091E-4</v>
      </c>
      <c r="AQ120" s="9">
        <f t="shared" si="25"/>
        <v>0.98874176119884227</v>
      </c>
    </row>
    <row r="121" spans="2:43" x14ac:dyDescent="0.35">
      <c r="B121" s="3" t="s">
        <v>226</v>
      </c>
      <c r="D121" s="141">
        <v>189535</v>
      </c>
      <c r="E121" s="141">
        <v>173066</v>
      </c>
      <c r="F121" s="141">
        <v>183208</v>
      </c>
      <c r="G121" s="141">
        <v>145139</v>
      </c>
      <c r="H121" s="141">
        <f>+SUM(D121:G121)</f>
        <v>690948</v>
      </c>
      <c r="J121" s="141">
        <v>24611</v>
      </c>
      <c r="K121" s="141">
        <v>20784</v>
      </c>
      <c r="L121" s="141">
        <v>4216</v>
      </c>
      <c r="M121" s="141">
        <v>15009</v>
      </c>
      <c r="N121" s="141">
        <f>+SUM(J121:M121)</f>
        <v>64620</v>
      </c>
      <c r="P121" s="2">
        <f>+IFERROR(J121/D121,"")</f>
        <v>0.12984936819057166</v>
      </c>
      <c r="Q121" s="2">
        <f>+IFERROR(K121/E121,"")</f>
        <v>0.1200929125304797</v>
      </c>
      <c r="R121" s="2">
        <f>+IFERROR(L121/F121,"")</f>
        <v>2.3012095541679402E-2</v>
      </c>
      <c r="S121" s="2">
        <f>+IFERROR(M121/G121,"")</f>
        <v>0.10341121269955009</v>
      </c>
      <c r="T121" s="2" t="str">
        <f>+IFERROR(#REF!/#REF!,"")</f>
        <v/>
      </c>
      <c r="U121" s="2" t="str">
        <f>+IFERROR(#REF!/#REF!,"")</f>
        <v/>
      </c>
      <c r="V121" s="2" t="str">
        <f>+IFERROR(#REF!/#REF!,"")</f>
        <v/>
      </c>
      <c r="W121" s="2" t="str">
        <f>+IFERROR(#REF!/#REF!,"")</f>
        <v/>
      </c>
      <c r="X121" s="2" t="str">
        <f>+IFERROR(#REF!/#REF!,"")</f>
        <v/>
      </c>
      <c r="Y121" s="2" t="str">
        <f>+IFERROR(#REF!/#REF!,"")</f>
        <v/>
      </c>
      <c r="Z121" s="2" t="str">
        <f>+IFERROR(#REF!/#REF!,"")</f>
        <v/>
      </c>
      <c r="AA121" s="2" t="str">
        <f>+IFERROR(#REF!/#REF!,"")</f>
        <v/>
      </c>
      <c r="AB121" s="2">
        <f>+IFERROR(N121/H121,"")</f>
        <v>9.3523680508518725E-2</v>
      </c>
      <c r="AD121" s="2" t="str">
        <f t="shared" si="37"/>
        <v/>
      </c>
      <c r="AE121" s="2" t="str">
        <f t="shared" si="38"/>
        <v/>
      </c>
      <c r="AF121" s="143">
        <f t="shared" si="39"/>
        <v>8.0399117157870681E-2</v>
      </c>
      <c r="AG121" s="143" t="str">
        <f t="shared" si="40"/>
        <v/>
      </c>
      <c r="AH121" s="143" t="str">
        <f t="shared" si="41"/>
        <v/>
      </c>
      <c r="AI121" s="143" t="str">
        <f t="shared" si="42"/>
        <v/>
      </c>
      <c r="AJ121" s="143" t="str">
        <f t="shared" si="43"/>
        <v/>
      </c>
      <c r="AK121" s="143" t="str">
        <f t="shared" si="44"/>
        <v/>
      </c>
      <c r="AL121" s="143" t="str">
        <f t="shared" si="45"/>
        <v/>
      </c>
      <c r="AM121" s="143" t="str">
        <f t="shared" si="46"/>
        <v/>
      </c>
      <c r="AN121" s="143" t="str">
        <f t="shared" si="47"/>
        <v/>
      </c>
      <c r="AP121" s="9">
        <f t="shared" si="24"/>
        <v>3.9562345998310669E-5</v>
      </c>
      <c r="AQ121" s="9">
        <f t="shared" si="25"/>
        <v>0.98878132354484061</v>
      </c>
    </row>
    <row r="122" spans="2:43" x14ac:dyDescent="0.35">
      <c r="B122" s="3" t="s">
        <v>197</v>
      </c>
      <c r="D122" s="141">
        <v>207876</v>
      </c>
      <c r="E122" s="141">
        <v>188416</v>
      </c>
      <c r="F122" s="141">
        <v>227087</v>
      </c>
      <c r="G122" s="141">
        <v>152882</v>
      </c>
      <c r="H122" s="141">
        <f>+SUM(D122:G122)</f>
        <v>776261</v>
      </c>
      <c r="J122" s="141">
        <v>24572</v>
      </c>
      <c r="K122" s="141">
        <v>26072</v>
      </c>
      <c r="L122" s="141">
        <v>22467</v>
      </c>
      <c r="M122" s="141">
        <v>11705</v>
      </c>
      <c r="N122" s="141">
        <f>+SUM(J122:M122)</f>
        <v>84816</v>
      </c>
      <c r="P122" s="2">
        <f>+IFERROR(J122/D122,"")</f>
        <v>0.11820508379995767</v>
      </c>
      <c r="Q122" s="2">
        <f>+IFERROR(K122/E122,"")</f>
        <v>0.13837466032608695</v>
      </c>
      <c r="R122" s="2">
        <f>+IFERROR(L122/F122,"")</f>
        <v>9.8935650213354348E-2</v>
      </c>
      <c r="S122" s="2">
        <f>+IFERROR(M122/G122,"")</f>
        <v>7.6562316034588768E-2</v>
      </c>
      <c r="T122" s="2" t="str">
        <f>+IFERROR(#REF!/#REF!,"")</f>
        <v/>
      </c>
      <c r="U122" s="2" t="str">
        <f>+IFERROR(#REF!/#REF!,"")</f>
        <v/>
      </c>
      <c r="V122" s="2" t="str">
        <f>+IFERROR(#REF!/#REF!,"")</f>
        <v/>
      </c>
      <c r="W122" s="2" t="str">
        <f>+IFERROR(#REF!/#REF!,"")</f>
        <v/>
      </c>
      <c r="X122" s="2" t="str">
        <f>+IFERROR(#REF!/#REF!,"")</f>
        <v/>
      </c>
      <c r="Y122" s="2" t="str">
        <f>+IFERROR(#REF!/#REF!,"")</f>
        <v/>
      </c>
      <c r="Z122" s="2" t="str">
        <f>+IFERROR(#REF!/#REF!,"")</f>
        <v/>
      </c>
      <c r="AA122" s="2" t="str">
        <f>+IFERROR(#REF!/#REF!,"")</f>
        <v/>
      </c>
      <c r="AB122" s="2">
        <f>+IFERROR(N122/H122,"")</f>
        <v>0.10926221979463092</v>
      </c>
      <c r="AD122" s="2" t="str">
        <f t="shared" si="37"/>
        <v/>
      </c>
      <c r="AE122" s="2" t="str">
        <f t="shared" si="38"/>
        <v/>
      </c>
      <c r="AF122" s="143">
        <f t="shared" si="39"/>
        <v>-2.237333417876558E-2</v>
      </c>
      <c r="AG122" s="143" t="str">
        <f t="shared" si="40"/>
        <v/>
      </c>
      <c r="AH122" s="143" t="str">
        <f t="shared" si="41"/>
        <v/>
      </c>
      <c r="AI122" s="143" t="str">
        <f t="shared" si="42"/>
        <v/>
      </c>
      <c r="AJ122" s="143" t="str">
        <f t="shared" si="43"/>
        <v/>
      </c>
      <c r="AK122" s="143" t="str">
        <f t="shared" si="44"/>
        <v/>
      </c>
      <c r="AL122" s="143" t="str">
        <f t="shared" si="45"/>
        <v/>
      </c>
      <c r="AM122" s="143" t="str">
        <f t="shared" si="46"/>
        <v/>
      </c>
      <c r="AN122" s="143" t="str">
        <f t="shared" si="47"/>
        <v/>
      </c>
      <c r="AP122" s="9">
        <f t="shared" si="24"/>
        <v>5.1926956641793841E-5</v>
      </c>
      <c r="AQ122" s="9">
        <f t="shared" si="25"/>
        <v>0.98883325050148241</v>
      </c>
    </row>
    <row r="123" spans="2:43" x14ac:dyDescent="0.35">
      <c r="B123" s="3" t="s">
        <v>199</v>
      </c>
      <c r="D123" s="141">
        <v>306058</v>
      </c>
      <c r="E123" s="141">
        <v>277810</v>
      </c>
      <c r="F123" s="141">
        <v>263605</v>
      </c>
      <c r="G123" s="141">
        <v>203547</v>
      </c>
      <c r="H123" s="141">
        <f>+SUM(D123:G123)</f>
        <v>1051020</v>
      </c>
      <c r="J123" s="141">
        <v>44714</v>
      </c>
      <c r="K123" s="141">
        <v>34868</v>
      </c>
      <c r="L123" s="141">
        <v>41868</v>
      </c>
      <c r="M123" s="141">
        <v>25485</v>
      </c>
      <c r="N123" s="141">
        <f>+SUM(J123:M123)</f>
        <v>146935</v>
      </c>
      <c r="P123" s="2">
        <f>+IFERROR(J123/D123,"")</f>
        <v>0.14609649151468024</v>
      </c>
      <c r="Q123" s="2">
        <f>+IFERROR(K123/E123,"")</f>
        <v>0.1255102408120658</v>
      </c>
      <c r="R123" s="2">
        <f>+IFERROR(L123/F123,"")</f>
        <v>0.1588285502930521</v>
      </c>
      <c r="S123" s="2">
        <f>+IFERROR(M123/G123,"")</f>
        <v>0.1252044982239974</v>
      </c>
      <c r="T123" s="2" t="str">
        <f>+IFERROR(#REF!/#REF!,"")</f>
        <v/>
      </c>
      <c r="U123" s="2" t="str">
        <f>+IFERROR(#REF!/#REF!,"")</f>
        <v/>
      </c>
      <c r="V123" s="2" t="str">
        <f>+IFERROR(#REF!/#REF!,"")</f>
        <v/>
      </c>
      <c r="W123" s="2" t="str">
        <f>+IFERROR(#REF!/#REF!,"")</f>
        <v/>
      </c>
      <c r="X123" s="2" t="str">
        <f>+IFERROR(#REF!/#REF!,"")</f>
        <v/>
      </c>
      <c r="Y123" s="2" t="str">
        <f>+IFERROR(#REF!/#REF!,"")</f>
        <v/>
      </c>
      <c r="Z123" s="2" t="str">
        <f>+IFERROR(#REF!/#REF!,"")</f>
        <v/>
      </c>
      <c r="AA123" s="2" t="str">
        <f>+IFERROR(#REF!/#REF!,"")</f>
        <v/>
      </c>
      <c r="AB123" s="2">
        <f>+IFERROR(N123/H123,"")</f>
        <v>0.13980228730185915</v>
      </c>
      <c r="AD123" s="2" t="str">
        <f t="shared" si="37"/>
        <v/>
      </c>
      <c r="AE123" s="2" t="str">
        <f t="shared" si="38"/>
        <v/>
      </c>
      <c r="AF123" s="143">
        <f t="shared" si="39"/>
        <v>-3.3624052069054694E-2</v>
      </c>
      <c r="AG123" s="143" t="str">
        <f t="shared" si="40"/>
        <v/>
      </c>
      <c r="AH123" s="143" t="str">
        <f t="shared" si="41"/>
        <v/>
      </c>
      <c r="AI123" s="143" t="str">
        <f t="shared" si="42"/>
        <v/>
      </c>
      <c r="AJ123" s="143" t="str">
        <f t="shared" si="43"/>
        <v/>
      </c>
      <c r="AK123" s="143" t="str">
        <f t="shared" si="44"/>
        <v/>
      </c>
      <c r="AL123" s="143" t="str">
        <f t="shared" si="45"/>
        <v/>
      </c>
      <c r="AM123" s="143" t="str">
        <f t="shared" si="46"/>
        <v/>
      </c>
      <c r="AN123" s="143" t="str">
        <f t="shared" si="47"/>
        <v/>
      </c>
      <c r="AP123" s="9">
        <f t="shared" si="24"/>
        <v>8.9958113730451538E-5</v>
      </c>
      <c r="AQ123" s="9">
        <f t="shared" si="25"/>
        <v>0.98892320861521288</v>
      </c>
    </row>
    <row r="124" spans="2:43" x14ac:dyDescent="0.35">
      <c r="B124" s="3" t="s">
        <v>212</v>
      </c>
      <c r="D124" s="141">
        <v>70609</v>
      </c>
      <c r="E124" s="141">
        <v>64173</v>
      </c>
      <c r="F124" s="141">
        <v>71581</v>
      </c>
      <c r="G124" s="141">
        <v>44246</v>
      </c>
      <c r="H124" s="141">
        <f>+SUM(D124:G124)</f>
        <v>250609</v>
      </c>
      <c r="J124" s="141">
        <v>4872</v>
      </c>
      <c r="K124" s="141">
        <v>3354</v>
      </c>
      <c r="L124" s="141">
        <v>5779</v>
      </c>
      <c r="M124" s="141">
        <v>5158</v>
      </c>
      <c r="N124" s="141">
        <f>+SUM(J124:M124)</f>
        <v>19163</v>
      </c>
      <c r="P124" s="2">
        <f>+IFERROR(J124/D124,"")</f>
        <v>6.8999702587488845E-2</v>
      </c>
      <c r="Q124" s="2">
        <f>+IFERROR(K124/E124,"")</f>
        <v>5.2264971249590952E-2</v>
      </c>
      <c r="R124" s="2">
        <f>+IFERROR(L124/F124,"")</f>
        <v>8.0733714253782424E-2</v>
      </c>
      <c r="S124" s="2">
        <f>+IFERROR(M124/G124,"")</f>
        <v>0.11657550965058988</v>
      </c>
      <c r="T124" s="2" t="str">
        <f>+IFERROR(#REF!/#REF!,"")</f>
        <v/>
      </c>
      <c r="U124" s="2" t="str">
        <f>+IFERROR(#REF!/#REF!,"")</f>
        <v/>
      </c>
      <c r="V124" s="2" t="str">
        <f>+IFERROR(#REF!/#REF!,"")</f>
        <v/>
      </c>
      <c r="W124" s="2" t="str">
        <f>+IFERROR(#REF!/#REF!,"")</f>
        <v/>
      </c>
      <c r="X124" s="2" t="str">
        <f>+IFERROR(#REF!/#REF!,"")</f>
        <v/>
      </c>
      <c r="Y124" s="2" t="str">
        <f>+IFERROR(#REF!/#REF!,"")</f>
        <v/>
      </c>
      <c r="Z124" s="2" t="str">
        <f>+IFERROR(#REF!/#REF!,"")</f>
        <v/>
      </c>
      <c r="AA124" s="2" t="str">
        <f>+IFERROR(#REF!/#REF!,"")</f>
        <v/>
      </c>
      <c r="AB124" s="2">
        <f>+IFERROR(N124/H124,"")</f>
        <v>7.6465729482979458E-2</v>
      </c>
      <c r="AD124" s="2" t="str">
        <f t="shared" si="37"/>
        <v/>
      </c>
      <c r="AE124" s="2" t="str">
        <f t="shared" si="38"/>
        <v/>
      </c>
      <c r="AF124" s="143">
        <f t="shared" si="39"/>
        <v>3.5841795396807458E-2</v>
      </c>
      <c r="AG124" s="143" t="str">
        <f t="shared" si="40"/>
        <v/>
      </c>
      <c r="AH124" s="143" t="str">
        <f t="shared" si="41"/>
        <v/>
      </c>
      <c r="AI124" s="143" t="str">
        <f t="shared" si="42"/>
        <v/>
      </c>
      <c r="AJ124" s="143" t="str">
        <f t="shared" si="43"/>
        <v/>
      </c>
      <c r="AK124" s="143" t="str">
        <f t="shared" si="44"/>
        <v/>
      </c>
      <c r="AL124" s="143" t="str">
        <f t="shared" si="45"/>
        <v/>
      </c>
      <c r="AM124" s="143" t="str">
        <f t="shared" si="46"/>
        <v/>
      </c>
      <c r="AN124" s="143" t="str">
        <f t="shared" si="47"/>
        <v/>
      </c>
      <c r="AP124" s="9">
        <f t="shared" si="24"/>
        <v>1.1732176359728062E-5</v>
      </c>
      <c r="AQ124" s="9">
        <f t="shared" si="25"/>
        <v>0.98893494079157263</v>
      </c>
    </row>
    <row r="125" spans="2:43" x14ac:dyDescent="0.35">
      <c r="B125" s="3" t="s">
        <v>215</v>
      </c>
      <c r="D125" s="141">
        <v>142180</v>
      </c>
      <c r="E125" s="141">
        <v>142735</v>
      </c>
      <c r="F125" s="141">
        <v>117908</v>
      </c>
      <c r="G125" s="141">
        <v>112261</v>
      </c>
      <c r="H125" s="141">
        <f>+SUM(D125:G125)</f>
        <v>515084</v>
      </c>
      <c r="J125" s="141">
        <v>23506</v>
      </c>
      <c r="K125" s="141">
        <v>17921</v>
      </c>
      <c r="L125" s="141">
        <v>20964</v>
      </c>
      <c r="M125" s="141">
        <v>12737</v>
      </c>
      <c r="N125" s="141">
        <f>+SUM(J125:M125)</f>
        <v>75128</v>
      </c>
      <c r="P125" s="2">
        <f>+IFERROR(J125/D125,"")</f>
        <v>0.16532564355042903</v>
      </c>
      <c r="Q125" s="2">
        <f>+IFERROR(K125/E125,"")</f>
        <v>0.12555434896836795</v>
      </c>
      <c r="R125" s="2">
        <f>+IFERROR(L125/F125,"")</f>
        <v>0.17779964039759813</v>
      </c>
      <c r="S125" s="2">
        <f>+IFERROR(M125/G125,"")</f>
        <v>0.11345881472639652</v>
      </c>
      <c r="T125" s="2" t="str">
        <f>+IFERROR(#REF!/#REF!,"")</f>
        <v/>
      </c>
      <c r="U125" s="2" t="str">
        <f>+IFERROR(#REF!/#REF!,"")</f>
        <v/>
      </c>
      <c r="V125" s="2" t="str">
        <f>+IFERROR(#REF!/#REF!,"")</f>
        <v/>
      </c>
      <c r="W125" s="2" t="str">
        <f>+IFERROR(#REF!/#REF!,"")</f>
        <v/>
      </c>
      <c r="X125" s="2" t="str">
        <f>+IFERROR(#REF!/#REF!,"")</f>
        <v/>
      </c>
      <c r="Y125" s="2" t="str">
        <f>+IFERROR(#REF!/#REF!,"")</f>
        <v/>
      </c>
      <c r="Z125" s="2" t="str">
        <f>+IFERROR(#REF!/#REF!,"")</f>
        <v/>
      </c>
      <c r="AA125" s="2" t="str">
        <f>+IFERROR(#REF!/#REF!,"")</f>
        <v/>
      </c>
      <c r="AB125" s="2">
        <f>+IFERROR(N125/H125,"")</f>
        <v>0.14585582157473345</v>
      </c>
      <c r="AD125" s="2" t="str">
        <f t="shared" si="37"/>
        <v/>
      </c>
      <c r="AE125" s="2" t="str">
        <f t="shared" si="38"/>
        <v/>
      </c>
      <c r="AF125" s="143">
        <f t="shared" si="39"/>
        <v>-6.4340825671201612E-2</v>
      </c>
      <c r="AG125" s="143" t="str">
        <f t="shared" si="40"/>
        <v/>
      </c>
      <c r="AH125" s="143" t="str">
        <f t="shared" si="41"/>
        <v/>
      </c>
      <c r="AI125" s="143" t="str">
        <f t="shared" si="42"/>
        <v/>
      </c>
      <c r="AJ125" s="143" t="str">
        <f t="shared" si="43"/>
        <v/>
      </c>
      <c r="AK125" s="143" t="str">
        <f t="shared" si="44"/>
        <v/>
      </c>
      <c r="AL125" s="143" t="str">
        <f t="shared" si="45"/>
        <v/>
      </c>
      <c r="AM125" s="143" t="str">
        <f t="shared" si="46"/>
        <v/>
      </c>
      <c r="AN125" s="143" t="str">
        <f t="shared" si="47"/>
        <v/>
      </c>
      <c r="AP125" s="9">
        <f t="shared" si="24"/>
        <v>4.5995665895405198E-5</v>
      </c>
      <c r="AQ125" s="9">
        <f t="shared" si="25"/>
        <v>0.98898093645746799</v>
      </c>
    </row>
    <row r="126" spans="2:43" x14ac:dyDescent="0.35">
      <c r="B126" s="3" t="s">
        <v>225</v>
      </c>
      <c r="D126" s="141">
        <v>2632636</v>
      </c>
      <c r="E126" s="141">
        <v>7927632</v>
      </c>
      <c r="F126" s="141">
        <v>5589494</v>
      </c>
      <c r="G126" s="141">
        <v>6202013</v>
      </c>
      <c r="H126" s="141">
        <f>+SUM(D126:G126)</f>
        <v>22351775</v>
      </c>
      <c r="J126" s="141">
        <v>948103</v>
      </c>
      <c r="K126" s="141">
        <v>4468480</v>
      </c>
      <c r="L126" s="141">
        <v>1295047</v>
      </c>
      <c r="M126" s="141">
        <v>2199374</v>
      </c>
      <c r="N126" s="141">
        <f>+SUM(J126:M126)</f>
        <v>8911004</v>
      </c>
      <c r="P126" s="2">
        <f>+IFERROR(J126/D126,"")</f>
        <v>0.36013448118159896</v>
      </c>
      <c r="Q126" s="2">
        <f>+IFERROR(K126/E126,"")</f>
        <v>0.56365885802973703</v>
      </c>
      <c r="R126" s="2">
        <f>+IFERROR(L126/F126,"")</f>
        <v>0.23169306559770886</v>
      </c>
      <c r="S126" s="2">
        <f>+IFERROR(M126/G126,"")</f>
        <v>0.35462260398357759</v>
      </c>
      <c r="T126" s="2" t="str">
        <f>+IFERROR(#REF!/#REF!,"")</f>
        <v/>
      </c>
      <c r="U126" s="2" t="str">
        <f>+IFERROR(#REF!/#REF!,"")</f>
        <v/>
      </c>
      <c r="V126" s="2" t="str">
        <f>+IFERROR(#REF!/#REF!,"")</f>
        <v/>
      </c>
      <c r="W126" s="2" t="str">
        <f>+IFERROR(#REF!/#REF!,"")</f>
        <v/>
      </c>
      <c r="X126" s="2" t="str">
        <f>+IFERROR(#REF!/#REF!,"")</f>
        <v/>
      </c>
      <c r="Y126" s="2" t="str">
        <f>+IFERROR(#REF!/#REF!,"")</f>
        <v/>
      </c>
      <c r="Z126" s="2" t="str">
        <f>+IFERROR(#REF!/#REF!,"")</f>
        <v/>
      </c>
      <c r="AA126" s="2" t="str">
        <f>+IFERROR(#REF!/#REF!,"")</f>
        <v/>
      </c>
      <c r="AB126" s="2">
        <f>+IFERROR(N126/H126,"")</f>
        <v>0.39867097803194601</v>
      </c>
      <c r="AD126" s="2" t="str">
        <f t="shared" si="37"/>
        <v/>
      </c>
      <c r="AE126" s="2" t="str">
        <f t="shared" si="38"/>
        <v/>
      </c>
      <c r="AF126" s="143">
        <f t="shared" si="39"/>
        <v>0.12292953838586873</v>
      </c>
      <c r="AG126" s="143" t="str">
        <f t="shared" si="40"/>
        <v/>
      </c>
      <c r="AH126" s="143" t="str">
        <f t="shared" si="41"/>
        <v/>
      </c>
      <c r="AI126" s="143" t="str">
        <f t="shared" si="42"/>
        <v/>
      </c>
      <c r="AJ126" s="143" t="str">
        <f t="shared" si="43"/>
        <v/>
      </c>
      <c r="AK126" s="143" t="str">
        <f t="shared" si="44"/>
        <v/>
      </c>
      <c r="AL126" s="143" t="str">
        <f t="shared" si="45"/>
        <v/>
      </c>
      <c r="AM126" s="143" t="str">
        <f t="shared" si="46"/>
        <v/>
      </c>
      <c r="AN126" s="143" t="str">
        <f t="shared" si="47"/>
        <v/>
      </c>
      <c r="AP126" s="9">
        <f t="shared" si="24"/>
        <v>5.4555899634839118E-3</v>
      </c>
      <c r="AQ126" s="9">
        <f t="shared" si="25"/>
        <v>0.99443652642095193</v>
      </c>
    </row>
    <row r="127" spans="2:43" x14ac:dyDescent="0.35">
      <c r="B127" s="3" t="s">
        <v>227</v>
      </c>
      <c r="D127" s="141">
        <v>64497</v>
      </c>
      <c r="E127" s="141">
        <v>50882</v>
      </c>
      <c r="F127" s="141">
        <v>77818</v>
      </c>
      <c r="G127" s="141">
        <v>26345</v>
      </c>
      <c r="H127" s="141">
        <f>+SUM(D127:G127)</f>
        <v>219542</v>
      </c>
      <c r="J127" s="141">
        <v>13170</v>
      </c>
      <c r="K127" s="141">
        <v>2591</v>
      </c>
      <c r="L127" s="141">
        <v>10990</v>
      </c>
      <c r="M127" s="141">
        <v>1355</v>
      </c>
      <c r="N127" s="141">
        <f>+SUM(J127:M127)</f>
        <v>28106</v>
      </c>
      <c r="P127" s="2">
        <f>+IFERROR(J127/D127,"")</f>
        <v>0.20419554397878972</v>
      </c>
      <c r="Q127" s="2">
        <f>+IFERROR(K127/E127,"")</f>
        <v>5.0921740497621951E-2</v>
      </c>
      <c r="R127" s="2">
        <f>+IFERROR(L127/F127,"")</f>
        <v>0.14122696548356423</v>
      </c>
      <c r="S127" s="2">
        <f>+IFERROR(M127/G127,"")</f>
        <v>5.1432909470487759E-2</v>
      </c>
      <c r="T127" s="2" t="str">
        <f>+IFERROR(#REF!/#REF!,"")</f>
        <v/>
      </c>
      <c r="U127" s="2" t="str">
        <f>+IFERROR(#REF!/#REF!,"")</f>
        <v/>
      </c>
      <c r="V127" s="2" t="str">
        <f>+IFERROR(#REF!/#REF!,"")</f>
        <v/>
      </c>
      <c r="W127" s="2" t="str">
        <f>+IFERROR(#REF!/#REF!,"")</f>
        <v/>
      </c>
      <c r="X127" s="2" t="str">
        <f>+IFERROR(#REF!/#REF!,"")</f>
        <v/>
      </c>
      <c r="Y127" s="2" t="str">
        <f>+IFERROR(#REF!/#REF!,"")</f>
        <v/>
      </c>
      <c r="Z127" s="2" t="str">
        <f>+IFERROR(#REF!/#REF!,"")</f>
        <v/>
      </c>
      <c r="AA127" s="2" t="str">
        <f>+IFERROR(#REF!/#REF!,"")</f>
        <v/>
      </c>
      <c r="AB127" s="2">
        <f>+IFERROR(N127/H127,"")</f>
        <v>0.12802106202913338</v>
      </c>
      <c r="AD127" s="2" t="str">
        <f t="shared" si="37"/>
        <v/>
      </c>
      <c r="AE127" s="2" t="str">
        <f t="shared" si="38"/>
        <v/>
      </c>
      <c r="AF127" s="143">
        <f t="shared" si="39"/>
        <v>-8.9794056013076468E-2</v>
      </c>
      <c r="AG127" s="143" t="str">
        <f t="shared" si="40"/>
        <v/>
      </c>
      <c r="AH127" s="143" t="str">
        <f t="shared" si="41"/>
        <v/>
      </c>
      <c r="AI127" s="143" t="str">
        <f t="shared" si="42"/>
        <v/>
      </c>
      <c r="AJ127" s="143" t="str">
        <f t="shared" si="43"/>
        <v/>
      </c>
      <c r="AK127" s="143" t="str">
        <f t="shared" si="44"/>
        <v/>
      </c>
      <c r="AL127" s="143" t="str">
        <f t="shared" si="45"/>
        <v/>
      </c>
      <c r="AM127" s="143" t="str">
        <f t="shared" si="46"/>
        <v/>
      </c>
      <c r="AN127" s="143" t="str">
        <f t="shared" si="47"/>
        <v/>
      </c>
      <c r="AP127" s="9">
        <f t="shared" si="24"/>
        <v>1.7207355255780251E-5</v>
      </c>
      <c r="AQ127" s="9">
        <f t="shared" si="25"/>
        <v>0.99445373377620772</v>
      </c>
    </row>
    <row r="128" spans="2:43" x14ac:dyDescent="0.35">
      <c r="B128" s="3" t="s">
        <v>228</v>
      </c>
      <c r="D128" s="141">
        <v>112531</v>
      </c>
      <c r="E128" s="141">
        <v>104152</v>
      </c>
      <c r="F128" s="141">
        <v>221293</v>
      </c>
      <c r="G128" s="141">
        <v>97562</v>
      </c>
      <c r="H128" s="141">
        <f>+SUM(D128:G128)</f>
        <v>535538</v>
      </c>
      <c r="J128" s="141">
        <v>9806</v>
      </c>
      <c r="K128" s="141">
        <v>9369</v>
      </c>
      <c r="L128" s="141">
        <v>25427</v>
      </c>
      <c r="M128" s="141">
        <v>6415</v>
      </c>
      <c r="N128" s="141">
        <f>+SUM(J128:M128)</f>
        <v>51017</v>
      </c>
      <c r="P128" s="2">
        <f>+IFERROR(J128/D128,"")</f>
        <v>8.7140432414179209E-2</v>
      </c>
      <c r="Q128" s="2">
        <f>+IFERROR(K128/E128,"")</f>
        <v>8.9955065673246792E-2</v>
      </c>
      <c r="R128" s="2">
        <f>+IFERROR(L128/F128,"")</f>
        <v>0.1149019625564297</v>
      </c>
      <c r="S128" s="2">
        <f>+IFERROR(M128/G128,"")</f>
        <v>6.575305959287428E-2</v>
      </c>
      <c r="T128" s="2" t="str">
        <f>+IFERROR(#REF!/#REF!,"")</f>
        <v/>
      </c>
      <c r="U128" s="2" t="str">
        <f>+IFERROR(#REF!/#REF!,"")</f>
        <v/>
      </c>
      <c r="V128" s="2" t="str">
        <f>+IFERROR(#REF!/#REF!,"")</f>
        <v/>
      </c>
      <c r="W128" s="2" t="str">
        <f>+IFERROR(#REF!/#REF!,"")</f>
        <v/>
      </c>
      <c r="X128" s="2" t="str">
        <f>+IFERROR(#REF!/#REF!,"")</f>
        <v/>
      </c>
      <c r="Y128" s="2" t="str">
        <f>+IFERROR(#REF!/#REF!,"")</f>
        <v/>
      </c>
      <c r="Z128" s="2" t="str">
        <f>+IFERROR(#REF!/#REF!,"")</f>
        <v/>
      </c>
      <c r="AA128" s="2" t="str">
        <f>+IFERROR(#REF!/#REF!,"")</f>
        <v/>
      </c>
      <c r="AB128" s="2">
        <f>+IFERROR(N128/H128,"")</f>
        <v>9.5263081237932701E-2</v>
      </c>
      <c r="AD128" s="2" t="str">
        <f t="shared" si="37"/>
        <v/>
      </c>
      <c r="AE128" s="2" t="str">
        <f t="shared" si="38"/>
        <v/>
      </c>
      <c r="AF128" s="143">
        <f t="shared" si="39"/>
        <v>-4.9148902963555424E-2</v>
      </c>
      <c r="AG128" s="143" t="str">
        <f t="shared" si="40"/>
        <v/>
      </c>
      <c r="AH128" s="143" t="str">
        <f t="shared" si="41"/>
        <v/>
      </c>
      <c r="AI128" s="143" t="str">
        <f t="shared" si="42"/>
        <v/>
      </c>
      <c r="AJ128" s="143" t="str">
        <f t="shared" si="43"/>
        <v/>
      </c>
      <c r="AK128" s="143" t="str">
        <f t="shared" si="44"/>
        <v/>
      </c>
      <c r="AL128" s="143" t="str">
        <f t="shared" si="45"/>
        <v/>
      </c>
      <c r="AM128" s="143" t="str">
        <f t="shared" si="46"/>
        <v/>
      </c>
      <c r="AN128" s="143" t="str">
        <f t="shared" si="47"/>
        <v/>
      </c>
      <c r="AP128" s="9">
        <f t="shared" si="24"/>
        <v>3.1234172172637197E-5</v>
      </c>
      <c r="AQ128" s="9">
        <f t="shared" si="25"/>
        <v>0.99448496794838037</v>
      </c>
    </row>
    <row r="129" spans="2:43" x14ac:dyDescent="0.35">
      <c r="B129" s="3" t="s">
        <v>234</v>
      </c>
      <c r="D129" s="141">
        <v>205523</v>
      </c>
      <c r="E129" s="141">
        <v>215324</v>
      </c>
      <c r="F129" s="141">
        <v>209711</v>
      </c>
      <c r="G129" s="141">
        <v>93119</v>
      </c>
      <c r="H129" s="141">
        <f>+SUM(D129:G129)</f>
        <v>723677</v>
      </c>
      <c r="J129" s="141">
        <v>18222</v>
      </c>
      <c r="K129" s="141">
        <v>21613</v>
      </c>
      <c r="L129" s="141">
        <v>18094</v>
      </c>
      <c r="M129" s="141">
        <v>8257</v>
      </c>
      <c r="N129" s="141">
        <f>+SUM(J129:M129)</f>
        <v>66186</v>
      </c>
      <c r="P129" s="2">
        <f>+IFERROR(J129/D129,"")</f>
        <v>8.8661609649528281E-2</v>
      </c>
      <c r="Q129" s="2">
        <f>+IFERROR(K129/E129,"")</f>
        <v>0.100374319629953</v>
      </c>
      <c r="R129" s="2">
        <f>+IFERROR(L129/F129,"")</f>
        <v>8.6280643361578549E-2</v>
      </c>
      <c r="S129" s="2">
        <f>+IFERROR(M129/G129,"")</f>
        <v>8.867148487419324E-2</v>
      </c>
      <c r="T129" s="2" t="str">
        <f>+IFERROR(#REF!/#REF!,"")</f>
        <v/>
      </c>
      <c r="U129" s="2" t="str">
        <f>+IFERROR(#REF!/#REF!,"")</f>
        <v/>
      </c>
      <c r="V129" s="2" t="str">
        <f>+IFERROR(#REF!/#REF!,"")</f>
        <v/>
      </c>
      <c r="W129" s="2" t="str">
        <f>+IFERROR(#REF!/#REF!,"")</f>
        <v/>
      </c>
      <c r="X129" s="2" t="str">
        <f>+IFERROR(#REF!/#REF!,"")</f>
        <v/>
      </c>
      <c r="Y129" s="2" t="str">
        <f>+IFERROR(#REF!/#REF!,"")</f>
        <v/>
      </c>
      <c r="Z129" s="2" t="str">
        <f>+IFERROR(#REF!/#REF!,"")</f>
        <v/>
      </c>
      <c r="AA129" s="2" t="str">
        <f>+IFERROR(#REF!/#REF!,"")</f>
        <v/>
      </c>
      <c r="AB129" s="2">
        <f>+IFERROR(N129/H129,"")</f>
        <v>9.145792943536965E-2</v>
      </c>
      <c r="AD129" s="2" t="str">
        <f t="shared" si="37"/>
        <v/>
      </c>
      <c r="AE129" s="2" t="str">
        <f t="shared" si="38"/>
        <v/>
      </c>
      <c r="AF129" s="143">
        <f t="shared" si="39"/>
        <v>2.3908415126146915E-3</v>
      </c>
      <c r="AG129" s="143" t="str">
        <f t="shared" si="40"/>
        <v/>
      </c>
      <c r="AH129" s="143" t="str">
        <f t="shared" si="41"/>
        <v/>
      </c>
      <c r="AI129" s="143" t="str">
        <f t="shared" si="42"/>
        <v/>
      </c>
      <c r="AJ129" s="143" t="str">
        <f t="shared" si="43"/>
        <v/>
      </c>
      <c r="AK129" s="143" t="str">
        <f t="shared" si="44"/>
        <v/>
      </c>
      <c r="AL129" s="143" t="str">
        <f t="shared" si="45"/>
        <v/>
      </c>
      <c r="AM129" s="143" t="str">
        <f t="shared" si="46"/>
        <v/>
      </c>
      <c r="AN129" s="143" t="str">
        <f t="shared" si="47"/>
        <v/>
      </c>
      <c r="AP129" s="9">
        <f t="shared" si="24"/>
        <v>4.0521099230024609E-5</v>
      </c>
      <c r="AQ129" s="9">
        <f t="shared" si="25"/>
        <v>0.9945254890476104</v>
      </c>
    </row>
    <row r="130" spans="2:43" x14ac:dyDescent="0.35">
      <c r="B130" s="3" t="s">
        <v>229</v>
      </c>
      <c r="D130" s="141">
        <v>171170</v>
      </c>
      <c r="E130" s="141">
        <v>126937</v>
      </c>
      <c r="F130" s="141">
        <v>485187</v>
      </c>
      <c r="G130" s="141">
        <v>126100</v>
      </c>
      <c r="H130" s="141">
        <f>+SUM(D130:G130)</f>
        <v>909394</v>
      </c>
      <c r="J130" s="141">
        <v>18973</v>
      </c>
      <c r="K130" s="141">
        <v>12665</v>
      </c>
      <c r="L130" s="141">
        <v>64933</v>
      </c>
      <c r="M130" s="141">
        <v>9115</v>
      </c>
      <c r="N130" s="141">
        <f>+SUM(J130:M130)</f>
        <v>105686</v>
      </c>
      <c r="P130" s="2">
        <f>+IFERROR(J130/D130,"")</f>
        <v>0.11084302155751592</v>
      </c>
      <c r="Q130" s="2">
        <f>+IFERROR(K130/E130,"")</f>
        <v>9.9773903589969834E-2</v>
      </c>
      <c r="R130" s="2">
        <f>+IFERROR(L130/F130,"")</f>
        <v>0.1338308734570382</v>
      </c>
      <c r="S130" s="2">
        <f>+IFERROR(M130/G130,"")</f>
        <v>7.2283901665344971E-2</v>
      </c>
      <c r="T130" s="2" t="str">
        <f>+IFERROR(#REF!/#REF!,"")</f>
        <v/>
      </c>
      <c r="U130" s="2" t="str">
        <f>+IFERROR(#REF!/#REF!,"")</f>
        <v/>
      </c>
      <c r="V130" s="2" t="str">
        <f>+IFERROR(#REF!/#REF!,"")</f>
        <v/>
      </c>
      <c r="W130" s="2" t="str">
        <f>+IFERROR(#REF!/#REF!,"")</f>
        <v/>
      </c>
      <c r="X130" s="2" t="str">
        <f>+IFERROR(#REF!/#REF!,"")</f>
        <v/>
      </c>
      <c r="Y130" s="2" t="str">
        <f>+IFERROR(#REF!/#REF!,"")</f>
        <v/>
      </c>
      <c r="Z130" s="2" t="str">
        <f>+IFERROR(#REF!/#REF!,"")</f>
        <v/>
      </c>
      <c r="AA130" s="2" t="str">
        <f>+IFERROR(#REF!/#REF!,"")</f>
        <v/>
      </c>
      <c r="AB130" s="2">
        <f>+IFERROR(N130/H130,"")</f>
        <v>0.11621585363439829</v>
      </c>
      <c r="AD130" s="2" t="str">
        <f t="shared" si="37"/>
        <v/>
      </c>
      <c r="AE130" s="2" t="str">
        <f t="shared" si="38"/>
        <v/>
      </c>
      <c r="AF130" s="143">
        <f t="shared" si="39"/>
        <v>-6.1546971791693231E-2</v>
      </c>
      <c r="AG130" s="143" t="str">
        <f t="shared" si="40"/>
        <v/>
      </c>
      <c r="AH130" s="143" t="str">
        <f t="shared" si="41"/>
        <v/>
      </c>
      <c r="AI130" s="143" t="str">
        <f t="shared" si="42"/>
        <v/>
      </c>
      <c r="AJ130" s="143" t="str">
        <f t="shared" si="43"/>
        <v/>
      </c>
      <c r="AK130" s="143" t="str">
        <f t="shared" si="44"/>
        <v/>
      </c>
      <c r="AL130" s="143" t="str">
        <f t="shared" si="45"/>
        <v/>
      </c>
      <c r="AM130" s="143" t="str">
        <f t="shared" si="46"/>
        <v/>
      </c>
      <c r="AN130" s="143" t="str">
        <f t="shared" si="47"/>
        <v/>
      </c>
      <c r="AP130" s="9">
        <f t="shared" si="24"/>
        <v>6.4704210757930391E-5</v>
      </c>
      <c r="AQ130" s="9">
        <f t="shared" si="25"/>
        <v>0.99459019325836828</v>
      </c>
    </row>
    <row r="131" spans="2:43" x14ac:dyDescent="0.35">
      <c r="B131" s="3" t="s">
        <v>223</v>
      </c>
      <c r="D131" s="141">
        <v>32716</v>
      </c>
      <c r="E131" s="141">
        <v>33746</v>
      </c>
      <c r="F131" s="141">
        <v>10582</v>
      </c>
      <c r="G131" s="141">
        <v>13015</v>
      </c>
      <c r="H131" s="141">
        <f>+SUM(D131:G131)</f>
        <v>90059</v>
      </c>
      <c r="J131" s="141">
        <v>2880</v>
      </c>
      <c r="K131" s="141">
        <v>6096</v>
      </c>
      <c r="L131" s="141">
        <v>1623</v>
      </c>
      <c r="M131" s="141">
        <v>1169</v>
      </c>
      <c r="N131" s="141">
        <f>+SUM(J131:M131)</f>
        <v>11768</v>
      </c>
      <c r="P131" s="2">
        <f>+IFERROR(J131/D131,"")</f>
        <v>8.8030321555202351E-2</v>
      </c>
      <c r="Q131" s="2">
        <f>+IFERROR(K131/E131,"")</f>
        <v>0.18064363183784746</v>
      </c>
      <c r="R131" s="2">
        <f>+IFERROR(L131/F131,"")</f>
        <v>0.15337365337365338</v>
      </c>
      <c r="S131" s="2">
        <f>+IFERROR(M131/G131,"")</f>
        <v>8.98194391087207E-2</v>
      </c>
      <c r="T131" s="2" t="str">
        <f>+IFERROR(#REF!/#REF!,"")</f>
        <v/>
      </c>
      <c r="U131" s="2" t="str">
        <f>+IFERROR(#REF!/#REF!,"")</f>
        <v/>
      </c>
      <c r="V131" s="2" t="str">
        <f>+IFERROR(#REF!/#REF!,"")</f>
        <v/>
      </c>
      <c r="W131" s="2" t="str">
        <f>+IFERROR(#REF!/#REF!,"")</f>
        <v/>
      </c>
      <c r="X131" s="2" t="str">
        <f>+IFERROR(#REF!/#REF!,"")</f>
        <v/>
      </c>
      <c r="Y131" s="2" t="str">
        <f>+IFERROR(#REF!/#REF!,"")</f>
        <v/>
      </c>
      <c r="Z131" s="2" t="str">
        <f>+IFERROR(#REF!/#REF!,"")</f>
        <v/>
      </c>
      <c r="AA131" s="2" t="str">
        <f>+IFERROR(#REF!/#REF!,"")</f>
        <v/>
      </c>
      <c r="AB131" s="2">
        <f>+IFERROR(N131/H131,"")</f>
        <v>0.13066989418048169</v>
      </c>
      <c r="AD131" s="2" t="str">
        <f t="shared" si="37"/>
        <v/>
      </c>
      <c r="AE131" s="2" t="str">
        <f t="shared" si="38"/>
        <v/>
      </c>
      <c r="AF131" s="143">
        <f t="shared" si="39"/>
        <v>-6.3554214264932685E-2</v>
      </c>
      <c r="AG131" s="143" t="str">
        <f t="shared" si="40"/>
        <v/>
      </c>
      <c r="AH131" s="143" t="str">
        <f t="shared" si="41"/>
        <v/>
      </c>
      <c r="AI131" s="143" t="str">
        <f t="shared" si="42"/>
        <v/>
      </c>
      <c r="AJ131" s="143" t="str">
        <f t="shared" si="43"/>
        <v/>
      </c>
      <c r="AK131" s="143" t="str">
        <f t="shared" si="44"/>
        <v/>
      </c>
      <c r="AL131" s="143" t="str">
        <f t="shared" si="45"/>
        <v/>
      </c>
      <c r="AM131" s="143" t="str">
        <f t="shared" si="46"/>
        <v/>
      </c>
      <c r="AN131" s="143" t="str">
        <f t="shared" si="47"/>
        <v/>
      </c>
      <c r="AP131" s="9">
        <f t="shared" si="24"/>
        <v>7.204730543301145E-6</v>
      </c>
      <c r="AQ131" s="9">
        <f t="shared" si="25"/>
        <v>0.99459739798891156</v>
      </c>
    </row>
    <row r="132" spans="2:43" x14ac:dyDescent="0.35">
      <c r="B132" s="3" t="s">
        <v>224</v>
      </c>
      <c r="D132" s="141">
        <v>32143</v>
      </c>
      <c r="E132" s="141">
        <v>53113</v>
      </c>
      <c r="F132" s="141">
        <v>45192</v>
      </c>
      <c r="G132" s="141">
        <v>297907</v>
      </c>
      <c r="H132" s="141">
        <f>+SUM(D132:G132)</f>
        <v>428355</v>
      </c>
      <c r="J132" s="141">
        <v>6044</v>
      </c>
      <c r="K132" s="141">
        <v>6997</v>
      </c>
      <c r="L132" s="141">
        <v>6303</v>
      </c>
      <c r="M132" s="141">
        <v>21933</v>
      </c>
      <c r="N132" s="141">
        <f>+SUM(J132:M132)</f>
        <v>41277</v>
      </c>
      <c r="P132" s="2">
        <f>+IFERROR(J132/D132,"")</f>
        <v>0.18803471984568956</v>
      </c>
      <c r="Q132" s="2">
        <f>+IFERROR(K132/E132,"")</f>
        <v>0.13173799258185379</v>
      </c>
      <c r="R132" s="2">
        <f>+IFERROR(L132/F132,"")</f>
        <v>0.13947158789166225</v>
      </c>
      <c r="S132" s="2">
        <f>+IFERROR(M132/G132,"")</f>
        <v>7.3623647648427187E-2</v>
      </c>
      <c r="T132" s="2" t="str">
        <f>+IFERROR(#REF!/#REF!,"")</f>
        <v/>
      </c>
      <c r="U132" s="2" t="str">
        <f>+IFERROR(#REF!/#REF!,"")</f>
        <v/>
      </c>
      <c r="V132" s="2" t="str">
        <f>+IFERROR(#REF!/#REF!,"")</f>
        <v/>
      </c>
      <c r="W132" s="2" t="str">
        <f>+IFERROR(#REF!/#REF!,"")</f>
        <v/>
      </c>
      <c r="X132" s="2" t="str">
        <f>+IFERROR(#REF!/#REF!,"")</f>
        <v/>
      </c>
      <c r="Y132" s="2" t="str">
        <f>+IFERROR(#REF!/#REF!,"")</f>
        <v/>
      </c>
      <c r="Z132" s="2" t="str">
        <f>+IFERROR(#REF!/#REF!,"")</f>
        <v/>
      </c>
      <c r="AA132" s="2" t="str">
        <f>+IFERROR(#REF!/#REF!,"")</f>
        <v/>
      </c>
      <c r="AB132" s="2">
        <f>+IFERROR(N132/H132,"")</f>
        <v>9.6361662639633014E-2</v>
      </c>
      <c r="AD132" s="2" t="str">
        <f t="shared" si="37"/>
        <v/>
      </c>
      <c r="AE132" s="2" t="str">
        <f t="shared" si="38"/>
        <v/>
      </c>
      <c r="AF132" s="143">
        <f t="shared" si="39"/>
        <v>-6.5847940243235065E-2</v>
      </c>
      <c r="AG132" s="143" t="str">
        <f t="shared" si="40"/>
        <v/>
      </c>
      <c r="AH132" s="143" t="str">
        <f t="shared" si="41"/>
        <v/>
      </c>
      <c r="AI132" s="143" t="str">
        <f t="shared" si="42"/>
        <v/>
      </c>
      <c r="AJ132" s="143" t="str">
        <f t="shared" si="43"/>
        <v/>
      </c>
      <c r="AK132" s="143" t="str">
        <f t="shared" si="44"/>
        <v/>
      </c>
      <c r="AL132" s="143" t="str">
        <f t="shared" si="45"/>
        <v/>
      </c>
      <c r="AM132" s="143" t="str">
        <f t="shared" si="46"/>
        <v/>
      </c>
      <c r="AN132" s="143" t="str">
        <f t="shared" si="47"/>
        <v/>
      </c>
      <c r="AP132" s="9">
        <f t="shared" si="24"/>
        <v>2.5271045431325744E-5</v>
      </c>
      <c r="AQ132" s="9">
        <f t="shared" si="25"/>
        <v>0.99462266903434293</v>
      </c>
    </row>
    <row r="133" spans="2:43" x14ac:dyDescent="0.35">
      <c r="B133" s="3" t="s">
        <v>221</v>
      </c>
      <c r="D133" s="141">
        <v>293672</v>
      </c>
      <c r="E133" s="141">
        <v>229441</v>
      </c>
      <c r="F133" s="141">
        <v>250659</v>
      </c>
      <c r="G133" s="141">
        <v>188496</v>
      </c>
      <c r="H133" s="141">
        <f>+SUM(D133:G133)</f>
        <v>962268</v>
      </c>
      <c r="J133" s="141">
        <v>24949</v>
      </c>
      <c r="K133" s="141">
        <v>27478</v>
      </c>
      <c r="L133" s="141">
        <v>25172</v>
      </c>
      <c r="M133" s="141">
        <v>15534</v>
      </c>
      <c r="N133" s="141">
        <f>+SUM(J133:M133)</f>
        <v>93133</v>
      </c>
      <c r="P133" s="2">
        <f>+IFERROR(J133/D133,"")</f>
        <v>8.4955324307390556E-2</v>
      </c>
      <c r="Q133" s="2">
        <f>+IFERROR(K133/E133,"")</f>
        <v>0.1197606356318182</v>
      </c>
      <c r="R133" s="2">
        <f>+IFERROR(L133/F133,"")</f>
        <v>0.10042328422278873</v>
      </c>
      <c r="S133" s="2">
        <f>+IFERROR(M133/G133,"")</f>
        <v>8.2410236822001534E-2</v>
      </c>
      <c r="T133" s="2" t="str">
        <f>+IFERROR(#REF!/#REF!,"")</f>
        <v/>
      </c>
      <c r="U133" s="2" t="str">
        <f>+IFERROR(#REF!/#REF!,"")</f>
        <v/>
      </c>
      <c r="V133" s="2" t="str">
        <f>+IFERROR(#REF!/#REF!,"")</f>
        <v/>
      </c>
      <c r="W133" s="2" t="str">
        <f>+IFERROR(#REF!/#REF!,"")</f>
        <v/>
      </c>
      <c r="X133" s="2" t="str">
        <f>+IFERROR(#REF!/#REF!,"")</f>
        <v/>
      </c>
      <c r="Y133" s="2" t="str">
        <f>+IFERROR(#REF!/#REF!,"")</f>
        <v/>
      </c>
      <c r="Z133" s="2" t="str">
        <f>+IFERROR(#REF!/#REF!,"")</f>
        <v/>
      </c>
      <c r="AA133" s="2" t="str">
        <f>+IFERROR(#REF!/#REF!,"")</f>
        <v/>
      </c>
      <c r="AB133" s="2">
        <f>+IFERROR(N133/H133,"")</f>
        <v>9.6784887370254438E-2</v>
      </c>
      <c r="AD133" s="2" t="str">
        <f t="shared" si="37"/>
        <v/>
      </c>
      <c r="AE133" s="2" t="str">
        <f t="shared" si="38"/>
        <v/>
      </c>
      <c r="AF133" s="143">
        <f t="shared" si="39"/>
        <v>-1.8013047400787199E-2</v>
      </c>
      <c r="AG133" s="143" t="str">
        <f t="shared" si="40"/>
        <v/>
      </c>
      <c r="AH133" s="143" t="str">
        <f t="shared" si="41"/>
        <v/>
      </c>
      <c r="AI133" s="143" t="str">
        <f t="shared" si="42"/>
        <v/>
      </c>
      <c r="AJ133" s="143" t="str">
        <f t="shared" si="43"/>
        <v/>
      </c>
      <c r="AK133" s="143" t="str">
        <f t="shared" si="44"/>
        <v/>
      </c>
      <c r="AL133" s="143" t="str">
        <f t="shared" si="45"/>
        <v/>
      </c>
      <c r="AM133" s="143" t="str">
        <f t="shared" si="46"/>
        <v/>
      </c>
      <c r="AN133" s="143" t="str">
        <f t="shared" si="47"/>
        <v/>
      </c>
      <c r="AP133" s="9">
        <f t="shared" ref="AP133:AP196" si="48">+N133/$N$237</f>
        <v>5.701887913742909E-5</v>
      </c>
      <c r="AQ133" s="9">
        <f t="shared" si="25"/>
        <v>0.99467968791348038</v>
      </c>
    </row>
    <row r="134" spans="2:43" x14ac:dyDescent="0.35">
      <c r="B134" s="3" t="s">
        <v>237</v>
      </c>
      <c r="D134" s="141">
        <v>169760</v>
      </c>
      <c r="E134" s="141">
        <v>140063</v>
      </c>
      <c r="F134" s="141">
        <v>247013</v>
      </c>
      <c r="G134" s="141">
        <v>130755</v>
      </c>
      <c r="H134" s="141">
        <f>+SUM(D134:G134)</f>
        <v>687591</v>
      </c>
      <c r="J134" s="141">
        <v>9884</v>
      </c>
      <c r="K134" s="141">
        <v>11133</v>
      </c>
      <c r="L134" s="141">
        <v>25282</v>
      </c>
      <c r="M134" s="141">
        <v>9613</v>
      </c>
      <c r="N134" s="141">
        <f>+SUM(J134:M134)</f>
        <v>55912</v>
      </c>
      <c r="P134" s="2">
        <f>+IFERROR(J134/D134,"")</f>
        <v>5.8223374175306312E-2</v>
      </c>
      <c r="Q134" s="2">
        <f>+IFERROR(K134/E134,"")</f>
        <v>7.9485660024417579E-2</v>
      </c>
      <c r="R134" s="2">
        <f>+IFERROR(L134/F134,"")</f>
        <v>0.10235088841477979</v>
      </c>
      <c r="S134" s="2">
        <f>+IFERROR(M134/G134,"")</f>
        <v>7.3519177086918283E-2</v>
      </c>
      <c r="T134" s="2" t="str">
        <f>+IFERROR(#REF!/#REF!,"")</f>
        <v/>
      </c>
      <c r="U134" s="2" t="str">
        <f>+IFERROR(#REF!/#REF!,"")</f>
        <v/>
      </c>
      <c r="V134" s="2" t="str">
        <f>+IFERROR(#REF!/#REF!,"")</f>
        <v/>
      </c>
      <c r="W134" s="2" t="str">
        <f>+IFERROR(#REF!/#REF!,"")</f>
        <v/>
      </c>
      <c r="X134" s="2" t="str">
        <f>+IFERROR(#REF!/#REF!,"")</f>
        <v/>
      </c>
      <c r="Y134" s="2" t="str">
        <f>+IFERROR(#REF!/#REF!,"")</f>
        <v/>
      </c>
      <c r="Z134" s="2" t="str">
        <f>+IFERROR(#REF!/#REF!,"")</f>
        <v/>
      </c>
      <c r="AA134" s="2" t="str">
        <f>+IFERROR(#REF!/#REF!,"")</f>
        <v/>
      </c>
      <c r="AB134" s="2">
        <f>+IFERROR(N134/H134,"")</f>
        <v>8.1315782201919456E-2</v>
      </c>
      <c r="AD134" s="2" t="str">
        <f t="shared" si="37"/>
        <v/>
      </c>
      <c r="AE134" s="2" t="str">
        <f t="shared" si="38"/>
        <v/>
      </c>
      <c r="AF134" s="143">
        <f t="shared" si="39"/>
        <v>-2.8831711327861512E-2</v>
      </c>
      <c r="AG134" s="143" t="str">
        <f t="shared" si="40"/>
        <v/>
      </c>
      <c r="AH134" s="143" t="str">
        <f t="shared" si="41"/>
        <v/>
      </c>
      <c r="AI134" s="143" t="str">
        <f t="shared" si="42"/>
        <v/>
      </c>
      <c r="AJ134" s="143" t="str">
        <f t="shared" si="43"/>
        <v/>
      </c>
      <c r="AK134" s="143" t="str">
        <f t="shared" si="44"/>
        <v/>
      </c>
      <c r="AL134" s="143" t="str">
        <f t="shared" si="45"/>
        <v/>
      </c>
      <c r="AM134" s="143" t="str">
        <f t="shared" si="46"/>
        <v/>
      </c>
      <c r="AN134" s="143" t="str">
        <f t="shared" si="47"/>
        <v/>
      </c>
      <c r="AP134" s="9">
        <f t="shared" si="48"/>
        <v>3.4231041310082733E-5</v>
      </c>
      <c r="AQ134" s="9">
        <f t="shared" ref="AQ134:AQ197" si="49">+AP134+AQ133</f>
        <v>0.99471391895479044</v>
      </c>
    </row>
    <row r="135" spans="2:43" x14ac:dyDescent="0.35">
      <c r="B135" s="3" t="s">
        <v>206</v>
      </c>
      <c r="D135" s="141">
        <v>250417</v>
      </c>
      <c r="E135" s="141">
        <v>231571</v>
      </c>
      <c r="F135" s="141">
        <v>211826</v>
      </c>
      <c r="G135" s="141">
        <v>218499</v>
      </c>
      <c r="H135" s="141">
        <f>+SUM(D135:G135)</f>
        <v>912313</v>
      </c>
      <c r="J135" s="141">
        <v>15910</v>
      </c>
      <c r="K135" s="141">
        <v>13061</v>
      </c>
      <c r="L135" s="141">
        <v>11531</v>
      </c>
      <c r="M135" s="141">
        <v>12653</v>
      </c>
      <c r="N135" s="141">
        <f>+SUM(J135:M135)</f>
        <v>53155</v>
      </c>
      <c r="P135" s="2">
        <f>+IFERROR(J135/D135,"")</f>
        <v>6.3534025245889858E-2</v>
      </c>
      <c r="Q135" s="2">
        <f>+IFERROR(K135/E135,"")</f>
        <v>5.6401708331354099E-2</v>
      </c>
      <c r="R135" s="2">
        <f>+IFERROR(L135/F135,"")</f>
        <v>5.4436188192195478E-2</v>
      </c>
      <c r="S135" s="2">
        <f>+IFERROR(M135/G135,"")</f>
        <v>5.7908731847743013E-2</v>
      </c>
      <c r="T135" s="2" t="str">
        <f>+IFERROR(#REF!/#REF!,"")</f>
        <v/>
      </c>
      <c r="U135" s="2" t="str">
        <f>+IFERROR(#REF!/#REF!,"")</f>
        <v/>
      </c>
      <c r="V135" s="2" t="str">
        <f>+IFERROR(#REF!/#REF!,"")</f>
        <v/>
      </c>
      <c r="W135" s="2" t="str">
        <f>+IFERROR(#REF!/#REF!,"")</f>
        <v/>
      </c>
      <c r="X135" s="2" t="str">
        <f>+IFERROR(#REF!/#REF!,"")</f>
        <v/>
      </c>
      <c r="Y135" s="2" t="str">
        <f>+IFERROR(#REF!/#REF!,"")</f>
        <v/>
      </c>
      <c r="Z135" s="2" t="str">
        <f>+IFERROR(#REF!/#REF!,"")</f>
        <v/>
      </c>
      <c r="AA135" s="2" t="str">
        <f>+IFERROR(#REF!/#REF!,"")</f>
        <v/>
      </c>
      <c r="AB135" s="2">
        <f>+IFERROR(N135/H135,"")</f>
        <v>5.8263994922795138E-2</v>
      </c>
      <c r="AD135" s="2" t="str">
        <f t="shared" si="37"/>
        <v/>
      </c>
      <c r="AE135" s="2" t="str">
        <f t="shared" si="38"/>
        <v/>
      </c>
      <c r="AF135" s="143">
        <f t="shared" si="39"/>
        <v>3.4725436555475345E-3</v>
      </c>
      <c r="AG135" s="143" t="str">
        <f t="shared" si="40"/>
        <v/>
      </c>
      <c r="AH135" s="143" t="str">
        <f t="shared" si="41"/>
        <v/>
      </c>
      <c r="AI135" s="143" t="str">
        <f t="shared" si="42"/>
        <v/>
      </c>
      <c r="AJ135" s="143" t="str">
        <f t="shared" si="43"/>
        <v/>
      </c>
      <c r="AK135" s="143" t="str">
        <f t="shared" si="44"/>
        <v/>
      </c>
      <c r="AL135" s="143" t="str">
        <f t="shared" si="45"/>
        <v/>
      </c>
      <c r="AM135" s="143" t="str">
        <f t="shared" si="46"/>
        <v/>
      </c>
      <c r="AN135" s="143" t="str">
        <f t="shared" si="47"/>
        <v/>
      </c>
      <c r="AP135" s="9">
        <f t="shared" si="48"/>
        <v>3.2543121348502071E-5</v>
      </c>
      <c r="AQ135" s="9">
        <f t="shared" si="49"/>
        <v>0.99474646207613893</v>
      </c>
    </row>
    <row r="136" spans="2:43" x14ac:dyDescent="0.35">
      <c r="B136" s="3" t="s">
        <v>246</v>
      </c>
      <c r="D136" s="141">
        <v>13138014</v>
      </c>
      <c r="E136" s="141">
        <v>5076233</v>
      </c>
      <c r="F136" s="141">
        <v>4741371</v>
      </c>
      <c r="G136" s="141">
        <v>3591246</v>
      </c>
      <c r="H136" s="141">
        <f>+SUM(D136:G136)</f>
        <v>26546864</v>
      </c>
      <c r="J136" s="141">
        <v>1210598</v>
      </c>
      <c r="K136" s="141">
        <v>554117</v>
      </c>
      <c r="L136" s="141">
        <v>419025</v>
      </c>
      <c r="M136" s="141">
        <v>406100</v>
      </c>
      <c r="N136" s="141">
        <f>+SUM(J136:M136)</f>
        <v>2589840</v>
      </c>
      <c r="P136" s="2">
        <f>+IFERROR(J136/D136,"")</f>
        <v>9.2144672703195471E-2</v>
      </c>
      <c r="Q136" s="2">
        <f>+IFERROR(K136/E136,"")</f>
        <v>0.10915909494304142</v>
      </c>
      <c r="R136" s="2">
        <f>+IFERROR(L136/F136,"")</f>
        <v>8.8376336717797446E-2</v>
      </c>
      <c r="S136" s="2">
        <f>+IFERROR(M136/G136,"")</f>
        <v>0.11308052971030111</v>
      </c>
      <c r="T136" s="2" t="str">
        <f>+IFERROR(#REF!/#REF!,"")</f>
        <v/>
      </c>
      <c r="U136" s="2" t="str">
        <f>+IFERROR(#REF!/#REF!,"")</f>
        <v/>
      </c>
      <c r="V136" s="2" t="str">
        <f>+IFERROR(#REF!/#REF!,"")</f>
        <v/>
      </c>
      <c r="W136" s="2" t="str">
        <f>+IFERROR(#REF!/#REF!,"")</f>
        <v/>
      </c>
      <c r="X136" s="2" t="str">
        <f>+IFERROR(#REF!/#REF!,"")</f>
        <v/>
      </c>
      <c r="Y136" s="2" t="str">
        <f>+IFERROR(#REF!/#REF!,"")</f>
        <v/>
      </c>
      <c r="Z136" s="2" t="str">
        <f>+IFERROR(#REF!/#REF!,"")</f>
        <v/>
      </c>
      <c r="AA136" s="2" t="str">
        <f>+IFERROR(#REF!/#REF!,"")</f>
        <v/>
      </c>
      <c r="AB136" s="2">
        <f>+IFERROR(N136/H136,"")</f>
        <v>9.7557285862465717E-2</v>
      </c>
      <c r="AD136" s="2" t="str">
        <f t="shared" si="37"/>
        <v/>
      </c>
      <c r="AE136" s="2" t="str">
        <f t="shared" si="38"/>
        <v/>
      </c>
      <c r="AF136" s="143">
        <f t="shared" si="39"/>
        <v>2.4704192992503662E-2</v>
      </c>
      <c r="AG136" s="143" t="str">
        <f t="shared" si="40"/>
        <v/>
      </c>
      <c r="AH136" s="143" t="str">
        <f t="shared" si="41"/>
        <v/>
      </c>
      <c r="AI136" s="143" t="str">
        <f t="shared" si="42"/>
        <v/>
      </c>
      <c r="AJ136" s="143" t="str">
        <f t="shared" si="43"/>
        <v/>
      </c>
      <c r="AK136" s="143" t="str">
        <f t="shared" si="44"/>
        <v/>
      </c>
      <c r="AL136" s="143" t="str">
        <f t="shared" si="45"/>
        <v/>
      </c>
      <c r="AM136" s="143" t="str">
        <f t="shared" si="46"/>
        <v/>
      </c>
      <c r="AN136" s="143" t="str">
        <f t="shared" si="47"/>
        <v/>
      </c>
      <c r="AP136" s="9">
        <f t="shared" si="48"/>
        <v>1.5855794825172533E-3</v>
      </c>
      <c r="AQ136" s="9">
        <f t="shared" si="49"/>
        <v>0.99633204155865618</v>
      </c>
    </row>
    <row r="137" spans="2:43" x14ac:dyDescent="0.35">
      <c r="B137" s="3" t="s">
        <v>214</v>
      </c>
      <c r="D137" s="141">
        <v>125897</v>
      </c>
      <c r="E137" s="141">
        <v>158407</v>
      </c>
      <c r="F137" s="141">
        <v>103951</v>
      </c>
      <c r="G137" s="141">
        <v>125776</v>
      </c>
      <c r="H137" s="141">
        <f>+SUM(D137:G137)</f>
        <v>514031</v>
      </c>
      <c r="J137" s="141">
        <v>10611</v>
      </c>
      <c r="K137" s="141">
        <v>15551</v>
      </c>
      <c r="L137" s="141">
        <v>8754</v>
      </c>
      <c r="M137" s="141">
        <v>9434</v>
      </c>
      <c r="N137" s="141">
        <f>+SUM(J137:M137)</f>
        <v>44350</v>
      </c>
      <c r="P137" s="2">
        <f>+IFERROR(J137/D137,"")</f>
        <v>8.4283183872530726E-2</v>
      </c>
      <c r="Q137" s="2">
        <f>+IFERROR(K137/E137,"")</f>
        <v>9.8171166678240232E-2</v>
      </c>
      <c r="R137" s="2">
        <f>+IFERROR(L137/F137,"")</f>
        <v>8.4212754086059785E-2</v>
      </c>
      <c r="S137" s="2">
        <f>+IFERROR(M137/G137,"")</f>
        <v>7.5006360513929532E-2</v>
      </c>
      <c r="T137" s="2" t="str">
        <f>+IFERROR(#REF!/#REF!,"")</f>
        <v/>
      </c>
      <c r="U137" s="2" t="str">
        <f>+IFERROR(#REF!/#REF!,"")</f>
        <v/>
      </c>
      <c r="V137" s="2" t="str">
        <f>+IFERROR(#REF!/#REF!,"")</f>
        <v/>
      </c>
      <c r="W137" s="2" t="str">
        <f>+IFERROR(#REF!/#REF!,"")</f>
        <v/>
      </c>
      <c r="X137" s="2" t="str">
        <f>+IFERROR(#REF!/#REF!,"")</f>
        <v/>
      </c>
      <c r="Y137" s="2" t="str">
        <f>+IFERROR(#REF!/#REF!,"")</f>
        <v/>
      </c>
      <c r="Z137" s="2" t="str">
        <f>+IFERROR(#REF!/#REF!,"")</f>
        <v/>
      </c>
      <c r="AA137" s="2" t="str">
        <f>+IFERROR(#REF!/#REF!,"")</f>
        <v/>
      </c>
      <c r="AB137" s="2">
        <f>+IFERROR(N137/H137,"")</f>
        <v>8.6278843104793293E-2</v>
      </c>
      <c r="AD137" s="2" t="str">
        <f t="shared" si="37"/>
        <v/>
      </c>
      <c r="AE137" s="2" t="str">
        <f t="shared" si="38"/>
        <v/>
      </c>
      <c r="AF137" s="143">
        <f t="shared" si="39"/>
        <v>-9.2063935721302531E-3</v>
      </c>
      <c r="AG137" s="143" t="str">
        <f t="shared" si="40"/>
        <v/>
      </c>
      <c r="AH137" s="143" t="str">
        <f t="shared" si="41"/>
        <v/>
      </c>
      <c r="AI137" s="143" t="str">
        <f t="shared" si="42"/>
        <v/>
      </c>
      <c r="AJ137" s="143" t="str">
        <f t="shared" si="43"/>
        <v/>
      </c>
      <c r="AK137" s="143" t="str">
        <f t="shared" si="44"/>
        <v/>
      </c>
      <c r="AL137" s="143" t="str">
        <f t="shared" si="45"/>
        <v/>
      </c>
      <c r="AM137" s="143" t="str">
        <f t="shared" si="46"/>
        <v/>
      </c>
      <c r="AN137" s="143" t="str">
        <f t="shared" si="47"/>
        <v/>
      </c>
      <c r="AP137" s="9">
        <f t="shared" si="48"/>
        <v>2.7152430285129654E-5</v>
      </c>
      <c r="AQ137" s="9">
        <f t="shared" si="49"/>
        <v>0.99635919398894135</v>
      </c>
    </row>
    <row r="138" spans="2:43" x14ac:dyDescent="0.35">
      <c r="B138" s="3" t="s">
        <v>233</v>
      </c>
      <c r="D138" s="141">
        <v>216772</v>
      </c>
      <c r="E138" s="141">
        <v>253168</v>
      </c>
      <c r="F138" s="141">
        <v>60555</v>
      </c>
      <c r="G138" s="141">
        <v>147886</v>
      </c>
      <c r="H138" s="141">
        <f>+SUM(D138:G138)</f>
        <v>678381</v>
      </c>
      <c r="J138" s="141">
        <v>30175</v>
      </c>
      <c r="K138" s="141">
        <v>32666</v>
      </c>
      <c r="L138" s="141">
        <v>8480</v>
      </c>
      <c r="M138" s="141">
        <v>17594</v>
      </c>
      <c r="N138" s="141">
        <f>+SUM(J138:M138)</f>
        <v>88915</v>
      </c>
      <c r="P138" s="2">
        <f>+IFERROR(J138/D138,"")</f>
        <v>0.13920155739671175</v>
      </c>
      <c r="Q138" s="2">
        <f>+IFERROR(K138/E138,"")</f>
        <v>0.1290289452063452</v>
      </c>
      <c r="R138" s="2">
        <f>+IFERROR(L138/F138,"")</f>
        <v>0.14003798199983486</v>
      </c>
      <c r="S138" s="2">
        <f>+IFERROR(M138/G138,"")</f>
        <v>0.11897001744587046</v>
      </c>
      <c r="T138" s="2" t="str">
        <f>+IFERROR(#REF!/#REF!,"")</f>
        <v/>
      </c>
      <c r="U138" s="2" t="str">
        <f>+IFERROR(#REF!/#REF!,"")</f>
        <v/>
      </c>
      <c r="V138" s="2" t="str">
        <f>+IFERROR(#REF!/#REF!,"")</f>
        <v/>
      </c>
      <c r="W138" s="2" t="str">
        <f>+IFERROR(#REF!/#REF!,"")</f>
        <v/>
      </c>
      <c r="X138" s="2" t="str">
        <f>+IFERROR(#REF!/#REF!,"")</f>
        <v/>
      </c>
      <c r="Y138" s="2" t="str">
        <f>+IFERROR(#REF!/#REF!,"")</f>
        <v/>
      </c>
      <c r="Z138" s="2" t="str">
        <f>+IFERROR(#REF!/#REF!,"")</f>
        <v/>
      </c>
      <c r="AA138" s="2" t="str">
        <f>+IFERROR(#REF!/#REF!,"")</f>
        <v/>
      </c>
      <c r="AB138" s="2">
        <f>+IFERROR(N138/H138,"")</f>
        <v>0.1310694137954925</v>
      </c>
      <c r="AD138" s="2" t="str">
        <f t="shared" si="37"/>
        <v/>
      </c>
      <c r="AE138" s="2" t="str">
        <f t="shared" si="38"/>
        <v/>
      </c>
      <c r="AF138" s="143">
        <f t="shared" si="39"/>
        <v>-2.1067964553964397E-2</v>
      </c>
      <c r="AG138" s="143" t="str">
        <f t="shared" si="40"/>
        <v/>
      </c>
      <c r="AH138" s="143" t="str">
        <f t="shared" si="41"/>
        <v/>
      </c>
      <c r="AI138" s="143" t="str">
        <f t="shared" si="42"/>
        <v/>
      </c>
      <c r="AJ138" s="143" t="str">
        <f t="shared" si="43"/>
        <v/>
      </c>
      <c r="AK138" s="143" t="str">
        <f t="shared" si="44"/>
        <v/>
      </c>
      <c r="AL138" s="143" t="str">
        <f t="shared" si="45"/>
        <v/>
      </c>
      <c r="AM138" s="143" t="str">
        <f t="shared" si="46"/>
        <v/>
      </c>
      <c r="AN138" s="143" t="str">
        <f t="shared" si="47"/>
        <v/>
      </c>
      <c r="AP138" s="9">
        <f t="shared" si="48"/>
        <v>5.4436490164651705E-5</v>
      </c>
      <c r="AQ138" s="9">
        <f t="shared" si="49"/>
        <v>0.99641363047910603</v>
      </c>
    </row>
    <row r="139" spans="2:43" x14ac:dyDescent="0.35">
      <c r="B139" s="3" t="s">
        <v>230</v>
      </c>
      <c r="D139" s="141">
        <v>18360</v>
      </c>
      <c r="E139" s="141">
        <v>25503</v>
      </c>
      <c r="F139" s="141">
        <v>71676</v>
      </c>
      <c r="G139" s="141">
        <v>12684</v>
      </c>
      <c r="H139" s="141">
        <f>+SUM(D139:G139)</f>
        <v>128223</v>
      </c>
      <c r="J139" s="141">
        <v>3125</v>
      </c>
      <c r="K139" s="141">
        <v>1794</v>
      </c>
      <c r="L139" s="141">
        <v>9624</v>
      </c>
      <c r="M139" s="141">
        <v>2153</v>
      </c>
      <c r="N139" s="141">
        <f>+SUM(J139:M139)</f>
        <v>16696</v>
      </c>
      <c r="P139" s="2">
        <f>+IFERROR(J139/D139,"")</f>
        <v>0.17020697167755991</v>
      </c>
      <c r="Q139" s="2">
        <f>+IFERROR(K139/E139,"")</f>
        <v>7.0344665333490181E-2</v>
      </c>
      <c r="R139" s="2">
        <f>+IFERROR(L139/F139,"")</f>
        <v>0.13427088565210113</v>
      </c>
      <c r="S139" s="2">
        <f>+IFERROR(M139/G139,"")</f>
        <v>0.16974140649637337</v>
      </c>
      <c r="T139" s="2" t="str">
        <f>+IFERROR(#REF!/#REF!,"")</f>
        <v/>
      </c>
      <c r="U139" s="2" t="str">
        <f>+IFERROR(#REF!/#REF!,"")</f>
        <v/>
      </c>
      <c r="V139" s="2" t="str">
        <f>+IFERROR(#REF!/#REF!,"")</f>
        <v/>
      </c>
      <c r="W139" s="2" t="str">
        <f>+IFERROR(#REF!/#REF!,"")</f>
        <v/>
      </c>
      <c r="X139" s="2" t="str">
        <f>+IFERROR(#REF!/#REF!,"")</f>
        <v/>
      </c>
      <c r="Y139" s="2" t="str">
        <f>+IFERROR(#REF!/#REF!,"")</f>
        <v/>
      </c>
      <c r="Z139" s="2" t="str">
        <f>+IFERROR(#REF!/#REF!,"")</f>
        <v/>
      </c>
      <c r="AA139" s="2" t="str">
        <f>+IFERROR(#REF!/#REF!,"")</f>
        <v/>
      </c>
      <c r="AB139" s="2">
        <f>+IFERROR(N139/H139,"")</f>
        <v>0.13021064863558021</v>
      </c>
      <c r="AD139" s="2" t="str">
        <f t="shared" si="37"/>
        <v/>
      </c>
      <c r="AE139" s="2" t="str">
        <f t="shared" si="38"/>
        <v/>
      </c>
      <c r="AF139" s="143">
        <f t="shared" si="39"/>
        <v>3.5470520844272241E-2</v>
      </c>
      <c r="AG139" s="143" t="str">
        <f t="shared" si="40"/>
        <v/>
      </c>
      <c r="AH139" s="143" t="str">
        <f t="shared" si="41"/>
        <v/>
      </c>
      <c r="AI139" s="143" t="str">
        <f t="shared" si="42"/>
        <v/>
      </c>
      <c r="AJ139" s="143" t="str">
        <f t="shared" si="43"/>
        <v/>
      </c>
      <c r="AK139" s="143" t="str">
        <f t="shared" si="44"/>
        <v/>
      </c>
      <c r="AL139" s="143" t="str">
        <f t="shared" si="45"/>
        <v/>
      </c>
      <c r="AM139" s="143" t="str">
        <f t="shared" si="46"/>
        <v/>
      </c>
      <c r="AN139" s="143" t="str">
        <f t="shared" si="47"/>
        <v/>
      </c>
      <c r="AP139" s="9">
        <f t="shared" si="48"/>
        <v>1.0221803292909237E-5</v>
      </c>
      <c r="AQ139" s="9">
        <f t="shared" si="49"/>
        <v>0.99642385228239894</v>
      </c>
    </row>
    <row r="140" spans="2:43" x14ac:dyDescent="0.35">
      <c r="B140" s="3" t="s">
        <v>242</v>
      </c>
      <c r="D140" s="141">
        <v>9908</v>
      </c>
      <c r="E140" s="141">
        <v>10256</v>
      </c>
      <c r="F140" s="141">
        <v>16657</v>
      </c>
      <c r="G140" s="141">
        <v>7527</v>
      </c>
      <c r="H140" s="141">
        <f>+SUM(D140:G140)</f>
        <v>44348</v>
      </c>
      <c r="J140" s="141">
        <v>825</v>
      </c>
      <c r="K140" s="141">
        <v>922</v>
      </c>
      <c r="L140" s="141">
        <v>1197</v>
      </c>
      <c r="M140" s="141">
        <v>1071</v>
      </c>
      <c r="N140" s="141">
        <f>+SUM(J140:M140)</f>
        <v>4015</v>
      </c>
      <c r="P140" s="2">
        <f>+IFERROR(J140/D140,"")</f>
        <v>8.3266047638272098E-2</v>
      </c>
      <c r="Q140" s="2">
        <f>+IFERROR(K140/E140,"")</f>
        <v>8.9898595943837756E-2</v>
      </c>
      <c r="R140" s="2">
        <f>+IFERROR(L140/F140,"")</f>
        <v>7.1861679774269077E-2</v>
      </c>
      <c r="S140" s="2">
        <f>+IFERROR(M140/G140,"")</f>
        <v>0.14228776404942209</v>
      </c>
      <c r="T140" s="2" t="str">
        <f>+IFERROR(#REF!/#REF!,"")</f>
        <v/>
      </c>
      <c r="U140" s="2" t="str">
        <f>+IFERROR(#REF!/#REF!,"")</f>
        <v/>
      </c>
      <c r="V140" s="2" t="str">
        <f>+IFERROR(#REF!/#REF!,"")</f>
        <v/>
      </c>
      <c r="W140" s="2" t="str">
        <f>+IFERROR(#REF!/#REF!,"")</f>
        <v/>
      </c>
      <c r="X140" s="2" t="str">
        <f>+IFERROR(#REF!/#REF!,"")</f>
        <v/>
      </c>
      <c r="Y140" s="2" t="str">
        <f>+IFERROR(#REF!/#REF!,"")</f>
        <v/>
      </c>
      <c r="Z140" s="2" t="str">
        <f>+IFERROR(#REF!/#REF!,"")</f>
        <v/>
      </c>
      <c r="AA140" s="2" t="str">
        <f>+IFERROR(#REF!/#REF!,"")</f>
        <v/>
      </c>
      <c r="AB140" s="2">
        <f>+IFERROR(N140/H140,"")</f>
        <v>9.0533958690358074E-2</v>
      </c>
      <c r="AD140" s="2" t="str">
        <f t="shared" si="37"/>
        <v/>
      </c>
      <c r="AE140" s="2" t="str">
        <f t="shared" si="38"/>
        <v/>
      </c>
      <c r="AF140" s="143">
        <f t="shared" si="39"/>
        <v>7.0426084275153011E-2</v>
      </c>
      <c r="AG140" s="143" t="str">
        <f t="shared" si="40"/>
        <v/>
      </c>
      <c r="AH140" s="143" t="str">
        <f t="shared" si="41"/>
        <v/>
      </c>
      <c r="AI140" s="143" t="str">
        <f t="shared" si="42"/>
        <v/>
      </c>
      <c r="AJ140" s="143" t="str">
        <f t="shared" si="43"/>
        <v/>
      </c>
      <c r="AK140" s="143" t="str">
        <f t="shared" si="44"/>
        <v/>
      </c>
      <c r="AL140" s="143" t="str">
        <f t="shared" si="45"/>
        <v/>
      </c>
      <c r="AM140" s="143" t="str">
        <f t="shared" si="46"/>
        <v/>
      </c>
      <c r="AN140" s="143" t="str">
        <f t="shared" si="47"/>
        <v/>
      </c>
      <c r="AP140" s="9">
        <f t="shared" si="48"/>
        <v>2.4581061464440937E-6</v>
      </c>
      <c r="AQ140" s="9">
        <f t="shared" si="49"/>
        <v>0.99642631038854534</v>
      </c>
    </row>
    <row r="141" spans="2:43" x14ac:dyDescent="0.35">
      <c r="B141" s="3" t="s">
        <v>244</v>
      </c>
      <c r="D141" s="141">
        <v>789583</v>
      </c>
      <c r="E141" s="141">
        <v>6050326</v>
      </c>
      <c r="F141" s="141">
        <v>4683877</v>
      </c>
      <c r="G141" s="141">
        <v>857216</v>
      </c>
      <c r="H141" s="141">
        <f>+SUM(D141:G141)</f>
        <v>12381002</v>
      </c>
      <c r="J141" s="141">
        <v>86886</v>
      </c>
      <c r="K141" s="141">
        <v>681301</v>
      </c>
      <c r="L141" s="141">
        <v>518209</v>
      </c>
      <c r="M141" s="141">
        <v>95172</v>
      </c>
      <c r="N141" s="141">
        <f>+SUM(J141:M141)</f>
        <v>1381568</v>
      </c>
      <c r="P141" s="2">
        <f>+IFERROR(J141/D141,"")</f>
        <v>0.11004036307772584</v>
      </c>
      <c r="Q141" s="2">
        <f>+IFERROR(K141/E141,"")</f>
        <v>0.1126056678598806</v>
      </c>
      <c r="R141" s="2">
        <f>+IFERROR(L141/F141,"")</f>
        <v>0.11063676522675553</v>
      </c>
      <c r="S141" s="2">
        <f>+IFERROR(M141/G141,"")</f>
        <v>0.1110245259071226</v>
      </c>
      <c r="T141" s="2" t="str">
        <f>+IFERROR(#REF!/#REF!,"")</f>
        <v/>
      </c>
      <c r="U141" s="2" t="str">
        <f>+IFERROR(#REF!/#REF!,"")</f>
        <v/>
      </c>
      <c r="V141" s="2" t="str">
        <f>+IFERROR(#REF!/#REF!,"")</f>
        <v/>
      </c>
      <c r="W141" s="2" t="str">
        <f>+IFERROR(#REF!/#REF!,"")</f>
        <v/>
      </c>
      <c r="X141" s="2" t="str">
        <f>+IFERROR(#REF!/#REF!,"")</f>
        <v/>
      </c>
      <c r="Y141" s="2" t="str">
        <f>+IFERROR(#REF!/#REF!,"")</f>
        <v/>
      </c>
      <c r="Z141" s="2" t="str">
        <f>+IFERROR(#REF!/#REF!,"")</f>
        <v/>
      </c>
      <c r="AA141" s="2" t="str">
        <f>+IFERROR(#REF!/#REF!,"")</f>
        <v/>
      </c>
      <c r="AB141" s="2">
        <f>+IFERROR(N141/H141,"")</f>
        <v>0.11158773740606778</v>
      </c>
      <c r="AD141" s="2" t="str">
        <f t="shared" si="37"/>
        <v/>
      </c>
      <c r="AE141" s="2" t="str">
        <f t="shared" si="38"/>
        <v/>
      </c>
      <c r="AF141" s="143">
        <f t="shared" si="39"/>
        <v>3.8776068036706912E-4</v>
      </c>
      <c r="AG141" s="143" t="str">
        <f t="shared" si="40"/>
        <v/>
      </c>
      <c r="AH141" s="143" t="str">
        <f t="shared" si="41"/>
        <v/>
      </c>
      <c r="AI141" s="143" t="str">
        <f t="shared" si="42"/>
        <v/>
      </c>
      <c r="AJ141" s="143" t="str">
        <f t="shared" si="43"/>
        <v/>
      </c>
      <c r="AK141" s="143" t="str">
        <f t="shared" si="44"/>
        <v/>
      </c>
      <c r="AL141" s="143" t="str">
        <f t="shared" si="45"/>
        <v/>
      </c>
      <c r="AM141" s="143" t="str">
        <f t="shared" si="46"/>
        <v/>
      </c>
      <c r="AN141" s="143" t="str">
        <f t="shared" si="47"/>
        <v/>
      </c>
      <c r="AP141" s="9">
        <f t="shared" si="48"/>
        <v>8.4583830449077798E-4</v>
      </c>
      <c r="AQ141" s="9">
        <f t="shared" si="49"/>
        <v>0.99727214869303615</v>
      </c>
    </row>
    <row r="142" spans="2:43" x14ac:dyDescent="0.35">
      <c r="B142" s="3" t="s">
        <v>220</v>
      </c>
      <c r="D142" s="141">
        <v>79570</v>
      </c>
      <c r="E142" s="141">
        <v>71965</v>
      </c>
      <c r="F142" s="141">
        <v>93173</v>
      </c>
      <c r="G142" s="141">
        <v>45854</v>
      </c>
      <c r="H142" s="141">
        <f>+SUM(D142:G142)</f>
        <v>290562</v>
      </c>
      <c r="J142" s="141">
        <v>20435</v>
      </c>
      <c r="K142" s="141">
        <v>10361</v>
      </c>
      <c r="L142" s="141">
        <v>5816</v>
      </c>
      <c r="M142" s="141">
        <v>1771</v>
      </c>
      <c r="N142" s="141">
        <f>+SUM(J142:M142)</f>
        <v>38383</v>
      </c>
      <c r="P142" s="2">
        <f>+IFERROR(J142/D142,"")</f>
        <v>0.25681789619203216</v>
      </c>
      <c r="Q142" s="2">
        <f>+IFERROR(K142/E142,"")</f>
        <v>0.14397276453831723</v>
      </c>
      <c r="R142" s="2">
        <f>+IFERROR(L142/F142,"")</f>
        <v>6.2421516963068698E-2</v>
      </c>
      <c r="S142" s="2">
        <f>+IFERROR(M142/G142,"")</f>
        <v>3.8622584725432896E-2</v>
      </c>
      <c r="T142" s="2" t="str">
        <f>+IFERROR(#REF!/#REF!,"")</f>
        <v/>
      </c>
      <c r="U142" s="2" t="str">
        <f>+IFERROR(#REF!/#REF!,"")</f>
        <v/>
      </c>
      <c r="V142" s="2" t="str">
        <f>+IFERROR(#REF!/#REF!,"")</f>
        <v/>
      </c>
      <c r="W142" s="2" t="str">
        <f>+IFERROR(#REF!/#REF!,"")</f>
        <v/>
      </c>
      <c r="X142" s="2" t="str">
        <f>+IFERROR(#REF!/#REF!,"")</f>
        <v/>
      </c>
      <c r="Y142" s="2" t="str">
        <f>+IFERROR(#REF!/#REF!,"")</f>
        <v/>
      </c>
      <c r="Z142" s="2" t="str">
        <f>+IFERROR(#REF!/#REF!,"")</f>
        <v/>
      </c>
      <c r="AA142" s="2" t="str">
        <f>+IFERROR(#REF!/#REF!,"")</f>
        <v/>
      </c>
      <c r="AB142" s="2">
        <f>+IFERROR(N142/H142,"")</f>
        <v>0.1320991733261748</v>
      </c>
      <c r="AD142" s="2" t="str">
        <f t="shared" ref="AD142:AD173" si="50">+IFERROR(W142-V142,"")</f>
        <v/>
      </c>
      <c r="AE142" s="2" t="str">
        <f t="shared" ref="AE142:AE173" si="51">+IFERROR(X142-W142,"")</f>
        <v/>
      </c>
      <c r="AF142" s="143">
        <f t="shared" ref="AF142:AF173" si="52">+IFERROR(S142-R142,"")</f>
        <v>-2.3798932237635802E-2</v>
      </c>
      <c r="AG142" s="143" t="str">
        <f t="shared" ref="AG142:AG173" si="53">+IFERROR(T142-S142,"")</f>
        <v/>
      </c>
      <c r="AH142" s="143" t="str">
        <f t="shared" ref="AH142:AH173" si="54">+IFERROR(U142-T142,"")</f>
        <v/>
      </c>
      <c r="AI142" s="143" t="str">
        <f t="shared" ref="AI142:AI173" si="55">+IFERROR(V142-U142,"")</f>
        <v/>
      </c>
      <c r="AJ142" s="143" t="str">
        <f t="shared" ref="AJ142:AJ173" si="56">+IFERROR(W142-V142,"")</f>
        <v/>
      </c>
      <c r="AK142" s="143" t="str">
        <f t="shared" ref="AK142:AK173" si="57">+IFERROR(X142-W142,"")</f>
        <v/>
      </c>
      <c r="AL142" s="143" t="str">
        <f t="shared" ref="AL142:AL173" si="58">+IFERROR(Y142-X142,"")</f>
        <v/>
      </c>
      <c r="AM142" s="143" t="str">
        <f t="shared" ref="AM142:AM173" si="59">+IFERROR(Z142-Y142,"")</f>
        <v/>
      </c>
      <c r="AN142" s="143" t="str">
        <f t="shared" ref="AN142:AN173" si="60">+IFERROR(AA142-Z142,"")</f>
        <v/>
      </c>
      <c r="AP142" s="9">
        <f t="shared" si="48"/>
        <v>2.34992498677369E-5</v>
      </c>
      <c r="AQ142" s="9">
        <f t="shared" si="49"/>
        <v>0.99729564794290393</v>
      </c>
    </row>
    <row r="143" spans="2:43" x14ac:dyDescent="0.35">
      <c r="B143" s="3" t="s">
        <v>241</v>
      </c>
      <c r="D143" s="141">
        <v>114143</v>
      </c>
      <c r="E143" s="141">
        <v>127983</v>
      </c>
      <c r="F143" s="141">
        <v>81323</v>
      </c>
      <c r="G143" s="141">
        <v>127907</v>
      </c>
      <c r="H143" s="141">
        <f>+SUM(D143:G143)</f>
        <v>451356</v>
      </c>
      <c r="J143" s="141">
        <v>12311</v>
      </c>
      <c r="K143" s="141">
        <v>12093</v>
      </c>
      <c r="L143" s="141">
        <v>9931</v>
      </c>
      <c r="M143" s="141">
        <v>10400</v>
      </c>
      <c r="N143" s="141">
        <f>+SUM(J143:M143)</f>
        <v>44735</v>
      </c>
      <c r="P143" s="2">
        <f>+IFERROR(J143/D143,"")</f>
        <v>0.10785593509895482</v>
      </c>
      <c r="Q143" s="2">
        <f>+IFERROR(K143/E143,"")</f>
        <v>9.4489111835165604E-2</v>
      </c>
      <c r="R143" s="2">
        <f>+IFERROR(L143/F143,"")</f>
        <v>0.12211797400489406</v>
      </c>
      <c r="S143" s="2">
        <f>+IFERROR(M143/G143,"")</f>
        <v>8.130907612562252E-2</v>
      </c>
      <c r="T143" s="2" t="str">
        <f>+IFERROR(#REF!/#REF!,"")</f>
        <v/>
      </c>
      <c r="U143" s="2" t="str">
        <f>+IFERROR(#REF!/#REF!,"")</f>
        <v/>
      </c>
      <c r="V143" s="2" t="str">
        <f>+IFERROR(#REF!/#REF!,"")</f>
        <v/>
      </c>
      <c r="W143" s="2" t="str">
        <f>+IFERROR(#REF!/#REF!,"")</f>
        <v/>
      </c>
      <c r="X143" s="2" t="str">
        <f>+IFERROR(#REF!/#REF!,"")</f>
        <v/>
      </c>
      <c r="Y143" s="2" t="str">
        <f>+IFERROR(#REF!/#REF!,"")</f>
        <v/>
      </c>
      <c r="Z143" s="2" t="str">
        <f>+IFERROR(#REF!/#REF!,"")</f>
        <v/>
      </c>
      <c r="AA143" s="2" t="str">
        <f>+IFERROR(#REF!/#REF!,"")</f>
        <v/>
      </c>
      <c r="AB143" s="2">
        <f>+IFERROR(N143/H143,"")</f>
        <v>9.9112452254982761E-2</v>
      </c>
      <c r="AD143" s="2" t="str">
        <f t="shared" si="50"/>
        <v/>
      </c>
      <c r="AE143" s="2" t="str">
        <f t="shared" si="51"/>
        <v/>
      </c>
      <c r="AF143" s="143">
        <f t="shared" si="52"/>
        <v>-4.0808897879271541E-2</v>
      </c>
      <c r="AG143" s="143" t="str">
        <f t="shared" si="53"/>
        <v/>
      </c>
      <c r="AH143" s="143" t="str">
        <f t="shared" si="54"/>
        <v/>
      </c>
      <c r="AI143" s="143" t="str">
        <f t="shared" si="55"/>
        <v/>
      </c>
      <c r="AJ143" s="143" t="str">
        <f t="shared" si="56"/>
        <v/>
      </c>
      <c r="AK143" s="143" t="str">
        <f t="shared" si="57"/>
        <v/>
      </c>
      <c r="AL143" s="143" t="str">
        <f t="shared" si="58"/>
        <v/>
      </c>
      <c r="AM143" s="143" t="str">
        <f t="shared" si="59"/>
        <v/>
      </c>
      <c r="AN143" s="143" t="str">
        <f t="shared" si="60"/>
        <v/>
      </c>
      <c r="AP143" s="9">
        <f t="shared" si="48"/>
        <v>2.7388139093692787E-5</v>
      </c>
      <c r="AQ143" s="9">
        <f t="shared" si="49"/>
        <v>0.99732303608199757</v>
      </c>
    </row>
    <row r="144" spans="2:43" x14ac:dyDescent="0.35">
      <c r="B144" s="3" t="s">
        <v>238</v>
      </c>
      <c r="D144" s="141">
        <v>93522</v>
      </c>
      <c r="E144" s="141">
        <v>83991</v>
      </c>
      <c r="F144" s="141">
        <v>108224</v>
      </c>
      <c r="G144" s="141">
        <v>57286</v>
      </c>
      <c r="H144" s="141">
        <f>+SUM(D144:G144)</f>
        <v>343023</v>
      </c>
      <c r="J144" s="141">
        <v>10456</v>
      </c>
      <c r="K144" s="141">
        <v>7558</v>
      </c>
      <c r="L144" s="141">
        <v>10738</v>
      </c>
      <c r="M144" s="141">
        <v>8333</v>
      </c>
      <c r="N144" s="141">
        <f>+SUM(J144:M144)</f>
        <v>37085</v>
      </c>
      <c r="P144" s="2">
        <f>+IFERROR(J144/D144,"")</f>
        <v>0.11180257051816685</v>
      </c>
      <c r="Q144" s="2">
        <f>+IFERROR(K144/E144,"")</f>
        <v>8.9985831815313541E-2</v>
      </c>
      <c r="R144" s="2">
        <f>+IFERROR(L144/F144,"")</f>
        <v>9.9220136014192786E-2</v>
      </c>
      <c r="S144" s="2">
        <f>+IFERROR(M144/G144,"")</f>
        <v>0.14546311489718255</v>
      </c>
      <c r="T144" s="2" t="str">
        <f>+IFERROR(#REF!/#REF!,"")</f>
        <v/>
      </c>
      <c r="U144" s="2" t="str">
        <f>+IFERROR(#REF!/#REF!,"")</f>
        <v/>
      </c>
      <c r="V144" s="2" t="str">
        <f>+IFERROR(#REF!/#REF!,"")</f>
        <v/>
      </c>
      <c r="W144" s="2" t="str">
        <f>+IFERROR(#REF!/#REF!,"")</f>
        <v/>
      </c>
      <c r="X144" s="2" t="str">
        <f>+IFERROR(#REF!/#REF!,"")</f>
        <v/>
      </c>
      <c r="Y144" s="2" t="str">
        <f>+IFERROR(#REF!/#REF!,"")</f>
        <v/>
      </c>
      <c r="Z144" s="2" t="str">
        <f>+IFERROR(#REF!/#REF!,"")</f>
        <v/>
      </c>
      <c r="AA144" s="2" t="str">
        <f>+IFERROR(#REF!/#REF!,"")</f>
        <v/>
      </c>
      <c r="AB144" s="2">
        <f>+IFERROR(N144/H144,"")</f>
        <v>0.10811228401594063</v>
      </c>
      <c r="AD144" s="2" t="str">
        <f t="shared" si="50"/>
        <v/>
      </c>
      <c r="AE144" s="2" t="str">
        <f t="shared" si="51"/>
        <v/>
      </c>
      <c r="AF144" s="143">
        <f t="shared" si="52"/>
        <v>4.6242978882989769E-2</v>
      </c>
      <c r="AG144" s="143" t="str">
        <f t="shared" si="53"/>
        <v/>
      </c>
      <c r="AH144" s="143" t="str">
        <f t="shared" si="54"/>
        <v/>
      </c>
      <c r="AI144" s="143" t="str">
        <f t="shared" si="55"/>
        <v/>
      </c>
      <c r="AJ144" s="143" t="str">
        <f t="shared" si="56"/>
        <v/>
      </c>
      <c r="AK144" s="143" t="str">
        <f t="shared" si="57"/>
        <v/>
      </c>
      <c r="AL144" s="143" t="str">
        <f t="shared" si="58"/>
        <v/>
      </c>
      <c r="AM144" s="143" t="str">
        <f t="shared" si="59"/>
        <v/>
      </c>
      <c r="AN144" s="143" t="str">
        <f t="shared" si="60"/>
        <v/>
      </c>
      <c r="AP144" s="9">
        <f t="shared" si="48"/>
        <v>2.2704574456009767E-5</v>
      </c>
      <c r="AQ144" s="9">
        <f t="shared" si="49"/>
        <v>0.99734574065645354</v>
      </c>
    </row>
    <row r="145" spans="2:43" x14ac:dyDescent="0.35">
      <c r="B145" s="3" t="s">
        <v>222</v>
      </c>
      <c r="D145" s="141">
        <v>354308</v>
      </c>
      <c r="E145" s="141">
        <v>279118</v>
      </c>
      <c r="F145" s="141">
        <v>74585</v>
      </c>
      <c r="G145" s="141">
        <v>167126</v>
      </c>
      <c r="H145" s="141">
        <f>+SUM(D145:G145)</f>
        <v>875137</v>
      </c>
      <c r="J145" s="141">
        <v>36824</v>
      </c>
      <c r="K145" s="141">
        <v>38029</v>
      </c>
      <c r="L145" s="141">
        <v>10169</v>
      </c>
      <c r="M145" s="141">
        <v>24907</v>
      </c>
      <c r="N145" s="141">
        <f>+SUM(J145:M145)</f>
        <v>109929</v>
      </c>
      <c r="P145" s="2">
        <f>+IFERROR(J145/D145,"")</f>
        <v>0.10393217200853495</v>
      </c>
      <c r="Q145" s="2">
        <f>+IFERROR(K145/E145,"")</f>
        <v>0.13624703530406496</v>
      </c>
      <c r="R145" s="2">
        <f>+IFERROR(L145/F145,"")</f>
        <v>0.13634108735000336</v>
      </c>
      <c r="S145" s="2">
        <f>+IFERROR(M145/G145,"")</f>
        <v>0.14903126982037504</v>
      </c>
      <c r="T145" s="2" t="str">
        <f>+IFERROR(#REF!/#REF!,"")</f>
        <v/>
      </c>
      <c r="U145" s="2" t="str">
        <f>+IFERROR(#REF!/#REF!,"")</f>
        <v/>
      </c>
      <c r="V145" s="2" t="str">
        <f>+IFERROR(#REF!/#REF!,"")</f>
        <v/>
      </c>
      <c r="W145" s="2" t="str">
        <f>+IFERROR(#REF!/#REF!,"")</f>
        <v/>
      </c>
      <c r="X145" s="2" t="str">
        <f>+IFERROR(#REF!/#REF!,"")</f>
        <v/>
      </c>
      <c r="Y145" s="2" t="str">
        <f>+IFERROR(#REF!/#REF!,"")</f>
        <v/>
      </c>
      <c r="Z145" s="2" t="str">
        <f>+IFERROR(#REF!/#REF!,"")</f>
        <v/>
      </c>
      <c r="AA145" s="2" t="str">
        <f>+IFERROR(#REF!/#REF!,"")</f>
        <v/>
      </c>
      <c r="AB145" s="2">
        <f>+IFERROR(N145/H145,"")</f>
        <v>0.12561347537585543</v>
      </c>
      <c r="AD145" s="2" t="str">
        <f t="shared" si="50"/>
        <v/>
      </c>
      <c r="AE145" s="2" t="str">
        <f t="shared" si="51"/>
        <v/>
      </c>
      <c r="AF145" s="143">
        <f t="shared" si="52"/>
        <v>1.269018247037168E-2</v>
      </c>
      <c r="AG145" s="143" t="str">
        <f t="shared" si="53"/>
        <v/>
      </c>
      <c r="AH145" s="143" t="str">
        <f t="shared" si="54"/>
        <v/>
      </c>
      <c r="AI145" s="143" t="str">
        <f t="shared" si="55"/>
        <v/>
      </c>
      <c r="AJ145" s="143" t="str">
        <f t="shared" si="56"/>
        <v/>
      </c>
      <c r="AK145" s="143" t="str">
        <f t="shared" si="57"/>
        <v/>
      </c>
      <c r="AL145" s="143" t="str">
        <f t="shared" si="58"/>
        <v/>
      </c>
      <c r="AM145" s="143" t="str">
        <f t="shared" si="59"/>
        <v/>
      </c>
      <c r="AN145" s="143" t="str">
        <f t="shared" si="60"/>
        <v/>
      </c>
      <c r="AP145" s="9">
        <f t="shared" si="48"/>
        <v>6.7301905497497579E-5</v>
      </c>
      <c r="AQ145" s="9">
        <f t="shared" si="49"/>
        <v>0.99741304256195107</v>
      </c>
    </row>
    <row r="146" spans="2:43" x14ac:dyDescent="0.35">
      <c r="B146" s="3" t="s">
        <v>253</v>
      </c>
      <c r="D146" s="141">
        <v>642095</v>
      </c>
      <c r="E146" s="141">
        <v>541694</v>
      </c>
      <c r="F146" s="141">
        <v>128179</v>
      </c>
      <c r="G146" s="141">
        <v>583171</v>
      </c>
      <c r="H146" s="141">
        <f>+SUM(D146:G146)</f>
        <v>1895139</v>
      </c>
      <c r="J146" s="141">
        <v>114783</v>
      </c>
      <c r="K146" s="141">
        <v>93983</v>
      </c>
      <c r="L146" s="141">
        <v>12084</v>
      </c>
      <c r="M146" s="141">
        <v>98261</v>
      </c>
      <c r="N146" s="141">
        <f>+SUM(J146:M146)</f>
        <v>319111</v>
      </c>
      <c r="P146" s="2">
        <f>+IFERROR(J146/D146,"")</f>
        <v>0.17876326711779408</v>
      </c>
      <c r="Q146" s="2">
        <f>+IFERROR(K146/E146,"")</f>
        <v>0.17349832193083181</v>
      </c>
      <c r="R146" s="2">
        <f>+IFERROR(L146/F146,"")</f>
        <v>9.427441312539496E-2</v>
      </c>
      <c r="S146" s="2">
        <f>+IFERROR(M146/G146,"")</f>
        <v>0.16849431813310334</v>
      </c>
      <c r="T146" s="2" t="str">
        <f>+IFERROR(#REF!/#REF!,"")</f>
        <v/>
      </c>
      <c r="U146" s="2" t="str">
        <f>+IFERROR(#REF!/#REF!,"")</f>
        <v/>
      </c>
      <c r="V146" s="2" t="str">
        <f>+IFERROR(#REF!/#REF!,"")</f>
        <v/>
      </c>
      <c r="W146" s="2" t="str">
        <f>+IFERROR(#REF!/#REF!,"")</f>
        <v/>
      </c>
      <c r="X146" s="2" t="str">
        <f>+IFERROR(#REF!/#REF!,"")</f>
        <v/>
      </c>
      <c r="Y146" s="2" t="str">
        <f>+IFERROR(#REF!/#REF!,"")</f>
        <v/>
      </c>
      <c r="Z146" s="2" t="str">
        <f>+IFERROR(#REF!/#REF!,"")</f>
        <v/>
      </c>
      <c r="AA146" s="2" t="str">
        <f>+IFERROR(#REF!/#REF!,"")</f>
        <v/>
      </c>
      <c r="AB146" s="2">
        <f>+IFERROR(N146/H146,"")</f>
        <v>0.1683839549500063</v>
      </c>
      <c r="AD146" s="2" t="str">
        <f t="shared" si="50"/>
        <v/>
      </c>
      <c r="AE146" s="2" t="str">
        <f t="shared" si="51"/>
        <v/>
      </c>
      <c r="AF146" s="143">
        <f t="shared" si="52"/>
        <v>7.4219905007708378E-2</v>
      </c>
      <c r="AG146" s="143" t="str">
        <f t="shared" si="53"/>
        <v/>
      </c>
      <c r="AH146" s="143" t="str">
        <f t="shared" si="54"/>
        <v/>
      </c>
      <c r="AI146" s="143" t="str">
        <f t="shared" si="55"/>
        <v/>
      </c>
      <c r="AJ146" s="143" t="str">
        <f t="shared" si="56"/>
        <v/>
      </c>
      <c r="AK146" s="143" t="str">
        <f t="shared" si="57"/>
        <v/>
      </c>
      <c r="AL146" s="143" t="str">
        <f t="shared" si="58"/>
        <v/>
      </c>
      <c r="AM146" s="143" t="str">
        <f t="shared" si="59"/>
        <v/>
      </c>
      <c r="AN146" s="143" t="str">
        <f t="shared" si="60"/>
        <v/>
      </c>
      <c r="AP146" s="9">
        <f t="shared" si="48"/>
        <v>1.9536954184257065E-4</v>
      </c>
      <c r="AQ146" s="9">
        <f t="shared" si="49"/>
        <v>0.99760841210379358</v>
      </c>
    </row>
    <row r="147" spans="2:43" x14ac:dyDescent="0.35">
      <c r="B147" s="3" t="s">
        <v>231</v>
      </c>
      <c r="D147" s="141">
        <v>45340</v>
      </c>
      <c r="E147" s="141">
        <v>26215</v>
      </c>
      <c r="F147" s="141">
        <v>28326</v>
      </c>
      <c r="G147" s="141">
        <v>47966</v>
      </c>
      <c r="H147" s="141">
        <f>+SUM(D147:G147)</f>
        <v>147847</v>
      </c>
      <c r="J147" s="141">
        <v>8304</v>
      </c>
      <c r="K147" s="141">
        <v>2798</v>
      </c>
      <c r="L147" s="141">
        <v>7199</v>
      </c>
      <c r="M147" s="141">
        <v>6044</v>
      </c>
      <c r="N147" s="141">
        <f>+SUM(J147:M147)</f>
        <v>24345</v>
      </c>
      <c r="P147" s="2">
        <f>+IFERROR(J147/D147,"")</f>
        <v>0.1831495368328187</v>
      </c>
      <c r="Q147" s="2">
        <f>+IFERROR(K147/E147,"")</f>
        <v>0.10673278657257296</v>
      </c>
      <c r="R147" s="2">
        <f>+IFERROR(L147/F147,"")</f>
        <v>0.25414813245781259</v>
      </c>
      <c r="S147" s="2">
        <f>+IFERROR(M147/G147,"")</f>
        <v>0.1260059208606096</v>
      </c>
      <c r="T147" s="2" t="str">
        <f>+IFERROR(#REF!/#REF!,"")</f>
        <v/>
      </c>
      <c r="U147" s="2" t="str">
        <f>+IFERROR(#REF!/#REF!,"")</f>
        <v/>
      </c>
      <c r="V147" s="2" t="str">
        <f>+IFERROR(#REF!/#REF!,"")</f>
        <v/>
      </c>
      <c r="W147" s="2" t="str">
        <f>+IFERROR(#REF!/#REF!,"")</f>
        <v/>
      </c>
      <c r="X147" s="2" t="str">
        <f>+IFERROR(#REF!/#REF!,"")</f>
        <v/>
      </c>
      <c r="Y147" s="2" t="str">
        <f>+IFERROR(#REF!/#REF!,"")</f>
        <v/>
      </c>
      <c r="Z147" s="2" t="str">
        <f>+IFERROR(#REF!/#REF!,"")</f>
        <v/>
      </c>
      <c r="AA147" s="2" t="str">
        <f>+IFERROR(#REF!/#REF!,"")</f>
        <v/>
      </c>
      <c r="AB147" s="2">
        <f>+IFERROR(N147/H147,"")</f>
        <v>0.16466346966796755</v>
      </c>
      <c r="AD147" s="2" t="str">
        <f t="shared" si="50"/>
        <v/>
      </c>
      <c r="AE147" s="2" t="str">
        <f t="shared" si="51"/>
        <v/>
      </c>
      <c r="AF147" s="143">
        <f t="shared" si="52"/>
        <v>-0.12814221159720299</v>
      </c>
      <c r="AG147" s="143" t="str">
        <f t="shared" si="53"/>
        <v/>
      </c>
      <c r="AH147" s="143" t="str">
        <f t="shared" si="54"/>
        <v/>
      </c>
      <c r="AI147" s="143" t="str">
        <f t="shared" si="55"/>
        <v/>
      </c>
      <c r="AJ147" s="143" t="str">
        <f t="shared" si="56"/>
        <v/>
      </c>
      <c r="AK147" s="143" t="str">
        <f t="shared" si="57"/>
        <v/>
      </c>
      <c r="AL147" s="143" t="str">
        <f t="shared" si="58"/>
        <v/>
      </c>
      <c r="AM147" s="143" t="str">
        <f t="shared" si="59"/>
        <v/>
      </c>
      <c r="AN147" s="143" t="str">
        <f t="shared" si="60"/>
        <v/>
      </c>
      <c r="AP147" s="9">
        <f t="shared" si="48"/>
        <v>1.4904755699920663E-5</v>
      </c>
      <c r="AQ147" s="9">
        <f t="shared" si="49"/>
        <v>0.99762331685949346</v>
      </c>
    </row>
    <row r="148" spans="2:43" x14ac:dyDescent="0.35">
      <c r="B148" s="3" t="s">
        <v>232</v>
      </c>
      <c r="D148" s="141">
        <v>870504</v>
      </c>
      <c r="E148" s="141">
        <v>889278</v>
      </c>
      <c r="F148" s="141">
        <v>477582</v>
      </c>
      <c r="G148" s="141">
        <v>302792</v>
      </c>
      <c r="H148" s="141">
        <f>+SUM(D148:G148)</f>
        <v>2540156</v>
      </c>
      <c r="J148" s="141">
        <v>103961</v>
      </c>
      <c r="K148" s="141">
        <v>108731</v>
      </c>
      <c r="L148" s="141">
        <v>69356</v>
      </c>
      <c r="M148" s="141">
        <v>34885</v>
      </c>
      <c r="N148" s="141">
        <f>+SUM(J148:M148)</f>
        <v>316933</v>
      </c>
      <c r="P148" s="2">
        <f>+IFERROR(J148/D148,"")</f>
        <v>0.11942621745563489</v>
      </c>
      <c r="Q148" s="2">
        <f>+IFERROR(K148/E148,"")</f>
        <v>0.12226885181012012</v>
      </c>
      <c r="R148" s="2">
        <f>+IFERROR(L148/F148,"")</f>
        <v>0.14522322868114795</v>
      </c>
      <c r="S148" s="2">
        <f>+IFERROR(M148/G148,"")</f>
        <v>0.11521110201062115</v>
      </c>
      <c r="T148" s="2" t="str">
        <f>+IFERROR(#REF!/#REF!,"")</f>
        <v/>
      </c>
      <c r="U148" s="2" t="str">
        <f>+IFERROR(#REF!/#REF!,"")</f>
        <v/>
      </c>
      <c r="V148" s="2" t="str">
        <f>+IFERROR(#REF!/#REF!,"")</f>
        <v/>
      </c>
      <c r="W148" s="2" t="str">
        <f>+IFERROR(#REF!/#REF!,"")</f>
        <v/>
      </c>
      <c r="X148" s="2" t="str">
        <f>+IFERROR(#REF!/#REF!,"")</f>
        <v/>
      </c>
      <c r="Y148" s="2" t="str">
        <f>+IFERROR(#REF!/#REF!,"")</f>
        <v/>
      </c>
      <c r="Z148" s="2" t="str">
        <f>+IFERROR(#REF!/#REF!,"")</f>
        <v/>
      </c>
      <c r="AA148" s="2" t="str">
        <f>+IFERROR(#REF!/#REF!,"")</f>
        <v/>
      </c>
      <c r="AB148" s="2">
        <f>+IFERROR(N148/H148,"")</f>
        <v>0.1247691086689164</v>
      </c>
      <c r="AD148" s="2" t="str">
        <f t="shared" si="50"/>
        <v/>
      </c>
      <c r="AE148" s="2" t="str">
        <f t="shared" si="51"/>
        <v/>
      </c>
      <c r="AF148" s="143">
        <f t="shared" si="52"/>
        <v>-3.0012126670526801E-2</v>
      </c>
      <c r="AG148" s="143" t="str">
        <f t="shared" si="53"/>
        <v/>
      </c>
      <c r="AH148" s="143" t="str">
        <f t="shared" si="54"/>
        <v/>
      </c>
      <c r="AI148" s="143" t="str">
        <f t="shared" si="55"/>
        <v/>
      </c>
      <c r="AJ148" s="143" t="str">
        <f t="shared" si="56"/>
        <v/>
      </c>
      <c r="AK148" s="143" t="str">
        <f t="shared" si="57"/>
        <v/>
      </c>
      <c r="AL148" s="143" t="str">
        <f t="shared" si="58"/>
        <v/>
      </c>
      <c r="AM148" s="143" t="str">
        <f t="shared" si="59"/>
        <v/>
      </c>
      <c r="AN148" s="143" t="str">
        <f t="shared" si="60"/>
        <v/>
      </c>
      <c r="AP148" s="9">
        <f t="shared" si="48"/>
        <v>1.9403610343984208E-4</v>
      </c>
      <c r="AQ148" s="9">
        <f t="shared" si="49"/>
        <v>0.99781735296293328</v>
      </c>
    </row>
    <row r="149" spans="2:43" x14ac:dyDescent="0.35">
      <c r="B149" s="3" t="s">
        <v>248</v>
      </c>
      <c r="D149" s="141">
        <v>735</v>
      </c>
      <c r="E149" s="141"/>
      <c r="F149" s="141">
        <v>19078</v>
      </c>
      <c r="G149" s="141">
        <v>2660</v>
      </c>
      <c r="H149" s="141">
        <f>+SUM(D149:G149)</f>
        <v>22473</v>
      </c>
      <c r="J149" s="141">
        <v>27</v>
      </c>
      <c r="K149" s="141"/>
      <c r="L149" s="141">
        <v>1883</v>
      </c>
      <c r="M149" s="141">
        <v>6</v>
      </c>
      <c r="N149" s="141">
        <f>+SUM(J149:M149)</f>
        <v>1916</v>
      </c>
      <c r="P149" s="2">
        <f>+IFERROR(J149/D149,"")</f>
        <v>3.6734693877551024E-2</v>
      </c>
      <c r="Q149" s="2" t="str">
        <f>+IFERROR(K149/E149,"")</f>
        <v/>
      </c>
      <c r="R149" s="2">
        <f>+IFERROR(L149/F149,"")</f>
        <v>9.8700073382954182E-2</v>
      </c>
      <c r="S149" s="2">
        <f>+IFERROR(M149/G149,"")</f>
        <v>2.255639097744361E-3</v>
      </c>
      <c r="T149" s="2" t="str">
        <f>+IFERROR(#REF!/#REF!,"")</f>
        <v/>
      </c>
      <c r="U149" s="2" t="str">
        <f>+IFERROR(#REF!/#REF!,"")</f>
        <v/>
      </c>
      <c r="V149" s="2" t="str">
        <f>+IFERROR(#REF!/#REF!,"")</f>
        <v/>
      </c>
      <c r="W149" s="2" t="str">
        <f>+IFERROR(#REF!/#REF!,"")</f>
        <v/>
      </c>
      <c r="X149" s="2" t="str">
        <f>+IFERROR(#REF!/#REF!,"")</f>
        <v/>
      </c>
      <c r="Y149" s="2" t="str">
        <f>+IFERROR(#REF!/#REF!,"")</f>
        <v/>
      </c>
      <c r="Z149" s="2" t="str">
        <f>+IFERROR(#REF!/#REF!,"")</f>
        <v/>
      </c>
      <c r="AA149" s="2" t="str">
        <f>+IFERROR(#REF!/#REF!,"")</f>
        <v/>
      </c>
      <c r="AB149" s="2">
        <f>+IFERROR(N149/H149,"")</f>
        <v>8.5257864993547816E-2</v>
      </c>
      <c r="AD149" s="2" t="str">
        <f t="shared" si="50"/>
        <v/>
      </c>
      <c r="AE149" s="2" t="str">
        <f t="shared" si="51"/>
        <v/>
      </c>
      <c r="AF149" s="143">
        <f t="shared" si="52"/>
        <v>-9.6444434285209824E-2</v>
      </c>
      <c r="AG149" s="143" t="str">
        <f t="shared" si="53"/>
        <v/>
      </c>
      <c r="AH149" s="143" t="str">
        <f t="shared" si="54"/>
        <v/>
      </c>
      <c r="AI149" s="143" t="str">
        <f t="shared" si="55"/>
        <v/>
      </c>
      <c r="AJ149" s="143" t="str">
        <f t="shared" si="56"/>
        <v/>
      </c>
      <c r="AK149" s="143" t="str">
        <f t="shared" si="57"/>
        <v/>
      </c>
      <c r="AL149" s="143" t="str">
        <f t="shared" si="58"/>
        <v/>
      </c>
      <c r="AM149" s="143" t="str">
        <f t="shared" si="59"/>
        <v/>
      </c>
      <c r="AN149" s="143" t="str">
        <f t="shared" si="60"/>
        <v/>
      </c>
      <c r="AP149" s="9">
        <f t="shared" si="48"/>
        <v>1.1730339667713285E-6</v>
      </c>
      <c r="AQ149" s="9">
        <f t="shared" si="49"/>
        <v>0.99781852599690002</v>
      </c>
    </row>
    <row r="150" spans="2:43" x14ac:dyDescent="0.35">
      <c r="B150" s="3" t="s">
        <v>243</v>
      </c>
      <c r="D150" s="141">
        <v>63586</v>
      </c>
      <c r="E150" s="141">
        <v>54992</v>
      </c>
      <c r="F150" s="141">
        <v>153838</v>
      </c>
      <c r="G150" s="141">
        <v>53740</v>
      </c>
      <c r="H150" s="141">
        <f>+SUM(D150:G150)</f>
        <v>326156</v>
      </c>
      <c r="J150" s="141">
        <v>8424</v>
      </c>
      <c r="K150" s="141">
        <v>5957</v>
      </c>
      <c r="L150" s="141">
        <v>17796</v>
      </c>
      <c r="M150" s="141">
        <v>3964</v>
      </c>
      <c r="N150" s="141">
        <f>+SUM(J150:M150)</f>
        <v>36141</v>
      </c>
      <c r="P150" s="2">
        <f>+IFERROR(J150/D150,"")</f>
        <v>0.13248199289151699</v>
      </c>
      <c r="Q150" s="2">
        <f>+IFERROR(K150/E150,"")</f>
        <v>0.10832484725050917</v>
      </c>
      <c r="R150" s="2">
        <f>+IFERROR(L150/F150,"")</f>
        <v>0.11568013104694549</v>
      </c>
      <c r="S150" s="2">
        <f>+IFERROR(M150/G150,"")</f>
        <v>7.37625604763677E-2</v>
      </c>
      <c r="T150" s="2" t="str">
        <f>+IFERROR(#REF!/#REF!,"")</f>
        <v/>
      </c>
      <c r="U150" s="2" t="str">
        <f>+IFERROR(#REF!/#REF!,"")</f>
        <v/>
      </c>
      <c r="V150" s="2" t="str">
        <f>+IFERROR(#REF!/#REF!,"")</f>
        <v/>
      </c>
      <c r="W150" s="2" t="str">
        <f>+IFERROR(#REF!/#REF!,"")</f>
        <v/>
      </c>
      <c r="X150" s="2" t="str">
        <f>+IFERROR(#REF!/#REF!,"")</f>
        <v/>
      </c>
      <c r="Y150" s="2" t="str">
        <f>+IFERROR(#REF!/#REF!,"")</f>
        <v/>
      </c>
      <c r="Z150" s="2" t="str">
        <f>+IFERROR(#REF!/#REF!,"")</f>
        <v/>
      </c>
      <c r="AA150" s="2" t="str">
        <f>+IFERROR(#REF!/#REF!,"")</f>
        <v/>
      </c>
      <c r="AB150" s="2">
        <f>+IFERROR(N150/H150,"")</f>
        <v>0.11080893805418267</v>
      </c>
      <c r="AD150" s="2" t="str">
        <f t="shared" si="50"/>
        <v/>
      </c>
      <c r="AE150" s="2" t="str">
        <f t="shared" si="51"/>
        <v/>
      </c>
      <c r="AF150" s="143">
        <f t="shared" si="52"/>
        <v>-4.1917570570577795E-2</v>
      </c>
      <c r="AG150" s="143" t="str">
        <f t="shared" si="53"/>
        <v/>
      </c>
      <c r="AH150" s="143" t="str">
        <f t="shared" si="54"/>
        <v/>
      </c>
      <c r="AI150" s="143" t="str">
        <f t="shared" si="55"/>
        <v/>
      </c>
      <c r="AJ150" s="143" t="str">
        <f t="shared" si="56"/>
        <v/>
      </c>
      <c r="AK150" s="143" t="str">
        <f t="shared" si="57"/>
        <v/>
      </c>
      <c r="AL150" s="143" t="str">
        <f t="shared" si="58"/>
        <v/>
      </c>
      <c r="AM150" s="143" t="str">
        <f t="shared" si="59"/>
        <v/>
      </c>
      <c r="AN150" s="143" t="str">
        <f t="shared" si="60"/>
        <v/>
      </c>
      <c r="AP150" s="9">
        <f t="shared" si="48"/>
        <v>2.2126628702026401E-5</v>
      </c>
      <c r="AQ150" s="9">
        <f t="shared" si="49"/>
        <v>0.99784065262560206</v>
      </c>
    </row>
    <row r="151" spans="2:43" x14ac:dyDescent="0.35">
      <c r="B151" s="3" t="s">
        <v>240</v>
      </c>
      <c r="D151" s="141">
        <v>32522</v>
      </c>
      <c r="E151" s="141">
        <v>22138</v>
      </c>
      <c r="F151" s="141">
        <v>14375</v>
      </c>
      <c r="G151" s="141">
        <v>16020</v>
      </c>
      <c r="H151" s="141">
        <f>+SUM(D151:G151)</f>
        <v>85055</v>
      </c>
      <c r="J151" s="141">
        <v>3287</v>
      </c>
      <c r="K151" s="141">
        <v>3451</v>
      </c>
      <c r="L151" s="141">
        <v>2154</v>
      </c>
      <c r="M151" s="141">
        <v>3445</v>
      </c>
      <c r="N151" s="141">
        <f>+SUM(J151:M151)</f>
        <v>12337</v>
      </c>
      <c r="P151" s="2">
        <f>+IFERROR(J151/D151,"")</f>
        <v>0.10107004489268803</v>
      </c>
      <c r="Q151" s="2">
        <f>+IFERROR(K151/E151,"")</f>
        <v>0.15588580720932332</v>
      </c>
      <c r="R151" s="2">
        <f>+IFERROR(L151/F151,"")</f>
        <v>0.14984347826086958</v>
      </c>
      <c r="S151" s="2">
        <f>+IFERROR(M151/G151,"")</f>
        <v>0.21504369538077403</v>
      </c>
      <c r="T151" s="2" t="str">
        <f>+IFERROR(#REF!/#REF!,"")</f>
        <v/>
      </c>
      <c r="U151" s="2" t="str">
        <f>+IFERROR(#REF!/#REF!,"")</f>
        <v/>
      </c>
      <c r="V151" s="2" t="str">
        <f>+IFERROR(#REF!/#REF!,"")</f>
        <v/>
      </c>
      <c r="W151" s="2" t="str">
        <f>+IFERROR(#REF!/#REF!,"")</f>
        <v/>
      </c>
      <c r="X151" s="2" t="str">
        <f>+IFERROR(#REF!/#REF!,"")</f>
        <v/>
      </c>
      <c r="Y151" s="2" t="str">
        <f>+IFERROR(#REF!/#REF!,"")</f>
        <v/>
      </c>
      <c r="Z151" s="2" t="str">
        <f>+IFERROR(#REF!/#REF!,"")</f>
        <v/>
      </c>
      <c r="AA151" s="2" t="str">
        <f>+IFERROR(#REF!/#REF!,"")</f>
        <v/>
      </c>
      <c r="AB151" s="2">
        <f>+IFERROR(N151/H151,"")</f>
        <v>0.14504732232085121</v>
      </c>
      <c r="AD151" s="2" t="str">
        <f t="shared" si="50"/>
        <v/>
      </c>
      <c r="AE151" s="2" t="str">
        <f t="shared" si="51"/>
        <v/>
      </c>
      <c r="AF151" s="143">
        <f t="shared" si="52"/>
        <v>6.5200217119904452E-2</v>
      </c>
      <c r="AG151" s="143" t="str">
        <f t="shared" si="53"/>
        <v/>
      </c>
      <c r="AH151" s="143" t="str">
        <f t="shared" si="54"/>
        <v/>
      </c>
      <c r="AI151" s="143" t="str">
        <f t="shared" si="55"/>
        <v/>
      </c>
      <c r="AJ151" s="143" t="str">
        <f t="shared" si="56"/>
        <v/>
      </c>
      <c r="AK151" s="143" t="str">
        <f t="shared" si="57"/>
        <v/>
      </c>
      <c r="AL151" s="143" t="str">
        <f t="shared" si="58"/>
        <v/>
      </c>
      <c r="AM151" s="143" t="str">
        <f t="shared" si="59"/>
        <v/>
      </c>
      <c r="AN151" s="143" t="str">
        <f t="shared" si="60"/>
        <v/>
      </c>
      <c r="AP151" s="9">
        <f t="shared" si="48"/>
        <v>7.5530897954373063E-6</v>
      </c>
      <c r="AQ151" s="9">
        <f t="shared" si="49"/>
        <v>0.99784820571539745</v>
      </c>
    </row>
    <row r="152" spans="2:43" x14ac:dyDescent="0.35">
      <c r="B152" s="3" t="s">
        <v>245</v>
      </c>
      <c r="D152" s="141">
        <v>165432</v>
      </c>
      <c r="E152" s="141">
        <v>110337</v>
      </c>
      <c r="F152" s="141">
        <v>105632</v>
      </c>
      <c r="G152" s="141">
        <v>87471</v>
      </c>
      <c r="H152" s="141">
        <f>+SUM(D152:G152)</f>
        <v>468872</v>
      </c>
      <c r="J152" s="141">
        <v>16766</v>
      </c>
      <c r="K152" s="141">
        <v>13324</v>
      </c>
      <c r="L152" s="141">
        <v>11979</v>
      </c>
      <c r="M152" s="141">
        <v>9989</v>
      </c>
      <c r="N152" s="141">
        <f>+SUM(J152:M152)</f>
        <v>52058</v>
      </c>
      <c r="P152" s="2">
        <f>+IFERROR(J152/D152,"")</f>
        <v>0.10134677692344891</v>
      </c>
      <c r="Q152" s="2">
        <f>+IFERROR(K152/E152,"")</f>
        <v>0.12075731622211951</v>
      </c>
      <c r="R152" s="2">
        <f>+IFERROR(L152/F152,"")</f>
        <v>0.11340313541351106</v>
      </c>
      <c r="S152" s="2">
        <f>+IFERROR(M152/G152,"")</f>
        <v>0.1141978484297653</v>
      </c>
      <c r="T152" s="2" t="str">
        <f>+IFERROR(#REF!/#REF!,"")</f>
        <v/>
      </c>
      <c r="U152" s="2" t="str">
        <f>+IFERROR(#REF!/#REF!,"")</f>
        <v/>
      </c>
      <c r="V152" s="2" t="str">
        <f>+IFERROR(#REF!/#REF!,"")</f>
        <v/>
      </c>
      <c r="W152" s="2" t="str">
        <f>+IFERROR(#REF!/#REF!,"")</f>
        <v/>
      </c>
      <c r="X152" s="2" t="str">
        <f>+IFERROR(#REF!/#REF!,"")</f>
        <v/>
      </c>
      <c r="Y152" s="2" t="str">
        <f>+IFERROR(#REF!/#REF!,"")</f>
        <v/>
      </c>
      <c r="Z152" s="2" t="str">
        <f>+IFERROR(#REF!/#REF!,"")</f>
        <v/>
      </c>
      <c r="AA152" s="2" t="str">
        <f>+IFERROR(#REF!/#REF!,"")</f>
        <v/>
      </c>
      <c r="AB152" s="2">
        <f>+IFERROR(N152/H152,"")</f>
        <v>0.11102816973502364</v>
      </c>
      <c r="AD152" s="2" t="str">
        <f t="shared" si="50"/>
        <v/>
      </c>
      <c r="AE152" s="2" t="str">
        <f t="shared" si="51"/>
        <v/>
      </c>
      <c r="AF152" s="143">
        <f t="shared" si="52"/>
        <v>7.9471301625423652E-4</v>
      </c>
      <c r="AG152" s="143" t="str">
        <f t="shared" si="53"/>
        <v/>
      </c>
      <c r="AH152" s="143" t="str">
        <f t="shared" si="54"/>
        <v/>
      </c>
      <c r="AI152" s="143" t="str">
        <f t="shared" si="55"/>
        <v/>
      </c>
      <c r="AJ152" s="143" t="str">
        <f t="shared" si="56"/>
        <v/>
      </c>
      <c r="AK152" s="143" t="str">
        <f t="shared" si="57"/>
        <v/>
      </c>
      <c r="AL152" s="143" t="str">
        <f t="shared" si="58"/>
        <v/>
      </c>
      <c r="AM152" s="143" t="str">
        <f t="shared" si="59"/>
        <v/>
      </c>
      <c r="AN152" s="143" t="str">
        <f t="shared" si="60"/>
        <v/>
      </c>
      <c r="AP152" s="9">
        <f t="shared" si="48"/>
        <v>3.1871504301765041E-5</v>
      </c>
      <c r="AQ152" s="9">
        <f t="shared" si="49"/>
        <v>0.99788007721969918</v>
      </c>
    </row>
    <row r="153" spans="2:43" x14ac:dyDescent="0.35">
      <c r="B153" s="3" t="s">
        <v>255</v>
      </c>
      <c r="D153" s="141">
        <v>16797</v>
      </c>
      <c r="E153" s="141">
        <v>17402</v>
      </c>
      <c r="F153" s="141">
        <v>11122</v>
      </c>
      <c r="G153" s="141">
        <v>23751</v>
      </c>
      <c r="H153" s="141">
        <f>+SUM(D153:G153)</f>
        <v>69072</v>
      </c>
      <c r="J153" s="141">
        <v>1291</v>
      </c>
      <c r="K153" s="141">
        <v>1180</v>
      </c>
      <c r="L153" s="141">
        <v>1015</v>
      </c>
      <c r="M153" s="141">
        <v>1295</v>
      </c>
      <c r="N153" s="141">
        <f>+SUM(J153:M153)</f>
        <v>4781</v>
      </c>
      <c r="P153" s="2">
        <f>+IFERROR(J153/D153,"")</f>
        <v>7.685896291004346E-2</v>
      </c>
      <c r="Q153" s="2">
        <f>+IFERROR(K153/E153,"")</f>
        <v>6.7808297896793476E-2</v>
      </c>
      <c r="R153" s="2">
        <f>+IFERROR(L153/F153,"")</f>
        <v>9.1260564646646281E-2</v>
      </c>
      <c r="S153" s="2">
        <f>+IFERROR(M153/G153,"")</f>
        <v>5.4524020041261417E-2</v>
      </c>
      <c r="T153" s="2" t="str">
        <f>+IFERROR(#REF!/#REF!,"")</f>
        <v/>
      </c>
      <c r="U153" s="2" t="str">
        <f>+IFERROR(#REF!/#REF!,"")</f>
        <v/>
      </c>
      <c r="V153" s="2" t="str">
        <f>+IFERROR(#REF!/#REF!,"")</f>
        <v/>
      </c>
      <c r="W153" s="2" t="str">
        <f>+IFERROR(#REF!/#REF!,"")</f>
        <v/>
      </c>
      <c r="X153" s="2" t="str">
        <f>+IFERROR(#REF!/#REF!,"")</f>
        <v/>
      </c>
      <c r="Y153" s="2" t="str">
        <f>+IFERROR(#REF!/#REF!,"")</f>
        <v/>
      </c>
      <c r="Z153" s="2" t="str">
        <f>+IFERROR(#REF!/#REF!,"")</f>
        <v/>
      </c>
      <c r="AA153" s="2" t="str">
        <f>+IFERROR(#REF!/#REF!,"")</f>
        <v/>
      </c>
      <c r="AB153" s="2">
        <f>+IFERROR(N153/H153,"")</f>
        <v>6.9217627982395183E-2</v>
      </c>
      <c r="AD153" s="2" t="str">
        <f t="shared" si="50"/>
        <v/>
      </c>
      <c r="AE153" s="2" t="str">
        <f t="shared" si="51"/>
        <v/>
      </c>
      <c r="AF153" s="143">
        <f t="shared" si="52"/>
        <v>-3.6736544605384863E-2</v>
      </c>
      <c r="AG153" s="143" t="str">
        <f t="shared" si="53"/>
        <v/>
      </c>
      <c r="AH153" s="143" t="str">
        <f t="shared" si="54"/>
        <v/>
      </c>
      <c r="AI153" s="143" t="str">
        <f t="shared" si="55"/>
        <v/>
      </c>
      <c r="AJ153" s="143" t="str">
        <f t="shared" si="56"/>
        <v/>
      </c>
      <c r="AK153" s="143" t="str">
        <f t="shared" si="57"/>
        <v/>
      </c>
      <c r="AL153" s="143" t="str">
        <f t="shared" si="58"/>
        <v/>
      </c>
      <c r="AM153" s="143" t="str">
        <f t="shared" si="59"/>
        <v/>
      </c>
      <c r="AN153" s="143" t="str">
        <f t="shared" si="60"/>
        <v/>
      </c>
      <c r="AP153" s="9">
        <f t="shared" si="48"/>
        <v>2.9270748408839883E-6</v>
      </c>
      <c r="AQ153" s="9">
        <f t="shared" si="49"/>
        <v>0.99788300429454002</v>
      </c>
    </row>
    <row r="154" spans="2:43" x14ac:dyDescent="0.35">
      <c r="B154" s="3" t="s">
        <v>239</v>
      </c>
      <c r="D154" s="141">
        <v>97079</v>
      </c>
      <c r="E154" s="141">
        <v>144024</v>
      </c>
      <c r="F154" s="141">
        <v>107362</v>
      </c>
      <c r="G154" s="141">
        <v>143732</v>
      </c>
      <c r="H154" s="141">
        <f>+SUM(D154:G154)</f>
        <v>492197</v>
      </c>
      <c r="J154" s="141">
        <v>9068</v>
      </c>
      <c r="K154" s="141">
        <v>13982</v>
      </c>
      <c r="L154" s="141">
        <v>8699</v>
      </c>
      <c r="M154" s="141">
        <v>15170</v>
      </c>
      <c r="N154" s="141">
        <f>+SUM(J154:M154)</f>
        <v>46919</v>
      </c>
      <c r="P154" s="2">
        <f>+IFERROR(J154/D154,"")</f>
        <v>9.3408461150197256E-2</v>
      </c>
      <c r="Q154" s="2">
        <f>+IFERROR(K154/E154,"")</f>
        <v>9.7081042048547464E-2</v>
      </c>
      <c r="R154" s="2">
        <f>+IFERROR(L154/F154,"")</f>
        <v>8.1024943648590753E-2</v>
      </c>
      <c r="S154" s="2">
        <f>+IFERROR(M154/G154,"")</f>
        <v>0.10554365068321599</v>
      </c>
      <c r="T154" s="2" t="str">
        <f>+IFERROR(#REF!/#REF!,"")</f>
        <v/>
      </c>
      <c r="U154" s="2" t="str">
        <f>+IFERROR(#REF!/#REF!,"")</f>
        <v/>
      </c>
      <c r="V154" s="2" t="str">
        <f>+IFERROR(#REF!/#REF!,"")</f>
        <v/>
      </c>
      <c r="W154" s="2" t="str">
        <f>+IFERROR(#REF!/#REF!,"")</f>
        <v/>
      </c>
      <c r="X154" s="2" t="str">
        <f>+IFERROR(#REF!/#REF!,"")</f>
        <v/>
      </c>
      <c r="Y154" s="2" t="str">
        <f>+IFERROR(#REF!/#REF!,"")</f>
        <v/>
      </c>
      <c r="Z154" s="2" t="str">
        <f>+IFERROR(#REF!/#REF!,"")</f>
        <v/>
      </c>
      <c r="AA154" s="2" t="str">
        <f>+IFERROR(#REF!/#REF!,"")</f>
        <v/>
      </c>
      <c r="AB154" s="2">
        <f>+IFERROR(N154/H154,"")</f>
        <v>9.5325652127095456E-2</v>
      </c>
      <c r="AD154" s="2" t="str">
        <f t="shared" si="50"/>
        <v/>
      </c>
      <c r="AE154" s="2" t="str">
        <f t="shared" si="51"/>
        <v/>
      </c>
      <c r="AF154" s="143">
        <f t="shared" si="52"/>
        <v>2.4518707034625234E-2</v>
      </c>
      <c r="AG154" s="143" t="str">
        <f t="shared" si="53"/>
        <v/>
      </c>
      <c r="AH154" s="143" t="str">
        <f t="shared" si="54"/>
        <v/>
      </c>
      <c r="AI154" s="143" t="str">
        <f t="shared" si="55"/>
        <v/>
      </c>
      <c r="AJ154" s="143" t="str">
        <f t="shared" si="56"/>
        <v/>
      </c>
      <c r="AK154" s="143" t="str">
        <f t="shared" si="57"/>
        <v/>
      </c>
      <c r="AL154" s="143" t="str">
        <f t="shared" si="58"/>
        <v/>
      </c>
      <c r="AM154" s="143" t="str">
        <f t="shared" si="59"/>
        <v/>
      </c>
      <c r="AN154" s="143" t="str">
        <f t="shared" si="60"/>
        <v/>
      </c>
      <c r="AP154" s="9">
        <f t="shared" si="48"/>
        <v>2.8725250880450919E-5</v>
      </c>
      <c r="AQ154" s="9">
        <f t="shared" si="49"/>
        <v>0.99791172954542051</v>
      </c>
    </row>
    <row r="155" spans="2:43" x14ac:dyDescent="0.35">
      <c r="B155" s="3" t="s">
        <v>260</v>
      </c>
      <c r="D155" s="141">
        <v>657159</v>
      </c>
      <c r="E155" s="141">
        <v>635487</v>
      </c>
      <c r="F155" s="141">
        <v>89843</v>
      </c>
      <c r="G155" s="141">
        <v>316694</v>
      </c>
      <c r="H155" s="141">
        <f>+SUM(D155:G155)</f>
        <v>1699183</v>
      </c>
      <c r="J155" s="141">
        <v>206454</v>
      </c>
      <c r="K155" s="141">
        <v>97685</v>
      </c>
      <c r="L155" s="141">
        <v>22056</v>
      </c>
      <c r="M155" s="141">
        <v>56904</v>
      </c>
      <c r="N155" s="141">
        <f>+SUM(J155:M155)</f>
        <v>383099</v>
      </c>
      <c r="P155" s="2">
        <f>+IFERROR(J155/D155,"")</f>
        <v>0.31416141299137651</v>
      </c>
      <c r="Q155" s="2">
        <f>+IFERROR(K155/E155,"")</f>
        <v>0.15371675581089778</v>
      </c>
      <c r="R155" s="2">
        <f>+IFERROR(L155/F155,"")</f>
        <v>0.24549491891410571</v>
      </c>
      <c r="S155" s="2">
        <f>+IFERROR(M155/G155,"")</f>
        <v>0.1796813327691715</v>
      </c>
      <c r="T155" s="2" t="str">
        <f>+IFERROR(#REF!/#REF!,"")</f>
        <v/>
      </c>
      <c r="U155" s="2" t="str">
        <f>+IFERROR(#REF!/#REF!,"")</f>
        <v/>
      </c>
      <c r="V155" s="2" t="str">
        <f>+IFERROR(#REF!/#REF!,"")</f>
        <v/>
      </c>
      <c r="W155" s="2" t="str">
        <f>+IFERROR(#REF!/#REF!,"")</f>
        <v/>
      </c>
      <c r="X155" s="2" t="str">
        <f>+IFERROR(#REF!/#REF!,"")</f>
        <v/>
      </c>
      <c r="Y155" s="2" t="str">
        <f>+IFERROR(#REF!/#REF!,"")</f>
        <v/>
      </c>
      <c r="Z155" s="2" t="str">
        <f>+IFERROR(#REF!/#REF!,"")</f>
        <v/>
      </c>
      <c r="AA155" s="2" t="str">
        <f>+IFERROR(#REF!/#REF!,"")</f>
        <v/>
      </c>
      <c r="AB155" s="2">
        <f>+IFERROR(N155/H155,"")</f>
        <v>0.22546070670433968</v>
      </c>
      <c r="AD155" s="2" t="str">
        <f t="shared" si="50"/>
        <v/>
      </c>
      <c r="AE155" s="2" t="str">
        <f t="shared" si="51"/>
        <v/>
      </c>
      <c r="AF155" s="143">
        <f t="shared" si="52"/>
        <v>-6.5813586144934211E-2</v>
      </c>
      <c r="AG155" s="143" t="str">
        <f t="shared" si="53"/>
        <v/>
      </c>
      <c r="AH155" s="143" t="str">
        <f t="shared" si="54"/>
        <v/>
      </c>
      <c r="AI155" s="143" t="str">
        <f t="shared" si="55"/>
        <v/>
      </c>
      <c r="AJ155" s="143" t="str">
        <f t="shared" si="56"/>
        <v/>
      </c>
      <c r="AK155" s="143" t="str">
        <f t="shared" si="57"/>
        <v/>
      </c>
      <c r="AL155" s="143" t="str">
        <f t="shared" si="58"/>
        <v/>
      </c>
      <c r="AM155" s="143" t="str">
        <f t="shared" si="59"/>
        <v/>
      </c>
      <c r="AN155" s="143" t="str">
        <f t="shared" si="60"/>
        <v/>
      </c>
      <c r="AP155" s="9">
        <f t="shared" si="48"/>
        <v>2.3454495805643485E-4</v>
      </c>
      <c r="AQ155" s="9">
        <f t="shared" si="49"/>
        <v>0.99814627450347693</v>
      </c>
    </row>
    <row r="156" spans="2:43" x14ac:dyDescent="0.35">
      <c r="B156" s="3" t="s">
        <v>257</v>
      </c>
      <c r="D156" s="141">
        <v>20237</v>
      </c>
      <c r="E156" s="141">
        <v>23023</v>
      </c>
      <c r="F156" s="141">
        <v>6761</v>
      </c>
      <c r="G156" s="141">
        <v>1761</v>
      </c>
      <c r="H156" s="141">
        <f>+SUM(D156:G156)</f>
        <v>51782</v>
      </c>
      <c r="J156" s="141">
        <v>953</v>
      </c>
      <c r="K156" s="141">
        <v>673</v>
      </c>
      <c r="L156" s="141">
        <v>741</v>
      </c>
      <c r="M156" s="141">
        <v>5</v>
      </c>
      <c r="N156" s="141">
        <f>+SUM(J156:M156)</f>
        <v>2372</v>
      </c>
      <c r="P156" s="2">
        <f>+IFERROR(J156/D156,"")</f>
        <v>4.7091960270791128E-2</v>
      </c>
      <c r="Q156" s="2">
        <f>+IFERROR(K156/E156,"")</f>
        <v>2.92316379272901E-2</v>
      </c>
      <c r="R156" s="2">
        <f>+IFERROR(L156/F156,"")</f>
        <v>0.10959917172015975</v>
      </c>
      <c r="S156" s="2">
        <f>+IFERROR(M156/G156,"")</f>
        <v>2.8392958546280523E-3</v>
      </c>
      <c r="T156" s="2" t="str">
        <f>+IFERROR(#REF!/#REF!,"")</f>
        <v/>
      </c>
      <c r="U156" s="2" t="str">
        <f>+IFERROR(#REF!/#REF!,"")</f>
        <v/>
      </c>
      <c r="V156" s="2" t="str">
        <f>+IFERROR(#REF!/#REF!,"")</f>
        <v/>
      </c>
      <c r="W156" s="2" t="str">
        <f>+IFERROR(#REF!/#REF!,"")</f>
        <v/>
      </c>
      <c r="X156" s="2" t="str">
        <f>+IFERROR(#REF!/#REF!,"")</f>
        <v/>
      </c>
      <c r="Y156" s="2" t="str">
        <f>+IFERROR(#REF!/#REF!,"")</f>
        <v/>
      </c>
      <c r="Z156" s="2" t="str">
        <f>+IFERROR(#REF!/#REF!,"")</f>
        <v/>
      </c>
      <c r="AA156" s="2" t="str">
        <f>+IFERROR(#REF!/#REF!,"")</f>
        <v/>
      </c>
      <c r="AB156" s="2">
        <f>+IFERROR(N156/H156,"")</f>
        <v>4.5807423428990766E-2</v>
      </c>
      <c r="AD156" s="2" t="str">
        <f t="shared" si="50"/>
        <v/>
      </c>
      <c r="AE156" s="2" t="str">
        <f t="shared" si="51"/>
        <v/>
      </c>
      <c r="AF156" s="143">
        <f t="shared" si="52"/>
        <v>-0.10675987586553169</v>
      </c>
      <c r="AG156" s="143" t="str">
        <f t="shared" si="53"/>
        <v/>
      </c>
      <c r="AH156" s="143" t="str">
        <f t="shared" si="54"/>
        <v/>
      </c>
      <c r="AI156" s="143" t="str">
        <f t="shared" si="55"/>
        <v/>
      </c>
      <c r="AJ156" s="143" t="str">
        <f t="shared" si="56"/>
        <v/>
      </c>
      <c r="AK156" s="143" t="str">
        <f t="shared" si="57"/>
        <v/>
      </c>
      <c r="AL156" s="143" t="str">
        <f t="shared" si="58"/>
        <v/>
      </c>
      <c r="AM156" s="143" t="str">
        <f t="shared" si="59"/>
        <v/>
      </c>
      <c r="AN156" s="143" t="str">
        <f t="shared" si="60"/>
        <v/>
      </c>
      <c r="AP156" s="9">
        <f t="shared" si="48"/>
        <v>1.4522111530175318E-6</v>
      </c>
      <c r="AQ156" s="9">
        <f t="shared" si="49"/>
        <v>0.99814772671462992</v>
      </c>
    </row>
    <row r="157" spans="2:43" x14ac:dyDescent="0.35">
      <c r="B157" s="3" t="s">
        <v>247</v>
      </c>
      <c r="D157" s="141">
        <v>88050</v>
      </c>
      <c r="E157" s="141">
        <v>51960</v>
      </c>
      <c r="F157" s="141">
        <v>20728</v>
      </c>
      <c r="G157" s="141">
        <v>19346</v>
      </c>
      <c r="H157" s="141">
        <f>+SUM(D157:G157)</f>
        <v>180084</v>
      </c>
      <c r="J157" s="141">
        <v>7908</v>
      </c>
      <c r="K157" s="141">
        <v>4598</v>
      </c>
      <c r="L157" s="141">
        <v>6599</v>
      </c>
      <c r="M157" s="141">
        <v>3690</v>
      </c>
      <c r="N157" s="141">
        <f>+SUM(J157:M157)</f>
        <v>22795</v>
      </c>
      <c r="P157" s="2">
        <f>+IFERROR(J157/D157,"")</f>
        <v>8.9812606473594542E-2</v>
      </c>
      <c r="Q157" s="2">
        <f>+IFERROR(K157/E157,"")</f>
        <v>8.8491147036181675E-2</v>
      </c>
      <c r="R157" s="2">
        <f>+IFERROR(L157/F157,"")</f>
        <v>0.31836163643380933</v>
      </c>
      <c r="S157" s="2">
        <f>+IFERROR(M157/G157,"")</f>
        <v>0.19073710327716323</v>
      </c>
      <c r="T157" s="2" t="str">
        <f>+IFERROR(#REF!/#REF!,"")</f>
        <v/>
      </c>
      <c r="U157" s="2" t="str">
        <f>+IFERROR(#REF!/#REF!,"")</f>
        <v/>
      </c>
      <c r="V157" s="2" t="str">
        <f>+IFERROR(#REF!/#REF!,"")</f>
        <v/>
      </c>
      <c r="W157" s="2" t="str">
        <f>+IFERROR(#REF!/#REF!,"")</f>
        <v/>
      </c>
      <c r="X157" s="2" t="str">
        <f>+IFERROR(#REF!/#REF!,"")</f>
        <v/>
      </c>
      <c r="Y157" s="2" t="str">
        <f>+IFERROR(#REF!/#REF!,"")</f>
        <v/>
      </c>
      <c r="Z157" s="2" t="str">
        <f>+IFERROR(#REF!/#REF!,"")</f>
        <v/>
      </c>
      <c r="AA157" s="2" t="str">
        <f>+IFERROR(#REF!/#REF!,"")</f>
        <v/>
      </c>
      <c r="AB157" s="2">
        <f>+IFERROR(N157/H157,"")</f>
        <v>0.12657981830701229</v>
      </c>
      <c r="AD157" s="2" t="str">
        <f t="shared" si="50"/>
        <v/>
      </c>
      <c r="AE157" s="2" t="str">
        <f t="shared" si="51"/>
        <v/>
      </c>
      <c r="AF157" s="143">
        <f t="shared" si="52"/>
        <v>-0.1276245331566461</v>
      </c>
      <c r="AG157" s="143" t="str">
        <f t="shared" si="53"/>
        <v/>
      </c>
      <c r="AH157" s="143" t="str">
        <f t="shared" si="54"/>
        <v/>
      </c>
      <c r="AI157" s="143" t="str">
        <f t="shared" si="55"/>
        <v/>
      </c>
      <c r="AJ157" s="143" t="str">
        <f t="shared" si="56"/>
        <v/>
      </c>
      <c r="AK157" s="143" t="str">
        <f t="shared" si="57"/>
        <v/>
      </c>
      <c r="AL157" s="143" t="str">
        <f t="shared" si="58"/>
        <v/>
      </c>
      <c r="AM157" s="143" t="str">
        <f t="shared" si="59"/>
        <v/>
      </c>
      <c r="AN157" s="143" t="str">
        <f t="shared" si="60"/>
        <v/>
      </c>
      <c r="AP157" s="9">
        <f t="shared" si="48"/>
        <v>1.395579815895221E-5</v>
      </c>
      <c r="AQ157" s="9">
        <f t="shared" si="49"/>
        <v>0.99816168251278892</v>
      </c>
    </row>
    <row r="158" spans="2:43" x14ac:dyDescent="0.35">
      <c r="B158" s="3" t="s">
        <v>235</v>
      </c>
      <c r="D158" s="141">
        <v>27028</v>
      </c>
      <c r="E158" s="141">
        <v>21018</v>
      </c>
      <c r="F158" s="141">
        <v>11248</v>
      </c>
      <c r="G158" s="141">
        <v>34458</v>
      </c>
      <c r="H158" s="141">
        <f>+SUM(D158:G158)</f>
        <v>93752</v>
      </c>
      <c r="J158" s="141">
        <v>1752</v>
      </c>
      <c r="K158" s="141">
        <v>3417</v>
      </c>
      <c r="L158" s="141">
        <v>1550</v>
      </c>
      <c r="M158" s="141">
        <v>2452</v>
      </c>
      <c r="N158" s="141">
        <f>+SUM(J158:M158)</f>
        <v>9171</v>
      </c>
      <c r="P158" s="2">
        <f>+IFERROR(J158/D158,"")</f>
        <v>6.4821666420008875E-2</v>
      </c>
      <c r="Q158" s="2">
        <f>+IFERROR(K158/E158,"")</f>
        <v>0.16257493576934057</v>
      </c>
      <c r="R158" s="2">
        <f>+IFERROR(L158/F158,"")</f>
        <v>0.13780227596017069</v>
      </c>
      <c r="S158" s="2">
        <f>+IFERROR(M158/G158,"")</f>
        <v>7.1159092228219867E-2</v>
      </c>
      <c r="T158" s="2" t="str">
        <f>+IFERROR(#REF!/#REF!,"")</f>
        <v/>
      </c>
      <c r="U158" s="2" t="str">
        <f>+IFERROR(#REF!/#REF!,"")</f>
        <v/>
      </c>
      <c r="V158" s="2" t="str">
        <f>+IFERROR(#REF!/#REF!,"")</f>
        <v/>
      </c>
      <c r="W158" s="2" t="str">
        <f>+IFERROR(#REF!/#REF!,"")</f>
        <v/>
      </c>
      <c r="X158" s="2" t="str">
        <f>+IFERROR(#REF!/#REF!,"")</f>
        <v/>
      </c>
      <c r="Y158" s="2" t="str">
        <f>+IFERROR(#REF!/#REF!,"")</f>
        <v/>
      </c>
      <c r="Z158" s="2" t="str">
        <f>+IFERROR(#REF!/#REF!,"")</f>
        <v/>
      </c>
      <c r="AA158" s="2" t="str">
        <f>+IFERROR(#REF!/#REF!,"")</f>
        <v/>
      </c>
      <c r="AB158" s="2">
        <f>+IFERROR(N158/H158,"")</f>
        <v>9.7821913132519839E-2</v>
      </c>
      <c r="AD158" s="2" t="str">
        <f t="shared" si="50"/>
        <v/>
      </c>
      <c r="AE158" s="2" t="str">
        <f t="shared" si="51"/>
        <v/>
      </c>
      <c r="AF158" s="143">
        <f t="shared" si="52"/>
        <v>-6.6643183731950828E-2</v>
      </c>
      <c r="AG158" s="143" t="str">
        <f t="shared" si="53"/>
        <v/>
      </c>
      <c r="AH158" s="143" t="str">
        <f t="shared" si="54"/>
        <v/>
      </c>
      <c r="AI158" s="143" t="str">
        <f t="shared" si="55"/>
        <v/>
      </c>
      <c r="AJ158" s="143" t="str">
        <f t="shared" si="56"/>
        <v/>
      </c>
      <c r="AK158" s="143" t="str">
        <f t="shared" si="57"/>
        <v/>
      </c>
      <c r="AL158" s="143" t="str">
        <f t="shared" si="58"/>
        <v/>
      </c>
      <c r="AM158" s="143" t="str">
        <f t="shared" si="59"/>
        <v/>
      </c>
      <c r="AN158" s="143" t="str">
        <f t="shared" si="60"/>
        <v/>
      </c>
      <c r="AP158" s="9">
        <f t="shared" si="48"/>
        <v>5.6147674891752885E-6</v>
      </c>
      <c r="AQ158" s="9">
        <f t="shared" si="49"/>
        <v>0.99816729728027809</v>
      </c>
    </row>
    <row r="159" spans="2:43" x14ac:dyDescent="0.35">
      <c r="B159" s="3" t="s">
        <v>252</v>
      </c>
      <c r="D159" s="141">
        <v>279525</v>
      </c>
      <c r="E159" s="141">
        <v>275814</v>
      </c>
      <c r="F159" s="141">
        <v>248409</v>
      </c>
      <c r="G159" s="141">
        <v>60457</v>
      </c>
      <c r="H159" s="141">
        <f>+SUM(D159:G159)</f>
        <v>864205</v>
      </c>
      <c r="J159" s="141">
        <v>21093</v>
      </c>
      <c r="K159" s="141">
        <v>32674</v>
      </c>
      <c r="L159" s="141">
        <v>52871</v>
      </c>
      <c r="M159" s="141">
        <v>2579</v>
      </c>
      <c r="N159" s="141">
        <f>+SUM(J159:M159)</f>
        <v>109217</v>
      </c>
      <c r="P159" s="2">
        <f>+IFERROR(J159/D159,"")</f>
        <v>7.5460155621143013E-2</v>
      </c>
      <c r="Q159" s="2">
        <f>+IFERROR(K159/E159,"")</f>
        <v>0.11846389233323906</v>
      </c>
      <c r="R159" s="2">
        <f>+IFERROR(L159/F159,"")</f>
        <v>0.21283850424098966</v>
      </c>
      <c r="S159" s="2">
        <f>+IFERROR(M159/G159,"")</f>
        <v>4.2658418380005621E-2</v>
      </c>
      <c r="T159" s="2" t="str">
        <f>+IFERROR(#REF!/#REF!,"")</f>
        <v/>
      </c>
      <c r="U159" s="2" t="str">
        <f>+IFERROR(#REF!/#REF!,"")</f>
        <v/>
      </c>
      <c r="V159" s="2" t="str">
        <f>+IFERROR(#REF!/#REF!,"")</f>
        <v/>
      </c>
      <c r="W159" s="2" t="str">
        <f>+IFERROR(#REF!/#REF!,"")</f>
        <v/>
      </c>
      <c r="X159" s="2" t="str">
        <f>+IFERROR(#REF!/#REF!,"")</f>
        <v/>
      </c>
      <c r="Y159" s="2" t="str">
        <f>+IFERROR(#REF!/#REF!,"")</f>
        <v/>
      </c>
      <c r="Z159" s="2" t="str">
        <f>+IFERROR(#REF!/#REF!,"")</f>
        <v/>
      </c>
      <c r="AA159" s="2" t="str">
        <f>+IFERROR(#REF!/#REF!,"")</f>
        <v/>
      </c>
      <c r="AB159" s="2">
        <f>+IFERROR(N159/H159,"")</f>
        <v>0.12637857915656586</v>
      </c>
      <c r="AD159" s="2" t="str">
        <f t="shared" si="50"/>
        <v/>
      </c>
      <c r="AE159" s="2" t="str">
        <f t="shared" si="51"/>
        <v/>
      </c>
      <c r="AF159" s="143">
        <f t="shared" si="52"/>
        <v>-0.17018008586098404</v>
      </c>
      <c r="AG159" s="143" t="str">
        <f t="shared" si="53"/>
        <v/>
      </c>
      <c r="AH159" s="143" t="str">
        <f t="shared" si="54"/>
        <v/>
      </c>
      <c r="AI159" s="143" t="str">
        <f t="shared" si="55"/>
        <v/>
      </c>
      <c r="AJ159" s="143" t="str">
        <f t="shared" si="56"/>
        <v/>
      </c>
      <c r="AK159" s="143" t="str">
        <f t="shared" si="57"/>
        <v/>
      </c>
      <c r="AL159" s="143" t="str">
        <f t="shared" si="58"/>
        <v/>
      </c>
      <c r="AM159" s="143" t="str">
        <f t="shared" si="59"/>
        <v/>
      </c>
      <c r="AN159" s="143" t="str">
        <f t="shared" si="60"/>
        <v/>
      </c>
      <c r="AP159" s="9">
        <f t="shared" si="48"/>
        <v>6.6865997259323682E-5</v>
      </c>
      <c r="AQ159" s="9">
        <f t="shared" si="49"/>
        <v>0.99823416327753745</v>
      </c>
    </row>
    <row r="160" spans="2:43" x14ac:dyDescent="0.35">
      <c r="B160" s="3" t="s">
        <v>262</v>
      </c>
      <c r="D160" s="141">
        <v>1782</v>
      </c>
      <c r="E160" s="141">
        <v>1310</v>
      </c>
      <c r="F160" s="141">
        <v>286</v>
      </c>
      <c r="G160" s="141"/>
      <c r="H160" s="141">
        <f>+SUM(D160:G160)</f>
        <v>3378</v>
      </c>
      <c r="J160" s="141">
        <v>770</v>
      </c>
      <c r="K160" s="141">
        <v>117</v>
      </c>
      <c r="L160" s="141">
        <v>60</v>
      </c>
      <c r="M160" s="141"/>
      <c r="N160" s="141">
        <f>+SUM(J160:M160)</f>
        <v>947</v>
      </c>
      <c r="P160" s="2">
        <f>+IFERROR(J160/D160,"")</f>
        <v>0.43209876543209874</v>
      </c>
      <c r="Q160" s="2">
        <f>+IFERROR(K160/E160,"")</f>
        <v>8.9312977099236635E-2</v>
      </c>
      <c r="R160" s="2">
        <f>+IFERROR(L160/F160,"")</f>
        <v>0.20979020979020979</v>
      </c>
      <c r="S160" s="2" t="str">
        <f>+IFERROR(M160/G160,"")</f>
        <v/>
      </c>
      <c r="T160" s="2" t="str">
        <f>+IFERROR(#REF!/#REF!,"")</f>
        <v/>
      </c>
      <c r="U160" s="2" t="str">
        <f>+IFERROR(#REF!/#REF!,"")</f>
        <v/>
      </c>
      <c r="V160" s="2" t="str">
        <f>+IFERROR(#REF!/#REF!,"")</f>
        <v/>
      </c>
      <c r="W160" s="2" t="str">
        <f>+IFERROR(#REF!/#REF!,"")</f>
        <v/>
      </c>
      <c r="X160" s="2" t="str">
        <f>+IFERROR(#REF!/#REF!,"")</f>
        <v/>
      </c>
      <c r="Y160" s="2" t="str">
        <f>+IFERROR(#REF!/#REF!,"")</f>
        <v/>
      </c>
      <c r="Z160" s="2" t="str">
        <f>+IFERROR(#REF!/#REF!,"")</f>
        <v/>
      </c>
      <c r="AA160" s="2" t="str">
        <f>+IFERROR(#REF!/#REF!,"")</f>
        <v/>
      </c>
      <c r="AB160" s="2">
        <f>+IFERROR(N160/H160,"")</f>
        <v>0.28034339846062761</v>
      </c>
      <c r="AD160" s="2" t="str">
        <f t="shared" si="50"/>
        <v/>
      </c>
      <c r="AE160" s="2" t="str">
        <f t="shared" si="51"/>
        <v/>
      </c>
      <c r="AF160" s="143" t="str">
        <f t="shared" si="52"/>
        <v/>
      </c>
      <c r="AG160" s="143" t="str">
        <f t="shared" si="53"/>
        <v/>
      </c>
      <c r="AH160" s="143" t="str">
        <f t="shared" si="54"/>
        <v/>
      </c>
      <c r="AI160" s="143" t="str">
        <f t="shared" si="55"/>
        <v/>
      </c>
      <c r="AJ160" s="143" t="str">
        <f t="shared" si="56"/>
        <v/>
      </c>
      <c r="AK160" s="143" t="str">
        <f t="shared" si="57"/>
        <v/>
      </c>
      <c r="AL160" s="143" t="str">
        <f t="shared" si="58"/>
        <v/>
      </c>
      <c r="AM160" s="143" t="str">
        <f t="shared" si="59"/>
        <v/>
      </c>
      <c r="AN160" s="143" t="str">
        <f t="shared" si="60"/>
        <v/>
      </c>
      <c r="AP160" s="9">
        <f t="shared" si="48"/>
        <v>5.7978244599814616E-7</v>
      </c>
      <c r="AQ160" s="9">
        <f t="shared" si="49"/>
        <v>0.9982347430599835</v>
      </c>
    </row>
    <row r="161" spans="2:43" x14ac:dyDescent="0.35">
      <c r="B161" s="3" t="s">
        <v>250</v>
      </c>
      <c r="D161" s="141">
        <v>1357358</v>
      </c>
      <c r="E161" s="141">
        <v>1356979</v>
      </c>
      <c r="F161" s="141">
        <v>83844</v>
      </c>
      <c r="G161" s="141">
        <v>1540622</v>
      </c>
      <c r="H161" s="141">
        <f>+SUM(D161:G161)</f>
        <v>4338803</v>
      </c>
      <c r="J161" s="141">
        <v>88437</v>
      </c>
      <c r="K161" s="141">
        <v>75325</v>
      </c>
      <c r="L161" s="141">
        <v>12471</v>
      </c>
      <c r="M161" s="141">
        <v>61290</v>
      </c>
      <c r="N161" s="141">
        <f>+SUM(J161:M161)</f>
        <v>237523</v>
      </c>
      <c r="P161" s="2">
        <f>+IFERROR(J161/D161,"")</f>
        <v>6.5153776674981845E-2</v>
      </c>
      <c r="Q161" s="2">
        <f>+IFERROR(K161/E161,"")</f>
        <v>5.5509333600593673E-2</v>
      </c>
      <c r="R161" s="2">
        <f>+IFERROR(L161/F161,"")</f>
        <v>0.14874051810505223</v>
      </c>
      <c r="S161" s="2">
        <f>+IFERROR(M161/G161,"")</f>
        <v>3.9782633248129654E-2</v>
      </c>
      <c r="T161" s="2" t="str">
        <f>+IFERROR(#REF!/#REF!,"")</f>
        <v/>
      </c>
      <c r="U161" s="2" t="str">
        <f>+IFERROR(#REF!/#REF!,"")</f>
        <v/>
      </c>
      <c r="V161" s="2" t="str">
        <f>+IFERROR(#REF!/#REF!,"")</f>
        <v/>
      </c>
      <c r="W161" s="2" t="str">
        <f>+IFERROR(#REF!/#REF!,"")</f>
        <v/>
      </c>
      <c r="X161" s="2" t="str">
        <f>+IFERROR(#REF!/#REF!,"")</f>
        <v/>
      </c>
      <c r="Y161" s="2" t="str">
        <f>+IFERROR(#REF!/#REF!,"")</f>
        <v/>
      </c>
      <c r="Z161" s="2" t="str">
        <f>+IFERROR(#REF!/#REF!,"")</f>
        <v/>
      </c>
      <c r="AA161" s="2" t="str">
        <f>+IFERROR(#REF!/#REF!,"")</f>
        <v/>
      </c>
      <c r="AB161" s="2">
        <f>+IFERROR(N161/H161,"")</f>
        <v>5.4743900564280058E-2</v>
      </c>
      <c r="AD161" s="2" t="str">
        <f t="shared" si="50"/>
        <v/>
      </c>
      <c r="AE161" s="2" t="str">
        <f t="shared" si="51"/>
        <v/>
      </c>
      <c r="AF161" s="143">
        <f t="shared" si="52"/>
        <v>-0.10895788485692258</v>
      </c>
      <c r="AG161" s="143" t="str">
        <f t="shared" si="53"/>
        <v/>
      </c>
      <c r="AH161" s="143" t="str">
        <f t="shared" si="54"/>
        <v/>
      </c>
      <c r="AI161" s="143" t="str">
        <f t="shared" si="55"/>
        <v/>
      </c>
      <c r="AJ161" s="143" t="str">
        <f t="shared" si="56"/>
        <v/>
      </c>
      <c r="AK161" s="143" t="str">
        <f t="shared" si="57"/>
        <v/>
      </c>
      <c r="AL161" s="143" t="str">
        <f t="shared" si="58"/>
        <v/>
      </c>
      <c r="AM161" s="143" t="str">
        <f t="shared" si="59"/>
        <v/>
      </c>
      <c r="AN161" s="143" t="str">
        <f t="shared" si="60"/>
        <v/>
      </c>
      <c r="AP161" s="9">
        <f t="shared" si="48"/>
        <v>1.454188658086776E-4</v>
      </c>
      <c r="AQ161" s="9">
        <f t="shared" si="49"/>
        <v>0.99838016192579215</v>
      </c>
    </row>
    <row r="162" spans="2:43" x14ac:dyDescent="0.35">
      <c r="B162" s="3" t="s">
        <v>258</v>
      </c>
      <c r="D162" s="141">
        <v>14901</v>
      </c>
      <c r="E162" s="141">
        <v>13596</v>
      </c>
      <c r="F162" s="141">
        <v>23866</v>
      </c>
      <c r="G162" s="141"/>
      <c r="H162" s="141">
        <f>+SUM(D162:G162)</f>
        <v>52363</v>
      </c>
      <c r="J162" s="141">
        <v>1315</v>
      </c>
      <c r="K162" s="141">
        <v>1189</v>
      </c>
      <c r="L162" s="141">
        <v>2538</v>
      </c>
      <c r="M162" s="141"/>
      <c r="N162" s="141">
        <f>+SUM(J162:M162)</f>
        <v>5042</v>
      </c>
      <c r="P162" s="2">
        <f>+IFERROR(J162/D162,"")</f>
        <v>8.8249110797933031E-2</v>
      </c>
      <c r="Q162" s="2">
        <f>+IFERROR(K162/E162,"")</f>
        <v>8.7452191821123862E-2</v>
      </c>
      <c r="R162" s="2">
        <f>+IFERROR(L162/F162,"")</f>
        <v>0.10634375261878823</v>
      </c>
      <c r="S162" s="2" t="str">
        <f>+IFERROR(M162/G162,"")</f>
        <v/>
      </c>
      <c r="T162" s="2" t="str">
        <f>+IFERROR(#REF!/#REF!,"")</f>
        <v/>
      </c>
      <c r="U162" s="2" t="str">
        <f>+IFERROR(#REF!/#REF!,"")</f>
        <v/>
      </c>
      <c r="V162" s="2" t="str">
        <f>+IFERROR(#REF!/#REF!,"")</f>
        <v/>
      </c>
      <c r="W162" s="2" t="str">
        <f>+IFERROR(#REF!/#REF!,"")</f>
        <v/>
      </c>
      <c r="X162" s="2" t="str">
        <f>+IFERROR(#REF!/#REF!,"")</f>
        <v/>
      </c>
      <c r="Y162" s="2" t="str">
        <f>+IFERROR(#REF!/#REF!,"")</f>
        <v/>
      </c>
      <c r="Z162" s="2" t="str">
        <f>+IFERROR(#REF!/#REF!,"")</f>
        <v/>
      </c>
      <c r="AA162" s="2" t="str">
        <f>+IFERROR(#REF!/#REF!,"")</f>
        <v/>
      </c>
      <c r="AB162" s="2">
        <f>+IFERROR(N162/H162,"")</f>
        <v>9.6289364627695134E-2</v>
      </c>
      <c r="AD162" s="2" t="str">
        <f t="shared" si="50"/>
        <v/>
      </c>
      <c r="AE162" s="2" t="str">
        <f t="shared" si="51"/>
        <v/>
      </c>
      <c r="AF162" s="143" t="str">
        <f t="shared" si="52"/>
        <v/>
      </c>
      <c r="AG162" s="143" t="str">
        <f t="shared" si="53"/>
        <v/>
      </c>
      <c r="AH162" s="143" t="str">
        <f t="shared" si="54"/>
        <v/>
      </c>
      <c r="AI162" s="143" t="str">
        <f t="shared" si="55"/>
        <v/>
      </c>
      <c r="AJ162" s="143" t="str">
        <f t="shared" si="56"/>
        <v/>
      </c>
      <c r="AK162" s="143" t="str">
        <f t="shared" si="57"/>
        <v/>
      </c>
      <c r="AL162" s="143" t="str">
        <f t="shared" si="58"/>
        <v/>
      </c>
      <c r="AM162" s="143" t="str">
        <f t="shared" si="59"/>
        <v/>
      </c>
      <c r="AN162" s="143" t="str">
        <f t="shared" si="60"/>
        <v/>
      </c>
      <c r="AP162" s="9">
        <f t="shared" si="48"/>
        <v>3.0868670461696439E-6</v>
      </c>
      <c r="AQ162" s="9">
        <f t="shared" si="49"/>
        <v>0.99838324879283835</v>
      </c>
    </row>
    <row r="163" spans="2:43" x14ac:dyDescent="0.35">
      <c r="B163" s="3" t="s">
        <v>256</v>
      </c>
      <c r="D163" s="141"/>
      <c r="E163" s="141">
        <v>159095</v>
      </c>
      <c r="F163" s="141">
        <v>87588</v>
      </c>
      <c r="G163" s="141">
        <v>644395</v>
      </c>
      <c r="H163" s="141">
        <f>+SUM(D163:G163)</f>
        <v>891078</v>
      </c>
      <c r="J163" s="141"/>
      <c r="K163" s="141">
        <v>10290</v>
      </c>
      <c r="L163" s="141">
        <v>9166</v>
      </c>
      <c r="M163" s="141">
        <v>76392</v>
      </c>
      <c r="N163" s="141">
        <f>+SUM(J163:M163)</f>
        <v>95848</v>
      </c>
      <c r="P163" s="2" t="str">
        <f>+IFERROR(J163/D163,"")</f>
        <v/>
      </c>
      <c r="Q163" s="2">
        <f>+IFERROR(K163/E163,"")</f>
        <v>6.4678336842766901E-2</v>
      </c>
      <c r="R163" s="2">
        <f>+IFERROR(L163/F163,"")</f>
        <v>0.10464903868109787</v>
      </c>
      <c r="S163" s="2">
        <f>+IFERROR(M163/G163,"")</f>
        <v>0.11854840586907099</v>
      </c>
      <c r="T163" s="2" t="str">
        <f>+IFERROR(#REF!/#REF!,"")</f>
        <v/>
      </c>
      <c r="U163" s="2" t="str">
        <f>+IFERROR(#REF!/#REF!,"")</f>
        <v/>
      </c>
      <c r="V163" s="2" t="str">
        <f>+IFERROR(#REF!/#REF!,"")</f>
        <v/>
      </c>
      <c r="W163" s="2" t="str">
        <f>+IFERROR(#REF!/#REF!,"")</f>
        <v/>
      </c>
      <c r="X163" s="2" t="str">
        <f>+IFERROR(#REF!/#REF!,"")</f>
        <v/>
      </c>
      <c r="Y163" s="2" t="str">
        <f>+IFERROR(#REF!/#REF!,"")</f>
        <v/>
      </c>
      <c r="Z163" s="2" t="str">
        <f>+IFERROR(#REF!/#REF!,"")</f>
        <v/>
      </c>
      <c r="AA163" s="2" t="str">
        <f>+IFERROR(#REF!/#REF!,"")</f>
        <v/>
      </c>
      <c r="AB163" s="2">
        <f>+IFERROR(N163/H163,"")</f>
        <v>0.10756409652129219</v>
      </c>
      <c r="AD163" s="2" t="str">
        <f t="shared" si="50"/>
        <v/>
      </c>
      <c r="AE163" s="2" t="str">
        <f t="shared" si="51"/>
        <v/>
      </c>
      <c r="AF163" s="143">
        <f t="shared" si="52"/>
        <v>1.3899367187973119E-2</v>
      </c>
      <c r="AG163" s="143" t="str">
        <f t="shared" si="53"/>
        <v/>
      </c>
      <c r="AH163" s="143" t="str">
        <f t="shared" si="54"/>
        <v/>
      </c>
      <c r="AI163" s="143" t="str">
        <f t="shared" si="55"/>
        <v/>
      </c>
      <c r="AJ163" s="143" t="str">
        <f t="shared" si="56"/>
        <v/>
      </c>
      <c r="AK163" s="143" t="str">
        <f t="shared" si="57"/>
        <v/>
      </c>
      <c r="AL163" s="143" t="str">
        <f t="shared" si="58"/>
        <v/>
      </c>
      <c r="AM163" s="143" t="str">
        <f t="shared" si="59"/>
        <v/>
      </c>
      <c r="AN163" s="143" t="str">
        <f t="shared" si="60"/>
        <v/>
      </c>
      <c r="AP163" s="9">
        <f t="shared" si="48"/>
        <v>5.8681085410802863E-5</v>
      </c>
      <c r="AQ163" s="9">
        <f t="shared" si="49"/>
        <v>0.9984419298782492</v>
      </c>
    </row>
    <row r="164" spans="2:43" x14ac:dyDescent="0.35">
      <c r="B164" s="3" t="s">
        <v>259</v>
      </c>
      <c r="D164" s="141">
        <v>70580</v>
      </c>
      <c r="E164" s="141">
        <v>57543</v>
      </c>
      <c r="F164" s="141">
        <v>19102</v>
      </c>
      <c r="G164" s="141">
        <v>18982</v>
      </c>
      <c r="H164" s="141">
        <f>+SUM(D164:G164)</f>
        <v>166207</v>
      </c>
      <c r="J164" s="141">
        <v>4132</v>
      </c>
      <c r="K164" s="141">
        <v>4573</v>
      </c>
      <c r="L164" s="141">
        <v>2510</v>
      </c>
      <c r="M164" s="141">
        <v>1542</v>
      </c>
      <c r="N164" s="141">
        <f>+SUM(J164:M164)</f>
        <v>12757</v>
      </c>
      <c r="P164" s="2">
        <f>+IFERROR(J164/D164,"")</f>
        <v>5.8543496741286484E-2</v>
      </c>
      <c r="Q164" s="2">
        <f>+IFERROR(K164/E164,"")</f>
        <v>7.9471004292442179E-2</v>
      </c>
      <c r="R164" s="2">
        <f>+IFERROR(L164/F164,"")</f>
        <v>0.1313998534184902</v>
      </c>
      <c r="S164" s="2">
        <f>+IFERROR(M164/G164,"")</f>
        <v>8.1234854072278997E-2</v>
      </c>
      <c r="T164" s="2" t="str">
        <f>+IFERROR(#REF!/#REF!,"")</f>
        <v/>
      </c>
      <c r="U164" s="2" t="str">
        <f>+IFERROR(#REF!/#REF!,"")</f>
        <v/>
      </c>
      <c r="V164" s="2" t="str">
        <f>+IFERROR(#REF!/#REF!,"")</f>
        <v/>
      </c>
      <c r="W164" s="2" t="str">
        <f>+IFERROR(#REF!/#REF!,"")</f>
        <v/>
      </c>
      <c r="X164" s="2" t="str">
        <f>+IFERROR(#REF!/#REF!,"")</f>
        <v/>
      </c>
      <c r="Y164" s="2" t="str">
        <f>+IFERROR(#REF!/#REF!,"")</f>
        <v/>
      </c>
      <c r="Z164" s="2" t="str">
        <f>+IFERROR(#REF!/#REF!,"")</f>
        <v/>
      </c>
      <c r="AA164" s="2" t="str">
        <f>+IFERROR(#REF!/#REF!,"")</f>
        <v/>
      </c>
      <c r="AB164" s="2">
        <f>+IFERROR(N164/H164,"")</f>
        <v>7.6753686667829876E-2</v>
      </c>
      <c r="AD164" s="2" t="str">
        <f t="shared" si="50"/>
        <v/>
      </c>
      <c r="AE164" s="2" t="str">
        <f t="shared" si="51"/>
        <v/>
      </c>
      <c r="AF164" s="143">
        <f t="shared" si="52"/>
        <v>-5.01649993462112E-2</v>
      </c>
      <c r="AG164" s="143" t="str">
        <f t="shared" si="53"/>
        <v/>
      </c>
      <c r="AH164" s="143" t="str">
        <f t="shared" si="54"/>
        <v/>
      </c>
      <c r="AI164" s="143" t="str">
        <f t="shared" si="55"/>
        <v/>
      </c>
      <c r="AJ164" s="143" t="str">
        <f t="shared" si="56"/>
        <v/>
      </c>
      <c r="AK164" s="143" t="str">
        <f t="shared" si="57"/>
        <v/>
      </c>
      <c r="AL164" s="143" t="str">
        <f t="shared" si="58"/>
        <v/>
      </c>
      <c r="AM164" s="143" t="str">
        <f t="shared" si="59"/>
        <v/>
      </c>
      <c r="AN164" s="143" t="str">
        <f t="shared" si="60"/>
        <v/>
      </c>
      <c r="AP164" s="9">
        <f t="shared" si="48"/>
        <v>7.8102266775061787E-6</v>
      </c>
      <c r="AQ164" s="9">
        <f t="shared" si="49"/>
        <v>0.99844974010492671</v>
      </c>
    </row>
    <row r="165" spans="2:43" x14ac:dyDescent="0.35">
      <c r="B165" s="3" t="s">
        <v>254</v>
      </c>
      <c r="D165" s="141">
        <v>10521</v>
      </c>
      <c r="E165" s="141">
        <v>22830</v>
      </c>
      <c r="F165" s="141">
        <v>1613</v>
      </c>
      <c r="G165" s="141">
        <v>8464</v>
      </c>
      <c r="H165" s="141">
        <f>+SUM(D165:G165)</f>
        <v>43428</v>
      </c>
      <c r="J165" s="141">
        <v>846</v>
      </c>
      <c r="K165" s="141">
        <v>2820</v>
      </c>
      <c r="L165" s="141">
        <v>300</v>
      </c>
      <c r="M165" s="141">
        <v>945</v>
      </c>
      <c r="N165" s="141">
        <f>+SUM(J165:M165)</f>
        <v>4911</v>
      </c>
      <c r="P165" s="2">
        <f>+IFERROR(J165/D165,"")</f>
        <v>8.0410607356715139E-2</v>
      </c>
      <c r="Q165" s="2">
        <f>+IFERROR(K165/E165,"")</f>
        <v>0.12352168199737187</v>
      </c>
      <c r="R165" s="2">
        <f>+IFERROR(L165/F165,"")</f>
        <v>0.18598884066955981</v>
      </c>
      <c r="S165" s="2">
        <f>+IFERROR(M165/G165,"")</f>
        <v>0.11164933837429111</v>
      </c>
      <c r="T165" s="2" t="str">
        <f>+IFERROR(#REF!/#REF!,"")</f>
        <v/>
      </c>
      <c r="U165" s="2" t="str">
        <f>+IFERROR(#REF!/#REF!,"")</f>
        <v/>
      </c>
      <c r="V165" s="2" t="str">
        <f>+IFERROR(#REF!/#REF!,"")</f>
        <v/>
      </c>
      <c r="W165" s="2" t="str">
        <f>+IFERROR(#REF!/#REF!,"")</f>
        <v/>
      </c>
      <c r="X165" s="2" t="str">
        <f>+IFERROR(#REF!/#REF!,"")</f>
        <v/>
      </c>
      <c r="Y165" s="2" t="str">
        <f>+IFERROR(#REF!/#REF!,"")</f>
        <v/>
      </c>
      <c r="Z165" s="2" t="str">
        <f>+IFERROR(#REF!/#REF!,"")</f>
        <v/>
      </c>
      <c r="AA165" s="2" t="str">
        <f>+IFERROR(#REF!/#REF!,"")</f>
        <v/>
      </c>
      <c r="AB165" s="2">
        <f>+IFERROR(N165/H165,"")</f>
        <v>0.11308372478585245</v>
      </c>
      <c r="AD165" s="2" t="str">
        <f t="shared" si="50"/>
        <v/>
      </c>
      <c r="AE165" s="2" t="str">
        <f t="shared" si="51"/>
        <v/>
      </c>
      <c r="AF165" s="143">
        <f t="shared" si="52"/>
        <v>-7.43395022952687E-2</v>
      </c>
      <c r="AG165" s="143" t="str">
        <f t="shared" si="53"/>
        <v/>
      </c>
      <c r="AH165" s="143" t="str">
        <f t="shared" si="54"/>
        <v/>
      </c>
      <c r="AI165" s="143" t="str">
        <f t="shared" si="55"/>
        <v/>
      </c>
      <c r="AJ165" s="143" t="str">
        <f t="shared" si="56"/>
        <v/>
      </c>
      <c r="AK165" s="143" t="str">
        <f t="shared" si="57"/>
        <v/>
      </c>
      <c r="AL165" s="143" t="str">
        <f t="shared" si="58"/>
        <v/>
      </c>
      <c r="AM165" s="143" t="str">
        <f t="shared" si="59"/>
        <v/>
      </c>
      <c r="AN165" s="143" t="str">
        <f t="shared" si="60"/>
        <v/>
      </c>
      <c r="AP165" s="9">
        <f t="shared" si="48"/>
        <v>3.0066648281910197E-6</v>
      </c>
      <c r="AQ165" s="9">
        <f t="shared" si="49"/>
        <v>0.99845274676975493</v>
      </c>
    </row>
    <row r="166" spans="2:43" x14ac:dyDescent="0.35">
      <c r="B166" s="3" t="s">
        <v>249</v>
      </c>
      <c r="D166" s="141">
        <v>110875</v>
      </c>
      <c r="E166" s="141">
        <v>117610</v>
      </c>
      <c r="F166" s="141">
        <v>63453</v>
      </c>
      <c r="G166" s="141">
        <v>116443</v>
      </c>
      <c r="H166" s="141">
        <f>+SUM(D166:G166)</f>
        <v>408381</v>
      </c>
      <c r="J166" s="141">
        <v>6446</v>
      </c>
      <c r="K166" s="141">
        <v>10216</v>
      </c>
      <c r="L166" s="141">
        <v>4218</v>
      </c>
      <c r="M166" s="141">
        <v>7099</v>
      </c>
      <c r="N166" s="141">
        <f>+SUM(J166:M166)</f>
        <v>27979</v>
      </c>
      <c r="P166" s="2">
        <f>+IFERROR(J166/D166,"")</f>
        <v>5.8137542277339346E-2</v>
      </c>
      <c r="Q166" s="2">
        <f>+IFERROR(K166/E166,"")</f>
        <v>8.6863361959017088E-2</v>
      </c>
      <c r="R166" s="2">
        <f>+IFERROR(L166/F166,"")</f>
        <v>6.6474398373599364E-2</v>
      </c>
      <c r="S166" s="2">
        <f>+IFERROR(M166/G166,"")</f>
        <v>6.096545090731087E-2</v>
      </c>
      <c r="T166" s="2" t="str">
        <f>+IFERROR(#REF!/#REF!,"")</f>
        <v/>
      </c>
      <c r="U166" s="2" t="str">
        <f>+IFERROR(#REF!/#REF!,"")</f>
        <v/>
      </c>
      <c r="V166" s="2" t="str">
        <f>+IFERROR(#REF!/#REF!,"")</f>
        <v/>
      </c>
      <c r="W166" s="2" t="str">
        <f>+IFERROR(#REF!/#REF!,"")</f>
        <v/>
      </c>
      <c r="X166" s="2" t="str">
        <f>+IFERROR(#REF!/#REF!,"")</f>
        <v/>
      </c>
      <c r="Y166" s="2" t="str">
        <f>+IFERROR(#REF!/#REF!,"")</f>
        <v/>
      </c>
      <c r="Z166" s="2" t="str">
        <f>+IFERROR(#REF!/#REF!,"")</f>
        <v/>
      </c>
      <c r="AA166" s="2" t="str">
        <f>+IFERROR(#REF!/#REF!,"")</f>
        <v/>
      </c>
      <c r="AB166" s="2">
        <f>+IFERROR(N166/H166,"")</f>
        <v>6.8512002272387795E-2</v>
      </c>
      <c r="AD166" s="2" t="str">
        <f t="shared" si="50"/>
        <v/>
      </c>
      <c r="AE166" s="2" t="str">
        <f t="shared" si="51"/>
        <v/>
      </c>
      <c r="AF166" s="143">
        <f t="shared" si="52"/>
        <v>-5.5089474662884941E-3</v>
      </c>
      <c r="AG166" s="143" t="str">
        <f t="shared" si="53"/>
        <v/>
      </c>
      <c r="AH166" s="143" t="str">
        <f t="shared" si="54"/>
        <v/>
      </c>
      <c r="AI166" s="143" t="str">
        <f t="shared" si="55"/>
        <v/>
      </c>
      <c r="AJ166" s="143" t="str">
        <f t="shared" si="56"/>
        <v/>
      </c>
      <c r="AK166" s="143" t="str">
        <f t="shared" si="57"/>
        <v/>
      </c>
      <c r="AL166" s="143" t="str">
        <f t="shared" si="58"/>
        <v/>
      </c>
      <c r="AM166" s="143" t="str">
        <f t="shared" si="59"/>
        <v/>
      </c>
      <c r="AN166" s="143" t="str">
        <f t="shared" si="60"/>
        <v/>
      </c>
      <c r="AP166" s="9">
        <f t="shared" si="48"/>
        <v>1.7129601960487995E-5</v>
      </c>
      <c r="AQ166" s="9">
        <f t="shared" si="49"/>
        <v>0.99846987637171547</v>
      </c>
    </row>
    <row r="167" spans="2:43" x14ac:dyDescent="0.35">
      <c r="B167" s="3" t="s">
        <v>272</v>
      </c>
      <c r="D167" s="141">
        <v>31437</v>
      </c>
      <c r="E167" s="141"/>
      <c r="F167" s="141">
        <v>200</v>
      </c>
      <c r="G167" s="141"/>
      <c r="H167" s="141">
        <f>+SUM(D167:G167)</f>
        <v>31637</v>
      </c>
      <c r="J167" s="141">
        <v>1472</v>
      </c>
      <c r="K167" s="141"/>
      <c r="L167" s="141">
        <v>200</v>
      </c>
      <c r="M167" s="141"/>
      <c r="N167" s="141">
        <f>+SUM(J167:M167)</f>
        <v>1672</v>
      </c>
      <c r="P167" s="2">
        <f>+IFERROR(J167/D167,"")</f>
        <v>4.6823806342844422E-2</v>
      </c>
      <c r="Q167" s="2" t="str">
        <f>+IFERROR(K167/E167,"")</f>
        <v/>
      </c>
      <c r="R167" s="2">
        <f>+IFERROR(L167/F167,"")</f>
        <v>1</v>
      </c>
      <c r="S167" s="2" t="str">
        <f>+IFERROR(M167/G167,"")</f>
        <v/>
      </c>
      <c r="T167" s="2" t="str">
        <f>+IFERROR(#REF!/#REF!,"")</f>
        <v/>
      </c>
      <c r="U167" s="2" t="str">
        <f>+IFERROR(#REF!/#REF!,"")</f>
        <v/>
      </c>
      <c r="V167" s="2" t="str">
        <f>+IFERROR(#REF!/#REF!,"")</f>
        <v/>
      </c>
      <c r="W167" s="2" t="str">
        <f>+IFERROR(#REF!/#REF!,"")</f>
        <v/>
      </c>
      <c r="X167" s="2" t="str">
        <f>+IFERROR(#REF!/#REF!,"")</f>
        <v/>
      </c>
      <c r="Y167" s="2" t="str">
        <f>+IFERROR(#REF!/#REF!,"")</f>
        <v/>
      </c>
      <c r="Z167" s="2" t="str">
        <f>+IFERROR(#REF!/#REF!,"")</f>
        <v/>
      </c>
      <c r="AA167" s="2" t="str">
        <f>+IFERROR(#REF!/#REF!,"")</f>
        <v/>
      </c>
      <c r="AB167" s="2">
        <f>+IFERROR(N167/H167,"")</f>
        <v>5.2849511647754213E-2</v>
      </c>
      <c r="AD167" s="2" t="str">
        <f t="shared" si="50"/>
        <v/>
      </c>
      <c r="AE167" s="2" t="str">
        <f t="shared" si="51"/>
        <v/>
      </c>
      <c r="AF167" s="143" t="str">
        <f t="shared" si="52"/>
        <v/>
      </c>
      <c r="AG167" s="143" t="str">
        <f t="shared" si="53"/>
        <v/>
      </c>
      <c r="AH167" s="143" t="str">
        <f t="shared" si="54"/>
        <v/>
      </c>
      <c r="AI167" s="143" t="str">
        <f t="shared" si="55"/>
        <v/>
      </c>
      <c r="AJ167" s="143" t="str">
        <f t="shared" si="56"/>
        <v/>
      </c>
      <c r="AK167" s="143" t="str">
        <f t="shared" si="57"/>
        <v/>
      </c>
      <c r="AL167" s="143" t="str">
        <f t="shared" si="58"/>
        <v/>
      </c>
      <c r="AM167" s="143" t="str">
        <f t="shared" si="59"/>
        <v/>
      </c>
      <c r="AN167" s="143" t="str">
        <f t="shared" si="60"/>
        <v/>
      </c>
      <c r="AP167" s="9">
        <f t="shared" si="48"/>
        <v>1.023649682902746E-6</v>
      </c>
      <c r="AQ167" s="9">
        <f t="shared" si="49"/>
        <v>0.99847090002139838</v>
      </c>
    </row>
    <row r="168" spans="2:43" x14ac:dyDescent="0.35">
      <c r="B168" s="3" t="s">
        <v>267</v>
      </c>
      <c r="D168" s="141">
        <v>869</v>
      </c>
      <c r="E168" s="141">
        <v>1</v>
      </c>
      <c r="F168" s="141">
        <v>8149</v>
      </c>
      <c r="G168" s="141"/>
      <c r="H168" s="141">
        <f>+SUM(D168:G168)</f>
        <v>9019</v>
      </c>
      <c r="J168" s="141">
        <v>174</v>
      </c>
      <c r="K168" s="141">
        <v>1</v>
      </c>
      <c r="L168" s="141">
        <v>2134</v>
      </c>
      <c r="M168" s="141"/>
      <c r="N168" s="141">
        <f>+SUM(J168:M168)</f>
        <v>2309</v>
      </c>
      <c r="P168" s="2">
        <f>+IFERROR(J168/D168,"")</f>
        <v>0.2002301495972382</v>
      </c>
      <c r="Q168" s="2">
        <f>+IFERROR(K168/E168,"")</f>
        <v>1</v>
      </c>
      <c r="R168" s="2">
        <f>+IFERROR(L168/F168,"")</f>
        <v>0.26187262240765741</v>
      </c>
      <c r="S168" s="2" t="str">
        <f>+IFERROR(M168/G168,"")</f>
        <v/>
      </c>
      <c r="T168" s="2" t="str">
        <f>+IFERROR(#REF!/#REF!,"")</f>
        <v/>
      </c>
      <c r="U168" s="2" t="str">
        <f>+IFERROR(#REF!/#REF!,"")</f>
        <v/>
      </c>
      <c r="V168" s="2" t="str">
        <f>+IFERROR(#REF!/#REF!,"")</f>
        <v/>
      </c>
      <c r="W168" s="2" t="str">
        <f>+IFERROR(#REF!/#REF!,"")</f>
        <v/>
      </c>
      <c r="X168" s="2" t="str">
        <f>+IFERROR(#REF!/#REF!,"")</f>
        <v/>
      </c>
      <c r="Y168" s="2" t="str">
        <f>+IFERROR(#REF!/#REF!,"")</f>
        <v/>
      </c>
      <c r="Z168" s="2" t="str">
        <f>+IFERROR(#REF!/#REF!,"")</f>
        <v/>
      </c>
      <c r="AA168" s="2" t="str">
        <f>+IFERROR(#REF!/#REF!,"")</f>
        <v/>
      </c>
      <c r="AB168" s="2">
        <f>+IFERROR(N168/H168,"")</f>
        <v>0.25601507927708173</v>
      </c>
      <c r="AD168" s="2" t="str">
        <f t="shared" si="50"/>
        <v/>
      </c>
      <c r="AE168" s="2" t="str">
        <f t="shared" si="51"/>
        <v/>
      </c>
      <c r="AF168" s="143" t="str">
        <f t="shared" si="52"/>
        <v/>
      </c>
      <c r="AG168" s="143" t="str">
        <f t="shared" si="53"/>
        <v/>
      </c>
      <c r="AH168" s="143" t="str">
        <f t="shared" si="54"/>
        <v/>
      </c>
      <c r="AI168" s="143" t="str">
        <f t="shared" si="55"/>
        <v/>
      </c>
      <c r="AJ168" s="143" t="str">
        <f t="shared" si="56"/>
        <v/>
      </c>
      <c r="AK168" s="143" t="str">
        <f t="shared" si="57"/>
        <v/>
      </c>
      <c r="AL168" s="143" t="str">
        <f t="shared" si="58"/>
        <v/>
      </c>
      <c r="AM168" s="143" t="str">
        <f t="shared" si="59"/>
        <v/>
      </c>
      <c r="AN168" s="143" t="str">
        <f t="shared" si="60"/>
        <v/>
      </c>
      <c r="AP168" s="9">
        <f t="shared" si="48"/>
        <v>1.4136406207072012E-6</v>
      </c>
      <c r="AQ168" s="9">
        <f t="shared" si="49"/>
        <v>0.99847231366201905</v>
      </c>
    </row>
    <row r="169" spans="2:43" x14ac:dyDescent="0.35">
      <c r="B169" s="3" t="s">
        <v>268</v>
      </c>
      <c r="D169" s="141">
        <v>9505</v>
      </c>
      <c r="E169" s="141">
        <v>28028</v>
      </c>
      <c r="F169" s="141">
        <v>19343</v>
      </c>
      <c r="G169" s="141">
        <v>31226</v>
      </c>
      <c r="H169" s="141">
        <f>+SUM(D169:G169)</f>
        <v>88102</v>
      </c>
      <c r="J169" s="141">
        <v>1925</v>
      </c>
      <c r="K169" s="141">
        <v>1880</v>
      </c>
      <c r="L169" s="141">
        <v>287</v>
      </c>
      <c r="M169" s="141">
        <v>1815</v>
      </c>
      <c r="N169" s="141">
        <f>+SUM(J169:M169)</f>
        <v>5907</v>
      </c>
      <c r="P169" s="2">
        <f>+IFERROR(J169/D169,"")</f>
        <v>0.20252498684902684</v>
      </c>
      <c r="Q169" s="2">
        <f>+IFERROR(K169/E169,"")</f>
        <v>6.7075781361495654E-2</v>
      </c>
      <c r="R169" s="2">
        <f>+IFERROR(L169/F169,"")</f>
        <v>1.4837408881766014E-2</v>
      </c>
      <c r="S169" s="2">
        <f>+IFERROR(M169/G169,"")</f>
        <v>5.8124639723307503E-2</v>
      </c>
      <c r="T169" s="2" t="str">
        <f>+IFERROR(#REF!/#REF!,"")</f>
        <v/>
      </c>
      <c r="U169" s="2" t="str">
        <f>+IFERROR(#REF!/#REF!,"")</f>
        <v/>
      </c>
      <c r="V169" s="2" t="str">
        <f>+IFERROR(#REF!/#REF!,"")</f>
        <v/>
      </c>
      <c r="W169" s="2" t="str">
        <f>+IFERROR(#REF!/#REF!,"")</f>
        <v/>
      </c>
      <c r="X169" s="2" t="str">
        <f>+IFERROR(#REF!/#REF!,"")</f>
        <v/>
      </c>
      <c r="Y169" s="2" t="str">
        <f>+IFERROR(#REF!/#REF!,"")</f>
        <v/>
      </c>
      <c r="Z169" s="2" t="str">
        <f>+IFERROR(#REF!/#REF!,"")</f>
        <v/>
      </c>
      <c r="AA169" s="2" t="str">
        <f>+IFERROR(#REF!/#REF!,"")</f>
        <v/>
      </c>
      <c r="AB169" s="2">
        <f>+IFERROR(N169/H169,"")</f>
        <v>6.7047286100202039E-2</v>
      </c>
      <c r="AD169" s="2" t="str">
        <f t="shared" si="50"/>
        <v/>
      </c>
      <c r="AE169" s="2" t="str">
        <f t="shared" si="51"/>
        <v/>
      </c>
      <c r="AF169" s="143">
        <f t="shared" si="52"/>
        <v>4.3287230841541485E-2</v>
      </c>
      <c r="AG169" s="143" t="str">
        <f t="shared" si="53"/>
        <v/>
      </c>
      <c r="AH169" s="143" t="str">
        <f t="shared" si="54"/>
        <v/>
      </c>
      <c r="AI169" s="143" t="str">
        <f t="shared" si="55"/>
        <v/>
      </c>
      <c r="AJ169" s="143" t="str">
        <f t="shared" si="56"/>
        <v/>
      </c>
      <c r="AK169" s="143" t="str">
        <f t="shared" si="57"/>
        <v/>
      </c>
      <c r="AL169" s="143" t="str">
        <f t="shared" si="58"/>
        <v/>
      </c>
      <c r="AM169" s="143" t="str">
        <f t="shared" si="59"/>
        <v/>
      </c>
      <c r="AN169" s="143" t="str">
        <f t="shared" si="60"/>
        <v/>
      </c>
      <c r="AP169" s="9">
        <f t="shared" si="48"/>
        <v>3.6164465770972009E-6</v>
      </c>
      <c r="AQ169" s="9">
        <f t="shared" si="49"/>
        <v>0.99847593010859614</v>
      </c>
    </row>
    <row r="170" spans="2:43" x14ac:dyDescent="0.35">
      <c r="B170" s="3" t="s">
        <v>265</v>
      </c>
      <c r="D170" s="141"/>
      <c r="E170" s="141"/>
      <c r="F170" s="141"/>
      <c r="G170" s="141"/>
      <c r="H170" s="141">
        <f>+SUM(D170:G170)</f>
        <v>0</v>
      </c>
      <c r="J170" s="141"/>
      <c r="K170" s="141"/>
      <c r="L170" s="141"/>
      <c r="M170" s="141"/>
      <c r="N170" s="141">
        <f>+SUM(J170:M170)</f>
        <v>0</v>
      </c>
      <c r="P170" s="2" t="str">
        <f>+IFERROR(J170/D170,"")</f>
        <v/>
      </c>
      <c r="Q170" s="2" t="str">
        <f>+IFERROR(K170/E170,"")</f>
        <v/>
      </c>
      <c r="R170" s="2" t="str">
        <f>+IFERROR(L170/F170,"")</f>
        <v/>
      </c>
      <c r="S170" s="2" t="str">
        <f>+IFERROR(M170/G170,"")</f>
        <v/>
      </c>
      <c r="T170" s="2" t="str">
        <f>+IFERROR(#REF!/#REF!,"")</f>
        <v/>
      </c>
      <c r="U170" s="2" t="str">
        <f>+IFERROR(#REF!/#REF!,"")</f>
        <v/>
      </c>
      <c r="V170" s="2" t="str">
        <f>+IFERROR(#REF!/#REF!,"")</f>
        <v/>
      </c>
      <c r="W170" s="2" t="str">
        <f>+IFERROR(#REF!/#REF!,"")</f>
        <v/>
      </c>
      <c r="X170" s="2" t="str">
        <f>+IFERROR(#REF!/#REF!,"")</f>
        <v/>
      </c>
      <c r="Y170" s="2" t="str">
        <f>+IFERROR(#REF!/#REF!,"")</f>
        <v/>
      </c>
      <c r="Z170" s="2" t="str">
        <f>+IFERROR(#REF!/#REF!,"")</f>
        <v/>
      </c>
      <c r="AA170" s="2" t="str">
        <f>+IFERROR(#REF!/#REF!,"")</f>
        <v/>
      </c>
      <c r="AB170" s="2" t="str">
        <f>+IFERROR(N170/H170,"")</f>
        <v/>
      </c>
      <c r="AD170" s="2" t="str">
        <f t="shared" si="50"/>
        <v/>
      </c>
      <c r="AE170" s="2" t="str">
        <f t="shared" si="51"/>
        <v/>
      </c>
      <c r="AF170" s="143" t="str">
        <f t="shared" si="52"/>
        <v/>
      </c>
      <c r="AG170" s="143" t="str">
        <f t="shared" si="53"/>
        <v/>
      </c>
      <c r="AH170" s="143" t="str">
        <f t="shared" si="54"/>
        <v/>
      </c>
      <c r="AI170" s="143" t="str">
        <f t="shared" si="55"/>
        <v/>
      </c>
      <c r="AJ170" s="143" t="str">
        <f t="shared" si="56"/>
        <v/>
      </c>
      <c r="AK170" s="143" t="str">
        <f t="shared" si="57"/>
        <v/>
      </c>
      <c r="AL170" s="143" t="str">
        <f t="shared" si="58"/>
        <v/>
      </c>
      <c r="AM170" s="143" t="str">
        <f t="shared" si="59"/>
        <v/>
      </c>
      <c r="AN170" s="143" t="str">
        <f t="shared" si="60"/>
        <v/>
      </c>
      <c r="AP170" s="9">
        <f t="shared" si="48"/>
        <v>0</v>
      </c>
      <c r="AQ170" s="9">
        <f t="shared" si="49"/>
        <v>0.99847593010859614</v>
      </c>
    </row>
    <row r="171" spans="2:43" x14ac:dyDescent="0.35">
      <c r="B171" s="3" t="s">
        <v>276</v>
      </c>
      <c r="D171" s="141">
        <v>4624</v>
      </c>
      <c r="E171" s="141">
        <v>1929</v>
      </c>
      <c r="F171" s="141">
        <v>9629</v>
      </c>
      <c r="G171" s="141"/>
      <c r="H171" s="141">
        <f>+SUM(D171:G171)</f>
        <v>16182</v>
      </c>
      <c r="J171" s="141">
        <v>749</v>
      </c>
      <c r="K171" s="141">
        <v>272</v>
      </c>
      <c r="L171" s="141">
        <v>1859</v>
      </c>
      <c r="M171" s="141"/>
      <c r="N171" s="141">
        <f>+SUM(J171:M171)</f>
        <v>2880</v>
      </c>
      <c r="P171" s="2">
        <f>+IFERROR(J171/D171,"")</f>
        <v>0.16198096885813149</v>
      </c>
      <c r="Q171" s="2">
        <f>+IFERROR(K171/E171,"")</f>
        <v>0.1410057024364956</v>
      </c>
      <c r="R171" s="2">
        <f>+IFERROR(L171/F171,"")</f>
        <v>0.19306262332537127</v>
      </c>
      <c r="S171" s="2" t="str">
        <f>+IFERROR(M171/G171,"")</f>
        <v/>
      </c>
      <c r="T171" s="2" t="str">
        <f>+IFERROR(#REF!/#REF!,"")</f>
        <v/>
      </c>
      <c r="U171" s="2" t="str">
        <f>+IFERROR(#REF!/#REF!,"")</f>
        <v/>
      </c>
      <c r="V171" s="2" t="str">
        <f>+IFERROR(#REF!/#REF!,"")</f>
        <v/>
      </c>
      <c r="W171" s="2" t="str">
        <f>+IFERROR(#REF!/#REF!,"")</f>
        <v/>
      </c>
      <c r="X171" s="2" t="str">
        <f>+IFERROR(#REF!/#REF!,"")</f>
        <v/>
      </c>
      <c r="Y171" s="2" t="str">
        <f>+IFERROR(#REF!/#REF!,"")</f>
        <v/>
      </c>
      <c r="Z171" s="2" t="str">
        <f>+IFERROR(#REF!/#REF!,"")</f>
        <v/>
      </c>
      <c r="AA171" s="2" t="str">
        <f>+IFERROR(#REF!/#REF!,"")</f>
        <v/>
      </c>
      <c r="AB171" s="2">
        <f>+IFERROR(N171/H171,"")</f>
        <v>0.17797552836484984</v>
      </c>
      <c r="AD171" s="2" t="str">
        <f t="shared" si="50"/>
        <v/>
      </c>
      <c r="AE171" s="2" t="str">
        <f t="shared" si="51"/>
        <v/>
      </c>
      <c r="AF171" s="143" t="str">
        <f t="shared" si="52"/>
        <v/>
      </c>
      <c r="AG171" s="143" t="str">
        <f t="shared" si="53"/>
        <v/>
      </c>
      <c r="AH171" s="143" t="str">
        <f t="shared" si="54"/>
        <v/>
      </c>
      <c r="AI171" s="143" t="str">
        <f t="shared" si="55"/>
        <v/>
      </c>
      <c r="AJ171" s="143" t="str">
        <f t="shared" si="56"/>
        <v/>
      </c>
      <c r="AK171" s="143" t="str">
        <f t="shared" si="57"/>
        <v/>
      </c>
      <c r="AL171" s="143" t="str">
        <f t="shared" si="58"/>
        <v/>
      </c>
      <c r="AM171" s="143" t="str">
        <f t="shared" si="59"/>
        <v/>
      </c>
      <c r="AN171" s="143" t="str">
        <f t="shared" si="60"/>
        <v/>
      </c>
      <c r="AP171" s="9">
        <f t="shared" si="48"/>
        <v>1.7632243341865481E-6</v>
      </c>
      <c r="AQ171" s="9">
        <f t="shared" si="49"/>
        <v>0.99847769333293035</v>
      </c>
    </row>
    <row r="172" spans="2:43" x14ac:dyDescent="0.35">
      <c r="B172" s="3" t="s">
        <v>251</v>
      </c>
      <c r="D172" s="141">
        <v>2133672</v>
      </c>
      <c r="E172" s="141">
        <v>2071100</v>
      </c>
      <c r="F172" s="141">
        <v>2675044</v>
      </c>
      <c r="G172" s="141">
        <v>1733725</v>
      </c>
      <c r="H172" s="141">
        <f>+SUM(D172:G172)</f>
        <v>8613541</v>
      </c>
      <c r="J172" s="141">
        <v>213490</v>
      </c>
      <c r="K172" s="141">
        <v>181939</v>
      </c>
      <c r="L172" s="141">
        <v>340194</v>
      </c>
      <c r="M172" s="141">
        <v>135949</v>
      </c>
      <c r="N172" s="141">
        <f>+SUM(J172:M172)</f>
        <v>871572</v>
      </c>
      <c r="P172" s="2">
        <f>+IFERROR(J172/D172,"")</f>
        <v>0.10005755336340356</v>
      </c>
      <c r="Q172" s="2">
        <f>+IFERROR(K172/E172,"")</f>
        <v>8.7846554970788471E-2</v>
      </c>
      <c r="R172" s="2">
        <f>+IFERROR(L172/F172,"")</f>
        <v>0.12717323528136359</v>
      </c>
      <c r="S172" s="2">
        <f>+IFERROR(M172/G172,"")</f>
        <v>7.8414396746888923E-2</v>
      </c>
      <c r="T172" s="2" t="str">
        <f>+IFERROR(#REF!/#REF!,"")</f>
        <v/>
      </c>
      <c r="U172" s="2" t="str">
        <f>+IFERROR(#REF!/#REF!,"")</f>
        <v/>
      </c>
      <c r="V172" s="2" t="str">
        <f>+IFERROR(#REF!/#REF!,"")</f>
        <v/>
      </c>
      <c r="W172" s="2" t="str">
        <f>+IFERROR(#REF!/#REF!,"")</f>
        <v/>
      </c>
      <c r="X172" s="2" t="str">
        <f>+IFERROR(#REF!/#REF!,"")</f>
        <v/>
      </c>
      <c r="Y172" s="2" t="str">
        <f>+IFERROR(#REF!/#REF!,"")</f>
        <v/>
      </c>
      <c r="Z172" s="2" t="str">
        <f>+IFERROR(#REF!/#REF!,"")</f>
        <v/>
      </c>
      <c r="AA172" s="2" t="str">
        <f>+IFERROR(#REF!/#REF!,"")</f>
        <v/>
      </c>
      <c r="AB172" s="2">
        <f>+IFERROR(N172/H172,"")</f>
        <v>0.10118626009906959</v>
      </c>
      <c r="AD172" s="2" t="str">
        <f t="shared" si="50"/>
        <v/>
      </c>
      <c r="AE172" s="2" t="str">
        <f t="shared" si="51"/>
        <v/>
      </c>
      <c r="AF172" s="143">
        <f t="shared" si="52"/>
        <v>-4.8758838534474672E-2</v>
      </c>
      <c r="AG172" s="143" t="str">
        <f t="shared" si="53"/>
        <v/>
      </c>
      <c r="AH172" s="143" t="str">
        <f t="shared" si="54"/>
        <v/>
      </c>
      <c r="AI172" s="143" t="str">
        <f t="shared" si="55"/>
        <v/>
      </c>
      <c r="AJ172" s="143" t="str">
        <f t="shared" si="56"/>
        <v/>
      </c>
      <c r="AK172" s="143" t="str">
        <f t="shared" si="57"/>
        <v/>
      </c>
      <c r="AL172" s="143" t="str">
        <f t="shared" si="58"/>
        <v/>
      </c>
      <c r="AM172" s="143" t="str">
        <f t="shared" si="59"/>
        <v/>
      </c>
      <c r="AN172" s="143" t="str">
        <f t="shared" si="60"/>
        <v/>
      </c>
      <c r="AP172" s="9">
        <f t="shared" si="48"/>
        <v>5.3360311090126322E-4</v>
      </c>
      <c r="AQ172" s="9">
        <f t="shared" si="49"/>
        <v>0.99901129644383158</v>
      </c>
    </row>
    <row r="173" spans="2:43" x14ac:dyDescent="0.35">
      <c r="B173" s="3" t="s">
        <v>274</v>
      </c>
      <c r="D173" s="141"/>
      <c r="E173" s="141"/>
      <c r="F173" s="141"/>
      <c r="G173" s="141"/>
      <c r="H173" s="141">
        <f>+SUM(D173:G173)</f>
        <v>0</v>
      </c>
      <c r="J173" s="141"/>
      <c r="K173" s="141"/>
      <c r="L173" s="141"/>
      <c r="M173" s="141"/>
      <c r="N173" s="141">
        <f>+SUM(J173:M173)</f>
        <v>0</v>
      </c>
      <c r="P173" s="2" t="str">
        <f>+IFERROR(J173/D173,"")</f>
        <v/>
      </c>
      <c r="Q173" s="2" t="str">
        <f>+IFERROR(K173/E173,"")</f>
        <v/>
      </c>
      <c r="R173" s="2" t="str">
        <f>+IFERROR(L173/F173,"")</f>
        <v/>
      </c>
      <c r="S173" s="2" t="str">
        <f>+IFERROR(M173/G173,"")</f>
        <v/>
      </c>
      <c r="T173" s="2" t="str">
        <f>+IFERROR(#REF!/#REF!,"")</f>
        <v/>
      </c>
      <c r="U173" s="2" t="str">
        <f>+IFERROR(#REF!/#REF!,"")</f>
        <v/>
      </c>
      <c r="V173" s="2" t="str">
        <f>+IFERROR(#REF!/#REF!,"")</f>
        <v/>
      </c>
      <c r="W173" s="2" t="str">
        <f>+IFERROR(#REF!/#REF!,"")</f>
        <v/>
      </c>
      <c r="X173" s="2" t="str">
        <f>+IFERROR(#REF!/#REF!,"")</f>
        <v/>
      </c>
      <c r="Y173" s="2" t="str">
        <f>+IFERROR(#REF!/#REF!,"")</f>
        <v/>
      </c>
      <c r="Z173" s="2" t="str">
        <f>+IFERROR(#REF!/#REF!,"")</f>
        <v/>
      </c>
      <c r="AA173" s="2" t="str">
        <f>+IFERROR(#REF!/#REF!,"")</f>
        <v/>
      </c>
      <c r="AB173" s="2" t="str">
        <f>+IFERROR(N173/H173,"")</f>
        <v/>
      </c>
      <c r="AD173" s="2" t="str">
        <f t="shared" si="50"/>
        <v/>
      </c>
      <c r="AE173" s="2" t="str">
        <f t="shared" si="51"/>
        <v/>
      </c>
      <c r="AF173" s="143" t="str">
        <f t="shared" si="52"/>
        <v/>
      </c>
      <c r="AG173" s="143" t="str">
        <f t="shared" si="53"/>
        <v/>
      </c>
      <c r="AH173" s="143" t="str">
        <f t="shared" si="54"/>
        <v/>
      </c>
      <c r="AI173" s="143" t="str">
        <f t="shared" si="55"/>
        <v/>
      </c>
      <c r="AJ173" s="143" t="str">
        <f t="shared" si="56"/>
        <v/>
      </c>
      <c r="AK173" s="143" t="str">
        <f t="shared" si="57"/>
        <v/>
      </c>
      <c r="AL173" s="143" t="str">
        <f t="shared" si="58"/>
        <v/>
      </c>
      <c r="AM173" s="143" t="str">
        <f t="shared" si="59"/>
        <v/>
      </c>
      <c r="AN173" s="143" t="str">
        <f t="shared" si="60"/>
        <v/>
      </c>
      <c r="AP173" s="9">
        <f t="shared" si="48"/>
        <v>0</v>
      </c>
      <c r="AQ173" s="9">
        <f t="shared" si="49"/>
        <v>0.99901129644383158</v>
      </c>
    </row>
    <row r="174" spans="2:43" x14ac:dyDescent="0.35">
      <c r="B174" s="3" t="s">
        <v>273</v>
      </c>
      <c r="D174" s="141">
        <v>17309</v>
      </c>
      <c r="E174" s="141">
        <v>8178</v>
      </c>
      <c r="F174" s="141">
        <v>34346</v>
      </c>
      <c r="G174" s="141">
        <v>12415</v>
      </c>
      <c r="H174" s="141">
        <f>+SUM(D174:G174)</f>
        <v>72248</v>
      </c>
      <c r="J174" s="141">
        <v>1305</v>
      </c>
      <c r="K174" s="141">
        <v>540</v>
      </c>
      <c r="L174" s="141">
        <v>1181</v>
      </c>
      <c r="M174" s="141">
        <v>1156</v>
      </c>
      <c r="N174" s="141">
        <f>+SUM(J174:M174)</f>
        <v>4182</v>
      </c>
      <c r="P174" s="2">
        <f>+IFERROR(J174/D174,"")</f>
        <v>7.5394303541510194E-2</v>
      </c>
      <c r="Q174" s="2">
        <f>+IFERROR(K174/E174,"")</f>
        <v>6.6030814380044017E-2</v>
      </c>
      <c r="R174" s="2">
        <f>+IFERROR(L174/F174,"")</f>
        <v>3.4385372386886388E-2</v>
      </c>
      <c r="S174" s="2">
        <f>+IFERROR(M174/G174,"")</f>
        <v>9.3113169552960132E-2</v>
      </c>
      <c r="T174" s="2" t="str">
        <f>+IFERROR(#REF!/#REF!,"")</f>
        <v/>
      </c>
      <c r="U174" s="2" t="str">
        <f>+IFERROR(#REF!/#REF!,"")</f>
        <v/>
      </c>
      <c r="V174" s="2" t="str">
        <f>+IFERROR(#REF!/#REF!,"")</f>
        <v/>
      </c>
      <c r="W174" s="2" t="str">
        <f>+IFERROR(#REF!/#REF!,"")</f>
        <v/>
      </c>
      <c r="X174" s="2" t="str">
        <f>+IFERROR(#REF!/#REF!,"")</f>
        <v/>
      </c>
      <c r="Y174" s="2" t="str">
        <f>+IFERROR(#REF!/#REF!,"")</f>
        <v/>
      </c>
      <c r="Z174" s="2" t="str">
        <f>+IFERROR(#REF!/#REF!,"")</f>
        <v/>
      </c>
      <c r="AA174" s="2" t="str">
        <f>+IFERROR(#REF!/#REF!,"")</f>
        <v/>
      </c>
      <c r="AB174" s="2">
        <f>+IFERROR(N174/H174,"")</f>
        <v>5.7883955265197649E-2</v>
      </c>
      <c r="AD174" s="2" t="str">
        <f t="shared" ref="AD174:AD204" si="61">+IFERROR(W174-V174,"")</f>
        <v/>
      </c>
      <c r="AE174" s="2" t="str">
        <f t="shared" ref="AE174:AE204" si="62">+IFERROR(X174-W174,"")</f>
        <v/>
      </c>
      <c r="AF174" s="143">
        <f t="shared" ref="AF174:AF204" si="63">+IFERROR(S174-R174,"")</f>
        <v>5.8727797166073743E-2</v>
      </c>
      <c r="AG174" s="143" t="str">
        <f t="shared" ref="AG174:AG204" si="64">+IFERROR(T174-S174,"")</f>
        <v/>
      </c>
      <c r="AH174" s="143" t="str">
        <f t="shared" ref="AH174:AH204" si="65">+IFERROR(U174-T174,"")</f>
        <v/>
      </c>
      <c r="AI174" s="143" t="str">
        <f t="shared" ref="AI174:AI204" si="66">+IFERROR(V174-U174,"")</f>
        <v/>
      </c>
      <c r="AJ174" s="143" t="str">
        <f t="shared" ref="AJ174:AJ204" si="67">+IFERROR(W174-V174,"")</f>
        <v/>
      </c>
      <c r="AK174" s="143" t="str">
        <f t="shared" ref="AK174:AK204" si="68">+IFERROR(X174-W174,"")</f>
        <v/>
      </c>
      <c r="AL174" s="143" t="str">
        <f t="shared" ref="AL174:AL204" si="69">+IFERROR(Y174-X174,"")</f>
        <v/>
      </c>
      <c r="AM174" s="143" t="str">
        <f t="shared" ref="AM174:AM204" si="70">+IFERROR(Z174-Y174,"")</f>
        <v/>
      </c>
      <c r="AN174" s="143" t="str">
        <f t="shared" ref="AN174:AN204" si="71">+IFERROR(AA174-Z174,"")</f>
        <v/>
      </c>
      <c r="AP174" s="9">
        <f t="shared" si="48"/>
        <v>2.5603486686000498E-6</v>
      </c>
      <c r="AQ174" s="9">
        <f t="shared" si="49"/>
        <v>0.99901385679250021</v>
      </c>
    </row>
    <row r="175" spans="2:43" x14ac:dyDescent="0.35">
      <c r="B175" s="3" t="s">
        <v>266</v>
      </c>
      <c r="D175" s="141">
        <v>2424</v>
      </c>
      <c r="E175" s="141">
        <v>3969</v>
      </c>
      <c r="F175" s="141">
        <v>2104</v>
      </c>
      <c r="G175" s="141">
        <v>2894</v>
      </c>
      <c r="H175" s="141">
        <f>+SUM(D175:G175)</f>
        <v>11391</v>
      </c>
      <c r="J175" s="141">
        <v>221</v>
      </c>
      <c r="K175" s="141">
        <v>989</v>
      </c>
      <c r="L175" s="141">
        <v>70</v>
      </c>
      <c r="M175" s="141">
        <v>284</v>
      </c>
      <c r="N175" s="141">
        <f>+SUM(J175:M175)</f>
        <v>1564</v>
      </c>
      <c r="P175" s="2">
        <f>+IFERROR(J175/D175,"")</f>
        <v>9.1171617161716165E-2</v>
      </c>
      <c r="Q175" s="2">
        <f>+IFERROR(K175/E175,"")</f>
        <v>0.2491811539430587</v>
      </c>
      <c r="R175" s="2">
        <f>+IFERROR(L175/F175,"")</f>
        <v>3.3269961977186312E-2</v>
      </c>
      <c r="S175" s="2">
        <f>+IFERROR(M175/G175,"")</f>
        <v>9.8134070490670355E-2</v>
      </c>
      <c r="T175" s="2" t="str">
        <f>+IFERROR(#REF!/#REF!,"")</f>
        <v/>
      </c>
      <c r="U175" s="2" t="str">
        <f>+IFERROR(#REF!/#REF!,"")</f>
        <v/>
      </c>
      <c r="V175" s="2" t="str">
        <f>+IFERROR(#REF!/#REF!,"")</f>
        <v/>
      </c>
      <c r="W175" s="2" t="str">
        <f>+IFERROR(#REF!/#REF!,"")</f>
        <v/>
      </c>
      <c r="X175" s="2" t="str">
        <f>+IFERROR(#REF!/#REF!,"")</f>
        <v/>
      </c>
      <c r="Y175" s="2" t="str">
        <f>+IFERROR(#REF!/#REF!,"")</f>
        <v/>
      </c>
      <c r="Z175" s="2" t="str">
        <f>+IFERROR(#REF!/#REF!,"")</f>
        <v/>
      </c>
      <c r="AA175" s="2" t="str">
        <f>+IFERROR(#REF!/#REF!,"")</f>
        <v/>
      </c>
      <c r="AB175" s="2">
        <f>+IFERROR(N175/H175,"")</f>
        <v>0.13730137828109912</v>
      </c>
      <c r="AD175" s="2" t="str">
        <f t="shared" si="61"/>
        <v/>
      </c>
      <c r="AE175" s="2" t="str">
        <f t="shared" si="62"/>
        <v/>
      </c>
      <c r="AF175" s="143">
        <f t="shared" si="63"/>
        <v>6.4864108513484037E-2</v>
      </c>
      <c r="AG175" s="143" t="str">
        <f t="shared" si="64"/>
        <v/>
      </c>
      <c r="AH175" s="143" t="str">
        <f t="shared" si="65"/>
        <v/>
      </c>
      <c r="AI175" s="143" t="str">
        <f t="shared" si="66"/>
        <v/>
      </c>
      <c r="AJ175" s="143" t="str">
        <f t="shared" si="67"/>
        <v/>
      </c>
      <c r="AK175" s="143" t="str">
        <f t="shared" si="68"/>
        <v/>
      </c>
      <c r="AL175" s="143" t="str">
        <f t="shared" si="69"/>
        <v/>
      </c>
      <c r="AM175" s="143" t="str">
        <f t="shared" si="70"/>
        <v/>
      </c>
      <c r="AN175" s="143" t="str">
        <f t="shared" si="71"/>
        <v/>
      </c>
      <c r="AP175" s="9">
        <f t="shared" si="48"/>
        <v>9.5752877037075046E-7</v>
      </c>
      <c r="AQ175" s="9">
        <f t="shared" si="49"/>
        <v>0.99901481432127059</v>
      </c>
    </row>
    <row r="176" spans="2:43" x14ac:dyDescent="0.35">
      <c r="B176" s="3" t="s">
        <v>281</v>
      </c>
      <c r="D176" s="141">
        <v>24513</v>
      </c>
      <c r="E176" s="141">
        <v>7910</v>
      </c>
      <c r="F176" s="141">
        <v>2311</v>
      </c>
      <c r="G176" s="141">
        <v>1</v>
      </c>
      <c r="H176" s="141">
        <f>+SUM(D176:G176)</f>
        <v>34735</v>
      </c>
      <c r="J176" s="141">
        <v>491</v>
      </c>
      <c r="K176" s="141">
        <v>383</v>
      </c>
      <c r="L176" s="141">
        <v>291</v>
      </c>
      <c r="M176" s="141">
        <v>1</v>
      </c>
      <c r="N176" s="141">
        <f>+SUM(J176:M176)</f>
        <v>1166</v>
      </c>
      <c r="P176" s="2">
        <f>+IFERROR(J176/D176,"")</f>
        <v>2.0030188063476524E-2</v>
      </c>
      <c r="Q176" s="2">
        <f>+IFERROR(K176/E176,"")</f>
        <v>4.8419721871049308E-2</v>
      </c>
      <c r="R176" s="2">
        <f>+IFERROR(L176/F176,"")</f>
        <v>0.12591951536131546</v>
      </c>
      <c r="S176" s="2">
        <f>+IFERROR(M176/G176,"")</f>
        <v>1</v>
      </c>
      <c r="T176" s="2" t="str">
        <f>+IFERROR(#REF!/#REF!,"")</f>
        <v/>
      </c>
      <c r="U176" s="2" t="str">
        <f>+IFERROR(#REF!/#REF!,"")</f>
        <v/>
      </c>
      <c r="V176" s="2" t="str">
        <f>+IFERROR(#REF!/#REF!,"")</f>
        <v/>
      </c>
      <c r="W176" s="2" t="str">
        <f>+IFERROR(#REF!/#REF!,"")</f>
        <v/>
      </c>
      <c r="X176" s="2" t="str">
        <f>+IFERROR(#REF!/#REF!,"")</f>
        <v/>
      </c>
      <c r="Y176" s="2" t="str">
        <f>+IFERROR(#REF!/#REF!,"")</f>
        <v/>
      </c>
      <c r="Z176" s="2" t="str">
        <f>+IFERROR(#REF!/#REF!,"")</f>
        <v/>
      </c>
      <c r="AA176" s="2" t="str">
        <f>+IFERROR(#REF!/#REF!,"")</f>
        <v/>
      </c>
      <c r="AB176" s="2">
        <f>+IFERROR(N176/H176,"")</f>
        <v>3.3568446811573338E-2</v>
      </c>
      <c r="AD176" s="2" t="str">
        <f t="shared" si="61"/>
        <v/>
      </c>
      <c r="AE176" s="2" t="str">
        <f t="shared" si="62"/>
        <v/>
      </c>
      <c r="AF176" s="143">
        <f t="shared" si="63"/>
        <v>0.87408048463868449</v>
      </c>
      <c r="AG176" s="143" t="str">
        <f t="shared" si="64"/>
        <v/>
      </c>
      <c r="AH176" s="143" t="str">
        <f t="shared" si="65"/>
        <v/>
      </c>
      <c r="AI176" s="143" t="str">
        <f t="shared" si="66"/>
        <v/>
      </c>
      <c r="AJ176" s="143" t="str">
        <f t="shared" si="67"/>
        <v/>
      </c>
      <c r="AK176" s="143" t="str">
        <f t="shared" si="68"/>
        <v/>
      </c>
      <c r="AL176" s="143" t="str">
        <f t="shared" si="69"/>
        <v/>
      </c>
      <c r="AM176" s="143" t="str">
        <f t="shared" si="70"/>
        <v/>
      </c>
      <c r="AN176" s="143" t="str">
        <f t="shared" si="71"/>
        <v/>
      </c>
      <c r="AP176" s="9">
        <f t="shared" si="48"/>
        <v>7.1386096307691495E-7</v>
      </c>
      <c r="AQ176" s="9">
        <f t="shared" si="49"/>
        <v>0.99901552818223371</v>
      </c>
    </row>
    <row r="177" spans="2:43" x14ac:dyDescent="0.35">
      <c r="B177" s="3" t="s">
        <v>277</v>
      </c>
      <c r="D177" s="141">
        <v>67315</v>
      </c>
      <c r="E177" s="141">
        <v>63351</v>
      </c>
      <c r="F177" s="141">
        <v>4370</v>
      </c>
      <c r="G177" s="141">
        <v>59165</v>
      </c>
      <c r="H177" s="141">
        <f>+SUM(D177:G177)</f>
        <v>194201</v>
      </c>
      <c r="J177" s="141">
        <v>8325</v>
      </c>
      <c r="K177" s="141">
        <v>9033</v>
      </c>
      <c r="L177" s="141">
        <v>470</v>
      </c>
      <c r="M177" s="141">
        <v>7704</v>
      </c>
      <c r="N177" s="141">
        <f>+SUM(J177:M177)</f>
        <v>25532</v>
      </c>
      <c r="P177" s="2">
        <f>+IFERROR(J177/D177,"")</f>
        <v>0.12367228700883905</v>
      </c>
      <c r="Q177" s="2">
        <f>+IFERROR(K177/E177,"")</f>
        <v>0.14258654164890847</v>
      </c>
      <c r="R177" s="2">
        <f>+IFERROR(L177/F177,"")</f>
        <v>0.10755148741418764</v>
      </c>
      <c r="S177" s="2">
        <f>+IFERROR(M177/G177,"")</f>
        <v>0.13021211865122961</v>
      </c>
      <c r="T177" s="2" t="str">
        <f>+IFERROR(#REF!/#REF!,"")</f>
        <v/>
      </c>
      <c r="U177" s="2" t="str">
        <f>+IFERROR(#REF!/#REF!,"")</f>
        <v/>
      </c>
      <c r="V177" s="2" t="str">
        <f>+IFERROR(#REF!/#REF!,"")</f>
        <v/>
      </c>
      <c r="W177" s="2" t="str">
        <f>+IFERROR(#REF!/#REF!,"")</f>
        <v/>
      </c>
      <c r="X177" s="2" t="str">
        <f>+IFERROR(#REF!/#REF!,"")</f>
        <v/>
      </c>
      <c r="Y177" s="2" t="str">
        <f>+IFERROR(#REF!/#REF!,"")</f>
        <v/>
      </c>
      <c r="Z177" s="2" t="str">
        <f>+IFERROR(#REF!/#REF!,"")</f>
        <v/>
      </c>
      <c r="AA177" s="2" t="str">
        <f>+IFERROR(#REF!/#REF!,"")</f>
        <v/>
      </c>
      <c r="AB177" s="2">
        <f>+IFERROR(N177/H177,"")</f>
        <v>0.13147203155493534</v>
      </c>
      <c r="AD177" s="2" t="str">
        <f t="shared" si="61"/>
        <v/>
      </c>
      <c r="AE177" s="2" t="str">
        <f t="shared" si="62"/>
        <v/>
      </c>
      <c r="AF177" s="143">
        <f t="shared" si="63"/>
        <v>2.266063123704197E-2</v>
      </c>
      <c r="AG177" s="143" t="str">
        <f t="shared" si="64"/>
        <v/>
      </c>
      <c r="AH177" s="143" t="str">
        <f t="shared" si="65"/>
        <v/>
      </c>
      <c r="AI177" s="143" t="str">
        <f t="shared" si="66"/>
        <v/>
      </c>
      <c r="AJ177" s="143" t="str">
        <f t="shared" si="67"/>
        <v/>
      </c>
      <c r="AK177" s="143" t="str">
        <f t="shared" si="68"/>
        <v/>
      </c>
      <c r="AL177" s="143" t="str">
        <f t="shared" si="69"/>
        <v/>
      </c>
      <c r="AM177" s="143" t="str">
        <f t="shared" si="70"/>
        <v/>
      </c>
      <c r="AN177" s="143" t="str">
        <f t="shared" si="71"/>
        <v/>
      </c>
      <c r="AP177" s="9">
        <f t="shared" si="48"/>
        <v>1.5631473507101021E-5</v>
      </c>
      <c r="AQ177" s="9">
        <f t="shared" si="49"/>
        <v>0.99903115965574085</v>
      </c>
    </row>
    <row r="178" spans="2:43" x14ac:dyDescent="0.35">
      <c r="B178" s="3" t="s">
        <v>263</v>
      </c>
      <c r="D178" s="141">
        <v>88510</v>
      </c>
      <c r="E178" s="141">
        <v>134490</v>
      </c>
      <c r="F178" s="141">
        <v>1146</v>
      </c>
      <c r="G178" s="141">
        <v>89395</v>
      </c>
      <c r="H178" s="141">
        <f>+SUM(D178:G178)</f>
        <v>313541</v>
      </c>
      <c r="J178" s="141">
        <v>4407</v>
      </c>
      <c r="K178" s="141">
        <v>8304</v>
      </c>
      <c r="L178" s="141">
        <v>361</v>
      </c>
      <c r="M178" s="141">
        <v>5244</v>
      </c>
      <c r="N178" s="141">
        <f>+SUM(J178:M178)</f>
        <v>18316</v>
      </c>
      <c r="P178" s="2">
        <f>+IFERROR(J178/D178,"")</f>
        <v>4.9790984069596658E-2</v>
      </c>
      <c r="Q178" s="2">
        <f>+IFERROR(K178/E178,"")</f>
        <v>6.1744367610974793E-2</v>
      </c>
      <c r="R178" s="2">
        <f>+IFERROR(L178/F178,"")</f>
        <v>0.31500872600349039</v>
      </c>
      <c r="S178" s="2">
        <f>+IFERROR(M178/G178,"")</f>
        <v>5.8660998937300743E-2</v>
      </c>
      <c r="T178" s="2" t="str">
        <f>+IFERROR(#REF!/#REF!,"")</f>
        <v/>
      </c>
      <c r="U178" s="2" t="str">
        <f>+IFERROR(#REF!/#REF!,"")</f>
        <v/>
      </c>
      <c r="V178" s="2" t="str">
        <f>+IFERROR(#REF!/#REF!,"")</f>
        <v/>
      </c>
      <c r="W178" s="2" t="str">
        <f>+IFERROR(#REF!/#REF!,"")</f>
        <v/>
      </c>
      <c r="X178" s="2" t="str">
        <f>+IFERROR(#REF!/#REF!,"")</f>
        <v/>
      </c>
      <c r="Y178" s="2" t="str">
        <f>+IFERROR(#REF!/#REF!,"")</f>
        <v/>
      </c>
      <c r="Z178" s="2" t="str">
        <f>+IFERROR(#REF!/#REF!,"")</f>
        <v/>
      </c>
      <c r="AA178" s="2" t="str">
        <f>+IFERROR(#REF!/#REF!,"")</f>
        <v/>
      </c>
      <c r="AB178" s="2">
        <f>+IFERROR(N178/H178,"")</f>
        <v>5.8416602613374329E-2</v>
      </c>
      <c r="AD178" s="2" t="str">
        <f t="shared" si="61"/>
        <v/>
      </c>
      <c r="AE178" s="2" t="str">
        <f t="shared" si="62"/>
        <v/>
      </c>
      <c r="AF178" s="143">
        <f t="shared" si="63"/>
        <v>-0.25634772706618963</v>
      </c>
      <c r="AG178" s="143" t="str">
        <f t="shared" si="64"/>
        <v/>
      </c>
      <c r="AH178" s="143" t="str">
        <f t="shared" si="65"/>
        <v/>
      </c>
      <c r="AI178" s="143" t="str">
        <f t="shared" si="66"/>
        <v/>
      </c>
      <c r="AJ178" s="143" t="str">
        <f t="shared" si="67"/>
        <v/>
      </c>
      <c r="AK178" s="143" t="str">
        <f t="shared" si="68"/>
        <v/>
      </c>
      <c r="AL178" s="143" t="str">
        <f t="shared" si="69"/>
        <v/>
      </c>
      <c r="AM178" s="143" t="str">
        <f t="shared" si="70"/>
        <v/>
      </c>
      <c r="AN178" s="143" t="str">
        <f t="shared" si="71"/>
        <v/>
      </c>
      <c r="AP178" s="9">
        <f t="shared" si="48"/>
        <v>1.1213616980889172E-5</v>
      </c>
      <c r="AQ178" s="9">
        <f t="shared" si="49"/>
        <v>0.99904237327272172</v>
      </c>
    </row>
    <row r="179" spans="2:43" x14ac:dyDescent="0.35">
      <c r="B179" s="3" t="s">
        <v>269</v>
      </c>
      <c r="D179" s="141"/>
      <c r="E179" s="141"/>
      <c r="F179" s="141"/>
      <c r="G179" s="141">
        <v>37360</v>
      </c>
      <c r="H179" s="141">
        <f>+SUM(D179:G179)</f>
        <v>37360</v>
      </c>
      <c r="J179" s="141"/>
      <c r="K179" s="141"/>
      <c r="L179" s="141"/>
      <c r="M179" s="141">
        <v>3620</v>
      </c>
      <c r="N179" s="141">
        <f>+SUM(J179:M179)</f>
        <v>3620</v>
      </c>
      <c r="P179" s="2" t="str">
        <f>+IFERROR(J179/D179,"")</f>
        <v/>
      </c>
      <c r="Q179" s="2" t="str">
        <f>+IFERROR(K179/E179,"")</f>
        <v/>
      </c>
      <c r="R179" s="2" t="str">
        <f>+IFERROR(L179/F179,"")</f>
        <v/>
      </c>
      <c r="S179" s="2">
        <f>+IFERROR(M179/G179,"")</f>
        <v>9.6895074946466805E-2</v>
      </c>
      <c r="T179" s="2" t="str">
        <f>+IFERROR(#REF!/#REF!,"")</f>
        <v/>
      </c>
      <c r="U179" s="2" t="str">
        <f>+IFERROR(#REF!/#REF!,"")</f>
        <v/>
      </c>
      <c r="V179" s="2" t="str">
        <f>+IFERROR(#REF!/#REF!,"")</f>
        <v/>
      </c>
      <c r="W179" s="2" t="str">
        <f>+IFERROR(#REF!/#REF!,"")</f>
        <v/>
      </c>
      <c r="X179" s="2" t="str">
        <f>+IFERROR(#REF!/#REF!,"")</f>
        <v/>
      </c>
      <c r="Y179" s="2" t="str">
        <f>+IFERROR(#REF!/#REF!,"")</f>
        <v/>
      </c>
      <c r="Z179" s="2" t="str">
        <f>+IFERROR(#REF!/#REF!,"")</f>
        <v/>
      </c>
      <c r="AA179" s="2" t="str">
        <f>+IFERROR(#REF!/#REF!,"")</f>
        <v/>
      </c>
      <c r="AB179" s="2">
        <f>+IFERROR(N179/H179,"")</f>
        <v>9.6895074946466805E-2</v>
      </c>
      <c r="AD179" s="2" t="str">
        <f t="shared" si="61"/>
        <v/>
      </c>
      <c r="AE179" s="2" t="str">
        <f t="shared" si="62"/>
        <v/>
      </c>
      <c r="AF179" s="143" t="str">
        <f t="shared" si="63"/>
        <v/>
      </c>
      <c r="AG179" s="143" t="str">
        <f t="shared" si="64"/>
        <v/>
      </c>
      <c r="AH179" s="143" t="str">
        <f t="shared" si="65"/>
        <v/>
      </c>
      <c r="AI179" s="143" t="str">
        <f t="shared" si="66"/>
        <v/>
      </c>
      <c r="AJ179" s="143" t="str">
        <f t="shared" si="67"/>
        <v/>
      </c>
      <c r="AK179" s="143" t="str">
        <f t="shared" si="68"/>
        <v/>
      </c>
      <c r="AL179" s="143" t="str">
        <f t="shared" si="69"/>
        <v/>
      </c>
      <c r="AM179" s="143" t="str">
        <f t="shared" si="70"/>
        <v/>
      </c>
      <c r="AN179" s="143" t="str">
        <f t="shared" si="71"/>
        <v/>
      </c>
      <c r="AP179" s="9">
        <f t="shared" si="48"/>
        <v>2.2162750311650359E-6</v>
      </c>
      <c r="AQ179" s="9">
        <f t="shared" si="49"/>
        <v>0.99904458954775288</v>
      </c>
    </row>
    <row r="180" spans="2:43" x14ac:dyDescent="0.35">
      <c r="B180" s="3" t="s">
        <v>286</v>
      </c>
      <c r="D180" s="141">
        <v>12529</v>
      </c>
      <c r="E180" s="141"/>
      <c r="F180" s="141"/>
      <c r="G180" s="141">
        <v>6565</v>
      </c>
      <c r="H180" s="141">
        <f>+SUM(D180:G180)</f>
        <v>19094</v>
      </c>
      <c r="J180" s="141">
        <v>1345</v>
      </c>
      <c r="K180" s="141"/>
      <c r="L180" s="141"/>
      <c r="M180" s="141">
        <v>425</v>
      </c>
      <c r="N180" s="141">
        <f>+SUM(J180:M180)</f>
        <v>1770</v>
      </c>
      <c r="P180" s="2">
        <f>+IFERROR(J180/D180,"")</f>
        <v>0.10735094580573071</v>
      </c>
      <c r="Q180" s="2" t="str">
        <f>+IFERROR(K180/E180,"")</f>
        <v/>
      </c>
      <c r="R180" s="2" t="str">
        <f>+IFERROR(L180/F180,"")</f>
        <v/>
      </c>
      <c r="S180" s="2">
        <f>+IFERROR(M180/G180,"")</f>
        <v>6.4737242955064736E-2</v>
      </c>
      <c r="T180" s="2" t="str">
        <f>+IFERROR(#REF!/#REF!,"")</f>
        <v/>
      </c>
      <c r="U180" s="2" t="str">
        <f>+IFERROR(#REF!/#REF!,"")</f>
        <v/>
      </c>
      <c r="V180" s="2" t="str">
        <f>+IFERROR(#REF!/#REF!,"")</f>
        <v/>
      </c>
      <c r="W180" s="2" t="str">
        <f>+IFERROR(#REF!/#REF!,"")</f>
        <v/>
      </c>
      <c r="X180" s="2" t="str">
        <f>+IFERROR(#REF!/#REF!,"")</f>
        <v/>
      </c>
      <c r="Y180" s="2" t="str">
        <f>+IFERROR(#REF!/#REF!,"")</f>
        <v/>
      </c>
      <c r="Z180" s="2" t="str">
        <f>+IFERROR(#REF!/#REF!,"")</f>
        <v/>
      </c>
      <c r="AA180" s="2" t="str">
        <f>+IFERROR(#REF!/#REF!,"")</f>
        <v/>
      </c>
      <c r="AB180" s="2">
        <f>+IFERROR(N180/H180,"")</f>
        <v>9.2699277259872218E-2</v>
      </c>
      <c r="AD180" s="2" t="str">
        <f t="shared" si="61"/>
        <v/>
      </c>
      <c r="AE180" s="2" t="str">
        <f t="shared" si="62"/>
        <v/>
      </c>
      <c r="AF180" s="143" t="str">
        <f t="shared" si="63"/>
        <v/>
      </c>
      <c r="AG180" s="143" t="str">
        <f t="shared" si="64"/>
        <v/>
      </c>
      <c r="AH180" s="143" t="str">
        <f t="shared" si="65"/>
        <v/>
      </c>
      <c r="AI180" s="143" t="str">
        <f t="shared" si="66"/>
        <v/>
      </c>
      <c r="AJ180" s="143" t="str">
        <f t="shared" si="67"/>
        <v/>
      </c>
      <c r="AK180" s="143" t="str">
        <f t="shared" si="68"/>
        <v/>
      </c>
      <c r="AL180" s="143" t="str">
        <f t="shared" si="69"/>
        <v/>
      </c>
      <c r="AM180" s="143" t="str">
        <f t="shared" si="70"/>
        <v/>
      </c>
      <c r="AN180" s="143" t="str">
        <f t="shared" si="71"/>
        <v/>
      </c>
      <c r="AP180" s="9">
        <f t="shared" si="48"/>
        <v>1.083648288718816E-6</v>
      </c>
      <c r="AQ180" s="9">
        <f t="shared" si="49"/>
        <v>0.99904567319604165</v>
      </c>
    </row>
    <row r="181" spans="2:43" x14ac:dyDescent="0.35">
      <c r="B181" s="3" t="s">
        <v>289</v>
      </c>
      <c r="D181" s="141">
        <v>521809</v>
      </c>
      <c r="E181" s="141">
        <v>474618</v>
      </c>
      <c r="F181" s="141">
        <v>732353</v>
      </c>
      <c r="G181" s="141">
        <v>423485</v>
      </c>
      <c r="H181" s="141">
        <f>+SUM(D181:G181)</f>
        <v>2152265</v>
      </c>
      <c r="J181" s="141">
        <v>41021</v>
      </c>
      <c r="K181" s="141">
        <v>48455</v>
      </c>
      <c r="L181" s="141">
        <v>60579</v>
      </c>
      <c r="M181" s="141">
        <v>27860</v>
      </c>
      <c r="N181" s="141">
        <f>+SUM(J181:M181)</f>
        <v>177915</v>
      </c>
      <c r="P181" s="2">
        <f>+IFERROR(J181/D181,"")</f>
        <v>7.8613055734952822E-2</v>
      </c>
      <c r="Q181" s="2">
        <f>+IFERROR(K181/E181,"")</f>
        <v>0.10209263028372291</v>
      </c>
      <c r="R181" s="2">
        <f>+IFERROR(L181/F181,"")</f>
        <v>8.2718306608971351E-2</v>
      </c>
      <c r="S181" s="2">
        <f>+IFERROR(M181/G181,"")</f>
        <v>6.5787454101089771E-2</v>
      </c>
      <c r="T181" s="2" t="str">
        <f>+IFERROR(#REF!/#REF!,"")</f>
        <v/>
      </c>
      <c r="U181" s="2" t="str">
        <f>+IFERROR(#REF!/#REF!,"")</f>
        <v/>
      </c>
      <c r="V181" s="2" t="str">
        <f>+IFERROR(#REF!/#REF!,"")</f>
        <v/>
      </c>
      <c r="W181" s="2" t="str">
        <f>+IFERROR(#REF!/#REF!,"")</f>
        <v/>
      </c>
      <c r="X181" s="2" t="str">
        <f>+IFERROR(#REF!/#REF!,"")</f>
        <v/>
      </c>
      <c r="Y181" s="2" t="str">
        <f>+IFERROR(#REF!/#REF!,"")</f>
        <v/>
      </c>
      <c r="Z181" s="2" t="str">
        <f>+IFERROR(#REF!/#REF!,"")</f>
        <v/>
      </c>
      <c r="AA181" s="2" t="str">
        <f>+IFERROR(#REF!/#REF!,"")</f>
        <v/>
      </c>
      <c r="AB181" s="2">
        <f>+IFERROR(N181/H181,"")</f>
        <v>8.2664077146633888E-2</v>
      </c>
      <c r="AD181" s="2" t="str">
        <f t="shared" si="61"/>
        <v/>
      </c>
      <c r="AE181" s="2" t="str">
        <f t="shared" si="62"/>
        <v/>
      </c>
      <c r="AF181" s="143">
        <f t="shared" si="63"/>
        <v>-1.693085250788158E-2</v>
      </c>
      <c r="AG181" s="143" t="str">
        <f t="shared" si="64"/>
        <v/>
      </c>
      <c r="AH181" s="143" t="str">
        <f t="shared" si="65"/>
        <v/>
      </c>
      <c r="AI181" s="143" t="str">
        <f t="shared" si="66"/>
        <v/>
      </c>
      <c r="AJ181" s="143" t="str">
        <f t="shared" si="67"/>
        <v/>
      </c>
      <c r="AK181" s="143" t="str">
        <f t="shared" si="68"/>
        <v/>
      </c>
      <c r="AL181" s="143" t="str">
        <f t="shared" si="69"/>
        <v/>
      </c>
      <c r="AM181" s="143" t="str">
        <f t="shared" si="70"/>
        <v/>
      </c>
      <c r="AN181" s="143" t="str">
        <f t="shared" si="71"/>
        <v/>
      </c>
      <c r="AP181" s="9">
        <f t="shared" si="48"/>
        <v>1.0892501993638878E-4</v>
      </c>
      <c r="AQ181" s="9">
        <f t="shared" si="49"/>
        <v>0.99915459821597807</v>
      </c>
    </row>
    <row r="182" spans="2:43" x14ac:dyDescent="0.35">
      <c r="B182" s="3" t="s">
        <v>283</v>
      </c>
      <c r="D182" s="141">
        <v>10</v>
      </c>
      <c r="E182" s="141"/>
      <c r="F182" s="141"/>
      <c r="G182" s="141"/>
      <c r="H182" s="141">
        <f>+SUM(D182:G182)</f>
        <v>10</v>
      </c>
      <c r="J182" s="141">
        <v>10</v>
      </c>
      <c r="K182" s="141"/>
      <c r="L182" s="141"/>
      <c r="M182" s="141"/>
      <c r="N182" s="141">
        <f>+SUM(J182:M182)</f>
        <v>10</v>
      </c>
      <c r="P182" s="2">
        <f>+IFERROR(J182/D182,"")</f>
        <v>1</v>
      </c>
      <c r="Q182" s="2" t="str">
        <f>+IFERROR(K182/E182,"")</f>
        <v/>
      </c>
      <c r="R182" s="2" t="str">
        <f>+IFERROR(L182/F182,"")</f>
        <v/>
      </c>
      <c r="S182" s="2" t="str">
        <f>+IFERROR(M182/G182,"")</f>
        <v/>
      </c>
      <c r="T182" s="2" t="str">
        <f>+IFERROR(#REF!/#REF!,"")</f>
        <v/>
      </c>
      <c r="U182" s="2" t="str">
        <f>+IFERROR(#REF!/#REF!,"")</f>
        <v/>
      </c>
      <c r="V182" s="2" t="str">
        <f>+IFERROR(#REF!/#REF!,"")</f>
        <v/>
      </c>
      <c r="W182" s="2" t="str">
        <f>+IFERROR(#REF!/#REF!,"")</f>
        <v/>
      </c>
      <c r="X182" s="2" t="str">
        <f>+IFERROR(#REF!/#REF!,"")</f>
        <v/>
      </c>
      <c r="Y182" s="2" t="str">
        <f>+IFERROR(#REF!/#REF!,"")</f>
        <v/>
      </c>
      <c r="Z182" s="2" t="str">
        <f>+IFERROR(#REF!/#REF!,"")</f>
        <v/>
      </c>
      <c r="AA182" s="2" t="str">
        <f>+IFERROR(#REF!/#REF!,"")</f>
        <v/>
      </c>
      <c r="AB182" s="2">
        <f>+IFERROR(N182/H182,"")</f>
        <v>1</v>
      </c>
      <c r="AD182" s="2" t="str">
        <f t="shared" si="61"/>
        <v/>
      </c>
      <c r="AE182" s="2" t="str">
        <f t="shared" si="62"/>
        <v/>
      </c>
      <c r="AF182" s="143" t="str">
        <f t="shared" si="63"/>
        <v/>
      </c>
      <c r="AG182" s="143" t="str">
        <f t="shared" si="64"/>
        <v/>
      </c>
      <c r="AH182" s="143" t="str">
        <f t="shared" si="65"/>
        <v/>
      </c>
      <c r="AI182" s="143" t="str">
        <f t="shared" si="66"/>
        <v/>
      </c>
      <c r="AJ182" s="143" t="str">
        <f t="shared" si="67"/>
        <v/>
      </c>
      <c r="AK182" s="143" t="str">
        <f t="shared" si="68"/>
        <v/>
      </c>
      <c r="AL182" s="143" t="str">
        <f t="shared" si="69"/>
        <v/>
      </c>
      <c r="AM182" s="143" t="str">
        <f t="shared" si="70"/>
        <v/>
      </c>
      <c r="AN182" s="143" t="str">
        <f t="shared" si="71"/>
        <v/>
      </c>
      <c r="AP182" s="9">
        <f t="shared" si="48"/>
        <v>6.1223067159255143E-9</v>
      </c>
      <c r="AQ182" s="9">
        <f t="shared" si="49"/>
        <v>0.99915460433828474</v>
      </c>
    </row>
    <row r="183" spans="2:43" x14ac:dyDescent="0.35">
      <c r="B183" s="3" t="s">
        <v>291</v>
      </c>
      <c r="D183" s="141">
        <v>969</v>
      </c>
      <c r="E183" s="141"/>
      <c r="F183" s="141"/>
      <c r="G183" s="141"/>
      <c r="H183" s="141">
        <f>+SUM(D183:G183)</f>
        <v>969</v>
      </c>
      <c r="J183" s="141">
        <v>0</v>
      </c>
      <c r="K183" s="141"/>
      <c r="L183" s="141"/>
      <c r="M183" s="141"/>
      <c r="N183" s="141">
        <f>+SUM(J183:M183)</f>
        <v>0</v>
      </c>
      <c r="P183" s="2">
        <f>+IFERROR(J183/D183,"")</f>
        <v>0</v>
      </c>
      <c r="Q183" s="2" t="str">
        <f>+IFERROR(K183/E183,"")</f>
        <v/>
      </c>
      <c r="R183" s="2" t="str">
        <f>+IFERROR(L183/F183,"")</f>
        <v/>
      </c>
      <c r="S183" s="2" t="str">
        <f>+IFERROR(M183/G183,"")</f>
        <v/>
      </c>
      <c r="T183" s="2" t="str">
        <f>+IFERROR(#REF!/#REF!,"")</f>
        <v/>
      </c>
      <c r="U183" s="2" t="str">
        <f>+IFERROR(#REF!/#REF!,"")</f>
        <v/>
      </c>
      <c r="V183" s="2" t="str">
        <f>+IFERROR(#REF!/#REF!,"")</f>
        <v/>
      </c>
      <c r="W183" s="2" t="str">
        <f>+IFERROR(#REF!/#REF!,"")</f>
        <v/>
      </c>
      <c r="X183" s="2" t="str">
        <f>+IFERROR(#REF!/#REF!,"")</f>
        <v/>
      </c>
      <c r="Y183" s="2" t="str">
        <f>+IFERROR(#REF!/#REF!,"")</f>
        <v/>
      </c>
      <c r="Z183" s="2" t="str">
        <f>+IFERROR(#REF!/#REF!,"")</f>
        <v/>
      </c>
      <c r="AA183" s="2" t="str">
        <f>+IFERROR(#REF!/#REF!,"")</f>
        <v/>
      </c>
      <c r="AB183" s="2">
        <f>+IFERROR(N183/H183,"")</f>
        <v>0</v>
      </c>
      <c r="AD183" s="2" t="str">
        <f t="shared" si="61"/>
        <v/>
      </c>
      <c r="AE183" s="2" t="str">
        <f t="shared" si="62"/>
        <v/>
      </c>
      <c r="AF183" s="143" t="str">
        <f t="shared" si="63"/>
        <v/>
      </c>
      <c r="AG183" s="143" t="str">
        <f t="shared" si="64"/>
        <v/>
      </c>
      <c r="AH183" s="143" t="str">
        <f t="shared" si="65"/>
        <v/>
      </c>
      <c r="AI183" s="143" t="str">
        <f t="shared" si="66"/>
        <v/>
      </c>
      <c r="AJ183" s="143" t="str">
        <f t="shared" si="67"/>
        <v/>
      </c>
      <c r="AK183" s="143" t="str">
        <f t="shared" si="68"/>
        <v/>
      </c>
      <c r="AL183" s="143" t="str">
        <f t="shared" si="69"/>
        <v/>
      </c>
      <c r="AM183" s="143" t="str">
        <f t="shared" si="70"/>
        <v/>
      </c>
      <c r="AN183" s="143" t="str">
        <f t="shared" si="71"/>
        <v/>
      </c>
      <c r="AP183" s="9">
        <f t="shared" si="48"/>
        <v>0</v>
      </c>
      <c r="AQ183" s="9">
        <f t="shared" si="49"/>
        <v>0.99915460433828474</v>
      </c>
    </row>
    <row r="184" spans="2:43" x14ac:dyDescent="0.35">
      <c r="B184" s="3" t="s">
        <v>279</v>
      </c>
      <c r="D184" s="141">
        <v>44895</v>
      </c>
      <c r="E184" s="141">
        <v>59231</v>
      </c>
      <c r="F184" s="141">
        <v>5531</v>
      </c>
      <c r="G184" s="141">
        <v>83748</v>
      </c>
      <c r="H184" s="141">
        <f>+SUM(D184:G184)</f>
        <v>193405</v>
      </c>
      <c r="J184" s="141">
        <v>4303</v>
      </c>
      <c r="K184" s="141">
        <v>3924</v>
      </c>
      <c r="L184" s="141">
        <v>405</v>
      </c>
      <c r="M184" s="141">
        <v>4186</v>
      </c>
      <c r="N184" s="141">
        <f>+SUM(J184:M184)</f>
        <v>12818</v>
      </c>
      <c r="P184" s="2">
        <f>+IFERROR(J184/D184,"")</f>
        <v>9.5845862568214729E-2</v>
      </c>
      <c r="Q184" s="2">
        <f>+IFERROR(K184/E184,"")</f>
        <v>6.6249092536003112E-2</v>
      </c>
      <c r="R184" s="2">
        <f>+IFERROR(L184/F184,"")</f>
        <v>7.3223648526487078E-2</v>
      </c>
      <c r="S184" s="2">
        <f>+IFERROR(M184/G184,"")</f>
        <v>4.9983283182881977E-2</v>
      </c>
      <c r="T184" s="2" t="str">
        <f>+IFERROR(#REF!/#REF!,"")</f>
        <v/>
      </c>
      <c r="U184" s="2" t="str">
        <f>+IFERROR(#REF!/#REF!,"")</f>
        <v/>
      </c>
      <c r="V184" s="2" t="str">
        <f>+IFERROR(#REF!/#REF!,"")</f>
        <v/>
      </c>
      <c r="W184" s="2" t="str">
        <f>+IFERROR(#REF!/#REF!,"")</f>
        <v/>
      </c>
      <c r="X184" s="2" t="str">
        <f>+IFERROR(#REF!/#REF!,"")</f>
        <v/>
      </c>
      <c r="Y184" s="2" t="str">
        <f>+IFERROR(#REF!/#REF!,"")</f>
        <v/>
      </c>
      <c r="Z184" s="2" t="str">
        <f>+IFERROR(#REF!/#REF!,"")</f>
        <v/>
      </c>
      <c r="AA184" s="2" t="str">
        <f>+IFERROR(#REF!/#REF!,"")</f>
        <v/>
      </c>
      <c r="AB184" s="2">
        <f>+IFERROR(N184/H184,"")</f>
        <v>6.6275432382823615E-2</v>
      </c>
      <c r="AD184" s="2" t="str">
        <f t="shared" si="61"/>
        <v/>
      </c>
      <c r="AE184" s="2" t="str">
        <f t="shared" si="62"/>
        <v/>
      </c>
      <c r="AF184" s="143">
        <f t="shared" si="63"/>
        <v>-2.3240365343605102E-2</v>
      </c>
      <c r="AG184" s="143" t="str">
        <f t="shared" si="64"/>
        <v/>
      </c>
      <c r="AH184" s="143" t="str">
        <f t="shared" si="65"/>
        <v/>
      </c>
      <c r="AI184" s="143" t="str">
        <f t="shared" si="66"/>
        <v/>
      </c>
      <c r="AJ184" s="143" t="str">
        <f t="shared" si="67"/>
        <v/>
      </c>
      <c r="AK184" s="143" t="str">
        <f t="shared" si="68"/>
        <v/>
      </c>
      <c r="AL184" s="143" t="str">
        <f t="shared" si="69"/>
        <v/>
      </c>
      <c r="AM184" s="143" t="str">
        <f t="shared" si="70"/>
        <v/>
      </c>
      <c r="AN184" s="143" t="str">
        <f t="shared" si="71"/>
        <v/>
      </c>
      <c r="AP184" s="9">
        <f t="shared" si="48"/>
        <v>7.8475727484733244E-6</v>
      </c>
      <c r="AQ184" s="9">
        <f t="shared" si="49"/>
        <v>0.99916245191103326</v>
      </c>
    </row>
    <row r="185" spans="2:43" x14ac:dyDescent="0.35">
      <c r="B185" s="3" t="s">
        <v>278</v>
      </c>
      <c r="D185" s="141">
        <v>933027</v>
      </c>
      <c r="E185" s="141"/>
      <c r="F185" s="141"/>
      <c r="G185" s="141"/>
      <c r="H185" s="141">
        <f>+SUM(D185:G185)</f>
        <v>933027</v>
      </c>
      <c r="J185" s="141">
        <v>264520</v>
      </c>
      <c r="K185" s="141"/>
      <c r="L185" s="141"/>
      <c r="M185" s="141"/>
      <c r="N185" s="141">
        <f>+SUM(J185:M185)</f>
        <v>264520</v>
      </c>
      <c r="P185" s="2">
        <f>+IFERROR(J185/D185,"")</f>
        <v>0.28350733687235202</v>
      </c>
      <c r="Q185" s="2" t="str">
        <f>+IFERROR(K185/E185,"")</f>
        <v/>
      </c>
      <c r="R185" s="2" t="str">
        <f>+IFERROR(L185/F185,"")</f>
        <v/>
      </c>
      <c r="S185" s="2" t="str">
        <f>+IFERROR(M185/G185,"")</f>
        <v/>
      </c>
      <c r="T185" s="2" t="str">
        <f>+IFERROR(#REF!/#REF!,"")</f>
        <v/>
      </c>
      <c r="U185" s="2" t="str">
        <f>+IFERROR(#REF!/#REF!,"")</f>
        <v/>
      </c>
      <c r="V185" s="2" t="str">
        <f>+IFERROR(#REF!/#REF!,"")</f>
        <v/>
      </c>
      <c r="W185" s="2" t="str">
        <f>+IFERROR(#REF!/#REF!,"")</f>
        <v/>
      </c>
      <c r="X185" s="2" t="str">
        <f>+IFERROR(#REF!/#REF!,"")</f>
        <v/>
      </c>
      <c r="Y185" s="2" t="str">
        <f>+IFERROR(#REF!/#REF!,"")</f>
        <v/>
      </c>
      <c r="Z185" s="2" t="str">
        <f>+IFERROR(#REF!/#REF!,"")</f>
        <v/>
      </c>
      <c r="AA185" s="2" t="str">
        <f>+IFERROR(#REF!/#REF!,"")</f>
        <v/>
      </c>
      <c r="AB185" s="2">
        <f>+IFERROR(N185/H185,"")</f>
        <v>0.28350733687235202</v>
      </c>
      <c r="AD185" s="2" t="str">
        <f t="shared" si="61"/>
        <v/>
      </c>
      <c r="AE185" s="2" t="str">
        <f t="shared" si="62"/>
        <v/>
      </c>
      <c r="AF185" s="143" t="str">
        <f t="shared" si="63"/>
        <v/>
      </c>
      <c r="AG185" s="143" t="str">
        <f t="shared" si="64"/>
        <v/>
      </c>
      <c r="AH185" s="143" t="str">
        <f t="shared" si="65"/>
        <v/>
      </c>
      <c r="AI185" s="143" t="str">
        <f t="shared" si="66"/>
        <v/>
      </c>
      <c r="AJ185" s="143" t="str">
        <f t="shared" si="67"/>
        <v/>
      </c>
      <c r="AK185" s="143" t="str">
        <f t="shared" si="68"/>
        <v/>
      </c>
      <c r="AL185" s="143" t="str">
        <f t="shared" si="69"/>
        <v/>
      </c>
      <c r="AM185" s="143" t="str">
        <f t="shared" si="70"/>
        <v/>
      </c>
      <c r="AN185" s="143" t="str">
        <f t="shared" si="71"/>
        <v/>
      </c>
      <c r="AP185" s="9">
        <f t="shared" si="48"/>
        <v>1.6194725724966169E-4</v>
      </c>
      <c r="AQ185" s="9">
        <f t="shared" si="49"/>
        <v>0.99932439916828297</v>
      </c>
    </row>
    <row r="186" spans="2:43" x14ac:dyDescent="0.35">
      <c r="B186" s="3" t="s">
        <v>270</v>
      </c>
      <c r="D186" s="141">
        <v>760343</v>
      </c>
      <c r="E186" s="141">
        <v>1559</v>
      </c>
      <c r="F186" s="141">
        <v>681357</v>
      </c>
      <c r="G186" s="141">
        <v>16206</v>
      </c>
      <c r="H186" s="141">
        <f>+SUM(D186:G186)</f>
        <v>1459465</v>
      </c>
      <c r="J186" s="141">
        <v>116614</v>
      </c>
      <c r="K186" s="141">
        <v>45</v>
      </c>
      <c r="L186" s="141">
        <v>104073</v>
      </c>
      <c r="M186" s="141">
        <v>722</v>
      </c>
      <c r="N186" s="141">
        <f>+SUM(J186:M186)</f>
        <v>221454</v>
      </c>
      <c r="P186" s="2">
        <f>+IFERROR(J186/D186,"")</f>
        <v>0.15337025526637321</v>
      </c>
      <c r="Q186" s="2">
        <f>+IFERROR(K186/E186,"")</f>
        <v>2.8864656831302116E-2</v>
      </c>
      <c r="R186" s="2">
        <f>+IFERROR(L186/F186,"")</f>
        <v>0.15274371584940052</v>
      </c>
      <c r="S186" s="2">
        <f>+IFERROR(M186/G186,"")</f>
        <v>4.4551400715784277E-2</v>
      </c>
      <c r="T186" s="2" t="str">
        <f>+IFERROR(#REF!/#REF!,"")</f>
        <v/>
      </c>
      <c r="U186" s="2" t="str">
        <f>+IFERROR(#REF!/#REF!,"")</f>
        <v/>
      </c>
      <c r="V186" s="2" t="str">
        <f>+IFERROR(#REF!/#REF!,"")</f>
        <v/>
      </c>
      <c r="W186" s="2" t="str">
        <f>+IFERROR(#REF!/#REF!,"")</f>
        <v/>
      </c>
      <c r="X186" s="2" t="str">
        <f>+IFERROR(#REF!/#REF!,"")</f>
        <v/>
      </c>
      <c r="Y186" s="2" t="str">
        <f>+IFERROR(#REF!/#REF!,"")</f>
        <v/>
      </c>
      <c r="Z186" s="2" t="str">
        <f>+IFERROR(#REF!/#REF!,"")</f>
        <v/>
      </c>
      <c r="AA186" s="2" t="str">
        <f>+IFERROR(#REF!/#REF!,"")</f>
        <v/>
      </c>
      <c r="AB186" s="2">
        <f>+IFERROR(N186/H186,"")</f>
        <v>0.1517364239635757</v>
      </c>
      <c r="AD186" s="2" t="str">
        <f t="shared" si="61"/>
        <v/>
      </c>
      <c r="AE186" s="2" t="str">
        <f t="shared" si="62"/>
        <v/>
      </c>
      <c r="AF186" s="143">
        <f t="shared" si="63"/>
        <v>-0.10819231513361624</v>
      </c>
      <c r="AG186" s="143" t="str">
        <f t="shared" si="64"/>
        <v/>
      </c>
      <c r="AH186" s="143" t="str">
        <f t="shared" si="65"/>
        <v/>
      </c>
      <c r="AI186" s="143" t="str">
        <f t="shared" si="66"/>
        <v/>
      </c>
      <c r="AJ186" s="143" t="str">
        <f t="shared" si="67"/>
        <v/>
      </c>
      <c r="AK186" s="143" t="str">
        <f t="shared" si="68"/>
        <v/>
      </c>
      <c r="AL186" s="143" t="str">
        <f t="shared" si="69"/>
        <v/>
      </c>
      <c r="AM186" s="143" t="str">
        <f t="shared" si="70"/>
        <v/>
      </c>
      <c r="AN186" s="143" t="str">
        <f t="shared" si="71"/>
        <v/>
      </c>
      <c r="AP186" s="9">
        <f t="shared" si="48"/>
        <v>1.3558093114685688E-4</v>
      </c>
      <c r="AQ186" s="9">
        <f t="shared" si="49"/>
        <v>0.99945998009942982</v>
      </c>
    </row>
    <row r="187" spans="2:43" x14ac:dyDescent="0.35">
      <c r="B187" s="3" t="s">
        <v>288</v>
      </c>
      <c r="D187" s="141">
        <v>144667</v>
      </c>
      <c r="E187" s="141">
        <v>131269</v>
      </c>
      <c r="F187" s="141">
        <v>10406</v>
      </c>
      <c r="G187" s="141">
        <v>109890</v>
      </c>
      <c r="H187" s="141">
        <f>+SUM(D187:G187)</f>
        <v>396232</v>
      </c>
      <c r="J187" s="141">
        <v>14992</v>
      </c>
      <c r="K187" s="141">
        <v>15139</v>
      </c>
      <c r="L187" s="141">
        <v>771</v>
      </c>
      <c r="M187" s="141">
        <v>11651</v>
      </c>
      <c r="N187" s="141">
        <f>+SUM(J187:M187)</f>
        <v>42553</v>
      </c>
      <c r="P187" s="2">
        <f>+IFERROR(J187/D187,"")</f>
        <v>0.10363109762419902</v>
      </c>
      <c r="Q187" s="2">
        <f>+IFERROR(K187/E187,"")</f>
        <v>0.11532806679414027</v>
      </c>
      <c r="R187" s="2">
        <f>+IFERROR(L187/F187,"")</f>
        <v>7.4091870074956753E-2</v>
      </c>
      <c r="S187" s="2">
        <f>+IFERROR(M187/G187,"")</f>
        <v>0.10602420602420602</v>
      </c>
      <c r="T187" s="2" t="str">
        <f>+IFERROR(#REF!/#REF!,"")</f>
        <v/>
      </c>
      <c r="U187" s="2" t="str">
        <f>+IFERROR(#REF!/#REF!,"")</f>
        <v/>
      </c>
      <c r="V187" s="2" t="str">
        <f>+IFERROR(#REF!/#REF!,"")</f>
        <v/>
      </c>
      <c r="W187" s="2" t="str">
        <f>+IFERROR(#REF!/#REF!,"")</f>
        <v/>
      </c>
      <c r="X187" s="2" t="str">
        <f>+IFERROR(#REF!/#REF!,"")</f>
        <v/>
      </c>
      <c r="Y187" s="2" t="str">
        <f>+IFERROR(#REF!/#REF!,"")</f>
        <v/>
      </c>
      <c r="Z187" s="2" t="str">
        <f>+IFERROR(#REF!/#REF!,"")</f>
        <v/>
      </c>
      <c r="AA187" s="2" t="str">
        <f>+IFERROR(#REF!/#REF!,"")</f>
        <v/>
      </c>
      <c r="AB187" s="2">
        <f>+IFERROR(N187/H187,"")</f>
        <v>0.10739415292051122</v>
      </c>
      <c r="AD187" s="2" t="str">
        <f t="shared" si="61"/>
        <v/>
      </c>
      <c r="AE187" s="2" t="str">
        <f t="shared" si="62"/>
        <v/>
      </c>
      <c r="AF187" s="143">
        <f t="shared" si="63"/>
        <v>3.1932335949249269E-2</v>
      </c>
      <c r="AG187" s="143" t="str">
        <f t="shared" si="64"/>
        <v/>
      </c>
      <c r="AH187" s="143" t="str">
        <f t="shared" si="65"/>
        <v/>
      </c>
      <c r="AI187" s="143" t="str">
        <f t="shared" si="66"/>
        <v/>
      </c>
      <c r="AJ187" s="143" t="str">
        <f t="shared" si="67"/>
        <v/>
      </c>
      <c r="AK187" s="143" t="str">
        <f t="shared" si="68"/>
        <v/>
      </c>
      <c r="AL187" s="143" t="str">
        <f t="shared" si="69"/>
        <v/>
      </c>
      <c r="AM187" s="143" t="str">
        <f t="shared" si="70"/>
        <v/>
      </c>
      <c r="AN187" s="143" t="str">
        <f t="shared" si="71"/>
        <v/>
      </c>
      <c r="AP187" s="9">
        <f t="shared" si="48"/>
        <v>2.605225176827784E-5</v>
      </c>
      <c r="AQ187" s="9">
        <f t="shared" si="49"/>
        <v>0.99948603235119815</v>
      </c>
    </row>
    <row r="188" spans="2:43" x14ac:dyDescent="0.35">
      <c r="B188" s="3" t="s">
        <v>285</v>
      </c>
      <c r="D188" s="141">
        <v>150</v>
      </c>
      <c r="E188" s="141"/>
      <c r="F188" s="141"/>
      <c r="G188" s="141"/>
      <c r="H188" s="141">
        <f>+SUM(D188:G188)</f>
        <v>150</v>
      </c>
      <c r="J188" s="141">
        <v>70</v>
      </c>
      <c r="K188" s="141"/>
      <c r="L188" s="141"/>
      <c r="M188" s="141"/>
      <c r="N188" s="141">
        <f>+SUM(J188:M188)</f>
        <v>70</v>
      </c>
      <c r="P188" s="2">
        <f>+IFERROR(J188/D188,"")</f>
        <v>0.46666666666666667</v>
      </c>
      <c r="Q188" s="2" t="str">
        <f>+IFERROR(K188/E188,"")</f>
        <v/>
      </c>
      <c r="R188" s="2" t="str">
        <f>+IFERROR(L188/F188,"")</f>
        <v/>
      </c>
      <c r="S188" s="2" t="str">
        <f>+IFERROR(M188/G188,"")</f>
        <v/>
      </c>
      <c r="T188" s="2" t="str">
        <f>+IFERROR(#REF!/#REF!,"")</f>
        <v/>
      </c>
      <c r="U188" s="2" t="str">
        <f>+IFERROR(#REF!/#REF!,"")</f>
        <v/>
      </c>
      <c r="V188" s="2" t="str">
        <f>+IFERROR(#REF!/#REF!,"")</f>
        <v/>
      </c>
      <c r="W188" s="2" t="str">
        <f>+IFERROR(#REF!/#REF!,"")</f>
        <v/>
      </c>
      <c r="X188" s="2" t="str">
        <f>+IFERROR(#REF!/#REF!,"")</f>
        <v/>
      </c>
      <c r="Y188" s="2" t="str">
        <f>+IFERROR(#REF!/#REF!,"")</f>
        <v/>
      </c>
      <c r="Z188" s="2" t="str">
        <f>+IFERROR(#REF!/#REF!,"")</f>
        <v/>
      </c>
      <c r="AA188" s="2" t="str">
        <f>+IFERROR(#REF!/#REF!,"")</f>
        <v/>
      </c>
      <c r="AB188" s="2">
        <f>+IFERROR(N188/H188,"")</f>
        <v>0.46666666666666667</v>
      </c>
      <c r="AD188" s="2" t="str">
        <f t="shared" si="61"/>
        <v/>
      </c>
      <c r="AE188" s="2" t="str">
        <f t="shared" si="62"/>
        <v/>
      </c>
      <c r="AF188" s="143" t="str">
        <f t="shared" si="63"/>
        <v/>
      </c>
      <c r="AG188" s="143" t="str">
        <f t="shared" si="64"/>
        <v/>
      </c>
      <c r="AH188" s="143" t="str">
        <f t="shared" si="65"/>
        <v/>
      </c>
      <c r="AI188" s="143" t="str">
        <f t="shared" si="66"/>
        <v/>
      </c>
      <c r="AJ188" s="143" t="str">
        <f t="shared" si="67"/>
        <v/>
      </c>
      <c r="AK188" s="143" t="str">
        <f t="shared" si="68"/>
        <v/>
      </c>
      <c r="AL188" s="143" t="str">
        <f t="shared" si="69"/>
        <v/>
      </c>
      <c r="AM188" s="143" t="str">
        <f t="shared" si="70"/>
        <v/>
      </c>
      <c r="AN188" s="143" t="str">
        <f t="shared" si="71"/>
        <v/>
      </c>
      <c r="AP188" s="9">
        <f t="shared" si="48"/>
        <v>4.2856147011478594E-8</v>
      </c>
      <c r="AQ188" s="9">
        <f t="shared" si="49"/>
        <v>0.99948607520734511</v>
      </c>
    </row>
    <row r="189" spans="2:43" x14ac:dyDescent="0.35">
      <c r="B189" s="3" t="s">
        <v>290</v>
      </c>
      <c r="D189" s="141"/>
      <c r="E189" s="141"/>
      <c r="F189" s="141"/>
      <c r="G189" s="141"/>
      <c r="H189" s="141">
        <f>+SUM(D189:G189)</f>
        <v>0</v>
      </c>
      <c r="J189" s="141"/>
      <c r="K189" s="141"/>
      <c r="L189" s="141"/>
      <c r="M189" s="141"/>
      <c r="N189" s="141">
        <f>+SUM(J189:M189)</f>
        <v>0</v>
      </c>
      <c r="P189" s="2" t="str">
        <f>+IFERROR(J189/D189,"")</f>
        <v/>
      </c>
      <c r="Q189" s="2" t="str">
        <f>+IFERROR(K189/E189,"")</f>
        <v/>
      </c>
      <c r="R189" s="2" t="str">
        <f>+IFERROR(L189/F189,"")</f>
        <v/>
      </c>
      <c r="S189" s="2" t="str">
        <f>+IFERROR(M189/G189,"")</f>
        <v/>
      </c>
      <c r="T189" s="2" t="str">
        <f>+IFERROR(#REF!/#REF!,"")</f>
        <v/>
      </c>
      <c r="U189" s="2" t="str">
        <f>+IFERROR(#REF!/#REF!,"")</f>
        <v/>
      </c>
      <c r="V189" s="2" t="str">
        <f>+IFERROR(#REF!/#REF!,"")</f>
        <v/>
      </c>
      <c r="W189" s="2" t="str">
        <f>+IFERROR(#REF!/#REF!,"")</f>
        <v/>
      </c>
      <c r="X189" s="2" t="str">
        <f>+IFERROR(#REF!/#REF!,"")</f>
        <v/>
      </c>
      <c r="Y189" s="2" t="str">
        <f>+IFERROR(#REF!/#REF!,"")</f>
        <v/>
      </c>
      <c r="Z189" s="2" t="str">
        <f>+IFERROR(#REF!/#REF!,"")</f>
        <v/>
      </c>
      <c r="AA189" s="2" t="str">
        <f>+IFERROR(#REF!/#REF!,"")</f>
        <v/>
      </c>
      <c r="AB189" s="2" t="str">
        <f>+IFERROR(N189/H189,"")</f>
        <v/>
      </c>
      <c r="AD189" s="2" t="str">
        <f t="shared" si="61"/>
        <v/>
      </c>
      <c r="AE189" s="2" t="str">
        <f t="shared" si="62"/>
        <v/>
      </c>
      <c r="AF189" s="143" t="str">
        <f t="shared" si="63"/>
        <v/>
      </c>
      <c r="AG189" s="143" t="str">
        <f t="shared" si="64"/>
        <v/>
      </c>
      <c r="AH189" s="143" t="str">
        <f t="shared" si="65"/>
        <v/>
      </c>
      <c r="AI189" s="143" t="str">
        <f t="shared" si="66"/>
        <v/>
      </c>
      <c r="AJ189" s="143" t="str">
        <f t="shared" si="67"/>
        <v/>
      </c>
      <c r="AK189" s="143" t="str">
        <f t="shared" si="68"/>
        <v/>
      </c>
      <c r="AL189" s="143" t="str">
        <f t="shared" si="69"/>
        <v/>
      </c>
      <c r="AM189" s="143" t="str">
        <f t="shared" si="70"/>
        <v/>
      </c>
      <c r="AN189" s="143" t="str">
        <f t="shared" si="71"/>
        <v/>
      </c>
      <c r="AP189" s="9">
        <f t="shared" si="48"/>
        <v>0</v>
      </c>
      <c r="AQ189" s="9">
        <f t="shared" si="49"/>
        <v>0.99948607520734511</v>
      </c>
    </row>
    <row r="190" spans="2:43" x14ac:dyDescent="0.35">
      <c r="B190" s="3" t="s">
        <v>284</v>
      </c>
      <c r="D190" s="141">
        <v>145518</v>
      </c>
      <c r="E190" s="141">
        <v>132885</v>
      </c>
      <c r="F190" s="141">
        <v>415038</v>
      </c>
      <c r="G190" s="141">
        <v>104283</v>
      </c>
      <c r="H190" s="141">
        <f>+SUM(D190:G190)</f>
        <v>797724</v>
      </c>
      <c r="J190" s="141">
        <v>9982</v>
      </c>
      <c r="K190" s="141">
        <v>11709</v>
      </c>
      <c r="L190" s="141">
        <v>32260</v>
      </c>
      <c r="M190" s="141">
        <v>12942</v>
      </c>
      <c r="N190" s="141">
        <f>+SUM(J190:M190)</f>
        <v>66893</v>
      </c>
      <c r="P190" s="2">
        <f>+IFERROR(J190/D190,"")</f>
        <v>6.859632485328275E-2</v>
      </c>
      <c r="Q190" s="2">
        <f>+IFERROR(K190/E190,"")</f>
        <v>8.8113782593972234E-2</v>
      </c>
      <c r="R190" s="2">
        <f>+IFERROR(L190/F190,"")</f>
        <v>7.7727822512637393E-2</v>
      </c>
      <c r="S190" s="2">
        <f>+IFERROR(M190/G190,"")</f>
        <v>0.12410459998273927</v>
      </c>
      <c r="T190" s="2" t="str">
        <f>+IFERROR(#REF!/#REF!,"")</f>
        <v/>
      </c>
      <c r="U190" s="2" t="str">
        <f>+IFERROR(#REF!/#REF!,"")</f>
        <v/>
      </c>
      <c r="V190" s="2" t="str">
        <f>+IFERROR(#REF!/#REF!,"")</f>
        <v/>
      </c>
      <c r="W190" s="2" t="str">
        <f>+IFERROR(#REF!/#REF!,"")</f>
        <v/>
      </c>
      <c r="X190" s="2" t="str">
        <f>+IFERROR(#REF!/#REF!,"")</f>
        <v/>
      </c>
      <c r="Y190" s="2" t="str">
        <f>+IFERROR(#REF!/#REF!,"")</f>
        <v/>
      </c>
      <c r="Z190" s="2" t="str">
        <f>+IFERROR(#REF!/#REF!,"")</f>
        <v/>
      </c>
      <c r="AA190" s="2" t="str">
        <f>+IFERROR(#REF!/#REF!,"")</f>
        <v/>
      </c>
      <c r="AB190" s="2">
        <f>+IFERROR(N190/H190,"")</f>
        <v>8.3854816954234801E-2</v>
      </c>
      <c r="AD190" s="2" t="str">
        <f t="shared" si="61"/>
        <v/>
      </c>
      <c r="AE190" s="2" t="str">
        <f t="shared" si="62"/>
        <v/>
      </c>
      <c r="AF190" s="143">
        <f t="shared" si="63"/>
        <v>4.6376777470101882E-2</v>
      </c>
      <c r="AG190" s="143" t="str">
        <f t="shared" si="64"/>
        <v/>
      </c>
      <c r="AH190" s="143" t="str">
        <f t="shared" si="65"/>
        <v/>
      </c>
      <c r="AI190" s="143" t="str">
        <f t="shared" si="66"/>
        <v/>
      </c>
      <c r="AJ190" s="143" t="str">
        <f t="shared" si="67"/>
        <v/>
      </c>
      <c r="AK190" s="143" t="str">
        <f t="shared" si="68"/>
        <v/>
      </c>
      <c r="AL190" s="143" t="str">
        <f t="shared" si="69"/>
        <v/>
      </c>
      <c r="AM190" s="143" t="str">
        <f t="shared" si="70"/>
        <v/>
      </c>
      <c r="AN190" s="143" t="str">
        <f t="shared" si="71"/>
        <v/>
      </c>
      <c r="AP190" s="9">
        <f t="shared" si="48"/>
        <v>4.0953946314840541E-5</v>
      </c>
      <c r="AQ190" s="9">
        <f t="shared" si="49"/>
        <v>0.99952702915365998</v>
      </c>
    </row>
    <row r="191" spans="2:43" x14ac:dyDescent="0.35">
      <c r="B191" s="3" t="s">
        <v>293</v>
      </c>
      <c r="D191" s="141"/>
      <c r="E191" s="141">
        <v>432</v>
      </c>
      <c r="F191" s="141">
        <v>795</v>
      </c>
      <c r="G191" s="141">
        <v>3573</v>
      </c>
      <c r="H191" s="141">
        <f>+SUM(D191:G191)</f>
        <v>4800</v>
      </c>
      <c r="J191" s="141"/>
      <c r="K191" s="141">
        <v>17</v>
      </c>
      <c r="L191" s="141">
        <v>0</v>
      </c>
      <c r="M191" s="141">
        <v>52</v>
      </c>
      <c r="N191" s="141">
        <f>+SUM(J191:M191)</f>
        <v>69</v>
      </c>
      <c r="P191" s="2" t="str">
        <f>+IFERROR(J191/D191,"")</f>
        <v/>
      </c>
      <c r="Q191" s="2">
        <f>+IFERROR(K191/E191,"")</f>
        <v>3.9351851851851853E-2</v>
      </c>
      <c r="R191" s="2">
        <f>+IFERROR(L191/F191,"")</f>
        <v>0</v>
      </c>
      <c r="S191" s="2">
        <f>+IFERROR(M191/G191,"")</f>
        <v>1.4553596417576267E-2</v>
      </c>
      <c r="T191" s="2" t="str">
        <f>+IFERROR(#REF!/#REF!,"")</f>
        <v/>
      </c>
      <c r="U191" s="2" t="str">
        <f>+IFERROR(#REF!/#REF!,"")</f>
        <v/>
      </c>
      <c r="V191" s="2" t="str">
        <f>+IFERROR(#REF!/#REF!,"")</f>
        <v/>
      </c>
      <c r="W191" s="2" t="str">
        <f>+IFERROR(#REF!/#REF!,"")</f>
        <v/>
      </c>
      <c r="X191" s="2" t="str">
        <f>+IFERROR(#REF!/#REF!,"")</f>
        <v/>
      </c>
      <c r="Y191" s="2" t="str">
        <f>+IFERROR(#REF!/#REF!,"")</f>
        <v/>
      </c>
      <c r="Z191" s="2" t="str">
        <f>+IFERROR(#REF!/#REF!,"")</f>
        <v/>
      </c>
      <c r="AA191" s="2" t="str">
        <f>+IFERROR(#REF!/#REF!,"")</f>
        <v/>
      </c>
      <c r="AB191" s="2">
        <f>+IFERROR(N191/H191,"")</f>
        <v>1.4375000000000001E-2</v>
      </c>
      <c r="AD191" s="2" t="str">
        <f t="shared" si="61"/>
        <v/>
      </c>
      <c r="AE191" s="2" t="str">
        <f t="shared" si="62"/>
        <v/>
      </c>
      <c r="AF191" s="143">
        <f t="shared" si="63"/>
        <v>1.4553596417576267E-2</v>
      </c>
      <c r="AG191" s="143" t="str">
        <f t="shared" si="64"/>
        <v/>
      </c>
      <c r="AH191" s="143" t="str">
        <f t="shared" si="65"/>
        <v/>
      </c>
      <c r="AI191" s="143" t="str">
        <f t="shared" si="66"/>
        <v/>
      </c>
      <c r="AJ191" s="143" t="str">
        <f t="shared" si="67"/>
        <v/>
      </c>
      <c r="AK191" s="143" t="str">
        <f t="shared" si="68"/>
        <v/>
      </c>
      <c r="AL191" s="143" t="str">
        <f t="shared" si="69"/>
        <v/>
      </c>
      <c r="AM191" s="143" t="str">
        <f t="shared" si="70"/>
        <v/>
      </c>
      <c r="AN191" s="143" t="str">
        <f t="shared" si="71"/>
        <v/>
      </c>
      <c r="AP191" s="9">
        <f t="shared" si="48"/>
        <v>4.2243916339886043E-8</v>
      </c>
      <c r="AQ191" s="9">
        <f t="shared" si="49"/>
        <v>0.99952707139757635</v>
      </c>
    </row>
    <row r="192" spans="2:43" x14ac:dyDescent="0.35">
      <c r="B192" s="3" t="s">
        <v>287</v>
      </c>
      <c r="D192" s="141"/>
      <c r="E192" s="141"/>
      <c r="F192" s="141"/>
      <c r="G192" s="141"/>
      <c r="H192" s="141">
        <f>+SUM(D192:G192)</f>
        <v>0</v>
      </c>
      <c r="J192" s="141"/>
      <c r="K192" s="141"/>
      <c r="L192" s="141"/>
      <c r="M192" s="141"/>
      <c r="N192" s="141">
        <f>+SUM(J192:M192)</f>
        <v>0</v>
      </c>
      <c r="P192" s="2" t="str">
        <f>+IFERROR(J192/D192,"")</f>
        <v/>
      </c>
      <c r="Q192" s="2" t="str">
        <f>+IFERROR(K192/E192,"")</f>
        <v/>
      </c>
      <c r="R192" s="2" t="str">
        <f>+IFERROR(L192/F192,"")</f>
        <v/>
      </c>
      <c r="S192" s="2" t="str">
        <f>+IFERROR(M192/G192,"")</f>
        <v/>
      </c>
      <c r="T192" s="2" t="str">
        <f>+IFERROR(#REF!/#REF!,"")</f>
        <v/>
      </c>
      <c r="U192" s="2" t="str">
        <f>+IFERROR(#REF!/#REF!,"")</f>
        <v/>
      </c>
      <c r="V192" s="2" t="str">
        <f>+IFERROR(#REF!/#REF!,"")</f>
        <v/>
      </c>
      <c r="W192" s="2" t="str">
        <f>+IFERROR(#REF!/#REF!,"")</f>
        <v/>
      </c>
      <c r="X192" s="2" t="str">
        <f>+IFERROR(#REF!/#REF!,"")</f>
        <v/>
      </c>
      <c r="Y192" s="2" t="str">
        <f>+IFERROR(#REF!/#REF!,"")</f>
        <v/>
      </c>
      <c r="Z192" s="2" t="str">
        <f>+IFERROR(#REF!/#REF!,"")</f>
        <v/>
      </c>
      <c r="AA192" s="2" t="str">
        <f>+IFERROR(#REF!/#REF!,"")</f>
        <v/>
      </c>
      <c r="AB192" s="2" t="str">
        <f>+IFERROR(N192/H192,"")</f>
        <v/>
      </c>
      <c r="AD192" s="2" t="str">
        <f t="shared" si="61"/>
        <v/>
      </c>
      <c r="AE192" s="2" t="str">
        <f t="shared" si="62"/>
        <v/>
      </c>
      <c r="AF192" s="143" t="str">
        <f t="shared" si="63"/>
        <v/>
      </c>
      <c r="AG192" s="143" t="str">
        <f t="shared" si="64"/>
        <v/>
      </c>
      <c r="AH192" s="143" t="str">
        <f t="shared" si="65"/>
        <v/>
      </c>
      <c r="AI192" s="143" t="str">
        <f t="shared" si="66"/>
        <v/>
      </c>
      <c r="AJ192" s="143" t="str">
        <f t="shared" si="67"/>
        <v/>
      </c>
      <c r="AK192" s="143" t="str">
        <f t="shared" si="68"/>
        <v/>
      </c>
      <c r="AL192" s="143" t="str">
        <f t="shared" si="69"/>
        <v/>
      </c>
      <c r="AM192" s="143" t="str">
        <f t="shared" si="70"/>
        <v/>
      </c>
      <c r="AN192" s="143" t="str">
        <f t="shared" si="71"/>
        <v/>
      </c>
      <c r="AP192" s="9">
        <f t="shared" si="48"/>
        <v>0</v>
      </c>
      <c r="AQ192" s="9">
        <f t="shared" si="49"/>
        <v>0.99952707139757635</v>
      </c>
    </row>
    <row r="193" spans="2:43" x14ac:dyDescent="0.35">
      <c r="B193" s="3" t="s">
        <v>264</v>
      </c>
      <c r="D193" s="141">
        <v>417370</v>
      </c>
      <c r="E193" s="141">
        <v>333688</v>
      </c>
      <c r="F193" s="141">
        <v>97834</v>
      </c>
      <c r="G193" s="141">
        <v>2927808</v>
      </c>
      <c r="H193" s="141">
        <f>+SUM(D193:G193)</f>
        <v>3776700</v>
      </c>
      <c r="J193" s="141">
        <v>26797</v>
      </c>
      <c r="K193" s="141">
        <v>21737</v>
      </c>
      <c r="L193" s="141">
        <v>7245</v>
      </c>
      <c r="M193" s="141">
        <v>330376</v>
      </c>
      <c r="N193" s="141">
        <f>+SUM(J193:M193)</f>
        <v>386155</v>
      </c>
      <c r="P193" s="2">
        <f>+IFERROR(J193/D193,"")</f>
        <v>6.4204422934087263E-2</v>
      </c>
      <c r="Q193" s="2">
        <f>+IFERROR(K193/E193,"")</f>
        <v>6.5141689242645823E-2</v>
      </c>
      <c r="R193" s="2">
        <f>+IFERROR(L193/F193,"")</f>
        <v>7.4054009853425196E-2</v>
      </c>
      <c r="S193" s="2">
        <f>+IFERROR(M193/G193,"")</f>
        <v>0.11284073272564321</v>
      </c>
      <c r="T193" s="2" t="str">
        <f>+IFERROR(#REF!/#REF!,"")</f>
        <v/>
      </c>
      <c r="U193" s="2" t="str">
        <f>+IFERROR(#REF!/#REF!,"")</f>
        <v/>
      </c>
      <c r="V193" s="2" t="str">
        <f>+IFERROR(#REF!/#REF!,"")</f>
        <v/>
      </c>
      <c r="W193" s="2" t="str">
        <f>+IFERROR(#REF!/#REF!,"")</f>
        <v/>
      </c>
      <c r="X193" s="2" t="str">
        <f>+IFERROR(#REF!/#REF!,"")</f>
        <v/>
      </c>
      <c r="Y193" s="2" t="str">
        <f>+IFERROR(#REF!/#REF!,"")</f>
        <v/>
      </c>
      <c r="Z193" s="2" t="str">
        <f>+IFERROR(#REF!/#REF!,"")</f>
        <v/>
      </c>
      <c r="AA193" s="2" t="str">
        <f>+IFERROR(#REF!/#REF!,"")</f>
        <v/>
      </c>
      <c r="AB193" s="2">
        <f>+IFERROR(N193/H193,"")</f>
        <v>0.10224667037360659</v>
      </c>
      <c r="AD193" s="2" t="str">
        <f t="shared" si="61"/>
        <v/>
      </c>
      <c r="AE193" s="2" t="str">
        <f t="shared" si="62"/>
        <v/>
      </c>
      <c r="AF193" s="143">
        <f t="shared" si="63"/>
        <v>3.8786722872218016E-2</v>
      </c>
      <c r="AG193" s="143" t="str">
        <f t="shared" si="64"/>
        <v/>
      </c>
      <c r="AH193" s="143" t="str">
        <f t="shared" si="65"/>
        <v/>
      </c>
      <c r="AI193" s="143" t="str">
        <f t="shared" si="66"/>
        <v/>
      </c>
      <c r="AJ193" s="143" t="str">
        <f t="shared" si="67"/>
        <v/>
      </c>
      <c r="AK193" s="143" t="str">
        <f t="shared" si="68"/>
        <v/>
      </c>
      <c r="AL193" s="143" t="str">
        <f t="shared" si="69"/>
        <v/>
      </c>
      <c r="AM193" s="143" t="str">
        <f t="shared" si="70"/>
        <v/>
      </c>
      <c r="AN193" s="143" t="str">
        <f t="shared" si="71"/>
        <v/>
      </c>
      <c r="AP193" s="9">
        <f t="shared" si="48"/>
        <v>2.3641593498882168E-4</v>
      </c>
      <c r="AQ193" s="9">
        <f t="shared" si="49"/>
        <v>0.99976348733256515</v>
      </c>
    </row>
    <row r="194" spans="2:43" x14ac:dyDescent="0.35">
      <c r="B194" s="3" t="s">
        <v>271</v>
      </c>
      <c r="D194" s="141"/>
      <c r="E194" s="141"/>
      <c r="F194" s="141"/>
      <c r="G194" s="141"/>
      <c r="H194" s="141">
        <f>+SUM(D194:G194)</f>
        <v>0</v>
      </c>
      <c r="J194" s="141"/>
      <c r="K194" s="141"/>
      <c r="L194" s="141"/>
      <c r="M194" s="141"/>
      <c r="N194" s="141">
        <f>+SUM(J194:M194)</f>
        <v>0</v>
      </c>
      <c r="P194" s="2" t="str">
        <f>+IFERROR(J194/D194,"")</f>
        <v/>
      </c>
      <c r="Q194" s="2" t="str">
        <f>+IFERROR(K194/E194,"")</f>
        <v/>
      </c>
      <c r="R194" s="2" t="str">
        <f>+IFERROR(L194/F194,"")</f>
        <v/>
      </c>
      <c r="S194" s="2" t="str">
        <f>+IFERROR(M194/G194,"")</f>
        <v/>
      </c>
      <c r="T194" s="2" t="str">
        <f>+IFERROR(#REF!/#REF!,"")</f>
        <v/>
      </c>
      <c r="U194" s="2" t="str">
        <f>+IFERROR(#REF!/#REF!,"")</f>
        <v/>
      </c>
      <c r="V194" s="2" t="str">
        <f>+IFERROR(#REF!/#REF!,"")</f>
        <v/>
      </c>
      <c r="W194" s="2" t="str">
        <f>+IFERROR(#REF!/#REF!,"")</f>
        <v/>
      </c>
      <c r="X194" s="2" t="str">
        <f>+IFERROR(#REF!/#REF!,"")</f>
        <v/>
      </c>
      <c r="Y194" s="2" t="str">
        <f>+IFERROR(#REF!/#REF!,"")</f>
        <v/>
      </c>
      <c r="Z194" s="2" t="str">
        <f>+IFERROR(#REF!/#REF!,"")</f>
        <v/>
      </c>
      <c r="AA194" s="2" t="str">
        <f>+IFERROR(#REF!/#REF!,"")</f>
        <v/>
      </c>
      <c r="AB194" s="2" t="str">
        <f>+IFERROR(N194/H194,"")</f>
        <v/>
      </c>
      <c r="AD194" s="2" t="str">
        <f t="shared" si="61"/>
        <v/>
      </c>
      <c r="AE194" s="2" t="str">
        <f t="shared" si="62"/>
        <v/>
      </c>
      <c r="AF194" s="143" t="str">
        <f t="shared" si="63"/>
        <v/>
      </c>
      <c r="AG194" s="143" t="str">
        <f t="shared" si="64"/>
        <v/>
      </c>
      <c r="AH194" s="143" t="str">
        <f t="shared" si="65"/>
        <v/>
      </c>
      <c r="AI194" s="143" t="str">
        <f t="shared" si="66"/>
        <v/>
      </c>
      <c r="AJ194" s="143" t="str">
        <f t="shared" si="67"/>
        <v/>
      </c>
      <c r="AK194" s="143" t="str">
        <f t="shared" si="68"/>
        <v/>
      </c>
      <c r="AL194" s="143" t="str">
        <f t="shared" si="69"/>
        <v/>
      </c>
      <c r="AM194" s="143" t="str">
        <f t="shared" si="70"/>
        <v/>
      </c>
      <c r="AN194" s="143" t="str">
        <f t="shared" si="71"/>
        <v/>
      </c>
      <c r="AP194" s="9">
        <f t="shared" si="48"/>
        <v>0</v>
      </c>
      <c r="AQ194" s="9">
        <f t="shared" si="49"/>
        <v>0.99976348733256515</v>
      </c>
    </row>
    <row r="195" spans="2:43" x14ac:dyDescent="0.35">
      <c r="B195" s="3" t="s">
        <v>261</v>
      </c>
      <c r="D195" s="141">
        <v>308106</v>
      </c>
      <c r="E195" s="141">
        <v>345907</v>
      </c>
      <c r="F195" s="141">
        <v>89537</v>
      </c>
      <c r="G195" s="141">
        <v>293969</v>
      </c>
      <c r="H195" s="141">
        <f>+SUM(D195:G195)</f>
        <v>1037519</v>
      </c>
      <c r="J195" s="141">
        <v>35165</v>
      </c>
      <c r="K195" s="141">
        <v>48626</v>
      </c>
      <c r="L195" s="141">
        <v>6130</v>
      </c>
      <c r="M195" s="141">
        <v>39673</v>
      </c>
      <c r="N195" s="141">
        <f>+SUM(J195:M195)</f>
        <v>129594</v>
      </c>
      <c r="P195" s="2">
        <f>+IFERROR(J195/D195,"")</f>
        <v>0.11413279845248064</v>
      </c>
      <c r="Q195" s="2">
        <f>+IFERROR(K195/E195,"")</f>
        <v>0.14057535696010778</v>
      </c>
      <c r="R195" s="2">
        <f>+IFERROR(L195/F195,"")</f>
        <v>6.8463316841082464E-2</v>
      </c>
      <c r="S195" s="2">
        <f>+IFERROR(M195/G195,"")</f>
        <v>0.13495640696808167</v>
      </c>
      <c r="T195" s="2" t="str">
        <f>+IFERROR(#REF!/#REF!,"")</f>
        <v/>
      </c>
      <c r="U195" s="2" t="str">
        <f>+IFERROR(#REF!/#REF!,"")</f>
        <v/>
      </c>
      <c r="V195" s="2" t="str">
        <f>+IFERROR(#REF!/#REF!,"")</f>
        <v/>
      </c>
      <c r="W195" s="2" t="str">
        <f>+IFERROR(#REF!/#REF!,"")</f>
        <v/>
      </c>
      <c r="X195" s="2" t="str">
        <f>+IFERROR(#REF!/#REF!,"")</f>
        <v/>
      </c>
      <c r="Y195" s="2" t="str">
        <f>+IFERROR(#REF!/#REF!,"")</f>
        <v/>
      </c>
      <c r="Z195" s="2" t="str">
        <f>+IFERROR(#REF!/#REF!,"")</f>
        <v/>
      </c>
      <c r="AA195" s="2" t="str">
        <f>+IFERROR(#REF!/#REF!,"")</f>
        <v/>
      </c>
      <c r="AB195" s="2">
        <f>+IFERROR(N195/H195,"")</f>
        <v>0.12490759205373589</v>
      </c>
      <c r="AD195" s="2" t="str">
        <f t="shared" si="61"/>
        <v/>
      </c>
      <c r="AE195" s="2" t="str">
        <f t="shared" si="62"/>
        <v/>
      </c>
      <c r="AF195" s="143">
        <f t="shared" si="63"/>
        <v>6.6493090126999208E-2</v>
      </c>
      <c r="AG195" s="143" t="str">
        <f t="shared" si="64"/>
        <v/>
      </c>
      <c r="AH195" s="143" t="str">
        <f t="shared" si="65"/>
        <v/>
      </c>
      <c r="AI195" s="143" t="str">
        <f t="shared" si="66"/>
        <v/>
      </c>
      <c r="AJ195" s="143" t="str">
        <f t="shared" si="67"/>
        <v/>
      </c>
      <c r="AK195" s="143" t="str">
        <f t="shared" si="68"/>
        <v/>
      </c>
      <c r="AL195" s="143" t="str">
        <f t="shared" si="69"/>
        <v/>
      </c>
      <c r="AM195" s="143" t="str">
        <f t="shared" si="70"/>
        <v/>
      </c>
      <c r="AN195" s="143" t="str">
        <f t="shared" si="71"/>
        <v/>
      </c>
      <c r="AP195" s="9">
        <f t="shared" si="48"/>
        <v>7.9341421654365108E-5</v>
      </c>
      <c r="AQ195" s="9">
        <f t="shared" si="49"/>
        <v>0.99984282875421948</v>
      </c>
    </row>
    <row r="196" spans="2:43" x14ac:dyDescent="0.35">
      <c r="B196" s="3" t="s">
        <v>280</v>
      </c>
      <c r="D196" s="141"/>
      <c r="E196" s="141"/>
      <c r="F196" s="141"/>
      <c r="G196" s="141"/>
      <c r="H196" s="141">
        <f>+SUM(D196:G196)</f>
        <v>0</v>
      </c>
      <c r="J196" s="141"/>
      <c r="K196" s="141"/>
      <c r="L196" s="141"/>
      <c r="M196" s="141"/>
      <c r="N196" s="141">
        <f>+SUM(J196:M196)</f>
        <v>0</v>
      </c>
      <c r="P196" s="2" t="str">
        <f>+IFERROR(J196/D196,"")</f>
        <v/>
      </c>
      <c r="Q196" s="2" t="str">
        <f>+IFERROR(K196/E196,"")</f>
        <v/>
      </c>
      <c r="R196" s="2" t="str">
        <f>+IFERROR(L196/F196,"")</f>
        <v/>
      </c>
      <c r="S196" s="2" t="str">
        <f>+IFERROR(M196/G196,"")</f>
        <v/>
      </c>
      <c r="T196" s="2" t="str">
        <f>+IFERROR(#REF!/#REF!,"")</f>
        <v/>
      </c>
      <c r="U196" s="2" t="str">
        <f>+IFERROR(#REF!/#REF!,"")</f>
        <v/>
      </c>
      <c r="V196" s="2" t="str">
        <f>+IFERROR(#REF!/#REF!,"")</f>
        <v/>
      </c>
      <c r="W196" s="2" t="str">
        <f>+IFERROR(#REF!/#REF!,"")</f>
        <v/>
      </c>
      <c r="X196" s="2" t="str">
        <f>+IFERROR(#REF!/#REF!,"")</f>
        <v/>
      </c>
      <c r="Y196" s="2" t="str">
        <f>+IFERROR(#REF!/#REF!,"")</f>
        <v/>
      </c>
      <c r="Z196" s="2" t="str">
        <f>+IFERROR(#REF!/#REF!,"")</f>
        <v/>
      </c>
      <c r="AA196" s="2" t="str">
        <f>+IFERROR(#REF!/#REF!,"")</f>
        <v/>
      </c>
      <c r="AB196" s="2" t="str">
        <f>+IFERROR(N196/H196,"")</f>
        <v/>
      </c>
      <c r="AD196" s="2" t="str">
        <f t="shared" si="61"/>
        <v/>
      </c>
      <c r="AE196" s="2" t="str">
        <f t="shared" si="62"/>
        <v/>
      </c>
      <c r="AF196" s="143" t="str">
        <f t="shared" si="63"/>
        <v/>
      </c>
      <c r="AG196" s="143" t="str">
        <f t="shared" si="64"/>
        <v/>
      </c>
      <c r="AH196" s="143" t="str">
        <f t="shared" si="65"/>
        <v/>
      </c>
      <c r="AI196" s="143" t="str">
        <f t="shared" si="66"/>
        <v/>
      </c>
      <c r="AJ196" s="143" t="str">
        <f t="shared" si="67"/>
        <v/>
      </c>
      <c r="AK196" s="143" t="str">
        <f t="shared" si="68"/>
        <v/>
      </c>
      <c r="AL196" s="143" t="str">
        <f t="shared" si="69"/>
        <v/>
      </c>
      <c r="AM196" s="143" t="str">
        <f t="shared" si="70"/>
        <v/>
      </c>
      <c r="AN196" s="143" t="str">
        <f t="shared" si="71"/>
        <v/>
      </c>
      <c r="AP196" s="9">
        <f t="shared" si="48"/>
        <v>0</v>
      </c>
      <c r="AQ196" s="9">
        <f t="shared" si="49"/>
        <v>0.99984282875421948</v>
      </c>
    </row>
    <row r="197" spans="2:43" x14ac:dyDescent="0.35">
      <c r="B197" s="3" t="s">
        <v>275</v>
      </c>
      <c r="D197" s="141">
        <v>382840</v>
      </c>
      <c r="E197" s="141">
        <v>427795</v>
      </c>
      <c r="F197" s="141">
        <v>668370</v>
      </c>
      <c r="G197" s="141">
        <v>254146</v>
      </c>
      <c r="H197" s="141">
        <f>+SUM(D197:G197)</f>
        <v>1733151</v>
      </c>
      <c r="J197" s="141">
        <v>14866</v>
      </c>
      <c r="K197" s="141">
        <v>43926</v>
      </c>
      <c r="L197" s="141">
        <v>65385</v>
      </c>
      <c r="M197" s="141">
        <v>17128</v>
      </c>
      <c r="N197" s="141">
        <f>+SUM(J197:M197)</f>
        <v>141305</v>
      </c>
      <c r="P197" s="2">
        <f>+IFERROR(J197/D197,"")</f>
        <v>3.8830843172082331E-2</v>
      </c>
      <c r="Q197" s="2">
        <f>+IFERROR(K197/E197,"")</f>
        <v>0.10268002197314134</v>
      </c>
      <c r="R197" s="2">
        <f>+IFERROR(L197/F197,"")</f>
        <v>9.7827550608196062E-2</v>
      </c>
      <c r="S197" s="2">
        <f>+IFERROR(M197/G197,"")</f>
        <v>6.739433239161742E-2</v>
      </c>
      <c r="T197" s="2" t="str">
        <f>+IFERROR(#REF!/#REF!,"")</f>
        <v/>
      </c>
      <c r="U197" s="2" t="str">
        <f>+IFERROR(#REF!/#REF!,"")</f>
        <v/>
      </c>
      <c r="V197" s="2" t="str">
        <f>+IFERROR(#REF!/#REF!,"")</f>
        <v/>
      </c>
      <c r="W197" s="2" t="str">
        <f>+IFERROR(#REF!/#REF!,"")</f>
        <v/>
      </c>
      <c r="X197" s="2" t="str">
        <f>+IFERROR(#REF!/#REF!,"")</f>
        <v/>
      </c>
      <c r="Y197" s="2" t="str">
        <f>+IFERROR(#REF!/#REF!,"")</f>
        <v/>
      </c>
      <c r="Z197" s="2" t="str">
        <f>+IFERROR(#REF!/#REF!,"")</f>
        <v/>
      </c>
      <c r="AA197" s="2" t="str">
        <f>+IFERROR(#REF!/#REF!,"")</f>
        <v/>
      </c>
      <c r="AB197" s="2">
        <f>+IFERROR(N197/H197,"")</f>
        <v>8.1530691786232123E-2</v>
      </c>
      <c r="AD197" s="2" t="str">
        <f t="shared" si="61"/>
        <v/>
      </c>
      <c r="AE197" s="2" t="str">
        <f t="shared" si="62"/>
        <v/>
      </c>
      <c r="AF197" s="143">
        <f t="shared" si="63"/>
        <v>-3.0433218216578642E-2</v>
      </c>
      <c r="AG197" s="143" t="str">
        <f t="shared" si="64"/>
        <v/>
      </c>
      <c r="AH197" s="143" t="str">
        <f t="shared" si="65"/>
        <v/>
      </c>
      <c r="AI197" s="143" t="str">
        <f t="shared" si="66"/>
        <v/>
      </c>
      <c r="AJ197" s="143" t="str">
        <f t="shared" si="67"/>
        <v/>
      </c>
      <c r="AK197" s="143" t="str">
        <f t="shared" si="68"/>
        <v/>
      </c>
      <c r="AL197" s="143" t="str">
        <f t="shared" si="69"/>
        <v/>
      </c>
      <c r="AM197" s="143" t="str">
        <f t="shared" si="70"/>
        <v/>
      </c>
      <c r="AN197" s="143" t="str">
        <f t="shared" si="71"/>
        <v/>
      </c>
      <c r="AP197" s="9">
        <f t="shared" ref="AP197:AP237" si="72">+N197/$N$237</f>
        <v>8.6511255049385473E-5</v>
      </c>
      <c r="AQ197" s="9">
        <f t="shared" si="49"/>
        <v>0.99992934000926892</v>
      </c>
    </row>
    <row r="198" spans="2:43" x14ac:dyDescent="0.35">
      <c r="B198" s="3" t="s">
        <v>292</v>
      </c>
      <c r="D198" s="141">
        <v>171800</v>
      </c>
      <c r="E198" s="141">
        <v>209331</v>
      </c>
      <c r="F198" s="141">
        <v>43264</v>
      </c>
      <c r="G198" s="141">
        <v>158059</v>
      </c>
      <c r="H198" s="141">
        <f>+SUM(D198:G198)</f>
        <v>582454</v>
      </c>
      <c r="J198" s="141">
        <v>10985</v>
      </c>
      <c r="K198" s="141">
        <v>17698</v>
      </c>
      <c r="L198" s="141">
        <v>2164</v>
      </c>
      <c r="M198" s="141">
        <v>10827</v>
      </c>
      <c r="N198" s="141">
        <f>+SUM(J198:M198)</f>
        <v>41674</v>
      </c>
      <c r="P198" s="2">
        <f>+IFERROR(J198/D198,"")</f>
        <v>6.3940628637951108E-2</v>
      </c>
      <c r="Q198" s="2">
        <f>+IFERROR(K198/E198,"")</f>
        <v>8.4545528373723908E-2</v>
      </c>
      <c r="R198" s="2">
        <f>+IFERROR(L198/F198,"")</f>
        <v>5.0018491124260357E-2</v>
      </c>
      <c r="S198" s="2">
        <f>+IFERROR(M198/G198,"")</f>
        <v>6.8499737439816771E-2</v>
      </c>
      <c r="T198" s="2" t="str">
        <f>+IFERROR(#REF!/#REF!,"")</f>
        <v/>
      </c>
      <c r="U198" s="2" t="str">
        <f>+IFERROR(#REF!/#REF!,"")</f>
        <v/>
      </c>
      <c r="V198" s="2" t="str">
        <f>+IFERROR(#REF!/#REF!,"")</f>
        <v/>
      </c>
      <c r="W198" s="2" t="str">
        <f>+IFERROR(#REF!/#REF!,"")</f>
        <v/>
      </c>
      <c r="X198" s="2" t="str">
        <f>+IFERROR(#REF!/#REF!,"")</f>
        <v/>
      </c>
      <c r="Y198" s="2" t="str">
        <f>+IFERROR(#REF!/#REF!,"")</f>
        <v/>
      </c>
      <c r="Z198" s="2" t="str">
        <f>+IFERROR(#REF!/#REF!,"")</f>
        <v/>
      </c>
      <c r="AA198" s="2" t="str">
        <f>+IFERROR(#REF!/#REF!,"")</f>
        <v/>
      </c>
      <c r="AB198" s="2">
        <f>+IFERROR(N198/H198,"")</f>
        <v>7.1548997860775274E-2</v>
      </c>
      <c r="AD198" s="2" t="str">
        <f t="shared" si="61"/>
        <v/>
      </c>
      <c r="AE198" s="2" t="str">
        <f t="shared" si="62"/>
        <v/>
      </c>
      <c r="AF198" s="143">
        <f t="shared" si="63"/>
        <v>1.8481246315556414E-2</v>
      </c>
      <c r="AG198" s="143" t="str">
        <f t="shared" si="64"/>
        <v/>
      </c>
      <c r="AH198" s="143" t="str">
        <f t="shared" si="65"/>
        <v/>
      </c>
      <c r="AI198" s="143" t="str">
        <f t="shared" si="66"/>
        <v/>
      </c>
      <c r="AJ198" s="143" t="str">
        <f t="shared" si="67"/>
        <v/>
      </c>
      <c r="AK198" s="143" t="str">
        <f t="shared" si="68"/>
        <v/>
      </c>
      <c r="AL198" s="143" t="str">
        <f t="shared" si="69"/>
        <v/>
      </c>
      <c r="AM198" s="143" t="str">
        <f t="shared" si="70"/>
        <v/>
      </c>
      <c r="AN198" s="143" t="str">
        <f t="shared" si="71"/>
        <v/>
      </c>
      <c r="AP198" s="9">
        <f t="shared" si="72"/>
        <v>2.5514101007947988E-5</v>
      </c>
      <c r="AQ198" s="9">
        <f t="shared" ref="AQ198:AQ236" si="73">+AP198+AQ197</f>
        <v>0.99995485411027685</v>
      </c>
    </row>
    <row r="199" spans="2:43" x14ac:dyDescent="0.35">
      <c r="B199" s="3" t="s">
        <v>282</v>
      </c>
      <c r="D199" s="141">
        <v>132</v>
      </c>
      <c r="E199" s="141"/>
      <c r="F199" s="141"/>
      <c r="G199" s="141">
        <v>6677</v>
      </c>
      <c r="H199" s="141">
        <f>+SUM(D199:G199)</f>
        <v>6809</v>
      </c>
      <c r="J199" s="141">
        <v>1</v>
      </c>
      <c r="K199" s="141"/>
      <c r="L199" s="141"/>
      <c r="M199" s="141">
        <v>400</v>
      </c>
      <c r="N199" s="141">
        <f>+SUM(J199:M199)</f>
        <v>401</v>
      </c>
      <c r="P199" s="2">
        <f>+IFERROR(J199/D199,"")</f>
        <v>7.575757575757576E-3</v>
      </c>
      <c r="Q199" s="2" t="str">
        <f>+IFERROR(K199/E199,"")</f>
        <v/>
      </c>
      <c r="R199" s="2" t="str">
        <f>+IFERROR(L199/F199,"")</f>
        <v/>
      </c>
      <c r="S199" s="2">
        <f>+IFERROR(M199/G199,"")</f>
        <v>5.9907143926913285E-2</v>
      </c>
      <c r="T199" s="2" t="str">
        <f>+IFERROR(#REF!/#REF!,"")</f>
        <v/>
      </c>
      <c r="U199" s="2" t="str">
        <f>+IFERROR(#REF!/#REF!,"")</f>
        <v/>
      </c>
      <c r="V199" s="2" t="str">
        <f>+IFERROR(#REF!/#REF!,"")</f>
        <v/>
      </c>
      <c r="W199" s="2" t="str">
        <f>+IFERROR(#REF!/#REF!,"")</f>
        <v/>
      </c>
      <c r="X199" s="2" t="str">
        <f>+IFERROR(#REF!/#REF!,"")</f>
        <v/>
      </c>
      <c r="Y199" s="2" t="str">
        <f>+IFERROR(#REF!/#REF!,"")</f>
        <v/>
      </c>
      <c r="Z199" s="2" t="str">
        <f>+IFERROR(#REF!/#REF!,"")</f>
        <v/>
      </c>
      <c r="AA199" s="2" t="str">
        <f>+IFERROR(#REF!/#REF!,"")</f>
        <v/>
      </c>
      <c r="AB199" s="2">
        <f>+IFERROR(N199/H199,"")</f>
        <v>5.8892642091349687E-2</v>
      </c>
      <c r="AD199" s="2" t="str">
        <f t="shared" si="61"/>
        <v/>
      </c>
      <c r="AE199" s="2" t="str">
        <f t="shared" si="62"/>
        <v/>
      </c>
      <c r="AF199" s="143" t="str">
        <f t="shared" si="63"/>
        <v/>
      </c>
      <c r="AG199" s="143" t="str">
        <f t="shared" si="64"/>
        <v/>
      </c>
      <c r="AH199" s="143" t="str">
        <f t="shared" si="65"/>
        <v/>
      </c>
      <c r="AI199" s="143" t="str">
        <f t="shared" si="66"/>
        <v/>
      </c>
      <c r="AJ199" s="143" t="str">
        <f t="shared" si="67"/>
        <v/>
      </c>
      <c r="AK199" s="143" t="str">
        <f t="shared" si="68"/>
        <v/>
      </c>
      <c r="AL199" s="143" t="str">
        <f t="shared" si="69"/>
        <v/>
      </c>
      <c r="AM199" s="143" t="str">
        <f t="shared" si="70"/>
        <v/>
      </c>
      <c r="AN199" s="143" t="str">
        <f t="shared" si="71"/>
        <v/>
      </c>
      <c r="AP199" s="9">
        <f t="shared" si="72"/>
        <v>2.455044993086131E-7</v>
      </c>
      <c r="AQ199" s="9">
        <f t="shared" si="73"/>
        <v>0.99995509961477613</v>
      </c>
    </row>
    <row r="200" spans="2:43" x14ac:dyDescent="0.35">
      <c r="B200" s="3" t="s">
        <v>294</v>
      </c>
      <c r="D200" s="141">
        <v>46313</v>
      </c>
      <c r="E200" s="141">
        <v>50166</v>
      </c>
      <c r="F200" s="141">
        <v>121659</v>
      </c>
      <c r="G200" s="141">
        <v>31023</v>
      </c>
      <c r="H200" s="141">
        <f>+SUM(D200:G200)</f>
        <v>249161</v>
      </c>
      <c r="J200" s="141">
        <v>12161</v>
      </c>
      <c r="K200" s="141">
        <v>403</v>
      </c>
      <c r="L200" s="141">
        <v>18129</v>
      </c>
      <c r="M200" s="141">
        <v>2046</v>
      </c>
      <c r="N200" s="141">
        <f>+SUM(J200:M200)</f>
        <v>32739</v>
      </c>
      <c r="P200" s="2">
        <f>+IFERROR(J200/D200,"")</f>
        <v>0.26258286010407444</v>
      </c>
      <c r="Q200" s="2">
        <f>+IFERROR(K200/E200,"")</f>
        <v>8.03332934656939E-3</v>
      </c>
      <c r="R200" s="2">
        <f>+IFERROR(L200/F200,"")</f>
        <v>0.14901486943012848</v>
      </c>
      <c r="S200" s="2">
        <f>+IFERROR(M200/G200,"")</f>
        <v>6.5951068562034615E-2</v>
      </c>
      <c r="T200" s="2" t="str">
        <f>+IFERROR(#REF!/#REF!,"")</f>
        <v/>
      </c>
      <c r="U200" s="2" t="str">
        <f>+IFERROR(#REF!/#REF!,"")</f>
        <v/>
      </c>
      <c r="V200" s="2" t="str">
        <f>+IFERROR(#REF!/#REF!,"")</f>
        <v/>
      </c>
      <c r="W200" s="2" t="str">
        <f>+IFERROR(#REF!/#REF!,"")</f>
        <v/>
      </c>
      <c r="X200" s="2" t="str">
        <f>+IFERROR(#REF!/#REF!,"")</f>
        <v/>
      </c>
      <c r="Y200" s="2" t="str">
        <f>+IFERROR(#REF!/#REF!,"")</f>
        <v/>
      </c>
      <c r="Z200" s="2" t="str">
        <f>+IFERROR(#REF!/#REF!,"")</f>
        <v/>
      </c>
      <c r="AA200" s="2" t="str">
        <f>+IFERROR(#REF!/#REF!,"")</f>
        <v/>
      </c>
      <c r="AB200" s="2">
        <f>+IFERROR(N200/H200,"")</f>
        <v>0.13139696822536431</v>
      </c>
      <c r="AD200" s="2" t="str">
        <f t="shared" si="61"/>
        <v/>
      </c>
      <c r="AE200" s="2" t="str">
        <f t="shared" si="62"/>
        <v/>
      </c>
      <c r="AF200" s="143">
        <f t="shared" si="63"/>
        <v>-8.3063800868093868E-2</v>
      </c>
      <c r="AG200" s="143" t="str">
        <f t="shared" si="64"/>
        <v/>
      </c>
      <c r="AH200" s="143" t="str">
        <f t="shared" si="65"/>
        <v/>
      </c>
      <c r="AI200" s="143" t="str">
        <f t="shared" si="66"/>
        <v/>
      </c>
      <c r="AJ200" s="143" t="str">
        <f t="shared" si="67"/>
        <v/>
      </c>
      <c r="AK200" s="143" t="str">
        <f t="shared" si="68"/>
        <v/>
      </c>
      <c r="AL200" s="143" t="str">
        <f t="shared" si="69"/>
        <v/>
      </c>
      <c r="AM200" s="143" t="str">
        <f t="shared" si="70"/>
        <v/>
      </c>
      <c r="AN200" s="143" t="str">
        <f t="shared" si="71"/>
        <v/>
      </c>
      <c r="AP200" s="9">
        <f t="shared" si="72"/>
        <v>2.004381995726854E-5</v>
      </c>
      <c r="AQ200" s="9">
        <f t="shared" si="73"/>
        <v>0.99997514343473337</v>
      </c>
    </row>
    <row r="201" spans="2:43" x14ac:dyDescent="0.35">
      <c r="B201" s="3" t="s">
        <v>295</v>
      </c>
      <c r="D201" s="141">
        <v>8552</v>
      </c>
      <c r="E201" s="141">
        <v>11462</v>
      </c>
      <c r="F201" s="141">
        <v>1338</v>
      </c>
      <c r="G201" s="141">
        <v>7530</v>
      </c>
      <c r="H201" s="141">
        <f>+SUM(D201:G201)</f>
        <v>28882</v>
      </c>
      <c r="J201" s="141">
        <v>1055</v>
      </c>
      <c r="K201" s="141">
        <v>759</v>
      </c>
      <c r="L201" s="141">
        <v>3</v>
      </c>
      <c r="M201" s="141">
        <v>453</v>
      </c>
      <c r="N201" s="141">
        <f>+SUM(J201:M201)</f>
        <v>2270</v>
      </c>
      <c r="P201" s="2">
        <f>+IFERROR(J201/D201,"")</f>
        <v>0.12336295603367634</v>
      </c>
      <c r="Q201" s="2">
        <f>+IFERROR(K201/E201,"")</f>
        <v>6.6218809980806148E-2</v>
      </c>
      <c r="R201" s="2">
        <f>+IFERROR(L201/F201,"")</f>
        <v>2.242152466367713E-3</v>
      </c>
      <c r="S201" s="2">
        <f>+IFERROR(M201/G201,"")</f>
        <v>6.0159362549800796E-2</v>
      </c>
      <c r="T201" s="2" t="str">
        <f>+IFERROR(#REF!/#REF!,"")</f>
        <v/>
      </c>
      <c r="U201" s="2" t="str">
        <f>+IFERROR(#REF!/#REF!,"")</f>
        <v/>
      </c>
      <c r="V201" s="2" t="str">
        <f>+IFERROR(#REF!/#REF!,"")</f>
        <v/>
      </c>
      <c r="W201" s="2" t="str">
        <f>+IFERROR(#REF!/#REF!,"")</f>
        <v/>
      </c>
      <c r="X201" s="2" t="str">
        <f>+IFERROR(#REF!/#REF!,"")</f>
        <v/>
      </c>
      <c r="Y201" s="2" t="str">
        <f>+IFERROR(#REF!/#REF!,"")</f>
        <v/>
      </c>
      <c r="Z201" s="2" t="str">
        <f>+IFERROR(#REF!/#REF!,"")</f>
        <v/>
      </c>
      <c r="AA201" s="2" t="str">
        <f>+IFERROR(#REF!/#REF!,"")</f>
        <v/>
      </c>
      <c r="AB201" s="2">
        <f>+IFERROR(N201/H201,"")</f>
        <v>7.8595665120144029E-2</v>
      </c>
      <c r="AD201" s="2" t="str">
        <f t="shared" si="61"/>
        <v/>
      </c>
      <c r="AE201" s="2" t="str">
        <f t="shared" si="62"/>
        <v/>
      </c>
      <c r="AF201" s="143">
        <f t="shared" si="63"/>
        <v>5.7917210083433084E-2</v>
      </c>
      <c r="AG201" s="143" t="str">
        <f t="shared" si="64"/>
        <v/>
      </c>
      <c r="AH201" s="143" t="str">
        <f t="shared" si="65"/>
        <v/>
      </c>
      <c r="AI201" s="143" t="str">
        <f t="shared" si="66"/>
        <v/>
      </c>
      <c r="AJ201" s="143" t="str">
        <f t="shared" si="67"/>
        <v/>
      </c>
      <c r="AK201" s="143" t="str">
        <f t="shared" si="68"/>
        <v/>
      </c>
      <c r="AL201" s="143" t="str">
        <f t="shared" si="69"/>
        <v/>
      </c>
      <c r="AM201" s="143" t="str">
        <f t="shared" si="70"/>
        <v/>
      </c>
      <c r="AN201" s="143" t="str">
        <f t="shared" si="71"/>
        <v/>
      </c>
      <c r="AP201" s="9">
        <f t="shared" si="72"/>
        <v>1.3897636245150917E-6</v>
      </c>
      <c r="AQ201" s="9">
        <f t="shared" si="73"/>
        <v>0.99997653319835789</v>
      </c>
    </row>
    <row r="202" spans="2:43" x14ac:dyDescent="0.35">
      <c r="B202" s="3" t="s">
        <v>296</v>
      </c>
      <c r="D202" s="141">
        <v>20907</v>
      </c>
      <c r="E202" s="141">
        <v>20344</v>
      </c>
      <c r="F202" s="141">
        <v>16353</v>
      </c>
      <c r="G202" s="141">
        <v>55879</v>
      </c>
      <c r="H202" s="141">
        <f>+SUM(D202:G202)</f>
        <v>113483</v>
      </c>
      <c r="J202" s="141">
        <v>1846</v>
      </c>
      <c r="K202" s="141">
        <v>1965</v>
      </c>
      <c r="L202" s="141">
        <v>1316</v>
      </c>
      <c r="M202" s="141">
        <v>3753</v>
      </c>
      <c r="N202" s="141">
        <f>+SUM(J202:M202)</f>
        <v>8880</v>
      </c>
      <c r="P202" s="2">
        <f>+IFERROR(J202/D202,"")</f>
        <v>8.8295786100349161E-2</v>
      </c>
      <c r="Q202" s="2">
        <f>+IFERROR(K202/E202,"")</f>
        <v>9.6588674793550919E-2</v>
      </c>
      <c r="R202" s="2">
        <f>+IFERROR(L202/F202,"")</f>
        <v>8.0474530667155875E-2</v>
      </c>
      <c r="S202" s="2">
        <f>+IFERROR(M202/G202,"")</f>
        <v>6.7162977147049871E-2</v>
      </c>
      <c r="T202" s="2" t="str">
        <f>+IFERROR(#REF!/#REF!,"")</f>
        <v/>
      </c>
      <c r="U202" s="2" t="str">
        <f>+IFERROR(#REF!/#REF!,"")</f>
        <v/>
      </c>
      <c r="V202" s="2" t="str">
        <f>+IFERROR(#REF!/#REF!,"")</f>
        <v/>
      </c>
      <c r="W202" s="2" t="str">
        <f>+IFERROR(#REF!/#REF!,"")</f>
        <v/>
      </c>
      <c r="X202" s="2" t="str">
        <f>+IFERROR(#REF!/#REF!,"")</f>
        <v/>
      </c>
      <c r="Y202" s="2" t="str">
        <f>+IFERROR(#REF!/#REF!,"")</f>
        <v/>
      </c>
      <c r="Z202" s="2" t="str">
        <f>+IFERROR(#REF!/#REF!,"")</f>
        <v/>
      </c>
      <c r="AA202" s="2" t="str">
        <f>+IFERROR(#REF!/#REF!,"")</f>
        <v/>
      </c>
      <c r="AB202" s="2">
        <f>+IFERROR(N202/H202,"")</f>
        <v>7.824960566780928E-2</v>
      </c>
      <c r="AD202" s="2" t="str">
        <f t="shared" si="61"/>
        <v/>
      </c>
      <c r="AE202" s="2" t="str">
        <f t="shared" si="62"/>
        <v/>
      </c>
      <c r="AF202" s="143">
        <f t="shared" si="63"/>
        <v>-1.3311553520106004E-2</v>
      </c>
      <c r="AG202" s="143" t="str">
        <f t="shared" si="64"/>
        <v/>
      </c>
      <c r="AH202" s="143" t="str">
        <f t="shared" si="65"/>
        <v/>
      </c>
      <c r="AI202" s="143" t="str">
        <f t="shared" si="66"/>
        <v/>
      </c>
      <c r="AJ202" s="143" t="str">
        <f t="shared" si="67"/>
        <v/>
      </c>
      <c r="AK202" s="143" t="str">
        <f t="shared" si="68"/>
        <v/>
      </c>
      <c r="AL202" s="143" t="str">
        <f t="shared" si="69"/>
        <v/>
      </c>
      <c r="AM202" s="143" t="str">
        <f t="shared" si="70"/>
        <v/>
      </c>
      <c r="AN202" s="143" t="str">
        <f t="shared" si="71"/>
        <v/>
      </c>
      <c r="AP202" s="9">
        <f t="shared" si="72"/>
        <v>5.4366083637418566E-6</v>
      </c>
      <c r="AQ202" s="9">
        <f t="shared" si="73"/>
        <v>0.9999819698067216</v>
      </c>
    </row>
    <row r="203" spans="2:43" x14ac:dyDescent="0.35">
      <c r="B203" s="3" t="s">
        <v>297</v>
      </c>
      <c r="D203" s="141">
        <v>184473</v>
      </c>
      <c r="E203" s="141">
        <v>157042</v>
      </c>
      <c r="F203" s="141">
        <v>17421</v>
      </c>
      <c r="G203" s="141">
        <v>195565</v>
      </c>
      <c r="H203" s="141">
        <f>+SUM(D203:G203)</f>
        <v>554501</v>
      </c>
      <c r="J203" s="141">
        <v>8287</v>
      </c>
      <c r="K203" s="141">
        <v>9678</v>
      </c>
      <c r="L203" s="141">
        <v>1365</v>
      </c>
      <c r="M203" s="141">
        <v>10120</v>
      </c>
      <c r="N203" s="141">
        <f>+SUM(J203:M203)</f>
        <v>29450</v>
      </c>
      <c r="P203" s="2">
        <f>+IFERROR(J203/D203,"")</f>
        <v>4.4922563193529677E-2</v>
      </c>
      <c r="Q203" s="2">
        <f>+IFERROR(K203/E203,"")</f>
        <v>6.1626825944651749E-2</v>
      </c>
      <c r="R203" s="2">
        <f>+IFERROR(L203/F203,"")</f>
        <v>7.8353711038401927E-2</v>
      </c>
      <c r="S203" s="2">
        <f>+IFERROR(M203/G203,"")</f>
        <v>5.1747500830925781E-2</v>
      </c>
      <c r="T203" s="2" t="str">
        <f>+IFERROR(#REF!/#REF!,"")</f>
        <v/>
      </c>
      <c r="U203" s="2" t="str">
        <f>+IFERROR(#REF!/#REF!,"")</f>
        <v/>
      </c>
      <c r="V203" s="2" t="str">
        <f>+IFERROR(#REF!/#REF!,"")</f>
        <v/>
      </c>
      <c r="W203" s="2" t="str">
        <f>+IFERROR(#REF!/#REF!,"")</f>
        <v/>
      </c>
      <c r="X203" s="2" t="str">
        <f>+IFERROR(#REF!/#REF!,"")</f>
        <v/>
      </c>
      <c r="Y203" s="2" t="str">
        <f>+IFERROR(#REF!/#REF!,"")</f>
        <v/>
      </c>
      <c r="Z203" s="2" t="str">
        <f>+IFERROR(#REF!/#REF!,"")</f>
        <v/>
      </c>
      <c r="AA203" s="2" t="str">
        <f>+IFERROR(#REF!/#REF!,"")</f>
        <v/>
      </c>
      <c r="AB203" s="2">
        <f>+IFERROR(N203/H203,"")</f>
        <v>5.3110814948936068E-2</v>
      </c>
      <c r="AD203" s="2" t="str">
        <f t="shared" si="61"/>
        <v/>
      </c>
      <c r="AE203" s="2" t="str">
        <f t="shared" si="62"/>
        <v/>
      </c>
      <c r="AF203" s="143">
        <f t="shared" si="63"/>
        <v>-2.6606210207476146E-2</v>
      </c>
      <c r="AG203" s="143" t="str">
        <f t="shared" si="64"/>
        <v/>
      </c>
      <c r="AH203" s="143" t="str">
        <f t="shared" si="65"/>
        <v/>
      </c>
      <c r="AI203" s="143" t="str">
        <f t="shared" si="66"/>
        <v/>
      </c>
      <c r="AJ203" s="143" t="str">
        <f t="shared" si="67"/>
        <v/>
      </c>
      <c r="AK203" s="143" t="str">
        <f t="shared" si="68"/>
        <v/>
      </c>
      <c r="AL203" s="143" t="str">
        <f t="shared" si="69"/>
        <v/>
      </c>
      <c r="AM203" s="143" t="str">
        <f t="shared" si="70"/>
        <v/>
      </c>
      <c r="AN203" s="143" t="str">
        <f t="shared" si="71"/>
        <v/>
      </c>
      <c r="AP203" s="9">
        <f t="shared" si="72"/>
        <v>1.8030193278400637E-5</v>
      </c>
      <c r="AQ203" s="9">
        <f t="shared" si="73"/>
        <v>1</v>
      </c>
    </row>
    <row r="204" spans="2:43" x14ac:dyDescent="0.35">
      <c r="B204" s="3" t="s">
        <v>333</v>
      </c>
      <c r="D204" s="141"/>
      <c r="E204" s="141"/>
      <c r="F204" s="141"/>
      <c r="G204" s="141"/>
      <c r="H204" s="141">
        <f>+SUM(D204:G204)</f>
        <v>0</v>
      </c>
      <c r="J204" s="141"/>
      <c r="K204" s="141"/>
      <c r="L204" s="141"/>
      <c r="M204" s="141"/>
      <c r="N204" s="141">
        <f>+SUM(J204:M204)</f>
        <v>0</v>
      </c>
      <c r="P204" s="2" t="str">
        <f>+IFERROR(J204/D204,"")</f>
        <v/>
      </c>
      <c r="Q204" s="2" t="str">
        <f>+IFERROR(K204/E204,"")</f>
        <v/>
      </c>
      <c r="R204" s="2" t="str">
        <f>+IFERROR(L204/F204,"")</f>
        <v/>
      </c>
      <c r="S204" s="2" t="str">
        <f>+IFERROR(M204/G204,"")</f>
        <v/>
      </c>
      <c r="T204" s="2" t="str">
        <f>+IFERROR(#REF!/#REF!,"")</f>
        <v/>
      </c>
      <c r="U204" s="2" t="str">
        <f>+IFERROR(#REF!/#REF!,"")</f>
        <v/>
      </c>
      <c r="V204" s="2" t="str">
        <f>+IFERROR(#REF!/#REF!,"")</f>
        <v/>
      </c>
      <c r="W204" s="2" t="str">
        <f>+IFERROR(#REF!/#REF!,"")</f>
        <v/>
      </c>
      <c r="X204" s="2" t="str">
        <f>+IFERROR(#REF!/#REF!,"")</f>
        <v/>
      </c>
      <c r="Y204" s="2" t="str">
        <f>+IFERROR(#REF!/#REF!,"")</f>
        <v/>
      </c>
      <c r="Z204" s="2" t="str">
        <f>+IFERROR(#REF!/#REF!,"")</f>
        <v/>
      </c>
      <c r="AA204" s="2" t="str">
        <f>+IFERROR(#REF!/#REF!,"")</f>
        <v/>
      </c>
      <c r="AB204" s="2" t="str">
        <f>+IFERROR(N204/H204,"")</f>
        <v/>
      </c>
      <c r="AD204" s="2" t="str">
        <f t="shared" si="61"/>
        <v/>
      </c>
      <c r="AE204" s="2" t="str">
        <f t="shared" si="62"/>
        <v/>
      </c>
      <c r="AF204" s="143" t="str">
        <f t="shared" si="63"/>
        <v/>
      </c>
      <c r="AG204" s="143" t="str">
        <f t="shared" si="64"/>
        <v/>
      </c>
      <c r="AH204" s="143" t="str">
        <f t="shared" si="65"/>
        <v/>
      </c>
      <c r="AI204" s="143" t="str">
        <f t="shared" si="66"/>
        <v/>
      </c>
      <c r="AJ204" s="143" t="str">
        <f t="shared" si="67"/>
        <v/>
      </c>
      <c r="AK204" s="143" t="str">
        <f t="shared" si="68"/>
        <v/>
      </c>
      <c r="AL204" s="143" t="str">
        <f t="shared" si="69"/>
        <v/>
      </c>
      <c r="AM204" s="143" t="str">
        <f t="shared" si="70"/>
        <v/>
      </c>
      <c r="AN204" s="143" t="str">
        <f t="shared" si="71"/>
        <v/>
      </c>
      <c r="AP204" s="9">
        <f t="shared" si="72"/>
        <v>0</v>
      </c>
      <c r="AQ204" s="9">
        <f t="shared" si="73"/>
        <v>1</v>
      </c>
    </row>
    <row r="205" spans="2:43" x14ac:dyDescent="0.35">
      <c r="B205" s="3" t="s">
        <v>298</v>
      </c>
      <c r="D205" s="141">
        <v>1912501</v>
      </c>
      <c r="E205" s="141">
        <v>1767804</v>
      </c>
      <c r="F205" s="141">
        <v>1121155</v>
      </c>
      <c r="G205" s="141">
        <v>1637801</v>
      </c>
      <c r="H205" s="141">
        <f>+SUM(D205:G205)</f>
        <v>6439261</v>
      </c>
      <c r="J205" s="141">
        <v>141504</v>
      </c>
      <c r="K205" s="141">
        <v>140781</v>
      </c>
      <c r="L205" s="141">
        <v>69130</v>
      </c>
      <c r="M205" s="141">
        <v>113428</v>
      </c>
      <c r="N205" s="141">
        <f>+SUM(J205:M205)</f>
        <v>464843</v>
      </c>
      <c r="P205" s="2">
        <f>+IFERROR(J205/D205,"")</f>
        <v>7.3988980920794284E-2</v>
      </c>
      <c r="Q205" s="2">
        <f>+IFERROR(K205/E205,"")</f>
        <v>7.963609087885308E-2</v>
      </c>
      <c r="R205" s="2">
        <f>+IFERROR(L205/F205,"")</f>
        <v>6.1659627794551156E-2</v>
      </c>
      <c r="S205" s="2">
        <f>+IFERROR(M205/G205,"")</f>
        <v>6.9256277166762012E-2</v>
      </c>
      <c r="T205" s="2" t="str">
        <f>+IFERROR(#REF!/#REF!,"")</f>
        <v/>
      </c>
      <c r="U205" s="2" t="str">
        <f>+IFERROR(#REF!/#REF!,"")</f>
        <v/>
      </c>
      <c r="V205" s="2" t="str">
        <f>+IFERROR(#REF!/#REF!,"")</f>
        <v/>
      </c>
      <c r="W205" s="2" t="str">
        <f>+IFERROR(#REF!/#REF!,"")</f>
        <v/>
      </c>
      <c r="X205" s="2" t="str">
        <f>+IFERROR(#REF!/#REF!,"")</f>
        <v/>
      </c>
      <c r="Y205" s="2" t="str">
        <f>+IFERROR(#REF!/#REF!,"")</f>
        <v/>
      </c>
      <c r="Z205" s="2" t="str">
        <f>+IFERROR(#REF!/#REF!,"")</f>
        <v/>
      </c>
      <c r="AA205" s="2" t="str">
        <f>+IFERROR(#REF!/#REF!,"")</f>
        <v/>
      </c>
      <c r="AB205" s="2">
        <f>+IFERROR(N205/H205,"")</f>
        <v>7.2188873847480323E-2</v>
      </c>
      <c r="AD205" s="2"/>
      <c r="AE205" s="2"/>
      <c r="AF205" s="143"/>
      <c r="AG205" s="143"/>
      <c r="AH205" s="143"/>
      <c r="AI205" s="143"/>
      <c r="AJ205" s="143"/>
      <c r="AK205" s="143"/>
      <c r="AL205" s="143"/>
      <c r="AM205" s="143"/>
      <c r="AN205" s="143"/>
      <c r="AP205" s="9">
        <f t="shared" si="72"/>
        <v>2.8459114207509637E-4</v>
      </c>
      <c r="AQ205" s="9">
        <f t="shared" si="73"/>
        <v>1.000284591142075</v>
      </c>
    </row>
    <row r="206" spans="2:43" x14ac:dyDescent="0.35">
      <c r="B206" s="3" t="s">
        <v>299</v>
      </c>
      <c r="D206" s="141"/>
      <c r="E206" s="141"/>
      <c r="F206" s="141"/>
      <c r="G206" s="141"/>
      <c r="H206" s="141">
        <f>+SUM(D206:G206)</f>
        <v>0</v>
      </c>
      <c r="J206" s="141"/>
      <c r="K206" s="141"/>
      <c r="L206" s="141"/>
      <c r="M206" s="141"/>
      <c r="N206" s="141">
        <f>+SUM(J206:M206)</f>
        <v>0</v>
      </c>
      <c r="P206" s="2" t="str">
        <f>+IFERROR(J206/D206,"")</f>
        <v/>
      </c>
      <c r="Q206" s="2" t="str">
        <f>+IFERROR(K206/E206,"")</f>
        <v/>
      </c>
      <c r="R206" s="2" t="str">
        <f>+IFERROR(L206/F206,"")</f>
        <v/>
      </c>
      <c r="S206" s="2" t="str">
        <f>+IFERROR(M206/G206,"")</f>
        <v/>
      </c>
      <c r="T206" s="2" t="str">
        <f>+IFERROR(#REF!/#REF!,"")</f>
        <v/>
      </c>
      <c r="U206" s="2" t="str">
        <f>+IFERROR(#REF!/#REF!,"")</f>
        <v/>
      </c>
      <c r="V206" s="2" t="str">
        <f>+IFERROR(#REF!/#REF!,"")</f>
        <v/>
      </c>
      <c r="W206" s="2" t="str">
        <f>+IFERROR(#REF!/#REF!,"")</f>
        <v/>
      </c>
      <c r="X206" s="2" t="str">
        <f>+IFERROR(#REF!/#REF!,"")</f>
        <v/>
      </c>
      <c r="Y206" s="2" t="str">
        <f>+IFERROR(#REF!/#REF!,"")</f>
        <v/>
      </c>
      <c r="Z206" s="2" t="str">
        <f>+IFERROR(#REF!/#REF!,"")</f>
        <v/>
      </c>
      <c r="AA206" s="2" t="str">
        <f>+IFERROR(#REF!/#REF!,"")</f>
        <v/>
      </c>
      <c r="AB206" s="2" t="str">
        <f>+IFERROR(N206/H206,"")</f>
        <v/>
      </c>
      <c r="AD206" s="2"/>
      <c r="AE206" s="2"/>
      <c r="AF206" s="143"/>
      <c r="AG206" s="143"/>
      <c r="AH206" s="143"/>
      <c r="AI206" s="143"/>
      <c r="AJ206" s="143"/>
      <c r="AK206" s="143"/>
      <c r="AL206" s="143"/>
      <c r="AM206" s="143"/>
      <c r="AN206" s="143"/>
      <c r="AP206" s="9">
        <f t="shared" si="72"/>
        <v>0</v>
      </c>
      <c r="AQ206" s="9">
        <f t="shared" si="73"/>
        <v>1.000284591142075</v>
      </c>
    </row>
    <row r="207" spans="2:43" x14ac:dyDescent="0.35">
      <c r="B207" s="3" t="s">
        <v>300</v>
      </c>
      <c r="D207" s="141">
        <v>15409</v>
      </c>
      <c r="E207" s="141">
        <v>13017</v>
      </c>
      <c r="F207" s="141">
        <v>9823</v>
      </c>
      <c r="G207" s="141">
        <v>7901</v>
      </c>
      <c r="H207" s="141">
        <f>+SUM(D207:G207)</f>
        <v>46150</v>
      </c>
      <c r="J207" s="141">
        <v>5193</v>
      </c>
      <c r="K207" s="141">
        <v>627</v>
      </c>
      <c r="L207" s="141">
        <v>802</v>
      </c>
      <c r="M207" s="141">
        <v>241</v>
      </c>
      <c r="N207" s="141">
        <f>+SUM(J207:M207)</f>
        <v>6863</v>
      </c>
      <c r="P207" s="2">
        <f>+IFERROR(J207/D207,"")</f>
        <v>0.33701083782205205</v>
      </c>
      <c r="Q207" s="2">
        <f>+IFERROR(K207/E207,"")</f>
        <v>4.8167780594607051E-2</v>
      </c>
      <c r="R207" s="2">
        <f>+IFERROR(L207/F207,"")</f>
        <v>8.1645118599205951E-2</v>
      </c>
      <c r="S207" s="2">
        <f>+IFERROR(M207/G207,"")</f>
        <v>3.0502468042019996E-2</v>
      </c>
      <c r="T207" s="2" t="str">
        <f>+IFERROR(#REF!/#REF!,"")</f>
        <v/>
      </c>
      <c r="U207" s="2" t="str">
        <f>+IFERROR(#REF!/#REF!,"")</f>
        <v/>
      </c>
      <c r="V207" s="2" t="str">
        <f>+IFERROR(#REF!/#REF!,"")</f>
        <v/>
      </c>
      <c r="W207" s="2" t="str">
        <f>+IFERROR(#REF!/#REF!,"")</f>
        <v/>
      </c>
      <c r="X207" s="2" t="str">
        <f>+IFERROR(#REF!/#REF!,"")</f>
        <v/>
      </c>
      <c r="Y207" s="2" t="str">
        <f>+IFERROR(#REF!/#REF!,"")</f>
        <v/>
      </c>
      <c r="Z207" s="2" t="str">
        <f>+IFERROR(#REF!/#REF!,"")</f>
        <v/>
      </c>
      <c r="AA207" s="2" t="str">
        <f>+IFERROR(#REF!/#REF!,"")</f>
        <v/>
      </c>
      <c r="AB207" s="2">
        <f>+IFERROR(N207/H207,"")</f>
        <v>0.14871072589382447</v>
      </c>
      <c r="AD207" s="2"/>
      <c r="AE207" s="2"/>
      <c r="AF207" s="143"/>
      <c r="AG207" s="143"/>
      <c r="AH207" s="143"/>
      <c r="AI207" s="143"/>
      <c r="AJ207" s="143"/>
      <c r="AK207" s="143"/>
      <c r="AL207" s="143"/>
      <c r="AM207" s="143"/>
      <c r="AN207" s="143"/>
      <c r="AP207" s="9">
        <f t="shared" si="72"/>
        <v>4.2017390991396804E-6</v>
      </c>
      <c r="AQ207" s="9">
        <f t="shared" si="73"/>
        <v>1.0002887928811741</v>
      </c>
    </row>
    <row r="208" spans="2:43" x14ac:dyDescent="0.35">
      <c r="B208" s="3" t="s">
        <v>301</v>
      </c>
      <c r="D208" s="141"/>
      <c r="E208" s="141">
        <v>148</v>
      </c>
      <c r="F208" s="141">
        <v>0</v>
      </c>
      <c r="G208" s="141">
        <v>1487</v>
      </c>
      <c r="H208" s="141">
        <f>+SUM(D208:G208)</f>
        <v>1635</v>
      </c>
      <c r="J208" s="141"/>
      <c r="K208" s="141">
        <v>6</v>
      </c>
      <c r="L208" s="141">
        <v>0</v>
      </c>
      <c r="M208" s="141">
        <v>121</v>
      </c>
      <c r="N208" s="141">
        <f>+SUM(J208:M208)</f>
        <v>127</v>
      </c>
      <c r="P208" s="2" t="str">
        <f>+IFERROR(J208/D208,"")</f>
        <v/>
      </c>
      <c r="Q208" s="2">
        <f>+IFERROR(K208/E208,"")</f>
        <v>4.0540540540540543E-2</v>
      </c>
      <c r="R208" s="2" t="str">
        <f>+IFERROR(L208/F208,"")</f>
        <v/>
      </c>
      <c r="S208" s="2">
        <f>+IFERROR(M208/G208,"")</f>
        <v>8.1371889710827164E-2</v>
      </c>
      <c r="T208" s="2" t="str">
        <f>+IFERROR(#REF!/#REF!,"")</f>
        <v/>
      </c>
      <c r="U208" s="2" t="str">
        <f>+IFERROR(#REF!/#REF!,"")</f>
        <v/>
      </c>
      <c r="V208" s="2" t="str">
        <f>+IFERROR(#REF!/#REF!,"")</f>
        <v/>
      </c>
      <c r="W208" s="2" t="str">
        <f>+IFERROR(#REF!/#REF!,"")</f>
        <v/>
      </c>
      <c r="X208" s="2" t="str">
        <f>+IFERROR(#REF!/#REF!,"")</f>
        <v/>
      </c>
      <c r="Y208" s="2" t="str">
        <f>+IFERROR(#REF!/#REF!,"")</f>
        <v/>
      </c>
      <c r="Z208" s="2" t="str">
        <f>+IFERROR(#REF!/#REF!,"")</f>
        <v/>
      </c>
      <c r="AA208" s="2" t="str">
        <f>+IFERROR(#REF!/#REF!,"")</f>
        <v/>
      </c>
      <c r="AB208" s="2">
        <f>+IFERROR(N208/H208,"")</f>
        <v>7.7675840978593272E-2</v>
      </c>
      <c r="AD208" s="2"/>
      <c r="AE208" s="2"/>
      <c r="AF208" s="143"/>
      <c r="AG208" s="143"/>
      <c r="AH208" s="143"/>
      <c r="AI208" s="143"/>
      <c r="AJ208" s="143"/>
      <c r="AK208" s="143"/>
      <c r="AL208" s="143"/>
      <c r="AM208" s="143"/>
      <c r="AN208" s="143"/>
      <c r="AP208" s="9">
        <f t="shared" si="72"/>
        <v>7.7753295292254021E-8</v>
      </c>
      <c r="AQ208" s="9">
        <f t="shared" si="73"/>
        <v>1.0002888706344695</v>
      </c>
    </row>
    <row r="209" spans="2:43" x14ac:dyDescent="0.35">
      <c r="B209" s="3" t="s">
        <v>302</v>
      </c>
      <c r="D209" s="141"/>
      <c r="E209" s="141"/>
      <c r="F209" s="141"/>
      <c r="G209" s="141"/>
      <c r="H209" s="141">
        <f>+SUM(D209:G209)</f>
        <v>0</v>
      </c>
      <c r="J209" s="141"/>
      <c r="K209" s="141"/>
      <c r="L209" s="141"/>
      <c r="M209" s="141"/>
      <c r="N209" s="141">
        <f>+SUM(J209:M209)</f>
        <v>0</v>
      </c>
      <c r="P209" s="2" t="str">
        <f>+IFERROR(J209/D209,"")</f>
        <v/>
      </c>
      <c r="Q209" s="2" t="str">
        <f>+IFERROR(K209/E209,"")</f>
        <v/>
      </c>
      <c r="R209" s="2" t="str">
        <f>+IFERROR(L209/F209,"")</f>
        <v/>
      </c>
      <c r="S209" s="2" t="str">
        <f>+IFERROR(M209/G209,"")</f>
        <v/>
      </c>
      <c r="T209" s="2" t="str">
        <f>+IFERROR(#REF!/#REF!,"")</f>
        <v/>
      </c>
      <c r="U209" s="2" t="str">
        <f>+IFERROR(#REF!/#REF!,"")</f>
        <v/>
      </c>
      <c r="V209" s="2" t="str">
        <f>+IFERROR(#REF!/#REF!,"")</f>
        <v/>
      </c>
      <c r="W209" s="2" t="str">
        <f>+IFERROR(#REF!/#REF!,"")</f>
        <v/>
      </c>
      <c r="X209" s="2" t="str">
        <f>+IFERROR(#REF!/#REF!,"")</f>
        <v/>
      </c>
      <c r="Y209" s="2" t="str">
        <f>+IFERROR(#REF!/#REF!,"")</f>
        <v/>
      </c>
      <c r="Z209" s="2" t="str">
        <f>+IFERROR(#REF!/#REF!,"")</f>
        <v/>
      </c>
      <c r="AA209" s="2" t="str">
        <f>+IFERROR(#REF!/#REF!,"")</f>
        <v/>
      </c>
      <c r="AB209" s="2" t="str">
        <f>+IFERROR(N209/H209,"")</f>
        <v/>
      </c>
      <c r="AD209" s="2"/>
      <c r="AE209" s="2"/>
      <c r="AF209" s="143"/>
      <c r="AG209" s="143"/>
      <c r="AH209" s="143"/>
      <c r="AI209" s="143"/>
      <c r="AJ209" s="143"/>
      <c r="AK209" s="143"/>
      <c r="AL209" s="143"/>
      <c r="AM209" s="143"/>
      <c r="AN209" s="143"/>
      <c r="AP209" s="9">
        <f t="shared" si="72"/>
        <v>0</v>
      </c>
      <c r="AQ209" s="9">
        <f t="shared" si="73"/>
        <v>1.0002888706344695</v>
      </c>
    </row>
    <row r="210" spans="2:43" x14ac:dyDescent="0.35">
      <c r="B210" s="3" t="s">
        <v>303</v>
      </c>
      <c r="D210" s="141"/>
      <c r="E210" s="141"/>
      <c r="F210" s="141"/>
      <c r="G210" s="141"/>
      <c r="H210" s="141">
        <f>+SUM(D210:G210)</f>
        <v>0</v>
      </c>
      <c r="J210" s="141"/>
      <c r="K210" s="141"/>
      <c r="L210" s="141"/>
      <c r="M210" s="141"/>
      <c r="N210" s="141">
        <f>+SUM(J210:M210)</f>
        <v>0</v>
      </c>
      <c r="P210" s="2" t="str">
        <f>+IFERROR(J210/D210,"")</f>
        <v/>
      </c>
      <c r="Q210" s="2" t="str">
        <f>+IFERROR(K210/E210,"")</f>
        <v/>
      </c>
      <c r="R210" s="2" t="str">
        <f>+IFERROR(L210/F210,"")</f>
        <v/>
      </c>
      <c r="S210" s="2" t="str">
        <f>+IFERROR(M210/G210,"")</f>
        <v/>
      </c>
      <c r="T210" s="2" t="str">
        <f>+IFERROR(#REF!/#REF!,"")</f>
        <v/>
      </c>
      <c r="U210" s="2" t="str">
        <f>+IFERROR(#REF!/#REF!,"")</f>
        <v/>
      </c>
      <c r="V210" s="2" t="str">
        <f>+IFERROR(#REF!/#REF!,"")</f>
        <v/>
      </c>
      <c r="W210" s="2" t="str">
        <f>+IFERROR(#REF!/#REF!,"")</f>
        <v/>
      </c>
      <c r="X210" s="2" t="str">
        <f>+IFERROR(#REF!/#REF!,"")</f>
        <v/>
      </c>
      <c r="Y210" s="2" t="str">
        <f>+IFERROR(#REF!/#REF!,"")</f>
        <v/>
      </c>
      <c r="Z210" s="2" t="str">
        <f>+IFERROR(#REF!/#REF!,"")</f>
        <v/>
      </c>
      <c r="AA210" s="2" t="str">
        <f>+IFERROR(#REF!/#REF!,"")</f>
        <v/>
      </c>
      <c r="AB210" s="2" t="str">
        <f>+IFERROR(N210/H210,"")</f>
        <v/>
      </c>
      <c r="AD210" s="2"/>
      <c r="AE210" s="2"/>
      <c r="AF210" s="143"/>
      <c r="AG210" s="143"/>
      <c r="AH210" s="143"/>
      <c r="AI210" s="143"/>
      <c r="AJ210" s="143"/>
      <c r="AK210" s="143"/>
      <c r="AL210" s="143"/>
      <c r="AM210" s="143"/>
      <c r="AN210" s="143"/>
      <c r="AP210" s="9">
        <f t="shared" si="72"/>
        <v>0</v>
      </c>
      <c r="AQ210" s="9">
        <f t="shared" si="73"/>
        <v>1.0002888706344695</v>
      </c>
    </row>
    <row r="211" spans="2:43" x14ac:dyDescent="0.35">
      <c r="B211" s="3" t="s">
        <v>304</v>
      </c>
      <c r="D211" s="141"/>
      <c r="E211" s="141"/>
      <c r="F211" s="141">
        <v>26</v>
      </c>
      <c r="G211" s="141">
        <v>3</v>
      </c>
      <c r="H211" s="141">
        <f>+SUM(D211:G211)</f>
        <v>29</v>
      </c>
      <c r="J211" s="141"/>
      <c r="K211" s="141"/>
      <c r="L211" s="141">
        <v>10</v>
      </c>
      <c r="M211" s="141">
        <v>3</v>
      </c>
      <c r="N211" s="141">
        <f>+SUM(J211:M211)</f>
        <v>13</v>
      </c>
      <c r="P211" s="2" t="str">
        <f>+IFERROR(J211/D211,"")</f>
        <v/>
      </c>
      <c r="Q211" s="2" t="str">
        <f>+IFERROR(K211/E211,"")</f>
        <v/>
      </c>
      <c r="R211" s="2">
        <f>+IFERROR(L211/F211,"")</f>
        <v>0.38461538461538464</v>
      </c>
      <c r="S211" s="2">
        <f>+IFERROR(M211/G211,"")</f>
        <v>1</v>
      </c>
      <c r="T211" s="2" t="str">
        <f>+IFERROR(#REF!/#REF!,"")</f>
        <v/>
      </c>
      <c r="U211" s="2" t="str">
        <f>+IFERROR(#REF!/#REF!,"")</f>
        <v/>
      </c>
      <c r="V211" s="2" t="str">
        <f>+IFERROR(#REF!/#REF!,"")</f>
        <v/>
      </c>
      <c r="W211" s="2" t="str">
        <f>+IFERROR(#REF!/#REF!,"")</f>
        <v/>
      </c>
      <c r="X211" s="2" t="str">
        <f>+IFERROR(#REF!/#REF!,"")</f>
        <v/>
      </c>
      <c r="Y211" s="2" t="str">
        <f>+IFERROR(#REF!/#REF!,"")</f>
        <v/>
      </c>
      <c r="Z211" s="2" t="str">
        <f>+IFERROR(#REF!/#REF!,"")</f>
        <v/>
      </c>
      <c r="AA211" s="2" t="str">
        <f>+IFERROR(#REF!/#REF!,"")</f>
        <v/>
      </c>
      <c r="AB211" s="2">
        <f>+IFERROR(N211/H211,"")</f>
        <v>0.44827586206896552</v>
      </c>
      <c r="AD211" s="2"/>
      <c r="AE211" s="2"/>
      <c r="AF211" s="143"/>
      <c r="AG211" s="143"/>
      <c r="AH211" s="143"/>
      <c r="AI211" s="143"/>
      <c r="AJ211" s="143"/>
      <c r="AK211" s="143"/>
      <c r="AL211" s="143"/>
      <c r="AM211" s="143"/>
      <c r="AN211" s="143"/>
      <c r="AP211" s="9">
        <f t="shared" si="72"/>
        <v>7.9589987307031675E-9</v>
      </c>
      <c r="AQ211" s="9">
        <f t="shared" si="73"/>
        <v>1.0002888785934683</v>
      </c>
    </row>
    <row r="212" spans="2:43" x14ac:dyDescent="0.35">
      <c r="B212" s="3" t="s">
        <v>305</v>
      </c>
      <c r="D212" s="141"/>
      <c r="E212" s="141"/>
      <c r="F212" s="141">
        <v>3604</v>
      </c>
      <c r="G212" s="141"/>
      <c r="H212" s="141">
        <f>+SUM(D212:G212)</f>
        <v>3604</v>
      </c>
      <c r="J212" s="141"/>
      <c r="K212" s="141"/>
      <c r="L212" s="141">
        <v>150</v>
      </c>
      <c r="M212" s="141"/>
      <c r="N212" s="141">
        <f>+SUM(J212:M212)</f>
        <v>150</v>
      </c>
      <c r="P212" s="2" t="str">
        <f>+IFERROR(J212/D212,"")</f>
        <v/>
      </c>
      <c r="Q212" s="2" t="str">
        <f>+IFERROR(K212/E212,"")</f>
        <v/>
      </c>
      <c r="R212" s="2">
        <f>+IFERROR(L212/F212,"")</f>
        <v>4.1620421753607105E-2</v>
      </c>
      <c r="S212" s="2" t="str">
        <f>+IFERROR(M212/G212,"")</f>
        <v/>
      </c>
      <c r="T212" s="2" t="str">
        <f>+IFERROR(#REF!/#REF!,"")</f>
        <v/>
      </c>
      <c r="U212" s="2" t="str">
        <f>+IFERROR(#REF!/#REF!,"")</f>
        <v/>
      </c>
      <c r="V212" s="2" t="str">
        <f>+IFERROR(#REF!/#REF!,"")</f>
        <v/>
      </c>
      <c r="W212" s="2" t="str">
        <f>+IFERROR(#REF!/#REF!,"")</f>
        <v/>
      </c>
      <c r="X212" s="2" t="str">
        <f>+IFERROR(#REF!/#REF!,"")</f>
        <v/>
      </c>
      <c r="Y212" s="2" t="str">
        <f>+IFERROR(#REF!/#REF!,"")</f>
        <v/>
      </c>
      <c r="Z212" s="2" t="str">
        <f>+IFERROR(#REF!/#REF!,"")</f>
        <v/>
      </c>
      <c r="AA212" s="2" t="str">
        <f>+IFERROR(#REF!/#REF!,"")</f>
        <v/>
      </c>
      <c r="AB212" s="2">
        <f>+IFERROR(N212/H212,"")</f>
        <v>4.1620421753607105E-2</v>
      </c>
      <c r="AD212" s="2"/>
      <c r="AE212" s="2"/>
      <c r="AF212" s="143"/>
      <c r="AG212" s="143"/>
      <c r="AH212" s="143"/>
      <c r="AI212" s="143"/>
      <c r="AJ212" s="143"/>
      <c r="AK212" s="143"/>
      <c r="AL212" s="143"/>
      <c r="AM212" s="143"/>
      <c r="AN212" s="143"/>
      <c r="AP212" s="9">
        <f t="shared" si="72"/>
        <v>9.1834600738882702E-8</v>
      </c>
      <c r="AQ212" s="9">
        <f t="shared" si="73"/>
        <v>1.0002889704280691</v>
      </c>
    </row>
    <row r="213" spans="2:43" x14ac:dyDescent="0.35">
      <c r="B213" s="3" t="s">
        <v>306</v>
      </c>
      <c r="D213" s="141"/>
      <c r="E213" s="141"/>
      <c r="F213" s="141"/>
      <c r="G213" s="141"/>
      <c r="H213" s="141">
        <f>+SUM(D213:G213)</f>
        <v>0</v>
      </c>
      <c r="J213" s="141"/>
      <c r="K213" s="141"/>
      <c r="L213" s="141"/>
      <c r="M213" s="141"/>
      <c r="N213" s="141">
        <f>+SUM(J213:M213)</f>
        <v>0</v>
      </c>
      <c r="P213" s="2" t="str">
        <f>+IFERROR(J213/D213,"")</f>
        <v/>
      </c>
      <c r="Q213" s="2" t="str">
        <f>+IFERROR(K213/E213,"")</f>
        <v/>
      </c>
      <c r="R213" s="2" t="str">
        <f>+IFERROR(L213/F213,"")</f>
        <v/>
      </c>
      <c r="S213" s="2" t="str">
        <f>+IFERROR(M213/G213,"")</f>
        <v/>
      </c>
      <c r="T213" s="2" t="str">
        <f>+IFERROR(#REF!/#REF!,"")</f>
        <v/>
      </c>
      <c r="U213" s="2" t="str">
        <f>+IFERROR(#REF!/#REF!,"")</f>
        <v/>
      </c>
      <c r="V213" s="2" t="str">
        <f>+IFERROR(#REF!/#REF!,"")</f>
        <v/>
      </c>
      <c r="W213" s="2" t="str">
        <f>+IFERROR(#REF!/#REF!,"")</f>
        <v/>
      </c>
      <c r="X213" s="2" t="str">
        <f>+IFERROR(#REF!/#REF!,"")</f>
        <v/>
      </c>
      <c r="Y213" s="2" t="str">
        <f>+IFERROR(#REF!/#REF!,"")</f>
        <v/>
      </c>
      <c r="Z213" s="2" t="str">
        <f>+IFERROR(#REF!/#REF!,"")</f>
        <v/>
      </c>
      <c r="AA213" s="2" t="str">
        <f>+IFERROR(#REF!/#REF!,"")</f>
        <v/>
      </c>
      <c r="AB213" s="2" t="str">
        <f>+IFERROR(N213/H213,"")</f>
        <v/>
      </c>
      <c r="AD213" s="2"/>
      <c r="AE213" s="2"/>
      <c r="AF213" s="143"/>
      <c r="AG213" s="143"/>
      <c r="AH213" s="143"/>
      <c r="AI213" s="143"/>
      <c r="AJ213" s="143"/>
      <c r="AK213" s="143"/>
      <c r="AL213" s="143"/>
      <c r="AM213" s="143"/>
      <c r="AN213" s="143"/>
      <c r="AP213" s="9">
        <f t="shared" si="72"/>
        <v>0</v>
      </c>
      <c r="AQ213" s="9">
        <f t="shared" si="73"/>
        <v>1.0002889704280691</v>
      </c>
    </row>
    <row r="214" spans="2:43" x14ac:dyDescent="0.35">
      <c r="B214" s="3" t="s">
        <v>307</v>
      </c>
      <c r="D214" s="141"/>
      <c r="E214" s="141"/>
      <c r="F214" s="141">
        <v>14435</v>
      </c>
      <c r="G214" s="141">
        <v>13638</v>
      </c>
      <c r="H214" s="141">
        <f>+SUM(D214:G214)</f>
        <v>28073</v>
      </c>
      <c r="J214" s="141"/>
      <c r="K214" s="141"/>
      <c r="L214" s="141">
        <v>2095</v>
      </c>
      <c r="M214" s="141">
        <v>886</v>
      </c>
      <c r="N214" s="141">
        <f>+SUM(J214:M214)</f>
        <v>2981</v>
      </c>
      <c r="P214" s="2" t="str">
        <f>+IFERROR(J214/D214,"")</f>
        <v/>
      </c>
      <c r="Q214" s="2" t="str">
        <f>+IFERROR(K214/E214,"")</f>
        <v/>
      </c>
      <c r="R214" s="2">
        <f>+IFERROR(L214/F214,"")</f>
        <v>0.14513335642535505</v>
      </c>
      <c r="S214" s="2">
        <f>+IFERROR(M214/G214,"")</f>
        <v>6.496553746883707E-2</v>
      </c>
      <c r="T214" s="2" t="str">
        <f>+IFERROR(#REF!/#REF!,"")</f>
        <v/>
      </c>
      <c r="U214" s="2" t="str">
        <f>+IFERROR(#REF!/#REF!,"")</f>
        <v/>
      </c>
      <c r="V214" s="2" t="str">
        <f>+IFERROR(#REF!/#REF!,"")</f>
        <v/>
      </c>
      <c r="W214" s="2" t="str">
        <f>+IFERROR(#REF!/#REF!,"")</f>
        <v/>
      </c>
      <c r="X214" s="2" t="str">
        <f>+IFERROR(#REF!/#REF!,"")</f>
        <v/>
      </c>
      <c r="Y214" s="2" t="str">
        <f>+IFERROR(#REF!/#REF!,"")</f>
        <v/>
      </c>
      <c r="Z214" s="2" t="str">
        <f>+IFERROR(#REF!/#REF!,"")</f>
        <v/>
      </c>
      <c r="AA214" s="2" t="str">
        <f>+IFERROR(#REF!/#REF!,"")</f>
        <v/>
      </c>
      <c r="AB214" s="2">
        <f>+IFERROR(N214/H214,"")</f>
        <v>0.10618743988886119</v>
      </c>
      <c r="AD214" s="2"/>
      <c r="AE214" s="2"/>
      <c r="AF214" s="143"/>
      <c r="AG214" s="143"/>
      <c r="AH214" s="143"/>
      <c r="AI214" s="143"/>
      <c r="AJ214" s="143"/>
      <c r="AK214" s="143"/>
      <c r="AL214" s="143"/>
      <c r="AM214" s="143"/>
      <c r="AN214" s="143"/>
      <c r="AP214" s="9">
        <f t="shared" si="72"/>
        <v>1.8250596320173957E-6</v>
      </c>
      <c r="AQ214" s="9">
        <f t="shared" si="73"/>
        <v>1.0002907954877012</v>
      </c>
    </row>
    <row r="215" spans="2:43" x14ac:dyDescent="0.35">
      <c r="B215" s="3" t="s">
        <v>308</v>
      </c>
      <c r="D215" s="141"/>
      <c r="E215" s="141"/>
      <c r="F215" s="141"/>
      <c r="G215" s="141">
        <v>500</v>
      </c>
      <c r="H215" s="141">
        <f>+SUM(D215:G215)</f>
        <v>500</v>
      </c>
      <c r="J215" s="141"/>
      <c r="K215" s="141"/>
      <c r="L215" s="141"/>
      <c r="M215" s="141">
        <v>500</v>
      </c>
      <c r="N215" s="141">
        <f>+SUM(J215:M215)</f>
        <v>500</v>
      </c>
      <c r="P215" s="2" t="str">
        <f>+IFERROR(J215/D215,"")</f>
        <v/>
      </c>
      <c r="Q215" s="2" t="str">
        <f>+IFERROR(K215/E215,"")</f>
        <v/>
      </c>
      <c r="R215" s="2" t="str">
        <f>+IFERROR(L215/F215,"")</f>
        <v/>
      </c>
      <c r="S215" s="2">
        <f>+IFERROR(M215/G215,"")</f>
        <v>1</v>
      </c>
      <c r="T215" s="2" t="str">
        <f>+IFERROR(#REF!/#REF!,"")</f>
        <v/>
      </c>
      <c r="U215" s="2" t="str">
        <f>+IFERROR(#REF!/#REF!,"")</f>
        <v/>
      </c>
      <c r="V215" s="2" t="str">
        <f>+IFERROR(#REF!/#REF!,"")</f>
        <v/>
      </c>
      <c r="W215" s="2" t="str">
        <f>+IFERROR(#REF!/#REF!,"")</f>
        <v/>
      </c>
      <c r="X215" s="2" t="str">
        <f>+IFERROR(#REF!/#REF!,"")</f>
        <v/>
      </c>
      <c r="Y215" s="2" t="str">
        <f>+IFERROR(#REF!/#REF!,"")</f>
        <v/>
      </c>
      <c r="Z215" s="2" t="str">
        <f>+IFERROR(#REF!/#REF!,"")</f>
        <v/>
      </c>
      <c r="AA215" s="2" t="str">
        <f>+IFERROR(#REF!/#REF!,"")</f>
        <v/>
      </c>
      <c r="AB215" s="2">
        <f>+IFERROR(N215/H215,"")</f>
        <v>1</v>
      </c>
      <c r="AD215" s="2"/>
      <c r="AE215" s="2"/>
      <c r="AF215" s="143"/>
      <c r="AG215" s="143"/>
      <c r="AH215" s="143"/>
      <c r="AI215" s="143"/>
      <c r="AJ215" s="143"/>
      <c r="AK215" s="143"/>
      <c r="AL215" s="143"/>
      <c r="AM215" s="143"/>
      <c r="AN215" s="143"/>
      <c r="AP215" s="9">
        <f t="shared" si="72"/>
        <v>3.0611533579627567E-7</v>
      </c>
      <c r="AQ215" s="9">
        <f t="shared" si="73"/>
        <v>1.0002911016030369</v>
      </c>
    </row>
    <row r="216" spans="2:43" x14ac:dyDescent="0.35">
      <c r="B216" s="3" t="s">
        <v>309</v>
      </c>
      <c r="D216" s="141"/>
      <c r="E216" s="141"/>
      <c r="F216" s="141">
        <v>2</v>
      </c>
      <c r="G216" s="141"/>
      <c r="H216" s="141">
        <f>+SUM(D216:G216)</f>
        <v>2</v>
      </c>
      <c r="J216" s="141"/>
      <c r="K216" s="141"/>
      <c r="L216" s="141">
        <v>2</v>
      </c>
      <c r="M216" s="141"/>
      <c r="N216" s="141">
        <f>+SUM(J216:M216)</f>
        <v>2</v>
      </c>
      <c r="P216" s="2" t="str">
        <f>+IFERROR(J216/D216,"")</f>
        <v/>
      </c>
      <c r="Q216" s="2" t="str">
        <f>+IFERROR(K216/E216,"")</f>
        <v/>
      </c>
      <c r="R216" s="2">
        <f>+IFERROR(L216/F216,"")</f>
        <v>1</v>
      </c>
      <c r="S216" s="2" t="str">
        <f>+IFERROR(M216/G216,"")</f>
        <v/>
      </c>
      <c r="T216" s="2" t="str">
        <f>+IFERROR(#REF!/#REF!,"")</f>
        <v/>
      </c>
      <c r="U216" s="2" t="str">
        <f>+IFERROR(#REF!/#REF!,"")</f>
        <v/>
      </c>
      <c r="V216" s="2" t="str">
        <f>+IFERROR(#REF!/#REF!,"")</f>
        <v/>
      </c>
      <c r="W216" s="2" t="str">
        <f>+IFERROR(#REF!/#REF!,"")</f>
        <v/>
      </c>
      <c r="X216" s="2" t="str">
        <f>+IFERROR(#REF!/#REF!,"")</f>
        <v/>
      </c>
      <c r="Y216" s="2" t="str">
        <f>+IFERROR(#REF!/#REF!,"")</f>
        <v/>
      </c>
      <c r="Z216" s="2" t="str">
        <f>+IFERROR(#REF!/#REF!,"")</f>
        <v/>
      </c>
      <c r="AA216" s="2" t="str">
        <f>+IFERROR(#REF!/#REF!,"")</f>
        <v/>
      </c>
      <c r="AB216" s="2">
        <f>+IFERROR(N216/H216,"")</f>
        <v>1</v>
      </c>
      <c r="AD216" s="2"/>
      <c r="AE216" s="2"/>
      <c r="AF216" s="143"/>
      <c r="AG216" s="143"/>
      <c r="AH216" s="143"/>
      <c r="AI216" s="143"/>
      <c r="AJ216" s="143"/>
      <c r="AK216" s="143"/>
      <c r="AL216" s="143"/>
      <c r="AM216" s="143"/>
      <c r="AN216" s="143"/>
      <c r="AP216" s="9">
        <f t="shared" si="72"/>
        <v>1.2244613431851027E-9</v>
      </c>
      <c r="AQ216" s="9">
        <f t="shared" si="73"/>
        <v>1.0002911028274983</v>
      </c>
    </row>
    <row r="217" spans="2:43" x14ac:dyDescent="0.35">
      <c r="B217" s="3" t="s">
        <v>310</v>
      </c>
      <c r="D217" s="141">
        <v>1425</v>
      </c>
      <c r="E217" s="141">
        <v>28890</v>
      </c>
      <c r="F217" s="141">
        <v>3816</v>
      </c>
      <c r="G217" s="141">
        <v>71897</v>
      </c>
      <c r="H217" s="141">
        <f>+SUM(D217:G217)</f>
        <v>106028</v>
      </c>
      <c r="J217" s="141">
        <v>362</v>
      </c>
      <c r="K217" s="141">
        <v>2184</v>
      </c>
      <c r="L217" s="141">
        <v>662</v>
      </c>
      <c r="M217" s="141">
        <v>8326</v>
      </c>
      <c r="N217" s="141">
        <f>+SUM(J217:M217)</f>
        <v>11534</v>
      </c>
      <c r="P217" s="2">
        <f>+IFERROR(J217/D217,"")</f>
        <v>0.25403508771929822</v>
      </c>
      <c r="Q217" s="2">
        <f>+IFERROR(K217/E217,"")</f>
        <v>7.5597092419522324E-2</v>
      </c>
      <c r="R217" s="2">
        <f>+IFERROR(L217/F217,"")</f>
        <v>0.17348008385744235</v>
      </c>
      <c r="S217" s="2">
        <f>+IFERROR(M217/G217,"")</f>
        <v>0.11580455373659541</v>
      </c>
      <c r="T217" s="2" t="str">
        <f>+IFERROR(#REF!/#REF!,"")</f>
        <v/>
      </c>
      <c r="U217" s="2" t="str">
        <f>+IFERROR(#REF!/#REF!,"")</f>
        <v/>
      </c>
      <c r="V217" s="2" t="str">
        <f>+IFERROR(#REF!/#REF!,"")</f>
        <v/>
      </c>
      <c r="W217" s="2" t="str">
        <f>+IFERROR(#REF!/#REF!,"")</f>
        <v/>
      </c>
      <c r="X217" s="2" t="str">
        <f>+IFERROR(#REF!/#REF!,"")</f>
        <v/>
      </c>
      <c r="Y217" s="2" t="str">
        <f>+IFERROR(#REF!/#REF!,"")</f>
        <v/>
      </c>
      <c r="Z217" s="2" t="str">
        <f>+IFERROR(#REF!/#REF!,"")</f>
        <v/>
      </c>
      <c r="AA217" s="2" t="str">
        <f>+IFERROR(#REF!/#REF!,"")</f>
        <v/>
      </c>
      <c r="AB217" s="2">
        <f>+IFERROR(N217/H217,"")</f>
        <v>0.10878258573207078</v>
      </c>
      <c r="AD217" s="2"/>
      <c r="AE217" s="2"/>
      <c r="AF217" s="143"/>
      <c r="AG217" s="143"/>
      <c r="AH217" s="143"/>
      <c r="AI217" s="143"/>
      <c r="AJ217" s="143"/>
      <c r="AK217" s="143"/>
      <c r="AL217" s="143"/>
      <c r="AM217" s="143"/>
      <c r="AN217" s="143"/>
      <c r="AP217" s="9">
        <f t="shared" si="72"/>
        <v>7.061468566148488E-6</v>
      </c>
      <c r="AQ217" s="9">
        <f t="shared" si="73"/>
        <v>1.0002981642960644</v>
      </c>
    </row>
    <row r="218" spans="2:43" x14ac:dyDescent="0.35">
      <c r="B218" s="3" t="s">
        <v>311</v>
      </c>
      <c r="D218" s="141"/>
      <c r="E218" s="141"/>
      <c r="F218" s="141"/>
      <c r="G218" s="141"/>
      <c r="H218" s="141">
        <f>+SUM(D218:G218)</f>
        <v>0</v>
      </c>
      <c r="J218" s="141"/>
      <c r="K218" s="141"/>
      <c r="L218" s="141"/>
      <c r="M218" s="141"/>
      <c r="N218" s="141">
        <f>+SUM(J218:M218)</f>
        <v>0</v>
      </c>
      <c r="P218" s="2" t="str">
        <f>+IFERROR(J218/D218,"")</f>
        <v/>
      </c>
      <c r="Q218" s="2" t="str">
        <f>+IFERROR(K218/E218,"")</f>
        <v/>
      </c>
      <c r="R218" s="2" t="str">
        <f>+IFERROR(L218/F218,"")</f>
        <v/>
      </c>
      <c r="S218" s="2" t="str">
        <f>+IFERROR(M218/G218,"")</f>
        <v/>
      </c>
      <c r="T218" s="2" t="str">
        <f>+IFERROR(#REF!/#REF!,"")</f>
        <v/>
      </c>
      <c r="U218" s="2" t="str">
        <f>+IFERROR(#REF!/#REF!,"")</f>
        <v/>
      </c>
      <c r="V218" s="2" t="str">
        <f>+IFERROR(#REF!/#REF!,"")</f>
        <v/>
      </c>
      <c r="W218" s="2" t="str">
        <f>+IFERROR(#REF!/#REF!,"")</f>
        <v/>
      </c>
      <c r="X218" s="2" t="str">
        <f>+IFERROR(#REF!/#REF!,"")</f>
        <v/>
      </c>
      <c r="Y218" s="2" t="str">
        <f>+IFERROR(#REF!/#REF!,"")</f>
        <v/>
      </c>
      <c r="Z218" s="2" t="str">
        <f>+IFERROR(#REF!/#REF!,"")</f>
        <v/>
      </c>
      <c r="AA218" s="2" t="str">
        <f>+IFERROR(#REF!/#REF!,"")</f>
        <v/>
      </c>
      <c r="AB218" s="2" t="str">
        <f>+IFERROR(N218/H218,"")</f>
        <v/>
      </c>
      <c r="AD218" s="2"/>
      <c r="AE218" s="2"/>
      <c r="AF218" s="143"/>
      <c r="AG218" s="143"/>
      <c r="AH218" s="143"/>
      <c r="AI218" s="143"/>
      <c r="AJ218" s="143"/>
      <c r="AK218" s="143"/>
      <c r="AL218" s="143"/>
      <c r="AM218" s="143"/>
      <c r="AN218" s="143"/>
      <c r="AP218" s="9">
        <f t="shared" si="72"/>
        <v>0</v>
      </c>
      <c r="AQ218" s="9">
        <f t="shared" si="73"/>
        <v>1.0002981642960644</v>
      </c>
    </row>
    <row r="219" spans="2:43" x14ac:dyDescent="0.35">
      <c r="B219" s="3" t="s">
        <v>312</v>
      </c>
      <c r="D219" s="141">
        <v>1927</v>
      </c>
      <c r="E219" s="141">
        <v>1962</v>
      </c>
      <c r="F219" s="141">
        <v>394</v>
      </c>
      <c r="G219" s="141">
        <v>1060</v>
      </c>
      <c r="H219" s="141">
        <f>+SUM(D219:G219)</f>
        <v>5343</v>
      </c>
      <c r="J219" s="141">
        <v>300</v>
      </c>
      <c r="K219" s="141">
        <v>150</v>
      </c>
      <c r="L219" s="141">
        <v>111</v>
      </c>
      <c r="M219" s="141">
        <v>15</v>
      </c>
      <c r="N219" s="141">
        <f>+SUM(J219:M219)</f>
        <v>576</v>
      </c>
      <c r="P219" s="2">
        <f>+IFERROR(J219/D219,"")</f>
        <v>0.15568240788790866</v>
      </c>
      <c r="Q219" s="2">
        <f>+IFERROR(K219/E219,"")</f>
        <v>7.64525993883792E-2</v>
      </c>
      <c r="R219" s="2">
        <f>+IFERROR(L219/F219,"")</f>
        <v>0.28172588832487311</v>
      </c>
      <c r="S219" s="2">
        <f>+IFERROR(M219/G219,"")</f>
        <v>1.4150943396226415E-2</v>
      </c>
      <c r="T219" s="2" t="str">
        <f>+IFERROR(#REF!/#REF!,"")</f>
        <v/>
      </c>
      <c r="U219" s="2" t="str">
        <f>+IFERROR(#REF!/#REF!,"")</f>
        <v/>
      </c>
      <c r="V219" s="2" t="str">
        <f>+IFERROR(#REF!/#REF!,"")</f>
        <v/>
      </c>
      <c r="W219" s="2" t="str">
        <f>+IFERROR(#REF!/#REF!,"")</f>
        <v/>
      </c>
      <c r="X219" s="2" t="str">
        <f>+IFERROR(#REF!/#REF!,"")</f>
        <v/>
      </c>
      <c r="Y219" s="2" t="str">
        <f>+IFERROR(#REF!/#REF!,"")</f>
        <v/>
      </c>
      <c r="Z219" s="2" t="str">
        <f>+IFERROR(#REF!/#REF!,"")</f>
        <v/>
      </c>
      <c r="AA219" s="2" t="str">
        <f>+IFERROR(#REF!/#REF!,"")</f>
        <v/>
      </c>
      <c r="AB219" s="2">
        <f>+IFERROR(N219/H219,"")</f>
        <v>0.10780460415496912</v>
      </c>
      <c r="AD219" s="2"/>
      <c r="AE219" s="2"/>
      <c r="AF219" s="143"/>
      <c r="AG219" s="143"/>
      <c r="AH219" s="143"/>
      <c r="AI219" s="143"/>
      <c r="AJ219" s="143"/>
      <c r="AK219" s="143"/>
      <c r="AL219" s="143"/>
      <c r="AM219" s="143"/>
      <c r="AN219" s="143"/>
      <c r="AP219" s="9">
        <f t="shared" si="72"/>
        <v>3.5264486683730957E-7</v>
      </c>
      <c r="AQ219" s="9">
        <f t="shared" si="73"/>
        <v>1.0002985169409313</v>
      </c>
    </row>
    <row r="220" spans="2:43" x14ac:dyDescent="0.35">
      <c r="B220" s="3" t="s">
        <v>313</v>
      </c>
      <c r="D220" s="141">
        <v>232731</v>
      </c>
      <c r="E220" s="141">
        <v>208734</v>
      </c>
      <c r="F220" s="141">
        <v>140860</v>
      </c>
      <c r="G220" s="141">
        <v>302703</v>
      </c>
      <c r="H220" s="141">
        <f>+SUM(D220:G220)</f>
        <v>885028</v>
      </c>
      <c r="J220" s="141">
        <v>8693</v>
      </c>
      <c r="K220" s="141">
        <v>8283</v>
      </c>
      <c r="L220" s="141">
        <v>8683</v>
      </c>
      <c r="M220" s="141">
        <v>8577</v>
      </c>
      <c r="N220" s="141">
        <f>+SUM(J220:M220)</f>
        <v>34236</v>
      </c>
      <c r="P220" s="2">
        <f>+IFERROR(J220/D220,"")</f>
        <v>3.7352136157194356E-2</v>
      </c>
      <c r="Q220" s="2">
        <f>+IFERROR(K220/E220,"")</f>
        <v>3.9682083417172095E-2</v>
      </c>
      <c r="R220" s="2">
        <f>+IFERROR(L220/F220,"")</f>
        <v>6.1642765866818119E-2</v>
      </c>
      <c r="S220" s="2">
        <f>+IFERROR(M220/G220,"")</f>
        <v>2.833470431412969E-2</v>
      </c>
      <c r="T220" s="2" t="str">
        <f>+IFERROR(#REF!/#REF!,"")</f>
        <v/>
      </c>
      <c r="U220" s="2" t="str">
        <f>+IFERROR(#REF!/#REF!,"")</f>
        <v/>
      </c>
      <c r="V220" s="2" t="str">
        <f>+IFERROR(#REF!/#REF!,"")</f>
        <v/>
      </c>
      <c r="W220" s="2" t="str">
        <f>+IFERROR(#REF!/#REF!,"")</f>
        <v/>
      </c>
      <c r="X220" s="2" t="str">
        <f>+IFERROR(#REF!/#REF!,"")</f>
        <v/>
      </c>
      <c r="Y220" s="2" t="str">
        <f>+IFERROR(#REF!/#REF!,"")</f>
        <v/>
      </c>
      <c r="Z220" s="2" t="str">
        <f>+IFERROR(#REF!/#REF!,"")</f>
        <v/>
      </c>
      <c r="AA220" s="2" t="str">
        <f>+IFERROR(#REF!/#REF!,"")</f>
        <v/>
      </c>
      <c r="AB220" s="2">
        <f>+IFERROR(N220/H220,"")</f>
        <v>3.8683521877273939E-2</v>
      </c>
      <c r="AD220" s="2"/>
      <c r="AE220" s="2"/>
      <c r="AF220" s="143"/>
      <c r="AG220" s="143"/>
      <c r="AH220" s="143"/>
      <c r="AI220" s="143"/>
      <c r="AJ220" s="143"/>
      <c r="AK220" s="143"/>
      <c r="AL220" s="143"/>
      <c r="AM220" s="143"/>
      <c r="AN220" s="143"/>
      <c r="AP220" s="9">
        <f t="shared" si="72"/>
        <v>2.0960329272642588E-5</v>
      </c>
      <c r="AQ220" s="9">
        <f t="shared" si="73"/>
        <v>1.000319477270204</v>
      </c>
    </row>
    <row r="221" spans="2:43" x14ac:dyDescent="0.35">
      <c r="B221" s="3" t="s">
        <v>314</v>
      </c>
      <c r="D221" s="141"/>
      <c r="E221" s="141"/>
      <c r="F221" s="141"/>
      <c r="G221" s="141"/>
      <c r="H221" s="141">
        <f>+SUM(D221:G221)</f>
        <v>0</v>
      </c>
      <c r="J221" s="141"/>
      <c r="K221" s="141"/>
      <c r="L221" s="141"/>
      <c r="M221" s="141"/>
      <c r="N221" s="141">
        <f>+SUM(J221:M221)</f>
        <v>0</v>
      </c>
      <c r="P221" s="2" t="str">
        <f>+IFERROR(J221/D221,"")</f>
        <v/>
      </c>
      <c r="Q221" s="2" t="str">
        <f>+IFERROR(K221/E221,"")</f>
        <v/>
      </c>
      <c r="R221" s="2" t="str">
        <f>+IFERROR(L221/F221,"")</f>
        <v/>
      </c>
      <c r="S221" s="2" t="str">
        <f>+IFERROR(M221/G221,"")</f>
        <v/>
      </c>
      <c r="T221" s="2" t="str">
        <f>+IFERROR(#REF!/#REF!,"")</f>
        <v/>
      </c>
      <c r="U221" s="2" t="str">
        <f>+IFERROR(#REF!/#REF!,"")</f>
        <v/>
      </c>
      <c r="V221" s="2" t="str">
        <f>+IFERROR(#REF!/#REF!,"")</f>
        <v/>
      </c>
      <c r="W221" s="2" t="str">
        <f>+IFERROR(#REF!/#REF!,"")</f>
        <v/>
      </c>
      <c r="X221" s="2" t="str">
        <f>+IFERROR(#REF!/#REF!,"")</f>
        <v/>
      </c>
      <c r="Y221" s="2" t="str">
        <f>+IFERROR(#REF!/#REF!,"")</f>
        <v/>
      </c>
      <c r="Z221" s="2" t="str">
        <f>+IFERROR(#REF!/#REF!,"")</f>
        <v/>
      </c>
      <c r="AA221" s="2" t="str">
        <f>+IFERROR(#REF!/#REF!,"")</f>
        <v/>
      </c>
      <c r="AB221" s="2" t="str">
        <f>+IFERROR(N221/H221,"")</f>
        <v/>
      </c>
      <c r="AD221" s="2"/>
      <c r="AE221" s="2"/>
      <c r="AF221" s="143"/>
      <c r="AG221" s="143"/>
      <c r="AH221" s="143"/>
      <c r="AI221" s="143"/>
      <c r="AJ221" s="143"/>
      <c r="AK221" s="143"/>
      <c r="AL221" s="143"/>
      <c r="AM221" s="143"/>
      <c r="AN221" s="143"/>
      <c r="AP221" s="9">
        <f t="shared" si="72"/>
        <v>0</v>
      </c>
      <c r="AQ221" s="9">
        <f t="shared" si="73"/>
        <v>1.000319477270204</v>
      </c>
    </row>
    <row r="222" spans="2:43" x14ac:dyDescent="0.35">
      <c r="B222" s="3" t="s">
        <v>315</v>
      </c>
      <c r="D222" s="141">
        <v>14634</v>
      </c>
      <c r="E222" s="141">
        <v>4760</v>
      </c>
      <c r="F222" s="141">
        <v>7407</v>
      </c>
      <c r="G222" s="141">
        <v>6302</v>
      </c>
      <c r="H222" s="141">
        <f>+SUM(D222:G222)</f>
        <v>33103</v>
      </c>
      <c r="J222" s="141">
        <v>781</v>
      </c>
      <c r="K222" s="141">
        <v>359</v>
      </c>
      <c r="L222" s="141">
        <v>1117</v>
      </c>
      <c r="M222" s="141">
        <v>250</v>
      </c>
      <c r="N222" s="141">
        <f>+SUM(J222:M222)</f>
        <v>2507</v>
      </c>
      <c r="P222" s="2">
        <f>+IFERROR(J222/D222,"")</f>
        <v>5.3368867022003552E-2</v>
      </c>
      <c r="Q222" s="2">
        <f>+IFERROR(K222/E222,"")</f>
        <v>7.5420168067226886E-2</v>
      </c>
      <c r="R222" s="2">
        <f>+IFERROR(L222/F222,"")</f>
        <v>0.15080329418117996</v>
      </c>
      <c r="S222" s="2">
        <f>+IFERROR(M222/G222,"")</f>
        <v>3.9669946048873375E-2</v>
      </c>
      <c r="T222" s="2" t="str">
        <f>+IFERROR(#REF!/#REF!,"")</f>
        <v/>
      </c>
      <c r="U222" s="2" t="str">
        <f>+IFERROR(#REF!/#REF!,"")</f>
        <v/>
      </c>
      <c r="V222" s="2" t="str">
        <f>+IFERROR(#REF!/#REF!,"")</f>
        <v/>
      </c>
      <c r="W222" s="2" t="str">
        <f>+IFERROR(#REF!/#REF!,"")</f>
        <v/>
      </c>
      <c r="X222" s="2" t="str">
        <f>+IFERROR(#REF!/#REF!,"")</f>
        <v/>
      </c>
      <c r="Y222" s="2" t="str">
        <f>+IFERROR(#REF!/#REF!,"")</f>
        <v/>
      </c>
      <c r="Z222" s="2" t="str">
        <f>+IFERROR(#REF!/#REF!,"")</f>
        <v/>
      </c>
      <c r="AA222" s="2" t="str">
        <f>+IFERROR(#REF!/#REF!,"")</f>
        <v/>
      </c>
      <c r="AB222" s="2">
        <f>+IFERROR(N222/H222,"")</f>
        <v>7.5733317222004048E-2</v>
      </c>
      <c r="AD222" s="2"/>
      <c r="AE222" s="2"/>
      <c r="AF222" s="143"/>
      <c r="AG222" s="143"/>
      <c r="AH222" s="143"/>
      <c r="AI222" s="143"/>
      <c r="AJ222" s="143"/>
      <c r="AK222" s="143"/>
      <c r="AL222" s="143"/>
      <c r="AM222" s="143"/>
      <c r="AN222" s="143"/>
      <c r="AP222" s="9">
        <f t="shared" si="72"/>
        <v>1.5348622936825263E-6</v>
      </c>
      <c r="AQ222" s="9">
        <f t="shared" si="73"/>
        <v>1.0003210121324977</v>
      </c>
    </row>
    <row r="223" spans="2:43" x14ac:dyDescent="0.35">
      <c r="B223" s="3" t="s">
        <v>316</v>
      </c>
      <c r="D223" s="141"/>
      <c r="E223" s="141"/>
      <c r="F223" s="141"/>
      <c r="G223" s="141"/>
      <c r="H223" s="141">
        <f>+SUM(D223:G223)</f>
        <v>0</v>
      </c>
      <c r="J223" s="141"/>
      <c r="K223" s="141"/>
      <c r="L223" s="141"/>
      <c r="M223" s="141"/>
      <c r="N223" s="141">
        <f>+SUM(J223:M223)</f>
        <v>0</v>
      </c>
      <c r="P223" s="2" t="str">
        <f>+IFERROR(J223/D223,"")</f>
        <v/>
      </c>
      <c r="Q223" s="2" t="str">
        <f>+IFERROR(K223/E223,"")</f>
        <v/>
      </c>
      <c r="R223" s="2" t="str">
        <f>+IFERROR(L223/F223,"")</f>
        <v/>
      </c>
      <c r="S223" s="2" t="str">
        <f>+IFERROR(M223/G223,"")</f>
        <v/>
      </c>
      <c r="T223" s="2" t="str">
        <f>+IFERROR(#REF!/#REF!,"")</f>
        <v/>
      </c>
      <c r="U223" s="2" t="str">
        <f>+IFERROR(#REF!/#REF!,"")</f>
        <v/>
      </c>
      <c r="V223" s="2" t="str">
        <f>+IFERROR(#REF!/#REF!,"")</f>
        <v/>
      </c>
      <c r="W223" s="2" t="str">
        <f>+IFERROR(#REF!/#REF!,"")</f>
        <v/>
      </c>
      <c r="X223" s="2" t="str">
        <f>+IFERROR(#REF!/#REF!,"")</f>
        <v/>
      </c>
      <c r="Y223" s="2" t="str">
        <f>+IFERROR(#REF!/#REF!,"")</f>
        <v/>
      </c>
      <c r="Z223" s="2" t="str">
        <f>+IFERROR(#REF!/#REF!,"")</f>
        <v/>
      </c>
      <c r="AA223" s="2" t="str">
        <f>+IFERROR(#REF!/#REF!,"")</f>
        <v/>
      </c>
      <c r="AB223" s="2" t="str">
        <f>+IFERROR(N223/H223,"")</f>
        <v/>
      </c>
      <c r="AD223" s="2"/>
      <c r="AE223" s="2"/>
      <c r="AF223" s="143"/>
      <c r="AG223" s="143"/>
      <c r="AH223" s="143"/>
      <c r="AI223" s="143"/>
      <c r="AJ223" s="143"/>
      <c r="AK223" s="143"/>
      <c r="AL223" s="143"/>
      <c r="AM223" s="143"/>
      <c r="AN223" s="143"/>
      <c r="AP223" s="9">
        <f t="shared" si="72"/>
        <v>0</v>
      </c>
      <c r="AQ223" s="9">
        <f t="shared" si="73"/>
        <v>1.0003210121324977</v>
      </c>
    </row>
    <row r="224" spans="2:43" x14ac:dyDescent="0.35">
      <c r="B224" s="3" t="s">
        <v>317</v>
      </c>
      <c r="D224" s="141">
        <v>10326</v>
      </c>
      <c r="E224" s="141">
        <v>6967</v>
      </c>
      <c r="F224" s="141">
        <v>1669</v>
      </c>
      <c r="G224" s="141">
        <v>23679</v>
      </c>
      <c r="H224" s="141">
        <f>+SUM(D224:G224)</f>
        <v>42641</v>
      </c>
      <c r="J224" s="141">
        <v>1014</v>
      </c>
      <c r="K224" s="141">
        <v>99</v>
      </c>
      <c r="L224" s="141">
        <v>51</v>
      </c>
      <c r="M224" s="141">
        <v>2756</v>
      </c>
      <c r="N224" s="141">
        <f>+SUM(J224:M224)</f>
        <v>3920</v>
      </c>
      <c r="P224" s="2">
        <f>+IFERROR(J224/D224,"")</f>
        <v>9.8198721673445677E-2</v>
      </c>
      <c r="Q224" s="2">
        <f>+IFERROR(K224/E224,"")</f>
        <v>1.4209846418831634E-2</v>
      </c>
      <c r="R224" s="2">
        <f>+IFERROR(L224/F224,"")</f>
        <v>3.0557219892150989E-2</v>
      </c>
      <c r="S224" s="2">
        <f>+IFERROR(M224/G224,"")</f>
        <v>0.11639005025550066</v>
      </c>
      <c r="T224" s="2" t="str">
        <f>+IFERROR(#REF!/#REF!,"")</f>
        <v/>
      </c>
      <c r="U224" s="2" t="str">
        <f>+IFERROR(#REF!/#REF!,"")</f>
        <v/>
      </c>
      <c r="V224" s="2" t="str">
        <f>+IFERROR(#REF!/#REF!,"")</f>
        <v/>
      </c>
      <c r="W224" s="2" t="str">
        <f>+IFERROR(#REF!/#REF!,"")</f>
        <v/>
      </c>
      <c r="X224" s="2" t="str">
        <f>+IFERROR(#REF!/#REF!,"")</f>
        <v/>
      </c>
      <c r="Y224" s="2" t="str">
        <f>+IFERROR(#REF!/#REF!,"")</f>
        <v/>
      </c>
      <c r="Z224" s="2" t="str">
        <f>+IFERROR(#REF!/#REF!,"")</f>
        <v/>
      </c>
      <c r="AA224" s="2" t="str">
        <f>+IFERROR(#REF!/#REF!,"")</f>
        <v/>
      </c>
      <c r="AB224" s="2">
        <f>+IFERROR(N224/H224,"")</f>
        <v>9.1930301822189905E-2</v>
      </c>
      <c r="AD224" s="2"/>
      <c r="AE224" s="2"/>
      <c r="AF224" s="143"/>
      <c r="AG224" s="143"/>
      <c r="AH224" s="143"/>
      <c r="AI224" s="143"/>
      <c r="AJ224" s="143"/>
      <c r="AK224" s="143"/>
      <c r="AL224" s="143"/>
      <c r="AM224" s="143"/>
      <c r="AN224" s="143"/>
      <c r="AP224" s="9">
        <f t="shared" si="72"/>
        <v>2.3999442326428015E-6</v>
      </c>
      <c r="AQ224" s="9">
        <f t="shared" si="73"/>
        <v>1.0003234120767304</v>
      </c>
    </row>
    <row r="225" spans="2:43" x14ac:dyDescent="0.35">
      <c r="B225" s="3" t="s">
        <v>318</v>
      </c>
      <c r="D225" s="141"/>
      <c r="E225" s="141"/>
      <c r="F225" s="141"/>
      <c r="G225" s="141"/>
      <c r="H225" s="141">
        <f>+SUM(D225:G225)</f>
        <v>0</v>
      </c>
      <c r="J225" s="141"/>
      <c r="K225" s="141"/>
      <c r="L225" s="141"/>
      <c r="M225" s="141"/>
      <c r="N225" s="141">
        <f>+SUM(J225:M225)</f>
        <v>0</v>
      </c>
      <c r="P225" s="2" t="str">
        <f>+IFERROR(J225/D225,"")</f>
        <v/>
      </c>
      <c r="Q225" s="2" t="str">
        <f>+IFERROR(K225/E225,"")</f>
        <v/>
      </c>
      <c r="R225" s="2" t="str">
        <f>+IFERROR(L225/F225,"")</f>
        <v/>
      </c>
      <c r="S225" s="2" t="str">
        <f>+IFERROR(M225/G225,"")</f>
        <v/>
      </c>
      <c r="T225" s="2" t="str">
        <f>+IFERROR(#REF!/#REF!,"")</f>
        <v/>
      </c>
      <c r="U225" s="2" t="str">
        <f>+IFERROR(#REF!/#REF!,"")</f>
        <v/>
      </c>
      <c r="V225" s="2" t="str">
        <f>+IFERROR(#REF!/#REF!,"")</f>
        <v/>
      </c>
      <c r="W225" s="2" t="str">
        <f>+IFERROR(#REF!/#REF!,"")</f>
        <v/>
      </c>
      <c r="X225" s="2" t="str">
        <f>+IFERROR(#REF!/#REF!,"")</f>
        <v/>
      </c>
      <c r="Y225" s="2" t="str">
        <f>+IFERROR(#REF!/#REF!,"")</f>
        <v/>
      </c>
      <c r="Z225" s="2" t="str">
        <f>+IFERROR(#REF!/#REF!,"")</f>
        <v/>
      </c>
      <c r="AA225" s="2" t="str">
        <f>+IFERROR(#REF!/#REF!,"")</f>
        <v/>
      </c>
      <c r="AB225" s="2" t="str">
        <f>+IFERROR(N225/H225,"")</f>
        <v/>
      </c>
      <c r="AD225" s="2"/>
      <c r="AE225" s="2"/>
      <c r="AF225" s="143"/>
      <c r="AG225" s="143"/>
      <c r="AH225" s="143"/>
      <c r="AI225" s="143"/>
      <c r="AJ225" s="143"/>
      <c r="AK225" s="143"/>
      <c r="AL225" s="143"/>
      <c r="AM225" s="143"/>
      <c r="AN225" s="143"/>
      <c r="AP225" s="9">
        <f t="shared" si="72"/>
        <v>0</v>
      </c>
      <c r="AQ225" s="9">
        <f t="shared" si="73"/>
        <v>1.0003234120767304</v>
      </c>
    </row>
    <row r="226" spans="2:43" x14ac:dyDescent="0.35">
      <c r="B226" s="3" t="s">
        <v>319</v>
      </c>
      <c r="D226" s="141"/>
      <c r="E226" s="141"/>
      <c r="F226" s="141"/>
      <c r="G226" s="141"/>
      <c r="H226" s="141">
        <f>+SUM(D226:G226)</f>
        <v>0</v>
      </c>
      <c r="J226" s="141"/>
      <c r="K226" s="141"/>
      <c r="L226" s="141"/>
      <c r="M226" s="141"/>
      <c r="N226" s="141">
        <f>+SUM(J226:M226)</f>
        <v>0</v>
      </c>
      <c r="P226" s="2" t="str">
        <f>+IFERROR(J226/D226,"")</f>
        <v/>
      </c>
      <c r="Q226" s="2" t="str">
        <f>+IFERROR(K226/E226,"")</f>
        <v/>
      </c>
      <c r="R226" s="2" t="str">
        <f>+IFERROR(L226/F226,"")</f>
        <v/>
      </c>
      <c r="S226" s="2" t="str">
        <f>+IFERROR(M226/G226,"")</f>
        <v/>
      </c>
      <c r="T226" s="2" t="str">
        <f>+IFERROR(#REF!/#REF!,"")</f>
        <v/>
      </c>
      <c r="U226" s="2" t="str">
        <f>+IFERROR(#REF!/#REF!,"")</f>
        <v/>
      </c>
      <c r="V226" s="2" t="str">
        <f>+IFERROR(#REF!/#REF!,"")</f>
        <v/>
      </c>
      <c r="W226" s="2" t="str">
        <f>+IFERROR(#REF!/#REF!,"")</f>
        <v/>
      </c>
      <c r="X226" s="2" t="str">
        <f>+IFERROR(#REF!/#REF!,"")</f>
        <v/>
      </c>
      <c r="Y226" s="2" t="str">
        <f>+IFERROR(#REF!/#REF!,"")</f>
        <v/>
      </c>
      <c r="Z226" s="2" t="str">
        <f>+IFERROR(#REF!/#REF!,"")</f>
        <v/>
      </c>
      <c r="AA226" s="2" t="str">
        <f>+IFERROR(#REF!/#REF!,"")</f>
        <v/>
      </c>
      <c r="AB226" s="2" t="str">
        <f>+IFERROR(N226/H226,"")</f>
        <v/>
      </c>
      <c r="AD226" s="2"/>
      <c r="AE226" s="2"/>
      <c r="AF226" s="143"/>
      <c r="AG226" s="143"/>
      <c r="AH226" s="143"/>
      <c r="AI226" s="143"/>
      <c r="AJ226" s="143"/>
      <c r="AK226" s="143"/>
      <c r="AL226" s="143"/>
      <c r="AM226" s="143"/>
      <c r="AN226" s="143"/>
      <c r="AP226" s="9">
        <f t="shared" si="72"/>
        <v>0</v>
      </c>
      <c r="AQ226" s="9">
        <f t="shared" si="73"/>
        <v>1.0003234120767304</v>
      </c>
    </row>
    <row r="227" spans="2:43" x14ac:dyDescent="0.35">
      <c r="B227" s="3" t="s">
        <v>320</v>
      </c>
      <c r="D227" s="141"/>
      <c r="E227" s="141"/>
      <c r="F227" s="141"/>
      <c r="G227" s="141"/>
      <c r="H227" s="141">
        <f>+SUM(D227:G227)</f>
        <v>0</v>
      </c>
      <c r="J227" s="141"/>
      <c r="K227" s="141"/>
      <c r="L227" s="141"/>
      <c r="M227" s="141"/>
      <c r="N227" s="141">
        <f>+SUM(J227:M227)</f>
        <v>0</v>
      </c>
      <c r="P227" s="2" t="str">
        <f>+IFERROR(J227/D227,"")</f>
        <v/>
      </c>
      <c r="Q227" s="2" t="str">
        <f>+IFERROR(K227/E227,"")</f>
        <v/>
      </c>
      <c r="R227" s="2" t="str">
        <f>+IFERROR(L227/F227,"")</f>
        <v/>
      </c>
      <c r="S227" s="2" t="str">
        <f>+IFERROR(M227/G227,"")</f>
        <v/>
      </c>
      <c r="T227" s="2" t="str">
        <f>+IFERROR(#REF!/#REF!,"")</f>
        <v/>
      </c>
      <c r="U227" s="2" t="str">
        <f>+IFERROR(#REF!/#REF!,"")</f>
        <v/>
      </c>
      <c r="V227" s="2" t="str">
        <f>+IFERROR(#REF!/#REF!,"")</f>
        <v/>
      </c>
      <c r="W227" s="2" t="str">
        <f>+IFERROR(#REF!/#REF!,"")</f>
        <v/>
      </c>
      <c r="X227" s="2" t="str">
        <f>+IFERROR(#REF!/#REF!,"")</f>
        <v/>
      </c>
      <c r="Y227" s="2" t="str">
        <f>+IFERROR(#REF!/#REF!,"")</f>
        <v/>
      </c>
      <c r="Z227" s="2" t="str">
        <f>+IFERROR(#REF!/#REF!,"")</f>
        <v/>
      </c>
      <c r="AA227" s="2" t="str">
        <f>+IFERROR(#REF!/#REF!,"")</f>
        <v/>
      </c>
      <c r="AB227" s="2" t="str">
        <f>+IFERROR(N227/H227,"")</f>
        <v/>
      </c>
      <c r="AD227" s="2"/>
      <c r="AE227" s="2"/>
      <c r="AF227" s="143"/>
      <c r="AG227" s="143"/>
      <c r="AH227" s="143"/>
      <c r="AI227" s="143"/>
      <c r="AJ227" s="143"/>
      <c r="AK227" s="143"/>
      <c r="AL227" s="143"/>
      <c r="AM227" s="143"/>
      <c r="AN227" s="143"/>
      <c r="AP227" s="9">
        <f t="shared" si="72"/>
        <v>0</v>
      </c>
      <c r="AQ227" s="9">
        <f t="shared" si="73"/>
        <v>1.0003234120767304</v>
      </c>
    </row>
    <row r="228" spans="2:43" x14ac:dyDescent="0.35">
      <c r="B228" s="3" t="s">
        <v>321</v>
      </c>
      <c r="D228" s="141"/>
      <c r="E228" s="141"/>
      <c r="F228" s="141"/>
      <c r="G228" s="141"/>
      <c r="H228" s="141">
        <f>+SUM(D228:G228)</f>
        <v>0</v>
      </c>
      <c r="J228" s="141"/>
      <c r="K228" s="141"/>
      <c r="L228" s="141"/>
      <c r="M228" s="141"/>
      <c r="N228" s="141">
        <f>+SUM(J228:M228)</f>
        <v>0</v>
      </c>
      <c r="P228" s="2" t="str">
        <f>+IFERROR(J228/D228,"")</f>
        <v/>
      </c>
      <c r="Q228" s="2" t="str">
        <f>+IFERROR(K228/E228,"")</f>
        <v/>
      </c>
      <c r="R228" s="2" t="str">
        <f>+IFERROR(L228/F228,"")</f>
        <v/>
      </c>
      <c r="S228" s="2" t="str">
        <f>+IFERROR(M228/G228,"")</f>
        <v/>
      </c>
      <c r="T228" s="2" t="str">
        <f>+IFERROR(#REF!/#REF!,"")</f>
        <v/>
      </c>
      <c r="U228" s="2" t="str">
        <f>+IFERROR(#REF!/#REF!,"")</f>
        <v/>
      </c>
      <c r="V228" s="2" t="str">
        <f>+IFERROR(#REF!/#REF!,"")</f>
        <v/>
      </c>
      <c r="W228" s="2" t="str">
        <f>+IFERROR(#REF!/#REF!,"")</f>
        <v/>
      </c>
      <c r="X228" s="2" t="str">
        <f>+IFERROR(#REF!/#REF!,"")</f>
        <v/>
      </c>
      <c r="Y228" s="2" t="str">
        <f>+IFERROR(#REF!/#REF!,"")</f>
        <v/>
      </c>
      <c r="Z228" s="2" t="str">
        <f>+IFERROR(#REF!/#REF!,"")</f>
        <v/>
      </c>
      <c r="AA228" s="2" t="str">
        <f>+IFERROR(#REF!/#REF!,"")</f>
        <v/>
      </c>
      <c r="AB228" s="2" t="str">
        <f>+IFERROR(N228/H228,"")</f>
        <v/>
      </c>
      <c r="AD228" s="2"/>
      <c r="AE228" s="2"/>
      <c r="AF228" s="143"/>
      <c r="AG228" s="143"/>
      <c r="AH228" s="143"/>
      <c r="AI228" s="143"/>
      <c r="AJ228" s="143"/>
      <c r="AK228" s="143"/>
      <c r="AL228" s="143"/>
      <c r="AM228" s="143"/>
      <c r="AN228" s="143"/>
      <c r="AP228" s="9">
        <f t="shared" si="72"/>
        <v>0</v>
      </c>
      <c r="AQ228" s="9">
        <f t="shared" si="73"/>
        <v>1.0003234120767304</v>
      </c>
    </row>
    <row r="229" spans="2:43" x14ac:dyDescent="0.35">
      <c r="B229" s="3" t="s">
        <v>322</v>
      </c>
      <c r="D229" s="141"/>
      <c r="E229" s="141"/>
      <c r="F229" s="141"/>
      <c r="G229" s="141"/>
      <c r="H229" s="141">
        <f>+SUM(D229:G229)</f>
        <v>0</v>
      </c>
      <c r="J229" s="141"/>
      <c r="K229" s="141"/>
      <c r="L229" s="141"/>
      <c r="M229" s="141"/>
      <c r="N229" s="141">
        <f>+SUM(J229:M229)</f>
        <v>0</v>
      </c>
      <c r="P229" s="2" t="str">
        <f>+IFERROR(J229/D229,"")</f>
        <v/>
      </c>
      <c r="Q229" s="2" t="str">
        <f>+IFERROR(K229/E229,"")</f>
        <v/>
      </c>
      <c r="R229" s="2" t="str">
        <f>+IFERROR(L229/F229,"")</f>
        <v/>
      </c>
      <c r="S229" s="2" t="str">
        <f>+IFERROR(M229/G229,"")</f>
        <v/>
      </c>
      <c r="T229" s="2" t="str">
        <f>+IFERROR(#REF!/#REF!,"")</f>
        <v/>
      </c>
      <c r="U229" s="2" t="str">
        <f>+IFERROR(#REF!/#REF!,"")</f>
        <v/>
      </c>
      <c r="V229" s="2" t="str">
        <f>+IFERROR(#REF!/#REF!,"")</f>
        <v/>
      </c>
      <c r="W229" s="2" t="str">
        <f>+IFERROR(#REF!/#REF!,"")</f>
        <v/>
      </c>
      <c r="X229" s="2" t="str">
        <f>+IFERROR(#REF!/#REF!,"")</f>
        <v/>
      </c>
      <c r="Y229" s="2" t="str">
        <f>+IFERROR(#REF!/#REF!,"")</f>
        <v/>
      </c>
      <c r="Z229" s="2" t="str">
        <f>+IFERROR(#REF!/#REF!,"")</f>
        <v/>
      </c>
      <c r="AA229" s="2" t="str">
        <f>+IFERROR(#REF!/#REF!,"")</f>
        <v/>
      </c>
      <c r="AB229" s="2" t="str">
        <f>+IFERROR(N229/H229,"")</f>
        <v/>
      </c>
      <c r="AD229" s="2"/>
      <c r="AE229" s="2"/>
      <c r="AF229" s="143"/>
      <c r="AG229" s="143"/>
      <c r="AH229" s="143"/>
      <c r="AI229" s="143"/>
      <c r="AJ229" s="143"/>
      <c r="AK229" s="143"/>
      <c r="AL229" s="143"/>
      <c r="AM229" s="143"/>
      <c r="AN229" s="143"/>
      <c r="AP229" s="9">
        <f t="shared" si="72"/>
        <v>0</v>
      </c>
      <c r="AQ229" s="9">
        <f t="shared" si="73"/>
        <v>1.0003234120767304</v>
      </c>
    </row>
    <row r="230" spans="2:43" x14ac:dyDescent="0.35">
      <c r="B230" s="3" t="s">
        <v>323</v>
      </c>
      <c r="D230" s="141"/>
      <c r="E230" s="141"/>
      <c r="F230" s="141">
        <v>2915</v>
      </c>
      <c r="G230" s="141"/>
      <c r="H230" s="141">
        <f>+SUM(D230:G230)</f>
        <v>2915</v>
      </c>
      <c r="J230" s="141"/>
      <c r="K230" s="141"/>
      <c r="L230" s="141">
        <v>280</v>
      </c>
      <c r="M230" s="141"/>
      <c r="N230" s="141">
        <f>+SUM(J230:M230)</f>
        <v>280</v>
      </c>
      <c r="P230" s="2" t="str">
        <f>+IFERROR(J230/D230,"")</f>
        <v/>
      </c>
      <c r="Q230" s="2" t="str">
        <f>+IFERROR(K230/E230,"")</f>
        <v/>
      </c>
      <c r="R230" s="2">
        <f>+IFERROR(L230/F230,"")</f>
        <v>9.6054888507718691E-2</v>
      </c>
      <c r="S230" s="2" t="str">
        <f>+IFERROR(M230/G230,"")</f>
        <v/>
      </c>
      <c r="T230" s="2" t="str">
        <f>+IFERROR(#REF!/#REF!,"")</f>
        <v/>
      </c>
      <c r="U230" s="2" t="str">
        <f>+IFERROR(#REF!/#REF!,"")</f>
        <v/>
      </c>
      <c r="V230" s="2" t="str">
        <f>+IFERROR(#REF!/#REF!,"")</f>
        <v/>
      </c>
      <c r="W230" s="2" t="str">
        <f>+IFERROR(#REF!/#REF!,"")</f>
        <v/>
      </c>
      <c r="X230" s="2" t="str">
        <f>+IFERROR(#REF!/#REF!,"")</f>
        <v/>
      </c>
      <c r="Y230" s="2" t="str">
        <f>+IFERROR(#REF!/#REF!,"")</f>
        <v/>
      </c>
      <c r="Z230" s="2" t="str">
        <f>+IFERROR(#REF!/#REF!,"")</f>
        <v/>
      </c>
      <c r="AA230" s="2" t="str">
        <f>+IFERROR(#REF!/#REF!,"")</f>
        <v/>
      </c>
      <c r="AB230" s="2">
        <f>+IFERROR(N230/H230,"")</f>
        <v>9.6054888507718691E-2</v>
      </c>
      <c r="AD230" s="2"/>
      <c r="AE230" s="2"/>
      <c r="AF230" s="143"/>
      <c r="AG230" s="143"/>
      <c r="AH230" s="143"/>
      <c r="AI230" s="143"/>
      <c r="AJ230" s="143"/>
      <c r="AK230" s="143"/>
      <c r="AL230" s="143"/>
      <c r="AM230" s="143"/>
      <c r="AN230" s="143"/>
      <c r="AP230" s="9">
        <f t="shared" si="72"/>
        <v>1.7142458804591438E-7</v>
      </c>
      <c r="AQ230" s="9">
        <f t="shared" si="73"/>
        <v>1.0003235835013184</v>
      </c>
    </row>
    <row r="231" spans="2:43" x14ac:dyDescent="0.35">
      <c r="B231" s="3" t="s">
        <v>324</v>
      </c>
      <c r="D231" s="141"/>
      <c r="E231" s="141"/>
      <c r="F231" s="141"/>
      <c r="G231" s="141"/>
      <c r="H231" s="141">
        <f>+SUM(D231:G231)</f>
        <v>0</v>
      </c>
      <c r="J231" s="141"/>
      <c r="K231" s="141"/>
      <c r="L231" s="141"/>
      <c r="M231" s="141"/>
      <c r="N231" s="141">
        <f>+SUM(J231:M231)</f>
        <v>0</v>
      </c>
      <c r="P231" s="2" t="str">
        <f>+IFERROR(J231/D231,"")</f>
        <v/>
      </c>
      <c r="Q231" s="2" t="str">
        <f>+IFERROR(K231/E231,"")</f>
        <v/>
      </c>
      <c r="R231" s="2" t="str">
        <f>+IFERROR(L231/F231,"")</f>
        <v/>
      </c>
      <c r="S231" s="2" t="str">
        <f>+IFERROR(M231/G231,"")</f>
        <v/>
      </c>
      <c r="T231" s="2" t="str">
        <f>+IFERROR(#REF!/#REF!,"")</f>
        <v/>
      </c>
      <c r="U231" s="2" t="str">
        <f>+IFERROR(#REF!/#REF!,"")</f>
        <v/>
      </c>
      <c r="V231" s="2" t="str">
        <f>+IFERROR(#REF!/#REF!,"")</f>
        <v/>
      </c>
      <c r="W231" s="2" t="str">
        <f>+IFERROR(#REF!/#REF!,"")</f>
        <v/>
      </c>
      <c r="X231" s="2" t="str">
        <f>+IFERROR(#REF!/#REF!,"")</f>
        <v/>
      </c>
      <c r="Y231" s="2" t="str">
        <f>+IFERROR(#REF!/#REF!,"")</f>
        <v/>
      </c>
      <c r="Z231" s="2" t="str">
        <f>+IFERROR(#REF!/#REF!,"")</f>
        <v/>
      </c>
      <c r="AA231" s="2" t="str">
        <f>+IFERROR(#REF!/#REF!,"")</f>
        <v/>
      </c>
      <c r="AB231" s="2" t="str">
        <f>+IFERROR(N231/H231,"")</f>
        <v/>
      </c>
      <c r="AD231" s="2"/>
      <c r="AE231" s="2"/>
      <c r="AF231" s="143"/>
      <c r="AG231" s="143"/>
      <c r="AH231" s="143"/>
      <c r="AI231" s="143"/>
      <c r="AJ231" s="143"/>
      <c r="AK231" s="143"/>
      <c r="AL231" s="143"/>
      <c r="AM231" s="143"/>
      <c r="AN231" s="143"/>
      <c r="AP231" s="9">
        <f t="shared" si="72"/>
        <v>0</v>
      </c>
      <c r="AQ231" s="9">
        <f t="shared" si="73"/>
        <v>1.0003235835013184</v>
      </c>
    </row>
    <row r="232" spans="2:43" x14ac:dyDescent="0.35">
      <c r="B232" s="3" t="s">
        <v>325</v>
      </c>
      <c r="D232" s="141">
        <v>6131</v>
      </c>
      <c r="E232" s="141">
        <v>1705</v>
      </c>
      <c r="F232" s="141"/>
      <c r="G232" s="141">
        <v>1865</v>
      </c>
      <c r="H232" s="141">
        <f>+SUM(D232:G232)</f>
        <v>9701</v>
      </c>
      <c r="J232" s="141">
        <v>257</v>
      </c>
      <c r="K232" s="141">
        <v>340</v>
      </c>
      <c r="L232" s="141"/>
      <c r="M232" s="141">
        <v>96</v>
      </c>
      <c r="N232" s="141">
        <f>+SUM(J232:M232)</f>
        <v>693</v>
      </c>
      <c r="P232" s="2">
        <f>+IFERROR(J232/D232,"")</f>
        <v>4.1918121024302722E-2</v>
      </c>
      <c r="Q232" s="2">
        <f>+IFERROR(K232/E232,"")</f>
        <v>0.19941348973607037</v>
      </c>
      <c r="R232" s="2" t="str">
        <f>+IFERROR(L232/F232,"")</f>
        <v/>
      </c>
      <c r="S232" s="2">
        <f>+IFERROR(M232/G232,"")</f>
        <v>5.1474530831099194E-2</v>
      </c>
      <c r="T232" s="2" t="str">
        <f>+IFERROR(#REF!/#REF!,"")</f>
        <v/>
      </c>
      <c r="U232" s="2" t="str">
        <f>+IFERROR(#REF!/#REF!,"")</f>
        <v/>
      </c>
      <c r="V232" s="2" t="str">
        <f>+IFERROR(#REF!/#REF!,"")</f>
        <v/>
      </c>
      <c r="W232" s="2" t="str">
        <f>+IFERROR(#REF!/#REF!,"")</f>
        <v/>
      </c>
      <c r="X232" s="2" t="str">
        <f>+IFERROR(#REF!/#REF!,"")</f>
        <v/>
      </c>
      <c r="Y232" s="2" t="str">
        <f>+IFERROR(#REF!/#REF!,"")</f>
        <v/>
      </c>
      <c r="Z232" s="2" t="str">
        <f>+IFERROR(#REF!/#REF!,"")</f>
        <v/>
      </c>
      <c r="AA232" s="2" t="str">
        <f>+IFERROR(#REF!/#REF!,"")</f>
        <v/>
      </c>
      <c r="AB232" s="2">
        <f>+IFERROR(N232/H232,"")</f>
        <v>7.143593443974848E-2</v>
      </c>
      <c r="AD232" s="2"/>
      <c r="AE232" s="2"/>
      <c r="AF232" s="143"/>
      <c r="AG232" s="143"/>
      <c r="AH232" s="143"/>
      <c r="AI232" s="143"/>
      <c r="AJ232" s="143"/>
      <c r="AK232" s="143"/>
      <c r="AL232" s="143"/>
      <c r="AM232" s="143"/>
      <c r="AN232" s="143"/>
      <c r="AP232" s="9">
        <f t="shared" si="72"/>
        <v>4.2427585541363809E-7</v>
      </c>
      <c r="AQ232" s="9">
        <f t="shared" si="73"/>
        <v>1.0003240077771738</v>
      </c>
    </row>
    <row r="233" spans="2:43" x14ac:dyDescent="0.35">
      <c r="B233" s="3" t="s">
        <v>326</v>
      </c>
      <c r="D233" s="141"/>
      <c r="E233" s="141"/>
      <c r="F233" s="141"/>
      <c r="G233" s="141"/>
      <c r="H233" s="141">
        <f>+SUM(D233:G233)</f>
        <v>0</v>
      </c>
      <c r="J233" s="141"/>
      <c r="K233" s="141"/>
      <c r="L233" s="141"/>
      <c r="M233" s="141"/>
      <c r="N233" s="141">
        <f>+SUM(J233:M233)</f>
        <v>0</v>
      </c>
      <c r="P233" s="2" t="str">
        <f>+IFERROR(J233/D233,"")</f>
        <v/>
      </c>
      <c r="Q233" s="2" t="str">
        <f>+IFERROR(K233/E233,"")</f>
        <v/>
      </c>
      <c r="R233" s="2" t="str">
        <f>+IFERROR(L233/F233,"")</f>
        <v/>
      </c>
      <c r="S233" s="2" t="str">
        <f>+IFERROR(M233/G233,"")</f>
        <v/>
      </c>
      <c r="T233" s="2" t="str">
        <f>+IFERROR(#REF!/#REF!,"")</f>
        <v/>
      </c>
      <c r="U233" s="2" t="str">
        <f>+IFERROR(#REF!/#REF!,"")</f>
        <v/>
      </c>
      <c r="V233" s="2" t="str">
        <f>+IFERROR(#REF!/#REF!,"")</f>
        <v/>
      </c>
      <c r="W233" s="2" t="str">
        <f>+IFERROR(#REF!/#REF!,"")</f>
        <v/>
      </c>
      <c r="X233" s="2" t="str">
        <f>+IFERROR(#REF!/#REF!,"")</f>
        <v/>
      </c>
      <c r="Y233" s="2" t="str">
        <f>+IFERROR(#REF!/#REF!,"")</f>
        <v/>
      </c>
      <c r="Z233" s="2" t="str">
        <f>+IFERROR(#REF!/#REF!,"")</f>
        <v/>
      </c>
      <c r="AA233" s="2" t="str">
        <f>+IFERROR(#REF!/#REF!,"")</f>
        <v/>
      </c>
      <c r="AB233" s="2" t="str">
        <f>+IFERROR(N233/H233,"")</f>
        <v/>
      </c>
      <c r="AD233" s="2"/>
      <c r="AE233" s="2"/>
      <c r="AF233" s="143"/>
      <c r="AG233" s="143"/>
      <c r="AH233" s="143"/>
      <c r="AI233" s="143"/>
      <c r="AJ233" s="143"/>
      <c r="AK233" s="143"/>
      <c r="AL233" s="143"/>
      <c r="AM233" s="143"/>
      <c r="AN233" s="143"/>
      <c r="AP233" s="9">
        <f t="shared" si="72"/>
        <v>0</v>
      </c>
      <c r="AQ233" s="9">
        <f t="shared" si="73"/>
        <v>1.0003240077771738</v>
      </c>
    </row>
    <row r="234" spans="2:43" x14ac:dyDescent="0.35">
      <c r="B234" s="3" t="s">
        <v>327</v>
      </c>
      <c r="D234" s="141">
        <v>13500</v>
      </c>
      <c r="E234" s="141">
        <v>32657</v>
      </c>
      <c r="F234" s="141">
        <v>22931</v>
      </c>
      <c r="G234" s="141">
        <v>63799</v>
      </c>
      <c r="H234" s="141">
        <f>+SUM(D234:G234)</f>
        <v>132887</v>
      </c>
      <c r="J234" s="141">
        <v>1047</v>
      </c>
      <c r="K234" s="141">
        <v>4195</v>
      </c>
      <c r="L234" s="141">
        <v>920</v>
      </c>
      <c r="M234" s="141">
        <v>9804</v>
      </c>
      <c r="N234" s="141">
        <f>+SUM(J234:M234)</f>
        <v>15966</v>
      </c>
      <c r="P234" s="2">
        <f>+IFERROR(J234/D234,"")</f>
        <v>7.7555555555555558E-2</v>
      </c>
      <c r="Q234" s="2">
        <f>+IFERROR(K234/E234,"")</f>
        <v>0.12845637994916864</v>
      </c>
      <c r="R234" s="2">
        <f>+IFERROR(L234/F234,"")</f>
        <v>4.0120361083249748E-2</v>
      </c>
      <c r="S234" s="2">
        <f>+IFERROR(M234/G234,"")</f>
        <v>0.15367012022132009</v>
      </c>
      <c r="T234" s="2" t="str">
        <f>+IFERROR(#REF!/#REF!,"")</f>
        <v/>
      </c>
      <c r="U234" s="2" t="str">
        <f>+IFERROR(#REF!/#REF!,"")</f>
        <v/>
      </c>
      <c r="V234" s="2" t="str">
        <f>+IFERROR(#REF!/#REF!,"")</f>
        <v/>
      </c>
      <c r="W234" s="2" t="str">
        <f>+IFERROR(#REF!/#REF!,"")</f>
        <v/>
      </c>
      <c r="X234" s="2" t="str">
        <f>+IFERROR(#REF!/#REF!,"")</f>
        <v/>
      </c>
      <c r="Y234" s="2" t="str">
        <f>+IFERROR(#REF!/#REF!,"")</f>
        <v/>
      </c>
      <c r="Z234" s="2" t="str">
        <f>+IFERROR(#REF!/#REF!,"")</f>
        <v/>
      </c>
      <c r="AA234" s="2" t="str">
        <f>+IFERROR(#REF!/#REF!,"")</f>
        <v/>
      </c>
      <c r="AB234" s="2">
        <f>+IFERROR(N234/H234,"")</f>
        <v>0.12014719272765582</v>
      </c>
      <c r="AD234" s="2"/>
      <c r="AE234" s="2"/>
      <c r="AF234" s="143"/>
      <c r="AG234" s="143"/>
      <c r="AH234" s="143"/>
      <c r="AI234" s="143"/>
      <c r="AJ234" s="143"/>
      <c r="AK234" s="143"/>
      <c r="AL234" s="143"/>
      <c r="AM234" s="143"/>
      <c r="AN234" s="143"/>
      <c r="AP234" s="9">
        <f t="shared" si="72"/>
        <v>9.7748749026466749E-6</v>
      </c>
      <c r="AQ234" s="9">
        <f t="shared" si="73"/>
        <v>1.0003337826520764</v>
      </c>
    </row>
    <row r="235" spans="2:43" x14ac:dyDescent="0.35">
      <c r="B235" s="3" t="s">
        <v>328</v>
      </c>
      <c r="D235" s="141"/>
      <c r="E235" s="141"/>
      <c r="F235" s="141"/>
      <c r="G235" s="141"/>
      <c r="H235" s="141">
        <f>+SUM(D235:G235)</f>
        <v>0</v>
      </c>
      <c r="J235" s="141"/>
      <c r="K235" s="141"/>
      <c r="L235" s="141"/>
      <c r="M235" s="141"/>
      <c r="N235" s="141">
        <f>+SUM(J235:M235)</f>
        <v>0</v>
      </c>
      <c r="P235" s="2" t="str">
        <f>+IFERROR(J235/D235,"")</f>
        <v/>
      </c>
      <c r="Q235" s="2" t="str">
        <f>+IFERROR(K235/E235,"")</f>
        <v/>
      </c>
      <c r="R235" s="2" t="str">
        <f>+IFERROR(L235/F235,"")</f>
        <v/>
      </c>
      <c r="S235" s="2" t="str">
        <f>+IFERROR(M235/G235,"")</f>
        <v/>
      </c>
      <c r="T235" s="2" t="str">
        <f>+IFERROR(#REF!/#REF!,"")</f>
        <v/>
      </c>
      <c r="U235" s="2" t="str">
        <f>+IFERROR(#REF!/#REF!,"")</f>
        <v/>
      </c>
      <c r="V235" s="2" t="str">
        <f>+IFERROR(#REF!/#REF!,"")</f>
        <v/>
      </c>
      <c r="W235" s="2" t="str">
        <f>+IFERROR(#REF!/#REF!,"")</f>
        <v/>
      </c>
      <c r="X235" s="2" t="str">
        <f>+IFERROR(#REF!/#REF!,"")</f>
        <v/>
      </c>
      <c r="Y235" s="2" t="str">
        <f>+IFERROR(#REF!/#REF!,"")</f>
        <v/>
      </c>
      <c r="Z235" s="2" t="str">
        <f>+IFERROR(#REF!/#REF!,"")</f>
        <v/>
      </c>
      <c r="AA235" s="2" t="str">
        <f>+IFERROR(#REF!/#REF!,"")</f>
        <v/>
      </c>
      <c r="AB235" s="2" t="str">
        <f>+IFERROR(N235/H235,"")</f>
        <v/>
      </c>
      <c r="AD235" s="2"/>
      <c r="AE235" s="2"/>
      <c r="AF235" s="143"/>
      <c r="AG235" s="143"/>
      <c r="AH235" s="143"/>
      <c r="AI235" s="143"/>
      <c r="AJ235" s="143"/>
      <c r="AK235" s="143"/>
      <c r="AL235" s="143"/>
      <c r="AM235" s="143"/>
      <c r="AN235" s="143"/>
      <c r="AP235" s="9">
        <f t="shared" si="72"/>
        <v>0</v>
      </c>
      <c r="AQ235" s="9">
        <f t="shared" si="73"/>
        <v>1.0003337826520764</v>
      </c>
    </row>
    <row r="236" spans="2:43" x14ac:dyDescent="0.35">
      <c r="B236" s="3" t="s">
        <v>329</v>
      </c>
      <c r="D236" s="141"/>
      <c r="E236" s="141"/>
      <c r="F236" s="141"/>
      <c r="G236" s="141"/>
      <c r="H236" s="141">
        <f>+SUM(D236:G236)</f>
        <v>0</v>
      </c>
      <c r="J236" s="141"/>
      <c r="K236" s="141"/>
      <c r="L236" s="141"/>
      <c r="M236" s="141"/>
      <c r="N236" s="141">
        <f>+SUM(J236:M236)</f>
        <v>0</v>
      </c>
      <c r="P236" s="2" t="str">
        <f>+IFERROR(J236/D236,"")</f>
        <v/>
      </c>
      <c r="Q236" s="2" t="str">
        <f>+IFERROR(K236/E236,"")</f>
        <v/>
      </c>
      <c r="R236" s="2" t="str">
        <f>+IFERROR(L236/F236,"")</f>
        <v/>
      </c>
      <c r="S236" s="2" t="str">
        <f>+IFERROR(M236/G236,"")</f>
        <v/>
      </c>
      <c r="T236" s="2" t="str">
        <f>+IFERROR(#REF!/#REF!,"")</f>
        <v/>
      </c>
      <c r="U236" s="2" t="str">
        <f>+IFERROR(#REF!/#REF!,"")</f>
        <v/>
      </c>
      <c r="V236" s="2" t="str">
        <f>+IFERROR(#REF!/#REF!,"")</f>
        <v/>
      </c>
      <c r="W236" s="2" t="str">
        <f>+IFERROR(#REF!/#REF!,"")</f>
        <v/>
      </c>
      <c r="X236" s="2" t="str">
        <f>+IFERROR(#REF!/#REF!,"")</f>
        <v/>
      </c>
      <c r="Y236" s="2" t="str">
        <f>+IFERROR(#REF!/#REF!,"")</f>
        <v/>
      </c>
      <c r="Z236" s="2" t="str">
        <f>+IFERROR(#REF!/#REF!,"")</f>
        <v/>
      </c>
      <c r="AA236" s="2" t="str">
        <f>+IFERROR(#REF!/#REF!,"")</f>
        <v/>
      </c>
      <c r="AB236" s="2" t="str">
        <f>+IFERROR(N236/H236,"")</f>
        <v/>
      </c>
      <c r="AD236" s="2"/>
      <c r="AE236" s="2"/>
      <c r="AF236" s="143"/>
      <c r="AG236" s="143"/>
      <c r="AH236" s="143"/>
      <c r="AI236" s="143"/>
      <c r="AJ236" s="143"/>
      <c r="AK236" s="143"/>
      <c r="AL236" s="143"/>
      <c r="AM236" s="143"/>
      <c r="AN236" s="143"/>
      <c r="AP236" s="9">
        <f t="shared" si="72"/>
        <v>0</v>
      </c>
      <c r="AQ236" s="9">
        <f t="shared" si="73"/>
        <v>1.0003337826520764</v>
      </c>
    </row>
    <row r="237" spans="2:43" s="17" customFormat="1" x14ac:dyDescent="0.35">
      <c r="B237" s="3" t="s">
        <v>330</v>
      </c>
      <c r="D237" s="144">
        <f t="shared" ref="D237:H237" si="74">+SUM(D5:D204)</f>
        <v>3396752884</v>
      </c>
      <c r="E237" s="144">
        <f t="shared" si="74"/>
        <v>3244087595</v>
      </c>
      <c r="F237" s="144">
        <f t="shared" si="74"/>
        <v>3142667593</v>
      </c>
      <c r="G237" s="144">
        <f>+SUM(G5:G236)</f>
        <v>3055014670</v>
      </c>
      <c r="H237" s="144">
        <f t="shared" si="74"/>
        <v>12836390107</v>
      </c>
      <c r="J237" s="144">
        <f t="shared" ref="J237:N237" si="75">+SUM(J5:J204)</f>
        <v>427280600</v>
      </c>
      <c r="K237" s="144">
        <f t="shared" si="75"/>
        <v>413848666</v>
      </c>
      <c r="L237" s="144">
        <f t="shared" si="75"/>
        <v>419601121</v>
      </c>
      <c r="M237" s="144">
        <f>+SUM(M5:M236)</f>
        <v>372785903</v>
      </c>
      <c r="N237" s="144">
        <f t="shared" si="75"/>
        <v>1633371287</v>
      </c>
      <c r="P237" s="7">
        <f>+IFERROR(J237/D237,"")</f>
        <v>0.12579089930640949</v>
      </c>
      <c r="Q237" s="7">
        <f>+IFERROR(K237/E237,"")</f>
        <v>0.12757012684794661</v>
      </c>
      <c r="R237" s="7">
        <f>+IFERROR(L237/F237,"")</f>
        <v>0.13351750020734693</v>
      </c>
      <c r="S237" s="7">
        <f>+IFERROR(M237/G237,"")</f>
        <v>0.12202425954308102</v>
      </c>
      <c r="T237" s="7" t="str">
        <f>+IFERROR(#REF!/#REF!,"")</f>
        <v/>
      </c>
      <c r="U237" s="7" t="str">
        <f>+IFERROR(#REF!/#REF!,"")</f>
        <v/>
      </c>
      <c r="V237" s="7" t="str">
        <f>+IFERROR(#REF!/#REF!,"")</f>
        <v/>
      </c>
      <c r="W237" s="7" t="str">
        <f>+IFERROR(#REF!/#REF!,"")</f>
        <v/>
      </c>
      <c r="X237" s="7" t="str">
        <f>+IFERROR(#REF!/#REF!,"")</f>
        <v/>
      </c>
      <c r="Y237" s="7" t="str">
        <f>+IFERROR(#REF!/#REF!,"")</f>
        <v/>
      </c>
      <c r="Z237" s="7" t="str">
        <f>+IFERROR(#REF!/#REF!,"")</f>
        <v/>
      </c>
      <c r="AA237" s="7" t="str">
        <f>+IFERROR(#REF!/#REF!,"")</f>
        <v/>
      </c>
      <c r="AB237" s="7">
        <f>+IFERROR(N237/H237,"")</f>
        <v>0.12724537610533374</v>
      </c>
      <c r="AD237" s="7" t="str">
        <f>+IFERROR(W237-V237,"")</f>
        <v/>
      </c>
      <c r="AE237" s="7" t="str">
        <f>+IFERROR(X237-W237,"")</f>
        <v/>
      </c>
      <c r="AF237" s="145">
        <f t="shared" ref="AF237:AN237" si="76">+IFERROR(S237-R237,"")</f>
        <v>-1.1493240664265908E-2</v>
      </c>
      <c r="AG237" s="145" t="str">
        <f t="shared" si="76"/>
        <v/>
      </c>
      <c r="AH237" s="145" t="str">
        <f t="shared" si="76"/>
        <v/>
      </c>
      <c r="AI237" s="145" t="str">
        <f t="shared" si="76"/>
        <v/>
      </c>
      <c r="AJ237" s="145" t="str">
        <f t="shared" si="76"/>
        <v/>
      </c>
      <c r="AK237" s="145" t="str">
        <f t="shared" si="76"/>
        <v/>
      </c>
      <c r="AL237" s="145" t="str">
        <f t="shared" si="76"/>
        <v/>
      </c>
      <c r="AM237" s="145" t="str">
        <f t="shared" si="76"/>
        <v/>
      </c>
      <c r="AN237" s="145" t="str">
        <f t="shared" si="76"/>
        <v/>
      </c>
      <c r="AP237" s="10">
        <f t="shared" si="72"/>
        <v>1</v>
      </c>
      <c r="AQ237" s="10"/>
    </row>
  </sheetData>
  <mergeCells count="4">
    <mergeCell ref="P2:AB2"/>
    <mergeCell ref="AD2:AN2"/>
    <mergeCell ref="D2:H2"/>
    <mergeCell ref="J2:N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9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T5" sqref="T5:T256"/>
    </sheetView>
  </sheetViews>
  <sheetFormatPr baseColWidth="10" defaultColWidth="11.54296875" defaultRowHeight="14.5" outlineLevelCol="1" x14ac:dyDescent="0.35"/>
  <cols>
    <col min="1" max="1" width="1.36328125" style="201" customWidth="1"/>
    <col min="2" max="2" width="51.81640625" style="201" customWidth="1"/>
    <col min="3" max="3" width="1.90625" style="201" customWidth="1"/>
    <col min="4" max="4" width="16.26953125" style="201" hidden="1" customWidth="1" outlineLevel="1"/>
    <col min="5" max="6" width="16.26953125" style="201" customWidth="1" outlineLevel="1"/>
    <col min="7" max="15" width="16.26953125" style="201" hidden="1" customWidth="1" outlineLevel="1"/>
    <col min="16" max="16" width="16.26953125" style="201" bestFit="1" customWidth="1" outlineLevel="1"/>
    <col min="17" max="17" width="1.7265625" style="201" customWidth="1"/>
    <col min="18" max="18" width="16.26953125" style="201" hidden="1" customWidth="1" outlineLevel="1"/>
    <col min="19" max="19" width="15.1796875" style="201" customWidth="1" outlineLevel="1"/>
    <col min="20" max="20" width="16.26953125" style="201" customWidth="1" outlineLevel="1"/>
    <col min="21" max="29" width="16.26953125" style="201" hidden="1" customWidth="1" outlineLevel="1"/>
    <col min="30" max="30" width="16.26953125" style="201" bestFit="1" customWidth="1" outlineLevel="1"/>
    <col min="31" max="31" width="1.6328125" style="201" customWidth="1"/>
    <col min="32" max="32" width="8.6328125" style="201" hidden="1" customWidth="1"/>
    <col min="33" max="34" width="8.6328125" style="201" customWidth="1"/>
    <col min="35" max="43" width="8.6328125" style="201" hidden="1" customWidth="1"/>
    <col min="44" max="44" width="8.6328125" style="201" bestFit="1" customWidth="1"/>
    <col min="45" max="45" width="2.453125" style="201" customWidth="1"/>
    <col min="46" max="46" width="9.6328125" style="201" customWidth="1"/>
    <col min="47" max="47" width="10.08984375" style="201" customWidth="1"/>
    <col min="48" max="48" width="9.453125" style="201" hidden="1" customWidth="1"/>
    <col min="49" max="49" width="10.453125" style="201" hidden="1" customWidth="1"/>
    <col min="50" max="50" width="9.453125" style="201" hidden="1" customWidth="1"/>
    <col min="51" max="51" width="8.6328125" style="201" hidden="1" customWidth="1"/>
    <col min="52" max="52" width="9.81640625" style="201" hidden="1" customWidth="1"/>
    <col min="53" max="53" width="9.6328125" style="201" hidden="1" customWidth="1"/>
    <col min="54" max="54" width="9.453125" style="201" hidden="1" customWidth="1"/>
    <col min="55" max="55" width="10.08984375" style="201" hidden="1" customWidth="1"/>
    <col min="56" max="56" width="9" style="201" hidden="1" customWidth="1"/>
    <col min="57" max="57" width="2.7265625" style="201" customWidth="1"/>
    <col min="58" max="58" width="6.7265625" style="201" bestFit="1" customWidth="1"/>
    <col min="59" max="59" width="9.90625" style="201" bestFit="1" customWidth="1"/>
    <col min="60" max="149" width="11.54296875" style="201" customWidth="1"/>
    <col min="150" max="16384" width="11.54296875" style="201"/>
  </cols>
  <sheetData>
    <row r="1" spans="2:59" ht="22.9" customHeight="1" x14ac:dyDescent="0.35"/>
    <row r="2" spans="2:59" x14ac:dyDescent="0.35">
      <c r="D2" s="212" t="s">
        <v>81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R2" s="215" t="s">
        <v>82</v>
      </c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F2" s="212" t="s">
        <v>83</v>
      </c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T2" s="214" t="s">
        <v>84</v>
      </c>
      <c r="AU2" s="213"/>
      <c r="AV2" s="213"/>
      <c r="AW2" s="213"/>
      <c r="AX2" s="213"/>
      <c r="AY2" s="213"/>
      <c r="AZ2" s="213"/>
      <c r="BA2" s="213"/>
      <c r="BB2" s="213"/>
      <c r="BC2" s="213"/>
      <c r="BD2" s="213"/>
    </row>
    <row r="3" spans="2:59" ht="4.9000000000000004" customHeight="1" x14ac:dyDescent="0.35"/>
    <row r="4" spans="2:59" ht="17.5" customHeight="1" x14ac:dyDescent="0.35">
      <c r="B4" s="1" t="s">
        <v>85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45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45</v>
      </c>
      <c r="AF4" s="4" t="s">
        <v>20</v>
      </c>
      <c r="AG4" s="4" t="s">
        <v>21</v>
      </c>
      <c r="AH4" s="4" t="s">
        <v>22</v>
      </c>
      <c r="AI4" s="4" t="s">
        <v>23</v>
      </c>
      <c r="AJ4" s="4" t="s">
        <v>24</v>
      </c>
      <c r="AK4" s="4" t="s">
        <v>25</v>
      </c>
      <c r="AL4" s="4" t="s">
        <v>26</v>
      </c>
      <c r="AM4" s="4" t="s">
        <v>27</v>
      </c>
      <c r="AN4" s="4" t="s">
        <v>28</v>
      </c>
      <c r="AO4" s="4" t="s">
        <v>29</v>
      </c>
      <c r="AP4" s="4" t="s">
        <v>30</v>
      </c>
      <c r="AQ4" s="4" t="s">
        <v>31</v>
      </c>
      <c r="AR4" s="4" t="s">
        <v>45</v>
      </c>
      <c r="AT4" s="1" t="s">
        <v>86</v>
      </c>
      <c r="AU4" s="1" t="s">
        <v>87</v>
      </c>
      <c r="AV4" s="1" t="s">
        <v>88</v>
      </c>
      <c r="AW4" s="1" t="s">
        <v>89</v>
      </c>
      <c r="AX4" s="1" t="s">
        <v>90</v>
      </c>
      <c r="AY4" s="1" t="s">
        <v>91</v>
      </c>
      <c r="AZ4" s="1" t="s">
        <v>92</v>
      </c>
      <c r="BA4" s="1" t="s">
        <v>93</v>
      </c>
      <c r="BB4" s="1" t="s">
        <v>94</v>
      </c>
      <c r="BC4" s="1" t="s">
        <v>95</v>
      </c>
      <c r="BD4" s="1" t="s">
        <v>96</v>
      </c>
      <c r="BF4" s="1" t="s">
        <v>97</v>
      </c>
      <c r="BG4" s="1" t="s">
        <v>98</v>
      </c>
    </row>
    <row r="5" spans="2:59" x14ac:dyDescent="0.35">
      <c r="B5" s="3" t="s">
        <v>100</v>
      </c>
      <c r="D5" s="141">
        <v>22824513</v>
      </c>
      <c r="E5" s="141">
        <v>21450662</v>
      </c>
      <c r="F5" s="141">
        <v>15125794</v>
      </c>
      <c r="G5" s="141">
        <v>20246815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79647784</v>
      </c>
      <c r="R5" s="141">
        <v>16617374</v>
      </c>
      <c r="S5" s="141">
        <v>15526319</v>
      </c>
      <c r="T5" s="141">
        <v>10588172</v>
      </c>
      <c r="U5" s="141">
        <v>14345073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57076938</v>
      </c>
      <c r="AF5" s="2">
        <f t="shared" ref="AF5:AF68" si="2">+IFERROR(R5/D5,"")</f>
        <v>0.72804944403413996</v>
      </c>
      <c r="AG5" s="2">
        <f t="shared" ref="AG5:AG68" si="3">+IFERROR(S5/E5,"")</f>
        <v>0.72381537688673669</v>
      </c>
      <c r="AH5" s="2">
        <f t="shared" ref="AH5:AH68" si="4">+IFERROR(T5/F5,"")</f>
        <v>0.70000768224134213</v>
      </c>
      <c r="AI5" s="2">
        <f t="shared" ref="AI5:AI68" si="5">+IFERROR(U5/G5,"")</f>
        <v>0.7085101039348658</v>
      </c>
      <c r="AJ5" s="2" t="str">
        <f t="shared" ref="AJ5:AJ68" si="6">+IFERROR(V5/H5,"")</f>
        <v/>
      </c>
      <c r="AK5" s="2" t="str">
        <f t="shared" ref="AK5:AK68" si="7">+IFERROR(W5/I5,"")</f>
        <v/>
      </c>
      <c r="AL5" s="2" t="str">
        <f t="shared" ref="AL5:AL68" si="8">+IFERROR(X5/J5,"")</f>
        <v/>
      </c>
      <c r="AM5" s="2" t="str">
        <f t="shared" ref="AM5:AM68" si="9">+IFERROR(Y5/K5,"")</f>
        <v/>
      </c>
      <c r="AN5" s="2" t="str">
        <f t="shared" ref="AN5:AN68" si="10">+IFERROR(Z5/L5,"")</f>
        <v/>
      </c>
      <c r="AO5" s="2" t="str">
        <f t="shared" ref="AO5:AO68" si="11">+IFERROR(AA5/M5,"")</f>
        <v/>
      </c>
      <c r="AP5" s="2" t="str">
        <f t="shared" ref="AP5:AP68" si="12">+IFERROR(AB5/N5,"")</f>
        <v/>
      </c>
      <c r="AQ5" s="2" t="str">
        <f t="shared" ref="AQ5:AQ68" si="13">+IFERROR(AC5/O5,"")</f>
        <v/>
      </c>
      <c r="AR5" s="2">
        <f t="shared" ref="AR5:AR68" si="14">+IFERROR(AD5/P5,"")</f>
        <v>0.71661677366943444</v>
      </c>
      <c r="AT5" s="142">
        <f t="shared" ref="AT5:AT45" si="15">+IFERROR(AG5-AF5,"")</f>
        <v>-4.2340671474032643E-3</v>
      </c>
      <c r="AU5" s="142">
        <f t="shared" ref="AU5:AU45" si="16">+IFERROR(AH5-AG5,"")</f>
        <v>-2.3807694645394561E-2</v>
      </c>
      <c r="AV5" s="142">
        <f t="shared" ref="AV5:AV45" si="17">+IFERROR(AI5-AH5,"")</f>
        <v>8.5024216935236652E-3</v>
      </c>
      <c r="AW5" s="142" t="str">
        <f t="shared" ref="AW5:AW45" si="18">+IFERROR(AJ5-AI5,"")</f>
        <v/>
      </c>
      <c r="AX5" s="142" t="str">
        <f t="shared" ref="AX5:AX45" si="19">+IFERROR(AK5-AJ5,"")</f>
        <v/>
      </c>
      <c r="AY5" s="142" t="str">
        <f t="shared" ref="AY5:AY45" si="20">+IFERROR(AL5-AK5,"")</f>
        <v/>
      </c>
      <c r="AZ5" s="142" t="str">
        <f t="shared" ref="AZ5:AZ45" si="21">+IFERROR(AM5-AL5,"")</f>
        <v/>
      </c>
      <c r="BA5" s="142" t="str">
        <f t="shared" ref="BA5:BA45" si="22">+IFERROR(AN5-AM5,"")</f>
        <v/>
      </c>
      <c r="BB5" s="142" t="str">
        <f t="shared" ref="BB5:BB45" si="23">+IFERROR(AO5-AN5,"")</f>
        <v/>
      </c>
      <c r="BC5" s="142" t="str">
        <f t="shared" ref="BC5:BC45" si="24">+IFERROR(AP5-AO5,"")</f>
        <v/>
      </c>
      <c r="BD5" s="142" t="str">
        <f t="shared" ref="BD5:BD45" si="25">+IFERROR(AQ5-AP5,"")</f>
        <v/>
      </c>
      <c r="BF5" s="9">
        <f t="shared" ref="BF5:BF68" si="26">+AD5/$AD$257</f>
        <v>7.692128855541934E-2</v>
      </c>
      <c r="BG5" s="9">
        <f>+BF5</f>
        <v>7.692128855541934E-2</v>
      </c>
    </row>
    <row r="6" spans="2:59" x14ac:dyDescent="0.35">
      <c r="B6" s="3" t="s">
        <v>99</v>
      </c>
      <c r="D6" s="141">
        <v>11594720</v>
      </c>
      <c r="E6" s="141">
        <v>10824518</v>
      </c>
      <c r="F6" s="141">
        <v>13412960</v>
      </c>
      <c r="G6" s="141">
        <v>9393042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45225240</v>
      </c>
      <c r="R6" s="141">
        <v>8169004</v>
      </c>
      <c r="S6" s="141">
        <v>7744745</v>
      </c>
      <c r="T6" s="141">
        <v>9238351</v>
      </c>
      <c r="U6" s="141">
        <v>6687294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31839394</v>
      </c>
      <c r="AF6" s="2">
        <f t="shared" si="2"/>
        <v>0.7045451722853161</v>
      </c>
      <c r="AG6" s="2">
        <f t="shared" si="3"/>
        <v>0.71548174246650054</v>
      </c>
      <c r="AH6" s="2">
        <f t="shared" si="4"/>
        <v>0.68876303217186963</v>
      </c>
      <c r="AI6" s="2">
        <f t="shared" si="5"/>
        <v>0.71194124331606312</v>
      </c>
      <c r="AJ6" s="2" t="str">
        <f t="shared" si="6"/>
        <v/>
      </c>
      <c r="AK6" s="2" t="str">
        <f t="shared" si="7"/>
        <v/>
      </c>
      <c r="AL6" s="2" t="str">
        <f t="shared" si="8"/>
        <v/>
      </c>
      <c r="AM6" s="2" t="str">
        <f t="shared" si="9"/>
        <v/>
      </c>
      <c r="AN6" s="2" t="str">
        <f t="shared" si="10"/>
        <v/>
      </c>
      <c r="AO6" s="2" t="str">
        <f t="shared" si="11"/>
        <v/>
      </c>
      <c r="AP6" s="2" t="str">
        <f t="shared" si="12"/>
        <v/>
      </c>
      <c r="AQ6" s="2" t="str">
        <f t="shared" si="13"/>
        <v/>
      </c>
      <c r="AR6" s="2">
        <f t="shared" si="14"/>
        <v>0.70401824291037485</v>
      </c>
      <c r="AT6" s="142">
        <f t="shared" si="15"/>
        <v>1.0936570181184435E-2</v>
      </c>
      <c r="AU6" s="142">
        <f t="shared" si="16"/>
        <v>-2.671871029463091E-2</v>
      </c>
      <c r="AV6" s="142">
        <f t="shared" si="17"/>
        <v>2.3178211144193495E-2</v>
      </c>
      <c r="AW6" s="142" t="str">
        <f t="shared" si="18"/>
        <v/>
      </c>
      <c r="AX6" s="142" t="str">
        <f t="shared" si="19"/>
        <v/>
      </c>
      <c r="AY6" s="142" t="str">
        <f t="shared" si="20"/>
        <v/>
      </c>
      <c r="AZ6" s="142" t="str">
        <f t="shared" si="21"/>
        <v/>
      </c>
      <c r="BA6" s="142" t="str">
        <f t="shared" si="22"/>
        <v/>
      </c>
      <c r="BB6" s="142" t="str">
        <f t="shared" si="23"/>
        <v/>
      </c>
      <c r="BC6" s="142" t="str">
        <f t="shared" si="24"/>
        <v/>
      </c>
      <c r="BD6" s="142" t="str">
        <f t="shared" si="25"/>
        <v/>
      </c>
      <c r="BF6" s="9">
        <f t="shared" si="26"/>
        <v>4.2909225671911258E-2</v>
      </c>
      <c r="BG6" s="9">
        <f t="shared" ref="BG6:BG69" si="27">+BF6+BG5</f>
        <v>0.1198305142273306</v>
      </c>
    </row>
    <row r="7" spans="2:59" x14ac:dyDescent="0.35">
      <c r="B7" s="3" t="s">
        <v>101</v>
      </c>
      <c r="D7" s="141">
        <v>11293150</v>
      </c>
      <c r="E7" s="141">
        <v>10803912</v>
      </c>
      <c r="F7" s="141">
        <v>12480668</v>
      </c>
      <c r="G7" s="141">
        <v>13134280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47712010</v>
      </c>
      <c r="R7" s="141">
        <v>7189303</v>
      </c>
      <c r="S7" s="141">
        <v>7015893</v>
      </c>
      <c r="T7" s="141">
        <v>7697615</v>
      </c>
      <c r="U7" s="141">
        <v>8489660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30392471</v>
      </c>
      <c r="AF7" s="2">
        <f t="shared" si="2"/>
        <v>0.63660741245799446</v>
      </c>
      <c r="AG7" s="2">
        <f t="shared" si="3"/>
        <v>0.64938450072529286</v>
      </c>
      <c r="AH7" s="2">
        <f t="shared" si="4"/>
        <v>0.61676306107974344</v>
      </c>
      <c r="AI7" s="2">
        <f t="shared" si="5"/>
        <v>0.64637422074144912</v>
      </c>
      <c r="AJ7" s="2" t="str">
        <f t="shared" si="6"/>
        <v/>
      </c>
      <c r="AK7" s="2" t="str">
        <f t="shared" si="7"/>
        <v/>
      </c>
      <c r="AL7" s="2" t="str">
        <f t="shared" si="8"/>
        <v/>
      </c>
      <c r="AM7" s="2" t="str">
        <f t="shared" si="9"/>
        <v/>
      </c>
      <c r="AN7" s="2" t="str">
        <f t="shared" si="10"/>
        <v/>
      </c>
      <c r="AO7" s="2" t="str">
        <f t="shared" si="11"/>
        <v/>
      </c>
      <c r="AP7" s="2" t="str">
        <f t="shared" si="12"/>
        <v/>
      </c>
      <c r="AQ7" s="2" t="str">
        <f t="shared" si="13"/>
        <v/>
      </c>
      <c r="AR7" s="2">
        <f t="shared" si="14"/>
        <v>0.63699833647754522</v>
      </c>
      <c r="AT7" s="142">
        <f t="shared" si="15"/>
        <v>1.2777088267298398E-2</v>
      </c>
      <c r="AU7" s="142">
        <f t="shared" si="16"/>
        <v>-3.2621439645549422E-2</v>
      </c>
      <c r="AV7" s="142">
        <f t="shared" si="17"/>
        <v>2.9611159661705688E-2</v>
      </c>
      <c r="AW7" s="142" t="str">
        <f t="shared" si="18"/>
        <v/>
      </c>
      <c r="AX7" s="142" t="str">
        <f t="shared" si="19"/>
        <v/>
      </c>
      <c r="AY7" s="142" t="str">
        <f t="shared" si="20"/>
        <v/>
      </c>
      <c r="AZ7" s="142" t="str">
        <f t="shared" si="21"/>
        <v/>
      </c>
      <c r="BA7" s="142" t="str">
        <f t="shared" si="22"/>
        <v/>
      </c>
      <c r="BB7" s="142" t="str">
        <f t="shared" si="23"/>
        <v/>
      </c>
      <c r="BC7" s="142" t="str">
        <f t="shared" si="24"/>
        <v/>
      </c>
      <c r="BD7" s="142" t="str">
        <f t="shared" si="25"/>
        <v/>
      </c>
      <c r="BF7" s="9">
        <f t="shared" si="26"/>
        <v>4.0959240520281839E-2</v>
      </c>
      <c r="BG7" s="9">
        <f t="shared" si="27"/>
        <v>0.16078975474761242</v>
      </c>
    </row>
    <row r="8" spans="2:59" x14ac:dyDescent="0.35">
      <c r="B8" s="3" t="s">
        <v>120</v>
      </c>
      <c r="D8" s="141">
        <v>13667034</v>
      </c>
      <c r="E8" s="141">
        <v>11627261</v>
      </c>
      <c r="F8" s="141">
        <v>13920300</v>
      </c>
      <c r="G8" s="141">
        <v>9891548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49106143</v>
      </c>
      <c r="R8" s="141">
        <v>8386037</v>
      </c>
      <c r="S8" s="141">
        <v>7369242</v>
      </c>
      <c r="T8" s="141">
        <v>7896829</v>
      </c>
      <c r="U8" s="141">
        <v>5876870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29528978</v>
      </c>
      <c r="AF8" s="2">
        <f t="shared" si="2"/>
        <v>0.61359597115219</v>
      </c>
      <c r="AG8" s="2">
        <f t="shared" si="3"/>
        <v>0.6337900215708584</v>
      </c>
      <c r="AH8" s="2">
        <f t="shared" si="4"/>
        <v>0.56728870785830765</v>
      </c>
      <c r="AI8" s="2">
        <f t="shared" si="5"/>
        <v>0.59413046370497313</v>
      </c>
      <c r="AJ8" s="2" t="str">
        <f t="shared" si="6"/>
        <v/>
      </c>
      <c r="AK8" s="2" t="str">
        <f t="shared" si="7"/>
        <v/>
      </c>
      <c r="AL8" s="2" t="str">
        <f t="shared" si="8"/>
        <v/>
      </c>
      <c r="AM8" s="2" t="str">
        <f t="shared" si="9"/>
        <v/>
      </c>
      <c r="AN8" s="2" t="str">
        <f t="shared" si="10"/>
        <v/>
      </c>
      <c r="AO8" s="2" t="str">
        <f t="shared" si="11"/>
        <v/>
      </c>
      <c r="AP8" s="2" t="str">
        <f t="shared" si="12"/>
        <v/>
      </c>
      <c r="AQ8" s="2" t="str">
        <f t="shared" si="13"/>
        <v/>
      </c>
      <c r="AR8" s="2">
        <f t="shared" si="14"/>
        <v>0.60132961369008353</v>
      </c>
      <c r="AT8" s="142">
        <f t="shared" si="15"/>
        <v>2.0194050418668397E-2</v>
      </c>
      <c r="AU8" s="142">
        <f t="shared" si="16"/>
        <v>-6.6501313712550747E-2</v>
      </c>
      <c r="AV8" s="142">
        <f t="shared" si="17"/>
        <v>2.6841755846665483E-2</v>
      </c>
      <c r="AW8" s="142" t="str">
        <f t="shared" si="18"/>
        <v/>
      </c>
      <c r="AX8" s="142" t="str">
        <f t="shared" si="19"/>
        <v/>
      </c>
      <c r="AY8" s="142" t="str">
        <f t="shared" si="20"/>
        <v/>
      </c>
      <c r="AZ8" s="142" t="str">
        <f t="shared" si="21"/>
        <v/>
      </c>
      <c r="BA8" s="142" t="str">
        <f t="shared" si="22"/>
        <v/>
      </c>
      <c r="BB8" s="142" t="str">
        <f t="shared" si="23"/>
        <v/>
      </c>
      <c r="BC8" s="142" t="str">
        <f t="shared" si="24"/>
        <v/>
      </c>
      <c r="BD8" s="142" t="str">
        <f t="shared" si="25"/>
        <v/>
      </c>
      <c r="BF8" s="9">
        <f t="shared" si="26"/>
        <v>3.9795530683244248E-2</v>
      </c>
      <c r="BG8" s="9">
        <f t="shared" si="27"/>
        <v>0.20058528543085669</v>
      </c>
    </row>
    <row r="9" spans="2:59" x14ac:dyDescent="0.35">
      <c r="B9" s="3" t="s">
        <v>110</v>
      </c>
      <c r="D9" s="141">
        <v>10680600</v>
      </c>
      <c r="E9" s="141">
        <v>10407167</v>
      </c>
      <c r="F9" s="141">
        <v>8529585</v>
      </c>
      <c r="G9" s="141">
        <v>13888658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43506010</v>
      </c>
      <c r="R9" s="141">
        <v>7510774</v>
      </c>
      <c r="S9" s="141">
        <v>7455326</v>
      </c>
      <c r="T9" s="141">
        <v>5716407</v>
      </c>
      <c r="U9" s="141">
        <v>9685419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30367926</v>
      </c>
      <c r="AF9" s="2">
        <f t="shared" si="2"/>
        <v>0.70321648596520792</v>
      </c>
      <c r="AG9" s="2">
        <f t="shared" si="3"/>
        <v>0.71636459758933435</v>
      </c>
      <c r="AH9" s="2">
        <f t="shared" si="4"/>
        <v>0.67018582967401108</v>
      </c>
      <c r="AI9" s="2">
        <f t="shared" si="5"/>
        <v>0.69736176094191393</v>
      </c>
      <c r="AJ9" s="2" t="str">
        <f t="shared" si="6"/>
        <v/>
      </c>
      <c r="AK9" s="2" t="str">
        <f t="shared" si="7"/>
        <v/>
      </c>
      <c r="AL9" s="2" t="str">
        <f t="shared" si="8"/>
        <v/>
      </c>
      <c r="AM9" s="2" t="str">
        <f t="shared" si="9"/>
        <v/>
      </c>
      <c r="AN9" s="2" t="str">
        <f t="shared" si="10"/>
        <v/>
      </c>
      <c r="AO9" s="2" t="str">
        <f t="shared" si="11"/>
        <v/>
      </c>
      <c r="AP9" s="2" t="str">
        <f t="shared" si="12"/>
        <v/>
      </c>
      <c r="AQ9" s="2" t="str">
        <f t="shared" si="13"/>
        <v/>
      </c>
      <c r="AR9" s="2">
        <f t="shared" si="14"/>
        <v>0.69801680273598976</v>
      </c>
      <c r="AT9" s="142">
        <f t="shared" si="15"/>
        <v>1.3148111624126435E-2</v>
      </c>
      <c r="AU9" s="142">
        <f t="shared" si="16"/>
        <v>-4.6178767915323271E-2</v>
      </c>
      <c r="AV9" s="142">
        <f t="shared" si="17"/>
        <v>2.7175931267902853E-2</v>
      </c>
      <c r="AW9" s="142" t="str">
        <f t="shared" si="18"/>
        <v/>
      </c>
      <c r="AX9" s="142" t="str">
        <f t="shared" si="19"/>
        <v/>
      </c>
      <c r="AY9" s="142" t="str">
        <f t="shared" si="20"/>
        <v/>
      </c>
      <c r="AZ9" s="142" t="str">
        <f t="shared" si="21"/>
        <v/>
      </c>
      <c r="BA9" s="142" t="str">
        <f t="shared" si="22"/>
        <v/>
      </c>
      <c r="BB9" s="142" t="str">
        <f t="shared" si="23"/>
        <v/>
      </c>
      <c r="BC9" s="142" t="str">
        <f t="shared" si="24"/>
        <v/>
      </c>
      <c r="BD9" s="142" t="str">
        <f t="shared" si="25"/>
        <v/>
      </c>
      <c r="BF9" s="9">
        <f t="shared" si="26"/>
        <v>4.0926161783164008E-2</v>
      </c>
      <c r="BG9" s="9">
        <f t="shared" si="27"/>
        <v>0.24151144721402068</v>
      </c>
    </row>
    <row r="10" spans="2:59" x14ac:dyDescent="0.35">
      <c r="B10" s="3" t="s">
        <v>118</v>
      </c>
      <c r="D10" s="141">
        <v>2801541</v>
      </c>
      <c r="E10" s="141">
        <v>2558501</v>
      </c>
      <c r="F10" s="141">
        <v>4295579</v>
      </c>
      <c r="G10" s="141">
        <v>2401121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12056742</v>
      </c>
      <c r="R10" s="141">
        <v>1940989</v>
      </c>
      <c r="S10" s="141">
        <v>1730435</v>
      </c>
      <c r="T10" s="141">
        <v>2770851</v>
      </c>
      <c r="U10" s="141">
        <v>1605910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8048185</v>
      </c>
      <c r="AF10" s="2">
        <f t="shared" si="2"/>
        <v>0.69282905372436099</v>
      </c>
      <c r="AG10" s="2">
        <f t="shared" si="3"/>
        <v>0.67634720486722499</v>
      </c>
      <c r="AH10" s="2">
        <f t="shared" si="4"/>
        <v>0.64504715196717366</v>
      </c>
      <c r="AI10" s="2">
        <f t="shared" si="5"/>
        <v>0.6688167734987116</v>
      </c>
      <c r="AJ10" s="2" t="str">
        <f t="shared" si="6"/>
        <v/>
      </c>
      <c r="AK10" s="2" t="str">
        <f t="shared" si="7"/>
        <v/>
      </c>
      <c r="AL10" s="2" t="str">
        <f t="shared" si="8"/>
        <v/>
      </c>
      <c r="AM10" s="2" t="str">
        <f t="shared" si="9"/>
        <v/>
      </c>
      <c r="AN10" s="2" t="str">
        <f t="shared" si="10"/>
        <v/>
      </c>
      <c r="AO10" s="2" t="str">
        <f t="shared" si="11"/>
        <v/>
      </c>
      <c r="AP10" s="2" t="str">
        <f t="shared" si="12"/>
        <v/>
      </c>
      <c r="AQ10" s="2" t="str">
        <f t="shared" si="13"/>
        <v/>
      </c>
      <c r="AR10" s="2">
        <f t="shared" si="14"/>
        <v>0.6675256881170718</v>
      </c>
      <c r="AT10" s="142">
        <f t="shared" si="15"/>
        <v>-1.6481848857135994E-2</v>
      </c>
      <c r="AU10" s="142">
        <f t="shared" si="16"/>
        <v>-3.1300052900051334E-2</v>
      </c>
      <c r="AV10" s="142">
        <f t="shared" si="17"/>
        <v>2.3769621531537943E-2</v>
      </c>
      <c r="AW10" s="142" t="str">
        <f t="shared" si="18"/>
        <v/>
      </c>
      <c r="AX10" s="142" t="str">
        <f t="shared" si="19"/>
        <v/>
      </c>
      <c r="AY10" s="142" t="str">
        <f t="shared" si="20"/>
        <v/>
      </c>
      <c r="AZ10" s="142" t="str">
        <f t="shared" si="21"/>
        <v/>
      </c>
      <c r="BA10" s="142" t="str">
        <f t="shared" si="22"/>
        <v/>
      </c>
      <c r="BB10" s="142" t="str">
        <f t="shared" si="23"/>
        <v/>
      </c>
      <c r="BC10" s="142" t="str">
        <f t="shared" si="24"/>
        <v/>
      </c>
      <c r="BD10" s="142" t="str">
        <f t="shared" si="25"/>
        <v/>
      </c>
      <c r="BF10" s="9">
        <f t="shared" si="26"/>
        <v>1.0846355505833155E-2</v>
      </c>
      <c r="BG10" s="9">
        <f t="shared" si="27"/>
        <v>0.25235780271985386</v>
      </c>
    </row>
    <row r="11" spans="2:59" x14ac:dyDescent="0.35">
      <c r="B11" s="3" t="s">
        <v>164</v>
      </c>
      <c r="D11" s="141">
        <v>11205796</v>
      </c>
      <c r="E11" s="141">
        <v>11131335</v>
      </c>
      <c r="F11" s="141">
        <v>10274651</v>
      </c>
      <c r="G11" s="141">
        <v>10923567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43535349</v>
      </c>
      <c r="R11" s="141">
        <v>8407853</v>
      </c>
      <c r="S11" s="141">
        <v>8389246</v>
      </c>
      <c r="T11" s="141">
        <v>7514226</v>
      </c>
      <c r="U11" s="141">
        <v>8157564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32468889</v>
      </c>
      <c r="AF11" s="2">
        <f t="shared" si="2"/>
        <v>0.75031287380209311</v>
      </c>
      <c r="AG11" s="2">
        <f t="shared" si="3"/>
        <v>0.75366036508648782</v>
      </c>
      <c r="AH11" s="2">
        <f t="shared" si="4"/>
        <v>0.73133637337170865</v>
      </c>
      <c r="AI11" s="2">
        <f t="shared" si="5"/>
        <v>0.74678573400062453</v>
      </c>
      <c r="AJ11" s="2" t="str">
        <f t="shared" si="6"/>
        <v/>
      </c>
      <c r="AK11" s="2" t="str">
        <f t="shared" si="7"/>
        <v/>
      </c>
      <c r="AL11" s="2" t="str">
        <f t="shared" si="8"/>
        <v/>
      </c>
      <c r="AM11" s="2" t="str">
        <f t="shared" si="9"/>
        <v/>
      </c>
      <c r="AN11" s="2" t="str">
        <f t="shared" si="10"/>
        <v/>
      </c>
      <c r="AO11" s="2" t="str">
        <f t="shared" si="11"/>
        <v/>
      </c>
      <c r="AP11" s="2" t="str">
        <f t="shared" si="12"/>
        <v/>
      </c>
      <c r="AQ11" s="2" t="str">
        <f t="shared" si="13"/>
        <v/>
      </c>
      <c r="AR11" s="2">
        <f t="shared" si="14"/>
        <v>0.74580518465580692</v>
      </c>
      <c r="AT11" s="142">
        <f t="shared" si="15"/>
        <v>3.3474912843947102E-3</v>
      </c>
      <c r="AU11" s="142">
        <f t="shared" si="16"/>
        <v>-2.2323991714779168E-2</v>
      </c>
      <c r="AV11" s="142">
        <f t="shared" si="17"/>
        <v>1.5449360628915887E-2</v>
      </c>
      <c r="AW11" s="142" t="str">
        <f t="shared" si="18"/>
        <v/>
      </c>
      <c r="AX11" s="142" t="str">
        <f t="shared" si="19"/>
        <v/>
      </c>
      <c r="AY11" s="142" t="str">
        <f t="shared" si="20"/>
        <v/>
      </c>
      <c r="AZ11" s="142" t="str">
        <f t="shared" si="21"/>
        <v/>
      </c>
      <c r="BA11" s="142" t="str">
        <f t="shared" si="22"/>
        <v/>
      </c>
      <c r="BB11" s="142" t="str">
        <f t="shared" si="23"/>
        <v/>
      </c>
      <c r="BC11" s="142" t="str">
        <f t="shared" si="24"/>
        <v/>
      </c>
      <c r="BD11" s="142" t="str">
        <f t="shared" si="25"/>
        <v/>
      </c>
      <c r="BF11" s="9">
        <f t="shared" si="26"/>
        <v>4.3757581737178697E-2</v>
      </c>
      <c r="BG11" s="9">
        <f t="shared" si="27"/>
        <v>0.29611538445703256</v>
      </c>
    </row>
    <row r="12" spans="2:59" x14ac:dyDescent="0.35">
      <c r="B12" s="3" t="s">
        <v>142</v>
      </c>
      <c r="D12" s="141">
        <v>5750366</v>
      </c>
      <c r="E12" s="141">
        <v>5722766</v>
      </c>
      <c r="F12" s="141">
        <v>12295601</v>
      </c>
      <c r="G12" s="141">
        <v>4529742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28298475</v>
      </c>
      <c r="R12" s="141">
        <v>4063947</v>
      </c>
      <c r="S12" s="141">
        <v>4215479</v>
      </c>
      <c r="T12" s="141">
        <v>8330699</v>
      </c>
      <c r="U12" s="141">
        <v>3203935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19814060</v>
      </c>
      <c r="AF12" s="2">
        <f t="shared" si="2"/>
        <v>0.70672840650490765</v>
      </c>
      <c r="AG12" s="2">
        <f t="shared" si="3"/>
        <v>0.73661565054381051</v>
      </c>
      <c r="AH12" s="2">
        <f t="shared" si="4"/>
        <v>0.67753491675600075</v>
      </c>
      <c r="AI12" s="2">
        <f t="shared" si="5"/>
        <v>0.70731070334690138</v>
      </c>
      <c r="AJ12" s="2" t="str">
        <f t="shared" si="6"/>
        <v/>
      </c>
      <c r="AK12" s="2" t="str">
        <f t="shared" si="7"/>
        <v/>
      </c>
      <c r="AL12" s="2" t="str">
        <f t="shared" si="8"/>
        <v/>
      </c>
      <c r="AM12" s="2" t="str">
        <f t="shared" si="9"/>
        <v/>
      </c>
      <c r="AN12" s="2" t="str">
        <f t="shared" si="10"/>
        <v/>
      </c>
      <c r="AO12" s="2" t="str">
        <f t="shared" si="11"/>
        <v/>
      </c>
      <c r="AP12" s="2" t="str">
        <f t="shared" si="12"/>
        <v/>
      </c>
      <c r="AQ12" s="2" t="str">
        <f t="shared" si="13"/>
        <v/>
      </c>
      <c r="AR12" s="2">
        <f t="shared" si="14"/>
        <v>0.70018119350954422</v>
      </c>
      <c r="AT12" s="142">
        <f t="shared" si="15"/>
        <v>2.988724403890286E-2</v>
      </c>
      <c r="AU12" s="142">
        <f t="shared" si="16"/>
        <v>-5.9080733787809758E-2</v>
      </c>
      <c r="AV12" s="142">
        <f t="shared" si="17"/>
        <v>2.9775786590900633E-2</v>
      </c>
      <c r="AW12" s="142" t="str">
        <f t="shared" si="18"/>
        <v/>
      </c>
      <c r="AX12" s="142" t="str">
        <f t="shared" si="19"/>
        <v/>
      </c>
      <c r="AY12" s="142" t="str">
        <f t="shared" si="20"/>
        <v/>
      </c>
      <c r="AZ12" s="142" t="str">
        <f t="shared" si="21"/>
        <v/>
      </c>
      <c r="BA12" s="142" t="str">
        <f t="shared" si="22"/>
        <v/>
      </c>
      <c r="BB12" s="142" t="str">
        <f t="shared" si="23"/>
        <v/>
      </c>
      <c r="BC12" s="142" t="str">
        <f t="shared" si="24"/>
        <v/>
      </c>
      <c r="BD12" s="142" t="str">
        <f t="shared" si="25"/>
        <v/>
      </c>
      <c r="BF12" s="9">
        <f t="shared" si="26"/>
        <v>2.6702957098266065E-2</v>
      </c>
      <c r="BG12" s="9">
        <f t="shared" si="27"/>
        <v>0.32281834155529865</v>
      </c>
    </row>
    <row r="13" spans="2:59" x14ac:dyDescent="0.35">
      <c r="B13" s="3" t="s">
        <v>102</v>
      </c>
      <c r="D13" s="141">
        <v>9381784</v>
      </c>
      <c r="E13" s="141">
        <v>8582842</v>
      </c>
      <c r="F13" s="141">
        <v>9051392</v>
      </c>
      <c r="G13" s="141">
        <v>7958482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34974500</v>
      </c>
      <c r="R13" s="141">
        <v>6695619</v>
      </c>
      <c r="S13" s="141">
        <v>6049443</v>
      </c>
      <c r="T13" s="141">
        <v>6110527</v>
      </c>
      <c r="U13" s="141">
        <v>5674709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24530298</v>
      </c>
      <c r="AF13" s="2">
        <f t="shared" si="2"/>
        <v>0.71368292000753797</v>
      </c>
      <c r="AG13" s="2">
        <f t="shared" si="3"/>
        <v>0.70482982210321476</v>
      </c>
      <c r="AH13" s="2">
        <f t="shared" si="4"/>
        <v>0.67509251615663091</v>
      </c>
      <c r="AI13" s="2">
        <f t="shared" si="5"/>
        <v>0.71303911977183587</v>
      </c>
      <c r="AJ13" s="2" t="str">
        <f t="shared" si="6"/>
        <v/>
      </c>
      <c r="AK13" s="2" t="str">
        <f t="shared" si="7"/>
        <v/>
      </c>
      <c r="AL13" s="2" t="str">
        <f t="shared" si="8"/>
        <v/>
      </c>
      <c r="AM13" s="2" t="str">
        <f t="shared" si="9"/>
        <v/>
      </c>
      <c r="AN13" s="2" t="str">
        <f t="shared" si="10"/>
        <v/>
      </c>
      <c r="AO13" s="2" t="str">
        <f t="shared" si="11"/>
        <v/>
      </c>
      <c r="AP13" s="2" t="str">
        <f t="shared" si="12"/>
        <v/>
      </c>
      <c r="AQ13" s="2" t="str">
        <f t="shared" si="13"/>
        <v/>
      </c>
      <c r="AR13" s="2">
        <f t="shared" si="14"/>
        <v>0.70137666013810063</v>
      </c>
      <c r="AT13" s="143">
        <f t="shared" si="15"/>
        <v>-8.8530979043232039E-3</v>
      </c>
      <c r="AU13" s="143">
        <f t="shared" si="16"/>
        <v>-2.9737305946583859E-2</v>
      </c>
      <c r="AV13" s="143">
        <f t="shared" si="17"/>
        <v>3.7946603615204966E-2</v>
      </c>
      <c r="AW13" s="143" t="str">
        <f t="shared" si="18"/>
        <v/>
      </c>
      <c r="AX13" s="143" t="str">
        <f t="shared" si="19"/>
        <v/>
      </c>
      <c r="AY13" s="143" t="str">
        <f t="shared" si="20"/>
        <v/>
      </c>
      <c r="AZ13" s="143" t="str">
        <f t="shared" si="21"/>
        <v/>
      </c>
      <c r="BA13" s="143" t="str">
        <f t="shared" si="22"/>
        <v/>
      </c>
      <c r="BB13" s="143" t="str">
        <f t="shared" si="23"/>
        <v/>
      </c>
      <c r="BC13" s="143" t="str">
        <f t="shared" si="24"/>
        <v/>
      </c>
      <c r="BD13" s="143" t="str">
        <f t="shared" si="25"/>
        <v/>
      </c>
      <c r="BF13" s="9">
        <f t="shared" si="26"/>
        <v>3.3058923567491058E-2</v>
      </c>
      <c r="BG13" s="9">
        <f t="shared" si="27"/>
        <v>0.35587726512278972</v>
      </c>
    </row>
    <row r="14" spans="2:59" x14ac:dyDescent="0.35">
      <c r="B14" s="3" t="s">
        <v>207</v>
      </c>
      <c r="D14" s="141">
        <v>14752988</v>
      </c>
      <c r="E14" s="141">
        <v>12500624</v>
      </c>
      <c r="F14" s="141">
        <v>10008838</v>
      </c>
      <c r="G14" s="141">
        <v>13743842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51006292</v>
      </c>
      <c r="R14" s="141">
        <v>8814458</v>
      </c>
      <c r="S14" s="141">
        <v>7416840</v>
      </c>
      <c r="T14" s="141">
        <v>5417375</v>
      </c>
      <c r="U14" s="141">
        <v>8459775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30108448</v>
      </c>
      <c r="AF14" s="2">
        <f t="shared" si="2"/>
        <v>0.59746933977035699</v>
      </c>
      <c r="AG14" s="2">
        <f t="shared" si="3"/>
        <v>0.59331758158632719</v>
      </c>
      <c r="AH14" s="2">
        <f t="shared" si="4"/>
        <v>0.54125913517633117</v>
      </c>
      <c r="AI14" s="2">
        <f t="shared" si="5"/>
        <v>0.61553203245497146</v>
      </c>
      <c r="AJ14" s="2" t="str">
        <f t="shared" si="6"/>
        <v/>
      </c>
      <c r="AK14" s="2" t="str">
        <f t="shared" si="7"/>
        <v/>
      </c>
      <c r="AL14" s="2" t="str">
        <f t="shared" si="8"/>
        <v/>
      </c>
      <c r="AM14" s="2" t="str">
        <f t="shared" si="9"/>
        <v/>
      </c>
      <c r="AN14" s="2" t="str">
        <f t="shared" si="10"/>
        <v/>
      </c>
      <c r="AO14" s="2" t="str">
        <f t="shared" si="11"/>
        <v/>
      </c>
      <c r="AP14" s="2" t="str">
        <f t="shared" si="12"/>
        <v/>
      </c>
      <c r="AQ14" s="2" t="str">
        <f t="shared" si="13"/>
        <v/>
      </c>
      <c r="AR14" s="2">
        <f t="shared" si="14"/>
        <v>0.59028890004393963</v>
      </c>
      <c r="AT14" s="143">
        <f t="shared" si="15"/>
        <v>-4.1517581840297968E-3</v>
      </c>
      <c r="AU14" s="143">
        <f t="shared" si="16"/>
        <v>-5.2058446409996018E-2</v>
      </c>
      <c r="AV14" s="143">
        <f t="shared" si="17"/>
        <v>7.4272897278640282E-2</v>
      </c>
      <c r="AW14" s="143" t="str">
        <f t="shared" si="18"/>
        <v/>
      </c>
      <c r="AX14" s="143" t="str">
        <f t="shared" si="19"/>
        <v/>
      </c>
      <c r="AY14" s="143" t="str">
        <f t="shared" si="20"/>
        <v/>
      </c>
      <c r="AZ14" s="143" t="str">
        <f t="shared" si="21"/>
        <v/>
      </c>
      <c r="BA14" s="143" t="str">
        <f t="shared" si="22"/>
        <v/>
      </c>
      <c r="BB14" s="143" t="str">
        <f t="shared" si="23"/>
        <v/>
      </c>
      <c r="BC14" s="143" t="str">
        <f t="shared" si="24"/>
        <v/>
      </c>
      <c r="BD14" s="143" t="str">
        <f t="shared" si="25"/>
        <v/>
      </c>
      <c r="BF14" s="9">
        <f t="shared" si="26"/>
        <v>4.0576469196084736E-2</v>
      </c>
      <c r="BG14" s="9">
        <f t="shared" si="27"/>
        <v>0.39645373431887443</v>
      </c>
    </row>
    <row r="15" spans="2:59" x14ac:dyDescent="0.35">
      <c r="B15" s="3" t="s">
        <v>150</v>
      </c>
      <c r="D15" s="141">
        <v>20267911</v>
      </c>
      <c r="E15" s="141">
        <v>23703643</v>
      </c>
      <c r="F15" s="141">
        <v>15431650</v>
      </c>
      <c r="G15" s="141">
        <v>16236105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75639309</v>
      </c>
      <c r="R15" s="141">
        <v>16549859</v>
      </c>
      <c r="S15" s="141">
        <v>18517798</v>
      </c>
      <c r="T15" s="141">
        <v>12073651</v>
      </c>
      <c r="U15" s="141">
        <v>13078655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60219963</v>
      </c>
      <c r="AF15" s="2">
        <f t="shared" si="2"/>
        <v>0.81655475001839117</v>
      </c>
      <c r="AG15" s="2">
        <f t="shared" si="3"/>
        <v>0.78122160378470096</v>
      </c>
      <c r="AH15" s="2">
        <f t="shared" si="4"/>
        <v>0.78239533685639573</v>
      </c>
      <c r="AI15" s="2">
        <f t="shared" si="5"/>
        <v>0.80552909703404851</v>
      </c>
      <c r="AJ15" s="2" t="str">
        <f t="shared" si="6"/>
        <v/>
      </c>
      <c r="AK15" s="2" t="str">
        <f t="shared" si="7"/>
        <v/>
      </c>
      <c r="AL15" s="2" t="str">
        <f t="shared" si="8"/>
        <v/>
      </c>
      <c r="AM15" s="2" t="str">
        <f t="shared" si="9"/>
        <v/>
      </c>
      <c r="AN15" s="2" t="str">
        <f t="shared" si="10"/>
        <v/>
      </c>
      <c r="AO15" s="2" t="str">
        <f t="shared" si="11"/>
        <v/>
      </c>
      <c r="AP15" s="2" t="str">
        <f t="shared" si="12"/>
        <v/>
      </c>
      <c r="AQ15" s="2" t="str">
        <f t="shared" si="13"/>
        <v/>
      </c>
      <c r="AR15" s="2">
        <f t="shared" si="14"/>
        <v>0.79614639261180986</v>
      </c>
      <c r="AT15" s="143">
        <f t="shared" si="15"/>
        <v>-3.5333146233690216E-2</v>
      </c>
      <c r="AU15" s="143">
        <f t="shared" si="16"/>
        <v>1.1737330716947714E-3</v>
      </c>
      <c r="AV15" s="143">
        <f t="shared" si="17"/>
        <v>2.3133760177652785E-2</v>
      </c>
      <c r="AW15" s="143" t="str">
        <f t="shared" si="18"/>
        <v/>
      </c>
      <c r="AX15" s="143" t="str">
        <f t="shared" si="19"/>
        <v/>
      </c>
      <c r="AY15" s="143" t="str">
        <f t="shared" si="20"/>
        <v/>
      </c>
      <c r="AZ15" s="143" t="str">
        <f t="shared" si="21"/>
        <v/>
      </c>
      <c r="BA15" s="143" t="str">
        <f t="shared" si="22"/>
        <v/>
      </c>
      <c r="BB15" s="143" t="str">
        <f t="shared" si="23"/>
        <v/>
      </c>
      <c r="BC15" s="143" t="str">
        <f t="shared" si="24"/>
        <v/>
      </c>
      <c r="BD15" s="143" t="str">
        <f t="shared" si="25"/>
        <v/>
      </c>
      <c r="BF15" s="9">
        <f t="shared" si="26"/>
        <v>8.1157071718172338E-2</v>
      </c>
      <c r="BG15" s="9">
        <f t="shared" si="27"/>
        <v>0.47761080603704675</v>
      </c>
    </row>
    <row r="16" spans="2:59" x14ac:dyDescent="0.35">
      <c r="B16" s="3" t="s">
        <v>137</v>
      </c>
      <c r="D16" s="141">
        <v>8202705</v>
      </c>
      <c r="E16" s="141">
        <v>7285586</v>
      </c>
      <c r="F16" s="141">
        <v>10383659</v>
      </c>
      <c r="G16" s="141">
        <v>16164459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42036409</v>
      </c>
      <c r="R16" s="141">
        <v>6711119</v>
      </c>
      <c r="S16" s="141">
        <v>5976698</v>
      </c>
      <c r="T16" s="141">
        <v>7737916</v>
      </c>
      <c r="U16" s="141">
        <v>12798188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33223921</v>
      </c>
      <c r="AF16" s="2">
        <f t="shared" si="2"/>
        <v>0.81815925356330621</v>
      </c>
      <c r="AG16" s="2">
        <f t="shared" si="3"/>
        <v>0.82034554255484737</v>
      </c>
      <c r="AH16" s="2">
        <f t="shared" si="4"/>
        <v>0.74520128212993131</v>
      </c>
      <c r="AI16" s="2">
        <f t="shared" si="5"/>
        <v>0.79174861342405578</v>
      </c>
      <c r="AJ16" s="2" t="str">
        <f t="shared" si="6"/>
        <v/>
      </c>
      <c r="AK16" s="2" t="str">
        <f t="shared" si="7"/>
        <v/>
      </c>
      <c r="AL16" s="2" t="str">
        <f t="shared" si="8"/>
        <v/>
      </c>
      <c r="AM16" s="2" t="str">
        <f t="shared" si="9"/>
        <v/>
      </c>
      <c r="AN16" s="2" t="str">
        <f t="shared" si="10"/>
        <v/>
      </c>
      <c r="AO16" s="2" t="str">
        <f t="shared" si="11"/>
        <v/>
      </c>
      <c r="AP16" s="2" t="str">
        <f t="shared" si="12"/>
        <v/>
      </c>
      <c r="AQ16" s="2" t="str">
        <f t="shared" si="13"/>
        <v/>
      </c>
      <c r="AR16" s="2">
        <f t="shared" si="14"/>
        <v>0.79036058955464061</v>
      </c>
      <c r="AT16" s="143">
        <f t="shared" si="15"/>
        <v>2.1862889915411632E-3</v>
      </c>
      <c r="AU16" s="143">
        <f t="shared" si="16"/>
        <v>-7.5144260424916065E-2</v>
      </c>
      <c r="AV16" s="143">
        <f t="shared" si="17"/>
        <v>4.6547331294124472E-2</v>
      </c>
      <c r="AW16" s="143" t="str">
        <f t="shared" si="18"/>
        <v/>
      </c>
      <c r="AX16" s="143" t="str">
        <f t="shared" si="19"/>
        <v/>
      </c>
      <c r="AY16" s="143" t="str">
        <f t="shared" si="20"/>
        <v/>
      </c>
      <c r="AZ16" s="143" t="str">
        <f t="shared" si="21"/>
        <v/>
      </c>
      <c r="BA16" s="143" t="str">
        <f t="shared" si="22"/>
        <v/>
      </c>
      <c r="BB16" s="143" t="str">
        <f t="shared" si="23"/>
        <v/>
      </c>
      <c r="BC16" s="143" t="str">
        <f t="shared" si="24"/>
        <v/>
      </c>
      <c r="BD16" s="143" t="str">
        <f t="shared" si="25"/>
        <v/>
      </c>
      <c r="BF16" s="9">
        <f t="shared" si="26"/>
        <v>4.4775121156349636E-2</v>
      </c>
      <c r="BG16" s="9">
        <f t="shared" si="27"/>
        <v>0.52238592719339638</v>
      </c>
    </row>
    <row r="17" spans="2:59" x14ac:dyDescent="0.35">
      <c r="B17" s="3" t="s">
        <v>147</v>
      </c>
      <c r="D17" s="141">
        <v>12897595</v>
      </c>
      <c r="E17" s="141">
        <v>11906501</v>
      </c>
      <c r="F17" s="141">
        <v>14853849</v>
      </c>
      <c r="G17" s="141">
        <v>13793721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53451666</v>
      </c>
      <c r="R17" s="141">
        <v>9522102</v>
      </c>
      <c r="S17" s="141">
        <v>8941174</v>
      </c>
      <c r="T17" s="141">
        <v>10757198</v>
      </c>
      <c r="U17" s="141">
        <v>10479589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39700063</v>
      </c>
      <c r="AF17" s="2">
        <f t="shared" si="2"/>
        <v>0.7382850833818243</v>
      </c>
      <c r="AG17" s="2">
        <f t="shared" si="3"/>
        <v>0.75094891437879185</v>
      </c>
      <c r="AH17" s="2">
        <f t="shared" si="4"/>
        <v>0.72420273021490933</v>
      </c>
      <c r="AI17" s="2">
        <f t="shared" si="5"/>
        <v>0.75973618721155811</v>
      </c>
      <c r="AJ17" s="2" t="str">
        <f t="shared" si="6"/>
        <v/>
      </c>
      <c r="AK17" s="2" t="str">
        <f t="shared" si="7"/>
        <v/>
      </c>
      <c r="AL17" s="2" t="str">
        <f t="shared" si="8"/>
        <v/>
      </c>
      <c r="AM17" s="2" t="str">
        <f t="shared" si="9"/>
        <v/>
      </c>
      <c r="AN17" s="2" t="str">
        <f t="shared" si="10"/>
        <v/>
      </c>
      <c r="AO17" s="2" t="str">
        <f t="shared" si="11"/>
        <v/>
      </c>
      <c r="AP17" s="2" t="str">
        <f t="shared" si="12"/>
        <v/>
      </c>
      <c r="AQ17" s="2" t="str">
        <f t="shared" si="13"/>
        <v/>
      </c>
      <c r="AR17" s="2">
        <f t="shared" si="14"/>
        <v>0.74272826220234178</v>
      </c>
      <c r="AT17" s="143">
        <f t="shared" si="15"/>
        <v>1.2663830996967551E-2</v>
      </c>
      <c r="AU17" s="143">
        <f t="shared" si="16"/>
        <v>-2.6746184163882525E-2</v>
      </c>
      <c r="AV17" s="143">
        <f t="shared" si="17"/>
        <v>3.5533456996648782E-2</v>
      </c>
      <c r="AW17" s="143" t="str">
        <f t="shared" si="18"/>
        <v/>
      </c>
      <c r="AX17" s="143" t="str">
        <f t="shared" si="19"/>
        <v/>
      </c>
      <c r="AY17" s="143" t="str">
        <f t="shared" si="20"/>
        <v/>
      </c>
      <c r="AZ17" s="143" t="str">
        <f t="shared" si="21"/>
        <v/>
      </c>
      <c r="BA17" s="143" t="str">
        <f t="shared" si="22"/>
        <v/>
      </c>
      <c r="BB17" s="143" t="str">
        <f t="shared" si="23"/>
        <v/>
      </c>
      <c r="BC17" s="143" t="str">
        <f t="shared" si="24"/>
        <v/>
      </c>
      <c r="BD17" s="143" t="str">
        <f t="shared" si="25"/>
        <v/>
      </c>
      <c r="BF17" s="9">
        <f t="shared" si="26"/>
        <v>5.3502870138046416E-2</v>
      </c>
      <c r="BG17" s="9">
        <f t="shared" si="27"/>
        <v>0.57588879733144283</v>
      </c>
    </row>
    <row r="18" spans="2:59" x14ac:dyDescent="0.35">
      <c r="B18" s="3" t="s">
        <v>107</v>
      </c>
      <c r="D18" s="141">
        <v>4370504</v>
      </c>
      <c r="E18" s="141">
        <v>3451182</v>
      </c>
      <c r="F18" s="141">
        <v>10328058</v>
      </c>
      <c r="G18" s="141">
        <v>4320381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22470125</v>
      </c>
      <c r="R18" s="141">
        <v>3254284</v>
      </c>
      <c r="S18" s="141">
        <v>2568868</v>
      </c>
      <c r="T18" s="141">
        <v>7405600</v>
      </c>
      <c r="U18" s="141">
        <v>3182435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16411187</v>
      </c>
      <c r="AF18" s="2">
        <f t="shared" si="2"/>
        <v>0.74460153794619566</v>
      </c>
      <c r="AG18" s="2">
        <f t="shared" si="3"/>
        <v>0.74434440142536673</v>
      </c>
      <c r="AH18" s="2">
        <f t="shared" si="4"/>
        <v>0.7170370267091839</v>
      </c>
      <c r="AI18" s="2">
        <f t="shared" si="5"/>
        <v>0.73660980362611539</v>
      </c>
      <c r="AJ18" s="2" t="str">
        <f t="shared" si="6"/>
        <v/>
      </c>
      <c r="AK18" s="2" t="str">
        <f t="shared" si="7"/>
        <v/>
      </c>
      <c r="AL18" s="2" t="str">
        <f t="shared" si="8"/>
        <v/>
      </c>
      <c r="AM18" s="2" t="str">
        <f t="shared" si="9"/>
        <v/>
      </c>
      <c r="AN18" s="2" t="str">
        <f t="shared" si="10"/>
        <v/>
      </c>
      <c r="AO18" s="2" t="str">
        <f t="shared" si="11"/>
        <v/>
      </c>
      <c r="AP18" s="2" t="str">
        <f t="shared" si="12"/>
        <v/>
      </c>
      <c r="AQ18" s="2" t="str">
        <f t="shared" si="13"/>
        <v/>
      </c>
      <c r="AR18" s="2">
        <f t="shared" si="14"/>
        <v>0.73035583914197189</v>
      </c>
      <c r="AT18" s="143">
        <f t="shared" si="15"/>
        <v>-2.5713652082892668E-4</v>
      </c>
      <c r="AU18" s="143">
        <f t="shared" si="16"/>
        <v>-2.7307374716182831E-2</v>
      </c>
      <c r="AV18" s="143">
        <f t="shared" si="17"/>
        <v>1.9572776916931489E-2</v>
      </c>
      <c r="AW18" s="143" t="str">
        <f t="shared" si="18"/>
        <v/>
      </c>
      <c r="AX18" s="143" t="str">
        <f t="shared" si="19"/>
        <v/>
      </c>
      <c r="AY18" s="143" t="str">
        <f t="shared" si="20"/>
        <v/>
      </c>
      <c r="AZ18" s="143" t="str">
        <f t="shared" si="21"/>
        <v/>
      </c>
      <c r="BA18" s="143" t="str">
        <f t="shared" si="22"/>
        <v/>
      </c>
      <c r="BB18" s="143" t="str">
        <f t="shared" si="23"/>
        <v/>
      </c>
      <c r="BC18" s="143" t="str">
        <f t="shared" si="24"/>
        <v/>
      </c>
      <c r="BD18" s="143" t="str">
        <f t="shared" si="25"/>
        <v/>
      </c>
      <c r="BF18" s="9">
        <f t="shared" si="26"/>
        <v>2.211698270786612E-2</v>
      </c>
      <c r="BG18" s="9">
        <f t="shared" si="27"/>
        <v>0.59800578003930893</v>
      </c>
    </row>
    <row r="19" spans="2:59" x14ac:dyDescent="0.35">
      <c r="B19" s="3" t="s">
        <v>104</v>
      </c>
      <c r="D19" s="141">
        <v>3469449</v>
      </c>
      <c r="E19" s="141">
        <v>3137842</v>
      </c>
      <c r="F19" s="141">
        <v>2898149</v>
      </c>
      <c r="G19" s="141">
        <v>2748972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12254412</v>
      </c>
      <c r="R19" s="141">
        <v>2293676</v>
      </c>
      <c r="S19" s="141">
        <v>2121065</v>
      </c>
      <c r="T19" s="141">
        <v>1857718</v>
      </c>
      <c r="U19" s="141">
        <v>1947347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8219806</v>
      </c>
      <c r="AF19" s="2">
        <f t="shared" si="2"/>
        <v>0.66110670599279597</v>
      </c>
      <c r="AG19" s="2">
        <f t="shared" si="3"/>
        <v>0.67596297072956513</v>
      </c>
      <c r="AH19" s="2">
        <f t="shared" si="4"/>
        <v>0.64100154960976818</v>
      </c>
      <c r="AI19" s="2">
        <f t="shared" si="5"/>
        <v>0.7083909912505475</v>
      </c>
      <c r="AJ19" s="2" t="str">
        <f t="shared" si="6"/>
        <v/>
      </c>
      <c r="AK19" s="2" t="str">
        <f t="shared" si="7"/>
        <v/>
      </c>
      <c r="AL19" s="2" t="str">
        <f t="shared" si="8"/>
        <v/>
      </c>
      <c r="AM19" s="2" t="str">
        <f t="shared" si="9"/>
        <v/>
      </c>
      <c r="AN19" s="2" t="str">
        <f t="shared" si="10"/>
        <v/>
      </c>
      <c r="AO19" s="2" t="str">
        <f t="shared" si="11"/>
        <v/>
      </c>
      <c r="AP19" s="2" t="str">
        <f t="shared" si="12"/>
        <v/>
      </c>
      <c r="AQ19" s="2" t="str">
        <f t="shared" si="13"/>
        <v/>
      </c>
      <c r="AR19" s="2">
        <f t="shared" si="14"/>
        <v>0.67076298724084027</v>
      </c>
      <c r="AT19" s="143">
        <f t="shared" si="15"/>
        <v>1.4856264736769154E-2</v>
      </c>
      <c r="AU19" s="143">
        <f t="shared" si="16"/>
        <v>-3.4961421119796943E-2</v>
      </c>
      <c r="AV19" s="143">
        <f t="shared" si="17"/>
        <v>6.7389441640779313E-2</v>
      </c>
      <c r="AW19" s="143" t="str">
        <f t="shared" si="18"/>
        <v/>
      </c>
      <c r="AX19" s="143" t="str">
        <f t="shared" si="19"/>
        <v/>
      </c>
      <c r="AY19" s="143" t="str">
        <f t="shared" si="20"/>
        <v/>
      </c>
      <c r="AZ19" s="143" t="str">
        <f t="shared" si="21"/>
        <v/>
      </c>
      <c r="BA19" s="143" t="str">
        <f t="shared" si="22"/>
        <v/>
      </c>
      <c r="BB19" s="143" t="str">
        <f t="shared" si="23"/>
        <v/>
      </c>
      <c r="BC19" s="143" t="str">
        <f t="shared" si="24"/>
        <v/>
      </c>
      <c r="BD19" s="143" t="str">
        <f t="shared" si="25"/>
        <v/>
      </c>
      <c r="BF19" s="9">
        <f t="shared" si="26"/>
        <v>1.1077645216279249E-2</v>
      </c>
      <c r="BG19" s="9">
        <f t="shared" si="27"/>
        <v>0.60908342525558823</v>
      </c>
    </row>
    <row r="20" spans="2:59" x14ac:dyDescent="0.35">
      <c r="B20" s="3" t="s">
        <v>109</v>
      </c>
      <c r="D20" s="141">
        <v>4356962</v>
      </c>
      <c r="E20" s="141">
        <v>3828941</v>
      </c>
      <c r="F20" s="141">
        <v>3493413</v>
      </c>
      <c r="G20" s="141">
        <v>2636153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14315469</v>
      </c>
      <c r="R20" s="141">
        <v>2980589</v>
      </c>
      <c r="S20" s="141">
        <v>2663025</v>
      </c>
      <c r="T20" s="141">
        <v>2271216</v>
      </c>
      <c r="U20" s="141">
        <v>1802216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9717046</v>
      </c>
      <c r="AF20" s="2">
        <f t="shared" si="2"/>
        <v>0.68409800223183037</v>
      </c>
      <c r="AG20" s="2">
        <f t="shared" si="3"/>
        <v>0.69549909491945683</v>
      </c>
      <c r="AH20" s="2">
        <f t="shared" si="4"/>
        <v>0.65014242518705923</v>
      </c>
      <c r="AI20" s="2">
        <f t="shared" si="5"/>
        <v>0.68365379399450643</v>
      </c>
      <c r="AJ20" s="2" t="str">
        <f t="shared" si="6"/>
        <v/>
      </c>
      <c r="AK20" s="2" t="str">
        <f t="shared" si="7"/>
        <v/>
      </c>
      <c r="AL20" s="2" t="str">
        <f t="shared" si="8"/>
        <v/>
      </c>
      <c r="AM20" s="2" t="str">
        <f t="shared" si="9"/>
        <v/>
      </c>
      <c r="AN20" s="2" t="str">
        <f t="shared" si="10"/>
        <v/>
      </c>
      <c r="AO20" s="2" t="str">
        <f t="shared" si="11"/>
        <v/>
      </c>
      <c r="AP20" s="2" t="str">
        <f t="shared" si="12"/>
        <v/>
      </c>
      <c r="AQ20" s="2" t="str">
        <f t="shared" si="13"/>
        <v/>
      </c>
      <c r="AR20" s="2">
        <f t="shared" si="14"/>
        <v>0.67877943782351802</v>
      </c>
      <c r="AT20" s="143">
        <f t="shared" si="15"/>
        <v>1.1401092687626457E-2</v>
      </c>
      <c r="AU20" s="143">
        <f t="shared" si="16"/>
        <v>-4.5356669732397603E-2</v>
      </c>
      <c r="AV20" s="143">
        <f t="shared" si="17"/>
        <v>3.3511368807447206E-2</v>
      </c>
      <c r="AW20" s="143" t="str">
        <f t="shared" si="18"/>
        <v/>
      </c>
      <c r="AX20" s="143" t="str">
        <f t="shared" si="19"/>
        <v/>
      </c>
      <c r="AY20" s="143" t="str">
        <f t="shared" si="20"/>
        <v/>
      </c>
      <c r="AZ20" s="143" t="str">
        <f t="shared" si="21"/>
        <v/>
      </c>
      <c r="BA20" s="143" t="str">
        <f t="shared" si="22"/>
        <v/>
      </c>
      <c r="BB20" s="143" t="str">
        <f t="shared" si="23"/>
        <v/>
      </c>
      <c r="BC20" s="143" t="str">
        <f t="shared" si="24"/>
        <v/>
      </c>
      <c r="BD20" s="143" t="str">
        <f t="shared" si="25"/>
        <v/>
      </c>
      <c r="BF20" s="9">
        <f t="shared" si="26"/>
        <v>1.309544144208092E-2</v>
      </c>
      <c r="BG20" s="9">
        <f t="shared" si="27"/>
        <v>0.6221788666976692</v>
      </c>
    </row>
    <row r="21" spans="2:59" x14ac:dyDescent="0.35">
      <c r="B21" s="3" t="s">
        <v>103</v>
      </c>
      <c r="D21" s="141">
        <v>20655372</v>
      </c>
      <c r="E21" s="141">
        <v>18547507</v>
      </c>
      <c r="F21" s="141">
        <v>20722427</v>
      </c>
      <c r="G21" s="141">
        <v>16752972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76678278</v>
      </c>
      <c r="R21" s="141">
        <v>14701070</v>
      </c>
      <c r="S21" s="141">
        <v>13242779</v>
      </c>
      <c r="T21" s="141">
        <v>13966197</v>
      </c>
      <c r="U21" s="141">
        <v>12060115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53970161</v>
      </c>
      <c r="AF21" s="2">
        <f t="shared" si="2"/>
        <v>0.71173106928309016</v>
      </c>
      <c r="AG21" s="2">
        <f t="shared" si="3"/>
        <v>0.71399239800799108</v>
      </c>
      <c r="AH21" s="2">
        <f t="shared" si="4"/>
        <v>0.67396531303982876</v>
      </c>
      <c r="AI21" s="2">
        <f t="shared" si="5"/>
        <v>0.71987913547518612</v>
      </c>
      <c r="AJ21" s="2" t="str">
        <f t="shared" si="6"/>
        <v/>
      </c>
      <c r="AK21" s="2" t="str">
        <f t="shared" si="7"/>
        <v/>
      </c>
      <c r="AL21" s="2" t="str">
        <f t="shared" si="8"/>
        <v/>
      </c>
      <c r="AM21" s="2" t="str">
        <f t="shared" si="9"/>
        <v/>
      </c>
      <c r="AN21" s="2" t="str">
        <f t="shared" si="10"/>
        <v/>
      </c>
      <c r="AO21" s="2" t="str">
        <f t="shared" si="11"/>
        <v/>
      </c>
      <c r="AP21" s="2" t="str">
        <f t="shared" si="12"/>
        <v/>
      </c>
      <c r="AQ21" s="2" t="str">
        <f t="shared" si="13"/>
        <v/>
      </c>
      <c r="AR21" s="2">
        <f t="shared" si="14"/>
        <v>0.7038520218203127</v>
      </c>
      <c r="AT21" s="143">
        <f t="shared" si="15"/>
        <v>2.261328724900924E-3</v>
      </c>
      <c r="AU21" s="143">
        <f t="shared" si="16"/>
        <v>-4.0027084968162319E-2</v>
      </c>
      <c r="AV21" s="143">
        <f t="shared" si="17"/>
        <v>4.5913822435357354E-2</v>
      </c>
      <c r="AW21" s="143" t="str">
        <f t="shared" si="18"/>
        <v/>
      </c>
      <c r="AX21" s="143" t="str">
        <f t="shared" si="19"/>
        <v/>
      </c>
      <c r="AY21" s="143" t="str">
        <f t="shared" si="20"/>
        <v/>
      </c>
      <c r="AZ21" s="143" t="str">
        <f t="shared" si="21"/>
        <v/>
      </c>
      <c r="BA21" s="143" t="str">
        <f t="shared" si="22"/>
        <v/>
      </c>
      <c r="BB21" s="143" t="str">
        <f t="shared" si="23"/>
        <v/>
      </c>
      <c r="BC21" s="143" t="str">
        <f t="shared" si="24"/>
        <v/>
      </c>
      <c r="BD21" s="143" t="str">
        <f t="shared" si="25"/>
        <v/>
      </c>
      <c r="BF21" s="9">
        <f t="shared" si="26"/>
        <v>7.2734355996172034E-2</v>
      </c>
      <c r="BG21" s="9">
        <f t="shared" si="27"/>
        <v>0.69491322269384126</v>
      </c>
    </row>
    <row r="22" spans="2:59" x14ac:dyDescent="0.35">
      <c r="B22" s="3" t="s">
        <v>105</v>
      </c>
      <c r="D22" s="141">
        <v>4757910</v>
      </c>
      <c r="E22" s="141">
        <v>4606561</v>
      </c>
      <c r="F22" s="141">
        <v>5145250</v>
      </c>
      <c r="G22" s="141">
        <v>3908758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18418479</v>
      </c>
      <c r="R22" s="141">
        <v>3606582</v>
      </c>
      <c r="S22" s="141">
        <v>3523830</v>
      </c>
      <c r="T22" s="141">
        <v>3816373</v>
      </c>
      <c r="U22" s="141">
        <v>2990798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13937583</v>
      </c>
      <c r="AF22" s="2">
        <f t="shared" si="2"/>
        <v>0.75801812140204416</v>
      </c>
      <c r="AG22" s="2">
        <f t="shared" si="3"/>
        <v>0.76495893574403984</v>
      </c>
      <c r="AH22" s="2">
        <f t="shared" si="4"/>
        <v>0.74172741849278456</v>
      </c>
      <c r="AI22" s="2">
        <f t="shared" si="5"/>
        <v>0.76515302303186838</v>
      </c>
      <c r="AJ22" s="2" t="str">
        <f t="shared" si="6"/>
        <v/>
      </c>
      <c r="AK22" s="2" t="str">
        <f t="shared" si="7"/>
        <v/>
      </c>
      <c r="AL22" s="2" t="str">
        <f t="shared" si="8"/>
        <v/>
      </c>
      <c r="AM22" s="2" t="str">
        <f t="shared" si="9"/>
        <v/>
      </c>
      <c r="AN22" s="2" t="str">
        <f t="shared" si="10"/>
        <v/>
      </c>
      <c r="AO22" s="2" t="str">
        <f t="shared" si="11"/>
        <v/>
      </c>
      <c r="AP22" s="2" t="str">
        <f t="shared" si="12"/>
        <v/>
      </c>
      <c r="AQ22" s="2" t="str">
        <f t="shared" si="13"/>
        <v/>
      </c>
      <c r="AR22" s="2">
        <f t="shared" si="14"/>
        <v>0.75671737063630495</v>
      </c>
      <c r="AT22" s="143">
        <f t="shared" si="15"/>
        <v>6.9408143419956714E-3</v>
      </c>
      <c r="AU22" s="143">
        <f t="shared" si="16"/>
        <v>-2.3231517251255274E-2</v>
      </c>
      <c r="AV22" s="143">
        <f t="shared" si="17"/>
        <v>2.3425604539083822E-2</v>
      </c>
      <c r="AW22" s="143" t="str">
        <f t="shared" si="18"/>
        <v/>
      </c>
      <c r="AX22" s="143" t="str">
        <f t="shared" si="19"/>
        <v/>
      </c>
      <c r="AY22" s="143" t="str">
        <f t="shared" si="20"/>
        <v/>
      </c>
      <c r="AZ22" s="143" t="str">
        <f t="shared" si="21"/>
        <v/>
      </c>
      <c r="BA22" s="143" t="str">
        <f t="shared" si="22"/>
        <v/>
      </c>
      <c r="BB22" s="143" t="str">
        <f t="shared" si="23"/>
        <v/>
      </c>
      <c r="BC22" s="143" t="str">
        <f t="shared" si="24"/>
        <v/>
      </c>
      <c r="BD22" s="143" t="str">
        <f t="shared" si="25"/>
        <v/>
      </c>
      <c r="BF22" s="9">
        <f t="shared" si="26"/>
        <v>1.8783362970664391E-2</v>
      </c>
      <c r="BG22" s="9">
        <f t="shared" si="27"/>
        <v>0.71369658566450567</v>
      </c>
    </row>
    <row r="23" spans="2:59" x14ac:dyDescent="0.35">
      <c r="B23" s="3" t="s">
        <v>106</v>
      </c>
      <c r="D23" s="141">
        <v>5306663</v>
      </c>
      <c r="E23" s="141">
        <v>4638874</v>
      </c>
      <c r="F23" s="141">
        <v>5411116</v>
      </c>
      <c r="G23" s="141">
        <v>4085314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19441967</v>
      </c>
      <c r="R23" s="141">
        <v>3578043</v>
      </c>
      <c r="S23" s="141">
        <v>3081373</v>
      </c>
      <c r="T23" s="141">
        <v>3511805</v>
      </c>
      <c r="U23" s="141">
        <v>2776373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12947594</v>
      </c>
      <c r="AF23" s="2">
        <f t="shared" si="2"/>
        <v>0.67425480005042715</v>
      </c>
      <c r="AG23" s="2">
        <f t="shared" si="3"/>
        <v>0.66425020382101341</v>
      </c>
      <c r="AH23" s="2">
        <f t="shared" si="4"/>
        <v>0.64899828427259743</v>
      </c>
      <c r="AI23" s="2">
        <f t="shared" si="5"/>
        <v>0.67959843478371551</v>
      </c>
      <c r="AJ23" s="2" t="str">
        <f t="shared" si="6"/>
        <v/>
      </c>
      <c r="AK23" s="2" t="str">
        <f t="shared" si="7"/>
        <v/>
      </c>
      <c r="AL23" s="2" t="str">
        <f t="shared" si="8"/>
        <v/>
      </c>
      <c r="AM23" s="2" t="str">
        <f t="shared" si="9"/>
        <v/>
      </c>
      <c r="AN23" s="2" t="str">
        <f t="shared" si="10"/>
        <v/>
      </c>
      <c r="AO23" s="2" t="str">
        <f t="shared" si="11"/>
        <v/>
      </c>
      <c r="AP23" s="2" t="str">
        <f t="shared" si="12"/>
        <v/>
      </c>
      <c r="AQ23" s="2" t="str">
        <f t="shared" si="13"/>
        <v/>
      </c>
      <c r="AR23" s="2">
        <f t="shared" si="14"/>
        <v>0.66596111391403967</v>
      </c>
      <c r="AT23" s="143">
        <f t="shared" si="15"/>
        <v>-1.0004596229413742E-2</v>
      </c>
      <c r="AU23" s="143">
        <f t="shared" si="16"/>
        <v>-1.5251919548415982E-2</v>
      </c>
      <c r="AV23" s="143">
        <f t="shared" si="17"/>
        <v>3.0600150511118085E-2</v>
      </c>
      <c r="AW23" s="143" t="str">
        <f t="shared" si="18"/>
        <v/>
      </c>
      <c r="AX23" s="143" t="str">
        <f t="shared" si="19"/>
        <v/>
      </c>
      <c r="AY23" s="143" t="str">
        <f t="shared" si="20"/>
        <v/>
      </c>
      <c r="AZ23" s="143" t="str">
        <f t="shared" si="21"/>
        <v/>
      </c>
      <c r="BA23" s="143" t="str">
        <f t="shared" si="22"/>
        <v/>
      </c>
      <c r="BB23" s="143" t="str">
        <f t="shared" si="23"/>
        <v/>
      </c>
      <c r="BC23" s="143" t="str">
        <f t="shared" si="24"/>
        <v/>
      </c>
      <c r="BD23" s="143" t="str">
        <f t="shared" si="25"/>
        <v/>
      </c>
      <c r="BF23" s="9">
        <f t="shared" si="26"/>
        <v>1.744917735727898E-2</v>
      </c>
      <c r="BG23" s="9">
        <f t="shared" si="27"/>
        <v>0.73114576302178469</v>
      </c>
    </row>
    <row r="24" spans="2:59" x14ac:dyDescent="0.35">
      <c r="B24" s="3" t="s">
        <v>113</v>
      </c>
      <c r="D24" s="141">
        <v>3771780</v>
      </c>
      <c r="E24" s="141">
        <v>3207294</v>
      </c>
      <c r="F24" s="141">
        <v>4276069</v>
      </c>
      <c r="G24" s="141">
        <v>3516691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14771834</v>
      </c>
      <c r="R24" s="141">
        <v>2742359</v>
      </c>
      <c r="S24" s="141">
        <v>2558261</v>
      </c>
      <c r="T24" s="141">
        <v>3322278</v>
      </c>
      <c r="U24" s="141">
        <v>2794264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11417162</v>
      </c>
      <c r="AF24" s="2">
        <f t="shared" si="2"/>
        <v>0.7270728939651836</v>
      </c>
      <c r="AG24" s="2">
        <f t="shared" si="3"/>
        <v>0.79763844536858797</v>
      </c>
      <c r="AH24" s="2">
        <f t="shared" si="4"/>
        <v>0.77694677050346939</v>
      </c>
      <c r="AI24" s="2">
        <f t="shared" si="5"/>
        <v>0.79457194277233911</v>
      </c>
      <c r="AJ24" s="2" t="str">
        <f t="shared" si="6"/>
        <v/>
      </c>
      <c r="AK24" s="2" t="str">
        <f t="shared" si="7"/>
        <v/>
      </c>
      <c r="AL24" s="2" t="str">
        <f t="shared" si="8"/>
        <v/>
      </c>
      <c r="AM24" s="2" t="str">
        <f t="shared" si="9"/>
        <v/>
      </c>
      <c r="AN24" s="2" t="str">
        <f t="shared" si="10"/>
        <v/>
      </c>
      <c r="AO24" s="2" t="str">
        <f t="shared" si="11"/>
        <v/>
      </c>
      <c r="AP24" s="2" t="str">
        <f t="shared" si="12"/>
        <v/>
      </c>
      <c r="AQ24" s="2" t="str">
        <f t="shared" si="13"/>
        <v/>
      </c>
      <c r="AR24" s="2">
        <f t="shared" si="14"/>
        <v>0.77290077860338802</v>
      </c>
      <c r="AT24" s="143">
        <f t="shared" si="15"/>
        <v>7.056555140340437E-2</v>
      </c>
      <c r="AU24" s="143">
        <f t="shared" si="16"/>
        <v>-2.0691674865118581E-2</v>
      </c>
      <c r="AV24" s="143">
        <f t="shared" si="17"/>
        <v>1.7625172268869727E-2</v>
      </c>
      <c r="AW24" s="143" t="str">
        <f t="shared" si="18"/>
        <v/>
      </c>
      <c r="AX24" s="143" t="str">
        <f t="shared" si="19"/>
        <v/>
      </c>
      <c r="AY24" s="143" t="str">
        <f t="shared" si="20"/>
        <v/>
      </c>
      <c r="AZ24" s="143" t="str">
        <f t="shared" si="21"/>
        <v/>
      </c>
      <c r="BA24" s="143" t="str">
        <f t="shared" si="22"/>
        <v/>
      </c>
      <c r="BB24" s="143" t="str">
        <f t="shared" si="23"/>
        <v/>
      </c>
      <c r="BC24" s="143" t="str">
        <f t="shared" si="24"/>
        <v/>
      </c>
      <c r="BD24" s="143" t="str">
        <f t="shared" si="25"/>
        <v/>
      </c>
      <c r="BF24" s="9">
        <f t="shared" si="26"/>
        <v>1.5386649029525174E-2</v>
      </c>
      <c r="BG24" s="9">
        <f t="shared" si="27"/>
        <v>0.74653241205130982</v>
      </c>
    </row>
    <row r="25" spans="2:59" x14ac:dyDescent="0.35">
      <c r="B25" s="3" t="s">
        <v>116</v>
      </c>
      <c r="D25" s="141">
        <v>2131307</v>
      </c>
      <c r="E25" s="141">
        <v>2138814</v>
      </c>
      <c r="F25" s="141">
        <v>2347000</v>
      </c>
      <c r="G25" s="141">
        <v>1923036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8540157</v>
      </c>
      <c r="R25" s="141">
        <v>1518558</v>
      </c>
      <c r="S25" s="141">
        <v>1537913</v>
      </c>
      <c r="T25" s="141">
        <v>1491910</v>
      </c>
      <c r="U25" s="141">
        <v>1340788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5889169</v>
      </c>
      <c r="AF25" s="2">
        <f t="shared" si="2"/>
        <v>0.71250082695735528</v>
      </c>
      <c r="AG25" s="2">
        <f t="shared" si="3"/>
        <v>0.71904943580881742</v>
      </c>
      <c r="AH25" s="2">
        <f t="shared" si="4"/>
        <v>0.63566680869194714</v>
      </c>
      <c r="AI25" s="2">
        <f t="shared" si="5"/>
        <v>0.69722459693942285</v>
      </c>
      <c r="AJ25" s="2" t="str">
        <f t="shared" si="6"/>
        <v/>
      </c>
      <c r="AK25" s="2" t="str">
        <f t="shared" si="7"/>
        <v/>
      </c>
      <c r="AL25" s="2" t="str">
        <f t="shared" si="8"/>
        <v/>
      </c>
      <c r="AM25" s="2" t="str">
        <f t="shared" si="9"/>
        <v/>
      </c>
      <c r="AN25" s="2" t="str">
        <f t="shared" si="10"/>
        <v/>
      </c>
      <c r="AO25" s="2" t="str">
        <f t="shared" si="11"/>
        <v/>
      </c>
      <c r="AP25" s="2" t="str">
        <f t="shared" si="12"/>
        <v/>
      </c>
      <c r="AQ25" s="2" t="str">
        <f t="shared" si="13"/>
        <v/>
      </c>
      <c r="AR25" s="2">
        <f t="shared" si="14"/>
        <v>0.68958556616699196</v>
      </c>
      <c r="AT25" s="143">
        <f t="shared" si="15"/>
        <v>6.5486088514621343E-3</v>
      </c>
      <c r="AU25" s="143">
        <f t="shared" si="16"/>
        <v>-8.3382627116870278E-2</v>
      </c>
      <c r="AV25" s="143">
        <f t="shared" si="17"/>
        <v>6.1557788247475709E-2</v>
      </c>
      <c r="AW25" s="143" t="str">
        <f t="shared" si="18"/>
        <v/>
      </c>
      <c r="AX25" s="143" t="str">
        <f t="shared" si="19"/>
        <v/>
      </c>
      <c r="AY25" s="143" t="str">
        <f t="shared" si="20"/>
        <v/>
      </c>
      <c r="AZ25" s="143" t="str">
        <f t="shared" si="21"/>
        <v/>
      </c>
      <c r="BA25" s="143" t="str">
        <f t="shared" si="22"/>
        <v/>
      </c>
      <c r="BB25" s="143" t="str">
        <f t="shared" si="23"/>
        <v/>
      </c>
      <c r="BC25" s="143" t="str">
        <f t="shared" si="24"/>
        <v/>
      </c>
      <c r="BD25" s="143" t="str">
        <f t="shared" si="25"/>
        <v/>
      </c>
      <c r="BF25" s="9">
        <f t="shared" si="26"/>
        <v>7.9366988467501603E-3</v>
      </c>
      <c r="BG25" s="9">
        <f t="shared" si="27"/>
        <v>0.75446911089806001</v>
      </c>
    </row>
    <row r="26" spans="2:59" x14ac:dyDescent="0.35">
      <c r="B26" s="3" t="s">
        <v>133</v>
      </c>
      <c r="D26" s="141">
        <v>1095604</v>
      </c>
      <c r="E26" s="141">
        <v>978754</v>
      </c>
      <c r="F26" s="141">
        <v>1150605</v>
      </c>
      <c r="G26" s="141">
        <v>893546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4118509</v>
      </c>
      <c r="R26" s="141">
        <v>717657</v>
      </c>
      <c r="S26" s="141">
        <v>703289</v>
      </c>
      <c r="T26" s="141">
        <v>668034</v>
      </c>
      <c r="U26" s="141">
        <v>625359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2714339</v>
      </c>
      <c r="AF26" s="2">
        <f t="shared" si="2"/>
        <v>0.65503320542823862</v>
      </c>
      <c r="AG26" s="2">
        <f t="shared" si="3"/>
        <v>0.71855542863681787</v>
      </c>
      <c r="AH26" s="2">
        <f t="shared" si="4"/>
        <v>0.58059368766866126</v>
      </c>
      <c r="AI26" s="2">
        <f t="shared" si="5"/>
        <v>0.69986212237534495</v>
      </c>
      <c r="AJ26" s="2" t="str">
        <f t="shared" si="6"/>
        <v/>
      </c>
      <c r="AK26" s="2" t="str">
        <f t="shared" si="7"/>
        <v/>
      </c>
      <c r="AL26" s="2" t="str">
        <f t="shared" si="8"/>
        <v/>
      </c>
      <c r="AM26" s="2" t="str">
        <f t="shared" si="9"/>
        <v/>
      </c>
      <c r="AN26" s="2" t="str">
        <f t="shared" si="10"/>
        <v/>
      </c>
      <c r="AO26" s="2" t="str">
        <f t="shared" si="11"/>
        <v/>
      </c>
      <c r="AP26" s="2" t="str">
        <f t="shared" si="12"/>
        <v/>
      </c>
      <c r="AQ26" s="2" t="str">
        <f t="shared" si="13"/>
        <v/>
      </c>
      <c r="AR26" s="2">
        <f t="shared" si="14"/>
        <v>0.65905865447908452</v>
      </c>
      <c r="AT26" s="143">
        <f t="shared" si="15"/>
        <v>6.3522223208579254E-2</v>
      </c>
      <c r="AU26" s="143">
        <f t="shared" si="16"/>
        <v>-0.13796174096815661</v>
      </c>
      <c r="AV26" s="143">
        <f t="shared" si="17"/>
        <v>0.11926843470668369</v>
      </c>
      <c r="AW26" s="143" t="str">
        <f t="shared" si="18"/>
        <v/>
      </c>
      <c r="AX26" s="143" t="str">
        <f t="shared" si="19"/>
        <v/>
      </c>
      <c r="AY26" s="143" t="str">
        <f t="shared" si="20"/>
        <v/>
      </c>
      <c r="AZ26" s="143" t="str">
        <f t="shared" si="21"/>
        <v/>
      </c>
      <c r="BA26" s="143" t="str">
        <f t="shared" si="22"/>
        <v/>
      </c>
      <c r="BB26" s="143" t="str">
        <f t="shared" si="23"/>
        <v/>
      </c>
      <c r="BC26" s="143" t="str">
        <f t="shared" si="24"/>
        <v/>
      </c>
      <c r="BD26" s="143" t="str">
        <f t="shared" si="25"/>
        <v/>
      </c>
      <c r="BF26" s="9">
        <f t="shared" si="26"/>
        <v>3.6580528103352071E-3</v>
      </c>
      <c r="BG26" s="9">
        <f t="shared" si="27"/>
        <v>0.75812716370839517</v>
      </c>
    </row>
    <row r="27" spans="2:59" x14ac:dyDescent="0.35">
      <c r="B27" s="3" t="s">
        <v>108</v>
      </c>
      <c r="D27" s="141">
        <v>4768141</v>
      </c>
      <c r="E27" s="141">
        <v>4569043</v>
      </c>
      <c r="F27" s="141">
        <v>5332308</v>
      </c>
      <c r="G27" s="141">
        <v>4660272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19329764</v>
      </c>
      <c r="R27" s="141">
        <v>3379612</v>
      </c>
      <c r="S27" s="141">
        <v>3197676</v>
      </c>
      <c r="T27" s="141">
        <v>3583729</v>
      </c>
      <c r="U27" s="141">
        <v>3202678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13363695</v>
      </c>
      <c r="AF27" s="2">
        <f t="shared" si="2"/>
        <v>0.70879028115989018</v>
      </c>
      <c r="AG27" s="2">
        <f t="shared" si="3"/>
        <v>0.699856840918328</v>
      </c>
      <c r="AH27" s="2">
        <f t="shared" si="4"/>
        <v>0.67207839457135632</v>
      </c>
      <c r="AI27" s="2">
        <f t="shared" si="5"/>
        <v>0.68722984409493693</v>
      </c>
      <c r="AJ27" s="2" t="str">
        <f t="shared" si="6"/>
        <v/>
      </c>
      <c r="AK27" s="2" t="str">
        <f t="shared" si="7"/>
        <v/>
      </c>
      <c r="AL27" s="2" t="str">
        <f t="shared" si="8"/>
        <v/>
      </c>
      <c r="AM27" s="2" t="str">
        <f t="shared" si="9"/>
        <v/>
      </c>
      <c r="AN27" s="2" t="str">
        <f t="shared" si="10"/>
        <v/>
      </c>
      <c r="AO27" s="2" t="str">
        <f t="shared" si="11"/>
        <v/>
      </c>
      <c r="AP27" s="2" t="str">
        <f t="shared" si="12"/>
        <v/>
      </c>
      <c r="AQ27" s="2" t="str">
        <f t="shared" si="13"/>
        <v/>
      </c>
      <c r="AR27" s="2">
        <f t="shared" si="14"/>
        <v>0.69135324156052813</v>
      </c>
      <c r="AT27" s="143">
        <f t="shared" si="15"/>
        <v>-8.9334402415621739E-3</v>
      </c>
      <c r="AU27" s="143">
        <f t="shared" si="16"/>
        <v>-2.7778446346971686E-2</v>
      </c>
      <c r="AV27" s="143">
        <f t="shared" si="17"/>
        <v>1.5151449523580607E-2</v>
      </c>
      <c r="AW27" s="143" t="str">
        <f t="shared" si="18"/>
        <v/>
      </c>
      <c r="AX27" s="143" t="str">
        <f t="shared" si="19"/>
        <v/>
      </c>
      <c r="AY27" s="143" t="str">
        <f t="shared" si="20"/>
        <v/>
      </c>
      <c r="AZ27" s="143" t="str">
        <f t="shared" si="21"/>
        <v/>
      </c>
      <c r="BA27" s="143" t="str">
        <f t="shared" si="22"/>
        <v/>
      </c>
      <c r="BB27" s="143" t="str">
        <f t="shared" si="23"/>
        <v/>
      </c>
      <c r="BC27" s="143" t="str">
        <f t="shared" si="24"/>
        <v/>
      </c>
      <c r="BD27" s="143" t="str">
        <f t="shared" si="25"/>
        <v/>
      </c>
      <c r="BF27" s="9">
        <f t="shared" si="26"/>
        <v>1.800994719200975E-2</v>
      </c>
      <c r="BG27" s="9">
        <f t="shared" si="27"/>
        <v>0.77613711090040494</v>
      </c>
    </row>
    <row r="28" spans="2:59" x14ac:dyDescent="0.35">
      <c r="B28" s="3" t="s">
        <v>114</v>
      </c>
      <c r="D28" s="141">
        <v>719724</v>
      </c>
      <c r="E28" s="141">
        <v>721628</v>
      </c>
      <c r="F28" s="141">
        <v>899837</v>
      </c>
      <c r="G28" s="141">
        <v>779202</v>
      </c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3120391</v>
      </c>
      <c r="R28" s="141">
        <v>568336</v>
      </c>
      <c r="S28" s="141">
        <v>515702</v>
      </c>
      <c r="T28" s="141">
        <v>628804</v>
      </c>
      <c r="U28" s="141">
        <v>583171</v>
      </c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2296013</v>
      </c>
      <c r="AF28" s="2">
        <f t="shared" si="2"/>
        <v>0.78965825788774591</v>
      </c>
      <c r="AG28" s="2">
        <f t="shared" si="3"/>
        <v>0.71463690433298044</v>
      </c>
      <c r="AH28" s="2">
        <f t="shared" si="4"/>
        <v>0.698797671133772</v>
      </c>
      <c r="AI28" s="2">
        <f t="shared" si="5"/>
        <v>0.74842082027510193</v>
      </c>
      <c r="AJ28" s="2" t="str">
        <f t="shared" si="6"/>
        <v/>
      </c>
      <c r="AK28" s="2" t="str">
        <f t="shared" si="7"/>
        <v/>
      </c>
      <c r="AL28" s="2" t="str">
        <f t="shared" si="8"/>
        <v/>
      </c>
      <c r="AM28" s="2" t="str">
        <f t="shared" si="9"/>
        <v/>
      </c>
      <c r="AN28" s="2" t="str">
        <f t="shared" si="10"/>
        <v/>
      </c>
      <c r="AO28" s="2" t="str">
        <f t="shared" si="11"/>
        <v/>
      </c>
      <c r="AP28" s="2" t="str">
        <f t="shared" si="12"/>
        <v/>
      </c>
      <c r="AQ28" s="2" t="str">
        <f t="shared" si="13"/>
        <v/>
      </c>
      <c r="AR28" s="2">
        <f t="shared" si="14"/>
        <v>0.73580939055394023</v>
      </c>
      <c r="AT28" s="143">
        <f t="shared" si="15"/>
        <v>-7.5021353554765469E-2</v>
      </c>
      <c r="AU28" s="143">
        <f t="shared" si="16"/>
        <v>-1.5839233199208436E-2</v>
      </c>
      <c r="AV28" s="143">
        <f t="shared" si="17"/>
        <v>4.9623149141329925E-2</v>
      </c>
      <c r="AW28" s="143" t="str">
        <f t="shared" si="18"/>
        <v/>
      </c>
      <c r="AX28" s="143" t="str">
        <f t="shared" si="19"/>
        <v/>
      </c>
      <c r="AY28" s="143" t="str">
        <f t="shared" si="20"/>
        <v/>
      </c>
      <c r="AZ28" s="143" t="str">
        <f t="shared" si="21"/>
        <v/>
      </c>
      <c r="BA28" s="143" t="str">
        <f t="shared" si="22"/>
        <v/>
      </c>
      <c r="BB28" s="143" t="str">
        <f t="shared" si="23"/>
        <v/>
      </c>
      <c r="BC28" s="143" t="str">
        <f t="shared" si="24"/>
        <v/>
      </c>
      <c r="BD28" s="143" t="str">
        <f t="shared" si="25"/>
        <v/>
      </c>
      <c r="BF28" s="9">
        <f t="shared" si="26"/>
        <v>3.0942843938123314E-3</v>
      </c>
      <c r="BG28" s="9">
        <f t="shared" si="27"/>
        <v>0.77923139529421726</v>
      </c>
    </row>
    <row r="29" spans="2:59" x14ac:dyDescent="0.35">
      <c r="B29" s="3" t="s">
        <v>117</v>
      </c>
      <c r="D29" s="141">
        <v>3060451</v>
      </c>
      <c r="E29" s="141">
        <v>2979252</v>
      </c>
      <c r="F29" s="141">
        <v>3735389</v>
      </c>
      <c r="G29" s="141">
        <v>3531716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13306808</v>
      </c>
      <c r="R29" s="141">
        <v>2849056</v>
      </c>
      <c r="S29" s="141">
        <v>2790093</v>
      </c>
      <c r="T29" s="141">
        <v>2983445</v>
      </c>
      <c r="U29" s="141">
        <v>3382684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12005278</v>
      </c>
      <c r="AF29" s="2">
        <f t="shared" si="2"/>
        <v>0.93092684705620188</v>
      </c>
      <c r="AG29" s="2">
        <f t="shared" si="3"/>
        <v>0.93650788855726197</v>
      </c>
      <c r="AH29" s="2">
        <f t="shared" si="4"/>
        <v>0.79869727088664666</v>
      </c>
      <c r="AI29" s="2">
        <f t="shared" si="5"/>
        <v>0.95780181645409768</v>
      </c>
      <c r="AJ29" s="2" t="str">
        <f t="shared" si="6"/>
        <v/>
      </c>
      <c r="AK29" s="2" t="str">
        <f t="shared" si="7"/>
        <v/>
      </c>
      <c r="AL29" s="2" t="str">
        <f t="shared" si="8"/>
        <v/>
      </c>
      <c r="AM29" s="2" t="str">
        <f t="shared" si="9"/>
        <v/>
      </c>
      <c r="AN29" s="2" t="str">
        <f t="shared" si="10"/>
        <v/>
      </c>
      <c r="AO29" s="2" t="str">
        <f t="shared" si="11"/>
        <v/>
      </c>
      <c r="AP29" s="2" t="str">
        <f t="shared" si="12"/>
        <v/>
      </c>
      <c r="AQ29" s="2" t="str">
        <f t="shared" si="13"/>
        <v/>
      </c>
      <c r="AR29" s="2">
        <f t="shared" si="14"/>
        <v>0.90219066811514825</v>
      </c>
      <c r="AT29" s="143">
        <f t="shared" si="15"/>
        <v>5.5810415010600911E-3</v>
      </c>
      <c r="AU29" s="143">
        <f t="shared" si="16"/>
        <v>-0.13781061767061531</v>
      </c>
      <c r="AV29" s="143">
        <f t="shared" si="17"/>
        <v>0.15910454556745102</v>
      </c>
      <c r="AW29" s="143" t="str">
        <f t="shared" si="18"/>
        <v/>
      </c>
      <c r="AX29" s="143" t="str">
        <f t="shared" si="19"/>
        <v/>
      </c>
      <c r="AY29" s="143" t="str">
        <f t="shared" si="20"/>
        <v/>
      </c>
      <c r="AZ29" s="143" t="str">
        <f t="shared" si="21"/>
        <v/>
      </c>
      <c r="BA29" s="143" t="str">
        <f t="shared" si="22"/>
        <v/>
      </c>
      <c r="BB29" s="143" t="str">
        <f t="shared" si="23"/>
        <v/>
      </c>
      <c r="BC29" s="143" t="str">
        <f t="shared" si="24"/>
        <v/>
      </c>
      <c r="BD29" s="143" t="str">
        <f t="shared" si="25"/>
        <v/>
      </c>
      <c r="BF29" s="9">
        <f t="shared" si="26"/>
        <v>1.6179239559522756E-2</v>
      </c>
      <c r="BG29" s="9">
        <f t="shared" si="27"/>
        <v>0.79541063485373997</v>
      </c>
    </row>
    <row r="30" spans="2:59" x14ac:dyDescent="0.35">
      <c r="B30" s="3" t="s">
        <v>111</v>
      </c>
      <c r="D30" s="141">
        <v>2455741</v>
      </c>
      <c r="E30" s="141">
        <v>2471768</v>
      </c>
      <c r="F30" s="141">
        <v>2432502</v>
      </c>
      <c r="G30" s="141">
        <v>2108327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9468338</v>
      </c>
      <c r="R30" s="141">
        <v>1669629</v>
      </c>
      <c r="S30" s="141">
        <v>1659085</v>
      </c>
      <c r="T30" s="141">
        <v>1632935</v>
      </c>
      <c r="U30" s="141">
        <v>1408016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6369665</v>
      </c>
      <c r="AF30" s="2">
        <f t="shared" si="2"/>
        <v>0.6798880663718202</v>
      </c>
      <c r="AG30" s="2">
        <f t="shared" si="3"/>
        <v>0.67121388415093974</v>
      </c>
      <c r="AH30" s="2">
        <f t="shared" si="4"/>
        <v>0.67129852308446203</v>
      </c>
      <c r="AI30" s="2">
        <f t="shared" si="5"/>
        <v>0.66783568203604093</v>
      </c>
      <c r="AJ30" s="2" t="str">
        <f t="shared" si="6"/>
        <v/>
      </c>
      <c r="AK30" s="2" t="str">
        <f t="shared" si="7"/>
        <v/>
      </c>
      <c r="AL30" s="2" t="str">
        <f t="shared" si="8"/>
        <v/>
      </c>
      <c r="AM30" s="2" t="str">
        <f t="shared" si="9"/>
        <v/>
      </c>
      <c r="AN30" s="2" t="str">
        <f t="shared" si="10"/>
        <v/>
      </c>
      <c r="AO30" s="2" t="str">
        <f t="shared" si="11"/>
        <v/>
      </c>
      <c r="AP30" s="2" t="str">
        <f t="shared" si="12"/>
        <v/>
      </c>
      <c r="AQ30" s="2" t="str">
        <f t="shared" si="13"/>
        <v/>
      </c>
      <c r="AR30" s="2">
        <f t="shared" si="14"/>
        <v>0.67273316605300737</v>
      </c>
      <c r="AT30" s="143">
        <f t="shared" si="15"/>
        <v>-8.6741822208804553E-3</v>
      </c>
      <c r="AU30" s="143">
        <f t="shared" si="16"/>
        <v>8.4638933522285242E-5</v>
      </c>
      <c r="AV30" s="143">
        <f t="shared" si="17"/>
        <v>-3.4628410484210947E-3</v>
      </c>
      <c r="AW30" s="143" t="str">
        <f t="shared" si="18"/>
        <v/>
      </c>
      <c r="AX30" s="143" t="str">
        <f t="shared" si="19"/>
        <v/>
      </c>
      <c r="AY30" s="143" t="str">
        <f t="shared" si="20"/>
        <v/>
      </c>
      <c r="AZ30" s="143" t="str">
        <f t="shared" si="21"/>
        <v/>
      </c>
      <c r="BA30" s="143" t="str">
        <f t="shared" si="22"/>
        <v/>
      </c>
      <c r="BB30" s="143" t="str">
        <f t="shared" si="23"/>
        <v/>
      </c>
      <c r="BC30" s="143" t="str">
        <f t="shared" si="24"/>
        <v/>
      </c>
      <c r="BD30" s="143" t="str">
        <f t="shared" si="25"/>
        <v/>
      </c>
      <c r="BF30" s="9">
        <f t="shared" si="26"/>
        <v>8.5842523554146358E-3</v>
      </c>
      <c r="BG30" s="9">
        <f t="shared" si="27"/>
        <v>0.80399488720915457</v>
      </c>
    </row>
    <row r="31" spans="2:59" x14ac:dyDescent="0.35">
      <c r="B31" s="3" t="s">
        <v>129</v>
      </c>
      <c r="D31" s="141">
        <v>605375</v>
      </c>
      <c r="E31" s="141">
        <v>642743</v>
      </c>
      <c r="F31" s="141">
        <v>777387</v>
      </c>
      <c r="G31" s="141">
        <v>511865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2537370</v>
      </c>
      <c r="R31" s="141">
        <v>498213</v>
      </c>
      <c r="S31" s="141">
        <v>515736</v>
      </c>
      <c r="T31" s="141">
        <v>529381</v>
      </c>
      <c r="U31" s="141">
        <v>391354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1934684</v>
      </c>
      <c r="AF31" s="2">
        <f t="shared" si="2"/>
        <v>0.8229824488953128</v>
      </c>
      <c r="AG31" s="2">
        <f t="shared" si="3"/>
        <v>0.80239847030617217</v>
      </c>
      <c r="AH31" s="2">
        <f t="shared" si="4"/>
        <v>0.68097485550954673</v>
      </c>
      <c r="AI31" s="2">
        <f t="shared" si="5"/>
        <v>0.76456487550428331</v>
      </c>
      <c r="AJ31" s="2" t="str">
        <f t="shared" si="6"/>
        <v/>
      </c>
      <c r="AK31" s="2" t="str">
        <f t="shared" si="7"/>
        <v/>
      </c>
      <c r="AL31" s="2" t="str">
        <f t="shared" si="8"/>
        <v/>
      </c>
      <c r="AM31" s="2" t="str">
        <f t="shared" si="9"/>
        <v/>
      </c>
      <c r="AN31" s="2" t="str">
        <f t="shared" si="10"/>
        <v/>
      </c>
      <c r="AO31" s="2" t="str">
        <f t="shared" si="11"/>
        <v/>
      </c>
      <c r="AP31" s="2" t="str">
        <f t="shared" si="12"/>
        <v/>
      </c>
      <c r="AQ31" s="2" t="str">
        <f t="shared" si="13"/>
        <v/>
      </c>
      <c r="AR31" s="2">
        <f t="shared" si="14"/>
        <v>0.76247610715031711</v>
      </c>
      <c r="AT31" s="143">
        <f t="shared" si="15"/>
        <v>-2.0583978589140628E-2</v>
      </c>
      <c r="AU31" s="143">
        <f t="shared" si="16"/>
        <v>-0.12142361479662545</v>
      </c>
      <c r="AV31" s="143">
        <f t="shared" si="17"/>
        <v>8.3590019994736586E-2</v>
      </c>
      <c r="AW31" s="143" t="str">
        <f t="shared" si="18"/>
        <v/>
      </c>
      <c r="AX31" s="143" t="str">
        <f t="shared" si="19"/>
        <v/>
      </c>
      <c r="AY31" s="143" t="str">
        <f t="shared" si="20"/>
        <v/>
      </c>
      <c r="AZ31" s="143" t="str">
        <f t="shared" si="21"/>
        <v/>
      </c>
      <c r="BA31" s="143" t="str">
        <f t="shared" si="22"/>
        <v/>
      </c>
      <c r="BB31" s="143" t="str">
        <f t="shared" si="23"/>
        <v/>
      </c>
      <c r="BC31" s="143" t="str">
        <f t="shared" si="24"/>
        <v/>
      </c>
      <c r="BD31" s="143" t="str">
        <f t="shared" si="25"/>
        <v/>
      </c>
      <c r="BF31" s="9">
        <f t="shared" si="26"/>
        <v>2.6073295352240676E-3</v>
      </c>
      <c r="BG31" s="9">
        <f t="shared" si="27"/>
        <v>0.8066022167443786</v>
      </c>
    </row>
    <row r="32" spans="2:59" x14ac:dyDescent="0.35">
      <c r="B32" s="3" t="s">
        <v>225</v>
      </c>
      <c r="D32" s="141">
        <v>700561</v>
      </c>
      <c r="E32" s="141">
        <v>3123117</v>
      </c>
      <c r="F32" s="141">
        <v>1087189</v>
      </c>
      <c r="G32" s="141">
        <v>1847437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6758304</v>
      </c>
      <c r="R32" s="141">
        <v>567792</v>
      </c>
      <c r="S32" s="141">
        <v>2766179</v>
      </c>
      <c r="T32" s="141">
        <v>878367</v>
      </c>
      <c r="U32" s="141">
        <v>1565338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5777676</v>
      </c>
      <c r="AF32" s="2">
        <f t="shared" si="2"/>
        <v>0.81048188523197839</v>
      </c>
      <c r="AG32" s="2">
        <f t="shared" si="3"/>
        <v>0.88571097400449617</v>
      </c>
      <c r="AH32" s="2">
        <f t="shared" si="4"/>
        <v>0.8079248410349994</v>
      </c>
      <c r="AI32" s="2">
        <f t="shared" si="5"/>
        <v>0.84730250612064173</v>
      </c>
      <c r="AJ32" s="2" t="str">
        <f t="shared" si="6"/>
        <v/>
      </c>
      <c r="AK32" s="2" t="str">
        <f t="shared" si="7"/>
        <v/>
      </c>
      <c r="AL32" s="2" t="str">
        <f t="shared" si="8"/>
        <v/>
      </c>
      <c r="AM32" s="2" t="str">
        <f t="shared" si="9"/>
        <v/>
      </c>
      <c r="AN32" s="2" t="str">
        <f t="shared" si="10"/>
        <v/>
      </c>
      <c r="AO32" s="2" t="str">
        <f t="shared" si="11"/>
        <v/>
      </c>
      <c r="AP32" s="2" t="str">
        <f t="shared" si="12"/>
        <v/>
      </c>
      <c r="AQ32" s="2" t="str">
        <f t="shared" si="13"/>
        <v/>
      </c>
      <c r="AR32" s="2">
        <f t="shared" si="14"/>
        <v>0.85490028267446982</v>
      </c>
      <c r="AT32" s="143">
        <f t="shared" si="15"/>
        <v>7.5229088772517771E-2</v>
      </c>
      <c r="AU32" s="143">
        <f t="shared" si="16"/>
        <v>-7.7786132969496768E-2</v>
      </c>
      <c r="AV32" s="143">
        <f t="shared" si="17"/>
        <v>3.9377665085642333E-2</v>
      </c>
      <c r="AW32" s="143" t="str">
        <f t="shared" si="18"/>
        <v/>
      </c>
      <c r="AX32" s="143" t="str">
        <f t="shared" si="19"/>
        <v/>
      </c>
      <c r="AY32" s="143" t="str">
        <f t="shared" si="20"/>
        <v/>
      </c>
      <c r="AZ32" s="143" t="str">
        <f t="shared" si="21"/>
        <v/>
      </c>
      <c r="BA32" s="143" t="str">
        <f t="shared" si="22"/>
        <v/>
      </c>
      <c r="BB32" s="143" t="str">
        <f t="shared" si="23"/>
        <v/>
      </c>
      <c r="BC32" s="143" t="str">
        <f t="shared" si="24"/>
        <v/>
      </c>
      <c r="BD32" s="143" t="str">
        <f t="shared" si="25"/>
        <v/>
      </c>
      <c r="BF32" s="9">
        <f t="shared" si="26"/>
        <v>7.7864422715829811E-3</v>
      </c>
      <c r="BG32" s="9">
        <f t="shared" si="27"/>
        <v>0.81438865901596158</v>
      </c>
    </row>
    <row r="33" spans="2:59" x14ac:dyDescent="0.35">
      <c r="B33" s="3" t="s">
        <v>144</v>
      </c>
      <c r="D33" s="141">
        <v>241270</v>
      </c>
      <c r="E33" s="141">
        <v>430329</v>
      </c>
      <c r="F33" s="141">
        <v>323298</v>
      </c>
      <c r="G33" s="141">
        <v>690470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1685367</v>
      </c>
      <c r="R33" s="141">
        <v>205258</v>
      </c>
      <c r="S33" s="141">
        <v>362292</v>
      </c>
      <c r="T33" s="141">
        <v>270392</v>
      </c>
      <c r="U33" s="141">
        <v>478203</v>
      </c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1316145</v>
      </c>
      <c r="AF33" s="2">
        <f t="shared" si="2"/>
        <v>0.85073983503958217</v>
      </c>
      <c r="AG33" s="2">
        <f t="shared" si="3"/>
        <v>0.84189538701783984</v>
      </c>
      <c r="AH33" s="2">
        <f t="shared" si="4"/>
        <v>0.83635531305482869</v>
      </c>
      <c r="AI33" s="2">
        <f t="shared" si="5"/>
        <v>0.69257607137167432</v>
      </c>
      <c r="AJ33" s="2" t="str">
        <f t="shared" si="6"/>
        <v/>
      </c>
      <c r="AK33" s="2" t="str">
        <f t="shared" si="7"/>
        <v/>
      </c>
      <c r="AL33" s="2" t="str">
        <f t="shared" si="8"/>
        <v/>
      </c>
      <c r="AM33" s="2" t="str">
        <f t="shared" si="9"/>
        <v/>
      </c>
      <c r="AN33" s="2" t="str">
        <f t="shared" si="10"/>
        <v/>
      </c>
      <c r="AO33" s="2" t="str">
        <f t="shared" si="11"/>
        <v/>
      </c>
      <c r="AP33" s="2" t="str">
        <f t="shared" si="12"/>
        <v/>
      </c>
      <c r="AQ33" s="2" t="str">
        <f t="shared" si="13"/>
        <v/>
      </c>
      <c r="AR33" s="2">
        <f t="shared" si="14"/>
        <v>0.78092486680942486</v>
      </c>
      <c r="AT33" s="143">
        <f t="shared" si="15"/>
        <v>-8.8444480217423349E-3</v>
      </c>
      <c r="AU33" s="143">
        <f t="shared" si="16"/>
        <v>-5.5400739630111495E-3</v>
      </c>
      <c r="AV33" s="143">
        <f t="shared" si="17"/>
        <v>-0.14377924168315437</v>
      </c>
      <c r="AW33" s="143" t="str">
        <f t="shared" si="18"/>
        <v/>
      </c>
      <c r="AX33" s="143" t="str">
        <f t="shared" si="19"/>
        <v/>
      </c>
      <c r="AY33" s="143" t="str">
        <f t="shared" si="20"/>
        <v/>
      </c>
      <c r="AZ33" s="143" t="str">
        <f t="shared" si="21"/>
        <v/>
      </c>
      <c r="BA33" s="143" t="str">
        <f t="shared" si="22"/>
        <v/>
      </c>
      <c r="BB33" s="143" t="str">
        <f t="shared" si="23"/>
        <v/>
      </c>
      <c r="BC33" s="143" t="str">
        <f t="shared" si="24"/>
        <v/>
      </c>
      <c r="BD33" s="143" t="str">
        <f t="shared" si="25"/>
        <v/>
      </c>
      <c r="BF33" s="9">
        <f t="shared" si="26"/>
        <v>1.7737386214686638E-3</v>
      </c>
      <c r="BG33" s="9">
        <f t="shared" si="27"/>
        <v>0.81616239763743026</v>
      </c>
    </row>
    <row r="34" spans="2:59" x14ac:dyDescent="0.35">
      <c r="B34" s="3" t="s">
        <v>126</v>
      </c>
      <c r="D34" s="141">
        <v>271409</v>
      </c>
      <c r="E34" s="141">
        <v>154481</v>
      </c>
      <c r="F34" s="141">
        <v>201324</v>
      </c>
      <c r="G34" s="141">
        <v>135854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763068</v>
      </c>
      <c r="R34" s="141">
        <v>235447</v>
      </c>
      <c r="S34" s="141">
        <v>109772</v>
      </c>
      <c r="T34" s="141">
        <v>145812</v>
      </c>
      <c r="U34" s="141">
        <v>101975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593006</v>
      </c>
      <c r="AF34" s="2">
        <f t="shared" si="2"/>
        <v>0.8674988670235696</v>
      </c>
      <c r="AG34" s="2">
        <f t="shared" si="3"/>
        <v>0.71058576782905336</v>
      </c>
      <c r="AH34" s="2">
        <f t="shared" si="4"/>
        <v>0.72426536329498714</v>
      </c>
      <c r="AI34" s="2">
        <f t="shared" si="5"/>
        <v>0.75062199125531825</v>
      </c>
      <c r="AJ34" s="2" t="str">
        <f t="shared" si="6"/>
        <v/>
      </c>
      <c r="AK34" s="2" t="str">
        <f t="shared" si="7"/>
        <v/>
      </c>
      <c r="AL34" s="2" t="str">
        <f t="shared" si="8"/>
        <v/>
      </c>
      <c r="AM34" s="2" t="str">
        <f t="shared" si="9"/>
        <v/>
      </c>
      <c r="AN34" s="2" t="str">
        <f t="shared" si="10"/>
        <v/>
      </c>
      <c r="AO34" s="2" t="str">
        <f t="shared" si="11"/>
        <v/>
      </c>
      <c r="AP34" s="2" t="str">
        <f t="shared" si="12"/>
        <v/>
      </c>
      <c r="AQ34" s="2" t="str">
        <f t="shared" si="13"/>
        <v/>
      </c>
      <c r="AR34" s="2">
        <f t="shared" si="14"/>
        <v>0.77713388583979415</v>
      </c>
      <c r="AT34" s="143">
        <f t="shared" si="15"/>
        <v>-0.15691309919451624</v>
      </c>
      <c r="AU34" s="143">
        <f t="shared" si="16"/>
        <v>1.367959546593378E-2</v>
      </c>
      <c r="AV34" s="143">
        <f t="shared" si="17"/>
        <v>2.6356627960331114E-2</v>
      </c>
      <c r="AW34" s="143" t="str">
        <f t="shared" si="18"/>
        <v/>
      </c>
      <c r="AX34" s="143" t="str">
        <f t="shared" si="19"/>
        <v/>
      </c>
      <c r="AY34" s="143" t="str">
        <f t="shared" si="20"/>
        <v/>
      </c>
      <c r="AZ34" s="143" t="str">
        <f t="shared" si="21"/>
        <v/>
      </c>
      <c r="BA34" s="143" t="str">
        <f t="shared" si="22"/>
        <v/>
      </c>
      <c r="BB34" s="143" t="str">
        <f t="shared" si="23"/>
        <v/>
      </c>
      <c r="BC34" s="143" t="str">
        <f t="shared" si="24"/>
        <v/>
      </c>
      <c r="BD34" s="143" t="str">
        <f t="shared" si="25"/>
        <v/>
      </c>
      <c r="BF34" s="9">
        <f t="shared" si="26"/>
        <v>7.9918067155415736E-4</v>
      </c>
      <c r="BG34" s="9">
        <f t="shared" si="27"/>
        <v>0.81696157830898442</v>
      </c>
    </row>
    <row r="35" spans="2:59" x14ac:dyDescent="0.35">
      <c r="B35" s="3" t="s">
        <v>125</v>
      </c>
      <c r="D35" s="141">
        <v>2386880</v>
      </c>
      <c r="E35" s="141">
        <v>3007601</v>
      </c>
      <c r="F35" s="141">
        <v>2368741</v>
      </c>
      <c r="G35" s="141">
        <v>2209281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9972503</v>
      </c>
      <c r="R35" s="141">
        <v>1464736</v>
      </c>
      <c r="S35" s="141">
        <v>2064421</v>
      </c>
      <c r="T35" s="141">
        <v>1484627</v>
      </c>
      <c r="U35" s="141">
        <v>1508968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6522752</v>
      </c>
      <c r="AF35" s="2">
        <f t="shared" si="2"/>
        <v>0.61366134870626088</v>
      </c>
      <c r="AG35" s="2">
        <f t="shared" si="3"/>
        <v>0.68640122143861504</v>
      </c>
      <c r="AH35" s="2">
        <f t="shared" si="4"/>
        <v>0.62675784309048566</v>
      </c>
      <c r="AI35" s="2">
        <f t="shared" si="5"/>
        <v>0.68301316129546219</v>
      </c>
      <c r="AJ35" s="2" t="str">
        <f t="shared" si="6"/>
        <v/>
      </c>
      <c r="AK35" s="2" t="str">
        <f t="shared" si="7"/>
        <v/>
      </c>
      <c r="AL35" s="2" t="str">
        <f t="shared" si="8"/>
        <v/>
      </c>
      <c r="AM35" s="2" t="str">
        <f t="shared" si="9"/>
        <v/>
      </c>
      <c r="AN35" s="2" t="str">
        <f t="shared" si="10"/>
        <v/>
      </c>
      <c r="AO35" s="2" t="str">
        <f t="shared" si="11"/>
        <v/>
      </c>
      <c r="AP35" s="2" t="str">
        <f t="shared" si="12"/>
        <v/>
      </c>
      <c r="AQ35" s="2" t="str">
        <f t="shared" si="13"/>
        <v/>
      </c>
      <c r="AR35" s="2">
        <f t="shared" si="14"/>
        <v>0.65407370647068241</v>
      </c>
      <c r="AT35" s="143">
        <f t="shared" si="15"/>
        <v>7.2739872732354161E-2</v>
      </c>
      <c r="AU35" s="143">
        <f t="shared" si="16"/>
        <v>-5.9643378348129383E-2</v>
      </c>
      <c r="AV35" s="143">
        <f t="shared" si="17"/>
        <v>5.6255318204976534E-2</v>
      </c>
      <c r="AW35" s="143" t="str">
        <f t="shared" si="18"/>
        <v/>
      </c>
      <c r="AX35" s="143" t="str">
        <f t="shared" si="19"/>
        <v/>
      </c>
      <c r="AY35" s="143" t="str">
        <f t="shared" si="20"/>
        <v/>
      </c>
      <c r="AZ35" s="143" t="str">
        <f t="shared" si="21"/>
        <v/>
      </c>
      <c r="BA35" s="143" t="str">
        <f t="shared" si="22"/>
        <v/>
      </c>
      <c r="BB35" s="143" t="str">
        <f t="shared" si="23"/>
        <v/>
      </c>
      <c r="BC35" s="143" t="str">
        <f t="shared" si="24"/>
        <v/>
      </c>
      <c r="BD35" s="143" t="str">
        <f t="shared" si="25"/>
        <v/>
      </c>
      <c r="BF35" s="9">
        <f t="shared" si="26"/>
        <v>8.790564216451812E-3</v>
      </c>
      <c r="BG35" s="9">
        <f t="shared" si="27"/>
        <v>0.82575214252543627</v>
      </c>
    </row>
    <row r="36" spans="2:59" x14ac:dyDescent="0.35">
      <c r="B36" s="3" t="s">
        <v>119</v>
      </c>
      <c r="D36" s="141">
        <v>501324</v>
      </c>
      <c r="E36" s="141">
        <v>495292</v>
      </c>
      <c r="F36" s="141">
        <v>696895</v>
      </c>
      <c r="G36" s="141">
        <v>378708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2072219</v>
      </c>
      <c r="R36" s="141">
        <v>336190</v>
      </c>
      <c r="S36" s="141">
        <v>346770</v>
      </c>
      <c r="T36" s="141">
        <v>450098</v>
      </c>
      <c r="U36" s="141">
        <v>304409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1437467</v>
      </c>
      <c r="AF36" s="2">
        <f t="shared" si="2"/>
        <v>0.6706042399725527</v>
      </c>
      <c r="AG36" s="2">
        <f t="shared" si="3"/>
        <v>0.70013244712210176</v>
      </c>
      <c r="AH36" s="2">
        <f t="shared" si="4"/>
        <v>0.64586200216675393</v>
      </c>
      <c r="AI36" s="2">
        <f t="shared" si="5"/>
        <v>0.80380926729828783</v>
      </c>
      <c r="AJ36" s="2" t="str">
        <f t="shared" si="6"/>
        <v/>
      </c>
      <c r="AK36" s="2" t="str">
        <f t="shared" si="7"/>
        <v/>
      </c>
      <c r="AL36" s="2" t="str">
        <f t="shared" si="8"/>
        <v/>
      </c>
      <c r="AM36" s="2" t="str">
        <f t="shared" si="9"/>
        <v/>
      </c>
      <c r="AN36" s="2" t="str">
        <f t="shared" si="10"/>
        <v/>
      </c>
      <c r="AO36" s="2" t="str">
        <f t="shared" si="11"/>
        <v/>
      </c>
      <c r="AP36" s="2" t="str">
        <f t="shared" si="12"/>
        <v/>
      </c>
      <c r="AQ36" s="2" t="str">
        <f t="shared" si="13"/>
        <v/>
      </c>
      <c r="AR36" s="2">
        <f t="shared" si="14"/>
        <v>0.69368488562261033</v>
      </c>
      <c r="AT36" s="143">
        <f t="shared" si="15"/>
        <v>2.9528207149549068E-2</v>
      </c>
      <c r="AU36" s="143">
        <f t="shared" si="16"/>
        <v>-5.427044495534783E-2</v>
      </c>
      <c r="AV36" s="143">
        <f t="shared" si="17"/>
        <v>0.1579472651315339</v>
      </c>
      <c r="AW36" s="143" t="str">
        <f t="shared" si="18"/>
        <v/>
      </c>
      <c r="AX36" s="143" t="str">
        <f t="shared" si="19"/>
        <v/>
      </c>
      <c r="AY36" s="143" t="str">
        <f t="shared" si="20"/>
        <v/>
      </c>
      <c r="AZ36" s="143" t="str">
        <f t="shared" si="21"/>
        <v/>
      </c>
      <c r="BA36" s="143" t="str">
        <f t="shared" si="22"/>
        <v/>
      </c>
      <c r="BB36" s="143" t="str">
        <f t="shared" si="23"/>
        <v/>
      </c>
      <c r="BC36" s="143" t="str">
        <f t="shared" si="24"/>
        <v/>
      </c>
      <c r="BD36" s="143" t="str">
        <f t="shared" si="25"/>
        <v/>
      </c>
      <c r="BF36" s="9">
        <f t="shared" si="26"/>
        <v>1.9372415159322838E-3</v>
      </c>
      <c r="BG36" s="9">
        <f t="shared" si="27"/>
        <v>0.8276893840413686</v>
      </c>
    </row>
    <row r="37" spans="2:59" x14ac:dyDescent="0.35">
      <c r="B37" s="3" t="s">
        <v>115</v>
      </c>
      <c r="D37" s="141">
        <v>2108410</v>
      </c>
      <c r="E37" s="141">
        <v>1991914</v>
      </c>
      <c r="F37" s="141">
        <v>3181413</v>
      </c>
      <c r="G37" s="141">
        <v>1797609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9079346</v>
      </c>
      <c r="R37" s="141">
        <v>1557866</v>
      </c>
      <c r="S37" s="141">
        <v>1462826</v>
      </c>
      <c r="T37" s="141">
        <v>2296147</v>
      </c>
      <c r="U37" s="141">
        <v>1318734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6635573</v>
      </c>
      <c r="AF37" s="2">
        <f t="shared" si="2"/>
        <v>0.73888190627060202</v>
      </c>
      <c r="AG37" s="2">
        <f t="shared" si="3"/>
        <v>0.73438210685802696</v>
      </c>
      <c r="AH37" s="2">
        <f t="shared" si="4"/>
        <v>0.72173810819280615</v>
      </c>
      <c r="AI37" s="2">
        <f t="shared" si="5"/>
        <v>0.73360447127267392</v>
      </c>
      <c r="AJ37" s="2" t="str">
        <f t="shared" si="6"/>
        <v/>
      </c>
      <c r="AK37" s="2" t="str">
        <f t="shared" si="7"/>
        <v/>
      </c>
      <c r="AL37" s="2" t="str">
        <f t="shared" si="8"/>
        <v/>
      </c>
      <c r="AM37" s="2" t="str">
        <f t="shared" si="9"/>
        <v/>
      </c>
      <c r="AN37" s="2" t="str">
        <f t="shared" si="10"/>
        <v/>
      </c>
      <c r="AO37" s="2" t="str">
        <f t="shared" si="11"/>
        <v/>
      </c>
      <c r="AP37" s="2" t="str">
        <f t="shared" si="12"/>
        <v/>
      </c>
      <c r="AQ37" s="2" t="str">
        <f t="shared" si="13"/>
        <v/>
      </c>
      <c r="AR37" s="2">
        <f t="shared" si="14"/>
        <v>0.73084261795948735</v>
      </c>
      <c r="AT37" s="143">
        <f t="shared" si="15"/>
        <v>-4.4997994125750562E-3</v>
      </c>
      <c r="AU37" s="143">
        <f t="shared" si="16"/>
        <v>-1.2643998665220813E-2</v>
      </c>
      <c r="AV37" s="143">
        <f t="shared" si="17"/>
        <v>1.186636307986777E-2</v>
      </c>
      <c r="AW37" s="143" t="str">
        <f t="shared" si="18"/>
        <v/>
      </c>
      <c r="AX37" s="143" t="str">
        <f t="shared" si="19"/>
        <v/>
      </c>
      <c r="AY37" s="143" t="str">
        <f t="shared" si="20"/>
        <v/>
      </c>
      <c r="AZ37" s="143" t="str">
        <f t="shared" si="21"/>
        <v/>
      </c>
      <c r="BA37" s="143" t="str">
        <f t="shared" si="22"/>
        <v/>
      </c>
      <c r="BB37" s="143" t="str">
        <f t="shared" si="23"/>
        <v/>
      </c>
      <c r="BC37" s="143" t="str">
        <f t="shared" si="24"/>
        <v/>
      </c>
      <c r="BD37" s="143" t="str">
        <f t="shared" si="25"/>
        <v/>
      </c>
      <c r="BF37" s="9">
        <f t="shared" si="26"/>
        <v>8.9426105069537812E-3</v>
      </c>
      <c r="BG37" s="9">
        <f t="shared" si="27"/>
        <v>0.83663199454832238</v>
      </c>
    </row>
    <row r="38" spans="2:59" x14ac:dyDescent="0.35">
      <c r="B38" s="3" t="s">
        <v>124</v>
      </c>
      <c r="D38" s="141">
        <v>1031842</v>
      </c>
      <c r="E38" s="141">
        <v>1054094</v>
      </c>
      <c r="F38" s="141">
        <v>1463147</v>
      </c>
      <c r="G38" s="141">
        <v>932029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4481112</v>
      </c>
      <c r="R38" s="141">
        <v>734007</v>
      </c>
      <c r="S38" s="141">
        <v>690895</v>
      </c>
      <c r="T38" s="141">
        <v>1025614</v>
      </c>
      <c r="U38" s="141">
        <v>664064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3114580</v>
      </c>
      <c r="AF38" s="2">
        <f t="shared" si="2"/>
        <v>0.71135600217862816</v>
      </c>
      <c r="AG38" s="2">
        <f t="shared" si="3"/>
        <v>0.65543964769745389</v>
      </c>
      <c r="AH38" s="2">
        <f t="shared" si="4"/>
        <v>0.70096442804448222</v>
      </c>
      <c r="AI38" s="2">
        <f t="shared" si="5"/>
        <v>0.71249285161727804</v>
      </c>
      <c r="AJ38" s="2" t="str">
        <f t="shared" si="6"/>
        <v/>
      </c>
      <c r="AK38" s="2" t="str">
        <f t="shared" si="7"/>
        <v/>
      </c>
      <c r="AL38" s="2" t="str">
        <f t="shared" si="8"/>
        <v/>
      </c>
      <c r="AM38" s="2" t="str">
        <f t="shared" si="9"/>
        <v/>
      </c>
      <c r="AN38" s="2" t="str">
        <f t="shared" si="10"/>
        <v/>
      </c>
      <c r="AO38" s="2" t="str">
        <f t="shared" si="11"/>
        <v/>
      </c>
      <c r="AP38" s="2" t="str">
        <f t="shared" si="12"/>
        <v/>
      </c>
      <c r="AQ38" s="2" t="str">
        <f t="shared" si="13"/>
        <v/>
      </c>
      <c r="AR38" s="2">
        <f t="shared" si="14"/>
        <v>0.69504622959658224</v>
      </c>
      <c r="AT38" s="143">
        <f t="shared" si="15"/>
        <v>-5.5916354481174269E-2</v>
      </c>
      <c r="AU38" s="143">
        <f t="shared" si="16"/>
        <v>4.5524780347028337E-2</v>
      </c>
      <c r="AV38" s="143">
        <f t="shared" si="17"/>
        <v>1.1528423572795821E-2</v>
      </c>
      <c r="AW38" s="143" t="str">
        <f t="shared" si="18"/>
        <v/>
      </c>
      <c r="AX38" s="143" t="str">
        <f t="shared" si="19"/>
        <v/>
      </c>
      <c r="AY38" s="143" t="str">
        <f t="shared" si="20"/>
        <v/>
      </c>
      <c r="AZ38" s="143" t="str">
        <f t="shared" si="21"/>
        <v/>
      </c>
      <c r="BA38" s="143" t="str">
        <f t="shared" si="22"/>
        <v/>
      </c>
      <c r="BB38" s="143" t="str">
        <f t="shared" si="23"/>
        <v/>
      </c>
      <c r="BC38" s="143" t="str">
        <f t="shared" si="24"/>
        <v/>
      </c>
      <c r="BD38" s="143" t="str">
        <f t="shared" si="25"/>
        <v/>
      </c>
      <c r="BF38" s="9">
        <f t="shared" si="26"/>
        <v>4.1974484845164256E-3</v>
      </c>
      <c r="BG38" s="9">
        <f t="shared" si="27"/>
        <v>0.8408294430328388</v>
      </c>
    </row>
    <row r="39" spans="2:59" x14ac:dyDescent="0.35">
      <c r="B39" s="3" t="s">
        <v>122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2"/>
        <v>0.75955096752940288</v>
      </c>
      <c r="AG39" s="2" t="str">
        <f t="shared" si="3"/>
        <v/>
      </c>
      <c r="AH39" s="2" t="str">
        <f t="shared" si="4"/>
        <v/>
      </c>
      <c r="AI39" s="2" t="str">
        <f t="shared" si="5"/>
        <v/>
      </c>
      <c r="AJ39" s="2" t="str">
        <f t="shared" si="6"/>
        <v/>
      </c>
      <c r="AK39" s="2" t="str">
        <f t="shared" si="7"/>
        <v/>
      </c>
      <c r="AL39" s="2" t="str">
        <f t="shared" si="8"/>
        <v/>
      </c>
      <c r="AM39" s="2" t="str">
        <f t="shared" si="9"/>
        <v/>
      </c>
      <c r="AN39" s="2" t="str">
        <f t="shared" si="10"/>
        <v/>
      </c>
      <c r="AO39" s="2" t="str">
        <f t="shared" si="11"/>
        <v/>
      </c>
      <c r="AP39" s="2" t="str">
        <f t="shared" si="12"/>
        <v/>
      </c>
      <c r="AQ39" s="2" t="str">
        <f t="shared" si="13"/>
        <v/>
      </c>
      <c r="AR39" s="2">
        <f t="shared" si="14"/>
        <v>0.75955096752940288</v>
      </c>
      <c r="AT39" s="143" t="str">
        <f t="shared" si="15"/>
        <v/>
      </c>
      <c r="AU39" s="143" t="str">
        <f t="shared" si="16"/>
        <v/>
      </c>
      <c r="AV39" s="143" t="str">
        <f t="shared" si="17"/>
        <v/>
      </c>
      <c r="AW39" s="143" t="str">
        <f t="shared" si="18"/>
        <v/>
      </c>
      <c r="AX39" s="143" t="str">
        <f t="shared" si="19"/>
        <v/>
      </c>
      <c r="AY39" s="143" t="str">
        <f t="shared" si="20"/>
        <v/>
      </c>
      <c r="AZ39" s="143" t="str">
        <f t="shared" si="21"/>
        <v/>
      </c>
      <c r="BA39" s="143" t="str">
        <f t="shared" si="22"/>
        <v/>
      </c>
      <c r="BB39" s="143" t="str">
        <f t="shared" si="23"/>
        <v/>
      </c>
      <c r="BC39" s="143" t="str">
        <f t="shared" si="24"/>
        <v/>
      </c>
      <c r="BD39" s="143" t="str">
        <f t="shared" si="25"/>
        <v/>
      </c>
      <c r="BF39" s="9">
        <f t="shared" si="26"/>
        <v>1.2926434633891929E-3</v>
      </c>
      <c r="BG39" s="9">
        <f t="shared" si="27"/>
        <v>0.842122086496228</v>
      </c>
    </row>
    <row r="40" spans="2:59" x14ac:dyDescent="0.35">
      <c r="B40" s="3" t="s">
        <v>112</v>
      </c>
      <c r="D40" s="141">
        <v>446476</v>
      </c>
      <c r="E40" s="141">
        <v>417753</v>
      </c>
      <c r="F40" s="141">
        <v>840416</v>
      </c>
      <c r="G40" s="141">
        <v>137197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1841842</v>
      </c>
      <c r="R40" s="141">
        <v>332334</v>
      </c>
      <c r="S40" s="141">
        <v>246096</v>
      </c>
      <c r="T40" s="141">
        <v>707251</v>
      </c>
      <c r="U40" s="141">
        <v>66581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1352262</v>
      </c>
      <c r="AF40" s="2">
        <f t="shared" si="2"/>
        <v>0.74434908035370317</v>
      </c>
      <c r="AG40" s="2">
        <f t="shared" si="3"/>
        <v>0.58909451278626368</v>
      </c>
      <c r="AH40" s="2">
        <f t="shared" si="4"/>
        <v>0.84154870921067659</v>
      </c>
      <c r="AI40" s="2">
        <f t="shared" si="5"/>
        <v>0.48529486796358523</v>
      </c>
      <c r="AJ40" s="2" t="str">
        <f t="shared" si="6"/>
        <v/>
      </c>
      <c r="AK40" s="2" t="str">
        <f t="shared" si="7"/>
        <v/>
      </c>
      <c r="AL40" s="2" t="str">
        <f t="shared" si="8"/>
        <v/>
      </c>
      <c r="AM40" s="2" t="str">
        <f t="shared" si="9"/>
        <v/>
      </c>
      <c r="AN40" s="2" t="str">
        <f t="shared" si="10"/>
        <v/>
      </c>
      <c r="AO40" s="2" t="str">
        <f t="shared" si="11"/>
        <v/>
      </c>
      <c r="AP40" s="2" t="str">
        <f t="shared" si="12"/>
        <v/>
      </c>
      <c r="AQ40" s="2" t="str">
        <f t="shared" si="13"/>
        <v/>
      </c>
      <c r="AR40" s="2">
        <f t="shared" si="14"/>
        <v>0.73419001195542288</v>
      </c>
      <c r="AT40" s="143">
        <f t="shared" si="15"/>
        <v>-0.15525456756743949</v>
      </c>
      <c r="AU40" s="143">
        <f t="shared" si="16"/>
        <v>0.25245419642441291</v>
      </c>
      <c r="AV40" s="143">
        <f t="shared" si="17"/>
        <v>-0.35625384124709136</v>
      </c>
      <c r="AW40" s="143" t="str">
        <f t="shared" si="18"/>
        <v/>
      </c>
      <c r="AX40" s="143" t="str">
        <f t="shared" si="19"/>
        <v/>
      </c>
      <c r="AY40" s="143" t="str">
        <f t="shared" si="20"/>
        <v/>
      </c>
      <c r="AZ40" s="143" t="str">
        <f t="shared" si="21"/>
        <v/>
      </c>
      <c r="BA40" s="143" t="str">
        <f t="shared" si="22"/>
        <v/>
      </c>
      <c r="BB40" s="143" t="str">
        <f t="shared" si="23"/>
        <v/>
      </c>
      <c r="BC40" s="143" t="str">
        <f t="shared" si="24"/>
        <v/>
      </c>
      <c r="BD40" s="143" t="str">
        <f t="shared" si="25"/>
        <v/>
      </c>
      <c r="BF40" s="9">
        <f t="shared" si="26"/>
        <v>1.8224126792598522E-3</v>
      </c>
      <c r="BG40" s="9">
        <f t="shared" si="27"/>
        <v>0.84394449917548786</v>
      </c>
    </row>
    <row r="41" spans="2:59" x14ac:dyDescent="0.35">
      <c r="B41" s="3" t="s">
        <v>123</v>
      </c>
      <c r="D41" s="141">
        <v>173965</v>
      </c>
      <c r="E41" s="141">
        <v>255208</v>
      </c>
      <c r="F41" s="141">
        <v>252881</v>
      </c>
      <c r="G41" s="141">
        <v>144666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826720</v>
      </c>
      <c r="R41" s="141">
        <v>134702</v>
      </c>
      <c r="S41" s="141">
        <v>207529</v>
      </c>
      <c r="T41" s="141">
        <v>169945</v>
      </c>
      <c r="U41" s="141">
        <v>121065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633241</v>
      </c>
      <c r="AF41" s="2">
        <f t="shared" si="2"/>
        <v>0.77430517632857188</v>
      </c>
      <c r="AG41" s="2">
        <f t="shared" si="3"/>
        <v>0.81317591925018029</v>
      </c>
      <c r="AH41" s="2">
        <f t="shared" si="4"/>
        <v>0.67203546332069231</v>
      </c>
      <c r="AI41" s="2">
        <f t="shared" si="5"/>
        <v>0.83685869520136036</v>
      </c>
      <c r="AJ41" s="2" t="str">
        <f t="shared" si="6"/>
        <v/>
      </c>
      <c r="AK41" s="2" t="str">
        <f t="shared" si="7"/>
        <v/>
      </c>
      <c r="AL41" s="2" t="str">
        <f t="shared" si="8"/>
        <v/>
      </c>
      <c r="AM41" s="2" t="str">
        <f t="shared" si="9"/>
        <v/>
      </c>
      <c r="AN41" s="2" t="str">
        <f t="shared" si="10"/>
        <v/>
      </c>
      <c r="AO41" s="2" t="str">
        <f t="shared" si="11"/>
        <v/>
      </c>
      <c r="AP41" s="2" t="str">
        <f t="shared" si="12"/>
        <v/>
      </c>
      <c r="AQ41" s="2" t="str">
        <f t="shared" si="13"/>
        <v/>
      </c>
      <c r="AR41" s="2">
        <f t="shared" si="14"/>
        <v>0.76596792142442427</v>
      </c>
      <c r="AT41" s="143">
        <f t="shared" si="15"/>
        <v>3.8870742921608414E-2</v>
      </c>
      <c r="AU41" s="143">
        <f t="shared" si="16"/>
        <v>-0.14114045592948798</v>
      </c>
      <c r="AV41" s="143">
        <f t="shared" si="17"/>
        <v>0.16482323188066805</v>
      </c>
      <c r="AW41" s="143" t="str">
        <f t="shared" si="18"/>
        <v/>
      </c>
      <c r="AX41" s="143" t="str">
        <f t="shared" si="19"/>
        <v/>
      </c>
      <c r="AY41" s="143" t="str">
        <f t="shared" si="20"/>
        <v/>
      </c>
      <c r="AZ41" s="143" t="str">
        <f t="shared" si="21"/>
        <v/>
      </c>
      <c r="BA41" s="143" t="str">
        <f t="shared" si="22"/>
        <v/>
      </c>
      <c r="BB41" s="143" t="str">
        <f t="shared" si="23"/>
        <v/>
      </c>
      <c r="BC41" s="143" t="str">
        <f t="shared" si="24"/>
        <v/>
      </c>
      <c r="BD41" s="143" t="str">
        <f t="shared" si="25"/>
        <v/>
      </c>
      <c r="BF41" s="9">
        <f t="shared" si="26"/>
        <v>8.5340446409585429E-4</v>
      </c>
      <c r="BG41" s="9">
        <f t="shared" si="27"/>
        <v>0.84479790363958374</v>
      </c>
    </row>
    <row r="42" spans="2:59" x14ac:dyDescent="0.35">
      <c r="B42" s="3" t="s">
        <v>121</v>
      </c>
      <c r="D42" s="141">
        <v>1688263</v>
      </c>
      <c r="E42" s="141">
        <v>1385283</v>
      </c>
      <c r="F42" s="141">
        <v>1581199</v>
      </c>
      <c r="G42" s="141">
        <v>1293328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5948073</v>
      </c>
      <c r="R42" s="141">
        <v>1153477</v>
      </c>
      <c r="S42" s="141">
        <v>909929</v>
      </c>
      <c r="T42" s="141">
        <v>1058274</v>
      </c>
      <c r="U42" s="141">
        <v>960061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4081741</v>
      </c>
      <c r="AF42" s="2">
        <f t="shared" si="2"/>
        <v>0.68323300338869009</v>
      </c>
      <c r="AG42" s="2">
        <f t="shared" si="3"/>
        <v>0.65685423122928677</v>
      </c>
      <c r="AH42" s="2">
        <f t="shared" si="4"/>
        <v>0.66928577617365048</v>
      </c>
      <c r="AI42" s="2">
        <f t="shared" si="5"/>
        <v>0.74231826729182393</v>
      </c>
      <c r="AJ42" s="2" t="str">
        <f t="shared" si="6"/>
        <v/>
      </c>
      <c r="AK42" s="2" t="str">
        <f t="shared" si="7"/>
        <v/>
      </c>
      <c r="AL42" s="2" t="str">
        <f t="shared" si="8"/>
        <v/>
      </c>
      <c r="AM42" s="2" t="str">
        <f t="shared" si="9"/>
        <v/>
      </c>
      <c r="AN42" s="2" t="str">
        <f t="shared" si="10"/>
        <v/>
      </c>
      <c r="AO42" s="2" t="str">
        <f t="shared" si="11"/>
        <v/>
      </c>
      <c r="AP42" s="2" t="str">
        <f t="shared" si="12"/>
        <v/>
      </c>
      <c r="AQ42" s="2" t="str">
        <f t="shared" si="13"/>
        <v/>
      </c>
      <c r="AR42" s="2">
        <f t="shared" si="14"/>
        <v>0.68622913673050079</v>
      </c>
      <c r="AT42" s="143">
        <f t="shared" si="15"/>
        <v>-2.6378772159403319E-2</v>
      </c>
      <c r="AU42" s="143">
        <f t="shared" si="16"/>
        <v>1.2431544944363715E-2</v>
      </c>
      <c r="AV42" s="143">
        <f t="shared" si="17"/>
        <v>7.3032491118173448E-2</v>
      </c>
      <c r="AW42" s="143" t="str">
        <f t="shared" si="18"/>
        <v/>
      </c>
      <c r="AX42" s="143" t="str">
        <f t="shared" si="19"/>
        <v/>
      </c>
      <c r="AY42" s="143" t="str">
        <f t="shared" si="20"/>
        <v/>
      </c>
      <c r="AZ42" s="143" t="str">
        <f t="shared" si="21"/>
        <v/>
      </c>
      <c r="BA42" s="143" t="str">
        <f t="shared" si="22"/>
        <v/>
      </c>
      <c r="BB42" s="143" t="str">
        <f t="shared" si="23"/>
        <v/>
      </c>
      <c r="BC42" s="143" t="str">
        <f t="shared" si="24"/>
        <v/>
      </c>
      <c r="BD42" s="143" t="str">
        <f t="shared" si="25"/>
        <v/>
      </c>
      <c r="BF42" s="9">
        <f t="shared" si="26"/>
        <v>5.5008693225534607E-3</v>
      </c>
      <c r="BG42" s="9">
        <f t="shared" si="27"/>
        <v>0.85029877296213718</v>
      </c>
    </row>
    <row r="43" spans="2:59" x14ac:dyDescent="0.35">
      <c r="B43" s="3" t="s">
        <v>217</v>
      </c>
      <c r="D43" s="141">
        <v>2225276</v>
      </c>
      <c r="E43" s="141">
        <v>1402165</v>
      </c>
      <c r="F43" s="141">
        <v>1158580</v>
      </c>
      <c r="G43" s="141">
        <v>2385119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7171140</v>
      </c>
      <c r="R43" s="141">
        <v>1634486</v>
      </c>
      <c r="S43" s="141">
        <v>1015622</v>
      </c>
      <c r="T43" s="141">
        <v>835183</v>
      </c>
      <c r="U43" s="141">
        <v>1723786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5209077</v>
      </c>
      <c r="AF43" s="2">
        <f t="shared" si="2"/>
        <v>0.73450933726872536</v>
      </c>
      <c r="AG43" s="2">
        <f t="shared" si="3"/>
        <v>0.72432417012263184</v>
      </c>
      <c r="AH43" s="2">
        <f t="shared" si="4"/>
        <v>0.72086778642821381</v>
      </c>
      <c r="AI43" s="2">
        <f t="shared" si="5"/>
        <v>0.72272536506564244</v>
      </c>
      <c r="AJ43" s="2" t="str">
        <f t="shared" si="6"/>
        <v/>
      </c>
      <c r="AK43" s="2" t="str">
        <f t="shared" si="7"/>
        <v/>
      </c>
      <c r="AL43" s="2" t="str">
        <f t="shared" si="8"/>
        <v/>
      </c>
      <c r="AM43" s="2" t="str">
        <f t="shared" si="9"/>
        <v/>
      </c>
      <c r="AN43" s="2" t="str">
        <f t="shared" si="10"/>
        <v/>
      </c>
      <c r="AO43" s="2" t="str">
        <f t="shared" si="11"/>
        <v/>
      </c>
      <c r="AP43" s="2" t="str">
        <f t="shared" si="12"/>
        <v/>
      </c>
      <c r="AQ43" s="2" t="str">
        <f t="shared" si="13"/>
        <v/>
      </c>
      <c r="AR43" s="2">
        <f t="shared" si="14"/>
        <v>0.72639454814715654</v>
      </c>
      <c r="AT43" s="143">
        <f t="shared" si="15"/>
        <v>-1.0185167146093521E-2</v>
      </c>
      <c r="AU43" s="143">
        <f t="shared" si="16"/>
        <v>-3.4563836944180304E-3</v>
      </c>
      <c r="AV43" s="143">
        <f t="shared" si="17"/>
        <v>1.8575786374286363E-3</v>
      </c>
      <c r="AW43" s="143" t="str">
        <f t="shared" si="18"/>
        <v/>
      </c>
      <c r="AX43" s="143" t="str">
        <f t="shared" si="19"/>
        <v/>
      </c>
      <c r="AY43" s="143" t="str">
        <f t="shared" si="20"/>
        <v/>
      </c>
      <c r="AZ43" s="143" t="str">
        <f t="shared" si="21"/>
        <v/>
      </c>
      <c r="BA43" s="143" t="str">
        <f t="shared" si="22"/>
        <v/>
      </c>
      <c r="BB43" s="143" t="str">
        <f t="shared" si="23"/>
        <v/>
      </c>
      <c r="BC43" s="143" t="str">
        <f t="shared" si="24"/>
        <v/>
      </c>
      <c r="BD43" s="143" t="str">
        <f t="shared" si="25"/>
        <v/>
      </c>
      <c r="BF43" s="9">
        <f t="shared" si="26"/>
        <v>7.0201543576916851E-3</v>
      </c>
      <c r="BG43" s="9">
        <f t="shared" si="27"/>
        <v>0.85731892731982884</v>
      </c>
    </row>
    <row r="44" spans="2:59" x14ac:dyDescent="0.35">
      <c r="B44" s="3" t="s">
        <v>128</v>
      </c>
      <c r="D44" s="141">
        <v>1128556</v>
      </c>
      <c r="E44" s="141">
        <v>931511</v>
      </c>
      <c r="F44" s="141">
        <v>1352395</v>
      </c>
      <c r="G44" s="141">
        <v>830710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4243172</v>
      </c>
      <c r="R44" s="141">
        <v>848421</v>
      </c>
      <c r="S44" s="141">
        <v>700147</v>
      </c>
      <c r="T44" s="141">
        <v>933475</v>
      </c>
      <c r="U44" s="141">
        <v>605597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3087640</v>
      </c>
      <c r="AF44" s="2">
        <f t="shared" si="2"/>
        <v>0.75177572047820396</v>
      </c>
      <c r="AG44" s="2">
        <f t="shared" si="3"/>
        <v>0.75162504790603657</v>
      </c>
      <c r="AH44" s="2">
        <f t="shared" si="4"/>
        <v>0.69023842886139031</v>
      </c>
      <c r="AI44" s="2">
        <f t="shared" si="5"/>
        <v>0.72901132765947196</v>
      </c>
      <c r="AJ44" s="2" t="str">
        <f t="shared" si="6"/>
        <v/>
      </c>
      <c r="AK44" s="2" t="str">
        <f t="shared" si="7"/>
        <v/>
      </c>
      <c r="AL44" s="2" t="str">
        <f t="shared" si="8"/>
        <v/>
      </c>
      <c r="AM44" s="2" t="str">
        <f t="shared" si="9"/>
        <v/>
      </c>
      <c r="AN44" s="2" t="str">
        <f t="shared" si="10"/>
        <v/>
      </c>
      <c r="AO44" s="2" t="str">
        <f t="shared" si="11"/>
        <v/>
      </c>
      <c r="AP44" s="2" t="str">
        <f t="shared" si="12"/>
        <v/>
      </c>
      <c r="AQ44" s="2" t="str">
        <f t="shared" si="13"/>
        <v/>
      </c>
      <c r="AR44" s="2">
        <f t="shared" si="14"/>
        <v>0.72767259964950748</v>
      </c>
      <c r="AT44" s="143">
        <f t="shared" si="15"/>
        <v>-1.5067257216738739E-4</v>
      </c>
      <c r="AU44" s="143">
        <f t="shared" si="16"/>
        <v>-6.1386619044646262E-2</v>
      </c>
      <c r="AV44" s="143">
        <f t="shared" si="17"/>
        <v>3.8772898798081656E-2</v>
      </c>
      <c r="AW44" s="143" t="str">
        <f t="shared" si="18"/>
        <v/>
      </c>
      <c r="AX44" s="143" t="str">
        <f t="shared" si="19"/>
        <v/>
      </c>
      <c r="AY44" s="143" t="str">
        <f t="shared" si="20"/>
        <v/>
      </c>
      <c r="AZ44" s="143" t="str">
        <f t="shared" si="21"/>
        <v/>
      </c>
      <c r="BA44" s="143" t="str">
        <f t="shared" si="22"/>
        <v/>
      </c>
      <c r="BB44" s="143" t="str">
        <f t="shared" si="23"/>
        <v/>
      </c>
      <c r="BC44" s="143" t="str">
        <f t="shared" si="24"/>
        <v/>
      </c>
      <c r="BD44" s="143" t="str">
        <f t="shared" si="25"/>
        <v/>
      </c>
      <c r="BF44" s="9">
        <f t="shared" si="26"/>
        <v>4.1611420604808014E-3</v>
      </c>
      <c r="BG44" s="9">
        <f t="shared" si="27"/>
        <v>0.86148006938030963</v>
      </c>
    </row>
    <row r="45" spans="2:59" x14ac:dyDescent="0.35">
      <c r="B45" s="3" t="s">
        <v>127</v>
      </c>
      <c r="D45" s="141">
        <v>592889</v>
      </c>
      <c r="E45" s="141">
        <v>521809</v>
      </c>
      <c r="F45" s="141">
        <v>1419412</v>
      </c>
      <c r="G45" s="141">
        <v>372960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2907070</v>
      </c>
      <c r="R45" s="141">
        <v>401501</v>
      </c>
      <c r="S45" s="141">
        <v>382166</v>
      </c>
      <c r="T45" s="141">
        <v>1187752</v>
      </c>
      <c r="U45" s="141">
        <v>270697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2242116</v>
      </c>
      <c r="AF45" s="2">
        <f t="shared" si="2"/>
        <v>0.67719421341937525</v>
      </c>
      <c r="AG45" s="2">
        <f t="shared" si="3"/>
        <v>0.73238675454045443</v>
      </c>
      <c r="AH45" s="2">
        <f t="shared" si="4"/>
        <v>0.83679157284847527</v>
      </c>
      <c r="AI45" s="2">
        <f t="shared" si="5"/>
        <v>0.72580705705705706</v>
      </c>
      <c r="AJ45" s="2" t="str">
        <f t="shared" si="6"/>
        <v/>
      </c>
      <c r="AK45" s="2" t="str">
        <f t="shared" si="7"/>
        <v/>
      </c>
      <c r="AL45" s="2" t="str">
        <f t="shared" si="8"/>
        <v/>
      </c>
      <c r="AM45" s="2" t="str">
        <f t="shared" si="9"/>
        <v/>
      </c>
      <c r="AN45" s="2" t="str">
        <f t="shared" si="10"/>
        <v/>
      </c>
      <c r="AO45" s="2" t="str">
        <f t="shared" si="11"/>
        <v/>
      </c>
      <c r="AP45" s="2" t="str">
        <f t="shared" si="12"/>
        <v/>
      </c>
      <c r="AQ45" s="2" t="str">
        <f t="shared" si="13"/>
        <v/>
      </c>
      <c r="AR45" s="2">
        <f t="shared" si="14"/>
        <v>0.771263161877767</v>
      </c>
      <c r="AT45" s="143">
        <f t="shared" si="15"/>
        <v>5.5192541121079186E-2</v>
      </c>
      <c r="AU45" s="143">
        <f t="shared" si="16"/>
        <v>0.10440481830802084</v>
      </c>
      <c r="AV45" s="143">
        <f t="shared" si="17"/>
        <v>-0.11098451579141821</v>
      </c>
      <c r="AW45" s="143" t="str">
        <f t="shared" si="18"/>
        <v/>
      </c>
      <c r="AX45" s="143" t="str">
        <f t="shared" si="19"/>
        <v/>
      </c>
      <c r="AY45" s="143" t="str">
        <f t="shared" si="20"/>
        <v/>
      </c>
      <c r="AZ45" s="143" t="str">
        <f t="shared" si="21"/>
        <v/>
      </c>
      <c r="BA45" s="143" t="str">
        <f t="shared" si="22"/>
        <v/>
      </c>
      <c r="BB45" s="143" t="str">
        <f t="shared" si="23"/>
        <v/>
      </c>
      <c r="BC45" s="143" t="str">
        <f t="shared" si="24"/>
        <v/>
      </c>
      <c r="BD45" s="143" t="str">
        <f t="shared" si="25"/>
        <v/>
      </c>
      <c r="BF45" s="9">
        <f t="shared" si="26"/>
        <v>3.0216486352285152E-3</v>
      </c>
      <c r="BG45" s="9">
        <f t="shared" si="27"/>
        <v>0.8645017180155381</v>
      </c>
    </row>
    <row r="46" spans="2:59" x14ac:dyDescent="0.35">
      <c r="B46" s="3" t="s">
        <v>139</v>
      </c>
      <c r="D46" s="141">
        <v>804791</v>
      </c>
      <c r="E46" s="141">
        <v>573592</v>
      </c>
      <c r="F46" s="141">
        <v>659668</v>
      </c>
      <c r="G46" s="141">
        <v>582122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2620173</v>
      </c>
      <c r="R46" s="141">
        <v>633198</v>
      </c>
      <c r="S46" s="141">
        <v>423606</v>
      </c>
      <c r="T46" s="141">
        <v>458571</v>
      </c>
      <c r="U46" s="141">
        <v>451956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1967331</v>
      </c>
      <c r="AF46" s="2">
        <f t="shared" si="2"/>
        <v>0.78678563751334196</v>
      </c>
      <c r="AG46" s="2">
        <f t="shared" si="3"/>
        <v>0.73851448416295906</v>
      </c>
      <c r="AH46" s="2">
        <f t="shared" si="4"/>
        <v>0.69515422909706093</v>
      </c>
      <c r="AI46" s="2">
        <f t="shared" si="5"/>
        <v>0.77639395178330317</v>
      </c>
      <c r="AJ46" s="2" t="str">
        <f t="shared" si="6"/>
        <v/>
      </c>
      <c r="AK46" s="2" t="str">
        <f t="shared" si="7"/>
        <v/>
      </c>
      <c r="AL46" s="2" t="str">
        <f t="shared" si="8"/>
        <v/>
      </c>
      <c r="AM46" s="2" t="str">
        <f t="shared" si="9"/>
        <v/>
      </c>
      <c r="AN46" s="2" t="str">
        <f t="shared" si="10"/>
        <v/>
      </c>
      <c r="AO46" s="2" t="str">
        <f t="shared" si="11"/>
        <v/>
      </c>
      <c r="AP46" s="2" t="str">
        <f t="shared" si="12"/>
        <v/>
      </c>
      <c r="AQ46" s="2" t="str">
        <f t="shared" si="13"/>
        <v/>
      </c>
      <c r="AR46" s="2">
        <f t="shared" si="14"/>
        <v>0.75084011628239811</v>
      </c>
      <c r="AT46" s="2" t="str">
        <f t="shared" ref="AT46:AT77" si="28">+IFERROR(AM46-AL46,"")</f>
        <v/>
      </c>
      <c r="AU46" s="2" t="str">
        <f t="shared" ref="AU46:AU77" si="29">+IFERROR(AN46-AM46,"")</f>
        <v/>
      </c>
      <c r="AV46" s="143">
        <f t="shared" ref="AV46:AV77" si="30">+IFERROR(AI46-AH46,"")</f>
        <v>8.1239722686242244E-2</v>
      </c>
      <c r="AW46" s="143" t="str">
        <f t="shared" ref="AW46:AW77" si="31">+IFERROR(AJ46-AI46,"")</f>
        <v/>
      </c>
      <c r="AX46" s="143" t="str">
        <f t="shared" ref="AX46:AX77" si="32">+IFERROR(AK46-AJ46,"")</f>
        <v/>
      </c>
      <c r="AY46" s="143" t="str">
        <f t="shared" ref="AY46:AY77" si="33">+IFERROR(AL46-AK46,"")</f>
        <v/>
      </c>
      <c r="AZ46" s="143" t="str">
        <f t="shared" ref="AZ46:AZ77" si="34">+IFERROR(AM46-AL46,"")</f>
        <v/>
      </c>
      <c r="BA46" s="143" t="str">
        <f t="shared" ref="BA46:BA77" si="35">+IFERROR(AN46-AM46,"")</f>
        <v/>
      </c>
      <c r="BB46" s="143" t="str">
        <f t="shared" ref="BB46:BB77" si="36">+IFERROR(AO46-AN46,"")</f>
        <v/>
      </c>
      <c r="BC46" s="143" t="str">
        <f t="shared" ref="BC46:BC77" si="37">+IFERROR(AP46-AO46,"")</f>
        <v/>
      </c>
      <c r="BD46" s="143" t="str">
        <f t="shared" ref="BD46:BD77" si="38">+IFERROR(AQ46-AP46,"")</f>
        <v/>
      </c>
      <c r="BF46" s="9">
        <f t="shared" si="26"/>
        <v>2.6513271530967846E-3</v>
      </c>
      <c r="BG46" s="9">
        <f t="shared" si="27"/>
        <v>0.8671530451686349</v>
      </c>
    </row>
    <row r="47" spans="2:59" x14ac:dyDescent="0.35">
      <c r="B47" s="3" t="s">
        <v>132</v>
      </c>
      <c r="D47" s="141">
        <v>1192866</v>
      </c>
      <c r="E47" s="141">
        <v>1096341</v>
      </c>
      <c r="F47" s="141">
        <v>1249263</v>
      </c>
      <c r="G47" s="141">
        <v>884995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4423465</v>
      </c>
      <c r="R47" s="141">
        <v>866332</v>
      </c>
      <c r="S47" s="141">
        <v>789536</v>
      </c>
      <c r="T47" s="141">
        <v>844237</v>
      </c>
      <c r="U47" s="141">
        <v>630153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3130258</v>
      </c>
      <c r="AF47" s="2">
        <f t="shared" si="2"/>
        <v>0.72626095470907881</v>
      </c>
      <c r="AG47" s="2">
        <f t="shared" si="3"/>
        <v>0.72015549906461584</v>
      </c>
      <c r="AH47" s="2">
        <f t="shared" si="4"/>
        <v>0.67578804463111453</v>
      </c>
      <c r="AI47" s="2">
        <f t="shared" si="5"/>
        <v>0.71204131096785861</v>
      </c>
      <c r="AJ47" s="2" t="str">
        <f t="shared" si="6"/>
        <v/>
      </c>
      <c r="AK47" s="2" t="str">
        <f t="shared" si="7"/>
        <v/>
      </c>
      <c r="AL47" s="2" t="str">
        <f t="shared" si="8"/>
        <v/>
      </c>
      <c r="AM47" s="2" t="str">
        <f t="shared" si="9"/>
        <v/>
      </c>
      <c r="AN47" s="2" t="str">
        <f t="shared" si="10"/>
        <v/>
      </c>
      <c r="AO47" s="2" t="str">
        <f t="shared" si="11"/>
        <v/>
      </c>
      <c r="AP47" s="2" t="str">
        <f t="shared" si="12"/>
        <v/>
      </c>
      <c r="AQ47" s="2" t="str">
        <f t="shared" si="13"/>
        <v/>
      </c>
      <c r="AR47" s="2">
        <f t="shared" si="14"/>
        <v>0.70764841589116223</v>
      </c>
      <c r="AT47" s="2" t="str">
        <f t="shared" si="28"/>
        <v/>
      </c>
      <c r="AU47" s="2" t="str">
        <f t="shared" si="29"/>
        <v/>
      </c>
      <c r="AV47" s="143">
        <f t="shared" si="30"/>
        <v>3.6253266336744083E-2</v>
      </c>
      <c r="AW47" s="143" t="str">
        <f t="shared" si="31"/>
        <v/>
      </c>
      <c r="AX47" s="143" t="str">
        <f t="shared" si="32"/>
        <v/>
      </c>
      <c r="AY47" s="143" t="str">
        <f t="shared" si="33"/>
        <v/>
      </c>
      <c r="AZ47" s="143" t="str">
        <f t="shared" si="34"/>
        <v/>
      </c>
      <c r="BA47" s="143" t="str">
        <f t="shared" si="35"/>
        <v/>
      </c>
      <c r="BB47" s="143" t="str">
        <f t="shared" si="36"/>
        <v/>
      </c>
      <c r="BC47" s="143" t="str">
        <f t="shared" si="37"/>
        <v/>
      </c>
      <c r="BD47" s="143" t="str">
        <f t="shared" si="38"/>
        <v/>
      </c>
      <c r="BF47" s="9">
        <f t="shared" si="26"/>
        <v>4.2185773678137719E-3</v>
      </c>
      <c r="BG47" s="9">
        <f t="shared" si="27"/>
        <v>0.87137162253644862</v>
      </c>
    </row>
    <row r="48" spans="2:59" x14ac:dyDescent="0.35">
      <c r="B48" s="3" t="s">
        <v>130</v>
      </c>
      <c r="D48" s="141">
        <v>690123</v>
      </c>
      <c r="E48" s="141">
        <v>668382</v>
      </c>
      <c r="F48" s="141">
        <v>841553</v>
      </c>
      <c r="G48" s="141">
        <v>564430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2764488</v>
      </c>
      <c r="R48" s="141">
        <v>495197</v>
      </c>
      <c r="S48" s="141">
        <v>491653</v>
      </c>
      <c r="T48" s="141">
        <v>588745</v>
      </c>
      <c r="U48" s="141">
        <v>413315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1988910</v>
      </c>
      <c r="AF48" s="2">
        <f t="shared" si="2"/>
        <v>0.71754890070320798</v>
      </c>
      <c r="AG48" s="2">
        <f t="shared" si="3"/>
        <v>0.7355868350733562</v>
      </c>
      <c r="AH48" s="2">
        <f t="shared" si="4"/>
        <v>0.69959348965543466</v>
      </c>
      <c r="AI48" s="2">
        <f t="shared" si="5"/>
        <v>0.7322697234378045</v>
      </c>
      <c r="AJ48" s="2" t="str">
        <f t="shared" si="6"/>
        <v/>
      </c>
      <c r="AK48" s="2" t="str">
        <f t="shared" si="7"/>
        <v/>
      </c>
      <c r="AL48" s="2" t="str">
        <f t="shared" si="8"/>
        <v/>
      </c>
      <c r="AM48" s="2" t="str">
        <f t="shared" si="9"/>
        <v/>
      </c>
      <c r="AN48" s="2" t="str">
        <f t="shared" si="10"/>
        <v/>
      </c>
      <c r="AO48" s="2" t="str">
        <f t="shared" si="11"/>
        <v/>
      </c>
      <c r="AP48" s="2" t="str">
        <f t="shared" si="12"/>
        <v/>
      </c>
      <c r="AQ48" s="2" t="str">
        <f t="shared" si="13"/>
        <v/>
      </c>
      <c r="AR48" s="2">
        <f t="shared" si="14"/>
        <v>0.71944967748096578</v>
      </c>
      <c r="AT48" s="2" t="str">
        <f t="shared" si="28"/>
        <v/>
      </c>
      <c r="AU48" s="2" t="str">
        <f t="shared" si="29"/>
        <v/>
      </c>
      <c r="AV48" s="143">
        <f t="shared" si="30"/>
        <v>3.2676233782369835E-2</v>
      </c>
      <c r="AW48" s="143" t="str">
        <f t="shared" si="31"/>
        <v/>
      </c>
      <c r="AX48" s="143" t="str">
        <f t="shared" si="32"/>
        <v/>
      </c>
      <c r="AY48" s="143" t="str">
        <f t="shared" si="33"/>
        <v/>
      </c>
      <c r="AZ48" s="143" t="str">
        <f t="shared" si="34"/>
        <v/>
      </c>
      <c r="BA48" s="143" t="str">
        <f t="shared" si="35"/>
        <v/>
      </c>
      <c r="BB48" s="143" t="str">
        <f t="shared" si="36"/>
        <v/>
      </c>
      <c r="BC48" s="143" t="str">
        <f t="shared" si="37"/>
        <v/>
      </c>
      <c r="BD48" s="143" t="str">
        <f t="shared" si="38"/>
        <v/>
      </c>
      <c r="BF48" s="9">
        <f t="shared" si="26"/>
        <v>2.6804086796099517E-3</v>
      </c>
      <c r="BG48" s="9">
        <f t="shared" si="27"/>
        <v>0.87405203121605857</v>
      </c>
    </row>
    <row r="49" spans="2:59" x14ac:dyDescent="0.35">
      <c r="B49" s="3" t="s">
        <v>177</v>
      </c>
      <c r="D49" s="141">
        <v>1220940</v>
      </c>
      <c r="E49" s="141">
        <v>730266</v>
      </c>
      <c r="F49" s="141">
        <v>1201831</v>
      </c>
      <c r="G49" s="141">
        <v>1486646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4639683</v>
      </c>
      <c r="R49" s="141">
        <v>940803</v>
      </c>
      <c r="S49" s="141">
        <v>559119</v>
      </c>
      <c r="T49" s="141">
        <v>886033</v>
      </c>
      <c r="U49" s="141">
        <v>1164163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3550118</v>
      </c>
      <c r="AF49" s="2">
        <f t="shared" si="2"/>
        <v>0.77055629269251558</v>
      </c>
      <c r="AG49" s="2">
        <f t="shared" si="3"/>
        <v>0.76563745265423833</v>
      </c>
      <c r="AH49" s="2">
        <f t="shared" si="4"/>
        <v>0.73723593417044497</v>
      </c>
      <c r="AI49" s="2">
        <f t="shared" si="5"/>
        <v>0.78308016837902228</v>
      </c>
      <c r="AJ49" s="2" t="str">
        <f t="shared" si="6"/>
        <v/>
      </c>
      <c r="AK49" s="2" t="str">
        <f t="shared" si="7"/>
        <v/>
      </c>
      <c r="AL49" s="2" t="str">
        <f t="shared" si="8"/>
        <v/>
      </c>
      <c r="AM49" s="2" t="str">
        <f t="shared" si="9"/>
        <v/>
      </c>
      <c r="AN49" s="2" t="str">
        <f t="shared" si="10"/>
        <v/>
      </c>
      <c r="AO49" s="2" t="str">
        <f t="shared" si="11"/>
        <v/>
      </c>
      <c r="AP49" s="2" t="str">
        <f t="shared" si="12"/>
        <v/>
      </c>
      <c r="AQ49" s="2" t="str">
        <f t="shared" si="13"/>
        <v/>
      </c>
      <c r="AR49" s="2">
        <f t="shared" si="14"/>
        <v>0.76516391313803123</v>
      </c>
      <c r="AT49" s="2" t="str">
        <f t="shared" si="28"/>
        <v/>
      </c>
      <c r="AU49" s="2" t="str">
        <f t="shared" si="29"/>
        <v/>
      </c>
      <c r="AV49" s="143">
        <f t="shared" si="30"/>
        <v>4.5844234208577306E-2</v>
      </c>
      <c r="AW49" s="143" t="str">
        <f t="shared" si="31"/>
        <v/>
      </c>
      <c r="AX49" s="143" t="str">
        <f t="shared" si="32"/>
        <v/>
      </c>
      <c r="AY49" s="143" t="str">
        <f t="shared" si="33"/>
        <v/>
      </c>
      <c r="AZ49" s="143" t="str">
        <f t="shared" si="34"/>
        <v/>
      </c>
      <c r="BA49" s="143" t="str">
        <f t="shared" si="35"/>
        <v/>
      </c>
      <c r="BB49" s="143" t="str">
        <f t="shared" si="36"/>
        <v/>
      </c>
      <c r="BC49" s="143" t="str">
        <f t="shared" si="37"/>
        <v/>
      </c>
      <c r="BD49" s="143" t="str">
        <f t="shared" si="38"/>
        <v/>
      </c>
      <c r="BF49" s="9">
        <f t="shared" si="26"/>
        <v>4.7844131211766863E-3</v>
      </c>
      <c r="BG49" s="9">
        <f t="shared" si="27"/>
        <v>0.87883644433723529</v>
      </c>
    </row>
    <row r="50" spans="2:59" x14ac:dyDescent="0.35">
      <c r="B50" s="3" t="s">
        <v>131</v>
      </c>
      <c r="D50" s="141">
        <v>2944404</v>
      </c>
      <c r="E50" s="141">
        <v>2852389</v>
      </c>
      <c r="F50" s="141">
        <v>3600876</v>
      </c>
      <c r="G50" s="141">
        <v>2701645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12099314</v>
      </c>
      <c r="R50" s="141">
        <v>2146524</v>
      </c>
      <c r="S50" s="141">
        <v>2060398</v>
      </c>
      <c r="T50" s="141">
        <v>2488306</v>
      </c>
      <c r="U50" s="141">
        <v>1975325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8670553</v>
      </c>
      <c r="AF50" s="2">
        <f t="shared" si="2"/>
        <v>0.72901816462686508</v>
      </c>
      <c r="AG50" s="2">
        <f t="shared" si="3"/>
        <v>0.7223411673512975</v>
      </c>
      <c r="AH50" s="2">
        <f t="shared" si="4"/>
        <v>0.69102796097394081</v>
      </c>
      <c r="AI50" s="2">
        <f t="shared" si="5"/>
        <v>0.7311563880524643</v>
      </c>
      <c r="AJ50" s="2" t="str">
        <f t="shared" si="6"/>
        <v/>
      </c>
      <c r="AK50" s="2" t="str">
        <f t="shared" si="7"/>
        <v/>
      </c>
      <c r="AL50" s="2" t="str">
        <f t="shared" si="8"/>
        <v/>
      </c>
      <c r="AM50" s="2" t="str">
        <f t="shared" si="9"/>
        <v/>
      </c>
      <c r="AN50" s="2" t="str">
        <f t="shared" si="10"/>
        <v/>
      </c>
      <c r="AO50" s="2" t="str">
        <f t="shared" si="11"/>
        <v/>
      </c>
      <c r="AP50" s="2" t="str">
        <f t="shared" si="12"/>
        <v/>
      </c>
      <c r="AQ50" s="2" t="str">
        <f t="shared" si="13"/>
        <v/>
      </c>
      <c r="AR50" s="2">
        <f t="shared" si="14"/>
        <v>0.71661525603848286</v>
      </c>
      <c r="AT50" s="2" t="str">
        <f t="shared" si="28"/>
        <v/>
      </c>
      <c r="AU50" s="2" t="str">
        <f t="shared" si="29"/>
        <v/>
      </c>
      <c r="AV50" s="143">
        <f t="shared" si="30"/>
        <v>4.0128427078523488E-2</v>
      </c>
      <c r="AW50" s="143" t="str">
        <f t="shared" si="31"/>
        <v/>
      </c>
      <c r="AX50" s="143" t="str">
        <f t="shared" si="32"/>
        <v/>
      </c>
      <c r="AY50" s="143" t="str">
        <f t="shared" si="33"/>
        <v/>
      </c>
      <c r="AZ50" s="143" t="str">
        <f t="shared" si="34"/>
        <v/>
      </c>
      <c r="BA50" s="143" t="str">
        <f t="shared" si="35"/>
        <v/>
      </c>
      <c r="BB50" s="143" t="str">
        <f t="shared" si="36"/>
        <v/>
      </c>
      <c r="BC50" s="143" t="str">
        <f t="shared" si="37"/>
        <v/>
      </c>
      <c r="BD50" s="143" t="str">
        <f t="shared" si="38"/>
        <v/>
      </c>
      <c r="BF50" s="9">
        <f t="shared" si="26"/>
        <v>1.1685106675625397E-2</v>
      </c>
      <c r="BG50" s="9">
        <f t="shared" si="27"/>
        <v>0.89052155101286068</v>
      </c>
    </row>
    <row r="51" spans="2:59" x14ac:dyDescent="0.35">
      <c r="B51" s="3" t="s">
        <v>138</v>
      </c>
      <c r="D51" s="141">
        <v>1000826</v>
      </c>
      <c r="E51" s="141">
        <v>831622</v>
      </c>
      <c r="F51" s="141">
        <v>1430495</v>
      </c>
      <c r="G51" s="141">
        <v>740801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4003744</v>
      </c>
      <c r="R51" s="141">
        <v>646964</v>
      </c>
      <c r="S51" s="141">
        <v>560656</v>
      </c>
      <c r="T51" s="141">
        <v>1015491</v>
      </c>
      <c r="U51" s="141">
        <v>566854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2789965</v>
      </c>
      <c r="AF51" s="2">
        <f t="shared" si="2"/>
        <v>0.646430048779708</v>
      </c>
      <c r="AG51" s="2">
        <f t="shared" si="3"/>
        <v>0.67417167895991204</v>
      </c>
      <c r="AH51" s="2">
        <f t="shared" si="4"/>
        <v>0.70988783602878724</v>
      </c>
      <c r="AI51" s="2">
        <f t="shared" si="5"/>
        <v>0.76519065174048095</v>
      </c>
      <c r="AJ51" s="2" t="str">
        <f t="shared" si="6"/>
        <v/>
      </c>
      <c r="AK51" s="2" t="str">
        <f t="shared" si="7"/>
        <v/>
      </c>
      <c r="AL51" s="2" t="str">
        <f t="shared" si="8"/>
        <v/>
      </c>
      <c r="AM51" s="2" t="str">
        <f t="shared" si="9"/>
        <v/>
      </c>
      <c r="AN51" s="2" t="str">
        <f t="shared" si="10"/>
        <v/>
      </c>
      <c r="AO51" s="2" t="str">
        <f t="shared" si="11"/>
        <v/>
      </c>
      <c r="AP51" s="2" t="str">
        <f t="shared" si="12"/>
        <v/>
      </c>
      <c r="AQ51" s="2" t="str">
        <f t="shared" si="13"/>
        <v/>
      </c>
      <c r="AR51" s="2">
        <f t="shared" si="14"/>
        <v>0.69683900868786819</v>
      </c>
      <c r="AT51" s="2" t="str">
        <f t="shared" si="28"/>
        <v/>
      </c>
      <c r="AU51" s="2" t="str">
        <f t="shared" si="29"/>
        <v/>
      </c>
      <c r="AV51" s="143">
        <f t="shared" si="30"/>
        <v>5.5302815711693709E-2</v>
      </c>
      <c r="AW51" s="143" t="str">
        <f t="shared" si="31"/>
        <v/>
      </c>
      <c r="AX51" s="143" t="str">
        <f t="shared" si="32"/>
        <v/>
      </c>
      <c r="AY51" s="143" t="str">
        <f t="shared" si="33"/>
        <v/>
      </c>
      <c r="AZ51" s="143" t="str">
        <f t="shared" si="34"/>
        <v/>
      </c>
      <c r="BA51" s="143" t="str">
        <f t="shared" si="35"/>
        <v/>
      </c>
      <c r="BB51" s="143" t="str">
        <f t="shared" si="36"/>
        <v/>
      </c>
      <c r="BC51" s="143" t="str">
        <f t="shared" si="37"/>
        <v/>
      </c>
      <c r="BD51" s="143" t="str">
        <f t="shared" si="38"/>
        <v/>
      </c>
      <c r="BF51" s="9">
        <f t="shared" si="26"/>
        <v>3.7599722470136802E-3</v>
      </c>
      <c r="BG51" s="9">
        <f t="shared" si="27"/>
        <v>0.89428152325987431</v>
      </c>
    </row>
    <row r="52" spans="2:59" x14ac:dyDescent="0.35">
      <c r="B52" s="3" t="s">
        <v>140</v>
      </c>
      <c r="D52" s="141">
        <v>367942</v>
      </c>
      <c r="E52" s="141">
        <v>438536</v>
      </c>
      <c r="F52" s="141">
        <v>443296</v>
      </c>
      <c r="G52" s="141">
        <v>405220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1654994</v>
      </c>
      <c r="R52" s="141">
        <v>286454</v>
      </c>
      <c r="S52" s="141">
        <v>317130</v>
      </c>
      <c r="T52" s="141">
        <v>323088</v>
      </c>
      <c r="U52" s="141">
        <v>307438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1234110</v>
      </c>
      <c r="AF52" s="2">
        <f t="shared" si="2"/>
        <v>0.77853031184262733</v>
      </c>
      <c r="AG52" s="2">
        <f t="shared" si="3"/>
        <v>0.72315613769451081</v>
      </c>
      <c r="AH52" s="2">
        <f t="shared" si="4"/>
        <v>0.72883130007940522</v>
      </c>
      <c r="AI52" s="2">
        <f t="shared" si="5"/>
        <v>0.75869404274221408</v>
      </c>
      <c r="AJ52" s="2" t="str">
        <f t="shared" si="6"/>
        <v/>
      </c>
      <c r="AK52" s="2" t="str">
        <f t="shared" si="7"/>
        <v/>
      </c>
      <c r="AL52" s="2" t="str">
        <f t="shared" si="8"/>
        <v/>
      </c>
      <c r="AM52" s="2" t="str">
        <f t="shared" si="9"/>
        <v/>
      </c>
      <c r="AN52" s="2" t="str">
        <f t="shared" si="10"/>
        <v/>
      </c>
      <c r="AO52" s="2" t="str">
        <f t="shared" si="11"/>
        <v/>
      </c>
      <c r="AP52" s="2" t="str">
        <f t="shared" si="12"/>
        <v/>
      </c>
      <c r="AQ52" s="2" t="str">
        <f t="shared" si="13"/>
        <v/>
      </c>
      <c r="AR52" s="2">
        <f t="shared" si="14"/>
        <v>0.74568850400666109</v>
      </c>
      <c r="AT52" s="2" t="str">
        <f t="shared" si="28"/>
        <v/>
      </c>
      <c r="AU52" s="2" t="str">
        <f t="shared" si="29"/>
        <v/>
      </c>
      <c r="AV52" s="143">
        <f t="shared" si="30"/>
        <v>2.9862742662808861E-2</v>
      </c>
      <c r="AW52" s="143" t="str">
        <f t="shared" si="31"/>
        <v/>
      </c>
      <c r="AX52" s="143" t="str">
        <f t="shared" si="32"/>
        <v/>
      </c>
      <c r="AY52" s="143" t="str">
        <f t="shared" si="33"/>
        <v/>
      </c>
      <c r="AZ52" s="143" t="str">
        <f t="shared" si="34"/>
        <v/>
      </c>
      <c r="BA52" s="143" t="str">
        <f t="shared" si="35"/>
        <v/>
      </c>
      <c r="BB52" s="143" t="str">
        <f t="shared" si="36"/>
        <v/>
      </c>
      <c r="BC52" s="143" t="str">
        <f t="shared" si="37"/>
        <v/>
      </c>
      <c r="BD52" s="143" t="str">
        <f t="shared" si="38"/>
        <v/>
      </c>
      <c r="BF52" s="9">
        <f t="shared" si="26"/>
        <v>1.6631819215517231E-3</v>
      </c>
      <c r="BG52" s="9">
        <f t="shared" si="27"/>
        <v>0.89594470518142599</v>
      </c>
    </row>
    <row r="53" spans="2:59" x14ac:dyDescent="0.35">
      <c r="B53" s="3" t="s">
        <v>145</v>
      </c>
      <c r="D53" s="141">
        <v>903428</v>
      </c>
      <c r="E53" s="141">
        <v>836548</v>
      </c>
      <c r="F53" s="141">
        <v>572283</v>
      </c>
      <c r="G53" s="141">
        <v>570847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2883106</v>
      </c>
      <c r="R53" s="141">
        <v>643901</v>
      </c>
      <c r="S53" s="141">
        <v>607566</v>
      </c>
      <c r="T53" s="141">
        <v>388986</v>
      </c>
      <c r="U53" s="141">
        <v>403196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2043649</v>
      </c>
      <c r="AF53" s="2">
        <f t="shared" si="2"/>
        <v>0.71273084296701006</v>
      </c>
      <c r="AG53" s="2">
        <f t="shared" si="3"/>
        <v>0.7262775118702095</v>
      </c>
      <c r="AH53" s="2">
        <f t="shared" si="4"/>
        <v>0.67970916487122635</v>
      </c>
      <c r="AI53" s="2">
        <f t="shared" si="5"/>
        <v>0.70631184888420184</v>
      </c>
      <c r="AJ53" s="2" t="str">
        <f t="shared" si="6"/>
        <v/>
      </c>
      <c r="AK53" s="2" t="str">
        <f t="shared" si="7"/>
        <v/>
      </c>
      <c r="AL53" s="2" t="str">
        <f t="shared" si="8"/>
        <v/>
      </c>
      <c r="AM53" s="2" t="str">
        <f t="shared" si="9"/>
        <v/>
      </c>
      <c r="AN53" s="2" t="str">
        <f t="shared" si="10"/>
        <v/>
      </c>
      <c r="AO53" s="2" t="str">
        <f t="shared" si="11"/>
        <v/>
      </c>
      <c r="AP53" s="2" t="str">
        <f t="shared" si="12"/>
        <v/>
      </c>
      <c r="AQ53" s="2" t="str">
        <f t="shared" si="13"/>
        <v/>
      </c>
      <c r="AR53" s="2">
        <f t="shared" si="14"/>
        <v>0.708835887407539</v>
      </c>
      <c r="AT53" s="2" t="str">
        <f t="shared" si="28"/>
        <v/>
      </c>
      <c r="AU53" s="2" t="str">
        <f t="shared" si="29"/>
        <v/>
      </c>
      <c r="AV53" s="143">
        <f t="shared" si="30"/>
        <v>2.6602684012975497E-2</v>
      </c>
      <c r="AW53" s="143" t="str">
        <f t="shared" si="31"/>
        <v/>
      </c>
      <c r="AX53" s="143" t="str">
        <f t="shared" si="32"/>
        <v/>
      </c>
      <c r="AY53" s="143" t="str">
        <f t="shared" si="33"/>
        <v/>
      </c>
      <c r="AZ53" s="143" t="str">
        <f t="shared" si="34"/>
        <v/>
      </c>
      <c r="BA53" s="143" t="str">
        <f t="shared" si="35"/>
        <v/>
      </c>
      <c r="BB53" s="143" t="str">
        <f t="shared" si="36"/>
        <v/>
      </c>
      <c r="BC53" s="143" t="str">
        <f t="shared" si="37"/>
        <v/>
      </c>
      <c r="BD53" s="143" t="str">
        <f t="shared" si="38"/>
        <v/>
      </c>
      <c r="BF53" s="9">
        <f t="shared" si="26"/>
        <v>2.7541791824045323E-3</v>
      </c>
      <c r="BG53" s="9">
        <f t="shared" si="27"/>
        <v>0.8986988843638305</v>
      </c>
    </row>
    <row r="54" spans="2:59" x14ac:dyDescent="0.35">
      <c r="B54" s="3" t="s">
        <v>135</v>
      </c>
      <c r="D54" s="141">
        <v>461152</v>
      </c>
      <c r="E54" s="141">
        <v>432159</v>
      </c>
      <c r="F54" s="141">
        <v>486858</v>
      </c>
      <c r="G54" s="141">
        <v>342681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1722850</v>
      </c>
      <c r="R54" s="141">
        <v>337443</v>
      </c>
      <c r="S54" s="141">
        <v>311337</v>
      </c>
      <c r="T54" s="141">
        <v>314978</v>
      </c>
      <c r="U54" s="141">
        <v>213185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1176943</v>
      </c>
      <c r="AF54" s="2">
        <f t="shared" si="2"/>
        <v>0.7317392096315315</v>
      </c>
      <c r="AG54" s="2">
        <f t="shared" si="3"/>
        <v>0.72042234455374066</v>
      </c>
      <c r="AH54" s="2">
        <f t="shared" si="4"/>
        <v>0.64696071544474976</v>
      </c>
      <c r="AI54" s="2">
        <f t="shared" si="5"/>
        <v>0.6221091919306877</v>
      </c>
      <c r="AJ54" s="2" t="str">
        <f t="shared" si="6"/>
        <v/>
      </c>
      <c r="AK54" s="2" t="str">
        <f t="shared" si="7"/>
        <v/>
      </c>
      <c r="AL54" s="2" t="str">
        <f t="shared" si="8"/>
        <v/>
      </c>
      <c r="AM54" s="2" t="str">
        <f t="shared" si="9"/>
        <v/>
      </c>
      <c r="AN54" s="2" t="str">
        <f t="shared" si="10"/>
        <v/>
      </c>
      <c r="AO54" s="2" t="str">
        <f t="shared" si="11"/>
        <v/>
      </c>
      <c r="AP54" s="2" t="str">
        <f t="shared" si="12"/>
        <v/>
      </c>
      <c r="AQ54" s="2" t="str">
        <f t="shared" si="13"/>
        <v/>
      </c>
      <c r="AR54" s="2">
        <f t="shared" si="14"/>
        <v>0.6831372435209101</v>
      </c>
      <c r="AT54" s="2" t="str">
        <f t="shared" si="28"/>
        <v/>
      </c>
      <c r="AU54" s="2" t="str">
        <f t="shared" si="29"/>
        <v/>
      </c>
      <c r="AV54" s="143">
        <f t="shared" si="30"/>
        <v>-2.4851523514062057E-2</v>
      </c>
      <c r="AW54" s="143" t="str">
        <f t="shared" si="31"/>
        <v/>
      </c>
      <c r="AX54" s="143" t="str">
        <f t="shared" si="32"/>
        <v/>
      </c>
      <c r="AY54" s="143" t="str">
        <f t="shared" si="33"/>
        <v/>
      </c>
      <c r="AZ54" s="143" t="str">
        <f t="shared" si="34"/>
        <v/>
      </c>
      <c r="BA54" s="143" t="str">
        <f t="shared" si="35"/>
        <v/>
      </c>
      <c r="BB54" s="143" t="str">
        <f t="shared" si="36"/>
        <v/>
      </c>
      <c r="BC54" s="143" t="str">
        <f t="shared" si="37"/>
        <v/>
      </c>
      <c r="BD54" s="143" t="str">
        <f t="shared" si="38"/>
        <v/>
      </c>
      <c r="BF54" s="9">
        <f t="shared" si="26"/>
        <v>1.5861392584914226E-3</v>
      </c>
      <c r="BG54" s="9">
        <f t="shared" si="27"/>
        <v>0.90028502362232188</v>
      </c>
    </row>
    <row r="55" spans="2:59" x14ac:dyDescent="0.35">
      <c r="B55" s="3" t="s">
        <v>134</v>
      </c>
      <c r="D55" s="141">
        <v>673418</v>
      </c>
      <c r="E55" s="141">
        <v>637380</v>
      </c>
      <c r="F55" s="141">
        <v>743999</v>
      </c>
      <c r="G55" s="141">
        <v>552890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2607687</v>
      </c>
      <c r="R55" s="141">
        <v>460190</v>
      </c>
      <c r="S55" s="141">
        <v>444017</v>
      </c>
      <c r="T55" s="141">
        <v>537020</v>
      </c>
      <c r="U55" s="141">
        <v>382924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1824151</v>
      </c>
      <c r="AF55" s="2">
        <f t="shared" si="2"/>
        <v>0.68336456702969028</v>
      </c>
      <c r="AG55" s="2">
        <f t="shared" si="3"/>
        <v>0.69662838495089274</v>
      </c>
      <c r="AH55" s="2">
        <f t="shared" si="4"/>
        <v>0.72180204543285675</v>
      </c>
      <c r="AI55" s="2">
        <f t="shared" si="5"/>
        <v>0.69258622872542464</v>
      </c>
      <c r="AJ55" s="2" t="str">
        <f t="shared" si="6"/>
        <v/>
      </c>
      <c r="AK55" s="2" t="str">
        <f t="shared" si="7"/>
        <v/>
      </c>
      <c r="AL55" s="2" t="str">
        <f t="shared" si="8"/>
        <v/>
      </c>
      <c r="AM55" s="2" t="str">
        <f t="shared" si="9"/>
        <v/>
      </c>
      <c r="AN55" s="2" t="str">
        <f t="shared" si="10"/>
        <v/>
      </c>
      <c r="AO55" s="2" t="str">
        <f t="shared" si="11"/>
        <v/>
      </c>
      <c r="AP55" s="2" t="str">
        <f t="shared" si="12"/>
        <v/>
      </c>
      <c r="AQ55" s="2" t="str">
        <f t="shared" si="13"/>
        <v/>
      </c>
      <c r="AR55" s="2">
        <f t="shared" si="14"/>
        <v>0.69952835597217</v>
      </c>
      <c r="AT55" s="2" t="str">
        <f t="shared" si="28"/>
        <v/>
      </c>
      <c r="AU55" s="2" t="str">
        <f t="shared" si="29"/>
        <v/>
      </c>
      <c r="AV55" s="143">
        <f t="shared" si="30"/>
        <v>-2.9215816707432118E-2</v>
      </c>
      <c r="AW55" s="143" t="str">
        <f t="shared" si="31"/>
        <v/>
      </c>
      <c r="AX55" s="143" t="str">
        <f t="shared" si="32"/>
        <v/>
      </c>
      <c r="AY55" s="143" t="str">
        <f t="shared" si="33"/>
        <v/>
      </c>
      <c r="AZ55" s="143" t="str">
        <f t="shared" si="34"/>
        <v/>
      </c>
      <c r="BA55" s="143" t="str">
        <f t="shared" si="35"/>
        <v/>
      </c>
      <c r="BB55" s="143" t="str">
        <f t="shared" si="36"/>
        <v/>
      </c>
      <c r="BC55" s="143" t="str">
        <f t="shared" si="37"/>
        <v/>
      </c>
      <c r="BD55" s="143" t="str">
        <f t="shared" si="38"/>
        <v/>
      </c>
      <c r="BF55" s="9">
        <f t="shared" si="26"/>
        <v>2.458366730178426E-3</v>
      </c>
      <c r="BG55" s="9">
        <f t="shared" si="27"/>
        <v>0.90274339035250029</v>
      </c>
    </row>
    <row r="56" spans="2:59" x14ac:dyDescent="0.35">
      <c r="B56" s="3" t="s">
        <v>146</v>
      </c>
      <c r="D56" s="141">
        <v>719113</v>
      </c>
      <c r="E56" s="141">
        <v>640081</v>
      </c>
      <c r="F56" s="141">
        <v>853917</v>
      </c>
      <c r="G56" s="141">
        <v>578375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2791486</v>
      </c>
      <c r="R56" s="141">
        <v>582504</v>
      </c>
      <c r="S56" s="141">
        <v>513379</v>
      </c>
      <c r="T56" s="141">
        <v>631203</v>
      </c>
      <c r="U56" s="141">
        <v>443334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2170420</v>
      </c>
      <c r="AF56" s="2">
        <f t="shared" si="2"/>
        <v>0.81003124682768912</v>
      </c>
      <c r="AG56" s="2">
        <f t="shared" si="3"/>
        <v>0.8020531776447043</v>
      </c>
      <c r="AH56" s="2">
        <f t="shared" si="4"/>
        <v>0.73918542434452061</v>
      </c>
      <c r="AI56" s="2">
        <f t="shared" si="5"/>
        <v>0.76651653339096604</v>
      </c>
      <c r="AJ56" s="2" t="str">
        <f t="shared" si="6"/>
        <v/>
      </c>
      <c r="AK56" s="2" t="str">
        <f t="shared" si="7"/>
        <v/>
      </c>
      <c r="AL56" s="2" t="str">
        <f t="shared" si="8"/>
        <v/>
      </c>
      <c r="AM56" s="2" t="str">
        <f t="shared" si="9"/>
        <v/>
      </c>
      <c r="AN56" s="2" t="str">
        <f t="shared" si="10"/>
        <v/>
      </c>
      <c r="AO56" s="2" t="str">
        <f t="shared" si="11"/>
        <v/>
      </c>
      <c r="AP56" s="2" t="str">
        <f t="shared" si="12"/>
        <v/>
      </c>
      <c r="AQ56" s="2" t="str">
        <f t="shared" si="13"/>
        <v/>
      </c>
      <c r="AR56" s="2">
        <f t="shared" si="14"/>
        <v>0.77751419853081838</v>
      </c>
      <c r="AT56" s="2" t="str">
        <f t="shared" si="28"/>
        <v/>
      </c>
      <c r="AU56" s="2" t="str">
        <f t="shared" si="29"/>
        <v/>
      </c>
      <c r="AV56" s="143">
        <f t="shared" si="30"/>
        <v>2.7331109046445423E-2</v>
      </c>
      <c r="AW56" s="143" t="str">
        <f t="shared" si="31"/>
        <v/>
      </c>
      <c r="AX56" s="143" t="str">
        <f t="shared" si="32"/>
        <v/>
      </c>
      <c r="AY56" s="143" t="str">
        <f t="shared" si="33"/>
        <v/>
      </c>
      <c r="AZ56" s="143" t="str">
        <f t="shared" si="34"/>
        <v/>
      </c>
      <c r="BA56" s="143" t="str">
        <f t="shared" si="35"/>
        <v/>
      </c>
      <c r="BB56" s="143" t="str">
        <f t="shared" si="36"/>
        <v/>
      </c>
      <c r="BC56" s="143" t="str">
        <f t="shared" si="37"/>
        <v/>
      </c>
      <c r="BD56" s="143" t="str">
        <f t="shared" si="38"/>
        <v/>
      </c>
      <c r="BF56" s="9">
        <f t="shared" si="26"/>
        <v>2.9250255699850829E-3</v>
      </c>
      <c r="BG56" s="9">
        <f t="shared" si="27"/>
        <v>0.90566841592248537</v>
      </c>
    </row>
    <row r="57" spans="2:59" x14ac:dyDescent="0.35">
      <c r="B57" s="3" t="s">
        <v>162</v>
      </c>
      <c r="D57" s="141">
        <v>296021</v>
      </c>
      <c r="E57" s="141">
        <v>236147</v>
      </c>
      <c r="F57" s="141">
        <v>338010</v>
      </c>
      <c r="G57" s="141">
        <v>170476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1040654</v>
      </c>
      <c r="R57" s="141">
        <v>202979</v>
      </c>
      <c r="S57" s="141">
        <v>175572</v>
      </c>
      <c r="T57" s="141">
        <v>238659</v>
      </c>
      <c r="U57" s="141">
        <v>114160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731370</v>
      </c>
      <c r="AF57" s="2">
        <f t="shared" si="2"/>
        <v>0.68569121785278742</v>
      </c>
      <c r="AG57" s="2">
        <f t="shared" si="3"/>
        <v>0.74348604894408987</v>
      </c>
      <c r="AH57" s="2">
        <f t="shared" si="4"/>
        <v>0.70607082630691398</v>
      </c>
      <c r="AI57" s="2">
        <f t="shared" si="5"/>
        <v>0.66965437950210005</v>
      </c>
      <c r="AJ57" s="2" t="str">
        <f t="shared" si="6"/>
        <v/>
      </c>
      <c r="AK57" s="2" t="str">
        <f t="shared" si="7"/>
        <v/>
      </c>
      <c r="AL57" s="2" t="str">
        <f t="shared" si="8"/>
        <v/>
      </c>
      <c r="AM57" s="2" t="str">
        <f t="shared" si="9"/>
        <v/>
      </c>
      <c r="AN57" s="2" t="str">
        <f t="shared" si="10"/>
        <v/>
      </c>
      <c r="AO57" s="2" t="str">
        <f t="shared" si="11"/>
        <v/>
      </c>
      <c r="AP57" s="2" t="str">
        <f t="shared" si="12"/>
        <v/>
      </c>
      <c r="AQ57" s="2" t="str">
        <f t="shared" si="13"/>
        <v/>
      </c>
      <c r="AR57" s="2">
        <f t="shared" si="14"/>
        <v>0.70279843252416274</v>
      </c>
      <c r="AT57" s="2" t="str">
        <f t="shared" si="28"/>
        <v/>
      </c>
      <c r="AU57" s="2" t="str">
        <f t="shared" si="29"/>
        <v/>
      </c>
      <c r="AV57" s="143">
        <f t="shared" si="30"/>
        <v>-3.6416446804813929E-2</v>
      </c>
      <c r="AW57" s="143" t="str">
        <f t="shared" si="31"/>
        <v/>
      </c>
      <c r="AX57" s="143" t="str">
        <f t="shared" si="32"/>
        <v/>
      </c>
      <c r="AY57" s="143" t="str">
        <f t="shared" si="33"/>
        <v/>
      </c>
      <c r="AZ57" s="143" t="str">
        <f t="shared" si="34"/>
        <v/>
      </c>
      <c r="BA57" s="143" t="str">
        <f t="shared" si="35"/>
        <v/>
      </c>
      <c r="BB57" s="143" t="str">
        <f t="shared" si="36"/>
        <v/>
      </c>
      <c r="BC57" s="143" t="str">
        <f t="shared" si="37"/>
        <v/>
      </c>
      <c r="BD57" s="143" t="str">
        <f t="shared" si="38"/>
        <v/>
      </c>
      <c r="BF57" s="9">
        <f t="shared" si="26"/>
        <v>9.8565068102947372E-4</v>
      </c>
      <c r="BG57" s="9">
        <f t="shared" si="27"/>
        <v>0.90665406660351489</v>
      </c>
    </row>
    <row r="58" spans="2:59" x14ac:dyDescent="0.35">
      <c r="B58" s="3" t="s">
        <v>149</v>
      </c>
      <c r="D58" s="141">
        <v>376386</v>
      </c>
      <c r="E58" s="141">
        <v>340345</v>
      </c>
      <c r="F58" s="141">
        <v>403675</v>
      </c>
      <c r="G58" s="141">
        <v>279790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1400196</v>
      </c>
      <c r="R58" s="141">
        <v>296882</v>
      </c>
      <c r="S58" s="141">
        <v>254764</v>
      </c>
      <c r="T58" s="141">
        <v>276750</v>
      </c>
      <c r="U58" s="141">
        <v>222488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1050884</v>
      </c>
      <c r="AF58" s="2">
        <f t="shared" si="2"/>
        <v>0.78877003926819811</v>
      </c>
      <c r="AG58" s="2">
        <f t="shared" si="3"/>
        <v>0.7485463279907153</v>
      </c>
      <c r="AH58" s="2">
        <f t="shared" si="4"/>
        <v>0.68557626803740634</v>
      </c>
      <c r="AI58" s="2">
        <f t="shared" si="5"/>
        <v>0.79519639729797353</v>
      </c>
      <c r="AJ58" s="2" t="str">
        <f t="shared" si="6"/>
        <v/>
      </c>
      <c r="AK58" s="2" t="str">
        <f t="shared" si="7"/>
        <v/>
      </c>
      <c r="AL58" s="2" t="str">
        <f t="shared" si="8"/>
        <v/>
      </c>
      <c r="AM58" s="2" t="str">
        <f t="shared" si="9"/>
        <v/>
      </c>
      <c r="AN58" s="2" t="str">
        <f t="shared" si="10"/>
        <v/>
      </c>
      <c r="AO58" s="2" t="str">
        <f t="shared" si="11"/>
        <v/>
      </c>
      <c r="AP58" s="2" t="str">
        <f t="shared" si="12"/>
        <v/>
      </c>
      <c r="AQ58" s="2" t="str">
        <f t="shared" si="13"/>
        <v/>
      </c>
      <c r="AR58" s="2">
        <f t="shared" si="14"/>
        <v>0.75052635488174513</v>
      </c>
      <c r="AT58" s="2" t="str">
        <f t="shared" si="28"/>
        <v/>
      </c>
      <c r="AU58" s="2" t="str">
        <f t="shared" si="29"/>
        <v/>
      </c>
      <c r="AV58" s="143">
        <f t="shared" si="30"/>
        <v>0.10962012926056719</v>
      </c>
      <c r="AW58" s="143" t="str">
        <f t="shared" si="31"/>
        <v/>
      </c>
      <c r="AX58" s="143" t="str">
        <f t="shared" si="32"/>
        <v/>
      </c>
      <c r="AY58" s="143" t="str">
        <f t="shared" si="33"/>
        <v/>
      </c>
      <c r="AZ58" s="143" t="str">
        <f t="shared" si="34"/>
        <v/>
      </c>
      <c r="BA58" s="143" t="str">
        <f t="shared" si="35"/>
        <v/>
      </c>
      <c r="BB58" s="143" t="str">
        <f t="shared" si="36"/>
        <v/>
      </c>
      <c r="BC58" s="143" t="str">
        <f t="shared" si="37"/>
        <v/>
      </c>
      <c r="BD58" s="143" t="str">
        <f t="shared" si="38"/>
        <v/>
      </c>
      <c r="BF58" s="9">
        <f t="shared" si="26"/>
        <v>1.4162524170843449E-3</v>
      </c>
      <c r="BG58" s="9">
        <f t="shared" si="27"/>
        <v>0.9080703190205992</v>
      </c>
    </row>
    <row r="59" spans="2:59" x14ac:dyDescent="0.35">
      <c r="B59" s="3" t="s">
        <v>136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2"/>
        <v>0.68797179105317841</v>
      </c>
      <c r="AG59" s="2" t="str">
        <f t="shared" si="3"/>
        <v/>
      </c>
      <c r="AH59" s="2" t="str">
        <f t="shared" si="4"/>
        <v/>
      </c>
      <c r="AI59" s="2" t="str">
        <f t="shared" si="5"/>
        <v/>
      </c>
      <c r="AJ59" s="2" t="str">
        <f t="shared" si="6"/>
        <v/>
      </c>
      <c r="AK59" s="2" t="str">
        <f t="shared" si="7"/>
        <v/>
      </c>
      <c r="AL59" s="2" t="str">
        <f t="shared" si="8"/>
        <v/>
      </c>
      <c r="AM59" s="2" t="str">
        <f t="shared" si="9"/>
        <v/>
      </c>
      <c r="AN59" s="2" t="str">
        <f t="shared" si="10"/>
        <v/>
      </c>
      <c r="AO59" s="2" t="str">
        <f t="shared" si="11"/>
        <v/>
      </c>
      <c r="AP59" s="2" t="str">
        <f t="shared" si="12"/>
        <v/>
      </c>
      <c r="AQ59" s="2" t="str">
        <f t="shared" si="13"/>
        <v/>
      </c>
      <c r="AR59" s="2">
        <f t="shared" si="14"/>
        <v>0.68797179105317841</v>
      </c>
      <c r="AT59" s="2" t="str">
        <f t="shared" si="28"/>
        <v/>
      </c>
      <c r="AU59" s="2" t="str">
        <f t="shared" si="29"/>
        <v/>
      </c>
      <c r="AV59" s="143" t="str">
        <f t="shared" si="30"/>
        <v/>
      </c>
      <c r="AW59" s="143" t="str">
        <f t="shared" si="31"/>
        <v/>
      </c>
      <c r="AX59" s="143" t="str">
        <f t="shared" si="32"/>
        <v/>
      </c>
      <c r="AY59" s="143" t="str">
        <f t="shared" si="33"/>
        <v/>
      </c>
      <c r="AZ59" s="143" t="str">
        <f t="shared" si="34"/>
        <v/>
      </c>
      <c r="BA59" s="143" t="str">
        <f t="shared" si="35"/>
        <v/>
      </c>
      <c r="BB59" s="143" t="str">
        <f t="shared" si="36"/>
        <v/>
      </c>
      <c r="BC59" s="143" t="str">
        <f t="shared" si="37"/>
        <v/>
      </c>
      <c r="BD59" s="143" t="str">
        <f t="shared" si="38"/>
        <v/>
      </c>
      <c r="BF59" s="9">
        <f t="shared" si="26"/>
        <v>1.8116689965422578E-4</v>
      </c>
      <c r="BG59" s="9">
        <f t="shared" si="27"/>
        <v>0.9082514859202534</v>
      </c>
    </row>
    <row r="60" spans="2:59" x14ac:dyDescent="0.35">
      <c r="B60" s="3" t="s">
        <v>141</v>
      </c>
      <c r="D60" s="141">
        <v>715830</v>
      </c>
      <c r="E60" s="141">
        <v>688584</v>
      </c>
      <c r="F60" s="141">
        <v>582445</v>
      </c>
      <c r="G60" s="141">
        <v>566847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2553706</v>
      </c>
      <c r="R60" s="141">
        <v>483609</v>
      </c>
      <c r="S60" s="141">
        <v>441506</v>
      </c>
      <c r="T60" s="141">
        <v>378170</v>
      </c>
      <c r="U60" s="141">
        <v>366546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1669831</v>
      </c>
      <c r="AF60" s="2">
        <f t="shared" si="2"/>
        <v>0.67559197016051298</v>
      </c>
      <c r="AG60" s="2">
        <f t="shared" si="3"/>
        <v>0.64117958012384835</v>
      </c>
      <c r="AH60" s="2">
        <f t="shared" si="4"/>
        <v>0.64928018954579403</v>
      </c>
      <c r="AI60" s="2">
        <f t="shared" si="5"/>
        <v>0.64664009865095873</v>
      </c>
      <c r="AJ60" s="2" t="str">
        <f t="shared" si="6"/>
        <v/>
      </c>
      <c r="AK60" s="2" t="str">
        <f t="shared" si="7"/>
        <v/>
      </c>
      <c r="AL60" s="2" t="str">
        <f t="shared" si="8"/>
        <v/>
      </c>
      <c r="AM60" s="2" t="str">
        <f t="shared" si="9"/>
        <v/>
      </c>
      <c r="AN60" s="2" t="str">
        <f t="shared" si="10"/>
        <v/>
      </c>
      <c r="AO60" s="2" t="str">
        <f t="shared" si="11"/>
        <v/>
      </c>
      <c r="AP60" s="2" t="str">
        <f t="shared" si="12"/>
        <v/>
      </c>
      <c r="AQ60" s="2" t="str">
        <f t="shared" si="13"/>
        <v/>
      </c>
      <c r="AR60" s="2">
        <f t="shared" si="14"/>
        <v>0.65388537286594461</v>
      </c>
      <c r="AT60" s="2" t="str">
        <f t="shared" si="28"/>
        <v/>
      </c>
      <c r="AU60" s="2" t="str">
        <f t="shared" si="29"/>
        <v/>
      </c>
      <c r="AV60" s="143">
        <f t="shared" si="30"/>
        <v>-2.6400908948353008E-3</v>
      </c>
      <c r="AW60" s="143" t="str">
        <f t="shared" si="31"/>
        <v/>
      </c>
      <c r="AX60" s="143" t="str">
        <f t="shared" si="32"/>
        <v/>
      </c>
      <c r="AY60" s="143" t="str">
        <f t="shared" si="33"/>
        <v/>
      </c>
      <c r="AZ60" s="143" t="str">
        <f t="shared" si="34"/>
        <v/>
      </c>
      <c r="BA60" s="143" t="str">
        <f t="shared" si="35"/>
        <v/>
      </c>
      <c r="BB60" s="143" t="str">
        <f t="shared" si="36"/>
        <v/>
      </c>
      <c r="BC60" s="143" t="str">
        <f t="shared" si="37"/>
        <v/>
      </c>
      <c r="BD60" s="143" t="str">
        <f t="shared" si="38"/>
        <v/>
      </c>
      <c r="BF60" s="9">
        <f t="shared" si="26"/>
        <v>2.2503931831414016E-3</v>
      </c>
      <c r="BG60" s="9">
        <f t="shared" si="27"/>
        <v>0.91050187910339475</v>
      </c>
    </row>
    <row r="61" spans="2:59" x14ac:dyDescent="0.35">
      <c r="B61" s="3" t="s">
        <v>179</v>
      </c>
      <c r="D61" s="141">
        <v>1972122</v>
      </c>
      <c r="E61" s="141">
        <v>1771700</v>
      </c>
      <c r="F61" s="141">
        <v>1396533</v>
      </c>
      <c r="G61" s="141">
        <v>1620118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6760473</v>
      </c>
      <c r="R61" s="141">
        <v>1421458</v>
      </c>
      <c r="S61" s="141">
        <v>1246693</v>
      </c>
      <c r="T61" s="141">
        <v>976467</v>
      </c>
      <c r="U61" s="141">
        <v>1127136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4771754</v>
      </c>
      <c r="AF61" s="2">
        <f t="shared" si="2"/>
        <v>0.72077589520323793</v>
      </c>
      <c r="AG61" s="2">
        <f t="shared" si="3"/>
        <v>0.70367048597392334</v>
      </c>
      <c r="AH61" s="2">
        <f t="shared" si="4"/>
        <v>0.69920796715867084</v>
      </c>
      <c r="AI61" s="2">
        <f t="shared" si="5"/>
        <v>0.69571228762349413</v>
      </c>
      <c r="AJ61" s="2" t="str">
        <f t="shared" si="6"/>
        <v/>
      </c>
      <c r="AK61" s="2" t="str">
        <f t="shared" si="7"/>
        <v/>
      </c>
      <c r="AL61" s="2" t="str">
        <f t="shared" si="8"/>
        <v/>
      </c>
      <c r="AM61" s="2" t="str">
        <f t="shared" si="9"/>
        <v/>
      </c>
      <c r="AN61" s="2" t="str">
        <f t="shared" si="10"/>
        <v/>
      </c>
      <c r="AO61" s="2" t="str">
        <f t="shared" si="11"/>
        <v/>
      </c>
      <c r="AP61" s="2" t="str">
        <f t="shared" si="12"/>
        <v/>
      </c>
      <c r="AQ61" s="2" t="str">
        <f t="shared" si="13"/>
        <v/>
      </c>
      <c r="AR61" s="2">
        <f t="shared" si="14"/>
        <v>0.70583138191662032</v>
      </c>
      <c r="AT61" s="2" t="str">
        <f t="shared" si="28"/>
        <v/>
      </c>
      <c r="AU61" s="2" t="str">
        <f t="shared" si="29"/>
        <v/>
      </c>
      <c r="AV61" s="143">
        <f t="shared" si="30"/>
        <v>-3.49567953517671E-3</v>
      </c>
      <c r="AW61" s="143" t="str">
        <f t="shared" si="31"/>
        <v/>
      </c>
      <c r="AX61" s="143" t="str">
        <f t="shared" si="32"/>
        <v/>
      </c>
      <c r="AY61" s="143" t="str">
        <f t="shared" si="33"/>
        <v/>
      </c>
      <c r="AZ61" s="143" t="str">
        <f t="shared" si="34"/>
        <v/>
      </c>
      <c r="BA61" s="143" t="str">
        <f t="shared" si="35"/>
        <v/>
      </c>
      <c r="BB61" s="143" t="str">
        <f t="shared" si="36"/>
        <v/>
      </c>
      <c r="BC61" s="143" t="str">
        <f t="shared" si="37"/>
        <v/>
      </c>
      <c r="BD61" s="143" t="str">
        <f t="shared" si="38"/>
        <v/>
      </c>
      <c r="BF61" s="9">
        <f t="shared" si="26"/>
        <v>6.4307841172116919E-3</v>
      </c>
      <c r="BG61" s="9">
        <f t="shared" si="27"/>
        <v>0.9169326632206064</v>
      </c>
    </row>
    <row r="62" spans="2:59" x14ac:dyDescent="0.35">
      <c r="B62" s="3" t="s">
        <v>168</v>
      </c>
      <c r="D62" s="141">
        <v>1213702</v>
      </c>
      <c r="E62" s="141">
        <v>1122054</v>
      </c>
      <c r="F62" s="141">
        <v>1128236</v>
      </c>
      <c r="G62" s="141">
        <v>859740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4323732</v>
      </c>
      <c r="R62" s="141">
        <v>899312</v>
      </c>
      <c r="S62" s="141">
        <v>813646</v>
      </c>
      <c r="T62" s="141">
        <v>724244</v>
      </c>
      <c r="U62" s="141">
        <v>641621</v>
      </c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3078823</v>
      </c>
      <c r="AF62" s="2">
        <f t="shared" si="2"/>
        <v>0.74096606910098195</v>
      </c>
      <c r="AG62" s="2">
        <f t="shared" si="3"/>
        <v>0.72513978828113446</v>
      </c>
      <c r="AH62" s="2">
        <f t="shared" si="4"/>
        <v>0.64192598002545564</v>
      </c>
      <c r="AI62" s="2">
        <f t="shared" si="5"/>
        <v>0.746296554772373</v>
      </c>
      <c r="AJ62" s="2" t="str">
        <f t="shared" si="6"/>
        <v/>
      </c>
      <c r="AK62" s="2" t="str">
        <f t="shared" si="7"/>
        <v/>
      </c>
      <c r="AL62" s="2" t="str">
        <f t="shared" si="8"/>
        <v/>
      </c>
      <c r="AM62" s="2" t="str">
        <f t="shared" si="9"/>
        <v/>
      </c>
      <c r="AN62" s="2" t="str">
        <f t="shared" si="10"/>
        <v/>
      </c>
      <c r="AO62" s="2" t="str">
        <f t="shared" si="11"/>
        <v/>
      </c>
      <c r="AP62" s="2" t="str">
        <f t="shared" si="12"/>
        <v/>
      </c>
      <c r="AQ62" s="2" t="str">
        <f t="shared" si="13"/>
        <v/>
      </c>
      <c r="AR62" s="2">
        <f t="shared" si="14"/>
        <v>0.71207535527178834</v>
      </c>
      <c r="AT62" s="2" t="str">
        <f t="shared" si="28"/>
        <v/>
      </c>
      <c r="AU62" s="2" t="str">
        <f t="shared" si="29"/>
        <v/>
      </c>
      <c r="AV62" s="143">
        <f t="shared" si="30"/>
        <v>0.10437057474691736</v>
      </c>
      <c r="AW62" s="143" t="str">
        <f t="shared" si="31"/>
        <v/>
      </c>
      <c r="AX62" s="143" t="str">
        <f t="shared" si="32"/>
        <v/>
      </c>
      <c r="AY62" s="143" t="str">
        <f t="shared" si="33"/>
        <v/>
      </c>
      <c r="AZ62" s="143" t="str">
        <f t="shared" si="34"/>
        <v/>
      </c>
      <c r="BA62" s="143" t="str">
        <f t="shared" si="35"/>
        <v/>
      </c>
      <c r="BB62" s="143" t="str">
        <f t="shared" si="36"/>
        <v/>
      </c>
      <c r="BC62" s="143" t="str">
        <f t="shared" si="37"/>
        <v/>
      </c>
      <c r="BD62" s="143" t="str">
        <f t="shared" si="38"/>
        <v/>
      </c>
      <c r="BF62" s="9">
        <f t="shared" si="26"/>
        <v>4.1492595905208134E-3</v>
      </c>
      <c r="BG62" s="9">
        <f t="shared" si="27"/>
        <v>0.92108192281112722</v>
      </c>
    </row>
    <row r="63" spans="2:59" x14ac:dyDescent="0.35">
      <c r="B63" s="3" t="s">
        <v>176</v>
      </c>
      <c r="D63" s="141">
        <v>90007</v>
      </c>
      <c r="E63" s="141">
        <v>99280</v>
      </c>
      <c r="F63" s="141">
        <v>66429</v>
      </c>
      <c r="G63" s="141">
        <v>59618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315334</v>
      </c>
      <c r="R63" s="141">
        <v>80784</v>
      </c>
      <c r="S63" s="141">
        <v>78633</v>
      </c>
      <c r="T63" s="141">
        <v>59050</v>
      </c>
      <c r="U63" s="141">
        <v>47901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266368</v>
      </c>
      <c r="AF63" s="2">
        <f t="shared" si="2"/>
        <v>0.89753019209617024</v>
      </c>
      <c r="AG63" s="2">
        <f t="shared" si="3"/>
        <v>0.79203263497179699</v>
      </c>
      <c r="AH63" s="2">
        <f t="shared" si="4"/>
        <v>0.8889189962215297</v>
      </c>
      <c r="AI63" s="2">
        <f t="shared" si="5"/>
        <v>0.80346539635680503</v>
      </c>
      <c r="AJ63" s="2" t="str">
        <f t="shared" si="6"/>
        <v/>
      </c>
      <c r="AK63" s="2" t="str">
        <f t="shared" si="7"/>
        <v/>
      </c>
      <c r="AL63" s="2" t="str">
        <f t="shared" si="8"/>
        <v/>
      </c>
      <c r="AM63" s="2" t="str">
        <f t="shared" si="9"/>
        <v/>
      </c>
      <c r="AN63" s="2" t="str">
        <f t="shared" si="10"/>
        <v/>
      </c>
      <c r="AO63" s="2" t="str">
        <f t="shared" si="11"/>
        <v/>
      </c>
      <c r="AP63" s="2" t="str">
        <f t="shared" si="12"/>
        <v/>
      </c>
      <c r="AQ63" s="2" t="str">
        <f t="shared" si="13"/>
        <v/>
      </c>
      <c r="AR63" s="2">
        <f t="shared" si="14"/>
        <v>0.84471703019655353</v>
      </c>
      <c r="AT63" s="2" t="str">
        <f t="shared" si="28"/>
        <v/>
      </c>
      <c r="AU63" s="2" t="str">
        <f t="shared" si="29"/>
        <v/>
      </c>
      <c r="AV63" s="143">
        <f t="shared" si="30"/>
        <v>-8.5453599864724672E-2</v>
      </c>
      <c r="AW63" s="143" t="str">
        <f t="shared" si="31"/>
        <v/>
      </c>
      <c r="AX63" s="143" t="str">
        <f t="shared" si="32"/>
        <v/>
      </c>
      <c r="AY63" s="143" t="str">
        <f t="shared" si="33"/>
        <v/>
      </c>
      <c r="AZ63" s="143" t="str">
        <f t="shared" si="34"/>
        <v/>
      </c>
      <c r="BA63" s="143" t="str">
        <f t="shared" si="35"/>
        <v/>
      </c>
      <c r="BB63" s="143" t="str">
        <f t="shared" si="36"/>
        <v/>
      </c>
      <c r="BC63" s="143" t="str">
        <f t="shared" si="37"/>
        <v/>
      </c>
      <c r="BD63" s="143" t="str">
        <f t="shared" si="38"/>
        <v/>
      </c>
      <c r="BF63" s="9">
        <f t="shared" si="26"/>
        <v>3.5897808305571577E-4</v>
      </c>
      <c r="BG63" s="9">
        <f t="shared" si="27"/>
        <v>0.92144090089418296</v>
      </c>
    </row>
    <row r="64" spans="2:59" x14ac:dyDescent="0.35">
      <c r="B64" s="3" t="s">
        <v>159</v>
      </c>
      <c r="D64" s="141">
        <v>551619</v>
      </c>
      <c r="E64" s="141">
        <v>479525</v>
      </c>
      <c r="F64" s="141">
        <v>522295</v>
      </c>
      <c r="G64" s="141">
        <v>417608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1971047</v>
      </c>
      <c r="R64" s="141">
        <v>424303</v>
      </c>
      <c r="S64" s="141">
        <v>328899</v>
      </c>
      <c r="T64" s="141">
        <v>349470</v>
      </c>
      <c r="U64" s="141">
        <v>285374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1388046</v>
      </c>
      <c r="AF64" s="2">
        <f t="shared" si="2"/>
        <v>0.7691957673684191</v>
      </c>
      <c r="AG64" s="2">
        <f t="shared" si="3"/>
        <v>0.6858849903550388</v>
      </c>
      <c r="AH64" s="2">
        <f t="shared" si="4"/>
        <v>0.66910462478101451</v>
      </c>
      <c r="AI64" s="2">
        <f t="shared" si="5"/>
        <v>0.68335376716921137</v>
      </c>
      <c r="AJ64" s="2" t="str">
        <f t="shared" si="6"/>
        <v/>
      </c>
      <c r="AK64" s="2" t="str">
        <f t="shared" si="7"/>
        <v/>
      </c>
      <c r="AL64" s="2" t="str">
        <f t="shared" si="8"/>
        <v/>
      </c>
      <c r="AM64" s="2" t="str">
        <f t="shared" si="9"/>
        <v/>
      </c>
      <c r="AN64" s="2" t="str">
        <f t="shared" si="10"/>
        <v/>
      </c>
      <c r="AO64" s="2" t="str">
        <f t="shared" si="11"/>
        <v/>
      </c>
      <c r="AP64" s="2" t="str">
        <f t="shared" si="12"/>
        <v/>
      </c>
      <c r="AQ64" s="2" t="str">
        <f t="shared" si="13"/>
        <v/>
      </c>
      <c r="AR64" s="2">
        <f t="shared" si="14"/>
        <v>0.70421760617580398</v>
      </c>
      <c r="AT64" s="2" t="str">
        <f t="shared" si="28"/>
        <v/>
      </c>
      <c r="AU64" s="2" t="str">
        <f t="shared" si="29"/>
        <v/>
      </c>
      <c r="AV64" s="143">
        <f t="shared" si="30"/>
        <v>1.4249142388196856E-2</v>
      </c>
      <c r="AW64" s="143" t="str">
        <f t="shared" si="31"/>
        <v/>
      </c>
      <c r="AX64" s="143" t="str">
        <f t="shared" si="32"/>
        <v/>
      </c>
      <c r="AY64" s="143" t="str">
        <f t="shared" si="33"/>
        <v/>
      </c>
      <c r="AZ64" s="143" t="str">
        <f t="shared" si="34"/>
        <v/>
      </c>
      <c r="BA64" s="143" t="str">
        <f t="shared" si="35"/>
        <v/>
      </c>
      <c r="BB64" s="143" t="str">
        <f t="shared" si="36"/>
        <v/>
      </c>
      <c r="BC64" s="143" t="str">
        <f t="shared" si="37"/>
        <v/>
      </c>
      <c r="BD64" s="143" t="str">
        <f t="shared" si="38"/>
        <v/>
      </c>
      <c r="BF64" s="9">
        <f t="shared" si="26"/>
        <v>1.8706379605401325E-3</v>
      </c>
      <c r="BG64" s="9">
        <f t="shared" si="27"/>
        <v>0.92331153885472306</v>
      </c>
    </row>
    <row r="65" spans="2:59" x14ac:dyDescent="0.35">
      <c r="B65" s="3" t="s">
        <v>148</v>
      </c>
      <c r="D65" s="141">
        <v>112765</v>
      </c>
      <c r="E65" s="141">
        <v>140580</v>
      </c>
      <c r="F65" s="141">
        <v>130831</v>
      </c>
      <c r="G65" s="141">
        <v>97202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481378</v>
      </c>
      <c r="R65" s="141">
        <v>64137</v>
      </c>
      <c r="S65" s="141">
        <v>104455</v>
      </c>
      <c r="T65" s="141">
        <v>76485</v>
      </c>
      <c r="U65" s="141">
        <v>42464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287541</v>
      </c>
      <c r="AF65" s="2">
        <f t="shared" si="2"/>
        <v>0.56876690462466195</v>
      </c>
      <c r="AG65" s="2">
        <f t="shared" si="3"/>
        <v>0.74302888035282399</v>
      </c>
      <c r="AH65" s="2">
        <f t="shared" si="4"/>
        <v>0.58460915226513599</v>
      </c>
      <c r="AI65" s="2">
        <f t="shared" si="5"/>
        <v>0.43686343902388841</v>
      </c>
      <c r="AJ65" s="2" t="str">
        <f t="shared" si="6"/>
        <v/>
      </c>
      <c r="AK65" s="2" t="str">
        <f t="shared" si="7"/>
        <v/>
      </c>
      <c r="AL65" s="2" t="str">
        <f t="shared" si="8"/>
        <v/>
      </c>
      <c r="AM65" s="2" t="str">
        <f t="shared" si="9"/>
        <v/>
      </c>
      <c r="AN65" s="2" t="str">
        <f t="shared" si="10"/>
        <v/>
      </c>
      <c r="AO65" s="2" t="str">
        <f t="shared" si="11"/>
        <v/>
      </c>
      <c r="AP65" s="2" t="str">
        <f t="shared" si="12"/>
        <v/>
      </c>
      <c r="AQ65" s="2" t="str">
        <f t="shared" si="13"/>
        <v/>
      </c>
      <c r="AR65" s="2">
        <f t="shared" si="14"/>
        <v>0.59732891823057976</v>
      </c>
      <c r="AT65" s="2" t="str">
        <f t="shared" si="28"/>
        <v/>
      </c>
      <c r="AU65" s="2" t="str">
        <f t="shared" si="29"/>
        <v/>
      </c>
      <c r="AV65" s="143">
        <f t="shared" si="30"/>
        <v>-0.14774571324124758</v>
      </c>
      <c r="AW65" s="143" t="str">
        <f t="shared" si="31"/>
        <v/>
      </c>
      <c r="AX65" s="143" t="str">
        <f t="shared" si="32"/>
        <v/>
      </c>
      <c r="AY65" s="143" t="str">
        <f t="shared" si="33"/>
        <v/>
      </c>
      <c r="AZ65" s="143" t="str">
        <f t="shared" si="34"/>
        <v/>
      </c>
      <c r="BA65" s="143" t="str">
        <f t="shared" si="35"/>
        <v/>
      </c>
      <c r="BB65" s="143" t="str">
        <f t="shared" si="36"/>
        <v/>
      </c>
      <c r="BC65" s="143" t="str">
        <f t="shared" si="37"/>
        <v/>
      </c>
      <c r="BD65" s="143" t="str">
        <f t="shared" si="38"/>
        <v/>
      </c>
      <c r="BF65" s="9">
        <f t="shared" si="26"/>
        <v>3.8751245262164959E-4</v>
      </c>
      <c r="BG65" s="9">
        <f t="shared" si="27"/>
        <v>0.92369905130734475</v>
      </c>
    </row>
    <row r="66" spans="2:59" x14ac:dyDescent="0.35">
      <c r="B66" s="3" t="s">
        <v>153</v>
      </c>
      <c r="D66" s="141">
        <v>284167</v>
      </c>
      <c r="E66" s="141">
        <v>276448</v>
      </c>
      <c r="F66" s="141">
        <v>333625</v>
      </c>
      <c r="G66" s="141">
        <v>179955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1074195</v>
      </c>
      <c r="R66" s="141">
        <v>233586</v>
      </c>
      <c r="S66" s="141">
        <v>239684</v>
      </c>
      <c r="T66" s="141">
        <v>242794</v>
      </c>
      <c r="U66" s="141">
        <v>140800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856864</v>
      </c>
      <c r="AF66" s="2">
        <f t="shared" si="2"/>
        <v>0.82200255483571283</v>
      </c>
      <c r="AG66" s="2">
        <f t="shared" si="3"/>
        <v>0.86701296446347953</v>
      </c>
      <c r="AH66" s="2">
        <f t="shared" si="4"/>
        <v>0.72774522292993626</v>
      </c>
      <c r="AI66" s="2">
        <f t="shared" si="5"/>
        <v>0.78241782667889193</v>
      </c>
      <c r="AJ66" s="2" t="str">
        <f t="shared" si="6"/>
        <v/>
      </c>
      <c r="AK66" s="2" t="str">
        <f t="shared" si="7"/>
        <v/>
      </c>
      <c r="AL66" s="2" t="str">
        <f t="shared" si="8"/>
        <v/>
      </c>
      <c r="AM66" s="2" t="str">
        <f t="shared" si="9"/>
        <v/>
      </c>
      <c r="AN66" s="2" t="str">
        <f t="shared" si="10"/>
        <v/>
      </c>
      <c r="AO66" s="2" t="str">
        <f t="shared" si="11"/>
        <v/>
      </c>
      <c r="AP66" s="2" t="str">
        <f t="shared" si="12"/>
        <v/>
      </c>
      <c r="AQ66" s="2" t="str">
        <f t="shared" si="13"/>
        <v/>
      </c>
      <c r="AR66" s="2">
        <f t="shared" si="14"/>
        <v>0.79768012325508875</v>
      </c>
      <c r="AT66" s="2" t="str">
        <f t="shared" si="28"/>
        <v/>
      </c>
      <c r="AU66" s="2" t="str">
        <f t="shared" si="29"/>
        <v/>
      </c>
      <c r="AV66" s="143">
        <f t="shared" si="30"/>
        <v>5.4672603748955662E-2</v>
      </c>
      <c r="AW66" s="143" t="str">
        <f t="shared" si="31"/>
        <v/>
      </c>
      <c r="AX66" s="143" t="str">
        <f t="shared" si="32"/>
        <v/>
      </c>
      <c r="AY66" s="143" t="str">
        <f t="shared" si="33"/>
        <v/>
      </c>
      <c r="AZ66" s="143" t="str">
        <f t="shared" si="34"/>
        <v/>
      </c>
      <c r="BA66" s="143" t="str">
        <f t="shared" si="35"/>
        <v/>
      </c>
      <c r="BB66" s="143" t="str">
        <f t="shared" si="36"/>
        <v/>
      </c>
      <c r="BC66" s="143" t="str">
        <f t="shared" si="37"/>
        <v/>
      </c>
      <c r="BD66" s="143" t="str">
        <f t="shared" si="38"/>
        <v/>
      </c>
      <c r="BF66" s="9">
        <f t="shared" si="26"/>
        <v>1.1547760848129385E-3</v>
      </c>
      <c r="BG66" s="9">
        <f t="shared" si="27"/>
        <v>0.92485382739215771</v>
      </c>
    </row>
    <row r="67" spans="2:59" x14ac:dyDescent="0.35">
      <c r="B67" s="3" t="s">
        <v>154</v>
      </c>
      <c r="D67" s="141">
        <v>669910</v>
      </c>
      <c r="E67" s="141">
        <v>624545</v>
      </c>
      <c r="F67" s="141">
        <v>391815</v>
      </c>
      <c r="G67" s="141">
        <v>454886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2141156</v>
      </c>
      <c r="R67" s="141">
        <v>484936</v>
      </c>
      <c r="S67" s="141">
        <v>459180</v>
      </c>
      <c r="T67" s="141">
        <v>273575</v>
      </c>
      <c r="U67" s="141">
        <v>319831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1537522</v>
      </c>
      <c r="AF67" s="2">
        <f t="shared" si="2"/>
        <v>0.7238823125494469</v>
      </c>
      <c r="AG67" s="2">
        <f t="shared" si="3"/>
        <v>0.73522324252055493</v>
      </c>
      <c r="AH67" s="2">
        <f t="shared" si="4"/>
        <v>0.69822492758061838</v>
      </c>
      <c r="AI67" s="2">
        <f t="shared" si="5"/>
        <v>0.70310143640384626</v>
      </c>
      <c r="AJ67" s="2" t="str">
        <f t="shared" si="6"/>
        <v/>
      </c>
      <c r="AK67" s="2" t="str">
        <f t="shared" si="7"/>
        <v/>
      </c>
      <c r="AL67" s="2" t="str">
        <f t="shared" si="8"/>
        <v/>
      </c>
      <c r="AM67" s="2" t="str">
        <f t="shared" si="9"/>
        <v/>
      </c>
      <c r="AN67" s="2" t="str">
        <f t="shared" si="10"/>
        <v/>
      </c>
      <c r="AO67" s="2" t="str">
        <f t="shared" si="11"/>
        <v/>
      </c>
      <c r="AP67" s="2" t="str">
        <f t="shared" si="12"/>
        <v/>
      </c>
      <c r="AQ67" s="2" t="str">
        <f t="shared" si="13"/>
        <v/>
      </c>
      <c r="AR67" s="2">
        <f t="shared" si="14"/>
        <v>0.71808032670202449</v>
      </c>
      <c r="AT67" s="2" t="str">
        <f t="shared" si="28"/>
        <v/>
      </c>
      <c r="AU67" s="2" t="str">
        <f t="shared" si="29"/>
        <v/>
      </c>
      <c r="AV67" s="143">
        <f t="shared" si="30"/>
        <v>4.8765088232278764E-3</v>
      </c>
      <c r="AW67" s="143" t="str">
        <f t="shared" si="31"/>
        <v/>
      </c>
      <c r="AX67" s="143" t="str">
        <f t="shared" si="32"/>
        <v/>
      </c>
      <c r="AY67" s="143" t="str">
        <f t="shared" si="33"/>
        <v/>
      </c>
      <c r="AZ67" s="143" t="str">
        <f t="shared" si="34"/>
        <v/>
      </c>
      <c r="BA67" s="143" t="str">
        <f t="shared" si="35"/>
        <v/>
      </c>
      <c r="BB67" s="143" t="str">
        <f t="shared" si="36"/>
        <v/>
      </c>
      <c r="BC67" s="143" t="str">
        <f t="shared" si="37"/>
        <v/>
      </c>
      <c r="BD67" s="143" t="str">
        <f t="shared" si="38"/>
        <v/>
      </c>
      <c r="BF67" s="9">
        <f t="shared" si="26"/>
        <v>2.072083359172236E-3</v>
      </c>
      <c r="BG67" s="9">
        <f t="shared" si="27"/>
        <v>0.92692591075132991</v>
      </c>
    </row>
    <row r="68" spans="2:59" x14ac:dyDescent="0.35">
      <c r="B68" s="3" t="s">
        <v>157</v>
      </c>
      <c r="D68" s="141">
        <v>667113</v>
      </c>
      <c r="E68" s="141">
        <v>442290</v>
      </c>
      <c r="F68" s="141">
        <v>746048</v>
      </c>
      <c r="G68" s="141">
        <v>123623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1979074</v>
      </c>
      <c r="R68" s="141">
        <v>429177</v>
      </c>
      <c r="S68" s="141">
        <v>280270</v>
      </c>
      <c r="T68" s="141">
        <v>494433</v>
      </c>
      <c r="U68" s="141">
        <v>86733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1290613</v>
      </c>
      <c r="AF68" s="2">
        <f t="shared" si="2"/>
        <v>0.6433347873598626</v>
      </c>
      <c r="AG68" s="2">
        <f t="shared" si="3"/>
        <v>0.63367926021388676</v>
      </c>
      <c r="AH68" s="2">
        <f t="shared" si="4"/>
        <v>0.66273617783306171</v>
      </c>
      <c r="AI68" s="2">
        <f t="shared" si="5"/>
        <v>0.70159274568648233</v>
      </c>
      <c r="AJ68" s="2" t="str">
        <f t="shared" si="6"/>
        <v/>
      </c>
      <c r="AK68" s="2" t="str">
        <f t="shared" si="7"/>
        <v/>
      </c>
      <c r="AL68" s="2" t="str">
        <f t="shared" si="8"/>
        <v/>
      </c>
      <c r="AM68" s="2" t="str">
        <f t="shared" si="9"/>
        <v/>
      </c>
      <c r="AN68" s="2" t="str">
        <f t="shared" si="10"/>
        <v/>
      </c>
      <c r="AO68" s="2" t="str">
        <f t="shared" si="11"/>
        <v/>
      </c>
      <c r="AP68" s="2" t="str">
        <f t="shared" si="12"/>
        <v/>
      </c>
      <c r="AQ68" s="2" t="str">
        <f t="shared" si="13"/>
        <v/>
      </c>
      <c r="AR68" s="2">
        <f t="shared" si="14"/>
        <v>0.65212973340057012</v>
      </c>
      <c r="AT68" s="2" t="str">
        <f t="shared" si="28"/>
        <v/>
      </c>
      <c r="AU68" s="2" t="str">
        <f t="shared" si="29"/>
        <v/>
      </c>
      <c r="AV68" s="143">
        <f t="shared" si="30"/>
        <v>3.885656785342062E-2</v>
      </c>
      <c r="AW68" s="143" t="str">
        <f t="shared" si="31"/>
        <v/>
      </c>
      <c r="AX68" s="143" t="str">
        <f t="shared" si="32"/>
        <v/>
      </c>
      <c r="AY68" s="143" t="str">
        <f t="shared" si="33"/>
        <v/>
      </c>
      <c r="AZ68" s="143" t="str">
        <f t="shared" si="34"/>
        <v/>
      </c>
      <c r="BA68" s="143" t="str">
        <f t="shared" si="35"/>
        <v/>
      </c>
      <c r="BB68" s="143" t="str">
        <f t="shared" si="36"/>
        <v/>
      </c>
      <c r="BC68" s="143" t="str">
        <f t="shared" si="37"/>
        <v/>
      </c>
      <c r="BD68" s="143" t="str">
        <f t="shared" si="38"/>
        <v/>
      </c>
      <c r="BF68" s="9">
        <f t="shared" si="26"/>
        <v>1.7393297269446273E-3</v>
      </c>
      <c r="BG68" s="9">
        <f t="shared" si="27"/>
        <v>0.92866524047827448</v>
      </c>
    </row>
    <row r="69" spans="2:59" x14ac:dyDescent="0.35">
      <c r="B69" s="3" t="s">
        <v>143</v>
      </c>
      <c r="D69" s="141">
        <v>278264</v>
      </c>
      <c r="E69" s="141">
        <v>267657</v>
      </c>
      <c r="F69" s="141">
        <v>435750</v>
      </c>
      <c r="G69" s="141">
        <v>217926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39">+SUM(D69:O69)</f>
        <v>1199597</v>
      </c>
      <c r="R69" s="141">
        <v>204839</v>
      </c>
      <c r="S69" s="141">
        <v>197984</v>
      </c>
      <c r="T69" s="141">
        <v>281736</v>
      </c>
      <c r="U69" s="141">
        <v>144886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40">+SUM(R69:AC69)</f>
        <v>829445</v>
      </c>
      <c r="AF69" s="2">
        <f t="shared" ref="AF69:AF132" si="41">+IFERROR(R69/D69,"")</f>
        <v>0.73613187476640884</v>
      </c>
      <c r="AG69" s="2">
        <f t="shared" ref="AG69:AG132" si="42">+IFERROR(S69/E69,"")</f>
        <v>0.7396929652503017</v>
      </c>
      <c r="AH69" s="2">
        <f t="shared" ref="AH69:AH132" si="43">+IFERROR(T69/F69,"")</f>
        <v>0.64655421686746983</v>
      </c>
      <c r="AI69" s="2">
        <f t="shared" ref="AI69:AI132" si="44">+IFERROR(U69/G69,"")</f>
        <v>0.66484035865385493</v>
      </c>
      <c r="AJ69" s="2" t="str">
        <f t="shared" ref="AJ69:AJ132" si="45">+IFERROR(V69/H69,"")</f>
        <v/>
      </c>
      <c r="AK69" s="2" t="str">
        <f t="shared" ref="AK69:AK132" si="46">+IFERROR(W69/I69,"")</f>
        <v/>
      </c>
      <c r="AL69" s="2" t="str">
        <f t="shared" ref="AL69:AL132" si="47">+IFERROR(X69/J69,"")</f>
        <v/>
      </c>
      <c r="AM69" s="2" t="str">
        <f t="shared" ref="AM69:AM132" si="48">+IFERROR(Y69/K69,"")</f>
        <v/>
      </c>
      <c r="AN69" s="2" t="str">
        <f t="shared" ref="AN69:AN132" si="49">+IFERROR(Z69/L69,"")</f>
        <v/>
      </c>
      <c r="AO69" s="2" t="str">
        <f t="shared" ref="AO69:AO132" si="50">+IFERROR(AA69/M69,"")</f>
        <v/>
      </c>
      <c r="AP69" s="2" t="str">
        <f t="shared" ref="AP69:AP132" si="51">+IFERROR(AB69/N69,"")</f>
        <v/>
      </c>
      <c r="AQ69" s="2" t="str">
        <f t="shared" ref="AQ69:AQ132" si="52">+IFERROR(AC69/O69,"")</f>
        <v/>
      </c>
      <c r="AR69" s="2">
        <f t="shared" ref="AR69:AR132" si="53">+IFERROR(AD69/P69,"")</f>
        <v>0.69143637404895142</v>
      </c>
      <c r="AT69" s="2" t="str">
        <f t="shared" si="28"/>
        <v/>
      </c>
      <c r="AU69" s="2" t="str">
        <f t="shared" si="29"/>
        <v/>
      </c>
      <c r="AV69" s="143">
        <f t="shared" si="30"/>
        <v>1.8286141786385102E-2</v>
      </c>
      <c r="AW69" s="143" t="str">
        <f t="shared" si="31"/>
        <v/>
      </c>
      <c r="AX69" s="143" t="str">
        <f t="shared" si="32"/>
        <v/>
      </c>
      <c r="AY69" s="143" t="str">
        <f t="shared" si="33"/>
        <v/>
      </c>
      <c r="AZ69" s="143" t="str">
        <f t="shared" si="34"/>
        <v/>
      </c>
      <c r="BA69" s="143" t="str">
        <f t="shared" si="35"/>
        <v/>
      </c>
      <c r="BB69" s="143" t="str">
        <f t="shared" si="36"/>
        <v/>
      </c>
      <c r="BC69" s="143" t="str">
        <f t="shared" si="37"/>
        <v/>
      </c>
      <c r="BD69" s="143" t="str">
        <f t="shared" si="38"/>
        <v/>
      </c>
      <c r="BF69" s="9">
        <f t="shared" ref="BF69:BF132" si="54">+AD69/$AD$257</f>
        <v>1.1178241233937567E-3</v>
      </c>
      <c r="BG69" s="9">
        <f t="shared" si="27"/>
        <v>0.92978306460166826</v>
      </c>
    </row>
    <row r="70" spans="2:59" x14ac:dyDescent="0.35">
      <c r="B70" s="3" t="s">
        <v>172</v>
      </c>
      <c r="D70" s="141">
        <v>1086759</v>
      </c>
      <c r="E70" s="141">
        <v>1541359</v>
      </c>
      <c r="F70" s="141">
        <v>197764</v>
      </c>
      <c r="G70" s="141">
        <v>1346046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39"/>
        <v>4171928</v>
      </c>
      <c r="R70" s="141">
        <v>827781</v>
      </c>
      <c r="S70" s="141">
        <v>1186607</v>
      </c>
      <c r="T70" s="141">
        <v>148868</v>
      </c>
      <c r="U70" s="141">
        <v>1026349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40"/>
        <v>3189605</v>
      </c>
      <c r="AF70" s="2">
        <f t="shared" si="41"/>
        <v>0.76169693556713125</v>
      </c>
      <c r="AG70" s="2">
        <f t="shared" si="42"/>
        <v>0.76984466305383759</v>
      </c>
      <c r="AH70" s="2">
        <f t="shared" si="43"/>
        <v>0.75275580995530023</v>
      </c>
      <c r="AI70" s="2">
        <f t="shared" si="44"/>
        <v>0.76249177219797837</v>
      </c>
      <c r="AJ70" s="2" t="str">
        <f t="shared" si="45"/>
        <v/>
      </c>
      <c r="AK70" s="2" t="str">
        <f t="shared" si="46"/>
        <v/>
      </c>
      <c r="AL70" s="2" t="str">
        <f t="shared" si="47"/>
        <v/>
      </c>
      <c r="AM70" s="2" t="str">
        <f t="shared" si="48"/>
        <v/>
      </c>
      <c r="AN70" s="2" t="str">
        <f t="shared" si="49"/>
        <v/>
      </c>
      <c r="AO70" s="2" t="str">
        <f t="shared" si="50"/>
        <v/>
      </c>
      <c r="AP70" s="2" t="str">
        <f t="shared" si="51"/>
        <v/>
      </c>
      <c r="AQ70" s="2" t="str">
        <f t="shared" si="52"/>
        <v/>
      </c>
      <c r="AR70" s="2">
        <f t="shared" si="53"/>
        <v>0.76453980030336099</v>
      </c>
      <c r="AT70" s="2" t="str">
        <f t="shared" si="28"/>
        <v/>
      </c>
      <c r="AU70" s="2" t="str">
        <f t="shared" si="29"/>
        <v/>
      </c>
      <c r="AV70" s="143">
        <f t="shared" si="30"/>
        <v>9.7359622426781423E-3</v>
      </c>
      <c r="AW70" s="143" t="str">
        <f t="shared" si="31"/>
        <v/>
      </c>
      <c r="AX70" s="143" t="str">
        <f t="shared" si="32"/>
        <v/>
      </c>
      <c r="AY70" s="143" t="str">
        <f t="shared" si="33"/>
        <v/>
      </c>
      <c r="AZ70" s="143" t="str">
        <f t="shared" si="34"/>
        <v/>
      </c>
      <c r="BA70" s="143" t="str">
        <f t="shared" si="35"/>
        <v/>
      </c>
      <c r="BB70" s="143" t="str">
        <f t="shared" si="36"/>
        <v/>
      </c>
      <c r="BC70" s="143" t="str">
        <f t="shared" si="37"/>
        <v/>
      </c>
      <c r="BD70" s="143" t="str">
        <f t="shared" si="38"/>
        <v/>
      </c>
      <c r="BF70" s="9">
        <f t="shared" si="54"/>
        <v>4.2985579671917283E-3</v>
      </c>
      <c r="BG70" s="9">
        <f t="shared" ref="BG70:BG133" si="55">+BF70+BG69</f>
        <v>0.93408162256885996</v>
      </c>
    </row>
    <row r="71" spans="2:59" x14ac:dyDescent="0.35">
      <c r="B71" s="3" t="s">
        <v>182</v>
      </c>
      <c r="D71" s="141">
        <v>327743</v>
      </c>
      <c r="E71" s="141">
        <v>287410</v>
      </c>
      <c r="F71" s="141">
        <v>398887</v>
      </c>
      <c r="G71" s="141">
        <v>261771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39"/>
        <v>1275811</v>
      </c>
      <c r="R71" s="141">
        <v>242170</v>
      </c>
      <c r="S71" s="141">
        <v>209324</v>
      </c>
      <c r="T71" s="141">
        <v>286047</v>
      </c>
      <c r="U71" s="141">
        <v>173316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40"/>
        <v>910857</v>
      </c>
      <c r="AF71" s="2">
        <f t="shared" si="41"/>
        <v>0.73890212758167217</v>
      </c>
      <c r="AG71" s="2">
        <f t="shared" si="42"/>
        <v>0.72831147141713926</v>
      </c>
      <c r="AH71" s="2">
        <f t="shared" si="43"/>
        <v>0.71711286655117867</v>
      </c>
      <c r="AI71" s="2">
        <f t="shared" si="44"/>
        <v>0.66209014749532991</v>
      </c>
      <c r="AJ71" s="2" t="str">
        <f t="shared" si="45"/>
        <v/>
      </c>
      <c r="AK71" s="2" t="str">
        <f t="shared" si="46"/>
        <v/>
      </c>
      <c r="AL71" s="2" t="str">
        <f t="shared" si="47"/>
        <v/>
      </c>
      <c r="AM71" s="2" t="str">
        <f t="shared" si="48"/>
        <v/>
      </c>
      <c r="AN71" s="2" t="str">
        <f t="shared" si="49"/>
        <v/>
      </c>
      <c r="AO71" s="2" t="str">
        <f t="shared" si="50"/>
        <v/>
      </c>
      <c r="AP71" s="2" t="str">
        <f t="shared" si="51"/>
        <v/>
      </c>
      <c r="AQ71" s="2" t="str">
        <f t="shared" si="52"/>
        <v/>
      </c>
      <c r="AR71" s="2">
        <f t="shared" si="53"/>
        <v>0.71394352298263619</v>
      </c>
      <c r="AT71" s="2" t="str">
        <f t="shared" si="28"/>
        <v/>
      </c>
      <c r="AU71" s="2" t="str">
        <f t="shared" si="29"/>
        <v/>
      </c>
      <c r="AV71" s="143">
        <f t="shared" si="30"/>
        <v>-5.5022719055848768E-2</v>
      </c>
      <c r="AW71" s="143" t="str">
        <f t="shared" si="31"/>
        <v/>
      </c>
      <c r="AX71" s="143" t="str">
        <f t="shared" si="32"/>
        <v/>
      </c>
      <c r="AY71" s="143" t="str">
        <f t="shared" si="33"/>
        <v/>
      </c>
      <c r="AZ71" s="143" t="str">
        <f t="shared" si="34"/>
        <v/>
      </c>
      <c r="BA71" s="143" t="str">
        <f t="shared" si="35"/>
        <v/>
      </c>
      <c r="BB71" s="143" t="str">
        <f t="shared" si="36"/>
        <v/>
      </c>
      <c r="BC71" s="143" t="str">
        <f t="shared" si="37"/>
        <v/>
      </c>
      <c r="BD71" s="143" t="str">
        <f t="shared" si="38"/>
        <v/>
      </c>
      <c r="BF71" s="9">
        <f t="shared" si="54"/>
        <v>1.2275412204089083E-3</v>
      </c>
      <c r="BG71" s="9">
        <f t="shared" si="55"/>
        <v>0.93530916378926887</v>
      </c>
    </row>
    <row r="72" spans="2:59" x14ac:dyDescent="0.35">
      <c r="B72" s="3" t="s">
        <v>156</v>
      </c>
      <c r="D72" s="141">
        <v>904707</v>
      </c>
      <c r="E72" s="141">
        <v>2157041</v>
      </c>
      <c r="F72" s="141">
        <v>2184919</v>
      </c>
      <c r="G72" s="141">
        <v>779736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39"/>
        <v>6026403</v>
      </c>
      <c r="R72" s="141">
        <v>659837</v>
      </c>
      <c r="S72" s="141">
        <v>1618500</v>
      </c>
      <c r="T72" s="141">
        <v>1478477</v>
      </c>
      <c r="U72" s="141">
        <v>588169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40"/>
        <v>4344983</v>
      </c>
      <c r="AF72" s="2">
        <f t="shared" si="41"/>
        <v>0.72933778560351581</v>
      </c>
      <c r="AG72" s="2">
        <f t="shared" si="42"/>
        <v>0.75033344289700565</v>
      </c>
      <c r="AH72" s="2">
        <f t="shared" si="43"/>
        <v>0.67667359751093747</v>
      </c>
      <c r="AI72" s="2">
        <f t="shared" si="44"/>
        <v>0.75431812818697608</v>
      </c>
      <c r="AJ72" s="2" t="str">
        <f t="shared" si="45"/>
        <v/>
      </c>
      <c r="AK72" s="2" t="str">
        <f t="shared" si="46"/>
        <v/>
      </c>
      <c r="AL72" s="2" t="str">
        <f t="shared" si="47"/>
        <v/>
      </c>
      <c r="AM72" s="2" t="str">
        <f t="shared" si="48"/>
        <v/>
      </c>
      <c r="AN72" s="2" t="str">
        <f t="shared" si="49"/>
        <v/>
      </c>
      <c r="AO72" s="2" t="str">
        <f t="shared" si="50"/>
        <v/>
      </c>
      <c r="AP72" s="2" t="str">
        <f t="shared" si="51"/>
        <v/>
      </c>
      <c r="AQ72" s="2" t="str">
        <f t="shared" si="52"/>
        <v/>
      </c>
      <c r="AR72" s="2">
        <f t="shared" si="53"/>
        <v>0.72099111194521837</v>
      </c>
      <c r="AT72" s="2" t="str">
        <f t="shared" si="28"/>
        <v/>
      </c>
      <c r="AU72" s="2" t="str">
        <f t="shared" si="29"/>
        <v/>
      </c>
      <c r="AV72" s="143">
        <f t="shared" si="30"/>
        <v>7.7644530676038603E-2</v>
      </c>
      <c r="AW72" s="143" t="str">
        <f t="shared" si="31"/>
        <v/>
      </c>
      <c r="AX72" s="143" t="str">
        <f t="shared" si="32"/>
        <v/>
      </c>
      <c r="AY72" s="143" t="str">
        <f t="shared" si="33"/>
        <v/>
      </c>
      <c r="AZ72" s="143" t="str">
        <f t="shared" si="34"/>
        <v/>
      </c>
      <c r="BA72" s="143" t="str">
        <f t="shared" si="35"/>
        <v/>
      </c>
      <c r="BB72" s="143" t="str">
        <f t="shared" si="36"/>
        <v/>
      </c>
      <c r="BC72" s="143" t="str">
        <f t="shared" si="37"/>
        <v/>
      </c>
      <c r="BD72" s="143" t="str">
        <f t="shared" si="38"/>
        <v/>
      </c>
      <c r="BF72" s="9">
        <f t="shared" si="54"/>
        <v>5.8556345666509226E-3</v>
      </c>
      <c r="BG72" s="9">
        <f t="shared" si="55"/>
        <v>0.94116479835591982</v>
      </c>
    </row>
    <row r="73" spans="2:59" x14ac:dyDescent="0.35">
      <c r="B73" s="3" t="s">
        <v>158</v>
      </c>
      <c r="D73" s="141">
        <v>162178</v>
      </c>
      <c r="E73" s="141">
        <v>181545</v>
      </c>
      <c r="F73" s="141">
        <v>173590</v>
      </c>
      <c r="G73" s="141">
        <v>162468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39"/>
        <v>679781</v>
      </c>
      <c r="R73" s="141">
        <v>115105</v>
      </c>
      <c r="S73" s="141">
        <v>112945</v>
      </c>
      <c r="T73" s="141">
        <v>119042</v>
      </c>
      <c r="U73" s="141">
        <v>114028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40"/>
        <v>461120</v>
      </c>
      <c r="AF73" s="2">
        <f t="shared" si="41"/>
        <v>0.70974484825315398</v>
      </c>
      <c r="AG73" s="2">
        <f t="shared" si="42"/>
        <v>0.62213225371120107</v>
      </c>
      <c r="AH73" s="2">
        <f t="shared" si="43"/>
        <v>0.68576530906158184</v>
      </c>
      <c r="AI73" s="2">
        <f t="shared" si="44"/>
        <v>0.70184897949134595</v>
      </c>
      <c r="AJ73" s="2" t="str">
        <f t="shared" si="45"/>
        <v/>
      </c>
      <c r="AK73" s="2" t="str">
        <f t="shared" si="46"/>
        <v/>
      </c>
      <c r="AL73" s="2" t="str">
        <f t="shared" si="47"/>
        <v/>
      </c>
      <c r="AM73" s="2" t="str">
        <f t="shared" si="48"/>
        <v/>
      </c>
      <c r="AN73" s="2" t="str">
        <f t="shared" si="49"/>
        <v/>
      </c>
      <c r="AO73" s="2" t="str">
        <f t="shared" si="50"/>
        <v/>
      </c>
      <c r="AP73" s="2" t="str">
        <f t="shared" si="51"/>
        <v/>
      </c>
      <c r="AQ73" s="2" t="str">
        <f t="shared" si="52"/>
        <v/>
      </c>
      <c r="AR73" s="2">
        <f t="shared" si="53"/>
        <v>0.67833611118875048</v>
      </c>
      <c r="AT73" s="2" t="str">
        <f t="shared" si="28"/>
        <v/>
      </c>
      <c r="AU73" s="2" t="str">
        <f t="shared" si="29"/>
        <v/>
      </c>
      <c r="AV73" s="143">
        <f t="shared" si="30"/>
        <v>1.6083670429764108E-2</v>
      </c>
      <c r="AW73" s="143" t="str">
        <f t="shared" si="31"/>
        <v/>
      </c>
      <c r="AX73" s="143" t="str">
        <f t="shared" si="32"/>
        <v/>
      </c>
      <c r="AY73" s="143" t="str">
        <f t="shared" si="33"/>
        <v/>
      </c>
      <c r="AZ73" s="143" t="str">
        <f t="shared" si="34"/>
        <v/>
      </c>
      <c r="BA73" s="143" t="str">
        <f t="shared" si="35"/>
        <v/>
      </c>
      <c r="BB73" s="143" t="str">
        <f t="shared" si="36"/>
        <v/>
      </c>
      <c r="BC73" s="143" t="str">
        <f t="shared" si="37"/>
        <v/>
      </c>
      <c r="BD73" s="143" t="str">
        <f t="shared" si="38"/>
        <v/>
      </c>
      <c r="BF73" s="9">
        <f t="shared" si="54"/>
        <v>6.2144091504479386E-4</v>
      </c>
      <c r="BG73" s="9">
        <f t="shared" si="55"/>
        <v>0.94178623927096461</v>
      </c>
    </row>
    <row r="74" spans="2:59" x14ac:dyDescent="0.35">
      <c r="B74" s="3" t="s">
        <v>265</v>
      </c>
      <c r="D74" s="141">
        <v>430267</v>
      </c>
      <c r="E74" s="141">
        <v>408549</v>
      </c>
      <c r="F74" s="141">
        <v>337736</v>
      </c>
      <c r="G74" s="141">
        <v>219028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39"/>
        <v>1395580</v>
      </c>
      <c r="R74" s="141">
        <v>257954</v>
      </c>
      <c r="S74" s="141">
        <v>253100</v>
      </c>
      <c r="T74" s="141">
        <v>246909</v>
      </c>
      <c r="U74" s="141">
        <v>141773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40"/>
        <v>899736</v>
      </c>
      <c r="AF74" s="2">
        <f t="shared" si="41"/>
        <v>0.59952076268921395</v>
      </c>
      <c r="AG74" s="2">
        <f t="shared" si="42"/>
        <v>0.61950953251629548</v>
      </c>
      <c r="AH74" s="2">
        <f t="shared" si="43"/>
        <v>0.73107101404647412</v>
      </c>
      <c r="AI74" s="2">
        <f t="shared" si="44"/>
        <v>0.64728253921873002</v>
      </c>
      <c r="AJ74" s="2" t="str">
        <f t="shared" si="45"/>
        <v/>
      </c>
      <c r="AK74" s="2" t="str">
        <f t="shared" si="46"/>
        <v/>
      </c>
      <c r="AL74" s="2" t="str">
        <f t="shared" si="47"/>
        <v/>
      </c>
      <c r="AM74" s="2" t="str">
        <f t="shared" si="48"/>
        <v/>
      </c>
      <c r="AN74" s="2" t="str">
        <f t="shared" si="49"/>
        <v/>
      </c>
      <c r="AO74" s="2" t="str">
        <f t="shared" si="50"/>
        <v/>
      </c>
      <c r="AP74" s="2" t="str">
        <f t="shared" si="51"/>
        <v/>
      </c>
      <c r="AQ74" s="2" t="str">
        <f t="shared" si="52"/>
        <v/>
      </c>
      <c r="AR74" s="2">
        <f t="shared" si="53"/>
        <v>0.64470399403832102</v>
      </c>
      <c r="AT74" s="2" t="str">
        <f t="shared" si="28"/>
        <v/>
      </c>
      <c r="AU74" s="2" t="str">
        <f t="shared" si="29"/>
        <v/>
      </c>
      <c r="AV74" s="143">
        <f t="shared" si="30"/>
        <v>-8.3788474827744097E-2</v>
      </c>
      <c r="AW74" s="143" t="str">
        <f t="shared" si="31"/>
        <v/>
      </c>
      <c r="AX74" s="143" t="str">
        <f t="shared" si="32"/>
        <v/>
      </c>
      <c r="AY74" s="143" t="str">
        <f t="shared" si="33"/>
        <v/>
      </c>
      <c r="AZ74" s="143" t="str">
        <f t="shared" si="34"/>
        <v/>
      </c>
      <c r="BA74" s="143" t="str">
        <f t="shared" si="35"/>
        <v/>
      </c>
      <c r="BB74" s="143" t="str">
        <f t="shared" si="36"/>
        <v/>
      </c>
      <c r="BC74" s="143" t="str">
        <f t="shared" si="37"/>
        <v/>
      </c>
      <c r="BD74" s="143" t="str">
        <f t="shared" si="38"/>
        <v/>
      </c>
      <c r="BF74" s="9">
        <f t="shared" si="54"/>
        <v>1.2125537021572316E-3</v>
      </c>
      <c r="BG74" s="9">
        <f t="shared" si="55"/>
        <v>0.94299879297312184</v>
      </c>
    </row>
    <row r="75" spans="2:59" x14ac:dyDescent="0.35">
      <c r="B75" s="3" t="s">
        <v>152</v>
      </c>
      <c r="D75" s="141">
        <v>86098</v>
      </c>
      <c r="E75" s="141">
        <v>83408</v>
      </c>
      <c r="F75" s="141">
        <v>131973</v>
      </c>
      <c r="G75" s="141">
        <v>89728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39"/>
        <v>391207</v>
      </c>
      <c r="R75" s="141">
        <v>59099</v>
      </c>
      <c r="S75" s="141">
        <v>64986</v>
      </c>
      <c r="T75" s="141">
        <v>82598</v>
      </c>
      <c r="U75" s="141">
        <v>69739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40"/>
        <v>276422</v>
      </c>
      <c r="AF75" s="2">
        <f t="shared" si="41"/>
        <v>0.68641548003437947</v>
      </c>
      <c r="AG75" s="2">
        <f t="shared" si="42"/>
        <v>0.77913389602915784</v>
      </c>
      <c r="AH75" s="2">
        <f t="shared" si="43"/>
        <v>0.62587044319671448</v>
      </c>
      <c r="AI75" s="2">
        <f t="shared" si="44"/>
        <v>0.77722672967189732</v>
      </c>
      <c r="AJ75" s="2" t="str">
        <f t="shared" si="45"/>
        <v/>
      </c>
      <c r="AK75" s="2" t="str">
        <f t="shared" si="46"/>
        <v/>
      </c>
      <c r="AL75" s="2" t="str">
        <f t="shared" si="47"/>
        <v/>
      </c>
      <c r="AM75" s="2" t="str">
        <f t="shared" si="48"/>
        <v/>
      </c>
      <c r="AN75" s="2" t="str">
        <f t="shared" si="49"/>
        <v/>
      </c>
      <c r="AO75" s="2" t="str">
        <f t="shared" si="50"/>
        <v/>
      </c>
      <c r="AP75" s="2" t="str">
        <f t="shared" si="51"/>
        <v/>
      </c>
      <c r="AQ75" s="2" t="str">
        <f t="shared" si="52"/>
        <v/>
      </c>
      <c r="AR75" s="2">
        <f t="shared" si="53"/>
        <v>0.70658756106102394</v>
      </c>
      <c r="AT75" s="2" t="str">
        <f t="shared" si="28"/>
        <v/>
      </c>
      <c r="AU75" s="2" t="str">
        <f t="shared" si="29"/>
        <v/>
      </c>
      <c r="AV75" s="143">
        <f t="shared" si="30"/>
        <v>0.15135628647518284</v>
      </c>
      <c r="AW75" s="143" t="str">
        <f t="shared" si="31"/>
        <v/>
      </c>
      <c r="AX75" s="143" t="str">
        <f t="shared" si="32"/>
        <v/>
      </c>
      <c r="AY75" s="143" t="str">
        <f t="shared" si="33"/>
        <v/>
      </c>
      <c r="AZ75" s="143" t="str">
        <f t="shared" si="34"/>
        <v/>
      </c>
      <c r="BA75" s="143" t="str">
        <f t="shared" si="35"/>
        <v/>
      </c>
      <c r="BB75" s="143" t="str">
        <f t="shared" si="36"/>
        <v/>
      </c>
      <c r="BC75" s="143" t="str">
        <f t="shared" si="37"/>
        <v/>
      </c>
      <c r="BD75" s="143" t="str">
        <f t="shared" si="38"/>
        <v/>
      </c>
      <c r="BF75" s="9">
        <f t="shared" si="54"/>
        <v>3.725276297243928E-4</v>
      </c>
      <c r="BG75" s="9">
        <f t="shared" si="55"/>
        <v>0.94337132060284623</v>
      </c>
    </row>
    <row r="76" spans="2:59" x14ac:dyDescent="0.35">
      <c r="B76" s="3" t="s">
        <v>151</v>
      </c>
      <c r="D76" s="141">
        <v>223955</v>
      </c>
      <c r="E76" s="141">
        <v>196998</v>
      </c>
      <c r="F76" s="141">
        <v>218755</v>
      </c>
      <c r="G76" s="141">
        <v>198083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39"/>
        <v>837791</v>
      </c>
      <c r="R76" s="141">
        <v>160441</v>
      </c>
      <c r="S76" s="141">
        <v>138564</v>
      </c>
      <c r="T76" s="141">
        <v>150393</v>
      </c>
      <c r="U76" s="141">
        <v>137905</v>
      </c>
      <c r="V76" s="141"/>
      <c r="W76" s="141"/>
      <c r="X76" s="141"/>
      <c r="Y76" s="141"/>
      <c r="Z76" s="141"/>
      <c r="AA76" s="141"/>
      <c r="AB76" s="141"/>
      <c r="AC76" s="141"/>
      <c r="AD76" s="141">
        <f t="shared" si="40"/>
        <v>587303</v>
      </c>
      <c r="AF76" s="2">
        <f t="shared" si="41"/>
        <v>0.716398383603849</v>
      </c>
      <c r="AG76" s="2">
        <f t="shared" si="42"/>
        <v>0.70337769926598237</v>
      </c>
      <c r="AH76" s="2">
        <f t="shared" si="43"/>
        <v>0.68749514296816072</v>
      </c>
      <c r="AI76" s="2">
        <f t="shared" si="44"/>
        <v>0.69619805838966498</v>
      </c>
      <c r="AJ76" s="2" t="str">
        <f t="shared" si="45"/>
        <v/>
      </c>
      <c r="AK76" s="2" t="str">
        <f t="shared" si="46"/>
        <v/>
      </c>
      <c r="AL76" s="2" t="str">
        <f t="shared" si="47"/>
        <v/>
      </c>
      <c r="AM76" s="2" t="str">
        <f t="shared" si="48"/>
        <v/>
      </c>
      <c r="AN76" s="2" t="str">
        <f t="shared" si="49"/>
        <v/>
      </c>
      <c r="AO76" s="2" t="str">
        <f t="shared" si="50"/>
        <v/>
      </c>
      <c r="AP76" s="2" t="str">
        <f t="shared" si="51"/>
        <v/>
      </c>
      <c r="AQ76" s="2" t="str">
        <f t="shared" si="52"/>
        <v/>
      </c>
      <c r="AR76" s="2">
        <f t="shared" si="53"/>
        <v>0.70101373731634742</v>
      </c>
      <c r="AT76" s="2" t="str">
        <f t="shared" si="28"/>
        <v/>
      </c>
      <c r="AU76" s="2" t="str">
        <f t="shared" si="29"/>
        <v/>
      </c>
      <c r="AV76" s="143">
        <f t="shared" si="30"/>
        <v>8.7029154215042537E-3</v>
      </c>
      <c r="AW76" s="143" t="str">
        <f t="shared" si="31"/>
        <v/>
      </c>
      <c r="AX76" s="143" t="str">
        <f t="shared" si="32"/>
        <v/>
      </c>
      <c r="AY76" s="143" t="str">
        <f t="shared" si="33"/>
        <v/>
      </c>
      <c r="AZ76" s="143" t="str">
        <f t="shared" si="34"/>
        <v/>
      </c>
      <c r="BA76" s="143" t="str">
        <f t="shared" si="35"/>
        <v/>
      </c>
      <c r="BB76" s="143" t="str">
        <f t="shared" si="36"/>
        <v/>
      </c>
      <c r="BC76" s="143" t="str">
        <f t="shared" si="37"/>
        <v/>
      </c>
      <c r="BD76" s="143" t="str">
        <f t="shared" si="38"/>
        <v/>
      </c>
      <c r="BF76" s="9">
        <f t="shared" si="54"/>
        <v>7.9149486842590335E-4</v>
      </c>
      <c r="BG76" s="9">
        <f t="shared" si="55"/>
        <v>0.94416281547127212</v>
      </c>
    </row>
    <row r="77" spans="2:59" x14ac:dyDescent="0.35">
      <c r="B77" s="3" t="s">
        <v>160</v>
      </c>
      <c r="D77" s="141">
        <v>4795092</v>
      </c>
      <c r="E77" s="141">
        <v>4084648</v>
      </c>
      <c r="F77" s="141">
        <v>1987493</v>
      </c>
      <c r="G77" s="141">
        <v>4100995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39"/>
        <v>14968228</v>
      </c>
      <c r="R77" s="141">
        <v>4560011</v>
      </c>
      <c r="S77" s="141">
        <v>3819127</v>
      </c>
      <c r="T77" s="141">
        <v>1661331</v>
      </c>
      <c r="U77" s="141">
        <v>3923222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40"/>
        <v>13963691</v>
      </c>
      <c r="AF77" s="2">
        <f t="shared" si="41"/>
        <v>0.95097466325984992</v>
      </c>
      <c r="AG77" s="2">
        <f t="shared" si="42"/>
        <v>0.93499537781468567</v>
      </c>
      <c r="AH77" s="2">
        <f t="shared" si="43"/>
        <v>0.83589275534555341</v>
      </c>
      <c r="AI77" s="2">
        <f t="shared" si="44"/>
        <v>0.95665125170842691</v>
      </c>
      <c r="AJ77" s="2" t="str">
        <f t="shared" si="45"/>
        <v/>
      </c>
      <c r="AK77" s="2" t="str">
        <f t="shared" si="46"/>
        <v/>
      </c>
      <c r="AL77" s="2" t="str">
        <f t="shared" si="47"/>
        <v/>
      </c>
      <c r="AM77" s="2" t="str">
        <f t="shared" si="48"/>
        <v/>
      </c>
      <c r="AN77" s="2" t="str">
        <f t="shared" si="49"/>
        <v/>
      </c>
      <c r="AO77" s="2" t="str">
        <f t="shared" si="50"/>
        <v/>
      </c>
      <c r="AP77" s="2" t="str">
        <f t="shared" si="51"/>
        <v/>
      </c>
      <c r="AQ77" s="2" t="str">
        <f t="shared" si="52"/>
        <v/>
      </c>
      <c r="AR77" s="2">
        <f t="shared" si="53"/>
        <v>0.93288871601902379</v>
      </c>
      <c r="AT77" s="2" t="str">
        <f t="shared" si="28"/>
        <v/>
      </c>
      <c r="AU77" s="2" t="str">
        <f t="shared" si="29"/>
        <v/>
      </c>
      <c r="AV77" s="143">
        <f t="shared" si="30"/>
        <v>0.1207584963628735</v>
      </c>
      <c r="AW77" s="143" t="str">
        <f t="shared" si="31"/>
        <v/>
      </c>
      <c r="AX77" s="143" t="str">
        <f t="shared" si="32"/>
        <v/>
      </c>
      <c r="AY77" s="143" t="str">
        <f t="shared" si="33"/>
        <v/>
      </c>
      <c r="AZ77" s="143" t="str">
        <f t="shared" si="34"/>
        <v/>
      </c>
      <c r="BA77" s="143" t="str">
        <f t="shared" si="35"/>
        <v/>
      </c>
      <c r="BB77" s="143" t="str">
        <f t="shared" si="36"/>
        <v/>
      </c>
      <c r="BC77" s="143" t="str">
        <f t="shared" si="37"/>
        <v/>
      </c>
      <c r="BD77" s="143" t="str">
        <f t="shared" si="38"/>
        <v/>
      </c>
      <c r="BF77" s="9">
        <f t="shared" si="54"/>
        <v>1.8818548127261348E-2</v>
      </c>
      <c r="BG77" s="9">
        <f t="shared" si="55"/>
        <v>0.96298136359853348</v>
      </c>
    </row>
    <row r="78" spans="2:59" x14ac:dyDescent="0.35">
      <c r="B78" s="3" t="s">
        <v>155</v>
      </c>
      <c r="D78" s="141">
        <v>212292</v>
      </c>
      <c r="E78" s="141">
        <v>197872</v>
      </c>
      <c r="F78" s="141">
        <v>167353</v>
      </c>
      <c r="G78" s="141">
        <v>179614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39"/>
        <v>757131</v>
      </c>
      <c r="R78" s="141">
        <v>139275</v>
      </c>
      <c r="S78" s="141">
        <v>145662</v>
      </c>
      <c r="T78" s="141">
        <v>118010</v>
      </c>
      <c r="U78" s="141">
        <v>123159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40"/>
        <v>526106</v>
      </c>
      <c r="AF78" s="2">
        <f t="shared" si="41"/>
        <v>0.65605392572494492</v>
      </c>
      <c r="AG78" s="2">
        <f t="shared" si="42"/>
        <v>0.73614255680439877</v>
      </c>
      <c r="AH78" s="2">
        <f t="shared" si="43"/>
        <v>0.70515616690468652</v>
      </c>
      <c r="AI78" s="2">
        <f t="shared" si="44"/>
        <v>0.68568708452570515</v>
      </c>
      <c r="AJ78" s="2" t="str">
        <f t="shared" si="45"/>
        <v/>
      </c>
      <c r="AK78" s="2" t="str">
        <f t="shared" si="46"/>
        <v/>
      </c>
      <c r="AL78" s="2" t="str">
        <f t="shared" si="47"/>
        <v/>
      </c>
      <c r="AM78" s="2" t="str">
        <f t="shared" si="48"/>
        <v/>
      </c>
      <c r="AN78" s="2" t="str">
        <f t="shared" si="49"/>
        <v/>
      </c>
      <c r="AO78" s="2" t="str">
        <f t="shared" si="50"/>
        <v/>
      </c>
      <c r="AP78" s="2" t="str">
        <f t="shared" si="51"/>
        <v/>
      </c>
      <c r="AQ78" s="2" t="str">
        <f t="shared" si="52"/>
        <v/>
      </c>
      <c r="AR78" s="2">
        <f t="shared" si="53"/>
        <v>0.69486786302502468</v>
      </c>
      <c r="AT78" s="2" t="str">
        <f t="shared" ref="AT78:AT109" si="56">+IFERROR(AM78-AL78,"")</f>
        <v/>
      </c>
      <c r="AU78" s="2" t="str">
        <f t="shared" ref="AU78:AU109" si="57">+IFERROR(AN78-AM78,"")</f>
        <v/>
      </c>
      <c r="AV78" s="143">
        <f t="shared" ref="AV78:AV109" si="58">+IFERROR(AI78-AH78,"")</f>
        <v>-1.9469082378981373E-2</v>
      </c>
      <c r="AW78" s="143" t="str">
        <f t="shared" ref="AW78:AW109" si="59">+IFERROR(AJ78-AI78,"")</f>
        <v/>
      </c>
      <c r="AX78" s="143" t="str">
        <f t="shared" ref="AX78:AX109" si="60">+IFERROR(AK78-AJ78,"")</f>
        <v/>
      </c>
      <c r="AY78" s="143" t="str">
        <f t="shared" ref="AY78:AY109" si="61">+IFERROR(AL78-AK78,"")</f>
        <v/>
      </c>
      <c r="AZ78" s="143" t="str">
        <f t="shared" ref="AZ78:AZ109" si="62">+IFERROR(AM78-AL78,"")</f>
        <v/>
      </c>
      <c r="BA78" s="143" t="str">
        <f t="shared" ref="BA78:BA109" si="63">+IFERROR(AN78-AM78,"")</f>
        <v/>
      </c>
      <c r="BB78" s="143" t="str">
        <f t="shared" ref="BB78:BB109" si="64">+IFERROR(AO78-AN78,"")</f>
        <v/>
      </c>
      <c r="BC78" s="143" t="str">
        <f t="shared" ref="BC78:BC109" si="65">+IFERROR(AP78-AO78,"")</f>
        <v/>
      </c>
      <c r="BD78" s="143" t="str">
        <f t="shared" ref="BD78:BD109" si="66">+IFERROR(AQ78-AP78,"")</f>
        <v/>
      </c>
      <c r="BF78" s="9">
        <f t="shared" si="54"/>
        <v>7.0902106620956875E-4</v>
      </c>
      <c r="BG78" s="9">
        <f t="shared" si="55"/>
        <v>0.96369038466474299</v>
      </c>
    </row>
    <row r="79" spans="2:59" x14ac:dyDescent="0.35">
      <c r="B79" s="3" t="s">
        <v>185</v>
      </c>
      <c r="D79" s="141">
        <v>164086</v>
      </c>
      <c r="E79" s="141">
        <v>169823</v>
      </c>
      <c r="F79" s="141">
        <v>160656</v>
      </c>
      <c r="G79" s="141">
        <v>129153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39"/>
        <v>623718</v>
      </c>
      <c r="R79" s="141">
        <v>124633</v>
      </c>
      <c r="S79" s="141">
        <v>138170</v>
      </c>
      <c r="T79" s="141">
        <v>129708</v>
      </c>
      <c r="U79" s="141">
        <v>105640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40"/>
        <v>498151</v>
      </c>
      <c r="AF79" s="2">
        <f t="shared" si="41"/>
        <v>0.75955901173774731</v>
      </c>
      <c r="AG79" s="2">
        <f t="shared" si="42"/>
        <v>0.81361181936486815</v>
      </c>
      <c r="AH79" s="2">
        <f t="shared" si="43"/>
        <v>0.80736480430236035</v>
      </c>
      <c r="AI79" s="2">
        <f t="shared" si="44"/>
        <v>0.81794460833275262</v>
      </c>
      <c r="AJ79" s="2" t="str">
        <f t="shared" si="45"/>
        <v/>
      </c>
      <c r="AK79" s="2" t="str">
        <f t="shared" si="46"/>
        <v/>
      </c>
      <c r="AL79" s="2" t="str">
        <f t="shared" si="47"/>
        <v/>
      </c>
      <c r="AM79" s="2" t="str">
        <f t="shared" si="48"/>
        <v/>
      </c>
      <c r="AN79" s="2" t="str">
        <f t="shared" si="49"/>
        <v/>
      </c>
      <c r="AO79" s="2" t="str">
        <f t="shared" si="50"/>
        <v/>
      </c>
      <c r="AP79" s="2" t="str">
        <f t="shared" si="51"/>
        <v/>
      </c>
      <c r="AQ79" s="2" t="str">
        <f t="shared" si="52"/>
        <v/>
      </c>
      <c r="AR79" s="2">
        <f t="shared" si="53"/>
        <v>0.79867985211265347</v>
      </c>
      <c r="AT79" s="2" t="str">
        <f t="shared" si="56"/>
        <v/>
      </c>
      <c r="AU79" s="2" t="str">
        <f t="shared" si="57"/>
        <v/>
      </c>
      <c r="AV79" s="143">
        <f t="shared" si="58"/>
        <v>1.057980403039227E-2</v>
      </c>
      <c r="AW79" s="143" t="str">
        <f t="shared" si="59"/>
        <v/>
      </c>
      <c r="AX79" s="143" t="str">
        <f t="shared" si="60"/>
        <v/>
      </c>
      <c r="AY79" s="143" t="str">
        <f t="shared" si="61"/>
        <v/>
      </c>
      <c r="AZ79" s="143" t="str">
        <f t="shared" si="62"/>
        <v/>
      </c>
      <c r="BA79" s="143" t="str">
        <f t="shared" si="63"/>
        <v/>
      </c>
      <c r="BB79" s="143" t="str">
        <f t="shared" si="64"/>
        <v/>
      </c>
      <c r="BC79" s="143" t="str">
        <f t="shared" si="65"/>
        <v/>
      </c>
      <c r="BD79" s="143" t="str">
        <f t="shared" si="66"/>
        <v/>
      </c>
      <c r="BF79" s="9">
        <f t="shared" si="54"/>
        <v>6.71346749805862E-4</v>
      </c>
      <c r="BG79" s="9">
        <f t="shared" si="55"/>
        <v>0.96436173141454884</v>
      </c>
    </row>
    <row r="80" spans="2:59" x14ac:dyDescent="0.35">
      <c r="B80" s="3" t="s">
        <v>194</v>
      </c>
      <c r="D80" s="141">
        <v>739184</v>
      </c>
      <c r="E80" s="141">
        <v>538310</v>
      </c>
      <c r="F80" s="141">
        <v>513277</v>
      </c>
      <c r="G80" s="141">
        <v>269002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39"/>
        <v>2059773</v>
      </c>
      <c r="R80" s="141">
        <v>564824</v>
      </c>
      <c r="S80" s="141">
        <v>377993</v>
      </c>
      <c r="T80" s="141">
        <v>338925</v>
      </c>
      <c r="U80" s="141">
        <v>206823</v>
      </c>
      <c r="V80" s="141"/>
      <c r="W80" s="141"/>
      <c r="X80" s="141"/>
      <c r="Y80" s="141"/>
      <c r="Z80" s="141"/>
      <c r="AA80" s="141"/>
      <c r="AB80" s="141"/>
      <c r="AC80" s="141"/>
      <c r="AD80" s="141">
        <f t="shared" si="40"/>
        <v>1488565</v>
      </c>
      <c r="AF80" s="2">
        <f t="shared" si="41"/>
        <v>0.7641182709582458</v>
      </c>
      <c r="AG80" s="2">
        <f t="shared" si="42"/>
        <v>0.70218461481302596</v>
      </c>
      <c r="AH80" s="2">
        <f t="shared" si="43"/>
        <v>0.66031596973953632</v>
      </c>
      <c r="AI80" s="2">
        <f t="shared" si="44"/>
        <v>0.76885301968015107</v>
      </c>
      <c r="AJ80" s="2" t="str">
        <f t="shared" si="45"/>
        <v/>
      </c>
      <c r="AK80" s="2" t="str">
        <f t="shared" si="46"/>
        <v/>
      </c>
      <c r="AL80" s="2" t="str">
        <f t="shared" si="47"/>
        <v/>
      </c>
      <c r="AM80" s="2" t="str">
        <f t="shared" si="48"/>
        <v/>
      </c>
      <c r="AN80" s="2" t="str">
        <f t="shared" si="49"/>
        <v/>
      </c>
      <c r="AO80" s="2" t="str">
        <f t="shared" si="50"/>
        <v/>
      </c>
      <c r="AP80" s="2" t="str">
        <f t="shared" si="51"/>
        <v/>
      </c>
      <c r="AQ80" s="2" t="str">
        <f t="shared" si="52"/>
        <v/>
      </c>
      <c r="AR80" s="2">
        <f t="shared" si="53"/>
        <v>0.72268400449952497</v>
      </c>
      <c r="AT80" s="2" t="str">
        <f t="shared" si="56"/>
        <v/>
      </c>
      <c r="AU80" s="2" t="str">
        <f t="shared" si="57"/>
        <v/>
      </c>
      <c r="AV80" s="143">
        <f t="shared" si="58"/>
        <v>0.10853704994061475</v>
      </c>
      <c r="AW80" s="143" t="str">
        <f t="shared" si="59"/>
        <v/>
      </c>
      <c r="AX80" s="143" t="str">
        <f t="shared" si="60"/>
        <v/>
      </c>
      <c r="AY80" s="143" t="str">
        <f t="shared" si="61"/>
        <v/>
      </c>
      <c r="AZ80" s="143" t="str">
        <f t="shared" si="62"/>
        <v/>
      </c>
      <c r="BA80" s="143" t="str">
        <f t="shared" si="63"/>
        <v/>
      </c>
      <c r="BB80" s="143" t="str">
        <f t="shared" si="64"/>
        <v/>
      </c>
      <c r="BC80" s="143" t="str">
        <f t="shared" si="65"/>
        <v/>
      </c>
      <c r="BD80" s="143" t="str">
        <f t="shared" si="66"/>
        <v/>
      </c>
      <c r="BF80" s="9">
        <f t="shared" si="54"/>
        <v>2.0061051260054944E-3</v>
      </c>
      <c r="BG80" s="9">
        <f t="shared" si="55"/>
        <v>0.96636783654055436</v>
      </c>
    </row>
    <row r="81" spans="2:59" x14ac:dyDescent="0.35">
      <c r="B81" s="3" t="s">
        <v>170</v>
      </c>
      <c r="D81" s="141">
        <v>375977</v>
      </c>
      <c r="E81" s="141">
        <v>458843</v>
      </c>
      <c r="F81" s="141">
        <v>311766</v>
      </c>
      <c r="G81" s="141">
        <v>270179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39"/>
        <v>1416765</v>
      </c>
      <c r="R81" s="141">
        <v>286929</v>
      </c>
      <c r="S81" s="141">
        <v>397402</v>
      </c>
      <c r="T81" s="141">
        <v>204673</v>
      </c>
      <c r="U81" s="141">
        <v>221121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40"/>
        <v>1110125</v>
      </c>
      <c r="AF81" s="2">
        <f t="shared" si="41"/>
        <v>0.76315572495126027</v>
      </c>
      <c r="AG81" s="2">
        <f t="shared" si="42"/>
        <v>0.86609581054957796</v>
      </c>
      <c r="AH81" s="2">
        <f t="shared" si="43"/>
        <v>0.65649557681081327</v>
      </c>
      <c r="AI81" s="2">
        <f t="shared" si="44"/>
        <v>0.81842408181242809</v>
      </c>
      <c r="AJ81" s="2" t="str">
        <f t="shared" si="45"/>
        <v/>
      </c>
      <c r="AK81" s="2" t="str">
        <f t="shared" si="46"/>
        <v/>
      </c>
      <c r="AL81" s="2" t="str">
        <f t="shared" si="47"/>
        <v/>
      </c>
      <c r="AM81" s="2" t="str">
        <f t="shared" si="48"/>
        <v/>
      </c>
      <c r="AN81" s="2" t="str">
        <f t="shared" si="49"/>
        <v/>
      </c>
      <c r="AO81" s="2" t="str">
        <f t="shared" si="50"/>
        <v/>
      </c>
      <c r="AP81" s="2" t="str">
        <f t="shared" si="51"/>
        <v/>
      </c>
      <c r="AQ81" s="2" t="str">
        <f t="shared" si="52"/>
        <v/>
      </c>
      <c r="AR81" s="2">
        <f t="shared" si="53"/>
        <v>0.78356325855028885</v>
      </c>
      <c r="AT81" s="2" t="str">
        <f t="shared" si="56"/>
        <v/>
      </c>
      <c r="AU81" s="2" t="str">
        <f t="shared" si="57"/>
        <v/>
      </c>
      <c r="AV81" s="143">
        <f t="shared" si="58"/>
        <v>0.16192850500161482</v>
      </c>
      <c r="AW81" s="143" t="str">
        <f t="shared" si="59"/>
        <v/>
      </c>
      <c r="AX81" s="143" t="str">
        <f t="shared" si="60"/>
        <v/>
      </c>
      <c r="AY81" s="143" t="str">
        <f t="shared" si="61"/>
        <v/>
      </c>
      <c r="AZ81" s="143" t="str">
        <f t="shared" si="62"/>
        <v/>
      </c>
      <c r="BA81" s="143" t="str">
        <f t="shared" si="63"/>
        <v/>
      </c>
      <c r="BB81" s="143" t="str">
        <f t="shared" si="64"/>
        <v/>
      </c>
      <c r="BC81" s="143" t="str">
        <f t="shared" si="65"/>
        <v/>
      </c>
      <c r="BD81" s="143" t="str">
        <f t="shared" si="66"/>
        <v/>
      </c>
      <c r="BF81" s="9">
        <f t="shared" si="54"/>
        <v>1.4960901626780486E-3</v>
      </c>
      <c r="BG81" s="9">
        <f t="shared" si="55"/>
        <v>0.9678639267032324</v>
      </c>
    </row>
    <row r="82" spans="2:59" x14ac:dyDescent="0.35">
      <c r="B82" s="3" t="s">
        <v>166</v>
      </c>
      <c r="D82" s="141">
        <v>110982</v>
      </c>
      <c r="E82" s="141">
        <v>107329</v>
      </c>
      <c r="F82" s="141">
        <v>157486</v>
      </c>
      <c r="G82" s="141">
        <v>80482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39"/>
        <v>456279</v>
      </c>
      <c r="R82" s="141">
        <v>78986</v>
      </c>
      <c r="S82" s="141">
        <v>87254</v>
      </c>
      <c r="T82" s="141">
        <v>118852</v>
      </c>
      <c r="U82" s="141">
        <v>63518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40"/>
        <v>348610</v>
      </c>
      <c r="AF82" s="2">
        <f t="shared" si="41"/>
        <v>0.71170099655800034</v>
      </c>
      <c r="AG82" s="2">
        <f t="shared" si="42"/>
        <v>0.81295828713581608</v>
      </c>
      <c r="AH82" s="2">
        <f t="shared" si="43"/>
        <v>0.75468295594529033</v>
      </c>
      <c r="AI82" s="2">
        <f t="shared" si="44"/>
        <v>0.78921994980244026</v>
      </c>
      <c r="AJ82" s="2" t="str">
        <f t="shared" si="45"/>
        <v/>
      </c>
      <c r="AK82" s="2" t="str">
        <f t="shared" si="46"/>
        <v/>
      </c>
      <c r="AL82" s="2" t="str">
        <f t="shared" si="47"/>
        <v/>
      </c>
      <c r="AM82" s="2" t="str">
        <f t="shared" si="48"/>
        <v/>
      </c>
      <c r="AN82" s="2" t="str">
        <f t="shared" si="49"/>
        <v/>
      </c>
      <c r="AO82" s="2" t="str">
        <f t="shared" si="50"/>
        <v/>
      </c>
      <c r="AP82" s="2" t="str">
        <f t="shared" si="51"/>
        <v/>
      </c>
      <c r="AQ82" s="2" t="str">
        <f t="shared" si="52"/>
        <v/>
      </c>
      <c r="AR82" s="2">
        <f t="shared" si="53"/>
        <v>0.76402814944365183</v>
      </c>
      <c r="AT82" s="2" t="str">
        <f t="shared" si="56"/>
        <v/>
      </c>
      <c r="AU82" s="2" t="str">
        <f t="shared" si="57"/>
        <v/>
      </c>
      <c r="AV82" s="143">
        <f t="shared" si="58"/>
        <v>3.4536993857149922E-2</v>
      </c>
      <c r="AW82" s="143" t="str">
        <f t="shared" si="59"/>
        <v/>
      </c>
      <c r="AX82" s="143" t="str">
        <f t="shared" si="60"/>
        <v/>
      </c>
      <c r="AY82" s="143" t="str">
        <f t="shared" si="61"/>
        <v/>
      </c>
      <c r="AZ82" s="143" t="str">
        <f t="shared" si="62"/>
        <v/>
      </c>
      <c r="BA82" s="143" t="str">
        <f t="shared" si="63"/>
        <v/>
      </c>
      <c r="BB82" s="143" t="str">
        <f t="shared" si="64"/>
        <v/>
      </c>
      <c r="BC82" s="143" t="str">
        <f t="shared" si="65"/>
        <v/>
      </c>
      <c r="BD82" s="143" t="str">
        <f t="shared" si="66"/>
        <v/>
      </c>
      <c r="BF82" s="9">
        <f t="shared" si="54"/>
        <v>4.6981375215511274E-4</v>
      </c>
      <c r="BG82" s="9">
        <f t="shared" si="55"/>
        <v>0.96833374045538756</v>
      </c>
    </row>
    <row r="83" spans="2:59" x14ac:dyDescent="0.35">
      <c r="B83" s="3" t="s">
        <v>161</v>
      </c>
      <c r="D83" s="141">
        <v>104384</v>
      </c>
      <c r="E83" s="141">
        <v>113288</v>
      </c>
      <c r="F83" s="141">
        <v>126693</v>
      </c>
      <c r="G83" s="141">
        <v>111240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39"/>
        <v>455605</v>
      </c>
      <c r="R83" s="141">
        <v>82614</v>
      </c>
      <c r="S83" s="141">
        <v>90758</v>
      </c>
      <c r="T83" s="141">
        <v>104102</v>
      </c>
      <c r="U83" s="141">
        <v>87820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40"/>
        <v>365294</v>
      </c>
      <c r="AF83" s="2">
        <f t="shared" si="41"/>
        <v>0.79144313304721026</v>
      </c>
      <c r="AG83" s="2">
        <f t="shared" si="42"/>
        <v>0.80112633288609558</v>
      </c>
      <c r="AH83" s="2">
        <f t="shared" si="43"/>
        <v>0.82168707031959143</v>
      </c>
      <c r="AI83" s="2">
        <f t="shared" si="44"/>
        <v>0.78946422150305651</v>
      </c>
      <c r="AJ83" s="2" t="str">
        <f t="shared" si="45"/>
        <v/>
      </c>
      <c r="AK83" s="2" t="str">
        <f t="shared" si="46"/>
        <v/>
      </c>
      <c r="AL83" s="2" t="str">
        <f t="shared" si="47"/>
        <v/>
      </c>
      <c r="AM83" s="2" t="str">
        <f t="shared" si="48"/>
        <v/>
      </c>
      <c r="AN83" s="2" t="str">
        <f t="shared" si="49"/>
        <v/>
      </c>
      <c r="AO83" s="2" t="str">
        <f t="shared" si="50"/>
        <v/>
      </c>
      <c r="AP83" s="2" t="str">
        <f t="shared" si="51"/>
        <v/>
      </c>
      <c r="AQ83" s="2" t="str">
        <f t="shared" si="52"/>
        <v/>
      </c>
      <c r="AR83" s="2">
        <f t="shared" si="53"/>
        <v>0.80177785581808803</v>
      </c>
      <c r="AT83" s="2" t="str">
        <f t="shared" si="56"/>
        <v/>
      </c>
      <c r="AU83" s="2" t="str">
        <f t="shared" si="57"/>
        <v/>
      </c>
      <c r="AV83" s="143">
        <f t="shared" si="58"/>
        <v>-3.2222848816534921E-2</v>
      </c>
      <c r="AW83" s="143" t="str">
        <f t="shared" si="59"/>
        <v/>
      </c>
      <c r="AX83" s="143" t="str">
        <f t="shared" si="60"/>
        <v/>
      </c>
      <c r="AY83" s="143" t="str">
        <f t="shared" si="61"/>
        <v/>
      </c>
      <c r="AZ83" s="143" t="str">
        <f t="shared" si="62"/>
        <v/>
      </c>
      <c r="BA83" s="143" t="str">
        <f t="shared" si="63"/>
        <v/>
      </c>
      <c r="BB83" s="143" t="str">
        <f t="shared" si="64"/>
        <v/>
      </c>
      <c r="BC83" s="143" t="str">
        <f t="shared" si="65"/>
        <v/>
      </c>
      <c r="BD83" s="143" t="str">
        <f t="shared" si="66"/>
        <v/>
      </c>
      <c r="BF83" s="9">
        <f t="shared" si="54"/>
        <v>4.922983987256526E-4</v>
      </c>
      <c r="BG83" s="9">
        <f t="shared" si="55"/>
        <v>0.96882603885411323</v>
      </c>
    </row>
    <row r="84" spans="2:59" x14ac:dyDescent="0.35">
      <c r="B84" s="3" t="s">
        <v>180</v>
      </c>
      <c r="D84" s="141">
        <v>58442</v>
      </c>
      <c r="E84" s="141">
        <v>56300</v>
      </c>
      <c r="F84" s="141">
        <v>80768</v>
      </c>
      <c r="G84" s="141">
        <v>39809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39"/>
        <v>235319</v>
      </c>
      <c r="R84" s="141">
        <v>44832</v>
      </c>
      <c r="S84" s="141">
        <v>46563</v>
      </c>
      <c r="T84" s="141">
        <v>53028</v>
      </c>
      <c r="U84" s="141">
        <v>21877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40"/>
        <v>166300</v>
      </c>
      <c r="AF84" s="2">
        <f t="shared" si="41"/>
        <v>0.76711953731905136</v>
      </c>
      <c r="AG84" s="2">
        <f t="shared" si="42"/>
        <v>0.82705150976909414</v>
      </c>
      <c r="AH84" s="2">
        <f t="shared" si="43"/>
        <v>0.656547147385103</v>
      </c>
      <c r="AI84" s="2">
        <f t="shared" si="44"/>
        <v>0.54954909693787835</v>
      </c>
      <c r="AJ84" s="2" t="str">
        <f t="shared" si="45"/>
        <v/>
      </c>
      <c r="AK84" s="2" t="str">
        <f t="shared" si="46"/>
        <v/>
      </c>
      <c r="AL84" s="2" t="str">
        <f t="shared" si="47"/>
        <v/>
      </c>
      <c r="AM84" s="2" t="str">
        <f t="shared" si="48"/>
        <v/>
      </c>
      <c r="AN84" s="2" t="str">
        <f t="shared" si="49"/>
        <v/>
      </c>
      <c r="AO84" s="2" t="str">
        <f t="shared" si="50"/>
        <v/>
      </c>
      <c r="AP84" s="2" t="str">
        <f t="shared" si="51"/>
        <v/>
      </c>
      <c r="AQ84" s="2" t="str">
        <f t="shared" si="52"/>
        <v/>
      </c>
      <c r="AR84" s="2">
        <f t="shared" si="53"/>
        <v>0.70670026644682327</v>
      </c>
      <c r="AT84" s="2" t="str">
        <f t="shared" si="56"/>
        <v/>
      </c>
      <c r="AU84" s="2" t="str">
        <f t="shared" si="57"/>
        <v/>
      </c>
      <c r="AV84" s="143">
        <f t="shared" si="58"/>
        <v>-0.10699805044722466</v>
      </c>
      <c r="AW84" s="143" t="str">
        <f t="shared" si="59"/>
        <v/>
      </c>
      <c r="AX84" s="143" t="str">
        <f t="shared" si="60"/>
        <v/>
      </c>
      <c r="AY84" s="143" t="str">
        <f t="shared" si="61"/>
        <v/>
      </c>
      <c r="AZ84" s="143" t="str">
        <f t="shared" si="62"/>
        <v/>
      </c>
      <c r="BA84" s="143" t="str">
        <f t="shared" si="63"/>
        <v/>
      </c>
      <c r="BB84" s="143" t="str">
        <f t="shared" si="64"/>
        <v/>
      </c>
      <c r="BC84" s="143" t="str">
        <f t="shared" si="65"/>
        <v/>
      </c>
      <c r="BD84" s="143" t="str">
        <f t="shared" si="66"/>
        <v/>
      </c>
      <c r="BF84" s="9">
        <f t="shared" si="54"/>
        <v>2.2411872001203422E-4</v>
      </c>
      <c r="BG84" s="9">
        <f t="shared" si="55"/>
        <v>0.96905015757412527</v>
      </c>
    </row>
    <row r="85" spans="2:59" x14ac:dyDescent="0.35">
      <c r="B85" s="3" t="s">
        <v>169</v>
      </c>
      <c r="D85" s="141">
        <v>51664</v>
      </c>
      <c r="E85" s="141">
        <v>49193</v>
      </c>
      <c r="F85" s="141">
        <v>75458</v>
      </c>
      <c r="G85" s="141">
        <v>83898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39"/>
        <v>260213</v>
      </c>
      <c r="R85" s="141">
        <v>42342</v>
      </c>
      <c r="S85" s="141">
        <v>42223</v>
      </c>
      <c r="T85" s="141">
        <v>51309</v>
      </c>
      <c r="U85" s="141">
        <v>67733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40"/>
        <v>203607</v>
      </c>
      <c r="AF85" s="2">
        <f t="shared" si="41"/>
        <v>0.81956488076803968</v>
      </c>
      <c r="AG85" s="2">
        <f t="shared" si="42"/>
        <v>0.85831317463866807</v>
      </c>
      <c r="AH85" s="2">
        <f t="shared" si="43"/>
        <v>0.67996766413103982</v>
      </c>
      <c r="AI85" s="2">
        <f t="shared" si="44"/>
        <v>0.80732556199194261</v>
      </c>
      <c r="AJ85" s="2" t="str">
        <f t="shared" si="45"/>
        <v/>
      </c>
      <c r="AK85" s="2" t="str">
        <f t="shared" si="46"/>
        <v/>
      </c>
      <c r="AL85" s="2" t="str">
        <f t="shared" si="47"/>
        <v/>
      </c>
      <c r="AM85" s="2" t="str">
        <f t="shared" si="48"/>
        <v/>
      </c>
      <c r="AN85" s="2" t="str">
        <f t="shared" si="49"/>
        <v/>
      </c>
      <c r="AO85" s="2" t="str">
        <f t="shared" si="50"/>
        <v/>
      </c>
      <c r="AP85" s="2" t="str">
        <f t="shared" si="51"/>
        <v/>
      </c>
      <c r="AQ85" s="2" t="str">
        <f t="shared" si="52"/>
        <v/>
      </c>
      <c r="AR85" s="2">
        <f t="shared" si="53"/>
        <v>0.78246282852893589</v>
      </c>
      <c r="AT85" s="2" t="str">
        <f t="shared" si="56"/>
        <v/>
      </c>
      <c r="AU85" s="2" t="str">
        <f t="shared" si="57"/>
        <v/>
      </c>
      <c r="AV85" s="143">
        <f t="shared" si="58"/>
        <v>0.12735789786090279</v>
      </c>
      <c r="AW85" s="143" t="str">
        <f t="shared" si="59"/>
        <v/>
      </c>
      <c r="AX85" s="143" t="str">
        <f t="shared" si="60"/>
        <v/>
      </c>
      <c r="AY85" s="143" t="str">
        <f t="shared" si="61"/>
        <v/>
      </c>
      <c r="AZ85" s="143" t="str">
        <f t="shared" si="62"/>
        <v/>
      </c>
      <c r="BA85" s="143" t="str">
        <f t="shared" si="63"/>
        <v/>
      </c>
      <c r="BB85" s="143" t="str">
        <f t="shared" si="64"/>
        <v/>
      </c>
      <c r="BC85" s="143" t="str">
        <f t="shared" si="65"/>
        <v/>
      </c>
      <c r="BD85" s="143" t="str">
        <f t="shared" si="66"/>
        <v/>
      </c>
      <c r="BF85" s="9">
        <f t="shared" si="54"/>
        <v>2.7439651368304423E-4</v>
      </c>
      <c r="BG85" s="9">
        <f t="shared" si="55"/>
        <v>0.96932455408780827</v>
      </c>
    </row>
    <row r="86" spans="2:59" x14ac:dyDescent="0.35">
      <c r="B86" s="3" t="s">
        <v>163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39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40"/>
        <v>8540</v>
      </c>
      <c r="AF86" s="2">
        <f t="shared" si="41"/>
        <v>0.8203650336215178</v>
      </c>
      <c r="AG86" s="2" t="str">
        <f t="shared" si="42"/>
        <v/>
      </c>
      <c r="AH86" s="2" t="str">
        <f t="shared" si="43"/>
        <v/>
      </c>
      <c r="AI86" s="2" t="str">
        <f t="shared" si="44"/>
        <v/>
      </c>
      <c r="AJ86" s="2" t="str">
        <f t="shared" si="45"/>
        <v/>
      </c>
      <c r="AK86" s="2" t="str">
        <f t="shared" si="46"/>
        <v/>
      </c>
      <c r="AL86" s="2" t="str">
        <f t="shared" si="47"/>
        <v/>
      </c>
      <c r="AM86" s="2" t="str">
        <f t="shared" si="48"/>
        <v/>
      </c>
      <c r="AN86" s="2" t="str">
        <f t="shared" si="49"/>
        <v/>
      </c>
      <c r="AO86" s="2" t="str">
        <f t="shared" si="50"/>
        <v/>
      </c>
      <c r="AP86" s="2" t="str">
        <f t="shared" si="51"/>
        <v/>
      </c>
      <c r="AQ86" s="2" t="str">
        <f t="shared" si="52"/>
        <v/>
      </c>
      <c r="AR86" s="2">
        <f t="shared" si="53"/>
        <v>0.8203650336215178</v>
      </c>
      <c r="AT86" s="2" t="str">
        <f t="shared" si="56"/>
        <v/>
      </c>
      <c r="AU86" s="2" t="str">
        <f t="shared" si="57"/>
        <v/>
      </c>
      <c r="AV86" s="143" t="str">
        <f t="shared" si="58"/>
        <v/>
      </c>
      <c r="AW86" s="143" t="str">
        <f t="shared" si="59"/>
        <v/>
      </c>
      <c r="AX86" s="143" t="str">
        <f t="shared" si="60"/>
        <v/>
      </c>
      <c r="AY86" s="143" t="str">
        <f t="shared" si="61"/>
        <v/>
      </c>
      <c r="AZ86" s="143" t="str">
        <f t="shared" si="62"/>
        <v/>
      </c>
      <c r="BA86" s="143" t="str">
        <f t="shared" si="63"/>
        <v/>
      </c>
      <c r="BB86" s="143" t="str">
        <f t="shared" si="64"/>
        <v/>
      </c>
      <c r="BC86" s="143" t="str">
        <f t="shared" si="65"/>
        <v/>
      </c>
      <c r="BD86" s="143" t="str">
        <f t="shared" si="66"/>
        <v/>
      </c>
      <c r="BF86" s="9">
        <f t="shared" si="54"/>
        <v>1.1509163372836875E-5</v>
      </c>
      <c r="BG86" s="9">
        <f t="shared" si="55"/>
        <v>0.96933606325118116</v>
      </c>
    </row>
    <row r="87" spans="2:59" x14ac:dyDescent="0.35">
      <c r="B87" s="3" t="s">
        <v>278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39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40"/>
        <v>138713</v>
      </c>
      <c r="AF87" s="2">
        <f t="shared" si="41"/>
        <v>0.66941259362211414</v>
      </c>
      <c r="AG87" s="2" t="str">
        <f t="shared" si="42"/>
        <v/>
      </c>
      <c r="AH87" s="2" t="str">
        <f t="shared" si="43"/>
        <v/>
      </c>
      <c r="AI87" s="2" t="str">
        <f t="shared" si="44"/>
        <v/>
      </c>
      <c r="AJ87" s="2" t="str">
        <f t="shared" si="45"/>
        <v/>
      </c>
      <c r="AK87" s="2" t="str">
        <f t="shared" si="46"/>
        <v/>
      </c>
      <c r="AL87" s="2" t="str">
        <f t="shared" si="47"/>
        <v/>
      </c>
      <c r="AM87" s="2" t="str">
        <f t="shared" si="48"/>
        <v/>
      </c>
      <c r="AN87" s="2" t="str">
        <f t="shared" si="49"/>
        <v/>
      </c>
      <c r="AO87" s="2" t="str">
        <f t="shared" si="50"/>
        <v/>
      </c>
      <c r="AP87" s="2" t="str">
        <f t="shared" si="51"/>
        <v/>
      </c>
      <c r="AQ87" s="2" t="str">
        <f t="shared" si="52"/>
        <v/>
      </c>
      <c r="AR87" s="2">
        <f t="shared" si="53"/>
        <v>0.66941259362211414</v>
      </c>
      <c r="AT87" s="2" t="str">
        <f t="shared" si="56"/>
        <v/>
      </c>
      <c r="AU87" s="2" t="str">
        <f t="shared" si="57"/>
        <v/>
      </c>
      <c r="AV87" s="143" t="str">
        <f t="shared" si="58"/>
        <v/>
      </c>
      <c r="AW87" s="143" t="str">
        <f t="shared" si="59"/>
        <v/>
      </c>
      <c r="AX87" s="143" t="str">
        <f t="shared" si="60"/>
        <v/>
      </c>
      <c r="AY87" s="143" t="str">
        <f t="shared" si="61"/>
        <v/>
      </c>
      <c r="AZ87" s="143" t="str">
        <f t="shared" si="62"/>
        <v/>
      </c>
      <c r="BA87" s="143" t="str">
        <f t="shared" si="63"/>
        <v/>
      </c>
      <c r="BB87" s="143" t="str">
        <f t="shared" si="64"/>
        <v/>
      </c>
      <c r="BC87" s="143" t="str">
        <f t="shared" si="65"/>
        <v/>
      </c>
      <c r="BD87" s="143" t="str">
        <f t="shared" si="66"/>
        <v/>
      </c>
      <c r="BF87" s="9">
        <f t="shared" si="54"/>
        <v>1.8694034882158329E-4</v>
      </c>
      <c r="BG87" s="9">
        <f t="shared" si="55"/>
        <v>0.96952300360000276</v>
      </c>
    </row>
    <row r="88" spans="2:59" x14ac:dyDescent="0.35">
      <c r="B88" s="3" t="s">
        <v>196</v>
      </c>
      <c r="D88" s="141">
        <v>206597</v>
      </c>
      <c r="E88" s="141">
        <v>200828</v>
      </c>
      <c r="F88" s="141">
        <v>207006</v>
      </c>
      <c r="G88" s="141">
        <v>82131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39"/>
        <v>696562</v>
      </c>
      <c r="R88" s="141">
        <v>146632</v>
      </c>
      <c r="S88" s="141">
        <v>146577</v>
      </c>
      <c r="T88" s="141">
        <v>130566</v>
      </c>
      <c r="U88" s="141">
        <v>54269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40"/>
        <v>478044</v>
      </c>
      <c r="AF88" s="2">
        <f t="shared" si="41"/>
        <v>0.70974893149464902</v>
      </c>
      <c r="AG88" s="2">
        <f t="shared" si="42"/>
        <v>0.72986336566614218</v>
      </c>
      <c r="AH88" s="2">
        <f t="shared" si="43"/>
        <v>0.6307353410046086</v>
      </c>
      <c r="AI88" s="2">
        <f t="shared" si="44"/>
        <v>0.66076146643776401</v>
      </c>
      <c r="AJ88" s="2" t="str">
        <f t="shared" si="45"/>
        <v/>
      </c>
      <c r="AK88" s="2" t="str">
        <f t="shared" si="46"/>
        <v/>
      </c>
      <c r="AL88" s="2" t="str">
        <f t="shared" si="47"/>
        <v/>
      </c>
      <c r="AM88" s="2" t="str">
        <f t="shared" si="48"/>
        <v/>
      </c>
      <c r="AN88" s="2" t="str">
        <f t="shared" si="49"/>
        <v/>
      </c>
      <c r="AO88" s="2" t="str">
        <f t="shared" si="50"/>
        <v/>
      </c>
      <c r="AP88" s="2" t="str">
        <f t="shared" si="51"/>
        <v/>
      </c>
      <c r="AQ88" s="2" t="str">
        <f t="shared" si="52"/>
        <v/>
      </c>
      <c r="AR88" s="2">
        <f t="shared" si="53"/>
        <v>0.68629066759312163</v>
      </c>
      <c r="AT88" s="2" t="str">
        <f t="shared" si="56"/>
        <v/>
      </c>
      <c r="AU88" s="2" t="str">
        <f t="shared" si="57"/>
        <v/>
      </c>
      <c r="AV88" s="143">
        <f t="shared" si="58"/>
        <v>3.0026125433155415E-2</v>
      </c>
      <c r="AW88" s="143" t="str">
        <f t="shared" si="59"/>
        <v/>
      </c>
      <c r="AX88" s="143" t="str">
        <f t="shared" si="60"/>
        <v/>
      </c>
      <c r="AY88" s="143" t="str">
        <f t="shared" si="61"/>
        <v/>
      </c>
      <c r="AZ88" s="143" t="str">
        <f t="shared" si="62"/>
        <v/>
      </c>
      <c r="BA88" s="143" t="str">
        <f t="shared" si="63"/>
        <v/>
      </c>
      <c r="BB88" s="143" t="str">
        <f t="shared" si="64"/>
        <v/>
      </c>
      <c r="BC88" s="143" t="str">
        <f t="shared" si="65"/>
        <v/>
      </c>
      <c r="BD88" s="143" t="str">
        <f t="shared" si="66"/>
        <v/>
      </c>
      <c r="BF88" s="9">
        <f t="shared" si="54"/>
        <v>6.442490041457179E-4</v>
      </c>
      <c r="BG88" s="9">
        <f t="shared" si="55"/>
        <v>0.97016725260414849</v>
      </c>
    </row>
    <row r="89" spans="2:59" x14ac:dyDescent="0.35">
      <c r="B89" s="3" t="s">
        <v>184</v>
      </c>
      <c r="D89" s="141">
        <v>130312</v>
      </c>
      <c r="E89" s="141">
        <v>104580</v>
      </c>
      <c r="F89" s="141">
        <v>179835</v>
      </c>
      <c r="G89" s="141">
        <v>131691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39"/>
        <v>546418</v>
      </c>
      <c r="R89" s="141">
        <v>86980</v>
      </c>
      <c r="S89" s="141">
        <v>78492</v>
      </c>
      <c r="T89" s="141">
        <v>141475</v>
      </c>
      <c r="U89" s="141">
        <v>104442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40"/>
        <v>411389</v>
      </c>
      <c r="AF89" s="2">
        <f t="shared" si="41"/>
        <v>0.66747498311744125</v>
      </c>
      <c r="AG89" s="2">
        <f t="shared" si="42"/>
        <v>0.75054503729202526</v>
      </c>
      <c r="AH89" s="2">
        <f t="shared" si="43"/>
        <v>0.78669335780020577</v>
      </c>
      <c r="AI89" s="2">
        <f t="shared" si="44"/>
        <v>0.79308380982755089</v>
      </c>
      <c r="AJ89" s="2" t="str">
        <f t="shared" si="45"/>
        <v/>
      </c>
      <c r="AK89" s="2" t="str">
        <f t="shared" si="46"/>
        <v/>
      </c>
      <c r="AL89" s="2" t="str">
        <f t="shared" si="47"/>
        <v/>
      </c>
      <c r="AM89" s="2" t="str">
        <f t="shared" si="48"/>
        <v/>
      </c>
      <c r="AN89" s="2" t="str">
        <f t="shared" si="49"/>
        <v/>
      </c>
      <c r="AO89" s="2" t="str">
        <f t="shared" si="50"/>
        <v/>
      </c>
      <c r="AP89" s="2" t="str">
        <f t="shared" si="51"/>
        <v/>
      </c>
      <c r="AQ89" s="2" t="str">
        <f t="shared" si="52"/>
        <v/>
      </c>
      <c r="AR89" s="2">
        <f t="shared" si="53"/>
        <v>0.75288332375580602</v>
      </c>
      <c r="AT89" s="2" t="str">
        <f t="shared" si="56"/>
        <v/>
      </c>
      <c r="AU89" s="2" t="str">
        <f t="shared" si="57"/>
        <v/>
      </c>
      <c r="AV89" s="143">
        <f t="shared" si="58"/>
        <v>6.3904520273451171E-3</v>
      </c>
      <c r="AW89" s="143" t="str">
        <f t="shared" si="59"/>
        <v/>
      </c>
      <c r="AX89" s="143" t="str">
        <f t="shared" si="60"/>
        <v/>
      </c>
      <c r="AY89" s="143" t="str">
        <f t="shared" si="61"/>
        <v/>
      </c>
      <c r="AZ89" s="143" t="str">
        <f t="shared" si="62"/>
        <v/>
      </c>
      <c r="BA89" s="143" t="str">
        <f t="shared" si="63"/>
        <v/>
      </c>
      <c r="BB89" s="143" t="str">
        <f t="shared" si="64"/>
        <v/>
      </c>
      <c r="BC89" s="143" t="str">
        <f t="shared" si="65"/>
        <v/>
      </c>
      <c r="BD89" s="143" t="str">
        <f t="shared" si="66"/>
        <v/>
      </c>
      <c r="BF89" s="9">
        <f t="shared" si="54"/>
        <v>5.5441957971756313E-4</v>
      </c>
      <c r="BG89" s="9">
        <f t="shared" si="55"/>
        <v>0.97072167218386607</v>
      </c>
    </row>
    <row r="90" spans="2:59" x14ac:dyDescent="0.35">
      <c r="B90" s="3" t="s">
        <v>181</v>
      </c>
      <c r="D90" s="141">
        <v>134307</v>
      </c>
      <c r="E90" s="141">
        <v>116548</v>
      </c>
      <c r="F90" s="141">
        <v>129551</v>
      </c>
      <c r="G90" s="141">
        <v>96636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39"/>
        <v>477042</v>
      </c>
      <c r="R90" s="141">
        <v>105440</v>
      </c>
      <c r="S90" s="141">
        <v>87373</v>
      </c>
      <c r="T90" s="141">
        <v>88818</v>
      </c>
      <c r="U90" s="141">
        <v>68491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40"/>
        <v>350122</v>
      </c>
      <c r="AF90" s="2">
        <f t="shared" si="41"/>
        <v>0.78506704788283554</v>
      </c>
      <c r="AG90" s="2">
        <f t="shared" si="42"/>
        <v>0.74967395407900606</v>
      </c>
      <c r="AH90" s="2">
        <f t="shared" si="43"/>
        <v>0.68558328380328981</v>
      </c>
      <c r="AI90" s="2">
        <f t="shared" si="44"/>
        <v>0.70875243180595227</v>
      </c>
      <c r="AJ90" s="2" t="str">
        <f t="shared" si="45"/>
        <v/>
      </c>
      <c r="AK90" s="2" t="str">
        <f t="shared" si="46"/>
        <v/>
      </c>
      <c r="AL90" s="2" t="str">
        <f t="shared" si="47"/>
        <v/>
      </c>
      <c r="AM90" s="2" t="str">
        <f t="shared" si="48"/>
        <v/>
      </c>
      <c r="AN90" s="2" t="str">
        <f t="shared" si="49"/>
        <v/>
      </c>
      <c r="AO90" s="2" t="str">
        <f t="shared" si="50"/>
        <v/>
      </c>
      <c r="AP90" s="2" t="str">
        <f t="shared" si="51"/>
        <v/>
      </c>
      <c r="AQ90" s="2" t="str">
        <f t="shared" si="52"/>
        <v/>
      </c>
      <c r="AR90" s="2">
        <f t="shared" si="53"/>
        <v>0.73394376176521148</v>
      </c>
      <c r="AT90" s="2" t="str">
        <f t="shared" si="56"/>
        <v/>
      </c>
      <c r="AU90" s="2" t="str">
        <f t="shared" si="57"/>
        <v/>
      </c>
      <c r="AV90" s="143">
        <f t="shared" si="58"/>
        <v>2.3169148002662454E-2</v>
      </c>
      <c r="AW90" s="143" t="str">
        <f t="shared" si="59"/>
        <v/>
      </c>
      <c r="AX90" s="143" t="str">
        <f t="shared" si="60"/>
        <v/>
      </c>
      <c r="AY90" s="143" t="str">
        <f t="shared" si="61"/>
        <v/>
      </c>
      <c r="AZ90" s="143" t="str">
        <f t="shared" si="62"/>
        <v/>
      </c>
      <c r="BA90" s="143" t="str">
        <f t="shared" si="63"/>
        <v/>
      </c>
      <c r="BB90" s="143" t="str">
        <f t="shared" si="64"/>
        <v/>
      </c>
      <c r="BC90" s="143" t="str">
        <f t="shared" si="65"/>
        <v/>
      </c>
      <c r="BD90" s="143" t="str">
        <f t="shared" si="66"/>
        <v/>
      </c>
      <c r="BF90" s="9">
        <f t="shared" si="54"/>
        <v>4.7185144009653302E-4</v>
      </c>
      <c r="BG90" s="9">
        <f t="shared" si="55"/>
        <v>0.97119352362396261</v>
      </c>
    </row>
    <row r="91" spans="2:59" x14ac:dyDescent="0.35">
      <c r="B91" s="3" t="s">
        <v>190</v>
      </c>
      <c r="D91" s="141">
        <v>117655</v>
      </c>
      <c r="E91" s="141">
        <v>117276</v>
      </c>
      <c r="F91" s="141">
        <v>104443</v>
      </c>
      <c r="G91" s="141">
        <v>77145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39"/>
        <v>416519</v>
      </c>
      <c r="R91" s="141">
        <v>86773</v>
      </c>
      <c r="S91" s="141">
        <v>78333</v>
      </c>
      <c r="T91" s="141">
        <v>77053</v>
      </c>
      <c r="U91" s="141">
        <v>55647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40"/>
        <v>297806</v>
      </c>
      <c r="AF91" s="2">
        <f t="shared" si="41"/>
        <v>0.73752071735157876</v>
      </c>
      <c r="AG91" s="2">
        <f t="shared" si="42"/>
        <v>0.66793717384631124</v>
      </c>
      <c r="AH91" s="2">
        <f t="shared" si="43"/>
        <v>0.73775169231063831</v>
      </c>
      <c r="AI91" s="2">
        <f t="shared" si="44"/>
        <v>0.72132996305658181</v>
      </c>
      <c r="AJ91" s="2" t="str">
        <f t="shared" si="45"/>
        <v/>
      </c>
      <c r="AK91" s="2" t="str">
        <f t="shared" si="46"/>
        <v/>
      </c>
      <c r="AL91" s="2" t="str">
        <f t="shared" si="47"/>
        <v/>
      </c>
      <c r="AM91" s="2" t="str">
        <f t="shared" si="48"/>
        <v/>
      </c>
      <c r="AN91" s="2" t="str">
        <f t="shared" si="49"/>
        <v/>
      </c>
      <c r="AO91" s="2" t="str">
        <f t="shared" si="50"/>
        <v/>
      </c>
      <c r="AP91" s="2" t="str">
        <f t="shared" si="51"/>
        <v/>
      </c>
      <c r="AQ91" s="2" t="str">
        <f t="shared" si="52"/>
        <v/>
      </c>
      <c r="AR91" s="2">
        <f t="shared" si="53"/>
        <v>0.71498779167336901</v>
      </c>
      <c r="AT91" s="2" t="str">
        <f t="shared" si="56"/>
        <v/>
      </c>
      <c r="AU91" s="2" t="str">
        <f t="shared" si="57"/>
        <v/>
      </c>
      <c r="AV91" s="143">
        <f t="shared" si="58"/>
        <v>-1.6421729254056494E-2</v>
      </c>
      <c r="AW91" s="143" t="str">
        <f t="shared" si="59"/>
        <v/>
      </c>
      <c r="AX91" s="143" t="str">
        <f t="shared" si="60"/>
        <v/>
      </c>
      <c r="AY91" s="143" t="str">
        <f t="shared" si="61"/>
        <v/>
      </c>
      <c r="AZ91" s="143" t="str">
        <f t="shared" si="62"/>
        <v/>
      </c>
      <c r="BA91" s="143" t="str">
        <f t="shared" si="63"/>
        <v/>
      </c>
      <c r="BB91" s="143" t="str">
        <f t="shared" si="64"/>
        <v/>
      </c>
      <c r="BC91" s="143" t="str">
        <f t="shared" si="65"/>
        <v/>
      </c>
      <c r="BD91" s="143" t="str">
        <f t="shared" si="66"/>
        <v/>
      </c>
      <c r="BF91" s="9">
        <f t="shared" si="54"/>
        <v>4.0134635918162272E-4</v>
      </c>
      <c r="BG91" s="9">
        <f t="shared" si="55"/>
        <v>0.97159486998314426</v>
      </c>
    </row>
    <row r="92" spans="2:59" x14ac:dyDescent="0.35">
      <c r="B92" s="3" t="s">
        <v>171</v>
      </c>
      <c r="D92" s="141">
        <v>85648</v>
      </c>
      <c r="E92" s="141">
        <v>76816</v>
      </c>
      <c r="F92" s="141">
        <v>86888</v>
      </c>
      <c r="G92" s="141">
        <v>84120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39"/>
        <v>333472</v>
      </c>
      <c r="R92" s="141">
        <v>51766</v>
      </c>
      <c r="S92" s="141">
        <v>52605</v>
      </c>
      <c r="T92" s="141">
        <v>60796</v>
      </c>
      <c r="U92" s="141">
        <v>60811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40"/>
        <v>225978</v>
      </c>
      <c r="AF92" s="2">
        <f t="shared" si="41"/>
        <v>0.60440407248271999</v>
      </c>
      <c r="AG92" s="2">
        <f t="shared" si="42"/>
        <v>0.68481826702770254</v>
      </c>
      <c r="AH92" s="2">
        <f t="shared" si="43"/>
        <v>0.69970536782984993</v>
      </c>
      <c r="AI92" s="2">
        <f t="shared" si="44"/>
        <v>0.72290775083214454</v>
      </c>
      <c r="AJ92" s="2" t="str">
        <f t="shared" si="45"/>
        <v/>
      </c>
      <c r="AK92" s="2" t="str">
        <f t="shared" si="46"/>
        <v/>
      </c>
      <c r="AL92" s="2" t="str">
        <f t="shared" si="47"/>
        <v/>
      </c>
      <c r="AM92" s="2" t="str">
        <f t="shared" si="48"/>
        <v/>
      </c>
      <c r="AN92" s="2" t="str">
        <f t="shared" si="49"/>
        <v/>
      </c>
      <c r="AO92" s="2" t="str">
        <f t="shared" si="50"/>
        <v/>
      </c>
      <c r="AP92" s="2" t="str">
        <f t="shared" si="51"/>
        <v/>
      </c>
      <c r="AQ92" s="2" t="str">
        <f t="shared" si="52"/>
        <v/>
      </c>
      <c r="AR92" s="2">
        <f t="shared" si="53"/>
        <v>0.67765209672776128</v>
      </c>
      <c r="AT92" s="2" t="str">
        <f t="shared" si="56"/>
        <v/>
      </c>
      <c r="AU92" s="2" t="str">
        <f t="shared" si="57"/>
        <v/>
      </c>
      <c r="AV92" s="143">
        <f t="shared" si="58"/>
        <v>2.3202383002294602E-2</v>
      </c>
      <c r="AW92" s="143" t="str">
        <f t="shared" si="59"/>
        <v/>
      </c>
      <c r="AX92" s="143" t="str">
        <f t="shared" si="60"/>
        <v/>
      </c>
      <c r="AY92" s="143" t="str">
        <f t="shared" si="61"/>
        <v/>
      </c>
      <c r="AZ92" s="143" t="str">
        <f t="shared" si="62"/>
        <v/>
      </c>
      <c r="BA92" s="143" t="str">
        <f t="shared" si="63"/>
        <v/>
      </c>
      <c r="BB92" s="143" t="str">
        <f t="shared" si="64"/>
        <v/>
      </c>
      <c r="BC92" s="143" t="str">
        <f t="shared" si="65"/>
        <v/>
      </c>
      <c r="BD92" s="143" t="str">
        <f t="shared" si="66"/>
        <v/>
      </c>
      <c r="BF92" s="9">
        <f t="shared" si="54"/>
        <v>3.0454540054647905E-4</v>
      </c>
      <c r="BG92" s="9">
        <f t="shared" si="55"/>
        <v>0.97189941538369073</v>
      </c>
    </row>
    <row r="93" spans="2:59" x14ac:dyDescent="0.35">
      <c r="B93" s="3" t="s">
        <v>186</v>
      </c>
      <c r="D93" s="141">
        <v>204226</v>
      </c>
      <c r="E93" s="141">
        <v>213843</v>
      </c>
      <c r="F93" s="141">
        <v>252025</v>
      </c>
      <c r="G93" s="141">
        <v>172641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39"/>
        <v>842735</v>
      </c>
      <c r="R93" s="141">
        <v>154833</v>
      </c>
      <c r="S93" s="141">
        <v>147041</v>
      </c>
      <c r="T93" s="141">
        <v>177976</v>
      </c>
      <c r="U93" s="141">
        <v>125036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40"/>
        <v>604886</v>
      </c>
      <c r="AF93" s="2">
        <f t="shared" si="41"/>
        <v>0.75814538795256237</v>
      </c>
      <c r="AG93" s="2">
        <f t="shared" si="42"/>
        <v>0.68761193960054812</v>
      </c>
      <c r="AH93" s="2">
        <f t="shared" si="43"/>
        <v>0.70618391032635652</v>
      </c>
      <c r="AI93" s="2">
        <f t="shared" si="44"/>
        <v>0.72425437758122346</v>
      </c>
      <c r="AJ93" s="2" t="str">
        <f t="shared" si="45"/>
        <v/>
      </c>
      <c r="AK93" s="2" t="str">
        <f t="shared" si="46"/>
        <v/>
      </c>
      <c r="AL93" s="2" t="str">
        <f t="shared" si="47"/>
        <v/>
      </c>
      <c r="AM93" s="2" t="str">
        <f t="shared" si="48"/>
        <v/>
      </c>
      <c r="AN93" s="2" t="str">
        <f t="shared" si="49"/>
        <v/>
      </c>
      <c r="AO93" s="2" t="str">
        <f t="shared" si="50"/>
        <v/>
      </c>
      <c r="AP93" s="2" t="str">
        <f t="shared" si="51"/>
        <v/>
      </c>
      <c r="AQ93" s="2" t="str">
        <f t="shared" si="52"/>
        <v/>
      </c>
      <c r="AR93" s="2">
        <f t="shared" si="53"/>
        <v>0.71776537108343663</v>
      </c>
      <c r="AT93" s="2" t="str">
        <f t="shared" si="56"/>
        <v/>
      </c>
      <c r="AU93" s="2" t="str">
        <f t="shared" si="57"/>
        <v/>
      </c>
      <c r="AV93" s="143">
        <f t="shared" si="58"/>
        <v>1.807046725486694E-2</v>
      </c>
      <c r="AW93" s="143" t="str">
        <f t="shared" si="59"/>
        <v/>
      </c>
      <c r="AX93" s="143" t="str">
        <f t="shared" si="60"/>
        <v/>
      </c>
      <c r="AY93" s="143" t="str">
        <f t="shared" si="61"/>
        <v/>
      </c>
      <c r="AZ93" s="143" t="str">
        <f t="shared" si="62"/>
        <v/>
      </c>
      <c r="BA93" s="143" t="str">
        <f t="shared" si="63"/>
        <v/>
      </c>
      <c r="BB93" s="143" t="str">
        <f t="shared" si="64"/>
        <v/>
      </c>
      <c r="BC93" s="143" t="str">
        <f t="shared" si="65"/>
        <v/>
      </c>
      <c r="BD93" s="143" t="str">
        <f t="shared" si="66"/>
        <v/>
      </c>
      <c r="BF93" s="9">
        <f t="shared" si="54"/>
        <v>8.1519107680817391E-4</v>
      </c>
      <c r="BG93" s="9">
        <f t="shared" si="55"/>
        <v>0.9727146064604989</v>
      </c>
    </row>
    <row r="94" spans="2:59" x14ac:dyDescent="0.35">
      <c r="B94" s="3" t="s">
        <v>262</v>
      </c>
      <c r="D94" s="141">
        <v>-418228</v>
      </c>
      <c r="E94" s="141">
        <v>-440551</v>
      </c>
      <c r="F94" s="141">
        <v>-254608</v>
      </c>
      <c r="G94" s="141">
        <v>-426500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39"/>
        <v>-1539887</v>
      </c>
      <c r="R94" s="141">
        <v>-360646</v>
      </c>
      <c r="S94" s="141">
        <v>-384711</v>
      </c>
      <c r="T94" s="141">
        <v>-222735</v>
      </c>
      <c r="U94" s="141">
        <v>-367487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40"/>
        <v>-1335579</v>
      </c>
      <c r="AF94" s="2">
        <f t="shared" si="41"/>
        <v>0.86231911780177317</v>
      </c>
      <c r="AG94" s="2">
        <f t="shared" si="42"/>
        <v>0.87324963511602516</v>
      </c>
      <c r="AH94" s="2">
        <f t="shared" si="43"/>
        <v>0.87481540250109968</v>
      </c>
      <c r="AI94" s="2">
        <f t="shared" si="44"/>
        <v>0.86163423212192258</v>
      </c>
      <c r="AJ94" s="2" t="str">
        <f t="shared" si="45"/>
        <v/>
      </c>
      <c r="AK94" s="2" t="str">
        <f t="shared" si="46"/>
        <v/>
      </c>
      <c r="AL94" s="2" t="str">
        <f t="shared" si="47"/>
        <v/>
      </c>
      <c r="AM94" s="2" t="str">
        <f t="shared" si="48"/>
        <v/>
      </c>
      <c r="AN94" s="2" t="str">
        <f t="shared" si="49"/>
        <v/>
      </c>
      <c r="AO94" s="2" t="str">
        <f t="shared" si="50"/>
        <v/>
      </c>
      <c r="AP94" s="2" t="str">
        <f t="shared" si="51"/>
        <v/>
      </c>
      <c r="AQ94" s="2" t="str">
        <f t="shared" si="52"/>
        <v/>
      </c>
      <c r="AR94" s="2">
        <f t="shared" si="53"/>
        <v>0.86732273212255184</v>
      </c>
      <c r="AT94" s="2" t="str">
        <f t="shared" si="56"/>
        <v/>
      </c>
      <c r="AU94" s="2" t="str">
        <f t="shared" si="57"/>
        <v/>
      </c>
      <c r="AV94" s="143">
        <f t="shared" si="58"/>
        <v>-1.3181170379177098E-2</v>
      </c>
      <c r="AW94" s="143" t="str">
        <f t="shared" si="59"/>
        <v/>
      </c>
      <c r="AX94" s="143" t="str">
        <f t="shared" si="60"/>
        <v/>
      </c>
      <c r="AY94" s="143" t="str">
        <f t="shared" si="61"/>
        <v/>
      </c>
      <c r="AZ94" s="143" t="str">
        <f t="shared" si="62"/>
        <v/>
      </c>
      <c r="BA94" s="143" t="str">
        <f t="shared" si="63"/>
        <v/>
      </c>
      <c r="BB94" s="143" t="str">
        <f t="shared" si="64"/>
        <v/>
      </c>
      <c r="BC94" s="143" t="str">
        <f t="shared" si="65"/>
        <v/>
      </c>
      <c r="BD94" s="143" t="str">
        <f t="shared" si="66"/>
        <v/>
      </c>
      <c r="BF94" s="9">
        <f t="shared" si="54"/>
        <v>-1.7999293803665222E-3</v>
      </c>
      <c r="BG94" s="9">
        <f t="shared" si="55"/>
        <v>0.97091467708013235</v>
      </c>
    </row>
    <row r="95" spans="2:59" x14ac:dyDescent="0.35">
      <c r="B95" s="3" t="s">
        <v>232</v>
      </c>
      <c r="D95" s="141">
        <v>229686</v>
      </c>
      <c r="E95" s="141">
        <v>193734</v>
      </c>
      <c r="F95" s="141">
        <v>83543</v>
      </c>
      <c r="G95" s="141">
        <v>154197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39"/>
        <v>661160</v>
      </c>
      <c r="R95" s="141">
        <v>169561</v>
      </c>
      <c r="S95" s="141">
        <v>146247</v>
      </c>
      <c r="T95" s="141">
        <v>64340</v>
      </c>
      <c r="U95" s="141">
        <v>115613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40"/>
        <v>495761</v>
      </c>
      <c r="AF95" s="2">
        <f t="shared" si="41"/>
        <v>0.73822958299591612</v>
      </c>
      <c r="AG95" s="2">
        <f t="shared" si="42"/>
        <v>0.75488556474341106</v>
      </c>
      <c r="AH95" s="2">
        <f t="shared" si="43"/>
        <v>0.77014232191805421</v>
      </c>
      <c r="AI95" s="2">
        <f t="shared" si="44"/>
        <v>0.74977463893590668</v>
      </c>
      <c r="AJ95" s="2" t="str">
        <f t="shared" si="45"/>
        <v/>
      </c>
      <c r="AK95" s="2" t="str">
        <f t="shared" si="46"/>
        <v/>
      </c>
      <c r="AL95" s="2" t="str">
        <f t="shared" si="47"/>
        <v/>
      </c>
      <c r="AM95" s="2" t="str">
        <f t="shared" si="48"/>
        <v/>
      </c>
      <c r="AN95" s="2" t="str">
        <f t="shared" si="49"/>
        <v/>
      </c>
      <c r="AO95" s="2" t="str">
        <f t="shared" si="50"/>
        <v/>
      </c>
      <c r="AP95" s="2" t="str">
        <f t="shared" si="51"/>
        <v/>
      </c>
      <c r="AQ95" s="2" t="str">
        <f t="shared" si="52"/>
        <v/>
      </c>
      <c r="AR95" s="2">
        <f t="shared" si="53"/>
        <v>0.74983513824187786</v>
      </c>
      <c r="AT95" s="2" t="str">
        <f t="shared" si="56"/>
        <v/>
      </c>
      <c r="AU95" s="2" t="str">
        <f t="shared" si="57"/>
        <v/>
      </c>
      <c r="AV95" s="143">
        <f t="shared" si="58"/>
        <v>-2.0367682982147528E-2</v>
      </c>
      <c r="AW95" s="143" t="str">
        <f t="shared" si="59"/>
        <v/>
      </c>
      <c r="AX95" s="143" t="str">
        <f t="shared" si="60"/>
        <v/>
      </c>
      <c r="AY95" s="143" t="str">
        <f t="shared" si="61"/>
        <v/>
      </c>
      <c r="AZ95" s="143" t="str">
        <f t="shared" si="62"/>
        <v/>
      </c>
      <c r="BA95" s="143" t="str">
        <f t="shared" si="63"/>
        <v/>
      </c>
      <c r="BB95" s="143" t="str">
        <f t="shared" si="64"/>
        <v/>
      </c>
      <c r="BC95" s="143" t="str">
        <f t="shared" si="65"/>
        <v/>
      </c>
      <c r="BD95" s="143" t="str">
        <f t="shared" si="66"/>
        <v/>
      </c>
      <c r="BF95" s="9">
        <f t="shared" si="54"/>
        <v>6.6812580127411964E-4</v>
      </c>
      <c r="BG95" s="9">
        <f t="shared" si="55"/>
        <v>0.97158280288140642</v>
      </c>
    </row>
    <row r="96" spans="2:59" x14ac:dyDescent="0.35">
      <c r="B96" s="3" t="s">
        <v>224</v>
      </c>
      <c r="D96" s="141">
        <v>167097</v>
      </c>
      <c r="E96" s="141">
        <v>185758</v>
      </c>
      <c r="F96" s="141">
        <v>175163</v>
      </c>
      <c r="G96" s="141">
        <v>153730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39"/>
        <v>681748</v>
      </c>
      <c r="R96" s="141">
        <v>123239</v>
      </c>
      <c r="S96" s="141">
        <v>90521</v>
      </c>
      <c r="T96" s="141">
        <v>118398</v>
      </c>
      <c r="U96" s="141">
        <v>132087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40"/>
        <v>464245</v>
      </c>
      <c r="AF96" s="2">
        <f t="shared" si="41"/>
        <v>0.73752969831894044</v>
      </c>
      <c r="AG96" s="2">
        <f t="shared" si="42"/>
        <v>0.48730606488011285</v>
      </c>
      <c r="AH96" s="2">
        <f t="shared" si="43"/>
        <v>0.67593041909535689</v>
      </c>
      <c r="AI96" s="2">
        <f t="shared" si="44"/>
        <v>0.85921420672607818</v>
      </c>
      <c r="AJ96" s="2" t="str">
        <f t="shared" si="45"/>
        <v/>
      </c>
      <c r="AK96" s="2" t="str">
        <f t="shared" si="46"/>
        <v/>
      </c>
      <c r="AL96" s="2" t="str">
        <f t="shared" si="47"/>
        <v/>
      </c>
      <c r="AM96" s="2" t="str">
        <f t="shared" si="48"/>
        <v/>
      </c>
      <c r="AN96" s="2" t="str">
        <f t="shared" si="49"/>
        <v/>
      </c>
      <c r="AO96" s="2" t="str">
        <f t="shared" si="50"/>
        <v/>
      </c>
      <c r="AP96" s="2" t="str">
        <f t="shared" si="51"/>
        <v/>
      </c>
      <c r="AQ96" s="2" t="str">
        <f t="shared" si="52"/>
        <v/>
      </c>
      <c r="AR96" s="2">
        <f t="shared" si="53"/>
        <v>0.68096276043347392</v>
      </c>
      <c r="AT96" s="2" t="str">
        <f t="shared" si="56"/>
        <v/>
      </c>
      <c r="AU96" s="2" t="str">
        <f t="shared" si="57"/>
        <v/>
      </c>
      <c r="AV96" s="143">
        <f t="shared" si="58"/>
        <v>0.18328378763072128</v>
      </c>
      <c r="AW96" s="143" t="str">
        <f t="shared" si="59"/>
        <v/>
      </c>
      <c r="AX96" s="143" t="str">
        <f t="shared" si="60"/>
        <v/>
      </c>
      <c r="AY96" s="143" t="str">
        <f t="shared" si="61"/>
        <v/>
      </c>
      <c r="AZ96" s="143" t="str">
        <f t="shared" si="62"/>
        <v/>
      </c>
      <c r="BA96" s="143" t="str">
        <f t="shared" si="63"/>
        <v/>
      </c>
      <c r="BB96" s="143" t="str">
        <f t="shared" si="64"/>
        <v/>
      </c>
      <c r="BC96" s="143" t="str">
        <f t="shared" si="65"/>
        <v/>
      </c>
      <c r="BD96" s="143" t="str">
        <f t="shared" si="66"/>
        <v/>
      </c>
      <c r="BF96" s="9">
        <f t="shared" si="54"/>
        <v>6.2565240632583776E-4</v>
      </c>
      <c r="BG96" s="9">
        <f t="shared" si="55"/>
        <v>0.97220845528773225</v>
      </c>
    </row>
    <row r="97" spans="2:59" x14ac:dyDescent="0.35">
      <c r="B97" s="3" t="s">
        <v>214</v>
      </c>
      <c r="D97" s="141">
        <v>692078</v>
      </c>
      <c r="E97" s="141">
        <v>107948</v>
      </c>
      <c r="F97" s="141">
        <v>359353</v>
      </c>
      <c r="G97" s="141">
        <v>51492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39"/>
        <v>1210871</v>
      </c>
      <c r="R97" s="141">
        <v>487800</v>
      </c>
      <c r="S97" s="141">
        <v>93294</v>
      </c>
      <c r="T97" s="141">
        <v>239501</v>
      </c>
      <c r="U97" s="141">
        <v>34525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40"/>
        <v>855120</v>
      </c>
      <c r="AF97" s="2">
        <f t="shared" si="41"/>
        <v>0.70483384820786099</v>
      </c>
      <c r="AG97" s="2">
        <f t="shared" si="42"/>
        <v>0.86424945344054549</v>
      </c>
      <c r="AH97" s="2">
        <f t="shared" si="43"/>
        <v>0.66647836528427484</v>
      </c>
      <c r="AI97" s="2">
        <f t="shared" si="44"/>
        <v>0.67049250368989355</v>
      </c>
      <c r="AJ97" s="2" t="str">
        <f t="shared" si="45"/>
        <v/>
      </c>
      <c r="AK97" s="2" t="str">
        <f t="shared" si="46"/>
        <v/>
      </c>
      <c r="AL97" s="2" t="str">
        <f t="shared" si="47"/>
        <v/>
      </c>
      <c r="AM97" s="2" t="str">
        <f t="shared" si="48"/>
        <v/>
      </c>
      <c r="AN97" s="2" t="str">
        <f t="shared" si="49"/>
        <v/>
      </c>
      <c r="AO97" s="2" t="str">
        <f t="shared" si="50"/>
        <v/>
      </c>
      <c r="AP97" s="2" t="str">
        <f t="shared" si="51"/>
        <v/>
      </c>
      <c r="AQ97" s="2" t="str">
        <f t="shared" si="52"/>
        <v/>
      </c>
      <c r="AR97" s="2">
        <f t="shared" si="53"/>
        <v>0.70620239480506186</v>
      </c>
      <c r="AT97" s="2" t="str">
        <f t="shared" si="56"/>
        <v/>
      </c>
      <c r="AU97" s="2" t="str">
        <f t="shared" si="57"/>
        <v/>
      </c>
      <c r="AV97" s="143">
        <f t="shared" si="58"/>
        <v>4.0141384056187057E-3</v>
      </c>
      <c r="AW97" s="143" t="str">
        <f t="shared" si="59"/>
        <v/>
      </c>
      <c r="AX97" s="143" t="str">
        <f t="shared" si="60"/>
        <v/>
      </c>
      <c r="AY97" s="143" t="str">
        <f t="shared" si="61"/>
        <v/>
      </c>
      <c r="AZ97" s="143" t="str">
        <f t="shared" si="62"/>
        <v/>
      </c>
      <c r="BA97" s="143" t="str">
        <f t="shared" si="63"/>
        <v/>
      </c>
      <c r="BB97" s="143" t="str">
        <f t="shared" si="64"/>
        <v/>
      </c>
      <c r="BC97" s="143" t="str">
        <f t="shared" si="65"/>
        <v/>
      </c>
      <c r="BD97" s="143" t="str">
        <f t="shared" si="66"/>
        <v/>
      </c>
      <c r="BF97" s="9">
        <f t="shared" si="54"/>
        <v>1.1524257357588136E-3</v>
      </c>
      <c r="BG97" s="9">
        <f t="shared" si="55"/>
        <v>0.97336088102349105</v>
      </c>
    </row>
    <row r="98" spans="2:59" x14ac:dyDescent="0.35">
      <c r="B98" s="3" t="s">
        <v>197</v>
      </c>
      <c r="D98" s="141">
        <v>45274</v>
      </c>
      <c r="E98" s="141">
        <v>36128</v>
      </c>
      <c r="F98" s="141">
        <v>109697</v>
      </c>
      <c r="G98" s="141">
        <v>34393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39"/>
        <v>225492</v>
      </c>
      <c r="R98" s="141">
        <v>31970</v>
      </c>
      <c r="S98" s="141">
        <v>24329</v>
      </c>
      <c r="T98" s="141">
        <v>68951</v>
      </c>
      <c r="U98" s="141">
        <v>23597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40"/>
        <v>148847</v>
      </c>
      <c r="AF98" s="2">
        <f t="shared" si="41"/>
        <v>0.70614480717409556</v>
      </c>
      <c r="AG98" s="2">
        <f t="shared" si="42"/>
        <v>0.67341120460584591</v>
      </c>
      <c r="AH98" s="2">
        <f t="shared" si="43"/>
        <v>0.6285586661440149</v>
      </c>
      <c r="AI98" s="2">
        <f t="shared" si="44"/>
        <v>0.68609891547698665</v>
      </c>
      <c r="AJ98" s="2" t="str">
        <f t="shared" si="45"/>
        <v/>
      </c>
      <c r="AK98" s="2" t="str">
        <f t="shared" si="46"/>
        <v/>
      </c>
      <c r="AL98" s="2" t="str">
        <f t="shared" si="47"/>
        <v/>
      </c>
      <c r="AM98" s="2" t="str">
        <f t="shared" si="48"/>
        <v/>
      </c>
      <c r="AN98" s="2" t="str">
        <f t="shared" si="49"/>
        <v/>
      </c>
      <c r="AO98" s="2" t="str">
        <f t="shared" si="50"/>
        <v/>
      </c>
      <c r="AP98" s="2" t="str">
        <f t="shared" si="51"/>
        <v/>
      </c>
      <c r="AQ98" s="2" t="str">
        <f t="shared" si="52"/>
        <v/>
      </c>
      <c r="AR98" s="2">
        <f t="shared" si="53"/>
        <v>0.66009880616607242</v>
      </c>
      <c r="AT98" s="2" t="str">
        <f t="shared" si="56"/>
        <v/>
      </c>
      <c r="AU98" s="2" t="str">
        <f t="shared" si="57"/>
        <v/>
      </c>
      <c r="AV98" s="143">
        <f t="shared" si="58"/>
        <v>5.7540249332971749E-2</v>
      </c>
      <c r="AW98" s="143" t="str">
        <f t="shared" si="59"/>
        <v/>
      </c>
      <c r="AX98" s="143" t="str">
        <f t="shared" si="60"/>
        <v/>
      </c>
      <c r="AY98" s="143" t="str">
        <f t="shared" si="61"/>
        <v/>
      </c>
      <c r="AZ98" s="143" t="str">
        <f t="shared" si="62"/>
        <v/>
      </c>
      <c r="BA98" s="143" t="str">
        <f t="shared" si="63"/>
        <v/>
      </c>
      <c r="BB98" s="143" t="str">
        <f t="shared" si="64"/>
        <v/>
      </c>
      <c r="BC98" s="143" t="str">
        <f t="shared" si="65"/>
        <v/>
      </c>
      <c r="BD98" s="143" t="str">
        <f t="shared" si="66"/>
        <v/>
      </c>
      <c r="BF98" s="9">
        <f t="shared" si="54"/>
        <v>2.0059770966705508E-4</v>
      </c>
      <c r="BG98" s="9">
        <f t="shared" si="55"/>
        <v>0.97356147873315813</v>
      </c>
    </row>
    <row r="99" spans="2:59" x14ac:dyDescent="0.35">
      <c r="B99" s="3" t="s">
        <v>173</v>
      </c>
      <c r="D99" s="141">
        <v>504227</v>
      </c>
      <c r="E99" s="141">
        <v>592690</v>
      </c>
      <c r="F99" s="141">
        <v>323295</v>
      </c>
      <c r="G99" s="141">
        <v>859772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39"/>
        <v>2279984</v>
      </c>
      <c r="R99" s="141">
        <v>372314</v>
      </c>
      <c r="S99" s="141">
        <v>437761</v>
      </c>
      <c r="T99" s="141">
        <v>232920</v>
      </c>
      <c r="U99" s="141">
        <v>656712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40"/>
        <v>1699707</v>
      </c>
      <c r="AF99" s="2">
        <f t="shared" si="41"/>
        <v>0.73838568739873112</v>
      </c>
      <c r="AG99" s="2">
        <f t="shared" si="42"/>
        <v>0.73860028007896206</v>
      </c>
      <c r="AH99" s="2">
        <f t="shared" si="43"/>
        <v>0.72045654897230083</v>
      </c>
      <c r="AI99" s="2">
        <f t="shared" si="44"/>
        <v>0.76382110606067655</v>
      </c>
      <c r="AJ99" s="2" t="str">
        <f t="shared" si="45"/>
        <v/>
      </c>
      <c r="AK99" s="2" t="str">
        <f t="shared" si="46"/>
        <v/>
      </c>
      <c r="AL99" s="2" t="str">
        <f t="shared" si="47"/>
        <v/>
      </c>
      <c r="AM99" s="2" t="str">
        <f t="shared" si="48"/>
        <v/>
      </c>
      <c r="AN99" s="2" t="str">
        <f t="shared" si="49"/>
        <v/>
      </c>
      <c r="AO99" s="2" t="str">
        <f t="shared" si="50"/>
        <v/>
      </c>
      <c r="AP99" s="2" t="str">
        <f t="shared" si="51"/>
        <v/>
      </c>
      <c r="AQ99" s="2" t="str">
        <f t="shared" si="52"/>
        <v/>
      </c>
      <c r="AR99" s="2">
        <f t="shared" si="53"/>
        <v>0.7454907578298795</v>
      </c>
      <c r="AT99" s="2" t="str">
        <f t="shared" si="56"/>
        <v/>
      </c>
      <c r="AU99" s="2" t="str">
        <f t="shared" si="57"/>
        <v/>
      </c>
      <c r="AV99" s="143">
        <f t="shared" si="58"/>
        <v>4.3364557088375721E-2</v>
      </c>
      <c r="AW99" s="143" t="str">
        <f t="shared" si="59"/>
        <v/>
      </c>
      <c r="AX99" s="143" t="str">
        <f t="shared" si="60"/>
        <v/>
      </c>
      <c r="AY99" s="143" t="str">
        <f t="shared" si="61"/>
        <v/>
      </c>
      <c r="AZ99" s="143" t="str">
        <f t="shared" si="62"/>
        <v/>
      </c>
      <c r="BA99" s="143" t="str">
        <f t="shared" si="63"/>
        <v/>
      </c>
      <c r="BB99" s="143" t="str">
        <f t="shared" si="64"/>
        <v/>
      </c>
      <c r="BC99" s="143" t="str">
        <f t="shared" si="65"/>
        <v/>
      </c>
      <c r="BD99" s="143" t="str">
        <f t="shared" si="66"/>
        <v/>
      </c>
      <c r="BF99" s="9">
        <f t="shared" si="54"/>
        <v>2.2906563874653917E-3</v>
      </c>
      <c r="BG99" s="9">
        <f t="shared" si="55"/>
        <v>0.97585213512062352</v>
      </c>
    </row>
    <row r="100" spans="2:59" x14ac:dyDescent="0.35">
      <c r="B100" s="3" t="s">
        <v>183</v>
      </c>
      <c r="D100" s="141">
        <v>6878</v>
      </c>
      <c r="E100" s="141">
        <v>7685</v>
      </c>
      <c r="F100" s="141">
        <v>11811</v>
      </c>
      <c r="G100" s="141">
        <v>5061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39"/>
        <v>31435</v>
      </c>
      <c r="R100" s="141">
        <v>5042</v>
      </c>
      <c r="S100" s="141">
        <v>6004</v>
      </c>
      <c r="T100" s="141">
        <v>7759</v>
      </c>
      <c r="U100" s="141">
        <v>3105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40"/>
        <v>21910</v>
      </c>
      <c r="AF100" s="2">
        <f t="shared" si="41"/>
        <v>0.73306193660947949</v>
      </c>
      <c r="AG100" s="2">
        <f t="shared" si="42"/>
        <v>0.78126219908913463</v>
      </c>
      <c r="AH100" s="2">
        <f t="shared" si="43"/>
        <v>0.65692998052662777</v>
      </c>
      <c r="AI100" s="2">
        <f t="shared" si="44"/>
        <v>0.61351511558980443</v>
      </c>
      <c r="AJ100" s="2" t="str">
        <f t="shared" si="45"/>
        <v/>
      </c>
      <c r="AK100" s="2" t="str">
        <f t="shared" si="46"/>
        <v/>
      </c>
      <c r="AL100" s="2" t="str">
        <f t="shared" si="47"/>
        <v/>
      </c>
      <c r="AM100" s="2" t="str">
        <f t="shared" si="48"/>
        <v/>
      </c>
      <c r="AN100" s="2" t="str">
        <f t="shared" si="49"/>
        <v/>
      </c>
      <c r="AO100" s="2" t="str">
        <f t="shared" si="50"/>
        <v/>
      </c>
      <c r="AP100" s="2" t="str">
        <f t="shared" si="51"/>
        <v/>
      </c>
      <c r="AQ100" s="2" t="str">
        <f t="shared" si="52"/>
        <v/>
      </c>
      <c r="AR100" s="2">
        <f t="shared" si="53"/>
        <v>0.69699379672339745</v>
      </c>
      <c r="AT100" s="2" t="str">
        <f t="shared" si="56"/>
        <v/>
      </c>
      <c r="AU100" s="2" t="str">
        <f t="shared" si="57"/>
        <v/>
      </c>
      <c r="AV100" s="143">
        <f t="shared" si="58"/>
        <v>-4.3414864936823339E-2</v>
      </c>
      <c r="AW100" s="143" t="str">
        <f t="shared" si="59"/>
        <v/>
      </c>
      <c r="AX100" s="143" t="str">
        <f t="shared" si="60"/>
        <v/>
      </c>
      <c r="AY100" s="143" t="str">
        <f t="shared" si="61"/>
        <v/>
      </c>
      <c r="AZ100" s="143" t="str">
        <f t="shared" si="62"/>
        <v/>
      </c>
      <c r="BA100" s="143" t="str">
        <f t="shared" si="63"/>
        <v/>
      </c>
      <c r="BB100" s="143" t="str">
        <f t="shared" si="64"/>
        <v/>
      </c>
      <c r="BC100" s="143" t="str">
        <f t="shared" si="65"/>
        <v/>
      </c>
      <c r="BD100" s="143" t="str">
        <f t="shared" si="66"/>
        <v/>
      </c>
      <c r="BF100" s="9">
        <f t="shared" si="54"/>
        <v>2.952760766965526E-5</v>
      </c>
      <c r="BG100" s="9">
        <f t="shared" si="55"/>
        <v>0.97588166272829313</v>
      </c>
    </row>
    <row r="101" spans="2:59" x14ac:dyDescent="0.35">
      <c r="B101" s="3" t="s">
        <v>175</v>
      </c>
      <c r="D101" s="141">
        <v>142236</v>
      </c>
      <c r="E101" s="141">
        <v>84267</v>
      </c>
      <c r="F101" s="141">
        <v>123877</v>
      </c>
      <c r="G101" s="141">
        <v>86991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39"/>
        <v>437371</v>
      </c>
      <c r="R101" s="141">
        <v>90390</v>
      </c>
      <c r="S101" s="141">
        <v>71762</v>
      </c>
      <c r="T101" s="141">
        <v>92487</v>
      </c>
      <c r="U101" s="141">
        <v>67561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40"/>
        <v>322200</v>
      </c>
      <c r="AF101" s="2">
        <f t="shared" si="41"/>
        <v>0.63549312410360248</v>
      </c>
      <c r="AG101" s="2">
        <f t="shared" si="42"/>
        <v>0.85160264397688301</v>
      </c>
      <c r="AH101" s="2">
        <f t="shared" si="43"/>
        <v>0.74660348571566959</v>
      </c>
      <c r="AI101" s="2">
        <f t="shared" si="44"/>
        <v>0.77664356082813168</v>
      </c>
      <c r="AJ101" s="2" t="str">
        <f t="shared" si="45"/>
        <v/>
      </c>
      <c r="AK101" s="2" t="str">
        <f t="shared" si="46"/>
        <v/>
      </c>
      <c r="AL101" s="2" t="str">
        <f t="shared" si="47"/>
        <v/>
      </c>
      <c r="AM101" s="2" t="str">
        <f t="shared" si="48"/>
        <v/>
      </c>
      <c r="AN101" s="2" t="str">
        <f t="shared" si="49"/>
        <v/>
      </c>
      <c r="AO101" s="2" t="str">
        <f t="shared" si="50"/>
        <v/>
      </c>
      <c r="AP101" s="2" t="str">
        <f t="shared" si="51"/>
        <v/>
      </c>
      <c r="AQ101" s="2" t="str">
        <f t="shared" si="52"/>
        <v/>
      </c>
      <c r="AR101" s="2">
        <f t="shared" si="53"/>
        <v>0.73667435655313229</v>
      </c>
      <c r="AT101" s="2" t="str">
        <f t="shared" si="56"/>
        <v/>
      </c>
      <c r="AU101" s="2" t="str">
        <f t="shared" si="57"/>
        <v/>
      </c>
      <c r="AV101" s="143">
        <f t="shared" si="58"/>
        <v>3.0040075112462095E-2</v>
      </c>
      <c r="AW101" s="143" t="str">
        <f t="shared" si="59"/>
        <v/>
      </c>
      <c r="AX101" s="143" t="str">
        <f t="shared" si="60"/>
        <v/>
      </c>
      <c r="AY101" s="143" t="str">
        <f t="shared" si="61"/>
        <v/>
      </c>
      <c r="AZ101" s="143" t="str">
        <f t="shared" si="62"/>
        <v/>
      </c>
      <c r="BA101" s="143" t="str">
        <f t="shared" si="63"/>
        <v/>
      </c>
      <c r="BB101" s="143" t="str">
        <f t="shared" si="64"/>
        <v/>
      </c>
      <c r="BC101" s="143" t="str">
        <f t="shared" si="65"/>
        <v/>
      </c>
      <c r="BD101" s="143" t="str">
        <f t="shared" si="66"/>
        <v/>
      </c>
      <c r="BF101" s="9">
        <f t="shared" si="54"/>
        <v>4.3422159704075423E-4</v>
      </c>
      <c r="BG101" s="9">
        <f t="shared" si="55"/>
        <v>0.97631588432533389</v>
      </c>
    </row>
    <row r="102" spans="2:59" x14ac:dyDescent="0.35">
      <c r="B102" s="3" t="s">
        <v>215</v>
      </c>
      <c r="D102" s="141">
        <v>94469</v>
      </c>
      <c r="E102" s="141">
        <v>89727</v>
      </c>
      <c r="F102" s="141">
        <v>-50730</v>
      </c>
      <c r="G102" s="141">
        <v>107985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39"/>
        <v>241451</v>
      </c>
      <c r="R102" s="141">
        <v>72397</v>
      </c>
      <c r="S102" s="141">
        <v>56830</v>
      </c>
      <c r="T102" s="141">
        <v>-38545</v>
      </c>
      <c r="U102" s="141">
        <v>59370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40"/>
        <v>150052</v>
      </c>
      <c r="AF102" s="2">
        <f t="shared" si="41"/>
        <v>0.76635721771163023</v>
      </c>
      <c r="AG102" s="2">
        <f t="shared" si="42"/>
        <v>0.63336565359367858</v>
      </c>
      <c r="AH102" s="2">
        <f t="shared" si="43"/>
        <v>0.75980682042184111</v>
      </c>
      <c r="AI102" s="2">
        <f t="shared" si="44"/>
        <v>0.54979858313654673</v>
      </c>
      <c r="AJ102" s="2" t="str">
        <f t="shared" si="45"/>
        <v/>
      </c>
      <c r="AK102" s="2" t="str">
        <f t="shared" si="46"/>
        <v/>
      </c>
      <c r="AL102" s="2" t="str">
        <f t="shared" si="47"/>
        <v/>
      </c>
      <c r="AM102" s="2" t="str">
        <f t="shared" si="48"/>
        <v/>
      </c>
      <c r="AN102" s="2" t="str">
        <f t="shared" si="49"/>
        <v/>
      </c>
      <c r="AO102" s="2" t="str">
        <f t="shared" si="50"/>
        <v/>
      </c>
      <c r="AP102" s="2" t="str">
        <f t="shared" si="51"/>
        <v/>
      </c>
      <c r="AQ102" s="2" t="str">
        <f t="shared" si="52"/>
        <v/>
      </c>
      <c r="AR102" s="2">
        <f t="shared" si="53"/>
        <v>0.62145942655031461</v>
      </c>
      <c r="AT102" s="2" t="str">
        <f t="shared" si="56"/>
        <v/>
      </c>
      <c r="AU102" s="2" t="str">
        <f t="shared" si="57"/>
        <v/>
      </c>
      <c r="AV102" s="143">
        <f t="shared" si="58"/>
        <v>-0.21000823728529439</v>
      </c>
      <c r="AW102" s="143" t="str">
        <f t="shared" si="59"/>
        <v/>
      </c>
      <c r="AX102" s="143" t="str">
        <f t="shared" si="60"/>
        <v/>
      </c>
      <c r="AY102" s="143" t="str">
        <f t="shared" si="61"/>
        <v/>
      </c>
      <c r="AZ102" s="143" t="str">
        <f t="shared" si="62"/>
        <v/>
      </c>
      <c r="BA102" s="143" t="str">
        <f t="shared" si="63"/>
        <v/>
      </c>
      <c r="BB102" s="143" t="str">
        <f t="shared" si="64"/>
        <v/>
      </c>
      <c r="BC102" s="143" t="str">
        <f t="shared" si="65"/>
        <v/>
      </c>
      <c r="BD102" s="143" t="str">
        <f t="shared" si="66"/>
        <v/>
      </c>
      <c r="BF102" s="9">
        <f t="shared" si="54"/>
        <v>2.0222166070502562E-4</v>
      </c>
      <c r="BG102" s="9">
        <f t="shared" si="55"/>
        <v>0.97651810598603894</v>
      </c>
    </row>
    <row r="103" spans="2:59" x14ac:dyDescent="0.35">
      <c r="B103" s="3" t="s">
        <v>200</v>
      </c>
      <c r="D103" s="141">
        <v>146330</v>
      </c>
      <c r="E103" s="141">
        <v>170281</v>
      </c>
      <c r="F103" s="141">
        <v>201774</v>
      </c>
      <c r="G103" s="141">
        <v>172522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39"/>
        <v>690907</v>
      </c>
      <c r="R103" s="141">
        <v>116089</v>
      </c>
      <c r="S103" s="141">
        <v>113669</v>
      </c>
      <c r="T103" s="141">
        <v>158833</v>
      </c>
      <c r="U103" s="141">
        <v>107460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40"/>
        <v>496051</v>
      </c>
      <c r="AF103" s="2">
        <f t="shared" si="41"/>
        <v>0.79333697806328163</v>
      </c>
      <c r="AG103" s="2">
        <f t="shared" si="42"/>
        <v>0.66753777579412854</v>
      </c>
      <c r="AH103" s="2">
        <f t="shared" si="43"/>
        <v>0.78718268954374693</v>
      </c>
      <c r="AI103" s="2">
        <f t="shared" si="44"/>
        <v>0.62287708234312145</v>
      </c>
      <c r="AJ103" s="2" t="str">
        <f t="shared" si="45"/>
        <v/>
      </c>
      <c r="AK103" s="2" t="str">
        <f t="shared" si="46"/>
        <v/>
      </c>
      <c r="AL103" s="2" t="str">
        <f t="shared" si="47"/>
        <v/>
      </c>
      <c r="AM103" s="2" t="str">
        <f t="shared" si="48"/>
        <v/>
      </c>
      <c r="AN103" s="2" t="str">
        <f t="shared" si="49"/>
        <v/>
      </c>
      <c r="AO103" s="2" t="str">
        <f t="shared" si="50"/>
        <v/>
      </c>
      <c r="AP103" s="2" t="str">
        <f t="shared" si="51"/>
        <v/>
      </c>
      <c r="AQ103" s="2" t="str">
        <f t="shared" si="52"/>
        <v/>
      </c>
      <c r="AR103" s="2">
        <f t="shared" si="53"/>
        <v>0.71797072543772167</v>
      </c>
      <c r="AT103" s="2" t="str">
        <f t="shared" si="56"/>
        <v/>
      </c>
      <c r="AU103" s="2" t="str">
        <f t="shared" si="57"/>
        <v/>
      </c>
      <c r="AV103" s="143">
        <f t="shared" si="58"/>
        <v>-0.16430560720062548</v>
      </c>
      <c r="AW103" s="143" t="str">
        <f t="shared" si="59"/>
        <v/>
      </c>
      <c r="AX103" s="143" t="str">
        <f t="shared" si="60"/>
        <v/>
      </c>
      <c r="AY103" s="143" t="str">
        <f t="shared" si="61"/>
        <v/>
      </c>
      <c r="AZ103" s="143" t="str">
        <f t="shared" si="62"/>
        <v/>
      </c>
      <c r="BA103" s="143" t="str">
        <f t="shared" si="63"/>
        <v/>
      </c>
      <c r="BB103" s="143" t="str">
        <f t="shared" si="64"/>
        <v/>
      </c>
      <c r="BC103" s="143" t="str">
        <f t="shared" si="65"/>
        <v/>
      </c>
      <c r="BD103" s="143" t="str">
        <f t="shared" si="66"/>
        <v/>
      </c>
      <c r="BF103" s="9">
        <f t="shared" si="54"/>
        <v>6.6851662766500056E-4</v>
      </c>
      <c r="BG103" s="9">
        <f t="shared" si="55"/>
        <v>0.97718662261370393</v>
      </c>
    </row>
    <row r="104" spans="2:59" x14ac:dyDescent="0.35">
      <c r="B104" s="3" t="s">
        <v>167</v>
      </c>
      <c r="D104" s="141">
        <v>79721</v>
      </c>
      <c r="E104" s="141">
        <v>75368</v>
      </c>
      <c r="F104" s="141">
        <v>89384</v>
      </c>
      <c r="G104" s="141">
        <v>51674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39"/>
        <v>296147</v>
      </c>
      <c r="R104" s="141">
        <v>60187</v>
      </c>
      <c r="S104" s="141">
        <v>52371</v>
      </c>
      <c r="T104" s="141">
        <v>63186</v>
      </c>
      <c r="U104" s="141">
        <v>26819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40"/>
        <v>202563</v>
      </c>
      <c r="AF104" s="2">
        <f t="shared" si="41"/>
        <v>0.75497045947742758</v>
      </c>
      <c r="AG104" s="2">
        <f t="shared" si="42"/>
        <v>0.69487050206984402</v>
      </c>
      <c r="AH104" s="2">
        <f t="shared" si="43"/>
        <v>0.70690503893314238</v>
      </c>
      <c r="AI104" s="2">
        <f t="shared" si="44"/>
        <v>0.51900375430584045</v>
      </c>
      <c r="AJ104" s="2" t="str">
        <f t="shared" si="45"/>
        <v/>
      </c>
      <c r="AK104" s="2" t="str">
        <f t="shared" si="46"/>
        <v/>
      </c>
      <c r="AL104" s="2" t="str">
        <f t="shared" si="47"/>
        <v/>
      </c>
      <c r="AM104" s="2" t="str">
        <f t="shared" si="48"/>
        <v/>
      </c>
      <c r="AN104" s="2" t="str">
        <f t="shared" si="49"/>
        <v/>
      </c>
      <c r="AO104" s="2" t="str">
        <f t="shared" si="50"/>
        <v/>
      </c>
      <c r="AP104" s="2" t="str">
        <f t="shared" si="51"/>
        <v/>
      </c>
      <c r="AQ104" s="2" t="str">
        <f t="shared" si="52"/>
        <v/>
      </c>
      <c r="AR104" s="2">
        <f t="shared" si="53"/>
        <v>0.68399477286617794</v>
      </c>
      <c r="AT104" s="2" t="str">
        <f t="shared" si="56"/>
        <v/>
      </c>
      <c r="AU104" s="2" t="str">
        <f t="shared" si="57"/>
        <v/>
      </c>
      <c r="AV104" s="143">
        <f t="shared" si="58"/>
        <v>-0.18790128462730193</v>
      </c>
      <c r="AW104" s="143" t="str">
        <f t="shared" si="59"/>
        <v/>
      </c>
      <c r="AX104" s="143" t="str">
        <f t="shared" si="60"/>
        <v/>
      </c>
      <c r="AY104" s="143" t="str">
        <f t="shared" si="61"/>
        <v/>
      </c>
      <c r="AZ104" s="143" t="str">
        <f t="shared" si="62"/>
        <v/>
      </c>
      <c r="BA104" s="143" t="str">
        <f t="shared" si="63"/>
        <v/>
      </c>
      <c r="BB104" s="143" t="str">
        <f t="shared" si="64"/>
        <v/>
      </c>
      <c r="BC104" s="143" t="str">
        <f t="shared" si="65"/>
        <v/>
      </c>
      <c r="BD104" s="143" t="str">
        <f t="shared" si="66"/>
        <v/>
      </c>
      <c r="BF104" s="9">
        <f t="shared" si="54"/>
        <v>2.7298953867587307E-4</v>
      </c>
      <c r="BG104" s="9">
        <f t="shared" si="55"/>
        <v>0.97745961215237975</v>
      </c>
    </row>
    <row r="105" spans="2:59" x14ac:dyDescent="0.35">
      <c r="B105" s="3" t="s">
        <v>242</v>
      </c>
      <c r="D105" s="141">
        <v>61564</v>
      </c>
      <c r="E105" s="141">
        <v>36858</v>
      </c>
      <c r="F105" s="141">
        <v>46539</v>
      </c>
      <c r="G105" s="141">
        <v>62902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39"/>
        <v>207863</v>
      </c>
      <c r="R105" s="141">
        <v>50831</v>
      </c>
      <c r="S105" s="141">
        <v>24340</v>
      </c>
      <c r="T105" s="141">
        <v>29252</v>
      </c>
      <c r="U105" s="141">
        <v>38453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40"/>
        <v>142876</v>
      </c>
      <c r="AF105" s="2">
        <f t="shared" si="41"/>
        <v>0.82566110064323306</v>
      </c>
      <c r="AG105" s="2">
        <f t="shared" si="42"/>
        <v>0.66037223940528511</v>
      </c>
      <c r="AH105" s="2">
        <f t="shared" si="43"/>
        <v>0.62854809944347756</v>
      </c>
      <c r="AI105" s="2">
        <f t="shared" si="44"/>
        <v>0.61131601538901781</v>
      </c>
      <c r="AJ105" s="2" t="str">
        <f t="shared" si="45"/>
        <v/>
      </c>
      <c r="AK105" s="2" t="str">
        <f t="shared" si="46"/>
        <v/>
      </c>
      <c r="AL105" s="2" t="str">
        <f t="shared" si="47"/>
        <v/>
      </c>
      <c r="AM105" s="2" t="str">
        <f t="shared" si="48"/>
        <v/>
      </c>
      <c r="AN105" s="2" t="str">
        <f t="shared" si="49"/>
        <v/>
      </c>
      <c r="AO105" s="2" t="str">
        <f t="shared" si="50"/>
        <v/>
      </c>
      <c r="AP105" s="2" t="str">
        <f t="shared" si="51"/>
        <v/>
      </c>
      <c r="AQ105" s="2" t="str">
        <f t="shared" si="52"/>
        <v/>
      </c>
      <c r="AR105" s="2">
        <f t="shared" si="53"/>
        <v>0.68735657620644364</v>
      </c>
      <c r="AT105" s="2" t="str">
        <f t="shared" si="56"/>
        <v/>
      </c>
      <c r="AU105" s="2" t="str">
        <f t="shared" si="57"/>
        <v/>
      </c>
      <c r="AV105" s="143">
        <f t="shared" si="58"/>
        <v>-1.7232084054459751E-2</v>
      </c>
      <c r="AW105" s="143" t="str">
        <f t="shared" si="59"/>
        <v/>
      </c>
      <c r="AX105" s="143" t="str">
        <f t="shared" si="60"/>
        <v/>
      </c>
      <c r="AY105" s="143" t="str">
        <f t="shared" si="61"/>
        <v/>
      </c>
      <c r="AZ105" s="143" t="str">
        <f t="shared" si="62"/>
        <v/>
      </c>
      <c r="BA105" s="143" t="str">
        <f t="shared" si="63"/>
        <v/>
      </c>
      <c r="BB105" s="143" t="str">
        <f t="shared" si="64"/>
        <v/>
      </c>
      <c r="BC105" s="143" t="str">
        <f t="shared" si="65"/>
        <v/>
      </c>
      <c r="BD105" s="143" t="str">
        <f t="shared" si="66"/>
        <v/>
      </c>
      <c r="BF105" s="9">
        <f t="shared" si="54"/>
        <v>1.9255072904653879E-4</v>
      </c>
      <c r="BG105" s="9">
        <f t="shared" si="55"/>
        <v>0.97765216288142631</v>
      </c>
    </row>
    <row r="106" spans="2:59" x14ac:dyDescent="0.35">
      <c r="B106" s="3" t="s">
        <v>205</v>
      </c>
      <c r="D106" s="141">
        <v>63183</v>
      </c>
      <c r="E106" s="141">
        <v>144139</v>
      </c>
      <c r="F106" s="141">
        <v>138461</v>
      </c>
      <c r="G106" s="141">
        <v>85066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39"/>
        <v>430849</v>
      </c>
      <c r="R106" s="141">
        <v>44581</v>
      </c>
      <c r="S106" s="141">
        <v>108653</v>
      </c>
      <c r="T106" s="141">
        <v>99876</v>
      </c>
      <c r="U106" s="141">
        <v>65817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40"/>
        <v>318927</v>
      </c>
      <c r="AF106" s="2">
        <f t="shared" si="41"/>
        <v>0.70558536315148057</v>
      </c>
      <c r="AG106" s="2">
        <f t="shared" si="42"/>
        <v>0.75380708899048832</v>
      </c>
      <c r="AH106" s="2">
        <f t="shared" si="43"/>
        <v>0.72132947183683493</v>
      </c>
      <c r="AI106" s="2">
        <f t="shared" si="44"/>
        <v>0.77371687865892369</v>
      </c>
      <c r="AJ106" s="2" t="str">
        <f t="shared" si="45"/>
        <v/>
      </c>
      <c r="AK106" s="2" t="str">
        <f t="shared" si="46"/>
        <v/>
      </c>
      <c r="AL106" s="2" t="str">
        <f t="shared" si="47"/>
        <v/>
      </c>
      <c r="AM106" s="2" t="str">
        <f t="shared" si="48"/>
        <v/>
      </c>
      <c r="AN106" s="2" t="str">
        <f t="shared" si="49"/>
        <v/>
      </c>
      <c r="AO106" s="2" t="str">
        <f t="shared" si="50"/>
        <v/>
      </c>
      <c r="AP106" s="2" t="str">
        <f t="shared" si="51"/>
        <v/>
      </c>
      <c r="AQ106" s="2" t="str">
        <f t="shared" si="52"/>
        <v/>
      </c>
      <c r="AR106" s="2">
        <f t="shared" si="53"/>
        <v>0.74022917541876621</v>
      </c>
      <c r="AT106" s="2" t="str">
        <f t="shared" si="56"/>
        <v/>
      </c>
      <c r="AU106" s="2" t="str">
        <f t="shared" si="57"/>
        <v/>
      </c>
      <c r="AV106" s="143">
        <f t="shared" si="58"/>
        <v>5.2387406822088756E-2</v>
      </c>
      <c r="AW106" s="143" t="str">
        <f t="shared" si="59"/>
        <v/>
      </c>
      <c r="AX106" s="143" t="str">
        <f t="shared" si="60"/>
        <v/>
      </c>
      <c r="AY106" s="143" t="str">
        <f t="shared" si="61"/>
        <v/>
      </c>
      <c r="AZ106" s="143" t="str">
        <f t="shared" si="62"/>
        <v/>
      </c>
      <c r="BA106" s="143" t="str">
        <f t="shared" si="63"/>
        <v/>
      </c>
      <c r="BB106" s="143" t="str">
        <f t="shared" si="64"/>
        <v/>
      </c>
      <c r="BC106" s="143" t="str">
        <f t="shared" si="65"/>
        <v/>
      </c>
      <c r="BD106" s="143" t="str">
        <f t="shared" si="66"/>
        <v/>
      </c>
      <c r="BF106" s="9">
        <f t="shared" si="54"/>
        <v>4.2981064953264006E-4</v>
      </c>
      <c r="BG106" s="9">
        <f t="shared" si="55"/>
        <v>0.97808197353095894</v>
      </c>
    </row>
    <row r="107" spans="2:59" x14ac:dyDescent="0.35">
      <c r="B107" s="3" t="s">
        <v>234</v>
      </c>
      <c r="D107" s="141">
        <v>7095</v>
      </c>
      <c r="E107" s="141">
        <v>13100</v>
      </c>
      <c r="F107" s="141">
        <v>13965</v>
      </c>
      <c r="G107" s="141">
        <v>25269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39"/>
        <v>59429</v>
      </c>
      <c r="R107" s="141">
        <v>2701</v>
      </c>
      <c r="S107" s="141">
        <v>4805</v>
      </c>
      <c r="T107" s="141">
        <v>8926</v>
      </c>
      <c r="U107" s="141">
        <v>21270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40"/>
        <v>37702</v>
      </c>
      <c r="AF107" s="2">
        <f t="shared" si="41"/>
        <v>0.38069062720225511</v>
      </c>
      <c r="AG107" s="2">
        <f t="shared" si="42"/>
        <v>0.36679389312977101</v>
      </c>
      <c r="AH107" s="2">
        <f t="shared" si="43"/>
        <v>0.63916935195130686</v>
      </c>
      <c r="AI107" s="2">
        <f t="shared" si="44"/>
        <v>0.84174284696663892</v>
      </c>
      <c r="AJ107" s="2" t="str">
        <f t="shared" si="45"/>
        <v/>
      </c>
      <c r="AK107" s="2" t="str">
        <f t="shared" si="46"/>
        <v/>
      </c>
      <c r="AL107" s="2" t="str">
        <f t="shared" si="47"/>
        <v/>
      </c>
      <c r="AM107" s="2" t="str">
        <f t="shared" si="48"/>
        <v/>
      </c>
      <c r="AN107" s="2" t="str">
        <f t="shared" si="49"/>
        <v/>
      </c>
      <c r="AO107" s="2" t="str">
        <f t="shared" si="50"/>
        <v/>
      </c>
      <c r="AP107" s="2" t="str">
        <f t="shared" si="51"/>
        <v/>
      </c>
      <c r="AQ107" s="2" t="str">
        <f t="shared" si="52"/>
        <v/>
      </c>
      <c r="AR107" s="2">
        <f t="shared" si="53"/>
        <v>0.63440407881673933</v>
      </c>
      <c r="AT107" s="2" t="str">
        <f t="shared" si="56"/>
        <v/>
      </c>
      <c r="AU107" s="2" t="str">
        <f t="shared" si="57"/>
        <v/>
      </c>
      <c r="AV107" s="143">
        <f t="shared" si="58"/>
        <v>0.20257349501533206</v>
      </c>
      <c r="AW107" s="143" t="str">
        <f t="shared" si="59"/>
        <v/>
      </c>
      <c r="AX107" s="143" t="str">
        <f t="shared" si="60"/>
        <v/>
      </c>
      <c r="AY107" s="143" t="str">
        <f t="shared" si="61"/>
        <v/>
      </c>
      <c r="AZ107" s="143" t="str">
        <f t="shared" si="62"/>
        <v/>
      </c>
      <c r="BA107" s="143" t="str">
        <f t="shared" si="63"/>
        <v/>
      </c>
      <c r="BB107" s="143" t="str">
        <f t="shared" si="64"/>
        <v/>
      </c>
      <c r="BC107" s="143" t="str">
        <f t="shared" si="65"/>
        <v/>
      </c>
      <c r="BD107" s="143" t="str">
        <f t="shared" si="66"/>
        <v/>
      </c>
      <c r="BF107" s="9">
        <f t="shared" si="54"/>
        <v>5.0810126168933939E-5</v>
      </c>
      <c r="BG107" s="9">
        <f t="shared" si="55"/>
        <v>0.97813278365712786</v>
      </c>
    </row>
    <row r="108" spans="2:59" x14ac:dyDescent="0.35">
      <c r="B108" s="3" t="s">
        <v>209</v>
      </c>
      <c r="D108" s="141">
        <v>30779</v>
      </c>
      <c r="E108" s="141">
        <v>50675</v>
      </c>
      <c r="F108" s="141">
        <v>72060</v>
      </c>
      <c r="G108" s="141">
        <v>31026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39"/>
        <v>184540</v>
      </c>
      <c r="R108" s="141">
        <v>18656</v>
      </c>
      <c r="S108" s="141">
        <v>35760</v>
      </c>
      <c r="T108" s="141">
        <v>54840</v>
      </c>
      <c r="U108" s="141">
        <v>21669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40"/>
        <v>130925</v>
      </c>
      <c r="AF108" s="2">
        <f t="shared" si="41"/>
        <v>0.60612755450144584</v>
      </c>
      <c r="AG108" s="2">
        <f t="shared" si="42"/>
        <v>0.70567340897878639</v>
      </c>
      <c r="AH108" s="2">
        <f t="shared" si="43"/>
        <v>0.76103247293921727</v>
      </c>
      <c r="AI108" s="2">
        <f t="shared" si="44"/>
        <v>0.69841423322374785</v>
      </c>
      <c r="AJ108" s="2" t="str">
        <f t="shared" si="45"/>
        <v/>
      </c>
      <c r="AK108" s="2" t="str">
        <f t="shared" si="46"/>
        <v/>
      </c>
      <c r="AL108" s="2" t="str">
        <f t="shared" si="47"/>
        <v/>
      </c>
      <c r="AM108" s="2" t="str">
        <f t="shared" si="48"/>
        <v/>
      </c>
      <c r="AN108" s="2" t="str">
        <f t="shared" si="49"/>
        <v/>
      </c>
      <c r="AO108" s="2" t="str">
        <f t="shared" si="50"/>
        <v/>
      </c>
      <c r="AP108" s="2" t="str">
        <f t="shared" si="51"/>
        <v/>
      </c>
      <c r="AQ108" s="2" t="str">
        <f t="shared" si="52"/>
        <v/>
      </c>
      <c r="AR108" s="2">
        <f t="shared" si="53"/>
        <v>0.70946678226942672</v>
      </c>
      <c r="AT108" s="2" t="str">
        <f t="shared" si="56"/>
        <v/>
      </c>
      <c r="AU108" s="2" t="str">
        <f t="shared" si="57"/>
        <v/>
      </c>
      <c r="AV108" s="143">
        <f t="shared" si="58"/>
        <v>-6.2618239715469426E-2</v>
      </c>
      <c r="AW108" s="143" t="str">
        <f t="shared" si="59"/>
        <v/>
      </c>
      <c r="AX108" s="143" t="str">
        <f t="shared" si="60"/>
        <v/>
      </c>
      <c r="AY108" s="143" t="str">
        <f t="shared" si="61"/>
        <v/>
      </c>
      <c r="AZ108" s="143" t="str">
        <f t="shared" si="62"/>
        <v/>
      </c>
      <c r="BA108" s="143" t="str">
        <f t="shared" si="63"/>
        <v/>
      </c>
      <c r="BB108" s="143" t="str">
        <f t="shared" si="64"/>
        <v/>
      </c>
      <c r="BC108" s="143" t="str">
        <f t="shared" si="65"/>
        <v/>
      </c>
      <c r="BD108" s="143" t="str">
        <f t="shared" si="66"/>
        <v/>
      </c>
      <c r="BF108" s="9">
        <f t="shared" si="54"/>
        <v>1.7644463871061683E-4</v>
      </c>
      <c r="BG108" s="9">
        <f t="shared" si="55"/>
        <v>0.97830922829583844</v>
      </c>
    </row>
    <row r="109" spans="2:59" x14ac:dyDescent="0.35">
      <c r="B109" s="3" t="s">
        <v>188</v>
      </c>
      <c r="D109" s="141">
        <v>146077</v>
      </c>
      <c r="E109" s="141">
        <v>149484</v>
      </c>
      <c r="F109" s="141">
        <v>180749</v>
      </c>
      <c r="G109" s="141">
        <v>188016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39"/>
        <v>664326</v>
      </c>
      <c r="R109" s="141">
        <v>133193</v>
      </c>
      <c r="S109" s="141">
        <v>131418</v>
      </c>
      <c r="T109" s="141">
        <v>141866</v>
      </c>
      <c r="U109" s="141">
        <v>175290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40"/>
        <v>581767</v>
      </c>
      <c r="AF109" s="2">
        <f t="shared" si="41"/>
        <v>0.91179994112693985</v>
      </c>
      <c r="AG109" s="2">
        <f t="shared" si="42"/>
        <v>0.87914425624147063</v>
      </c>
      <c r="AH109" s="2">
        <f t="shared" si="43"/>
        <v>0.7848784778892276</v>
      </c>
      <c r="AI109" s="2">
        <f t="shared" si="44"/>
        <v>0.93231427112586163</v>
      </c>
      <c r="AJ109" s="2" t="str">
        <f t="shared" si="45"/>
        <v/>
      </c>
      <c r="AK109" s="2" t="str">
        <f t="shared" si="46"/>
        <v/>
      </c>
      <c r="AL109" s="2" t="str">
        <f t="shared" si="47"/>
        <v/>
      </c>
      <c r="AM109" s="2" t="str">
        <f t="shared" si="48"/>
        <v/>
      </c>
      <c r="AN109" s="2" t="str">
        <f t="shared" si="49"/>
        <v/>
      </c>
      <c r="AO109" s="2" t="str">
        <f t="shared" si="50"/>
        <v/>
      </c>
      <c r="AP109" s="2" t="str">
        <f t="shared" si="51"/>
        <v/>
      </c>
      <c r="AQ109" s="2" t="str">
        <f t="shared" si="52"/>
        <v/>
      </c>
      <c r="AR109" s="2">
        <f t="shared" si="53"/>
        <v>0.87572517107564662</v>
      </c>
      <c r="AT109" s="2" t="str">
        <f t="shared" si="56"/>
        <v/>
      </c>
      <c r="AU109" s="2" t="str">
        <f t="shared" si="57"/>
        <v/>
      </c>
      <c r="AV109" s="143">
        <f t="shared" si="58"/>
        <v>0.14743579323663403</v>
      </c>
      <c r="AW109" s="143" t="str">
        <f t="shared" si="59"/>
        <v/>
      </c>
      <c r="AX109" s="143" t="str">
        <f t="shared" si="60"/>
        <v/>
      </c>
      <c r="AY109" s="143" t="str">
        <f t="shared" si="61"/>
        <v/>
      </c>
      <c r="AZ109" s="143" t="str">
        <f t="shared" si="62"/>
        <v/>
      </c>
      <c r="BA109" s="143" t="str">
        <f t="shared" si="63"/>
        <v/>
      </c>
      <c r="BB109" s="143" t="str">
        <f t="shared" si="64"/>
        <v/>
      </c>
      <c r="BC109" s="143" t="str">
        <f t="shared" si="65"/>
        <v/>
      </c>
      <c r="BD109" s="143" t="str">
        <f t="shared" si="66"/>
        <v/>
      </c>
      <c r="BF109" s="9">
        <f t="shared" si="54"/>
        <v>7.8403412739170848E-4</v>
      </c>
      <c r="BG109" s="9">
        <f t="shared" si="55"/>
        <v>0.97909326242323014</v>
      </c>
    </row>
    <row r="110" spans="2:59" x14ac:dyDescent="0.35">
      <c r="B110" s="3" t="s">
        <v>211</v>
      </c>
      <c r="D110" s="141">
        <v>318301</v>
      </c>
      <c r="E110" s="141">
        <v>226454</v>
      </c>
      <c r="F110" s="141">
        <v>207167</v>
      </c>
      <c r="G110" s="141">
        <v>197835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39"/>
        <v>949757</v>
      </c>
      <c r="R110" s="141">
        <v>245836</v>
      </c>
      <c r="S110" s="141">
        <v>156741</v>
      </c>
      <c r="T110" s="141">
        <v>134059</v>
      </c>
      <c r="U110" s="141">
        <v>151531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40"/>
        <v>688167</v>
      </c>
      <c r="AF110" s="2">
        <f t="shared" si="41"/>
        <v>0.77233813277369534</v>
      </c>
      <c r="AG110" s="2">
        <f t="shared" si="42"/>
        <v>0.69215381490280592</v>
      </c>
      <c r="AH110" s="2">
        <f t="shared" si="43"/>
        <v>0.64710595799524051</v>
      </c>
      <c r="AI110" s="2">
        <f t="shared" si="44"/>
        <v>0.76594636944928851</v>
      </c>
      <c r="AJ110" s="2" t="str">
        <f t="shared" si="45"/>
        <v/>
      </c>
      <c r="AK110" s="2" t="str">
        <f t="shared" si="46"/>
        <v/>
      </c>
      <c r="AL110" s="2" t="str">
        <f t="shared" si="47"/>
        <v/>
      </c>
      <c r="AM110" s="2" t="str">
        <f t="shared" si="48"/>
        <v/>
      </c>
      <c r="AN110" s="2" t="str">
        <f t="shared" si="49"/>
        <v/>
      </c>
      <c r="AO110" s="2" t="str">
        <f t="shared" si="50"/>
        <v/>
      </c>
      <c r="AP110" s="2" t="str">
        <f t="shared" si="51"/>
        <v/>
      </c>
      <c r="AQ110" s="2" t="str">
        <f t="shared" si="52"/>
        <v/>
      </c>
      <c r="AR110" s="2">
        <f t="shared" si="53"/>
        <v>0.72457165359139231</v>
      </c>
      <c r="AT110" s="2" t="str">
        <f t="shared" ref="AT110:AT141" si="67">+IFERROR(AM110-AL110,"")</f>
        <v/>
      </c>
      <c r="AU110" s="2" t="str">
        <f t="shared" ref="AU110:AU141" si="68">+IFERROR(AN110-AM110,"")</f>
        <v/>
      </c>
      <c r="AV110" s="143">
        <f t="shared" ref="AV110:AV141" si="69">+IFERROR(AI110-AH110,"")</f>
        <v>0.118840411454048</v>
      </c>
      <c r="AW110" s="143" t="str">
        <f t="shared" ref="AW110:AW141" si="70">+IFERROR(AJ110-AI110,"")</f>
        <v/>
      </c>
      <c r="AX110" s="143" t="str">
        <f t="shared" ref="AX110:AX141" si="71">+IFERROR(AK110-AJ110,"")</f>
        <v/>
      </c>
      <c r="AY110" s="143" t="str">
        <f t="shared" ref="AY110:AY141" si="72">+IFERROR(AL110-AK110,"")</f>
        <v/>
      </c>
      <c r="AZ110" s="143" t="str">
        <f t="shared" ref="AZ110:AZ141" si="73">+IFERROR(AM110-AL110,"")</f>
        <v/>
      </c>
      <c r="BA110" s="143" t="str">
        <f t="shared" ref="BA110:BA141" si="74">+IFERROR(AN110-AM110,"")</f>
        <v/>
      </c>
      <c r="BB110" s="143" t="str">
        <f t="shared" ref="BB110:BB141" si="75">+IFERROR(AO110-AN110,"")</f>
        <v/>
      </c>
      <c r="BC110" s="143" t="str">
        <f t="shared" ref="BC110:BC141" si="76">+IFERROR(AP110-AO110,"")</f>
        <v/>
      </c>
      <c r="BD110" s="143" t="str">
        <f t="shared" ref="BD110:BD141" si="77">+IFERROR(AQ110-AP110,"")</f>
        <v/>
      </c>
      <c r="BF110" s="9">
        <f t="shared" si="54"/>
        <v>9.2742698252869249E-4</v>
      </c>
      <c r="BG110" s="9">
        <f t="shared" si="55"/>
        <v>0.98002068940575882</v>
      </c>
    </row>
    <row r="111" spans="2:59" x14ac:dyDescent="0.35">
      <c r="B111" s="3" t="s">
        <v>195</v>
      </c>
      <c r="D111" s="141">
        <v>88319</v>
      </c>
      <c r="E111" s="141">
        <v>74856</v>
      </c>
      <c r="F111" s="141">
        <v>126273</v>
      </c>
      <c r="G111" s="141">
        <v>66961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39"/>
        <v>356409</v>
      </c>
      <c r="R111" s="141">
        <v>56382</v>
      </c>
      <c r="S111" s="141">
        <v>56284</v>
      </c>
      <c r="T111" s="141">
        <v>84279</v>
      </c>
      <c r="U111" s="141">
        <v>46644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40"/>
        <v>243589</v>
      </c>
      <c r="AF111" s="2">
        <f t="shared" si="41"/>
        <v>0.63839038032586415</v>
      </c>
      <c r="AG111" s="2">
        <f t="shared" si="42"/>
        <v>0.75189697552634394</v>
      </c>
      <c r="AH111" s="2">
        <f t="shared" si="43"/>
        <v>0.66743484355325366</v>
      </c>
      <c r="AI111" s="2">
        <f t="shared" si="44"/>
        <v>0.69658457908334703</v>
      </c>
      <c r="AJ111" s="2" t="str">
        <f t="shared" si="45"/>
        <v/>
      </c>
      <c r="AK111" s="2" t="str">
        <f t="shared" si="46"/>
        <v/>
      </c>
      <c r="AL111" s="2" t="str">
        <f t="shared" si="47"/>
        <v/>
      </c>
      <c r="AM111" s="2" t="str">
        <f t="shared" si="48"/>
        <v/>
      </c>
      <c r="AN111" s="2" t="str">
        <f t="shared" si="49"/>
        <v/>
      </c>
      <c r="AO111" s="2" t="str">
        <f t="shared" si="50"/>
        <v/>
      </c>
      <c r="AP111" s="2" t="str">
        <f t="shared" si="51"/>
        <v/>
      </c>
      <c r="AQ111" s="2" t="str">
        <f t="shared" si="52"/>
        <v/>
      </c>
      <c r="AR111" s="2">
        <f t="shared" si="53"/>
        <v>0.68345356037586036</v>
      </c>
      <c r="AT111" s="2" t="str">
        <f t="shared" si="67"/>
        <v/>
      </c>
      <c r="AU111" s="2" t="str">
        <f t="shared" si="68"/>
        <v/>
      </c>
      <c r="AV111" s="143">
        <f t="shared" si="69"/>
        <v>2.9149735530093368E-2</v>
      </c>
      <c r="AW111" s="143" t="str">
        <f t="shared" si="70"/>
        <v/>
      </c>
      <c r="AX111" s="143" t="str">
        <f t="shared" si="71"/>
        <v/>
      </c>
      <c r="AY111" s="143" t="str">
        <f t="shared" si="72"/>
        <v/>
      </c>
      <c r="AZ111" s="143" t="str">
        <f t="shared" si="73"/>
        <v/>
      </c>
      <c r="BA111" s="143" t="str">
        <f t="shared" si="74"/>
        <v/>
      </c>
      <c r="BB111" s="143" t="str">
        <f t="shared" si="75"/>
        <v/>
      </c>
      <c r="BC111" s="143" t="str">
        <f t="shared" si="76"/>
        <v/>
      </c>
      <c r="BD111" s="143" t="str">
        <f t="shared" si="77"/>
        <v/>
      </c>
      <c r="BF111" s="9">
        <f t="shared" si="54"/>
        <v>3.2827934389062779E-4</v>
      </c>
      <c r="BG111" s="9">
        <f t="shared" si="55"/>
        <v>0.9803489687496495</v>
      </c>
    </row>
    <row r="112" spans="2:59" x14ac:dyDescent="0.35">
      <c r="B112" s="3" t="s">
        <v>174</v>
      </c>
      <c r="D112" s="141">
        <v>76770</v>
      </c>
      <c r="E112" s="141">
        <v>73036</v>
      </c>
      <c r="F112" s="141">
        <v>57276</v>
      </c>
      <c r="G112" s="141">
        <v>48264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39"/>
        <v>255346</v>
      </c>
      <c r="R112" s="141">
        <v>53416</v>
      </c>
      <c r="S112" s="141">
        <v>61623</v>
      </c>
      <c r="T112" s="141">
        <v>37350</v>
      </c>
      <c r="U112" s="141">
        <v>35592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40"/>
        <v>187981</v>
      </c>
      <c r="AF112" s="2">
        <f t="shared" si="41"/>
        <v>0.69579262732838343</v>
      </c>
      <c r="AG112" s="2">
        <f t="shared" si="42"/>
        <v>0.84373459663727479</v>
      </c>
      <c r="AH112" s="2">
        <f t="shared" si="43"/>
        <v>0.65210559396605905</v>
      </c>
      <c r="AI112" s="2">
        <f t="shared" si="44"/>
        <v>0.7374440576827449</v>
      </c>
      <c r="AJ112" s="2" t="str">
        <f t="shared" si="45"/>
        <v/>
      </c>
      <c r="AK112" s="2" t="str">
        <f t="shared" si="46"/>
        <v/>
      </c>
      <c r="AL112" s="2" t="str">
        <f t="shared" si="47"/>
        <v/>
      </c>
      <c r="AM112" s="2" t="str">
        <f t="shared" si="48"/>
        <v/>
      </c>
      <c r="AN112" s="2" t="str">
        <f t="shared" si="49"/>
        <v/>
      </c>
      <c r="AO112" s="2" t="str">
        <f t="shared" si="50"/>
        <v/>
      </c>
      <c r="AP112" s="2" t="str">
        <f t="shared" si="51"/>
        <v/>
      </c>
      <c r="AQ112" s="2" t="str">
        <f t="shared" si="52"/>
        <v/>
      </c>
      <c r="AR112" s="2">
        <f t="shared" si="53"/>
        <v>0.73618149491278495</v>
      </c>
      <c r="AT112" s="2" t="str">
        <f t="shared" si="67"/>
        <v/>
      </c>
      <c r="AU112" s="2" t="str">
        <f t="shared" si="68"/>
        <v/>
      </c>
      <c r="AV112" s="143">
        <f t="shared" si="69"/>
        <v>8.5338463716685853E-2</v>
      </c>
      <c r="AW112" s="143" t="str">
        <f t="shared" si="70"/>
        <v/>
      </c>
      <c r="AX112" s="143" t="str">
        <f t="shared" si="71"/>
        <v/>
      </c>
      <c r="AY112" s="143" t="str">
        <f t="shared" si="72"/>
        <v/>
      </c>
      <c r="AZ112" s="143" t="str">
        <f t="shared" si="73"/>
        <v/>
      </c>
      <c r="BA112" s="143" t="str">
        <f t="shared" si="74"/>
        <v/>
      </c>
      <c r="BB112" s="143" t="str">
        <f t="shared" si="75"/>
        <v/>
      </c>
      <c r="BC112" s="143" t="str">
        <f t="shared" si="76"/>
        <v/>
      </c>
      <c r="BD112" s="143" t="str">
        <f t="shared" si="77"/>
        <v/>
      </c>
      <c r="BF112" s="9">
        <f t="shared" si="54"/>
        <v>2.5333770960061456E-4</v>
      </c>
      <c r="BG112" s="9">
        <f t="shared" si="55"/>
        <v>0.98060230645925006</v>
      </c>
    </row>
    <row r="113" spans="2:59" x14ac:dyDescent="0.35">
      <c r="B113" s="3" t="s">
        <v>202</v>
      </c>
      <c r="D113" s="141">
        <v>50656</v>
      </c>
      <c r="E113" s="141">
        <v>39844</v>
      </c>
      <c r="F113" s="141">
        <v>77144</v>
      </c>
      <c r="G113" s="141">
        <v>35487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39"/>
        <v>203131</v>
      </c>
      <c r="R113" s="141">
        <v>38881</v>
      </c>
      <c r="S113" s="141">
        <v>29080</v>
      </c>
      <c r="T113" s="141">
        <v>58270</v>
      </c>
      <c r="U113" s="141">
        <v>28388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40"/>
        <v>154619</v>
      </c>
      <c r="AF113" s="2">
        <f t="shared" si="41"/>
        <v>0.7675497473152243</v>
      </c>
      <c r="AG113" s="2">
        <f t="shared" si="42"/>
        <v>0.72984640096375863</v>
      </c>
      <c r="AH113" s="2">
        <f t="shared" si="43"/>
        <v>0.75534066161982782</v>
      </c>
      <c r="AI113" s="2">
        <f t="shared" si="44"/>
        <v>0.79995491306675681</v>
      </c>
      <c r="AJ113" s="2" t="str">
        <f t="shared" si="45"/>
        <v/>
      </c>
      <c r="AK113" s="2" t="str">
        <f t="shared" si="46"/>
        <v/>
      </c>
      <c r="AL113" s="2" t="str">
        <f t="shared" si="47"/>
        <v/>
      </c>
      <c r="AM113" s="2" t="str">
        <f t="shared" si="48"/>
        <v/>
      </c>
      <c r="AN113" s="2" t="str">
        <f t="shared" si="49"/>
        <v/>
      </c>
      <c r="AO113" s="2" t="str">
        <f t="shared" si="50"/>
        <v/>
      </c>
      <c r="AP113" s="2" t="str">
        <f t="shared" si="51"/>
        <v/>
      </c>
      <c r="AQ113" s="2" t="str">
        <f t="shared" si="52"/>
        <v/>
      </c>
      <c r="AR113" s="2">
        <f t="shared" si="53"/>
        <v>0.76117874672009689</v>
      </c>
      <c r="AT113" s="2" t="str">
        <f t="shared" si="67"/>
        <v/>
      </c>
      <c r="AU113" s="2" t="str">
        <f t="shared" si="68"/>
        <v/>
      </c>
      <c r="AV113" s="143">
        <f t="shared" si="69"/>
        <v>4.4614251446928987E-2</v>
      </c>
      <c r="AW113" s="143" t="str">
        <f t="shared" si="70"/>
        <v/>
      </c>
      <c r="AX113" s="143" t="str">
        <f t="shared" si="71"/>
        <v/>
      </c>
      <c r="AY113" s="143" t="str">
        <f t="shared" si="72"/>
        <v/>
      </c>
      <c r="AZ113" s="143" t="str">
        <f t="shared" si="73"/>
        <v/>
      </c>
      <c r="BA113" s="143" t="str">
        <f t="shared" si="74"/>
        <v/>
      </c>
      <c r="BB113" s="143" t="str">
        <f t="shared" si="75"/>
        <v/>
      </c>
      <c r="BC113" s="143" t="str">
        <f t="shared" si="76"/>
        <v/>
      </c>
      <c r="BD113" s="143" t="str">
        <f t="shared" si="77"/>
        <v/>
      </c>
      <c r="BF113" s="9">
        <f t="shared" si="54"/>
        <v>2.0837650252279445E-4</v>
      </c>
      <c r="BG113" s="9">
        <f t="shared" si="55"/>
        <v>0.98081068296177287</v>
      </c>
    </row>
    <row r="114" spans="2:59" x14ac:dyDescent="0.35">
      <c r="B114" s="3" t="s">
        <v>198</v>
      </c>
      <c r="D114" s="141">
        <v>112377</v>
      </c>
      <c r="E114" s="141">
        <v>113089</v>
      </c>
      <c r="F114" s="141">
        <v>200940</v>
      </c>
      <c r="G114" s="141">
        <v>33714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39"/>
        <v>460120</v>
      </c>
      <c r="R114" s="141">
        <v>107194</v>
      </c>
      <c r="S114" s="141">
        <v>106823</v>
      </c>
      <c r="T114" s="141">
        <v>176756</v>
      </c>
      <c r="U114" s="141">
        <v>29621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40"/>
        <v>420394</v>
      </c>
      <c r="AF114" s="2">
        <f t="shared" si="41"/>
        <v>0.95387846267474663</v>
      </c>
      <c r="AG114" s="2">
        <f t="shared" si="42"/>
        <v>0.94459231224964413</v>
      </c>
      <c r="AH114" s="2">
        <f t="shared" si="43"/>
        <v>0.87964566537274813</v>
      </c>
      <c r="AI114" s="2">
        <f t="shared" si="44"/>
        <v>0.8785964287832948</v>
      </c>
      <c r="AJ114" s="2" t="str">
        <f t="shared" si="45"/>
        <v/>
      </c>
      <c r="AK114" s="2" t="str">
        <f t="shared" si="46"/>
        <v/>
      </c>
      <c r="AL114" s="2" t="str">
        <f t="shared" si="47"/>
        <v/>
      </c>
      <c r="AM114" s="2" t="str">
        <f t="shared" si="48"/>
        <v/>
      </c>
      <c r="AN114" s="2" t="str">
        <f t="shared" si="49"/>
        <v/>
      </c>
      <c r="AO114" s="2" t="str">
        <f t="shared" si="50"/>
        <v/>
      </c>
      <c r="AP114" s="2" t="str">
        <f t="shared" si="51"/>
        <v/>
      </c>
      <c r="AQ114" s="2" t="str">
        <f t="shared" si="52"/>
        <v/>
      </c>
      <c r="AR114" s="2">
        <f t="shared" si="53"/>
        <v>0.91366165348170048</v>
      </c>
      <c r="AT114" s="2" t="str">
        <f t="shared" si="67"/>
        <v/>
      </c>
      <c r="AU114" s="2" t="str">
        <f t="shared" si="68"/>
        <v/>
      </c>
      <c r="AV114" s="143">
        <f t="shared" si="69"/>
        <v>-1.0492365894533284E-3</v>
      </c>
      <c r="AW114" s="143" t="str">
        <f t="shared" si="70"/>
        <v/>
      </c>
      <c r="AX114" s="143" t="str">
        <f t="shared" si="71"/>
        <v/>
      </c>
      <c r="AY114" s="143" t="str">
        <f t="shared" si="72"/>
        <v/>
      </c>
      <c r="AZ114" s="143" t="str">
        <f t="shared" si="73"/>
        <v/>
      </c>
      <c r="BA114" s="143" t="str">
        <f t="shared" si="74"/>
        <v/>
      </c>
      <c r="BB114" s="143" t="str">
        <f t="shared" si="75"/>
        <v/>
      </c>
      <c r="BC114" s="143" t="str">
        <f t="shared" si="76"/>
        <v/>
      </c>
      <c r="BD114" s="143" t="str">
        <f t="shared" si="77"/>
        <v/>
      </c>
      <c r="BF114" s="9">
        <f t="shared" si="54"/>
        <v>5.6655541299301929E-4</v>
      </c>
      <c r="BG114" s="9">
        <f t="shared" si="55"/>
        <v>0.98137723837476587</v>
      </c>
    </row>
    <row r="115" spans="2:59" x14ac:dyDescent="0.35">
      <c r="B115" s="3" t="s">
        <v>165</v>
      </c>
      <c r="D115" s="141">
        <v>22587</v>
      </c>
      <c r="E115" s="141">
        <v>18873</v>
      </c>
      <c r="F115" s="141">
        <v>49669</v>
      </c>
      <c r="G115" s="141">
        <v>22687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39"/>
        <v>113816</v>
      </c>
      <c r="R115" s="141">
        <v>16048</v>
      </c>
      <c r="S115" s="141">
        <v>13601</v>
      </c>
      <c r="T115" s="141">
        <v>15127</v>
      </c>
      <c r="U115" s="141">
        <v>17543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40"/>
        <v>62319</v>
      </c>
      <c r="AF115" s="2">
        <f t="shared" si="41"/>
        <v>0.71049718864833755</v>
      </c>
      <c r="AG115" s="2">
        <f t="shared" si="42"/>
        <v>0.72065914269061626</v>
      </c>
      <c r="AH115" s="2">
        <f t="shared" si="43"/>
        <v>0.30455616179105682</v>
      </c>
      <c r="AI115" s="2">
        <f t="shared" si="44"/>
        <v>0.77326222065500061</v>
      </c>
      <c r="AJ115" s="2" t="str">
        <f t="shared" si="45"/>
        <v/>
      </c>
      <c r="AK115" s="2" t="str">
        <f t="shared" si="46"/>
        <v/>
      </c>
      <c r="AL115" s="2" t="str">
        <f t="shared" si="47"/>
        <v/>
      </c>
      <c r="AM115" s="2" t="str">
        <f t="shared" si="48"/>
        <v/>
      </c>
      <c r="AN115" s="2" t="str">
        <f t="shared" si="49"/>
        <v/>
      </c>
      <c r="AO115" s="2" t="str">
        <f t="shared" si="50"/>
        <v/>
      </c>
      <c r="AP115" s="2" t="str">
        <f t="shared" si="51"/>
        <v/>
      </c>
      <c r="AQ115" s="2" t="str">
        <f t="shared" si="52"/>
        <v/>
      </c>
      <c r="AR115" s="2">
        <f t="shared" si="53"/>
        <v>0.54754164616574119</v>
      </c>
      <c r="AT115" s="2" t="str">
        <f t="shared" si="67"/>
        <v/>
      </c>
      <c r="AU115" s="2" t="str">
        <f t="shared" si="68"/>
        <v/>
      </c>
      <c r="AV115" s="143">
        <f t="shared" si="69"/>
        <v>0.46870605886394379</v>
      </c>
      <c r="AW115" s="143" t="str">
        <f t="shared" si="70"/>
        <v/>
      </c>
      <c r="AX115" s="143" t="str">
        <f t="shared" si="71"/>
        <v/>
      </c>
      <c r="AY115" s="143" t="str">
        <f t="shared" si="72"/>
        <v/>
      </c>
      <c r="AZ115" s="143" t="str">
        <f t="shared" si="73"/>
        <v/>
      </c>
      <c r="BA115" s="143" t="str">
        <f t="shared" si="74"/>
        <v/>
      </c>
      <c r="BB115" s="143" t="str">
        <f t="shared" si="75"/>
        <v/>
      </c>
      <c r="BC115" s="143" t="str">
        <f t="shared" si="76"/>
        <v/>
      </c>
      <c r="BD115" s="143" t="str">
        <f t="shared" si="77"/>
        <v/>
      </c>
      <c r="BF115" s="9">
        <f t="shared" si="54"/>
        <v>8.3985896045880699E-5</v>
      </c>
      <c r="BG115" s="9">
        <f t="shared" si="55"/>
        <v>0.98146122427081173</v>
      </c>
    </row>
    <row r="116" spans="2:59" x14ac:dyDescent="0.35">
      <c r="B116" s="3" t="s">
        <v>199</v>
      </c>
      <c r="D116" s="141">
        <v>88846</v>
      </c>
      <c r="E116" s="141">
        <v>96166</v>
      </c>
      <c r="F116" s="141">
        <v>168657</v>
      </c>
      <c r="G116" s="141">
        <v>95705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39"/>
        <v>449374</v>
      </c>
      <c r="R116" s="141">
        <v>77239</v>
      </c>
      <c r="S116" s="141">
        <v>76613</v>
      </c>
      <c r="T116" s="141">
        <v>145185</v>
      </c>
      <c r="U116" s="141">
        <v>72995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40"/>
        <v>372032</v>
      </c>
      <c r="AF116" s="2">
        <f t="shared" si="41"/>
        <v>0.86935821533890101</v>
      </c>
      <c r="AG116" s="2">
        <f t="shared" si="42"/>
        <v>0.79667450034315668</v>
      </c>
      <c r="AH116" s="2">
        <f t="shared" si="43"/>
        <v>0.86082996851598215</v>
      </c>
      <c r="AI116" s="2">
        <f t="shared" si="44"/>
        <v>0.76270832244919284</v>
      </c>
      <c r="AJ116" s="2" t="str">
        <f t="shared" si="45"/>
        <v/>
      </c>
      <c r="AK116" s="2" t="str">
        <f t="shared" si="46"/>
        <v/>
      </c>
      <c r="AL116" s="2" t="str">
        <f t="shared" si="47"/>
        <v/>
      </c>
      <c r="AM116" s="2" t="str">
        <f t="shared" si="48"/>
        <v/>
      </c>
      <c r="AN116" s="2" t="str">
        <f t="shared" si="49"/>
        <v/>
      </c>
      <c r="AO116" s="2" t="str">
        <f t="shared" si="50"/>
        <v/>
      </c>
      <c r="AP116" s="2" t="str">
        <f t="shared" si="51"/>
        <v/>
      </c>
      <c r="AQ116" s="2" t="str">
        <f t="shared" si="52"/>
        <v/>
      </c>
      <c r="AR116" s="2">
        <f t="shared" si="53"/>
        <v>0.8278894640099338</v>
      </c>
      <c r="AT116" s="2" t="str">
        <f t="shared" si="67"/>
        <v/>
      </c>
      <c r="AU116" s="2" t="str">
        <f t="shared" si="68"/>
        <v/>
      </c>
      <c r="AV116" s="143">
        <f t="shared" si="69"/>
        <v>-9.8121646066789303E-2</v>
      </c>
      <c r="AW116" s="143" t="str">
        <f t="shared" si="70"/>
        <v/>
      </c>
      <c r="AX116" s="143" t="str">
        <f t="shared" si="71"/>
        <v/>
      </c>
      <c r="AY116" s="143" t="str">
        <f t="shared" si="72"/>
        <v/>
      </c>
      <c r="AZ116" s="143" t="str">
        <f t="shared" si="73"/>
        <v/>
      </c>
      <c r="BA116" s="143" t="str">
        <f t="shared" si="74"/>
        <v/>
      </c>
      <c r="BB116" s="143" t="str">
        <f t="shared" si="75"/>
        <v/>
      </c>
      <c r="BC116" s="143" t="str">
        <f t="shared" si="76"/>
        <v/>
      </c>
      <c r="BD116" s="143" t="str">
        <f t="shared" si="77"/>
        <v/>
      </c>
      <c r="BF116" s="9">
        <f t="shared" si="54"/>
        <v>5.0137904776618829E-4</v>
      </c>
      <c r="BG116" s="9">
        <f t="shared" si="55"/>
        <v>0.98196260331857788</v>
      </c>
    </row>
    <row r="117" spans="2:59" x14ac:dyDescent="0.35">
      <c r="B117" s="3" t="s">
        <v>203</v>
      </c>
      <c r="D117" s="141">
        <v>109253</v>
      </c>
      <c r="E117" s="141">
        <v>84142</v>
      </c>
      <c r="F117" s="141">
        <v>103382</v>
      </c>
      <c r="G117" s="141">
        <v>91392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39"/>
        <v>388169</v>
      </c>
      <c r="R117" s="141">
        <v>80566</v>
      </c>
      <c r="S117" s="141">
        <v>62774</v>
      </c>
      <c r="T117" s="141">
        <v>68943</v>
      </c>
      <c r="U117" s="141">
        <v>64931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40"/>
        <v>277214</v>
      </c>
      <c r="AF117" s="2">
        <f t="shared" si="41"/>
        <v>0.73742597457278058</v>
      </c>
      <c r="AG117" s="2">
        <f t="shared" si="42"/>
        <v>0.74604834684224286</v>
      </c>
      <c r="AH117" s="2">
        <f t="shared" si="43"/>
        <v>0.6668762453812076</v>
      </c>
      <c r="AI117" s="2">
        <f t="shared" si="44"/>
        <v>0.7104669992997199</v>
      </c>
      <c r="AJ117" s="2" t="str">
        <f t="shared" si="45"/>
        <v/>
      </c>
      <c r="AK117" s="2" t="str">
        <f t="shared" si="46"/>
        <v/>
      </c>
      <c r="AL117" s="2" t="str">
        <f t="shared" si="47"/>
        <v/>
      </c>
      <c r="AM117" s="2" t="str">
        <f t="shared" si="48"/>
        <v/>
      </c>
      <c r="AN117" s="2" t="str">
        <f t="shared" si="49"/>
        <v/>
      </c>
      <c r="AO117" s="2" t="str">
        <f t="shared" si="50"/>
        <v/>
      </c>
      <c r="AP117" s="2" t="str">
        <f t="shared" si="51"/>
        <v/>
      </c>
      <c r="AQ117" s="2" t="str">
        <f t="shared" si="52"/>
        <v/>
      </c>
      <c r="AR117" s="2">
        <f t="shared" si="53"/>
        <v>0.71415800849629929</v>
      </c>
      <c r="AT117" s="2" t="str">
        <f t="shared" si="67"/>
        <v/>
      </c>
      <c r="AU117" s="2" t="str">
        <f t="shared" si="68"/>
        <v/>
      </c>
      <c r="AV117" s="143">
        <f t="shared" si="69"/>
        <v>4.3590753918512304E-2</v>
      </c>
      <c r="AW117" s="143" t="str">
        <f t="shared" si="70"/>
        <v/>
      </c>
      <c r="AX117" s="143" t="str">
        <f t="shared" si="71"/>
        <v/>
      </c>
      <c r="AY117" s="143" t="str">
        <f t="shared" si="72"/>
        <v/>
      </c>
      <c r="AZ117" s="143" t="str">
        <f t="shared" si="73"/>
        <v/>
      </c>
      <c r="BA117" s="143" t="str">
        <f t="shared" si="74"/>
        <v/>
      </c>
      <c r="BB117" s="143" t="str">
        <f t="shared" si="75"/>
        <v/>
      </c>
      <c r="BC117" s="143" t="str">
        <f t="shared" si="76"/>
        <v/>
      </c>
      <c r="BD117" s="143" t="str">
        <f t="shared" si="77"/>
        <v/>
      </c>
      <c r="BF117" s="9">
        <f t="shared" si="54"/>
        <v>3.7359499007466059E-4</v>
      </c>
      <c r="BG117" s="9">
        <f t="shared" si="55"/>
        <v>0.98233619830865249</v>
      </c>
    </row>
    <row r="118" spans="2:59" x14ac:dyDescent="0.35">
      <c r="B118" s="3" t="s">
        <v>212</v>
      </c>
      <c r="D118" s="141">
        <v>25700</v>
      </c>
      <c r="E118" s="141">
        <v>17218</v>
      </c>
      <c r="F118" s="141">
        <v>14529</v>
      </c>
      <c r="G118" s="141">
        <v>13016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39"/>
        <v>70463</v>
      </c>
      <c r="R118" s="141">
        <v>22547</v>
      </c>
      <c r="S118" s="141">
        <v>9140</v>
      </c>
      <c r="T118" s="141">
        <v>8154</v>
      </c>
      <c r="U118" s="141">
        <v>8620</v>
      </c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40"/>
        <v>48461</v>
      </c>
      <c r="AF118" s="2">
        <f t="shared" si="41"/>
        <v>0.8773151750972763</v>
      </c>
      <c r="AG118" s="2">
        <f t="shared" si="42"/>
        <v>0.5308398187942851</v>
      </c>
      <c r="AH118" s="2">
        <f t="shared" si="43"/>
        <v>0.5612223828205658</v>
      </c>
      <c r="AI118" s="2">
        <f t="shared" si="44"/>
        <v>0.6622618315918869</v>
      </c>
      <c r="AJ118" s="2" t="str">
        <f t="shared" si="45"/>
        <v/>
      </c>
      <c r="AK118" s="2" t="str">
        <f t="shared" si="46"/>
        <v/>
      </c>
      <c r="AL118" s="2" t="str">
        <f t="shared" si="47"/>
        <v/>
      </c>
      <c r="AM118" s="2" t="str">
        <f t="shared" si="48"/>
        <v/>
      </c>
      <c r="AN118" s="2" t="str">
        <f t="shared" si="49"/>
        <v/>
      </c>
      <c r="AO118" s="2" t="str">
        <f t="shared" si="50"/>
        <v/>
      </c>
      <c r="AP118" s="2" t="str">
        <f t="shared" si="51"/>
        <v/>
      </c>
      <c r="AQ118" s="2" t="str">
        <f t="shared" si="52"/>
        <v/>
      </c>
      <c r="AR118" s="2">
        <f t="shared" si="53"/>
        <v>0.68775101826490503</v>
      </c>
      <c r="AT118" s="2" t="str">
        <f t="shared" si="67"/>
        <v/>
      </c>
      <c r="AU118" s="2" t="str">
        <f t="shared" si="68"/>
        <v/>
      </c>
      <c r="AV118" s="143">
        <f t="shared" si="69"/>
        <v>0.10103944877132109</v>
      </c>
      <c r="AW118" s="143" t="str">
        <f t="shared" si="70"/>
        <v/>
      </c>
      <c r="AX118" s="143" t="str">
        <f t="shared" si="71"/>
        <v/>
      </c>
      <c r="AY118" s="143" t="str">
        <f t="shared" si="72"/>
        <v/>
      </c>
      <c r="AZ118" s="143" t="str">
        <f t="shared" si="73"/>
        <v/>
      </c>
      <c r="BA118" s="143" t="str">
        <f t="shared" si="74"/>
        <v/>
      </c>
      <c r="BB118" s="143" t="str">
        <f t="shared" si="75"/>
        <v/>
      </c>
      <c r="BC118" s="143" t="str">
        <f t="shared" si="76"/>
        <v/>
      </c>
      <c r="BD118" s="143" t="str">
        <f t="shared" si="77"/>
        <v/>
      </c>
      <c r="BF118" s="9">
        <f t="shared" si="54"/>
        <v>6.5309785270614492E-5</v>
      </c>
      <c r="BG118" s="9">
        <f t="shared" si="55"/>
        <v>0.98240150809392313</v>
      </c>
    </row>
    <row r="119" spans="2:59" x14ac:dyDescent="0.35">
      <c r="B119" s="3" t="s">
        <v>210</v>
      </c>
      <c r="D119" s="141">
        <v>26820</v>
      </c>
      <c r="E119" s="141">
        <v>17520</v>
      </c>
      <c r="F119" s="141">
        <v>53887</v>
      </c>
      <c r="G119" s="141">
        <v>32628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39"/>
        <v>130855</v>
      </c>
      <c r="R119" s="141">
        <v>23215</v>
      </c>
      <c r="S119" s="141">
        <v>17169</v>
      </c>
      <c r="T119" s="141">
        <v>30551</v>
      </c>
      <c r="U119" s="141">
        <v>18038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40"/>
        <v>88973</v>
      </c>
      <c r="AF119" s="2">
        <f t="shared" si="41"/>
        <v>0.86558538404175989</v>
      </c>
      <c r="AG119" s="2">
        <f t="shared" si="42"/>
        <v>0.97996575342465753</v>
      </c>
      <c r="AH119" s="2">
        <f t="shared" si="43"/>
        <v>0.56694564551747173</v>
      </c>
      <c r="AI119" s="2">
        <f t="shared" si="44"/>
        <v>0.55283805320583546</v>
      </c>
      <c r="AJ119" s="2" t="str">
        <f t="shared" si="45"/>
        <v/>
      </c>
      <c r="AK119" s="2" t="str">
        <f t="shared" si="46"/>
        <v/>
      </c>
      <c r="AL119" s="2" t="str">
        <f t="shared" si="47"/>
        <v/>
      </c>
      <c r="AM119" s="2" t="str">
        <f t="shared" si="48"/>
        <v/>
      </c>
      <c r="AN119" s="2" t="str">
        <f t="shared" si="49"/>
        <v/>
      </c>
      <c r="AO119" s="2" t="str">
        <f t="shared" si="50"/>
        <v/>
      </c>
      <c r="AP119" s="2" t="str">
        <f t="shared" si="51"/>
        <v/>
      </c>
      <c r="AQ119" s="2" t="str">
        <f t="shared" si="52"/>
        <v/>
      </c>
      <c r="AR119" s="2">
        <f t="shared" si="53"/>
        <v>0.67993580680906351</v>
      </c>
      <c r="AT119" s="2" t="str">
        <f t="shared" si="67"/>
        <v/>
      </c>
      <c r="AU119" s="2" t="str">
        <f t="shared" si="68"/>
        <v/>
      </c>
      <c r="AV119" s="143">
        <f t="shared" si="69"/>
        <v>-1.4107592311636274E-2</v>
      </c>
      <c r="AW119" s="143" t="str">
        <f t="shared" si="70"/>
        <v/>
      </c>
      <c r="AX119" s="143" t="str">
        <f t="shared" si="71"/>
        <v/>
      </c>
      <c r="AY119" s="143" t="str">
        <f t="shared" si="72"/>
        <v/>
      </c>
      <c r="AZ119" s="143" t="str">
        <f t="shared" si="73"/>
        <v/>
      </c>
      <c r="BA119" s="143" t="str">
        <f t="shared" si="74"/>
        <v/>
      </c>
      <c r="BB119" s="143" t="str">
        <f t="shared" si="75"/>
        <v/>
      </c>
      <c r="BC119" s="143" t="str">
        <f t="shared" si="76"/>
        <v/>
      </c>
      <c r="BD119" s="143" t="str">
        <f t="shared" si="77"/>
        <v/>
      </c>
      <c r="BF119" s="9">
        <f t="shared" si="54"/>
        <v>1.1990688439946314E-4</v>
      </c>
      <c r="BG119" s="9">
        <f t="shared" si="55"/>
        <v>0.98252141497832257</v>
      </c>
    </row>
    <row r="120" spans="2:59" x14ac:dyDescent="0.35">
      <c r="B120" s="3" t="s">
        <v>187</v>
      </c>
      <c r="D120" s="141">
        <v>224050</v>
      </c>
      <c r="E120" s="141">
        <v>154023</v>
      </c>
      <c r="F120" s="141">
        <v>233130</v>
      </c>
      <c r="G120" s="141">
        <v>137746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39"/>
        <v>748949</v>
      </c>
      <c r="R120" s="141">
        <v>164307</v>
      </c>
      <c r="S120" s="141">
        <v>107114</v>
      </c>
      <c r="T120" s="141">
        <v>165152</v>
      </c>
      <c r="U120" s="141">
        <v>99583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40"/>
        <v>536156</v>
      </c>
      <c r="AF120" s="2">
        <f t="shared" si="41"/>
        <v>0.73334969872796252</v>
      </c>
      <c r="AG120" s="2">
        <f t="shared" si="42"/>
        <v>0.69544158989241867</v>
      </c>
      <c r="AH120" s="2">
        <f t="shared" si="43"/>
        <v>0.70841161583665768</v>
      </c>
      <c r="AI120" s="2">
        <f t="shared" si="44"/>
        <v>0.72294658284088109</v>
      </c>
      <c r="AJ120" s="2" t="str">
        <f t="shared" si="45"/>
        <v/>
      </c>
      <c r="AK120" s="2" t="str">
        <f t="shared" si="46"/>
        <v/>
      </c>
      <c r="AL120" s="2" t="str">
        <f t="shared" si="47"/>
        <v/>
      </c>
      <c r="AM120" s="2" t="str">
        <f t="shared" si="48"/>
        <v/>
      </c>
      <c r="AN120" s="2" t="str">
        <f t="shared" si="49"/>
        <v/>
      </c>
      <c r="AO120" s="2" t="str">
        <f t="shared" si="50"/>
        <v/>
      </c>
      <c r="AP120" s="2" t="str">
        <f t="shared" si="51"/>
        <v/>
      </c>
      <c r="AQ120" s="2" t="str">
        <f t="shared" si="52"/>
        <v/>
      </c>
      <c r="AR120" s="2">
        <f t="shared" si="53"/>
        <v>0.71587785016069183</v>
      </c>
      <c r="AT120" s="2" t="str">
        <f t="shared" si="67"/>
        <v/>
      </c>
      <c r="AU120" s="2" t="str">
        <f t="shared" si="68"/>
        <v/>
      </c>
      <c r="AV120" s="143">
        <f t="shared" si="69"/>
        <v>1.4534967004223409E-2</v>
      </c>
      <c r="AW120" s="143" t="str">
        <f t="shared" si="70"/>
        <v/>
      </c>
      <c r="AX120" s="143" t="str">
        <f t="shared" si="71"/>
        <v/>
      </c>
      <c r="AY120" s="143" t="str">
        <f t="shared" si="72"/>
        <v/>
      </c>
      <c r="AZ120" s="143" t="str">
        <f t="shared" si="73"/>
        <v/>
      </c>
      <c r="BA120" s="143" t="str">
        <f t="shared" si="74"/>
        <v/>
      </c>
      <c r="BB120" s="143" t="str">
        <f t="shared" si="75"/>
        <v/>
      </c>
      <c r="BC120" s="143" t="str">
        <f t="shared" si="76"/>
        <v/>
      </c>
      <c r="BD120" s="143" t="str">
        <f t="shared" si="77"/>
        <v/>
      </c>
      <c r="BF120" s="9">
        <f t="shared" si="54"/>
        <v>7.2256522216940602E-4</v>
      </c>
      <c r="BG120" s="9">
        <f t="shared" si="55"/>
        <v>0.98324398020049197</v>
      </c>
    </row>
    <row r="121" spans="2:59" x14ac:dyDescent="0.35">
      <c r="B121" s="3" t="s">
        <v>191</v>
      </c>
      <c r="D121" s="141">
        <v>205590</v>
      </c>
      <c r="E121" s="141">
        <v>167870</v>
      </c>
      <c r="F121" s="141">
        <v>214011</v>
      </c>
      <c r="G121" s="141">
        <v>109186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39"/>
        <v>696657</v>
      </c>
      <c r="R121" s="141">
        <v>154646</v>
      </c>
      <c r="S121" s="141">
        <v>128029</v>
      </c>
      <c r="T121" s="141">
        <v>152407</v>
      </c>
      <c r="U121" s="141">
        <v>82695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40"/>
        <v>517777</v>
      </c>
      <c r="AF121" s="2">
        <f t="shared" si="41"/>
        <v>0.75220584658786904</v>
      </c>
      <c r="AG121" s="2">
        <f t="shared" si="42"/>
        <v>0.76266754035861084</v>
      </c>
      <c r="AH121" s="2">
        <f t="shared" si="43"/>
        <v>0.71214563737377989</v>
      </c>
      <c r="AI121" s="2">
        <f t="shared" si="44"/>
        <v>0.75737731943655784</v>
      </c>
      <c r="AJ121" s="2" t="str">
        <f t="shared" si="45"/>
        <v/>
      </c>
      <c r="AK121" s="2" t="str">
        <f t="shared" si="46"/>
        <v/>
      </c>
      <c r="AL121" s="2" t="str">
        <f t="shared" si="47"/>
        <v/>
      </c>
      <c r="AM121" s="2" t="str">
        <f t="shared" si="48"/>
        <v/>
      </c>
      <c r="AN121" s="2" t="str">
        <f t="shared" si="49"/>
        <v/>
      </c>
      <c r="AO121" s="2" t="str">
        <f t="shared" si="50"/>
        <v/>
      </c>
      <c r="AP121" s="2" t="str">
        <f t="shared" si="51"/>
        <v/>
      </c>
      <c r="AQ121" s="2" t="str">
        <f t="shared" si="52"/>
        <v/>
      </c>
      <c r="AR121" s="2">
        <f t="shared" si="53"/>
        <v>0.74323088693575179</v>
      </c>
      <c r="AT121" s="2" t="str">
        <f t="shared" si="67"/>
        <v/>
      </c>
      <c r="AU121" s="2" t="str">
        <f t="shared" si="68"/>
        <v/>
      </c>
      <c r="AV121" s="143">
        <f t="shared" si="69"/>
        <v>4.5231682062777945E-2</v>
      </c>
      <c r="AW121" s="143" t="str">
        <f t="shared" si="70"/>
        <v/>
      </c>
      <c r="AX121" s="143" t="str">
        <f t="shared" si="71"/>
        <v/>
      </c>
      <c r="AY121" s="143" t="str">
        <f t="shared" si="72"/>
        <v/>
      </c>
      <c r="AZ121" s="143" t="str">
        <f t="shared" si="73"/>
        <v/>
      </c>
      <c r="BA121" s="143" t="str">
        <f t="shared" si="74"/>
        <v/>
      </c>
      <c r="BB121" s="143" t="str">
        <f t="shared" si="75"/>
        <v/>
      </c>
      <c r="BC121" s="143" t="str">
        <f t="shared" si="76"/>
        <v/>
      </c>
      <c r="BD121" s="143" t="str">
        <f t="shared" si="77"/>
        <v/>
      </c>
      <c r="BF121" s="9">
        <f t="shared" si="54"/>
        <v>6.977962627280279E-4</v>
      </c>
      <c r="BG121" s="9">
        <f t="shared" si="55"/>
        <v>0.98394177646322001</v>
      </c>
    </row>
    <row r="122" spans="2:59" x14ac:dyDescent="0.35">
      <c r="B122" s="3" t="s">
        <v>213</v>
      </c>
      <c r="D122" s="141">
        <v>19739</v>
      </c>
      <c r="E122" s="141">
        <v>6194</v>
      </c>
      <c r="F122" s="141">
        <v>40143</v>
      </c>
      <c r="G122" s="141">
        <v>12804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39"/>
        <v>78880</v>
      </c>
      <c r="R122" s="141">
        <v>16850</v>
      </c>
      <c r="S122" s="141">
        <v>5356</v>
      </c>
      <c r="T122" s="141">
        <v>25618</v>
      </c>
      <c r="U122" s="141">
        <v>6784</v>
      </c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40"/>
        <v>54608</v>
      </c>
      <c r="AF122" s="2">
        <f t="shared" si="41"/>
        <v>0.85364000202644508</v>
      </c>
      <c r="AG122" s="2">
        <f t="shared" si="42"/>
        <v>0.86470778172424922</v>
      </c>
      <c r="AH122" s="2">
        <f t="shared" si="43"/>
        <v>0.63816854744289164</v>
      </c>
      <c r="AI122" s="2">
        <f t="shared" si="44"/>
        <v>0.52983442674164327</v>
      </c>
      <c r="AJ122" s="2" t="str">
        <f t="shared" si="45"/>
        <v/>
      </c>
      <c r="AK122" s="2" t="str">
        <f t="shared" si="46"/>
        <v/>
      </c>
      <c r="AL122" s="2" t="str">
        <f t="shared" si="47"/>
        <v/>
      </c>
      <c r="AM122" s="2" t="str">
        <f t="shared" si="48"/>
        <v/>
      </c>
      <c r="AN122" s="2" t="str">
        <f t="shared" si="49"/>
        <v/>
      </c>
      <c r="AO122" s="2" t="str">
        <f t="shared" si="50"/>
        <v/>
      </c>
      <c r="AP122" s="2" t="str">
        <f t="shared" si="51"/>
        <v/>
      </c>
      <c r="AQ122" s="2" t="str">
        <f t="shared" si="52"/>
        <v/>
      </c>
      <c r="AR122" s="2">
        <f t="shared" si="53"/>
        <v>0.69229208924949293</v>
      </c>
      <c r="AT122" s="2" t="str">
        <f t="shared" si="67"/>
        <v/>
      </c>
      <c r="AU122" s="2" t="str">
        <f t="shared" si="68"/>
        <v/>
      </c>
      <c r="AV122" s="143">
        <f t="shared" si="69"/>
        <v>-0.10833412070124837</v>
      </c>
      <c r="AW122" s="143" t="str">
        <f t="shared" si="70"/>
        <v/>
      </c>
      <c r="AX122" s="143" t="str">
        <f t="shared" si="71"/>
        <v/>
      </c>
      <c r="AY122" s="143" t="str">
        <f t="shared" si="72"/>
        <v/>
      </c>
      <c r="AZ122" s="143" t="str">
        <f t="shared" si="73"/>
        <v/>
      </c>
      <c r="BA122" s="143" t="str">
        <f t="shared" si="74"/>
        <v/>
      </c>
      <c r="BB122" s="143" t="str">
        <f t="shared" si="75"/>
        <v/>
      </c>
      <c r="BC122" s="143" t="str">
        <f t="shared" si="76"/>
        <v/>
      </c>
      <c r="BD122" s="143" t="str">
        <f t="shared" si="77"/>
        <v/>
      </c>
      <c r="BF122" s="9">
        <f t="shared" si="54"/>
        <v>7.3593957080079155E-5</v>
      </c>
      <c r="BG122" s="9">
        <f t="shared" si="55"/>
        <v>0.98401537042030007</v>
      </c>
    </row>
    <row r="123" spans="2:59" x14ac:dyDescent="0.35">
      <c r="B123" s="3" t="s">
        <v>189</v>
      </c>
      <c r="D123" s="141">
        <v>378041</v>
      </c>
      <c r="E123" s="141">
        <v>353073</v>
      </c>
      <c r="F123" s="141">
        <v>353117</v>
      </c>
      <c r="G123" s="141">
        <v>330070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39"/>
        <v>1414301</v>
      </c>
      <c r="R123" s="141">
        <v>275828</v>
      </c>
      <c r="S123" s="141">
        <v>263125</v>
      </c>
      <c r="T123" s="141">
        <v>233590</v>
      </c>
      <c r="U123" s="141">
        <v>243474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40"/>
        <v>1016017</v>
      </c>
      <c r="AF123" s="2">
        <f t="shared" si="41"/>
        <v>0.72962456453136038</v>
      </c>
      <c r="AG123" s="2">
        <f t="shared" si="42"/>
        <v>0.74524248526508685</v>
      </c>
      <c r="AH123" s="2">
        <f t="shared" si="43"/>
        <v>0.66150879170359966</v>
      </c>
      <c r="AI123" s="2">
        <f t="shared" si="44"/>
        <v>0.73764353016026907</v>
      </c>
      <c r="AJ123" s="2" t="str">
        <f t="shared" si="45"/>
        <v/>
      </c>
      <c r="AK123" s="2" t="str">
        <f t="shared" si="46"/>
        <v/>
      </c>
      <c r="AL123" s="2" t="str">
        <f t="shared" si="47"/>
        <v/>
      </c>
      <c r="AM123" s="2" t="str">
        <f t="shared" si="48"/>
        <v/>
      </c>
      <c r="AN123" s="2" t="str">
        <f t="shared" si="49"/>
        <v/>
      </c>
      <c r="AO123" s="2" t="str">
        <f t="shared" si="50"/>
        <v/>
      </c>
      <c r="AP123" s="2" t="str">
        <f t="shared" si="51"/>
        <v/>
      </c>
      <c r="AQ123" s="2" t="str">
        <f t="shared" si="52"/>
        <v/>
      </c>
      <c r="AR123" s="2">
        <f t="shared" si="53"/>
        <v>0.71838809418928506</v>
      </c>
      <c r="AT123" s="2" t="str">
        <f t="shared" si="67"/>
        <v/>
      </c>
      <c r="AU123" s="2" t="str">
        <f t="shared" si="68"/>
        <v/>
      </c>
      <c r="AV123" s="143">
        <f t="shared" si="69"/>
        <v>7.6134738456669404E-2</v>
      </c>
      <c r="AW123" s="143" t="str">
        <f t="shared" si="70"/>
        <v/>
      </c>
      <c r="AX123" s="143" t="str">
        <f t="shared" si="71"/>
        <v/>
      </c>
      <c r="AY123" s="143" t="str">
        <f t="shared" si="72"/>
        <v/>
      </c>
      <c r="AZ123" s="143" t="str">
        <f t="shared" si="73"/>
        <v/>
      </c>
      <c r="BA123" s="143" t="str">
        <f t="shared" si="74"/>
        <v/>
      </c>
      <c r="BB123" s="143" t="str">
        <f t="shared" si="75"/>
        <v/>
      </c>
      <c r="BC123" s="143" t="str">
        <f t="shared" si="76"/>
        <v/>
      </c>
      <c r="BD123" s="143" t="str">
        <f t="shared" si="77"/>
        <v/>
      </c>
      <c r="BF123" s="9">
        <f t="shared" si="54"/>
        <v>1.369262955805574E-3</v>
      </c>
      <c r="BG123" s="9">
        <f t="shared" si="55"/>
        <v>0.9853846333761056</v>
      </c>
    </row>
    <row r="124" spans="2:59" x14ac:dyDescent="0.35">
      <c r="B124" s="3" t="s">
        <v>206</v>
      </c>
      <c r="D124" s="141">
        <v>42487</v>
      </c>
      <c r="E124" s="141">
        <v>39513</v>
      </c>
      <c r="F124" s="141">
        <v>52506</v>
      </c>
      <c r="G124" s="141">
        <v>22067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39"/>
        <v>156573</v>
      </c>
      <c r="R124" s="141">
        <v>32552</v>
      </c>
      <c r="S124" s="141">
        <v>29691</v>
      </c>
      <c r="T124" s="141">
        <v>19636</v>
      </c>
      <c r="U124" s="141">
        <v>20781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40"/>
        <v>102660</v>
      </c>
      <c r="AF124" s="2">
        <f t="shared" si="41"/>
        <v>0.7661637677407207</v>
      </c>
      <c r="AG124" s="2">
        <f t="shared" si="42"/>
        <v>0.75142358211221627</v>
      </c>
      <c r="AH124" s="2">
        <f t="shared" si="43"/>
        <v>0.37397630746962252</v>
      </c>
      <c r="AI124" s="2">
        <f t="shared" si="44"/>
        <v>0.94172293469887158</v>
      </c>
      <c r="AJ124" s="2" t="str">
        <f t="shared" si="45"/>
        <v/>
      </c>
      <c r="AK124" s="2" t="str">
        <f t="shared" si="46"/>
        <v/>
      </c>
      <c r="AL124" s="2" t="str">
        <f t="shared" si="47"/>
        <v/>
      </c>
      <c r="AM124" s="2" t="str">
        <f t="shared" si="48"/>
        <v/>
      </c>
      <c r="AN124" s="2" t="str">
        <f t="shared" si="49"/>
        <v/>
      </c>
      <c r="AO124" s="2" t="str">
        <f t="shared" si="50"/>
        <v/>
      </c>
      <c r="AP124" s="2" t="str">
        <f t="shared" si="51"/>
        <v/>
      </c>
      <c r="AQ124" s="2" t="str">
        <f t="shared" si="52"/>
        <v/>
      </c>
      <c r="AR124" s="2">
        <f t="shared" si="53"/>
        <v>0.65566860186622211</v>
      </c>
      <c r="AT124" s="2" t="str">
        <f t="shared" si="67"/>
        <v/>
      </c>
      <c r="AU124" s="2" t="str">
        <f t="shared" si="68"/>
        <v/>
      </c>
      <c r="AV124" s="143">
        <f t="shared" si="69"/>
        <v>0.56774662722924907</v>
      </c>
      <c r="AW124" s="143" t="str">
        <f t="shared" si="70"/>
        <v/>
      </c>
      <c r="AX124" s="143" t="str">
        <f t="shared" si="71"/>
        <v/>
      </c>
      <c r="AY124" s="143" t="str">
        <f t="shared" si="72"/>
        <v/>
      </c>
      <c r="AZ124" s="143" t="str">
        <f t="shared" si="73"/>
        <v/>
      </c>
      <c r="BA124" s="143" t="str">
        <f t="shared" si="74"/>
        <v/>
      </c>
      <c r="BB124" s="143" t="str">
        <f t="shared" si="75"/>
        <v/>
      </c>
      <c r="BC124" s="143" t="str">
        <f t="shared" si="76"/>
        <v/>
      </c>
      <c r="BD124" s="143" t="str">
        <f t="shared" si="77"/>
        <v/>
      </c>
      <c r="BF124" s="9">
        <f t="shared" si="54"/>
        <v>1.3835254237183061E-4</v>
      </c>
      <c r="BG124" s="9">
        <f t="shared" si="55"/>
        <v>0.98552298591847742</v>
      </c>
    </row>
    <row r="125" spans="2:59" x14ac:dyDescent="0.35">
      <c r="B125" s="3" t="s">
        <v>192</v>
      </c>
      <c r="D125" s="141">
        <v>69177</v>
      </c>
      <c r="E125" s="141">
        <v>54847</v>
      </c>
      <c r="F125" s="141">
        <v>58307</v>
      </c>
      <c r="G125" s="141">
        <v>53706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39"/>
        <v>236037</v>
      </c>
      <c r="R125" s="141">
        <v>43790</v>
      </c>
      <c r="S125" s="141">
        <v>45388</v>
      </c>
      <c r="T125" s="141">
        <v>31867</v>
      </c>
      <c r="U125" s="141">
        <v>40188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40"/>
        <v>161233</v>
      </c>
      <c r="AF125" s="2">
        <f t="shared" si="41"/>
        <v>0.63301386298914375</v>
      </c>
      <c r="AG125" s="2">
        <f t="shared" si="42"/>
        <v>0.82753842507338593</v>
      </c>
      <c r="AH125" s="2">
        <f t="shared" si="43"/>
        <v>0.54653815150839524</v>
      </c>
      <c r="AI125" s="2">
        <f t="shared" si="44"/>
        <v>0.7482962797452799</v>
      </c>
      <c r="AJ125" s="2" t="str">
        <f t="shared" si="45"/>
        <v/>
      </c>
      <c r="AK125" s="2" t="str">
        <f t="shared" si="46"/>
        <v/>
      </c>
      <c r="AL125" s="2" t="str">
        <f t="shared" si="47"/>
        <v/>
      </c>
      <c r="AM125" s="2" t="str">
        <f t="shared" si="48"/>
        <v/>
      </c>
      <c r="AN125" s="2" t="str">
        <f t="shared" si="49"/>
        <v/>
      </c>
      <c r="AO125" s="2" t="str">
        <f t="shared" si="50"/>
        <v/>
      </c>
      <c r="AP125" s="2" t="str">
        <f t="shared" si="51"/>
        <v/>
      </c>
      <c r="AQ125" s="2" t="str">
        <f t="shared" si="52"/>
        <v/>
      </c>
      <c r="AR125" s="2">
        <f t="shared" si="53"/>
        <v>0.68308358435330052</v>
      </c>
      <c r="AT125" s="2" t="str">
        <f t="shared" si="67"/>
        <v/>
      </c>
      <c r="AU125" s="2" t="str">
        <f t="shared" si="68"/>
        <v/>
      </c>
      <c r="AV125" s="143">
        <f t="shared" si="69"/>
        <v>0.20175812823688466</v>
      </c>
      <c r="AW125" s="143" t="str">
        <f t="shared" si="70"/>
        <v/>
      </c>
      <c r="AX125" s="143" t="str">
        <f t="shared" si="71"/>
        <v/>
      </c>
      <c r="AY125" s="143" t="str">
        <f t="shared" si="72"/>
        <v/>
      </c>
      <c r="AZ125" s="143" t="str">
        <f t="shared" si="73"/>
        <v/>
      </c>
      <c r="BA125" s="143" t="str">
        <f t="shared" si="74"/>
        <v/>
      </c>
      <c r="BB125" s="143" t="str">
        <f t="shared" si="75"/>
        <v/>
      </c>
      <c r="BC125" s="143" t="str">
        <f t="shared" si="76"/>
        <v/>
      </c>
      <c r="BD125" s="143" t="str">
        <f t="shared" si="77"/>
        <v/>
      </c>
      <c r="BF125" s="9">
        <f t="shared" si="54"/>
        <v>2.1729003958929834E-4</v>
      </c>
      <c r="BG125" s="9">
        <f t="shared" si="55"/>
        <v>0.98574027595806668</v>
      </c>
    </row>
    <row r="126" spans="2:59" x14ac:dyDescent="0.35">
      <c r="B126" s="3" t="s">
        <v>222</v>
      </c>
      <c r="D126" s="141">
        <v>63771</v>
      </c>
      <c r="E126" s="141">
        <v>41310</v>
      </c>
      <c r="F126" s="141">
        <v>50231</v>
      </c>
      <c r="G126" s="141">
        <v>24820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39"/>
        <v>180132</v>
      </c>
      <c r="R126" s="141">
        <v>48347</v>
      </c>
      <c r="S126" s="141">
        <v>26315</v>
      </c>
      <c r="T126" s="141">
        <v>34502</v>
      </c>
      <c r="U126" s="141">
        <v>18323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40"/>
        <v>127487</v>
      </c>
      <c r="AF126" s="2">
        <f t="shared" si="41"/>
        <v>0.75813457527716355</v>
      </c>
      <c r="AG126" s="2">
        <f t="shared" si="42"/>
        <v>0.63701282982328733</v>
      </c>
      <c r="AH126" s="2">
        <f t="shared" si="43"/>
        <v>0.68686667595707829</v>
      </c>
      <c r="AI126" s="2">
        <f t="shared" si="44"/>
        <v>0.7382352941176471</v>
      </c>
      <c r="AJ126" s="2" t="str">
        <f t="shared" si="45"/>
        <v/>
      </c>
      <c r="AK126" s="2" t="str">
        <f t="shared" si="46"/>
        <v/>
      </c>
      <c r="AL126" s="2" t="str">
        <f t="shared" si="47"/>
        <v/>
      </c>
      <c r="AM126" s="2" t="str">
        <f t="shared" si="48"/>
        <v/>
      </c>
      <c r="AN126" s="2" t="str">
        <f t="shared" si="49"/>
        <v/>
      </c>
      <c r="AO126" s="2" t="str">
        <f t="shared" si="50"/>
        <v/>
      </c>
      <c r="AP126" s="2" t="str">
        <f t="shared" si="51"/>
        <v/>
      </c>
      <c r="AQ126" s="2" t="str">
        <f t="shared" si="52"/>
        <v/>
      </c>
      <c r="AR126" s="2">
        <f t="shared" si="53"/>
        <v>0.70774210023760353</v>
      </c>
      <c r="AT126" s="2" t="str">
        <f t="shared" si="67"/>
        <v/>
      </c>
      <c r="AU126" s="2" t="str">
        <f t="shared" si="68"/>
        <v/>
      </c>
      <c r="AV126" s="143">
        <f t="shared" si="69"/>
        <v>5.1368618160568813E-2</v>
      </c>
      <c r="AW126" s="143" t="str">
        <f t="shared" si="70"/>
        <v/>
      </c>
      <c r="AX126" s="143" t="str">
        <f t="shared" si="71"/>
        <v/>
      </c>
      <c r="AY126" s="143" t="str">
        <f t="shared" si="72"/>
        <v/>
      </c>
      <c r="AZ126" s="143" t="str">
        <f t="shared" si="73"/>
        <v/>
      </c>
      <c r="BA126" s="143" t="str">
        <f t="shared" si="74"/>
        <v/>
      </c>
      <c r="BB126" s="143" t="str">
        <f t="shared" si="75"/>
        <v/>
      </c>
      <c r="BC126" s="143" t="str">
        <f t="shared" si="76"/>
        <v/>
      </c>
      <c r="BD126" s="143" t="str">
        <f t="shared" si="77"/>
        <v/>
      </c>
      <c r="BF126" s="9">
        <f t="shared" si="54"/>
        <v>1.7181132446286354E-4</v>
      </c>
      <c r="BG126" s="9">
        <f t="shared" si="55"/>
        <v>0.98591208728252955</v>
      </c>
    </row>
    <row r="127" spans="2:59" x14ac:dyDescent="0.35">
      <c r="B127" s="3" t="s">
        <v>201</v>
      </c>
      <c r="D127" s="141">
        <v>27292</v>
      </c>
      <c r="E127" s="141">
        <v>12525</v>
      </c>
      <c r="F127" s="141">
        <v>33543</v>
      </c>
      <c r="G127" s="141">
        <v>22811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39"/>
        <v>96171</v>
      </c>
      <c r="R127" s="141">
        <v>15298</v>
      </c>
      <c r="S127" s="141">
        <v>7030</v>
      </c>
      <c r="T127" s="141">
        <v>23626</v>
      </c>
      <c r="U127" s="141">
        <v>20410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40"/>
        <v>66364</v>
      </c>
      <c r="AF127" s="2">
        <f t="shared" si="41"/>
        <v>0.56053055840539356</v>
      </c>
      <c r="AG127" s="2">
        <f t="shared" si="42"/>
        <v>0.56127744510978039</v>
      </c>
      <c r="AH127" s="2">
        <f t="shared" si="43"/>
        <v>0.70434964075962203</v>
      </c>
      <c r="AI127" s="2">
        <f t="shared" si="44"/>
        <v>0.89474376397352151</v>
      </c>
      <c r="AJ127" s="2" t="str">
        <f t="shared" si="45"/>
        <v/>
      </c>
      <c r="AK127" s="2" t="str">
        <f t="shared" si="46"/>
        <v/>
      </c>
      <c r="AL127" s="2" t="str">
        <f t="shared" si="47"/>
        <v/>
      </c>
      <c r="AM127" s="2" t="str">
        <f t="shared" si="48"/>
        <v/>
      </c>
      <c r="AN127" s="2" t="str">
        <f t="shared" si="49"/>
        <v/>
      </c>
      <c r="AO127" s="2" t="str">
        <f t="shared" si="50"/>
        <v/>
      </c>
      <c r="AP127" s="2" t="str">
        <f t="shared" si="51"/>
        <v/>
      </c>
      <c r="AQ127" s="2" t="str">
        <f t="shared" si="52"/>
        <v/>
      </c>
      <c r="AR127" s="2">
        <f t="shared" si="53"/>
        <v>0.6900624928512753</v>
      </c>
      <c r="AT127" s="2" t="str">
        <f t="shared" si="67"/>
        <v/>
      </c>
      <c r="AU127" s="2" t="str">
        <f t="shared" si="68"/>
        <v/>
      </c>
      <c r="AV127" s="143">
        <f t="shared" si="69"/>
        <v>0.19039412321389948</v>
      </c>
      <c r="AW127" s="143" t="str">
        <f t="shared" si="70"/>
        <v/>
      </c>
      <c r="AX127" s="143" t="str">
        <f t="shared" si="71"/>
        <v/>
      </c>
      <c r="AY127" s="143" t="str">
        <f t="shared" si="72"/>
        <v/>
      </c>
      <c r="AZ127" s="143" t="str">
        <f t="shared" si="73"/>
        <v/>
      </c>
      <c r="BA127" s="143" t="str">
        <f t="shared" si="74"/>
        <v/>
      </c>
      <c r="BB127" s="143" t="str">
        <f t="shared" si="75"/>
        <v/>
      </c>
      <c r="BC127" s="143" t="str">
        <f t="shared" si="76"/>
        <v/>
      </c>
      <c r="BD127" s="143" t="str">
        <f t="shared" si="77"/>
        <v/>
      </c>
      <c r="BF127" s="9">
        <f t="shared" si="54"/>
        <v>8.943725036006397E-5</v>
      </c>
      <c r="BG127" s="9">
        <f t="shared" si="55"/>
        <v>0.98600152453288958</v>
      </c>
    </row>
    <row r="128" spans="2:59" x14ac:dyDescent="0.35">
      <c r="B128" s="3" t="s">
        <v>208</v>
      </c>
      <c r="D128" s="141">
        <v>74245</v>
      </c>
      <c r="E128" s="141">
        <v>63853</v>
      </c>
      <c r="F128" s="141">
        <v>47986</v>
      </c>
      <c r="G128" s="141">
        <v>42623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39"/>
        <v>228707</v>
      </c>
      <c r="R128" s="141">
        <v>54043</v>
      </c>
      <c r="S128" s="141">
        <v>45784</v>
      </c>
      <c r="T128" s="141">
        <v>31562</v>
      </c>
      <c r="U128" s="141">
        <v>26331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40"/>
        <v>157720</v>
      </c>
      <c r="AF128" s="2">
        <f t="shared" si="41"/>
        <v>0.72790086874537008</v>
      </c>
      <c r="AG128" s="2">
        <f t="shared" si="42"/>
        <v>0.7170219096988395</v>
      </c>
      <c r="AH128" s="2">
        <f t="shared" si="43"/>
        <v>0.65773350560580168</v>
      </c>
      <c r="AI128" s="2">
        <f t="shared" si="44"/>
        <v>0.61776505642493484</v>
      </c>
      <c r="AJ128" s="2" t="str">
        <f t="shared" si="45"/>
        <v/>
      </c>
      <c r="AK128" s="2" t="str">
        <f t="shared" si="46"/>
        <v/>
      </c>
      <c r="AL128" s="2" t="str">
        <f t="shared" si="47"/>
        <v/>
      </c>
      <c r="AM128" s="2" t="str">
        <f t="shared" si="48"/>
        <v/>
      </c>
      <c r="AN128" s="2" t="str">
        <f t="shared" si="49"/>
        <v/>
      </c>
      <c r="AO128" s="2" t="str">
        <f t="shared" si="50"/>
        <v/>
      </c>
      <c r="AP128" s="2" t="str">
        <f t="shared" si="51"/>
        <v/>
      </c>
      <c r="AQ128" s="2" t="str">
        <f t="shared" si="52"/>
        <v/>
      </c>
      <c r="AR128" s="2">
        <f t="shared" si="53"/>
        <v>0.68961597152688814</v>
      </c>
      <c r="AT128" s="2" t="str">
        <f t="shared" si="67"/>
        <v/>
      </c>
      <c r="AU128" s="2" t="str">
        <f t="shared" si="68"/>
        <v/>
      </c>
      <c r="AV128" s="143">
        <f t="shared" si="69"/>
        <v>-3.9968449180866839E-2</v>
      </c>
      <c r="AW128" s="143" t="str">
        <f t="shared" si="70"/>
        <v/>
      </c>
      <c r="AX128" s="143" t="str">
        <f t="shared" si="71"/>
        <v/>
      </c>
      <c r="AY128" s="143" t="str">
        <f t="shared" si="72"/>
        <v/>
      </c>
      <c r="AZ128" s="143" t="str">
        <f t="shared" si="73"/>
        <v/>
      </c>
      <c r="BA128" s="143" t="str">
        <f t="shared" si="74"/>
        <v/>
      </c>
      <c r="BB128" s="143" t="str">
        <f t="shared" si="75"/>
        <v/>
      </c>
      <c r="BC128" s="143" t="str">
        <f t="shared" si="76"/>
        <v/>
      </c>
      <c r="BD128" s="143" t="str">
        <f t="shared" si="77"/>
        <v/>
      </c>
      <c r="BF128" s="9">
        <f t="shared" si="54"/>
        <v>2.1255564955079999E-4</v>
      </c>
      <c r="BG128" s="9">
        <f t="shared" si="55"/>
        <v>0.98621408018244039</v>
      </c>
    </row>
    <row r="129" spans="2:59" x14ac:dyDescent="0.35">
      <c r="B129" s="3" t="s">
        <v>219</v>
      </c>
      <c r="D129" s="141">
        <v>62625</v>
      </c>
      <c r="E129" s="141">
        <v>58565</v>
      </c>
      <c r="F129" s="141">
        <v>116147</v>
      </c>
      <c r="G129" s="141">
        <v>60547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39"/>
        <v>297884</v>
      </c>
      <c r="R129" s="141">
        <v>48546</v>
      </c>
      <c r="S129" s="141">
        <v>45757</v>
      </c>
      <c r="T129" s="141">
        <v>89933</v>
      </c>
      <c r="U129" s="141">
        <v>49274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40"/>
        <v>233510</v>
      </c>
      <c r="AF129" s="2">
        <f t="shared" si="41"/>
        <v>0.77518562874251495</v>
      </c>
      <c r="AG129" s="2">
        <f t="shared" si="42"/>
        <v>0.78130282591991806</v>
      </c>
      <c r="AH129" s="2">
        <f t="shared" si="43"/>
        <v>0.77430325363547914</v>
      </c>
      <c r="AI129" s="2">
        <f t="shared" si="44"/>
        <v>0.81381406180322724</v>
      </c>
      <c r="AJ129" s="2" t="str">
        <f t="shared" si="45"/>
        <v/>
      </c>
      <c r="AK129" s="2" t="str">
        <f t="shared" si="46"/>
        <v/>
      </c>
      <c r="AL129" s="2" t="str">
        <f t="shared" si="47"/>
        <v/>
      </c>
      <c r="AM129" s="2" t="str">
        <f t="shared" si="48"/>
        <v/>
      </c>
      <c r="AN129" s="2" t="str">
        <f t="shared" si="49"/>
        <v/>
      </c>
      <c r="AO129" s="2" t="str">
        <f t="shared" si="50"/>
        <v/>
      </c>
      <c r="AP129" s="2" t="str">
        <f t="shared" si="51"/>
        <v/>
      </c>
      <c r="AQ129" s="2" t="str">
        <f t="shared" si="52"/>
        <v/>
      </c>
      <c r="AR129" s="2">
        <f t="shared" si="53"/>
        <v>0.78389574465228073</v>
      </c>
      <c r="AT129" s="2" t="str">
        <f t="shared" si="67"/>
        <v/>
      </c>
      <c r="AU129" s="2" t="str">
        <f t="shared" si="68"/>
        <v/>
      </c>
      <c r="AV129" s="143">
        <f t="shared" si="69"/>
        <v>3.9510808167748102E-2</v>
      </c>
      <c r="AW129" s="143" t="str">
        <f t="shared" si="70"/>
        <v/>
      </c>
      <c r="AX129" s="143" t="str">
        <f t="shared" si="71"/>
        <v/>
      </c>
      <c r="AY129" s="143" t="str">
        <f t="shared" si="72"/>
        <v/>
      </c>
      <c r="AZ129" s="143" t="str">
        <f t="shared" si="73"/>
        <v/>
      </c>
      <c r="BA129" s="143" t="str">
        <f t="shared" si="74"/>
        <v/>
      </c>
      <c r="BB129" s="143" t="str">
        <f t="shared" si="75"/>
        <v/>
      </c>
      <c r="BC129" s="143" t="str">
        <f t="shared" si="76"/>
        <v/>
      </c>
      <c r="BD129" s="143" t="str">
        <f t="shared" si="77"/>
        <v/>
      </c>
      <c r="BF129" s="9">
        <f t="shared" si="54"/>
        <v>3.1469610529170238E-4</v>
      </c>
      <c r="BG129" s="9">
        <f t="shared" si="55"/>
        <v>0.98652877628773206</v>
      </c>
    </row>
    <row r="130" spans="2:59" x14ac:dyDescent="0.35">
      <c r="B130" s="3" t="s">
        <v>223</v>
      </c>
      <c r="D130" s="141">
        <v>51634</v>
      </c>
      <c r="E130" s="141">
        <v>34824</v>
      </c>
      <c r="F130" s="141">
        <v>41597</v>
      </c>
      <c r="G130" s="141">
        <v>34490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39"/>
        <v>162545</v>
      </c>
      <c r="R130" s="141">
        <v>39039</v>
      </c>
      <c r="S130" s="141">
        <v>27126</v>
      </c>
      <c r="T130" s="141">
        <v>34608</v>
      </c>
      <c r="U130" s="141">
        <v>17436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40"/>
        <v>118209</v>
      </c>
      <c r="AF130" s="2">
        <f t="shared" si="41"/>
        <v>0.75607158074137193</v>
      </c>
      <c r="AG130" s="2">
        <f t="shared" si="42"/>
        <v>0.7789455547898001</v>
      </c>
      <c r="AH130" s="2">
        <f t="shared" si="43"/>
        <v>0.83198307570257468</v>
      </c>
      <c r="AI130" s="2">
        <f t="shared" si="44"/>
        <v>0.50553783705421862</v>
      </c>
      <c r="AJ130" s="2" t="str">
        <f t="shared" si="45"/>
        <v/>
      </c>
      <c r="AK130" s="2" t="str">
        <f t="shared" si="46"/>
        <v/>
      </c>
      <c r="AL130" s="2" t="str">
        <f t="shared" si="47"/>
        <v/>
      </c>
      <c r="AM130" s="2" t="str">
        <f t="shared" si="48"/>
        <v/>
      </c>
      <c r="AN130" s="2" t="str">
        <f t="shared" si="49"/>
        <v/>
      </c>
      <c r="AO130" s="2" t="str">
        <f t="shared" si="50"/>
        <v/>
      </c>
      <c r="AP130" s="2" t="str">
        <f t="shared" si="51"/>
        <v/>
      </c>
      <c r="AQ130" s="2" t="str">
        <f t="shared" si="52"/>
        <v/>
      </c>
      <c r="AR130" s="2">
        <f t="shared" si="53"/>
        <v>0.72723861084622721</v>
      </c>
      <c r="AT130" s="2" t="str">
        <f t="shared" si="67"/>
        <v/>
      </c>
      <c r="AU130" s="2" t="str">
        <f t="shared" si="68"/>
        <v/>
      </c>
      <c r="AV130" s="143">
        <f t="shared" si="69"/>
        <v>-0.32644523864835606</v>
      </c>
      <c r="AW130" s="143" t="str">
        <f t="shared" si="70"/>
        <v/>
      </c>
      <c r="AX130" s="143" t="str">
        <f t="shared" si="71"/>
        <v/>
      </c>
      <c r="AY130" s="143" t="str">
        <f t="shared" si="72"/>
        <v/>
      </c>
      <c r="AZ130" s="143" t="str">
        <f t="shared" si="73"/>
        <v/>
      </c>
      <c r="BA130" s="143" t="str">
        <f t="shared" si="74"/>
        <v/>
      </c>
      <c r="BB130" s="143" t="str">
        <f t="shared" si="75"/>
        <v/>
      </c>
      <c r="BC130" s="143" t="str">
        <f t="shared" si="76"/>
        <v/>
      </c>
      <c r="BD130" s="143" t="str">
        <f t="shared" si="77"/>
        <v/>
      </c>
      <c r="BF130" s="9">
        <f t="shared" si="54"/>
        <v>1.5930757530909534E-4</v>
      </c>
      <c r="BG130" s="9">
        <f t="shared" si="55"/>
        <v>0.98668808386304119</v>
      </c>
    </row>
    <row r="131" spans="2:59" x14ac:dyDescent="0.35">
      <c r="B131" s="3" t="s">
        <v>252</v>
      </c>
      <c r="D131" s="141">
        <v>5890</v>
      </c>
      <c r="E131" s="141">
        <v>8256</v>
      </c>
      <c r="F131" s="141">
        <v>49043</v>
      </c>
      <c r="G131" s="141">
        <v>5208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39"/>
        <v>68397</v>
      </c>
      <c r="R131" s="141">
        <v>3395</v>
      </c>
      <c r="S131" s="141">
        <v>5902</v>
      </c>
      <c r="T131" s="141">
        <v>19382</v>
      </c>
      <c r="U131" s="141">
        <v>4619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40"/>
        <v>33298</v>
      </c>
      <c r="AF131" s="2">
        <f t="shared" si="41"/>
        <v>0.57640067911714776</v>
      </c>
      <c r="AG131" s="2">
        <f t="shared" si="42"/>
        <v>0.71487403100775193</v>
      </c>
      <c r="AH131" s="2">
        <f t="shared" si="43"/>
        <v>0.39520420855167915</v>
      </c>
      <c r="AI131" s="2">
        <f t="shared" si="44"/>
        <v>0.88690476190476186</v>
      </c>
      <c r="AJ131" s="2" t="str">
        <f t="shared" si="45"/>
        <v/>
      </c>
      <c r="AK131" s="2" t="str">
        <f t="shared" si="46"/>
        <v/>
      </c>
      <c r="AL131" s="2" t="str">
        <f t="shared" si="47"/>
        <v/>
      </c>
      <c r="AM131" s="2" t="str">
        <f t="shared" si="48"/>
        <v/>
      </c>
      <c r="AN131" s="2" t="str">
        <f t="shared" si="49"/>
        <v/>
      </c>
      <c r="AO131" s="2" t="str">
        <f t="shared" si="50"/>
        <v/>
      </c>
      <c r="AP131" s="2" t="str">
        <f t="shared" si="51"/>
        <v/>
      </c>
      <c r="AQ131" s="2" t="str">
        <f t="shared" si="52"/>
        <v/>
      </c>
      <c r="AR131" s="2">
        <f t="shared" si="53"/>
        <v>0.48683421787505299</v>
      </c>
      <c r="AT131" s="2" t="str">
        <f t="shared" si="67"/>
        <v/>
      </c>
      <c r="AU131" s="2" t="str">
        <f t="shared" si="68"/>
        <v/>
      </c>
      <c r="AV131" s="143">
        <f t="shared" si="69"/>
        <v>0.49170055335308271</v>
      </c>
      <c r="AW131" s="143" t="str">
        <f t="shared" si="70"/>
        <v/>
      </c>
      <c r="AX131" s="143" t="str">
        <f t="shared" si="71"/>
        <v/>
      </c>
      <c r="AY131" s="143" t="str">
        <f t="shared" si="72"/>
        <v/>
      </c>
      <c r="AZ131" s="143" t="str">
        <f t="shared" si="73"/>
        <v/>
      </c>
      <c r="BA131" s="143" t="str">
        <f t="shared" si="74"/>
        <v/>
      </c>
      <c r="BB131" s="143" t="str">
        <f t="shared" si="75"/>
        <v/>
      </c>
      <c r="BC131" s="143" t="str">
        <f t="shared" si="76"/>
        <v/>
      </c>
      <c r="BD131" s="143" t="str">
        <f t="shared" si="77"/>
        <v/>
      </c>
      <c r="BF131" s="9">
        <f t="shared" si="54"/>
        <v>4.4874955736384339E-5</v>
      </c>
      <c r="BG131" s="9">
        <f t="shared" si="55"/>
        <v>0.98673295881877754</v>
      </c>
    </row>
    <row r="132" spans="2:59" x14ac:dyDescent="0.35">
      <c r="B132" s="3" t="s">
        <v>218</v>
      </c>
      <c r="D132" s="141">
        <v>37365</v>
      </c>
      <c r="E132" s="141">
        <v>32893</v>
      </c>
      <c r="F132" s="141">
        <v>48776</v>
      </c>
      <c r="G132" s="141">
        <v>20995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39"/>
        <v>140029</v>
      </c>
      <c r="R132" s="141">
        <v>25299</v>
      </c>
      <c r="S132" s="141">
        <v>22675</v>
      </c>
      <c r="T132" s="141">
        <v>36949</v>
      </c>
      <c r="U132" s="141">
        <v>14403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40"/>
        <v>99326</v>
      </c>
      <c r="AF132" s="2">
        <f t="shared" si="41"/>
        <v>0.67707747892412684</v>
      </c>
      <c r="AG132" s="2">
        <f t="shared" si="42"/>
        <v>0.68935639801781534</v>
      </c>
      <c r="AH132" s="2">
        <f t="shared" si="43"/>
        <v>0.75752419222568479</v>
      </c>
      <c r="AI132" s="2">
        <f t="shared" si="44"/>
        <v>0.68602048106692071</v>
      </c>
      <c r="AJ132" s="2" t="str">
        <f t="shared" si="45"/>
        <v/>
      </c>
      <c r="AK132" s="2" t="str">
        <f t="shared" si="46"/>
        <v/>
      </c>
      <c r="AL132" s="2" t="str">
        <f t="shared" si="47"/>
        <v/>
      </c>
      <c r="AM132" s="2" t="str">
        <f t="shared" si="48"/>
        <v/>
      </c>
      <c r="AN132" s="2" t="str">
        <f t="shared" si="49"/>
        <v/>
      </c>
      <c r="AO132" s="2" t="str">
        <f t="shared" si="50"/>
        <v/>
      </c>
      <c r="AP132" s="2" t="str">
        <f t="shared" si="51"/>
        <v/>
      </c>
      <c r="AQ132" s="2" t="str">
        <f t="shared" si="52"/>
        <v/>
      </c>
      <c r="AR132" s="2">
        <f t="shared" si="53"/>
        <v>0.70932449706846434</v>
      </c>
      <c r="AT132" s="2" t="str">
        <f t="shared" si="67"/>
        <v/>
      </c>
      <c r="AU132" s="2" t="str">
        <f t="shared" si="68"/>
        <v/>
      </c>
      <c r="AV132" s="143">
        <f t="shared" si="69"/>
        <v>-7.1503711158764083E-2</v>
      </c>
      <c r="AW132" s="143" t="str">
        <f t="shared" si="70"/>
        <v/>
      </c>
      <c r="AX132" s="143" t="str">
        <f t="shared" si="71"/>
        <v/>
      </c>
      <c r="AY132" s="143" t="str">
        <f t="shared" si="72"/>
        <v/>
      </c>
      <c r="AZ132" s="143" t="str">
        <f t="shared" si="73"/>
        <v/>
      </c>
      <c r="BA132" s="143" t="str">
        <f t="shared" si="74"/>
        <v/>
      </c>
      <c r="BB132" s="143" t="str">
        <f t="shared" si="75"/>
        <v/>
      </c>
      <c r="BC132" s="143" t="str">
        <f t="shared" si="76"/>
        <v/>
      </c>
      <c r="BD132" s="143" t="str">
        <f t="shared" si="77"/>
        <v/>
      </c>
      <c r="BF132" s="9">
        <f t="shared" si="54"/>
        <v>1.3385938655391047E-4</v>
      </c>
      <c r="BG132" s="9">
        <f t="shared" si="55"/>
        <v>0.9868668182053314</v>
      </c>
    </row>
    <row r="133" spans="2:59" x14ac:dyDescent="0.35">
      <c r="B133" s="3" t="s">
        <v>243</v>
      </c>
      <c r="D133" s="141">
        <v>15152</v>
      </c>
      <c r="E133" s="141">
        <v>15972</v>
      </c>
      <c r="F133" s="141">
        <v>14912</v>
      </c>
      <c r="G133" s="141">
        <v>6504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6" si="78">+SUM(D133:O133)</f>
        <v>52540</v>
      </c>
      <c r="R133" s="141">
        <v>14668</v>
      </c>
      <c r="S133" s="141">
        <v>15512</v>
      </c>
      <c r="T133" s="141">
        <v>11407</v>
      </c>
      <c r="U133" s="141">
        <v>6172</v>
      </c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6" si="79">+SUM(R133:AC133)</f>
        <v>47759</v>
      </c>
      <c r="AF133" s="2">
        <f t="shared" ref="AF133:AF196" si="80">+IFERROR(R133/D133,"")</f>
        <v>0.96805702217529044</v>
      </c>
      <c r="AG133" s="2">
        <f t="shared" ref="AG133:AG196" si="81">+IFERROR(S133/E133,"")</f>
        <v>0.97119959929877286</v>
      </c>
      <c r="AH133" s="2">
        <f t="shared" ref="AH133:AH196" si="82">+IFERROR(T133/F133,"")</f>
        <v>0.76495439914163088</v>
      </c>
      <c r="AI133" s="2">
        <f t="shared" ref="AI133:AI196" si="83">+IFERROR(U133/G133,"")</f>
        <v>0.94895448954489547</v>
      </c>
      <c r="AJ133" s="2" t="str">
        <f t="shared" ref="AJ133:AJ196" si="84">+IFERROR(V133/H133,"")</f>
        <v/>
      </c>
      <c r="AK133" s="2" t="str">
        <f t="shared" ref="AK133:AK196" si="85">+IFERROR(W133/I133,"")</f>
        <v/>
      </c>
      <c r="AL133" s="2" t="str">
        <f t="shared" ref="AL133:AL196" si="86">+IFERROR(X133/J133,"")</f>
        <v/>
      </c>
      <c r="AM133" s="2" t="str">
        <f t="shared" ref="AM133:AM196" si="87">+IFERROR(Y133/K133,"")</f>
        <v/>
      </c>
      <c r="AN133" s="2" t="str">
        <f t="shared" ref="AN133:AN196" si="88">+IFERROR(Z133/L133,"")</f>
        <v/>
      </c>
      <c r="AO133" s="2" t="str">
        <f t="shared" ref="AO133:AO196" si="89">+IFERROR(AA133/M133,"")</f>
        <v/>
      </c>
      <c r="AP133" s="2" t="str">
        <f t="shared" ref="AP133:AP196" si="90">+IFERROR(AB133/N133,"")</f>
        <v/>
      </c>
      <c r="AQ133" s="2" t="str">
        <f t="shared" ref="AQ133:AQ196" si="91">+IFERROR(AC133/O133,"")</f>
        <v/>
      </c>
      <c r="AR133" s="2">
        <f t="shared" ref="AR133:AR196" si="92">+IFERROR(AD133/P133,"")</f>
        <v>0.90900266463646751</v>
      </c>
      <c r="AT133" s="2" t="str">
        <f t="shared" si="67"/>
        <v/>
      </c>
      <c r="AU133" s="2" t="str">
        <f t="shared" si="68"/>
        <v/>
      </c>
      <c r="AV133" s="143">
        <f t="shared" si="69"/>
        <v>0.18400009040326459</v>
      </c>
      <c r="AW133" s="143" t="str">
        <f t="shared" si="70"/>
        <v/>
      </c>
      <c r="AX133" s="143" t="str">
        <f t="shared" si="71"/>
        <v/>
      </c>
      <c r="AY133" s="143" t="str">
        <f t="shared" si="72"/>
        <v/>
      </c>
      <c r="AZ133" s="143" t="str">
        <f t="shared" si="73"/>
        <v/>
      </c>
      <c r="BA133" s="143" t="str">
        <f t="shared" si="74"/>
        <v/>
      </c>
      <c r="BB133" s="143" t="str">
        <f t="shared" si="75"/>
        <v/>
      </c>
      <c r="BC133" s="143" t="str">
        <f t="shared" si="76"/>
        <v/>
      </c>
      <c r="BD133" s="143" t="str">
        <f t="shared" si="77"/>
        <v/>
      </c>
      <c r="BF133" s="9">
        <f t="shared" ref="BF133:BF196" si="93">+AD133/$AD$257</f>
        <v>6.4363715869240778E-5</v>
      </c>
      <c r="BG133" s="9">
        <f t="shared" si="55"/>
        <v>0.98693118192120066</v>
      </c>
    </row>
    <row r="134" spans="2:59" x14ac:dyDescent="0.35">
      <c r="B134" s="3" t="s">
        <v>305</v>
      </c>
      <c r="D134" s="141">
        <v>41991</v>
      </c>
      <c r="E134" s="141">
        <v>63170</v>
      </c>
      <c r="F134" s="141">
        <v>73461</v>
      </c>
      <c r="G134" s="141">
        <v>53133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78"/>
        <v>231755</v>
      </c>
      <c r="R134" s="141">
        <v>23973</v>
      </c>
      <c r="S134" s="141">
        <v>47668</v>
      </c>
      <c r="T134" s="141">
        <v>48322</v>
      </c>
      <c r="U134" s="141">
        <v>39586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79"/>
        <v>159549</v>
      </c>
      <c r="AF134" s="2">
        <f t="shared" si="80"/>
        <v>0.57090805172536974</v>
      </c>
      <c r="AG134" s="2">
        <f t="shared" si="81"/>
        <v>0.75459870191546619</v>
      </c>
      <c r="AH134" s="2">
        <f t="shared" si="82"/>
        <v>0.65779120894079857</v>
      </c>
      <c r="AI134" s="2">
        <f t="shared" si="83"/>
        <v>0.74503604163137782</v>
      </c>
      <c r="AJ134" s="2" t="str">
        <f t="shared" si="84"/>
        <v/>
      </c>
      <c r="AK134" s="2" t="str">
        <f t="shared" si="85"/>
        <v/>
      </c>
      <c r="AL134" s="2" t="str">
        <f t="shared" si="86"/>
        <v/>
      </c>
      <c r="AM134" s="2" t="str">
        <f t="shared" si="87"/>
        <v/>
      </c>
      <c r="AN134" s="2" t="str">
        <f t="shared" si="88"/>
        <v/>
      </c>
      <c r="AO134" s="2" t="str">
        <f t="shared" si="89"/>
        <v/>
      </c>
      <c r="AP134" s="2" t="str">
        <f t="shared" si="90"/>
        <v/>
      </c>
      <c r="AQ134" s="2" t="str">
        <f t="shared" si="91"/>
        <v/>
      </c>
      <c r="AR134" s="2">
        <f t="shared" si="92"/>
        <v>0.68843822139759658</v>
      </c>
      <c r="AT134" s="2" t="str">
        <f t="shared" si="67"/>
        <v/>
      </c>
      <c r="AU134" s="2" t="str">
        <f t="shared" si="68"/>
        <v/>
      </c>
      <c r="AV134" s="143">
        <f t="shared" si="69"/>
        <v>8.7244832690579255E-2</v>
      </c>
      <c r="AW134" s="143" t="str">
        <f t="shared" si="70"/>
        <v/>
      </c>
      <c r="AX134" s="143" t="str">
        <f t="shared" si="71"/>
        <v/>
      </c>
      <c r="AY134" s="143" t="str">
        <f t="shared" si="72"/>
        <v/>
      </c>
      <c r="AZ134" s="143" t="str">
        <f t="shared" si="73"/>
        <v/>
      </c>
      <c r="BA134" s="143" t="str">
        <f t="shared" si="74"/>
        <v/>
      </c>
      <c r="BB134" s="143" t="str">
        <f t="shared" si="75"/>
        <v/>
      </c>
      <c r="BC134" s="143" t="str">
        <f t="shared" si="76"/>
        <v/>
      </c>
      <c r="BD134" s="143" t="str">
        <f t="shared" si="77"/>
        <v/>
      </c>
      <c r="BF134" s="9">
        <f t="shared" si="93"/>
        <v>2.1502055116776937E-4</v>
      </c>
      <c r="BG134" s="9">
        <f t="shared" ref="BG134:BG197" si="94">+BF134+BG133</f>
        <v>0.98714620247236839</v>
      </c>
    </row>
    <row r="135" spans="2:59" x14ac:dyDescent="0.35">
      <c r="B135" s="3" t="s">
        <v>220</v>
      </c>
      <c r="D135" s="141">
        <v>14178</v>
      </c>
      <c r="E135" s="141">
        <v>32159</v>
      </c>
      <c r="F135" s="141">
        <v>23213</v>
      </c>
      <c r="G135" s="141">
        <v>28765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78"/>
        <v>98315</v>
      </c>
      <c r="R135" s="141">
        <v>10065</v>
      </c>
      <c r="S135" s="141">
        <v>25235</v>
      </c>
      <c r="T135" s="141">
        <v>12246</v>
      </c>
      <c r="U135" s="141">
        <v>6890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79"/>
        <v>54436</v>
      </c>
      <c r="AF135" s="2">
        <f t="shared" si="80"/>
        <v>0.70990266610241215</v>
      </c>
      <c r="AG135" s="2">
        <f t="shared" si="81"/>
        <v>0.78469479772380979</v>
      </c>
      <c r="AH135" s="2">
        <f t="shared" si="82"/>
        <v>0.52754921811054156</v>
      </c>
      <c r="AI135" s="2">
        <f t="shared" si="83"/>
        <v>0.23952720319833132</v>
      </c>
      <c r="AJ135" s="2" t="str">
        <f t="shared" si="84"/>
        <v/>
      </c>
      <c r="AK135" s="2" t="str">
        <f t="shared" si="85"/>
        <v/>
      </c>
      <c r="AL135" s="2" t="str">
        <f t="shared" si="86"/>
        <v/>
      </c>
      <c r="AM135" s="2" t="str">
        <f t="shared" si="87"/>
        <v/>
      </c>
      <c r="AN135" s="2" t="str">
        <f t="shared" si="88"/>
        <v/>
      </c>
      <c r="AO135" s="2" t="str">
        <f t="shared" si="89"/>
        <v/>
      </c>
      <c r="AP135" s="2" t="str">
        <f t="shared" si="90"/>
        <v/>
      </c>
      <c r="AQ135" s="2" t="str">
        <f t="shared" si="91"/>
        <v/>
      </c>
      <c r="AR135" s="2">
        <f t="shared" si="92"/>
        <v>0.55368967095560184</v>
      </c>
      <c r="AT135" s="2" t="str">
        <f t="shared" si="67"/>
        <v/>
      </c>
      <c r="AU135" s="2" t="str">
        <f t="shared" si="68"/>
        <v/>
      </c>
      <c r="AV135" s="143">
        <f t="shared" si="69"/>
        <v>-0.28802201491221024</v>
      </c>
      <c r="AW135" s="143" t="str">
        <f t="shared" si="70"/>
        <v/>
      </c>
      <c r="AX135" s="143" t="str">
        <f t="shared" si="71"/>
        <v/>
      </c>
      <c r="AY135" s="143" t="str">
        <f t="shared" si="72"/>
        <v/>
      </c>
      <c r="AZ135" s="143" t="str">
        <f t="shared" si="73"/>
        <v/>
      </c>
      <c r="BA135" s="143" t="str">
        <f t="shared" si="74"/>
        <v/>
      </c>
      <c r="BB135" s="143" t="str">
        <f t="shared" si="75"/>
        <v/>
      </c>
      <c r="BC135" s="143" t="str">
        <f t="shared" si="76"/>
        <v/>
      </c>
      <c r="BD135" s="143" t="str">
        <f t="shared" si="77"/>
        <v/>
      </c>
      <c r="BF135" s="9">
        <f t="shared" si="93"/>
        <v>7.3362156599970506E-5</v>
      </c>
      <c r="BG135" s="9">
        <f t="shared" si="94"/>
        <v>0.98721956462896832</v>
      </c>
    </row>
    <row r="136" spans="2:59" x14ac:dyDescent="0.35">
      <c r="B136" s="3" t="s">
        <v>244</v>
      </c>
      <c r="D136" s="141">
        <v>58596</v>
      </c>
      <c r="E136" s="141">
        <v>213454</v>
      </c>
      <c r="F136" s="141">
        <v>197572</v>
      </c>
      <c r="G136" s="141">
        <v>58211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78"/>
        <v>527833</v>
      </c>
      <c r="R136" s="141">
        <v>48264</v>
      </c>
      <c r="S136" s="141">
        <v>158165</v>
      </c>
      <c r="T136" s="141">
        <v>142754</v>
      </c>
      <c r="U136" s="141">
        <v>44534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79"/>
        <v>393717</v>
      </c>
      <c r="AF136" s="2">
        <f t="shared" si="80"/>
        <v>0.82367397091951666</v>
      </c>
      <c r="AG136" s="2">
        <f t="shared" si="81"/>
        <v>0.74097932107151887</v>
      </c>
      <c r="AH136" s="2">
        <f t="shared" si="82"/>
        <v>0.72254165570020046</v>
      </c>
      <c r="AI136" s="2">
        <f t="shared" si="83"/>
        <v>0.76504440741440616</v>
      </c>
      <c r="AJ136" s="2" t="str">
        <f t="shared" si="84"/>
        <v/>
      </c>
      <c r="AK136" s="2" t="str">
        <f t="shared" si="85"/>
        <v/>
      </c>
      <c r="AL136" s="2" t="str">
        <f t="shared" si="86"/>
        <v/>
      </c>
      <c r="AM136" s="2" t="str">
        <f t="shared" si="87"/>
        <v/>
      </c>
      <c r="AN136" s="2" t="str">
        <f t="shared" si="88"/>
        <v/>
      </c>
      <c r="AO136" s="2" t="str">
        <f t="shared" si="89"/>
        <v/>
      </c>
      <c r="AP136" s="2" t="str">
        <f t="shared" si="90"/>
        <v/>
      </c>
      <c r="AQ136" s="2" t="str">
        <f t="shared" si="91"/>
        <v/>
      </c>
      <c r="AR136" s="2">
        <f t="shared" si="92"/>
        <v>0.74591205930663673</v>
      </c>
      <c r="AT136" s="2" t="str">
        <f t="shared" si="67"/>
        <v/>
      </c>
      <c r="AU136" s="2" t="str">
        <f t="shared" si="68"/>
        <v/>
      </c>
      <c r="AV136" s="143">
        <f t="shared" si="69"/>
        <v>4.25027517142057E-2</v>
      </c>
      <c r="AW136" s="143" t="str">
        <f t="shared" si="70"/>
        <v/>
      </c>
      <c r="AX136" s="143" t="str">
        <f t="shared" si="71"/>
        <v/>
      </c>
      <c r="AY136" s="143" t="str">
        <f t="shared" si="72"/>
        <v/>
      </c>
      <c r="AZ136" s="143" t="str">
        <f t="shared" si="73"/>
        <v/>
      </c>
      <c r="BA136" s="143" t="str">
        <f t="shared" si="74"/>
        <v/>
      </c>
      <c r="BB136" s="143" t="str">
        <f t="shared" si="75"/>
        <v/>
      </c>
      <c r="BC136" s="143" t="str">
        <f t="shared" si="76"/>
        <v/>
      </c>
      <c r="BD136" s="143" t="str">
        <f t="shared" si="77"/>
        <v/>
      </c>
      <c r="BF136" s="9">
        <f t="shared" si="93"/>
        <v>5.3060342806360837E-4</v>
      </c>
      <c r="BG136" s="9">
        <f t="shared" si="94"/>
        <v>0.98775016805703197</v>
      </c>
    </row>
    <row r="137" spans="2:59" x14ac:dyDescent="0.35">
      <c r="B137" s="3" t="s">
        <v>193</v>
      </c>
      <c r="D137" s="141">
        <v>1248998</v>
      </c>
      <c r="E137" s="141">
        <v>1115107</v>
      </c>
      <c r="F137" s="141">
        <v>1207320</v>
      </c>
      <c r="G137" s="141">
        <v>1171670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78"/>
        <v>4743095</v>
      </c>
      <c r="R137" s="141">
        <v>887579</v>
      </c>
      <c r="S137" s="141">
        <v>778209</v>
      </c>
      <c r="T137" s="141">
        <v>729857</v>
      </c>
      <c r="U137" s="141">
        <v>740365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79"/>
        <v>3136010</v>
      </c>
      <c r="AF137" s="2">
        <f t="shared" si="80"/>
        <v>0.71063284328717902</v>
      </c>
      <c r="AG137" s="2">
        <f t="shared" si="81"/>
        <v>0.6978783201970753</v>
      </c>
      <c r="AH137" s="2">
        <f t="shared" si="82"/>
        <v>0.60452655468309979</v>
      </c>
      <c r="AI137" s="2">
        <f t="shared" si="83"/>
        <v>0.63188867172497376</v>
      </c>
      <c r="AJ137" s="2" t="str">
        <f t="shared" si="84"/>
        <v/>
      </c>
      <c r="AK137" s="2" t="str">
        <f t="shared" si="85"/>
        <v/>
      </c>
      <c r="AL137" s="2" t="str">
        <f t="shared" si="86"/>
        <v/>
      </c>
      <c r="AM137" s="2" t="str">
        <f t="shared" si="87"/>
        <v/>
      </c>
      <c r="AN137" s="2" t="str">
        <f t="shared" si="88"/>
        <v/>
      </c>
      <c r="AO137" s="2" t="str">
        <f t="shared" si="89"/>
        <v/>
      </c>
      <c r="AP137" s="2" t="str">
        <f t="shared" si="90"/>
        <v/>
      </c>
      <c r="AQ137" s="2" t="str">
        <f t="shared" si="91"/>
        <v/>
      </c>
      <c r="AR137" s="2">
        <f t="shared" si="92"/>
        <v>0.6611737694480081</v>
      </c>
      <c r="AT137" s="2" t="str">
        <f t="shared" si="67"/>
        <v/>
      </c>
      <c r="AU137" s="2" t="str">
        <f t="shared" si="68"/>
        <v/>
      </c>
      <c r="AV137" s="143">
        <f t="shared" si="69"/>
        <v>2.7362117041873968E-2</v>
      </c>
      <c r="AW137" s="143" t="str">
        <f t="shared" si="70"/>
        <v/>
      </c>
      <c r="AX137" s="143" t="str">
        <f t="shared" si="71"/>
        <v/>
      </c>
      <c r="AY137" s="143" t="str">
        <f t="shared" si="72"/>
        <v/>
      </c>
      <c r="AZ137" s="143" t="str">
        <f t="shared" si="73"/>
        <v/>
      </c>
      <c r="BA137" s="143" t="str">
        <f t="shared" si="74"/>
        <v/>
      </c>
      <c r="BB137" s="143" t="str">
        <f t="shared" si="75"/>
        <v/>
      </c>
      <c r="BC137" s="143" t="str">
        <f t="shared" si="76"/>
        <v/>
      </c>
      <c r="BD137" s="143" t="str">
        <f t="shared" si="77"/>
        <v/>
      </c>
      <c r="BF137" s="9">
        <f t="shared" si="93"/>
        <v>4.2263292071253126E-3</v>
      </c>
      <c r="BG137" s="9">
        <f t="shared" si="94"/>
        <v>0.99197649726415726</v>
      </c>
    </row>
    <row r="138" spans="2:59" x14ac:dyDescent="0.35">
      <c r="B138" s="3" t="s">
        <v>274</v>
      </c>
      <c r="D138" s="141">
        <v>20181</v>
      </c>
      <c r="E138" s="141">
        <v>18717</v>
      </c>
      <c r="F138" s="141">
        <v>51775</v>
      </c>
      <c r="G138" s="141">
        <v>26135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78"/>
        <v>116808</v>
      </c>
      <c r="R138" s="141">
        <v>16629</v>
      </c>
      <c r="S138" s="141">
        <v>9988</v>
      </c>
      <c r="T138" s="141">
        <v>22050</v>
      </c>
      <c r="U138" s="141">
        <v>17979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79"/>
        <v>66646</v>
      </c>
      <c r="AF138" s="2">
        <f t="shared" si="80"/>
        <v>0.82399286457559096</v>
      </c>
      <c r="AG138" s="2">
        <f t="shared" si="81"/>
        <v>0.53363252658011429</v>
      </c>
      <c r="AH138" s="2">
        <f t="shared" si="82"/>
        <v>0.42588121680347657</v>
      </c>
      <c r="AI138" s="2">
        <f t="shared" si="83"/>
        <v>0.68792806581212929</v>
      </c>
      <c r="AJ138" s="2" t="str">
        <f t="shared" si="84"/>
        <v/>
      </c>
      <c r="AK138" s="2" t="str">
        <f t="shared" si="85"/>
        <v/>
      </c>
      <c r="AL138" s="2" t="str">
        <f t="shared" si="86"/>
        <v/>
      </c>
      <c r="AM138" s="2" t="str">
        <f t="shared" si="87"/>
        <v/>
      </c>
      <c r="AN138" s="2" t="str">
        <f t="shared" si="88"/>
        <v/>
      </c>
      <c r="AO138" s="2" t="str">
        <f t="shared" si="89"/>
        <v/>
      </c>
      <c r="AP138" s="2" t="str">
        <f t="shared" si="90"/>
        <v/>
      </c>
      <c r="AQ138" s="2" t="str">
        <f t="shared" si="91"/>
        <v/>
      </c>
      <c r="AR138" s="2">
        <f t="shared" si="92"/>
        <v>0.57056023560030134</v>
      </c>
      <c r="AT138" s="2" t="str">
        <f t="shared" si="67"/>
        <v/>
      </c>
      <c r="AU138" s="2" t="str">
        <f t="shared" si="68"/>
        <v/>
      </c>
      <c r="AV138" s="143">
        <f t="shared" si="69"/>
        <v>0.26204684900865272</v>
      </c>
      <c r="AW138" s="143" t="str">
        <f t="shared" si="70"/>
        <v/>
      </c>
      <c r="AX138" s="143" t="str">
        <f t="shared" si="71"/>
        <v/>
      </c>
      <c r="AY138" s="143" t="str">
        <f t="shared" si="72"/>
        <v/>
      </c>
      <c r="AZ138" s="143" t="str">
        <f t="shared" si="73"/>
        <v/>
      </c>
      <c r="BA138" s="143" t="str">
        <f t="shared" si="74"/>
        <v/>
      </c>
      <c r="BB138" s="143" t="str">
        <f t="shared" si="75"/>
        <v/>
      </c>
      <c r="BC138" s="143" t="str">
        <f t="shared" si="76"/>
        <v/>
      </c>
      <c r="BD138" s="143" t="str">
        <f t="shared" si="77"/>
        <v/>
      </c>
      <c r="BF138" s="9">
        <f t="shared" si="93"/>
        <v>8.9817295333265382E-5</v>
      </c>
      <c r="BG138" s="9">
        <f t="shared" si="94"/>
        <v>0.99206631455949057</v>
      </c>
    </row>
    <row r="139" spans="2:59" x14ac:dyDescent="0.35">
      <c r="B139" s="3" t="s">
        <v>221</v>
      </c>
      <c r="D139" s="141">
        <v>22817</v>
      </c>
      <c r="E139" s="141">
        <v>34795</v>
      </c>
      <c r="F139" s="141">
        <v>55534</v>
      </c>
      <c r="G139" s="141">
        <v>14014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78"/>
        <v>127160</v>
      </c>
      <c r="R139" s="141">
        <v>18638</v>
      </c>
      <c r="S139" s="141">
        <v>24024</v>
      </c>
      <c r="T139" s="141">
        <v>44143</v>
      </c>
      <c r="U139" s="141">
        <v>10428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79"/>
        <v>97233</v>
      </c>
      <c r="AF139" s="2">
        <f t="shared" si="80"/>
        <v>0.81684708769776926</v>
      </c>
      <c r="AG139" s="2">
        <f t="shared" si="81"/>
        <v>0.69044402931455673</v>
      </c>
      <c r="AH139" s="2">
        <f t="shared" si="82"/>
        <v>0.7948824143767782</v>
      </c>
      <c r="AI139" s="2">
        <f t="shared" si="83"/>
        <v>0.74411302982731553</v>
      </c>
      <c r="AJ139" s="2" t="str">
        <f t="shared" si="84"/>
        <v/>
      </c>
      <c r="AK139" s="2" t="str">
        <f t="shared" si="85"/>
        <v/>
      </c>
      <c r="AL139" s="2" t="str">
        <f t="shared" si="86"/>
        <v/>
      </c>
      <c r="AM139" s="2" t="str">
        <f t="shared" si="87"/>
        <v/>
      </c>
      <c r="AN139" s="2" t="str">
        <f t="shared" si="88"/>
        <v/>
      </c>
      <c r="AO139" s="2" t="str">
        <f t="shared" si="89"/>
        <v/>
      </c>
      <c r="AP139" s="2" t="str">
        <f t="shared" si="90"/>
        <v/>
      </c>
      <c r="AQ139" s="2" t="str">
        <f t="shared" si="91"/>
        <v/>
      </c>
      <c r="AR139" s="2">
        <f t="shared" si="92"/>
        <v>0.76465083359547026</v>
      </c>
      <c r="AT139" s="2" t="str">
        <f t="shared" si="67"/>
        <v/>
      </c>
      <c r="AU139" s="2" t="str">
        <f t="shared" si="68"/>
        <v/>
      </c>
      <c r="AV139" s="143">
        <f t="shared" si="69"/>
        <v>-5.0769384549462671E-2</v>
      </c>
      <c r="AW139" s="143" t="str">
        <f t="shared" si="70"/>
        <v/>
      </c>
      <c r="AX139" s="143" t="str">
        <f t="shared" si="71"/>
        <v/>
      </c>
      <c r="AY139" s="143" t="str">
        <f t="shared" si="72"/>
        <v/>
      </c>
      <c r="AZ139" s="143" t="str">
        <f t="shared" si="73"/>
        <v/>
      </c>
      <c r="BA139" s="143" t="str">
        <f t="shared" si="74"/>
        <v/>
      </c>
      <c r="BB139" s="143" t="str">
        <f t="shared" si="75"/>
        <v/>
      </c>
      <c r="BC139" s="143" t="str">
        <f t="shared" si="76"/>
        <v/>
      </c>
      <c r="BD139" s="143" t="str">
        <f t="shared" si="77"/>
        <v/>
      </c>
      <c r="BF139" s="9">
        <f t="shared" si="93"/>
        <v>1.3103869815351849E-4</v>
      </c>
      <c r="BG139" s="9">
        <f t="shared" si="94"/>
        <v>0.99219735325764413</v>
      </c>
    </row>
    <row r="140" spans="2:59" x14ac:dyDescent="0.35">
      <c r="B140" s="3" t="s">
        <v>216</v>
      </c>
      <c r="D140" s="141">
        <v>22945</v>
      </c>
      <c r="E140" s="141">
        <v>9101</v>
      </c>
      <c r="F140" s="141">
        <v>107333</v>
      </c>
      <c r="G140" s="141">
        <v>7980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78"/>
        <v>147359</v>
      </c>
      <c r="R140" s="141">
        <v>2405</v>
      </c>
      <c r="S140" s="141">
        <v>4276</v>
      </c>
      <c r="T140" s="141">
        <v>77771</v>
      </c>
      <c r="U140" s="141">
        <v>7021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79"/>
        <v>91473</v>
      </c>
      <c r="AF140" s="2">
        <f t="shared" si="80"/>
        <v>0.10481586402266289</v>
      </c>
      <c r="AG140" s="2">
        <f t="shared" si="81"/>
        <v>0.46983847928799033</v>
      </c>
      <c r="AH140" s="2">
        <f t="shared" si="82"/>
        <v>0.72457678439995155</v>
      </c>
      <c r="AI140" s="2">
        <f t="shared" si="83"/>
        <v>0.87982456140350873</v>
      </c>
      <c r="AJ140" s="2" t="str">
        <f t="shared" si="84"/>
        <v/>
      </c>
      <c r="AK140" s="2" t="str">
        <f t="shared" si="85"/>
        <v/>
      </c>
      <c r="AL140" s="2" t="str">
        <f t="shared" si="86"/>
        <v/>
      </c>
      <c r="AM140" s="2" t="str">
        <f t="shared" si="87"/>
        <v/>
      </c>
      <c r="AN140" s="2" t="str">
        <f t="shared" si="88"/>
        <v/>
      </c>
      <c r="AO140" s="2" t="str">
        <f t="shared" si="89"/>
        <v/>
      </c>
      <c r="AP140" s="2" t="str">
        <f t="shared" si="90"/>
        <v/>
      </c>
      <c r="AQ140" s="2" t="str">
        <f t="shared" si="91"/>
        <v/>
      </c>
      <c r="AR140" s="2">
        <f t="shared" si="92"/>
        <v>0.62074932647479963</v>
      </c>
      <c r="AT140" s="2" t="str">
        <f t="shared" si="67"/>
        <v/>
      </c>
      <c r="AU140" s="2" t="str">
        <f t="shared" si="68"/>
        <v/>
      </c>
      <c r="AV140" s="143">
        <f t="shared" si="69"/>
        <v>0.15524777700355719</v>
      </c>
      <c r="AW140" s="143" t="str">
        <f t="shared" si="70"/>
        <v/>
      </c>
      <c r="AX140" s="143" t="str">
        <f t="shared" si="71"/>
        <v/>
      </c>
      <c r="AY140" s="143" t="str">
        <f t="shared" si="72"/>
        <v/>
      </c>
      <c r="AZ140" s="143" t="str">
        <f t="shared" si="73"/>
        <v/>
      </c>
      <c r="BA140" s="143" t="str">
        <f t="shared" si="74"/>
        <v/>
      </c>
      <c r="BB140" s="143" t="str">
        <f t="shared" si="75"/>
        <v/>
      </c>
      <c r="BC140" s="143" t="str">
        <f t="shared" si="76"/>
        <v/>
      </c>
      <c r="BD140" s="143" t="str">
        <f t="shared" si="77"/>
        <v/>
      </c>
      <c r="BF140" s="9">
        <f t="shared" si="93"/>
        <v>1.232760774242983E-4</v>
      </c>
      <c r="BG140" s="9">
        <f t="shared" si="94"/>
        <v>0.99232062933506848</v>
      </c>
    </row>
    <row r="141" spans="2:59" x14ac:dyDescent="0.35">
      <c r="B141" s="3" t="s">
        <v>239</v>
      </c>
      <c r="D141" s="141">
        <v>7953</v>
      </c>
      <c r="E141" s="141">
        <v>13148</v>
      </c>
      <c r="F141" s="141">
        <v>18979</v>
      </c>
      <c r="G141" s="141">
        <v>6136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78"/>
        <v>46216</v>
      </c>
      <c r="R141" s="141">
        <v>6587</v>
      </c>
      <c r="S141" s="141">
        <v>11264</v>
      </c>
      <c r="T141" s="141">
        <v>10485</v>
      </c>
      <c r="U141" s="141">
        <v>3523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79"/>
        <v>31859</v>
      </c>
      <c r="AF141" s="2">
        <f t="shared" si="80"/>
        <v>0.82824091537784483</v>
      </c>
      <c r="AG141" s="2">
        <f t="shared" si="81"/>
        <v>0.85670824459993911</v>
      </c>
      <c r="AH141" s="2">
        <f t="shared" si="82"/>
        <v>0.5524527108909848</v>
      </c>
      <c r="AI141" s="2">
        <f t="shared" si="83"/>
        <v>0.57415254237288138</v>
      </c>
      <c r="AJ141" s="2" t="str">
        <f t="shared" si="84"/>
        <v/>
      </c>
      <c r="AK141" s="2" t="str">
        <f t="shared" si="85"/>
        <v/>
      </c>
      <c r="AL141" s="2" t="str">
        <f t="shared" si="86"/>
        <v/>
      </c>
      <c r="AM141" s="2" t="str">
        <f t="shared" si="87"/>
        <v/>
      </c>
      <c r="AN141" s="2" t="str">
        <f t="shared" si="88"/>
        <v/>
      </c>
      <c r="AO141" s="2" t="str">
        <f t="shared" si="89"/>
        <v/>
      </c>
      <c r="AP141" s="2" t="str">
        <f t="shared" si="90"/>
        <v/>
      </c>
      <c r="AQ141" s="2" t="str">
        <f t="shared" si="91"/>
        <v/>
      </c>
      <c r="AR141" s="2">
        <f t="shared" si="92"/>
        <v>0.68935000865501128</v>
      </c>
      <c r="AT141" s="2" t="str">
        <f t="shared" si="67"/>
        <v/>
      </c>
      <c r="AU141" s="2" t="str">
        <f t="shared" si="68"/>
        <v/>
      </c>
      <c r="AV141" s="143">
        <f t="shared" si="69"/>
        <v>2.1699831481896581E-2</v>
      </c>
      <c r="AW141" s="143" t="str">
        <f t="shared" si="70"/>
        <v/>
      </c>
      <c r="AX141" s="143" t="str">
        <f t="shared" si="71"/>
        <v/>
      </c>
      <c r="AY141" s="143" t="str">
        <f t="shared" si="72"/>
        <v/>
      </c>
      <c r="AZ141" s="143" t="str">
        <f t="shared" si="73"/>
        <v/>
      </c>
      <c r="BA141" s="143" t="str">
        <f t="shared" si="74"/>
        <v/>
      </c>
      <c r="BB141" s="143" t="str">
        <f t="shared" si="75"/>
        <v/>
      </c>
      <c r="BC141" s="143" t="str">
        <f t="shared" si="76"/>
        <v/>
      </c>
      <c r="BD141" s="143" t="str">
        <f t="shared" si="77"/>
        <v/>
      </c>
      <c r="BF141" s="9">
        <f t="shared" si="93"/>
        <v>4.2935648231289225E-5</v>
      </c>
      <c r="BG141" s="9">
        <f t="shared" si="94"/>
        <v>0.99236356498329981</v>
      </c>
    </row>
    <row r="142" spans="2:59" x14ac:dyDescent="0.35">
      <c r="B142" s="3" t="s">
        <v>251</v>
      </c>
      <c r="D142" s="141">
        <v>201000</v>
      </c>
      <c r="E142" s="141">
        <v>171618</v>
      </c>
      <c r="F142" s="141">
        <v>393875</v>
      </c>
      <c r="G142" s="141">
        <v>113230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78"/>
        <v>879723</v>
      </c>
      <c r="R142" s="141">
        <v>164062</v>
      </c>
      <c r="S142" s="141">
        <v>128584</v>
      </c>
      <c r="T142" s="141">
        <v>281028</v>
      </c>
      <c r="U142" s="141">
        <v>63396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79"/>
        <v>637070</v>
      </c>
      <c r="AF142" s="2">
        <f t="shared" si="80"/>
        <v>0.81622885572139303</v>
      </c>
      <c r="AG142" s="2">
        <f t="shared" si="81"/>
        <v>0.74924541714738546</v>
      </c>
      <c r="AH142" s="2">
        <f t="shared" si="82"/>
        <v>0.7134953982862583</v>
      </c>
      <c r="AI142" s="2">
        <f t="shared" si="83"/>
        <v>0.55988695575377545</v>
      </c>
      <c r="AJ142" s="2" t="str">
        <f t="shared" si="84"/>
        <v/>
      </c>
      <c r="AK142" s="2" t="str">
        <f t="shared" si="85"/>
        <v/>
      </c>
      <c r="AL142" s="2" t="str">
        <f t="shared" si="86"/>
        <v/>
      </c>
      <c r="AM142" s="2" t="str">
        <f t="shared" si="87"/>
        <v/>
      </c>
      <c r="AN142" s="2" t="str">
        <f t="shared" si="88"/>
        <v/>
      </c>
      <c r="AO142" s="2" t="str">
        <f t="shared" si="89"/>
        <v/>
      </c>
      <c r="AP142" s="2" t="str">
        <f t="shared" si="90"/>
        <v/>
      </c>
      <c r="AQ142" s="2" t="str">
        <f t="shared" si="91"/>
        <v/>
      </c>
      <c r="AR142" s="2">
        <f t="shared" si="92"/>
        <v>0.72417113114014298</v>
      </c>
      <c r="AT142" s="2" t="str">
        <f t="shared" ref="AT142:AT173" si="95">+IFERROR(AM142-AL142,"")</f>
        <v/>
      </c>
      <c r="AU142" s="2" t="str">
        <f t="shared" ref="AU142:AU173" si="96">+IFERROR(AN142-AM142,"")</f>
        <v/>
      </c>
      <c r="AV142" s="143">
        <f t="shared" ref="AV142:AV173" si="97">+IFERROR(AI142-AH142,"")</f>
        <v>-0.15360844253248285</v>
      </c>
      <c r="AW142" s="143" t="str">
        <f t="shared" ref="AW142:AW173" si="98">+IFERROR(AJ142-AI142,"")</f>
        <v/>
      </c>
      <c r="AX142" s="143" t="str">
        <f t="shared" ref="AX142:AX173" si="99">+IFERROR(AK142-AJ142,"")</f>
        <v/>
      </c>
      <c r="AY142" s="143" t="str">
        <f t="shared" ref="AY142:AY173" si="100">+IFERROR(AL142-AK142,"")</f>
        <v/>
      </c>
      <c r="AZ142" s="143" t="str">
        <f t="shared" ref="AZ142:AZ173" si="101">+IFERROR(AM142-AL142,"")</f>
        <v/>
      </c>
      <c r="BA142" s="143" t="str">
        <f t="shared" ref="BA142:BA173" si="102">+IFERROR(AN142-AM142,"")</f>
        <v/>
      </c>
      <c r="BB142" s="143" t="str">
        <f t="shared" ref="BB142:BB173" si="103">+IFERROR(AO142-AN142,"")</f>
        <v/>
      </c>
      <c r="BC142" s="143" t="str">
        <f t="shared" ref="BC142:BC173" si="104">+IFERROR(AP142-AO142,"")</f>
        <v/>
      </c>
      <c r="BD142" s="143" t="str">
        <f t="shared" ref="BD142:BD173" si="105">+IFERROR(AQ142-AP142,"")</f>
        <v/>
      </c>
      <c r="BF142" s="9">
        <f t="shared" si="93"/>
        <v>8.5856472013269179E-4</v>
      </c>
      <c r="BG142" s="9">
        <f t="shared" si="94"/>
        <v>0.99322212970343249</v>
      </c>
    </row>
    <row r="143" spans="2:59" x14ac:dyDescent="0.35">
      <c r="B143" s="3" t="s">
        <v>226</v>
      </c>
      <c r="D143" s="141">
        <v>28211</v>
      </c>
      <c r="E143" s="141">
        <v>27824</v>
      </c>
      <c r="F143" s="141">
        <v>37500</v>
      </c>
      <c r="G143" s="141">
        <v>34088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78"/>
        <v>127623</v>
      </c>
      <c r="R143" s="141">
        <v>27762</v>
      </c>
      <c r="S143" s="141">
        <v>26699</v>
      </c>
      <c r="T143" s="141">
        <v>22631</v>
      </c>
      <c r="U143" s="141">
        <v>34088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79"/>
        <v>111180</v>
      </c>
      <c r="AF143" s="2">
        <f t="shared" si="80"/>
        <v>0.9840842224664138</v>
      </c>
      <c r="AG143" s="2">
        <f t="shared" si="81"/>
        <v>0.95956728004600345</v>
      </c>
      <c r="AH143" s="2">
        <f t="shared" si="82"/>
        <v>0.60349333333333333</v>
      </c>
      <c r="AI143" s="2">
        <f t="shared" si="83"/>
        <v>1</v>
      </c>
      <c r="AJ143" s="2" t="str">
        <f t="shared" si="84"/>
        <v/>
      </c>
      <c r="AK143" s="2" t="str">
        <f t="shared" si="85"/>
        <v/>
      </c>
      <c r="AL143" s="2" t="str">
        <f t="shared" si="86"/>
        <v/>
      </c>
      <c r="AM143" s="2" t="str">
        <f t="shared" si="87"/>
        <v/>
      </c>
      <c r="AN143" s="2" t="str">
        <f t="shared" si="88"/>
        <v/>
      </c>
      <c r="AO143" s="2" t="str">
        <f t="shared" si="89"/>
        <v/>
      </c>
      <c r="AP143" s="2" t="str">
        <f t="shared" si="90"/>
        <v/>
      </c>
      <c r="AQ143" s="2" t="str">
        <f t="shared" si="91"/>
        <v/>
      </c>
      <c r="AR143" s="2">
        <f t="shared" si="92"/>
        <v>0.87115958722173903</v>
      </c>
      <c r="AT143" s="2" t="str">
        <f t="shared" si="95"/>
        <v/>
      </c>
      <c r="AU143" s="2" t="str">
        <f t="shared" si="96"/>
        <v/>
      </c>
      <c r="AV143" s="143">
        <f t="shared" si="97"/>
        <v>0.39650666666666667</v>
      </c>
      <c r="AW143" s="143" t="str">
        <f t="shared" si="98"/>
        <v/>
      </c>
      <c r="AX143" s="143" t="str">
        <f t="shared" si="99"/>
        <v/>
      </c>
      <c r="AY143" s="143" t="str">
        <f t="shared" si="100"/>
        <v/>
      </c>
      <c r="AZ143" s="143" t="str">
        <f t="shared" si="101"/>
        <v/>
      </c>
      <c r="BA143" s="143" t="str">
        <f t="shared" si="102"/>
        <v/>
      </c>
      <c r="BB143" s="143" t="str">
        <f t="shared" si="103"/>
        <v/>
      </c>
      <c r="BC143" s="143" t="str">
        <f t="shared" si="104"/>
        <v/>
      </c>
      <c r="BD143" s="143" t="str">
        <f t="shared" si="105"/>
        <v/>
      </c>
      <c r="BF143" s="9">
        <f t="shared" si="93"/>
        <v>1.4983475220046883E-4</v>
      </c>
      <c r="BG143" s="9">
        <f t="shared" si="94"/>
        <v>0.99337196445563292</v>
      </c>
    </row>
    <row r="144" spans="2:59" x14ac:dyDescent="0.35">
      <c r="B144" s="3" t="s">
        <v>235</v>
      </c>
      <c r="D144" s="141">
        <v>14155</v>
      </c>
      <c r="E144" s="141">
        <v>6439</v>
      </c>
      <c r="F144" s="141">
        <v>14459</v>
      </c>
      <c r="G144" s="141">
        <v>6594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78"/>
        <v>41647</v>
      </c>
      <c r="R144" s="141">
        <v>10142</v>
      </c>
      <c r="S144" s="141">
        <v>3182</v>
      </c>
      <c r="T144" s="141">
        <v>13735</v>
      </c>
      <c r="U144" s="141">
        <v>6314</v>
      </c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79"/>
        <v>33373</v>
      </c>
      <c r="AF144" s="2">
        <f t="shared" si="80"/>
        <v>0.71649593783115506</v>
      </c>
      <c r="AG144" s="2">
        <f t="shared" si="81"/>
        <v>0.49417611430346325</v>
      </c>
      <c r="AH144" s="2">
        <f t="shared" si="82"/>
        <v>0.94992738087004636</v>
      </c>
      <c r="AI144" s="2">
        <f t="shared" si="83"/>
        <v>0.9575371549893843</v>
      </c>
      <c r="AJ144" s="2" t="str">
        <f t="shared" si="84"/>
        <v/>
      </c>
      <c r="AK144" s="2" t="str">
        <f t="shared" si="85"/>
        <v/>
      </c>
      <c r="AL144" s="2" t="str">
        <f t="shared" si="86"/>
        <v/>
      </c>
      <c r="AM144" s="2" t="str">
        <f t="shared" si="87"/>
        <v/>
      </c>
      <c r="AN144" s="2" t="str">
        <f t="shared" si="88"/>
        <v/>
      </c>
      <c r="AO144" s="2" t="str">
        <f t="shared" si="89"/>
        <v/>
      </c>
      <c r="AP144" s="2" t="str">
        <f t="shared" si="90"/>
        <v/>
      </c>
      <c r="AQ144" s="2" t="str">
        <f t="shared" si="91"/>
        <v/>
      </c>
      <c r="AR144" s="2">
        <f t="shared" si="92"/>
        <v>0.80133022786755348</v>
      </c>
      <c r="AT144" s="2" t="str">
        <f t="shared" si="95"/>
        <v/>
      </c>
      <c r="AU144" s="2" t="str">
        <f t="shared" si="96"/>
        <v/>
      </c>
      <c r="AV144" s="143">
        <f t="shared" si="97"/>
        <v>7.609774119337942E-3</v>
      </c>
      <c r="AW144" s="143" t="str">
        <f t="shared" si="98"/>
        <v/>
      </c>
      <c r="AX144" s="143" t="str">
        <f t="shared" si="99"/>
        <v/>
      </c>
      <c r="AY144" s="143" t="str">
        <f t="shared" si="100"/>
        <v/>
      </c>
      <c r="AZ144" s="143" t="str">
        <f t="shared" si="101"/>
        <v/>
      </c>
      <c r="BA144" s="143" t="str">
        <f t="shared" si="102"/>
        <v/>
      </c>
      <c r="BB144" s="143" t="str">
        <f t="shared" si="103"/>
        <v/>
      </c>
      <c r="BC144" s="143" t="str">
        <f t="shared" si="104"/>
        <v/>
      </c>
      <c r="BD144" s="143" t="str">
        <f t="shared" si="105"/>
        <v/>
      </c>
      <c r="BF144" s="9">
        <f t="shared" si="93"/>
        <v>4.4976031527129395E-5</v>
      </c>
      <c r="BG144" s="9">
        <f t="shared" si="94"/>
        <v>0.99341694048716001</v>
      </c>
    </row>
    <row r="145" spans="2:59" x14ac:dyDescent="0.35">
      <c r="B145" s="3" t="s">
        <v>289</v>
      </c>
      <c r="D145" s="141">
        <v>32204</v>
      </c>
      <c r="E145" s="141">
        <v>52323</v>
      </c>
      <c r="F145" s="141">
        <v>582294</v>
      </c>
      <c r="G145" s="141">
        <v>51184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78"/>
        <v>718005</v>
      </c>
      <c r="R145" s="141">
        <v>26009</v>
      </c>
      <c r="S145" s="141">
        <v>46544</v>
      </c>
      <c r="T145" s="141">
        <v>572542</v>
      </c>
      <c r="U145" s="141">
        <v>37779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79"/>
        <v>682874</v>
      </c>
      <c r="AF145" s="2">
        <f t="shared" si="80"/>
        <v>0.8076325922245684</v>
      </c>
      <c r="AG145" s="2">
        <f t="shared" si="81"/>
        <v>0.88955144009326681</v>
      </c>
      <c r="AH145" s="2">
        <f t="shared" si="82"/>
        <v>0.98325244635871223</v>
      </c>
      <c r="AI145" s="2">
        <f t="shared" si="83"/>
        <v>0.73810175054704596</v>
      </c>
      <c r="AJ145" s="2" t="str">
        <f t="shared" si="84"/>
        <v/>
      </c>
      <c r="AK145" s="2" t="str">
        <f t="shared" si="85"/>
        <v/>
      </c>
      <c r="AL145" s="2" t="str">
        <f t="shared" si="86"/>
        <v/>
      </c>
      <c r="AM145" s="2" t="str">
        <f t="shared" si="87"/>
        <v/>
      </c>
      <c r="AN145" s="2" t="str">
        <f t="shared" si="88"/>
        <v/>
      </c>
      <c r="AO145" s="2" t="str">
        <f t="shared" si="89"/>
        <v/>
      </c>
      <c r="AP145" s="2" t="str">
        <f t="shared" si="90"/>
        <v/>
      </c>
      <c r="AQ145" s="2" t="str">
        <f t="shared" si="91"/>
        <v/>
      </c>
      <c r="AR145" s="2">
        <f t="shared" si="92"/>
        <v>0.95107137136928011</v>
      </c>
      <c r="AT145" s="2" t="str">
        <f t="shared" si="95"/>
        <v/>
      </c>
      <c r="AU145" s="2" t="str">
        <f t="shared" si="96"/>
        <v/>
      </c>
      <c r="AV145" s="143">
        <f t="shared" si="97"/>
        <v>-0.24515069581166626</v>
      </c>
      <c r="AW145" s="143" t="str">
        <f t="shared" si="98"/>
        <v/>
      </c>
      <c r="AX145" s="143" t="str">
        <f t="shared" si="99"/>
        <v/>
      </c>
      <c r="AY145" s="143" t="str">
        <f t="shared" si="100"/>
        <v/>
      </c>
      <c r="AZ145" s="143" t="str">
        <f t="shared" si="101"/>
        <v/>
      </c>
      <c r="BA145" s="143" t="str">
        <f t="shared" si="102"/>
        <v/>
      </c>
      <c r="BB145" s="143" t="str">
        <f t="shared" si="103"/>
        <v/>
      </c>
      <c r="BC145" s="143" t="str">
        <f t="shared" si="104"/>
        <v/>
      </c>
      <c r="BD145" s="143" t="str">
        <f t="shared" si="105"/>
        <v/>
      </c>
      <c r="BF145" s="9">
        <f t="shared" si="93"/>
        <v>9.2029372705651144E-4</v>
      </c>
      <c r="BG145" s="9">
        <f t="shared" si="94"/>
        <v>0.99433723421421649</v>
      </c>
    </row>
    <row r="146" spans="2:59" x14ac:dyDescent="0.35">
      <c r="B146" s="3" t="s">
        <v>228</v>
      </c>
      <c r="D146" s="141">
        <v>8587</v>
      </c>
      <c r="E146" s="141">
        <v>4741</v>
      </c>
      <c r="F146" s="141">
        <v>11018</v>
      </c>
      <c r="G146" s="141">
        <v>2852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78"/>
        <v>27198</v>
      </c>
      <c r="R146" s="141">
        <v>7540</v>
      </c>
      <c r="S146" s="141">
        <v>3630</v>
      </c>
      <c r="T146" s="141">
        <v>8866</v>
      </c>
      <c r="U146" s="141">
        <v>1954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79"/>
        <v>21990</v>
      </c>
      <c r="AF146" s="2">
        <f t="shared" si="80"/>
        <v>0.87807150343542562</v>
      </c>
      <c r="AG146" s="2">
        <f t="shared" si="81"/>
        <v>0.76566125290023201</v>
      </c>
      <c r="AH146" s="2">
        <f t="shared" si="82"/>
        <v>0.80468324559811222</v>
      </c>
      <c r="AI146" s="2">
        <f t="shared" si="83"/>
        <v>0.68513323983169705</v>
      </c>
      <c r="AJ146" s="2" t="str">
        <f t="shared" si="84"/>
        <v/>
      </c>
      <c r="AK146" s="2" t="str">
        <f t="shared" si="85"/>
        <v/>
      </c>
      <c r="AL146" s="2" t="str">
        <f t="shared" si="86"/>
        <v/>
      </c>
      <c r="AM146" s="2" t="str">
        <f t="shared" si="87"/>
        <v/>
      </c>
      <c r="AN146" s="2" t="str">
        <f t="shared" si="88"/>
        <v/>
      </c>
      <c r="AO146" s="2" t="str">
        <f t="shared" si="89"/>
        <v/>
      </c>
      <c r="AP146" s="2" t="str">
        <f t="shared" si="90"/>
        <v/>
      </c>
      <c r="AQ146" s="2" t="str">
        <f t="shared" si="91"/>
        <v/>
      </c>
      <c r="AR146" s="2">
        <f t="shared" si="92"/>
        <v>0.8085153320097066</v>
      </c>
      <c r="AT146" s="2" t="str">
        <f t="shared" si="95"/>
        <v/>
      </c>
      <c r="AU146" s="2" t="str">
        <f t="shared" si="96"/>
        <v/>
      </c>
      <c r="AV146" s="143">
        <f t="shared" si="97"/>
        <v>-0.11955000576641517</v>
      </c>
      <c r="AW146" s="143" t="str">
        <f t="shared" si="98"/>
        <v/>
      </c>
      <c r="AX146" s="143" t="str">
        <f t="shared" si="99"/>
        <v/>
      </c>
      <c r="AY146" s="143" t="str">
        <f t="shared" si="100"/>
        <v/>
      </c>
      <c r="AZ146" s="143" t="str">
        <f t="shared" si="101"/>
        <v/>
      </c>
      <c r="BA146" s="143" t="str">
        <f t="shared" si="102"/>
        <v/>
      </c>
      <c r="BB146" s="143" t="str">
        <f t="shared" si="103"/>
        <v/>
      </c>
      <c r="BC146" s="143" t="str">
        <f t="shared" si="104"/>
        <v/>
      </c>
      <c r="BD146" s="143" t="str">
        <f t="shared" si="105"/>
        <v/>
      </c>
      <c r="BF146" s="9">
        <f t="shared" si="93"/>
        <v>2.9635421846449984E-5</v>
      </c>
      <c r="BG146" s="9">
        <f t="shared" si="94"/>
        <v>0.99436686963606291</v>
      </c>
    </row>
    <row r="147" spans="2:59" x14ac:dyDescent="0.35">
      <c r="B147" s="3" t="s">
        <v>230</v>
      </c>
      <c r="D147" s="141">
        <v>27738</v>
      </c>
      <c r="E147" s="141">
        <v>3075</v>
      </c>
      <c r="F147" s="141">
        <v>10923</v>
      </c>
      <c r="G147" s="141">
        <v>209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78"/>
        <v>41945</v>
      </c>
      <c r="R147" s="141">
        <v>27032</v>
      </c>
      <c r="S147" s="141">
        <v>2725</v>
      </c>
      <c r="T147" s="141">
        <v>7312</v>
      </c>
      <c r="U147" s="141">
        <v>209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79"/>
        <v>37278</v>
      </c>
      <c r="AF147" s="2">
        <f t="shared" si="80"/>
        <v>0.97454755209459942</v>
      </c>
      <c r="AG147" s="2">
        <f t="shared" si="81"/>
        <v>0.88617886178861793</v>
      </c>
      <c r="AH147" s="2">
        <f t="shared" si="82"/>
        <v>0.66941316488144287</v>
      </c>
      <c r="AI147" s="2">
        <f t="shared" si="83"/>
        <v>1</v>
      </c>
      <c r="AJ147" s="2" t="str">
        <f t="shared" si="84"/>
        <v/>
      </c>
      <c r="AK147" s="2" t="str">
        <f t="shared" si="85"/>
        <v/>
      </c>
      <c r="AL147" s="2" t="str">
        <f t="shared" si="86"/>
        <v/>
      </c>
      <c r="AM147" s="2" t="str">
        <f t="shared" si="87"/>
        <v/>
      </c>
      <c r="AN147" s="2" t="str">
        <f t="shared" si="88"/>
        <v/>
      </c>
      <c r="AO147" s="2" t="str">
        <f t="shared" si="89"/>
        <v/>
      </c>
      <c r="AP147" s="2" t="str">
        <f t="shared" si="90"/>
        <v/>
      </c>
      <c r="AQ147" s="2" t="str">
        <f t="shared" si="91"/>
        <v/>
      </c>
      <c r="AR147" s="2">
        <f t="shared" si="92"/>
        <v>0.88873524853975439</v>
      </c>
      <c r="AT147" s="2" t="str">
        <f t="shared" si="95"/>
        <v/>
      </c>
      <c r="AU147" s="2" t="str">
        <f t="shared" si="96"/>
        <v/>
      </c>
      <c r="AV147" s="143">
        <f t="shared" si="97"/>
        <v>0.33058683511855713</v>
      </c>
      <c r="AW147" s="143" t="str">
        <f t="shared" si="98"/>
        <v/>
      </c>
      <c r="AX147" s="143" t="str">
        <f t="shared" si="99"/>
        <v/>
      </c>
      <c r="AY147" s="143" t="str">
        <f t="shared" si="100"/>
        <v/>
      </c>
      <c r="AZ147" s="143" t="str">
        <f t="shared" si="101"/>
        <v/>
      </c>
      <c r="BA147" s="143" t="str">
        <f t="shared" si="102"/>
        <v/>
      </c>
      <c r="BB147" s="143" t="str">
        <f t="shared" si="103"/>
        <v/>
      </c>
      <c r="BC147" s="143" t="str">
        <f t="shared" si="104"/>
        <v/>
      </c>
      <c r="BD147" s="143" t="str">
        <f t="shared" si="105"/>
        <v/>
      </c>
      <c r="BF147" s="9">
        <f t="shared" si="93"/>
        <v>5.0238711031921901E-5</v>
      </c>
      <c r="BG147" s="9">
        <f t="shared" si="94"/>
        <v>0.99441710834709485</v>
      </c>
    </row>
    <row r="148" spans="2:59" x14ac:dyDescent="0.35">
      <c r="B148" s="3" t="s">
        <v>227</v>
      </c>
      <c r="D148" s="141">
        <v>5150</v>
      </c>
      <c r="E148" s="141">
        <v>2128</v>
      </c>
      <c r="F148" s="141">
        <v>550</v>
      </c>
      <c r="G148" s="141">
        <v>17045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78"/>
        <v>24873</v>
      </c>
      <c r="R148" s="141">
        <v>5040</v>
      </c>
      <c r="S148" s="141">
        <v>2128</v>
      </c>
      <c r="T148" s="141">
        <v>550</v>
      </c>
      <c r="U148" s="141">
        <v>4528</v>
      </c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79"/>
        <v>12246</v>
      </c>
      <c r="AF148" s="2">
        <f t="shared" si="80"/>
        <v>0.97864077669902916</v>
      </c>
      <c r="AG148" s="2">
        <f t="shared" si="81"/>
        <v>1</v>
      </c>
      <c r="AH148" s="2">
        <f t="shared" si="82"/>
        <v>1</v>
      </c>
      <c r="AI148" s="2">
        <f t="shared" si="83"/>
        <v>0.26564975066001761</v>
      </c>
      <c r="AJ148" s="2" t="str">
        <f t="shared" si="84"/>
        <v/>
      </c>
      <c r="AK148" s="2" t="str">
        <f t="shared" si="85"/>
        <v/>
      </c>
      <c r="AL148" s="2" t="str">
        <f t="shared" si="86"/>
        <v/>
      </c>
      <c r="AM148" s="2" t="str">
        <f t="shared" si="87"/>
        <v/>
      </c>
      <c r="AN148" s="2" t="str">
        <f t="shared" si="88"/>
        <v/>
      </c>
      <c r="AO148" s="2" t="str">
        <f t="shared" si="89"/>
        <v/>
      </c>
      <c r="AP148" s="2" t="str">
        <f t="shared" si="90"/>
        <v/>
      </c>
      <c r="AQ148" s="2" t="str">
        <f t="shared" si="91"/>
        <v/>
      </c>
      <c r="AR148" s="2">
        <f t="shared" si="92"/>
        <v>0.49234109275117599</v>
      </c>
      <c r="AT148" s="2" t="str">
        <f t="shared" si="95"/>
        <v/>
      </c>
      <c r="AU148" s="2" t="str">
        <f t="shared" si="96"/>
        <v/>
      </c>
      <c r="AV148" s="143">
        <f t="shared" si="97"/>
        <v>-0.73435024933998239</v>
      </c>
      <c r="AW148" s="143" t="str">
        <f t="shared" si="98"/>
        <v/>
      </c>
      <c r="AX148" s="143" t="str">
        <f t="shared" si="99"/>
        <v/>
      </c>
      <c r="AY148" s="143" t="str">
        <f t="shared" si="100"/>
        <v/>
      </c>
      <c r="AZ148" s="143" t="str">
        <f t="shared" si="101"/>
        <v/>
      </c>
      <c r="BA148" s="143" t="str">
        <f t="shared" si="102"/>
        <v/>
      </c>
      <c r="BB148" s="143" t="str">
        <f t="shared" si="103"/>
        <v/>
      </c>
      <c r="BC148" s="143" t="str">
        <f t="shared" si="104"/>
        <v/>
      </c>
      <c r="BD148" s="143" t="str">
        <f t="shared" si="105"/>
        <v/>
      </c>
      <c r="BF148" s="9">
        <f t="shared" si="93"/>
        <v>1.6503655112852503E-5</v>
      </c>
      <c r="BG148" s="9">
        <f t="shared" si="94"/>
        <v>0.9944336120022077</v>
      </c>
    </row>
    <row r="149" spans="2:59" x14ac:dyDescent="0.35">
      <c r="B149" s="3" t="s">
        <v>284</v>
      </c>
      <c r="D149" s="141">
        <v>118594</v>
      </c>
      <c r="E149" s="141">
        <v>178413</v>
      </c>
      <c r="F149" s="141">
        <v>15316</v>
      </c>
      <c r="G149" s="141">
        <v>236608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78"/>
        <v>548931</v>
      </c>
      <c r="R149" s="141">
        <v>98908</v>
      </c>
      <c r="S149" s="141">
        <v>129524</v>
      </c>
      <c r="T149" s="141">
        <v>10833</v>
      </c>
      <c r="U149" s="141">
        <v>121186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79"/>
        <v>360451</v>
      </c>
      <c r="AF149" s="2">
        <f t="shared" si="80"/>
        <v>0.83400509300639158</v>
      </c>
      <c r="AG149" s="2">
        <f t="shared" si="81"/>
        <v>0.72597848811465537</v>
      </c>
      <c r="AH149" s="2">
        <f t="shared" si="82"/>
        <v>0.70729955601984851</v>
      </c>
      <c r="AI149" s="2">
        <f t="shared" si="83"/>
        <v>0.5121804841763592</v>
      </c>
      <c r="AJ149" s="2" t="str">
        <f t="shared" si="84"/>
        <v/>
      </c>
      <c r="AK149" s="2" t="str">
        <f t="shared" si="85"/>
        <v/>
      </c>
      <c r="AL149" s="2" t="str">
        <f t="shared" si="86"/>
        <v/>
      </c>
      <c r="AM149" s="2" t="str">
        <f t="shared" si="87"/>
        <v/>
      </c>
      <c r="AN149" s="2" t="str">
        <f t="shared" si="88"/>
        <v/>
      </c>
      <c r="AO149" s="2" t="str">
        <f t="shared" si="89"/>
        <v/>
      </c>
      <c r="AP149" s="2" t="str">
        <f t="shared" si="90"/>
        <v/>
      </c>
      <c r="AQ149" s="2" t="str">
        <f t="shared" si="91"/>
        <v/>
      </c>
      <c r="AR149" s="2">
        <f t="shared" si="92"/>
        <v>0.65664172728448567</v>
      </c>
      <c r="AT149" s="2" t="str">
        <f t="shared" si="95"/>
        <v/>
      </c>
      <c r="AU149" s="2" t="str">
        <f t="shared" si="96"/>
        <v/>
      </c>
      <c r="AV149" s="143">
        <f t="shared" si="97"/>
        <v>-0.19511907184348931</v>
      </c>
      <c r="AW149" s="143" t="str">
        <f t="shared" si="98"/>
        <v/>
      </c>
      <c r="AX149" s="143" t="str">
        <f t="shared" si="99"/>
        <v/>
      </c>
      <c r="AY149" s="143" t="str">
        <f t="shared" si="100"/>
        <v/>
      </c>
      <c r="AZ149" s="143" t="str">
        <f t="shared" si="101"/>
        <v/>
      </c>
      <c r="BA149" s="143" t="str">
        <f t="shared" si="102"/>
        <v/>
      </c>
      <c r="BB149" s="143" t="str">
        <f t="shared" si="103"/>
        <v/>
      </c>
      <c r="BC149" s="143" t="str">
        <f t="shared" si="104"/>
        <v/>
      </c>
      <c r="BD149" s="143" t="str">
        <f t="shared" si="105"/>
        <v/>
      </c>
      <c r="BF149" s="9">
        <f t="shared" si="93"/>
        <v>4.8577159799794193E-4</v>
      </c>
      <c r="BG149" s="9">
        <f t="shared" si="94"/>
        <v>0.9949193836002056</v>
      </c>
    </row>
    <row r="150" spans="2:59" x14ac:dyDescent="0.35">
      <c r="B150" s="3" t="s">
        <v>318</v>
      </c>
      <c r="D150" s="141">
        <v>1418</v>
      </c>
      <c r="E150" s="141">
        <v>3896</v>
      </c>
      <c r="F150" s="141">
        <v>6693</v>
      </c>
      <c r="G150" s="141">
        <v>7508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78"/>
        <v>19515</v>
      </c>
      <c r="R150" s="141">
        <v>611</v>
      </c>
      <c r="S150" s="141">
        <v>1523</v>
      </c>
      <c r="T150" s="141">
        <v>3733</v>
      </c>
      <c r="U150" s="141">
        <v>365</v>
      </c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79"/>
        <v>6232</v>
      </c>
      <c r="AF150" s="2">
        <f t="shared" si="80"/>
        <v>0.4308885754583921</v>
      </c>
      <c r="AG150" s="2">
        <f t="shared" si="81"/>
        <v>0.39091375770020537</v>
      </c>
      <c r="AH150" s="2">
        <f t="shared" si="82"/>
        <v>0.55774689974600333</v>
      </c>
      <c r="AI150" s="2">
        <f t="shared" si="83"/>
        <v>4.8614810868407035E-2</v>
      </c>
      <c r="AJ150" s="2" t="str">
        <f t="shared" si="84"/>
        <v/>
      </c>
      <c r="AK150" s="2" t="str">
        <f t="shared" si="85"/>
        <v/>
      </c>
      <c r="AL150" s="2" t="str">
        <f t="shared" si="86"/>
        <v/>
      </c>
      <c r="AM150" s="2" t="str">
        <f t="shared" si="87"/>
        <v/>
      </c>
      <c r="AN150" s="2" t="str">
        <f t="shared" si="88"/>
        <v/>
      </c>
      <c r="AO150" s="2" t="str">
        <f t="shared" si="89"/>
        <v/>
      </c>
      <c r="AP150" s="2" t="str">
        <f t="shared" si="90"/>
        <v/>
      </c>
      <c r="AQ150" s="2" t="str">
        <f t="shared" si="91"/>
        <v/>
      </c>
      <c r="AR150" s="2">
        <f t="shared" si="92"/>
        <v>0.31934409428644633</v>
      </c>
      <c r="AT150" s="2" t="str">
        <f t="shared" si="95"/>
        <v/>
      </c>
      <c r="AU150" s="2" t="str">
        <f t="shared" si="96"/>
        <v/>
      </c>
      <c r="AV150" s="143">
        <f t="shared" si="97"/>
        <v>-0.50913208887759631</v>
      </c>
      <c r="AW150" s="143" t="str">
        <f t="shared" si="98"/>
        <v/>
      </c>
      <c r="AX150" s="143" t="str">
        <f t="shared" si="99"/>
        <v/>
      </c>
      <c r="AY150" s="143" t="str">
        <f t="shared" si="100"/>
        <v/>
      </c>
      <c r="AZ150" s="143" t="str">
        <f t="shared" si="101"/>
        <v/>
      </c>
      <c r="BA150" s="143" t="str">
        <f t="shared" si="102"/>
        <v/>
      </c>
      <c r="BB150" s="143" t="str">
        <f t="shared" si="103"/>
        <v/>
      </c>
      <c r="BC150" s="143" t="str">
        <f t="shared" si="104"/>
        <v/>
      </c>
      <c r="BD150" s="143" t="str">
        <f t="shared" si="105"/>
        <v/>
      </c>
      <c r="BF150" s="9">
        <f t="shared" si="93"/>
        <v>8.3987243723090633E-6</v>
      </c>
      <c r="BG150" s="9">
        <f t="shared" si="94"/>
        <v>0.9949277823245779</v>
      </c>
    </row>
    <row r="151" spans="2:59" x14ac:dyDescent="0.35">
      <c r="B151" s="3" t="s">
        <v>229</v>
      </c>
      <c r="D151" s="141">
        <v>12125</v>
      </c>
      <c r="E151" s="141">
        <v>9782</v>
      </c>
      <c r="F151" s="141">
        <v>21035</v>
      </c>
      <c r="G151" s="141">
        <v>5352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78"/>
        <v>48294</v>
      </c>
      <c r="R151" s="141">
        <v>9637</v>
      </c>
      <c r="S151" s="141">
        <v>6936</v>
      </c>
      <c r="T151" s="141">
        <v>12994</v>
      </c>
      <c r="U151" s="141">
        <v>3412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79"/>
        <v>32979</v>
      </c>
      <c r="AF151" s="2">
        <f t="shared" si="80"/>
        <v>0.79480412371134024</v>
      </c>
      <c r="AG151" s="2">
        <f t="shared" si="81"/>
        <v>0.70905745246370888</v>
      </c>
      <c r="AH151" s="2">
        <f t="shared" si="82"/>
        <v>0.61773235084383171</v>
      </c>
      <c r="AI151" s="2">
        <f t="shared" si="83"/>
        <v>0.63751868460388639</v>
      </c>
      <c r="AJ151" s="2" t="str">
        <f t="shared" si="84"/>
        <v/>
      </c>
      <c r="AK151" s="2" t="str">
        <f t="shared" si="85"/>
        <v/>
      </c>
      <c r="AL151" s="2" t="str">
        <f t="shared" si="86"/>
        <v/>
      </c>
      <c r="AM151" s="2" t="str">
        <f t="shared" si="87"/>
        <v/>
      </c>
      <c r="AN151" s="2" t="str">
        <f t="shared" si="88"/>
        <v/>
      </c>
      <c r="AO151" s="2" t="str">
        <f t="shared" si="89"/>
        <v/>
      </c>
      <c r="AP151" s="2" t="str">
        <f t="shared" si="90"/>
        <v/>
      </c>
      <c r="AQ151" s="2" t="str">
        <f t="shared" si="91"/>
        <v/>
      </c>
      <c r="AR151" s="2">
        <f t="shared" si="92"/>
        <v>0.68287986085227981</v>
      </c>
      <c r="AT151" s="2" t="str">
        <f t="shared" si="95"/>
        <v/>
      </c>
      <c r="AU151" s="2" t="str">
        <f t="shared" si="96"/>
        <v/>
      </c>
      <c r="AV151" s="143">
        <f t="shared" si="97"/>
        <v>1.9786333760054675E-2</v>
      </c>
      <c r="AW151" s="143" t="str">
        <f t="shared" si="98"/>
        <v/>
      </c>
      <c r="AX151" s="143" t="str">
        <f t="shared" si="99"/>
        <v/>
      </c>
      <c r="AY151" s="143" t="str">
        <f t="shared" si="100"/>
        <v/>
      </c>
      <c r="AZ151" s="143" t="str">
        <f t="shared" si="101"/>
        <v/>
      </c>
      <c r="BA151" s="143" t="str">
        <f t="shared" si="102"/>
        <v/>
      </c>
      <c r="BB151" s="143" t="str">
        <f t="shared" si="103"/>
        <v/>
      </c>
      <c r="BC151" s="143" t="str">
        <f t="shared" si="104"/>
        <v/>
      </c>
      <c r="BD151" s="143" t="str">
        <f t="shared" si="105"/>
        <v/>
      </c>
      <c r="BF151" s="9">
        <f t="shared" si="93"/>
        <v>4.4445046706415373E-5</v>
      </c>
      <c r="BG151" s="9">
        <f t="shared" si="94"/>
        <v>0.99497222737128432</v>
      </c>
    </row>
    <row r="152" spans="2:59" x14ac:dyDescent="0.35">
      <c r="B152" s="3" t="s">
        <v>240</v>
      </c>
      <c r="D152" s="141">
        <v>4918</v>
      </c>
      <c r="E152" s="141">
        <v>6005</v>
      </c>
      <c r="F152" s="141">
        <v>6233</v>
      </c>
      <c r="G152" s="141">
        <v>19380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78"/>
        <v>36536</v>
      </c>
      <c r="R152" s="141">
        <v>3831</v>
      </c>
      <c r="S152" s="141">
        <v>5202</v>
      </c>
      <c r="T152" s="141">
        <v>4475</v>
      </c>
      <c r="U152" s="141">
        <v>18352</v>
      </c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79"/>
        <v>31860</v>
      </c>
      <c r="AF152" s="2">
        <f t="shared" si="80"/>
        <v>0.77897519316795449</v>
      </c>
      <c r="AG152" s="2">
        <f t="shared" si="81"/>
        <v>0.86627810158201501</v>
      </c>
      <c r="AH152" s="2">
        <f t="shared" si="82"/>
        <v>0.71795283170223012</v>
      </c>
      <c r="AI152" s="2">
        <f t="shared" si="83"/>
        <v>0.94695562435500513</v>
      </c>
      <c r="AJ152" s="2" t="str">
        <f t="shared" si="84"/>
        <v/>
      </c>
      <c r="AK152" s="2" t="str">
        <f t="shared" si="85"/>
        <v/>
      </c>
      <c r="AL152" s="2" t="str">
        <f t="shared" si="86"/>
        <v/>
      </c>
      <c r="AM152" s="2" t="str">
        <f t="shared" si="87"/>
        <v/>
      </c>
      <c r="AN152" s="2" t="str">
        <f t="shared" si="88"/>
        <v/>
      </c>
      <c r="AO152" s="2" t="str">
        <f t="shared" si="89"/>
        <v/>
      </c>
      <c r="AP152" s="2" t="str">
        <f t="shared" si="90"/>
        <v/>
      </c>
      <c r="AQ152" s="2" t="str">
        <f t="shared" si="91"/>
        <v/>
      </c>
      <c r="AR152" s="2">
        <f t="shared" si="92"/>
        <v>0.87201664112108601</v>
      </c>
      <c r="AT152" s="2" t="str">
        <f t="shared" si="95"/>
        <v/>
      </c>
      <c r="AU152" s="2" t="str">
        <f t="shared" si="96"/>
        <v/>
      </c>
      <c r="AV152" s="143">
        <f t="shared" si="97"/>
        <v>0.22900279265277501</v>
      </c>
      <c r="AW152" s="143" t="str">
        <f t="shared" si="98"/>
        <v/>
      </c>
      <c r="AX152" s="143" t="str">
        <f t="shared" si="99"/>
        <v/>
      </c>
      <c r="AY152" s="143" t="str">
        <f t="shared" si="100"/>
        <v/>
      </c>
      <c r="AZ152" s="143" t="str">
        <f t="shared" si="101"/>
        <v/>
      </c>
      <c r="BA152" s="143" t="str">
        <f t="shared" si="102"/>
        <v/>
      </c>
      <c r="BB152" s="143" t="str">
        <f t="shared" si="103"/>
        <v/>
      </c>
      <c r="BC152" s="143" t="str">
        <f t="shared" si="104"/>
        <v/>
      </c>
      <c r="BD152" s="143" t="str">
        <f t="shared" si="105"/>
        <v/>
      </c>
      <c r="BF152" s="9">
        <f t="shared" si="93"/>
        <v>4.2936995908499159E-5</v>
      </c>
      <c r="BG152" s="9">
        <f t="shared" si="94"/>
        <v>0.99501516436719284</v>
      </c>
    </row>
    <row r="153" spans="2:59" x14ac:dyDescent="0.35">
      <c r="B153" s="3" t="s">
        <v>238</v>
      </c>
      <c r="D153" s="141">
        <v>9264</v>
      </c>
      <c r="E153" s="141">
        <v>11345</v>
      </c>
      <c r="F153" s="141">
        <v>10810</v>
      </c>
      <c r="G153" s="141">
        <v>4651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78"/>
        <v>36070</v>
      </c>
      <c r="R153" s="141">
        <v>6866</v>
      </c>
      <c r="S153" s="141">
        <v>9958</v>
      </c>
      <c r="T153" s="141">
        <v>8865</v>
      </c>
      <c r="U153" s="141">
        <v>2865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79"/>
        <v>28554</v>
      </c>
      <c r="AF153" s="2">
        <f t="shared" si="80"/>
        <v>0.74114853195164077</v>
      </c>
      <c r="AG153" s="2">
        <f t="shared" si="81"/>
        <v>0.87774349933891582</v>
      </c>
      <c r="AH153" s="2">
        <f t="shared" si="82"/>
        <v>0.82007400555041632</v>
      </c>
      <c r="AI153" s="2">
        <f t="shared" si="83"/>
        <v>0.61599655987959578</v>
      </c>
      <c r="AJ153" s="2" t="str">
        <f t="shared" si="84"/>
        <v/>
      </c>
      <c r="AK153" s="2" t="str">
        <f t="shared" si="85"/>
        <v/>
      </c>
      <c r="AL153" s="2" t="str">
        <f t="shared" si="86"/>
        <v/>
      </c>
      <c r="AM153" s="2" t="str">
        <f t="shared" si="87"/>
        <v/>
      </c>
      <c r="AN153" s="2" t="str">
        <f t="shared" si="88"/>
        <v/>
      </c>
      <c r="AO153" s="2" t="str">
        <f t="shared" si="89"/>
        <v/>
      </c>
      <c r="AP153" s="2" t="str">
        <f t="shared" si="90"/>
        <v/>
      </c>
      <c r="AQ153" s="2" t="str">
        <f t="shared" si="91"/>
        <v/>
      </c>
      <c r="AR153" s="2">
        <f t="shared" si="92"/>
        <v>0.79162739118380931</v>
      </c>
      <c r="AT153" s="2" t="str">
        <f t="shared" si="95"/>
        <v/>
      </c>
      <c r="AU153" s="2" t="str">
        <f t="shared" si="96"/>
        <v/>
      </c>
      <c r="AV153" s="143">
        <f t="shared" si="97"/>
        <v>-0.20407744567082053</v>
      </c>
      <c r="AW153" s="143" t="str">
        <f t="shared" si="98"/>
        <v/>
      </c>
      <c r="AX153" s="143" t="str">
        <f t="shared" si="99"/>
        <v/>
      </c>
      <c r="AY153" s="143" t="str">
        <f t="shared" si="100"/>
        <v/>
      </c>
      <c r="AZ153" s="143" t="str">
        <f t="shared" si="101"/>
        <v/>
      </c>
      <c r="BA153" s="143" t="str">
        <f t="shared" si="102"/>
        <v/>
      </c>
      <c r="BB153" s="143" t="str">
        <f t="shared" si="103"/>
        <v/>
      </c>
      <c r="BC153" s="143" t="str">
        <f t="shared" si="104"/>
        <v/>
      </c>
      <c r="BD153" s="143" t="str">
        <f t="shared" si="105"/>
        <v/>
      </c>
      <c r="BF153" s="9">
        <f t="shared" si="93"/>
        <v>3.8481575052457156E-5</v>
      </c>
      <c r="BG153" s="9">
        <f t="shared" si="94"/>
        <v>0.99505364594224532</v>
      </c>
    </row>
    <row r="154" spans="2:59" x14ac:dyDescent="0.35">
      <c r="B154" s="3" t="s">
        <v>245</v>
      </c>
      <c r="D154" s="141">
        <v>48637</v>
      </c>
      <c r="E154" s="141">
        <v>28632</v>
      </c>
      <c r="F154" s="141">
        <v>25738</v>
      </c>
      <c r="G154" s="141">
        <v>22338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78"/>
        <v>125345</v>
      </c>
      <c r="R154" s="141">
        <v>28150</v>
      </c>
      <c r="S154" s="141">
        <v>19632</v>
      </c>
      <c r="T154" s="141">
        <v>12492</v>
      </c>
      <c r="U154" s="141">
        <v>15244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79"/>
        <v>75518</v>
      </c>
      <c r="AF154" s="2">
        <f t="shared" si="80"/>
        <v>0.57877747393959333</v>
      </c>
      <c r="AG154" s="2">
        <f t="shared" si="81"/>
        <v>0.68566638725901086</v>
      </c>
      <c r="AH154" s="2">
        <f t="shared" si="82"/>
        <v>0.4853523972336623</v>
      </c>
      <c r="AI154" s="2">
        <f t="shared" si="83"/>
        <v>0.68242456800071627</v>
      </c>
      <c r="AJ154" s="2" t="str">
        <f t="shared" si="84"/>
        <v/>
      </c>
      <c r="AK154" s="2" t="str">
        <f t="shared" si="85"/>
        <v/>
      </c>
      <c r="AL154" s="2" t="str">
        <f t="shared" si="86"/>
        <v/>
      </c>
      <c r="AM154" s="2" t="str">
        <f t="shared" si="87"/>
        <v/>
      </c>
      <c r="AN154" s="2" t="str">
        <f t="shared" si="88"/>
        <v/>
      </c>
      <c r="AO154" s="2" t="str">
        <f t="shared" si="89"/>
        <v/>
      </c>
      <c r="AP154" s="2" t="str">
        <f t="shared" si="90"/>
        <v/>
      </c>
      <c r="AQ154" s="2" t="str">
        <f t="shared" si="91"/>
        <v/>
      </c>
      <c r="AR154" s="2">
        <f t="shared" si="92"/>
        <v>0.60248115202042363</v>
      </c>
      <c r="AT154" s="2" t="str">
        <f t="shared" si="95"/>
        <v/>
      </c>
      <c r="AU154" s="2" t="str">
        <f t="shared" si="96"/>
        <v/>
      </c>
      <c r="AV154" s="143">
        <f t="shared" si="97"/>
        <v>0.19707217076705397</v>
      </c>
      <c r="AW154" s="143" t="str">
        <f t="shared" si="98"/>
        <v/>
      </c>
      <c r="AX154" s="143" t="str">
        <f t="shared" si="99"/>
        <v/>
      </c>
      <c r="AY154" s="143" t="str">
        <f t="shared" si="100"/>
        <v/>
      </c>
      <c r="AZ154" s="143" t="str">
        <f t="shared" si="101"/>
        <v/>
      </c>
      <c r="BA154" s="143" t="str">
        <f t="shared" si="102"/>
        <v/>
      </c>
      <c r="BB154" s="143" t="str">
        <f t="shared" si="103"/>
        <v/>
      </c>
      <c r="BC154" s="143" t="str">
        <f t="shared" si="104"/>
        <v/>
      </c>
      <c r="BD154" s="143" t="str">
        <f t="shared" si="105"/>
        <v/>
      </c>
      <c r="BF154" s="9">
        <f t="shared" si="93"/>
        <v>1.0177388753980036E-4</v>
      </c>
      <c r="BG154" s="9">
        <f t="shared" si="94"/>
        <v>0.99515541982978517</v>
      </c>
    </row>
    <row r="155" spans="2:59" x14ac:dyDescent="0.35">
      <c r="B155" s="3" t="s">
        <v>292</v>
      </c>
      <c r="D155" s="141">
        <v>68888</v>
      </c>
      <c r="E155" s="141">
        <v>91902</v>
      </c>
      <c r="F155" s="141">
        <v>70337</v>
      </c>
      <c r="G155" s="141">
        <v>73394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78"/>
        <v>304521</v>
      </c>
      <c r="R155" s="141">
        <v>37781</v>
      </c>
      <c r="S155" s="141">
        <v>57909</v>
      </c>
      <c r="T155" s="141">
        <v>45236</v>
      </c>
      <c r="U155" s="141">
        <v>68131</v>
      </c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79"/>
        <v>209057</v>
      </c>
      <c r="AF155" s="2">
        <f t="shared" si="80"/>
        <v>0.54844094762513063</v>
      </c>
      <c r="AG155" s="2">
        <f t="shared" si="81"/>
        <v>0.63011686361559049</v>
      </c>
      <c r="AH155" s="2">
        <f t="shared" si="82"/>
        <v>0.64313234855054946</v>
      </c>
      <c r="AI155" s="2">
        <f t="shared" si="83"/>
        <v>0.92829114096520149</v>
      </c>
      <c r="AJ155" s="2" t="str">
        <f t="shared" si="84"/>
        <v/>
      </c>
      <c r="AK155" s="2" t="str">
        <f t="shared" si="85"/>
        <v/>
      </c>
      <c r="AL155" s="2" t="str">
        <f t="shared" si="86"/>
        <v/>
      </c>
      <c r="AM155" s="2" t="str">
        <f t="shared" si="87"/>
        <v/>
      </c>
      <c r="AN155" s="2" t="str">
        <f t="shared" si="88"/>
        <v/>
      </c>
      <c r="AO155" s="2" t="str">
        <f t="shared" si="89"/>
        <v/>
      </c>
      <c r="AP155" s="2" t="str">
        <f t="shared" si="90"/>
        <v/>
      </c>
      <c r="AQ155" s="2" t="str">
        <f t="shared" si="91"/>
        <v/>
      </c>
      <c r="AR155" s="2">
        <f t="shared" si="92"/>
        <v>0.6865109466998992</v>
      </c>
      <c r="AT155" s="2" t="str">
        <f t="shared" si="95"/>
        <v/>
      </c>
      <c r="AU155" s="2" t="str">
        <f t="shared" si="96"/>
        <v/>
      </c>
      <c r="AV155" s="143">
        <f t="shared" si="97"/>
        <v>0.28515879241465203</v>
      </c>
      <c r="AW155" s="143" t="str">
        <f t="shared" si="98"/>
        <v/>
      </c>
      <c r="AX155" s="143" t="str">
        <f t="shared" si="99"/>
        <v/>
      </c>
      <c r="AY155" s="143" t="str">
        <f t="shared" si="100"/>
        <v/>
      </c>
      <c r="AZ155" s="143" t="str">
        <f t="shared" si="101"/>
        <v/>
      </c>
      <c r="BA155" s="143" t="str">
        <f t="shared" si="102"/>
        <v/>
      </c>
      <c r="BB155" s="143" t="str">
        <f t="shared" si="103"/>
        <v/>
      </c>
      <c r="BC155" s="143" t="str">
        <f t="shared" si="104"/>
        <v/>
      </c>
      <c r="BD155" s="143" t="str">
        <f t="shared" si="105"/>
        <v/>
      </c>
      <c r="BF155" s="9">
        <f t="shared" si="93"/>
        <v>2.8174135447718481E-4</v>
      </c>
      <c r="BG155" s="9">
        <f t="shared" si="94"/>
        <v>0.9954371611842624</v>
      </c>
    </row>
    <row r="156" spans="2:59" x14ac:dyDescent="0.35">
      <c r="B156" s="3" t="s">
        <v>231</v>
      </c>
      <c r="D156" s="141">
        <v>3180</v>
      </c>
      <c r="E156" s="141">
        <v>18910</v>
      </c>
      <c r="F156" s="141">
        <v>12327</v>
      </c>
      <c r="G156" s="141">
        <v>9843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78"/>
        <v>44260</v>
      </c>
      <c r="R156" s="141">
        <v>2970</v>
      </c>
      <c r="S156" s="141">
        <v>18910</v>
      </c>
      <c r="T156" s="141">
        <v>11629</v>
      </c>
      <c r="U156" s="141">
        <v>5086</v>
      </c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79"/>
        <v>38595</v>
      </c>
      <c r="AF156" s="2">
        <f t="shared" si="80"/>
        <v>0.93396226415094341</v>
      </c>
      <c r="AG156" s="2">
        <f t="shared" si="81"/>
        <v>1</v>
      </c>
      <c r="AH156" s="2">
        <f t="shared" si="82"/>
        <v>0.94337632838484631</v>
      </c>
      <c r="AI156" s="2">
        <f t="shared" si="83"/>
        <v>0.51671238443563949</v>
      </c>
      <c r="AJ156" s="2" t="str">
        <f t="shared" si="84"/>
        <v/>
      </c>
      <c r="AK156" s="2" t="str">
        <f t="shared" si="85"/>
        <v/>
      </c>
      <c r="AL156" s="2" t="str">
        <f t="shared" si="86"/>
        <v/>
      </c>
      <c r="AM156" s="2" t="str">
        <f t="shared" si="87"/>
        <v/>
      </c>
      <c r="AN156" s="2" t="str">
        <f t="shared" si="88"/>
        <v/>
      </c>
      <c r="AO156" s="2" t="str">
        <f t="shared" si="89"/>
        <v/>
      </c>
      <c r="AP156" s="2" t="str">
        <f t="shared" si="90"/>
        <v/>
      </c>
      <c r="AQ156" s="2" t="str">
        <f t="shared" si="91"/>
        <v/>
      </c>
      <c r="AR156" s="2">
        <f t="shared" si="92"/>
        <v>0.87200632625395391</v>
      </c>
      <c r="AT156" s="2" t="str">
        <f t="shared" si="95"/>
        <v/>
      </c>
      <c r="AU156" s="2" t="str">
        <f t="shared" si="96"/>
        <v/>
      </c>
      <c r="AV156" s="143">
        <f t="shared" si="97"/>
        <v>-0.42666394394920681</v>
      </c>
      <c r="AW156" s="143" t="str">
        <f t="shared" si="98"/>
        <v/>
      </c>
      <c r="AX156" s="143" t="str">
        <f t="shared" si="99"/>
        <v/>
      </c>
      <c r="AY156" s="143" t="str">
        <f t="shared" si="100"/>
        <v/>
      </c>
      <c r="AZ156" s="143" t="str">
        <f t="shared" si="101"/>
        <v/>
      </c>
      <c r="BA156" s="143" t="str">
        <f t="shared" si="102"/>
        <v/>
      </c>
      <c r="BB156" s="143" t="str">
        <f t="shared" si="103"/>
        <v/>
      </c>
      <c r="BC156" s="143" t="str">
        <f t="shared" si="104"/>
        <v/>
      </c>
      <c r="BD156" s="143" t="str">
        <f t="shared" si="105"/>
        <v/>
      </c>
      <c r="BF156" s="9">
        <f t="shared" si="93"/>
        <v>5.2013601917405057E-5</v>
      </c>
      <c r="BG156" s="9">
        <f t="shared" si="94"/>
        <v>0.99548917478617982</v>
      </c>
    </row>
    <row r="157" spans="2:59" x14ac:dyDescent="0.35">
      <c r="B157" s="3" t="s">
        <v>279</v>
      </c>
      <c r="D157" s="141">
        <v>9762</v>
      </c>
      <c r="E157" s="141">
        <v>4743</v>
      </c>
      <c r="F157" s="141">
        <v>6320</v>
      </c>
      <c r="G157" s="141">
        <v>5006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78"/>
        <v>25831</v>
      </c>
      <c r="R157" s="141">
        <v>4261</v>
      </c>
      <c r="S157" s="141">
        <v>267</v>
      </c>
      <c r="T157" s="141">
        <v>-376</v>
      </c>
      <c r="U157" s="141">
        <v>4500</v>
      </c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79"/>
        <v>8652</v>
      </c>
      <c r="AF157" s="2">
        <f t="shared" si="80"/>
        <v>0.4364884245031756</v>
      </c>
      <c r="AG157" s="2">
        <f t="shared" si="81"/>
        <v>5.6293485135989876E-2</v>
      </c>
      <c r="AH157" s="2">
        <f t="shared" si="82"/>
        <v>-5.9493670886075947E-2</v>
      </c>
      <c r="AI157" s="2">
        <f t="shared" si="83"/>
        <v>0.89892129444666402</v>
      </c>
      <c r="AJ157" s="2" t="str">
        <f t="shared" si="84"/>
        <v/>
      </c>
      <c r="AK157" s="2" t="str">
        <f t="shared" si="85"/>
        <v/>
      </c>
      <c r="AL157" s="2" t="str">
        <f t="shared" si="86"/>
        <v/>
      </c>
      <c r="AM157" s="2" t="str">
        <f t="shared" si="87"/>
        <v/>
      </c>
      <c r="AN157" s="2" t="str">
        <f t="shared" si="88"/>
        <v/>
      </c>
      <c r="AO157" s="2" t="str">
        <f t="shared" si="89"/>
        <v/>
      </c>
      <c r="AP157" s="2" t="str">
        <f t="shared" si="90"/>
        <v/>
      </c>
      <c r="AQ157" s="2" t="str">
        <f t="shared" si="91"/>
        <v/>
      </c>
      <c r="AR157" s="2">
        <f t="shared" si="92"/>
        <v>0.33494638225388101</v>
      </c>
      <c r="AT157" s="2" t="str">
        <f t="shared" si="95"/>
        <v/>
      </c>
      <c r="AU157" s="2" t="str">
        <f t="shared" si="96"/>
        <v/>
      </c>
      <c r="AV157" s="143">
        <f t="shared" si="97"/>
        <v>0.95841496533273995</v>
      </c>
      <c r="AW157" s="143" t="str">
        <f t="shared" si="98"/>
        <v/>
      </c>
      <c r="AX157" s="143" t="str">
        <f t="shared" si="99"/>
        <v/>
      </c>
      <c r="AY157" s="143" t="str">
        <f t="shared" si="100"/>
        <v/>
      </c>
      <c r="AZ157" s="143" t="str">
        <f t="shared" si="101"/>
        <v/>
      </c>
      <c r="BA157" s="143" t="str">
        <f t="shared" si="102"/>
        <v/>
      </c>
      <c r="BB157" s="143" t="str">
        <f t="shared" si="103"/>
        <v/>
      </c>
      <c r="BC157" s="143" t="str">
        <f t="shared" si="104"/>
        <v/>
      </c>
      <c r="BD157" s="143" t="str">
        <f t="shared" si="105"/>
        <v/>
      </c>
      <c r="BF157" s="9">
        <f t="shared" si="93"/>
        <v>1.1660103220349489E-5</v>
      </c>
      <c r="BG157" s="9">
        <f t="shared" si="94"/>
        <v>0.99550083488940022</v>
      </c>
    </row>
    <row r="158" spans="2:59" x14ac:dyDescent="0.35">
      <c r="B158" s="3" t="s">
        <v>247</v>
      </c>
      <c r="D158" s="141">
        <v>3404</v>
      </c>
      <c r="E158" s="141">
        <v>2219</v>
      </c>
      <c r="F158" s="141">
        <v>6698</v>
      </c>
      <c r="G158" s="141">
        <v>5825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78"/>
        <v>18146</v>
      </c>
      <c r="R158" s="141">
        <v>2970</v>
      </c>
      <c r="S158" s="141">
        <v>1659</v>
      </c>
      <c r="T158" s="141">
        <v>6347</v>
      </c>
      <c r="U158" s="141">
        <v>3990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79"/>
        <v>14966</v>
      </c>
      <c r="AF158" s="2">
        <f t="shared" si="80"/>
        <v>0.87250293772032905</v>
      </c>
      <c r="AG158" s="2">
        <f t="shared" si="81"/>
        <v>0.74763406940063093</v>
      </c>
      <c r="AH158" s="2">
        <f t="shared" si="82"/>
        <v>0.94759629740220963</v>
      </c>
      <c r="AI158" s="2">
        <f t="shared" si="83"/>
        <v>0.68497854077253217</v>
      </c>
      <c r="AJ158" s="2" t="str">
        <f t="shared" si="84"/>
        <v/>
      </c>
      <c r="AK158" s="2" t="str">
        <f t="shared" si="85"/>
        <v/>
      </c>
      <c r="AL158" s="2" t="str">
        <f t="shared" si="86"/>
        <v/>
      </c>
      <c r="AM158" s="2" t="str">
        <f t="shared" si="87"/>
        <v/>
      </c>
      <c r="AN158" s="2" t="str">
        <f t="shared" si="88"/>
        <v/>
      </c>
      <c r="AO158" s="2" t="str">
        <f t="shared" si="89"/>
        <v/>
      </c>
      <c r="AP158" s="2" t="str">
        <f t="shared" si="90"/>
        <v/>
      </c>
      <c r="AQ158" s="2" t="str">
        <f t="shared" si="91"/>
        <v/>
      </c>
      <c r="AR158" s="2">
        <f t="shared" si="92"/>
        <v>0.82475476689077487</v>
      </c>
      <c r="AT158" s="2" t="str">
        <f t="shared" si="95"/>
        <v/>
      </c>
      <c r="AU158" s="2" t="str">
        <f t="shared" si="96"/>
        <v/>
      </c>
      <c r="AV158" s="143">
        <f t="shared" si="97"/>
        <v>-0.26261775662967746</v>
      </c>
      <c r="AW158" s="143" t="str">
        <f t="shared" si="98"/>
        <v/>
      </c>
      <c r="AX158" s="143" t="str">
        <f t="shared" si="99"/>
        <v/>
      </c>
      <c r="AY158" s="143" t="str">
        <f t="shared" si="100"/>
        <v/>
      </c>
      <c r="AZ158" s="143" t="str">
        <f t="shared" si="101"/>
        <v/>
      </c>
      <c r="BA158" s="143" t="str">
        <f t="shared" si="102"/>
        <v/>
      </c>
      <c r="BB158" s="143" t="str">
        <f t="shared" si="103"/>
        <v/>
      </c>
      <c r="BC158" s="143" t="str">
        <f t="shared" si="104"/>
        <v/>
      </c>
      <c r="BD158" s="143" t="str">
        <f t="shared" si="105"/>
        <v/>
      </c>
      <c r="BF158" s="9">
        <f t="shared" si="93"/>
        <v>2.0169337123873146E-5</v>
      </c>
      <c r="BG158" s="9">
        <f t="shared" si="94"/>
        <v>0.99552100422652412</v>
      </c>
    </row>
    <row r="159" spans="2:59" x14ac:dyDescent="0.35">
      <c r="B159" s="3" t="s">
        <v>275</v>
      </c>
      <c r="D159" s="141">
        <v>32524</v>
      </c>
      <c r="E159" s="141">
        <v>27095</v>
      </c>
      <c r="F159" s="141">
        <v>59637</v>
      </c>
      <c r="G159" s="141">
        <v>24387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78"/>
        <v>143643</v>
      </c>
      <c r="R159" s="141">
        <v>17361</v>
      </c>
      <c r="S159" s="141">
        <v>17756</v>
      </c>
      <c r="T159" s="141">
        <v>39445</v>
      </c>
      <c r="U159" s="141">
        <v>5765</v>
      </c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79"/>
        <v>80327</v>
      </c>
      <c r="AF159" s="2">
        <f t="shared" si="80"/>
        <v>0.53379043168121998</v>
      </c>
      <c r="AG159" s="2">
        <f t="shared" si="81"/>
        <v>0.65532386049086544</v>
      </c>
      <c r="AH159" s="2">
        <f t="shared" si="82"/>
        <v>0.66141824706138808</v>
      </c>
      <c r="AI159" s="2">
        <f t="shared" si="83"/>
        <v>0.23639644072661664</v>
      </c>
      <c r="AJ159" s="2" t="str">
        <f t="shared" si="84"/>
        <v/>
      </c>
      <c r="AK159" s="2" t="str">
        <f t="shared" si="85"/>
        <v/>
      </c>
      <c r="AL159" s="2" t="str">
        <f t="shared" si="86"/>
        <v/>
      </c>
      <c r="AM159" s="2" t="str">
        <f t="shared" si="87"/>
        <v/>
      </c>
      <c r="AN159" s="2" t="str">
        <f t="shared" si="88"/>
        <v/>
      </c>
      <c r="AO159" s="2" t="str">
        <f t="shared" si="89"/>
        <v/>
      </c>
      <c r="AP159" s="2" t="str">
        <f t="shared" si="90"/>
        <v/>
      </c>
      <c r="AQ159" s="2" t="str">
        <f t="shared" si="91"/>
        <v/>
      </c>
      <c r="AR159" s="2">
        <f t="shared" si="92"/>
        <v>0.55921277054920882</v>
      </c>
      <c r="AT159" s="2" t="str">
        <f t="shared" si="95"/>
        <v/>
      </c>
      <c r="AU159" s="2" t="str">
        <f t="shared" si="96"/>
        <v/>
      </c>
      <c r="AV159" s="143">
        <f t="shared" si="97"/>
        <v>-0.42502180633477143</v>
      </c>
      <c r="AW159" s="143" t="str">
        <f t="shared" si="98"/>
        <v/>
      </c>
      <c r="AX159" s="143" t="str">
        <f t="shared" si="99"/>
        <v/>
      </c>
      <c r="AY159" s="143" t="str">
        <f t="shared" si="100"/>
        <v/>
      </c>
      <c r="AZ159" s="143" t="str">
        <f t="shared" si="101"/>
        <v/>
      </c>
      <c r="BA159" s="143" t="str">
        <f t="shared" si="102"/>
        <v/>
      </c>
      <c r="BB159" s="143" t="str">
        <f t="shared" si="103"/>
        <v/>
      </c>
      <c r="BC159" s="143" t="str">
        <f t="shared" si="104"/>
        <v/>
      </c>
      <c r="BD159" s="143" t="str">
        <f t="shared" si="105"/>
        <v/>
      </c>
      <c r="BF159" s="9">
        <f t="shared" si="93"/>
        <v>1.0825486724237326E-4</v>
      </c>
      <c r="BG159" s="9">
        <f t="shared" si="94"/>
        <v>0.99562925909376654</v>
      </c>
    </row>
    <row r="160" spans="2:59" x14ac:dyDescent="0.35">
      <c r="B160" s="3" t="s">
        <v>241</v>
      </c>
      <c r="D160" s="141">
        <v>1641</v>
      </c>
      <c r="E160" s="141">
        <v>3454</v>
      </c>
      <c r="F160" s="141">
        <v>6898</v>
      </c>
      <c r="G160" s="141">
        <v>3837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78"/>
        <v>15830</v>
      </c>
      <c r="R160" s="141">
        <v>826</v>
      </c>
      <c r="S160" s="141">
        <v>2852</v>
      </c>
      <c r="T160" s="141">
        <v>4800</v>
      </c>
      <c r="U160" s="141">
        <v>2140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79"/>
        <v>10618</v>
      </c>
      <c r="AF160" s="2">
        <f t="shared" si="80"/>
        <v>0.50335161486898228</v>
      </c>
      <c r="AG160" s="2">
        <f t="shared" si="81"/>
        <v>0.82570932252460916</v>
      </c>
      <c r="AH160" s="2">
        <f t="shared" si="82"/>
        <v>0.69585387068715565</v>
      </c>
      <c r="AI160" s="2">
        <f t="shared" si="83"/>
        <v>0.55772739119103465</v>
      </c>
      <c r="AJ160" s="2" t="str">
        <f t="shared" si="84"/>
        <v/>
      </c>
      <c r="AK160" s="2" t="str">
        <f t="shared" si="85"/>
        <v/>
      </c>
      <c r="AL160" s="2" t="str">
        <f t="shared" si="86"/>
        <v/>
      </c>
      <c r="AM160" s="2" t="str">
        <f t="shared" si="87"/>
        <v/>
      </c>
      <c r="AN160" s="2" t="str">
        <f t="shared" si="88"/>
        <v/>
      </c>
      <c r="AO160" s="2" t="str">
        <f t="shared" si="89"/>
        <v/>
      </c>
      <c r="AP160" s="2" t="str">
        <f t="shared" si="90"/>
        <v/>
      </c>
      <c r="AQ160" s="2" t="str">
        <f t="shared" si="91"/>
        <v/>
      </c>
      <c r="AR160" s="2">
        <f t="shared" si="92"/>
        <v>0.67075173720783321</v>
      </c>
      <c r="AT160" s="2" t="str">
        <f t="shared" si="95"/>
        <v/>
      </c>
      <c r="AU160" s="2" t="str">
        <f t="shared" si="96"/>
        <v/>
      </c>
      <c r="AV160" s="143">
        <f t="shared" si="97"/>
        <v>-0.138126479496121</v>
      </c>
      <c r="AW160" s="143" t="str">
        <f t="shared" si="98"/>
        <v/>
      </c>
      <c r="AX160" s="143" t="str">
        <f t="shared" si="99"/>
        <v/>
      </c>
      <c r="AY160" s="143" t="str">
        <f t="shared" si="100"/>
        <v/>
      </c>
      <c r="AZ160" s="143" t="str">
        <f t="shared" si="101"/>
        <v/>
      </c>
      <c r="BA160" s="143" t="str">
        <f t="shared" si="102"/>
        <v/>
      </c>
      <c r="BB160" s="143" t="str">
        <f t="shared" si="103"/>
        <v/>
      </c>
      <c r="BC160" s="143" t="str">
        <f t="shared" si="104"/>
        <v/>
      </c>
      <c r="BD160" s="143" t="str">
        <f t="shared" si="105"/>
        <v/>
      </c>
      <c r="BF160" s="9">
        <f t="shared" si="93"/>
        <v>1.4309636615079852E-5</v>
      </c>
      <c r="BG160" s="9">
        <f t="shared" si="94"/>
        <v>0.99564356873038162</v>
      </c>
    </row>
    <row r="161" spans="2:59" x14ac:dyDescent="0.35">
      <c r="B161" s="3" t="s">
        <v>233</v>
      </c>
      <c r="D161" s="141">
        <v>48258</v>
      </c>
      <c r="E161" s="141">
        <v>67220</v>
      </c>
      <c r="F161" s="141">
        <v>31918</v>
      </c>
      <c r="G161" s="141">
        <v>44581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78"/>
        <v>191977</v>
      </c>
      <c r="R161" s="141">
        <v>43617</v>
      </c>
      <c r="S161" s="141">
        <v>61290</v>
      </c>
      <c r="T161" s="141">
        <v>30840</v>
      </c>
      <c r="U161" s="141">
        <v>41974</v>
      </c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79"/>
        <v>177721</v>
      </c>
      <c r="AF161" s="2">
        <f t="shared" si="80"/>
        <v>0.90382941688424712</v>
      </c>
      <c r="AG161" s="2">
        <f t="shared" si="81"/>
        <v>0.91178220767628682</v>
      </c>
      <c r="AH161" s="2">
        <f t="shared" si="82"/>
        <v>0.96622595400714328</v>
      </c>
      <c r="AI161" s="2">
        <f t="shared" si="83"/>
        <v>0.94152217312307929</v>
      </c>
      <c r="AJ161" s="2" t="str">
        <f t="shared" si="84"/>
        <v/>
      </c>
      <c r="AK161" s="2" t="str">
        <f t="shared" si="85"/>
        <v/>
      </c>
      <c r="AL161" s="2" t="str">
        <f t="shared" si="86"/>
        <v/>
      </c>
      <c r="AM161" s="2" t="str">
        <f t="shared" si="87"/>
        <v/>
      </c>
      <c r="AN161" s="2" t="str">
        <f t="shared" si="88"/>
        <v/>
      </c>
      <c r="AO161" s="2" t="str">
        <f t="shared" si="89"/>
        <v/>
      </c>
      <c r="AP161" s="2" t="str">
        <f t="shared" si="90"/>
        <v/>
      </c>
      <c r="AQ161" s="2" t="str">
        <f t="shared" si="91"/>
        <v/>
      </c>
      <c r="AR161" s="2">
        <f t="shared" si="92"/>
        <v>0.92574110440313162</v>
      </c>
      <c r="AT161" s="2" t="str">
        <f t="shared" si="95"/>
        <v/>
      </c>
      <c r="AU161" s="2" t="str">
        <f t="shared" si="96"/>
        <v/>
      </c>
      <c r="AV161" s="143">
        <f t="shared" si="97"/>
        <v>-2.4703780884063997E-2</v>
      </c>
      <c r="AW161" s="143" t="str">
        <f t="shared" si="98"/>
        <v/>
      </c>
      <c r="AX161" s="143" t="str">
        <f t="shared" si="99"/>
        <v/>
      </c>
      <c r="AY161" s="143" t="str">
        <f t="shared" si="100"/>
        <v/>
      </c>
      <c r="AZ161" s="143" t="str">
        <f t="shared" si="101"/>
        <v/>
      </c>
      <c r="BA161" s="143" t="str">
        <f t="shared" si="102"/>
        <v/>
      </c>
      <c r="BB161" s="143" t="str">
        <f t="shared" si="103"/>
        <v/>
      </c>
      <c r="BC161" s="143" t="str">
        <f t="shared" si="104"/>
        <v/>
      </c>
      <c r="BD161" s="143" t="str">
        <f t="shared" si="105"/>
        <v/>
      </c>
      <c r="BF161" s="9">
        <f t="shared" si="93"/>
        <v>2.3951054142669112E-4</v>
      </c>
      <c r="BG161" s="9">
        <f t="shared" si="94"/>
        <v>0.9958830792718083</v>
      </c>
    </row>
    <row r="162" spans="2:59" x14ac:dyDescent="0.35">
      <c r="B162" s="3" t="s">
        <v>249</v>
      </c>
      <c r="D162" s="141">
        <v>3453</v>
      </c>
      <c r="E162" s="141">
        <v>5892</v>
      </c>
      <c r="F162" s="141">
        <v>9967</v>
      </c>
      <c r="G162" s="141">
        <v>5649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78"/>
        <v>24961</v>
      </c>
      <c r="R162" s="141">
        <v>1313</v>
      </c>
      <c r="S162" s="141">
        <v>4876</v>
      </c>
      <c r="T162" s="141">
        <v>7557</v>
      </c>
      <c r="U162" s="141">
        <v>5434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79"/>
        <v>19180</v>
      </c>
      <c r="AF162" s="2">
        <f t="shared" si="80"/>
        <v>0.38024905878945842</v>
      </c>
      <c r="AG162" s="2">
        <f t="shared" si="81"/>
        <v>0.82756279701289881</v>
      </c>
      <c r="AH162" s="2">
        <f t="shared" si="82"/>
        <v>0.75820206682050773</v>
      </c>
      <c r="AI162" s="2">
        <f t="shared" si="83"/>
        <v>0.96194016640113289</v>
      </c>
      <c r="AJ162" s="2" t="str">
        <f t="shared" si="84"/>
        <v/>
      </c>
      <c r="AK162" s="2" t="str">
        <f t="shared" si="85"/>
        <v/>
      </c>
      <c r="AL162" s="2" t="str">
        <f t="shared" si="86"/>
        <v/>
      </c>
      <c r="AM162" s="2" t="str">
        <f t="shared" si="87"/>
        <v/>
      </c>
      <c r="AN162" s="2" t="str">
        <f t="shared" si="88"/>
        <v/>
      </c>
      <c r="AO162" s="2" t="str">
        <f t="shared" si="89"/>
        <v/>
      </c>
      <c r="AP162" s="2" t="str">
        <f t="shared" si="90"/>
        <v/>
      </c>
      <c r="AQ162" s="2" t="str">
        <f t="shared" si="91"/>
        <v/>
      </c>
      <c r="AR162" s="2">
        <f t="shared" si="92"/>
        <v>0.76839870197508109</v>
      </c>
      <c r="AT162" s="2" t="str">
        <f t="shared" si="95"/>
        <v/>
      </c>
      <c r="AU162" s="2" t="str">
        <f t="shared" si="96"/>
        <v/>
      </c>
      <c r="AV162" s="143">
        <f t="shared" si="97"/>
        <v>0.20373809958062516</v>
      </c>
      <c r="AW162" s="143" t="str">
        <f t="shared" si="98"/>
        <v/>
      </c>
      <c r="AX162" s="143" t="str">
        <f t="shared" si="99"/>
        <v/>
      </c>
      <c r="AY162" s="143" t="str">
        <f t="shared" si="100"/>
        <v/>
      </c>
      <c r="AZ162" s="143" t="str">
        <f t="shared" si="101"/>
        <v/>
      </c>
      <c r="BA162" s="143" t="str">
        <f t="shared" si="102"/>
        <v/>
      </c>
      <c r="BB162" s="143" t="str">
        <f t="shared" si="103"/>
        <v/>
      </c>
      <c r="BC162" s="143" t="str">
        <f t="shared" si="104"/>
        <v/>
      </c>
      <c r="BD162" s="143" t="str">
        <f t="shared" si="105"/>
        <v/>
      </c>
      <c r="BF162" s="9">
        <f t="shared" si="93"/>
        <v>2.5848448886535277E-5</v>
      </c>
      <c r="BG162" s="9">
        <f t="shared" si="94"/>
        <v>0.99590892772069484</v>
      </c>
    </row>
    <row r="163" spans="2:59" x14ac:dyDescent="0.35">
      <c r="B163" s="3" t="s">
        <v>257</v>
      </c>
      <c r="D163" s="141">
        <v>1425</v>
      </c>
      <c r="E163" s="141">
        <v>1215</v>
      </c>
      <c r="F163" s="141">
        <v>482</v>
      </c>
      <c r="G163" s="141">
        <v>2000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78"/>
        <v>5122</v>
      </c>
      <c r="R163" s="141">
        <v>1425</v>
      </c>
      <c r="S163" s="141">
        <v>1215</v>
      </c>
      <c r="T163" s="141">
        <v>482</v>
      </c>
      <c r="U163" s="141">
        <v>2000</v>
      </c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79"/>
        <v>5122</v>
      </c>
      <c r="AF163" s="2">
        <f t="shared" si="80"/>
        <v>1</v>
      </c>
      <c r="AG163" s="2">
        <f t="shared" si="81"/>
        <v>1</v>
      </c>
      <c r="AH163" s="2">
        <f t="shared" si="82"/>
        <v>1</v>
      </c>
      <c r="AI163" s="2">
        <f t="shared" si="83"/>
        <v>1</v>
      </c>
      <c r="AJ163" s="2" t="str">
        <f t="shared" si="84"/>
        <v/>
      </c>
      <c r="AK163" s="2" t="str">
        <f t="shared" si="85"/>
        <v/>
      </c>
      <c r="AL163" s="2" t="str">
        <f t="shared" si="86"/>
        <v/>
      </c>
      <c r="AM163" s="2" t="str">
        <f t="shared" si="87"/>
        <v/>
      </c>
      <c r="AN163" s="2" t="str">
        <f t="shared" si="88"/>
        <v/>
      </c>
      <c r="AO163" s="2" t="str">
        <f t="shared" si="89"/>
        <v/>
      </c>
      <c r="AP163" s="2" t="str">
        <f t="shared" si="90"/>
        <v/>
      </c>
      <c r="AQ163" s="2" t="str">
        <f t="shared" si="91"/>
        <v/>
      </c>
      <c r="AR163" s="2">
        <f t="shared" si="92"/>
        <v>1</v>
      </c>
      <c r="AT163" s="2" t="str">
        <f t="shared" si="95"/>
        <v/>
      </c>
      <c r="AU163" s="2" t="str">
        <f t="shared" si="96"/>
        <v/>
      </c>
      <c r="AV163" s="143">
        <f t="shared" si="97"/>
        <v>0</v>
      </c>
      <c r="AW163" s="143" t="str">
        <f t="shared" si="98"/>
        <v/>
      </c>
      <c r="AX163" s="143" t="str">
        <f t="shared" si="99"/>
        <v/>
      </c>
      <c r="AY163" s="143" t="str">
        <f t="shared" si="100"/>
        <v/>
      </c>
      <c r="AZ163" s="143" t="str">
        <f t="shared" si="101"/>
        <v/>
      </c>
      <c r="BA163" s="143" t="str">
        <f t="shared" si="102"/>
        <v/>
      </c>
      <c r="BB163" s="143" t="str">
        <f t="shared" si="103"/>
        <v/>
      </c>
      <c r="BC163" s="143" t="str">
        <f t="shared" si="104"/>
        <v/>
      </c>
      <c r="BD163" s="143" t="str">
        <f t="shared" si="105"/>
        <v/>
      </c>
      <c r="BF163" s="9">
        <f t="shared" si="93"/>
        <v>6.9028026692822564E-6</v>
      </c>
      <c r="BG163" s="9">
        <f t="shared" si="94"/>
        <v>0.99591583052336408</v>
      </c>
    </row>
    <row r="164" spans="2:59" x14ac:dyDescent="0.35">
      <c r="B164" s="3" t="s">
        <v>236</v>
      </c>
      <c r="D164" s="141">
        <v>19969</v>
      </c>
      <c r="E164" s="141">
        <v>27804</v>
      </c>
      <c r="F164" s="141">
        <v>7284</v>
      </c>
      <c r="G164" s="141">
        <v>12770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78"/>
        <v>67827</v>
      </c>
      <c r="R164" s="141">
        <v>17359</v>
      </c>
      <c r="S164" s="141">
        <v>21715</v>
      </c>
      <c r="T164" s="141">
        <v>4884</v>
      </c>
      <c r="U164" s="141">
        <v>8070</v>
      </c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79"/>
        <v>52028</v>
      </c>
      <c r="AF164" s="2">
        <f t="shared" si="80"/>
        <v>0.86929741098702995</v>
      </c>
      <c r="AG164" s="2">
        <f t="shared" si="81"/>
        <v>0.78100273341965187</v>
      </c>
      <c r="AH164" s="2">
        <f t="shared" si="82"/>
        <v>0.67051070840197691</v>
      </c>
      <c r="AI164" s="2">
        <f t="shared" si="83"/>
        <v>0.63194988253719653</v>
      </c>
      <c r="AJ164" s="2" t="str">
        <f t="shared" si="84"/>
        <v/>
      </c>
      <c r="AK164" s="2" t="str">
        <f t="shared" si="85"/>
        <v/>
      </c>
      <c r="AL164" s="2" t="str">
        <f t="shared" si="86"/>
        <v/>
      </c>
      <c r="AM164" s="2" t="str">
        <f t="shared" si="87"/>
        <v/>
      </c>
      <c r="AN164" s="2" t="str">
        <f t="shared" si="88"/>
        <v/>
      </c>
      <c r="AO164" s="2" t="str">
        <f t="shared" si="89"/>
        <v/>
      </c>
      <c r="AP164" s="2" t="str">
        <f t="shared" si="90"/>
        <v/>
      </c>
      <c r="AQ164" s="2" t="str">
        <f t="shared" si="91"/>
        <v/>
      </c>
      <c r="AR164" s="2">
        <f t="shared" si="92"/>
        <v>0.76706916124847035</v>
      </c>
      <c r="AT164" s="2" t="str">
        <f t="shared" si="95"/>
        <v/>
      </c>
      <c r="AU164" s="2" t="str">
        <f t="shared" si="96"/>
        <v/>
      </c>
      <c r="AV164" s="143">
        <f t="shared" si="97"/>
        <v>-3.8560825864780379E-2</v>
      </c>
      <c r="AW164" s="143" t="str">
        <f t="shared" si="98"/>
        <v/>
      </c>
      <c r="AX164" s="143" t="str">
        <f t="shared" si="99"/>
        <v/>
      </c>
      <c r="AY164" s="143" t="str">
        <f t="shared" si="100"/>
        <v/>
      </c>
      <c r="AZ164" s="143" t="str">
        <f t="shared" si="101"/>
        <v/>
      </c>
      <c r="BA164" s="143" t="str">
        <f t="shared" si="102"/>
        <v/>
      </c>
      <c r="BB164" s="143" t="str">
        <f t="shared" si="103"/>
        <v/>
      </c>
      <c r="BC164" s="143" t="str">
        <f t="shared" si="104"/>
        <v/>
      </c>
      <c r="BD164" s="143" t="str">
        <f t="shared" si="105"/>
        <v/>
      </c>
      <c r="BF164" s="9">
        <f t="shared" si="93"/>
        <v>7.0116949878449284E-5</v>
      </c>
      <c r="BG164" s="9">
        <f t="shared" si="94"/>
        <v>0.99598594747324254</v>
      </c>
    </row>
    <row r="165" spans="2:59" x14ac:dyDescent="0.35">
      <c r="B165" s="3" t="s">
        <v>253</v>
      </c>
      <c r="D165" s="141">
        <v>38908</v>
      </c>
      <c r="E165" s="141">
        <v>23952</v>
      </c>
      <c r="F165" s="141">
        <v>23380</v>
      </c>
      <c r="G165" s="141">
        <v>17903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78"/>
        <v>104143</v>
      </c>
      <c r="R165" s="141">
        <v>18107</v>
      </c>
      <c r="S165" s="141">
        <v>17089</v>
      </c>
      <c r="T165" s="141">
        <v>14203</v>
      </c>
      <c r="U165" s="141">
        <v>10405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79"/>
        <v>59804</v>
      </c>
      <c r="AF165" s="2">
        <f t="shared" si="80"/>
        <v>0.46537987046365786</v>
      </c>
      <c r="AG165" s="2">
        <f t="shared" si="81"/>
        <v>0.71346860387441546</v>
      </c>
      <c r="AH165" s="2">
        <f t="shared" si="82"/>
        <v>0.60748502994011977</v>
      </c>
      <c r="AI165" s="2">
        <f t="shared" si="83"/>
        <v>0.58118751047310502</v>
      </c>
      <c r="AJ165" s="2" t="str">
        <f t="shared" si="84"/>
        <v/>
      </c>
      <c r="AK165" s="2" t="str">
        <f t="shared" si="85"/>
        <v/>
      </c>
      <c r="AL165" s="2" t="str">
        <f t="shared" si="86"/>
        <v/>
      </c>
      <c r="AM165" s="2" t="str">
        <f t="shared" si="87"/>
        <v/>
      </c>
      <c r="AN165" s="2" t="str">
        <f t="shared" si="88"/>
        <v/>
      </c>
      <c r="AO165" s="2" t="str">
        <f t="shared" si="89"/>
        <v/>
      </c>
      <c r="AP165" s="2" t="str">
        <f t="shared" si="90"/>
        <v/>
      </c>
      <c r="AQ165" s="2" t="str">
        <f t="shared" si="91"/>
        <v/>
      </c>
      <c r="AR165" s="2">
        <f t="shared" si="92"/>
        <v>0.57424886934311481</v>
      </c>
      <c r="AT165" s="2" t="str">
        <f t="shared" si="95"/>
        <v/>
      </c>
      <c r="AU165" s="2" t="str">
        <f t="shared" si="96"/>
        <v/>
      </c>
      <c r="AV165" s="143">
        <f t="shared" si="97"/>
        <v>-2.6297519467014752E-2</v>
      </c>
      <c r="AW165" s="143" t="str">
        <f t="shared" si="98"/>
        <v/>
      </c>
      <c r="AX165" s="143" t="str">
        <f t="shared" si="99"/>
        <v/>
      </c>
      <c r="AY165" s="143" t="str">
        <f t="shared" si="100"/>
        <v/>
      </c>
      <c r="AZ165" s="143" t="str">
        <f t="shared" si="101"/>
        <v/>
      </c>
      <c r="BA165" s="143" t="str">
        <f t="shared" si="102"/>
        <v/>
      </c>
      <c r="BB165" s="143" t="str">
        <f t="shared" si="103"/>
        <v/>
      </c>
      <c r="BC165" s="143" t="str">
        <f t="shared" si="104"/>
        <v/>
      </c>
      <c r="BD165" s="143" t="str">
        <f t="shared" si="105"/>
        <v/>
      </c>
      <c r="BF165" s="9">
        <f t="shared" si="93"/>
        <v>8.0596487862896537E-5</v>
      </c>
      <c r="BG165" s="9">
        <f t="shared" si="94"/>
        <v>0.99606654396110539</v>
      </c>
    </row>
    <row r="166" spans="2:59" x14ac:dyDescent="0.35">
      <c r="B166" s="3" t="s">
        <v>248</v>
      </c>
      <c r="D166" s="141">
        <v>5895</v>
      </c>
      <c r="E166" s="141">
        <v>-460</v>
      </c>
      <c r="F166" s="141">
        <v>2229</v>
      </c>
      <c r="G166" s="141">
        <v>9052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78"/>
        <v>16716</v>
      </c>
      <c r="R166" s="141">
        <v>5895</v>
      </c>
      <c r="S166" s="141">
        <v>-460</v>
      </c>
      <c r="T166" s="141">
        <v>579</v>
      </c>
      <c r="U166" s="141">
        <v>8158</v>
      </c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79"/>
        <v>14172</v>
      </c>
      <c r="AF166" s="2">
        <f t="shared" si="80"/>
        <v>1</v>
      </c>
      <c r="AG166" s="2">
        <f t="shared" si="81"/>
        <v>1</v>
      </c>
      <c r="AH166" s="2">
        <f t="shared" si="82"/>
        <v>0.25975773889636611</v>
      </c>
      <c r="AI166" s="2">
        <f t="shared" si="83"/>
        <v>0.90123729562527621</v>
      </c>
      <c r="AJ166" s="2" t="str">
        <f t="shared" si="84"/>
        <v/>
      </c>
      <c r="AK166" s="2" t="str">
        <f t="shared" si="85"/>
        <v/>
      </c>
      <c r="AL166" s="2" t="str">
        <f t="shared" si="86"/>
        <v/>
      </c>
      <c r="AM166" s="2" t="str">
        <f t="shared" si="87"/>
        <v/>
      </c>
      <c r="AN166" s="2" t="str">
        <f t="shared" si="88"/>
        <v/>
      </c>
      <c r="AO166" s="2" t="str">
        <f t="shared" si="89"/>
        <v/>
      </c>
      <c r="AP166" s="2" t="str">
        <f t="shared" si="90"/>
        <v/>
      </c>
      <c r="AQ166" s="2" t="str">
        <f t="shared" si="91"/>
        <v/>
      </c>
      <c r="AR166" s="2">
        <f t="shared" si="92"/>
        <v>0.84781048097631018</v>
      </c>
      <c r="AT166" s="2" t="str">
        <f t="shared" si="95"/>
        <v/>
      </c>
      <c r="AU166" s="2" t="str">
        <f t="shared" si="96"/>
        <v/>
      </c>
      <c r="AV166" s="143">
        <f t="shared" si="97"/>
        <v>0.64147955672891011</v>
      </c>
      <c r="AW166" s="143" t="str">
        <f t="shared" si="98"/>
        <v/>
      </c>
      <c r="AX166" s="143" t="str">
        <f t="shared" si="99"/>
        <v/>
      </c>
      <c r="AY166" s="143" t="str">
        <f t="shared" si="100"/>
        <v/>
      </c>
      <c r="AZ166" s="143" t="str">
        <f t="shared" si="101"/>
        <v/>
      </c>
      <c r="BA166" s="143" t="str">
        <f t="shared" si="102"/>
        <v/>
      </c>
      <c r="BB166" s="143" t="str">
        <f t="shared" si="103"/>
        <v/>
      </c>
      <c r="BC166" s="143" t="str">
        <f t="shared" si="104"/>
        <v/>
      </c>
      <c r="BD166" s="143" t="str">
        <f t="shared" si="105"/>
        <v/>
      </c>
      <c r="BF166" s="9">
        <f t="shared" si="93"/>
        <v>1.9099281419185503E-5</v>
      </c>
      <c r="BG166" s="9">
        <f t="shared" si="94"/>
        <v>0.99608564324252458</v>
      </c>
    </row>
    <row r="167" spans="2:59" x14ac:dyDescent="0.35">
      <c r="B167" s="3" t="s">
        <v>268</v>
      </c>
      <c r="D167" s="141">
        <v>3491</v>
      </c>
      <c r="E167" s="141">
        <v>3225</v>
      </c>
      <c r="F167" s="141">
        <v>432</v>
      </c>
      <c r="G167" s="141">
        <v>100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78"/>
        <v>7248</v>
      </c>
      <c r="R167" s="141">
        <v>246</v>
      </c>
      <c r="S167" s="141">
        <v>2705</v>
      </c>
      <c r="T167" s="141">
        <v>432</v>
      </c>
      <c r="U167" s="141">
        <v>100</v>
      </c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79"/>
        <v>3483</v>
      </c>
      <c r="AF167" s="2">
        <f t="shared" si="80"/>
        <v>7.0466914924090518E-2</v>
      </c>
      <c r="AG167" s="2">
        <f t="shared" si="81"/>
        <v>0.83875968992248062</v>
      </c>
      <c r="AH167" s="2">
        <f t="shared" si="82"/>
        <v>1</v>
      </c>
      <c r="AI167" s="2">
        <f t="shared" si="83"/>
        <v>1</v>
      </c>
      <c r="AJ167" s="2" t="str">
        <f t="shared" si="84"/>
        <v/>
      </c>
      <c r="AK167" s="2" t="str">
        <f t="shared" si="85"/>
        <v/>
      </c>
      <c r="AL167" s="2" t="str">
        <f t="shared" si="86"/>
        <v/>
      </c>
      <c r="AM167" s="2" t="str">
        <f t="shared" si="87"/>
        <v/>
      </c>
      <c r="AN167" s="2" t="str">
        <f t="shared" si="88"/>
        <v/>
      </c>
      <c r="AO167" s="2" t="str">
        <f t="shared" si="89"/>
        <v/>
      </c>
      <c r="AP167" s="2" t="str">
        <f t="shared" si="90"/>
        <v/>
      </c>
      <c r="AQ167" s="2" t="str">
        <f t="shared" si="91"/>
        <v/>
      </c>
      <c r="AR167" s="2">
        <f t="shared" si="92"/>
        <v>0.48054635761589404</v>
      </c>
      <c r="AT167" s="2" t="str">
        <f t="shared" si="95"/>
        <v/>
      </c>
      <c r="AU167" s="2" t="str">
        <f t="shared" si="96"/>
        <v/>
      </c>
      <c r="AV167" s="143">
        <f t="shared" si="97"/>
        <v>0</v>
      </c>
      <c r="AW167" s="143" t="str">
        <f t="shared" si="98"/>
        <v/>
      </c>
      <c r="AX167" s="143" t="str">
        <f t="shared" si="99"/>
        <v/>
      </c>
      <c r="AY167" s="143" t="str">
        <f t="shared" si="100"/>
        <v/>
      </c>
      <c r="AZ167" s="143" t="str">
        <f t="shared" si="101"/>
        <v/>
      </c>
      <c r="BA167" s="143" t="str">
        <f t="shared" si="102"/>
        <v/>
      </c>
      <c r="BB167" s="143" t="str">
        <f t="shared" si="103"/>
        <v/>
      </c>
      <c r="BC167" s="143" t="str">
        <f t="shared" si="104"/>
        <v/>
      </c>
      <c r="BD167" s="143" t="str">
        <f t="shared" si="105"/>
        <v/>
      </c>
      <c r="BF167" s="9">
        <f t="shared" si="93"/>
        <v>4.6939597222003314E-6</v>
      </c>
      <c r="BG167" s="9">
        <f t="shared" si="94"/>
        <v>0.99609033720224682</v>
      </c>
    </row>
    <row r="168" spans="2:59" x14ac:dyDescent="0.35">
      <c r="B168" s="3" t="s">
        <v>286</v>
      </c>
      <c r="D168" s="141">
        <v>12718</v>
      </c>
      <c r="E168" s="141">
        <v>25258</v>
      </c>
      <c r="F168" s="141">
        <v>42074</v>
      </c>
      <c r="G168" s="141">
        <v>15575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78"/>
        <v>95625</v>
      </c>
      <c r="R168" s="141">
        <v>11242</v>
      </c>
      <c r="S168" s="141">
        <v>19837</v>
      </c>
      <c r="T168" s="141">
        <v>35318</v>
      </c>
      <c r="U168" s="141">
        <v>10526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79"/>
        <v>76923</v>
      </c>
      <c r="AF168" s="2">
        <f t="shared" si="80"/>
        <v>0.88394401635477271</v>
      </c>
      <c r="AG168" s="2">
        <f t="shared" si="81"/>
        <v>0.78537493071502096</v>
      </c>
      <c r="AH168" s="2">
        <f t="shared" si="82"/>
        <v>0.83942577363692539</v>
      </c>
      <c r="AI168" s="2">
        <f t="shared" si="83"/>
        <v>0.67582664526484748</v>
      </c>
      <c r="AJ168" s="2" t="str">
        <f t="shared" si="84"/>
        <v/>
      </c>
      <c r="AK168" s="2" t="str">
        <f t="shared" si="85"/>
        <v/>
      </c>
      <c r="AL168" s="2" t="str">
        <f t="shared" si="86"/>
        <v/>
      </c>
      <c r="AM168" s="2" t="str">
        <f t="shared" si="87"/>
        <v/>
      </c>
      <c r="AN168" s="2" t="str">
        <f t="shared" si="88"/>
        <v/>
      </c>
      <c r="AO168" s="2" t="str">
        <f t="shared" si="89"/>
        <v/>
      </c>
      <c r="AP168" s="2" t="str">
        <f t="shared" si="90"/>
        <v/>
      </c>
      <c r="AQ168" s="2" t="str">
        <f t="shared" si="91"/>
        <v/>
      </c>
      <c r="AR168" s="2">
        <f t="shared" si="92"/>
        <v>0.80442352941176476</v>
      </c>
      <c r="AT168" s="2" t="str">
        <f t="shared" si="95"/>
        <v/>
      </c>
      <c r="AU168" s="2" t="str">
        <f t="shared" si="96"/>
        <v/>
      </c>
      <c r="AV168" s="143">
        <f t="shared" si="97"/>
        <v>-0.16359912837207791</v>
      </c>
      <c r="AW168" s="143" t="str">
        <f t="shared" si="98"/>
        <v/>
      </c>
      <c r="AX168" s="143" t="str">
        <f t="shared" si="99"/>
        <v/>
      </c>
      <c r="AY168" s="143" t="str">
        <f t="shared" si="100"/>
        <v/>
      </c>
      <c r="AZ168" s="143" t="str">
        <f t="shared" si="101"/>
        <v/>
      </c>
      <c r="BA168" s="143" t="str">
        <f t="shared" si="102"/>
        <v/>
      </c>
      <c r="BB168" s="143" t="str">
        <f t="shared" si="103"/>
        <v/>
      </c>
      <c r="BC168" s="143" t="str">
        <f t="shared" si="104"/>
        <v/>
      </c>
      <c r="BD168" s="143" t="str">
        <f t="shared" si="105"/>
        <v/>
      </c>
      <c r="BF168" s="9">
        <f t="shared" si="93"/>
        <v>1.0366737401975772E-4</v>
      </c>
      <c r="BG168" s="9">
        <f t="shared" si="94"/>
        <v>0.99619400457626661</v>
      </c>
    </row>
    <row r="169" spans="2:59" x14ac:dyDescent="0.35">
      <c r="B169" s="3" t="s">
        <v>178</v>
      </c>
      <c r="D169" s="141">
        <v>3260</v>
      </c>
      <c r="E169" s="141">
        <v>9290</v>
      </c>
      <c r="F169" s="141">
        <v>11570</v>
      </c>
      <c r="G169" s="141">
        <v>12075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78"/>
        <v>36195</v>
      </c>
      <c r="R169" s="141">
        <v>3260</v>
      </c>
      <c r="S169" s="141">
        <v>9290</v>
      </c>
      <c r="T169" s="141">
        <v>11570</v>
      </c>
      <c r="U169" s="141">
        <v>12075</v>
      </c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79"/>
        <v>36195</v>
      </c>
      <c r="AF169" s="2">
        <f t="shared" si="80"/>
        <v>1</v>
      </c>
      <c r="AG169" s="2">
        <f t="shared" si="81"/>
        <v>1</v>
      </c>
      <c r="AH169" s="2">
        <f t="shared" si="82"/>
        <v>1</v>
      </c>
      <c r="AI169" s="2">
        <f t="shared" si="83"/>
        <v>1</v>
      </c>
      <c r="AJ169" s="2" t="str">
        <f t="shared" si="84"/>
        <v/>
      </c>
      <c r="AK169" s="2" t="str">
        <f t="shared" si="85"/>
        <v/>
      </c>
      <c r="AL169" s="2" t="str">
        <f t="shared" si="86"/>
        <v/>
      </c>
      <c r="AM169" s="2" t="str">
        <f t="shared" si="87"/>
        <v/>
      </c>
      <c r="AN169" s="2" t="str">
        <f t="shared" si="88"/>
        <v/>
      </c>
      <c r="AO169" s="2" t="str">
        <f t="shared" si="89"/>
        <v/>
      </c>
      <c r="AP169" s="2" t="str">
        <f t="shared" si="90"/>
        <v/>
      </c>
      <c r="AQ169" s="2" t="str">
        <f t="shared" si="91"/>
        <v/>
      </c>
      <c r="AR169" s="2">
        <f t="shared" si="92"/>
        <v>1</v>
      </c>
      <c r="AT169" s="2" t="str">
        <f t="shared" si="95"/>
        <v/>
      </c>
      <c r="AU169" s="2" t="str">
        <f t="shared" si="96"/>
        <v/>
      </c>
      <c r="AV169" s="143">
        <f t="shared" si="97"/>
        <v>0</v>
      </c>
      <c r="AW169" s="143" t="str">
        <f t="shared" si="98"/>
        <v/>
      </c>
      <c r="AX169" s="143" t="str">
        <f t="shared" si="99"/>
        <v/>
      </c>
      <c r="AY169" s="143" t="str">
        <f t="shared" si="100"/>
        <v/>
      </c>
      <c r="AZ169" s="143" t="str">
        <f t="shared" si="101"/>
        <v/>
      </c>
      <c r="BA169" s="143" t="str">
        <f t="shared" si="102"/>
        <v/>
      </c>
      <c r="BB169" s="143" t="str">
        <f t="shared" si="103"/>
        <v/>
      </c>
      <c r="BC169" s="143" t="str">
        <f t="shared" si="104"/>
        <v/>
      </c>
      <c r="BD169" s="143" t="str">
        <f t="shared" si="105"/>
        <v/>
      </c>
      <c r="BF169" s="9">
        <f t="shared" si="93"/>
        <v>4.8779176613563308E-5</v>
      </c>
      <c r="BG169" s="9">
        <f t="shared" si="94"/>
        <v>0.99624278375288022</v>
      </c>
    </row>
    <row r="170" spans="2:59" x14ac:dyDescent="0.35">
      <c r="B170" s="3" t="s">
        <v>300</v>
      </c>
      <c r="D170" s="141">
        <v>29423</v>
      </c>
      <c r="E170" s="141">
        <v>31699</v>
      </c>
      <c r="F170" s="141">
        <v>64700</v>
      </c>
      <c r="G170" s="141">
        <v>13209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78"/>
        <v>139031</v>
      </c>
      <c r="R170" s="141">
        <v>11892</v>
      </c>
      <c r="S170" s="141">
        <v>27994</v>
      </c>
      <c r="T170" s="141">
        <v>48818</v>
      </c>
      <c r="U170" s="141">
        <v>5395</v>
      </c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79"/>
        <v>94099</v>
      </c>
      <c r="AF170" s="2">
        <f t="shared" si="80"/>
        <v>0.40417360568262922</v>
      </c>
      <c r="AG170" s="2">
        <f t="shared" si="81"/>
        <v>0.88311934130414205</v>
      </c>
      <c r="AH170" s="2">
        <f t="shared" si="82"/>
        <v>0.75452859350850077</v>
      </c>
      <c r="AI170" s="2">
        <f t="shared" si="83"/>
        <v>0.40843364372776136</v>
      </c>
      <c r="AJ170" s="2" t="str">
        <f t="shared" si="84"/>
        <v/>
      </c>
      <c r="AK170" s="2" t="str">
        <f t="shared" si="85"/>
        <v/>
      </c>
      <c r="AL170" s="2" t="str">
        <f t="shared" si="86"/>
        <v/>
      </c>
      <c r="AM170" s="2" t="str">
        <f t="shared" si="87"/>
        <v/>
      </c>
      <c r="AN170" s="2" t="str">
        <f t="shared" si="88"/>
        <v/>
      </c>
      <c r="AO170" s="2" t="str">
        <f t="shared" si="89"/>
        <v/>
      </c>
      <c r="AP170" s="2" t="str">
        <f t="shared" si="90"/>
        <v/>
      </c>
      <c r="AQ170" s="2" t="str">
        <f t="shared" si="91"/>
        <v/>
      </c>
      <c r="AR170" s="2">
        <f t="shared" si="92"/>
        <v>0.67682027749207008</v>
      </c>
      <c r="AT170" s="2" t="str">
        <f t="shared" si="95"/>
        <v/>
      </c>
      <c r="AU170" s="2" t="str">
        <f t="shared" si="96"/>
        <v/>
      </c>
      <c r="AV170" s="143">
        <f t="shared" si="97"/>
        <v>-0.3460949497807394</v>
      </c>
      <c r="AW170" s="143" t="str">
        <f t="shared" si="98"/>
        <v/>
      </c>
      <c r="AX170" s="143" t="str">
        <f t="shared" si="99"/>
        <v/>
      </c>
      <c r="AY170" s="143" t="str">
        <f t="shared" si="100"/>
        <v/>
      </c>
      <c r="AZ170" s="143" t="str">
        <f t="shared" si="101"/>
        <v/>
      </c>
      <c r="BA170" s="143" t="str">
        <f t="shared" si="102"/>
        <v/>
      </c>
      <c r="BB170" s="143" t="str">
        <f t="shared" si="103"/>
        <v/>
      </c>
      <c r="BC170" s="143" t="str">
        <f t="shared" si="104"/>
        <v/>
      </c>
      <c r="BD170" s="143" t="str">
        <f t="shared" si="105"/>
        <v/>
      </c>
      <c r="BF170" s="9">
        <f t="shared" si="93"/>
        <v>1.2681507777758514E-4</v>
      </c>
      <c r="BG170" s="9">
        <f t="shared" si="94"/>
        <v>0.99636959883065779</v>
      </c>
    </row>
    <row r="171" spans="2:59" x14ac:dyDescent="0.35">
      <c r="B171" s="3" t="s">
        <v>260</v>
      </c>
      <c r="D171" s="141">
        <v>747096</v>
      </c>
      <c r="E171" s="141">
        <v>640752</v>
      </c>
      <c r="F171" s="141">
        <v>1876</v>
      </c>
      <c r="G171" s="141">
        <v>753377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78"/>
        <v>2143101</v>
      </c>
      <c r="R171" s="141">
        <v>594889</v>
      </c>
      <c r="S171" s="141">
        <v>432575</v>
      </c>
      <c r="T171" s="141">
        <v>1876</v>
      </c>
      <c r="U171" s="141">
        <v>541097</v>
      </c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79"/>
        <v>1570437</v>
      </c>
      <c r="AF171" s="2">
        <f t="shared" si="80"/>
        <v>0.79626848490689284</v>
      </c>
      <c r="AG171" s="2">
        <f t="shared" si="81"/>
        <v>0.67510518890303894</v>
      </c>
      <c r="AH171" s="2">
        <f t="shared" si="82"/>
        <v>1</v>
      </c>
      <c r="AI171" s="2">
        <f t="shared" si="83"/>
        <v>0.71822872214044231</v>
      </c>
      <c r="AJ171" s="2" t="str">
        <f t="shared" si="84"/>
        <v/>
      </c>
      <c r="AK171" s="2" t="str">
        <f t="shared" si="85"/>
        <v/>
      </c>
      <c r="AL171" s="2" t="str">
        <f t="shared" si="86"/>
        <v/>
      </c>
      <c r="AM171" s="2" t="str">
        <f t="shared" si="87"/>
        <v/>
      </c>
      <c r="AN171" s="2" t="str">
        <f t="shared" si="88"/>
        <v/>
      </c>
      <c r="AO171" s="2" t="str">
        <f t="shared" si="89"/>
        <v/>
      </c>
      <c r="AP171" s="2" t="str">
        <f t="shared" si="90"/>
        <v/>
      </c>
      <c r="AQ171" s="2" t="str">
        <f t="shared" si="91"/>
        <v/>
      </c>
      <c r="AR171" s="2">
        <f t="shared" si="92"/>
        <v>0.73278720881563675</v>
      </c>
      <c r="AT171" s="2" t="str">
        <f t="shared" si="95"/>
        <v/>
      </c>
      <c r="AU171" s="2" t="str">
        <f t="shared" si="96"/>
        <v/>
      </c>
      <c r="AV171" s="143">
        <f t="shared" si="97"/>
        <v>-0.28177127785955769</v>
      </c>
      <c r="AW171" s="143" t="str">
        <f t="shared" si="98"/>
        <v/>
      </c>
      <c r="AX171" s="143" t="str">
        <f t="shared" si="99"/>
        <v/>
      </c>
      <c r="AY171" s="143" t="str">
        <f t="shared" si="100"/>
        <v/>
      </c>
      <c r="AZ171" s="143" t="str">
        <f t="shared" si="101"/>
        <v/>
      </c>
      <c r="BA171" s="143" t="str">
        <f t="shared" si="102"/>
        <v/>
      </c>
      <c r="BB171" s="143" t="str">
        <f t="shared" si="103"/>
        <v/>
      </c>
      <c r="BC171" s="143" t="str">
        <f t="shared" si="104"/>
        <v/>
      </c>
      <c r="BD171" s="143" t="str">
        <f t="shared" si="105"/>
        <v/>
      </c>
      <c r="BF171" s="9">
        <f t="shared" si="93"/>
        <v>2.1164421545372156E-3</v>
      </c>
      <c r="BG171" s="9">
        <f t="shared" si="94"/>
        <v>0.998486040985195</v>
      </c>
    </row>
    <row r="172" spans="2:59" x14ac:dyDescent="0.35">
      <c r="B172" s="3" t="s">
        <v>259</v>
      </c>
      <c r="D172" s="141">
        <v>9549</v>
      </c>
      <c r="E172" s="141">
        <v>9856</v>
      </c>
      <c r="F172" s="141">
        <v>4282</v>
      </c>
      <c r="G172" s="141">
        <v>2755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78"/>
        <v>26442</v>
      </c>
      <c r="R172" s="141">
        <v>8549</v>
      </c>
      <c r="S172" s="141">
        <v>8856</v>
      </c>
      <c r="T172" s="141">
        <v>3337</v>
      </c>
      <c r="U172" s="141">
        <v>2755</v>
      </c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79"/>
        <v>23497</v>
      </c>
      <c r="AF172" s="2">
        <f t="shared" si="80"/>
        <v>0.8952769923552204</v>
      </c>
      <c r="AG172" s="2">
        <f t="shared" si="81"/>
        <v>0.89853896103896103</v>
      </c>
      <c r="AH172" s="2">
        <f t="shared" si="82"/>
        <v>0.77930873423633817</v>
      </c>
      <c r="AI172" s="2">
        <f t="shared" si="83"/>
        <v>1</v>
      </c>
      <c r="AJ172" s="2" t="str">
        <f t="shared" si="84"/>
        <v/>
      </c>
      <c r="AK172" s="2" t="str">
        <f t="shared" si="85"/>
        <v/>
      </c>
      <c r="AL172" s="2" t="str">
        <f t="shared" si="86"/>
        <v/>
      </c>
      <c r="AM172" s="2" t="str">
        <f t="shared" si="87"/>
        <v/>
      </c>
      <c r="AN172" s="2" t="str">
        <f t="shared" si="88"/>
        <v/>
      </c>
      <c r="AO172" s="2" t="str">
        <f t="shared" si="89"/>
        <v/>
      </c>
      <c r="AP172" s="2" t="str">
        <f t="shared" si="90"/>
        <v/>
      </c>
      <c r="AQ172" s="2" t="str">
        <f t="shared" si="91"/>
        <v/>
      </c>
      <c r="AR172" s="2">
        <f t="shared" si="92"/>
        <v>0.88862415853566301</v>
      </c>
      <c r="AT172" s="2" t="str">
        <f t="shared" si="95"/>
        <v/>
      </c>
      <c r="AU172" s="2" t="str">
        <f t="shared" si="96"/>
        <v/>
      </c>
      <c r="AV172" s="143">
        <f t="shared" si="97"/>
        <v>0.22069126576366183</v>
      </c>
      <c r="AW172" s="143" t="str">
        <f t="shared" si="98"/>
        <v/>
      </c>
      <c r="AX172" s="143" t="str">
        <f t="shared" si="99"/>
        <v/>
      </c>
      <c r="AY172" s="143" t="str">
        <f t="shared" si="100"/>
        <v/>
      </c>
      <c r="AZ172" s="143" t="str">
        <f t="shared" si="101"/>
        <v/>
      </c>
      <c r="BA172" s="143" t="str">
        <f t="shared" si="102"/>
        <v/>
      </c>
      <c r="BB172" s="143" t="str">
        <f t="shared" si="103"/>
        <v/>
      </c>
      <c r="BC172" s="143" t="str">
        <f t="shared" si="104"/>
        <v/>
      </c>
      <c r="BD172" s="143" t="str">
        <f t="shared" si="105"/>
        <v/>
      </c>
      <c r="BF172" s="9">
        <f t="shared" si="93"/>
        <v>3.1666371401820612E-5</v>
      </c>
      <c r="BG172" s="9">
        <f t="shared" si="94"/>
        <v>0.99851770735659684</v>
      </c>
    </row>
    <row r="173" spans="2:59" x14ac:dyDescent="0.35">
      <c r="B173" s="3" t="s">
        <v>237</v>
      </c>
      <c r="D173" s="141">
        <v>6500</v>
      </c>
      <c r="E173" s="141">
        <v>17177</v>
      </c>
      <c r="F173" s="141">
        <v>7750</v>
      </c>
      <c r="G173" s="141">
        <v>9657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78"/>
        <v>41084</v>
      </c>
      <c r="R173" s="141">
        <v>6500</v>
      </c>
      <c r="S173" s="141">
        <v>13403</v>
      </c>
      <c r="T173" s="141">
        <v>2800</v>
      </c>
      <c r="U173" s="141">
        <v>8643</v>
      </c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79"/>
        <v>31346</v>
      </c>
      <c r="AF173" s="2">
        <f t="shared" si="80"/>
        <v>1</v>
      </c>
      <c r="AG173" s="2">
        <f t="shared" si="81"/>
        <v>0.78028759387553126</v>
      </c>
      <c r="AH173" s="2">
        <f t="shared" si="82"/>
        <v>0.36129032258064514</v>
      </c>
      <c r="AI173" s="2">
        <f t="shared" si="83"/>
        <v>0.89499844672258466</v>
      </c>
      <c r="AJ173" s="2" t="str">
        <f t="shared" si="84"/>
        <v/>
      </c>
      <c r="AK173" s="2" t="str">
        <f t="shared" si="85"/>
        <v/>
      </c>
      <c r="AL173" s="2" t="str">
        <f t="shared" si="86"/>
        <v/>
      </c>
      <c r="AM173" s="2" t="str">
        <f t="shared" si="87"/>
        <v/>
      </c>
      <c r="AN173" s="2" t="str">
        <f t="shared" si="88"/>
        <v/>
      </c>
      <c r="AO173" s="2" t="str">
        <f t="shared" si="89"/>
        <v/>
      </c>
      <c r="AP173" s="2" t="str">
        <f t="shared" si="90"/>
        <v/>
      </c>
      <c r="AQ173" s="2" t="str">
        <f t="shared" si="91"/>
        <v/>
      </c>
      <c r="AR173" s="2">
        <f t="shared" si="92"/>
        <v>0.76297342030960957</v>
      </c>
      <c r="AT173" s="2" t="str">
        <f t="shared" si="95"/>
        <v/>
      </c>
      <c r="AU173" s="2" t="str">
        <f t="shared" si="96"/>
        <v/>
      </c>
      <c r="AV173" s="143">
        <f t="shared" si="97"/>
        <v>0.53370812414193947</v>
      </c>
      <c r="AW173" s="143" t="str">
        <f t="shared" si="98"/>
        <v/>
      </c>
      <c r="AX173" s="143" t="str">
        <f t="shared" si="99"/>
        <v/>
      </c>
      <c r="AY173" s="143" t="str">
        <f t="shared" si="100"/>
        <v/>
      </c>
      <c r="AZ173" s="143" t="str">
        <f t="shared" si="101"/>
        <v/>
      </c>
      <c r="BA173" s="143" t="str">
        <f t="shared" si="102"/>
        <v/>
      </c>
      <c r="BB173" s="143" t="str">
        <f t="shared" si="103"/>
        <v/>
      </c>
      <c r="BC173" s="143" t="str">
        <f t="shared" si="104"/>
        <v/>
      </c>
      <c r="BD173" s="143" t="str">
        <f t="shared" si="105"/>
        <v/>
      </c>
      <c r="BF173" s="9">
        <f t="shared" si="93"/>
        <v>4.2244289822593053E-5</v>
      </c>
      <c r="BG173" s="9">
        <f t="shared" si="94"/>
        <v>0.99855995164641942</v>
      </c>
    </row>
    <row r="174" spans="2:59" x14ac:dyDescent="0.35">
      <c r="B174" s="3" t="s">
        <v>254</v>
      </c>
      <c r="D174" s="141">
        <v>100</v>
      </c>
      <c r="E174" s="141">
        <v>3070</v>
      </c>
      <c r="F174" s="141">
        <v>32288</v>
      </c>
      <c r="G174" s="141">
        <v>1180</v>
      </c>
      <c r="H174" s="141"/>
      <c r="I174" s="141"/>
      <c r="J174" s="141"/>
      <c r="K174" s="141"/>
      <c r="L174" s="141"/>
      <c r="M174" s="141"/>
      <c r="N174" s="141"/>
      <c r="O174" s="141"/>
      <c r="P174" s="141">
        <f t="shared" si="78"/>
        <v>36638</v>
      </c>
      <c r="R174" s="141">
        <v>75</v>
      </c>
      <c r="S174" s="141">
        <v>3070</v>
      </c>
      <c r="T174" s="141">
        <v>31185</v>
      </c>
      <c r="U174" s="141">
        <v>1130</v>
      </c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79"/>
        <v>35460</v>
      </c>
      <c r="AF174" s="2">
        <f t="shared" si="80"/>
        <v>0.75</v>
      </c>
      <c r="AG174" s="2">
        <f t="shared" si="81"/>
        <v>1</v>
      </c>
      <c r="AH174" s="2">
        <f t="shared" si="82"/>
        <v>0.96583870168483643</v>
      </c>
      <c r="AI174" s="2">
        <f t="shared" si="83"/>
        <v>0.9576271186440678</v>
      </c>
      <c r="AJ174" s="2" t="str">
        <f t="shared" si="84"/>
        <v/>
      </c>
      <c r="AK174" s="2" t="str">
        <f t="shared" si="85"/>
        <v/>
      </c>
      <c r="AL174" s="2" t="str">
        <f t="shared" si="86"/>
        <v/>
      </c>
      <c r="AM174" s="2" t="str">
        <f t="shared" si="87"/>
        <v/>
      </c>
      <c r="AN174" s="2" t="str">
        <f t="shared" si="88"/>
        <v/>
      </c>
      <c r="AO174" s="2" t="str">
        <f t="shared" si="89"/>
        <v/>
      </c>
      <c r="AP174" s="2" t="str">
        <f t="shared" si="90"/>
        <v/>
      </c>
      <c r="AQ174" s="2" t="str">
        <f t="shared" si="91"/>
        <v/>
      </c>
      <c r="AR174" s="2">
        <f t="shared" si="92"/>
        <v>0.96784758993394837</v>
      </c>
      <c r="AT174" s="2" t="str">
        <f t="shared" ref="AT174:AT205" si="106">+IFERROR(AM174-AL174,"")</f>
        <v/>
      </c>
      <c r="AU174" s="2" t="str">
        <f t="shared" ref="AU174:AU205" si="107">+IFERROR(AN174-AM174,"")</f>
        <v/>
      </c>
      <c r="AV174" s="143">
        <f t="shared" ref="AV174:AV205" si="108">+IFERROR(AI174-AH174,"")</f>
        <v>-8.211583040768633E-3</v>
      </c>
      <c r="AW174" s="143" t="str">
        <f t="shared" ref="AW174:AW205" si="109">+IFERROR(AJ174-AI174,"")</f>
        <v/>
      </c>
      <c r="AX174" s="143" t="str">
        <f t="shared" ref="AX174:AX205" si="110">+IFERROR(AK174-AJ174,"")</f>
        <v/>
      </c>
      <c r="AY174" s="143" t="str">
        <f t="shared" ref="AY174:AY205" si="111">+IFERROR(AL174-AK174,"")</f>
        <v/>
      </c>
      <c r="AZ174" s="143" t="str">
        <f t="shared" ref="AZ174:AZ205" si="112">+IFERROR(AM174-AL174,"")</f>
        <v/>
      </c>
      <c r="BA174" s="143" t="str">
        <f t="shared" ref="BA174:BA205" si="113">+IFERROR(AN174-AM174,"")</f>
        <v/>
      </c>
      <c r="BB174" s="143" t="str">
        <f t="shared" ref="BB174:BB205" si="114">+IFERROR(AO174-AN174,"")</f>
        <v/>
      </c>
      <c r="BC174" s="143" t="str">
        <f t="shared" ref="BC174:BC205" si="115">+IFERROR(AP174-AO174,"")</f>
        <v/>
      </c>
      <c r="BD174" s="143" t="str">
        <f t="shared" ref="BD174:BD205" si="116">+IFERROR(AQ174-AP174,"")</f>
        <v/>
      </c>
      <c r="BF174" s="9">
        <f t="shared" si="93"/>
        <v>4.7788633864261776E-5</v>
      </c>
      <c r="BG174" s="9">
        <f t="shared" si="94"/>
        <v>0.99860774028028365</v>
      </c>
    </row>
    <row r="175" spans="2:59" x14ac:dyDescent="0.35">
      <c r="B175" s="3" t="s">
        <v>255</v>
      </c>
      <c r="D175" s="141">
        <v>50</v>
      </c>
      <c r="E175" s="141">
        <v>57</v>
      </c>
      <c r="F175" s="141">
        <v>34</v>
      </c>
      <c r="G175" s="141">
        <v>23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78"/>
        <v>164</v>
      </c>
      <c r="R175" s="141">
        <v>15</v>
      </c>
      <c r="S175" s="141">
        <v>57</v>
      </c>
      <c r="T175" s="141">
        <v>34</v>
      </c>
      <c r="U175" s="141">
        <v>23</v>
      </c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79"/>
        <v>129</v>
      </c>
      <c r="AF175" s="2">
        <f t="shared" si="80"/>
        <v>0.3</v>
      </c>
      <c r="AG175" s="2">
        <f t="shared" si="81"/>
        <v>1</v>
      </c>
      <c r="AH175" s="2">
        <f t="shared" si="82"/>
        <v>1</v>
      </c>
      <c r="AI175" s="2">
        <f t="shared" si="83"/>
        <v>1</v>
      </c>
      <c r="AJ175" s="2" t="str">
        <f t="shared" si="84"/>
        <v/>
      </c>
      <c r="AK175" s="2" t="str">
        <f t="shared" si="85"/>
        <v/>
      </c>
      <c r="AL175" s="2" t="str">
        <f t="shared" si="86"/>
        <v/>
      </c>
      <c r="AM175" s="2" t="str">
        <f t="shared" si="87"/>
        <v/>
      </c>
      <c r="AN175" s="2" t="str">
        <f t="shared" si="88"/>
        <v/>
      </c>
      <c r="AO175" s="2" t="str">
        <f t="shared" si="89"/>
        <v/>
      </c>
      <c r="AP175" s="2" t="str">
        <f t="shared" si="90"/>
        <v/>
      </c>
      <c r="AQ175" s="2" t="str">
        <f t="shared" si="91"/>
        <v/>
      </c>
      <c r="AR175" s="2">
        <f t="shared" si="92"/>
        <v>0.78658536585365857</v>
      </c>
      <c r="AT175" s="2" t="str">
        <f t="shared" si="106"/>
        <v/>
      </c>
      <c r="AU175" s="2" t="str">
        <f t="shared" si="107"/>
        <v/>
      </c>
      <c r="AV175" s="143">
        <f t="shared" si="108"/>
        <v>0</v>
      </c>
      <c r="AW175" s="143" t="str">
        <f t="shared" si="109"/>
        <v/>
      </c>
      <c r="AX175" s="143" t="str">
        <f t="shared" si="110"/>
        <v/>
      </c>
      <c r="AY175" s="143" t="str">
        <f t="shared" si="111"/>
        <v/>
      </c>
      <c r="AZ175" s="143" t="str">
        <f t="shared" si="112"/>
        <v/>
      </c>
      <c r="BA175" s="143" t="str">
        <f t="shared" si="113"/>
        <v/>
      </c>
      <c r="BB175" s="143" t="str">
        <f t="shared" si="114"/>
        <v/>
      </c>
      <c r="BC175" s="143" t="str">
        <f t="shared" si="115"/>
        <v/>
      </c>
      <c r="BD175" s="143" t="str">
        <f t="shared" si="116"/>
        <v/>
      </c>
      <c r="BF175" s="9">
        <f t="shared" si="93"/>
        <v>1.7385036008149377E-7</v>
      </c>
      <c r="BG175" s="9">
        <f t="shared" si="94"/>
        <v>0.99860791413064376</v>
      </c>
    </row>
    <row r="176" spans="2:59" x14ac:dyDescent="0.35">
      <c r="B176" s="3" t="s">
        <v>250</v>
      </c>
      <c r="D176" s="141">
        <v>65538</v>
      </c>
      <c r="E176" s="141">
        <v>56462</v>
      </c>
      <c r="F176" s="141">
        <v>9395</v>
      </c>
      <c r="G176" s="141">
        <v>76275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78"/>
        <v>207670</v>
      </c>
      <c r="R176" s="141">
        <v>20936</v>
      </c>
      <c r="S176" s="141">
        <v>7774</v>
      </c>
      <c r="T176" s="141">
        <v>7515</v>
      </c>
      <c r="U176" s="141">
        <v>21988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79"/>
        <v>58213</v>
      </c>
      <c r="AF176" s="2">
        <f t="shared" si="80"/>
        <v>0.31944825902529828</v>
      </c>
      <c r="AG176" s="2">
        <f t="shared" si="81"/>
        <v>0.13768552300662393</v>
      </c>
      <c r="AH176" s="2">
        <f t="shared" si="82"/>
        <v>0.79989356040447046</v>
      </c>
      <c r="AI176" s="2">
        <f t="shared" si="83"/>
        <v>0.28827269747623729</v>
      </c>
      <c r="AJ176" s="2" t="str">
        <f t="shared" si="84"/>
        <v/>
      </c>
      <c r="AK176" s="2" t="str">
        <f t="shared" si="85"/>
        <v/>
      </c>
      <c r="AL176" s="2" t="str">
        <f t="shared" si="86"/>
        <v/>
      </c>
      <c r="AM176" s="2" t="str">
        <f t="shared" si="87"/>
        <v/>
      </c>
      <c r="AN176" s="2" t="str">
        <f t="shared" si="88"/>
        <v/>
      </c>
      <c r="AO176" s="2" t="str">
        <f t="shared" si="89"/>
        <v/>
      </c>
      <c r="AP176" s="2" t="str">
        <f t="shared" si="90"/>
        <v/>
      </c>
      <c r="AQ176" s="2" t="str">
        <f t="shared" si="91"/>
        <v/>
      </c>
      <c r="AR176" s="2">
        <f t="shared" si="92"/>
        <v>0.28031492271392111</v>
      </c>
      <c r="AT176" s="2" t="str">
        <f t="shared" si="106"/>
        <v/>
      </c>
      <c r="AU176" s="2" t="str">
        <f t="shared" si="107"/>
        <v/>
      </c>
      <c r="AV176" s="143">
        <f t="shared" si="108"/>
        <v>-0.51162086292823317</v>
      </c>
      <c r="AW176" s="143" t="str">
        <f t="shared" si="109"/>
        <v/>
      </c>
      <c r="AX176" s="143" t="str">
        <f t="shared" si="110"/>
        <v/>
      </c>
      <c r="AY176" s="143" t="str">
        <f t="shared" si="111"/>
        <v/>
      </c>
      <c r="AZ176" s="143" t="str">
        <f t="shared" si="112"/>
        <v/>
      </c>
      <c r="BA176" s="143" t="str">
        <f t="shared" si="113"/>
        <v/>
      </c>
      <c r="BB176" s="143" t="str">
        <f t="shared" si="114"/>
        <v/>
      </c>
      <c r="BC176" s="143" t="str">
        <f t="shared" si="115"/>
        <v/>
      </c>
      <c r="BD176" s="143" t="str">
        <f t="shared" si="116"/>
        <v/>
      </c>
      <c r="BF176" s="9">
        <f t="shared" si="93"/>
        <v>7.8452333421891442E-5</v>
      </c>
      <c r="BG176" s="9">
        <f t="shared" si="94"/>
        <v>0.99868636646406561</v>
      </c>
    </row>
    <row r="177" spans="2:59" x14ac:dyDescent="0.35">
      <c r="B177" s="3" t="s">
        <v>204</v>
      </c>
      <c r="D177" s="141">
        <v>5119</v>
      </c>
      <c r="E177" s="141">
        <v>4115</v>
      </c>
      <c r="F177" s="141">
        <v>10682</v>
      </c>
      <c r="G177" s="141">
        <v>2909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78"/>
        <v>22825</v>
      </c>
      <c r="R177" s="141">
        <v>3323</v>
      </c>
      <c r="S177" s="141">
        <v>1840</v>
      </c>
      <c r="T177" s="141">
        <v>7995</v>
      </c>
      <c r="U177" s="141">
        <v>1785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79"/>
        <v>14943</v>
      </c>
      <c r="AF177" s="2">
        <f t="shared" si="80"/>
        <v>0.64915022465325256</v>
      </c>
      <c r="AG177" s="2">
        <f t="shared" si="81"/>
        <v>0.44714459295261239</v>
      </c>
      <c r="AH177" s="2">
        <f t="shared" si="82"/>
        <v>0.74845534544092862</v>
      </c>
      <c r="AI177" s="2">
        <f t="shared" si="83"/>
        <v>0.61361292540391887</v>
      </c>
      <c r="AJ177" s="2" t="str">
        <f t="shared" si="84"/>
        <v/>
      </c>
      <c r="AK177" s="2" t="str">
        <f t="shared" si="85"/>
        <v/>
      </c>
      <c r="AL177" s="2" t="str">
        <f t="shared" si="86"/>
        <v/>
      </c>
      <c r="AM177" s="2" t="str">
        <f t="shared" si="87"/>
        <v/>
      </c>
      <c r="AN177" s="2" t="str">
        <f t="shared" si="88"/>
        <v/>
      </c>
      <c r="AO177" s="2" t="str">
        <f t="shared" si="89"/>
        <v/>
      </c>
      <c r="AP177" s="2" t="str">
        <f t="shared" si="90"/>
        <v/>
      </c>
      <c r="AQ177" s="2" t="str">
        <f t="shared" si="91"/>
        <v/>
      </c>
      <c r="AR177" s="2">
        <f t="shared" si="92"/>
        <v>0.65467688937568458</v>
      </c>
      <c r="AT177" s="2" t="str">
        <f t="shared" si="106"/>
        <v/>
      </c>
      <c r="AU177" s="2" t="str">
        <f t="shared" si="107"/>
        <v/>
      </c>
      <c r="AV177" s="143">
        <f t="shared" si="108"/>
        <v>-0.13484242003700975</v>
      </c>
      <c r="AW177" s="143" t="str">
        <f t="shared" si="109"/>
        <v/>
      </c>
      <c r="AX177" s="143" t="str">
        <f t="shared" si="110"/>
        <v/>
      </c>
      <c r="AY177" s="143" t="str">
        <f t="shared" si="111"/>
        <v/>
      </c>
      <c r="AZ177" s="143" t="str">
        <f t="shared" si="112"/>
        <v/>
      </c>
      <c r="BA177" s="143" t="str">
        <f t="shared" si="113"/>
        <v/>
      </c>
      <c r="BB177" s="143" t="str">
        <f t="shared" si="114"/>
        <v/>
      </c>
      <c r="BC177" s="143" t="str">
        <f t="shared" si="115"/>
        <v/>
      </c>
      <c r="BD177" s="143" t="str">
        <f t="shared" si="116"/>
        <v/>
      </c>
      <c r="BF177" s="9">
        <f t="shared" si="93"/>
        <v>2.0138340548044662E-5</v>
      </c>
      <c r="BG177" s="9">
        <f t="shared" si="94"/>
        <v>0.99870650480461365</v>
      </c>
    </row>
    <row r="178" spans="2:59" x14ac:dyDescent="0.35">
      <c r="B178" s="3" t="s">
        <v>277</v>
      </c>
      <c r="D178" s="141">
        <v>717</v>
      </c>
      <c r="E178" s="141">
        <v>1044</v>
      </c>
      <c r="F178" s="141">
        <v>909</v>
      </c>
      <c r="G178" s="141">
        <v>473</v>
      </c>
      <c r="H178" s="141"/>
      <c r="I178" s="141"/>
      <c r="J178" s="141"/>
      <c r="K178" s="141"/>
      <c r="L178" s="141"/>
      <c r="M178" s="141"/>
      <c r="N178" s="141"/>
      <c r="O178" s="141"/>
      <c r="P178" s="141">
        <f t="shared" si="78"/>
        <v>3143</v>
      </c>
      <c r="R178" s="141">
        <v>553</v>
      </c>
      <c r="S178" s="141">
        <v>884</v>
      </c>
      <c r="T178" s="141">
        <v>870</v>
      </c>
      <c r="U178" s="141">
        <v>395</v>
      </c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79"/>
        <v>2702</v>
      </c>
      <c r="AF178" s="2">
        <f t="shared" si="80"/>
        <v>0.77126917712691767</v>
      </c>
      <c r="AG178" s="2">
        <f t="shared" si="81"/>
        <v>0.84674329501915713</v>
      </c>
      <c r="AH178" s="2">
        <f t="shared" si="82"/>
        <v>0.95709570957095713</v>
      </c>
      <c r="AI178" s="2">
        <f t="shared" si="83"/>
        <v>0.83509513742071884</v>
      </c>
      <c r="AJ178" s="2" t="str">
        <f t="shared" si="84"/>
        <v/>
      </c>
      <c r="AK178" s="2" t="str">
        <f t="shared" si="85"/>
        <v/>
      </c>
      <c r="AL178" s="2" t="str">
        <f t="shared" si="86"/>
        <v/>
      </c>
      <c r="AM178" s="2" t="str">
        <f t="shared" si="87"/>
        <v/>
      </c>
      <c r="AN178" s="2" t="str">
        <f t="shared" si="88"/>
        <v/>
      </c>
      <c r="AO178" s="2" t="str">
        <f t="shared" si="89"/>
        <v/>
      </c>
      <c r="AP178" s="2" t="str">
        <f t="shared" si="90"/>
        <v/>
      </c>
      <c r="AQ178" s="2" t="str">
        <f t="shared" si="91"/>
        <v/>
      </c>
      <c r="AR178" s="2">
        <f t="shared" si="92"/>
        <v>0.85968819599109136</v>
      </c>
      <c r="AT178" s="2" t="str">
        <f t="shared" si="106"/>
        <v/>
      </c>
      <c r="AU178" s="2" t="str">
        <f t="shared" si="107"/>
        <v/>
      </c>
      <c r="AV178" s="143">
        <f t="shared" si="108"/>
        <v>-0.1220005721502383</v>
      </c>
      <c r="AW178" s="143" t="str">
        <f t="shared" si="109"/>
        <v/>
      </c>
      <c r="AX178" s="143" t="str">
        <f t="shared" si="110"/>
        <v/>
      </c>
      <c r="AY178" s="143" t="str">
        <f t="shared" si="111"/>
        <v/>
      </c>
      <c r="AZ178" s="143" t="str">
        <f t="shared" si="112"/>
        <v/>
      </c>
      <c r="BA178" s="143" t="str">
        <f t="shared" si="113"/>
        <v/>
      </c>
      <c r="BB178" s="143" t="str">
        <f t="shared" si="114"/>
        <v/>
      </c>
      <c r="BC178" s="143" t="str">
        <f t="shared" si="115"/>
        <v/>
      </c>
      <c r="BD178" s="143" t="str">
        <f t="shared" si="116"/>
        <v/>
      </c>
      <c r="BF178" s="9">
        <f t="shared" si="93"/>
        <v>3.6414238212418308E-6</v>
      </c>
      <c r="BG178" s="9">
        <f t="shared" si="94"/>
        <v>0.9987101462284349</v>
      </c>
    </row>
    <row r="179" spans="2:59" x14ac:dyDescent="0.35">
      <c r="B179" s="3" t="s">
        <v>266</v>
      </c>
      <c r="D179" s="141">
        <v>601</v>
      </c>
      <c r="E179" s="141">
        <v>3610</v>
      </c>
      <c r="F179" s="141">
        <v>1887</v>
      </c>
      <c r="G179" s="141">
        <v>1599</v>
      </c>
      <c r="H179" s="141"/>
      <c r="I179" s="141"/>
      <c r="J179" s="141"/>
      <c r="K179" s="141"/>
      <c r="L179" s="141"/>
      <c r="M179" s="141"/>
      <c r="N179" s="141"/>
      <c r="O179" s="141"/>
      <c r="P179" s="141">
        <f t="shared" si="78"/>
        <v>7697</v>
      </c>
      <c r="R179" s="141">
        <v>345</v>
      </c>
      <c r="S179" s="141">
        <v>3314</v>
      </c>
      <c r="T179" s="141">
        <v>1032</v>
      </c>
      <c r="U179" s="141">
        <v>960</v>
      </c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79"/>
        <v>5651</v>
      </c>
      <c r="AF179" s="2">
        <f t="shared" si="80"/>
        <v>0.57404326123128124</v>
      </c>
      <c r="AG179" s="2">
        <f t="shared" si="81"/>
        <v>0.91800554016620495</v>
      </c>
      <c r="AH179" s="2">
        <f t="shared" si="82"/>
        <v>0.54689984101748812</v>
      </c>
      <c r="AI179" s="2">
        <f t="shared" si="83"/>
        <v>0.60037523452157604</v>
      </c>
      <c r="AJ179" s="2" t="str">
        <f t="shared" si="84"/>
        <v/>
      </c>
      <c r="AK179" s="2" t="str">
        <f t="shared" si="85"/>
        <v/>
      </c>
      <c r="AL179" s="2" t="str">
        <f t="shared" si="86"/>
        <v/>
      </c>
      <c r="AM179" s="2" t="str">
        <f t="shared" si="87"/>
        <v/>
      </c>
      <c r="AN179" s="2" t="str">
        <f t="shared" si="88"/>
        <v/>
      </c>
      <c r="AO179" s="2" t="str">
        <f t="shared" si="89"/>
        <v/>
      </c>
      <c r="AP179" s="2" t="str">
        <f t="shared" si="90"/>
        <v/>
      </c>
      <c r="AQ179" s="2" t="str">
        <f t="shared" si="91"/>
        <v/>
      </c>
      <c r="AR179" s="2">
        <f t="shared" si="92"/>
        <v>0.73418214888917765</v>
      </c>
      <c r="AT179" s="2" t="str">
        <f t="shared" si="106"/>
        <v/>
      </c>
      <c r="AU179" s="2" t="str">
        <f t="shared" si="107"/>
        <v/>
      </c>
      <c r="AV179" s="143">
        <f t="shared" si="108"/>
        <v>5.347539350408792E-2</v>
      </c>
      <c r="AW179" s="143" t="str">
        <f t="shared" si="109"/>
        <v/>
      </c>
      <c r="AX179" s="143" t="str">
        <f t="shared" si="110"/>
        <v/>
      </c>
      <c r="AY179" s="143" t="str">
        <f t="shared" si="111"/>
        <v/>
      </c>
      <c r="AZ179" s="143" t="str">
        <f t="shared" si="112"/>
        <v/>
      </c>
      <c r="BA179" s="143" t="str">
        <f t="shared" si="113"/>
        <v/>
      </c>
      <c r="BB179" s="143" t="str">
        <f t="shared" si="114"/>
        <v/>
      </c>
      <c r="BC179" s="143" t="str">
        <f t="shared" si="115"/>
        <v/>
      </c>
      <c r="BD179" s="143" t="str">
        <f t="shared" si="116"/>
        <v/>
      </c>
      <c r="BF179" s="9">
        <f t="shared" si="93"/>
        <v>7.6157239133373745E-6</v>
      </c>
      <c r="BG179" s="9">
        <f t="shared" si="94"/>
        <v>0.99871776195234829</v>
      </c>
    </row>
    <row r="180" spans="2:59" x14ac:dyDescent="0.35">
      <c r="B180" s="3" t="s">
        <v>281</v>
      </c>
      <c r="D180" s="141">
        <v>234</v>
      </c>
      <c r="E180" s="141"/>
      <c r="F180" s="141">
        <v>1531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78"/>
        <v>1765</v>
      </c>
      <c r="R180" s="141">
        <v>234</v>
      </c>
      <c r="S180" s="141"/>
      <c r="T180" s="141">
        <v>1531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79"/>
        <v>1765</v>
      </c>
      <c r="AF180" s="2">
        <f t="shared" si="80"/>
        <v>1</v>
      </c>
      <c r="AG180" s="2" t="str">
        <f t="shared" si="81"/>
        <v/>
      </c>
      <c r="AH180" s="2">
        <f t="shared" si="82"/>
        <v>1</v>
      </c>
      <c r="AI180" s="2" t="str">
        <f t="shared" si="83"/>
        <v/>
      </c>
      <c r="AJ180" s="2" t="str">
        <f t="shared" si="84"/>
        <v/>
      </c>
      <c r="AK180" s="2" t="str">
        <f t="shared" si="85"/>
        <v/>
      </c>
      <c r="AL180" s="2" t="str">
        <f t="shared" si="86"/>
        <v/>
      </c>
      <c r="AM180" s="2" t="str">
        <f t="shared" si="87"/>
        <v/>
      </c>
      <c r="AN180" s="2" t="str">
        <f t="shared" si="88"/>
        <v/>
      </c>
      <c r="AO180" s="2" t="str">
        <f t="shared" si="89"/>
        <v/>
      </c>
      <c r="AP180" s="2" t="str">
        <f t="shared" si="90"/>
        <v/>
      </c>
      <c r="AQ180" s="2" t="str">
        <f t="shared" si="91"/>
        <v/>
      </c>
      <c r="AR180" s="2">
        <f t="shared" si="92"/>
        <v>1</v>
      </c>
      <c r="AT180" s="2" t="str">
        <f t="shared" si="106"/>
        <v/>
      </c>
      <c r="AU180" s="2" t="str">
        <f t="shared" si="107"/>
        <v/>
      </c>
      <c r="AV180" s="143" t="str">
        <f t="shared" si="108"/>
        <v/>
      </c>
      <c r="AW180" s="143" t="str">
        <f t="shared" si="109"/>
        <v/>
      </c>
      <c r="AX180" s="143" t="str">
        <f t="shared" si="110"/>
        <v/>
      </c>
      <c r="AY180" s="143" t="str">
        <f t="shared" si="111"/>
        <v/>
      </c>
      <c r="AZ180" s="143" t="str">
        <f t="shared" si="112"/>
        <v/>
      </c>
      <c r="BA180" s="143" t="str">
        <f t="shared" si="113"/>
        <v/>
      </c>
      <c r="BB180" s="143" t="str">
        <f t="shared" si="114"/>
        <v/>
      </c>
      <c r="BC180" s="143" t="str">
        <f t="shared" si="115"/>
        <v/>
      </c>
      <c r="BD180" s="143" t="str">
        <f t="shared" si="116"/>
        <v/>
      </c>
      <c r="BF180" s="9">
        <f t="shared" si="93"/>
        <v>2.3786502755336163E-6</v>
      </c>
      <c r="BG180" s="9">
        <f t="shared" si="94"/>
        <v>0.99872014060262382</v>
      </c>
    </row>
    <row r="181" spans="2:59" x14ac:dyDescent="0.35">
      <c r="B181" s="3" t="s">
        <v>290</v>
      </c>
      <c r="D181" s="141">
        <v>59</v>
      </c>
      <c r="E181" s="141"/>
      <c r="F181" s="141">
        <v>1580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78"/>
        <v>1639</v>
      </c>
      <c r="R181" s="141">
        <v>59</v>
      </c>
      <c r="S181" s="141"/>
      <c r="T181" s="141">
        <v>693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79"/>
        <v>752</v>
      </c>
      <c r="AF181" s="2">
        <f t="shared" si="80"/>
        <v>1</v>
      </c>
      <c r="AG181" s="2" t="str">
        <f t="shared" si="81"/>
        <v/>
      </c>
      <c r="AH181" s="2">
        <f t="shared" si="82"/>
        <v>0.43860759493670887</v>
      </c>
      <c r="AI181" s="2" t="str">
        <f t="shared" si="83"/>
        <v/>
      </c>
      <c r="AJ181" s="2" t="str">
        <f t="shared" si="84"/>
        <v/>
      </c>
      <c r="AK181" s="2" t="str">
        <f t="shared" si="85"/>
        <v/>
      </c>
      <c r="AL181" s="2" t="str">
        <f t="shared" si="86"/>
        <v/>
      </c>
      <c r="AM181" s="2" t="str">
        <f t="shared" si="87"/>
        <v/>
      </c>
      <c r="AN181" s="2" t="str">
        <f t="shared" si="88"/>
        <v/>
      </c>
      <c r="AO181" s="2" t="str">
        <f t="shared" si="89"/>
        <v/>
      </c>
      <c r="AP181" s="2" t="str">
        <f t="shared" si="90"/>
        <v/>
      </c>
      <c r="AQ181" s="2" t="str">
        <f t="shared" si="91"/>
        <v/>
      </c>
      <c r="AR181" s="2">
        <f t="shared" si="92"/>
        <v>0.45881635143380112</v>
      </c>
      <c r="AT181" s="2" t="str">
        <f t="shared" si="106"/>
        <v/>
      </c>
      <c r="AU181" s="2" t="str">
        <f t="shared" si="107"/>
        <v/>
      </c>
      <c r="AV181" s="143" t="str">
        <f t="shared" si="108"/>
        <v/>
      </c>
      <c r="AW181" s="143" t="str">
        <f t="shared" si="109"/>
        <v/>
      </c>
      <c r="AX181" s="143" t="str">
        <f t="shared" si="110"/>
        <v/>
      </c>
      <c r="AY181" s="143" t="str">
        <f t="shared" si="111"/>
        <v/>
      </c>
      <c r="AZ181" s="143" t="str">
        <f t="shared" si="112"/>
        <v/>
      </c>
      <c r="BA181" s="143" t="str">
        <f t="shared" si="113"/>
        <v/>
      </c>
      <c r="BB181" s="143" t="str">
        <f t="shared" si="114"/>
        <v/>
      </c>
      <c r="BC181" s="143" t="str">
        <f t="shared" si="115"/>
        <v/>
      </c>
      <c r="BD181" s="143" t="str">
        <f t="shared" si="116"/>
        <v/>
      </c>
      <c r="BF181" s="9">
        <f t="shared" si="93"/>
        <v>1.0134532618704133E-6</v>
      </c>
      <c r="BG181" s="9">
        <f t="shared" si="94"/>
        <v>0.99872115405588568</v>
      </c>
    </row>
    <row r="182" spans="2:59" x14ac:dyDescent="0.35">
      <c r="B182" s="3" t="s">
        <v>267</v>
      </c>
      <c r="D182" s="141">
        <v>589</v>
      </c>
      <c r="E182" s="141"/>
      <c r="F182" s="141">
        <v>1051</v>
      </c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78"/>
        <v>1640</v>
      </c>
      <c r="R182" s="141">
        <v>466</v>
      </c>
      <c r="S182" s="141"/>
      <c r="T182" s="141">
        <v>960</v>
      </c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79"/>
        <v>1426</v>
      </c>
      <c r="AF182" s="2">
        <f t="shared" si="80"/>
        <v>0.79117147707979629</v>
      </c>
      <c r="AG182" s="2" t="str">
        <f t="shared" si="81"/>
        <v/>
      </c>
      <c r="AH182" s="2">
        <f t="shared" si="82"/>
        <v>0.91341579448144627</v>
      </c>
      <c r="AI182" s="2" t="str">
        <f t="shared" si="83"/>
        <v/>
      </c>
      <c r="AJ182" s="2" t="str">
        <f t="shared" si="84"/>
        <v/>
      </c>
      <c r="AK182" s="2" t="str">
        <f t="shared" si="85"/>
        <v/>
      </c>
      <c r="AL182" s="2" t="str">
        <f t="shared" si="86"/>
        <v/>
      </c>
      <c r="AM182" s="2" t="str">
        <f t="shared" si="87"/>
        <v/>
      </c>
      <c r="AN182" s="2" t="str">
        <f t="shared" si="88"/>
        <v/>
      </c>
      <c r="AO182" s="2" t="str">
        <f t="shared" si="89"/>
        <v/>
      </c>
      <c r="AP182" s="2" t="str">
        <f t="shared" si="90"/>
        <v/>
      </c>
      <c r="AQ182" s="2" t="str">
        <f t="shared" si="91"/>
        <v/>
      </c>
      <c r="AR182" s="2">
        <f t="shared" si="92"/>
        <v>0.86951219512195121</v>
      </c>
      <c r="AT182" s="2" t="str">
        <f t="shared" si="106"/>
        <v/>
      </c>
      <c r="AU182" s="2" t="str">
        <f t="shared" si="107"/>
        <v/>
      </c>
      <c r="AV182" s="143" t="str">
        <f t="shared" si="108"/>
        <v/>
      </c>
      <c r="AW182" s="143" t="str">
        <f t="shared" si="109"/>
        <v/>
      </c>
      <c r="AX182" s="143" t="str">
        <f t="shared" si="110"/>
        <v/>
      </c>
      <c r="AY182" s="143" t="str">
        <f t="shared" si="111"/>
        <v/>
      </c>
      <c r="AZ182" s="143" t="str">
        <f t="shared" si="112"/>
        <v/>
      </c>
      <c r="BA182" s="143" t="str">
        <f t="shared" si="113"/>
        <v/>
      </c>
      <c r="BB182" s="143" t="str">
        <f t="shared" si="114"/>
        <v/>
      </c>
      <c r="BC182" s="143" t="str">
        <f t="shared" si="115"/>
        <v/>
      </c>
      <c r="BD182" s="143" t="str">
        <f t="shared" si="116"/>
        <v/>
      </c>
      <c r="BF182" s="9">
        <f t="shared" si="93"/>
        <v>1.92178770136597E-6</v>
      </c>
      <c r="BG182" s="9">
        <f t="shared" si="94"/>
        <v>0.9987230758435871</v>
      </c>
    </row>
    <row r="183" spans="2:59" x14ac:dyDescent="0.35">
      <c r="B183" s="3" t="s">
        <v>256</v>
      </c>
      <c r="D183" s="141">
        <v>1449</v>
      </c>
      <c r="E183" s="141">
        <v>9409</v>
      </c>
      <c r="F183" s="141">
        <v>3071</v>
      </c>
      <c r="G183" s="141">
        <v>43478</v>
      </c>
      <c r="H183" s="141"/>
      <c r="I183" s="141"/>
      <c r="J183" s="141"/>
      <c r="K183" s="141"/>
      <c r="L183" s="141"/>
      <c r="M183" s="141"/>
      <c r="N183" s="141"/>
      <c r="O183" s="141"/>
      <c r="P183" s="141">
        <f t="shared" si="78"/>
        <v>57407</v>
      </c>
      <c r="R183" s="141">
        <v>1449</v>
      </c>
      <c r="S183" s="141">
        <v>8461</v>
      </c>
      <c r="T183" s="141">
        <v>2640</v>
      </c>
      <c r="U183" s="141">
        <v>41735</v>
      </c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79"/>
        <v>54285</v>
      </c>
      <c r="AF183" s="2">
        <f t="shared" si="80"/>
        <v>1</v>
      </c>
      <c r="AG183" s="2">
        <f t="shared" si="81"/>
        <v>0.89924540333723035</v>
      </c>
      <c r="AH183" s="2">
        <f t="shared" si="82"/>
        <v>0.85965483555845001</v>
      </c>
      <c r="AI183" s="2">
        <f t="shared" si="83"/>
        <v>0.95991075946455684</v>
      </c>
      <c r="AJ183" s="2" t="str">
        <f t="shared" si="84"/>
        <v/>
      </c>
      <c r="AK183" s="2" t="str">
        <f t="shared" si="85"/>
        <v/>
      </c>
      <c r="AL183" s="2" t="str">
        <f t="shared" si="86"/>
        <v/>
      </c>
      <c r="AM183" s="2" t="str">
        <f t="shared" si="87"/>
        <v/>
      </c>
      <c r="AN183" s="2" t="str">
        <f t="shared" si="88"/>
        <v/>
      </c>
      <c r="AO183" s="2" t="str">
        <f t="shared" si="89"/>
        <v/>
      </c>
      <c r="AP183" s="2" t="str">
        <f t="shared" si="90"/>
        <v/>
      </c>
      <c r="AQ183" s="2" t="str">
        <f t="shared" si="91"/>
        <v/>
      </c>
      <c r="AR183" s="2">
        <f t="shared" si="92"/>
        <v>0.94561638824533589</v>
      </c>
      <c r="AT183" s="2" t="str">
        <f t="shared" si="106"/>
        <v/>
      </c>
      <c r="AU183" s="2" t="str">
        <f t="shared" si="107"/>
        <v/>
      </c>
      <c r="AV183" s="143">
        <f t="shared" si="108"/>
        <v>0.10025592390610683</v>
      </c>
      <c r="AW183" s="143" t="str">
        <f t="shared" si="109"/>
        <v/>
      </c>
      <c r="AX183" s="143" t="str">
        <f t="shared" si="110"/>
        <v/>
      </c>
      <c r="AY183" s="143" t="str">
        <f t="shared" si="111"/>
        <v/>
      </c>
      <c r="AZ183" s="143" t="str">
        <f t="shared" si="112"/>
        <v/>
      </c>
      <c r="BA183" s="143" t="str">
        <f t="shared" si="113"/>
        <v/>
      </c>
      <c r="BB183" s="143" t="str">
        <f t="shared" si="114"/>
        <v/>
      </c>
      <c r="BC183" s="143" t="str">
        <f t="shared" si="115"/>
        <v/>
      </c>
      <c r="BD183" s="143" t="str">
        <f t="shared" si="116"/>
        <v/>
      </c>
      <c r="BF183" s="9">
        <f t="shared" si="93"/>
        <v>7.3158657341270466E-5</v>
      </c>
      <c r="BG183" s="9">
        <f t="shared" si="94"/>
        <v>0.99879623450092836</v>
      </c>
    </row>
    <row r="184" spans="2:59" x14ac:dyDescent="0.35">
      <c r="B184" s="3" t="s">
        <v>309</v>
      </c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78"/>
        <v>0</v>
      </c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79"/>
        <v>0</v>
      </c>
      <c r="AF184" s="2" t="str">
        <f t="shared" si="80"/>
        <v/>
      </c>
      <c r="AG184" s="2" t="str">
        <f t="shared" si="81"/>
        <v/>
      </c>
      <c r="AH184" s="2" t="str">
        <f t="shared" si="82"/>
        <v/>
      </c>
      <c r="AI184" s="2" t="str">
        <f t="shared" si="83"/>
        <v/>
      </c>
      <c r="AJ184" s="2" t="str">
        <f t="shared" si="84"/>
        <v/>
      </c>
      <c r="AK184" s="2" t="str">
        <f t="shared" si="85"/>
        <v/>
      </c>
      <c r="AL184" s="2" t="str">
        <f t="shared" si="86"/>
        <v/>
      </c>
      <c r="AM184" s="2" t="str">
        <f t="shared" si="87"/>
        <v/>
      </c>
      <c r="AN184" s="2" t="str">
        <f t="shared" si="88"/>
        <v/>
      </c>
      <c r="AO184" s="2" t="str">
        <f t="shared" si="89"/>
        <v/>
      </c>
      <c r="AP184" s="2" t="str">
        <f t="shared" si="90"/>
        <v/>
      </c>
      <c r="AQ184" s="2" t="str">
        <f t="shared" si="91"/>
        <v/>
      </c>
      <c r="AR184" s="2" t="str">
        <f t="shared" si="92"/>
        <v/>
      </c>
      <c r="AT184" s="2" t="str">
        <f t="shared" si="106"/>
        <v/>
      </c>
      <c r="AU184" s="2" t="str">
        <f t="shared" si="107"/>
        <v/>
      </c>
      <c r="AV184" s="143" t="str">
        <f t="shared" si="108"/>
        <v/>
      </c>
      <c r="AW184" s="143" t="str">
        <f t="shared" si="109"/>
        <v/>
      </c>
      <c r="AX184" s="143" t="str">
        <f t="shared" si="110"/>
        <v/>
      </c>
      <c r="AY184" s="143" t="str">
        <f t="shared" si="111"/>
        <v/>
      </c>
      <c r="AZ184" s="143" t="str">
        <f t="shared" si="112"/>
        <v/>
      </c>
      <c r="BA184" s="143" t="str">
        <f t="shared" si="113"/>
        <v/>
      </c>
      <c r="BB184" s="143" t="str">
        <f t="shared" si="114"/>
        <v/>
      </c>
      <c r="BC184" s="143" t="str">
        <f t="shared" si="115"/>
        <v/>
      </c>
      <c r="BD184" s="143" t="str">
        <f t="shared" si="116"/>
        <v/>
      </c>
      <c r="BF184" s="9">
        <f t="shared" si="93"/>
        <v>0</v>
      </c>
      <c r="BG184" s="9">
        <f t="shared" si="94"/>
        <v>0.99879623450092836</v>
      </c>
    </row>
    <row r="185" spans="2:59" x14ac:dyDescent="0.35">
      <c r="B185" s="3" t="s">
        <v>270</v>
      </c>
      <c r="D185" s="141">
        <v>54162</v>
      </c>
      <c r="E185" s="141">
        <v>81274</v>
      </c>
      <c r="F185" s="141">
        <v>17700</v>
      </c>
      <c r="G185" s="141">
        <v>43811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78"/>
        <v>196947</v>
      </c>
      <c r="R185" s="141">
        <v>31313</v>
      </c>
      <c r="S185" s="141">
        <v>45682</v>
      </c>
      <c r="T185" s="141">
        <v>9962</v>
      </c>
      <c r="U185" s="141">
        <v>31705</v>
      </c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79"/>
        <v>118662</v>
      </c>
      <c r="AF185" s="2">
        <f t="shared" si="80"/>
        <v>0.57813596248292165</v>
      </c>
      <c r="AG185" s="2">
        <f t="shared" si="81"/>
        <v>0.56207397199596432</v>
      </c>
      <c r="AH185" s="2">
        <f t="shared" si="82"/>
        <v>0.56282485875706212</v>
      </c>
      <c r="AI185" s="2">
        <f t="shared" si="83"/>
        <v>0.72367670219807811</v>
      </c>
      <c r="AJ185" s="2" t="str">
        <f t="shared" si="84"/>
        <v/>
      </c>
      <c r="AK185" s="2" t="str">
        <f t="shared" si="85"/>
        <v/>
      </c>
      <c r="AL185" s="2" t="str">
        <f t="shared" si="86"/>
        <v/>
      </c>
      <c r="AM185" s="2" t="str">
        <f t="shared" si="87"/>
        <v/>
      </c>
      <c r="AN185" s="2" t="str">
        <f t="shared" si="88"/>
        <v/>
      </c>
      <c r="AO185" s="2" t="str">
        <f t="shared" si="89"/>
        <v/>
      </c>
      <c r="AP185" s="2" t="str">
        <f t="shared" si="90"/>
        <v/>
      </c>
      <c r="AQ185" s="2" t="str">
        <f t="shared" si="91"/>
        <v/>
      </c>
      <c r="AR185" s="2">
        <f t="shared" si="92"/>
        <v>0.6025072735304422</v>
      </c>
      <c r="AT185" s="2" t="str">
        <f t="shared" si="106"/>
        <v/>
      </c>
      <c r="AU185" s="2" t="str">
        <f t="shared" si="107"/>
        <v/>
      </c>
      <c r="AV185" s="143">
        <f t="shared" si="108"/>
        <v>0.160851843441016</v>
      </c>
      <c r="AW185" s="143" t="str">
        <f t="shared" si="109"/>
        <v/>
      </c>
      <c r="AX185" s="143" t="str">
        <f t="shared" si="110"/>
        <v/>
      </c>
      <c r="AY185" s="143" t="str">
        <f t="shared" si="111"/>
        <v/>
      </c>
      <c r="AZ185" s="143" t="str">
        <f t="shared" si="112"/>
        <v/>
      </c>
      <c r="BA185" s="143" t="str">
        <f t="shared" si="113"/>
        <v/>
      </c>
      <c r="BB185" s="143" t="str">
        <f t="shared" si="114"/>
        <v/>
      </c>
      <c r="BC185" s="143" t="str">
        <f t="shared" si="115"/>
        <v/>
      </c>
      <c r="BD185" s="143" t="str">
        <f t="shared" si="116"/>
        <v/>
      </c>
      <c r="BF185" s="9">
        <f t="shared" si="93"/>
        <v>1.5991807308519544E-4</v>
      </c>
      <c r="BG185" s="9">
        <f t="shared" si="94"/>
        <v>0.9989561525740136</v>
      </c>
    </row>
    <row r="186" spans="2:59" x14ac:dyDescent="0.35">
      <c r="B186" s="3" t="s">
        <v>246</v>
      </c>
      <c r="D186" s="141">
        <v>21129</v>
      </c>
      <c r="E186" s="141">
        <v>29822</v>
      </c>
      <c r="F186" s="141">
        <v>6243</v>
      </c>
      <c r="G186" s="141">
        <v>37872</v>
      </c>
      <c r="H186" s="141"/>
      <c r="I186" s="141"/>
      <c r="J186" s="141"/>
      <c r="K186" s="141"/>
      <c r="L186" s="141"/>
      <c r="M186" s="141"/>
      <c r="N186" s="141"/>
      <c r="O186" s="141"/>
      <c r="P186" s="141">
        <f t="shared" si="78"/>
        <v>95066</v>
      </c>
      <c r="R186" s="141">
        <v>7307</v>
      </c>
      <c r="S186" s="141">
        <v>8435</v>
      </c>
      <c r="T186" s="141">
        <v>3137</v>
      </c>
      <c r="U186" s="141">
        <v>21781</v>
      </c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79"/>
        <v>40660</v>
      </c>
      <c r="AF186" s="2">
        <f t="shared" si="80"/>
        <v>0.34582800889772353</v>
      </c>
      <c r="AG186" s="2">
        <f t="shared" si="81"/>
        <v>0.28284487961907318</v>
      </c>
      <c r="AH186" s="2">
        <f t="shared" si="82"/>
        <v>0.50248278071440011</v>
      </c>
      <c r="AI186" s="2">
        <f t="shared" si="83"/>
        <v>0.57512146176594847</v>
      </c>
      <c r="AJ186" s="2" t="str">
        <f t="shared" si="84"/>
        <v/>
      </c>
      <c r="AK186" s="2" t="str">
        <f t="shared" si="85"/>
        <v/>
      </c>
      <c r="AL186" s="2" t="str">
        <f t="shared" si="86"/>
        <v/>
      </c>
      <c r="AM186" s="2" t="str">
        <f t="shared" si="87"/>
        <v/>
      </c>
      <c r="AN186" s="2" t="str">
        <f t="shared" si="88"/>
        <v/>
      </c>
      <c r="AO186" s="2" t="str">
        <f t="shared" si="89"/>
        <v/>
      </c>
      <c r="AP186" s="2" t="str">
        <f t="shared" si="90"/>
        <v/>
      </c>
      <c r="AQ186" s="2" t="str">
        <f t="shared" si="91"/>
        <v/>
      </c>
      <c r="AR186" s="2">
        <f t="shared" si="92"/>
        <v>0.42770285906633287</v>
      </c>
      <c r="AT186" s="2" t="str">
        <f t="shared" si="106"/>
        <v/>
      </c>
      <c r="AU186" s="2" t="str">
        <f t="shared" si="107"/>
        <v/>
      </c>
      <c r="AV186" s="143">
        <f t="shared" si="108"/>
        <v>7.2638681051548359E-2</v>
      </c>
      <c r="AW186" s="143" t="str">
        <f t="shared" si="109"/>
        <v/>
      </c>
      <c r="AX186" s="143" t="str">
        <f t="shared" si="110"/>
        <v/>
      </c>
      <c r="AY186" s="143" t="str">
        <f t="shared" si="111"/>
        <v/>
      </c>
      <c r="AZ186" s="143" t="str">
        <f t="shared" si="112"/>
        <v/>
      </c>
      <c r="BA186" s="143" t="str">
        <f t="shared" si="113"/>
        <v/>
      </c>
      <c r="BB186" s="143" t="str">
        <f t="shared" si="114"/>
        <v/>
      </c>
      <c r="BC186" s="143" t="str">
        <f t="shared" si="115"/>
        <v/>
      </c>
      <c r="BD186" s="143" t="str">
        <f t="shared" si="116"/>
        <v/>
      </c>
      <c r="BF186" s="9">
        <f t="shared" si="93"/>
        <v>5.4796555355918887E-5</v>
      </c>
      <c r="BG186" s="9">
        <f t="shared" si="94"/>
        <v>0.9990109491293695</v>
      </c>
    </row>
    <row r="187" spans="2:59" x14ac:dyDescent="0.35">
      <c r="B187" s="3" t="s">
        <v>316</v>
      </c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78"/>
        <v>0</v>
      </c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79"/>
        <v>0</v>
      </c>
      <c r="AF187" s="2" t="str">
        <f t="shared" si="80"/>
        <v/>
      </c>
      <c r="AG187" s="2" t="str">
        <f t="shared" si="81"/>
        <v/>
      </c>
      <c r="AH187" s="2" t="str">
        <f t="shared" si="82"/>
        <v/>
      </c>
      <c r="AI187" s="2" t="str">
        <f t="shared" si="83"/>
        <v/>
      </c>
      <c r="AJ187" s="2" t="str">
        <f t="shared" si="84"/>
        <v/>
      </c>
      <c r="AK187" s="2" t="str">
        <f t="shared" si="85"/>
        <v/>
      </c>
      <c r="AL187" s="2" t="str">
        <f t="shared" si="86"/>
        <v/>
      </c>
      <c r="AM187" s="2" t="str">
        <f t="shared" si="87"/>
        <v/>
      </c>
      <c r="AN187" s="2" t="str">
        <f t="shared" si="88"/>
        <v/>
      </c>
      <c r="AO187" s="2" t="str">
        <f t="shared" si="89"/>
        <v/>
      </c>
      <c r="AP187" s="2" t="str">
        <f t="shared" si="90"/>
        <v/>
      </c>
      <c r="AQ187" s="2" t="str">
        <f t="shared" si="91"/>
        <v/>
      </c>
      <c r="AR187" s="2" t="str">
        <f t="shared" si="92"/>
        <v/>
      </c>
      <c r="AT187" s="2" t="str">
        <f t="shared" si="106"/>
        <v/>
      </c>
      <c r="AU187" s="2" t="str">
        <f t="shared" si="107"/>
        <v/>
      </c>
      <c r="AV187" s="143" t="str">
        <f t="shared" si="108"/>
        <v/>
      </c>
      <c r="AW187" s="143" t="str">
        <f t="shared" si="109"/>
        <v/>
      </c>
      <c r="AX187" s="143" t="str">
        <f t="shared" si="110"/>
        <v/>
      </c>
      <c r="AY187" s="143" t="str">
        <f t="shared" si="111"/>
        <v/>
      </c>
      <c r="AZ187" s="143" t="str">
        <f t="shared" si="112"/>
        <v/>
      </c>
      <c r="BA187" s="143" t="str">
        <f t="shared" si="113"/>
        <v/>
      </c>
      <c r="BB187" s="143" t="str">
        <f t="shared" si="114"/>
        <v/>
      </c>
      <c r="BC187" s="143" t="str">
        <f t="shared" si="115"/>
        <v/>
      </c>
      <c r="BD187" s="143" t="str">
        <f t="shared" si="116"/>
        <v/>
      </c>
      <c r="BF187" s="9">
        <f t="shared" si="93"/>
        <v>0</v>
      </c>
      <c r="BG187" s="9">
        <f t="shared" si="94"/>
        <v>0.9990109491293695</v>
      </c>
    </row>
    <row r="188" spans="2:59" x14ac:dyDescent="0.35">
      <c r="B188" s="3" t="s">
        <v>312</v>
      </c>
      <c r="D188" s="141">
        <v>21609</v>
      </c>
      <c r="E188" s="141">
        <v>13135</v>
      </c>
      <c r="F188" s="141">
        <v>6418</v>
      </c>
      <c r="G188" s="141">
        <v>5807</v>
      </c>
      <c r="H188" s="141"/>
      <c r="I188" s="141"/>
      <c r="J188" s="141"/>
      <c r="K188" s="141"/>
      <c r="L188" s="141"/>
      <c r="M188" s="141"/>
      <c r="N188" s="141"/>
      <c r="O188" s="141"/>
      <c r="P188" s="141">
        <f t="shared" si="78"/>
        <v>46969</v>
      </c>
      <c r="R188" s="141">
        <v>19809</v>
      </c>
      <c r="S188" s="141">
        <v>9894</v>
      </c>
      <c r="T188" s="141">
        <v>3686</v>
      </c>
      <c r="U188" s="141">
        <v>3622</v>
      </c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79"/>
        <v>37011</v>
      </c>
      <c r="AF188" s="2">
        <f t="shared" si="80"/>
        <v>0.91670137442732191</v>
      </c>
      <c r="AG188" s="2">
        <f t="shared" si="81"/>
        <v>0.75325466311381806</v>
      </c>
      <c r="AH188" s="2">
        <f t="shared" si="82"/>
        <v>0.57432221875973821</v>
      </c>
      <c r="AI188" s="2">
        <f t="shared" si="83"/>
        <v>0.62372998105734456</v>
      </c>
      <c r="AJ188" s="2" t="str">
        <f t="shared" si="84"/>
        <v/>
      </c>
      <c r="AK188" s="2" t="str">
        <f t="shared" si="85"/>
        <v/>
      </c>
      <c r="AL188" s="2" t="str">
        <f t="shared" si="86"/>
        <v/>
      </c>
      <c r="AM188" s="2" t="str">
        <f t="shared" si="87"/>
        <v/>
      </c>
      <c r="AN188" s="2" t="str">
        <f t="shared" si="88"/>
        <v/>
      </c>
      <c r="AO188" s="2" t="str">
        <f t="shared" si="89"/>
        <v/>
      </c>
      <c r="AP188" s="2" t="str">
        <f t="shared" si="90"/>
        <v/>
      </c>
      <c r="AQ188" s="2" t="str">
        <f t="shared" si="91"/>
        <v/>
      </c>
      <c r="AR188" s="2">
        <f t="shared" si="92"/>
        <v>0.78798782175477444</v>
      </c>
      <c r="AT188" s="2" t="str">
        <f t="shared" si="106"/>
        <v/>
      </c>
      <c r="AU188" s="2" t="str">
        <f t="shared" si="107"/>
        <v/>
      </c>
      <c r="AV188" s="143">
        <f t="shared" si="108"/>
        <v>4.940776229760635E-2</v>
      </c>
      <c r="AW188" s="143" t="str">
        <f t="shared" si="109"/>
        <v/>
      </c>
      <c r="AX188" s="143" t="str">
        <f t="shared" si="110"/>
        <v/>
      </c>
      <c r="AY188" s="143" t="str">
        <f t="shared" si="111"/>
        <v/>
      </c>
      <c r="AZ188" s="143" t="str">
        <f t="shared" si="112"/>
        <v/>
      </c>
      <c r="BA188" s="143" t="str">
        <f t="shared" si="113"/>
        <v/>
      </c>
      <c r="BB188" s="143" t="str">
        <f t="shared" si="114"/>
        <v/>
      </c>
      <c r="BC188" s="143" t="str">
        <f t="shared" si="115"/>
        <v/>
      </c>
      <c r="BD188" s="143" t="str">
        <f t="shared" si="116"/>
        <v/>
      </c>
      <c r="BF188" s="9">
        <f t="shared" si="93"/>
        <v>4.98788812168695E-5</v>
      </c>
      <c r="BG188" s="9">
        <f t="shared" si="94"/>
        <v>0.99906082801058638</v>
      </c>
    </row>
    <row r="189" spans="2:59" x14ac:dyDescent="0.35">
      <c r="B189" s="3" t="s">
        <v>258</v>
      </c>
      <c r="D189" s="141">
        <v>13522</v>
      </c>
      <c r="E189" s="141">
        <v>1236</v>
      </c>
      <c r="F189" s="141">
        <v>659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78"/>
        <v>15417</v>
      </c>
      <c r="R189" s="141">
        <v>13522</v>
      </c>
      <c r="S189" s="141">
        <v>1156</v>
      </c>
      <c r="T189" s="141">
        <v>326</v>
      </c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79"/>
        <v>15004</v>
      </c>
      <c r="AF189" s="2">
        <f t="shared" si="80"/>
        <v>1</v>
      </c>
      <c r="AG189" s="2">
        <f t="shared" si="81"/>
        <v>0.93527508090614886</v>
      </c>
      <c r="AH189" s="2">
        <f t="shared" si="82"/>
        <v>0.49468892261001518</v>
      </c>
      <c r="AI189" s="2" t="str">
        <f t="shared" si="83"/>
        <v/>
      </c>
      <c r="AJ189" s="2" t="str">
        <f t="shared" si="84"/>
        <v/>
      </c>
      <c r="AK189" s="2" t="str">
        <f t="shared" si="85"/>
        <v/>
      </c>
      <c r="AL189" s="2" t="str">
        <f t="shared" si="86"/>
        <v/>
      </c>
      <c r="AM189" s="2" t="str">
        <f t="shared" si="87"/>
        <v/>
      </c>
      <c r="AN189" s="2" t="str">
        <f t="shared" si="88"/>
        <v/>
      </c>
      <c r="AO189" s="2" t="str">
        <f t="shared" si="89"/>
        <v/>
      </c>
      <c r="AP189" s="2" t="str">
        <f t="shared" si="90"/>
        <v/>
      </c>
      <c r="AQ189" s="2" t="str">
        <f t="shared" si="91"/>
        <v/>
      </c>
      <c r="AR189" s="2">
        <f t="shared" si="92"/>
        <v>0.97321139002399948</v>
      </c>
      <c r="AT189" s="2" t="str">
        <f t="shared" si="106"/>
        <v/>
      </c>
      <c r="AU189" s="2" t="str">
        <f t="shared" si="107"/>
        <v/>
      </c>
      <c r="AV189" s="143" t="str">
        <f t="shared" si="108"/>
        <v/>
      </c>
      <c r="AW189" s="143" t="str">
        <f t="shared" si="109"/>
        <v/>
      </c>
      <c r="AX189" s="143" t="str">
        <f t="shared" si="110"/>
        <v/>
      </c>
      <c r="AY189" s="143" t="str">
        <f t="shared" si="111"/>
        <v/>
      </c>
      <c r="AZ189" s="143" t="str">
        <f t="shared" si="112"/>
        <v/>
      </c>
      <c r="BA189" s="143" t="str">
        <f t="shared" si="113"/>
        <v/>
      </c>
      <c r="BB189" s="143" t="str">
        <f t="shared" si="114"/>
        <v/>
      </c>
      <c r="BC189" s="143" t="str">
        <f t="shared" si="115"/>
        <v/>
      </c>
      <c r="BD189" s="143" t="str">
        <f t="shared" si="116"/>
        <v/>
      </c>
      <c r="BF189" s="9">
        <f t="shared" si="93"/>
        <v>2.0220548857850641E-5</v>
      </c>
      <c r="BG189" s="9">
        <f t="shared" si="94"/>
        <v>0.99908104855944424</v>
      </c>
    </row>
    <row r="190" spans="2:59" x14ac:dyDescent="0.35">
      <c r="B190" s="3" t="s">
        <v>263</v>
      </c>
      <c r="D190" s="141">
        <v>5655</v>
      </c>
      <c r="E190" s="141">
        <v>4388</v>
      </c>
      <c r="F190" s="141">
        <v>10585</v>
      </c>
      <c r="G190" s="141">
        <v>13330</v>
      </c>
      <c r="H190" s="141"/>
      <c r="I190" s="141"/>
      <c r="J190" s="141"/>
      <c r="K190" s="141"/>
      <c r="L190" s="141"/>
      <c r="M190" s="141"/>
      <c r="N190" s="141"/>
      <c r="O190" s="141"/>
      <c r="P190" s="141">
        <f t="shared" si="78"/>
        <v>33958</v>
      </c>
      <c r="R190" s="141">
        <v>411</v>
      </c>
      <c r="S190" s="141">
        <v>769</v>
      </c>
      <c r="T190" s="141">
        <v>4037</v>
      </c>
      <c r="U190" s="141">
        <v>13073</v>
      </c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79"/>
        <v>18290</v>
      </c>
      <c r="AF190" s="2">
        <f t="shared" si="80"/>
        <v>7.2679045092838193E-2</v>
      </c>
      <c r="AG190" s="2">
        <f t="shared" si="81"/>
        <v>0.17525068368277119</v>
      </c>
      <c r="AH190" s="2">
        <f t="shared" si="82"/>
        <v>0.38138875767595654</v>
      </c>
      <c r="AI190" s="2">
        <f t="shared" si="83"/>
        <v>0.98072018004501127</v>
      </c>
      <c r="AJ190" s="2" t="str">
        <f t="shared" si="84"/>
        <v/>
      </c>
      <c r="AK190" s="2" t="str">
        <f t="shared" si="85"/>
        <v/>
      </c>
      <c r="AL190" s="2" t="str">
        <f t="shared" si="86"/>
        <v/>
      </c>
      <c r="AM190" s="2" t="str">
        <f t="shared" si="87"/>
        <v/>
      </c>
      <c r="AN190" s="2" t="str">
        <f t="shared" si="88"/>
        <v/>
      </c>
      <c r="AO190" s="2" t="str">
        <f t="shared" si="89"/>
        <v/>
      </c>
      <c r="AP190" s="2" t="str">
        <f t="shared" si="90"/>
        <v/>
      </c>
      <c r="AQ190" s="2" t="str">
        <f t="shared" si="91"/>
        <v/>
      </c>
      <c r="AR190" s="2">
        <f t="shared" si="92"/>
        <v>0.53860651392897108</v>
      </c>
      <c r="AT190" s="2" t="str">
        <f t="shared" si="106"/>
        <v/>
      </c>
      <c r="AU190" s="2" t="str">
        <f t="shared" si="107"/>
        <v/>
      </c>
      <c r="AV190" s="143">
        <f t="shared" si="108"/>
        <v>0.59933142236905468</v>
      </c>
      <c r="AW190" s="143" t="str">
        <f t="shared" si="109"/>
        <v/>
      </c>
      <c r="AX190" s="143" t="str">
        <f t="shared" si="110"/>
        <v/>
      </c>
      <c r="AY190" s="143" t="str">
        <f t="shared" si="111"/>
        <v/>
      </c>
      <c r="AZ190" s="143" t="str">
        <f t="shared" si="112"/>
        <v/>
      </c>
      <c r="BA190" s="143" t="str">
        <f t="shared" si="113"/>
        <v/>
      </c>
      <c r="BB190" s="143" t="str">
        <f t="shared" si="114"/>
        <v/>
      </c>
      <c r="BC190" s="143" t="str">
        <f t="shared" si="115"/>
        <v/>
      </c>
      <c r="BD190" s="143" t="str">
        <f t="shared" si="116"/>
        <v/>
      </c>
      <c r="BF190" s="9">
        <f t="shared" si="93"/>
        <v>2.4649016169693962E-5</v>
      </c>
      <c r="BG190" s="9">
        <f t="shared" si="94"/>
        <v>0.99910569757561396</v>
      </c>
    </row>
    <row r="191" spans="2:59" x14ac:dyDescent="0.35">
      <c r="B191" s="3" t="s">
        <v>297</v>
      </c>
      <c r="D191" s="141">
        <v>2801</v>
      </c>
      <c r="E191" s="141">
        <v>3269</v>
      </c>
      <c r="F191" s="141">
        <v>6436</v>
      </c>
      <c r="G191" s="141">
        <v>1618</v>
      </c>
      <c r="H191" s="141"/>
      <c r="I191" s="141"/>
      <c r="J191" s="141"/>
      <c r="K191" s="141"/>
      <c r="L191" s="141"/>
      <c r="M191" s="141"/>
      <c r="N191" s="141"/>
      <c r="O191" s="141"/>
      <c r="P191" s="141">
        <f t="shared" si="78"/>
        <v>14124</v>
      </c>
      <c r="R191" s="141">
        <v>561</v>
      </c>
      <c r="S191" s="141">
        <v>1725</v>
      </c>
      <c r="T191" s="141">
        <v>6086</v>
      </c>
      <c r="U191" s="141">
        <v>306</v>
      </c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79"/>
        <v>8678</v>
      </c>
      <c r="AF191" s="2">
        <f t="shared" si="80"/>
        <v>0.2002856122813281</v>
      </c>
      <c r="AG191" s="2">
        <f t="shared" si="81"/>
        <v>0.52768430712756198</v>
      </c>
      <c r="AH191" s="2">
        <f t="shared" si="82"/>
        <v>0.94561839651957735</v>
      </c>
      <c r="AI191" s="2">
        <f t="shared" si="83"/>
        <v>0.18912237330037082</v>
      </c>
      <c r="AJ191" s="2" t="str">
        <f t="shared" si="84"/>
        <v/>
      </c>
      <c r="AK191" s="2" t="str">
        <f t="shared" si="85"/>
        <v/>
      </c>
      <c r="AL191" s="2" t="str">
        <f t="shared" si="86"/>
        <v/>
      </c>
      <c r="AM191" s="2" t="str">
        <f t="shared" si="87"/>
        <v/>
      </c>
      <c r="AN191" s="2" t="str">
        <f t="shared" si="88"/>
        <v/>
      </c>
      <c r="AO191" s="2" t="str">
        <f t="shared" si="89"/>
        <v/>
      </c>
      <c r="AP191" s="2" t="str">
        <f t="shared" si="90"/>
        <v/>
      </c>
      <c r="AQ191" s="2" t="str">
        <f t="shared" si="91"/>
        <v/>
      </c>
      <c r="AR191" s="2">
        <f t="shared" si="92"/>
        <v>0.61441517983574057</v>
      </c>
      <c r="AT191" s="2" t="str">
        <f t="shared" si="106"/>
        <v/>
      </c>
      <c r="AU191" s="2" t="str">
        <f t="shared" si="107"/>
        <v/>
      </c>
      <c r="AV191" s="143">
        <f t="shared" si="108"/>
        <v>-0.7564960232192065</v>
      </c>
      <c r="AW191" s="143" t="str">
        <f t="shared" si="109"/>
        <v/>
      </c>
      <c r="AX191" s="143" t="str">
        <f t="shared" si="110"/>
        <v/>
      </c>
      <c r="AY191" s="143" t="str">
        <f t="shared" si="111"/>
        <v/>
      </c>
      <c r="AZ191" s="143" t="str">
        <f t="shared" si="112"/>
        <v/>
      </c>
      <c r="BA191" s="143" t="str">
        <f t="shared" si="113"/>
        <v/>
      </c>
      <c r="BB191" s="143" t="str">
        <f t="shared" si="114"/>
        <v/>
      </c>
      <c r="BC191" s="143" t="str">
        <f t="shared" si="115"/>
        <v/>
      </c>
      <c r="BD191" s="143" t="str">
        <f t="shared" si="116"/>
        <v/>
      </c>
      <c r="BF191" s="9">
        <f t="shared" si="93"/>
        <v>1.1695142827807775E-5</v>
      </c>
      <c r="BG191" s="9">
        <f t="shared" si="94"/>
        <v>0.9991173927184418</v>
      </c>
    </row>
    <row r="192" spans="2:59" x14ac:dyDescent="0.35">
      <c r="B192" s="3" t="s">
        <v>271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78"/>
        <v>0</v>
      </c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79"/>
        <v>0</v>
      </c>
      <c r="AF192" s="2" t="str">
        <f t="shared" si="80"/>
        <v/>
      </c>
      <c r="AG192" s="2" t="str">
        <f t="shared" si="81"/>
        <v/>
      </c>
      <c r="AH192" s="2" t="str">
        <f t="shared" si="82"/>
        <v/>
      </c>
      <c r="AI192" s="2" t="str">
        <f t="shared" si="83"/>
        <v/>
      </c>
      <c r="AJ192" s="2" t="str">
        <f t="shared" si="84"/>
        <v/>
      </c>
      <c r="AK192" s="2" t="str">
        <f t="shared" si="85"/>
        <v/>
      </c>
      <c r="AL192" s="2" t="str">
        <f t="shared" si="86"/>
        <v/>
      </c>
      <c r="AM192" s="2" t="str">
        <f t="shared" si="87"/>
        <v/>
      </c>
      <c r="AN192" s="2" t="str">
        <f t="shared" si="88"/>
        <v/>
      </c>
      <c r="AO192" s="2" t="str">
        <f t="shared" si="89"/>
        <v/>
      </c>
      <c r="AP192" s="2" t="str">
        <f t="shared" si="90"/>
        <v/>
      </c>
      <c r="AQ192" s="2" t="str">
        <f t="shared" si="91"/>
        <v/>
      </c>
      <c r="AR192" s="2" t="str">
        <f t="shared" si="92"/>
        <v/>
      </c>
      <c r="AT192" s="2" t="str">
        <f t="shared" si="106"/>
        <v/>
      </c>
      <c r="AU192" s="2" t="str">
        <f t="shared" si="107"/>
        <v/>
      </c>
      <c r="AV192" s="143" t="str">
        <f t="shared" si="108"/>
        <v/>
      </c>
      <c r="AW192" s="143" t="str">
        <f t="shared" si="109"/>
        <v/>
      </c>
      <c r="AX192" s="143" t="str">
        <f t="shared" si="110"/>
        <v/>
      </c>
      <c r="AY192" s="143" t="str">
        <f t="shared" si="111"/>
        <v/>
      </c>
      <c r="AZ192" s="143" t="str">
        <f t="shared" si="112"/>
        <v/>
      </c>
      <c r="BA192" s="143" t="str">
        <f t="shared" si="113"/>
        <v/>
      </c>
      <c r="BB192" s="143" t="str">
        <f t="shared" si="114"/>
        <v/>
      </c>
      <c r="BC192" s="143" t="str">
        <f t="shared" si="115"/>
        <v/>
      </c>
      <c r="BD192" s="143" t="str">
        <f t="shared" si="116"/>
        <v/>
      </c>
      <c r="BF192" s="9">
        <f t="shared" si="93"/>
        <v>0</v>
      </c>
      <c r="BG192" s="9">
        <f t="shared" si="94"/>
        <v>0.9991173927184418</v>
      </c>
    </row>
    <row r="193" spans="2:59" x14ac:dyDescent="0.35">
      <c r="B193" s="3" t="s">
        <v>276</v>
      </c>
      <c r="D193" s="141">
        <v>738</v>
      </c>
      <c r="E193" s="141"/>
      <c r="F193" s="141">
        <v>48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78"/>
        <v>786</v>
      </c>
      <c r="R193" s="141">
        <v>738</v>
      </c>
      <c r="S193" s="141"/>
      <c r="T193" s="141">
        <v>48</v>
      </c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79"/>
        <v>786</v>
      </c>
      <c r="AF193" s="2">
        <f t="shared" si="80"/>
        <v>1</v>
      </c>
      <c r="AG193" s="2" t="str">
        <f t="shared" si="81"/>
        <v/>
      </c>
      <c r="AH193" s="2">
        <f t="shared" si="82"/>
        <v>1</v>
      </c>
      <c r="AI193" s="2" t="str">
        <f t="shared" si="83"/>
        <v/>
      </c>
      <c r="AJ193" s="2" t="str">
        <f t="shared" si="84"/>
        <v/>
      </c>
      <c r="AK193" s="2" t="str">
        <f t="shared" si="85"/>
        <v/>
      </c>
      <c r="AL193" s="2" t="str">
        <f t="shared" si="86"/>
        <v/>
      </c>
      <c r="AM193" s="2" t="str">
        <f t="shared" si="87"/>
        <v/>
      </c>
      <c r="AN193" s="2" t="str">
        <f t="shared" si="88"/>
        <v/>
      </c>
      <c r="AO193" s="2" t="str">
        <f t="shared" si="89"/>
        <v/>
      </c>
      <c r="AP193" s="2" t="str">
        <f t="shared" si="90"/>
        <v/>
      </c>
      <c r="AQ193" s="2" t="str">
        <f t="shared" si="91"/>
        <v/>
      </c>
      <c r="AR193" s="2">
        <f t="shared" si="92"/>
        <v>1</v>
      </c>
      <c r="AT193" s="2" t="str">
        <f t="shared" si="106"/>
        <v/>
      </c>
      <c r="AU193" s="2" t="str">
        <f t="shared" si="107"/>
        <v/>
      </c>
      <c r="AV193" s="143" t="str">
        <f t="shared" si="108"/>
        <v/>
      </c>
      <c r="AW193" s="143" t="str">
        <f t="shared" si="109"/>
        <v/>
      </c>
      <c r="AX193" s="143" t="str">
        <f t="shared" si="110"/>
        <v/>
      </c>
      <c r="AY193" s="143" t="str">
        <f t="shared" si="111"/>
        <v/>
      </c>
      <c r="AZ193" s="143" t="str">
        <f t="shared" si="112"/>
        <v/>
      </c>
      <c r="BA193" s="143" t="str">
        <f t="shared" si="113"/>
        <v/>
      </c>
      <c r="BB193" s="143" t="str">
        <f t="shared" si="114"/>
        <v/>
      </c>
      <c r="BC193" s="143" t="str">
        <f t="shared" si="115"/>
        <v/>
      </c>
      <c r="BD193" s="143" t="str">
        <f t="shared" si="116"/>
        <v/>
      </c>
      <c r="BF193" s="9">
        <f t="shared" si="93"/>
        <v>1.0592742870081713E-6</v>
      </c>
      <c r="BG193" s="9">
        <f t="shared" si="94"/>
        <v>0.99911845199272886</v>
      </c>
    </row>
    <row r="194" spans="2:59" x14ac:dyDescent="0.35">
      <c r="B194" s="3" t="s">
        <v>298</v>
      </c>
      <c r="D194" s="141">
        <v>7179</v>
      </c>
      <c r="E194" s="141">
        <v>17029</v>
      </c>
      <c r="F194" s="141">
        <v>8452</v>
      </c>
      <c r="G194" s="141">
        <v>36538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78"/>
        <v>69198</v>
      </c>
      <c r="R194" s="141">
        <v>6780</v>
      </c>
      <c r="S194" s="141">
        <v>16016</v>
      </c>
      <c r="T194" s="141">
        <v>8452</v>
      </c>
      <c r="U194" s="141">
        <v>34095</v>
      </c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79"/>
        <v>65343</v>
      </c>
      <c r="AF194" s="2">
        <f t="shared" si="80"/>
        <v>0.94442122858336819</v>
      </c>
      <c r="AG194" s="2">
        <f t="shared" si="81"/>
        <v>0.94051324211638965</v>
      </c>
      <c r="AH194" s="2">
        <f t="shared" si="82"/>
        <v>1</v>
      </c>
      <c r="AI194" s="2">
        <f t="shared" si="83"/>
        <v>0.93313810279708798</v>
      </c>
      <c r="AJ194" s="2" t="str">
        <f t="shared" si="84"/>
        <v/>
      </c>
      <c r="AK194" s="2" t="str">
        <f t="shared" si="85"/>
        <v/>
      </c>
      <c r="AL194" s="2" t="str">
        <f t="shared" si="86"/>
        <v/>
      </c>
      <c r="AM194" s="2" t="str">
        <f t="shared" si="87"/>
        <v/>
      </c>
      <c r="AN194" s="2" t="str">
        <f t="shared" si="88"/>
        <v/>
      </c>
      <c r="AO194" s="2" t="str">
        <f t="shared" si="89"/>
        <v/>
      </c>
      <c r="AP194" s="2" t="str">
        <f t="shared" si="90"/>
        <v/>
      </c>
      <c r="AQ194" s="2" t="str">
        <f t="shared" si="91"/>
        <v/>
      </c>
      <c r="AR194" s="2">
        <f t="shared" si="92"/>
        <v>0.94429029740743953</v>
      </c>
      <c r="AT194" s="2" t="str">
        <f t="shared" si="106"/>
        <v/>
      </c>
      <c r="AU194" s="2" t="str">
        <f t="shared" si="107"/>
        <v/>
      </c>
      <c r="AV194" s="143">
        <f t="shared" si="108"/>
        <v>-6.6861897202912024E-2</v>
      </c>
      <c r="AW194" s="143" t="str">
        <f t="shared" si="109"/>
        <v/>
      </c>
      <c r="AX194" s="143" t="str">
        <f t="shared" si="110"/>
        <v/>
      </c>
      <c r="AY194" s="143" t="str">
        <f t="shared" si="111"/>
        <v/>
      </c>
      <c r="AZ194" s="143" t="str">
        <f t="shared" si="112"/>
        <v/>
      </c>
      <c r="BA194" s="143" t="str">
        <f t="shared" si="113"/>
        <v/>
      </c>
      <c r="BB194" s="143" t="str">
        <f t="shared" si="114"/>
        <v/>
      </c>
      <c r="BC194" s="143" t="str">
        <f t="shared" si="115"/>
        <v/>
      </c>
      <c r="BD194" s="143" t="str">
        <f t="shared" si="116"/>
        <v/>
      </c>
      <c r="BF194" s="9">
        <f t="shared" si="93"/>
        <v>8.8061271928721303E-5</v>
      </c>
      <c r="BG194" s="9">
        <f t="shared" si="94"/>
        <v>0.99920651326465759</v>
      </c>
    </row>
    <row r="195" spans="2:59" x14ac:dyDescent="0.35">
      <c r="B195" s="3" t="s">
        <v>307</v>
      </c>
      <c r="D195" s="141">
        <v>396</v>
      </c>
      <c r="E195" s="141">
        <v>223</v>
      </c>
      <c r="F195" s="141">
        <v>350</v>
      </c>
      <c r="G195" s="141">
        <v>250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78"/>
        <v>1219</v>
      </c>
      <c r="R195" s="141">
        <v>297</v>
      </c>
      <c r="S195" s="141">
        <v>198</v>
      </c>
      <c r="T195" s="141">
        <v>350</v>
      </c>
      <c r="U195" s="141">
        <v>250</v>
      </c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79"/>
        <v>1095</v>
      </c>
      <c r="AF195" s="2">
        <f t="shared" si="80"/>
        <v>0.75</v>
      </c>
      <c r="AG195" s="2">
        <f t="shared" si="81"/>
        <v>0.88789237668161436</v>
      </c>
      <c r="AH195" s="2">
        <f t="shared" si="82"/>
        <v>1</v>
      </c>
      <c r="AI195" s="2">
        <f t="shared" si="83"/>
        <v>1</v>
      </c>
      <c r="AJ195" s="2" t="str">
        <f t="shared" si="84"/>
        <v/>
      </c>
      <c r="AK195" s="2" t="str">
        <f t="shared" si="85"/>
        <v/>
      </c>
      <c r="AL195" s="2" t="str">
        <f t="shared" si="86"/>
        <v/>
      </c>
      <c r="AM195" s="2" t="str">
        <f t="shared" si="87"/>
        <v/>
      </c>
      <c r="AN195" s="2" t="str">
        <f t="shared" si="88"/>
        <v/>
      </c>
      <c r="AO195" s="2" t="str">
        <f t="shared" si="89"/>
        <v/>
      </c>
      <c r="AP195" s="2" t="str">
        <f t="shared" si="90"/>
        <v/>
      </c>
      <c r="AQ195" s="2" t="str">
        <f t="shared" si="91"/>
        <v/>
      </c>
      <c r="AR195" s="2">
        <f t="shared" si="92"/>
        <v>0.89827727645611155</v>
      </c>
      <c r="AT195" s="2" t="str">
        <f t="shared" si="106"/>
        <v/>
      </c>
      <c r="AU195" s="2" t="str">
        <f t="shared" si="107"/>
        <v/>
      </c>
      <c r="AV195" s="143">
        <f t="shared" si="108"/>
        <v>0</v>
      </c>
      <c r="AW195" s="143" t="str">
        <f t="shared" si="109"/>
        <v/>
      </c>
      <c r="AX195" s="143" t="str">
        <f t="shared" si="110"/>
        <v/>
      </c>
      <c r="AY195" s="143" t="str">
        <f t="shared" si="111"/>
        <v/>
      </c>
      <c r="AZ195" s="143" t="str">
        <f t="shared" si="112"/>
        <v/>
      </c>
      <c r="BA195" s="143" t="str">
        <f t="shared" si="113"/>
        <v/>
      </c>
      <c r="BB195" s="143" t="str">
        <f t="shared" si="114"/>
        <v/>
      </c>
      <c r="BC195" s="143" t="str">
        <f t="shared" si="115"/>
        <v/>
      </c>
      <c r="BD195" s="143" t="str">
        <f t="shared" si="116"/>
        <v/>
      </c>
      <c r="BF195" s="9">
        <f t="shared" si="93"/>
        <v>1.4757065448777961E-6</v>
      </c>
      <c r="BG195" s="9">
        <f t="shared" si="94"/>
        <v>0.99920798897120244</v>
      </c>
    </row>
    <row r="196" spans="2:59" x14ac:dyDescent="0.35">
      <c r="B196" s="3" t="s">
        <v>299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si="78"/>
        <v>0</v>
      </c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>
        <f t="shared" si="79"/>
        <v>0</v>
      </c>
      <c r="AF196" s="2" t="str">
        <f t="shared" si="80"/>
        <v/>
      </c>
      <c r="AG196" s="2" t="str">
        <f t="shared" si="81"/>
        <v/>
      </c>
      <c r="AH196" s="2" t="str">
        <f t="shared" si="82"/>
        <v/>
      </c>
      <c r="AI196" s="2" t="str">
        <f t="shared" si="83"/>
        <v/>
      </c>
      <c r="AJ196" s="2" t="str">
        <f t="shared" si="84"/>
        <v/>
      </c>
      <c r="AK196" s="2" t="str">
        <f t="shared" si="85"/>
        <v/>
      </c>
      <c r="AL196" s="2" t="str">
        <f t="shared" si="86"/>
        <v/>
      </c>
      <c r="AM196" s="2" t="str">
        <f t="shared" si="87"/>
        <v/>
      </c>
      <c r="AN196" s="2" t="str">
        <f t="shared" si="88"/>
        <v/>
      </c>
      <c r="AO196" s="2" t="str">
        <f t="shared" si="89"/>
        <v/>
      </c>
      <c r="AP196" s="2" t="str">
        <f t="shared" si="90"/>
        <v/>
      </c>
      <c r="AQ196" s="2" t="str">
        <f t="shared" si="91"/>
        <v/>
      </c>
      <c r="AR196" s="2" t="str">
        <f t="shared" si="92"/>
        <v/>
      </c>
      <c r="AT196" s="2" t="str">
        <f t="shared" si="106"/>
        <v/>
      </c>
      <c r="AU196" s="2" t="str">
        <f t="shared" si="107"/>
        <v/>
      </c>
      <c r="AV196" s="143" t="str">
        <f t="shared" si="108"/>
        <v/>
      </c>
      <c r="AW196" s="143" t="str">
        <f t="shared" si="109"/>
        <v/>
      </c>
      <c r="AX196" s="143" t="str">
        <f t="shared" si="110"/>
        <v/>
      </c>
      <c r="AY196" s="143" t="str">
        <f t="shared" si="111"/>
        <v/>
      </c>
      <c r="AZ196" s="143" t="str">
        <f t="shared" si="112"/>
        <v/>
      </c>
      <c r="BA196" s="143" t="str">
        <f t="shared" si="113"/>
        <v/>
      </c>
      <c r="BB196" s="143" t="str">
        <f t="shared" si="114"/>
        <v/>
      </c>
      <c r="BC196" s="143" t="str">
        <f t="shared" si="115"/>
        <v/>
      </c>
      <c r="BD196" s="143" t="str">
        <f t="shared" si="116"/>
        <v/>
      </c>
      <c r="BF196" s="9">
        <f t="shared" si="93"/>
        <v>0</v>
      </c>
      <c r="BG196" s="9">
        <f t="shared" si="94"/>
        <v>0.99920798897120244</v>
      </c>
    </row>
    <row r="197" spans="2:59" x14ac:dyDescent="0.35">
      <c r="B197" s="3" t="s">
        <v>315</v>
      </c>
      <c r="D197" s="141">
        <v>254</v>
      </c>
      <c r="E197" s="141"/>
      <c r="F197" s="141">
        <v>1100</v>
      </c>
      <c r="G197" s="141">
        <v>315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ref="P197:P256" si="117">+SUM(D197:O197)</f>
        <v>1669</v>
      </c>
      <c r="R197" s="141">
        <v>114</v>
      </c>
      <c r="S197" s="141"/>
      <c r="T197" s="141">
        <v>930</v>
      </c>
      <c r="U197" s="141">
        <v>315</v>
      </c>
      <c r="V197" s="141"/>
      <c r="W197" s="141"/>
      <c r="X197" s="141"/>
      <c r="Y197" s="141"/>
      <c r="Z197" s="141"/>
      <c r="AA197" s="141"/>
      <c r="AB197" s="141"/>
      <c r="AC197" s="141"/>
      <c r="AD197" s="141">
        <f t="shared" ref="AD197:AD256" si="118">+SUM(R197:AC197)</f>
        <v>1359</v>
      </c>
      <c r="AF197" s="2">
        <f t="shared" ref="AF197:AF257" si="119">+IFERROR(R197/D197,"")</f>
        <v>0.44881889763779526</v>
      </c>
      <c r="AG197" s="2" t="str">
        <f t="shared" ref="AG197:AG257" si="120">+IFERROR(S197/E197,"")</f>
        <v/>
      </c>
      <c r="AH197" s="2">
        <f t="shared" ref="AH197:AH257" si="121">+IFERROR(T197/F197,"")</f>
        <v>0.84545454545454546</v>
      </c>
      <c r="AI197" s="2">
        <f t="shared" ref="AI197:AI257" si="122">+IFERROR(U197/G197,"")</f>
        <v>1</v>
      </c>
      <c r="AJ197" s="2" t="str">
        <f t="shared" ref="AJ197:AJ257" si="123">+IFERROR(V197/H197,"")</f>
        <v/>
      </c>
      <c r="AK197" s="2" t="str">
        <f t="shared" ref="AK197:AK257" si="124">+IFERROR(W197/I197,"")</f>
        <v/>
      </c>
      <c r="AL197" s="2" t="str">
        <f t="shared" ref="AL197:AL257" si="125">+IFERROR(X197/J197,"")</f>
        <v/>
      </c>
      <c r="AM197" s="2" t="str">
        <f t="shared" ref="AM197:AM257" si="126">+IFERROR(Y197/K197,"")</f>
        <v/>
      </c>
      <c r="AN197" s="2" t="str">
        <f t="shared" ref="AN197:AN257" si="127">+IFERROR(Z197/L197,"")</f>
        <v/>
      </c>
      <c r="AO197" s="2" t="str">
        <f t="shared" ref="AO197:AO257" si="128">+IFERROR(AA197/M197,"")</f>
        <v/>
      </c>
      <c r="AP197" s="2" t="str">
        <f t="shared" ref="AP197:AP257" si="129">+IFERROR(AB197/N197,"")</f>
        <v/>
      </c>
      <c r="AQ197" s="2" t="str">
        <f t="shared" ref="AQ197:AQ257" si="130">+IFERROR(AC197/O197,"")</f>
        <v/>
      </c>
      <c r="AR197" s="2">
        <f t="shared" ref="AR197:AR257" si="131">+IFERROR(AD197/P197,"")</f>
        <v>0.81426003594967045</v>
      </c>
      <c r="AT197" s="2" t="str">
        <f t="shared" si="106"/>
        <v/>
      </c>
      <c r="AU197" s="2" t="str">
        <f t="shared" si="107"/>
        <v/>
      </c>
      <c r="AV197" s="143">
        <f t="shared" si="108"/>
        <v>0.15454545454545454</v>
      </c>
      <c r="AW197" s="143" t="str">
        <f t="shared" si="109"/>
        <v/>
      </c>
      <c r="AX197" s="143" t="str">
        <f t="shared" si="110"/>
        <v/>
      </c>
      <c r="AY197" s="143" t="str">
        <f t="shared" si="111"/>
        <v/>
      </c>
      <c r="AZ197" s="143" t="str">
        <f t="shared" si="112"/>
        <v/>
      </c>
      <c r="BA197" s="143" t="str">
        <f t="shared" si="113"/>
        <v/>
      </c>
      <c r="BB197" s="143" t="str">
        <f t="shared" si="114"/>
        <v/>
      </c>
      <c r="BC197" s="143" t="str">
        <f t="shared" si="115"/>
        <v/>
      </c>
      <c r="BD197" s="143" t="str">
        <f t="shared" si="116"/>
        <v/>
      </c>
      <c r="BF197" s="9">
        <f t="shared" ref="BF197:BF257" si="132">+AD197/$AD$257</f>
        <v>1.8314933283003878E-6</v>
      </c>
      <c r="BG197" s="9">
        <f t="shared" si="94"/>
        <v>0.99920982046453077</v>
      </c>
    </row>
    <row r="198" spans="2:59" x14ac:dyDescent="0.35">
      <c r="B198" s="3" t="s">
        <v>296</v>
      </c>
      <c r="D198" s="141">
        <v>11917</v>
      </c>
      <c r="E198" s="141">
        <v>16643</v>
      </c>
      <c r="F198" s="141">
        <v>6524</v>
      </c>
      <c r="G198" s="141">
        <v>11588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117"/>
        <v>46672</v>
      </c>
      <c r="R198" s="141">
        <v>11917</v>
      </c>
      <c r="S198" s="141">
        <v>14512</v>
      </c>
      <c r="T198" s="141">
        <v>6524</v>
      </c>
      <c r="U198" s="141">
        <v>1708</v>
      </c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118"/>
        <v>34661</v>
      </c>
      <c r="AF198" s="2">
        <f t="shared" si="119"/>
        <v>1</v>
      </c>
      <c r="AG198" s="2">
        <f t="shared" si="120"/>
        <v>0.87195818061647534</v>
      </c>
      <c r="AH198" s="2">
        <f t="shared" si="121"/>
        <v>1</v>
      </c>
      <c r="AI198" s="2">
        <f t="shared" si="122"/>
        <v>0.14739385571280636</v>
      </c>
      <c r="AJ198" s="2" t="str">
        <f t="shared" si="123"/>
        <v/>
      </c>
      <c r="AK198" s="2" t="str">
        <f t="shared" si="124"/>
        <v/>
      </c>
      <c r="AL198" s="2" t="str">
        <f t="shared" si="125"/>
        <v/>
      </c>
      <c r="AM198" s="2" t="str">
        <f t="shared" si="126"/>
        <v/>
      </c>
      <c r="AN198" s="2" t="str">
        <f t="shared" si="127"/>
        <v/>
      </c>
      <c r="AO198" s="2" t="str">
        <f t="shared" si="128"/>
        <v/>
      </c>
      <c r="AP198" s="2" t="str">
        <f t="shared" si="129"/>
        <v/>
      </c>
      <c r="AQ198" s="2" t="str">
        <f t="shared" si="130"/>
        <v/>
      </c>
      <c r="AR198" s="2">
        <f t="shared" si="131"/>
        <v>0.74265083990401093</v>
      </c>
      <c r="AT198" s="2" t="str">
        <f t="shared" si="106"/>
        <v/>
      </c>
      <c r="AU198" s="2" t="str">
        <f t="shared" si="107"/>
        <v/>
      </c>
      <c r="AV198" s="143">
        <f t="shared" si="108"/>
        <v>-0.85260614428719361</v>
      </c>
      <c r="AW198" s="143" t="str">
        <f t="shared" si="109"/>
        <v/>
      </c>
      <c r="AX198" s="143" t="str">
        <f t="shared" si="110"/>
        <v/>
      </c>
      <c r="AY198" s="143" t="str">
        <f t="shared" si="111"/>
        <v/>
      </c>
      <c r="AZ198" s="143" t="str">
        <f t="shared" si="112"/>
        <v/>
      </c>
      <c r="BA198" s="143" t="str">
        <f t="shared" si="113"/>
        <v/>
      </c>
      <c r="BB198" s="143" t="str">
        <f t="shared" si="114"/>
        <v/>
      </c>
      <c r="BC198" s="143" t="str">
        <f t="shared" si="115"/>
        <v/>
      </c>
      <c r="BD198" s="143" t="str">
        <f t="shared" si="116"/>
        <v/>
      </c>
      <c r="BF198" s="9">
        <f t="shared" si="132"/>
        <v>4.6711839773524462E-5</v>
      </c>
      <c r="BG198" s="9">
        <f t="shared" ref="BG198:BG213" si="133">+BF198+BG197</f>
        <v>0.99925653230430433</v>
      </c>
    </row>
    <row r="199" spans="2:59" x14ac:dyDescent="0.35">
      <c r="B199" s="3" t="s">
        <v>261</v>
      </c>
      <c r="D199" s="141">
        <v>230</v>
      </c>
      <c r="E199" s="141">
        <v>13300</v>
      </c>
      <c r="F199" s="141">
        <v>591</v>
      </c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117"/>
        <v>14121</v>
      </c>
      <c r="R199" s="141">
        <v>230</v>
      </c>
      <c r="S199" s="141">
        <v>13300</v>
      </c>
      <c r="T199" s="141">
        <v>591</v>
      </c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118"/>
        <v>14121</v>
      </c>
      <c r="AF199" s="2">
        <f t="shared" si="119"/>
        <v>1</v>
      </c>
      <c r="AG199" s="2">
        <f t="shared" si="120"/>
        <v>1</v>
      </c>
      <c r="AH199" s="2">
        <f t="shared" si="121"/>
        <v>1</v>
      </c>
      <c r="AI199" s="2" t="str">
        <f t="shared" si="122"/>
        <v/>
      </c>
      <c r="AJ199" s="2" t="str">
        <f t="shared" si="123"/>
        <v/>
      </c>
      <c r="AK199" s="2" t="str">
        <f t="shared" si="124"/>
        <v/>
      </c>
      <c r="AL199" s="2" t="str">
        <f t="shared" si="125"/>
        <v/>
      </c>
      <c r="AM199" s="2" t="str">
        <f t="shared" si="126"/>
        <v/>
      </c>
      <c r="AN199" s="2" t="str">
        <f t="shared" si="127"/>
        <v/>
      </c>
      <c r="AO199" s="2" t="str">
        <f t="shared" si="128"/>
        <v/>
      </c>
      <c r="AP199" s="2" t="str">
        <f t="shared" si="129"/>
        <v/>
      </c>
      <c r="AQ199" s="2" t="str">
        <f t="shared" si="130"/>
        <v/>
      </c>
      <c r="AR199" s="2">
        <f t="shared" si="131"/>
        <v>1</v>
      </c>
      <c r="AT199" s="2" t="str">
        <f t="shared" si="106"/>
        <v/>
      </c>
      <c r="AU199" s="2" t="str">
        <f t="shared" si="107"/>
        <v/>
      </c>
      <c r="AV199" s="143" t="str">
        <f t="shared" si="108"/>
        <v/>
      </c>
      <c r="AW199" s="143" t="str">
        <f t="shared" si="109"/>
        <v/>
      </c>
      <c r="AX199" s="143" t="str">
        <f t="shared" si="110"/>
        <v/>
      </c>
      <c r="AY199" s="143" t="str">
        <f t="shared" si="111"/>
        <v/>
      </c>
      <c r="AZ199" s="143" t="str">
        <f t="shared" si="112"/>
        <v/>
      </c>
      <c r="BA199" s="143" t="str">
        <f t="shared" si="113"/>
        <v/>
      </c>
      <c r="BB199" s="143" t="str">
        <f t="shared" si="114"/>
        <v/>
      </c>
      <c r="BC199" s="143" t="str">
        <f t="shared" si="115"/>
        <v/>
      </c>
      <c r="BD199" s="143" t="str">
        <f t="shared" si="116"/>
        <v/>
      </c>
      <c r="BF199" s="9">
        <f t="shared" si="132"/>
        <v>1.9030549881478864E-5</v>
      </c>
      <c r="BG199" s="9">
        <f t="shared" si="133"/>
        <v>0.99927556285418584</v>
      </c>
    </row>
    <row r="200" spans="2:59" x14ac:dyDescent="0.35">
      <c r="B200" s="3" t="s">
        <v>272</v>
      </c>
      <c r="D200" s="141">
        <v>2775</v>
      </c>
      <c r="E200" s="141">
        <v>2343</v>
      </c>
      <c r="F200" s="141">
        <v>6628</v>
      </c>
      <c r="G200" s="141">
        <v>277</v>
      </c>
      <c r="H200" s="141"/>
      <c r="I200" s="141"/>
      <c r="J200" s="141"/>
      <c r="K200" s="141"/>
      <c r="L200" s="141"/>
      <c r="M200" s="141"/>
      <c r="N200" s="141"/>
      <c r="O200" s="141"/>
      <c r="P200" s="141">
        <f t="shared" si="117"/>
        <v>12023</v>
      </c>
      <c r="R200" s="141">
        <v>2775</v>
      </c>
      <c r="S200" s="141">
        <v>2343</v>
      </c>
      <c r="T200" s="141">
        <v>6486</v>
      </c>
      <c r="U200" s="141">
        <v>277</v>
      </c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118"/>
        <v>11881</v>
      </c>
      <c r="AF200" s="2">
        <f t="shared" si="119"/>
        <v>1</v>
      </c>
      <c r="AG200" s="2">
        <f t="shared" si="120"/>
        <v>1</v>
      </c>
      <c r="AH200" s="2">
        <f t="shared" si="121"/>
        <v>0.97857573928786967</v>
      </c>
      <c r="AI200" s="2">
        <f t="shared" si="122"/>
        <v>1</v>
      </c>
      <c r="AJ200" s="2" t="str">
        <f t="shared" si="123"/>
        <v/>
      </c>
      <c r="AK200" s="2" t="str">
        <f t="shared" si="124"/>
        <v/>
      </c>
      <c r="AL200" s="2" t="str">
        <f t="shared" si="125"/>
        <v/>
      </c>
      <c r="AM200" s="2" t="str">
        <f t="shared" si="126"/>
        <v/>
      </c>
      <c r="AN200" s="2" t="str">
        <f t="shared" si="127"/>
        <v/>
      </c>
      <c r="AO200" s="2" t="str">
        <f t="shared" si="128"/>
        <v/>
      </c>
      <c r="AP200" s="2" t="str">
        <f t="shared" si="129"/>
        <v/>
      </c>
      <c r="AQ200" s="2" t="str">
        <f t="shared" si="130"/>
        <v/>
      </c>
      <c r="AR200" s="2">
        <f t="shared" si="131"/>
        <v>0.98818930383431758</v>
      </c>
      <c r="AT200" s="2" t="str">
        <f t="shared" si="106"/>
        <v/>
      </c>
      <c r="AU200" s="2" t="str">
        <f t="shared" si="107"/>
        <v/>
      </c>
      <c r="AV200" s="143">
        <f t="shared" si="108"/>
        <v>2.1424260712130327E-2</v>
      </c>
      <c r="AW200" s="143" t="str">
        <f t="shared" si="109"/>
        <v/>
      </c>
      <c r="AX200" s="143" t="str">
        <f t="shared" si="110"/>
        <v/>
      </c>
      <c r="AY200" s="143" t="str">
        <f t="shared" si="111"/>
        <v/>
      </c>
      <c r="AZ200" s="143" t="str">
        <f t="shared" si="112"/>
        <v/>
      </c>
      <c r="BA200" s="143" t="str">
        <f t="shared" si="113"/>
        <v/>
      </c>
      <c r="BB200" s="143" t="str">
        <f t="shared" si="114"/>
        <v/>
      </c>
      <c r="BC200" s="143" t="str">
        <f t="shared" si="115"/>
        <v/>
      </c>
      <c r="BD200" s="143" t="str">
        <f t="shared" si="116"/>
        <v/>
      </c>
      <c r="BF200" s="9">
        <f t="shared" si="132"/>
        <v>1.6011752931226569E-5</v>
      </c>
      <c r="BG200" s="9">
        <f t="shared" si="133"/>
        <v>0.99929157460711704</v>
      </c>
    </row>
    <row r="201" spans="2:59" x14ac:dyDescent="0.35">
      <c r="B201" s="3" t="s">
        <v>295</v>
      </c>
      <c r="D201" s="141">
        <v>19355</v>
      </c>
      <c r="E201" s="141">
        <v>19806</v>
      </c>
      <c r="F201" s="141">
        <v>6044</v>
      </c>
      <c r="G201" s="141">
        <v>21749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117"/>
        <v>66954</v>
      </c>
      <c r="R201" s="141">
        <v>14707</v>
      </c>
      <c r="S201" s="141">
        <v>15832</v>
      </c>
      <c r="T201" s="141">
        <v>4673</v>
      </c>
      <c r="U201" s="141">
        <v>17224</v>
      </c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118"/>
        <v>52436</v>
      </c>
      <c r="AF201" s="2">
        <f t="shared" si="119"/>
        <v>0.75985533453887888</v>
      </c>
      <c r="AG201" s="2">
        <f t="shared" si="120"/>
        <v>0.79935373119256792</v>
      </c>
      <c r="AH201" s="2">
        <f t="shared" si="121"/>
        <v>0.77316346790205159</v>
      </c>
      <c r="AI201" s="2">
        <f t="shared" si="122"/>
        <v>0.7919444572164237</v>
      </c>
      <c r="AJ201" s="2" t="str">
        <f t="shared" si="123"/>
        <v/>
      </c>
      <c r="AK201" s="2" t="str">
        <f t="shared" si="124"/>
        <v/>
      </c>
      <c r="AL201" s="2" t="str">
        <f t="shared" si="125"/>
        <v/>
      </c>
      <c r="AM201" s="2" t="str">
        <f t="shared" si="126"/>
        <v/>
      </c>
      <c r="AN201" s="2" t="str">
        <f t="shared" si="127"/>
        <v/>
      </c>
      <c r="AO201" s="2" t="str">
        <f t="shared" si="128"/>
        <v/>
      </c>
      <c r="AP201" s="2" t="str">
        <f t="shared" si="129"/>
        <v/>
      </c>
      <c r="AQ201" s="2" t="str">
        <f t="shared" si="130"/>
        <v/>
      </c>
      <c r="AR201" s="2">
        <f t="shared" si="131"/>
        <v>0.78316456074319685</v>
      </c>
      <c r="AT201" s="2" t="str">
        <f t="shared" si="106"/>
        <v/>
      </c>
      <c r="AU201" s="2" t="str">
        <f t="shared" si="107"/>
        <v/>
      </c>
      <c r="AV201" s="143">
        <f t="shared" si="108"/>
        <v>1.878098931437211E-2</v>
      </c>
      <c r="AW201" s="143" t="str">
        <f t="shared" si="109"/>
        <v/>
      </c>
      <c r="AX201" s="143" t="str">
        <f t="shared" si="110"/>
        <v/>
      </c>
      <c r="AY201" s="143" t="str">
        <f t="shared" si="111"/>
        <v/>
      </c>
      <c r="AZ201" s="143" t="str">
        <f t="shared" si="112"/>
        <v/>
      </c>
      <c r="BA201" s="143" t="str">
        <f t="shared" si="113"/>
        <v/>
      </c>
      <c r="BB201" s="143" t="str">
        <f t="shared" si="114"/>
        <v/>
      </c>
      <c r="BC201" s="143" t="str">
        <f t="shared" si="115"/>
        <v/>
      </c>
      <c r="BD201" s="143" t="str">
        <f t="shared" si="116"/>
        <v/>
      </c>
      <c r="BF201" s="9">
        <f t="shared" si="132"/>
        <v>7.0666802180102377E-5</v>
      </c>
      <c r="BG201" s="9">
        <f t="shared" si="133"/>
        <v>0.99936224140929719</v>
      </c>
    </row>
    <row r="202" spans="2:59" x14ac:dyDescent="0.35">
      <c r="B202" s="3" t="s">
        <v>301</v>
      </c>
      <c r="D202" s="141"/>
      <c r="E202" s="141"/>
      <c r="F202" s="141"/>
      <c r="G202" s="141">
        <v>6015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117"/>
        <v>6015</v>
      </c>
      <c r="R202" s="141"/>
      <c r="S202" s="141"/>
      <c r="T202" s="141"/>
      <c r="U202" s="141">
        <v>6015</v>
      </c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118"/>
        <v>6015</v>
      </c>
      <c r="AF202" s="2" t="str">
        <f t="shared" si="119"/>
        <v/>
      </c>
      <c r="AG202" s="2" t="str">
        <f t="shared" si="120"/>
        <v/>
      </c>
      <c r="AH202" s="2" t="str">
        <f t="shared" si="121"/>
        <v/>
      </c>
      <c r="AI202" s="2">
        <f t="shared" si="122"/>
        <v>1</v>
      </c>
      <c r="AJ202" s="2" t="str">
        <f t="shared" si="123"/>
        <v/>
      </c>
      <c r="AK202" s="2" t="str">
        <f t="shared" si="124"/>
        <v/>
      </c>
      <c r="AL202" s="2" t="str">
        <f t="shared" si="125"/>
        <v/>
      </c>
      <c r="AM202" s="2" t="str">
        <f t="shared" si="126"/>
        <v/>
      </c>
      <c r="AN202" s="2" t="str">
        <f t="shared" si="127"/>
        <v/>
      </c>
      <c r="AO202" s="2" t="str">
        <f t="shared" si="128"/>
        <v/>
      </c>
      <c r="AP202" s="2" t="str">
        <f t="shared" si="129"/>
        <v/>
      </c>
      <c r="AQ202" s="2" t="str">
        <f t="shared" si="130"/>
        <v/>
      </c>
      <c r="AR202" s="2">
        <f t="shared" si="131"/>
        <v>1</v>
      </c>
      <c r="AT202" s="2" t="str">
        <f t="shared" si="106"/>
        <v/>
      </c>
      <c r="AU202" s="2" t="str">
        <f t="shared" si="107"/>
        <v/>
      </c>
      <c r="AV202" s="143" t="str">
        <f t="shared" si="108"/>
        <v/>
      </c>
      <c r="AW202" s="143" t="str">
        <f t="shared" si="109"/>
        <v/>
      </c>
      <c r="AX202" s="143" t="str">
        <f t="shared" si="110"/>
        <v/>
      </c>
      <c r="AY202" s="143" t="str">
        <f t="shared" si="111"/>
        <v/>
      </c>
      <c r="AZ202" s="143" t="str">
        <f t="shared" si="112"/>
        <v/>
      </c>
      <c r="BA202" s="143" t="str">
        <f t="shared" si="113"/>
        <v/>
      </c>
      <c r="BB202" s="143" t="str">
        <f t="shared" si="114"/>
        <v/>
      </c>
      <c r="BC202" s="143" t="str">
        <f t="shared" si="115"/>
        <v/>
      </c>
      <c r="BD202" s="143" t="str">
        <f t="shared" si="116"/>
        <v/>
      </c>
      <c r="BF202" s="9">
        <f t="shared" si="132"/>
        <v>8.106278417753372E-6</v>
      </c>
      <c r="BG202" s="9">
        <f t="shared" si="133"/>
        <v>0.99937034768771493</v>
      </c>
    </row>
    <row r="203" spans="2:59" x14ac:dyDescent="0.35">
      <c r="B203" s="3" t="s">
        <v>269</v>
      </c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117"/>
        <v>0</v>
      </c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118"/>
        <v>0</v>
      </c>
      <c r="AF203" s="2" t="str">
        <f t="shared" si="119"/>
        <v/>
      </c>
      <c r="AG203" s="2" t="str">
        <f t="shared" si="120"/>
        <v/>
      </c>
      <c r="AH203" s="2" t="str">
        <f t="shared" si="121"/>
        <v/>
      </c>
      <c r="AI203" s="2" t="str">
        <f t="shared" si="122"/>
        <v/>
      </c>
      <c r="AJ203" s="2" t="str">
        <f t="shared" si="123"/>
        <v/>
      </c>
      <c r="AK203" s="2" t="str">
        <f t="shared" si="124"/>
        <v/>
      </c>
      <c r="AL203" s="2" t="str">
        <f t="shared" si="125"/>
        <v/>
      </c>
      <c r="AM203" s="2" t="str">
        <f t="shared" si="126"/>
        <v/>
      </c>
      <c r="AN203" s="2" t="str">
        <f t="shared" si="127"/>
        <v/>
      </c>
      <c r="AO203" s="2" t="str">
        <f t="shared" si="128"/>
        <v/>
      </c>
      <c r="AP203" s="2" t="str">
        <f t="shared" si="129"/>
        <v/>
      </c>
      <c r="AQ203" s="2" t="str">
        <f t="shared" si="130"/>
        <v/>
      </c>
      <c r="AR203" s="2" t="str">
        <f t="shared" si="131"/>
        <v/>
      </c>
      <c r="AT203" s="2" t="str">
        <f t="shared" si="106"/>
        <v/>
      </c>
      <c r="AU203" s="2" t="str">
        <f t="shared" si="107"/>
        <v/>
      </c>
      <c r="AV203" s="143" t="str">
        <f t="shared" si="108"/>
        <v/>
      </c>
      <c r="AW203" s="143" t="str">
        <f t="shared" si="109"/>
        <v/>
      </c>
      <c r="AX203" s="143" t="str">
        <f t="shared" si="110"/>
        <v/>
      </c>
      <c r="AY203" s="143" t="str">
        <f t="shared" si="111"/>
        <v/>
      </c>
      <c r="AZ203" s="143" t="str">
        <f t="shared" si="112"/>
        <v/>
      </c>
      <c r="BA203" s="143" t="str">
        <f t="shared" si="113"/>
        <v/>
      </c>
      <c r="BB203" s="143" t="str">
        <f t="shared" si="114"/>
        <v/>
      </c>
      <c r="BC203" s="143" t="str">
        <f t="shared" si="115"/>
        <v/>
      </c>
      <c r="BD203" s="143" t="str">
        <f t="shared" si="116"/>
        <v/>
      </c>
      <c r="BF203" s="9">
        <f t="shared" si="132"/>
        <v>0</v>
      </c>
      <c r="BG203" s="9">
        <f t="shared" si="133"/>
        <v>0.99937034768771493</v>
      </c>
    </row>
    <row r="204" spans="2:59" x14ac:dyDescent="0.35">
      <c r="B204" s="3" t="s">
        <v>311</v>
      </c>
      <c r="D204" s="141">
        <v>742</v>
      </c>
      <c r="E204" s="141"/>
      <c r="F204" s="141">
        <v>724</v>
      </c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117"/>
        <v>1466</v>
      </c>
      <c r="R204" s="141">
        <v>555</v>
      </c>
      <c r="S204" s="141"/>
      <c r="T204" s="141">
        <v>502</v>
      </c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118"/>
        <v>1057</v>
      </c>
      <c r="AF204" s="2">
        <f t="shared" si="119"/>
        <v>0.74797843665768193</v>
      </c>
      <c r="AG204" s="2" t="str">
        <f t="shared" si="120"/>
        <v/>
      </c>
      <c r="AH204" s="2">
        <f t="shared" si="121"/>
        <v>0.6933701657458563</v>
      </c>
      <c r="AI204" s="2" t="str">
        <f t="shared" si="122"/>
        <v/>
      </c>
      <c r="AJ204" s="2" t="str">
        <f t="shared" si="123"/>
        <v/>
      </c>
      <c r="AK204" s="2" t="str">
        <f t="shared" si="124"/>
        <v/>
      </c>
      <c r="AL204" s="2" t="str">
        <f t="shared" si="125"/>
        <v/>
      </c>
      <c r="AM204" s="2" t="str">
        <f t="shared" si="126"/>
        <v/>
      </c>
      <c r="AN204" s="2" t="str">
        <f t="shared" si="127"/>
        <v/>
      </c>
      <c r="AO204" s="2" t="str">
        <f t="shared" si="128"/>
        <v/>
      </c>
      <c r="AP204" s="2" t="str">
        <f t="shared" si="129"/>
        <v/>
      </c>
      <c r="AQ204" s="2" t="str">
        <f t="shared" si="130"/>
        <v/>
      </c>
      <c r="AR204" s="2">
        <f t="shared" si="131"/>
        <v>0.72100954979536158</v>
      </c>
      <c r="AT204" s="2" t="str">
        <f t="shared" si="106"/>
        <v/>
      </c>
      <c r="AU204" s="2" t="str">
        <f t="shared" si="107"/>
        <v/>
      </c>
      <c r="AV204" s="143" t="str">
        <f t="shared" si="108"/>
        <v/>
      </c>
      <c r="AW204" s="143" t="str">
        <f t="shared" si="109"/>
        <v/>
      </c>
      <c r="AX204" s="143" t="str">
        <f t="shared" si="110"/>
        <v/>
      </c>
      <c r="AY204" s="143" t="str">
        <f t="shared" si="111"/>
        <v/>
      </c>
      <c r="AZ204" s="143" t="str">
        <f t="shared" si="112"/>
        <v/>
      </c>
      <c r="BA204" s="143" t="str">
        <f t="shared" si="113"/>
        <v/>
      </c>
      <c r="BB204" s="143" t="str">
        <f t="shared" si="114"/>
        <v/>
      </c>
      <c r="BC204" s="143" t="str">
        <f t="shared" si="115"/>
        <v/>
      </c>
      <c r="BD204" s="143" t="str">
        <f t="shared" si="116"/>
        <v/>
      </c>
      <c r="BF204" s="9">
        <f t="shared" si="132"/>
        <v>1.4244948109003017E-6</v>
      </c>
      <c r="BG204" s="9">
        <f t="shared" si="133"/>
        <v>0.99937177218252582</v>
      </c>
    </row>
    <row r="205" spans="2:59" x14ac:dyDescent="0.35">
      <c r="B205" s="3" t="s">
        <v>264</v>
      </c>
      <c r="D205" s="141">
        <v>112434</v>
      </c>
      <c r="E205" s="141">
        <v>135492</v>
      </c>
      <c r="F205" s="141">
        <v>183841</v>
      </c>
      <c r="G205" s="141">
        <v>154997</v>
      </c>
      <c r="H205" s="141"/>
      <c r="I205" s="141"/>
      <c r="J205" s="141"/>
      <c r="K205" s="141"/>
      <c r="L205" s="141"/>
      <c r="M205" s="141"/>
      <c r="N205" s="141"/>
      <c r="O205" s="141"/>
      <c r="P205" s="141">
        <f t="shared" si="117"/>
        <v>586764</v>
      </c>
      <c r="R205" s="141">
        <v>75461</v>
      </c>
      <c r="S205" s="141">
        <v>94166</v>
      </c>
      <c r="T205" s="141">
        <v>143687</v>
      </c>
      <c r="U205" s="141">
        <v>117749</v>
      </c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118"/>
        <v>431063</v>
      </c>
      <c r="AF205" s="2">
        <f t="shared" si="119"/>
        <v>0.67115819058291981</v>
      </c>
      <c r="AG205" s="2">
        <f t="shared" si="120"/>
        <v>0.69499306232102265</v>
      </c>
      <c r="AH205" s="2">
        <f t="shared" si="121"/>
        <v>0.78158299835183664</v>
      </c>
      <c r="AI205" s="2">
        <f t="shared" si="122"/>
        <v>0.75968567133557419</v>
      </c>
      <c r="AJ205" s="2" t="str">
        <f t="shared" si="123"/>
        <v/>
      </c>
      <c r="AK205" s="2" t="str">
        <f t="shared" si="124"/>
        <v/>
      </c>
      <c r="AL205" s="2" t="str">
        <f t="shared" si="125"/>
        <v/>
      </c>
      <c r="AM205" s="2" t="str">
        <f t="shared" si="126"/>
        <v/>
      </c>
      <c r="AN205" s="2" t="str">
        <f t="shared" si="127"/>
        <v/>
      </c>
      <c r="AO205" s="2" t="str">
        <f t="shared" si="128"/>
        <v/>
      </c>
      <c r="AP205" s="2" t="str">
        <f t="shared" si="129"/>
        <v/>
      </c>
      <c r="AQ205" s="2" t="str">
        <f t="shared" si="130"/>
        <v/>
      </c>
      <c r="AR205" s="2">
        <f t="shared" si="131"/>
        <v>0.73464459305615204</v>
      </c>
      <c r="AT205" s="2" t="str">
        <f t="shared" si="106"/>
        <v/>
      </c>
      <c r="AU205" s="2" t="str">
        <f t="shared" si="107"/>
        <v/>
      </c>
      <c r="AV205" s="143">
        <f t="shared" si="108"/>
        <v>-2.1897327016262458E-2</v>
      </c>
      <c r="AW205" s="143" t="str">
        <f t="shared" si="109"/>
        <v/>
      </c>
      <c r="AX205" s="143" t="str">
        <f t="shared" si="110"/>
        <v/>
      </c>
      <c r="AY205" s="143" t="str">
        <f t="shared" si="111"/>
        <v/>
      </c>
      <c r="AZ205" s="143" t="str">
        <f t="shared" si="112"/>
        <v/>
      </c>
      <c r="BA205" s="143" t="str">
        <f t="shared" si="113"/>
        <v/>
      </c>
      <c r="BB205" s="143" t="str">
        <f t="shared" si="114"/>
        <v/>
      </c>
      <c r="BC205" s="143" t="str">
        <f t="shared" si="115"/>
        <v/>
      </c>
      <c r="BD205" s="143" t="str">
        <f t="shared" si="116"/>
        <v/>
      </c>
      <c r="BF205" s="9">
        <f t="shared" si="132"/>
        <v>5.8093378114580576E-4</v>
      </c>
      <c r="BG205" s="9">
        <f t="shared" si="133"/>
        <v>0.99995270596367158</v>
      </c>
    </row>
    <row r="206" spans="2:59" x14ac:dyDescent="0.35">
      <c r="B206" s="3" t="s">
        <v>291</v>
      </c>
      <c r="D206" s="141"/>
      <c r="E206" s="141"/>
      <c r="F206" s="141"/>
      <c r="G206" s="141">
        <v>1147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117"/>
        <v>1147</v>
      </c>
      <c r="R206" s="141"/>
      <c r="S206" s="141"/>
      <c r="T206" s="141"/>
      <c r="U206" s="141">
        <v>1147</v>
      </c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118"/>
        <v>1147</v>
      </c>
      <c r="AF206" s="2" t="str">
        <f t="shared" si="119"/>
        <v/>
      </c>
      <c r="AG206" s="2" t="str">
        <f t="shared" si="120"/>
        <v/>
      </c>
      <c r="AH206" s="2" t="str">
        <f t="shared" si="121"/>
        <v/>
      </c>
      <c r="AI206" s="2">
        <f t="shared" si="122"/>
        <v>1</v>
      </c>
      <c r="AJ206" s="2" t="str">
        <f t="shared" si="123"/>
        <v/>
      </c>
      <c r="AK206" s="2" t="str">
        <f t="shared" si="124"/>
        <v/>
      </c>
      <c r="AL206" s="2" t="str">
        <f t="shared" si="125"/>
        <v/>
      </c>
      <c r="AM206" s="2" t="str">
        <f t="shared" si="126"/>
        <v/>
      </c>
      <c r="AN206" s="2" t="str">
        <f t="shared" si="127"/>
        <v/>
      </c>
      <c r="AO206" s="2" t="str">
        <f t="shared" si="128"/>
        <v/>
      </c>
      <c r="AP206" s="2" t="str">
        <f t="shared" si="129"/>
        <v/>
      </c>
      <c r="AQ206" s="2" t="str">
        <f t="shared" si="130"/>
        <v/>
      </c>
      <c r="AR206" s="2">
        <f t="shared" si="131"/>
        <v>1</v>
      </c>
      <c r="AT206" s="2" t="str">
        <f t="shared" ref="AT206:AT212" si="134">+IFERROR(AM206-AL206,"")</f>
        <v/>
      </c>
      <c r="AU206" s="2" t="str">
        <f t="shared" ref="AU206:AU212" si="135">+IFERROR(AN206-AM206,"")</f>
        <v/>
      </c>
      <c r="AV206" s="143" t="str">
        <f t="shared" ref="AV206:AV212" si="136">+IFERROR(AI206-AH206,"")</f>
        <v/>
      </c>
      <c r="AW206" s="143" t="str">
        <f t="shared" ref="AW206:AW212" si="137">+IFERROR(AJ206-AI206,"")</f>
        <v/>
      </c>
      <c r="AX206" s="143" t="str">
        <f t="shared" ref="AX206:AX212" si="138">+IFERROR(AK206-AJ206,"")</f>
        <v/>
      </c>
      <c r="AY206" s="143" t="str">
        <f t="shared" ref="AY206:AY212" si="139">+IFERROR(AL206-AK206,"")</f>
        <v/>
      </c>
      <c r="AZ206" s="143" t="str">
        <f t="shared" ref="AZ206:AZ212" si="140">+IFERROR(AM206-AL206,"")</f>
        <v/>
      </c>
      <c r="BA206" s="143" t="str">
        <f t="shared" ref="BA206:BA212" si="141">+IFERROR(AN206-AM206,"")</f>
        <v/>
      </c>
      <c r="BB206" s="143" t="str">
        <f t="shared" ref="BB206:BB212" si="142">+IFERROR(AO206-AN206,"")</f>
        <v/>
      </c>
      <c r="BC206" s="143" t="str">
        <f t="shared" ref="BC206:BC212" si="143">+IFERROR(AP206-AO206,"")</f>
        <v/>
      </c>
      <c r="BD206" s="143" t="str">
        <f t="shared" ref="BD206:BD212" si="144">+IFERROR(AQ206-AP206,"")</f>
        <v/>
      </c>
      <c r="BF206" s="9">
        <f t="shared" si="132"/>
        <v>1.5457857597943672E-6</v>
      </c>
      <c r="BG206" s="9">
        <f t="shared" si="133"/>
        <v>0.99995425174943142</v>
      </c>
    </row>
    <row r="207" spans="2:59" x14ac:dyDescent="0.35">
      <c r="B207" s="3" t="s">
        <v>273</v>
      </c>
      <c r="D207" s="141">
        <v>15</v>
      </c>
      <c r="E207" s="141"/>
      <c r="F207" s="141">
        <v>45</v>
      </c>
      <c r="G207" s="141">
        <v>45</v>
      </c>
      <c r="H207" s="141"/>
      <c r="I207" s="141"/>
      <c r="J207" s="141"/>
      <c r="K207" s="141"/>
      <c r="L207" s="141"/>
      <c r="M207" s="141"/>
      <c r="N207" s="141"/>
      <c r="O207" s="141"/>
      <c r="P207" s="141">
        <f t="shared" si="117"/>
        <v>105</v>
      </c>
      <c r="R207" s="141">
        <v>15</v>
      </c>
      <c r="S207" s="141"/>
      <c r="T207" s="141">
        <v>45</v>
      </c>
      <c r="U207" s="141">
        <v>45</v>
      </c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118"/>
        <v>105</v>
      </c>
      <c r="AF207" s="2">
        <f t="shared" si="119"/>
        <v>1</v>
      </c>
      <c r="AG207" s="2" t="str">
        <f t="shared" si="120"/>
        <v/>
      </c>
      <c r="AH207" s="2">
        <f t="shared" si="121"/>
        <v>1</v>
      </c>
      <c r="AI207" s="2">
        <f t="shared" si="122"/>
        <v>1</v>
      </c>
      <c r="AJ207" s="2" t="str">
        <f t="shared" si="123"/>
        <v/>
      </c>
      <c r="AK207" s="2" t="str">
        <f t="shared" si="124"/>
        <v/>
      </c>
      <c r="AL207" s="2" t="str">
        <f t="shared" si="125"/>
        <v/>
      </c>
      <c r="AM207" s="2" t="str">
        <f t="shared" si="126"/>
        <v/>
      </c>
      <c r="AN207" s="2" t="str">
        <f t="shared" si="127"/>
        <v/>
      </c>
      <c r="AO207" s="2" t="str">
        <f t="shared" si="128"/>
        <v/>
      </c>
      <c r="AP207" s="2" t="str">
        <f t="shared" si="129"/>
        <v/>
      </c>
      <c r="AQ207" s="2" t="str">
        <f t="shared" si="130"/>
        <v/>
      </c>
      <c r="AR207" s="2">
        <f t="shared" si="131"/>
        <v>1</v>
      </c>
      <c r="AT207" s="2" t="str">
        <f t="shared" si="134"/>
        <v/>
      </c>
      <c r="AU207" s="2" t="str">
        <f t="shared" si="135"/>
        <v/>
      </c>
      <c r="AV207" s="143">
        <f t="shared" si="136"/>
        <v>0</v>
      </c>
      <c r="AW207" s="143" t="str">
        <f t="shared" si="137"/>
        <v/>
      </c>
      <c r="AX207" s="143" t="str">
        <f t="shared" si="138"/>
        <v/>
      </c>
      <c r="AY207" s="143" t="str">
        <f t="shared" si="139"/>
        <v/>
      </c>
      <c r="AZ207" s="143" t="str">
        <f t="shared" si="140"/>
        <v/>
      </c>
      <c r="BA207" s="143" t="str">
        <f t="shared" si="141"/>
        <v/>
      </c>
      <c r="BB207" s="143" t="str">
        <f t="shared" si="142"/>
        <v/>
      </c>
      <c r="BC207" s="143" t="str">
        <f t="shared" si="143"/>
        <v/>
      </c>
      <c r="BD207" s="143" t="str">
        <f t="shared" si="144"/>
        <v/>
      </c>
      <c r="BF207" s="9">
        <f t="shared" si="132"/>
        <v>1.4150610704307632E-7</v>
      </c>
      <c r="BG207" s="9">
        <f t="shared" si="133"/>
        <v>0.99995439325553848</v>
      </c>
    </row>
    <row r="208" spans="2:59" x14ac:dyDescent="0.35">
      <c r="B208" s="3" t="s">
        <v>303</v>
      </c>
      <c r="D208" s="141">
        <v>2497</v>
      </c>
      <c r="E208" s="141">
        <v>877</v>
      </c>
      <c r="F208" s="141">
        <v>1839</v>
      </c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117"/>
        <v>5213</v>
      </c>
      <c r="R208" s="141">
        <v>2109</v>
      </c>
      <c r="S208" s="141">
        <v>424</v>
      </c>
      <c r="T208" s="141">
        <v>501</v>
      </c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118"/>
        <v>3034</v>
      </c>
      <c r="AF208" s="2">
        <f t="shared" si="119"/>
        <v>0.84461353624349222</v>
      </c>
      <c r="AG208" s="2">
        <f t="shared" si="120"/>
        <v>0.48346636259977194</v>
      </c>
      <c r="AH208" s="2">
        <f t="shared" si="121"/>
        <v>0.27243066884176181</v>
      </c>
      <c r="AI208" s="2" t="str">
        <f t="shared" si="122"/>
        <v/>
      </c>
      <c r="AJ208" s="2" t="str">
        <f t="shared" si="123"/>
        <v/>
      </c>
      <c r="AK208" s="2" t="str">
        <f t="shared" si="124"/>
        <v/>
      </c>
      <c r="AL208" s="2" t="str">
        <f t="shared" si="125"/>
        <v/>
      </c>
      <c r="AM208" s="2" t="str">
        <f t="shared" si="126"/>
        <v/>
      </c>
      <c r="AN208" s="2" t="str">
        <f t="shared" si="127"/>
        <v/>
      </c>
      <c r="AO208" s="2" t="str">
        <f t="shared" si="128"/>
        <v/>
      </c>
      <c r="AP208" s="2" t="str">
        <f t="shared" si="129"/>
        <v/>
      </c>
      <c r="AQ208" s="2" t="str">
        <f t="shared" si="130"/>
        <v/>
      </c>
      <c r="AR208" s="2">
        <f t="shared" si="131"/>
        <v>0.58200652215614812</v>
      </c>
      <c r="AT208" s="2" t="str">
        <f t="shared" si="134"/>
        <v/>
      </c>
      <c r="AU208" s="2" t="str">
        <f t="shared" si="135"/>
        <v/>
      </c>
      <c r="AV208" s="143" t="str">
        <f t="shared" si="136"/>
        <v/>
      </c>
      <c r="AW208" s="143" t="str">
        <f t="shared" si="137"/>
        <v/>
      </c>
      <c r="AX208" s="143" t="str">
        <f t="shared" si="138"/>
        <v/>
      </c>
      <c r="AY208" s="143" t="str">
        <f t="shared" si="139"/>
        <v/>
      </c>
      <c r="AZ208" s="143" t="str">
        <f t="shared" si="140"/>
        <v/>
      </c>
      <c r="BA208" s="143" t="str">
        <f t="shared" si="141"/>
        <v/>
      </c>
      <c r="BB208" s="143" t="str">
        <f t="shared" si="142"/>
        <v/>
      </c>
      <c r="BC208" s="143" t="str">
        <f t="shared" si="143"/>
        <v/>
      </c>
      <c r="BD208" s="143" t="str">
        <f t="shared" si="144"/>
        <v/>
      </c>
      <c r="BF208" s="9">
        <f t="shared" si="132"/>
        <v>4.0888526549399384E-6</v>
      </c>
      <c r="BG208" s="9">
        <f t="shared" si="133"/>
        <v>0.99995848210819338</v>
      </c>
    </row>
    <row r="209" spans="2:59" x14ac:dyDescent="0.35">
      <c r="B209" s="3" t="s">
        <v>280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117"/>
        <v>0</v>
      </c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118"/>
        <v>0</v>
      </c>
      <c r="AF209" s="2" t="str">
        <f t="shared" si="119"/>
        <v/>
      </c>
      <c r="AG209" s="2" t="str">
        <f t="shared" si="120"/>
        <v/>
      </c>
      <c r="AH209" s="2" t="str">
        <f t="shared" si="121"/>
        <v/>
      </c>
      <c r="AI209" s="2" t="str">
        <f t="shared" si="122"/>
        <v/>
      </c>
      <c r="AJ209" s="2" t="str">
        <f t="shared" si="123"/>
        <v/>
      </c>
      <c r="AK209" s="2" t="str">
        <f t="shared" si="124"/>
        <v/>
      </c>
      <c r="AL209" s="2" t="str">
        <f t="shared" si="125"/>
        <v/>
      </c>
      <c r="AM209" s="2" t="str">
        <f t="shared" si="126"/>
        <v/>
      </c>
      <c r="AN209" s="2" t="str">
        <f t="shared" si="127"/>
        <v/>
      </c>
      <c r="AO209" s="2" t="str">
        <f t="shared" si="128"/>
        <v/>
      </c>
      <c r="AP209" s="2" t="str">
        <f t="shared" si="129"/>
        <v/>
      </c>
      <c r="AQ209" s="2" t="str">
        <f t="shared" si="130"/>
        <v/>
      </c>
      <c r="AR209" s="2" t="str">
        <f t="shared" si="131"/>
        <v/>
      </c>
      <c r="AT209" s="2" t="str">
        <f t="shared" si="134"/>
        <v/>
      </c>
      <c r="AU209" s="2" t="str">
        <f t="shared" si="135"/>
        <v/>
      </c>
      <c r="AV209" s="143" t="str">
        <f t="shared" si="136"/>
        <v/>
      </c>
      <c r="AW209" s="143" t="str">
        <f t="shared" si="137"/>
        <v/>
      </c>
      <c r="AX209" s="143" t="str">
        <f t="shared" si="138"/>
        <v/>
      </c>
      <c r="AY209" s="143" t="str">
        <f t="shared" si="139"/>
        <v/>
      </c>
      <c r="AZ209" s="143" t="str">
        <f t="shared" si="140"/>
        <v/>
      </c>
      <c r="BA209" s="143" t="str">
        <f t="shared" si="141"/>
        <v/>
      </c>
      <c r="BB209" s="143" t="str">
        <f t="shared" si="142"/>
        <v/>
      </c>
      <c r="BC209" s="143" t="str">
        <f t="shared" si="143"/>
        <v/>
      </c>
      <c r="BD209" s="143" t="str">
        <f t="shared" si="144"/>
        <v/>
      </c>
      <c r="BF209" s="9">
        <f t="shared" si="132"/>
        <v>0</v>
      </c>
      <c r="BG209" s="9">
        <f t="shared" si="133"/>
        <v>0.99995848210819338</v>
      </c>
    </row>
    <row r="210" spans="2:59" x14ac:dyDescent="0.35">
      <c r="B210" s="3" t="s">
        <v>308</v>
      </c>
      <c r="D210" s="141">
        <v>735</v>
      </c>
      <c r="E210" s="141"/>
      <c r="F210" s="141"/>
      <c r="G210" s="141">
        <v>7140</v>
      </c>
      <c r="H210" s="141"/>
      <c r="I210" s="141"/>
      <c r="J210" s="141"/>
      <c r="K210" s="141"/>
      <c r="L210" s="141"/>
      <c r="M210" s="141"/>
      <c r="N210" s="141"/>
      <c r="O210" s="141"/>
      <c r="P210" s="141">
        <f t="shared" si="117"/>
        <v>7875</v>
      </c>
      <c r="R210" s="141">
        <v>735</v>
      </c>
      <c r="S210" s="141"/>
      <c r="T210" s="141"/>
      <c r="U210" s="141">
        <v>7140</v>
      </c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118"/>
        <v>7875</v>
      </c>
      <c r="AF210" s="2">
        <f t="shared" si="119"/>
        <v>1</v>
      </c>
      <c r="AG210" s="2" t="str">
        <f t="shared" si="120"/>
        <v/>
      </c>
      <c r="AH210" s="2" t="str">
        <f t="shared" si="121"/>
        <v/>
      </c>
      <c r="AI210" s="2">
        <f t="shared" si="122"/>
        <v>1</v>
      </c>
      <c r="AJ210" s="2" t="str">
        <f t="shared" si="123"/>
        <v/>
      </c>
      <c r="AK210" s="2" t="str">
        <f t="shared" si="124"/>
        <v/>
      </c>
      <c r="AL210" s="2" t="str">
        <f t="shared" si="125"/>
        <v/>
      </c>
      <c r="AM210" s="2" t="str">
        <f t="shared" si="126"/>
        <v/>
      </c>
      <c r="AN210" s="2" t="str">
        <f t="shared" si="127"/>
        <v/>
      </c>
      <c r="AO210" s="2" t="str">
        <f t="shared" si="128"/>
        <v/>
      </c>
      <c r="AP210" s="2" t="str">
        <f t="shared" si="129"/>
        <v/>
      </c>
      <c r="AQ210" s="2" t="str">
        <f t="shared" si="130"/>
        <v/>
      </c>
      <c r="AR210" s="2">
        <f t="shared" si="131"/>
        <v>1</v>
      </c>
      <c r="AT210" s="2" t="str">
        <f t="shared" si="134"/>
        <v/>
      </c>
      <c r="AU210" s="2" t="str">
        <f t="shared" si="135"/>
        <v/>
      </c>
      <c r="AV210" s="143" t="str">
        <f t="shared" si="136"/>
        <v/>
      </c>
      <c r="AW210" s="143" t="str">
        <f t="shared" si="137"/>
        <v/>
      </c>
      <c r="AX210" s="143" t="str">
        <f t="shared" si="138"/>
        <v/>
      </c>
      <c r="AY210" s="143" t="str">
        <f t="shared" si="139"/>
        <v/>
      </c>
      <c r="AZ210" s="143" t="str">
        <f t="shared" si="140"/>
        <v/>
      </c>
      <c r="BA210" s="143" t="str">
        <f t="shared" si="141"/>
        <v/>
      </c>
      <c r="BB210" s="143" t="str">
        <f t="shared" si="142"/>
        <v/>
      </c>
      <c r="BC210" s="143" t="str">
        <f t="shared" si="143"/>
        <v/>
      </c>
      <c r="BD210" s="143" t="str">
        <f t="shared" si="144"/>
        <v/>
      </c>
      <c r="BF210" s="9">
        <f t="shared" si="132"/>
        <v>1.0612958028230724E-5</v>
      </c>
      <c r="BG210" s="9">
        <f t="shared" si="133"/>
        <v>0.99996909506622156</v>
      </c>
    </row>
    <row r="211" spans="2:59" x14ac:dyDescent="0.35">
      <c r="B211" s="3" t="s">
        <v>317</v>
      </c>
      <c r="D211" s="141">
        <v>1257</v>
      </c>
      <c r="E211" s="141">
        <v>1242</v>
      </c>
      <c r="F211" s="141">
        <v>3080</v>
      </c>
      <c r="G211" s="141">
        <v>21603</v>
      </c>
      <c r="H211" s="141"/>
      <c r="I211" s="141"/>
      <c r="J211" s="141"/>
      <c r="K211" s="141"/>
      <c r="L211" s="141"/>
      <c r="M211" s="141"/>
      <c r="N211" s="141"/>
      <c r="O211" s="141"/>
      <c r="P211" s="141">
        <f t="shared" si="117"/>
        <v>27182</v>
      </c>
      <c r="R211" s="141">
        <v>1257</v>
      </c>
      <c r="S211" s="141">
        <v>920</v>
      </c>
      <c r="T211" s="141">
        <v>2530</v>
      </c>
      <c r="U211" s="141">
        <v>18266</v>
      </c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118"/>
        <v>22973</v>
      </c>
      <c r="AF211" s="2">
        <f t="shared" si="119"/>
        <v>1</v>
      </c>
      <c r="AG211" s="2">
        <f t="shared" si="120"/>
        <v>0.7407407407407407</v>
      </c>
      <c r="AH211" s="2">
        <f t="shared" si="121"/>
        <v>0.8214285714285714</v>
      </c>
      <c r="AI211" s="2">
        <f t="shared" si="122"/>
        <v>0.8455307133268527</v>
      </c>
      <c r="AJ211" s="2" t="str">
        <f t="shared" si="123"/>
        <v/>
      </c>
      <c r="AK211" s="2" t="str">
        <f t="shared" si="124"/>
        <v/>
      </c>
      <c r="AL211" s="2" t="str">
        <f t="shared" si="125"/>
        <v/>
      </c>
      <c r="AM211" s="2" t="str">
        <f t="shared" si="126"/>
        <v/>
      </c>
      <c r="AN211" s="2" t="str">
        <f t="shared" si="127"/>
        <v/>
      </c>
      <c r="AO211" s="2" t="str">
        <f t="shared" si="128"/>
        <v/>
      </c>
      <c r="AP211" s="2" t="str">
        <f t="shared" si="129"/>
        <v/>
      </c>
      <c r="AQ211" s="2" t="str">
        <f t="shared" si="130"/>
        <v/>
      </c>
      <c r="AR211" s="2">
        <f t="shared" si="131"/>
        <v>0.84515488190714438</v>
      </c>
      <c r="AT211" s="2" t="str">
        <f t="shared" si="134"/>
        <v/>
      </c>
      <c r="AU211" s="2" t="str">
        <f t="shared" si="135"/>
        <v/>
      </c>
      <c r="AV211" s="143">
        <f t="shared" si="136"/>
        <v>2.4102141898281304E-2</v>
      </c>
      <c r="AW211" s="143" t="str">
        <f t="shared" si="137"/>
        <v/>
      </c>
      <c r="AX211" s="143" t="str">
        <f t="shared" si="138"/>
        <v/>
      </c>
      <c r="AY211" s="143" t="str">
        <f t="shared" si="139"/>
        <v/>
      </c>
      <c r="AZ211" s="143" t="str">
        <f t="shared" si="140"/>
        <v/>
      </c>
      <c r="BA211" s="143" t="str">
        <f t="shared" si="141"/>
        <v/>
      </c>
      <c r="BB211" s="143" t="str">
        <f t="shared" si="142"/>
        <v/>
      </c>
      <c r="BC211" s="143" t="str">
        <f t="shared" si="143"/>
        <v/>
      </c>
      <c r="BD211" s="143" t="str">
        <f t="shared" si="144"/>
        <v/>
      </c>
      <c r="BF211" s="9">
        <f t="shared" si="132"/>
        <v>3.0960188543815165E-5</v>
      </c>
      <c r="BG211" s="9">
        <f t="shared" si="133"/>
        <v>1.0000000552547654</v>
      </c>
    </row>
    <row r="212" spans="2:59" x14ac:dyDescent="0.35">
      <c r="B212" s="3" t="s">
        <v>293</v>
      </c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117"/>
        <v>0</v>
      </c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118"/>
        <v>0</v>
      </c>
      <c r="AF212" s="2" t="str">
        <f t="shared" si="119"/>
        <v/>
      </c>
      <c r="AG212" s="2" t="str">
        <f t="shared" si="120"/>
        <v/>
      </c>
      <c r="AH212" s="2" t="str">
        <f t="shared" si="121"/>
        <v/>
      </c>
      <c r="AI212" s="2" t="str">
        <f t="shared" si="122"/>
        <v/>
      </c>
      <c r="AJ212" s="2" t="str">
        <f t="shared" si="123"/>
        <v/>
      </c>
      <c r="AK212" s="2" t="str">
        <f t="shared" si="124"/>
        <v/>
      </c>
      <c r="AL212" s="2" t="str">
        <f t="shared" si="125"/>
        <v/>
      </c>
      <c r="AM212" s="2" t="str">
        <f t="shared" si="126"/>
        <v/>
      </c>
      <c r="AN212" s="2" t="str">
        <f t="shared" si="127"/>
        <v/>
      </c>
      <c r="AO212" s="2" t="str">
        <f t="shared" si="128"/>
        <v/>
      </c>
      <c r="AP212" s="2" t="str">
        <f t="shared" si="129"/>
        <v/>
      </c>
      <c r="AQ212" s="2" t="str">
        <f t="shared" si="130"/>
        <v/>
      </c>
      <c r="AR212" s="2" t="str">
        <f t="shared" si="131"/>
        <v/>
      </c>
      <c r="AT212" s="2" t="str">
        <f t="shared" si="134"/>
        <v/>
      </c>
      <c r="AU212" s="2" t="str">
        <f t="shared" si="135"/>
        <v/>
      </c>
      <c r="AV212" s="143" t="str">
        <f t="shared" si="136"/>
        <v/>
      </c>
      <c r="AW212" s="143" t="str">
        <f t="shared" si="137"/>
        <v/>
      </c>
      <c r="AX212" s="143" t="str">
        <f t="shared" si="138"/>
        <v/>
      </c>
      <c r="AY212" s="143" t="str">
        <f t="shared" si="139"/>
        <v/>
      </c>
      <c r="AZ212" s="143" t="str">
        <f t="shared" si="140"/>
        <v/>
      </c>
      <c r="BA212" s="143" t="str">
        <f t="shared" si="141"/>
        <v/>
      </c>
      <c r="BB212" s="143" t="str">
        <f t="shared" si="142"/>
        <v/>
      </c>
      <c r="BC212" s="143" t="str">
        <f t="shared" si="143"/>
        <v/>
      </c>
      <c r="BD212" s="143" t="str">
        <f t="shared" si="144"/>
        <v/>
      </c>
      <c r="BF212" s="9">
        <f t="shared" si="132"/>
        <v>0</v>
      </c>
      <c r="BG212" s="9">
        <f t="shared" si="133"/>
        <v>1.0000000552547654</v>
      </c>
    </row>
    <row r="213" spans="2:59" x14ac:dyDescent="0.35">
      <c r="B213" s="3" t="s">
        <v>287</v>
      </c>
      <c r="D213" s="141"/>
      <c r="E213" s="141"/>
      <c r="F213" s="141">
        <v>-16</v>
      </c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117"/>
        <v>-16</v>
      </c>
      <c r="R213" s="141"/>
      <c r="S213" s="141"/>
      <c r="T213" s="141">
        <v>-41</v>
      </c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118"/>
        <v>-41</v>
      </c>
      <c r="AF213" s="2" t="str">
        <f t="shared" si="119"/>
        <v/>
      </c>
      <c r="AG213" s="2" t="str">
        <f t="shared" si="120"/>
        <v/>
      </c>
      <c r="AH213" s="2">
        <f t="shared" si="121"/>
        <v>2.5625</v>
      </c>
      <c r="AI213" s="2" t="str">
        <f t="shared" si="122"/>
        <v/>
      </c>
      <c r="AJ213" s="2" t="str">
        <f t="shared" si="123"/>
        <v/>
      </c>
      <c r="AK213" s="2" t="str">
        <f t="shared" si="124"/>
        <v/>
      </c>
      <c r="AL213" s="2" t="str">
        <f t="shared" si="125"/>
        <v/>
      </c>
      <c r="AM213" s="2" t="str">
        <f t="shared" si="126"/>
        <v/>
      </c>
      <c r="AN213" s="2" t="str">
        <f t="shared" si="127"/>
        <v/>
      </c>
      <c r="AO213" s="2" t="str">
        <f t="shared" si="128"/>
        <v/>
      </c>
      <c r="AP213" s="2" t="str">
        <f t="shared" si="129"/>
        <v/>
      </c>
      <c r="AQ213" s="2" t="str">
        <f t="shared" si="130"/>
        <v/>
      </c>
      <c r="AR213" s="2">
        <f t="shared" si="131"/>
        <v>2.5625</v>
      </c>
      <c r="AT213" s="2"/>
      <c r="AU213" s="2"/>
      <c r="AV213" s="143"/>
      <c r="AW213" s="143"/>
      <c r="AX213" s="143"/>
      <c r="AY213" s="143"/>
      <c r="AZ213" s="143"/>
      <c r="BA213" s="143"/>
      <c r="BB213" s="143"/>
      <c r="BC213" s="143"/>
      <c r="BD213" s="143" t="str">
        <f>+IFERROR(AQ213-AP213,"")</f>
        <v/>
      </c>
      <c r="BF213" s="9">
        <f t="shared" si="132"/>
        <v>-5.5254765607296473E-8</v>
      </c>
      <c r="BG213" s="9">
        <f t="shared" si="133"/>
        <v>0.99999999999999978</v>
      </c>
    </row>
    <row r="214" spans="2:59" x14ac:dyDescent="0.35">
      <c r="B214" s="3" t="s">
        <v>314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117"/>
        <v>0</v>
      </c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118"/>
        <v>0</v>
      </c>
      <c r="AF214" s="2" t="str">
        <f t="shared" si="119"/>
        <v/>
      </c>
      <c r="AG214" s="2" t="str">
        <f t="shared" si="120"/>
        <v/>
      </c>
      <c r="AH214" s="2" t="str">
        <f t="shared" si="121"/>
        <v/>
      </c>
      <c r="AI214" s="2" t="str">
        <f t="shared" si="122"/>
        <v/>
      </c>
      <c r="AJ214" s="2" t="str">
        <f t="shared" si="123"/>
        <v/>
      </c>
      <c r="AK214" s="2" t="str">
        <f t="shared" si="124"/>
        <v/>
      </c>
      <c r="AL214" s="2" t="str">
        <f t="shared" si="125"/>
        <v/>
      </c>
      <c r="AM214" s="2" t="str">
        <f t="shared" si="126"/>
        <v/>
      </c>
      <c r="AN214" s="2" t="str">
        <f t="shared" si="127"/>
        <v/>
      </c>
      <c r="AO214" s="2" t="str">
        <f t="shared" si="128"/>
        <v/>
      </c>
      <c r="AP214" s="2" t="str">
        <f t="shared" si="129"/>
        <v/>
      </c>
      <c r="AQ214" s="2" t="str">
        <f t="shared" si="130"/>
        <v/>
      </c>
      <c r="AR214" s="2" t="str">
        <f t="shared" si="131"/>
        <v/>
      </c>
      <c r="AT214" s="2" t="str">
        <f>+IFERROR(AM214-AL214,"")</f>
        <v/>
      </c>
      <c r="AU214" s="2" t="str">
        <f>+IFERROR(AN214-AM214,"")</f>
        <v/>
      </c>
      <c r="AV214" s="143" t="str">
        <f t="shared" ref="AV214:BC214" si="145">+IFERROR(AI214-AH214,"")</f>
        <v/>
      </c>
      <c r="AW214" s="143" t="str">
        <f t="shared" si="145"/>
        <v/>
      </c>
      <c r="AX214" s="143" t="str">
        <f t="shared" si="145"/>
        <v/>
      </c>
      <c r="AY214" s="143" t="str">
        <f t="shared" si="145"/>
        <v/>
      </c>
      <c r="AZ214" s="143" t="str">
        <f t="shared" si="145"/>
        <v/>
      </c>
      <c r="BA214" s="143" t="str">
        <f t="shared" si="145"/>
        <v/>
      </c>
      <c r="BB214" s="143" t="str">
        <f t="shared" si="145"/>
        <v/>
      </c>
      <c r="BC214" s="143" t="str">
        <f t="shared" si="145"/>
        <v/>
      </c>
      <c r="BD214" s="143" t="str">
        <f>+IFERROR(AQ214-AP214,"")</f>
        <v/>
      </c>
      <c r="BF214" s="9">
        <f t="shared" si="132"/>
        <v>0</v>
      </c>
      <c r="BG214" s="9">
        <f t="shared" ref="BG214:BG256" si="146">+BF214+BG212</f>
        <v>1.0000000552547654</v>
      </c>
    </row>
    <row r="215" spans="2:59" x14ac:dyDescent="0.35">
      <c r="B215" s="3" t="s">
        <v>298</v>
      </c>
      <c r="D215" s="141">
        <v>7179</v>
      </c>
      <c r="E215" s="141">
        <v>17029</v>
      </c>
      <c r="F215" s="141">
        <v>8452</v>
      </c>
      <c r="G215" s="141">
        <v>36538</v>
      </c>
      <c r="H215" s="141"/>
      <c r="I215" s="141"/>
      <c r="J215" s="141"/>
      <c r="K215" s="141"/>
      <c r="L215" s="141"/>
      <c r="M215" s="141"/>
      <c r="N215" s="141"/>
      <c r="O215" s="141"/>
      <c r="P215" s="141">
        <f t="shared" si="117"/>
        <v>69198</v>
      </c>
      <c r="R215" s="141">
        <v>6780</v>
      </c>
      <c r="S215" s="141">
        <v>16016</v>
      </c>
      <c r="T215" s="141">
        <v>8452</v>
      </c>
      <c r="U215" s="141">
        <v>34095</v>
      </c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118"/>
        <v>65343</v>
      </c>
      <c r="AF215" s="2">
        <f t="shared" si="119"/>
        <v>0.94442122858336819</v>
      </c>
      <c r="AG215" s="2">
        <f t="shared" si="120"/>
        <v>0.94051324211638965</v>
      </c>
      <c r="AH215" s="2">
        <f t="shared" si="121"/>
        <v>1</v>
      </c>
      <c r="AI215" s="2">
        <f t="shared" si="122"/>
        <v>0.93313810279708798</v>
      </c>
      <c r="AJ215" s="2" t="str">
        <f t="shared" si="123"/>
        <v/>
      </c>
      <c r="AK215" s="2" t="str">
        <f t="shared" si="124"/>
        <v/>
      </c>
      <c r="AL215" s="2" t="str">
        <f t="shared" si="125"/>
        <v/>
      </c>
      <c r="AM215" s="2" t="str">
        <f t="shared" si="126"/>
        <v/>
      </c>
      <c r="AN215" s="2" t="str">
        <f t="shared" si="127"/>
        <v/>
      </c>
      <c r="AO215" s="2" t="str">
        <f t="shared" si="128"/>
        <v/>
      </c>
      <c r="AP215" s="2" t="str">
        <f t="shared" si="129"/>
        <v/>
      </c>
      <c r="AQ215" s="2" t="str">
        <f t="shared" si="130"/>
        <v/>
      </c>
      <c r="AR215" s="2">
        <f t="shared" si="131"/>
        <v>0.94429029740743953</v>
      </c>
      <c r="AT215" s="2"/>
      <c r="AU215" s="2"/>
      <c r="AV215" s="143"/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132"/>
        <v>8.8061271928721303E-5</v>
      </c>
      <c r="BG215" s="9">
        <f t="shared" si="146"/>
        <v>1.0000880612719285</v>
      </c>
    </row>
    <row r="216" spans="2:59" x14ac:dyDescent="0.35">
      <c r="B216" s="3" t="s">
        <v>299</v>
      </c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117"/>
        <v>0</v>
      </c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118"/>
        <v>0</v>
      </c>
      <c r="AF216" s="2" t="str">
        <f t="shared" si="119"/>
        <v/>
      </c>
      <c r="AG216" s="2" t="str">
        <f t="shared" si="120"/>
        <v/>
      </c>
      <c r="AH216" s="2" t="str">
        <f t="shared" si="121"/>
        <v/>
      </c>
      <c r="AI216" s="2" t="str">
        <f t="shared" si="122"/>
        <v/>
      </c>
      <c r="AJ216" s="2" t="str">
        <f t="shared" si="123"/>
        <v/>
      </c>
      <c r="AK216" s="2" t="str">
        <f t="shared" si="124"/>
        <v/>
      </c>
      <c r="AL216" s="2" t="str">
        <f t="shared" si="125"/>
        <v/>
      </c>
      <c r="AM216" s="2" t="str">
        <f t="shared" si="126"/>
        <v/>
      </c>
      <c r="AN216" s="2" t="str">
        <f t="shared" si="127"/>
        <v/>
      </c>
      <c r="AO216" s="2" t="str">
        <f t="shared" si="128"/>
        <v/>
      </c>
      <c r="AP216" s="2" t="str">
        <f t="shared" si="129"/>
        <v/>
      </c>
      <c r="AQ216" s="2" t="str">
        <f t="shared" si="130"/>
        <v/>
      </c>
      <c r="AR216" s="2" t="str">
        <f t="shared" si="131"/>
        <v/>
      </c>
      <c r="AT216" s="2"/>
      <c r="AU216" s="2"/>
      <c r="AV216" s="143"/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132"/>
        <v>0</v>
      </c>
      <c r="BG216" s="9">
        <f t="shared" si="146"/>
        <v>1.0000000552547654</v>
      </c>
    </row>
    <row r="217" spans="2:59" x14ac:dyDescent="0.35">
      <c r="B217" s="3" t="s">
        <v>300</v>
      </c>
      <c r="D217" s="141">
        <v>29423</v>
      </c>
      <c r="E217" s="141">
        <v>31699</v>
      </c>
      <c r="F217" s="141">
        <v>64700</v>
      </c>
      <c r="G217" s="141">
        <v>13209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117"/>
        <v>139031</v>
      </c>
      <c r="R217" s="141">
        <v>11892</v>
      </c>
      <c r="S217" s="141">
        <v>27994</v>
      </c>
      <c r="T217" s="141">
        <v>48818</v>
      </c>
      <c r="U217" s="141">
        <v>5395</v>
      </c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118"/>
        <v>94099</v>
      </c>
      <c r="AF217" s="2">
        <f t="shared" si="119"/>
        <v>0.40417360568262922</v>
      </c>
      <c r="AG217" s="2">
        <f t="shared" si="120"/>
        <v>0.88311934130414205</v>
      </c>
      <c r="AH217" s="2">
        <f t="shared" si="121"/>
        <v>0.75452859350850077</v>
      </c>
      <c r="AI217" s="2">
        <f t="shared" si="122"/>
        <v>0.40843364372776136</v>
      </c>
      <c r="AJ217" s="2" t="str">
        <f t="shared" si="123"/>
        <v/>
      </c>
      <c r="AK217" s="2" t="str">
        <f t="shared" si="124"/>
        <v/>
      </c>
      <c r="AL217" s="2" t="str">
        <f t="shared" si="125"/>
        <v/>
      </c>
      <c r="AM217" s="2" t="str">
        <f t="shared" si="126"/>
        <v/>
      </c>
      <c r="AN217" s="2" t="str">
        <f t="shared" si="127"/>
        <v/>
      </c>
      <c r="AO217" s="2" t="str">
        <f t="shared" si="128"/>
        <v/>
      </c>
      <c r="AP217" s="2" t="str">
        <f t="shared" si="129"/>
        <v/>
      </c>
      <c r="AQ217" s="2" t="str">
        <f t="shared" si="130"/>
        <v/>
      </c>
      <c r="AR217" s="2">
        <f t="shared" si="131"/>
        <v>0.67682027749207008</v>
      </c>
      <c r="AT217" s="2"/>
      <c r="AU217" s="2"/>
      <c r="AV217" s="143"/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132"/>
        <v>1.2681507777758514E-4</v>
      </c>
      <c r="BG217" s="9">
        <f t="shared" si="146"/>
        <v>1.0002148763497061</v>
      </c>
    </row>
    <row r="218" spans="2:59" x14ac:dyDescent="0.35">
      <c r="B218" s="3" t="s">
        <v>301</v>
      </c>
      <c r="D218" s="141"/>
      <c r="E218" s="141"/>
      <c r="F218" s="141"/>
      <c r="G218" s="141">
        <v>6015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117"/>
        <v>6015</v>
      </c>
      <c r="R218" s="141"/>
      <c r="S218" s="141"/>
      <c r="T218" s="141"/>
      <c r="U218" s="141">
        <v>6015</v>
      </c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118"/>
        <v>6015</v>
      </c>
      <c r="AF218" s="2" t="str">
        <f t="shared" si="119"/>
        <v/>
      </c>
      <c r="AG218" s="2" t="str">
        <f t="shared" si="120"/>
        <v/>
      </c>
      <c r="AH218" s="2" t="str">
        <f t="shared" si="121"/>
        <v/>
      </c>
      <c r="AI218" s="2">
        <f t="shared" si="122"/>
        <v>1</v>
      </c>
      <c r="AJ218" s="2" t="str">
        <f t="shared" si="123"/>
        <v/>
      </c>
      <c r="AK218" s="2" t="str">
        <f t="shared" si="124"/>
        <v/>
      </c>
      <c r="AL218" s="2" t="str">
        <f t="shared" si="125"/>
        <v/>
      </c>
      <c r="AM218" s="2" t="str">
        <f t="shared" si="126"/>
        <v/>
      </c>
      <c r="AN218" s="2" t="str">
        <f t="shared" si="127"/>
        <v/>
      </c>
      <c r="AO218" s="2" t="str">
        <f t="shared" si="128"/>
        <v/>
      </c>
      <c r="AP218" s="2" t="str">
        <f t="shared" si="129"/>
        <v/>
      </c>
      <c r="AQ218" s="2" t="str">
        <f t="shared" si="130"/>
        <v/>
      </c>
      <c r="AR218" s="2">
        <f t="shared" si="131"/>
        <v>1</v>
      </c>
      <c r="AT218" s="2"/>
      <c r="AU218" s="2"/>
      <c r="AV218" s="143"/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132"/>
        <v>8.106278417753372E-6</v>
      </c>
      <c r="BG218" s="9">
        <f t="shared" si="146"/>
        <v>1.0000081615331833</v>
      </c>
    </row>
    <row r="219" spans="2:59" x14ac:dyDescent="0.35">
      <c r="B219" s="3" t="s">
        <v>302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117"/>
        <v>0</v>
      </c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118"/>
        <v>0</v>
      </c>
      <c r="AF219" s="2" t="str">
        <f t="shared" si="119"/>
        <v/>
      </c>
      <c r="AG219" s="2" t="str">
        <f t="shared" si="120"/>
        <v/>
      </c>
      <c r="AH219" s="2" t="str">
        <f t="shared" si="121"/>
        <v/>
      </c>
      <c r="AI219" s="2" t="str">
        <f t="shared" si="122"/>
        <v/>
      </c>
      <c r="AJ219" s="2" t="str">
        <f t="shared" si="123"/>
        <v/>
      </c>
      <c r="AK219" s="2" t="str">
        <f t="shared" si="124"/>
        <v/>
      </c>
      <c r="AL219" s="2" t="str">
        <f t="shared" si="125"/>
        <v/>
      </c>
      <c r="AM219" s="2" t="str">
        <f t="shared" si="126"/>
        <v/>
      </c>
      <c r="AN219" s="2" t="str">
        <f t="shared" si="127"/>
        <v/>
      </c>
      <c r="AO219" s="2" t="str">
        <f t="shared" si="128"/>
        <v/>
      </c>
      <c r="AP219" s="2" t="str">
        <f t="shared" si="129"/>
        <v/>
      </c>
      <c r="AQ219" s="2" t="str">
        <f t="shared" si="130"/>
        <v/>
      </c>
      <c r="AR219" s="2" t="str">
        <f t="shared" si="131"/>
        <v/>
      </c>
      <c r="AT219" s="2"/>
      <c r="AU219" s="2"/>
      <c r="AV219" s="143"/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132"/>
        <v>0</v>
      </c>
      <c r="BG219" s="9">
        <f t="shared" si="146"/>
        <v>1.0002148763497061</v>
      </c>
    </row>
    <row r="220" spans="2:59" x14ac:dyDescent="0.35">
      <c r="B220" s="3" t="s">
        <v>303</v>
      </c>
      <c r="D220" s="141">
        <v>2497</v>
      </c>
      <c r="E220" s="141">
        <v>877</v>
      </c>
      <c r="F220" s="141">
        <v>1839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117"/>
        <v>5213</v>
      </c>
      <c r="R220" s="141">
        <v>2109</v>
      </c>
      <c r="S220" s="141">
        <v>424</v>
      </c>
      <c r="T220" s="141">
        <v>501</v>
      </c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118"/>
        <v>3034</v>
      </c>
      <c r="AF220" s="2">
        <f t="shared" si="119"/>
        <v>0.84461353624349222</v>
      </c>
      <c r="AG220" s="2">
        <f t="shared" si="120"/>
        <v>0.48346636259977194</v>
      </c>
      <c r="AH220" s="2">
        <f t="shared" si="121"/>
        <v>0.27243066884176181</v>
      </c>
      <c r="AI220" s="2" t="str">
        <f t="shared" si="122"/>
        <v/>
      </c>
      <c r="AJ220" s="2" t="str">
        <f t="shared" si="123"/>
        <v/>
      </c>
      <c r="AK220" s="2" t="str">
        <f t="shared" si="124"/>
        <v/>
      </c>
      <c r="AL220" s="2" t="str">
        <f t="shared" si="125"/>
        <v/>
      </c>
      <c r="AM220" s="2" t="str">
        <f t="shared" si="126"/>
        <v/>
      </c>
      <c r="AN220" s="2" t="str">
        <f t="shared" si="127"/>
        <v/>
      </c>
      <c r="AO220" s="2" t="str">
        <f t="shared" si="128"/>
        <v/>
      </c>
      <c r="AP220" s="2" t="str">
        <f t="shared" si="129"/>
        <v/>
      </c>
      <c r="AQ220" s="2" t="str">
        <f t="shared" si="130"/>
        <v/>
      </c>
      <c r="AR220" s="2">
        <f t="shared" si="131"/>
        <v>0.58200652215614812</v>
      </c>
      <c r="AT220" s="2"/>
      <c r="AU220" s="2"/>
      <c r="AV220" s="143"/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132"/>
        <v>4.0888526549399384E-6</v>
      </c>
      <c r="BG220" s="9">
        <f t="shared" si="146"/>
        <v>1.0000122503858382</v>
      </c>
    </row>
    <row r="221" spans="2:59" x14ac:dyDescent="0.35">
      <c r="B221" s="3" t="s">
        <v>304</v>
      </c>
      <c r="D221" s="141">
        <v>799</v>
      </c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117"/>
        <v>799</v>
      </c>
      <c r="R221" s="141">
        <v>799</v>
      </c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118"/>
        <v>799</v>
      </c>
      <c r="AF221" s="2">
        <f t="shared" si="119"/>
        <v>1</v>
      </c>
      <c r="AG221" s="2" t="str">
        <f t="shared" si="120"/>
        <v/>
      </c>
      <c r="AH221" s="2" t="str">
        <f t="shared" si="121"/>
        <v/>
      </c>
      <c r="AI221" s="2" t="str">
        <f t="shared" si="122"/>
        <v/>
      </c>
      <c r="AJ221" s="2" t="str">
        <f t="shared" si="123"/>
        <v/>
      </c>
      <c r="AK221" s="2" t="str">
        <f t="shared" si="124"/>
        <v/>
      </c>
      <c r="AL221" s="2" t="str">
        <f t="shared" si="125"/>
        <v/>
      </c>
      <c r="AM221" s="2" t="str">
        <f t="shared" si="126"/>
        <v/>
      </c>
      <c r="AN221" s="2" t="str">
        <f t="shared" si="127"/>
        <v/>
      </c>
      <c r="AO221" s="2" t="str">
        <f t="shared" si="128"/>
        <v/>
      </c>
      <c r="AP221" s="2" t="str">
        <f t="shared" si="129"/>
        <v/>
      </c>
      <c r="AQ221" s="2" t="str">
        <f t="shared" si="130"/>
        <v/>
      </c>
      <c r="AR221" s="2">
        <f t="shared" si="131"/>
        <v>1</v>
      </c>
      <c r="AT221" s="2"/>
      <c r="AU221" s="2"/>
      <c r="AV221" s="143"/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132"/>
        <v>1.0767940907373142E-6</v>
      </c>
      <c r="BG221" s="9">
        <f t="shared" si="146"/>
        <v>1.0002159531437969</v>
      </c>
    </row>
    <row r="222" spans="2:59" x14ac:dyDescent="0.35">
      <c r="B222" s="3" t="s">
        <v>305</v>
      </c>
      <c r="D222" s="141">
        <v>41991</v>
      </c>
      <c r="E222" s="141">
        <v>63170</v>
      </c>
      <c r="F222" s="141">
        <v>73461</v>
      </c>
      <c r="G222" s="141">
        <v>53133</v>
      </c>
      <c r="H222" s="141"/>
      <c r="I222" s="141"/>
      <c r="J222" s="141"/>
      <c r="K222" s="141"/>
      <c r="L222" s="141"/>
      <c r="M222" s="141"/>
      <c r="N222" s="141"/>
      <c r="O222" s="141"/>
      <c r="P222" s="141">
        <f t="shared" si="117"/>
        <v>231755</v>
      </c>
      <c r="R222" s="141">
        <v>23973</v>
      </c>
      <c r="S222" s="141">
        <v>47668</v>
      </c>
      <c r="T222" s="141">
        <v>48322</v>
      </c>
      <c r="U222" s="141">
        <v>39586</v>
      </c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118"/>
        <v>159549</v>
      </c>
      <c r="AF222" s="2">
        <f t="shared" si="119"/>
        <v>0.57090805172536974</v>
      </c>
      <c r="AG222" s="2">
        <f t="shared" si="120"/>
        <v>0.75459870191546619</v>
      </c>
      <c r="AH222" s="2">
        <f t="shared" si="121"/>
        <v>0.65779120894079857</v>
      </c>
      <c r="AI222" s="2">
        <f t="shared" si="122"/>
        <v>0.74503604163137782</v>
      </c>
      <c r="AJ222" s="2" t="str">
        <f t="shared" si="123"/>
        <v/>
      </c>
      <c r="AK222" s="2" t="str">
        <f t="shared" si="124"/>
        <v/>
      </c>
      <c r="AL222" s="2" t="str">
        <f t="shared" si="125"/>
        <v/>
      </c>
      <c r="AM222" s="2" t="str">
        <f t="shared" si="126"/>
        <v/>
      </c>
      <c r="AN222" s="2" t="str">
        <f t="shared" si="127"/>
        <v/>
      </c>
      <c r="AO222" s="2" t="str">
        <f t="shared" si="128"/>
        <v/>
      </c>
      <c r="AP222" s="2" t="str">
        <f t="shared" si="129"/>
        <v/>
      </c>
      <c r="AQ222" s="2" t="str">
        <f t="shared" si="130"/>
        <v/>
      </c>
      <c r="AR222" s="2">
        <f t="shared" si="131"/>
        <v>0.68843822139759658</v>
      </c>
      <c r="AT222" s="2"/>
      <c r="AU222" s="2"/>
      <c r="AV222" s="143"/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132"/>
        <v>2.1502055116776937E-4</v>
      </c>
      <c r="BG222" s="9">
        <f t="shared" si="146"/>
        <v>1.0002272709370059</v>
      </c>
    </row>
    <row r="223" spans="2:59" x14ac:dyDescent="0.35">
      <c r="B223" s="3" t="s">
        <v>306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117"/>
        <v>0</v>
      </c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118"/>
        <v>0</v>
      </c>
      <c r="AF223" s="2" t="str">
        <f t="shared" si="119"/>
        <v/>
      </c>
      <c r="AG223" s="2" t="str">
        <f t="shared" si="120"/>
        <v/>
      </c>
      <c r="AH223" s="2" t="str">
        <f t="shared" si="121"/>
        <v/>
      </c>
      <c r="AI223" s="2" t="str">
        <f t="shared" si="122"/>
        <v/>
      </c>
      <c r="AJ223" s="2" t="str">
        <f t="shared" si="123"/>
        <v/>
      </c>
      <c r="AK223" s="2" t="str">
        <f t="shared" si="124"/>
        <v/>
      </c>
      <c r="AL223" s="2" t="str">
        <f t="shared" si="125"/>
        <v/>
      </c>
      <c r="AM223" s="2" t="str">
        <f t="shared" si="126"/>
        <v/>
      </c>
      <c r="AN223" s="2" t="str">
        <f t="shared" si="127"/>
        <v/>
      </c>
      <c r="AO223" s="2" t="str">
        <f t="shared" si="128"/>
        <v/>
      </c>
      <c r="AP223" s="2" t="str">
        <f t="shared" si="129"/>
        <v/>
      </c>
      <c r="AQ223" s="2" t="str">
        <f t="shared" si="130"/>
        <v/>
      </c>
      <c r="AR223" s="2" t="str">
        <f t="shared" si="131"/>
        <v/>
      </c>
      <c r="AT223" s="2"/>
      <c r="AU223" s="2"/>
      <c r="AV223" s="143"/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132"/>
        <v>0</v>
      </c>
      <c r="BG223" s="9">
        <f t="shared" si="146"/>
        <v>1.0002159531437969</v>
      </c>
    </row>
    <row r="224" spans="2:59" x14ac:dyDescent="0.35">
      <c r="B224" s="3" t="s">
        <v>307</v>
      </c>
      <c r="D224" s="141">
        <v>396</v>
      </c>
      <c r="E224" s="141">
        <v>223</v>
      </c>
      <c r="F224" s="141">
        <v>350</v>
      </c>
      <c r="G224" s="141">
        <v>250</v>
      </c>
      <c r="H224" s="141"/>
      <c r="I224" s="141"/>
      <c r="J224" s="141"/>
      <c r="K224" s="141"/>
      <c r="L224" s="141"/>
      <c r="M224" s="141"/>
      <c r="N224" s="141"/>
      <c r="O224" s="141"/>
      <c r="P224" s="141">
        <f t="shared" si="117"/>
        <v>1219</v>
      </c>
      <c r="R224" s="141">
        <v>297</v>
      </c>
      <c r="S224" s="141">
        <v>198</v>
      </c>
      <c r="T224" s="141">
        <v>350</v>
      </c>
      <c r="U224" s="141">
        <v>250</v>
      </c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118"/>
        <v>1095</v>
      </c>
      <c r="AF224" s="2">
        <f t="shared" si="119"/>
        <v>0.75</v>
      </c>
      <c r="AG224" s="2">
        <f t="shared" si="120"/>
        <v>0.88789237668161436</v>
      </c>
      <c r="AH224" s="2">
        <f t="shared" si="121"/>
        <v>1</v>
      </c>
      <c r="AI224" s="2">
        <f t="shared" si="122"/>
        <v>1</v>
      </c>
      <c r="AJ224" s="2" t="str">
        <f t="shared" si="123"/>
        <v/>
      </c>
      <c r="AK224" s="2" t="str">
        <f t="shared" si="124"/>
        <v/>
      </c>
      <c r="AL224" s="2" t="str">
        <f t="shared" si="125"/>
        <v/>
      </c>
      <c r="AM224" s="2" t="str">
        <f t="shared" si="126"/>
        <v/>
      </c>
      <c r="AN224" s="2" t="str">
        <f t="shared" si="127"/>
        <v/>
      </c>
      <c r="AO224" s="2" t="str">
        <f t="shared" si="128"/>
        <v/>
      </c>
      <c r="AP224" s="2" t="str">
        <f t="shared" si="129"/>
        <v/>
      </c>
      <c r="AQ224" s="2" t="str">
        <f t="shared" si="130"/>
        <v/>
      </c>
      <c r="AR224" s="2">
        <f t="shared" si="131"/>
        <v>0.89827727645611155</v>
      </c>
      <c r="AT224" s="2"/>
      <c r="AU224" s="2"/>
      <c r="AV224" s="143"/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132"/>
        <v>1.4757065448777961E-6</v>
      </c>
      <c r="BG224" s="9">
        <f t="shared" si="146"/>
        <v>1.0002287466435509</v>
      </c>
    </row>
    <row r="225" spans="2:59" x14ac:dyDescent="0.35">
      <c r="B225" s="3" t="s">
        <v>308</v>
      </c>
      <c r="D225" s="141">
        <v>735</v>
      </c>
      <c r="E225" s="141"/>
      <c r="F225" s="141"/>
      <c r="G225" s="141">
        <v>7140</v>
      </c>
      <c r="H225" s="141"/>
      <c r="I225" s="141"/>
      <c r="J225" s="141"/>
      <c r="K225" s="141"/>
      <c r="L225" s="141"/>
      <c r="M225" s="141"/>
      <c r="N225" s="141"/>
      <c r="O225" s="141"/>
      <c r="P225" s="141">
        <f t="shared" si="117"/>
        <v>7875</v>
      </c>
      <c r="R225" s="141">
        <v>735</v>
      </c>
      <c r="S225" s="141"/>
      <c r="T225" s="141"/>
      <c r="U225" s="141">
        <v>7140</v>
      </c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118"/>
        <v>7875</v>
      </c>
      <c r="AF225" s="2">
        <f t="shared" si="119"/>
        <v>1</v>
      </c>
      <c r="AG225" s="2" t="str">
        <f t="shared" si="120"/>
        <v/>
      </c>
      <c r="AH225" s="2" t="str">
        <f t="shared" si="121"/>
        <v/>
      </c>
      <c r="AI225" s="2">
        <f t="shared" si="122"/>
        <v>1</v>
      </c>
      <c r="AJ225" s="2" t="str">
        <f t="shared" si="123"/>
        <v/>
      </c>
      <c r="AK225" s="2" t="str">
        <f t="shared" si="124"/>
        <v/>
      </c>
      <c r="AL225" s="2" t="str">
        <f t="shared" si="125"/>
        <v/>
      </c>
      <c r="AM225" s="2" t="str">
        <f t="shared" si="126"/>
        <v/>
      </c>
      <c r="AN225" s="2" t="str">
        <f t="shared" si="127"/>
        <v/>
      </c>
      <c r="AO225" s="2" t="str">
        <f t="shared" si="128"/>
        <v/>
      </c>
      <c r="AP225" s="2" t="str">
        <f t="shared" si="129"/>
        <v/>
      </c>
      <c r="AQ225" s="2" t="str">
        <f t="shared" si="130"/>
        <v/>
      </c>
      <c r="AR225" s="2">
        <f t="shared" si="131"/>
        <v>1</v>
      </c>
      <c r="AT225" s="2"/>
      <c r="AU225" s="2"/>
      <c r="AV225" s="143"/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132"/>
        <v>1.0612958028230724E-5</v>
      </c>
      <c r="BG225" s="9">
        <f t="shared" si="146"/>
        <v>1.000226566101825</v>
      </c>
    </row>
    <row r="226" spans="2:59" x14ac:dyDescent="0.35">
      <c r="B226" s="3" t="s">
        <v>309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117"/>
        <v>0</v>
      </c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118"/>
        <v>0</v>
      </c>
      <c r="AF226" s="2" t="str">
        <f t="shared" si="119"/>
        <v/>
      </c>
      <c r="AG226" s="2" t="str">
        <f t="shared" si="120"/>
        <v/>
      </c>
      <c r="AH226" s="2" t="str">
        <f t="shared" si="121"/>
        <v/>
      </c>
      <c r="AI226" s="2" t="str">
        <f t="shared" si="122"/>
        <v/>
      </c>
      <c r="AJ226" s="2" t="str">
        <f t="shared" si="123"/>
        <v/>
      </c>
      <c r="AK226" s="2" t="str">
        <f t="shared" si="124"/>
        <v/>
      </c>
      <c r="AL226" s="2" t="str">
        <f t="shared" si="125"/>
        <v/>
      </c>
      <c r="AM226" s="2" t="str">
        <f t="shared" si="126"/>
        <v/>
      </c>
      <c r="AN226" s="2" t="str">
        <f t="shared" si="127"/>
        <v/>
      </c>
      <c r="AO226" s="2" t="str">
        <f t="shared" si="128"/>
        <v/>
      </c>
      <c r="AP226" s="2" t="str">
        <f t="shared" si="129"/>
        <v/>
      </c>
      <c r="AQ226" s="2" t="str">
        <f t="shared" si="130"/>
        <v/>
      </c>
      <c r="AR226" s="2" t="str">
        <f t="shared" si="131"/>
        <v/>
      </c>
      <c r="AT226" s="2"/>
      <c r="AU226" s="2"/>
      <c r="AV226" s="143"/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132"/>
        <v>0</v>
      </c>
      <c r="BG226" s="9">
        <f t="shared" si="146"/>
        <v>1.0002287466435509</v>
      </c>
    </row>
    <row r="227" spans="2:59" x14ac:dyDescent="0.35">
      <c r="B227" s="3" t="s">
        <v>310</v>
      </c>
      <c r="D227" s="141">
        <v>16112</v>
      </c>
      <c r="E227" s="141">
        <v>1416</v>
      </c>
      <c r="F227" s="141">
        <v>9299</v>
      </c>
      <c r="G227" s="141">
        <v>618</v>
      </c>
      <c r="H227" s="141"/>
      <c r="I227" s="141"/>
      <c r="J227" s="141"/>
      <c r="K227" s="141"/>
      <c r="L227" s="141"/>
      <c r="M227" s="141"/>
      <c r="N227" s="141"/>
      <c r="O227" s="141"/>
      <c r="P227" s="141">
        <f t="shared" si="117"/>
        <v>27445</v>
      </c>
      <c r="R227" s="141">
        <v>13077</v>
      </c>
      <c r="S227" s="141">
        <v>418</v>
      </c>
      <c r="T227" s="141">
        <v>7850</v>
      </c>
      <c r="U227" s="141">
        <v>618</v>
      </c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118"/>
        <v>21963</v>
      </c>
      <c r="AF227" s="2">
        <f t="shared" si="119"/>
        <v>0.81163108242303872</v>
      </c>
      <c r="AG227" s="2">
        <f t="shared" si="120"/>
        <v>0.29519774011299438</v>
      </c>
      <c r="AH227" s="2">
        <f t="shared" si="121"/>
        <v>0.84417679320357031</v>
      </c>
      <c r="AI227" s="2">
        <f t="shared" si="122"/>
        <v>1</v>
      </c>
      <c r="AJ227" s="2" t="str">
        <f t="shared" si="123"/>
        <v/>
      </c>
      <c r="AK227" s="2" t="str">
        <f t="shared" si="124"/>
        <v/>
      </c>
      <c r="AL227" s="2" t="str">
        <f t="shared" si="125"/>
        <v/>
      </c>
      <c r="AM227" s="2" t="str">
        <f t="shared" si="126"/>
        <v/>
      </c>
      <c r="AN227" s="2" t="str">
        <f t="shared" si="127"/>
        <v/>
      </c>
      <c r="AO227" s="2" t="str">
        <f t="shared" si="128"/>
        <v/>
      </c>
      <c r="AP227" s="2" t="str">
        <f t="shared" si="129"/>
        <v/>
      </c>
      <c r="AQ227" s="2" t="str">
        <f t="shared" si="130"/>
        <v/>
      </c>
      <c r="AR227" s="2">
        <f t="shared" si="131"/>
        <v>0.80025505556567678</v>
      </c>
      <c r="AT227" s="2"/>
      <c r="AU227" s="2"/>
      <c r="AV227" s="143"/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132"/>
        <v>2.9599034561781767E-5</v>
      </c>
      <c r="BG227" s="9">
        <f t="shared" si="146"/>
        <v>1.0002561651363868</v>
      </c>
    </row>
    <row r="228" spans="2:59" x14ac:dyDescent="0.35">
      <c r="B228" s="3" t="s">
        <v>311</v>
      </c>
      <c r="D228" s="141">
        <v>742</v>
      </c>
      <c r="E228" s="141"/>
      <c r="F228" s="141">
        <v>724</v>
      </c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117"/>
        <v>1466</v>
      </c>
      <c r="R228" s="141">
        <v>555</v>
      </c>
      <c r="S228" s="141"/>
      <c r="T228" s="141">
        <v>502</v>
      </c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118"/>
        <v>1057</v>
      </c>
      <c r="AF228" s="2">
        <f t="shared" si="119"/>
        <v>0.74797843665768193</v>
      </c>
      <c r="AG228" s="2" t="str">
        <f t="shared" si="120"/>
        <v/>
      </c>
      <c r="AH228" s="2">
        <f t="shared" si="121"/>
        <v>0.6933701657458563</v>
      </c>
      <c r="AI228" s="2" t="str">
        <f t="shared" si="122"/>
        <v/>
      </c>
      <c r="AJ228" s="2" t="str">
        <f t="shared" si="123"/>
        <v/>
      </c>
      <c r="AK228" s="2" t="str">
        <f t="shared" si="124"/>
        <v/>
      </c>
      <c r="AL228" s="2" t="str">
        <f t="shared" si="125"/>
        <v/>
      </c>
      <c r="AM228" s="2" t="str">
        <f t="shared" si="126"/>
        <v/>
      </c>
      <c r="AN228" s="2" t="str">
        <f t="shared" si="127"/>
        <v/>
      </c>
      <c r="AO228" s="2" t="str">
        <f t="shared" si="128"/>
        <v/>
      </c>
      <c r="AP228" s="2" t="str">
        <f t="shared" si="129"/>
        <v/>
      </c>
      <c r="AQ228" s="2" t="str">
        <f t="shared" si="130"/>
        <v/>
      </c>
      <c r="AR228" s="2">
        <f t="shared" si="131"/>
        <v>0.72100954979536158</v>
      </c>
      <c r="AT228" s="2"/>
      <c r="AU228" s="2"/>
      <c r="AV228" s="143"/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132"/>
        <v>1.4244948109003017E-6</v>
      </c>
      <c r="BG228" s="9">
        <f t="shared" si="146"/>
        <v>1.0002301711383619</v>
      </c>
    </row>
    <row r="229" spans="2:59" x14ac:dyDescent="0.35">
      <c r="B229" s="3" t="s">
        <v>312</v>
      </c>
      <c r="D229" s="141">
        <v>21609</v>
      </c>
      <c r="E229" s="141">
        <v>13135</v>
      </c>
      <c r="F229" s="141">
        <v>6418</v>
      </c>
      <c r="G229" s="141">
        <v>5807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117"/>
        <v>46969</v>
      </c>
      <c r="R229" s="141">
        <v>19809</v>
      </c>
      <c r="S229" s="141">
        <v>9894</v>
      </c>
      <c r="T229" s="141">
        <v>3686</v>
      </c>
      <c r="U229" s="141">
        <v>3622</v>
      </c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118"/>
        <v>37011</v>
      </c>
      <c r="AF229" s="2">
        <f t="shared" si="119"/>
        <v>0.91670137442732191</v>
      </c>
      <c r="AG229" s="2">
        <f t="shared" si="120"/>
        <v>0.75325466311381806</v>
      </c>
      <c r="AH229" s="2">
        <f t="shared" si="121"/>
        <v>0.57432221875973821</v>
      </c>
      <c r="AI229" s="2">
        <f t="shared" si="122"/>
        <v>0.62372998105734456</v>
      </c>
      <c r="AJ229" s="2" t="str">
        <f t="shared" si="123"/>
        <v/>
      </c>
      <c r="AK229" s="2" t="str">
        <f t="shared" si="124"/>
        <v/>
      </c>
      <c r="AL229" s="2" t="str">
        <f t="shared" si="125"/>
        <v/>
      </c>
      <c r="AM229" s="2" t="str">
        <f t="shared" si="126"/>
        <v/>
      </c>
      <c r="AN229" s="2" t="str">
        <f t="shared" si="127"/>
        <v/>
      </c>
      <c r="AO229" s="2" t="str">
        <f t="shared" si="128"/>
        <v/>
      </c>
      <c r="AP229" s="2" t="str">
        <f t="shared" si="129"/>
        <v/>
      </c>
      <c r="AQ229" s="2" t="str">
        <f t="shared" si="130"/>
        <v/>
      </c>
      <c r="AR229" s="2">
        <f t="shared" si="131"/>
        <v>0.78798782175477444</v>
      </c>
      <c r="AT229" s="2"/>
      <c r="AU229" s="2"/>
      <c r="AV229" s="143"/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132"/>
        <v>4.98788812168695E-5</v>
      </c>
      <c r="BG229" s="9">
        <f t="shared" si="146"/>
        <v>1.0003060440176037</v>
      </c>
    </row>
    <row r="230" spans="2:59" x14ac:dyDescent="0.35">
      <c r="B230" s="3" t="s">
        <v>313</v>
      </c>
      <c r="D230" s="141">
        <v>2887</v>
      </c>
      <c r="E230" s="141">
        <v>2905</v>
      </c>
      <c r="F230" s="141">
        <v>1170</v>
      </c>
      <c r="G230" s="141">
        <v>3422</v>
      </c>
      <c r="H230" s="141"/>
      <c r="I230" s="141"/>
      <c r="J230" s="141"/>
      <c r="K230" s="141"/>
      <c r="L230" s="141"/>
      <c r="M230" s="141"/>
      <c r="N230" s="141"/>
      <c r="O230" s="141"/>
      <c r="P230" s="141">
        <f t="shared" si="117"/>
        <v>10384</v>
      </c>
      <c r="R230" s="141">
        <v>1814</v>
      </c>
      <c r="S230" s="141">
        <v>1743</v>
      </c>
      <c r="T230" s="141">
        <v>909</v>
      </c>
      <c r="U230" s="141">
        <v>1924</v>
      </c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118"/>
        <v>6390</v>
      </c>
      <c r="AF230" s="2">
        <f t="shared" si="119"/>
        <v>0.628333910633876</v>
      </c>
      <c r="AG230" s="2">
        <f t="shared" si="120"/>
        <v>0.6</v>
      </c>
      <c r="AH230" s="2">
        <f t="shared" si="121"/>
        <v>0.77692307692307694</v>
      </c>
      <c r="AI230" s="2">
        <f t="shared" si="122"/>
        <v>0.56224430157802452</v>
      </c>
      <c r="AJ230" s="2" t="str">
        <f t="shared" si="123"/>
        <v/>
      </c>
      <c r="AK230" s="2" t="str">
        <f t="shared" si="124"/>
        <v/>
      </c>
      <c r="AL230" s="2" t="str">
        <f t="shared" si="125"/>
        <v/>
      </c>
      <c r="AM230" s="2" t="str">
        <f t="shared" si="126"/>
        <v/>
      </c>
      <c r="AN230" s="2" t="str">
        <f t="shared" si="127"/>
        <v/>
      </c>
      <c r="AO230" s="2" t="str">
        <f t="shared" si="128"/>
        <v/>
      </c>
      <c r="AP230" s="2" t="str">
        <f t="shared" si="129"/>
        <v/>
      </c>
      <c r="AQ230" s="2" t="str">
        <f t="shared" si="130"/>
        <v/>
      </c>
      <c r="AR230" s="2">
        <f t="shared" si="131"/>
        <v>0.61536979969183359</v>
      </c>
      <c r="AT230" s="2"/>
      <c r="AU230" s="2"/>
      <c r="AV230" s="143"/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132"/>
        <v>8.6116573714786453E-6</v>
      </c>
      <c r="BG230" s="9">
        <f t="shared" si="146"/>
        <v>1.0002387827957333</v>
      </c>
    </row>
    <row r="231" spans="2:59" x14ac:dyDescent="0.35">
      <c r="B231" s="3" t="s">
        <v>314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117"/>
        <v>0</v>
      </c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118"/>
        <v>0</v>
      </c>
      <c r="AF231" s="2" t="str">
        <f t="shared" si="119"/>
        <v/>
      </c>
      <c r="AG231" s="2" t="str">
        <f t="shared" si="120"/>
        <v/>
      </c>
      <c r="AH231" s="2" t="str">
        <f t="shared" si="121"/>
        <v/>
      </c>
      <c r="AI231" s="2" t="str">
        <f t="shared" si="122"/>
        <v/>
      </c>
      <c r="AJ231" s="2" t="str">
        <f t="shared" si="123"/>
        <v/>
      </c>
      <c r="AK231" s="2" t="str">
        <f t="shared" si="124"/>
        <v/>
      </c>
      <c r="AL231" s="2" t="str">
        <f t="shared" si="125"/>
        <v/>
      </c>
      <c r="AM231" s="2" t="str">
        <f t="shared" si="126"/>
        <v/>
      </c>
      <c r="AN231" s="2" t="str">
        <f t="shared" si="127"/>
        <v/>
      </c>
      <c r="AO231" s="2" t="str">
        <f t="shared" si="128"/>
        <v/>
      </c>
      <c r="AP231" s="2" t="str">
        <f t="shared" si="129"/>
        <v/>
      </c>
      <c r="AQ231" s="2" t="str">
        <f t="shared" si="130"/>
        <v/>
      </c>
      <c r="AR231" s="2" t="str">
        <f t="shared" si="131"/>
        <v/>
      </c>
      <c r="AT231" s="2"/>
      <c r="AU231" s="2"/>
      <c r="AV231" s="143"/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132"/>
        <v>0</v>
      </c>
      <c r="BG231" s="9">
        <f t="shared" si="146"/>
        <v>1.0003060440176037</v>
      </c>
    </row>
    <row r="232" spans="2:59" x14ac:dyDescent="0.35">
      <c r="B232" s="3" t="s">
        <v>315</v>
      </c>
      <c r="D232" s="141">
        <v>254</v>
      </c>
      <c r="E232" s="141"/>
      <c r="F232" s="141">
        <v>1100</v>
      </c>
      <c r="G232" s="141">
        <v>315</v>
      </c>
      <c r="H232" s="141"/>
      <c r="I232" s="141"/>
      <c r="J232" s="141"/>
      <c r="K232" s="141"/>
      <c r="L232" s="141"/>
      <c r="M232" s="141"/>
      <c r="N232" s="141"/>
      <c r="O232" s="141"/>
      <c r="P232" s="141">
        <f t="shared" si="117"/>
        <v>1669</v>
      </c>
      <c r="R232" s="141">
        <v>114</v>
      </c>
      <c r="S232" s="141"/>
      <c r="T232" s="141">
        <v>930</v>
      </c>
      <c r="U232" s="141">
        <v>315</v>
      </c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118"/>
        <v>1359</v>
      </c>
      <c r="AF232" s="2">
        <f t="shared" si="119"/>
        <v>0.44881889763779526</v>
      </c>
      <c r="AG232" s="2" t="str">
        <f t="shared" si="120"/>
        <v/>
      </c>
      <c r="AH232" s="2">
        <f t="shared" si="121"/>
        <v>0.84545454545454546</v>
      </c>
      <c r="AI232" s="2">
        <f t="shared" si="122"/>
        <v>1</v>
      </c>
      <c r="AJ232" s="2" t="str">
        <f t="shared" si="123"/>
        <v/>
      </c>
      <c r="AK232" s="2" t="str">
        <f t="shared" si="124"/>
        <v/>
      </c>
      <c r="AL232" s="2" t="str">
        <f t="shared" si="125"/>
        <v/>
      </c>
      <c r="AM232" s="2" t="str">
        <f t="shared" si="126"/>
        <v/>
      </c>
      <c r="AN232" s="2" t="str">
        <f t="shared" si="127"/>
        <v/>
      </c>
      <c r="AO232" s="2" t="str">
        <f t="shared" si="128"/>
        <v/>
      </c>
      <c r="AP232" s="2" t="str">
        <f t="shared" si="129"/>
        <v/>
      </c>
      <c r="AQ232" s="2" t="str">
        <f t="shared" si="130"/>
        <v/>
      </c>
      <c r="AR232" s="2">
        <f t="shared" si="131"/>
        <v>0.81426003594967045</v>
      </c>
      <c r="AT232" s="2"/>
      <c r="AU232" s="2"/>
      <c r="AV232" s="143"/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132"/>
        <v>1.8314933283003878E-6</v>
      </c>
      <c r="BG232" s="9">
        <f t="shared" si="146"/>
        <v>1.0002406142890616</v>
      </c>
    </row>
    <row r="233" spans="2:59" x14ac:dyDescent="0.35">
      <c r="B233" s="3" t="s">
        <v>316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117"/>
        <v>0</v>
      </c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118"/>
        <v>0</v>
      </c>
      <c r="AF233" s="2" t="str">
        <f t="shared" si="119"/>
        <v/>
      </c>
      <c r="AG233" s="2" t="str">
        <f t="shared" si="120"/>
        <v/>
      </c>
      <c r="AH233" s="2" t="str">
        <f t="shared" si="121"/>
        <v/>
      </c>
      <c r="AI233" s="2" t="str">
        <f t="shared" si="122"/>
        <v/>
      </c>
      <c r="AJ233" s="2" t="str">
        <f t="shared" si="123"/>
        <v/>
      </c>
      <c r="AK233" s="2" t="str">
        <f t="shared" si="124"/>
        <v/>
      </c>
      <c r="AL233" s="2" t="str">
        <f t="shared" si="125"/>
        <v/>
      </c>
      <c r="AM233" s="2" t="str">
        <f t="shared" si="126"/>
        <v/>
      </c>
      <c r="AN233" s="2" t="str">
        <f t="shared" si="127"/>
        <v/>
      </c>
      <c r="AO233" s="2" t="str">
        <f t="shared" si="128"/>
        <v/>
      </c>
      <c r="AP233" s="2" t="str">
        <f t="shared" si="129"/>
        <v/>
      </c>
      <c r="AQ233" s="2" t="str">
        <f t="shared" si="130"/>
        <v/>
      </c>
      <c r="AR233" s="2" t="str">
        <f t="shared" si="131"/>
        <v/>
      </c>
      <c r="AT233" s="2"/>
      <c r="AU233" s="2"/>
      <c r="AV233" s="143"/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132"/>
        <v>0</v>
      </c>
      <c r="BG233" s="9">
        <f t="shared" si="146"/>
        <v>1.0003060440176037</v>
      </c>
    </row>
    <row r="234" spans="2:59" x14ac:dyDescent="0.35">
      <c r="B234" s="3" t="s">
        <v>317</v>
      </c>
      <c r="D234" s="141">
        <v>1257</v>
      </c>
      <c r="E234" s="141">
        <v>1242</v>
      </c>
      <c r="F234" s="141">
        <v>3080</v>
      </c>
      <c r="G234" s="141">
        <v>21603</v>
      </c>
      <c r="H234" s="141"/>
      <c r="I234" s="141"/>
      <c r="J234" s="141"/>
      <c r="K234" s="141"/>
      <c r="L234" s="141"/>
      <c r="M234" s="141"/>
      <c r="N234" s="141"/>
      <c r="O234" s="141"/>
      <c r="P234" s="141">
        <f t="shared" si="117"/>
        <v>27182</v>
      </c>
      <c r="R234" s="141">
        <v>1257</v>
      </c>
      <c r="S234" s="141">
        <v>920</v>
      </c>
      <c r="T234" s="141">
        <v>2530</v>
      </c>
      <c r="U234" s="141">
        <v>18266</v>
      </c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118"/>
        <v>22973</v>
      </c>
      <c r="AF234" s="2">
        <f t="shared" si="119"/>
        <v>1</v>
      </c>
      <c r="AG234" s="2">
        <f t="shared" si="120"/>
        <v>0.7407407407407407</v>
      </c>
      <c r="AH234" s="2">
        <f t="shared" si="121"/>
        <v>0.8214285714285714</v>
      </c>
      <c r="AI234" s="2">
        <f t="shared" si="122"/>
        <v>0.8455307133268527</v>
      </c>
      <c r="AJ234" s="2" t="str">
        <f t="shared" si="123"/>
        <v/>
      </c>
      <c r="AK234" s="2" t="str">
        <f t="shared" si="124"/>
        <v/>
      </c>
      <c r="AL234" s="2" t="str">
        <f t="shared" si="125"/>
        <v/>
      </c>
      <c r="AM234" s="2" t="str">
        <f t="shared" si="126"/>
        <v/>
      </c>
      <c r="AN234" s="2" t="str">
        <f t="shared" si="127"/>
        <v/>
      </c>
      <c r="AO234" s="2" t="str">
        <f t="shared" si="128"/>
        <v/>
      </c>
      <c r="AP234" s="2" t="str">
        <f t="shared" si="129"/>
        <v/>
      </c>
      <c r="AQ234" s="2" t="str">
        <f t="shared" si="130"/>
        <v/>
      </c>
      <c r="AR234" s="2">
        <f t="shared" si="131"/>
        <v>0.84515488190714438</v>
      </c>
      <c r="AT234" s="2"/>
      <c r="AU234" s="2"/>
      <c r="AV234" s="143"/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132"/>
        <v>3.0960188543815165E-5</v>
      </c>
      <c r="BG234" s="9">
        <f t="shared" si="146"/>
        <v>1.0002715744776054</v>
      </c>
    </row>
    <row r="235" spans="2:59" x14ac:dyDescent="0.35">
      <c r="B235" s="3" t="s">
        <v>318</v>
      </c>
      <c r="D235" s="141">
        <v>1418</v>
      </c>
      <c r="E235" s="141">
        <v>3896</v>
      </c>
      <c r="F235" s="141">
        <v>6693</v>
      </c>
      <c r="G235" s="141">
        <v>7508</v>
      </c>
      <c r="H235" s="141"/>
      <c r="I235" s="141"/>
      <c r="J235" s="141"/>
      <c r="K235" s="141"/>
      <c r="L235" s="141"/>
      <c r="M235" s="141"/>
      <c r="N235" s="141"/>
      <c r="O235" s="141"/>
      <c r="P235" s="141">
        <f t="shared" si="117"/>
        <v>19515</v>
      </c>
      <c r="R235" s="141">
        <v>611</v>
      </c>
      <c r="S235" s="141">
        <v>1523</v>
      </c>
      <c r="T235" s="141">
        <v>3733</v>
      </c>
      <c r="U235" s="141">
        <v>365</v>
      </c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118"/>
        <v>6232</v>
      </c>
      <c r="AF235" s="2">
        <f t="shared" si="119"/>
        <v>0.4308885754583921</v>
      </c>
      <c r="AG235" s="2">
        <f t="shared" si="120"/>
        <v>0.39091375770020537</v>
      </c>
      <c r="AH235" s="2">
        <f t="shared" si="121"/>
        <v>0.55774689974600333</v>
      </c>
      <c r="AI235" s="2">
        <f t="shared" si="122"/>
        <v>4.8614810868407035E-2</v>
      </c>
      <c r="AJ235" s="2" t="str">
        <f t="shared" si="123"/>
        <v/>
      </c>
      <c r="AK235" s="2" t="str">
        <f t="shared" si="124"/>
        <v/>
      </c>
      <c r="AL235" s="2" t="str">
        <f t="shared" si="125"/>
        <v/>
      </c>
      <c r="AM235" s="2" t="str">
        <f t="shared" si="126"/>
        <v/>
      </c>
      <c r="AN235" s="2" t="str">
        <f t="shared" si="127"/>
        <v/>
      </c>
      <c r="AO235" s="2" t="str">
        <f t="shared" si="128"/>
        <v/>
      </c>
      <c r="AP235" s="2" t="str">
        <f t="shared" si="129"/>
        <v/>
      </c>
      <c r="AQ235" s="2" t="str">
        <f t="shared" si="130"/>
        <v/>
      </c>
      <c r="AR235" s="2">
        <f t="shared" si="131"/>
        <v>0.31934409428644633</v>
      </c>
      <c r="AT235" s="2"/>
      <c r="AU235" s="2"/>
      <c r="AV235" s="143"/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132"/>
        <v>8.3987243723090633E-6</v>
      </c>
      <c r="BG235" s="9">
        <f t="shared" si="146"/>
        <v>1.0003144427419761</v>
      </c>
    </row>
    <row r="236" spans="2:59" x14ac:dyDescent="0.35">
      <c r="B236" s="3" t="s">
        <v>319</v>
      </c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>
        <f t="shared" si="117"/>
        <v>0</v>
      </c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118"/>
        <v>0</v>
      </c>
      <c r="AF236" s="2" t="str">
        <f t="shared" si="119"/>
        <v/>
      </c>
      <c r="AG236" s="2" t="str">
        <f t="shared" si="120"/>
        <v/>
      </c>
      <c r="AH236" s="2" t="str">
        <f t="shared" si="121"/>
        <v/>
      </c>
      <c r="AI236" s="2" t="str">
        <f t="shared" si="122"/>
        <v/>
      </c>
      <c r="AJ236" s="2" t="str">
        <f t="shared" si="123"/>
        <v/>
      </c>
      <c r="AK236" s="2" t="str">
        <f t="shared" si="124"/>
        <v/>
      </c>
      <c r="AL236" s="2" t="str">
        <f t="shared" si="125"/>
        <v/>
      </c>
      <c r="AM236" s="2" t="str">
        <f t="shared" si="126"/>
        <v/>
      </c>
      <c r="AN236" s="2" t="str">
        <f t="shared" si="127"/>
        <v/>
      </c>
      <c r="AO236" s="2" t="str">
        <f t="shared" si="128"/>
        <v/>
      </c>
      <c r="AP236" s="2" t="str">
        <f t="shared" si="129"/>
        <v/>
      </c>
      <c r="AQ236" s="2" t="str">
        <f t="shared" si="130"/>
        <v/>
      </c>
      <c r="AR236" s="2" t="str">
        <f t="shared" si="131"/>
        <v/>
      </c>
      <c r="AT236" s="2"/>
      <c r="AU236" s="2"/>
      <c r="AV236" s="143"/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132"/>
        <v>0</v>
      </c>
      <c r="BG236" s="9">
        <f t="shared" si="146"/>
        <v>1.0002715744776054</v>
      </c>
    </row>
    <row r="237" spans="2:59" x14ac:dyDescent="0.35">
      <c r="B237" s="3" t="s">
        <v>320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117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118"/>
        <v>0</v>
      </c>
      <c r="AF237" s="2" t="str">
        <f t="shared" si="119"/>
        <v/>
      </c>
      <c r="AG237" s="2" t="str">
        <f t="shared" si="120"/>
        <v/>
      </c>
      <c r="AH237" s="2" t="str">
        <f t="shared" si="121"/>
        <v/>
      </c>
      <c r="AI237" s="2" t="str">
        <f t="shared" si="122"/>
        <v/>
      </c>
      <c r="AJ237" s="2" t="str">
        <f t="shared" si="123"/>
        <v/>
      </c>
      <c r="AK237" s="2" t="str">
        <f t="shared" si="124"/>
        <v/>
      </c>
      <c r="AL237" s="2" t="str">
        <f t="shared" si="125"/>
        <v/>
      </c>
      <c r="AM237" s="2" t="str">
        <f t="shared" si="126"/>
        <v/>
      </c>
      <c r="AN237" s="2" t="str">
        <f t="shared" si="127"/>
        <v/>
      </c>
      <c r="AO237" s="2" t="str">
        <f t="shared" si="128"/>
        <v/>
      </c>
      <c r="AP237" s="2" t="str">
        <f t="shared" si="129"/>
        <v/>
      </c>
      <c r="AQ237" s="2" t="str">
        <f t="shared" si="130"/>
        <v/>
      </c>
      <c r="AR237" s="2" t="str">
        <f t="shared" si="131"/>
        <v/>
      </c>
      <c r="AT237" s="2"/>
      <c r="AU237" s="2"/>
      <c r="AV237" s="143"/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132"/>
        <v>0</v>
      </c>
      <c r="BG237" s="9">
        <f t="shared" si="146"/>
        <v>1.0003144427419761</v>
      </c>
    </row>
    <row r="238" spans="2:59" x14ac:dyDescent="0.35">
      <c r="B238" s="3" t="s">
        <v>321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117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118"/>
        <v>0</v>
      </c>
      <c r="AF238" s="2" t="str">
        <f t="shared" si="119"/>
        <v/>
      </c>
      <c r="AG238" s="2" t="str">
        <f t="shared" si="120"/>
        <v/>
      </c>
      <c r="AH238" s="2" t="str">
        <f t="shared" si="121"/>
        <v/>
      </c>
      <c r="AI238" s="2" t="str">
        <f t="shared" si="122"/>
        <v/>
      </c>
      <c r="AJ238" s="2" t="str">
        <f t="shared" si="123"/>
        <v/>
      </c>
      <c r="AK238" s="2" t="str">
        <f t="shared" si="124"/>
        <v/>
      </c>
      <c r="AL238" s="2" t="str">
        <f t="shared" si="125"/>
        <v/>
      </c>
      <c r="AM238" s="2" t="str">
        <f t="shared" si="126"/>
        <v/>
      </c>
      <c r="AN238" s="2" t="str">
        <f t="shared" si="127"/>
        <v/>
      </c>
      <c r="AO238" s="2" t="str">
        <f t="shared" si="128"/>
        <v/>
      </c>
      <c r="AP238" s="2" t="str">
        <f t="shared" si="129"/>
        <v/>
      </c>
      <c r="AQ238" s="2" t="str">
        <f t="shared" si="130"/>
        <v/>
      </c>
      <c r="AR238" s="2" t="str">
        <f t="shared" si="131"/>
        <v/>
      </c>
      <c r="AT238" s="2"/>
      <c r="AU238" s="2"/>
      <c r="AV238" s="143"/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132"/>
        <v>0</v>
      </c>
      <c r="BG238" s="9">
        <f t="shared" si="146"/>
        <v>1.0002715744776054</v>
      </c>
    </row>
    <row r="239" spans="2:59" x14ac:dyDescent="0.35">
      <c r="B239" s="3" t="s">
        <v>322</v>
      </c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117"/>
        <v>0</v>
      </c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118"/>
        <v>0</v>
      </c>
      <c r="AF239" s="2" t="str">
        <f t="shared" si="119"/>
        <v/>
      </c>
      <c r="AG239" s="2" t="str">
        <f t="shared" si="120"/>
        <v/>
      </c>
      <c r="AH239" s="2" t="str">
        <f t="shared" si="121"/>
        <v/>
      </c>
      <c r="AI239" s="2" t="str">
        <f t="shared" si="122"/>
        <v/>
      </c>
      <c r="AJ239" s="2" t="str">
        <f t="shared" si="123"/>
        <v/>
      </c>
      <c r="AK239" s="2" t="str">
        <f t="shared" si="124"/>
        <v/>
      </c>
      <c r="AL239" s="2" t="str">
        <f t="shared" si="125"/>
        <v/>
      </c>
      <c r="AM239" s="2" t="str">
        <f t="shared" si="126"/>
        <v/>
      </c>
      <c r="AN239" s="2" t="str">
        <f t="shared" si="127"/>
        <v/>
      </c>
      <c r="AO239" s="2" t="str">
        <f t="shared" si="128"/>
        <v/>
      </c>
      <c r="AP239" s="2" t="str">
        <f t="shared" si="129"/>
        <v/>
      </c>
      <c r="AQ239" s="2" t="str">
        <f t="shared" si="130"/>
        <v/>
      </c>
      <c r="AR239" s="2" t="str">
        <f t="shared" si="131"/>
        <v/>
      </c>
      <c r="AT239" s="2"/>
      <c r="AU239" s="2"/>
      <c r="AV239" s="143"/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132"/>
        <v>0</v>
      </c>
      <c r="BG239" s="9">
        <f t="shared" si="146"/>
        <v>1.0003144427419761</v>
      </c>
    </row>
    <row r="240" spans="2:59" x14ac:dyDescent="0.35">
      <c r="B240" s="3" t="s">
        <v>323</v>
      </c>
      <c r="D240" s="141">
        <v>770</v>
      </c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117"/>
        <v>770</v>
      </c>
      <c r="R240" s="141">
        <v>770</v>
      </c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118"/>
        <v>770</v>
      </c>
      <c r="AF240" s="2">
        <f t="shared" si="119"/>
        <v>1</v>
      </c>
      <c r="AG240" s="2" t="str">
        <f t="shared" si="120"/>
        <v/>
      </c>
      <c r="AH240" s="2" t="str">
        <f t="shared" si="121"/>
        <v/>
      </c>
      <c r="AI240" s="2" t="str">
        <f t="shared" si="122"/>
        <v/>
      </c>
      <c r="AJ240" s="2" t="str">
        <f t="shared" si="123"/>
        <v/>
      </c>
      <c r="AK240" s="2" t="str">
        <f t="shared" si="124"/>
        <v/>
      </c>
      <c r="AL240" s="2" t="str">
        <f t="shared" si="125"/>
        <v/>
      </c>
      <c r="AM240" s="2" t="str">
        <f t="shared" si="126"/>
        <v/>
      </c>
      <c r="AN240" s="2" t="str">
        <f t="shared" si="127"/>
        <v/>
      </c>
      <c r="AO240" s="2" t="str">
        <f t="shared" si="128"/>
        <v/>
      </c>
      <c r="AP240" s="2" t="str">
        <f t="shared" si="129"/>
        <v/>
      </c>
      <c r="AQ240" s="2" t="str">
        <f t="shared" si="130"/>
        <v/>
      </c>
      <c r="AR240" s="2">
        <f t="shared" si="131"/>
        <v>1</v>
      </c>
      <c r="AT240" s="2"/>
      <c r="AU240" s="2"/>
      <c r="AV240" s="143"/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132"/>
        <v>1.0377114516492264E-6</v>
      </c>
      <c r="BG240" s="9">
        <f t="shared" si="146"/>
        <v>1.0002726121890571</v>
      </c>
    </row>
    <row r="241" spans="2:59" x14ac:dyDescent="0.35">
      <c r="B241" s="3" t="s">
        <v>324</v>
      </c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>
        <f t="shared" si="117"/>
        <v>0</v>
      </c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118"/>
        <v>0</v>
      </c>
      <c r="AF241" s="2" t="str">
        <f t="shared" si="119"/>
        <v/>
      </c>
      <c r="AG241" s="2" t="str">
        <f t="shared" si="120"/>
        <v/>
      </c>
      <c r="AH241" s="2" t="str">
        <f t="shared" si="121"/>
        <v/>
      </c>
      <c r="AI241" s="2" t="str">
        <f t="shared" si="122"/>
        <v/>
      </c>
      <c r="AJ241" s="2" t="str">
        <f t="shared" si="123"/>
        <v/>
      </c>
      <c r="AK241" s="2" t="str">
        <f t="shared" si="124"/>
        <v/>
      </c>
      <c r="AL241" s="2" t="str">
        <f t="shared" si="125"/>
        <v/>
      </c>
      <c r="AM241" s="2" t="str">
        <f t="shared" si="126"/>
        <v/>
      </c>
      <c r="AN241" s="2" t="str">
        <f t="shared" si="127"/>
        <v/>
      </c>
      <c r="AO241" s="2" t="str">
        <f t="shared" si="128"/>
        <v/>
      </c>
      <c r="AP241" s="2" t="str">
        <f t="shared" si="129"/>
        <v/>
      </c>
      <c r="AQ241" s="2" t="str">
        <f t="shared" si="130"/>
        <v/>
      </c>
      <c r="AR241" s="2" t="str">
        <f t="shared" si="131"/>
        <v/>
      </c>
      <c r="AT241" s="2"/>
      <c r="AU241" s="2"/>
      <c r="AV241" s="143"/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132"/>
        <v>0</v>
      </c>
      <c r="BG241" s="9">
        <f t="shared" si="146"/>
        <v>1.0003144427419761</v>
      </c>
    </row>
    <row r="242" spans="2:59" x14ac:dyDescent="0.35">
      <c r="B242" s="3" t="s">
        <v>325</v>
      </c>
      <c r="D242" s="141">
        <v>864</v>
      </c>
      <c r="E242" s="141">
        <v>760</v>
      </c>
      <c r="F242" s="141">
        <v>3096</v>
      </c>
      <c r="G242" s="141">
        <v>5399</v>
      </c>
      <c r="H242" s="141"/>
      <c r="I242" s="141"/>
      <c r="J242" s="141"/>
      <c r="K242" s="141"/>
      <c r="L242" s="141"/>
      <c r="M242" s="141"/>
      <c r="N242" s="141"/>
      <c r="O242" s="141"/>
      <c r="P242" s="141">
        <f t="shared" si="117"/>
        <v>10119</v>
      </c>
      <c r="R242" s="141">
        <v>864</v>
      </c>
      <c r="S242" s="141">
        <v>760</v>
      </c>
      <c r="T242" s="141">
        <v>3096</v>
      </c>
      <c r="U242" s="141">
        <v>5200</v>
      </c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118"/>
        <v>9920</v>
      </c>
      <c r="AF242" s="2">
        <f t="shared" si="119"/>
        <v>1</v>
      </c>
      <c r="AG242" s="2">
        <f t="shared" si="120"/>
        <v>1</v>
      </c>
      <c r="AH242" s="2">
        <f t="shared" si="121"/>
        <v>1</v>
      </c>
      <c r="AI242" s="2">
        <f t="shared" si="122"/>
        <v>0.96314132246712358</v>
      </c>
      <c r="AJ242" s="2" t="str">
        <f t="shared" si="123"/>
        <v/>
      </c>
      <c r="AK242" s="2" t="str">
        <f t="shared" si="124"/>
        <v/>
      </c>
      <c r="AL242" s="2" t="str">
        <f t="shared" si="125"/>
        <v/>
      </c>
      <c r="AM242" s="2" t="str">
        <f t="shared" si="126"/>
        <v/>
      </c>
      <c r="AN242" s="2" t="str">
        <f t="shared" si="127"/>
        <v/>
      </c>
      <c r="AO242" s="2" t="str">
        <f t="shared" si="128"/>
        <v/>
      </c>
      <c r="AP242" s="2" t="str">
        <f t="shared" si="129"/>
        <v/>
      </c>
      <c r="AQ242" s="2" t="str">
        <f t="shared" si="130"/>
        <v/>
      </c>
      <c r="AR242" s="2">
        <f t="shared" si="131"/>
        <v>0.98033402510129464</v>
      </c>
      <c r="AT242" s="2"/>
      <c r="AU242" s="2"/>
      <c r="AV242" s="143"/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132"/>
        <v>1.3368957922545878E-5</v>
      </c>
      <c r="BG242" s="9">
        <f t="shared" si="146"/>
        <v>1.0002859811469795</v>
      </c>
    </row>
    <row r="243" spans="2:59" x14ac:dyDescent="0.35">
      <c r="B243" s="3" t="s">
        <v>326</v>
      </c>
      <c r="D243" s="141">
        <v>98323</v>
      </c>
      <c r="E243" s="141">
        <v>95975</v>
      </c>
      <c r="F243" s="141">
        <v>75289</v>
      </c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117"/>
        <v>269587</v>
      </c>
      <c r="R243" s="141">
        <v>70985</v>
      </c>
      <c r="S243" s="141">
        <v>68579</v>
      </c>
      <c r="T243" s="141">
        <v>52773</v>
      </c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118"/>
        <v>192337</v>
      </c>
      <c r="AF243" s="2">
        <f t="shared" si="119"/>
        <v>0.72195722262339435</v>
      </c>
      <c r="AG243" s="2">
        <f t="shared" si="120"/>
        <v>0.71455066423547797</v>
      </c>
      <c r="AH243" s="2">
        <f t="shared" si="121"/>
        <v>0.70093904820093245</v>
      </c>
      <c r="AI243" s="2" t="str">
        <f t="shared" si="122"/>
        <v/>
      </c>
      <c r="AJ243" s="2" t="str">
        <f t="shared" si="123"/>
        <v/>
      </c>
      <c r="AK243" s="2" t="str">
        <f t="shared" si="124"/>
        <v/>
      </c>
      <c r="AL243" s="2" t="str">
        <f t="shared" si="125"/>
        <v/>
      </c>
      <c r="AM243" s="2" t="str">
        <f t="shared" si="126"/>
        <v/>
      </c>
      <c r="AN243" s="2" t="str">
        <f t="shared" si="127"/>
        <v/>
      </c>
      <c r="AO243" s="2" t="str">
        <f t="shared" si="128"/>
        <v/>
      </c>
      <c r="AP243" s="2" t="str">
        <f t="shared" si="129"/>
        <v/>
      </c>
      <c r="AQ243" s="2" t="str">
        <f t="shared" si="130"/>
        <v/>
      </c>
      <c r="AR243" s="2">
        <f t="shared" si="131"/>
        <v>0.71345057439713344</v>
      </c>
      <c r="AT243" s="2"/>
      <c r="AU243" s="2"/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132"/>
        <v>2.5920819152708735E-4</v>
      </c>
      <c r="BG243" s="9">
        <f t="shared" si="146"/>
        <v>1.0005736509335033</v>
      </c>
    </row>
    <row r="244" spans="2:59" x14ac:dyDescent="0.35">
      <c r="B244" s="3" t="s">
        <v>327</v>
      </c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>
        <f t="shared" si="117"/>
        <v>0</v>
      </c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118"/>
        <v>0</v>
      </c>
      <c r="AF244" s="2" t="str">
        <f t="shared" si="119"/>
        <v/>
      </c>
      <c r="AG244" s="2" t="str">
        <f t="shared" si="120"/>
        <v/>
      </c>
      <c r="AH244" s="2" t="str">
        <f t="shared" si="121"/>
        <v/>
      </c>
      <c r="AI244" s="2" t="str">
        <f t="shared" si="122"/>
        <v/>
      </c>
      <c r="AJ244" s="2" t="str">
        <f t="shared" si="123"/>
        <v/>
      </c>
      <c r="AK244" s="2" t="str">
        <f t="shared" si="124"/>
        <v/>
      </c>
      <c r="AL244" s="2" t="str">
        <f t="shared" si="125"/>
        <v/>
      </c>
      <c r="AM244" s="2" t="str">
        <f t="shared" si="126"/>
        <v/>
      </c>
      <c r="AN244" s="2" t="str">
        <f t="shared" si="127"/>
        <v/>
      </c>
      <c r="AO244" s="2" t="str">
        <f t="shared" si="128"/>
        <v/>
      </c>
      <c r="AP244" s="2" t="str">
        <f t="shared" si="129"/>
        <v/>
      </c>
      <c r="AQ244" s="2" t="str">
        <f t="shared" si="130"/>
        <v/>
      </c>
      <c r="AR244" s="2" t="str">
        <f t="shared" si="131"/>
        <v/>
      </c>
      <c r="AT244" s="2"/>
      <c r="AU244" s="2"/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132"/>
        <v>0</v>
      </c>
      <c r="BG244" s="9">
        <f t="shared" si="146"/>
        <v>1.0002859811469795</v>
      </c>
    </row>
    <row r="245" spans="2:59" x14ac:dyDescent="0.35">
      <c r="B245" s="3" t="s">
        <v>328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117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118"/>
        <v>0</v>
      </c>
      <c r="AF245" s="2" t="str">
        <f t="shared" si="119"/>
        <v/>
      </c>
      <c r="AG245" s="2" t="str">
        <f t="shared" si="120"/>
        <v/>
      </c>
      <c r="AH245" s="2" t="str">
        <f t="shared" si="121"/>
        <v/>
      </c>
      <c r="AI245" s="2" t="str">
        <f t="shared" si="122"/>
        <v/>
      </c>
      <c r="AJ245" s="2" t="str">
        <f t="shared" si="123"/>
        <v/>
      </c>
      <c r="AK245" s="2" t="str">
        <f t="shared" si="124"/>
        <v/>
      </c>
      <c r="AL245" s="2" t="str">
        <f t="shared" si="125"/>
        <v/>
      </c>
      <c r="AM245" s="2" t="str">
        <f t="shared" si="126"/>
        <v/>
      </c>
      <c r="AN245" s="2" t="str">
        <f t="shared" si="127"/>
        <v/>
      </c>
      <c r="AO245" s="2" t="str">
        <f t="shared" si="128"/>
        <v/>
      </c>
      <c r="AP245" s="2" t="str">
        <f t="shared" si="129"/>
        <v/>
      </c>
      <c r="AQ245" s="2" t="str">
        <f t="shared" si="130"/>
        <v/>
      </c>
      <c r="AR245" s="2" t="str">
        <f t="shared" si="131"/>
        <v/>
      </c>
      <c r="AT245" s="2"/>
      <c r="AU245" s="2"/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132"/>
        <v>0</v>
      </c>
      <c r="BG245" s="9">
        <f t="shared" si="146"/>
        <v>1.0005736509335033</v>
      </c>
    </row>
    <row r="246" spans="2:59" x14ac:dyDescent="0.35">
      <c r="B246" s="3" t="s">
        <v>329</v>
      </c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117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118"/>
        <v>0</v>
      </c>
      <c r="AF246" s="2" t="str">
        <f t="shared" si="119"/>
        <v/>
      </c>
      <c r="AG246" s="2" t="str">
        <f t="shared" si="120"/>
        <v/>
      </c>
      <c r="AH246" s="2" t="str">
        <f t="shared" si="121"/>
        <v/>
      </c>
      <c r="AI246" s="2" t="str">
        <f t="shared" si="122"/>
        <v/>
      </c>
      <c r="AJ246" s="2" t="str">
        <f t="shared" si="123"/>
        <v/>
      </c>
      <c r="AK246" s="2" t="str">
        <f t="shared" si="124"/>
        <v/>
      </c>
      <c r="AL246" s="2" t="str">
        <f t="shared" si="125"/>
        <v/>
      </c>
      <c r="AM246" s="2" t="str">
        <f t="shared" si="126"/>
        <v/>
      </c>
      <c r="AN246" s="2" t="str">
        <f t="shared" si="127"/>
        <v/>
      </c>
      <c r="AO246" s="2" t="str">
        <f t="shared" si="128"/>
        <v/>
      </c>
      <c r="AP246" s="2" t="str">
        <f t="shared" si="129"/>
        <v/>
      </c>
      <c r="AQ246" s="2" t="str">
        <f t="shared" si="130"/>
        <v/>
      </c>
      <c r="AR246" s="2" t="str">
        <f t="shared" si="131"/>
        <v/>
      </c>
      <c r="AT246" s="2"/>
      <c r="AU246" s="2"/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132"/>
        <v>0</v>
      </c>
      <c r="BG246" s="9">
        <f t="shared" si="146"/>
        <v>1.0002859811469795</v>
      </c>
    </row>
    <row r="247" spans="2:59" x14ac:dyDescent="0.35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117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118"/>
        <v>0</v>
      </c>
      <c r="AF247" s="2" t="str">
        <f t="shared" si="119"/>
        <v/>
      </c>
      <c r="AG247" s="2" t="str">
        <f t="shared" si="120"/>
        <v/>
      </c>
      <c r="AH247" s="2" t="str">
        <f t="shared" si="121"/>
        <v/>
      </c>
      <c r="AI247" s="2" t="str">
        <f t="shared" si="122"/>
        <v/>
      </c>
      <c r="AJ247" s="2" t="str">
        <f t="shared" si="123"/>
        <v/>
      </c>
      <c r="AK247" s="2" t="str">
        <f t="shared" si="124"/>
        <v/>
      </c>
      <c r="AL247" s="2" t="str">
        <f t="shared" si="125"/>
        <v/>
      </c>
      <c r="AM247" s="2" t="str">
        <f t="shared" si="126"/>
        <v/>
      </c>
      <c r="AN247" s="2" t="str">
        <f t="shared" si="127"/>
        <v/>
      </c>
      <c r="AO247" s="2" t="str">
        <f t="shared" si="128"/>
        <v/>
      </c>
      <c r="AP247" s="2" t="str">
        <f t="shared" si="129"/>
        <v/>
      </c>
      <c r="AQ247" s="2" t="str">
        <f t="shared" si="130"/>
        <v/>
      </c>
      <c r="AR247" s="2" t="str">
        <f t="shared" si="131"/>
        <v/>
      </c>
      <c r="AT247" s="2"/>
      <c r="AU247" s="2"/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132"/>
        <v>0</v>
      </c>
      <c r="BG247" s="9">
        <f t="shared" si="146"/>
        <v>1.0005736509335033</v>
      </c>
    </row>
    <row r="248" spans="2:59" x14ac:dyDescent="0.35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117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118"/>
        <v>0</v>
      </c>
      <c r="AF248" s="2" t="str">
        <f t="shared" si="119"/>
        <v/>
      </c>
      <c r="AG248" s="2" t="str">
        <f t="shared" si="120"/>
        <v/>
      </c>
      <c r="AH248" s="2" t="str">
        <f t="shared" si="121"/>
        <v/>
      </c>
      <c r="AI248" s="2" t="str">
        <f t="shared" si="122"/>
        <v/>
      </c>
      <c r="AJ248" s="2" t="str">
        <f t="shared" si="123"/>
        <v/>
      </c>
      <c r="AK248" s="2" t="str">
        <f t="shared" si="124"/>
        <v/>
      </c>
      <c r="AL248" s="2" t="str">
        <f t="shared" si="125"/>
        <v/>
      </c>
      <c r="AM248" s="2" t="str">
        <f t="shared" si="126"/>
        <v/>
      </c>
      <c r="AN248" s="2" t="str">
        <f t="shared" si="127"/>
        <v/>
      </c>
      <c r="AO248" s="2" t="str">
        <f t="shared" si="128"/>
        <v/>
      </c>
      <c r="AP248" s="2" t="str">
        <f t="shared" si="129"/>
        <v/>
      </c>
      <c r="AQ248" s="2" t="str">
        <f t="shared" si="130"/>
        <v/>
      </c>
      <c r="AR248" s="2" t="str">
        <f t="shared" si="131"/>
        <v/>
      </c>
      <c r="AT248" s="2"/>
      <c r="AU248" s="2"/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132"/>
        <v>0</v>
      </c>
      <c r="BG248" s="9">
        <f t="shared" si="146"/>
        <v>1.0002859811469795</v>
      </c>
    </row>
    <row r="249" spans="2:59" x14ac:dyDescent="0.35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117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118"/>
        <v>0</v>
      </c>
      <c r="AF249" s="2" t="str">
        <f t="shared" si="119"/>
        <v/>
      </c>
      <c r="AG249" s="2" t="str">
        <f t="shared" si="120"/>
        <v/>
      </c>
      <c r="AH249" s="2" t="str">
        <f t="shared" si="121"/>
        <v/>
      </c>
      <c r="AI249" s="2" t="str">
        <f t="shared" si="122"/>
        <v/>
      </c>
      <c r="AJ249" s="2" t="str">
        <f t="shared" si="123"/>
        <v/>
      </c>
      <c r="AK249" s="2" t="str">
        <f t="shared" si="124"/>
        <v/>
      </c>
      <c r="AL249" s="2" t="str">
        <f t="shared" si="125"/>
        <v/>
      </c>
      <c r="AM249" s="2" t="str">
        <f t="shared" si="126"/>
        <v/>
      </c>
      <c r="AN249" s="2" t="str">
        <f t="shared" si="127"/>
        <v/>
      </c>
      <c r="AO249" s="2" t="str">
        <f t="shared" si="128"/>
        <v/>
      </c>
      <c r="AP249" s="2" t="str">
        <f t="shared" si="129"/>
        <v/>
      </c>
      <c r="AQ249" s="2" t="str">
        <f t="shared" si="130"/>
        <v/>
      </c>
      <c r="AR249" s="2" t="str">
        <f t="shared" si="131"/>
        <v/>
      </c>
      <c r="AT249" s="2"/>
      <c r="AU249" s="2"/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132"/>
        <v>0</v>
      </c>
      <c r="BG249" s="9">
        <f t="shared" si="146"/>
        <v>1.0005736509335033</v>
      </c>
    </row>
    <row r="250" spans="2:59" x14ac:dyDescent="0.35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117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118"/>
        <v>0</v>
      </c>
      <c r="AF250" s="2" t="str">
        <f t="shared" si="119"/>
        <v/>
      </c>
      <c r="AG250" s="2" t="str">
        <f t="shared" si="120"/>
        <v/>
      </c>
      <c r="AH250" s="2" t="str">
        <f t="shared" si="121"/>
        <v/>
      </c>
      <c r="AI250" s="2" t="str">
        <f t="shared" si="122"/>
        <v/>
      </c>
      <c r="AJ250" s="2" t="str">
        <f t="shared" si="123"/>
        <v/>
      </c>
      <c r="AK250" s="2" t="str">
        <f t="shared" si="124"/>
        <v/>
      </c>
      <c r="AL250" s="2" t="str">
        <f t="shared" si="125"/>
        <v/>
      </c>
      <c r="AM250" s="2" t="str">
        <f t="shared" si="126"/>
        <v/>
      </c>
      <c r="AN250" s="2" t="str">
        <f t="shared" si="127"/>
        <v/>
      </c>
      <c r="AO250" s="2" t="str">
        <f t="shared" si="128"/>
        <v/>
      </c>
      <c r="AP250" s="2" t="str">
        <f t="shared" si="129"/>
        <v/>
      </c>
      <c r="AQ250" s="2" t="str">
        <f t="shared" si="130"/>
        <v/>
      </c>
      <c r="AR250" s="2" t="str">
        <f t="shared" si="131"/>
        <v/>
      </c>
      <c r="AT250" s="2"/>
      <c r="AU250" s="2"/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132"/>
        <v>0</v>
      </c>
      <c r="BG250" s="9">
        <f t="shared" si="146"/>
        <v>1.0002859811469795</v>
      </c>
    </row>
    <row r="251" spans="2:59" x14ac:dyDescent="0.35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117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118"/>
        <v>0</v>
      </c>
      <c r="AF251" s="2" t="str">
        <f t="shared" si="119"/>
        <v/>
      </c>
      <c r="AG251" s="2" t="str">
        <f t="shared" si="120"/>
        <v/>
      </c>
      <c r="AH251" s="2" t="str">
        <f t="shared" si="121"/>
        <v/>
      </c>
      <c r="AI251" s="2" t="str">
        <f t="shared" si="122"/>
        <v/>
      </c>
      <c r="AJ251" s="2" t="str">
        <f t="shared" si="123"/>
        <v/>
      </c>
      <c r="AK251" s="2" t="str">
        <f t="shared" si="124"/>
        <v/>
      </c>
      <c r="AL251" s="2" t="str">
        <f t="shared" si="125"/>
        <v/>
      </c>
      <c r="AM251" s="2" t="str">
        <f t="shared" si="126"/>
        <v/>
      </c>
      <c r="AN251" s="2" t="str">
        <f t="shared" si="127"/>
        <v/>
      </c>
      <c r="AO251" s="2" t="str">
        <f t="shared" si="128"/>
        <v/>
      </c>
      <c r="AP251" s="2" t="str">
        <f t="shared" si="129"/>
        <v/>
      </c>
      <c r="AQ251" s="2" t="str">
        <f t="shared" si="130"/>
        <v/>
      </c>
      <c r="AR251" s="2" t="str">
        <f t="shared" si="131"/>
        <v/>
      </c>
      <c r="AT251" s="2"/>
      <c r="AU251" s="2"/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132"/>
        <v>0</v>
      </c>
      <c r="BG251" s="9">
        <f t="shared" si="146"/>
        <v>1.0005736509335033</v>
      </c>
    </row>
    <row r="252" spans="2:59" x14ac:dyDescent="0.35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117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118"/>
        <v>0</v>
      </c>
      <c r="AF252" s="2" t="str">
        <f t="shared" si="119"/>
        <v/>
      </c>
      <c r="AG252" s="2" t="str">
        <f t="shared" si="120"/>
        <v/>
      </c>
      <c r="AH252" s="2" t="str">
        <f t="shared" si="121"/>
        <v/>
      </c>
      <c r="AI252" s="2" t="str">
        <f t="shared" si="122"/>
        <v/>
      </c>
      <c r="AJ252" s="2" t="str">
        <f t="shared" si="123"/>
        <v/>
      </c>
      <c r="AK252" s="2" t="str">
        <f t="shared" si="124"/>
        <v/>
      </c>
      <c r="AL252" s="2" t="str">
        <f t="shared" si="125"/>
        <v/>
      </c>
      <c r="AM252" s="2" t="str">
        <f t="shared" si="126"/>
        <v/>
      </c>
      <c r="AN252" s="2" t="str">
        <f t="shared" si="127"/>
        <v/>
      </c>
      <c r="AO252" s="2" t="str">
        <f t="shared" si="128"/>
        <v/>
      </c>
      <c r="AP252" s="2" t="str">
        <f t="shared" si="129"/>
        <v/>
      </c>
      <c r="AQ252" s="2" t="str">
        <f t="shared" si="130"/>
        <v/>
      </c>
      <c r="AR252" s="2" t="str">
        <f t="shared" si="131"/>
        <v/>
      </c>
      <c r="AT252" s="2"/>
      <c r="AU252" s="2"/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132"/>
        <v>0</v>
      </c>
      <c r="BG252" s="9">
        <f t="shared" si="146"/>
        <v>1.0002859811469795</v>
      </c>
    </row>
    <row r="253" spans="2:59" x14ac:dyDescent="0.35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117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118"/>
        <v>0</v>
      </c>
      <c r="AF253" s="2" t="str">
        <f t="shared" si="119"/>
        <v/>
      </c>
      <c r="AG253" s="2" t="str">
        <f t="shared" si="120"/>
        <v/>
      </c>
      <c r="AH253" s="2" t="str">
        <f t="shared" si="121"/>
        <v/>
      </c>
      <c r="AI253" s="2" t="str">
        <f t="shared" si="122"/>
        <v/>
      </c>
      <c r="AJ253" s="2" t="str">
        <f t="shared" si="123"/>
        <v/>
      </c>
      <c r="AK253" s="2" t="str">
        <f t="shared" si="124"/>
        <v/>
      </c>
      <c r="AL253" s="2" t="str">
        <f t="shared" si="125"/>
        <v/>
      </c>
      <c r="AM253" s="2" t="str">
        <f t="shared" si="126"/>
        <v/>
      </c>
      <c r="AN253" s="2" t="str">
        <f t="shared" si="127"/>
        <v/>
      </c>
      <c r="AO253" s="2" t="str">
        <f t="shared" si="128"/>
        <v/>
      </c>
      <c r="AP253" s="2" t="str">
        <f t="shared" si="129"/>
        <v/>
      </c>
      <c r="AQ253" s="2" t="str">
        <f t="shared" si="130"/>
        <v/>
      </c>
      <c r="AR253" s="2" t="str">
        <f t="shared" si="131"/>
        <v/>
      </c>
      <c r="AT253" s="2"/>
      <c r="AU253" s="2"/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132"/>
        <v>0</v>
      </c>
      <c r="BG253" s="9">
        <f t="shared" si="146"/>
        <v>1.0005736509335033</v>
      </c>
    </row>
    <row r="254" spans="2:59" x14ac:dyDescent="0.35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117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118"/>
        <v>0</v>
      </c>
      <c r="AF254" s="2" t="str">
        <f t="shared" si="119"/>
        <v/>
      </c>
      <c r="AG254" s="2" t="str">
        <f t="shared" si="120"/>
        <v/>
      </c>
      <c r="AH254" s="2" t="str">
        <f t="shared" si="121"/>
        <v/>
      </c>
      <c r="AI254" s="2" t="str">
        <f t="shared" si="122"/>
        <v/>
      </c>
      <c r="AJ254" s="2" t="str">
        <f t="shared" si="123"/>
        <v/>
      </c>
      <c r="AK254" s="2" t="str">
        <f t="shared" si="124"/>
        <v/>
      </c>
      <c r="AL254" s="2" t="str">
        <f t="shared" si="125"/>
        <v/>
      </c>
      <c r="AM254" s="2" t="str">
        <f t="shared" si="126"/>
        <v/>
      </c>
      <c r="AN254" s="2" t="str">
        <f t="shared" si="127"/>
        <v/>
      </c>
      <c r="AO254" s="2" t="str">
        <f t="shared" si="128"/>
        <v/>
      </c>
      <c r="AP254" s="2" t="str">
        <f t="shared" si="129"/>
        <v/>
      </c>
      <c r="AQ254" s="2" t="str">
        <f t="shared" si="130"/>
        <v/>
      </c>
      <c r="AR254" s="2" t="str">
        <f t="shared" si="131"/>
        <v/>
      </c>
      <c r="AT254" s="2"/>
      <c r="AU254" s="2"/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132"/>
        <v>0</v>
      </c>
      <c r="BG254" s="9">
        <f t="shared" si="146"/>
        <v>1.0002859811469795</v>
      </c>
    </row>
    <row r="255" spans="2:59" x14ac:dyDescent="0.35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117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118"/>
        <v>0</v>
      </c>
      <c r="AF255" s="2" t="str">
        <f t="shared" si="119"/>
        <v/>
      </c>
      <c r="AG255" s="2" t="str">
        <f t="shared" si="120"/>
        <v/>
      </c>
      <c r="AH255" s="2" t="str">
        <f t="shared" si="121"/>
        <v/>
      </c>
      <c r="AI255" s="2" t="str">
        <f t="shared" si="122"/>
        <v/>
      </c>
      <c r="AJ255" s="2" t="str">
        <f t="shared" si="123"/>
        <v/>
      </c>
      <c r="AK255" s="2" t="str">
        <f t="shared" si="124"/>
        <v/>
      </c>
      <c r="AL255" s="2" t="str">
        <f t="shared" si="125"/>
        <v/>
      </c>
      <c r="AM255" s="2" t="str">
        <f t="shared" si="126"/>
        <v/>
      </c>
      <c r="AN255" s="2" t="str">
        <f t="shared" si="127"/>
        <v/>
      </c>
      <c r="AO255" s="2" t="str">
        <f t="shared" si="128"/>
        <v/>
      </c>
      <c r="AP255" s="2" t="str">
        <f t="shared" si="129"/>
        <v/>
      </c>
      <c r="AQ255" s="2" t="str">
        <f t="shared" si="130"/>
        <v/>
      </c>
      <c r="AR255" s="2" t="str">
        <f t="shared" si="131"/>
        <v/>
      </c>
      <c r="AT255" s="2"/>
      <c r="AU255" s="2"/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132"/>
        <v>0</v>
      </c>
      <c r="BG255" s="9">
        <f t="shared" si="146"/>
        <v>1.0005736509335033</v>
      </c>
    </row>
    <row r="256" spans="2:59" x14ac:dyDescent="0.35">
      <c r="B256" s="3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>
        <f t="shared" si="117"/>
        <v>0</v>
      </c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>
        <f t="shared" si="118"/>
        <v>0</v>
      </c>
      <c r="AF256" s="2" t="str">
        <f t="shared" si="119"/>
        <v/>
      </c>
      <c r="AG256" s="2" t="str">
        <f t="shared" si="120"/>
        <v/>
      </c>
      <c r="AH256" s="2" t="str">
        <f t="shared" si="121"/>
        <v/>
      </c>
      <c r="AI256" s="2" t="str">
        <f t="shared" si="122"/>
        <v/>
      </c>
      <c r="AJ256" s="2" t="str">
        <f t="shared" si="123"/>
        <v/>
      </c>
      <c r="AK256" s="2" t="str">
        <f t="shared" si="124"/>
        <v/>
      </c>
      <c r="AL256" s="2" t="str">
        <f t="shared" si="125"/>
        <v/>
      </c>
      <c r="AM256" s="2" t="str">
        <f t="shared" si="126"/>
        <v/>
      </c>
      <c r="AN256" s="2" t="str">
        <f t="shared" si="127"/>
        <v/>
      </c>
      <c r="AO256" s="2" t="str">
        <f t="shared" si="128"/>
        <v/>
      </c>
      <c r="AP256" s="2" t="str">
        <f t="shared" si="129"/>
        <v/>
      </c>
      <c r="AQ256" s="2" t="str">
        <f t="shared" si="130"/>
        <v/>
      </c>
      <c r="AR256" s="2" t="str">
        <f t="shared" si="131"/>
        <v/>
      </c>
      <c r="AT256" s="2"/>
      <c r="AU256" s="2"/>
      <c r="AV256" s="143"/>
      <c r="AW256" s="143"/>
      <c r="AX256" s="143"/>
      <c r="AY256" s="143"/>
      <c r="AZ256" s="143"/>
      <c r="BA256" s="143"/>
      <c r="BB256" s="143"/>
      <c r="BC256" s="143"/>
      <c r="BD256" s="143"/>
      <c r="BF256" s="9">
        <f t="shared" si="132"/>
        <v>0</v>
      </c>
      <c r="BG256" s="9">
        <f t="shared" si="146"/>
        <v>1.0002859811469795</v>
      </c>
    </row>
    <row r="257" spans="2:59" s="17" customFormat="1" x14ac:dyDescent="0.35">
      <c r="B257" s="3" t="s">
        <v>330</v>
      </c>
      <c r="D257" s="144">
        <f t="shared" ref="D257:P257" si="147">+SUM(D5:D214)</f>
        <v>268486115</v>
      </c>
      <c r="E257" s="144">
        <f t="shared" si="147"/>
        <v>254021464</v>
      </c>
      <c r="F257" s="144">
        <f t="shared" si="147"/>
        <v>269293196</v>
      </c>
      <c r="G257" s="144">
        <f t="shared" si="147"/>
        <v>247824971</v>
      </c>
      <c r="H257" s="144">
        <f t="shared" si="147"/>
        <v>0</v>
      </c>
      <c r="I257" s="144">
        <f t="shared" si="147"/>
        <v>0</v>
      </c>
      <c r="J257" s="144">
        <f t="shared" si="147"/>
        <v>0</v>
      </c>
      <c r="K257" s="144">
        <f t="shared" si="147"/>
        <v>0</v>
      </c>
      <c r="L257" s="144">
        <f t="shared" si="147"/>
        <v>0</v>
      </c>
      <c r="M257" s="144">
        <f t="shared" si="147"/>
        <v>0</v>
      </c>
      <c r="N257" s="144">
        <f t="shared" si="147"/>
        <v>0</v>
      </c>
      <c r="O257" s="144">
        <f t="shared" si="147"/>
        <v>0</v>
      </c>
      <c r="P257" s="144">
        <f t="shared" si="147"/>
        <v>1039625746</v>
      </c>
      <c r="R257" s="144">
        <f t="shared" ref="R257:AD257" si="148">+SUM(R5:R214)</f>
        <v>193442432</v>
      </c>
      <c r="S257" s="144">
        <f t="shared" si="148"/>
        <v>184104570</v>
      </c>
      <c r="T257" s="144">
        <f t="shared" si="148"/>
        <v>185142822</v>
      </c>
      <c r="U257" s="144">
        <f t="shared" si="148"/>
        <v>179327621</v>
      </c>
      <c r="V257" s="144">
        <f t="shared" si="148"/>
        <v>0</v>
      </c>
      <c r="W257" s="144">
        <f t="shared" si="148"/>
        <v>0</v>
      </c>
      <c r="X257" s="144">
        <f t="shared" si="148"/>
        <v>0</v>
      </c>
      <c r="Y257" s="144">
        <f t="shared" si="148"/>
        <v>0</v>
      </c>
      <c r="Z257" s="144">
        <f t="shared" si="148"/>
        <v>0</v>
      </c>
      <c r="AA257" s="144">
        <f t="shared" si="148"/>
        <v>0</v>
      </c>
      <c r="AB257" s="144">
        <f t="shared" si="148"/>
        <v>0</v>
      </c>
      <c r="AC257" s="144">
        <f t="shared" si="148"/>
        <v>0</v>
      </c>
      <c r="AD257" s="144">
        <f t="shared" si="148"/>
        <v>742017445</v>
      </c>
      <c r="AF257" s="7">
        <f t="shared" si="119"/>
        <v>0.72049324412921689</v>
      </c>
      <c r="AG257" s="7">
        <f t="shared" si="120"/>
        <v>0.72475989666762963</v>
      </c>
      <c r="AH257" s="7">
        <f t="shared" si="121"/>
        <v>0.68751392441419124</v>
      </c>
      <c r="AI257" s="7">
        <f t="shared" si="122"/>
        <v>0.72360593961292141</v>
      </c>
      <c r="AJ257" s="7" t="str">
        <f t="shared" si="123"/>
        <v/>
      </c>
      <c r="AK257" s="7" t="str">
        <f t="shared" si="124"/>
        <v/>
      </c>
      <c r="AL257" s="7" t="str">
        <f t="shared" si="125"/>
        <v/>
      </c>
      <c r="AM257" s="7" t="str">
        <f t="shared" si="126"/>
        <v/>
      </c>
      <c r="AN257" s="7" t="str">
        <f t="shared" si="127"/>
        <v/>
      </c>
      <c r="AO257" s="7" t="str">
        <f t="shared" si="128"/>
        <v/>
      </c>
      <c r="AP257" s="7" t="str">
        <f t="shared" si="129"/>
        <v/>
      </c>
      <c r="AQ257" s="2" t="str">
        <f t="shared" si="130"/>
        <v/>
      </c>
      <c r="AR257" s="2">
        <f t="shared" si="131"/>
        <v>0.71373515695906975</v>
      </c>
      <c r="AT257" s="7" t="str">
        <f>+IFERROR(AM257-AL257,"")</f>
        <v/>
      </c>
      <c r="AU257" s="7" t="str">
        <f>+IFERROR(AN257-AM257,"")</f>
        <v/>
      </c>
      <c r="AV257" s="145">
        <f t="shared" ref="AV257:BD257" si="149">+IFERROR(AI257-AH257,"")</f>
        <v>3.6092015198730176E-2</v>
      </c>
      <c r="AW257" s="145" t="str">
        <f t="shared" si="149"/>
        <v/>
      </c>
      <c r="AX257" s="145" t="str">
        <f t="shared" si="149"/>
        <v/>
      </c>
      <c r="AY257" s="145" t="str">
        <f t="shared" si="149"/>
        <v/>
      </c>
      <c r="AZ257" s="145" t="str">
        <f t="shared" si="149"/>
        <v/>
      </c>
      <c r="BA257" s="145" t="str">
        <f t="shared" si="149"/>
        <v/>
      </c>
      <c r="BB257" s="145" t="str">
        <f t="shared" si="149"/>
        <v/>
      </c>
      <c r="BC257" s="145" t="str">
        <f t="shared" si="149"/>
        <v/>
      </c>
      <c r="BD257" s="145" t="str">
        <f t="shared" si="149"/>
        <v/>
      </c>
      <c r="BF257" s="10">
        <f t="shared" si="132"/>
        <v>1</v>
      </c>
      <c r="BG257" s="10"/>
    </row>
    <row r="258" spans="2:59" x14ac:dyDescent="0.35">
      <c r="E258" s="148"/>
      <c r="S258" s="148"/>
    </row>
    <row r="259" spans="2:59" x14ac:dyDescent="0.35">
      <c r="E259" s="148"/>
      <c r="S259" s="148"/>
    </row>
  </sheetData>
  <mergeCells count="4">
    <mergeCell ref="AF2:AR2"/>
    <mergeCell ref="AT2:BD2"/>
    <mergeCell ref="D2:P2"/>
    <mergeCell ref="R2:AD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6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5" sqref="T5:T235"/>
    </sheetView>
  </sheetViews>
  <sheetFormatPr baseColWidth="10" defaultColWidth="11.54296875" defaultRowHeight="14.5" outlineLevelCol="1" x14ac:dyDescent="0.35"/>
  <cols>
    <col min="1" max="1" width="1.36328125" style="201" customWidth="1"/>
    <col min="2" max="2" width="63.36328125" style="201" customWidth="1"/>
    <col min="3" max="3" width="1.1796875" style="201" customWidth="1"/>
    <col min="4" max="4" width="16.54296875" style="201" hidden="1" customWidth="1" outlineLevel="1"/>
    <col min="5" max="6" width="16.54296875" style="201" customWidth="1" outlineLevel="1"/>
    <col min="7" max="12" width="16.54296875" style="201" hidden="1" customWidth="1" outlineLevel="1"/>
    <col min="13" max="13" width="15.453125" style="201" hidden="1" customWidth="1" outlineLevel="1"/>
    <col min="14" max="15" width="16.54296875" style="201" hidden="1" customWidth="1" outlineLevel="1"/>
    <col min="16" max="16" width="16.54296875" style="201" bestFit="1" customWidth="1" outlineLevel="1"/>
    <col min="17" max="17" width="0.90625" style="201" customWidth="1"/>
    <col min="18" max="18" width="11.81640625" style="201" hidden="1" customWidth="1" outlineLevel="1"/>
    <col min="19" max="20" width="10.08984375" style="201" customWidth="1" outlineLevel="1"/>
    <col min="21" max="21" width="10.08984375" style="201" hidden="1" customWidth="1" outlineLevel="1"/>
    <col min="22" max="29" width="11.81640625" style="201" hidden="1" customWidth="1" outlineLevel="1"/>
    <col min="30" max="30" width="11.81640625" style="201" bestFit="1" customWidth="1" outlineLevel="1"/>
    <col min="31" max="31" width="1.6328125" style="201" customWidth="1"/>
    <col min="32" max="124" width="11.54296875" style="201" customWidth="1"/>
    <col min="125" max="16384" width="11.54296875" style="201"/>
  </cols>
  <sheetData>
    <row r="1" spans="2:30" ht="22.9" customHeight="1" x14ac:dyDescent="0.35"/>
    <row r="2" spans="2:30" x14ac:dyDescent="0.35">
      <c r="D2" s="212" t="s">
        <v>334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R2" s="216" t="s">
        <v>335</v>
      </c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</row>
    <row r="3" spans="2:30" ht="4.9000000000000004" customHeight="1" x14ac:dyDescent="0.35"/>
    <row r="4" spans="2:30" ht="17.5" customHeight="1" x14ac:dyDescent="0.35">
      <c r="B4" s="1" t="s">
        <v>85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45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45</v>
      </c>
    </row>
    <row r="5" spans="2:30" x14ac:dyDescent="0.35">
      <c r="B5" s="3" t="s">
        <v>100</v>
      </c>
      <c r="D5" s="141">
        <v>17487169</v>
      </c>
      <c r="E5" s="141">
        <v>18517978</v>
      </c>
      <c r="F5" s="141">
        <v>29387624</v>
      </c>
      <c r="G5" s="141">
        <v>18754426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84147197</v>
      </c>
      <c r="R5" s="146">
        <v>197333</v>
      </c>
      <c r="S5" s="146">
        <v>206773</v>
      </c>
      <c r="T5" s="146">
        <v>234255</v>
      </c>
      <c r="U5" s="146">
        <v>250354</v>
      </c>
      <c r="V5" s="146"/>
      <c r="W5" s="146"/>
      <c r="X5" s="146"/>
      <c r="Y5" s="146"/>
      <c r="Z5" s="146"/>
      <c r="AA5" s="146"/>
      <c r="AB5" s="146"/>
      <c r="AC5" s="146"/>
      <c r="AD5" s="146">
        <f t="shared" ref="AD5:AD68" si="1">+SUM(R5:AC5)</f>
        <v>888715</v>
      </c>
    </row>
    <row r="6" spans="2:30" x14ac:dyDescent="0.35">
      <c r="B6" s="3" t="s">
        <v>110</v>
      </c>
      <c r="D6" s="141">
        <v>4438757</v>
      </c>
      <c r="E6" s="141">
        <v>4183009</v>
      </c>
      <c r="F6" s="141">
        <v>7187565</v>
      </c>
      <c r="G6" s="141">
        <v>4322160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20131491</v>
      </c>
      <c r="R6" s="146">
        <v>15526</v>
      </c>
      <c r="S6" s="146">
        <v>15470</v>
      </c>
      <c r="T6" s="146">
        <v>25813</v>
      </c>
      <c r="U6" s="146">
        <v>13680</v>
      </c>
      <c r="V6" s="146"/>
      <c r="W6" s="146"/>
      <c r="X6" s="146"/>
      <c r="Y6" s="146"/>
      <c r="Z6" s="146"/>
      <c r="AA6" s="146"/>
      <c r="AB6" s="146"/>
      <c r="AC6" s="146"/>
      <c r="AD6" s="146">
        <f t="shared" si="1"/>
        <v>70489</v>
      </c>
    </row>
    <row r="7" spans="2:30" x14ac:dyDescent="0.35">
      <c r="B7" s="3" t="s">
        <v>103</v>
      </c>
      <c r="D7" s="141">
        <v>17879694</v>
      </c>
      <c r="E7" s="141">
        <v>17889587</v>
      </c>
      <c r="F7" s="141">
        <v>26242850</v>
      </c>
      <c r="G7" s="141">
        <v>16638246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78650377</v>
      </c>
      <c r="R7" s="146">
        <v>97629</v>
      </c>
      <c r="S7" s="146">
        <v>96618</v>
      </c>
      <c r="T7" s="146">
        <v>128247</v>
      </c>
      <c r="U7" s="146">
        <v>90525</v>
      </c>
      <c r="V7" s="146"/>
      <c r="W7" s="146"/>
      <c r="X7" s="146"/>
      <c r="Y7" s="146"/>
      <c r="Z7" s="146"/>
      <c r="AA7" s="146"/>
      <c r="AB7" s="146"/>
      <c r="AC7" s="146"/>
      <c r="AD7" s="146">
        <f t="shared" si="1"/>
        <v>413019</v>
      </c>
    </row>
    <row r="8" spans="2:30" x14ac:dyDescent="0.35">
      <c r="B8" s="3" t="s">
        <v>109</v>
      </c>
      <c r="D8" s="141">
        <v>1601462</v>
      </c>
      <c r="E8" s="141">
        <v>1650086</v>
      </c>
      <c r="F8" s="141">
        <v>1413811</v>
      </c>
      <c r="G8" s="141">
        <v>1071370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5736729</v>
      </c>
      <c r="R8" s="146">
        <v>6418</v>
      </c>
      <c r="S8" s="146">
        <v>6152</v>
      </c>
      <c r="T8" s="146">
        <v>6226</v>
      </c>
      <c r="U8" s="146">
        <v>4732</v>
      </c>
      <c r="V8" s="146"/>
      <c r="W8" s="146"/>
      <c r="X8" s="146"/>
      <c r="Y8" s="146"/>
      <c r="Z8" s="146"/>
      <c r="AA8" s="146"/>
      <c r="AB8" s="146"/>
      <c r="AC8" s="146"/>
      <c r="AD8" s="146">
        <f t="shared" si="1"/>
        <v>23528</v>
      </c>
    </row>
    <row r="9" spans="2:30" x14ac:dyDescent="0.35">
      <c r="B9" s="3" t="s">
        <v>99</v>
      </c>
      <c r="D9" s="141">
        <v>9344358</v>
      </c>
      <c r="E9" s="141">
        <v>9041475</v>
      </c>
      <c r="F9" s="141">
        <v>9708534</v>
      </c>
      <c r="G9" s="141">
        <v>7924076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36018443</v>
      </c>
      <c r="R9" s="146">
        <v>101176</v>
      </c>
      <c r="S9" s="146">
        <v>99587</v>
      </c>
      <c r="T9" s="146">
        <v>111365</v>
      </c>
      <c r="U9" s="146">
        <v>89987</v>
      </c>
      <c r="V9" s="146"/>
      <c r="W9" s="146"/>
      <c r="X9" s="146"/>
      <c r="Y9" s="146"/>
      <c r="Z9" s="146"/>
      <c r="AA9" s="146"/>
      <c r="AB9" s="146"/>
      <c r="AC9" s="146"/>
      <c r="AD9" s="146">
        <f t="shared" si="1"/>
        <v>402115</v>
      </c>
    </row>
    <row r="10" spans="2:30" x14ac:dyDescent="0.35">
      <c r="B10" s="3" t="s">
        <v>102</v>
      </c>
      <c r="D10" s="141">
        <v>10519936</v>
      </c>
      <c r="E10" s="141">
        <v>9472550</v>
      </c>
      <c r="F10" s="141">
        <v>11962584</v>
      </c>
      <c r="G10" s="141">
        <v>9025506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40980576</v>
      </c>
      <c r="R10" s="146">
        <v>143169</v>
      </c>
      <c r="S10" s="146">
        <v>132213</v>
      </c>
      <c r="T10" s="146">
        <v>161982</v>
      </c>
      <c r="U10" s="146">
        <v>125975</v>
      </c>
      <c r="V10" s="146"/>
      <c r="W10" s="146"/>
      <c r="X10" s="146"/>
      <c r="Y10" s="146"/>
      <c r="Z10" s="146"/>
      <c r="AA10" s="146"/>
      <c r="AB10" s="146"/>
      <c r="AC10" s="146"/>
      <c r="AD10" s="146">
        <f t="shared" si="1"/>
        <v>563339</v>
      </c>
    </row>
    <row r="11" spans="2:30" x14ac:dyDescent="0.35">
      <c r="B11" s="3" t="s">
        <v>101</v>
      </c>
      <c r="D11" s="141">
        <v>9069843</v>
      </c>
      <c r="E11" s="141">
        <v>8698772</v>
      </c>
      <c r="F11" s="141">
        <v>9864464</v>
      </c>
      <c r="G11" s="141">
        <v>11277126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38910205</v>
      </c>
      <c r="R11" s="146">
        <v>99980</v>
      </c>
      <c r="S11" s="146">
        <v>96830</v>
      </c>
      <c r="T11" s="146">
        <v>97698</v>
      </c>
      <c r="U11" s="146">
        <v>104374</v>
      </c>
      <c r="V11" s="146"/>
      <c r="W11" s="146"/>
      <c r="X11" s="146"/>
      <c r="Y11" s="146"/>
      <c r="Z11" s="146"/>
      <c r="AA11" s="146"/>
      <c r="AB11" s="146"/>
      <c r="AC11" s="146"/>
      <c r="AD11" s="146">
        <f t="shared" si="1"/>
        <v>398882</v>
      </c>
    </row>
    <row r="12" spans="2:30" x14ac:dyDescent="0.35">
      <c r="B12" s="3" t="s">
        <v>104</v>
      </c>
      <c r="D12" s="141">
        <v>4623035</v>
      </c>
      <c r="E12" s="141">
        <v>4174803</v>
      </c>
      <c r="F12" s="141">
        <v>5655863</v>
      </c>
      <c r="G12" s="141">
        <v>3495561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17949262</v>
      </c>
      <c r="R12" s="146">
        <v>17501</v>
      </c>
      <c r="S12" s="146">
        <v>15551</v>
      </c>
      <c r="T12" s="146">
        <v>21903</v>
      </c>
      <c r="U12" s="146">
        <v>12563</v>
      </c>
      <c r="V12" s="146"/>
      <c r="W12" s="146"/>
      <c r="X12" s="146"/>
      <c r="Y12" s="146"/>
      <c r="Z12" s="146"/>
      <c r="AA12" s="146"/>
      <c r="AB12" s="146"/>
      <c r="AC12" s="146"/>
      <c r="AD12" s="146">
        <f t="shared" si="1"/>
        <v>67518</v>
      </c>
    </row>
    <row r="13" spans="2:30" x14ac:dyDescent="0.35">
      <c r="B13" s="3" t="s">
        <v>133</v>
      </c>
      <c r="D13" s="141">
        <v>418152</v>
      </c>
      <c r="E13" s="141">
        <v>450825</v>
      </c>
      <c r="F13" s="141">
        <v>556641</v>
      </c>
      <c r="G13" s="141">
        <v>397336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1822954</v>
      </c>
      <c r="R13" s="146">
        <v>632</v>
      </c>
      <c r="S13" s="146">
        <v>568</v>
      </c>
      <c r="T13" s="146">
        <v>675</v>
      </c>
      <c r="U13" s="146">
        <v>546</v>
      </c>
      <c r="V13" s="146"/>
      <c r="W13" s="146"/>
      <c r="X13" s="146"/>
      <c r="Y13" s="146"/>
      <c r="Z13" s="146"/>
      <c r="AA13" s="146"/>
      <c r="AB13" s="146"/>
      <c r="AC13" s="146"/>
      <c r="AD13" s="146">
        <f t="shared" si="1"/>
        <v>2421</v>
      </c>
    </row>
    <row r="14" spans="2:30" x14ac:dyDescent="0.35">
      <c r="B14" s="3" t="s">
        <v>118</v>
      </c>
      <c r="D14" s="141">
        <v>2089033</v>
      </c>
      <c r="E14" s="141">
        <v>1743552</v>
      </c>
      <c r="F14" s="141">
        <v>2364611</v>
      </c>
      <c r="G14" s="141">
        <v>1782570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7979766</v>
      </c>
      <c r="R14" s="146">
        <v>13887</v>
      </c>
      <c r="S14" s="146">
        <v>12663</v>
      </c>
      <c r="T14" s="146">
        <v>16435</v>
      </c>
      <c r="U14" s="146">
        <v>11565</v>
      </c>
      <c r="V14" s="146"/>
      <c r="W14" s="146"/>
      <c r="X14" s="146"/>
      <c r="Y14" s="146"/>
      <c r="Z14" s="146"/>
      <c r="AA14" s="146"/>
      <c r="AB14" s="146"/>
      <c r="AC14" s="146"/>
      <c r="AD14" s="146">
        <f t="shared" si="1"/>
        <v>54550</v>
      </c>
    </row>
    <row r="15" spans="2:30" x14ac:dyDescent="0.35">
      <c r="B15" s="3" t="s">
        <v>105</v>
      </c>
      <c r="D15" s="141">
        <v>4096127</v>
      </c>
      <c r="E15" s="141">
        <v>3929537</v>
      </c>
      <c r="F15" s="141">
        <v>5065525</v>
      </c>
      <c r="G15" s="141">
        <v>3684081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16775270</v>
      </c>
      <c r="R15" s="146">
        <v>116468</v>
      </c>
      <c r="S15" s="146">
        <v>115901</v>
      </c>
      <c r="T15" s="146">
        <v>104941</v>
      </c>
      <c r="U15" s="146">
        <v>107924</v>
      </c>
      <c r="V15" s="146"/>
      <c r="W15" s="146"/>
      <c r="X15" s="146"/>
      <c r="Y15" s="146"/>
      <c r="Z15" s="146"/>
      <c r="AA15" s="146"/>
      <c r="AB15" s="146"/>
      <c r="AC15" s="146"/>
      <c r="AD15" s="146">
        <f t="shared" si="1"/>
        <v>445234</v>
      </c>
    </row>
    <row r="16" spans="2:30" x14ac:dyDescent="0.35">
      <c r="B16" s="3" t="s">
        <v>108</v>
      </c>
      <c r="D16" s="141">
        <v>4006221</v>
      </c>
      <c r="E16" s="141">
        <v>4037145</v>
      </c>
      <c r="F16" s="141">
        <v>4652107</v>
      </c>
      <c r="G16" s="141">
        <v>3737593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16433066</v>
      </c>
      <c r="R16" s="146">
        <v>16143</v>
      </c>
      <c r="S16" s="146">
        <v>16152</v>
      </c>
      <c r="T16" s="146">
        <v>19974</v>
      </c>
      <c r="U16" s="146">
        <v>14267</v>
      </c>
      <c r="V16" s="146"/>
      <c r="W16" s="146"/>
      <c r="X16" s="146"/>
      <c r="Y16" s="146"/>
      <c r="Z16" s="146"/>
      <c r="AA16" s="146"/>
      <c r="AB16" s="146"/>
      <c r="AC16" s="146"/>
      <c r="AD16" s="146">
        <f t="shared" si="1"/>
        <v>66536</v>
      </c>
    </row>
    <row r="17" spans="2:30" x14ac:dyDescent="0.35">
      <c r="B17" s="3" t="s">
        <v>164</v>
      </c>
      <c r="D17" s="141">
        <v>2713481</v>
      </c>
      <c r="E17" s="141">
        <v>2332563</v>
      </c>
      <c r="F17" s="141">
        <v>4501333</v>
      </c>
      <c r="G17" s="141">
        <v>1209881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10757258</v>
      </c>
      <c r="R17" s="146">
        <v>12347</v>
      </c>
      <c r="S17" s="146">
        <v>10267</v>
      </c>
      <c r="T17" s="146">
        <v>20831</v>
      </c>
      <c r="U17" s="146">
        <v>4619</v>
      </c>
      <c r="V17" s="146"/>
      <c r="W17" s="146"/>
      <c r="X17" s="146"/>
      <c r="Y17" s="146"/>
      <c r="Z17" s="146"/>
      <c r="AA17" s="146"/>
      <c r="AB17" s="146"/>
      <c r="AC17" s="146"/>
      <c r="AD17" s="146">
        <f t="shared" si="1"/>
        <v>48064</v>
      </c>
    </row>
    <row r="18" spans="2:30" x14ac:dyDescent="0.35">
      <c r="B18" s="3" t="s">
        <v>207</v>
      </c>
      <c r="D18" s="141">
        <v>1077436</v>
      </c>
      <c r="E18" s="141">
        <v>1115411</v>
      </c>
      <c r="F18" s="141">
        <v>1138064</v>
      </c>
      <c r="G18" s="141">
        <v>1060374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4391285</v>
      </c>
      <c r="R18" s="146">
        <v>789</v>
      </c>
      <c r="S18" s="146">
        <v>650</v>
      </c>
      <c r="T18" s="146">
        <v>616</v>
      </c>
      <c r="U18" s="146">
        <v>644</v>
      </c>
      <c r="V18" s="146"/>
      <c r="W18" s="146"/>
      <c r="X18" s="146"/>
      <c r="Y18" s="146"/>
      <c r="Z18" s="146"/>
      <c r="AA18" s="146"/>
      <c r="AB18" s="146"/>
      <c r="AC18" s="146"/>
      <c r="AD18" s="146">
        <f t="shared" si="1"/>
        <v>2699</v>
      </c>
    </row>
    <row r="19" spans="2:30" x14ac:dyDescent="0.35">
      <c r="B19" s="3" t="s">
        <v>111</v>
      </c>
      <c r="D19" s="141">
        <v>3031331</v>
      </c>
      <c r="E19" s="141">
        <v>3347179</v>
      </c>
      <c r="F19" s="141">
        <v>2754101</v>
      </c>
      <c r="G19" s="141">
        <v>2904233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12036844</v>
      </c>
      <c r="R19" s="146">
        <v>13903</v>
      </c>
      <c r="S19" s="146">
        <v>15266</v>
      </c>
      <c r="T19" s="146">
        <v>11161</v>
      </c>
      <c r="U19" s="146">
        <v>12859</v>
      </c>
      <c r="V19" s="146"/>
      <c r="W19" s="146"/>
      <c r="X19" s="146"/>
      <c r="Y19" s="146"/>
      <c r="Z19" s="146"/>
      <c r="AA19" s="146"/>
      <c r="AB19" s="146"/>
      <c r="AC19" s="146"/>
      <c r="AD19" s="146">
        <f t="shared" si="1"/>
        <v>53189</v>
      </c>
    </row>
    <row r="20" spans="2:30" x14ac:dyDescent="0.35">
      <c r="B20" s="3" t="s">
        <v>120</v>
      </c>
      <c r="D20" s="141">
        <v>1042101</v>
      </c>
      <c r="E20" s="141">
        <v>952838</v>
      </c>
      <c r="F20" s="141">
        <v>1584285</v>
      </c>
      <c r="G20" s="141">
        <v>730937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4310161</v>
      </c>
      <c r="R20" s="146">
        <v>3314</v>
      </c>
      <c r="S20" s="146">
        <v>3138</v>
      </c>
      <c r="T20" s="146">
        <v>4218</v>
      </c>
      <c r="U20" s="146">
        <v>2589</v>
      </c>
      <c r="V20" s="146"/>
      <c r="W20" s="146"/>
      <c r="X20" s="146"/>
      <c r="Y20" s="146"/>
      <c r="Z20" s="146"/>
      <c r="AA20" s="146"/>
      <c r="AB20" s="146"/>
      <c r="AC20" s="146"/>
      <c r="AD20" s="146">
        <f t="shared" si="1"/>
        <v>13259</v>
      </c>
    </row>
    <row r="21" spans="2:30" x14ac:dyDescent="0.35">
      <c r="B21" s="3" t="s">
        <v>106</v>
      </c>
      <c r="D21" s="141">
        <v>2621754</v>
      </c>
      <c r="E21" s="141">
        <v>2568997</v>
      </c>
      <c r="F21" s="141">
        <v>2862567</v>
      </c>
      <c r="G21" s="141">
        <v>2330772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10384090</v>
      </c>
      <c r="R21" s="146">
        <v>17858</v>
      </c>
      <c r="S21" s="146">
        <v>16355</v>
      </c>
      <c r="T21" s="146">
        <v>17644</v>
      </c>
      <c r="U21" s="146">
        <v>15006</v>
      </c>
      <c r="V21" s="146"/>
      <c r="W21" s="146"/>
      <c r="X21" s="146"/>
      <c r="Y21" s="146"/>
      <c r="Z21" s="146"/>
      <c r="AA21" s="146"/>
      <c r="AB21" s="146"/>
      <c r="AC21" s="146"/>
      <c r="AD21" s="146">
        <f t="shared" si="1"/>
        <v>66863</v>
      </c>
    </row>
    <row r="22" spans="2:30" x14ac:dyDescent="0.35">
      <c r="B22" s="3" t="s">
        <v>113</v>
      </c>
      <c r="D22" s="141">
        <v>2370122</v>
      </c>
      <c r="E22" s="141">
        <v>1943603</v>
      </c>
      <c r="F22" s="141">
        <v>1913958</v>
      </c>
      <c r="G22" s="141">
        <v>2039446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8267129</v>
      </c>
      <c r="R22" s="146">
        <v>2621</v>
      </c>
      <c r="S22" s="146">
        <v>2363</v>
      </c>
      <c r="T22" s="146">
        <v>2420</v>
      </c>
      <c r="U22" s="146">
        <v>2199</v>
      </c>
      <c r="V22" s="146"/>
      <c r="W22" s="146"/>
      <c r="X22" s="146"/>
      <c r="Y22" s="146"/>
      <c r="Z22" s="146"/>
      <c r="AA22" s="146"/>
      <c r="AB22" s="146"/>
      <c r="AC22" s="146"/>
      <c r="AD22" s="146">
        <f t="shared" si="1"/>
        <v>9603</v>
      </c>
    </row>
    <row r="23" spans="2:30" x14ac:dyDescent="0.35">
      <c r="B23" s="3" t="s">
        <v>114</v>
      </c>
      <c r="D23" s="141">
        <v>568560</v>
      </c>
      <c r="E23" s="141">
        <v>488049</v>
      </c>
      <c r="F23" s="141">
        <v>716462</v>
      </c>
      <c r="G23" s="141">
        <v>431973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2205044</v>
      </c>
      <c r="R23" s="146">
        <v>2218</v>
      </c>
      <c r="S23" s="146">
        <v>2057</v>
      </c>
      <c r="T23" s="146">
        <v>2840</v>
      </c>
      <c r="U23" s="146">
        <v>1686</v>
      </c>
      <c r="V23" s="146"/>
      <c r="W23" s="146"/>
      <c r="X23" s="146"/>
      <c r="Y23" s="146"/>
      <c r="Z23" s="146"/>
      <c r="AA23" s="146"/>
      <c r="AB23" s="146"/>
      <c r="AC23" s="146"/>
      <c r="AD23" s="146">
        <f t="shared" si="1"/>
        <v>8801</v>
      </c>
    </row>
    <row r="24" spans="2:30" x14ac:dyDescent="0.35">
      <c r="B24" s="3" t="s">
        <v>107</v>
      </c>
      <c r="D24" s="141">
        <v>2582683</v>
      </c>
      <c r="E24" s="141">
        <v>2168000</v>
      </c>
      <c r="F24" s="141">
        <v>4508721</v>
      </c>
      <c r="G24" s="141">
        <v>2441627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11701031</v>
      </c>
      <c r="R24" s="146">
        <v>7413</v>
      </c>
      <c r="S24" s="146">
        <v>8344</v>
      </c>
      <c r="T24" s="146">
        <v>46744</v>
      </c>
      <c r="U24" s="146">
        <v>7524</v>
      </c>
      <c r="V24" s="146"/>
      <c r="W24" s="146"/>
      <c r="X24" s="146"/>
      <c r="Y24" s="146"/>
      <c r="Z24" s="146"/>
      <c r="AA24" s="146"/>
      <c r="AB24" s="146"/>
      <c r="AC24" s="146"/>
      <c r="AD24" s="146">
        <f t="shared" si="1"/>
        <v>70025</v>
      </c>
    </row>
    <row r="25" spans="2:30" x14ac:dyDescent="0.35">
      <c r="B25" s="3" t="s">
        <v>117</v>
      </c>
      <c r="D25" s="141">
        <v>1084968</v>
      </c>
      <c r="E25" s="141">
        <v>1000378</v>
      </c>
      <c r="F25" s="141">
        <v>1519717</v>
      </c>
      <c r="G25" s="141">
        <v>893517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4498580</v>
      </c>
      <c r="R25" s="146">
        <v>4484</v>
      </c>
      <c r="S25" s="146">
        <v>4379</v>
      </c>
      <c r="T25" s="146">
        <v>5533</v>
      </c>
      <c r="U25" s="146">
        <v>4021</v>
      </c>
      <c r="V25" s="146"/>
      <c r="W25" s="146"/>
      <c r="X25" s="146"/>
      <c r="Y25" s="146"/>
      <c r="Z25" s="146"/>
      <c r="AA25" s="146"/>
      <c r="AB25" s="146"/>
      <c r="AC25" s="146"/>
      <c r="AD25" s="146">
        <f t="shared" si="1"/>
        <v>18417</v>
      </c>
    </row>
    <row r="26" spans="2:30" x14ac:dyDescent="0.35">
      <c r="B26" s="3" t="s">
        <v>116</v>
      </c>
      <c r="D26" s="141">
        <v>1487724</v>
      </c>
      <c r="E26" s="141">
        <v>1322723</v>
      </c>
      <c r="F26" s="141">
        <v>1618983</v>
      </c>
      <c r="G26" s="141">
        <v>1194545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5623975</v>
      </c>
      <c r="R26" s="146">
        <v>6640</v>
      </c>
      <c r="S26" s="146">
        <v>6193</v>
      </c>
      <c r="T26" s="146">
        <v>6614</v>
      </c>
      <c r="U26" s="146">
        <v>5529</v>
      </c>
      <c r="V26" s="146"/>
      <c r="W26" s="146"/>
      <c r="X26" s="146"/>
      <c r="Y26" s="146"/>
      <c r="Z26" s="146"/>
      <c r="AA26" s="146"/>
      <c r="AB26" s="146"/>
      <c r="AC26" s="146"/>
      <c r="AD26" s="146">
        <f t="shared" si="1"/>
        <v>24976</v>
      </c>
    </row>
    <row r="27" spans="2:30" x14ac:dyDescent="0.35">
      <c r="B27" s="3" t="s">
        <v>142</v>
      </c>
      <c r="D27" s="141">
        <v>1572181</v>
      </c>
      <c r="E27" s="141">
        <v>2283736</v>
      </c>
      <c r="F27" s="141">
        <v>2496100</v>
      </c>
      <c r="G27" s="141">
        <v>1241930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7593947</v>
      </c>
      <c r="R27" s="146">
        <v>1988</v>
      </c>
      <c r="S27" s="146">
        <v>2505</v>
      </c>
      <c r="T27" s="146">
        <v>2654</v>
      </c>
      <c r="U27" s="146">
        <v>1551</v>
      </c>
      <c r="V27" s="146"/>
      <c r="W27" s="146"/>
      <c r="X27" s="146"/>
      <c r="Y27" s="146"/>
      <c r="Z27" s="146"/>
      <c r="AA27" s="146"/>
      <c r="AB27" s="146"/>
      <c r="AC27" s="146"/>
      <c r="AD27" s="146">
        <f t="shared" si="1"/>
        <v>8698</v>
      </c>
    </row>
    <row r="28" spans="2:30" x14ac:dyDescent="0.35">
      <c r="B28" s="3" t="s">
        <v>122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6">
        <v>1251</v>
      </c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>
        <f t="shared" si="1"/>
        <v>1251</v>
      </c>
    </row>
    <row r="29" spans="2:30" x14ac:dyDescent="0.35">
      <c r="B29" s="3" t="s">
        <v>144</v>
      </c>
      <c r="D29" s="141">
        <v>171806</v>
      </c>
      <c r="E29" s="141">
        <v>259888</v>
      </c>
      <c r="F29" s="141">
        <v>312734</v>
      </c>
      <c r="G29" s="141">
        <v>659534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1403962</v>
      </c>
      <c r="R29" s="146">
        <v>522</v>
      </c>
      <c r="S29" s="146">
        <v>692</v>
      </c>
      <c r="T29" s="146">
        <v>831</v>
      </c>
      <c r="U29" s="146">
        <v>1151</v>
      </c>
      <c r="V29" s="146"/>
      <c r="W29" s="146"/>
      <c r="X29" s="146"/>
      <c r="Y29" s="146"/>
      <c r="Z29" s="146"/>
      <c r="AA29" s="146"/>
      <c r="AB29" s="146"/>
      <c r="AC29" s="146"/>
      <c r="AD29" s="146">
        <f t="shared" si="1"/>
        <v>3196</v>
      </c>
    </row>
    <row r="30" spans="2:30" x14ac:dyDescent="0.35">
      <c r="B30" s="3" t="s">
        <v>123</v>
      </c>
      <c r="D30" s="141">
        <v>138868</v>
      </c>
      <c r="E30" s="141">
        <v>130515</v>
      </c>
      <c r="F30" s="141">
        <v>148108</v>
      </c>
      <c r="G30" s="141">
        <v>119052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536543</v>
      </c>
      <c r="R30" s="146">
        <v>135</v>
      </c>
      <c r="S30" s="146">
        <v>124</v>
      </c>
      <c r="T30" s="146">
        <v>210</v>
      </c>
      <c r="U30" s="146">
        <v>134</v>
      </c>
      <c r="V30" s="146"/>
      <c r="W30" s="146"/>
      <c r="X30" s="146"/>
      <c r="Y30" s="146"/>
      <c r="Z30" s="146"/>
      <c r="AA30" s="146"/>
      <c r="AB30" s="146"/>
      <c r="AC30" s="146"/>
      <c r="AD30" s="146">
        <f t="shared" si="1"/>
        <v>603</v>
      </c>
    </row>
    <row r="31" spans="2:30" x14ac:dyDescent="0.35">
      <c r="B31" s="3" t="s">
        <v>115</v>
      </c>
      <c r="D31" s="141">
        <v>2167808</v>
      </c>
      <c r="E31" s="141">
        <v>2052013</v>
      </c>
      <c r="F31" s="141">
        <v>2557047</v>
      </c>
      <c r="G31" s="141">
        <v>1858543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8635411</v>
      </c>
      <c r="R31" s="146">
        <v>56515</v>
      </c>
      <c r="S31" s="146">
        <v>52308</v>
      </c>
      <c r="T31" s="146">
        <v>64949</v>
      </c>
      <c r="U31" s="146">
        <v>47749</v>
      </c>
      <c r="V31" s="146"/>
      <c r="W31" s="146"/>
      <c r="X31" s="146"/>
      <c r="Y31" s="146"/>
      <c r="Z31" s="146"/>
      <c r="AA31" s="146"/>
      <c r="AB31" s="146"/>
      <c r="AC31" s="146"/>
      <c r="AD31" s="146">
        <f t="shared" si="1"/>
        <v>221521</v>
      </c>
    </row>
    <row r="32" spans="2:30" x14ac:dyDescent="0.35">
      <c r="B32" s="3" t="s">
        <v>137</v>
      </c>
      <c r="D32" s="141">
        <v>3611530</v>
      </c>
      <c r="E32" s="141">
        <v>1696890</v>
      </c>
      <c r="F32" s="141">
        <v>2604131</v>
      </c>
      <c r="G32" s="141">
        <v>2907883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10820434</v>
      </c>
      <c r="R32" s="146">
        <v>70956</v>
      </c>
      <c r="S32" s="146">
        <v>4724</v>
      </c>
      <c r="T32" s="146">
        <v>125051</v>
      </c>
      <c r="U32" s="146">
        <v>14560</v>
      </c>
      <c r="V32" s="146"/>
      <c r="W32" s="146"/>
      <c r="X32" s="146"/>
      <c r="Y32" s="146"/>
      <c r="Z32" s="146"/>
      <c r="AA32" s="146"/>
      <c r="AB32" s="146"/>
      <c r="AC32" s="146"/>
      <c r="AD32" s="146">
        <f t="shared" si="1"/>
        <v>215291</v>
      </c>
    </row>
    <row r="33" spans="2:30" x14ac:dyDescent="0.35">
      <c r="B33" s="3" t="s">
        <v>184</v>
      </c>
      <c r="D33" s="141">
        <v>92369</v>
      </c>
      <c r="E33" s="141">
        <v>85852</v>
      </c>
      <c r="F33" s="141">
        <v>91496</v>
      </c>
      <c r="G33" s="141">
        <v>71766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341483</v>
      </c>
      <c r="R33" s="146">
        <v>425</v>
      </c>
      <c r="S33" s="146">
        <v>384</v>
      </c>
      <c r="T33" s="146">
        <v>428</v>
      </c>
      <c r="U33" s="146">
        <v>323</v>
      </c>
      <c r="V33" s="146"/>
      <c r="W33" s="146"/>
      <c r="X33" s="146"/>
      <c r="Y33" s="146"/>
      <c r="Z33" s="146"/>
      <c r="AA33" s="146"/>
      <c r="AB33" s="146"/>
      <c r="AC33" s="146"/>
      <c r="AD33" s="146">
        <f t="shared" si="1"/>
        <v>1560</v>
      </c>
    </row>
    <row r="34" spans="2:30" x14ac:dyDescent="0.35">
      <c r="B34" s="3" t="s">
        <v>147</v>
      </c>
      <c r="D34" s="141">
        <v>3896499</v>
      </c>
      <c r="E34" s="141">
        <v>3722369</v>
      </c>
      <c r="F34" s="141">
        <v>5521124</v>
      </c>
      <c r="G34" s="141">
        <v>4926737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18066729</v>
      </c>
      <c r="R34" s="146">
        <v>9974</v>
      </c>
      <c r="S34" s="146">
        <v>10498</v>
      </c>
      <c r="T34" s="146">
        <v>19817</v>
      </c>
      <c r="U34" s="146">
        <v>11326</v>
      </c>
      <c r="V34" s="146"/>
      <c r="W34" s="146"/>
      <c r="X34" s="146"/>
      <c r="Y34" s="146"/>
      <c r="Z34" s="146"/>
      <c r="AA34" s="146"/>
      <c r="AB34" s="146"/>
      <c r="AC34" s="146"/>
      <c r="AD34" s="146">
        <f t="shared" si="1"/>
        <v>51615</v>
      </c>
    </row>
    <row r="35" spans="2:30" x14ac:dyDescent="0.35">
      <c r="B35" s="3" t="s">
        <v>121</v>
      </c>
      <c r="D35" s="141">
        <v>1304487</v>
      </c>
      <c r="E35" s="141">
        <v>1426866</v>
      </c>
      <c r="F35" s="141">
        <v>1659170</v>
      </c>
      <c r="G35" s="141">
        <v>959442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5349965</v>
      </c>
      <c r="R35" s="146">
        <v>2945</v>
      </c>
      <c r="S35" s="146">
        <v>2752</v>
      </c>
      <c r="T35" s="146">
        <v>3967</v>
      </c>
      <c r="U35" s="146">
        <v>2409</v>
      </c>
      <c r="V35" s="146"/>
      <c r="W35" s="146"/>
      <c r="X35" s="146"/>
      <c r="Y35" s="146"/>
      <c r="Z35" s="146"/>
      <c r="AA35" s="146"/>
      <c r="AB35" s="146"/>
      <c r="AC35" s="146"/>
      <c r="AD35" s="146">
        <f t="shared" si="1"/>
        <v>12073</v>
      </c>
    </row>
    <row r="36" spans="2:30" x14ac:dyDescent="0.35">
      <c r="B36" s="3" t="s">
        <v>183</v>
      </c>
      <c r="D36" s="141">
        <v>7685</v>
      </c>
      <c r="E36" s="141">
        <v>5636</v>
      </c>
      <c r="F36" s="141">
        <v>9187</v>
      </c>
      <c r="G36" s="141">
        <v>7013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29521</v>
      </c>
      <c r="R36" s="146">
        <v>108</v>
      </c>
      <c r="S36" s="146">
        <v>86</v>
      </c>
      <c r="T36" s="146">
        <v>135</v>
      </c>
      <c r="U36" s="146">
        <v>83</v>
      </c>
      <c r="V36" s="146"/>
      <c r="W36" s="146"/>
      <c r="X36" s="146"/>
      <c r="Y36" s="146"/>
      <c r="Z36" s="146"/>
      <c r="AA36" s="146"/>
      <c r="AB36" s="146"/>
      <c r="AC36" s="146"/>
      <c r="AD36" s="146">
        <f t="shared" si="1"/>
        <v>412</v>
      </c>
    </row>
    <row r="37" spans="2:30" x14ac:dyDescent="0.35">
      <c r="B37" s="3" t="s">
        <v>124</v>
      </c>
      <c r="D37" s="141">
        <v>879260</v>
      </c>
      <c r="E37" s="141">
        <v>878552</v>
      </c>
      <c r="F37" s="141">
        <v>1132319</v>
      </c>
      <c r="G37" s="141">
        <v>769498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3659629</v>
      </c>
      <c r="R37" s="146">
        <v>4934</v>
      </c>
      <c r="S37" s="146">
        <v>4976</v>
      </c>
      <c r="T37" s="146">
        <v>6542</v>
      </c>
      <c r="U37" s="146">
        <v>4297</v>
      </c>
      <c r="V37" s="146"/>
      <c r="W37" s="146"/>
      <c r="X37" s="146"/>
      <c r="Y37" s="146"/>
      <c r="Z37" s="146"/>
      <c r="AA37" s="146"/>
      <c r="AB37" s="146"/>
      <c r="AC37" s="146"/>
      <c r="AD37" s="146">
        <f t="shared" si="1"/>
        <v>20749</v>
      </c>
    </row>
    <row r="38" spans="2:30" x14ac:dyDescent="0.35">
      <c r="B38" s="3" t="s">
        <v>127</v>
      </c>
      <c r="D38" s="141">
        <v>602900</v>
      </c>
      <c r="E38" s="141">
        <v>534672</v>
      </c>
      <c r="F38" s="141">
        <v>675296</v>
      </c>
      <c r="G38" s="141">
        <v>527859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2340727</v>
      </c>
      <c r="R38" s="146">
        <v>640</v>
      </c>
      <c r="S38" s="146">
        <v>599</v>
      </c>
      <c r="T38" s="146">
        <v>812</v>
      </c>
      <c r="U38" s="146">
        <v>536</v>
      </c>
      <c r="V38" s="146"/>
      <c r="W38" s="146"/>
      <c r="X38" s="146"/>
      <c r="Y38" s="146"/>
      <c r="Z38" s="146"/>
      <c r="AA38" s="146"/>
      <c r="AB38" s="146"/>
      <c r="AC38" s="146"/>
      <c r="AD38" s="146">
        <f t="shared" si="1"/>
        <v>2587</v>
      </c>
    </row>
    <row r="39" spans="2:30" x14ac:dyDescent="0.35">
      <c r="B39" s="3" t="s">
        <v>112</v>
      </c>
      <c r="D39" s="141">
        <v>10028821</v>
      </c>
      <c r="E39" s="141">
        <v>9845438</v>
      </c>
      <c r="F39" s="141">
        <v>7325446</v>
      </c>
      <c r="G39" s="141">
        <v>7871261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35070966</v>
      </c>
      <c r="R39" s="146">
        <v>18531</v>
      </c>
      <c r="S39" s="146">
        <v>20544</v>
      </c>
      <c r="T39" s="146">
        <v>14881</v>
      </c>
      <c r="U39" s="146">
        <v>18926</v>
      </c>
      <c r="V39" s="146"/>
      <c r="W39" s="146"/>
      <c r="X39" s="146"/>
      <c r="Y39" s="146"/>
      <c r="Z39" s="146"/>
      <c r="AA39" s="146"/>
      <c r="AB39" s="146"/>
      <c r="AC39" s="146"/>
      <c r="AD39" s="146">
        <f t="shared" si="1"/>
        <v>72882</v>
      </c>
    </row>
    <row r="40" spans="2:30" x14ac:dyDescent="0.35">
      <c r="B40" s="3" t="s">
        <v>129</v>
      </c>
      <c r="D40" s="141">
        <v>517922</v>
      </c>
      <c r="E40" s="141">
        <v>548568</v>
      </c>
      <c r="F40" s="141">
        <v>719680</v>
      </c>
      <c r="G40" s="141">
        <v>416871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2203041</v>
      </c>
      <c r="R40" s="146">
        <v>786</v>
      </c>
      <c r="S40" s="146">
        <v>752</v>
      </c>
      <c r="T40" s="146">
        <v>1207</v>
      </c>
      <c r="U40" s="146">
        <v>691</v>
      </c>
      <c r="V40" s="146"/>
      <c r="W40" s="146"/>
      <c r="X40" s="146"/>
      <c r="Y40" s="146"/>
      <c r="Z40" s="146"/>
      <c r="AA40" s="146"/>
      <c r="AB40" s="146"/>
      <c r="AC40" s="146"/>
      <c r="AD40" s="146">
        <f t="shared" si="1"/>
        <v>3436</v>
      </c>
    </row>
    <row r="41" spans="2:30" x14ac:dyDescent="0.35">
      <c r="B41" s="3" t="s">
        <v>210</v>
      </c>
      <c r="D41" s="141">
        <v>265</v>
      </c>
      <c r="E41" s="141">
        <v>231</v>
      </c>
      <c r="F41" s="141">
        <v>82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578</v>
      </c>
      <c r="R41" s="146">
        <v>1</v>
      </c>
      <c r="S41" s="146">
        <v>1</v>
      </c>
      <c r="T41" s="146">
        <v>1</v>
      </c>
      <c r="U41" s="146"/>
      <c r="V41" s="146"/>
      <c r="W41" s="146"/>
      <c r="X41" s="146"/>
      <c r="Y41" s="146"/>
      <c r="Z41" s="146"/>
      <c r="AA41" s="146"/>
      <c r="AB41" s="146"/>
      <c r="AC41" s="146"/>
      <c r="AD41" s="146">
        <f t="shared" si="1"/>
        <v>3</v>
      </c>
    </row>
    <row r="42" spans="2:30" x14ac:dyDescent="0.35">
      <c r="B42" s="3" t="s">
        <v>119</v>
      </c>
      <c r="D42" s="141">
        <v>431443</v>
      </c>
      <c r="E42" s="141">
        <v>398387</v>
      </c>
      <c r="F42" s="141">
        <v>682527</v>
      </c>
      <c r="G42" s="141">
        <v>420162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1932519</v>
      </c>
      <c r="R42" s="146">
        <v>1196</v>
      </c>
      <c r="S42" s="146">
        <v>1043</v>
      </c>
      <c r="T42" s="146">
        <v>1800</v>
      </c>
      <c r="U42" s="146">
        <v>899</v>
      </c>
      <c r="V42" s="146"/>
      <c r="W42" s="146"/>
      <c r="X42" s="146"/>
      <c r="Y42" s="146"/>
      <c r="Z42" s="146"/>
      <c r="AA42" s="146"/>
      <c r="AB42" s="146"/>
      <c r="AC42" s="146"/>
      <c r="AD42" s="146">
        <f t="shared" si="1"/>
        <v>4938</v>
      </c>
    </row>
    <row r="43" spans="2:30" x14ac:dyDescent="0.35">
      <c r="B43" s="3" t="s">
        <v>140</v>
      </c>
      <c r="D43" s="141">
        <v>237298</v>
      </c>
      <c r="E43" s="141">
        <v>229695</v>
      </c>
      <c r="F43" s="141">
        <v>360728</v>
      </c>
      <c r="G43" s="141">
        <v>220166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1047887</v>
      </c>
      <c r="R43" s="146">
        <v>641</v>
      </c>
      <c r="S43" s="146">
        <v>738</v>
      </c>
      <c r="T43" s="146">
        <v>854</v>
      </c>
      <c r="U43" s="146">
        <v>582</v>
      </c>
      <c r="V43" s="146"/>
      <c r="W43" s="146"/>
      <c r="X43" s="146"/>
      <c r="Y43" s="146"/>
      <c r="Z43" s="146"/>
      <c r="AA43" s="146"/>
      <c r="AB43" s="146"/>
      <c r="AC43" s="146"/>
      <c r="AD43" s="146">
        <f t="shared" si="1"/>
        <v>2815</v>
      </c>
    </row>
    <row r="44" spans="2:30" x14ac:dyDescent="0.35">
      <c r="B44" s="3" t="s">
        <v>131</v>
      </c>
      <c r="D44" s="141">
        <v>2072069</v>
      </c>
      <c r="E44" s="141">
        <v>2105398</v>
      </c>
      <c r="F44" s="141">
        <v>2370431</v>
      </c>
      <c r="G44" s="141">
        <v>2024799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8572697</v>
      </c>
      <c r="R44" s="146">
        <v>35509</v>
      </c>
      <c r="S44" s="146">
        <v>35538</v>
      </c>
      <c r="T44" s="146">
        <v>40584</v>
      </c>
      <c r="U44" s="146">
        <v>35030</v>
      </c>
      <c r="V44" s="146"/>
      <c r="W44" s="146"/>
      <c r="X44" s="146"/>
      <c r="Y44" s="146"/>
      <c r="Z44" s="146"/>
      <c r="AA44" s="146"/>
      <c r="AB44" s="146"/>
      <c r="AC44" s="146"/>
      <c r="AD44" s="146">
        <f t="shared" si="1"/>
        <v>146661</v>
      </c>
    </row>
    <row r="45" spans="2:30" x14ac:dyDescent="0.35">
      <c r="B45" s="3" t="s">
        <v>132</v>
      </c>
      <c r="D45" s="141">
        <v>849713</v>
      </c>
      <c r="E45" s="141">
        <v>805193</v>
      </c>
      <c r="F45" s="141">
        <v>994933</v>
      </c>
      <c r="G45" s="141">
        <v>685010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3334849</v>
      </c>
      <c r="R45" s="146">
        <v>2294</v>
      </c>
      <c r="S45" s="146">
        <v>2067</v>
      </c>
      <c r="T45" s="146">
        <v>2434</v>
      </c>
      <c r="U45" s="146">
        <v>1800</v>
      </c>
      <c r="V45" s="146"/>
      <c r="W45" s="146"/>
      <c r="X45" s="146"/>
      <c r="Y45" s="146"/>
      <c r="Z45" s="146"/>
      <c r="AA45" s="146"/>
      <c r="AB45" s="146"/>
      <c r="AC45" s="146"/>
      <c r="AD45" s="146">
        <f t="shared" si="1"/>
        <v>8595</v>
      </c>
    </row>
    <row r="46" spans="2:30" x14ac:dyDescent="0.35">
      <c r="B46" s="3" t="s">
        <v>125</v>
      </c>
      <c r="D46" s="141">
        <v>1809077</v>
      </c>
      <c r="E46" s="141">
        <v>1474189</v>
      </c>
      <c r="F46" s="141">
        <v>1220408</v>
      </c>
      <c r="G46" s="141">
        <v>1450908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5954582</v>
      </c>
      <c r="R46" s="146">
        <v>649</v>
      </c>
      <c r="S46" s="146">
        <v>757</v>
      </c>
      <c r="T46" s="146">
        <v>633</v>
      </c>
      <c r="U46" s="146">
        <v>662</v>
      </c>
      <c r="V46" s="146"/>
      <c r="W46" s="146"/>
      <c r="X46" s="146"/>
      <c r="Y46" s="146"/>
      <c r="Z46" s="146"/>
      <c r="AA46" s="146"/>
      <c r="AB46" s="146"/>
      <c r="AC46" s="146"/>
      <c r="AD46" s="146">
        <f t="shared" si="1"/>
        <v>2701</v>
      </c>
    </row>
    <row r="47" spans="2:30" x14ac:dyDescent="0.35">
      <c r="B47" s="3" t="s">
        <v>134</v>
      </c>
      <c r="D47" s="141">
        <v>620563</v>
      </c>
      <c r="E47" s="141">
        <v>591647</v>
      </c>
      <c r="F47" s="141">
        <v>871021</v>
      </c>
      <c r="G47" s="141">
        <v>574367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2657598</v>
      </c>
      <c r="R47" s="146">
        <v>5051</v>
      </c>
      <c r="S47" s="146">
        <v>4911</v>
      </c>
      <c r="T47" s="146">
        <v>5506</v>
      </c>
      <c r="U47" s="146">
        <v>4291</v>
      </c>
      <c r="V47" s="146"/>
      <c r="W47" s="146"/>
      <c r="X47" s="146"/>
      <c r="Y47" s="146"/>
      <c r="Z47" s="146"/>
      <c r="AA47" s="146"/>
      <c r="AB47" s="146"/>
      <c r="AC47" s="146"/>
      <c r="AD47" s="146">
        <f t="shared" si="1"/>
        <v>19759</v>
      </c>
    </row>
    <row r="48" spans="2:30" x14ac:dyDescent="0.35">
      <c r="B48" s="3" t="s">
        <v>172</v>
      </c>
      <c r="D48" s="141">
        <v>1149605</v>
      </c>
      <c r="E48" s="141">
        <v>2108704</v>
      </c>
      <c r="F48" s="141">
        <v>208283</v>
      </c>
      <c r="G48" s="141">
        <v>1596679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5063271</v>
      </c>
      <c r="R48" s="146">
        <v>68548</v>
      </c>
      <c r="S48" s="146">
        <v>126322</v>
      </c>
      <c r="T48" s="146">
        <v>6442</v>
      </c>
      <c r="U48" s="146">
        <v>97645</v>
      </c>
      <c r="V48" s="146"/>
      <c r="W48" s="146"/>
      <c r="X48" s="146"/>
      <c r="Y48" s="146"/>
      <c r="Z48" s="146"/>
      <c r="AA48" s="146"/>
      <c r="AB48" s="146"/>
      <c r="AC48" s="146"/>
      <c r="AD48" s="146">
        <f t="shared" si="1"/>
        <v>298957</v>
      </c>
    </row>
    <row r="49" spans="2:30" x14ac:dyDescent="0.35">
      <c r="B49" s="3" t="s">
        <v>128</v>
      </c>
      <c r="D49" s="141">
        <v>575936</v>
      </c>
      <c r="E49" s="141">
        <v>544239</v>
      </c>
      <c r="F49" s="141">
        <v>602502</v>
      </c>
      <c r="G49" s="141">
        <v>553288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2275965</v>
      </c>
      <c r="R49" s="146">
        <v>5940</v>
      </c>
      <c r="S49" s="146">
        <v>5632</v>
      </c>
      <c r="T49" s="146">
        <v>6097</v>
      </c>
      <c r="U49" s="146">
        <v>4945</v>
      </c>
      <c r="V49" s="146"/>
      <c r="W49" s="146"/>
      <c r="X49" s="146"/>
      <c r="Y49" s="146"/>
      <c r="Z49" s="146"/>
      <c r="AA49" s="146"/>
      <c r="AB49" s="146"/>
      <c r="AC49" s="146"/>
      <c r="AD49" s="146">
        <f t="shared" si="1"/>
        <v>22614</v>
      </c>
    </row>
    <row r="50" spans="2:30" x14ac:dyDescent="0.35">
      <c r="B50" s="3" t="s">
        <v>150</v>
      </c>
      <c r="D50" s="141">
        <v>3827750</v>
      </c>
      <c r="E50" s="141">
        <v>5867808</v>
      </c>
      <c r="F50" s="141">
        <v>2721079</v>
      </c>
      <c r="G50" s="141">
        <v>2880671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15297308</v>
      </c>
      <c r="R50" s="146">
        <v>6609</v>
      </c>
      <c r="S50" s="146">
        <v>8039</v>
      </c>
      <c r="T50" s="146">
        <v>6346</v>
      </c>
      <c r="U50" s="146">
        <v>4518</v>
      </c>
      <c r="V50" s="146"/>
      <c r="W50" s="146"/>
      <c r="X50" s="146"/>
      <c r="Y50" s="146"/>
      <c r="Z50" s="146"/>
      <c r="AA50" s="146"/>
      <c r="AB50" s="146"/>
      <c r="AC50" s="146"/>
      <c r="AD50" s="146">
        <f t="shared" si="1"/>
        <v>25512</v>
      </c>
    </row>
    <row r="51" spans="2:30" x14ac:dyDescent="0.35">
      <c r="B51" s="3" t="s">
        <v>136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6">
        <v>2164</v>
      </c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>
        <f t="shared" si="1"/>
        <v>2164</v>
      </c>
    </row>
    <row r="52" spans="2:30" x14ac:dyDescent="0.35">
      <c r="B52" s="3" t="s">
        <v>139</v>
      </c>
      <c r="D52" s="141">
        <v>288211</v>
      </c>
      <c r="E52" s="141">
        <v>354024</v>
      </c>
      <c r="F52" s="141">
        <v>191304</v>
      </c>
      <c r="G52" s="141">
        <v>317653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1151192</v>
      </c>
      <c r="R52" s="146">
        <v>1257</v>
      </c>
      <c r="S52" s="146">
        <v>1262</v>
      </c>
      <c r="T52" s="146">
        <v>917</v>
      </c>
      <c r="U52" s="146">
        <v>1154</v>
      </c>
      <c r="V52" s="146"/>
      <c r="W52" s="146"/>
      <c r="X52" s="146"/>
      <c r="Y52" s="146"/>
      <c r="Z52" s="146"/>
      <c r="AA52" s="146"/>
      <c r="AB52" s="146"/>
      <c r="AC52" s="146"/>
      <c r="AD52" s="146">
        <f t="shared" si="1"/>
        <v>4590</v>
      </c>
    </row>
    <row r="53" spans="2:30" x14ac:dyDescent="0.35">
      <c r="B53" s="3" t="s">
        <v>130</v>
      </c>
      <c r="D53" s="141">
        <v>592036</v>
      </c>
      <c r="E53" s="141">
        <v>530754</v>
      </c>
      <c r="F53" s="141">
        <v>688318</v>
      </c>
      <c r="G53" s="141">
        <v>496857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2307965</v>
      </c>
      <c r="R53" s="146">
        <v>3684</v>
      </c>
      <c r="S53" s="146">
        <v>3308</v>
      </c>
      <c r="T53" s="146">
        <v>4581</v>
      </c>
      <c r="U53" s="146">
        <v>3017</v>
      </c>
      <c r="V53" s="146"/>
      <c r="W53" s="146"/>
      <c r="X53" s="146"/>
      <c r="Y53" s="146"/>
      <c r="Z53" s="146"/>
      <c r="AA53" s="146"/>
      <c r="AB53" s="146"/>
      <c r="AC53" s="146"/>
      <c r="AD53" s="146">
        <f t="shared" si="1"/>
        <v>14590</v>
      </c>
    </row>
    <row r="54" spans="2:30" x14ac:dyDescent="0.35">
      <c r="B54" s="3" t="s">
        <v>149</v>
      </c>
      <c r="D54" s="141">
        <v>392129</v>
      </c>
      <c r="E54" s="141">
        <v>483224</v>
      </c>
      <c r="F54" s="141">
        <v>664699</v>
      </c>
      <c r="G54" s="141">
        <v>363679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1903731</v>
      </c>
      <c r="R54" s="146">
        <v>1698</v>
      </c>
      <c r="S54" s="146">
        <v>1951</v>
      </c>
      <c r="T54" s="146">
        <v>2714</v>
      </c>
      <c r="U54" s="146">
        <v>1463</v>
      </c>
      <c r="V54" s="146"/>
      <c r="W54" s="146"/>
      <c r="X54" s="146"/>
      <c r="Y54" s="146"/>
      <c r="Z54" s="146"/>
      <c r="AA54" s="146"/>
      <c r="AB54" s="146"/>
      <c r="AC54" s="146"/>
      <c r="AD54" s="146">
        <f t="shared" si="1"/>
        <v>7826</v>
      </c>
    </row>
    <row r="55" spans="2:30" x14ac:dyDescent="0.35">
      <c r="B55" s="3" t="s">
        <v>135</v>
      </c>
      <c r="D55" s="141">
        <v>430829</v>
      </c>
      <c r="E55" s="141">
        <v>381868</v>
      </c>
      <c r="F55" s="141">
        <v>572192</v>
      </c>
      <c r="G55" s="141">
        <v>292910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1677799</v>
      </c>
      <c r="R55" s="146">
        <v>1015</v>
      </c>
      <c r="S55" s="146">
        <v>885</v>
      </c>
      <c r="T55" s="146">
        <v>1228</v>
      </c>
      <c r="U55" s="146">
        <v>820</v>
      </c>
      <c r="V55" s="146"/>
      <c r="W55" s="146"/>
      <c r="X55" s="146"/>
      <c r="Y55" s="146"/>
      <c r="Z55" s="146"/>
      <c r="AA55" s="146"/>
      <c r="AB55" s="146"/>
      <c r="AC55" s="146"/>
      <c r="AD55" s="146">
        <f t="shared" si="1"/>
        <v>3948</v>
      </c>
    </row>
    <row r="56" spans="2:30" x14ac:dyDescent="0.35">
      <c r="B56" s="3" t="s">
        <v>146</v>
      </c>
      <c r="D56" s="141">
        <v>508918</v>
      </c>
      <c r="E56" s="141">
        <v>523224</v>
      </c>
      <c r="F56" s="141">
        <v>1210752</v>
      </c>
      <c r="G56" s="141">
        <v>468513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2711407</v>
      </c>
      <c r="R56" s="146">
        <v>1449</v>
      </c>
      <c r="S56" s="146">
        <v>1408</v>
      </c>
      <c r="T56" s="146">
        <v>2272</v>
      </c>
      <c r="U56" s="146">
        <v>1324</v>
      </c>
      <c r="V56" s="146"/>
      <c r="W56" s="146"/>
      <c r="X56" s="146"/>
      <c r="Y56" s="146"/>
      <c r="Z56" s="146"/>
      <c r="AA56" s="146"/>
      <c r="AB56" s="146"/>
      <c r="AC56" s="146"/>
      <c r="AD56" s="146">
        <f t="shared" si="1"/>
        <v>6453</v>
      </c>
    </row>
    <row r="57" spans="2:30" x14ac:dyDescent="0.35">
      <c r="B57" s="3" t="s">
        <v>190</v>
      </c>
      <c r="D57" s="141">
        <v>35314</v>
      </c>
      <c r="E57" s="141">
        <v>53895</v>
      </c>
      <c r="F57" s="141">
        <v>59977</v>
      </c>
      <c r="G57" s="141">
        <v>51812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200998</v>
      </c>
      <c r="R57" s="146">
        <v>97</v>
      </c>
      <c r="S57" s="146">
        <v>79</v>
      </c>
      <c r="T57" s="146">
        <v>153</v>
      </c>
      <c r="U57" s="146">
        <v>103</v>
      </c>
      <c r="V57" s="146"/>
      <c r="W57" s="146"/>
      <c r="X57" s="146"/>
      <c r="Y57" s="146"/>
      <c r="Z57" s="146"/>
      <c r="AA57" s="146"/>
      <c r="AB57" s="146"/>
      <c r="AC57" s="146"/>
      <c r="AD57" s="146">
        <f t="shared" si="1"/>
        <v>432</v>
      </c>
    </row>
    <row r="58" spans="2:30" x14ac:dyDescent="0.35">
      <c r="B58" s="3" t="s">
        <v>141</v>
      </c>
      <c r="D58" s="141">
        <v>501935</v>
      </c>
      <c r="E58" s="141">
        <v>466859</v>
      </c>
      <c r="F58" s="141">
        <v>398656</v>
      </c>
      <c r="G58" s="141">
        <v>412875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1780325</v>
      </c>
      <c r="R58" s="146">
        <v>1953</v>
      </c>
      <c r="S58" s="146">
        <v>1777</v>
      </c>
      <c r="T58" s="146">
        <v>1511</v>
      </c>
      <c r="U58" s="146">
        <v>1578</v>
      </c>
      <c r="V58" s="146"/>
      <c r="W58" s="146"/>
      <c r="X58" s="146"/>
      <c r="Y58" s="146"/>
      <c r="Z58" s="146"/>
      <c r="AA58" s="146"/>
      <c r="AB58" s="146"/>
      <c r="AC58" s="146"/>
      <c r="AD58" s="146">
        <f t="shared" si="1"/>
        <v>6819</v>
      </c>
    </row>
    <row r="59" spans="2:30" x14ac:dyDescent="0.35">
      <c r="B59" s="3" t="s">
        <v>143</v>
      </c>
      <c r="D59" s="141">
        <v>422211</v>
      </c>
      <c r="E59" s="141">
        <v>388700</v>
      </c>
      <c r="F59" s="141">
        <v>530963</v>
      </c>
      <c r="G59" s="141">
        <v>337162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1679036</v>
      </c>
      <c r="R59" s="146">
        <v>1243</v>
      </c>
      <c r="S59" s="146">
        <v>1206</v>
      </c>
      <c r="T59" s="146">
        <v>1624</v>
      </c>
      <c r="U59" s="146">
        <v>1051</v>
      </c>
      <c r="V59" s="146"/>
      <c r="W59" s="146"/>
      <c r="X59" s="146"/>
      <c r="Y59" s="146"/>
      <c r="Z59" s="146"/>
      <c r="AA59" s="146"/>
      <c r="AB59" s="146"/>
      <c r="AC59" s="146"/>
      <c r="AD59" s="146">
        <f t="shared" si="1"/>
        <v>5124</v>
      </c>
    </row>
    <row r="60" spans="2:30" x14ac:dyDescent="0.35">
      <c r="B60" s="3" t="s">
        <v>138</v>
      </c>
      <c r="D60" s="141">
        <v>521361</v>
      </c>
      <c r="E60" s="141">
        <v>730418</v>
      </c>
      <c r="F60" s="141">
        <v>651196</v>
      </c>
      <c r="G60" s="141">
        <v>350926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2253901</v>
      </c>
      <c r="R60" s="146">
        <v>496</v>
      </c>
      <c r="S60" s="146">
        <v>500</v>
      </c>
      <c r="T60" s="146">
        <v>702</v>
      </c>
      <c r="U60" s="146">
        <v>342</v>
      </c>
      <c r="V60" s="146"/>
      <c r="W60" s="146"/>
      <c r="X60" s="146"/>
      <c r="Y60" s="146"/>
      <c r="Z60" s="146"/>
      <c r="AA60" s="146"/>
      <c r="AB60" s="146"/>
      <c r="AC60" s="146"/>
      <c r="AD60" s="146">
        <f t="shared" si="1"/>
        <v>2040</v>
      </c>
    </row>
    <row r="61" spans="2:30" x14ac:dyDescent="0.35">
      <c r="B61" s="3" t="s">
        <v>145</v>
      </c>
      <c r="D61" s="141">
        <v>563035</v>
      </c>
      <c r="E61" s="141">
        <v>543576</v>
      </c>
      <c r="F61" s="141">
        <v>656031</v>
      </c>
      <c r="G61" s="141">
        <v>453952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2216594</v>
      </c>
      <c r="R61" s="146">
        <v>2118</v>
      </c>
      <c r="S61" s="146">
        <v>2142</v>
      </c>
      <c r="T61" s="146">
        <v>2716</v>
      </c>
      <c r="U61" s="146">
        <v>1903</v>
      </c>
      <c r="V61" s="146"/>
      <c r="W61" s="146"/>
      <c r="X61" s="146"/>
      <c r="Y61" s="146"/>
      <c r="Z61" s="146"/>
      <c r="AA61" s="146"/>
      <c r="AB61" s="146"/>
      <c r="AC61" s="146"/>
      <c r="AD61" s="146">
        <f t="shared" si="1"/>
        <v>8879</v>
      </c>
    </row>
    <row r="62" spans="2:30" x14ac:dyDescent="0.35">
      <c r="B62" s="3" t="s">
        <v>162</v>
      </c>
      <c r="D62" s="141">
        <v>174321</v>
      </c>
      <c r="E62" s="141">
        <v>123616</v>
      </c>
      <c r="F62" s="141">
        <v>155410</v>
      </c>
      <c r="G62" s="141">
        <v>110268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563615</v>
      </c>
      <c r="R62" s="146">
        <v>683</v>
      </c>
      <c r="S62" s="146">
        <v>515</v>
      </c>
      <c r="T62" s="146">
        <v>607</v>
      </c>
      <c r="U62" s="146">
        <v>462</v>
      </c>
      <c r="V62" s="146"/>
      <c r="W62" s="146"/>
      <c r="X62" s="146"/>
      <c r="Y62" s="146"/>
      <c r="Z62" s="146"/>
      <c r="AA62" s="146"/>
      <c r="AB62" s="146"/>
      <c r="AC62" s="146"/>
      <c r="AD62" s="146">
        <f t="shared" si="1"/>
        <v>2267</v>
      </c>
    </row>
    <row r="63" spans="2:30" x14ac:dyDescent="0.35">
      <c r="B63" s="3" t="s">
        <v>225</v>
      </c>
      <c r="D63" s="141">
        <v>269449</v>
      </c>
      <c r="E63" s="141">
        <v>558815</v>
      </c>
      <c r="F63" s="141">
        <v>395251</v>
      </c>
      <c r="G63" s="141">
        <v>552430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1775945</v>
      </c>
      <c r="R63" s="146">
        <v>701</v>
      </c>
      <c r="S63" s="146">
        <v>1048</v>
      </c>
      <c r="T63" s="146">
        <v>1464</v>
      </c>
      <c r="U63" s="146">
        <v>1275</v>
      </c>
      <c r="V63" s="146"/>
      <c r="W63" s="146"/>
      <c r="X63" s="146"/>
      <c r="Y63" s="146"/>
      <c r="Z63" s="146"/>
      <c r="AA63" s="146"/>
      <c r="AB63" s="146"/>
      <c r="AC63" s="146"/>
      <c r="AD63" s="146">
        <f t="shared" si="1"/>
        <v>4488</v>
      </c>
    </row>
    <row r="64" spans="2:30" x14ac:dyDescent="0.35">
      <c r="B64" s="3" t="s">
        <v>152</v>
      </c>
      <c r="D64" s="141">
        <v>56141</v>
      </c>
      <c r="E64" s="141">
        <v>70281</v>
      </c>
      <c r="F64" s="141">
        <v>107457</v>
      </c>
      <c r="G64" s="141">
        <v>49089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282968</v>
      </c>
      <c r="R64" s="146">
        <v>248</v>
      </c>
      <c r="S64" s="146">
        <v>254</v>
      </c>
      <c r="T64" s="146">
        <v>326</v>
      </c>
      <c r="U64" s="146">
        <v>183</v>
      </c>
      <c r="V64" s="146"/>
      <c r="W64" s="146"/>
      <c r="X64" s="146"/>
      <c r="Y64" s="146"/>
      <c r="Z64" s="146"/>
      <c r="AA64" s="146"/>
      <c r="AB64" s="146"/>
      <c r="AC64" s="146"/>
      <c r="AD64" s="146">
        <f t="shared" si="1"/>
        <v>1011</v>
      </c>
    </row>
    <row r="65" spans="2:30" x14ac:dyDescent="0.35">
      <c r="B65" s="3" t="s">
        <v>157</v>
      </c>
      <c r="D65" s="141">
        <v>854759</v>
      </c>
      <c r="E65" s="141">
        <v>702597</v>
      </c>
      <c r="F65" s="141">
        <v>823754</v>
      </c>
      <c r="G65" s="141">
        <v>187307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2568417</v>
      </c>
      <c r="R65" s="146">
        <v>1390</v>
      </c>
      <c r="S65" s="146">
        <v>1173</v>
      </c>
      <c r="T65" s="146">
        <v>1385</v>
      </c>
      <c r="U65" s="146">
        <v>491</v>
      </c>
      <c r="V65" s="146"/>
      <c r="W65" s="146"/>
      <c r="X65" s="146"/>
      <c r="Y65" s="146"/>
      <c r="Z65" s="146"/>
      <c r="AA65" s="146"/>
      <c r="AB65" s="146"/>
      <c r="AC65" s="146"/>
      <c r="AD65" s="146">
        <f t="shared" si="1"/>
        <v>4439</v>
      </c>
    </row>
    <row r="66" spans="2:30" x14ac:dyDescent="0.35">
      <c r="B66" s="3" t="s">
        <v>176</v>
      </c>
      <c r="D66" s="141">
        <v>109273</v>
      </c>
      <c r="E66" s="141">
        <v>118908</v>
      </c>
      <c r="F66" s="141">
        <v>155638</v>
      </c>
      <c r="G66" s="141">
        <v>96029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479848</v>
      </c>
      <c r="R66" s="146">
        <v>415</v>
      </c>
      <c r="S66" s="146">
        <v>363</v>
      </c>
      <c r="T66" s="146">
        <v>496</v>
      </c>
      <c r="U66" s="146">
        <v>292</v>
      </c>
      <c r="V66" s="146"/>
      <c r="W66" s="146"/>
      <c r="X66" s="146"/>
      <c r="Y66" s="146"/>
      <c r="Z66" s="146"/>
      <c r="AA66" s="146"/>
      <c r="AB66" s="146"/>
      <c r="AC66" s="146"/>
      <c r="AD66" s="146">
        <f t="shared" si="1"/>
        <v>1566</v>
      </c>
    </row>
    <row r="67" spans="2:30" x14ac:dyDescent="0.35">
      <c r="B67" s="3" t="s">
        <v>156</v>
      </c>
      <c r="D67" s="141">
        <v>754433</v>
      </c>
      <c r="E67" s="141">
        <v>2171115</v>
      </c>
      <c r="F67" s="141">
        <v>3159714</v>
      </c>
      <c r="G67" s="141">
        <v>727743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6813005</v>
      </c>
      <c r="R67" s="146">
        <v>7221</v>
      </c>
      <c r="S67" s="146">
        <v>12471</v>
      </c>
      <c r="T67" s="146">
        <v>21807</v>
      </c>
      <c r="U67" s="146">
        <v>8915</v>
      </c>
      <c r="V67" s="146"/>
      <c r="W67" s="146"/>
      <c r="X67" s="146"/>
      <c r="Y67" s="146"/>
      <c r="Z67" s="146"/>
      <c r="AA67" s="146"/>
      <c r="AB67" s="146"/>
      <c r="AC67" s="146"/>
      <c r="AD67" s="146">
        <f t="shared" si="1"/>
        <v>50414</v>
      </c>
    </row>
    <row r="68" spans="2:30" x14ac:dyDescent="0.35">
      <c r="B68" s="3" t="s">
        <v>158</v>
      </c>
      <c r="D68" s="141">
        <v>188102</v>
      </c>
      <c r="E68" s="141">
        <v>150463</v>
      </c>
      <c r="F68" s="141">
        <v>199138</v>
      </c>
      <c r="G68" s="141">
        <v>191848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729551</v>
      </c>
      <c r="R68" s="146">
        <v>535</v>
      </c>
      <c r="S68" s="146">
        <v>491</v>
      </c>
      <c r="T68" s="146">
        <v>597</v>
      </c>
      <c r="U68" s="146">
        <v>505</v>
      </c>
      <c r="V68" s="146"/>
      <c r="W68" s="146"/>
      <c r="X68" s="146"/>
      <c r="Y68" s="146"/>
      <c r="Z68" s="146"/>
      <c r="AA68" s="146"/>
      <c r="AB68" s="146"/>
      <c r="AC68" s="146"/>
      <c r="AD68" s="146">
        <f t="shared" si="1"/>
        <v>2128</v>
      </c>
    </row>
    <row r="69" spans="2:30" x14ac:dyDescent="0.35">
      <c r="B69" s="3" t="s">
        <v>155</v>
      </c>
      <c r="D69" s="141">
        <v>266106</v>
      </c>
      <c r="E69" s="141">
        <v>224101</v>
      </c>
      <c r="F69" s="141">
        <v>195730</v>
      </c>
      <c r="G69" s="141">
        <v>204518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2">+SUM(D69:O69)</f>
        <v>890455</v>
      </c>
      <c r="R69" s="146">
        <v>1514</v>
      </c>
      <c r="S69" s="146">
        <v>1344</v>
      </c>
      <c r="T69" s="146">
        <v>1230</v>
      </c>
      <c r="U69" s="146">
        <v>1045</v>
      </c>
      <c r="V69" s="146"/>
      <c r="W69" s="146"/>
      <c r="X69" s="146"/>
      <c r="Y69" s="146"/>
      <c r="Z69" s="146"/>
      <c r="AA69" s="146"/>
      <c r="AB69" s="146"/>
      <c r="AC69" s="146"/>
      <c r="AD69" s="146">
        <f t="shared" ref="AD69:AD132" si="3">+SUM(R69:AC69)</f>
        <v>5133</v>
      </c>
    </row>
    <row r="70" spans="2:30" x14ac:dyDescent="0.35">
      <c r="B70" s="3" t="s">
        <v>151</v>
      </c>
      <c r="D70" s="141">
        <v>223985</v>
      </c>
      <c r="E70" s="141">
        <v>208140</v>
      </c>
      <c r="F70" s="141">
        <v>234793</v>
      </c>
      <c r="G70" s="141">
        <v>188914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855832</v>
      </c>
      <c r="R70" s="146">
        <v>2723</v>
      </c>
      <c r="S70" s="146">
        <v>2648</v>
      </c>
      <c r="T70" s="146">
        <v>3246</v>
      </c>
      <c r="U70" s="146">
        <v>2505</v>
      </c>
      <c r="V70" s="146"/>
      <c r="W70" s="146"/>
      <c r="X70" s="146"/>
      <c r="Y70" s="146"/>
      <c r="Z70" s="146"/>
      <c r="AA70" s="146"/>
      <c r="AB70" s="146"/>
      <c r="AC70" s="146"/>
      <c r="AD70" s="146">
        <f t="shared" si="3"/>
        <v>11122</v>
      </c>
    </row>
    <row r="71" spans="2:30" x14ac:dyDescent="0.35">
      <c r="B71" s="3" t="s">
        <v>148</v>
      </c>
      <c r="D71" s="141">
        <v>96111</v>
      </c>
      <c r="E71" s="141">
        <v>140850</v>
      </c>
      <c r="F71" s="141">
        <v>93886</v>
      </c>
      <c r="G71" s="141">
        <v>86462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417309</v>
      </c>
      <c r="R71" s="146">
        <v>174</v>
      </c>
      <c r="S71" s="146">
        <v>198</v>
      </c>
      <c r="T71" s="146">
        <v>206</v>
      </c>
      <c r="U71" s="146">
        <v>144</v>
      </c>
      <c r="V71" s="146"/>
      <c r="W71" s="146"/>
      <c r="X71" s="146"/>
      <c r="Y71" s="146"/>
      <c r="Z71" s="146"/>
      <c r="AA71" s="146"/>
      <c r="AB71" s="146"/>
      <c r="AC71" s="146"/>
      <c r="AD71" s="146">
        <f t="shared" si="3"/>
        <v>722</v>
      </c>
    </row>
    <row r="72" spans="2:30" x14ac:dyDescent="0.35">
      <c r="B72" s="3" t="s">
        <v>179</v>
      </c>
      <c r="D72" s="141">
        <v>443968</v>
      </c>
      <c r="E72" s="141">
        <v>354813</v>
      </c>
      <c r="F72" s="141">
        <v>322225</v>
      </c>
      <c r="G72" s="141">
        <v>290000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1411006</v>
      </c>
      <c r="R72" s="146">
        <v>1267</v>
      </c>
      <c r="S72" s="146">
        <v>1130</v>
      </c>
      <c r="T72" s="146">
        <v>919</v>
      </c>
      <c r="U72" s="146">
        <v>852</v>
      </c>
      <c r="V72" s="146"/>
      <c r="W72" s="146"/>
      <c r="X72" s="146"/>
      <c r="Y72" s="146"/>
      <c r="Z72" s="146"/>
      <c r="AA72" s="146"/>
      <c r="AB72" s="146"/>
      <c r="AC72" s="146"/>
      <c r="AD72" s="146">
        <f t="shared" si="3"/>
        <v>4168</v>
      </c>
    </row>
    <row r="73" spans="2:30" x14ac:dyDescent="0.35">
      <c r="B73" s="3" t="s">
        <v>214</v>
      </c>
      <c r="D73" s="141">
        <v>129471</v>
      </c>
      <c r="E73" s="141">
        <v>33418</v>
      </c>
      <c r="F73" s="141">
        <v>193966</v>
      </c>
      <c r="G73" s="141">
        <v>30260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387115</v>
      </c>
      <c r="R73" s="146">
        <v>574</v>
      </c>
      <c r="S73" s="146">
        <v>58</v>
      </c>
      <c r="T73" s="146">
        <v>945</v>
      </c>
      <c r="U73" s="146">
        <v>63</v>
      </c>
      <c r="V73" s="146"/>
      <c r="W73" s="146"/>
      <c r="X73" s="146"/>
      <c r="Y73" s="146"/>
      <c r="Z73" s="146"/>
      <c r="AA73" s="146"/>
      <c r="AB73" s="146"/>
      <c r="AC73" s="146"/>
      <c r="AD73" s="146">
        <f t="shared" si="3"/>
        <v>1640</v>
      </c>
    </row>
    <row r="74" spans="2:30" x14ac:dyDescent="0.35">
      <c r="B74" s="3" t="s">
        <v>160</v>
      </c>
      <c r="D74" s="141">
        <v>797247</v>
      </c>
      <c r="E74" s="141">
        <v>912563</v>
      </c>
      <c r="F74" s="141">
        <v>1570811</v>
      </c>
      <c r="G74" s="141">
        <v>1750266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5030887</v>
      </c>
      <c r="R74" s="146">
        <v>555</v>
      </c>
      <c r="S74" s="146">
        <v>628</v>
      </c>
      <c r="T74" s="146">
        <v>887</v>
      </c>
      <c r="U74" s="146">
        <v>939</v>
      </c>
      <c r="V74" s="146"/>
      <c r="W74" s="146"/>
      <c r="X74" s="146"/>
      <c r="Y74" s="146"/>
      <c r="Z74" s="146"/>
      <c r="AA74" s="146"/>
      <c r="AB74" s="146"/>
      <c r="AC74" s="146"/>
      <c r="AD74" s="146">
        <f t="shared" si="3"/>
        <v>3009</v>
      </c>
    </row>
    <row r="75" spans="2:30" x14ac:dyDescent="0.35">
      <c r="B75" s="3" t="s">
        <v>153</v>
      </c>
      <c r="D75" s="141">
        <v>251883</v>
      </c>
      <c r="E75" s="141">
        <v>195371</v>
      </c>
      <c r="F75" s="141">
        <v>276826</v>
      </c>
      <c r="G75" s="141">
        <v>191866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915946</v>
      </c>
      <c r="R75" s="146">
        <v>1873</v>
      </c>
      <c r="S75" s="146">
        <v>1705</v>
      </c>
      <c r="T75" s="146">
        <v>2237</v>
      </c>
      <c r="U75" s="146">
        <v>1552</v>
      </c>
      <c r="V75" s="146"/>
      <c r="W75" s="146"/>
      <c r="X75" s="146"/>
      <c r="Y75" s="146"/>
      <c r="Z75" s="146"/>
      <c r="AA75" s="146"/>
      <c r="AB75" s="146"/>
      <c r="AC75" s="146"/>
      <c r="AD75" s="146">
        <f t="shared" si="3"/>
        <v>7367</v>
      </c>
    </row>
    <row r="76" spans="2:30" x14ac:dyDescent="0.35">
      <c r="B76" s="3" t="s">
        <v>178</v>
      </c>
      <c r="D76" s="141">
        <v>1107225</v>
      </c>
      <c r="E76" s="141">
        <v>922480</v>
      </c>
      <c r="F76" s="141">
        <v>623400</v>
      </c>
      <c r="G76" s="141">
        <v>1042785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3695890</v>
      </c>
      <c r="R76" s="146">
        <v>3253</v>
      </c>
      <c r="S76" s="146">
        <v>3307</v>
      </c>
      <c r="T76" s="146">
        <v>2245</v>
      </c>
      <c r="U76" s="146">
        <v>3497</v>
      </c>
      <c r="V76" s="146"/>
      <c r="W76" s="146"/>
      <c r="X76" s="146"/>
      <c r="Y76" s="146"/>
      <c r="Z76" s="146"/>
      <c r="AA76" s="146"/>
      <c r="AB76" s="146"/>
      <c r="AC76" s="146"/>
      <c r="AD76" s="146">
        <f t="shared" si="3"/>
        <v>12302</v>
      </c>
    </row>
    <row r="77" spans="2:30" x14ac:dyDescent="0.35">
      <c r="B77" s="3" t="s">
        <v>154</v>
      </c>
      <c r="D77" s="141">
        <v>250654</v>
      </c>
      <c r="E77" s="141">
        <v>252154</v>
      </c>
      <c r="F77" s="141">
        <v>102660</v>
      </c>
      <c r="G77" s="141">
        <v>182311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787779</v>
      </c>
      <c r="R77" s="146">
        <v>2075</v>
      </c>
      <c r="S77" s="146">
        <v>2191</v>
      </c>
      <c r="T77" s="146">
        <v>1155</v>
      </c>
      <c r="U77" s="146">
        <v>1819</v>
      </c>
      <c r="V77" s="146"/>
      <c r="W77" s="146"/>
      <c r="X77" s="146"/>
      <c r="Y77" s="146"/>
      <c r="Z77" s="146"/>
      <c r="AA77" s="146"/>
      <c r="AB77" s="146"/>
      <c r="AC77" s="146"/>
      <c r="AD77" s="146">
        <f t="shared" si="3"/>
        <v>7240</v>
      </c>
    </row>
    <row r="78" spans="2:30" x14ac:dyDescent="0.35">
      <c r="B78" s="3" t="s">
        <v>161</v>
      </c>
      <c r="D78" s="141">
        <v>91229</v>
      </c>
      <c r="E78" s="141">
        <v>107359</v>
      </c>
      <c r="F78" s="141">
        <v>134779</v>
      </c>
      <c r="G78" s="141">
        <v>87406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420773</v>
      </c>
      <c r="R78" s="146">
        <v>503</v>
      </c>
      <c r="S78" s="146">
        <v>471</v>
      </c>
      <c r="T78" s="146">
        <v>657</v>
      </c>
      <c r="U78" s="146">
        <v>398</v>
      </c>
      <c r="V78" s="146"/>
      <c r="W78" s="146"/>
      <c r="X78" s="146"/>
      <c r="Y78" s="146"/>
      <c r="Z78" s="146"/>
      <c r="AA78" s="146"/>
      <c r="AB78" s="146"/>
      <c r="AC78" s="146"/>
      <c r="AD78" s="146">
        <f t="shared" si="3"/>
        <v>2029</v>
      </c>
    </row>
    <row r="79" spans="2:30" x14ac:dyDescent="0.35">
      <c r="B79" s="3" t="s">
        <v>170</v>
      </c>
      <c r="D79" s="141">
        <v>198701</v>
      </c>
      <c r="E79" s="141">
        <v>227696</v>
      </c>
      <c r="F79" s="141">
        <v>198958</v>
      </c>
      <c r="G79" s="141">
        <v>193880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819235</v>
      </c>
      <c r="R79" s="146">
        <v>1283</v>
      </c>
      <c r="S79" s="146">
        <v>1265</v>
      </c>
      <c r="T79" s="146">
        <v>1385</v>
      </c>
      <c r="U79" s="146">
        <v>1114</v>
      </c>
      <c r="V79" s="146"/>
      <c r="W79" s="146"/>
      <c r="X79" s="146"/>
      <c r="Y79" s="146"/>
      <c r="Z79" s="146"/>
      <c r="AA79" s="146"/>
      <c r="AB79" s="146"/>
      <c r="AC79" s="146"/>
      <c r="AD79" s="146">
        <f t="shared" si="3"/>
        <v>5047</v>
      </c>
    </row>
    <row r="80" spans="2:30" x14ac:dyDescent="0.35">
      <c r="B80" s="3" t="s">
        <v>159</v>
      </c>
      <c r="D80" s="141">
        <v>214336</v>
      </c>
      <c r="E80" s="141">
        <v>194095</v>
      </c>
      <c r="F80" s="141">
        <v>245992</v>
      </c>
      <c r="G80" s="141">
        <v>181352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835775</v>
      </c>
      <c r="R80" s="146">
        <v>348</v>
      </c>
      <c r="S80" s="146">
        <v>256</v>
      </c>
      <c r="T80" s="146">
        <v>344</v>
      </c>
      <c r="U80" s="146">
        <v>251</v>
      </c>
      <c r="V80" s="146"/>
      <c r="W80" s="146"/>
      <c r="X80" s="146"/>
      <c r="Y80" s="146"/>
      <c r="Z80" s="146"/>
      <c r="AA80" s="146"/>
      <c r="AB80" s="146"/>
      <c r="AC80" s="146"/>
      <c r="AD80" s="146">
        <f t="shared" si="3"/>
        <v>1199</v>
      </c>
    </row>
    <row r="81" spans="2:30" x14ac:dyDescent="0.35">
      <c r="B81" s="3" t="s">
        <v>185</v>
      </c>
      <c r="D81" s="141">
        <v>46210</v>
      </c>
      <c r="E81" s="141">
        <v>77860</v>
      </c>
      <c r="F81" s="141">
        <v>75879</v>
      </c>
      <c r="G81" s="141">
        <v>43184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243133</v>
      </c>
      <c r="R81" s="146">
        <v>111</v>
      </c>
      <c r="S81" s="146">
        <v>151</v>
      </c>
      <c r="T81" s="146">
        <v>189</v>
      </c>
      <c r="U81" s="146">
        <v>91</v>
      </c>
      <c r="V81" s="146"/>
      <c r="W81" s="146"/>
      <c r="X81" s="146"/>
      <c r="Y81" s="146"/>
      <c r="Z81" s="146"/>
      <c r="AA81" s="146"/>
      <c r="AB81" s="146"/>
      <c r="AC81" s="146"/>
      <c r="AD81" s="146">
        <f t="shared" si="3"/>
        <v>542</v>
      </c>
    </row>
    <row r="82" spans="2:30" x14ac:dyDescent="0.35">
      <c r="B82" s="3" t="s">
        <v>177</v>
      </c>
      <c r="D82" s="141">
        <v>193376</v>
      </c>
      <c r="E82" s="141">
        <v>197013</v>
      </c>
      <c r="F82" s="141">
        <v>276182</v>
      </c>
      <c r="G82" s="141">
        <v>437115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1103686</v>
      </c>
      <c r="R82" s="146">
        <v>6629</v>
      </c>
      <c r="S82" s="146">
        <v>6955</v>
      </c>
      <c r="T82" s="146">
        <v>9445</v>
      </c>
      <c r="U82" s="146">
        <v>11965</v>
      </c>
      <c r="V82" s="146"/>
      <c r="W82" s="146"/>
      <c r="X82" s="146"/>
      <c r="Y82" s="146"/>
      <c r="Z82" s="146"/>
      <c r="AA82" s="146"/>
      <c r="AB82" s="146"/>
      <c r="AC82" s="146"/>
      <c r="AD82" s="146">
        <f t="shared" si="3"/>
        <v>34994</v>
      </c>
    </row>
    <row r="83" spans="2:30" x14ac:dyDescent="0.35">
      <c r="B83" s="3" t="s">
        <v>166</v>
      </c>
      <c r="D83" s="141">
        <v>135044</v>
      </c>
      <c r="E83" s="141">
        <v>116023</v>
      </c>
      <c r="F83" s="141">
        <v>179125</v>
      </c>
      <c r="G83" s="141">
        <v>101735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531927</v>
      </c>
      <c r="R83" s="146">
        <v>483</v>
      </c>
      <c r="S83" s="146">
        <v>460</v>
      </c>
      <c r="T83" s="146">
        <v>712</v>
      </c>
      <c r="U83" s="146">
        <v>405</v>
      </c>
      <c r="V83" s="146"/>
      <c r="W83" s="146"/>
      <c r="X83" s="146"/>
      <c r="Y83" s="146"/>
      <c r="Z83" s="146"/>
      <c r="AA83" s="146"/>
      <c r="AB83" s="146"/>
      <c r="AC83" s="146"/>
      <c r="AD83" s="146">
        <f t="shared" si="3"/>
        <v>2060</v>
      </c>
    </row>
    <row r="84" spans="2:30" x14ac:dyDescent="0.35">
      <c r="B84" s="3" t="s">
        <v>182</v>
      </c>
      <c r="D84" s="141">
        <v>90274</v>
      </c>
      <c r="E84" s="141">
        <v>69064</v>
      </c>
      <c r="F84" s="141">
        <v>109522</v>
      </c>
      <c r="G84" s="141">
        <v>80103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348963</v>
      </c>
      <c r="R84" s="146">
        <v>575</v>
      </c>
      <c r="S84" s="146">
        <v>524</v>
      </c>
      <c r="T84" s="146">
        <v>641</v>
      </c>
      <c r="U84" s="146">
        <v>565</v>
      </c>
      <c r="V84" s="146"/>
      <c r="W84" s="146"/>
      <c r="X84" s="146"/>
      <c r="Y84" s="146"/>
      <c r="Z84" s="146"/>
      <c r="AA84" s="146"/>
      <c r="AB84" s="146"/>
      <c r="AC84" s="146"/>
      <c r="AD84" s="146">
        <f t="shared" si="3"/>
        <v>2305</v>
      </c>
    </row>
    <row r="85" spans="2:30" x14ac:dyDescent="0.35">
      <c r="B85" s="3" t="s">
        <v>209</v>
      </c>
      <c r="D85" s="141">
        <v>54024</v>
      </c>
      <c r="E85" s="141">
        <v>40112</v>
      </c>
      <c r="F85" s="141">
        <v>72090</v>
      </c>
      <c r="G85" s="141">
        <v>28980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195206</v>
      </c>
      <c r="R85" s="146">
        <v>159</v>
      </c>
      <c r="S85" s="146">
        <v>211</v>
      </c>
      <c r="T85" s="146">
        <v>474</v>
      </c>
      <c r="U85" s="146">
        <v>150</v>
      </c>
      <c r="V85" s="146"/>
      <c r="W85" s="146"/>
      <c r="X85" s="146"/>
      <c r="Y85" s="146"/>
      <c r="Z85" s="146"/>
      <c r="AA85" s="146"/>
      <c r="AB85" s="146"/>
      <c r="AC85" s="146"/>
      <c r="AD85" s="146">
        <f t="shared" si="3"/>
        <v>994</v>
      </c>
    </row>
    <row r="86" spans="2:30" x14ac:dyDescent="0.35">
      <c r="B86" s="3" t="s">
        <v>175</v>
      </c>
      <c r="D86" s="141">
        <v>66300</v>
      </c>
      <c r="E86" s="141">
        <v>64945</v>
      </c>
      <c r="F86" s="141">
        <v>80723</v>
      </c>
      <c r="G86" s="141">
        <v>58479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270447</v>
      </c>
      <c r="R86" s="146">
        <v>359</v>
      </c>
      <c r="S86" s="146">
        <v>402</v>
      </c>
      <c r="T86" s="146">
        <v>571</v>
      </c>
      <c r="U86" s="146">
        <v>387</v>
      </c>
      <c r="V86" s="146"/>
      <c r="W86" s="146"/>
      <c r="X86" s="146"/>
      <c r="Y86" s="146"/>
      <c r="Z86" s="146"/>
      <c r="AA86" s="146"/>
      <c r="AB86" s="146"/>
      <c r="AC86" s="146"/>
      <c r="AD86" s="146">
        <f t="shared" si="3"/>
        <v>1719</v>
      </c>
    </row>
    <row r="87" spans="2:30" x14ac:dyDescent="0.35">
      <c r="B87" s="3" t="s">
        <v>168</v>
      </c>
      <c r="D87" s="141">
        <v>660968</v>
      </c>
      <c r="E87" s="141">
        <v>422113</v>
      </c>
      <c r="F87" s="141">
        <v>581366</v>
      </c>
      <c r="G87" s="141">
        <v>273075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1937522</v>
      </c>
      <c r="R87" s="146">
        <v>1799</v>
      </c>
      <c r="S87" s="146">
        <v>1112</v>
      </c>
      <c r="T87" s="146">
        <v>1472</v>
      </c>
      <c r="U87" s="146">
        <v>681</v>
      </c>
      <c r="V87" s="146"/>
      <c r="W87" s="146"/>
      <c r="X87" s="146"/>
      <c r="Y87" s="146"/>
      <c r="Z87" s="146"/>
      <c r="AA87" s="146"/>
      <c r="AB87" s="146"/>
      <c r="AC87" s="146"/>
      <c r="AD87" s="146">
        <f t="shared" si="3"/>
        <v>5064</v>
      </c>
    </row>
    <row r="88" spans="2:30" x14ac:dyDescent="0.35">
      <c r="B88" s="3" t="s">
        <v>171</v>
      </c>
      <c r="D88" s="141">
        <v>88627</v>
      </c>
      <c r="E88" s="141">
        <v>77775</v>
      </c>
      <c r="F88" s="141">
        <v>75105</v>
      </c>
      <c r="G88" s="141">
        <v>46856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288363</v>
      </c>
      <c r="R88" s="146">
        <v>150</v>
      </c>
      <c r="S88" s="146">
        <v>132</v>
      </c>
      <c r="T88" s="146">
        <v>167</v>
      </c>
      <c r="U88" s="146">
        <v>86</v>
      </c>
      <c r="V88" s="146"/>
      <c r="W88" s="146"/>
      <c r="X88" s="146"/>
      <c r="Y88" s="146"/>
      <c r="Z88" s="146"/>
      <c r="AA88" s="146"/>
      <c r="AB88" s="146"/>
      <c r="AC88" s="146"/>
      <c r="AD88" s="146">
        <f t="shared" si="3"/>
        <v>535</v>
      </c>
    </row>
    <row r="89" spans="2:30" x14ac:dyDescent="0.35">
      <c r="B89" s="3" t="s">
        <v>181</v>
      </c>
      <c r="D89" s="141">
        <v>102906</v>
      </c>
      <c r="E89" s="141">
        <v>97044</v>
      </c>
      <c r="F89" s="141">
        <v>103608</v>
      </c>
      <c r="G89" s="141">
        <v>101989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405547</v>
      </c>
      <c r="R89" s="146">
        <v>566</v>
      </c>
      <c r="S89" s="146">
        <v>570</v>
      </c>
      <c r="T89" s="146">
        <v>606</v>
      </c>
      <c r="U89" s="146">
        <v>503</v>
      </c>
      <c r="V89" s="146"/>
      <c r="W89" s="146"/>
      <c r="X89" s="146"/>
      <c r="Y89" s="146"/>
      <c r="Z89" s="146"/>
      <c r="AA89" s="146"/>
      <c r="AB89" s="146"/>
      <c r="AC89" s="146"/>
      <c r="AD89" s="146">
        <f t="shared" si="3"/>
        <v>2245</v>
      </c>
    </row>
    <row r="90" spans="2:30" x14ac:dyDescent="0.35">
      <c r="B90" s="3" t="s">
        <v>180</v>
      </c>
      <c r="D90" s="141">
        <v>42460</v>
      </c>
      <c r="E90" s="141">
        <v>38567</v>
      </c>
      <c r="F90" s="141">
        <v>54181</v>
      </c>
      <c r="G90" s="141">
        <v>40070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175278</v>
      </c>
      <c r="R90" s="146">
        <v>109</v>
      </c>
      <c r="S90" s="146">
        <v>103</v>
      </c>
      <c r="T90" s="146">
        <v>138</v>
      </c>
      <c r="U90" s="146">
        <v>90</v>
      </c>
      <c r="V90" s="146"/>
      <c r="W90" s="146"/>
      <c r="X90" s="146"/>
      <c r="Y90" s="146"/>
      <c r="Z90" s="146"/>
      <c r="AA90" s="146"/>
      <c r="AB90" s="146"/>
      <c r="AC90" s="146"/>
      <c r="AD90" s="146">
        <f t="shared" si="3"/>
        <v>440</v>
      </c>
    </row>
    <row r="91" spans="2:30" x14ac:dyDescent="0.35">
      <c r="B91" s="3" t="s">
        <v>165</v>
      </c>
      <c r="D91" s="141">
        <v>28024</v>
      </c>
      <c r="E91" s="141">
        <v>24860</v>
      </c>
      <c r="F91" s="141">
        <v>27666</v>
      </c>
      <c r="G91" s="141">
        <v>33505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114055</v>
      </c>
      <c r="R91" s="146">
        <v>172</v>
      </c>
      <c r="S91" s="146">
        <v>152</v>
      </c>
      <c r="T91" s="146">
        <v>127</v>
      </c>
      <c r="U91" s="146">
        <v>218</v>
      </c>
      <c r="V91" s="146"/>
      <c r="W91" s="146"/>
      <c r="X91" s="146"/>
      <c r="Y91" s="146"/>
      <c r="Z91" s="146"/>
      <c r="AA91" s="146"/>
      <c r="AB91" s="146"/>
      <c r="AC91" s="146"/>
      <c r="AD91" s="146">
        <f t="shared" si="3"/>
        <v>669</v>
      </c>
    </row>
    <row r="92" spans="2:30" x14ac:dyDescent="0.35">
      <c r="B92" s="3" t="s">
        <v>167</v>
      </c>
      <c r="D92" s="141">
        <v>87009</v>
      </c>
      <c r="E92" s="141">
        <v>85828</v>
      </c>
      <c r="F92" s="141">
        <v>130058</v>
      </c>
      <c r="G92" s="141">
        <v>79429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382324</v>
      </c>
      <c r="R92" s="146">
        <v>353</v>
      </c>
      <c r="S92" s="146">
        <v>338</v>
      </c>
      <c r="T92" s="146">
        <v>559</v>
      </c>
      <c r="U92" s="146">
        <v>316</v>
      </c>
      <c r="V92" s="146"/>
      <c r="W92" s="146"/>
      <c r="X92" s="146"/>
      <c r="Y92" s="146"/>
      <c r="Z92" s="146"/>
      <c r="AA92" s="146"/>
      <c r="AB92" s="146"/>
      <c r="AC92" s="146"/>
      <c r="AD92" s="146">
        <f t="shared" si="3"/>
        <v>1566</v>
      </c>
    </row>
    <row r="93" spans="2:30" x14ac:dyDescent="0.35">
      <c r="B93" s="3" t="s">
        <v>265</v>
      </c>
      <c r="D93" s="141">
        <v>56628</v>
      </c>
      <c r="E93" s="141">
        <v>49984</v>
      </c>
      <c r="F93" s="141">
        <v>3064</v>
      </c>
      <c r="G93" s="141">
        <v>21047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130723</v>
      </c>
      <c r="R93" s="146">
        <v>44</v>
      </c>
      <c r="S93" s="146">
        <v>39</v>
      </c>
      <c r="T93" s="146">
        <v>3</v>
      </c>
      <c r="U93" s="146">
        <v>22</v>
      </c>
      <c r="V93" s="146"/>
      <c r="W93" s="146"/>
      <c r="X93" s="146"/>
      <c r="Y93" s="146"/>
      <c r="Z93" s="146"/>
      <c r="AA93" s="146"/>
      <c r="AB93" s="146"/>
      <c r="AC93" s="146"/>
      <c r="AD93" s="146">
        <f t="shared" si="3"/>
        <v>108</v>
      </c>
    </row>
    <row r="94" spans="2:30" x14ac:dyDescent="0.35">
      <c r="B94" s="3" t="s">
        <v>163</v>
      </c>
      <c r="D94" s="141">
        <v>9345</v>
      </c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9345</v>
      </c>
      <c r="R94" s="146">
        <v>76</v>
      </c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>
        <f t="shared" si="3"/>
        <v>76</v>
      </c>
    </row>
    <row r="95" spans="2:30" x14ac:dyDescent="0.35">
      <c r="B95" s="3" t="s">
        <v>173</v>
      </c>
      <c r="D95" s="141">
        <v>345673</v>
      </c>
      <c r="E95" s="141">
        <v>412003</v>
      </c>
      <c r="F95" s="141">
        <v>166839</v>
      </c>
      <c r="G95" s="141">
        <v>415908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1340423</v>
      </c>
      <c r="R95" s="146">
        <v>1133</v>
      </c>
      <c r="S95" s="146">
        <v>1338</v>
      </c>
      <c r="T95" s="146">
        <v>619</v>
      </c>
      <c r="U95" s="146">
        <v>2288</v>
      </c>
      <c r="V95" s="146"/>
      <c r="W95" s="146"/>
      <c r="X95" s="146"/>
      <c r="Y95" s="146"/>
      <c r="Z95" s="146"/>
      <c r="AA95" s="146"/>
      <c r="AB95" s="146"/>
      <c r="AC95" s="146"/>
      <c r="AD95" s="146">
        <f t="shared" si="3"/>
        <v>5378</v>
      </c>
    </row>
    <row r="96" spans="2:30" x14ac:dyDescent="0.35">
      <c r="B96" s="3" t="s">
        <v>169</v>
      </c>
      <c r="D96" s="141">
        <v>56822</v>
      </c>
      <c r="E96" s="141">
        <v>69549</v>
      </c>
      <c r="F96" s="141">
        <v>101079</v>
      </c>
      <c r="G96" s="141">
        <v>44009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271459</v>
      </c>
      <c r="R96" s="146">
        <v>114</v>
      </c>
      <c r="S96" s="146">
        <v>142</v>
      </c>
      <c r="T96" s="146">
        <v>175</v>
      </c>
      <c r="U96" s="146">
        <v>82</v>
      </c>
      <c r="V96" s="146"/>
      <c r="W96" s="146"/>
      <c r="X96" s="146"/>
      <c r="Y96" s="146"/>
      <c r="Z96" s="146"/>
      <c r="AA96" s="146"/>
      <c r="AB96" s="146"/>
      <c r="AC96" s="146"/>
      <c r="AD96" s="146">
        <f t="shared" si="3"/>
        <v>513</v>
      </c>
    </row>
    <row r="97" spans="2:30" x14ac:dyDescent="0.35">
      <c r="B97" s="3" t="s">
        <v>198</v>
      </c>
      <c r="D97" s="141">
        <v>40423</v>
      </c>
      <c r="E97" s="141">
        <v>27738</v>
      </c>
      <c r="F97" s="141">
        <v>34442</v>
      </c>
      <c r="G97" s="141">
        <v>18466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121069</v>
      </c>
      <c r="R97" s="146">
        <v>100</v>
      </c>
      <c r="S97" s="146">
        <v>104</v>
      </c>
      <c r="T97" s="146">
        <v>163</v>
      </c>
      <c r="U97" s="146">
        <v>72</v>
      </c>
      <c r="V97" s="146"/>
      <c r="W97" s="146"/>
      <c r="X97" s="146"/>
      <c r="Y97" s="146"/>
      <c r="Z97" s="146"/>
      <c r="AA97" s="146"/>
      <c r="AB97" s="146"/>
      <c r="AC97" s="146"/>
      <c r="AD97" s="146">
        <f t="shared" si="3"/>
        <v>439</v>
      </c>
    </row>
    <row r="98" spans="2:30" x14ac:dyDescent="0.35">
      <c r="B98" s="3" t="s">
        <v>174</v>
      </c>
      <c r="D98" s="141">
        <v>78437</v>
      </c>
      <c r="E98" s="141">
        <v>48530</v>
      </c>
      <c r="F98" s="141">
        <v>100307</v>
      </c>
      <c r="G98" s="141">
        <v>53150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280424</v>
      </c>
      <c r="R98" s="146">
        <v>172</v>
      </c>
      <c r="S98" s="146">
        <v>138</v>
      </c>
      <c r="T98" s="146">
        <v>205</v>
      </c>
      <c r="U98" s="146">
        <v>117</v>
      </c>
      <c r="V98" s="146"/>
      <c r="W98" s="146"/>
      <c r="X98" s="146"/>
      <c r="Y98" s="146"/>
      <c r="Z98" s="146"/>
      <c r="AA98" s="146"/>
      <c r="AB98" s="146"/>
      <c r="AC98" s="146"/>
      <c r="AD98" s="146">
        <f t="shared" si="3"/>
        <v>632</v>
      </c>
    </row>
    <row r="99" spans="2:30" x14ac:dyDescent="0.35">
      <c r="B99" s="3" t="s">
        <v>229</v>
      </c>
      <c r="D99" s="141">
        <v>11516</v>
      </c>
      <c r="E99" s="141">
        <v>4968</v>
      </c>
      <c r="F99" s="141">
        <v>17170</v>
      </c>
      <c r="G99" s="141">
        <v>6619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40273</v>
      </c>
      <c r="R99" s="146">
        <v>56</v>
      </c>
      <c r="S99" s="146">
        <v>71</v>
      </c>
      <c r="T99" s="146">
        <v>219</v>
      </c>
      <c r="U99" s="146">
        <v>42</v>
      </c>
      <c r="V99" s="146"/>
      <c r="W99" s="146"/>
      <c r="X99" s="146"/>
      <c r="Y99" s="146"/>
      <c r="Z99" s="146"/>
      <c r="AA99" s="146"/>
      <c r="AB99" s="146"/>
      <c r="AC99" s="146"/>
      <c r="AD99" s="146">
        <f t="shared" si="3"/>
        <v>388</v>
      </c>
    </row>
    <row r="100" spans="2:30" x14ac:dyDescent="0.35">
      <c r="B100" s="3" t="s">
        <v>188</v>
      </c>
      <c r="D100" s="141">
        <v>137736</v>
      </c>
      <c r="E100" s="141">
        <v>79370</v>
      </c>
      <c r="F100" s="141">
        <v>177199</v>
      </c>
      <c r="G100" s="141">
        <v>93051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487356</v>
      </c>
      <c r="R100" s="146">
        <v>367</v>
      </c>
      <c r="S100" s="146">
        <v>289</v>
      </c>
      <c r="T100" s="146">
        <v>593</v>
      </c>
      <c r="U100" s="146">
        <v>338</v>
      </c>
      <c r="V100" s="146"/>
      <c r="W100" s="146"/>
      <c r="X100" s="146"/>
      <c r="Y100" s="146"/>
      <c r="Z100" s="146"/>
      <c r="AA100" s="146"/>
      <c r="AB100" s="146"/>
      <c r="AC100" s="146"/>
      <c r="AD100" s="146">
        <f t="shared" si="3"/>
        <v>1587</v>
      </c>
    </row>
    <row r="101" spans="2:30" x14ac:dyDescent="0.35">
      <c r="B101" s="3" t="s">
        <v>126</v>
      </c>
      <c r="D101" s="141">
        <v>96994</v>
      </c>
      <c r="E101" s="141">
        <v>81551</v>
      </c>
      <c r="F101" s="141">
        <v>118918</v>
      </c>
      <c r="G101" s="141">
        <v>84768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382231</v>
      </c>
      <c r="R101" s="146">
        <v>351</v>
      </c>
      <c r="S101" s="146">
        <v>315</v>
      </c>
      <c r="T101" s="146">
        <v>359</v>
      </c>
      <c r="U101" s="146">
        <v>265</v>
      </c>
      <c r="V101" s="146"/>
      <c r="W101" s="146"/>
      <c r="X101" s="146"/>
      <c r="Y101" s="146"/>
      <c r="Z101" s="146"/>
      <c r="AA101" s="146"/>
      <c r="AB101" s="146"/>
      <c r="AC101" s="146"/>
      <c r="AD101" s="146">
        <f t="shared" si="3"/>
        <v>1290</v>
      </c>
    </row>
    <row r="102" spans="2:30" x14ac:dyDescent="0.35">
      <c r="B102" s="3" t="s">
        <v>192</v>
      </c>
      <c r="D102" s="141">
        <v>54026</v>
      </c>
      <c r="E102" s="141">
        <v>46861</v>
      </c>
      <c r="F102" s="141">
        <v>62470</v>
      </c>
      <c r="G102" s="141">
        <v>36014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199371</v>
      </c>
      <c r="R102" s="146">
        <v>741</v>
      </c>
      <c r="S102" s="146">
        <v>730</v>
      </c>
      <c r="T102" s="146">
        <v>878</v>
      </c>
      <c r="U102" s="146">
        <v>628</v>
      </c>
      <c r="V102" s="146"/>
      <c r="W102" s="146"/>
      <c r="X102" s="146"/>
      <c r="Y102" s="146"/>
      <c r="Z102" s="146"/>
      <c r="AA102" s="146"/>
      <c r="AB102" s="146"/>
      <c r="AC102" s="146"/>
      <c r="AD102" s="146">
        <f t="shared" si="3"/>
        <v>2977</v>
      </c>
    </row>
    <row r="103" spans="2:30" x14ac:dyDescent="0.35">
      <c r="B103" s="3" t="s">
        <v>186</v>
      </c>
      <c r="D103" s="141">
        <v>107917</v>
      </c>
      <c r="E103" s="141">
        <v>109643</v>
      </c>
      <c r="F103" s="141">
        <v>127179</v>
      </c>
      <c r="G103" s="141">
        <v>105065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449804</v>
      </c>
      <c r="R103" s="146">
        <v>709</v>
      </c>
      <c r="S103" s="146">
        <v>752</v>
      </c>
      <c r="T103" s="146">
        <v>833</v>
      </c>
      <c r="U103" s="146">
        <v>751</v>
      </c>
      <c r="V103" s="146"/>
      <c r="W103" s="146"/>
      <c r="X103" s="146"/>
      <c r="Y103" s="146"/>
      <c r="Z103" s="146"/>
      <c r="AA103" s="146"/>
      <c r="AB103" s="146"/>
      <c r="AC103" s="146"/>
      <c r="AD103" s="146">
        <f t="shared" si="3"/>
        <v>3045</v>
      </c>
    </row>
    <row r="104" spans="2:30" x14ac:dyDescent="0.35">
      <c r="B104" s="3" t="s">
        <v>234</v>
      </c>
      <c r="D104" s="141">
        <v>4119</v>
      </c>
      <c r="E104" s="141">
        <v>6132</v>
      </c>
      <c r="F104" s="141">
        <v>9175</v>
      </c>
      <c r="G104" s="141">
        <v>5894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25320</v>
      </c>
      <c r="R104" s="146">
        <v>24</v>
      </c>
      <c r="S104" s="146">
        <v>43</v>
      </c>
      <c r="T104" s="146">
        <v>34</v>
      </c>
      <c r="U104" s="146">
        <v>20</v>
      </c>
      <c r="V104" s="146"/>
      <c r="W104" s="146"/>
      <c r="X104" s="146"/>
      <c r="Y104" s="146"/>
      <c r="Z104" s="146"/>
      <c r="AA104" s="146"/>
      <c r="AB104" s="146"/>
      <c r="AC104" s="146"/>
      <c r="AD104" s="146">
        <f t="shared" si="3"/>
        <v>121</v>
      </c>
    </row>
    <row r="105" spans="2:30" x14ac:dyDescent="0.35">
      <c r="B105" s="3" t="s">
        <v>197</v>
      </c>
      <c r="D105" s="141">
        <v>50573</v>
      </c>
      <c r="E105" s="141">
        <v>27032</v>
      </c>
      <c r="F105" s="141">
        <v>99104</v>
      </c>
      <c r="G105" s="141">
        <v>22167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198876</v>
      </c>
      <c r="R105" s="146">
        <v>86</v>
      </c>
      <c r="S105" s="146">
        <v>61</v>
      </c>
      <c r="T105" s="146">
        <v>184</v>
      </c>
      <c r="U105" s="146">
        <v>62</v>
      </c>
      <c r="V105" s="146"/>
      <c r="W105" s="146"/>
      <c r="X105" s="146"/>
      <c r="Y105" s="146"/>
      <c r="Z105" s="146"/>
      <c r="AA105" s="146"/>
      <c r="AB105" s="146"/>
      <c r="AC105" s="146"/>
      <c r="AD105" s="146">
        <f t="shared" si="3"/>
        <v>393</v>
      </c>
    </row>
    <row r="106" spans="2:30" x14ac:dyDescent="0.35">
      <c r="B106" s="3" t="s">
        <v>195</v>
      </c>
      <c r="D106" s="141">
        <v>67850</v>
      </c>
      <c r="E106" s="141">
        <v>43593</v>
      </c>
      <c r="F106" s="141">
        <v>61555</v>
      </c>
      <c r="G106" s="141">
        <v>56463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229461</v>
      </c>
      <c r="R106" s="146">
        <v>174</v>
      </c>
      <c r="S106" s="146">
        <v>145</v>
      </c>
      <c r="T106" s="146">
        <v>160</v>
      </c>
      <c r="U106" s="146">
        <v>122</v>
      </c>
      <c r="V106" s="146"/>
      <c r="W106" s="146"/>
      <c r="X106" s="146"/>
      <c r="Y106" s="146"/>
      <c r="Z106" s="146"/>
      <c r="AA106" s="146"/>
      <c r="AB106" s="146"/>
      <c r="AC106" s="146"/>
      <c r="AD106" s="146">
        <f t="shared" si="3"/>
        <v>601</v>
      </c>
    </row>
    <row r="107" spans="2:30" x14ac:dyDescent="0.35">
      <c r="B107" s="3" t="s">
        <v>262</v>
      </c>
      <c r="D107" s="141">
        <v>1950</v>
      </c>
      <c r="E107" s="141">
        <v>882</v>
      </c>
      <c r="F107" s="141"/>
      <c r="G107" s="141">
        <v>1120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3952</v>
      </c>
      <c r="R107" s="146">
        <v>4</v>
      </c>
      <c r="S107" s="146">
        <v>3</v>
      </c>
      <c r="T107" s="146"/>
      <c r="U107" s="146">
        <v>1</v>
      </c>
      <c r="V107" s="146"/>
      <c r="W107" s="146"/>
      <c r="X107" s="146"/>
      <c r="Y107" s="146"/>
      <c r="Z107" s="146"/>
      <c r="AA107" s="146"/>
      <c r="AB107" s="146"/>
      <c r="AC107" s="146"/>
      <c r="AD107" s="146">
        <f t="shared" si="3"/>
        <v>8</v>
      </c>
    </row>
    <row r="108" spans="2:30" x14ac:dyDescent="0.35">
      <c r="B108" s="3" t="s">
        <v>212</v>
      </c>
      <c r="D108" s="141">
        <v>6850</v>
      </c>
      <c r="E108" s="141">
        <v>12687</v>
      </c>
      <c r="F108" s="141">
        <v>12735</v>
      </c>
      <c r="G108" s="141">
        <v>7764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40036</v>
      </c>
      <c r="R108" s="146">
        <v>32</v>
      </c>
      <c r="S108" s="146">
        <v>26</v>
      </c>
      <c r="T108" s="146">
        <v>45</v>
      </c>
      <c r="U108" s="146">
        <v>22</v>
      </c>
      <c r="V108" s="146"/>
      <c r="W108" s="146"/>
      <c r="X108" s="146"/>
      <c r="Y108" s="146"/>
      <c r="Z108" s="146"/>
      <c r="AA108" s="146"/>
      <c r="AB108" s="146"/>
      <c r="AC108" s="146"/>
      <c r="AD108" s="146">
        <f t="shared" si="3"/>
        <v>125</v>
      </c>
    </row>
    <row r="109" spans="2:30" x14ac:dyDescent="0.35">
      <c r="B109" s="3" t="s">
        <v>187</v>
      </c>
      <c r="D109" s="141">
        <v>205169</v>
      </c>
      <c r="E109" s="141">
        <v>174883</v>
      </c>
      <c r="F109" s="141">
        <v>170490</v>
      </c>
      <c r="G109" s="141">
        <v>138796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689338</v>
      </c>
      <c r="R109" s="146">
        <v>1460</v>
      </c>
      <c r="S109" s="146">
        <v>1433</v>
      </c>
      <c r="T109" s="146">
        <v>1152</v>
      </c>
      <c r="U109" s="146">
        <v>934</v>
      </c>
      <c r="V109" s="146"/>
      <c r="W109" s="146"/>
      <c r="X109" s="146"/>
      <c r="Y109" s="146"/>
      <c r="Z109" s="146"/>
      <c r="AA109" s="146"/>
      <c r="AB109" s="146"/>
      <c r="AC109" s="146"/>
      <c r="AD109" s="146">
        <f t="shared" si="3"/>
        <v>4979</v>
      </c>
    </row>
    <row r="110" spans="2:30" x14ac:dyDescent="0.35">
      <c r="B110" s="3" t="s">
        <v>206</v>
      </c>
      <c r="D110" s="141">
        <v>28907</v>
      </c>
      <c r="E110" s="141">
        <v>62996</v>
      </c>
      <c r="F110" s="141">
        <v>48702</v>
      </c>
      <c r="G110" s="141">
        <v>24505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165110</v>
      </c>
      <c r="R110" s="146">
        <v>40</v>
      </c>
      <c r="S110" s="146">
        <v>53</v>
      </c>
      <c r="T110" s="146">
        <v>54</v>
      </c>
      <c r="U110" s="146">
        <v>35</v>
      </c>
      <c r="V110" s="146"/>
      <c r="W110" s="146"/>
      <c r="X110" s="146"/>
      <c r="Y110" s="146"/>
      <c r="Z110" s="146"/>
      <c r="AA110" s="146"/>
      <c r="AB110" s="146"/>
      <c r="AC110" s="146"/>
      <c r="AD110" s="146">
        <f t="shared" si="3"/>
        <v>182</v>
      </c>
    </row>
    <row r="111" spans="2:30" x14ac:dyDescent="0.35">
      <c r="B111" s="3" t="s">
        <v>202</v>
      </c>
      <c r="D111" s="141">
        <v>33473</v>
      </c>
      <c r="E111" s="141">
        <v>54410</v>
      </c>
      <c r="F111" s="141">
        <v>69575</v>
      </c>
      <c r="G111" s="141">
        <v>34028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191486</v>
      </c>
      <c r="R111" s="146">
        <v>130</v>
      </c>
      <c r="S111" s="146">
        <v>141</v>
      </c>
      <c r="T111" s="146">
        <v>194</v>
      </c>
      <c r="U111" s="146">
        <v>105</v>
      </c>
      <c r="V111" s="146"/>
      <c r="W111" s="146"/>
      <c r="X111" s="146"/>
      <c r="Y111" s="146"/>
      <c r="Z111" s="146"/>
      <c r="AA111" s="146"/>
      <c r="AB111" s="146"/>
      <c r="AC111" s="146"/>
      <c r="AD111" s="146">
        <f t="shared" si="3"/>
        <v>570</v>
      </c>
    </row>
    <row r="112" spans="2:30" x14ac:dyDescent="0.35">
      <c r="B112" s="3" t="s">
        <v>200</v>
      </c>
      <c r="D112" s="141">
        <v>70087</v>
      </c>
      <c r="E112" s="141">
        <v>54174</v>
      </c>
      <c r="F112" s="141">
        <v>60788</v>
      </c>
      <c r="G112" s="141">
        <v>73858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258907</v>
      </c>
      <c r="R112" s="146">
        <v>109</v>
      </c>
      <c r="S112" s="146">
        <v>104</v>
      </c>
      <c r="T112" s="146">
        <v>115</v>
      </c>
      <c r="U112" s="146">
        <v>89</v>
      </c>
      <c r="V112" s="146"/>
      <c r="W112" s="146"/>
      <c r="X112" s="146"/>
      <c r="Y112" s="146"/>
      <c r="Z112" s="146"/>
      <c r="AA112" s="146"/>
      <c r="AB112" s="146"/>
      <c r="AC112" s="146"/>
      <c r="AD112" s="146">
        <f t="shared" si="3"/>
        <v>417</v>
      </c>
    </row>
    <row r="113" spans="2:30" x14ac:dyDescent="0.35">
      <c r="B113" s="3" t="s">
        <v>191</v>
      </c>
      <c r="D113" s="141">
        <v>166354</v>
      </c>
      <c r="E113" s="141">
        <v>142343</v>
      </c>
      <c r="F113" s="141">
        <v>157099</v>
      </c>
      <c r="G113" s="141">
        <v>85322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551118</v>
      </c>
      <c r="R113" s="146">
        <v>5823</v>
      </c>
      <c r="S113" s="146">
        <v>4743</v>
      </c>
      <c r="T113" s="146">
        <v>5387</v>
      </c>
      <c r="U113" s="146">
        <v>3017</v>
      </c>
      <c r="V113" s="146"/>
      <c r="W113" s="146"/>
      <c r="X113" s="146"/>
      <c r="Y113" s="146"/>
      <c r="Z113" s="146"/>
      <c r="AA113" s="146"/>
      <c r="AB113" s="146"/>
      <c r="AC113" s="146"/>
      <c r="AD113" s="146">
        <f t="shared" si="3"/>
        <v>18970</v>
      </c>
    </row>
    <row r="114" spans="2:30" x14ac:dyDescent="0.35">
      <c r="B114" s="3" t="s">
        <v>194</v>
      </c>
      <c r="D114" s="141">
        <v>265001</v>
      </c>
      <c r="E114" s="141">
        <v>259740</v>
      </c>
      <c r="F114" s="141">
        <v>314785</v>
      </c>
      <c r="G114" s="141">
        <v>148878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988404</v>
      </c>
      <c r="R114" s="146">
        <v>350</v>
      </c>
      <c r="S114" s="146">
        <v>310</v>
      </c>
      <c r="T114" s="146">
        <v>333</v>
      </c>
      <c r="U114" s="146">
        <v>200</v>
      </c>
      <c r="V114" s="146"/>
      <c r="W114" s="146"/>
      <c r="X114" s="146"/>
      <c r="Y114" s="146"/>
      <c r="Z114" s="146"/>
      <c r="AA114" s="146"/>
      <c r="AB114" s="146"/>
      <c r="AC114" s="146"/>
      <c r="AD114" s="146">
        <f t="shared" si="3"/>
        <v>1193</v>
      </c>
    </row>
    <row r="115" spans="2:30" x14ac:dyDescent="0.35">
      <c r="B115" s="3" t="s">
        <v>211</v>
      </c>
      <c r="D115" s="141">
        <v>99139</v>
      </c>
      <c r="E115" s="141">
        <v>74167</v>
      </c>
      <c r="F115" s="141">
        <v>56146</v>
      </c>
      <c r="G115" s="141">
        <v>51753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281205</v>
      </c>
      <c r="R115" s="146">
        <v>927</v>
      </c>
      <c r="S115" s="146">
        <v>931</v>
      </c>
      <c r="T115" s="146">
        <v>1000</v>
      </c>
      <c r="U115" s="146">
        <v>806</v>
      </c>
      <c r="V115" s="146"/>
      <c r="W115" s="146"/>
      <c r="X115" s="146"/>
      <c r="Y115" s="146"/>
      <c r="Z115" s="146"/>
      <c r="AA115" s="146"/>
      <c r="AB115" s="146"/>
      <c r="AC115" s="146"/>
      <c r="AD115" s="146">
        <f t="shared" si="3"/>
        <v>3664</v>
      </c>
    </row>
    <row r="116" spans="2:30" x14ac:dyDescent="0.35">
      <c r="B116" s="3" t="s">
        <v>199</v>
      </c>
      <c r="D116" s="141">
        <v>73810</v>
      </c>
      <c r="E116" s="141">
        <v>48291</v>
      </c>
      <c r="F116" s="141">
        <v>49288</v>
      </c>
      <c r="G116" s="141">
        <v>18154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189543</v>
      </c>
      <c r="R116" s="146">
        <v>98</v>
      </c>
      <c r="S116" s="146">
        <v>129</v>
      </c>
      <c r="T116" s="146">
        <v>161</v>
      </c>
      <c r="U116" s="146">
        <v>74</v>
      </c>
      <c r="V116" s="146"/>
      <c r="W116" s="146"/>
      <c r="X116" s="146"/>
      <c r="Y116" s="146"/>
      <c r="Z116" s="146"/>
      <c r="AA116" s="146"/>
      <c r="AB116" s="146"/>
      <c r="AC116" s="146"/>
      <c r="AD116" s="146">
        <f t="shared" si="3"/>
        <v>462</v>
      </c>
    </row>
    <row r="117" spans="2:30" x14ac:dyDescent="0.35">
      <c r="B117" s="3" t="s">
        <v>203</v>
      </c>
      <c r="D117" s="141">
        <v>94323</v>
      </c>
      <c r="E117" s="141">
        <v>73712</v>
      </c>
      <c r="F117" s="141">
        <v>103047</v>
      </c>
      <c r="G117" s="141">
        <v>87761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358843</v>
      </c>
      <c r="R117" s="146">
        <v>1054</v>
      </c>
      <c r="S117" s="146">
        <v>791</v>
      </c>
      <c r="T117" s="146">
        <v>948</v>
      </c>
      <c r="U117" s="146">
        <v>818</v>
      </c>
      <c r="V117" s="146"/>
      <c r="W117" s="146"/>
      <c r="X117" s="146"/>
      <c r="Y117" s="146"/>
      <c r="Z117" s="146"/>
      <c r="AA117" s="146"/>
      <c r="AB117" s="146"/>
      <c r="AC117" s="146"/>
      <c r="AD117" s="146">
        <f t="shared" si="3"/>
        <v>3611</v>
      </c>
    </row>
    <row r="118" spans="2:30" x14ac:dyDescent="0.35">
      <c r="B118" s="3" t="s">
        <v>196</v>
      </c>
      <c r="D118" s="141">
        <v>51100</v>
      </c>
      <c r="E118" s="141">
        <v>36737</v>
      </c>
      <c r="F118" s="141">
        <v>41299</v>
      </c>
      <c r="G118" s="141">
        <v>19633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148769</v>
      </c>
      <c r="R118" s="146">
        <v>120</v>
      </c>
      <c r="S118" s="146">
        <v>116</v>
      </c>
      <c r="T118" s="146">
        <v>53</v>
      </c>
      <c r="U118" s="146">
        <v>37</v>
      </c>
      <c r="V118" s="146"/>
      <c r="W118" s="146"/>
      <c r="X118" s="146"/>
      <c r="Y118" s="146"/>
      <c r="Z118" s="146"/>
      <c r="AA118" s="146"/>
      <c r="AB118" s="146"/>
      <c r="AC118" s="146"/>
      <c r="AD118" s="146">
        <f t="shared" si="3"/>
        <v>326</v>
      </c>
    </row>
    <row r="119" spans="2:30" x14ac:dyDescent="0.35">
      <c r="B119" s="3" t="s">
        <v>205</v>
      </c>
      <c r="D119" s="141">
        <v>34681</v>
      </c>
      <c r="E119" s="141">
        <v>72665</v>
      </c>
      <c r="F119" s="141">
        <v>48616</v>
      </c>
      <c r="G119" s="141">
        <v>36942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192904</v>
      </c>
      <c r="R119" s="146">
        <v>268</v>
      </c>
      <c r="S119" s="146">
        <v>548</v>
      </c>
      <c r="T119" s="146">
        <v>455</v>
      </c>
      <c r="U119" s="146">
        <v>297</v>
      </c>
      <c r="V119" s="146"/>
      <c r="W119" s="146"/>
      <c r="X119" s="146"/>
      <c r="Y119" s="146"/>
      <c r="Z119" s="146"/>
      <c r="AA119" s="146"/>
      <c r="AB119" s="146"/>
      <c r="AC119" s="146"/>
      <c r="AD119" s="146">
        <f t="shared" si="3"/>
        <v>1568</v>
      </c>
    </row>
    <row r="120" spans="2:30" x14ac:dyDescent="0.35">
      <c r="B120" s="3" t="s">
        <v>201</v>
      </c>
      <c r="D120" s="141">
        <v>6254</v>
      </c>
      <c r="E120" s="141">
        <v>13091</v>
      </c>
      <c r="F120" s="141">
        <v>13962</v>
      </c>
      <c r="G120" s="141">
        <v>1591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34898</v>
      </c>
      <c r="R120" s="146">
        <v>19</v>
      </c>
      <c r="S120" s="146">
        <v>21</v>
      </c>
      <c r="T120" s="146">
        <v>26</v>
      </c>
      <c r="U120" s="146">
        <v>9</v>
      </c>
      <c r="V120" s="146"/>
      <c r="W120" s="146"/>
      <c r="X120" s="146"/>
      <c r="Y120" s="146"/>
      <c r="Z120" s="146"/>
      <c r="AA120" s="146"/>
      <c r="AB120" s="146"/>
      <c r="AC120" s="146"/>
      <c r="AD120" s="146">
        <f t="shared" si="3"/>
        <v>75</v>
      </c>
    </row>
    <row r="121" spans="2:30" x14ac:dyDescent="0.35">
      <c r="B121" s="3" t="s">
        <v>189</v>
      </c>
      <c r="D121" s="141">
        <v>273150</v>
      </c>
      <c r="E121" s="141">
        <v>256021</v>
      </c>
      <c r="F121" s="141">
        <v>221968</v>
      </c>
      <c r="G121" s="141">
        <v>236532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987671</v>
      </c>
      <c r="R121" s="146">
        <v>27646</v>
      </c>
      <c r="S121" s="146">
        <v>26202</v>
      </c>
      <c r="T121" s="146">
        <v>17974</v>
      </c>
      <c r="U121" s="146">
        <v>24099</v>
      </c>
      <c r="V121" s="146"/>
      <c r="W121" s="146"/>
      <c r="X121" s="146"/>
      <c r="Y121" s="146"/>
      <c r="Z121" s="146"/>
      <c r="AA121" s="146"/>
      <c r="AB121" s="146"/>
      <c r="AC121" s="146"/>
      <c r="AD121" s="146">
        <f t="shared" si="3"/>
        <v>95921</v>
      </c>
    </row>
    <row r="122" spans="2:30" x14ac:dyDescent="0.35">
      <c r="B122" s="3" t="s">
        <v>244</v>
      </c>
      <c r="D122" s="141">
        <v>85032</v>
      </c>
      <c r="E122" s="141">
        <v>290536</v>
      </c>
      <c r="F122" s="141">
        <v>320614</v>
      </c>
      <c r="G122" s="141">
        <v>72120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768302</v>
      </c>
      <c r="R122" s="146">
        <v>578</v>
      </c>
      <c r="S122" s="146">
        <v>1213</v>
      </c>
      <c r="T122" s="146">
        <v>1377</v>
      </c>
      <c r="U122" s="146">
        <v>601</v>
      </c>
      <c r="V122" s="146"/>
      <c r="W122" s="146"/>
      <c r="X122" s="146"/>
      <c r="Y122" s="146"/>
      <c r="Z122" s="146"/>
      <c r="AA122" s="146"/>
      <c r="AB122" s="146"/>
      <c r="AC122" s="146"/>
      <c r="AD122" s="146">
        <f t="shared" si="3"/>
        <v>3769</v>
      </c>
    </row>
    <row r="123" spans="2:30" x14ac:dyDescent="0.35">
      <c r="B123" s="3" t="s">
        <v>208</v>
      </c>
      <c r="D123" s="141">
        <v>42233</v>
      </c>
      <c r="E123" s="141">
        <v>29730</v>
      </c>
      <c r="F123" s="141">
        <v>19466</v>
      </c>
      <c r="G123" s="141">
        <v>23436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114865</v>
      </c>
      <c r="R123" s="146">
        <v>647</v>
      </c>
      <c r="S123" s="146">
        <v>545</v>
      </c>
      <c r="T123" s="146">
        <v>367</v>
      </c>
      <c r="U123" s="146">
        <v>423</v>
      </c>
      <c r="V123" s="146"/>
      <c r="W123" s="146"/>
      <c r="X123" s="146"/>
      <c r="Y123" s="146"/>
      <c r="Z123" s="146"/>
      <c r="AA123" s="146"/>
      <c r="AB123" s="146"/>
      <c r="AC123" s="146"/>
      <c r="AD123" s="146">
        <f t="shared" si="3"/>
        <v>1982</v>
      </c>
    </row>
    <row r="124" spans="2:30" x14ac:dyDescent="0.35">
      <c r="B124" s="3" t="s">
        <v>242</v>
      </c>
      <c r="D124" s="141">
        <v>2194</v>
      </c>
      <c r="E124" s="141">
        <v>1737</v>
      </c>
      <c r="F124" s="141">
        <v>7979</v>
      </c>
      <c r="G124" s="141">
        <v>2143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14053</v>
      </c>
      <c r="R124" s="146">
        <v>10</v>
      </c>
      <c r="S124" s="146">
        <v>9</v>
      </c>
      <c r="T124" s="146">
        <v>21</v>
      </c>
      <c r="U124" s="146">
        <v>11</v>
      </c>
      <c r="V124" s="146"/>
      <c r="W124" s="146"/>
      <c r="X124" s="146"/>
      <c r="Y124" s="146"/>
      <c r="Z124" s="146"/>
      <c r="AA124" s="146"/>
      <c r="AB124" s="146"/>
      <c r="AC124" s="146"/>
      <c r="AD124" s="146">
        <f t="shared" si="3"/>
        <v>51</v>
      </c>
    </row>
    <row r="125" spans="2:30" x14ac:dyDescent="0.35">
      <c r="B125" s="3" t="s">
        <v>216</v>
      </c>
      <c r="D125" s="141">
        <v>342080</v>
      </c>
      <c r="E125" s="141">
        <v>328085</v>
      </c>
      <c r="F125" s="141">
        <v>394653</v>
      </c>
      <c r="G125" s="141">
        <v>268446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1333264</v>
      </c>
      <c r="R125" s="146">
        <v>33896</v>
      </c>
      <c r="S125" s="146">
        <v>32584</v>
      </c>
      <c r="T125" s="146">
        <v>40073</v>
      </c>
      <c r="U125" s="146">
        <v>25245</v>
      </c>
      <c r="V125" s="146"/>
      <c r="W125" s="146"/>
      <c r="X125" s="146"/>
      <c r="Y125" s="146"/>
      <c r="Z125" s="146"/>
      <c r="AA125" s="146"/>
      <c r="AB125" s="146"/>
      <c r="AC125" s="146"/>
      <c r="AD125" s="146">
        <f t="shared" si="3"/>
        <v>131798</v>
      </c>
    </row>
    <row r="126" spans="2:30" x14ac:dyDescent="0.35">
      <c r="B126" s="3" t="s">
        <v>222</v>
      </c>
      <c r="D126" s="141">
        <v>36077</v>
      </c>
      <c r="E126" s="141">
        <v>24141</v>
      </c>
      <c r="F126" s="141">
        <v>13587</v>
      </c>
      <c r="G126" s="141">
        <v>19292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93097</v>
      </c>
      <c r="R126" s="146">
        <v>112</v>
      </c>
      <c r="S126" s="146">
        <v>92</v>
      </c>
      <c r="T126" s="146">
        <v>47</v>
      </c>
      <c r="U126" s="146">
        <v>71</v>
      </c>
      <c r="V126" s="146"/>
      <c r="W126" s="146"/>
      <c r="X126" s="146"/>
      <c r="Y126" s="146"/>
      <c r="Z126" s="146"/>
      <c r="AA126" s="146"/>
      <c r="AB126" s="146"/>
      <c r="AC126" s="146"/>
      <c r="AD126" s="146">
        <f t="shared" si="3"/>
        <v>322</v>
      </c>
    </row>
    <row r="127" spans="2:30" x14ac:dyDescent="0.35">
      <c r="B127" s="3" t="s">
        <v>218</v>
      </c>
      <c r="D127" s="141">
        <v>50001</v>
      </c>
      <c r="E127" s="141">
        <v>24619</v>
      </c>
      <c r="F127" s="141">
        <v>38934</v>
      </c>
      <c r="G127" s="141">
        <v>22179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135733</v>
      </c>
      <c r="R127" s="146">
        <v>283</v>
      </c>
      <c r="S127" s="146">
        <v>225</v>
      </c>
      <c r="T127" s="146">
        <v>360</v>
      </c>
      <c r="U127" s="146">
        <v>214</v>
      </c>
      <c r="V127" s="146"/>
      <c r="W127" s="146"/>
      <c r="X127" s="146"/>
      <c r="Y127" s="146"/>
      <c r="Z127" s="146"/>
      <c r="AA127" s="146"/>
      <c r="AB127" s="146"/>
      <c r="AC127" s="146"/>
      <c r="AD127" s="146">
        <f t="shared" si="3"/>
        <v>1082</v>
      </c>
    </row>
    <row r="128" spans="2:30" x14ac:dyDescent="0.35">
      <c r="B128" s="3" t="s">
        <v>213</v>
      </c>
      <c r="D128" s="141">
        <v>16250</v>
      </c>
      <c r="E128" s="141">
        <v>11639</v>
      </c>
      <c r="F128" s="141">
        <v>22438</v>
      </c>
      <c r="G128" s="141">
        <v>9009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59336</v>
      </c>
      <c r="R128" s="146">
        <v>44</v>
      </c>
      <c r="S128" s="146">
        <v>29</v>
      </c>
      <c r="T128" s="146">
        <v>38</v>
      </c>
      <c r="U128" s="146">
        <v>21</v>
      </c>
      <c r="V128" s="146"/>
      <c r="W128" s="146"/>
      <c r="X128" s="146"/>
      <c r="Y128" s="146"/>
      <c r="Z128" s="146"/>
      <c r="AA128" s="146"/>
      <c r="AB128" s="146"/>
      <c r="AC128" s="146"/>
      <c r="AD128" s="146">
        <f t="shared" si="3"/>
        <v>132</v>
      </c>
    </row>
    <row r="129" spans="2:30" x14ac:dyDescent="0.35">
      <c r="B129" s="3" t="s">
        <v>273</v>
      </c>
      <c r="D129" s="141">
        <v>148</v>
      </c>
      <c r="E129" s="141">
        <v>38929</v>
      </c>
      <c r="F129" s="141">
        <v>1835</v>
      </c>
      <c r="G129" s="141">
        <v>271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41183</v>
      </c>
      <c r="R129" s="146">
        <v>1</v>
      </c>
      <c r="S129" s="146">
        <v>1</v>
      </c>
      <c r="T129" s="146">
        <v>1</v>
      </c>
      <c r="U129" s="146">
        <v>1</v>
      </c>
      <c r="V129" s="146"/>
      <c r="W129" s="146"/>
      <c r="X129" s="146"/>
      <c r="Y129" s="146"/>
      <c r="Z129" s="146"/>
      <c r="AA129" s="146"/>
      <c r="AB129" s="146"/>
      <c r="AC129" s="146"/>
      <c r="AD129" s="146">
        <f t="shared" si="3"/>
        <v>4</v>
      </c>
    </row>
    <row r="130" spans="2:30" x14ac:dyDescent="0.35">
      <c r="B130" s="3" t="s">
        <v>219</v>
      </c>
      <c r="D130" s="141">
        <v>73870</v>
      </c>
      <c r="E130" s="141">
        <v>57723</v>
      </c>
      <c r="F130" s="141">
        <v>85199</v>
      </c>
      <c r="G130" s="141">
        <v>75493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292285</v>
      </c>
      <c r="R130" s="146">
        <v>493</v>
      </c>
      <c r="S130" s="146">
        <v>435</v>
      </c>
      <c r="T130" s="146">
        <v>594</v>
      </c>
      <c r="U130" s="146">
        <v>415</v>
      </c>
      <c r="V130" s="146"/>
      <c r="W130" s="146"/>
      <c r="X130" s="146"/>
      <c r="Y130" s="146"/>
      <c r="Z130" s="146"/>
      <c r="AA130" s="146"/>
      <c r="AB130" s="146"/>
      <c r="AC130" s="146"/>
      <c r="AD130" s="146">
        <f t="shared" si="3"/>
        <v>1937</v>
      </c>
    </row>
    <row r="131" spans="2:30" x14ac:dyDescent="0.35">
      <c r="B131" s="3" t="s">
        <v>221</v>
      </c>
      <c r="D131" s="141">
        <v>13412</v>
      </c>
      <c r="E131" s="141">
        <v>19776</v>
      </c>
      <c r="F131" s="141">
        <v>35438</v>
      </c>
      <c r="G131" s="141">
        <v>14370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82996</v>
      </c>
      <c r="R131" s="146">
        <v>86</v>
      </c>
      <c r="S131" s="146">
        <v>104</v>
      </c>
      <c r="T131" s="146">
        <v>136</v>
      </c>
      <c r="U131" s="146">
        <v>96</v>
      </c>
      <c r="V131" s="146"/>
      <c r="W131" s="146"/>
      <c r="X131" s="146"/>
      <c r="Y131" s="146"/>
      <c r="Z131" s="146"/>
      <c r="AA131" s="146"/>
      <c r="AB131" s="146"/>
      <c r="AC131" s="146"/>
      <c r="AD131" s="146">
        <f t="shared" si="3"/>
        <v>422</v>
      </c>
    </row>
    <row r="132" spans="2:30" x14ac:dyDescent="0.35">
      <c r="B132" s="3" t="s">
        <v>241</v>
      </c>
      <c r="D132" s="141">
        <v>3203</v>
      </c>
      <c r="E132" s="141">
        <v>3894</v>
      </c>
      <c r="F132" s="141">
        <v>13434</v>
      </c>
      <c r="G132" s="141">
        <v>2138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2"/>
        <v>22669</v>
      </c>
      <c r="R132" s="146">
        <v>26</v>
      </c>
      <c r="S132" s="146">
        <v>33</v>
      </c>
      <c r="T132" s="146">
        <v>25</v>
      </c>
      <c r="U132" s="146">
        <v>26</v>
      </c>
      <c r="V132" s="146"/>
      <c r="W132" s="146"/>
      <c r="X132" s="146"/>
      <c r="Y132" s="146"/>
      <c r="Z132" s="146"/>
      <c r="AA132" s="146"/>
      <c r="AB132" s="146"/>
      <c r="AC132" s="146"/>
      <c r="AD132" s="146">
        <f t="shared" si="3"/>
        <v>110</v>
      </c>
    </row>
    <row r="133" spans="2:30" x14ac:dyDescent="0.35">
      <c r="B133" s="3" t="s">
        <v>228</v>
      </c>
      <c r="D133" s="141">
        <v>7335</v>
      </c>
      <c r="E133" s="141">
        <v>8560</v>
      </c>
      <c r="F133" s="141">
        <v>6569</v>
      </c>
      <c r="G133" s="141">
        <v>9339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6" si="4">+SUM(D133:O133)</f>
        <v>31803</v>
      </c>
      <c r="R133" s="146">
        <v>40</v>
      </c>
      <c r="S133" s="146">
        <v>49</v>
      </c>
      <c r="T133" s="146">
        <v>84</v>
      </c>
      <c r="U133" s="146">
        <v>48</v>
      </c>
      <c r="V133" s="146"/>
      <c r="W133" s="146"/>
      <c r="X133" s="146"/>
      <c r="Y133" s="146"/>
      <c r="Z133" s="146"/>
      <c r="AA133" s="146"/>
      <c r="AB133" s="146"/>
      <c r="AC133" s="146"/>
      <c r="AD133" s="146">
        <f t="shared" ref="AD133:AD196" si="5">+SUM(R133:AC133)</f>
        <v>221</v>
      </c>
    </row>
    <row r="134" spans="2:30" x14ac:dyDescent="0.35">
      <c r="B134" s="3" t="s">
        <v>217</v>
      </c>
      <c r="D134" s="141">
        <v>376746</v>
      </c>
      <c r="E134" s="141">
        <v>262917</v>
      </c>
      <c r="F134" s="141">
        <v>321798</v>
      </c>
      <c r="G134" s="141">
        <v>456838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1418299</v>
      </c>
      <c r="R134" s="146">
        <v>7572</v>
      </c>
      <c r="S134" s="146">
        <v>5623</v>
      </c>
      <c r="T134" s="146">
        <v>6986</v>
      </c>
      <c r="U134" s="146">
        <v>7147</v>
      </c>
      <c r="V134" s="146"/>
      <c r="W134" s="146"/>
      <c r="X134" s="146"/>
      <c r="Y134" s="146"/>
      <c r="Z134" s="146"/>
      <c r="AA134" s="146"/>
      <c r="AB134" s="146"/>
      <c r="AC134" s="146"/>
      <c r="AD134" s="146">
        <f t="shared" si="5"/>
        <v>27328</v>
      </c>
    </row>
    <row r="135" spans="2:30" x14ac:dyDescent="0.35">
      <c r="B135" s="3" t="s">
        <v>193</v>
      </c>
      <c r="D135" s="141">
        <v>1140423</v>
      </c>
      <c r="E135" s="141">
        <v>924402</v>
      </c>
      <c r="F135" s="141">
        <v>724945</v>
      </c>
      <c r="G135" s="141">
        <v>790768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3580538</v>
      </c>
      <c r="R135" s="146">
        <v>1493</v>
      </c>
      <c r="S135" s="146">
        <v>1400</v>
      </c>
      <c r="T135" s="146">
        <v>1141</v>
      </c>
      <c r="U135" s="146">
        <v>1176</v>
      </c>
      <c r="V135" s="146"/>
      <c r="W135" s="146"/>
      <c r="X135" s="146"/>
      <c r="Y135" s="146"/>
      <c r="Z135" s="146"/>
      <c r="AA135" s="146"/>
      <c r="AB135" s="146"/>
      <c r="AC135" s="146"/>
      <c r="AD135" s="146">
        <f t="shared" si="5"/>
        <v>5210</v>
      </c>
    </row>
    <row r="136" spans="2:30" x14ac:dyDescent="0.35">
      <c r="B136" s="3" t="s">
        <v>239</v>
      </c>
      <c r="D136" s="141">
        <v>4377</v>
      </c>
      <c r="E136" s="141">
        <v>8625</v>
      </c>
      <c r="F136" s="141">
        <v>12876</v>
      </c>
      <c r="G136" s="141">
        <v>20013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45891</v>
      </c>
      <c r="R136" s="146">
        <v>15</v>
      </c>
      <c r="S136" s="146">
        <v>30</v>
      </c>
      <c r="T136" s="146">
        <v>32</v>
      </c>
      <c r="U136" s="146">
        <v>35</v>
      </c>
      <c r="V136" s="146"/>
      <c r="W136" s="146"/>
      <c r="X136" s="146"/>
      <c r="Y136" s="146"/>
      <c r="Z136" s="146"/>
      <c r="AA136" s="146"/>
      <c r="AB136" s="146"/>
      <c r="AC136" s="146"/>
      <c r="AD136" s="146">
        <f t="shared" si="5"/>
        <v>112</v>
      </c>
    </row>
    <row r="137" spans="2:30" x14ac:dyDescent="0.35">
      <c r="B137" s="3" t="s">
        <v>253</v>
      </c>
      <c r="D137" s="141">
        <v>31762</v>
      </c>
      <c r="E137" s="141">
        <v>24751</v>
      </c>
      <c r="F137" s="141">
        <v>17241</v>
      </c>
      <c r="G137" s="141">
        <v>26638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100392</v>
      </c>
      <c r="R137" s="146">
        <v>508</v>
      </c>
      <c r="S137" s="146">
        <v>409</v>
      </c>
      <c r="T137" s="146">
        <v>344</v>
      </c>
      <c r="U137" s="146">
        <v>403</v>
      </c>
      <c r="V137" s="146"/>
      <c r="W137" s="146"/>
      <c r="X137" s="146"/>
      <c r="Y137" s="146"/>
      <c r="Z137" s="146"/>
      <c r="AA137" s="146"/>
      <c r="AB137" s="146"/>
      <c r="AC137" s="146"/>
      <c r="AD137" s="146">
        <f t="shared" si="5"/>
        <v>1664</v>
      </c>
    </row>
    <row r="138" spans="2:30" x14ac:dyDescent="0.35">
      <c r="B138" s="3" t="s">
        <v>220</v>
      </c>
      <c r="D138" s="141">
        <v>15338</v>
      </c>
      <c r="E138" s="141">
        <v>8484</v>
      </c>
      <c r="F138" s="141">
        <v>12054</v>
      </c>
      <c r="G138" s="141">
        <v>18282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54158</v>
      </c>
      <c r="R138" s="146">
        <v>25</v>
      </c>
      <c r="S138" s="146">
        <v>12</v>
      </c>
      <c r="T138" s="146">
        <v>34</v>
      </c>
      <c r="U138" s="146">
        <v>29</v>
      </c>
      <c r="V138" s="146"/>
      <c r="W138" s="146"/>
      <c r="X138" s="146"/>
      <c r="Y138" s="146"/>
      <c r="Z138" s="146"/>
      <c r="AA138" s="146"/>
      <c r="AB138" s="146"/>
      <c r="AC138" s="146"/>
      <c r="AD138" s="146">
        <f t="shared" si="5"/>
        <v>100</v>
      </c>
    </row>
    <row r="139" spans="2:30" x14ac:dyDescent="0.35">
      <c r="B139" s="3" t="s">
        <v>215</v>
      </c>
      <c r="D139" s="141">
        <v>23201</v>
      </c>
      <c r="E139" s="141">
        <v>23119</v>
      </c>
      <c r="F139" s="141">
        <v>32614</v>
      </c>
      <c r="G139" s="141">
        <v>29841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108775</v>
      </c>
      <c r="R139" s="146">
        <v>97</v>
      </c>
      <c r="S139" s="146">
        <v>95</v>
      </c>
      <c r="T139" s="146">
        <v>110</v>
      </c>
      <c r="U139" s="146">
        <v>110</v>
      </c>
      <c r="V139" s="146"/>
      <c r="W139" s="146"/>
      <c r="X139" s="146"/>
      <c r="Y139" s="146"/>
      <c r="Z139" s="146"/>
      <c r="AA139" s="146"/>
      <c r="AB139" s="146"/>
      <c r="AC139" s="146"/>
      <c r="AD139" s="146">
        <f t="shared" si="5"/>
        <v>412</v>
      </c>
    </row>
    <row r="140" spans="2:30" x14ac:dyDescent="0.35">
      <c r="B140" s="3" t="s">
        <v>223</v>
      </c>
      <c r="D140" s="141">
        <v>3983</v>
      </c>
      <c r="E140" s="141">
        <v>5689</v>
      </c>
      <c r="F140" s="141">
        <v>4087</v>
      </c>
      <c r="G140" s="141">
        <v>3596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17355</v>
      </c>
      <c r="R140" s="146">
        <v>49</v>
      </c>
      <c r="S140" s="146">
        <v>47</v>
      </c>
      <c r="T140" s="146">
        <v>42</v>
      </c>
      <c r="U140" s="146">
        <v>32</v>
      </c>
      <c r="V140" s="146"/>
      <c r="W140" s="146"/>
      <c r="X140" s="146"/>
      <c r="Y140" s="146"/>
      <c r="Z140" s="146"/>
      <c r="AA140" s="146"/>
      <c r="AB140" s="146"/>
      <c r="AC140" s="146"/>
      <c r="AD140" s="146">
        <f t="shared" si="5"/>
        <v>170</v>
      </c>
    </row>
    <row r="141" spans="2:30" x14ac:dyDescent="0.35">
      <c r="B141" s="3" t="s">
        <v>226</v>
      </c>
      <c r="D141" s="141">
        <v>8959</v>
      </c>
      <c r="E141" s="141">
        <v>3998</v>
      </c>
      <c r="F141" s="141">
        <v>32505</v>
      </c>
      <c r="G141" s="141">
        <v>11860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57322</v>
      </c>
      <c r="R141" s="146">
        <v>15</v>
      </c>
      <c r="S141" s="146">
        <v>11</v>
      </c>
      <c r="T141" s="146">
        <v>41</v>
      </c>
      <c r="U141" s="146">
        <v>22</v>
      </c>
      <c r="V141" s="146"/>
      <c r="W141" s="146"/>
      <c r="X141" s="146"/>
      <c r="Y141" s="146"/>
      <c r="Z141" s="146"/>
      <c r="AA141" s="146"/>
      <c r="AB141" s="146"/>
      <c r="AC141" s="146"/>
      <c r="AD141" s="146">
        <f t="shared" si="5"/>
        <v>89</v>
      </c>
    </row>
    <row r="142" spans="2:30" x14ac:dyDescent="0.35">
      <c r="B142" s="3" t="s">
        <v>274</v>
      </c>
      <c r="D142" s="141">
        <v>1510</v>
      </c>
      <c r="E142" s="141">
        <v>847</v>
      </c>
      <c r="F142" s="141">
        <v>944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3301</v>
      </c>
      <c r="R142" s="146">
        <v>5</v>
      </c>
      <c r="S142" s="146">
        <v>1</v>
      </c>
      <c r="T142" s="146">
        <v>3</v>
      </c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>
        <f t="shared" si="5"/>
        <v>9</v>
      </c>
    </row>
    <row r="143" spans="2:30" x14ac:dyDescent="0.35">
      <c r="B143" s="3" t="s">
        <v>243</v>
      </c>
      <c r="D143" s="141">
        <v>20173</v>
      </c>
      <c r="E143" s="141">
        <v>19999</v>
      </c>
      <c r="F143" s="141">
        <v>12402</v>
      </c>
      <c r="G143" s="141">
        <v>19025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71599</v>
      </c>
      <c r="R143" s="146">
        <v>32</v>
      </c>
      <c r="S143" s="146">
        <v>50</v>
      </c>
      <c r="T143" s="146">
        <v>77</v>
      </c>
      <c r="U143" s="146">
        <v>41</v>
      </c>
      <c r="V143" s="146"/>
      <c r="W143" s="146"/>
      <c r="X143" s="146"/>
      <c r="Y143" s="146"/>
      <c r="Z143" s="146"/>
      <c r="AA143" s="146"/>
      <c r="AB143" s="146"/>
      <c r="AC143" s="146"/>
      <c r="AD143" s="146">
        <f t="shared" si="5"/>
        <v>200</v>
      </c>
    </row>
    <row r="144" spans="2:30" x14ac:dyDescent="0.35">
      <c r="B144" s="3" t="s">
        <v>258</v>
      </c>
      <c r="D144" s="141">
        <v>727</v>
      </c>
      <c r="E144" s="141">
        <v>285</v>
      </c>
      <c r="F144" s="141">
        <v>522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1534</v>
      </c>
      <c r="R144" s="146">
        <v>9</v>
      </c>
      <c r="S144" s="146">
        <v>3</v>
      </c>
      <c r="T144" s="146">
        <v>8</v>
      </c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>
        <f t="shared" si="5"/>
        <v>20</v>
      </c>
    </row>
    <row r="145" spans="2:30" x14ac:dyDescent="0.35">
      <c r="B145" s="3" t="s">
        <v>235</v>
      </c>
      <c r="D145" s="141">
        <v>26380</v>
      </c>
      <c r="E145" s="141">
        <v>21843</v>
      </c>
      <c r="F145" s="141">
        <v>22868</v>
      </c>
      <c r="G145" s="141">
        <v>20951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92042</v>
      </c>
      <c r="R145" s="146">
        <v>18</v>
      </c>
      <c r="S145" s="146">
        <v>17</v>
      </c>
      <c r="T145" s="146">
        <v>25</v>
      </c>
      <c r="U145" s="146">
        <v>12</v>
      </c>
      <c r="V145" s="146"/>
      <c r="W145" s="146"/>
      <c r="X145" s="146"/>
      <c r="Y145" s="146"/>
      <c r="Z145" s="146"/>
      <c r="AA145" s="146"/>
      <c r="AB145" s="146"/>
      <c r="AC145" s="146"/>
      <c r="AD145" s="146">
        <f t="shared" si="5"/>
        <v>72</v>
      </c>
    </row>
    <row r="146" spans="2:30" x14ac:dyDescent="0.35">
      <c r="B146" s="3" t="s">
        <v>278</v>
      </c>
      <c r="D146" s="141">
        <v>3798</v>
      </c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3798</v>
      </c>
      <c r="R146" s="146">
        <v>6</v>
      </c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>
        <f t="shared" si="5"/>
        <v>6</v>
      </c>
    </row>
    <row r="147" spans="2:30" x14ac:dyDescent="0.35">
      <c r="B147" s="3" t="s">
        <v>224</v>
      </c>
      <c r="D147" s="141">
        <v>25169</v>
      </c>
      <c r="E147" s="141">
        <v>13405</v>
      </c>
      <c r="F147" s="141">
        <v>13165</v>
      </c>
      <c r="G147" s="141">
        <v>13349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65088</v>
      </c>
      <c r="R147" s="146">
        <v>25</v>
      </c>
      <c r="S147" s="146">
        <v>21</v>
      </c>
      <c r="T147" s="146">
        <v>30</v>
      </c>
      <c r="U147" s="146">
        <v>31</v>
      </c>
      <c r="V147" s="146"/>
      <c r="W147" s="146"/>
      <c r="X147" s="146"/>
      <c r="Y147" s="146"/>
      <c r="Z147" s="146"/>
      <c r="AA147" s="146"/>
      <c r="AB147" s="146"/>
      <c r="AC147" s="146"/>
      <c r="AD147" s="146">
        <f t="shared" si="5"/>
        <v>107</v>
      </c>
    </row>
    <row r="148" spans="2:30" x14ac:dyDescent="0.35">
      <c r="B148" s="3" t="s">
        <v>236</v>
      </c>
      <c r="D148" s="141">
        <v>9131</v>
      </c>
      <c r="E148" s="141">
        <v>5870</v>
      </c>
      <c r="F148" s="141">
        <v>17098</v>
      </c>
      <c r="G148" s="141">
        <v>4588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36687</v>
      </c>
      <c r="R148" s="146">
        <v>45</v>
      </c>
      <c r="S148" s="146">
        <v>33</v>
      </c>
      <c r="T148" s="146">
        <v>33</v>
      </c>
      <c r="U148" s="146">
        <v>24</v>
      </c>
      <c r="V148" s="146"/>
      <c r="W148" s="146"/>
      <c r="X148" s="146"/>
      <c r="Y148" s="146"/>
      <c r="Z148" s="146"/>
      <c r="AA148" s="146"/>
      <c r="AB148" s="146"/>
      <c r="AC148" s="146"/>
      <c r="AD148" s="146">
        <f t="shared" si="5"/>
        <v>135</v>
      </c>
    </row>
    <row r="149" spans="2:30" x14ac:dyDescent="0.35">
      <c r="B149" s="3" t="s">
        <v>227</v>
      </c>
      <c r="D149" s="141">
        <v>4615</v>
      </c>
      <c r="E149" s="141">
        <v>2296</v>
      </c>
      <c r="F149" s="141">
        <v>1495</v>
      </c>
      <c r="G149" s="141">
        <v>2462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10868</v>
      </c>
      <c r="R149" s="146">
        <v>5</v>
      </c>
      <c r="S149" s="146">
        <v>2</v>
      </c>
      <c r="T149" s="146">
        <v>4</v>
      </c>
      <c r="U149" s="146">
        <v>5</v>
      </c>
      <c r="V149" s="146"/>
      <c r="W149" s="146"/>
      <c r="X149" s="146"/>
      <c r="Y149" s="146"/>
      <c r="Z149" s="146"/>
      <c r="AA149" s="146"/>
      <c r="AB149" s="146"/>
      <c r="AC149" s="146"/>
      <c r="AD149" s="146">
        <f t="shared" si="5"/>
        <v>16</v>
      </c>
    </row>
    <row r="150" spans="2:30" x14ac:dyDescent="0.35">
      <c r="B150" s="3" t="s">
        <v>232</v>
      </c>
      <c r="D150" s="141">
        <v>16336</v>
      </c>
      <c r="E150" s="141">
        <v>17514</v>
      </c>
      <c r="F150" s="141">
        <v>26788</v>
      </c>
      <c r="G150" s="141">
        <v>7003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67641</v>
      </c>
      <c r="R150" s="146">
        <v>180</v>
      </c>
      <c r="S150" s="146">
        <v>172</v>
      </c>
      <c r="T150" s="146">
        <v>124</v>
      </c>
      <c r="U150" s="146">
        <v>80</v>
      </c>
      <c r="V150" s="146"/>
      <c r="W150" s="146"/>
      <c r="X150" s="146"/>
      <c r="Y150" s="146"/>
      <c r="Z150" s="146"/>
      <c r="AA150" s="146"/>
      <c r="AB150" s="146"/>
      <c r="AC150" s="146"/>
      <c r="AD150" s="146">
        <f t="shared" si="5"/>
        <v>556</v>
      </c>
    </row>
    <row r="151" spans="2:30" x14ac:dyDescent="0.35">
      <c r="B151" s="3" t="s">
        <v>238</v>
      </c>
      <c r="D151" s="141">
        <v>3681</v>
      </c>
      <c r="E151" s="141">
        <v>5665</v>
      </c>
      <c r="F151" s="141">
        <v>3662</v>
      </c>
      <c r="G151" s="141">
        <v>10682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23690</v>
      </c>
      <c r="R151" s="146">
        <v>20</v>
      </c>
      <c r="S151" s="146">
        <v>21</v>
      </c>
      <c r="T151" s="146">
        <v>22</v>
      </c>
      <c r="U151" s="146">
        <v>29</v>
      </c>
      <c r="V151" s="146"/>
      <c r="W151" s="146"/>
      <c r="X151" s="146"/>
      <c r="Y151" s="146"/>
      <c r="Z151" s="146"/>
      <c r="AA151" s="146"/>
      <c r="AB151" s="146"/>
      <c r="AC151" s="146"/>
      <c r="AD151" s="146">
        <f t="shared" si="5"/>
        <v>92</v>
      </c>
    </row>
    <row r="152" spans="2:30" x14ac:dyDescent="0.35">
      <c r="B152" s="3" t="s">
        <v>251</v>
      </c>
      <c r="D152" s="141">
        <v>164448</v>
      </c>
      <c r="E152" s="141">
        <v>137807</v>
      </c>
      <c r="F152" s="141">
        <v>144670</v>
      </c>
      <c r="G152" s="141">
        <v>134285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581210</v>
      </c>
      <c r="R152" s="146">
        <v>337</v>
      </c>
      <c r="S152" s="146">
        <v>338</v>
      </c>
      <c r="T152" s="146">
        <v>460</v>
      </c>
      <c r="U152" s="146">
        <v>403</v>
      </c>
      <c r="V152" s="146"/>
      <c r="W152" s="146"/>
      <c r="X152" s="146"/>
      <c r="Y152" s="146"/>
      <c r="Z152" s="146"/>
      <c r="AA152" s="146"/>
      <c r="AB152" s="146"/>
      <c r="AC152" s="146"/>
      <c r="AD152" s="146">
        <f t="shared" si="5"/>
        <v>1538</v>
      </c>
    </row>
    <row r="153" spans="2:30" x14ac:dyDescent="0.35">
      <c r="B153" s="3" t="s">
        <v>230</v>
      </c>
      <c r="D153" s="141">
        <v>1235</v>
      </c>
      <c r="E153" s="141">
        <v>2304</v>
      </c>
      <c r="F153" s="141">
        <v>15594</v>
      </c>
      <c r="G153" s="141">
        <v>6303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25436</v>
      </c>
      <c r="R153" s="146">
        <v>9</v>
      </c>
      <c r="S153" s="146">
        <v>9</v>
      </c>
      <c r="T153" s="146">
        <v>45</v>
      </c>
      <c r="U153" s="146">
        <v>10</v>
      </c>
      <c r="V153" s="146"/>
      <c r="W153" s="146"/>
      <c r="X153" s="146"/>
      <c r="Y153" s="146"/>
      <c r="Z153" s="146"/>
      <c r="AA153" s="146"/>
      <c r="AB153" s="146"/>
      <c r="AC153" s="146"/>
      <c r="AD153" s="146">
        <f t="shared" si="5"/>
        <v>73</v>
      </c>
    </row>
    <row r="154" spans="2:30" x14ac:dyDescent="0.35">
      <c r="B154" s="3" t="s">
        <v>231</v>
      </c>
      <c r="D154" s="141">
        <v>5215</v>
      </c>
      <c r="E154" s="141">
        <v>10763</v>
      </c>
      <c r="F154" s="141">
        <v>6133</v>
      </c>
      <c r="G154" s="141">
        <v>10136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32247</v>
      </c>
      <c r="R154" s="146">
        <v>5</v>
      </c>
      <c r="S154" s="146">
        <v>6</v>
      </c>
      <c r="T154" s="146">
        <v>10</v>
      </c>
      <c r="U154" s="146">
        <v>10</v>
      </c>
      <c r="V154" s="146"/>
      <c r="W154" s="146"/>
      <c r="X154" s="146"/>
      <c r="Y154" s="146"/>
      <c r="Z154" s="146"/>
      <c r="AA154" s="146"/>
      <c r="AB154" s="146"/>
      <c r="AC154" s="146"/>
      <c r="AD154" s="146">
        <f t="shared" si="5"/>
        <v>31</v>
      </c>
    </row>
    <row r="155" spans="2:30" x14ac:dyDescent="0.35">
      <c r="B155" s="3" t="s">
        <v>247</v>
      </c>
      <c r="D155" s="141">
        <v>1526</v>
      </c>
      <c r="E155" s="141">
        <v>1280</v>
      </c>
      <c r="F155" s="141">
        <v>479</v>
      </c>
      <c r="G155" s="141">
        <v>1345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4630</v>
      </c>
      <c r="R155" s="146">
        <v>10</v>
      </c>
      <c r="S155" s="146">
        <v>4</v>
      </c>
      <c r="T155" s="146">
        <v>2</v>
      </c>
      <c r="U155" s="146">
        <v>6</v>
      </c>
      <c r="V155" s="146"/>
      <c r="W155" s="146"/>
      <c r="X155" s="146"/>
      <c r="Y155" s="146"/>
      <c r="Z155" s="146"/>
      <c r="AA155" s="146"/>
      <c r="AB155" s="146"/>
      <c r="AC155" s="146"/>
      <c r="AD155" s="146">
        <f t="shared" si="5"/>
        <v>22</v>
      </c>
    </row>
    <row r="156" spans="2:30" x14ac:dyDescent="0.35">
      <c r="B156" s="3" t="s">
        <v>240</v>
      </c>
      <c r="D156" s="141">
        <v>1166</v>
      </c>
      <c r="E156" s="141">
        <v>2121</v>
      </c>
      <c r="F156" s="141">
        <v>2704</v>
      </c>
      <c r="G156" s="141">
        <v>8548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14539</v>
      </c>
      <c r="R156" s="146">
        <v>13</v>
      </c>
      <c r="S156" s="146">
        <v>24</v>
      </c>
      <c r="T156" s="146">
        <v>14</v>
      </c>
      <c r="U156" s="146">
        <v>19</v>
      </c>
      <c r="V156" s="146"/>
      <c r="W156" s="146"/>
      <c r="X156" s="146"/>
      <c r="Y156" s="146"/>
      <c r="Z156" s="146"/>
      <c r="AA156" s="146"/>
      <c r="AB156" s="146"/>
      <c r="AC156" s="146"/>
      <c r="AD156" s="146">
        <f t="shared" si="5"/>
        <v>70</v>
      </c>
    </row>
    <row r="157" spans="2:30" x14ac:dyDescent="0.35">
      <c r="B157" s="3" t="s">
        <v>245</v>
      </c>
      <c r="D157" s="141">
        <v>19133</v>
      </c>
      <c r="E157" s="141">
        <v>15614</v>
      </c>
      <c r="F157" s="141">
        <v>13083</v>
      </c>
      <c r="G157" s="141">
        <v>5308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53138</v>
      </c>
      <c r="R157" s="146">
        <v>55</v>
      </c>
      <c r="S157" s="146">
        <v>52</v>
      </c>
      <c r="T157" s="146">
        <v>68</v>
      </c>
      <c r="U157" s="146">
        <v>23</v>
      </c>
      <c r="V157" s="146"/>
      <c r="W157" s="146"/>
      <c r="X157" s="146"/>
      <c r="Y157" s="146"/>
      <c r="Z157" s="146"/>
      <c r="AA157" s="146"/>
      <c r="AB157" s="146"/>
      <c r="AC157" s="146"/>
      <c r="AD157" s="146">
        <f t="shared" si="5"/>
        <v>198</v>
      </c>
    </row>
    <row r="158" spans="2:30" x14ac:dyDescent="0.35">
      <c r="B158" s="3" t="s">
        <v>237</v>
      </c>
      <c r="D158" s="141">
        <v>2302</v>
      </c>
      <c r="E158" s="141">
        <v>10764</v>
      </c>
      <c r="F158" s="141">
        <v>5235</v>
      </c>
      <c r="G158" s="141">
        <v>4474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22775</v>
      </c>
      <c r="R158" s="146">
        <v>14</v>
      </c>
      <c r="S158" s="146">
        <v>13</v>
      </c>
      <c r="T158" s="146">
        <v>34</v>
      </c>
      <c r="U158" s="146">
        <v>5</v>
      </c>
      <c r="V158" s="146"/>
      <c r="W158" s="146"/>
      <c r="X158" s="146"/>
      <c r="Y158" s="146"/>
      <c r="Z158" s="146"/>
      <c r="AA158" s="146"/>
      <c r="AB158" s="146"/>
      <c r="AC158" s="146"/>
      <c r="AD158" s="146">
        <f t="shared" si="5"/>
        <v>66</v>
      </c>
    </row>
    <row r="159" spans="2:30" x14ac:dyDescent="0.35">
      <c r="B159" s="3" t="s">
        <v>252</v>
      </c>
      <c r="D159" s="141">
        <v>9650</v>
      </c>
      <c r="E159" s="141">
        <v>7347</v>
      </c>
      <c r="F159" s="141">
        <v>33759</v>
      </c>
      <c r="G159" s="141">
        <v>3432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54188</v>
      </c>
      <c r="R159" s="146">
        <v>20</v>
      </c>
      <c r="S159" s="146">
        <v>17</v>
      </c>
      <c r="T159" s="146">
        <v>83</v>
      </c>
      <c r="U159" s="146">
        <v>11</v>
      </c>
      <c r="V159" s="146"/>
      <c r="W159" s="146"/>
      <c r="X159" s="146"/>
      <c r="Y159" s="146"/>
      <c r="Z159" s="146"/>
      <c r="AA159" s="146"/>
      <c r="AB159" s="146"/>
      <c r="AC159" s="146"/>
      <c r="AD159" s="146">
        <f t="shared" si="5"/>
        <v>131</v>
      </c>
    </row>
    <row r="160" spans="2:30" x14ac:dyDescent="0.35">
      <c r="B160" s="3" t="s">
        <v>300</v>
      </c>
      <c r="D160" s="141">
        <v>99</v>
      </c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99</v>
      </c>
      <c r="R160" s="146">
        <v>1</v>
      </c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>
        <f t="shared" si="5"/>
        <v>1</v>
      </c>
    </row>
    <row r="161" spans="2:30" x14ac:dyDescent="0.35">
      <c r="B161" s="3" t="s">
        <v>233</v>
      </c>
      <c r="D161" s="141">
        <v>11953</v>
      </c>
      <c r="E161" s="141">
        <v>16378</v>
      </c>
      <c r="F161" s="141">
        <v>7445</v>
      </c>
      <c r="G161" s="141">
        <v>11129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46905</v>
      </c>
      <c r="R161" s="146">
        <v>122</v>
      </c>
      <c r="S161" s="146">
        <v>177</v>
      </c>
      <c r="T161" s="146">
        <v>68</v>
      </c>
      <c r="U161" s="146">
        <v>93</v>
      </c>
      <c r="V161" s="146"/>
      <c r="W161" s="146"/>
      <c r="X161" s="146"/>
      <c r="Y161" s="146"/>
      <c r="Z161" s="146"/>
      <c r="AA161" s="146"/>
      <c r="AB161" s="146"/>
      <c r="AC161" s="146"/>
      <c r="AD161" s="146">
        <f t="shared" si="5"/>
        <v>460</v>
      </c>
    </row>
    <row r="162" spans="2:30" x14ac:dyDescent="0.35">
      <c r="B162" s="3" t="s">
        <v>248</v>
      </c>
      <c r="D162" s="141">
        <v>1152</v>
      </c>
      <c r="E162" s="141"/>
      <c r="F162" s="141">
        <v>2740</v>
      </c>
      <c r="G162" s="141">
        <v>160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4052</v>
      </c>
      <c r="R162" s="146">
        <v>1</v>
      </c>
      <c r="S162" s="146"/>
      <c r="T162" s="146">
        <v>9</v>
      </c>
      <c r="U162" s="146">
        <v>2</v>
      </c>
      <c r="V162" s="146"/>
      <c r="W162" s="146"/>
      <c r="X162" s="146"/>
      <c r="Y162" s="146"/>
      <c r="Z162" s="146"/>
      <c r="AA162" s="146"/>
      <c r="AB162" s="146"/>
      <c r="AC162" s="146"/>
      <c r="AD162" s="146">
        <f t="shared" si="5"/>
        <v>12</v>
      </c>
    </row>
    <row r="163" spans="2:30" x14ac:dyDescent="0.35">
      <c r="B163" s="3" t="s">
        <v>259</v>
      </c>
      <c r="D163" s="141">
        <v>761</v>
      </c>
      <c r="E163" s="141">
        <v>155</v>
      </c>
      <c r="F163" s="141">
        <v>2684</v>
      </c>
      <c r="G163" s="141">
        <v>935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4535</v>
      </c>
      <c r="R163" s="146">
        <v>3</v>
      </c>
      <c r="S163" s="146">
        <v>2</v>
      </c>
      <c r="T163" s="146">
        <v>7</v>
      </c>
      <c r="U163" s="146">
        <v>6</v>
      </c>
      <c r="V163" s="146"/>
      <c r="W163" s="146"/>
      <c r="X163" s="146"/>
      <c r="Y163" s="146"/>
      <c r="Z163" s="146"/>
      <c r="AA163" s="146"/>
      <c r="AB163" s="146"/>
      <c r="AC163" s="146"/>
      <c r="AD163" s="146">
        <f t="shared" si="5"/>
        <v>18</v>
      </c>
    </row>
    <row r="164" spans="2:30" x14ac:dyDescent="0.35">
      <c r="B164" s="3" t="s">
        <v>249</v>
      </c>
      <c r="D164" s="141">
        <v>2065</v>
      </c>
      <c r="E164" s="141">
        <v>1763</v>
      </c>
      <c r="F164" s="141">
        <v>1451</v>
      </c>
      <c r="G164" s="141">
        <v>1474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6753</v>
      </c>
      <c r="R164" s="146">
        <v>15</v>
      </c>
      <c r="S164" s="146">
        <v>9</v>
      </c>
      <c r="T164" s="146">
        <v>13</v>
      </c>
      <c r="U164" s="146">
        <v>18</v>
      </c>
      <c r="V164" s="146"/>
      <c r="W164" s="146"/>
      <c r="X164" s="146"/>
      <c r="Y164" s="146"/>
      <c r="Z164" s="146"/>
      <c r="AA164" s="146"/>
      <c r="AB164" s="146"/>
      <c r="AC164" s="146"/>
      <c r="AD164" s="146">
        <f t="shared" si="5"/>
        <v>55</v>
      </c>
    </row>
    <row r="165" spans="2:30" x14ac:dyDescent="0.35">
      <c r="B165" s="3" t="s">
        <v>257</v>
      </c>
      <c r="D165" s="141">
        <v>277</v>
      </c>
      <c r="E165" s="141">
        <v>1956</v>
      </c>
      <c r="F165" s="141">
        <v>3956</v>
      </c>
      <c r="G165" s="141">
        <v>895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7084</v>
      </c>
      <c r="R165" s="146">
        <v>3</v>
      </c>
      <c r="S165" s="146">
        <v>8</v>
      </c>
      <c r="T165" s="146">
        <v>7</v>
      </c>
      <c r="U165" s="146">
        <v>4</v>
      </c>
      <c r="V165" s="146"/>
      <c r="W165" s="146"/>
      <c r="X165" s="146"/>
      <c r="Y165" s="146"/>
      <c r="Z165" s="146"/>
      <c r="AA165" s="146"/>
      <c r="AB165" s="146"/>
      <c r="AC165" s="146"/>
      <c r="AD165" s="146">
        <f t="shared" si="5"/>
        <v>22</v>
      </c>
    </row>
    <row r="166" spans="2:30" x14ac:dyDescent="0.35">
      <c r="B166" s="3" t="s">
        <v>254</v>
      </c>
      <c r="D166" s="141">
        <v>2765</v>
      </c>
      <c r="E166" s="141">
        <v>950</v>
      </c>
      <c r="F166" s="141">
        <v>3608</v>
      </c>
      <c r="G166" s="141">
        <v>3194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10517</v>
      </c>
      <c r="R166" s="146">
        <v>6</v>
      </c>
      <c r="S166" s="146">
        <v>8</v>
      </c>
      <c r="T166" s="146">
        <v>7</v>
      </c>
      <c r="U166" s="146">
        <v>7</v>
      </c>
      <c r="V166" s="146"/>
      <c r="W166" s="146"/>
      <c r="X166" s="146"/>
      <c r="Y166" s="146"/>
      <c r="Z166" s="146"/>
      <c r="AA166" s="146"/>
      <c r="AB166" s="146"/>
      <c r="AC166" s="146"/>
      <c r="AD166" s="146">
        <f t="shared" si="5"/>
        <v>28</v>
      </c>
    </row>
    <row r="167" spans="2:30" x14ac:dyDescent="0.35">
      <c r="B167" s="3" t="s">
        <v>255</v>
      </c>
      <c r="D167" s="141">
        <v>3749</v>
      </c>
      <c r="E167" s="141">
        <v>405</v>
      </c>
      <c r="F167" s="141">
        <v>426</v>
      </c>
      <c r="G167" s="141">
        <v>123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4703</v>
      </c>
      <c r="R167" s="146">
        <v>9</v>
      </c>
      <c r="S167" s="146">
        <v>2</v>
      </c>
      <c r="T167" s="146">
        <v>10</v>
      </c>
      <c r="U167" s="146">
        <v>4</v>
      </c>
      <c r="V167" s="146"/>
      <c r="W167" s="146"/>
      <c r="X167" s="146"/>
      <c r="Y167" s="146"/>
      <c r="Z167" s="146"/>
      <c r="AA167" s="146"/>
      <c r="AB167" s="146"/>
      <c r="AC167" s="146"/>
      <c r="AD167" s="146">
        <f t="shared" si="5"/>
        <v>25</v>
      </c>
    </row>
    <row r="168" spans="2:30" x14ac:dyDescent="0.35">
      <c r="B168" s="3" t="s">
        <v>256</v>
      </c>
      <c r="D168" s="141"/>
      <c r="E168" s="141">
        <v>5512</v>
      </c>
      <c r="F168" s="141">
        <v>2586</v>
      </c>
      <c r="G168" s="141">
        <v>19746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27844</v>
      </c>
      <c r="R168" s="146"/>
      <c r="S168" s="146">
        <v>22</v>
      </c>
      <c r="T168" s="146">
        <v>14</v>
      </c>
      <c r="U168" s="146">
        <v>87</v>
      </c>
      <c r="V168" s="146"/>
      <c r="W168" s="146"/>
      <c r="X168" s="146"/>
      <c r="Y168" s="146"/>
      <c r="Z168" s="146"/>
      <c r="AA168" s="146"/>
      <c r="AB168" s="146"/>
      <c r="AC168" s="146"/>
      <c r="AD168" s="146">
        <f t="shared" si="5"/>
        <v>123</v>
      </c>
    </row>
    <row r="169" spans="2:30" x14ac:dyDescent="0.35">
      <c r="B169" s="3" t="s">
        <v>250</v>
      </c>
      <c r="D169" s="141">
        <v>26160</v>
      </c>
      <c r="E169" s="141">
        <v>24113</v>
      </c>
      <c r="F169" s="141">
        <v>6678</v>
      </c>
      <c r="G169" s="141">
        <v>33714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90665</v>
      </c>
      <c r="R169" s="146">
        <v>58</v>
      </c>
      <c r="S169" s="146">
        <v>58</v>
      </c>
      <c r="T169" s="146">
        <v>78</v>
      </c>
      <c r="U169" s="146">
        <v>59</v>
      </c>
      <c r="V169" s="146"/>
      <c r="W169" s="146"/>
      <c r="X169" s="146"/>
      <c r="Y169" s="146"/>
      <c r="Z169" s="146"/>
      <c r="AA169" s="146"/>
      <c r="AB169" s="146"/>
      <c r="AC169" s="146"/>
      <c r="AD169" s="146">
        <f t="shared" si="5"/>
        <v>253</v>
      </c>
    </row>
    <row r="170" spans="2:30" x14ac:dyDescent="0.35">
      <c r="B170" s="3" t="s">
        <v>264</v>
      </c>
      <c r="D170" s="141">
        <v>3639</v>
      </c>
      <c r="E170" s="141">
        <v>98</v>
      </c>
      <c r="F170" s="141">
        <v>219</v>
      </c>
      <c r="G170" s="141">
        <v>118050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122006</v>
      </c>
      <c r="R170" s="146">
        <v>2</v>
      </c>
      <c r="S170" s="146">
        <v>1</v>
      </c>
      <c r="T170" s="146">
        <v>2</v>
      </c>
      <c r="U170" s="146">
        <v>1620</v>
      </c>
      <c r="V170" s="146"/>
      <c r="W170" s="146"/>
      <c r="X170" s="146"/>
      <c r="Y170" s="146"/>
      <c r="Z170" s="146"/>
      <c r="AA170" s="146"/>
      <c r="AB170" s="146"/>
      <c r="AC170" s="146"/>
      <c r="AD170" s="146">
        <f t="shared" si="5"/>
        <v>1625</v>
      </c>
    </row>
    <row r="171" spans="2:30" x14ac:dyDescent="0.35">
      <c r="B171" s="3" t="s">
        <v>246</v>
      </c>
      <c r="D171" s="141">
        <v>116581</v>
      </c>
      <c r="E171" s="141">
        <v>39307</v>
      </c>
      <c r="F171" s="141">
        <v>87320</v>
      </c>
      <c r="G171" s="141">
        <v>54455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297663</v>
      </c>
      <c r="R171" s="146">
        <v>505</v>
      </c>
      <c r="S171" s="146">
        <v>341</v>
      </c>
      <c r="T171" s="146">
        <v>209</v>
      </c>
      <c r="U171" s="146">
        <v>497</v>
      </c>
      <c r="V171" s="146"/>
      <c r="W171" s="146"/>
      <c r="X171" s="146"/>
      <c r="Y171" s="146"/>
      <c r="Z171" s="146"/>
      <c r="AA171" s="146"/>
      <c r="AB171" s="146"/>
      <c r="AC171" s="146"/>
      <c r="AD171" s="146">
        <f t="shared" si="5"/>
        <v>1552</v>
      </c>
    </row>
    <row r="172" spans="2:30" x14ac:dyDescent="0.35">
      <c r="B172" s="3" t="s">
        <v>309</v>
      </c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0</v>
      </c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>
        <f t="shared" si="5"/>
        <v>0</v>
      </c>
    </row>
    <row r="173" spans="2:30" x14ac:dyDescent="0.35">
      <c r="B173" s="3" t="s">
        <v>268</v>
      </c>
      <c r="D173" s="141">
        <v>742</v>
      </c>
      <c r="E173" s="141">
        <v>5180</v>
      </c>
      <c r="F173" s="141">
        <v>7417</v>
      </c>
      <c r="G173" s="141">
        <v>5412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18751</v>
      </c>
      <c r="R173" s="146">
        <v>2</v>
      </c>
      <c r="S173" s="146">
        <v>8</v>
      </c>
      <c r="T173" s="146">
        <v>10</v>
      </c>
      <c r="U173" s="146">
        <v>12</v>
      </c>
      <c r="V173" s="146"/>
      <c r="W173" s="146"/>
      <c r="X173" s="146"/>
      <c r="Y173" s="146"/>
      <c r="Z173" s="146"/>
      <c r="AA173" s="146"/>
      <c r="AB173" s="146"/>
      <c r="AC173" s="146"/>
      <c r="AD173" s="146">
        <f t="shared" si="5"/>
        <v>32</v>
      </c>
    </row>
    <row r="174" spans="2:30" x14ac:dyDescent="0.35">
      <c r="B174" s="3" t="s">
        <v>261</v>
      </c>
      <c r="D174" s="141">
        <v>2268</v>
      </c>
      <c r="E174" s="141">
        <v>6911</v>
      </c>
      <c r="F174" s="141">
        <v>4011</v>
      </c>
      <c r="G174" s="141">
        <v>2486</v>
      </c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15676</v>
      </c>
      <c r="R174" s="146">
        <v>3</v>
      </c>
      <c r="S174" s="146">
        <v>7</v>
      </c>
      <c r="T174" s="146">
        <v>1</v>
      </c>
      <c r="U174" s="146">
        <v>2</v>
      </c>
      <c r="V174" s="146"/>
      <c r="W174" s="146"/>
      <c r="X174" s="146"/>
      <c r="Y174" s="146"/>
      <c r="Z174" s="146"/>
      <c r="AA174" s="146"/>
      <c r="AB174" s="146"/>
      <c r="AC174" s="146"/>
      <c r="AD174" s="146">
        <f t="shared" si="5"/>
        <v>13</v>
      </c>
    </row>
    <row r="175" spans="2:30" x14ac:dyDescent="0.35">
      <c r="B175" s="3" t="s">
        <v>305</v>
      </c>
      <c r="D175" s="141"/>
      <c r="E175" s="141"/>
      <c r="F175" s="141">
        <v>330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330</v>
      </c>
      <c r="R175" s="146"/>
      <c r="S175" s="146"/>
      <c r="T175" s="146">
        <v>1</v>
      </c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>
        <f t="shared" si="5"/>
        <v>1</v>
      </c>
    </row>
    <row r="176" spans="2:30" x14ac:dyDescent="0.35">
      <c r="B176" s="3" t="s">
        <v>263</v>
      </c>
      <c r="D176" s="141">
        <v>278</v>
      </c>
      <c r="E176" s="141"/>
      <c r="F176" s="141">
        <v>3502</v>
      </c>
      <c r="G176" s="141">
        <v>1289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5069</v>
      </c>
      <c r="R176" s="146">
        <v>2</v>
      </c>
      <c r="S176" s="146"/>
      <c r="T176" s="146">
        <v>19</v>
      </c>
      <c r="U176" s="146">
        <v>2</v>
      </c>
      <c r="V176" s="146"/>
      <c r="W176" s="146"/>
      <c r="X176" s="146"/>
      <c r="Y176" s="146"/>
      <c r="Z176" s="146"/>
      <c r="AA176" s="146"/>
      <c r="AB176" s="146"/>
      <c r="AC176" s="146"/>
      <c r="AD176" s="146">
        <f t="shared" si="5"/>
        <v>23</v>
      </c>
    </row>
    <row r="177" spans="2:30" x14ac:dyDescent="0.35">
      <c r="B177" s="3" t="s">
        <v>266</v>
      </c>
      <c r="D177" s="141">
        <v>250</v>
      </c>
      <c r="E177" s="141">
        <v>1855</v>
      </c>
      <c r="F177" s="141">
        <v>563</v>
      </c>
      <c r="G177" s="141">
        <v>1294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3962</v>
      </c>
      <c r="R177" s="146">
        <v>2</v>
      </c>
      <c r="S177" s="146">
        <v>4</v>
      </c>
      <c r="T177" s="146">
        <v>2</v>
      </c>
      <c r="U177" s="146">
        <v>6</v>
      </c>
      <c r="V177" s="146"/>
      <c r="W177" s="146"/>
      <c r="X177" s="146"/>
      <c r="Y177" s="146"/>
      <c r="Z177" s="146"/>
      <c r="AA177" s="146"/>
      <c r="AB177" s="146"/>
      <c r="AC177" s="146"/>
      <c r="AD177" s="146">
        <f t="shared" si="5"/>
        <v>14</v>
      </c>
    </row>
    <row r="178" spans="2:30" x14ac:dyDescent="0.35">
      <c r="B178" s="3" t="s">
        <v>260</v>
      </c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0</v>
      </c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>
        <f t="shared" si="5"/>
        <v>0</v>
      </c>
    </row>
    <row r="179" spans="2:30" x14ac:dyDescent="0.35">
      <c r="B179" s="3" t="s">
        <v>272</v>
      </c>
      <c r="D179" s="141">
        <v>4017</v>
      </c>
      <c r="E179" s="141"/>
      <c r="F179" s="141">
        <v>2717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6734</v>
      </c>
      <c r="R179" s="146">
        <v>6</v>
      </c>
      <c r="S179" s="146"/>
      <c r="T179" s="146">
        <v>3</v>
      </c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>
        <f t="shared" si="5"/>
        <v>9</v>
      </c>
    </row>
    <row r="180" spans="2:30" x14ac:dyDescent="0.35">
      <c r="B180" s="3" t="s">
        <v>316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>
        <f t="shared" si="5"/>
        <v>0</v>
      </c>
    </row>
    <row r="181" spans="2:30" x14ac:dyDescent="0.35">
      <c r="B181" s="3" t="s">
        <v>290</v>
      </c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0</v>
      </c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>
        <f t="shared" si="5"/>
        <v>0</v>
      </c>
    </row>
    <row r="182" spans="2:30" x14ac:dyDescent="0.35">
      <c r="B182" s="3" t="s">
        <v>277</v>
      </c>
      <c r="D182" s="141">
        <v>933</v>
      </c>
      <c r="E182" s="141">
        <v>1031</v>
      </c>
      <c r="F182" s="141"/>
      <c r="G182" s="141">
        <v>943</v>
      </c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2907</v>
      </c>
      <c r="R182" s="146">
        <v>55</v>
      </c>
      <c r="S182" s="146">
        <v>40</v>
      </c>
      <c r="T182" s="146"/>
      <c r="U182" s="146">
        <v>58</v>
      </c>
      <c r="V182" s="146"/>
      <c r="W182" s="146"/>
      <c r="X182" s="146"/>
      <c r="Y182" s="146"/>
      <c r="Z182" s="146"/>
      <c r="AA182" s="146"/>
      <c r="AB182" s="146"/>
      <c r="AC182" s="146"/>
      <c r="AD182" s="146">
        <f t="shared" si="5"/>
        <v>153</v>
      </c>
    </row>
    <row r="183" spans="2:30" x14ac:dyDescent="0.35">
      <c r="B183" s="3" t="s">
        <v>299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>
        <f t="shared" si="5"/>
        <v>0</v>
      </c>
    </row>
    <row r="184" spans="2:30" x14ac:dyDescent="0.35">
      <c r="B184" s="3" t="s">
        <v>291</v>
      </c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0</v>
      </c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>
        <f t="shared" si="5"/>
        <v>0</v>
      </c>
    </row>
    <row r="185" spans="2:30" x14ac:dyDescent="0.35">
      <c r="B185" s="3" t="s">
        <v>288</v>
      </c>
      <c r="D185" s="141">
        <v>3664</v>
      </c>
      <c r="E185" s="141">
        <v>3322</v>
      </c>
      <c r="F185" s="141">
        <v>321</v>
      </c>
      <c r="G185" s="141">
        <v>2391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9698</v>
      </c>
      <c r="R185" s="146">
        <v>55</v>
      </c>
      <c r="S185" s="146">
        <v>42</v>
      </c>
      <c r="T185" s="146">
        <v>1</v>
      </c>
      <c r="U185" s="146">
        <v>42</v>
      </c>
      <c r="V185" s="146"/>
      <c r="W185" s="146"/>
      <c r="X185" s="146"/>
      <c r="Y185" s="146"/>
      <c r="Z185" s="146"/>
      <c r="AA185" s="146"/>
      <c r="AB185" s="146"/>
      <c r="AC185" s="146"/>
      <c r="AD185" s="146">
        <f t="shared" si="5"/>
        <v>140</v>
      </c>
    </row>
    <row r="186" spans="2:30" x14ac:dyDescent="0.35">
      <c r="B186" s="3" t="s">
        <v>267</v>
      </c>
      <c r="D186" s="141">
        <v>202</v>
      </c>
      <c r="E186" s="141"/>
      <c r="F186" s="141">
        <v>266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468</v>
      </c>
      <c r="R186" s="146">
        <v>3</v>
      </c>
      <c r="S186" s="146"/>
      <c r="T186" s="146">
        <v>9</v>
      </c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>
        <f t="shared" si="5"/>
        <v>12</v>
      </c>
    </row>
    <row r="187" spans="2:30" x14ac:dyDescent="0.35">
      <c r="B187" s="3" t="s">
        <v>270</v>
      </c>
      <c r="D187" s="141">
        <v>77262</v>
      </c>
      <c r="E187" s="141"/>
      <c r="F187" s="141">
        <v>76681</v>
      </c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153943</v>
      </c>
      <c r="R187" s="146">
        <v>873</v>
      </c>
      <c r="S187" s="146"/>
      <c r="T187" s="146">
        <v>840</v>
      </c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>
        <f t="shared" si="5"/>
        <v>1713</v>
      </c>
    </row>
    <row r="188" spans="2:30" x14ac:dyDescent="0.35">
      <c r="B188" s="3" t="s">
        <v>312</v>
      </c>
      <c r="D188" s="141">
        <v>175</v>
      </c>
      <c r="E188" s="141">
        <v>237</v>
      </c>
      <c r="F188" s="141">
        <v>39</v>
      </c>
      <c r="G188" s="141">
        <v>308</v>
      </c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759</v>
      </c>
      <c r="R188" s="146">
        <v>2</v>
      </c>
      <c r="S188" s="146">
        <v>3</v>
      </c>
      <c r="T188" s="146">
        <v>1</v>
      </c>
      <c r="U188" s="146">
        <v>4</v>
      </c>
      <c r="V188" s="146"/>
      <c r="W188" s="146"/>
      <c r="X188" s="146"/>
      <c r="Y188" s="146"/>
      <c r="Z188" s="146"/>
      <c r="AA188" s="146"/>
      <c r="AB188" s="146"/>
      <c r="AC188" s="146"/>
      <c r="AD188" s="146">
        <f t="shared" si="5"/>
        <v>10</v>
      </c>
    </row>
    <row r="189" spans="2:30" x14ac:dyDescent="0.35">
      <c r="B189" s="3" t="s">
        <v>204</v>
      </c>
      <c r="D189" s="141">
        <v>15516</v>
      </c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15516</v>
      </c>
      <c r="R189" s="146">
        <v>14</v>
      </c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>
        <f t="shared" si="5"/>
        <v>14</v>
      </c>
    </row>
    <row r="190" spans="2:30" x14ac:dyDescent="0.35">
      <c r="B190" s="3" t="s">
        <v>276</v>
      </c>
      <c r="D190" s="141">
        <v>107</v>
      </c>
      <c r="E190" s="141">
        <v>101</v>
      </c>
      <c r="F190" s="141">
        <v>152</v>
      </c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360</v>
      </c>
      <c r="R190" s="146">
        <v>13</v>
      </c>
      <c r="S190" s="146">
        <v>11</v>
      </c>
      <c r="T190" s="146">
        <v>19</v>
      </c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>
        <f t="shared" si="5"/>
        <v>43</v>
      </c>
    </row>
    <row r="191" spans="2:30" x14ac:dyDescent="0.35">
      <c r="B191" s="3" t="s">
        <v>280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0</v>
      </c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>
        <f t="shared" si="5"/>
        <v>0</v>
      </c>
    </row>
    <row r="192" spans="2:30" x14ac:dyDescent="0.35">
      <c r="B192" s="3" t="s">
        <v>296</v>
      </c>
      <c r="D192" s="141">
        <v>423</v>
      </c>
      <c r="E192" s="141">
        <v>276</v>
      </c>
      <c r="F192" s="141">
        <v>132</v>
      </c>
      <c r="G192" s="141">
        <v>320</v>
      </c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1151</v>
      </c>
      <c r="R192" s="146">
        <v>12</v>
      </c>
      <c r="S192" s="146">
        <v>9</v>
      </c>
      <c r="T192" s="146">
        <v>4</v>
      </c>
      <c r="U192" s="146">
        <v>10</v>
      </c>
      <c r="V192" s="146"/>
      <c r="W192" s="146"/>
      <c r="X192" s="146"/>
      <c r="Y192" s="146"/>
      <c r="Z192" s="146"/>
      <c r="AA192" s="146"/>
      <c r="AB192" s="146"/>
      <c r="AC192" s="146"/>
      <c r="AD192" s="146">
        <f t="shared" si="5"/>
        <v>35</v>
      </c>
    </row>
    <row r="193" spans="2:30" x14ac:dyDescent="0.35">
      <c r="B193" s="3" t="s">
        <v>269</v>
      </c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0</v>
      </c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>
        <f t="shared" si="5"/>
        <v>0</v>
      </c>
    </row>
    <row r="194" spans="2:30" x14ac:dyDescent="0.35">
      <c r="B194" s="3" t="s">
        <v>281</v>
      </c>
      <c r="D194" s="141"/>
      <c r="E194" s="141"/>
      <c r="F194" s="141">
        <v>71</v>
      </c>
      <c r="G194" s="141"/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71</v>
      </c>
      <c r="R194" s="146"/>
      <c r="S194" s="146"/>
      <c r="T194" s="146">
        <v>2</v>
      </c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>
        <f t="shared" si="5"/>
        <v>2</v>
      </c>
    </row>
    <row r="195" spans="2:30" x14ac:dyDescent="0.35">
      <c r="B195" s="3" t="s">
        <v>284</v>
      </c>
      <c r="D195" s="141">
        <v>2562</v>
      </c>
      <c r="E195" s="141">
        <v>2151</v>
      </c>
      <c r="F195" s="141">
        <v>27060</v>
      </c>
      <c r="G195" s="141">
        <v>3849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35622</v>
      </c>
      <c r="R195" s="146">
        <v>52</v>
      </c>
      <c r="S195" s="146">
        <v>43</v>
      </c>
      <c r="T195" s="146">
        <v>120</v>
      </c>
      <c r="U195" s="146">
        <v>54</v>
      </c>
      <c r="V195" s="146"/>
      <c r="W195" s="146"/>
      <c r="X195" s="146"/>
      <c r="Y195" s="146"/>
      <c r="Z195" s="146"/>
      <c r="AA195" s="146"/>
      <c r="AB195" s="146"/>
      <c r="AC195" s="146"/>
      <c r="AD195" s="146">
        <f t="shared" si="5"/>
        <v>269</v>
      </c>
    </row>
    <row r="196" spans="2:30" x14ac:dyDescent="0.35">
      <c r="B196" s="3" t="s">
        <v>317</v>
      </c>
      <c r="D196" s="141">
        <v>20912</v>
      </c>
      <c r="E196" s="141">
        <v>17376</v>
      </c>
      <c r="F196" s="141">
        <v>3037</v>
      </c>
      <c r="G196" s="141">
        <v>37950</v>
      </c>
      <c r="H196" s="141"/>
      <c r="I196" s="141"/>
      <c r="J196" s="141"/>
      <c r="K196" s="141"/>
      <c r="L196" s="141"/>
      <c r="M196" s="141"/>
      <c r="N196" s="141"/>
      <c r="O196" s="141"/>
      <c r="P196" s="141">
        <f t="shared" si="4"/>
        <v>79275</v>
      </c>
      <c r="R196" s="146">
        <v>30</v>
      </c>
      <c r="S196" s="146">
        <v>20</v>
      </c>
      <c r="T196" s="146">
        <v>3</v>
      </c>
      <c r="U196" s="146">
        <v>55</v>
      </c>
      <c r="V196" s="146"/>
      <c r="W196" s="146"/>
      <c r="X196" s="146"/>
      <c r="Y196" s="146"/>
      <c r="Z196" s="146"/>
      <c r="AA196" s="146"/>
      <c r="AB196" s="146"/>
      <c r="AC196" s="146"/>
      <c r="AD196" s="146">
        <f t="shared" si="5"/>
        <v>108</v>
      </c>
    </row>
    <row r="197" spans="2:30" x14ac:dyDescent="0.35">
      <c r="B197" s="3" t="s">
        <v>283</v>
      </c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>
        <f t="shared" ref="P197:P235" si="6">+SUM(D197:O197)</f>
        <v>0</v>
      </c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>
        <f t="shared" ref="AD197:AD235" si="7">+SUM(R197:AC197)</f>
        <v>0</v>
      </c>
    </row>
    <row r="198" spans="2:30" x14ac:dyDescent="0.35">
      <c r="B198" s="3" t="s">
        <v>292</v>
      </c>
      <c r="D198" s="141">
        <v>26807</v>
      </c>
      <c r="E198" s="141">
        <v>10594</v>
      </c>
      <c r="F198" s="141">
        <v>444</v>
      </c>
      <c r="G198" s="141">
        <v>17666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55511</v>
      </c>
      <c r="R198" s="146">
        <v>38</v>
      </c>
      <c r="S198" s="146">
        <v>17</v>
      </c>
      <c r="T198" s="146">
        <v>15</v>
      </c>
      <c r="U198" s="146">
        <v>26</v>
      </c>
      <c r="V198" s="146"/>
      <c r="W198" s="146"/>
      <c r="X198" s="146"/>
      <c r="Y198" s="146"/>
      <c r="Z198" s="146"/>
      <c r="AA198" s="146"/>
      <c r="AB198" s="146"/>
      <c r="AC198" s="146"/>
      <c r="AD198" s="146">
        <f t="shared" si="7"/>
        <v>96</v>
      </c>
    </row>
    <row r="199" spans="2:30" x14ac:dyDescent="0.35">
      <c r="B199" s="3" t="s">
        <v>282</v>
      </c>
      <c r="D199" s="141"/>
      <c r="E199" s="141"/>
      <c r="F199" s="141"/>
      <c r="G199" s="141">
        <v>3807</v>
      </c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3807</v>
      </c>
      <c r="R199" s="146"/>
      <c r="S199" s="146"/>
      <c r="T199" s="146"/>
      <c r="U199" s="146">
        <v>3</v>
      </c>
      <c r="V199" s="146"/>
      <c r="W199" s="146"/>
      <c r="X199" s="146"/>
      <c r="Y199" s="146"/>
      <c r="Z199" s="146"/>
      <c r="AA199" s="146"/>
      <c r="AB199" s="146"/>
      <c r="AC199" s="146"/>
      <c r="AD199" s="146">
        <f t="shared" si="7"/>
        <v>3</v>
      </c>
    </row>
    <row r="200" spans="2:30" x14ac:dyDescent="0.35">
      <c r="B200" s="3" t="s">
        <v>318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>
        <f t="shared" si="7"/>
        <v>0</v>
      </c>
    </row>
    <row r="201" spans="2:30" x14ac:dyDescent="0.35">
      <c r="B201" s="3" t="s">
        <v>285</v>
      </c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0</v>
      </c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>
        <f t="shared" si="7"/>
        <v>0</v>
      </c>
    </row>
    <row r="202" spans="2:30" x14ac:dyDescent="0.35">
      <c r="B202" s="3" t="s">
        <v>289</v>
      </c>
      <c r="D202" s="141">
        <v>184</v>
      </c>
      <c r="E202" s="141">
        <v>296</v>
      </c>
      <c r="F202" s="141">
        <v>5515</v>
      </c>
      <c r="G202" s="141">
        <v>4732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10727</v>
      </c>
      <c r="R202" s="146">
        <v>20</v>
      </c>
      <c r="S202" s="146">
        <v>26</v>
      </c>
      <c r="T202" s="146">
        <v>27</v>
      </c>
      <c r="U202" s="146">
        <v>24</v>
      </c>
      <c r="V202" s="146"/>
      <c r="W202" s="146"/>
      <c r="X202" s="146"/>
      <c r="Y202" s="146"/>
      <c r="Z202" s="146"/>
      <c r="AA202" s="146"/>
      <c r="AB202" s="146"/>
      <c r="AC202" s="146"/>
      <c r="AD202" s="146">
        <f t="shared" si="7"/>
        <v>97</v>
      </c>
    </row>
    <row r="203" spans="2:30" x14ac:dyDescent="0.35">
      <c r="B203" s="3" t="s">
        <v>294</v>
      </c>
      <c r="D203" s="141">
        <v>34029</v>
      </c>
      <c r="E203" s="141">
        <v>30090</v>
      </c>
      <c r="F203" s="141">
        <v>36200</v>
      </c>
      <c r="G203" s="141">
        <v>12612</v>
      </c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112931</v>
      </c>
      <c r="R203" s="146">
        <v>65</v>
      </c>
      <c r="S203" s="146">
        <v>62</v>
      </c>
      <c r="T203" s="146">
        <v>75</v>
      </c>
      <c r="U203" s="146">
        <v>25</v>
      </c>
      <c r="V203" s="146"/>
      <c r="W203" s="146"/>
      <c r="X203" s="146"/>
      <c r="Y203" s="146"/>
      <c r="Z203" s="146"/>
      <c r="AA203" s="146"/>
      <c r="AB203" s="146"/>
      <c r="AC203" s="146"/>
      <c r="AD203" s="146">
        <f t="shared" si="7"/>
        <v>227</v>
      </c>
    </row>
    <row r="204" spans="2:30" x14ac:dyDescent="0.35">
      <c r="B204" s="3" t="s">
        <v>298</v>
      </c>
      <c r="D204" s="141">
        <v>2057</v>
      </c>
      <c r="E204" s="141">
        <v>4688</v>
      </c>
      <c r="F204" s="141">
        <v>12943</v>
      </c>
      <c r="G204" s="141">
        <v>418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20106</v>
      </c>
      <c r="R204" s="146">
        <v>7</v>
      </c>
      <c r="S204" s="146">
        <v>6</v>
      </c>
      <c r="T204" s="146">
        <v>19</v>
      </c>
      <c r="U204" s="146">
        <v>5</v>
      </c>
      <c r="V204" s="146"/>
      <c r="W204" s="146"/>
      <c r="X204" s="146"/>
      <c r="Y204" s="146"/>
      <c r="Z204" s="146"/>
      <c r="AA204" s="146"/>
      <c r="AB204" s="146"/>
      <c r="AC204" s="146"/>
      <c r="AD204" s="146">
        <f t="shared" si="7"/>
        <v>37</v>
      </c>
    </row>
    <row r="205" spans="2:30" x14ac:dyDescent="0.35">
      <c r="B205" s="3" t="s">
        <v>299</v>
      </c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0</v>
      </c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>
        <f t="shared" si="7"/>
        <v>0</v>
      </c>
    </row>
    <row r="206" spans="2:30" x14ac:dyDescent="0.35">
      <c r="B206" s="3" t="s">
        <v>300</v>
      </c>
      <c r="D206" s="141">
        <v>99</v>
      </c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99</v>
      </c>
      <c r="R206" s="146">
        <v>1</v>
      </c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>
        <f t="shared" si="7"/>
        <v>1</v>
      </c>
    </row>
    <row r="207" spans="2:30" x14ac:dyDescent="0.35">
      <c r="B207" s="3" t="s">
        <v>301</v>
      </c>
      <c r="D207" s="141"/>
      <c r="E207" s="141"/>
      <c r="F207" s="141">
        <v>5</v>
      </c>
      <c r="G207" s="141">
        <v>809</v>
      </c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814</v>
      </c>
      <c r="R207" s="146"/>
      <c r="S207" s="146"/>
      <c r="T207" s="146">
        <v>1</v>
      </c>
      <c r="U207" s="146">
        <v>2</v>
      </c>
      <c r="V207" s="146"/>
      <c r="W207" s="146"/>
      <c r="X207" s="146"/>
      <c r="Y207" s="146"/>
      <c r="Z207" s="146"/>
      <c r="AA207" s="146"/>
      <c r="AB207" s="146"/>
      <c r="AC207" s="146"/>
      <c r="AD207" s="146">
        <f t="shared" si="7"/>
        <v>3</v>
      </c>
    </row>
    <row r="208" spans="2:30" x14ac:dyDescent="0.35">
      <c r="B208" s="3" t="s">
        <v>302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>
        <f t="shared" si="7"/>
        <v>0</v>
      </c>
    </row>
    <row r="209" spans="2:30" x14ac:dyDescent="0.35">
      <c r="B209" s="3" t="s">
        <v>303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0</v>
      </c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>
        <f t="shared" si="7"/>
        <v>0</v>
      </c>
    </row>
    <row r="210" spans="2:30" x14ac:dyDescent="0.35">
      <c r="B210" s="3" t="s">
        <v>304</v>
      </c>
      <c r="D210" s="141"/>
      <c r="E210" s="141"/>
      <c r="F210" s="141">
        <v>14772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14772</v>
      </c>
      <c r="R210" s="146"/>
      <c r="S210" s="146"/>
      <c r="T210" s="146">
        <v>2</v>
      </c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>
        <f t="shared" si="7"/>
        <v>2</v>
      </c>
    </row>
    <row r="211" spans="2:30" x14ac:dyDescent="0.35">
      <c r="B211" s="3" t="s">
        <v>305</v>
      </c>
      <c r="D211" s="141"/>
      <c r="E211" s="141"/>
      <c r="F211" s="141">
        <v>330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330</v>
      </c>
      <c r="R211" s="146"/>
      <c r="S211" s="146"/>
      <c r="T211" s="146">
        <v>1</v>
      </c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>
        <f t="shared" si="7"/>
        <v>1</v>
      </c>
    </row>
    <row r="212" spans="2:30" x14ac:dyDescent="0.35">
      <c r="B212" s="3" t="s">
        <v>306</v>
      </c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0</v>
      </c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>
        <f t="shared" si="7"/>
        <v>0</v>
      </c>
    </row>
    <row r="213" spans="2:30" x14ac:dyDescent="0.35">
      <c r="B213" s="3" t="s">
        <v>307</v>
      </c>
      <c r="D213" s="141">
        <v>100</v>
      </c>
      <c r="E213" s="141"/>
      <c r="F213" s="141"/>
      <c r="G213" s="141">
        <v>300</v>
      </c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400</v>
      </c>
      <c r="R213" s="146">
        <v>1</v>
      </c>
      <c r="S213" s="146"/>
      <c r="T213" s="146"/>
      <c r="U213" s="146">
        <v>1</v>
      </c>
      <c r="V213" s="146"/>
      <c r="W213" s="146"/>
      <c r="X213" s="146"/>
      <c r="Y213" s="146"/>
      <c r="Z213" s="146"/>
      <c r="AA213" s="146"/>
      <c r="AB213" s="146"/>
      <c r="AC213" s="146"/>
      <c r="AD213" s="146">
        <f t="shared" si="7"/>
        <v>2</v>
      </c>
    </row>
    <row r="214" spans="2:30" x14ac:dyDescent="0.35">
      <c r="B214" s="3" t="s">
        <v>308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>
        <f t="shared" si="7"/>
        <v>0</v>
      </c>
    </row>
    <row r="215" spans="2:30" x14ac:dyDescent="0.35">
      <c r="B215" s="3" t="s">
        <v>309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0</v>
      </c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>
        <f t="shared" si="7"/>
        <v>0</v>
      </c>
    </row>
    <row r="216" spans="2:30" x14ac:dyDescent="0.35">
      <c r="B216" s="3" t="s">
        <v>310</v>
      </c>
      <c r="D216" s="141">
        <v>643</v>
      </c>
      <c r="E216" s="141">
        <v>5195</v>
      </c>
      <c r="F216" s="141">
        <v>5700</v>
      </c>
      <c r="G216" s="141">
        <v>17399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28937</v>
      </c>
      <c r="R216" s="146">
        <v>4</v>
      </c>
      <c r="S216" s="146">
        <v>7</v>
      </c>
      <c r="T216" s="146">
        <v>7</v>
      </c>
      <c r="U216" s="146">
        <v>15</v>
      </c>
      <c r="V216" s="146"/>
      <c r="W216" s="146"/>
      <c r="X216" s="146"/>
      <c r="Y216" s="146"/>
      <c r="Z216" s="146"/>
      <c r="AA216" s="146"/>
      <c r="AB216" s="146"/>
      <c r="AC216" s="146"/>
      <c r="AD216" s="146">
        <f t="shared" si="7"/>
        <v>33</v>
      </c>
    </row>
    <row r="217" spans="2:30" x14ac:dyDescent="0.35">
      <c r="B217" s="3" t="s">
        <v>311</v>
      </c>
      <c r="D217" s="141">
        <v>290</v>
      </c>
      <c r="E217" s="141"/>
      <c r="F217" s="141">
        <v>189</v>
      </c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479</v>
      </c>
      <c r="R217" s="146">
        <v>1</v>
      </c>
      <c r="S217" s="146"/>
      <c r="T217" s="146">
        <v>1</v>
      </c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>
        <f t="shared" si="7"/>
        <v>2</v>
      </c>
    </row>
    <row r="218" spans="2:30" x14ac:dyDescent="0.35">
      <c r="B218" s="3" t="s">
        <v>312</v>
      </c>
      <c r="D218" s="141">
        <v>175</v>
      </c>
      <c r="E218" s="141">
        <v>237</v>
      </c>
      <c r="F218" s="141">
        <v>39</v>
      </c>
      <c r="G218" s="141">
        <v>308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759</v>
      </c>
      <c r="R218" s="146">
        <v>2</v>
      </c>
      <c r="S218" s="146">
        <v>3</v>
      </c>
      <c r="T218" s="146">
        <v>1</v>
      </c>
      <c r="U218" s="146">
        <v>4</v>
      </c>
      <c r="V218" s="146"/>
      <c r="W218" s="146"/>
      <c r="X218" s="146"/>
      <c r="Y218" s="146"/>
      <c r="Z218" s="146"/>
      <c r="AA218" s="146"/>
      <c r="AB218" s="146"/>
      <c r="AC218" s="146"/>
      <c r="AD218" s="146">
        <f t="shared" si="7"/>
        <v>10</v>
      </c>
    </row>
    <row r="219" spans="2:30" x14ac:dyDescent="0.35">
      <c r="B219" s="3" t="s">
        <v>313</v>
      </c>
      <c r="D219" s="141">
        <v>14482</v>
      </c>
      <c r="E219" s="141">
        <v>3834</v>
      </c>
      <c r="F219" s="141">
        <v>2064</v>
      </c>
      <c r="G219" s="141">
        <v>8838</v>
      </c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29218</v>
      </c>
      <c r="R219" s="146">
        <v>68</v>
      </c>
      <c r="S219" s="146">
        <v>55</v>
      </c>
      <c r="T219" s="146">
        <v>29</v>
      </c>
      <c r="U219" s="146">
        <v>84</v>
      </c>
      <c r="V219" s="146"/>
      <c r="W219" s="146"/>
      <c r="X219" s="146"/>
      <c r="Y219" s="146"/>
      <c r="Z219" s="146"/>
      <c r="AA219" s="146"/>
      <c r="AB219" s="146"/>
      <c r="AC219" s="146"/>
      <c r="AD219" s="146">
        <f t="shared" si="7"/>
        <v>236</v>
      </c>
    </row>
    <row r="220" spans="2:30" x14ac:dyDescent="0.35">
      <c r="B220" s="3" t="s">
        <v>314</v>
      </c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0</v>
      </c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>
        <f t="shared" si="7"/>
        <v>0</v>
      </c>
    </row>
    <row r="221" spans="2:30" x14ac:dyDescent="0.35">
      <c r="B221" s="3" t="s">
        <v>315</v>
      </c>
      <c r="D221" s="141">
        <v>1135</v>
      </c>
      <c r="E221" s="141">
        <v>1150</v>
      </c>
      <c r="F221" s="141">
        <v>1133</v>
      </c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3418</v>
      </c>
      <c r="R221" s="146">
        <v>4</v>
      </c>
      <c r="S221" s="146">
        <v>3</v>
      </c>
      <c r="T221" s="146">
        <v>2</v>
      </c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>
        <f t="shared" si="7"/>
        <v>9</v>
      </c>
    </row>
    <row r="222" spans="2:30" x14ac:dyDescent="0.35">
      <c r="B222" s="3" t="s">
        <v>316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0</v>
      </c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>
        <f t="shared" si="7"/>
        <v>0</v>
      </c>
    </row>
    <row r="223" spans="2:30" x14ac:dyDescent="0.35">
      <c r="B223" s="3" t="s">
        <v>317</v>
      </c>
      <c r="D223" s="141">
        <v>20912</v>
      </c>
      <c r="E223" s="141">
        <v>17376</v>
      </c>
      <c r="F223" s="141">
        <v>3037</v>
      </c>
      <c r="G223" s="141">
        <v>37950</v>
      </c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79275</v>
      </c>
      <c r="R223" s="146">
        <v>30</v>
      </c>
      <c r="S223" s="146">
        <v>20</v>
      </c>
      <c r="T223" s="146">
        <v>3</v>
      </c>
      <c r="U223" s="146">
        <v>55</v>
      </c>
      <c r="V223" s="146"/>
      <c r="W223" s="146"/>
      <c r="X223" s="146"/>
      <c r="Y223" s="146"/>
      <c r="Z223" s="146"/>
      <c r="AA223" s="146"/>
      <c r="AB223" s="146"/>
      <c r="AC223" s="146"/>
      <c r="AD223" s="146">
        <f t="shared" si="7"/>
        <v>108</v>
      </c>
    </row>
    <row r="224" spans="2:30" x14ac:dyDescent="0.35">
      <c r="B224" s="3" t="s">
        <v>318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>
        <f t="shared" si="7"/>
        <v>0</v>
      </c>
    </row>
    <row r="225" spans="2:30" x14ac:dyDescent="0.35">
      <c r="B225" s="3" t="s">
        <v>319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0</v>
      </c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>
        <f t="shared" si="7"/>
        <v>0</v>
      </c>
    </row>
    <row r="226" spans="2:30" x14ac:dyDescent="0.35">
      <c r="B226" s="3" t="s">
        <v>320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>
        <f t="shared" si="7"/>
        <v>0</v>
      </c>
    </row>
    <row r="227" spans="2:30" x14ac:dyDescent="0.35">
      <c r="B227" s="3" t="s">
        <v>321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>
        <f t="shared" si="7"/>
        <v>0</v>
      </c>
    </row>
    <row r="228" spans="2:30" x14ac:dyDescent="0.35">
      <c r="B228" s="3" t="s">
        <v>322</v>
      </c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0</v>
      </c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>
        <f t="shared" si="7"/>
        <v>0</v>
      </c>
    </row>
    <row r="229" spans="2:30" x14ac:dyDescent="0.35">
      <c r="B229" s="3" t="s">
        <v>323</v>
      </c>
      <c r="D229" s="141">
        <v>140</v>
      </c>
      <c r="E229" s="141">
        <v>445</v>
      </c>
      <c r="F229" s="141">
        <v>177</v>
      </c>
      <c r="G229" s="141">
        <v>388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1150</v>
      </c>
      <c r="R229" s="146">
        <v>2</v>
      </c>
      <c r="S229" s="146">
        <v>2</v>
      </c>
      <c r="T229" s="146">
        <v>2</v>
      </c>
      <c r="U229" s="146">
        <v>2</v>
      </c>
      <c r="V229" s="146"/>
      <c r="W229" s="146"/>
      <c r="X229" s="146"/>
      <c r="Y229" s="146"/>
      <c r="Z229" s="146"/>
      <c r="AA229" s="146"/>
      <c r="AB229" s="146"/>
      <c r="AC229" s="146"/>
      <c r="AD229" s="146">
        <f t="shared" si="7"/>
        <v>8</v>
      </c>
    </row>
    <row r="230" spans="2:30" x14ac:dyDescent="0.35">
      <c r="B230" s="3" t="s">
        <v>324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0</v>
      </c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>
        <f t="shared" si="7"/>
        <v>0</v>
      </c>
    </row>
    <row r="231" spans="2:30" x14ac:dyDescent="0.35">
      <c r="B231" s="3" t="s">
        <v>325</v>
      </c>
      <c r="D231" s="141">
        <v>249</v>
      </c>
      <c r="E231" s="141"/>
      <c r="F231" s="141">
        <v>26</v>
      </c>
      <c r="G231" s="141">
        <v>4327</v>
      </c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4602</v>
      </c>
      <c r="R231" s="146">
        <v>1</v>
      </c>
      <c r="S231" s="146"/>
      <c r="T231" s="146">
        <v>1</v>
      </c>
      <c r="U231" s="146">
        <v>3</v>
      </c>
      <c r="V231" s="146"/>
      <c r="W231" s="146"/>
      <c r="X231" s="146"/>
      <c r="Y231" s="146"/>
      <c r="Z231" s="146"/>
      <c r="AA231" s="146"/>
      <c r="AB231" s="146"/>
      <c r="AC231" s="146"/>
      <c r="AD231" s="146">
        <f t="shared" si="7"/>
        <v>5</v>
      </c>
    </row>
    <row r="232" spans="2:30" x14ac:dyDescent="0.35">
      <c r="B232" s="3" t="s">
        <v>326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0</v>
      </c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>
        <f t="shared" si="7"/>
        <v>0</v>
      </c>
    </row>
    <row r="233" spans="2:30" x14ac:dyDescent="0.35">
      <c r="B233" s="3" t="s">
        <v>327</v>
      </c>
      <c r="D233" s="141">
        <v>1140</v>
      </c>
      <c r="E233" s="141"/>
      <c r="F233" s="141">
        <v>1600</v>
      </c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2740</v>
      </c>
      <c r="R233" s="146">
        <v>1</v>
      </c>
      <c r="S233" s="146"/>
      <c r="T233" s="146">
        <v>2</v>
      </c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>
        <f t="shared" si="7"/>
        <v>3</v>
      </c>
    </row>
    <row r="234" spans="2:30" x14ac:dyDescent="0.35">
      <c r="B234" s="3" t="s">
        <v>328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>
        <f t="shared" si="7"/>
        <v>0</v>
      </c>
    </row>
    <row r="235" spans="2:30" x14ac:dyDescent="0.35">
      <c r="B235" s="3" t="s">
        <v>329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6"/>
        <v>0</v>
      </c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>
        <f t="shared" si="7"/>
        <v>0</v>
      </c>
    </row>
    <row r="236" spans="2:30" x14ac:dyDescent="0.35">
      <c r="B236" s="3" t="s">
        <v>330</v>
      </c>
      <c r="D236" s="144">
        <f t="shared" ref="D236:P236" si="8">+SUM(D5:D203)</f>
        <v>159513203</v>
      </c>
      <c r="E236" s="144">
        <f t="shared" si="8"/>
        <v>156953015</v>
      </c>
      <c r="F236" s="144">
        <f t="shared" si="8"/>
        <v>194217622</v>
      </c>
      <c r="G236" s="144">
        <f t="shared" si="8"/>
        <v>145702543</v>
      </c>
      <c r="H236" s="144">
        <f t="shared" si="8"/>
        <v>0</v>
      </c>
      <c r="I236" s="144">
        <f t="shared" si="8"/>
        <v>0</v>
      </c>
      <c r="J236" s="144">
        <f t="shared" si="8"/>
        <v>0</v>
      </c>
      <c r="K236" s="144">
        <f t="shared" si="8"/>
        <v>0</v>
      </c>
      <c r="L236" s="144">
        <f t="shared" si="8"/>
        <v>0</v>
      </c>
      <c r="M236" s="144">
        <f t="shared" si="8"/>
        <v>0</v>
      </c>
      <c r="N236" s="144">
        <f t="shared" si="8"/>
        <v>0</v>
      </c>
      <c r="O236" s="144">
        <f t="shared" si="8"/>
        <v>0</v>
      </c>
      <c r="P236" s="144">
        <f t="shared" si="8"/>
        <v>656386383</v>
      </c>
      <c r="R236" s="147">
        <f t="shared" ref="R236:AD236" si="9">+SUM(R5:R203)</f>
        <v>1340568</v>
      </c>
      <c r="S236" s="147">
        <f t="shared" si="9"/>
        <v>1310993</v>
      </c>
      <c r="T236" s="147">
        <f t="shared" si="9"/>
        <v>1522766</v>
      </c>
      <c r="U236" s="147">
        <f t="shared" si="9"/>
        <v>1266697</v>
      </c>
      <c r="V236" s="147">
        <f t="shared" si="9"/>
        <v>0</v>
      </c>
      <c r="W236" s="147">
        <f t="shared" si="9"/>
        <v>0</v>
      </c>
      <c r="X236" s="147">
        <f t="shared" si="9"/>
        <v>0</v>
      </c>
      <c r="Y236" s="147">
        <f t="shared" si="9"/>
        <v>0</v>
      </c>
      <c r="Z236" s="147">
        <f t="shared" si="9"/>
        <v>0</v>
      </c>
      <c r="AA236" s="147">
        <f t="shared" si="9"/>
        <v>0</v>
      </c>
      <c r="AB236" s="147">
        <f t="shared" si="9"/>
        <v>0</v>
      </c>
      <c r="AC236" s="147">
        <f t="shared" si="9"/>
        <v>0</v>
      </c>
      <c r="AD236" s="147">
        <f t="shared" si="9"/>
        <v>5441024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U90" sqref="U90:U109"/>
    </sheetView>
  </sheetViews>
  <sheetFormatPr baseColWidth="10" defaultColWidth="11.54296875" defaultRowHeight="14.5" x14ac:dyDescent="0.35"/>
  <cols>
    <col min="1" max="1" width="3.6328125" style="201" customWidth="1"/>
    <col min="2" max="2" width="13.54296875" style="201" customWidth="1"/>
    <col min="3" max="3" width="18.453125" style="202" customWidth="1"/>
    <col min="4" max="4" width="19" style="201" customWidth="1"/>
    <col min="5" max="5" width="2.453125" style="201" customWidth="1"/>
    <col min="6" max="6" width="16.54296875" style="201" hidden="1" customWidth="1"/>
    <col min="7" max="7" width="15.36328125" style="201" bestFit="1" customWidth="1"/>
    <col min="8" max="8" width="16.54296875" style="201" customWidth="1"/>
    <col min="9" max="10" width="16.54296875" style="201" hidden="1" customWidth="1"/>
    <col min="11" max="11" width="15.36328125" style="201" hidden="1" customWidth="1"/>
    <col min="12" max="16" width="16.54296875" style="201" hidden="1" customWidth="1"/>
    <col min="17" max="17" width="15.36328125" style="201" hidden="1" customWidth="1"/>
    <col min="18" max="18" width="2.54296875" style="201" customWidth="1"/>
    <col min="19" max="19" width="17.90625" style="201" hidden="1" customWidth="1"/>
    <col min="20" max="20" width="16.54296875" style="201" bestFit="1" customWidth="1"/>
    <col min="21" max="21" width="18" style="201" customWidth="1"/>
    <col min="22" max="23" width="18" style="201" hidden="1" customWidth="1"/>
    <col min="24" max="24" width="16.54296875" style="201" hidden="1" customWidth="1"/>
    <col min="25" max="29" width="18" style="201" hidden="1" customWidth="1"/>
    <col min="30" max="30" width="16.54296875" style="201" hidden="1" customWidth="1"/>
    <col min="31" max="31" width="2.26953125" style="201" customWidth="1"/>
    <col min="32" max="32" width="7" style="201" hidden="1" customWidth="1"/>
    <col min="33" max="34" width="7" style="201" customWidth="1"/>
    <col min="35" max="37" width="7" style="202" hidden="1" customWidth="1"/>
    <col min="38" max="38" width="7" style="201" hidden="1" customWidth="1"/>
    <col min="39" max="39" width="10.7265625" style="201" hidden="1" customWidth="1"/>
    <col min="40" max="43" width="7" style="201" hidden="1" customWidth="1"/>
    <col min="44" max="44" width="5.36328125" style="201" customWidth="1"/>
    <col min="45" max="127" width="11.54296875" style="201" customWidth="1"/>
    <col min="128" max="16384" width="11.54296875" style="201"/>
  </cols>
  <sheetData>
    <row r="1" spans="2:43" x14ac:dyDescent="0.35">
      <c r="B1" s="17">
        <v>2620055</v>
      </c>
      <c r="D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</row>
    <row r="2" spans="2:43" x14ac:dyDescent="0.35">
      <c r="F2" s="212" t="s">
        <v>336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S2" s="212" t="s">
        <v>337</v>
      </c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F2" s="212" t="s">
        <v>338</v>
      </c>
      <c r="AG2" s="213"/>
      <c r="AH2" s="213"/>
      <c r="AI2" s="217"/>
      <c r="AJ2" s="217"/>
      <c r="AK2" s="217"/>
      <c r="AL2" s="213"/>
      <c r="AM2" s="213"/>
      <c r="AN2" s="213"/>
      <c r="AO2" s="213"/>
      <c r="AP2" s="213"/>
      <c r="AQ2" s="213"/>
    </row>
    <row r="3" spans="2:43" x14ac:dyDescent="0.35">
      <c r="B3" s="17"/>
      <c r="C3" s="13" t="s">
        <v>339</v>
      </c>
      <c r="D3" s="12" t="s">
        <v>340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 t="s">
        <v>26</v>
      </c>
      <c r="M3" s="13" t="s">
        <v>27</v>
      </c>
      <c r="N3" s="13" t="s">
        <v>28</v>
      </c>
      <c r="O3" s="13" t="s">
        <v>29</v>
      </c>
      <c r="P3" s="13" t="s">
        <v>30</v>
      </c>
      <c r="Q3" s="13" t="s">
        <v>31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F3" s="13" t="s">
        <v>20</v>
      </c>
      <c r="AG3" s="13" t="s">
        <v>21</v>
      </c>
      <c r="AH3" s="13" t="s">
        <v>22</v>
      </c>
      <c r="AI3" s="13" t="s">
        <v>23</v>
      </c>
      <c r="AJ3" s="13" t="s">
        <v>24</v>
      </c>
      <c r="AK3" s="13" t="s">
        <v>25</v>
      </c>
      <c r="AL3" s="13" t="s">
        <v>26</v>
      </c>
      <c r="AM3" s="13" t="s">
        <v>27</v>
      </c>
      <c r="AN3" s="13" t="s">
        <v>28</v>
      </c>
      <c r="AO3" s="13" t="s">
        <v>29</v>
      </c>
      <c r="AP3" s="13" t="s">
        <v>30</v>
      </c>
      <c r="AQ3" s="13" t="s">
        <v>31</v>
      </c>
    </row>
    <row r="4" spans="2:43" x14ac:dyDescent="0.35">
      <c r="B4" s="17" t="s">
        <v>99</v>
      </c>
      <c r="C4" s="200">
        <v>20543722309</v>
      </c>
      <c r="D4" s="201" t="s">
        <v>341</v>
      </c>
      <c r="F4" s="198">
        <v>692460</v>
      </c>
      <c r="G4" s="148"/>
      <c r="H4" s="148">
        <v>755133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>
        <v>4077882</v>
      </c>
      <c r="T4" s="148"/>
      <c r="U4" s="148">
        <v>4735065</v>
      </c>
      <c r="V4" s="148"/>
      <c r="W4" s="148"/>
      <c r="X4" s="148"/>
      <c r="Y4" s="148"/>
      <c r="Z4" s="148"/>
      <c r="AA4" s="148"/>
      <c r="AB4" s="148"/>
      <c r="AC4" s="148"/>
      <c r="AD4" s="148"/>
      <c r="AF4" s="149">
        <f t="shared" ref="AF4:AF24" si="0">+IFERROR(F4/S4,"")</f>
        <v>0.16980873894830698</v>
      </c>
      <c r="AG4" s="149" t="str">
        <f t="shared" ref="AG4:AG24" si="1">+IFERROR(G4/T4,"")</f>
        <v/>
      </c>
      <c r="AH4" s="149">
        <f t="shared" ref="AH4:AH24" si="2">+IFERROR(H4/U4,"")</f>
        <v>0.15947679704502474</v>
      </c>
      <c r="AI4" s="189" t="str">
        <f t="shared" ref="AI4:AI24" si="3">+IFERROR(I4/V4,"")</f>
        <v/>
      </c>
      <c r="AJ4" s="189" t="str">
        <f t="shared" ref="AJ4:AJ24" si="4">+IFERROR(J4/W4,"")</f>
        <v/>
      </c>
      <c r="AK4" s="189" t="str">
        <f t="shared" ref="AK4:AK24" si="5">+IFERROR(K4/X4,"")</f>
        <v/>
      </c>
      <c r="AL4" s="149" t="str">
        <f t="shared" ref="AL4:AL24" si="6">+IFERROR(L4/Y4,"")</f>
        <v/>
      </c>
      <c r="AM4" s="149" t="str">
        <f t="shared" ref="AM4:AM24" si="7">+IFERROR(M4/Z4,"")</f>
        <v/>
      </c>
      <c r="AN4" s="149" t="str">
        <f t="shared" ref="AN4:AN24" si="8">+IFERROR(N4/AA4,"")</f>
        <v/>
      </c>
      <c r="AO4" s="149" t="str">
        <f t="shared" ref="AO4:AO24" si="9">+IFERROR(O4/AB4,"")</f>
        <v/>
      </c>
      <c r="AP4" s="149" t="str">
        <f t="shared" ref="AP4:AP24" si="10">+IFERROR(P4/AC4,"")</f>
        <v/>
      </c>
      <c r="AQ4" s="149" t="str">
        <f t="shared" ref="AQ4:AQ24" si="11">+IFERROR(Q4/AD4,"")</f>
        <v/>
      </c>
    </row>
    <row r="5" spans="2:43" x14ac:dyDescent="0.35">
      <c r="B5" s="17"/>
      <c r="C5" s="200">
        <v>20518792360</v>
      </c>
      <c r="D5" s="201" t="s">
        <v>342</v>
      </c>
      <c r="F5" s="198">
        <v>276499</v>
      </c>
      <c r="G5" s="148"/>
      <c r="H5" s="148">
        <v>260558</v>
      </c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>
        <v>1984730</v>
      </c>
      <c r="T5" s="148"/>
      <c r="U5" s="148">
        <v>1926114</v>
      </c>
      <c r="V5" s="148"/>
      <c r="W5" s="148"/>
      <c r="X5" s="148"/>
      <c r="Y5" s="148"/>
      <c r="Z5" s="148"/>
      <c r="AA5" s="148"/>
      <c r="AB5" s="148"/>
      <c r="AC5" s="148"/>
      <c r="AD5" s="148"/>
      <c r="AF5" s="149">
        <f t="shared" si="0"/>
        <v>0.139313155945645</v>
      </c>
      <c r="AG5" s="149" t="str">
        <f t="shared" si="1"/>
        <v/>
      </c>
      <c r="AH5" s="149">
        <f t="shared" si="2"/>
        <v>0.13527652049670996</v>
      </c>
      <c r="AI5" s="189" t="str">
        <f t="shared" si="3"/>
        <v/>
      </c>
      <c r="AJ5" s="189" t="str">
        <f t="shared" si="4"/>
        <v/>
      </c>
      <c r="AK5" s="189" t="str">
        <f t="shared" si="5"/>
        <v/>
      </c>
      <c r="AL5" s="149" t="str">
        <f t="shared" si="6"/>
        <v/>
      </c>
      <c r="AM5" s="149" t="str">
        <f t="shared" si="7"/>
        <v/>
      </c>
      <c r="AN5" s="149" t="str">
        <f t="shared" si="8"/>
        <v/>
      </c>
      <c r="AO5" s="149" t="str">
        <f t="shared" si="9"/>
        <v/>
      </c>
      <c r="AP5" s="149" t="str">
        <f t="shared" si="10"/>
        <v/>
      </c>
      <c r="AQ5" s="149" t="str">
        <f t="shared" si="11"/>
        <v/>
      </c>
    </row>
    <row r="6" spans="2:43" x14ac:dyDescent="0.35">
      <c r="B6" s="17"/>
      <c r="C6" s="200">
        <v>20608838547</v>
      </c>
      <c r="D6" s="201" t="s">
        <v>343</v>
      </c>
      <c r="F6" s="198">
        <v>131368</v>
      </c>
      <c r="G6" s="148"/>
      <c r="H6" s="148">
        <v>154469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>
        <v>806710</v>
      </c>
      <c r="T6" s="148"/>
      <c r="U6" s="148">
        <v>913171</v>
      </c>
      <c r="V6" s="148"/>
      <c r="W6" s="148"/>
      <c r="X6" s="148"/>
      <c r="Y6" s="148"/>
      <c r="Z6" s="148"/>
      <c r="AA6" s="148"/>
      <c r="AB6" s="148"/>
      <c r="AC6" s="148"/>
      <c r="AD6" s="148"/>
      <c r="AF6" s="149">
        <f t="shared" si="0"/>
        <v>0.16284414473602657</v>
      </c>
      <c r="AG6" s="149" t="str">
        <f t="shared" si="1"/>
        <v/>
      </c>
      <c r="AH6" s="149">
        <f t="shared" si="2"/>
        <v>0.16915670777981343</v>
      </c>
      <c r="AI6" s="189" t="str">
        <f t="shared" si="3"/>
        <v/>
      </c>
      <c r="AJ6" s="189" t="str">
        <f t="shared" si="4"/>
        <v/>
      </c>
      <c r="AK6" s="189" t="str">
        <f t="shared" si="5"/>
        <v/>
      </c>
      <c r="AL6" s="149" t="str">
        <f t="shared" si="6"/>
        <v/>
      </c>
      <c r="AM6" s="149" t="str">
        <f t="shared" si="7"/>
        <v/>
      </c>
      <c r="AN6" s="149" t="str">
        <f t="shared" si="8"/>
        <v/>
      </c>
      <c r="AO6" s="149" t="str">
        <f t="shared" si="9"/>
        <v/>
      </c>
      <c r="AP6" s="149" t="str">
        <f t="shared" si="10"/>
        <v/>
      </c>
      <c r="AQ6" s="149" t="str">
        <f t="shared" si="11"/>
        <v/>
      </c>
    </row>
    <row r="7" spans="2:43" x14ac:dyDescent="0.35">
      <c r="B7" s="17"/>
      <c r="C7" s="200">
        <v>20418463644</v>
      </c>
      <c r="D7" s="201" t="s">
        <v>344</v>
      </c>
      <c r="F7" s="148">
        <v>160943</v>
      </c>
      <c r="G7" s="148">
        <v>155032</v>
      </c>
      <c r="H7" s="148">
        <v>43458</v>
      </c>
      <c r="I7" s="148">
        <v>152071</v>
      </c>
      <c r="J7" s="148"/>
      <c r="K7" s="148"/>
      <c r="L7" s="148"/>
      <c r="M7" s="148"/>
      <c r="N7" s="148"/>
      <c r="O7" s="148"/>
      <c r="P7" s="148"/>
      <c r="Q7" s="148"/>
      <c r="S7" s="148">
        <v>1037873</v>
      </c>
      <c r="T7" s="148">
        <v>985948</v>
      </c>
      <c r="U7" s="148">
        <v>305238</v>
      </c>
      <c r="V7" s="148">
        <v>993126</v>
      </c>
      <c r="W7" s="148"/>
      <c r="X7" s="148"/>
      <c r="Y7" s="148"/>
      <c r="Z7" s="148"/>
      <c r="AA7" s="148"/>
      <c r="AB7" s="148"/>
      <c r="AC7" s="148"/>
      <c r="AD7" s="148"/>
      <c r="AF7" s="149">
        <f t="shared" si="0"/>
        <v>0.15507003265332078</v>
      </c>
      <c r="AG7" s="149">
        <f t="shared" si="1"/>
        <v>0.15724155837833231</v>
      </c>
      <c r="AH7" s="149">
        <f t="shared" si="2"/>
        <v>0.14237414738662946</v>
      </c>
      <c r="AI7" s="189">
        <f t="shared" si="3"/>
        <v>0.15312357143000987</v>
      </c>
      <c r="AJ7" s="189" t="str">
        <f t="shared" si="4"/>
        <v/>
      </c>
      <c r="AK7" s="189" t="str">
        <f t="shared" si="5"/>
        <v/>
      </c>
      <c r="AL7" s="149" t="str">
        <f t="shared" si="6"/>
        <v/>
      </c>
      <c r="AM7" s="149" t="str">
        <f t="shared" si="7"/>
        <v/>
      </c>
      <c r="AN7" s="149" t="str">
        <f t="shared" si="8"/>
        <v/>
      </c>
      <c r="AO7" s="149" t="str">
        <f t="shared" si="9"/>
        <v/>
      </c>
      <c r="AP7" s="149" t="str">
        <f t="shared" si="10"/>
        <v/>
      </c>
      <c r="AQ7" s="149" t="str">
        <f t="shared" si="11"/>
        <v/>
      </c>
    </row>
    <row r="8" spans="2:43" x14ac:dyDescent="0.35">
      <c r="B8" s="17"/>
      <c r="C8" s="200">
        <v>20345150341</v>
      </c>
      <c r="D8" s="201" t="s">
        <v>345</v>
      </c>
      <c r="F8" s="148">
        <v>167237</v>
      </c>
      <c r="G8" s="148">
        <v>159186</v>
      </c>
      <c r="H8" s="148">
        <v>168176</v>
      </c>
      <c r="I8" s="148">
        <v>152660</v>
      </c>
      <c r="J8" s="148"/>
      <c r="K8" s="148"/>
      <c r="L8" s="148"/>
      <c r="M8" s="148"/>
      <c r="N8" s="148"/>
      <c r="O8" s="148"/>
      <c r="P8" s="148"/>
      <c r="Q8" s="148"/>
      <c r="S8" s="148">
        <v>971411</v>
      </c>
      <c r="T8" s="148">
        <v>979164</v>
      </c>
      <c r="U8" s="148">
        <v>1055926</v>
      </c>
      <c r="V8" s="148">
        <v>938605</v>
      </c>
      <c r="W8" s="148"/>
      <c r="X8" s="148"/>
      <c r="Y8" s="148"/>
      <c r="Z8" s="148"/>
      <c r="AA8" s="148"/>
      <c r="AB8" s="148"/>
      <c r="AC8" s="148"/>
      <c r="AD8" s="148"/>
      <c r="AF8" s="149">
        <f t="shared" si="0"/>
        <v>0.17215884934389256</v>
      </c>
      <c r="AG8" s="149">
        <f t="shared" si="1"/>
        <v>0.16257337892324472</v>
      </c>
      <c r="AH8" s="149">
        <f t="shared" si="2"/>
        <v>0.15926873663495358</v>
      </c>
      <c r="AI8" s="189">
        <f t="shared" si="3"/>
        <v>0.16264562835271493</v>
      </c>
      <c r="AJ8" s="189" t="str">
        <f t="shared" si="4"/>
        <v/>
      </c>
      <c r="AK8" s="189" t="str">
        <f t="shared" si="5"/>
        <v/>
      </c>
      <c r="AL8" s="149" t="str">
        <f t="shared" si="6"/>
        <v/>
      </c>
      <c r="AM8" s="149" t="str">
        <f t="shared" si="7"/>
        <v/>
      </c>
      <c r="AN8" s="149" t="str">
        <f t="shared" si="8"/>
        <v/>
      </c>
      <c r="AO8" s="149" t="str">
        <f t="shared" si="9"/>
        <v/>
      </c>
      <c r="AP8" s="149" t="str">
        <f t="shared" si="10"/>
        <v/>
      </c>
      <c r="AQ8" s="149" t="str">
        <f t="shared" si="11"/>
        <v/>
      </c>
    </row>
    <row r="9" spans="2:43" x14ac:dyDescent="0.35">
      <c r="B9" s="17"/>
      <c r="C9" s="200">
        <v>20432168213</v>
      </c>
      <c r="D9" s="201" t="s">
        <v>346</v>
      </c>
      <c r="F9" s="148">
        <v>100844</v>
      </c>
      <c r="G9" s="148">
        <v>104117</v>
      </c>
      <c r="H9" s="148">
        <v>29233</v>
      </c>
      <c r="I9" s="148">
        <v>99966</v>
      </c>
      <c r="J9" s="148"/>
      <c r="K9" s="148"/>
      <c r="L9" s="148"/>
      <c r="M9" s="148"/>
      <c r="N9" s="148"/>
      <c r="O9" s="148"/>
      <c r="P9" s="148"/>
      <c r="Q9" s="148"/>
      <c r="S9" s="148">
        <v>705061</v>
      </c>
      <c r="T9" s="148">
        <v>685719</v>
      </c>
      <c r="U9" s="148">
        <v>216294</v>
      </c>
      <c r="V9" s="148">
        <v>680898</v>
      </c>
      <c r="W9" s="148"/>
      <c r="X9" s="148"/>
      <c r="Y9" s="148"/>
      <c r="Z9" s="148"/>
      <c r="AA9" s="148"/>
      <c r="AB9" s="148"/>
      <c r="AC9" s="148"/>
      <c r="AD9" s="148"/>
      <c r="AF9" s="149">
        <f t="shared" si="0"/>
        <v>0.14302875921374178</v>
      </c>
      <c r="AG9" s="149">
        <f t="shared" si="1"/>
        <v>0.1518362477924631</v>
      </c>
      <c r="AH9" s="149">
        <f t="shared" si="2"/>
        <v>0.1351540033472958</v>
      </c>
      <c r="AI9" s="189">
        <f t="shared" si="3"/>
        <v>0.14681494144497415</v>
      </c>
      <c r="AJ9" s="189" t="str">
        <f t="shared" si="4"/>
        <v/>
      </c>
      <c r="AK9" s="189" t="str">
        <f t="shared" si="5"/>
        <v/>
      </c>
      <c r="AL9" s="149" t="str">
        <f t="shared" si="6"/>
        <v/>
      </c>
      <c r="AM9" s="149" t="str">
        <f t="shared" si="7"/>
        <v/>
      </c>
      <c r="AN9" s="149" t="str">
        <f t="shared" si="8"/>
        <v/>
      </c>
      <c r="AO9" s="149" t="str">
        <f t="shared" si="9"/>
        <v/>
      </c>
      <c r="AP9" s="149" t="str">
        <f t="shared" si="10"/>
        <v/>
      </c>
      <c r="AQ9" s="149" t="str">
        <f t="shared" si="11"/>
        <v/>
      </c>
    </row>
    <row r="10" spans="2:43" x14ac:dyDescent="0.35">
      <c r="B10" s="17"/>
      <c r="C10" s="200">
        <v>20476633932</v>
      </c>
      <c r="D10" s="201" t="s">
        <v>347</v>
      </c>
      <c r="F10" s="148">
        <v>123848</v>
      </c>
      <c r="G10" s="148">
        <v>139267</v>
      </c>
      <c r="H10" s="148">
        <v>43157</v>
      </c>
      <c r="I10" s="148">
        <v>143489</v>
      </c>
      <c r="J10" s="148"/>
      <c r="K10" s="148"/>
      <c r="L10" s="148"/>
      <c r="M10" s="148"/>
      <c r="N10" s="148"/>
      <c r="O10" s="148"/>
      <c r="P10" s="148"/>
      <c r="Q10" s="148"/>
      <c r="S10" s="148">
        <v>799444</v>
      </c>
      <c r="T10" s="148">
        <v>857012</v>
      </c>
      <c r="U10" s="148">
        <v>269498</v>
      </c>
      <c r="V10" s="148">
        <v>942772</v>
      </c>
      <c r="W10" s="148"/>
      <c r="X10" s="148"/>
      <c r="Y10" s="148"/>
      <c r="Z10" s="148"/>
      <c r="AA10" s="148"/>
      <c r="AB10" s="148"/>
      <c r="AC10" s="148"/>
      <c r="AD10" s="148"/>
      <c r="AF10" s="149">
        <f t="shared" si="0"/>
        <v>0.15491766777910648</v>
      </c>
      <c r="AG10" s="149">
        <f t="shared" si="1"/>
        <v>0.16250297545425268</v>
      </c>
      <c r="AH10" s="149">
        <f t="shared" si="2"/>
        <v>0.16013847969187156</v>
      </c>
      <c r="AI10" s="189">
        <f t="shared" si="3"/>
        <v>0.15219904706546228</v>
      </c>
      <c r="AJ10" s="189" t="str">
        <f t="shared" si="4"/>
        <v/>
      </c>
      <c r="AK10" s="189" t="str">
        <f t="shared" si="5"/>
        <v/>
      </c>
      <c r="AL10" s="149" t="str">
        <f t="shared" si="6"/>
        <v/>
      </c>
      <c r="AM10" s="149" t="str">
        <f t="shared" si="7"/>
        <v/>
      </c>
      <c r="AN10" s="149" t="str">
        <f t="shared" si="8"/>
        <v/>
      </c>
      <c r="AO10" s="149" t="str">
        <f t="shared" si="9"/>
        <v/>
      </c>
      <c r="AP10" s="149" t="str">
        <f t="shared" si="10"/>
        <v/>
      </c>
      <c r="AQ10" s="149" t="str">
        <f t="shared" si="11"/>
        <v/>
      </c>
    </row>
    <row r="11" spans="2:43" x14ac:dyDescent="0.35">
      <c r="B11" s="17"/>
      <c r="C11" s="200">
        <v>20504197469</v>
      </c>
      <c r="D11" s="201" t="s">
        <v>348</v>
      </c>
      <c r="F11" s="148">
        <v>136018</v>
      </c>
      <c r="G11" s="148">
        <v>121860</v>
      </c>
      <c r="H11" s="148">
        <v>155040</v>
      </c>
      <c r="I11" s="148">
        <v>111376</v>
      </c>
      <c r="J11" s="148"/>
      <c r="K11" s="148"/>
      <c r="L11" s="148"/>
      <c r="M11" s="148"/>
      <c r="N11" s="148"/>
      <c r="O11" s="148"/>
      <c r="P11" s="148"/>
      <c r="Q11" s="148"/>
      <c r="S11" s="148">
        <v>799166</v>
      </c>
      <c r="T11" s="148">
        <v>757417</v>
      </c>
      <c r="U11" s="148">
        <v>923308</v>
      </c>
      <c r="V11" s="148">
        <v>645846</v>
      </c>
      <c r="W11" s="148"/>
      <c r="X11" s="148"/>
      <c r="Y11" s="148"/>
      <c r="Z11" s="148"/>
      <c r="AA11" s="148"/>
      <c r="AB11" s="148"/>
      <c r="AC11" s="148"/>
      <c r="AD11" s="148"/>
      <c r="AF11" s="149">
        <f t="shared" si="0"/>
        <v>0.17019993343060141</v>
      </c>
      <c r="AG11" s="149">
        <f t="shared" si="1"/>
        <v>0.16088891588121207</v>
      </c>
      <c r="AH11" s="149">
        <f t="shared" si="2"/>
        <v>0.16791796453621111</v>
      </c>
      <c r="AI11" s="189">
        <f t="shared" si="3"/>
        <v>0.17244977904949477</v>
      </c>
      <c r="AJ11" s="189" t="str">
        <f t="shared" si="4"/>
        <v/>
      </c>
      <c r="AK11" s="189" t="str">
        <f t="shared" si="5"/>
        <v/>
      </c>
      <c r="AL11" s="149" t="str">
        <f t="shared" si="6"/>
        <v/>
      </c>
      <c r="AM11" s="149" t="str">
        <f t="shared" si="7"/>
        <v/>
      </c>
      <c r="AN11" s="149" t="str">
        <f t="shared" si="8"/>
        <v/>
      </c>
      <c r="AO11" s="149" t="str">
        <f t="shared" si="9"/>
        <v/>
      </c>
      <c r="AP11" s="149" t="str">
        <f t="shared" si="10"/>
        <v/>
      </c>
      <c r="AQ11" s="149" t="str">
        <f t="shared" si="11"/>
        <v/>
      </c>
    </row>
    <row r="12" spans="2:43" x14ac:dyDescent="0.35">
      <c r="B12" s="17"/>
      <c r="C12" s="200">
        <v>20252796623</v>
      </c>
      <c r="D12" s="201" t="s">
        <v>349</v>
      </c>
      <c r="F12" s="148">
        <v>99154</v>
      </c>
      <c r="G12" s="148">
        <v>113775</v>
      </c>
      <c r="H12" s="148">
        <v>108237</v>
      </c>
      <c r="I12" s="148">
        <v>118322</v>
      </c>
      <c r="J12" s="148"/>
      <c r="K12" s="148"/>
      <c r="L12" s="148"/>
      <c r="M12" s="148"/>
      <c r="N12" s="148"/>
      <c r="O12" s="148"/>
      <c r="P12" s="148"/>
      <c r="Q12" s="148"/>
      <c r="S12" s="148">
        <v>905949</v>
      </c>
      <c r="T12" s="148">
        <v>917303</v>
      </c>
      <c r="U12" s="148">
        <v>887730</v>
      </c>
      <c r="V12" s="148">
        <v>697191</v>
      </c>
      <c r="W12" s="148"/>
      <c r="X12" s="148"/>
      <c r="Y12" s="148"/>
      <c r="Z12" s="148"/>
      <c r="AA12" s="148"/>
      <c r="AB12" s="148"/>
      <c r="AC12" s="148"/>
      <c r="AD12" s="148"/>
      <c r="AF12" s="149">
        <f t="shared" si="0"/>
        <v>0.10944766206486237</v>
      </c>
      <c r="AG12" s="149">
        <f t="shared" si="1"/>
        <v>0.1240320810026785</v>
      </c>
      <c r="AH12" s="149">
        <f t="shared" si="2"/>
        <v>0.12192558548207225</v>
      </c>
      <c r="AI12" s="189">
        <f t="shared" si="3"/>
        <v>0.16971246043049895</v>
      </c>
      <c r="AJ12" s="189" t="str">
        <f t="shared" si="4"/>
        <v/>
      </c>
      <c r="AK12" s="189" t="str">
        <f t="shared" si="5"/>
        <v/>
      </c>
      <c r="AL12" s="149" t="str">
        <f t="shared" si="6"/>
        <v/>
      </c>
      <c r="AM12" s="149" t="str">
        <f t="shared" si="7"/>
        <v/>
      </c>
      <c r="AN12" s="149" t="str">
        <f t="shared" si="8"/>
        <v/>
      </c>
      <c r="AO12" s="149" t="str">
        <f t="shared" si="9"/>
        <v/>
      </c>
      <c r="AP12" s="149" t="str">
        <f t="shared" si="10"/>
        <v/>
      </c>
      <c r="AQ12" s="149" t="str">
        <f t="shared" si="11"/>
        <v/>
      </c>
    </row>
    <row r="13" spans="2:43" x14ac:dyDescent="0.35">
      <c r="B13" s="17"/>
      <c r="C13" s="200">
        <v>20486765454</v>
      </c>
      <c r="D13" s="201" t="s">
        <v>350</v>
      </c>
      <c r="F13" s="148">
        <v>143794</v>
      </c>
      <c r="G13" s="148">
        <v>139484</v>
      </c>
      <c r="H13" s="148">
        <v>150498</v>
      </c>
      <c r="I13" s="148">
        <v>132343</v>
      </c>
      <c r="J13" s="148"/>
      <c r="K13" s="148"/>
      <c r="L13" s="148"/>
      <c r="M13" s="148"/>
      <c r="N13" s="148"/>
      <c r="O13" s="148"/>
      <c r="P13" s="148"/>
      <c r="Q13" s="148"/>
      <c r="S13" s="148">
        <v>821998</v>
      </c>
      <c r="T13" s="148">
        <v>812908</v>
      </c>
      <c r="U13" s="148">
        <v>878052</v>
      </c>
      <c r="V13" s="148">
        <v>813834</v>
      </c>
      <c r="W13" s="148"/>
      <c r="X13" s="148"/>
      <c r="Y13" s="148"/>
      <c r="Z13" s="148"/>
      <c r="AA13" s="148"/>
      <c r="AB13" s="148"/>
      <c r="AC13" s="148"/>
      <c r="AD13" s="148"/>
      <c r="AF13" s="149">
        <f t="shared" si="0"/>
        <v>0.17493229910535063</v>
      </c>
      <c r="AG13" s="149">
        <f t="shared" si="1"/>
        <v>0.17158645258750069</v>
      </c>
      <c r="AH13" s="149">
        <f t="shared" si="2"/>
        <v>0.17139987153380437</v>
      </c>
      <c r="AI13" s="189">
        <f t="shared" si="3"/>
        <v>0.16261670070309178</v>
      </c>
      <c r="AJ13" s="189" t="str">
        <f t="shared" si="4"/>
        <v/>
      </c>
      <c r="AK13" s="189" t="str">
        <f t="shared" si="5"/>
        <v/>
      </c>
      <c r="AL13" s="149" t="str">
        <f t="shared" si="6"/>
        <v/>
      </c>
      <c r="AM13" s="149" t="str">
        <f t="shared" si="7"/>
        <v/>
      </c>
      <c r="AN13" s="149" t="str">
        <f t="shared" si="8"/>
        <v/>
      </c>
      <c r="AO13" s="149" t="str">
        <f t="shared" si="9"/>
        <v/>
      </c>
      <c r="AP13" s="149" t="str">
        <f t="shared" si="10"/>
        <v/>
      </c>
      <c r="AQ13" s="149" t="str">
        <f t="shared" si="11"/>
        <v/>
      </c>
    </row>
    <row r="14" spans="2:43" x14ac:dyDescent="0.35">
      <c r="B14" s="17"/>
      <c r="C14" s="200">
        <v>20601017106</v>
      </c>
      <c r="D14" s="201" t="s">
        <v>351</v>
      </c>
      <c r="F14" s="198">
        <v>51889</v>
      </c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S14" s="148">
        <v>281464</v>
      </c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F14" s="149">
        <f t="shared" si="0"/>
        <v>0.18435394935053862</v>
      </c>
      <c r="AG14" s="149" t="str">
        <f t="shared" si="1"/>
        <v/>
      </c>
      <c r="AH14" s="149" t="str">
        <f t="shared" si="2"/>
        <v/>
      </c>
      <c r="AI14" s="189" t="str">
        <f t="shared" si="3"/>
        <v/>
      </c>
      <c r="AJ14" s="189" t="str">
        <f t="shared" si="4"/>
        <v/>
      </c>
      <c r="AK14" s="189" t="str">
        <f t="shared" si="5"/>
        <v/>
      </c>
      <c r="AL14" s="149" t="str">
        <f t="shared" si="6"/>
        <v/>
      </c>
      <c r="AM14" s="149" t="str">
        <f t="shared" si="7"/>
        <v/>
      </c>
      <c r="AN14" s="149" t="str">
        <f t="shared" si="8"/>
        <v/>
      </c>
      <c r="AO14" s="149" t="str">
        <f t="shared" si="9"/>
        <v/>
      </c>
      <c r="AP14" s="149" t="str">
        <f t="shared" si="10"/>
        <v/>
      </c>
      <c r="AQ14" s="149" t="str">
        <f t="shared" si="11"/>
        <v/>
      </c>
    </row>
    <row r="15" spans="2:43" x14ac:dyDescent="0.35">
      <c r="B15" s="17"/>
      <c r="C15" s="200">
        <v>20511235066</v>
      </c>
      <c r="D15" s="201" t="s">
        <v>352</v>
      </c>
      <c r="F15" s="198">
        <v>69212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S15" s="148">
        <v>341445</v>
      </c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F15" s="149">
        <f t="shared" si="0"/>
        <v>0.20270321720921378</v>
      </c>
      <c r="AG15" s="149" t="str">
        <f t="shared" si="1"/>
        <v/>
      </c>
      <c r="AH15" s="149" t="str">
        <f t="shared" si="2"/>
        <v/>
      </c>
      <c r="AI15" s="189" t="str">
        <f t="shared" si="3"/>
        <v/>
      </c>
      <c r="AJ15" s="189" t="str">
        <f t="shared" si="4"/>
        <v/>
      </c>
      <c r="AK15" s="189" t="str">
        <f t="shared" si="5"/>
        <v/>
      </c>
      <c r="AL15" s="149" t="str">
        <f t="shared" si="6"/>
        <v/>
      </c>
      <c r="AM15" s="149" t="str">
        <f t="shared" si="7"/>
        <v/>
      </c>
      <c r="AN15" s="149" t="str">
        <f t="shared" si="8"/>
        <v/>
      </c>
      <c r="AO15" s="149" t="str">
        <f t="shared" si="9"/>
        <v/>
      </c>
      <c r="AP15" s="149" t="str">
        <f t="shared" si="10"/>
        <v/>
      </c>
      <c r="AQ15" s="149" t="str">
        <f t="shared" si="11"/>
        <v/>
      </c>
    </row>
    <row r="16" spans="2:43" x14ac:dyDescent="0.35">
      <c r="B16" s="17"/>
      <c r="C16" s="200">
        <v>20536676865</v>
      </c>
      <c r="D16" s="201" t="s">
        <v>353</v>
      </c>
      <c r="F16" s="198">
        <v>50865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S16" s="148">
        <v>263740</v>
      </c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F16" s="149">
        <f t="shared" si="0"/>
        <v>0.19286039281110184</v>
      </c>
      <c r="AG16" s="149" t="str">
        <f t="shared" si="1"/>
        <v/>
      </c>
      <c r="AH16" s="149" t="str">
        <f t="shared" si="2"/>
        <v/>
      </c>
      <c r="AI16" s="189" t="str">
        <f t="shared" si="3"/>
        <v/>
      </c>
      <c r="AJ16" s="189" t="str">
        <f t="shared" si="4"/>
        <v/>
      </c>
      <c r="AK16" s="189" t="str">
        <f t="shared" si="5"/>
        <v/>
      </c>
      <c r="AL16" s="149" t="str">
        <f t="shared" si="6"/>
        <v/>
      </c>
      <c r="AM16" s="149" t="str">
        <f t="shared" si="7"/>
        <v/>
      </c>
      <c r="AN16" s="149" t="str">
        <f t="shared" si="8"/>
        <v/>
      </c>
      <c r="AO16" s="149" t="str">
        <f t="shared" si="9"/>
        <v/>
      </c>
      <c r="AP16" s="149" t="str">
        <f t="shared" si="10"/>
        <v/>
      </c>
      <c r="AQ16" s="149" t="str">
        <f t="shared" si="11"/>
        <v/>
      </c>
    </row>
    <row r="17" spans="2:43" x14ac:dyDescent="0.35">
      <c r="B17" s="17"/>
      <c r="C17" s="200">
        <v>20563027607</v>
      </c>
      <c r="D17" s="201" t="s">
        <v>354</v>
      </c>
      <c r="F17" s="148">
        <v>69990</v>
      </c>
      <c r="G17" s="148">
        <v>84037</v>
      </c>
      <c r="H17" s="148">
        <v>45535</v>
      </c>
      <c r="I17" s="148">
        <v>65345</v>
      </c>
      <c r="J17" s="148"/>
      <c r="K17" s="148"/>
      <c r="L17" s="148"/>
      <c r="M17" s="148"/>
      <c r="N17" s="148"/>
      <c r="O17" s="148"/>
      <c r="P17" s="148"/>
      <c r="Q17" s="148"/>
      <c r="S17" s="148">
        <v>1165570</v>
      </c>
      <c r="T17" s="148">
        <v>1047816</v>
      </c>
      <c r="U17" s="148">
        <v>1034327</v>
      </c>
      <c r="V17" s="148">
        <v>1025778</v>
      </c>
      <c r="W17" s="148"/>
      <c r="X17" s="148"/>
      <c r="Y17" s="148"/>
      <c r="Z17" s="148"/>
      <c r="AA17" s="148"/>
      <c r="AB17" s="148"/>
      <c r="AC17" s="148"/>
      <c r="AD17" s="148"/>
      <c r="AF17" s="149">
        <f t="shared" si="0"/>
        <v>6.0047873572586806E-2</v>
      </c>
      <c r="AG17" s="149">
        <f t="shared" si="1"/>
        <v>8.0202058376661556E-2</v>
      </c>
      <c r="AH17" s="149">
        <f t="shared" si="2"/>
        <v>4.4023795182761352E-2</v>
      </c>
      <c r="AI17" s="189">
        <f t="shared" si="3"/>
        <v>6.3702867482047773E-2</v>
      </c>
      <c r="AJ17" s="189" t="str">
        <f t="shared" si="4"/>
        <v/>
      </c>
      <c r="AK17" s="189" t="str">
        <f t="shared" si="5"/>
        <v/>
      </c>
      <c r="AL17" s="149" t="str">
        <f t="shared" si="6"/>
        <v/>
      </c>
      <c r="AM17" s="149" t="str">
        <f t="shared" si="7"/>
        <v/>
      </c>
      <c r="AN17" s="149" t="str">
        <f t="shared" si="8"/>
        <v/>
      </c>
      <c r="AO17" s="149" t="str">
        <f t="shared" si="9"/>
        <v/>
      </c>
      <c r="AP17" s="149" t="str">
        <f t="shared" si="10"/>
        <v/>
      </c>
      <c r="AQ17" s="149" t="str">
        <f t="shared" si="11"/>
        <v/>
      </c>
    </row>
    <row r="18" spans="2:43" x14ac:dyDescent="0.35">
      <c r="B18" s="17"/>
      <c r="C18" s="200">
        <v>20505670443</v>
      </c>
      <c r="D18" s="201" t="s">
        <v>355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F18" s="149" t="str">
        <f t="shared" si="0"/>
        <v/>
      </c>
      <c r="AG18" s="149" t="str">
        <f t="shared" si="1"/>
        <v/>
      </c>
      <c r="AH18" s="149" t="str">
        <f t="shared" si="2"/>
        <v/>
      </c>
      <c r="AI18" s="189" t="str">
        <f t="shared" si="3"/>
        <v/>
      </c>
      <c r="AJ18" s="189" t="str">
        <f t="shared" si="4"/>
        <v/>
      </c>
      <c r="AK18" s="189" t="str">
        <f t="shared" si="5"/>
        <v/>
      </c>
      <c r="AL18" s="149" t="str">
        <f t="shared" si="6"/>
        <v/>
      </c>
      <c r="AM18" s="149" t="str">
        <f t="shared" si="7"/>
        <v/>
      </c>
      <c r="AN18" s="149" t="str">
        <f t="shared" si="8"/>
        <v/>
      </c>
      <c r="AO18" s="149" t="str">
        <f t="shared" si="9"/>
        <v/>
      </c>
      <c r="AP18" s="149" t="str">
        <f t="shared" si="10"/>
        <v/>
      </c>
      <c r="AQ18" s="149" t="str">
        <f t="shared" si="11"/>
        <v/>
      </c>
    </row>
    <row r="19" spans="2:43" x14ac:dyDescent="0.35">
      <c r="B19" s="17"/>
      <c r="C19" s="200">
        <v>20604940622</v>
      </c>
      <c r="D19" s="201" t="s">
        <v>356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F19" s="149" t="str">
        <f t="shared" si="0"/>
        <v/>
      </c>
      <c r="AG19" s="149" t="str">
        <f t="shared" si="1"/>
        <v/>
      </c>
      <c r="AH19" s="149" t="str">
        <f t="shared" si="2"/>
        <v/>
      </c>
      <c r="AI19" s="189" t="str">
        <f t="shared" si="3"/>
        <v/>
      </c>
      <c r="AJ19" s="189" t="str">
        <f t="shared" si="4"/>
        <v/>
      </c>
      <c r="AK19" s="189" t="str">
        <f t="shared" si="5"/>
        <v/>
      </c>
      <c r="AL19" s="149" t="str">
        <f t="shared" si="6"/>
        <v/>
      </c>
      <c r="AM19" s="149" t="str">
        <f t="shared" si="7"/>
        <v/>
      </c>
      <c r="AN19" s="149" t="str">
        <f t="shared" si="8"/>
        <v/>
      </c>
      <c r="AO19" s="149" t="str">
        <f t="shared" si="9"/>
        <v/>
      </c>
      <c r="AP19" s="149" t="str">
        <f t="shared" si="10"/>
        <v/>
      </c>
      <c r="AQ19" s="149" t="str">
        <f t="shared" si="11"/>
        <v/>
      </c>
    </row>
    <row r="20" spans="2:43" x14ac:dyDescent="0.35">
      <c r="B20" s="17"/>
      <c r="C20" s="200">
        <v>20601651531</v>
      </c>
      <c r="D20" s="201" t="s">
        <v>357</v>
      </c>
      <c r="F20" s="148">
        <v>178677</v>
      </c>
      <c r="G20" s="148">
        <v>169523</v>
      </c>
      <c r="H20" s="148">
        <v>97807</v>
      </c>
      <c r="I20" s="148">
        <v>123896</v>
      </c>
      <c r="J20" s="148"/>
      <c r="K20" s="148"/>
      <c r="L20" s="148"/>
      <c r="M20" s="148"/>
      <c r="N20" s="148"/>
      <c r="O20" s="148"/>
      <c r="P20" s="148"/>
      <c r="Q20" s="148"/>
      <c r="S20" s="148">
        <v>1174484</v>
      </c>
      <c r="T20" s="148">
        <v>1091522</v>
      </c>
      <c r="U20" s="148">
        <v>617680</v>
      </c>
      <c r="V20" s="148">
        <v>844472</v>
      </c>
      <c r="W20" s="148"/>
      <c r="X20" s="148"/>
      <c r="Y20" s="148"/>
      <c r="Z20" s="148"/>
      <c r="AA20" s="148"/>
      <c r="AB20" s="148"/>
      <c r="AC20" s="148"/>
      <c r="AD20" s="148"/>
      <c r="AF20" s="149">
        <f t="shared" si="0"/>
        <v>0.15213234067045614</v>
      </c>
      <c r="AG20" s="149">
        <f t="shared" si="1"/>
        <v>0.15530882565811774</v>
      </c>
      <c r="AH20" s="149">
        <f t="shared" si="2"/>
        <v>0.15834574536977075</v>
      </c>
      <c r="AI20" s="189">
        <f t="shared" si="3"/>
        <v>0.1467141598537311</v>
      </c>
      <c r="AJ20" s="189" t="str">
        <f t="shared" si="4"/>
        <v/>
      </c>
      <c r="AK20" s="189" t="str">
        <f t="shared" si="5"/>
        <v/>
      </c>
      <c r="AL20" s="149" t="str">
        <f t="shared" si="6"/>
        <v/>
      </c>
      <c r="AM20" s="149" t="str">
        <f t="shared" si="7"/>
        <v/>
      </c>
      <c r="AN20" s="149" t="str">
        <f t="shared" si="8"/>
        <v/>
      </c>
      <c r="AO20" s="149" t="str">
        <f t="shared" si="9"/>
        <v/>
      </c>
      <c r="AP20" s="149" t="str">
        <f t="shared" si="10"/>
        <v/>
      </c>
      <c r="AQ20" s="149" t="str">
        <f t="shared" si="11"/>
        <v/>
      </c>
    </row>
    <row r="21" spans="2:43" x14ac:dyDescent="0.35">
      <c r="B21" s="17"/>
      <c r="C21" s="200">
        <v>20517656217</v>
      </c>
      <c r="D21" s="201" t="s">
        <v>358</v>
      </c>
      <c r="F21" s="148">
        <v>182812</v>
      </c>
      <c r="G21" s="148">
        <v>165346</v>
      </c>
      <c r="H21" s="148">
        <v>74736</v>
      </c>
      <c r="I21" s="148">
        <v>159994</v>
      </c>
      <c r="J21" s="148"/>
      <c r="K21" s="148"/>
      <c r="L21" s="148"/>
      <c r="M21" s="148"/>
      <c r="N21" s="148"/>
      <c r="O21" s="148"/>
      <c r="P21" s="148"/>
      <c r="Q21" s="148"/>
      <c r="S21" s="148">
        <v>1108599</v>
      </c>
      <c r="T21" s="148">
        <v>1066795</v>
      </c>
      <c r="U21" s="148">
        <v>445594</v>
      </c>
      <c r="V21" s="148">
        <v>1058741</v>
      </c>
      <c r="W21" s="148"/>
      <c r="X21" s="148"/>
      <c r="Y21" s="148"/>
      <c r="Z21" s="148"/>
      <c r="AA21" s="148"/>
      <c r="AB21" s="148"/>
      <c r="AC21" s="148"/>
      <c r="AD21" s="148"/>
      <c r="AF21" s="149">
        <f t="shared" si="0"/>
        <v>0.16490363061846527</v>
      </c>
      <c r="AG21" s="149">
        <f t="shared" si="1"/>
        <v>0.15499322737733118</v>
      </c>
      <c r="AH21" s="149">
        <f t="shared" si="2"/>
        <v>0.16772218656445104</v>
      </c>
      <c r="AI21" s="189">
        <f t="shared" si="3"/>
        <v>0.15111722319245216</v>
      </c>
      <c r="AJ21" s="189" t="str">
        <f t="shared" si="4"/>
        <v/>
      </c>
      <c r="AK21" s="189" t="str">
        <f t="shared" si="5"/>
        <v/>
      </c>
      <c r="AL21" s="149" t="str">
        <f t="shared" si="6"/>
        <v/>
      </c>
      <c r="AM21" s="149" t="str">
        <f t="shared" si="7"/>
        <v/>
      </c>
      <c r="AN21" s="149" t="str">
        <f t="shared" si="8"/>
        <v/>
      </c>
      <c r="AO21" s="149" t="str">
        <f t="shared" si="9"/>
        <v/>
      </c>
      <c r="AP21" s="149" t="str">
        <f t="shared" si="10"/>
        <v/>
      </c>
      <c r="AQ21" s="149" t="str">
        <f t="shared" si="11"/>
        <v/>
      </c>
    </row>
    <row r="22" spans="2:43" x14ac:dyDescent="0.35">
      <c r="B22" s="17"/>
      <c r="C22" s="200">
        <v>20524692105</v>
      </c>
      <c r="D22" s="201" t="s">
        <v>359</v>
      </c>
      <c r="F22" s="198">
        <v>39264</v>
      </c>
      <c r="G22" s="148">
        <v>35381</v>
      </c>
      <c r="H22" s="148">
        <v>15992</v>
      </c>
      <c r="I22" s="148">
        <v>32492</v>
      </c>
      <c r="J22" s="148"/>
      <c r="K22" s="148"/>
      <c r="L22" s="148"/>
      <c r="M22" s="148"/>
      <c r="N22" s="148"/>
      <c r="O22" s="148"/>
      <c r="P22" s="148"/>
      <c r="Q22" s="148"/>
      <c r="S22" s="148">
        <v>521282</v>
      </c>
      <c r="T22" s="148">
        <v>590199</v>
      </c>
      <c r="U22" s="148">
        <v>211614</v>
      </c>
      <c r="V22" s="148">
        <v>601444</v>
      </c>
      <c r="W22" s="148"/>
      <c r="X22" s="148"/>
      <c r="Y22" s="148"/>
      <c r="Z22" s="148"/>
      <c r="AA22" s="148"/>
      <c r="AB22" s="148"/>
      <c r="AC22" s="148"/>
      <c r="AD22" s="148"/>
      <c r="AF22" s="149">
        <f t="shared" si="0"/>
        <v>7.5321994620953722E-2</v>
      </c>
      <c r="AG22" s="149">
        <f t="shared" si="1"/>
        <v>5.9947577003688586E-2</v>
      </c>
      <c r="AH22" s="149">
        <f t="shared" si="2"/>
        <v>7.5571559537648741E-2</v>
      </c>
      <c r="AI22" s="189">
        <f t="shared" si="3"/>
        <v>5.4023317216565468E-2</v>
      </c>
      <c r="AJ22" s="189" t="str">
        <f t="shared" si="4"/>
        <v/>
      </c>
      <c r="AK22" s="189" t="str">
        <f t="shared" si="5"/>
        <v/>
      </c>
      <c r="AL22" s="149" t="str">
        <f t="shared" si="6"/>
        <v/>
      </c>
      <c r="AM22" s="149" t="str">
        <f t="shared" si="7"/>
        <v/>
      </c>
      <c r="AN22" s="149" t="str">
        <f t="shared" si="8"/>
        <v/>
      </c>
      <c r="AO22" s="149" t="str">
        <f t="shared" si="9"/>
        <v/>
      </c>
      <c r="AP22" s="149" t="str">
        <f t="shared" si="10"/>
        <v/>
      </c>
      <c r="AQ22" s="149" t="str">
        <f t="shared" si="11"/>
        <v/>
      </c>
    </row>
    <row r="23" spans="2:43" x14ac:dyDescent="0.35">
      <c r="B23" s="17"/>
      <c r="C23" s="200">
        <v>20520854381</v>
      </c>
      <c r="D23" s="201" t="s">
        <v>360</v>
      </c>
      <c r="F23" s="198">
        <v>43502</v>
      </c>
      <c r="G23" s="148">
        <v>41318</v>
      </c>
      <c r="H23" s="148">
        <v>14266</v>
      </c>
      <c r="I23" s="148">
        <v>38154</v>
      </c>
      <c r="J23" s="148"/>
      <c r="K23" s="148"/>
      <c r="L23" s="148"/>
      <c r="M23" s="148"/>
      <c r="N23" s="148"/>
      <c r="O23" s="148"/>
      <c r="P23" s="148"/>
      <c r="Q23" s="148"/>
      <c r="S23" s="148">
        <v>264069</v>
      </c>
      <c r="T23" s="148">
        <v>262148</v>
      </c>
      <c r="U23" s="148">
        <v>87380</v>
      </c>
      <c r="V23" s="148">
        <v>249974</v>
      </c>
      <c r="W23" s="148"/>
      <c r="X23" s="148"/>
      <c r="Y23" s="148"/>
      <c r="Z23" s="148"/>
      <c r="AA23" s="148"/>
      <c r="AB23" s="148"/>
      <c r="AC23" s="148"/>
      <c r="AD23" s="148"/>
      <c r="AF23" s="149">
        <f t="shared" si="0"/>
        <v>0.16473724670445983</v>
      </c>
      <c r="AG23" s="149">
        <f t="shared" si="1"/>
        <v>0.15761325663365733</v>
      </c>
      <c r="AH23" s="149">
        <f t="shared" si="2"/>
        <v>0.16326390478370337</v>
      </c>
      <c r="AI23" s="189">
        <f t="shared" si="3"/>
        <v>0.15263187371486633</v>
      </c>
      <c r="AJ23" s="189" t="str">
        <f t="shared" si="4"/>
        <v/>
      </c>
      <c r="AK23" s="189" t="str">
        <f t="shared" si="5"/>
        <v/>
      </c>
      <c r="AL23" s="149" t="str">
        <f t="shared" si="6"/>
        <v/>
      </c>
      <c r="AM23" s="149" t="str">
        <f t="shared" si="7"/>
        <v/>
      </c>
      <c r="AN23" s="149" t="str">
        <f t="shared" si="8"/>
        <v/>
      </c>
      <c r="AO23" s="149" t="str">
        <f t="shared" si="9"/>
        <v/>
      </c>
      <c r="AP23" s="149" t="str">
        <f t="shared" si="10"/>
        <v/>
      </c>
      <c r="AQ23" s="149" t="str">
        <f t="shared" si="11"/>
        <v/>
      </c>
    </row>
    <row r="24" spans="2:43" x14ac:dyDescent="0.35">
      <c r="B24" s="14" t="s">
        <v>361</v>
      </c>
      <c r="C24" s="182"/>
      <c r="D24" s="14"/>
      <c r="F24" s="150">
        <f t="shared" ref="F24:Q24" si="12">+SUM(F4:F23)</f>
        <v>2718376</v>
      </c>
      <c r="G24" s="150">
        <f t="shared" si="12"/>
        <v>1428326</v>
      </c>
      <c r="H24" s="150">
        <f t="shared" si="12"/>
        <v>2116295</v>
      </c>
      <c r="I24" s="150">
        <f t="shared" si="12"/>
        <v>1330108</v>
      </c>
      <c r="J24" s="150">
        <f t="shared" si="12"/>
        <v>0</v>
      </c>
      <c r="K24" s="150">
        <f t="shared" si="12"/>
        <v>0</v>
      </c>
      <c r="L24" s="150">
        <f t="shared" si="12"/>
        <v>0</v>
      </c>
      <c r="M24" s="150">
        <f t="shared" si="12"/>
        <v>0</v>
      </c>
      <c r="N24" s="150">
        <f t="shared" si="12"/>
        <v>0</v>
      </c>
      <c r="O24" s="150">
        <f t="shared" si="12"/>
        <v>0</v>
      </c>
      <c r="P24" s="150">
        <f t="shared" si="12"/>
        <v>0</v>
      </c>
      <c r="Q24" s="150">
        <f t="shared" si="12"/>
        <v>0</v>
      </c>
      <c r="S24" s="150">
        <f t="shared" ref="S24:AD24" si="13">+SUM(S4:S23)</f>
        <v>18030877</v>
      </c>
      <c r="T24" s="150">
        <f t="shared" si="13"/>
        <v>10053951</v>
      </c>
      <c r="U24" s="150">
        <f t="shared" si="13"/>
        <v>14506991</v>
      </c>
      <c r="V24" s="150">
        <f t="shared" si="13"/>
        <v>9492681</v>
      </c>
      <c r="W24" s="150">
        <f t="shared" si="13"/>
        <v>0</v>
      </c>
      <c r="X24" s="150">
        <f t="shared" si="13"/>
        <v>0</v>
      </c>
      <c r="Y24" s="150">
        <f t="shared" si="13"/>
        <v>0</v>
      </c>
      <c r="Z24" s="150">
        <f t="shared" si="13"/>
        <v>0</v>
      </c>
      <c r="AA24" s="150">
        <f t="shared" si="13"/>
        <v>0</v>
      </c>
      <c r="AB24" s="150">
        <f t="shared" si="13"/>
        <v>0</v>
      </c>
      <c r="AC24" s="150">
        <f t="shared" si="13"/>
        <v>0</v>
      </c>
      <c r="AD24" s="150">
        <f t="shared" si="13"/>
        <v>0</v>
      </c>
      <c r="AF24" s="151">
        <f t="shared" si="0"/>
        <v>0.15076227296098799</v>
      </c>
      <c r="AG24" s="151">
        <f t="shared" si="1"/>
        <v>0.14206613897362341</v>
      </c>
      <c r="AH24" s="151">
        <f t="shared" si="2"/>
        <v>0.14588104452536022</v>
      </c>
      <c r="AI24" s="190">
        <f t="shared" si="3"/>
        <v>0.14011931929451754</v>
      </c>
      <c r="AJ24" s="190" t="str">
        <f t="shared" si="4"/>
        <v/>
      </c>
      <c r="AK24" s="190" t="str">
        <f t="shared" si="5"/>
        <v/>
      </c>
      <c r="AL24" s="151" t="str">
        <f t="shared" si="6"/>
        <v/>
      </c>
      <c r="AM24" s="151" t="str">
        <f t="shared" si="7"/>
        <v/>
      </c>
      <c r="AN24" s="151" t="str">
        <f t="shared" si="8"/>
        <v/>
      </c>
      <c r="AO24" s="151" t="str">
        <f t="shared" si="9"/>
        <v/>
      </c>
      <c r="AP24" s="151" t="str">
        <f t="shared" si="10"/>
        <v/>
      </c>
      <c r="AQ24" s="151" t="str">
        <f t="shared" si="11"/>
        <v/>
      </c>
    </row>
    <row r="25" spans="2:43" x14ac:dyDescent="0.35">
      <c r="B25" s="17"/>
      <c r="C25" s="200"/>
      <c r="D25" s="17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F25" s="153"/>
      <c r="AG25" s="153"/>
      <c r="AH25" s="153"/>
      <c r="AI25" s="191"/>
      <c r="AJ25" s="191"/>
      <c r="AK25" s="191"/>
      <c r="AL25" s="153"/>
      <c r="AM25" s="153"/>
      <c r="AN25" s="153"/>
      <c r="AO25" s="153"/>
    </row>
    <row r="26" spans="2:43" s="15" customFormat="1" x14ac:dyDescent="0.35">
      <c r="B26" s="16" t="s">
        <v>100</v>
      </c>
      <c r="C26" s="183" t="s">
        <v>362</v>
      </c>
      <c r="D26" s="15" t="s">
        <v>363</v>
      </c>
      <c r="F26" s="154">
        <v>18385248</v>
      </c>
      <c r="G26" s="154">
        <v>18433086</v>
      </c>
      <c r="H26" s="154">
        <v>20859197</v>
      </c>
      <c r="I26" s="154">
        <v>17148875</v>
      </c>
      <c r="J26" s="154"/>
      <c r="K26" s="154"/>
      <c r="L26" s="154"/>
      <c r="M26" s="154"/>
      <c r="N26" s="154"/>
      <c r="O26" s="154"/>
      <c r="P26" s="154"/>
      <c r="Q26" s="154"/>
      <c r="S26" s="154">
        <v>181618546</v>
      </c>
      <c r="T26" s="154">
        <v>188219737</v>
      </c>
      <c r="U26" s="154">
        <v>216230548</v>
      </c>
      <c r="V26" s="154">
        <v>203478956</v>
      </c>
      <c r="W26" s="154"/>
      <c r="X26" s="154"/>
      <c r="Y26" s="154"/>
      <c r="Z26" s="154"/>
      <c r="AA26" s="154"/>
      <c r="AB26" s="154"/>
      <c r="AC26" s="154"/>
      <c r="AD26" s="154"/>
      <c r="AF26" s="149">
        <f t="shared" ref="AF26:AF45" si="14">+IFERROR(F26/S26,"")</f>
        <v>0.10123001425195861</v>
      </c>
      <c r="AG26" s="149">
        <f t="shared" ref="AG26:AG45" si="15">+IFERROR(G26/T26,"")</f>
        <v>9.7933863333365512E-2</v>
      </c>
      <c r="AH26" s="149">
        <f t="shared" ref="AH26:AH45" si="16">+IFERROR(H26/U26,"")</f>
        <v>9.6467391832166099E-2</v>
      </c>
      <c r="AI26" s="189">
        <f t="shared" ref="AI26:AI45" si="17">+IFERROR(I26/V26,"")</f>
        <v>8.4278371272948738E-2</v>
      </c>
      <c r="AJ26" s="193" t="str">
        <f t="shared" ref="AJ26:AJ45" si="18">+IFERROR(J26/W26,"")</f>
        <v/>
      </c>
      <c r="AK26" s="193" t="str">
        <f t="shared" ref="AK26:AK45" si="19">+IFERROR(K26/X26,"")</f>
        <v/>
      </c>
      <c r="AL26" s="194" t="str">
        <f t="shared" ref="AL26:AL45" si="20">+IFERROR(L26/Y26,"")</f>
        <v/>
      </c>
      <c r="AM26" s="149" t="str">
        <f t="shared" ref="AM26:AM45" si="21">+IFERROR(M26/Z26,"")</f>
        <v/>
      </c>
      <c r="AN26" s="149" t="str">
        <f t="shared" ref="AN26:AN45" si="22">+IFERROR(N26/AA26,"")</f>
        <v/>
      </c>
      <c r="AO26" s="149" t="str">
        <f t="shared" ref="AO26:AO45" si="23">+IFERROR(O26/AB26,"")</f>
        <v/>
      </c>
      <c r="AP26" s="149" t="str">
        <f t="shared" ref="AP26:AP45" si="24">+IFERROR(P26/AC26,"")</f>
        <v/>
      </c>
      <c r="AQ26" s="149" t="str">
        <f t="shared" ref="AQ26:AQ45" si="25">+IFERROR(Q26/AD26,"")</f>
        <v/>
      </c>
    </row>
    <row r="27" spans="2:43" x14ac:dyDescent="0.35">
      <c r="B27" s="17"/>
      <c r="C27" s="200">
        <v>20600657888</v>
      </c>
      <c r="D27" s="201" t="s">
        <v>364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F27" s="149" t="str">
        <f t="shared" si="14"/>
        <v/>
      </c>
      <c r="AG27" s="149" t="str">
        <f t="shared" si="15"/>
        <v/>
      </c>
      <c r="AH27" s="149" t="str">
        <f t="shared" si="16"/>
        <v/>
      </c>
      <c r="AI27" s="189" t="str">
        <f t="shared" si="17"/>
        <v/>
      </c>
      <c r="AJ27" s="189" t="str">
        <f t="shared" si="18"/>
        <v/>
      </c>
      <c r="AK27" s="189" t="str">
        <f t="shared" si="19"/>
        <v/>
      </c>
      <c r="AL27" s="149" t="str">
        <f t="shared" si="20"/>
        <v/>
      </c>
      <c r="AM27" s="149" t="str">
        <f t="shared" si="21"/>
        <v/>
      </c>
      <c r="AN27" s="149" t="str">
        <f t="shared" si="22"/>
        <v/>
      </c>
      <c r="AO27" s="149" t="str">
        <f t="shared" si="23"/>
        <v/>
      </c>
      <c r="AP27" s="149" t="str">
        <f t="shared" si="24"/>
        <v/>
      </c>
      <c r="AQ27" s="149" t="str">
        <f t="shared" si="25"/>
        <v/>
      </c>
    </row>
    <row r="28" spans="2:43" x14ac:dyDescent="0.35">
      <c r="B28" s="17"/>
      <c r="C28" s="200">
        <v>20404097343</v>
      </c>
      <c r="D28" s="201" t="s">
        <v>365</v>
      </c>
      <c r="F28" s="148">
        <v>104747</v>
      </c>
      <c r="G28" s="148">
        <v>78677</v>
      </c>
      <c r="H28" s="148">
        <v>120549</v>
      </c>
      <c r="I28" s="148">
        <v>83048</v>
      </c>
      <c r="J28" s="148"/>
      <c r="K28" s="148"/>
      <c r="L28" s="148"/>
      <c r="M28" s="148"/>
      <c r="N28" s="148"/>
      <c r="O28" s="148"/>
      <c r="P28" s="148"/>
      <c r="Q28" s="148"/>
      <c r="S28" s="148">
        <v>490268</v>
      </c>
      <c r="T28" s="148">
        <v>375283</v>
      </c>
      <c r="U28" s="148">
        <v>539710</v>
      </c>
      <c r="V28" s="148">
        <v>369870</v>
      </c>
      <c r="W28" s="148"/>
      <c r="X28" s="148"/>
      <c r="Y28" s="148"/>
      <c r="Z28" s="148"/>
      <c r="AA28" s="148"/>
      <c r="AB28" s="148"/>
      <c r="AC28" s="148"/>
      <c r="AD28" s="148"/>
      <c r="AF28" s="149">
        <f t="shared" si="14"/>
        <v>0.21365253290037287</v>
      </c>
      <c r="AG28" s="149">
        <f t="shared" si="15"/>
        <v>0.20964711964037805</v>
      </c>
      <c r="AH28" s="149">
        <f t="shared" si="16"/>
        <v>0.22335884085897983</v>
      </c>
      <c r="AI28" s="189">
        <f t="shared" si="17"/>
        <v>0.22453294400735394</v>
      </c>
      <c r="AJ28" s="189" t="str">
        <f t="shared" si="18"/>
        <v/>
      </c>
      <c r="AK28" s="189" t="str">
        <f t="shared" si="19"/>
        <v/>
      </c>
      <c r="AL28" s="149" t="str">
        <f t="shared" si="20"/>
        <v/>
      </c>
      <c r="AM28" s="149" t="str">
        <f t="shared" si="21"/>
        <v/>
      </c>
      <c r="AN28" s="149" t="str">
        <f t="shared" si="22"/>
        <v/>
      </c>
      <c r="AO28" s="149" t="str">
        <f t="shared" si="23"/>
        <v/>
      </c>
      <c r="AP28" s="149" t="str">
        <f t="shared" si="24"/>
        <v/>
      </c>
      <c r="AQ28" s="149" t="str">
        <f t="shared" si="25"/>
        <v/>
      </c>
    </row>
    <row r="29" spans="2:43" x14ac:dyDescent="0.35">
      <c r="B29" s="17"/>
      <c r="C29" s="200">
        <v>20369872274</v>
      </c>
      <c r="D29" s="201" t="s">
        <v>366</v>
      </c>
      <c r="F29" s="148">
        <v>150977</v>
      </c>
      <c r="G29" s="148">
        <v>143808</v>
      </c>
      <c r="H29" s="148">
        <v>177135</v>
      </c>
      <c r="I29" s="148">
        <v>137365</v>
      </c>
      <c r="J29" s="148"/>
      <c r="K29" s="148"/>
      <c r="L29" s="148"/>
      <c r="M29" s="148"/>
      <c r="N29" s="148"/>
      <c r="O29" s="148"/>
      <c r="P29" s="148"/>
      <c r="Q29" s="148"/>
      <c r="S29" s="148">
        <v>1386329</v>
      </c>
      <c r="T29" s="148">
        <v>1342682</v>
      </c>
      <c r="U29" s="148">
        <v>1549351</v>
      </c>
      <c r="V29" s="148">
        <v>1339067</v>
      </c>
      <c r="W29" s="148"/>
      <c r="X29" s="148"/>
      <c r="Y29" s="148"/>
      <c r="Z29" s="148"/>
      <c r="AA29" s="148"/>
      <c r="AB29" s="148"/>
      <c r="AC29" s="148"/>
      <c r="AD29" s="148"/>
      <c r="AF29" s="149">
        <f t="shared" si="14"/>
        <v>0.10890416344172271</v>
      </c>
      <c r="AG29" s="149">
        <f t="shared" si="15"/>
        <v>0.10710503306069494</v>
      </c>
      <c r="AH29" s="149">
        <f t="shared" si="16"/>
        <v>0.11432851561718423</v>
      </c>
      <c r="AI29" s="189">
        <f t="shared" si="17"/>
        <v>0.10258261909224856</v>
      </c>
      <c r="AJ29" s="189" t="str">
        <f t="shared" si="18"/>
        <v/>
      </c>
      <c r="AK29" s="189" t="str">
        <f t="shared" si="19"/>
        <v/>
      </c>
      <c r="AL29" s="149" t="str">
        <f t="shared" si="20"/>
        <v/>
      </c>
      <c r="AM29" s="149" t="str">
        <f t="shared" si="21"/>
        <v/>
      </c>
      <c r="AN29" s="149" t="str">
        <f t="shared" si="22"/>
        <v/>
      </c>
      <c r="AO29" s="149" t="str">
        <f t="shared" si="23"/>
        <v/>
      </c>
      <c r="AP29" s="149" t="str">
        <f t="shared" si="24"/>
        <v/>
      </c>
      <c r="AQ29" s="149" t="str">
        <f t="shared" si="25"/>
        <v/>
      </c>
    </row>
    <row r="30" spans="2:43" x14ac:dyDescent="0.35">
      <c r="B30" s="17"/>
      <c r="C30" s="200">
        <v>20564347982</v>
      </c>
      <c r="D30" s="201" t="s">
        <v>367</v>
      </c>
      <c r="F30" s="198">
        <v>65344</v>
      </c>
      <c r="G30" s="148"/>
      <c r="H30" s="148">
        <v>82476</v>
      </c>
      <c r="I30" s="148"/>
      <c r="J30" s="148"/>
      <c r="K30" s="148"/>
      <c r="L30" s="148"/>
      <c r="M30" s="148"/>
      <c r="N30" s="148"/>
      <c r="O30" s="148"/>
      <c r="P30" s="148"/>
      <c r="Q30" s="148"/>
      <c r="S30" s="148">
        <v>263466</v>
      </c>
      <c r="T30" s="148"/>
      <c r="U30" s="148">
        <v>339549</v>
      </c>
      <c r="V30" s="148"/>
      <c r="W30" s="148"/>
      <c r="X30" s="148"/>
      <c r="Y30" s="148"/>
      <c r="Z30" s="148"/>
      <c r="AA30" s="148"/>
      <c r="AB30" s="148"/>
      <c r="AC30" s="148"/>
      <c r="AD30" s="148"/>
      <c r="AF30" s="149">
        <f t="shared" si="14"/>
        <v>0.24801682190491373</v>
      </c>
      <c r="AG30" s="149" t="str">
        <f t="shared" si="15"/>
        <v/>
      </c>
      <c r="AH30" s="149">
        <f t="shared" si="16"/>
        <v>0.24289866852795913</v>
      </c>
      <c r="AI30" s="189" t="str">
        <f t="shared" si="17"/>
        <v/>
      </c>
      <c r="AJ30" s="189" t="str">
        <f t="shared" si="18"/>
        <v/>
      </c>
      <c r="AK30" s="189" t="str">
        <f t="shared" si="19"/>
        <v/>
      </c>
      <c r="AL30" s="149" t="str">
        <f t="shared" si="20"/>
        <v/>
      </c>
      <c r="AM30" s="149" t="str">
        <f t="shared" si="21"/>
        <v/>
      </c>
      <c r="AN30" s="149" t="str">
        <f t="shared" si="22"/>
        <v/>
      </c>
      <c r="AO30" s="149" t="str">
        <f t="shared" si="23"/>
        <v/>
      </c>
      <c r="AP30" s="149" t="str">
        <f t="shared" si="24"/>
        <v/>
      </c>
      <c r="AQ30" s="149" t="str">
        <f t="shared" si="25"/>
        <v/>
      </c>
    </row>
    <row r="31" spans="2:43" x14ac:dyDescent="0.35">
      <c r="B31" s="17"/>
      <c r="C31" s="200">
        <v>20366131222</v>
      </c>
      <c r="D31" s="201" t="s">
        <v>368</v>
      </c>
      <c r="F31" s="148">
        <v>6032</v>
      </c>
      <c r="G31" s="148">
        <v>8161</v>
      </c>
      <c r="H31" s="148">
        <v>10561</v>
      </c>
      <c r="I31" s="148"/>
      <c r="J31" s="148"/>
      <c r="K31" s="148"/>
      <c r="L31" s="148"/>
      <c r="M31" s="148"/>
      <c r="N31" s="148"/>
      <c r="O31" s="148"/>
      <c r="P31" s="148"/>
      <c r="Q31" s="148"/>
      <c r="S31" s="148">
        <v>30845</v>
      </c>
      <c r="T31" s="148">
        <v>44928</v>
      </c>
      <c r="U31" s="148">
        <v>51746</v>
      </c>
      <c r="V31" s="148"/>
      <c r="W31" s="148"/>
      <c r="X31" s="148"/>
      <c r="Y31" s="148"/>
      <c r="Z31" s="148"/>
      <c r="AA31" s="148"/>
      <c r="AB31" s="148"/>
      <c r="AC31" s="148"/>
      <c r="AD31" s="148"/>
      <c r="AF31" s="149">
        <f t="shared" si="14"/>
        <v>0.19555843734803047</v>
      </c>
      <c r="AG31" s="149">
        <f t="shared" si="15"/>
        <v>0.18164618945868946</v>
      </c>
      <c r="AH31" s="149">
        <f t="shared" si="16"/>
        <v>0.20409306999574847</v>
      </c>
      <c r="AI31" s="189" t="str">
        <f t="shared" si="17"/>
        <v/>
      </c>
      <c r="AJ31" s="189" t="str">
        <f t="shared" si="18"/>
        <v/>
      </c>
      <c r="AK31" s="189" t="str">
        <f t="shared" si="19"/>
        <v/>
      </c>
      <c r="AL31" s="149" t="str">
        <f t="shared" si="20"/>
        <v/>
      </c>
      <c r="AM31" s="149" t="str">
        <f t="shared" si="21"/>
        <v/>
      </c>
      <c r="AN31" s="149" t="str">
        <f t="shared" si="22"/>
        <v/>
      </c>
      <c r="AO31" s="149" t="str">
        <f t="shared" si="23"/>
        <v/>
      </c>
      <c r="AP31" s="149" t="str">
        <f t="shared" si="24"/>
        <v/>
      </c>
      <c r="AQ31" s="149" t="str">
        <f t="shared" si="25"/>
        <v/>
      </c>
    </row>
    <row r="32" spans="2:43" x14ac:dyDescent="0.35">
      <c r="B32" s="17"/>
      <c r="C32" s="200">
        <v>20541235150</v>
      </c>
      <c r="D32" s="201" t="s">
        <v>369</v>
      </c>
      <c r="F32" s="148">
        <v>4516</v>
      </c>
      <c r="G32" s="148">
        <v>3223</v>
      </c>
      <c r="H32" s="148">
        <v>26858</v>
      </c>
      <c r="I32" s="148">
        <v>4029</v>
      </c>
      <c r="J32" s="148"/>
      <c r="K32" s="148"/>
      <c r="L32" s="148"/>
      <c r="M32" s="148"/>
      <c r="N32" s="148"/>
      <c r="O32" s="148"/>
      <c r="P32" s="148"/>
      <c r="Q32" s="148"/>
      <c r="S32" s="148">
        <v>21344</v>
      </c>
      <c r="T32" s="148">
        <v>17943</v>
      </c>
      <c r="U32" s="148">
        <v>107968</v>
      </c>
      <c r="V32" s="148">
        <v>18841</v>
      </c>
      <c r="W32" s="148"/>
      <c r="X32" s="148"/>
      <c r="Y32" s="148"/>
      <c r="Z32" s="148"/>
      <c r="AA32" s="148"/>
      <c r="AB32" s="148"/>
      <c r="AC32" s="148"/>
      <c r="AD32" s="148"/>
      <c r="AF32" s="149">
        <f t="shared" si="14"/>
        <v>0.21158170914542729</v>
      </c>
      <c r="AG32" s="149">
        <f t="shared" si="15"/>
        <v>0.17962436604804102</v>
      </c>
      <c r="AH32" s="149">
        <f t="shared" si="16"/>
        <v>0.24875889152341435</v>
      </c>
      <c r="AI32" s="189">
        <f t="shared" si="17"/>
        <v>0.21384215275197707</v>
      </c>
      <c r="AJ32" s="189" t="str">
        <f t="shared" si="18"/>
        <v/>
      </c>
      <c r="AK32" s="189" t="str">
        <f t="shared" si="19"/>
        <v/>
      </c>
      <c r="AL32" s="149" t="str">
        <f t="shared" si="20"/>
        <v/>
      </c>
      <c r="AM32" s="149" t="str">
        <f t="shared" si="21"/>
        <v/>
      </c>
      <c r="AN32" s="149" t="str">
        <f t="shared" si="22"/>
        <v/>
      </c>
      <c r="AO32" s="149" t="str">
        <f t="shared" si="23"/>
        <v/>
      </c>
      <c r="AP32" s="149" t="str">
        <f t="shared" si="24"/>
        <v/>
      </c>
      <c r="AQ32" s="149" t="str">
        <f t="shared" si="25"/>
        <v/>
      </c>
    </row>
    <row r="33" spans="2:43" x14ac:dyDescent="0.35">
      <c r="B33" s="17"/>
      <c r="C33" s="200">
        <v>20263809441</v>
      </c>
      <c r="D33" s="201" t="s">
        <v>370</v>
      </c>
      <c r="F33" s="148">
        <v>46766</v>
      </c>
      <c r="G33" s="148">
        <v>44772</v>
      </c>
      <c r="H33" s="148">
        <v>54630</v>
      </c>
      <c r="I33" s="148">
        <v>46660</v>
      </c>
      <c r="J33" s="148"/>
      <c r="K33" s="148"/>
      <c r="L33" s="148"/>
      <c r="M33" s="148"/>
      <c r="N33" s="148"/>
      <c r="O33" s="148"/>
      <c r="P33" s="148"/>
      <c r="Q33" s="148"/>
      <c r="S33" s="148">
        <v>293796</v>
      </c>
      <c r="T33" s="148">
        <v>300113</v>
      </c>
      <c r="U33" s="148">
        <v>323010</v>
      </c>
      <c r="V33" s="148">
        <v>311416</v>
      </c>
      <c r="W33" s="148"/>
      <c r="X33" s="148"/>
      <c r="Y33" s="148"/>
      <c r="Z33" s="148"/>
      <c r="AA33" s="148"/>
      <c r="AB33" s="148"/>
      <c r="AC33" s="148"/>
      <c r="AD33" s="148"/>
      <c r="AF33" s="149">
        <f t="shared" si="14"/>
        <v>0.15917847758308487</v>
      </c>
      <c r="AG33" s="149">
        <f t="shared" si="15"/>
        <v>0.14918380743253373</v>
      </c>
      <c r="AH33" s="149">
        <f t="shared" si="16"/>
        <v>0.16912789077737531</v>
      </c>
      <c r="AI33" s="189">
        <f t="shared" si="17"/>
        <v>0.149831736326971</v>
      </c>
      <c r="AJ33" s="189" t="str">
        <f t="shared" si="18"/>
        <v/>
      </c>
      <c r="AK33" s="189" t="str">
        <f t="shared" si="19"/>
        <v/>
      </c>
      <c r="AL33" s="149" t="str">
        <f t="shared" si="20"/>
        <v/>
      </c>
      <c r="AM33" s="149" t="str">
        <f t="shared" si="21"/>
        <v/>
      </c>
      <c r="AN33" s="149" t="str">
        <f t="shared" si="22"/>
        <v/>
      </c>
      <c r="AO33" s="149" t="str">
        <f t="shared" si="23"/>
        <v/>
      </c>
      <c r="AP33" s="149" t="str">
        <f t="shared" si="24"/>
        <v/>
      </c>
      <c r="AQ33" s="149" t="str">
        <f t="shared" si="25"/>
        <v/>
      </c>
    </row>
    <row r="34" spans="2:43" x14ac:dyDescent="0.35">
      <c r="B34" s="17"/>
      <c r="C34" s="200">
        <v>20153395943</v>
      </c>
      <c r="D34" s="201" t="s">
        <v>371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F34" s="149" t="str">
        <f t="shared" si="14"/>
        <v/>
      </c>
      <c r="AG34" s="149" t="str">
        <f t="shared" si="15"/>
        <v/>
      </c>
      <c r="AH34" s="149" t="str">
        <f t="shared" si="16"/>
        <v/>
      </c>
      <c r="AI34" s="189" t="str">
        <f t="shared" si="17"/>
        <v/>
      </c>
      <c r="AJ34" s="189" t="str">
        <f t="shared" si="18"/>
        <v/>
      </c>
      <c r="AK34" s="189" t="str">
        <f t="shared" si="19"/>
        <v/>
      </c>
      <c r="AL34" s="149" t="str">
        <f t="shared" si="20"/>
        <v/>
      </c>
      <c r="AM34" s="149" t="str">
        <f t="shared" si="21"/>
        <v/>
      </c>
      <c r="AN34" s="149" t="str">
        <f t="shared" si="22"/>
        <v/>
      </c>
      <c r="AO34" s="149" t="str">
        <f t="shared" si="23"/>
        <v/>
      </c>
      <c r="AP34" s="149" t="str">
        <f t="shared" si="24"/>
        <v/>
      </c>
      <c r="AQ34" s="149" t="str">
        <f t="shared" si="25"/>
        <v/>
      </c>
    </row>
    <row r="35" spans="2:43" x14ac:dyDescent="0.35">
      <c r="B35" s="17"/>
      <c r="C35" s="200">
        <v>20100205492</v>
      </c>
      <c r="D35" s="201" t="s">
        <v>372</v>
      </c>
      <c r="F35" s="148">
        <v>26607</v>
      </c>
      <c r="G35" s="148">
        <v>25694</v>
      </c>
      <c r="H35" s="148">
        <v>32576</v>
      </c>
      <c r="I35" s="148">
        <v>26678</v>
      </c>
      <c r="J35" s="148"/>
      <c r="K35" s="148"/>
      <c r="L35" s="148"/>
      <c r="M35" s="148"/>
      <c r="N35" s="148"/>
      <c r="O35" s="148"/>
      <c r="P35" s="148"/>
      <c r="Q35" s="148"/>
      <c r="S35" s="148">
        <v>175056</v>
      </c>
      <c r="T35" s="148">
        <v>168177</v>
      </c>
      <c r="U35" s="148">
        <v>199810</v>
      </c>
      <c r="V35" s="148">
        <v>173706</v>
      </c>
      <c r="W35" s="148"/>
      <c r="X35" s="148"/>
      <c r="Y35" s="148"/>
      <c r="Z35" s="148"/>
      <c r="AA35" s="148"/>
      <c r="AB35" s="148"/>
      <c r="AC35" s="148"/>
      <c r="AD35" s="148"/>
      <c r="AF35" s="149">
        <f t="shared" si="14"/>
        <v>0.15199136276391556</v>
      </c>
      <c r="AG35" s="149">
        <f t="shared" si="15"/>
        <v>0.1527795120616969</v>
      </c>
      <c r="AH35" s="149">
        <f t="shared" si="16"/>
        <v>0.16303488313898204</v>
      </c>
      <c r="AI35" s="189">
        <f t="shared" si="17"/>
        <v>0.15358133858358375</v>
      </c>
      <c r="AJ35" s="189" t="str">
        <f t="shared" si="18"/>
        <v/>
      </c>
      <c r="AK35" s="189" t="str">
        <f t="shared" si="19"/>
        <v/>
      </c>
      <c r="AL35" s="149" t="str">
        <f t="shared" si="20"/>
        <v/>
      </c>
      <c r="AM35" s="149" t="str">
        <f t="shared" si="21"/>
        <v/>
      </c>
      <c r="AN35" s="149" t="str">
        <f t="shared" si="22"/>
        <v/>
      </c>
      <c r="AO35" s="149" t="str">
        <f t="shared" si="23"/>
        <v/>
      </c>
      <c r="AP35" s="149" t="str">
        <f t="shared" si="24"/>
        <v/>
      </c>
      <c r="AQ35" s="149" t="str">
        <f t="shared" si="25"/>
        <v/>
      </c>
    </row>
    <row r="36" spans="2:43" x14ac:dyDescent="0.35">
      <c r="B36" s="17"/>
      <c r="C36" s="200">
        <v>20119873542</v>
      </c>
      <c r="D36" s="201" t="s">
        <v>373</v>
      </c>
      <c r="F36" s="148">
        <v>23127</v>
      </c>
      <c r="G36" s="148">
        <v>25429</v>
      </c>
      <c r="H36" s="148">
        <v>29072</v>
      </c>
      <c r="I36" s="148">
        <v>21757</v>
      </c>
      <c r="J36" s="148"/>
      <c r="K36" s="148"/>
      <c r="L36" s="148"/>
      <c r="M36" s="148"/>
      <c r="N36" s="148"/>
      <c r="O36" s="148"/>
      <c r="P36" s="148"/>
      <c r="Q36" s="148"/>
      <c r="S36" s="148">
        <v>141780</v>
      </c>
      <c r="T36" s="148">
        <v>139109</v>
      </c>
      <c r="U36" s="148">
        <v>161173</v>
      </c>
      <c r="V36" s="148">
        <v>138382</v>
      </c>
      <c r="W36" s="148"/>
      <c r="X36" s="148"/>
      <c r="Y36" s="148"/>
      <c r="Z36" s="148"/>
      <c r="AA36" s="148"/>
      <c r="AB36" s="148"/>
      <c r="AC36" s="148"/>
      <c r="AD36" s="148"/>
      <c r="AF36" s="149">
        <f t="shared" si="14"/>
        <v>0.16311891663140077</v>
      </c>
      <c r="AG36" s="149">
        <f t="shared" si="15"/>
        <v>0.18279909998634164</v>
      </c>
      <c r="AH36" s="149">
        <f t="shared" si="16"/>
        <v>0.18037760667109257</v>
      </c>
      <c r="AI36" s="189">
        <f t="shared" si="17"/>
        <v>0.15722420546024771</v>
      </c>
      <c r="AJ36" s="189" t="str">
        <f t="shared" si="18"/>
        <v/>
      </c>
      <c r="AK36" s="189" t="str">
        <f t="shared" si="19"/>
        <v/>
      </c>
      <c r="AL36" s="149" t="str">
        <f t="shared" si="20"/>
        <v/>
      </c>
      <c r="AM36" s="149" t="str">
        <f t="shared" si="21"/>
        <v/>
      </c>
      <c r="AN36" s="149" t="str">
        <f t="shared" si="22"/>
        <v/>
      </c>
      <c r="AO36" s="149" t="str">
        <f t="shared" si="23"/>
        <v/>
      </c>
      <c r="AP36" s="149" t="str">
        <f t="shared" si="24"/>
        <v/>
      </c>
      <c r="AQ36" s="149" t="str">
        <f t="shared" si="25"/>
        <v/>
      </c>
    </row>
    <row r="37" spans="2:43" x14ac:dyDescent="0.35">
      <c r="B37" s="17"/>
      <c r="C37" s="200">
        <v>20608280333</v>
      </c>
      <c r="D37" s="201" t="s">
        <v>374</v>
      </c>
      <c r="F37" s="148">
        <v>2862804</v>
      </c>
      <c r="G37" s="148">
        <v>2935538</v>
      </c>
      <c r="H37" s="148">
        <v>2363976</v>
      </c>
      <c r="I37" s="148">
        <v>3108025</v>
      </c>
      <c r="J37" s="148"/>
      <c r="K37" s="148"/>
      <c r="L37" s="148"/>
      <c r="M37" s="148"/>
      <c r="N37" s="148"/>
      <c r="O37" s="148"/>
      <c r="P37" s="148"/>
      <c r="Q37" s="148"/>
      <c r="S37" s="148">
        <v>21609532</v>
      </c>
      <c r="T37" s="148">
        <v>22172871</v>
      </c>
      <c r="U37" s="148">
        <v>17965206</v>
      </c>
      <c r="V37" s="148">
        <v>23567718</v>
      </c>
      <c r="W37" s="148"/>
      <c r="X37" s="148"/>
      <c r="Y37" s="148"/>
      <c r="Z37" s="148"/>
      <c r="AA37" s="148"/>
      <c r="AB37" s="148"/>
      <c r="AC37" s="148"/>
      <c r="AD37" s="148"/>
      <c r="AF37" s="149">
        <f t="shared" si="14"/>
        <v>0.13247875983616861</v>
      </c>
      <c r="AG37" s="149">
        <f t="shared" si="15"/>
        <v>0.13239322954614222</v>
      </c>
      <c r="AH37" s="149">
        <f t="shared" si="16"/>
        <v>0.13158635642697333</v>
      </c>
      <c r="AI37" s="189">
        <f t="shared" si="17"/>
        <v>0.13187636579833481</v>
      </c>
      <c r="AJ37" s="189" t="str">
        <f t="shared" si="18"/>
        <v/>
      </c>
      <c r="AK37" s="189" t="str">
        <f t="shared" si="19"/>
        <v/>
      </c>
      <c r="AL37" s="149" t="str">
        <f t="shared" si="20"/>
        <v/>
      </c>
      <c r="AM37" s="149" t="str">
        <f t="shared" si="21"/>
        <v/>
      </c>
      <c r="AN37" s="149" t="str">
        <f t="shared" si="22"/>
        <v/>
      </c>
      <c r="AO37" s="149" t="str">
        <f t="shared" si="23"/>
        <v/>
      </c>
      <c r="AP37" s="149" t="str">
        <f t="shared" si="24"/>
        <v/>
      </c>
      <c r="AQ37" s="149" t="str">
        <f t="shared" si="25"/>
        <v/>
      </c>
    </row>
    <row r="38" spans="2:43" x14ac:dyDescent="0.35">
      <c r="B38" s="17"/>
      <c r="C38" s="200">
        <v>20608438611</v>
      </c>
      <c r="D38" s="201" t="s">
        <v>375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F38" s="149" t="str">
        <f t="shared" si="14"/>
        <v/>
      </c>
      <c r="AG38" s="149" t="str">
        <f t="shared" si="15"/>
        <v/>
      </c>
      <c r="AH38" s="149" t="str">
        <f t="shared" si="16"/>
        <v/>
      </c>
      <c r="AI38" s="189" t="str">
        <f t="shared" si="17"/>
        <v/>
      </c>
      <c r="AJ38" s="189" t="str">
        <f t="shared" si="18"/>
        <v/>
      </c>
      <c r="AK38" s="189" t="str">
        <f t="shared" si="19"/>
        <v/>
      </c>
      <c r="AL38" s="149" t="str">
        <f t="shared" si="20"/>
        <v/>
      </c>
      <c r="AM38" s="149" t="str">
        <f t="shared" si="21"/>
        <v/>
      </c>
      <c r="AN38" s="149" t="str">
        <f t="shared" si="22"/>
        <v/>
      </c>
      <c r="AO38" s="149" t="str">
        <f t="shared" si="23"/>
        <v/>
      </c>
      <c r="AP38" s="149" t="str">
        <f t="shared" si="24"/>
        <v/>
      </c>
      <c r="AQ38" s="149" t="str">
        <f t="shared" si="25"/>
        <v/>
      </c>
    </row>
    <row r="39" spans="2:43" x14ac:dyDescent="0.35">
      <c r="B39" s="17"/>
      <c r="C39" s="200">
        <v>20532795118</v>
      </c>
      <c r="D39" s="201" t="s">
        <v>376</v>
      </c>
      <c r="F39" s="198">
        <v>3653</v>
      </c>
      <c r="G39" s="148"/>
      <c r="H39" s="148">
        <v>7584</v>
      </c>
      <c r="I39" s="148"/>
      <c r="J39" s="148"/>
      <c r="K39" s="148"/>
      <c r="L39" s="148"/>
      <c r="M39" s="148"/>
      <c r="N39" s="148"/>
      <c r="O39" s="148"/>
      <c r="P39" s="148"/>
      <c r="Q39" s="148"/>
      <c r="S39" s="148">
        <v>19268</v>
      </c>
      <c r="T39" s="148"/>
      <c r="U39" s="148">
        <v>31312</v>
      </c>
      <c r="V39" s="148"/>
      <c r="W39" s="148"/>
      <c r="X39" s="148"/>
      <c r="Y39" s="148"/>
      <c r="Z39" s="148"/>
      <c r="AA39" s="148"/>
      <c r="AB39" s="148"/>
      <c r="AC39" s="148"/>
      <c r="AD39" s="148"/>
      <c r="AF39" s="149">
        <f t="shared" si="14"/>
        <v>0.18958895578160681</v>
      </c>
      <c r="AG39" s="149" t="str">
        <f t="shared" si="15"/>
        <v/>
      </c>
      <c r="AH39" s="149">
        <f t="shared" si="16"/>
        <v>0.24220746039856925</v>
      </c>
      <c r="AI39" s="189" t="str">
        <f t="shared" si="17"/>
        <v/>
      </c>
      <c r="AJ39" s="189" t="str">
        <f t="shared" si="18"/>
        <v/>
      </c>
      <c r="AK39" s="189" t="str">
        <f t="shared" si="19"/>
        <v/>
      </c>
      <c r="AL39" s="149" t="str">
        <f t="shared" si="20"/>
        <v/>
      </c>
      <c r="AM39" s="149" t="str">
        <f t="shared" si="21"/>
        <v/>
      </c>
      <c r="AN39" s="149" t="str">
        <f t="shared" si="22"/>
        <v/>
      </c>
      <c r="AO39" s="149" t="str">
        <f t="shared" si="23"/>
        <v/>
      </c>
      <c r="AP39" s="149" t="str">
        <f t="shared" si="24"/>
        <v/>
      </c>
      <c r="AQ39" s="149" t="str">
        <f t="shared" si="25"/>
        <v/>
      </c>
    </row>
    <row r="40" spans="2:43" x14ac:dyDescent="0.35">
      <c r="B40" s="17"/>
      <c r="C40" s="200">
        <v>20563023369</v>
      </c>
      <c r="D40" s="201" t="s">
        <v>377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F40" s="149" t="str">
        <f t="shared" si="14"/>
        <v/>
      </c>
      <c r="AG40" s="149" t="str">
        <f t="shared" si="15"/>
        <v/>
      </c>
      <c r="AH40" s="149" t="str">
        <f t="shared" si="16"/>
        <v/>
      </c>
      <c r="AI40" s="189" t="str">
        <f t="shared" si="17"/>
        <v/>
      </c>
      <c r="AJ40" s="189" t="str">
        <f t="shared" si="18"/>
        <v/>
      </c>
      <c r="AK40" s="189" t="str">
        <f t="shared" si="19"/>
        <v/>
      </c>
      <c r="AL40" s="149" t="str">
        <f t="shared" si="20"/>
        <v/>
      </c>
      <c r="AM40" s="149" t="str">
        <f t="shared" si="21"/>
        <v/>
      </c>
      <c r="AN40" s="149" t="str">
        <f t="shared" si="22"/>
        <v/>
      </c>
      <c r="AO40" s="149" t="str">
        <f t="shared" si="23"/>
        <v/>
      </c>
      <c r="AP40" s="149" t="str">
        <f t="shared" si="24"/>
        <v/>
      </c>
      <c r="AQ40" s="149" t="str">
        <f t="shared" si="25"/>
        <v/>
      </c>
    </row>
    <row r="41" spans="2:43" x14ac:dyDescent="0.35">
      <c r="B41" s="17"/>
      <c r="C41" s="200">
        <v>20447849047</v>
      </c>
      <c r="D41" s="201" t="s">
        <v>378</v>
      </c>
      <c r="F41" s="148">
        <v>10047</v>
      </c>
      <c r="G41" s="148">
        <v>12583</v>
      </c>
      <c r="H41" s="148">
        <v>10947</v>
      </c>
      <c r="I41" s="148">
        <v>10678</v>
      </c>
      <c r="J41" s="148"/>
      <c r="K41" s="148"/>
      <c r="L41" s="148"/>
      <c r="M41" s="148"/>
      <c r="N41" s="148"/>
      <c r="O41" s="148"/>
      <c r="P41" s="148"/>
      <c r="Q41" s="148"/>
      <c r="S41" s="148">
        <v>42117</v>
      </c>
      <c r="T41" s="148">
        <v>42329</v>
      </c>
      <c r="U41" s="148">
        <v>45286</v>
      </c>
      <c r="V41" s="148">
        <v>38722</v>
      </c>
      <c r="W41" s="148"/>
      <c r="X41" s="148"/>
      <c r="Y41" s="148"/>
      <c r="Z41" s="148"/>
      <c r="AA41" s="148"/>
      <c r="AB41" s="148"/>
      <c r="AC41" s="148"/>
      <c r="AD41" s="148"/>
      <c r="AF41" s="149">
        <f t="shared" si="14"/>
        <v>0.23854975425600114</v>
      </c>
      <c r="AG41" s="149">
        <f t="shared" si="15"/>
        <v>0.29726664934205865</v>
      </c>
      <c r="AH41" s="149">
        <f t="shared" si="16"/>
        <v>0.24173033608620767</v>
      </c>
      <c r="AI41" s="189">
        <f t="shared" si="17"/>
        <v>0.27576054955839058</v>
      </c>
      <c r="AJ41" s="189" t="str">
        <f t="shared" si="18"/>
        <v/>
      </c>
      <c r="AK41" s="189" t="str">
        <f t="shared" si="19"/>
        <v/>
      </c>
      <c r="AL41" s="149" t="str">
        <f t="shared" si="20"/>
        <v/>
      </c>
      <c r="AM41" s="149" t="str">
        <f t="shared" si="21"/>
        <v/>
      </c>
      <c r="AN41" s="149" t="str">
        <f t="shared" si="22"/>
        <v/>
      </c>
      <c r="AO41" s="149" t="str">
        <f t="shared" si="23"/>
        <v/>
      </c>
      <c r="AP41" s="149" t="str">
        <f t="shared" si="24"/>
        <v/>
      </c>
      <c r="AQ41" s="149" t="str">
        <f t="shared" si="25"/>
        <v/>
      </c>
    </row>
    <row r="42" spans="2:43" x14ac:dyDescent="0.35">
      <c r="B42" s="17"/>
      <c r="C42" s="200">
        <v>20450752496</v>
      </c>
      <c r="D42" s="201" t="s">
        <v>379</v>
      </c>
      <c r="F42" s="198">
        <v>47606</v>
      </c>
      <c r="G42" s="148"/>
      <c r="H42" s="148">
        <v>61215</v>
      </c>
      <c r="I42" s="148"/>
      <c r="J42" s="148"/>
      <c r="K42" s="148"/>
      <c r="L42" s="148"/>
      <c r="M42" s="148"/>
      <c r="N42" s="148"/>
      <c r="O42" s="148"/>
      <c r="P42" s="148"/>
      <c r="Q42" s="148"/>
      <c r="S42" s="148">
        <v>263279</v>
      </c>
      <c r="T42" s="148"/>
      <c r="U42" s="148">
        <v>287401</v>
      </c>
      <c r="V42" s="148"/>
      <c r="W42" s="148"/>
      <c r="X42" s="148"/>
      <c r="Y42" s="148"/>
      <c r="Z42" s="148"/>
      <c r="AA42" s="148"/>
      <c r="AB42" s="148"/>
      <c r="AC42" s="148"/>
      <c r="AD42" s="148"/>
      <c r="AF42" s="149">
        <f t="shared" si="14"/>
        <v>0.1808195868261426</v>
      </c>
      <c r="AG42" s="149" t="str">
        <f t="shared" si="15"/>
        <v/>
      </c>
      <c r="AH42" s="149">
        <f t="shared" si="16"/>
        <v>0.21299508352441363</v>
      </c>
      <c r="AI42" s="189" t="str">
        <f t="shared" si="17"/>
        <v/>
      </c>
      <c r="AJ42" s="189" t="str">
        <f t="shared" si="18"/>
        <v/>
      </c>
      <c r="AK42" s="189" t="str">
        <f t="shared" si="19"/>
        <v/>
      </c>
      <c r="AL42" s="149" t="str">
        <f t="shared" si="20"/>
        <v/>
      </c>
      <c r="AM42" s="149" t="str">
        <f t="shared" si="21"/>
        <v/>
      </c>
      <c r="AN42" s="149" t="str">
        <f t="shared" si="22"/>
        <v/>
      </c>
      <c r="AO42" s="149" t="str">
        <f t="shared" si="23"/>
        <v/>
      </c>
      <c r="AP42" s="149" t="str">
        <f t="shared" si="24"/>
        <v/>
      </c>
      <c r="AQ42" s="149" t="str">
        <f t="shared" si="25"/>
        <v/>
      </c>
    </row>
    <row r="43" spans="2:43" x14ac:dyDescent="0.35">
      <c r="B43" s="17"/>
      <c r="C43" s="200">
        <v>20558679761</v>
      </c>
      <c r="D43" s="201" t="s">
        <v>380</v>
      </c>
      <c r="F43" s="148">
        <v>3879</v>
      </c>
      <c r="G43" s="148"/>
      <c r="H43" s="148">
        <v>8745</v>
      </c>
      <c r="I43" s="148"/>
      <c r="J43" s="148"/>
      <c r="K43" s="148"/>
      <c r="L43" s="148"/>
      <c r="M43" s="148"/>
      <c r="N43" s="148"/>
      <c r="O43" s="148"/>
      <c r="P43" s="148"/>
      <c r="Q43" s="148"/>
      <c r="S43" s="148">
        <v>23279</v>
      </c>
      <c r="T43" s="148"/>
      <c r="U43" s="148">
        <v>40742</v>
      </c>
      <c r="V43" s="148"/>
      <c r="W43" s="148"/>
      <c r="X43" s="148"/>
      <c r="Y43" s="148"/>
      <c r="Z43" s="148"/>
      <c r="AA43" s="148"/>
      <c r="AB43" s="148"/>
      <c r="AC43" s="148"/>
      <c r="AD43" s="148"/>
      <c r="AF43" s="149">
        <f t="shared" si="14"/>
        <v>0.16663086902358348</v>
      </c>
      <c r="AG43" s="149" t="str">
        <f t="shared" si="15"/>
        <v/>
      </c>
      <c r="AH43" s="149">
        <f t="shared" si="16"/>
        <v>0.21464336556870062</v>
      </c>
      <c r="AI43" s="189" t="str">
        <f t="shared" si="17"/>
        <v/>
      </c>
      <c r="AJ43" s="189" t="str">
        <f t="shared" si="18"/>
        <v/>
      </c>
      <c r="AK43" s="189" t="str">
        <f t="shared" si="19"/>
        <v/>
      </c>
      <c r="AL43" s="149" t="str">
        <f t="shared" si="20"/>
        <v/>
      </c>
      <c r="AM43" s="149" t="str">
        <f t="shared" si="21"/>
        <v/>
      </c>
      <c r="AN43" s="149" t="str">
        <f t="shared" si="22"/>
        <v/>
      </c>
      <c r="AO43" s="149" t="str">
        <f t="shared" si="23"/>
        <v/>
      </c>
      <c r="AP43" s="149" t="str">
        <f t="shared" si="24"/>
        <v/>
      </c>
      <c r="AQ43" s="149" t="str">
        <f t="shared" si="25"/>
        <v/>
      </c>
    </row>
    <row r="44" spans="2:43" x14ac:dyDescent="0.35">
      <c r="B44" s="17"/>
      <c r="C44" s="184">
        <v>20601162050</v>
      </c>
      <c r="D44" s="201" t="s">
        <v>381</v>
      </c>
      <c r="F44" s="148">
        <v>30371</v>
      </c>
      <c r="G44" s="148">
        <v>22601</v>
      </c>
      <c r="H44" s="148">
        <v>7187</v>
      </c>
      <c r="I44" s="148">
        <v>29221</v>
      </c>
      <c r="J44" s="148"/>
      <c r="K44" s="148"/>
      <c r="L44" s="148"/>
      <c r="M44" s="148"/>
      <c r="N44" s="148"/>
      <c r="O44" s="148"/>
      <c r="P44" s="148"/>
      <c r="Q44" s="148"/>
      <c r="S44" s="148">
        <v>136846</v>
      </c>
      <c r="T44" s="148">
        <v>124337</v>
      </c>
      <c r="U44" s="148">
        <v>46965</v>
      </c>
      <c r="V44" s="148">
        <v>152650</v>
      </c>
      <c r="W44" s="148"/>
      <c r="X44" s="148"/>
      <c r="Y44" s="148"/>
      <c r="Z44" s="148"/>
      <c r="AA44" s="148"/>
      <c r="AB44" s="148"/>
      <c r="AC44" s="148"/>
      <c r="AD44" s="148"/>
      <c r="AF44" s="149">
        <f t="shared" si="14"/>
        <v>0.22193560644812416</v>
      </c>
      <c r="AG44" s="149">
        <f t="shared" si="15"/>
        <v>0.18177211932087795</v>
      </c>
      <c r="AH44" s="149">
        <f t="shared" si="16"/>
        <v>0.15302885127222399</v>
      </c>
      <c r="AI44" s="189">
        <f t="shared" si="17"/>
        <v>0.1914248280379954</v>
      </c>
      <c r="AJ44" s="189" t="str">
        <f t="shared" si="18"/>
        <v/>
      </c>
      <c r="AK44" s="189" t="str">
        <f t="shared" si="19"/>
        <v/>
      </c>
      <c r="AL44" s="149" t="str">
        <f t="shared" si="20"/>
        <v/>
      </c>
      <c r="AM44" s="149" t="str">
        <f t="shared" si="21"/>
        <v/>
      </c>
      <c r="AN44" s="149" t="str">
        <f t="shared" si="22"/>
        <v/>
      </c>
      <c r="AO44" s="149" t="str">
        <f t="shared" si="23"/>
        <v/>
      </c>
      <c r="AP44" s="149" t="str">
        <f t="shared" si="24"/>
        <v/>
      </c>
      <c r="AQ44" s="149" t="str">
        <f t="shared" si="25"/>
        <v/>
      </c>
    </row>
    <row r="45" spans="2:43" x14ac:dyDescent="0.35">
      <c r="B45" s="14" t="s">
        <v>382</v>
      </c>
      <c r="C45" s="182"/>
      <c r="D45" s="14"/>
      <c r="F45" s="150">
        <f t="shared" ref="F45:Q45" si="26">+SUM(F26:F44)</f>
        <v>21771724</v>
      </c>
      <c r="G45" s="150">
        <f t="shared" si="26"/>
        <v>21733572</v>
      </c>
      <c r="H45" s="150">
        <f t="shared" si="26"/>
        <v>23852708</v>
      </c>
      <c r="I45" s="150">
        <f t="shared" si="26"/>
        <v>20616336</v>
      </c>
      <c r="J45" s="150">
        <f t="shared" si="26"/>
        <v>0</v>
      </c>
      <c r="K45" s="150">
        <f t="shared" si="26"/>
        <v>0</v>
      </c>
      <c r="L45" s="150">
        <f t="shared" si="26"/>
        <v>0</v>
      </c>
      <c r="M45" s="150">
        <f t="shared" si="26"/>
        <v>0</v>
      </c>
      <c r="N45" s="150">
        <f t="shared" si="26"/>
        <v>0</v>
      </c>
      <c r="O45" s="150">
        <f t="shared" si="26"/>
        <v>0</v>
      </c>
      <c r="P45" s="150">
        <f t="shared" si="26"/>
        <v>0</v>
      </c>
      <c r="Q45" s="150">
        <f t="shared" si="26"/>
        <v>0</v>
      </c>
      <c r="S45" s="150">
        <f t="shared" ref="S45:AD45" si="27">+SUM(S26:S44)</f>
        <v>206515751</v>
      </c>
      <c r="T45" s="150">
        <f t="shared" si="27"/>
        <v>212947509</v>
      </c>
      <c r="U45" s="150">
        <f t="shared" si="27"/>
        <v>237919777</v>
      </c>
      <c r="V45" s="150">
        <f t="shared" si="27"/>
        <v>229589328</v>
      </c>
      <c r="W45" s="150">
        <f t="shared" si="27"/>
        <v>0</v>
      </c>
      <c r="X45" s="150">
        <f t="shared" si="27"/>
        <v>0</v>
      </c>
      <c r="Y45" s="150">
        <f t="shared" si="27"/>
        <v>0</v>
      </c>
      <c r="Z45" s="150">
        <f t="shared" si="27"/>
        <v>0</v>
      </c>
      <c r="AA45" s="150">
        <f t="shared" si="27"/>
        <v>0</v>
      </c>
      <c r="AB45" s="150">
        <f t="shared" si="27"/>
        <v>0</v>
      </c>
      <c r="AC45" s="150">
        <f t="shared" si="27"/>
        <v>0</v>
      </c>
      <c r="AD45" s="150">
        <f t="shared" si="27"/>
        <v>0</v>
      </c>
      <c r="AF45" s="151">
        <f t="shared" si="14"/>
        <v>0.10542403615499527</v>
      </c>
      <c r="AG45" s="151">
        <f t="shared" si="15"/>
        <v>0.10206070078988339</v>
      </c>
      <c r="AH45" s="151">
        <f t="shared" si="16"/>
        <v>0.1002552553670223</v>
      </c>
      <c r="AI45" s="190">
        <f t="shared" si="17"/>
        <v>8.9796578001221386E-2</v>
      </c>
      <c r="AJ45" s="190" t="str">
        <f t="shared" si="18"/>
        <v/>
      </c>
      <c r="AK45" s="190" t="str">
        <f t="shared" si="19"/>
        <v/>
      </c>
      <c r="AL45" s="151" t="str">
        <f t="shared" si="20"/>
        <v/>
      </c>
      <c r="AM45" s="151" t="str">
        <f t="shared" si="21"/>
        <v/>
      </c>
      <c r="AN45" s="151" t="str">
        <f t="shared" si="22"/>
        <v/>
      </c>
      <c r="AO45" s="151" t="str">
        <f t="shared" si="23"/>
        <v/>
      </c>
      <c r="AP45" s="151" t="str">
        <f t="shared" si="24"/>
        <v/>
      </c>
      <c r="AQ45" s="151" t="str">
        <f t="shared" si="25"/>
        <v/>
      </c>
    </row>
    <row r="46" spans="2:43" x14ac:dyDescent="0.35">
      <c r="AF46" s="149"/>
      <c r="AG46" s="149"/>
      <c r="AH46" s="149"/>
      <c r="AI46" s="189"/>
      <c r="AJ46" s="189"/>
      <c r="AK46" s="189"/>
      <c r="AL46" s="149"/>
      <c r="AM46" s="149"/>
      <c r="AN46" s="149"/>
      <c r="AO46" s="149"/>
    </row>
    <row r="47" spans="2:43" s="15" customFormat="1" x14ac:dyDescent="0.35">
      <c r="B47" s="16" t="s">
        <v>101</v>
      </c>
      <c r="C47" s="183">
        <v>20127765279</v>
      </c>
      <c r="D47" s="15" t="s">
        <v>383</v>
      </c>
      <c r="F47" s="154">
        <v>4026139</v>
      </c>
      <c r="G47" s="154">
        <v>4153154</v>
      </c>
      <c r="H47" s="154">
        <v>3896524</v>
      </c>
      <c r="I47" s="154">
        <v>5336942</v>
      </c>
      <c r="J47" s="154"/>
      <c r="K47" s="154"/>
      <c r="L47" s="154"/>
      <c r="M47" s="154"/>
      <c r="N47" s="154"/>
      <c r="O47" s="154"/>
      <c r="P47" s="154"/>
      <c r="Q47" s="154"/>
      <c r="S47" s="154">
        <v>29174792</v>
      </c>
      <c r="T47" s="154">
        <v>29730178</v>
      </c>
      <c r="U47" s="154">
        <v>28513381</v>
      </c>
      <c r="V47" s="154">
        <v>37649310</v>
      </c>
      <c r="W47" s="154"/>
      <c r="X47" s="154"/>
      <c r="Y47" s="154"/>
      <c r="Z47" s="154"/>
      <c r="AA47" s="154"/>
      <c r="AB47" s="154"/>
      <c r="AC47" s="154"/>
      <c r="AD47" s="154"/>
      <c r="AF47" s="149">
        <f t="shared" ref="AF47:AF66" si="28">+IFERROR(F47/S47,"")</f>
        <v>0.1380006068252346</v>
      </c>
      <c r="AG47" s="149">
        <f t="shared" ref="AG47:AG66" si="29">+IFERROR(G47/T47,"")</f>
        <v>0.13969489183684</v>
      </c>
      <c r="AH47" s="149">
        <f t="shared" ref="AH47:AH66" si="30">+IFERROR(H47/U47,"")</f>
        <v>0.13665597916992026</v>
      </c>
      <c r="AI47" s="189">
        <f t="shared" ref="AI47:AI66" si="31">+IFERROR(I47/V47,"")</f>
        <v>0.1417540454260649</v>
      </c>
      <c r="AJ47" s="193" t="str">
        <f t="shared" ref="AJ47:AJ66" si="32">+IFERROR(J47/W47,"")</f>
        <v/>
      </c>
      <c r="AK47" s="193" t="str">
        <f t="shared" ref="AK47:AK66" si="33">+IFERROR(K47/X47,"")</f>
        <v/>
      </c>
      <c r="AL47" s="194" t="str">
        <f t="shared" ref="AL47:AL66" si="34">+IFERROR(L47/Y47,"")</f>
        <v/>
      </c>
      <c r="AM47" s="149" t="str">
        <f t="shared" ref="AM47:AM66" si="35">+IFERROR(M47/Z47,"")</f>
        <v/>
      </c>
      <c r="AN47" s="149" t="str">
        <f t="shared" ref="AN47:AN66" si="36">+IFERROR(N47/AA47,"")</f>
        <v/>
      </c>
      <c r="AO47" s="149" t="str">
        <f t="shared" ref="AO47:AO66" si="37">+IFERROR(O47/AB47,"")</f>
        <v/>
      </c>
      <c r="AP47" s="149" t="str">
        <f t="shared" ref="AP47:AP66" si="38">+IFERROR(P47/AC47,"")</f>
        <v/>
      </c>
      <c r="AQ47" s="149" t="str">
        <f t="shared" ref="AQ47:AQ66" si="39">+IFERROR(Q47/AD47,"")</f>
        <v/>
      </c>
    </row>
    <row r="48" spans="2:43" x14ac:dyDescent="0.35">
      <c r="B48" s="17"/>
      <c r="C48" s="200">
        <v>20503840121</v>
      </c>
      <c r="D48" s="201" t="s">
        <v>384</v>
      </c>
      <c r="F48" s="148">
        <v>1301636</v>
      </c>
      <c r="G48" s="148">
        <v>1273553</v>
      </c>
      <c r="H48" s="148">
        <v>1605677</v>
      </c>
      <c r="I48" s="148">
        <v>1520860</v>
      </c>
      <c r="J48" s="148"/>
      <c r="K48" s="148"/>
      <c r="L48" s="148"/>
      <c r="M48" s="148"/>
      <c r="N48" s="148"/>
      <c r="O48" s="148"/>
      <c r="P48" s="148"/>
      <c r="Q48" s="148"/>
      <c r="S48" s="148">
        <v>10347212</v>
      </c>
      <c r="T48" s="148">
        <v>10756632</v>
      </c>
      <c r="U48" s="148">
        <v>12939379</v>
      </c>
      <c r="V48" s="148">
        <v>13839239</v>
      </c>
      <c r="W48" s="148"/>
      <c r="X48" s="148"/>
      <c r="Y48" s="148"/>
      <c r="Z48" s="148"/>
      <c r="AA48" s="148"/>
      <c r="AB48" s="148"/>
      <c r="AC48" s="148"/>
      <c r="AD48" s="148"/>
      <c r="AF48" s="149">
        <f t="shared" si="28"/>
        <v>0.12579581823586874</v>
      </c>
      <c r="AG48" s="149">
        <f t="shared" si="29"/>
        <v>0.11839700382052672</v>
      </c>
      <c r="AH48" s="149">
        <f t="shared" si="30"/>
        <v>0.12409227676227738</v>
      </c>
      <c r="AI48" s="189">
        <f t="shared" si="31"/>
        <v>0.10989477094802684</v>
      </c>
      <c r="AJ48" s="189" t="str">
        <f t="shared" si="32"/>
        <v/>
      </c>
      <c r="AK48" s="189" t="str">
        <f t="shared" si="33"/>
        <v/>
      </c>
      <c r="AL48" s="149" t="str">
        <f t="shared" si="34"/>
        <v/>
      </c>
      <c r="AM48" s="149" t="str">
        <f t="shared" si="35"/>
        <v/>
      </c>
      <c r="AN48" s="149" t="str">
        <f t="shared" si="36"/>
        <v/>
      </c>
      <c r="AO48" s="149" t="str">
        <f t="shared" si="37"/>
        <v/>
      </c>
      <c r="AP48" s="149" t="str">
        <f t="shared" si="38"/>
        <v/>
      </c>
      <c r="AQ48" s="149" t="str">
        <f t="shared" si="39"/>
        <v/>
      </c>
    </row>
    <row r="49" spans="2:43" x14ac:dyDescent="0.35">
      <c r="B49" s="17"/>
      <c r="C49" s="200">
        <v>20377674686</v>
      </c>
      <c r="D49" s="201" t="s">
        <v>385</v>
      </c>
      <c r="F49" s="148">
        <v>77241</v>
      </c>
      <c r="G49" s="148">
        <v>70107</v>
      </c>
      <c r="H49" s="148">
        <v>326295</v>
      </c>
      <c r="I49" s="148">
        <v>138136</v>
      </c>
      <c r="J49" s="148"/>
      <c r="K49" s="148"/>
      <c r="L49" s="148"/>
      <c r="M49" s="148"/>
      <c r="N49" s="148"/>
      <c r="O49" s="148"/>
      <c r="P49" s="148"/>
      <c r="Q49" s="148"/>
      <c r="S49" s="148">
        <v>607946</v>
      </c>
      <c r="T49" s="148">
        <v>554800</v>
      </c>
      <c r="U49" s="148">
        <v>2428962</v>
      </c>
      <c r="V49" s="148">
        <v>990595</v>
      </c>
      <c r="W49" s="148"/>
      <c r="X49" s="148"/>
      <c r="Y49" s="148"/>
      <c r="Z49" s="148"/>
      <c r="AA49" s="148"/>
      <c r="AB49" s="148"/>
      <c r="AC49" s="148"/>
      <c r="AD49" s="148"/>
      <c r="AF49" s="149">
        <f t="shared" si="28"/>
        <v>0.12705240268050122</v>
      </c>
      <c r="AG49" s="149">
        <f t="shared" si="29"/>
        <v>0.1263644556596972</v>
      </c>
      <c r="AH49" s="149">
        <f t="shared" si="30"/>
        <v>0.13433516045125449</v>
      </c>
      <c r="AI49" s="189">
        <f t="shared" si="31"/>
        <v>0.13944750377298493</v>
      </c>
      <c r="AJ49" s="189" t="str">
        <f t="shared" si="32"/>
        <v/>
      </c>
      <c r="AK49" s="189" t="str">
        <f t="shared" si="33"/>
        <v/>
      </c>
      <c r="AL49" s="149" t="str">
        <f t="shared" si="34"/>
        <v/>
      </c>
      <c r="AM49" s="149" t="str">
        <f t="shared" si="35"/>
        <v/>
      </c>
      <c r="AN49" s="149" t="str">
        <f t="shared" si="36"/>
        <v/>
      </c>
      <c r="AO49" s="149" t="str">
        <f t="shared" si="37"/>
        <v/>
      </c>
      <c r="AP49" s="149" t="str">
        <f t="shared" si="38"/>
        <v/>
      </c>
      <c r="AQ49" s="149" t="str">
        <f t="shared" si="39"/>
        <v/>
      </c>
    </row>
    <row r="50" spans="2:43" x14ac:dyDescent="0.35">
      <c r="B50" s="17"/>
      <c r="C50" s="200">
        <v>20291490388</v>
      </c>
      <c r="D50" s="201" t="s">
        <v>386</v>
      </c>
      <c r="F50" s="148">
        <v>405222</v>
      </c>
      <c r="G50" s="148">
        <v>359822</v>
      </c>
      <c r="H50" s="148">
        <v>332309</v>
      </c>
      <c r="I50" s="148">
        <v>524385</v>
      </c>
      <c r="J50" s="148"/>
      <c r="K50" s="148"/>
      <c r="L50" s="148"/>
      <c r="M50" s="148"/>
      <c r="N50" s="148"/>
      <c r="O50" s="148"/>
      <c r="P50" s="148"/>
      <c r="Q50" s="148"/>
      <c r="S50" s="148">
        <v>2182334</v>
      </c>
      <c r="T50" s="148">
        <v>2297324</v>
      </c>
      <c r="U50" s="148">
        <v>2332291</v>
      </c>
      <c r="V50" s="148">
        <v>3360941</v>
      </c>
      <c r="W50" s="148"/>
      <c r="X50" s="148"/>
      <c r="Y50" s="148"/>
      <c r="Z50" s="148"/>
      <c r="AA50" s="148"/>
      <c r="AB50" s="148"/>
      <c r="AC50" s="148"/>
      <c r="AD50" s="148"/>
      <c r="AF50" s="149">
        <f t="shared" si="28"/>
        <v>0.18568285147919614</v>
      </c>
      <c r="AG50" s="149">
        <f t="shared" si="29"/>
        <v>0.15662657944634714</v>
      </c>
      <c r="AH50" s="149">
        <f t="shared" si="30"/>
        <v>0.14248179150886403</v>
      </c>
      <c r="AI50" s="189">
        <f t="shared" si="31"/>
        <v>0.15602326848343961</v>
      </c>
      <c r="AJ50" s="189" t="str">
        <f t="shared" si="32"/>
        <v/>
      </c>
      <c r="AK50" s="189" t="str">
        <f t="shared" si="33"/>
        <v/>
      </c>
      <c r="AL50" s="149" t="str">
        <f t="shared" si="34"/>
        <v/>
      </c>
      <c r="AM50" s="149" t="str">
        <f t="shared" si="35"/>
        <v/>
      </c>
      <c r="AN50" s="149" t="str">
        <f t="shared" si="36"/>
        <v/>
      </c>
      <c r="AO50" s="149" t="str">
        <f t="shared" si="37"/>
        <v/>
      </c>
      <c r="AP50" s="149" t="str">
        <f t="shared" si="38"/>
        <v/>
      </c>
      <c r="AQ50" s="149" t="str">
        <f t="shared" si="39"/>
        <v/>
      </c>
    </row>
    <row r="51" spans="2:43" x14ac:dyDescent="0.35">
      <c r="B51" s="17"/>
      <c r="C51" s="200">
        <v>20119207640</v>
      </c>
      <c r="D51" s="201" t="s">
        <v>387</v>
      </c>
      <c r="F51" s="148">
        <v>177984</v>
      </c>
      <c r="G51" s="148">
        <v>187899</v>
      </c>
      <c r="H51" s="148">
        <v>129821</v>
      </c>
      <c r="I51" s="148">
        <v>304107</v>
      </c>
      <c r="J51" s="148"/>
      <c r="K51" s="148"/>
      <c r="L51" s="148"/>
      <c r="M51" s="148"/>
      <c r="N51" s="148"/>
      <c r="O51" s="148"/>
      <c r="P51" s="148"/>
      <c r="Q51" s="148"/>
      <c r="S51" s="148">
        <v>1319976</v>
      </c>
      <c r="T51" s="148">
        <v>1265076</v>
      </c>
      <c r="U51" s="148">
        <v>727027</v>
      </c>
      <c r="V51" s="148">
        <v>1661198</v>
      </c>
      <c r="W51" s="148"/>
      <c r="X51" s="148"/>
      <c r="Y51" s="148"/>
      <c r="Z51" s="148"/>
      <c r="AA51" s="148"/>
      <c r="AB51" s="148"/>
      <c r="AC51" s="148"/>
      <c r="AD51" s="148"/>
      <c r="AF51" s="149">
        <f t="shared" si="28"/>
        <v>0.13483881525118638</v>
      </c>
      <c r="AG51" s="149">
        <f t="shared" si="29"/>
        <v>0.14852783548182086</v>
      </c>
      <c r="AH51" s="149">
        <f t="shared" si="30"/>
        <v>0.17856420738156906</v>
      </c>
      <c r="AI51" s="189">
        <f t="shared" si="31"/>
        <v>0.18306487245951417</v>
      </c>
      <c r="AJ51" s="189" t="str">
        <f t="shared" si="32"/>
        <v/>
      </c>
      <c r="AK51" s="189" t="str">
        <f t="shared" si="33"/>
        <v/>
      </c>
      <c r="AL51" s="149" t="str">
        <f t="shared" si="34"/>
        <v/>
      </c>
      <c r="AM51" s="149" t="str">
        <f t="shared" si="35"/>
        <v/>
      </c>
      <c r="AN51" s="149" t="str">
        <f t="shared" si="36"/>
        <v/>
      </c>
      <c r="AO51" s="149" t="str">
        <f t="shared" si="37"/>
        <v/>
      </c>
      <c r="AP51" s="149" t="str">
        <f t="shared" si="38"/>
        <v/>
      </c>
      <c r="AQ51" s="149" t="str">
        <f t="shared" si="39"/>
        <v/>
      </c>
    </row>
    <row r="52" spans="2:43" x14ac:dyDescent="0.35">
      <c r="B52" s="17"/>
      <c r="C52" s="200">
        <v>20506151547</v>
      </c>
      <c r="D52" s="201" t="s">
        <v>388</v>
      </c>
      <c r="F52" s="198">
        <v>143189</v>
      </c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S52" s="148">
        <v>880024</v>
      </c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F52" s="149">
        <f t="shared" si="28"/>
        <v>0.16271033517267711</v>
      </c>
      <c r="AG52" s="149" t="str">
        <f t="shared" si="29"/>
        <v/>
      </c>
      <c r="AH52" s="149" t="str">
        <f t="shared" si="30"/>
        <v/>
      </c>
      <c r="AI52" s="189" t="str">
        <f t="shared" si="31"/>
        <v/>
      </c>
      <c r="AJ52" s="189" t="str">
        <f t="shared" si="32"/>
        <v/>
      </c>
      <c r="AK52" s="189" t="str">
        <f t="shared" si="33"/>
        <v/>
      </c>
      <c r="AL52" s="149" t="str">
        <f t="shared" si="34"/>
        <v/>
      </c>
      <c r="AM52" s="149" t="str">
        <f t="shared" si="35"/>
        <v/>
      </c>
      <c r="AN52" s="149" t="str">
        <f t="shared" si="36"/>
        <v/>
      </c>
      <c r="AO52" s="149" t="str">
        <f t="shared" si="37"/>
        <v/>
      </c>
      <c r="AP52" s="149" t="str">
        <f t="shared" si="38"/>
        <v/>
      </c>
      <c r="AQ52" s="149" t="str">
        <f t="shared" si="39"/>
        <v/>
      </c>
    </row>
    <row r="53" spans="2:43" x14ac:dyDescent="0.35">
      <c r="B53" s="17"/>
      <c r="C53" s="200">
        <v>20275873480</v>
      </c>
      <c r="D53" s="201" t="s">
        <v>389</v>
      </c>
      <c r="F53" s="148">
        <v>246753</v>
      </c>
      <c r="G53" s="148">
        <v>194751</v>
      </c>
      <c r="H53" s="148">
        <v>204679</v>
      </c>
      <c r="I53" s="148">
        <v>286788</v>
      </c>
      <c r="J53" s="148"/>
      <c r="K53" s="148"/>
      <c r="L53" s="148"/>
      <c r="M53" s="148"/>
      <c r="N53" s="148"/>
      <c r="O53" s="148"/>
      <c r="P53" s="148"/>
      <c r="Q53" s="148"/>
      <c r="S53" s="148">
        <v>1160456</v>
      </c>
      <c r="T53" s="148">
        <v>1230604</v>
      </c>
      <c r="U53" s="148">
        <v>1423961</v>
      </c>
      <c r="V53" s="148">
        <v>1291098</v>
      </c>
      <c r="W53" s="148"/>
      <c r="X53" s="148"/>
      <c r="Y53" s="148"/>
      <c r="Z53" s="148"/>
      <c r="AA53" s="148"/>
      <c r="AB53" s="148"/>
      <c r="AC53" s="148"/>
      <c r="AD53" s="148"/>
      <c r="AF53" s="149">
        <f t="shared" si="28"/>
        <v>0.21263451608677969</v>
      </c>
      <c r="AG53" s="149">
        <f t="shared" si="29"/>
        <v>0.15825643342618748</v>
      </c>
      <c r="AH53" s="149">
        <f t="shared" si="30"/>
        <v>0.14373918948622891</v>
      </c>
      <c r="AI53" s="189">
        <f t="shared" si="31"/>
        <v>0.22212721265155705</v>
      </c>
      <c r="AJ53" s="189" t="str">
        <f t="shared" si="32"/>
        <v/>
      </c>
      <c r="AK53" s="189" t="str">
        <f t="shared" si="33"/>
        <v/>
      </c>
      <c r="AL53" s="149" t="str">
        <f t="shared" si="34"/>
        <v/>
      </c>
      <c r="AM53" s="149" t="str">
        <f t="shared" si="35"/>
        <v/>
      </c>
      <c r="AN53" s="149" t="str">
        <f t="shared" si="36"/>
        <v/>
      </c>
      <c r="AO53" s="149" t="str">
        <f t="shared" si="37"/>
        <v/>
      </c>
      <c r="AP53" s="149" t="str">
        <f t="shared" si="38"/>
        <v/>
      </c>
      <c r="AQ53" s="149" t="str">
        <f t="shared" si="39"/>
        <v/>
      </c>
    </row>
    <row r="54" spans="2:43" x14ac:dyDescent="0.35">
      <c r="B54" s="17"/>
      <c r="C54" s="200">
        <v>20609781051</v>
      </c>
      <c r="D54" s="201" t="s">
        <v>390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F54" s="149" t="str">
        <f t="shared" si="28"/>
        <v/>
      </c>
      <c r="AG54" s="149" t="str">
        <f t="shared" si="29"/>
        <v/>
      </c>
      <c r="AH54" s="149" t="str">
        <f t="shared" si="30"/>
        <v/>
      </c>
      <c r="AI54" s="189" t="str">
        <f t="shared" si="31"/>
        <v/>
      </c>
      <c r="AJ54" s="189" t="str">
        <f t="shared" si="32"/>
        <v/>
      </c>
      <c r="AK54" s="189" t="str">
        <f t="shared" si="33"/>
        <v/>
      </c>
      <c r="AL54" s="149" t="str">
        <f t="shared" si="34"/>
        <v/>
      </c>
      <c r="AM54" s="149" t="str">
        <f t="shared" si="35"/>
        <v/>
      </c>
      <c r="AN54" s="149" t="str">
        <f t="shared" si="36"/>
        <v/>
      </c>
      <c r="AO54" s="149" t="str">
        <f t="shared" si="37"/>
        <v/>
      </c>
      <c r="AP54" s="149" t="str">
        <f t="shared" si="38"/>
        <v/>
      </c>
      <c r="AQ54" s="149" t="str">
        <f t="shared" si="39"/>
        <v/>
      </c>
    </row>
    <row r="55" spans="2:43" x14ac:dyDescent="0.35">
      <c r="B55" s="17"/>
      <c r="C55" s="200">
        <v>20514606774</v>
      </c>
      <c r="D55" s="201" t="s">
        <v>391</v>
      </c>
      <c r="F55" s="198">
        <v>59053</v>
      </c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S55" s="148">
        <v>98940</v>
      </c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F55" s="149">
        <f t="shared" si="28"/>
        <v>0.59685668081665655</v>
      </c>
      <c r="AG55" s="149" t="str">
        <f t="shared" si="29"/>
        <v/>
      </c>
      <c r="AH55" s="149" t="str">
        <f t="shared" si="30"/>
        <v/>
      </c>
      <c r="AI55" s="189" t="str">
        <f t="shared" si="31"/>
        <v/>
      </c>
      <c r="AJ55" s="189" t="str">
        <f t="shared" si="32"/>
        <v/>
      </c>
      <c r="AK55" s="189" t="str">
        <f t="shared" si="33"/>
        <v/>
      </c>
      <c r="AL55" s="149" t="str">
        <f t="shared" si="34"/>
        <v/>
      </c>
      <c r="AM55" s="149" t="str">
        <f t="shared" si="35"/>
        <v/>
      </c>
      <c r="AN55" s="149" t="str">
        <f t="shared" si="36"/>
        <v/>
      </c>
      <c r="AO55" s="149" t="str">
        <f t="shared" si="37"/>
        <v/>
      </c>
      <c r="AP55" s="149" t="str">
        <f t="shared" si="38"/>
        <v/>
      </c>
      <c r="AQ55" s="149" t="str">
        <f t="shared" si="39"/>
        <v/>
      </c>
    </row>
    <row r="56" spans="2:43" x14ac:dyDescent="0.35">
      <c r="B56" s="17"/>
      <c r="C56" s="200">
        <v>20492197417</v>
      </c>
      <c r="D56" s="201" t="s">
        <v>392</v>
      </c>
      <c r="F56" s="198">
        <v>65518</v>
      </c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S56" s="148">
        <v>543333</v>
      </c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F56" s="149">
        <f t="shared" si="28"/>
        <v>0.120585350052362</v>
      </c>
      <c r="AG56" s="149" t="str">
        <f t="shared" si="29"/>
        <v/>
      </c>
      <c r="AH56" s="149" t="str">
        <f t="shared" si="30"/>
        <v/>
      </c>
      <c r="AI56" s="189" t="str">
        <f t="shared" si="31"/>
        <v/>
      </c>
      <c r="AJ56" s="189" t="str">
        <f t="shared" si="32"/>
        <v/>
      </c>
      <c r="AK56" s="189" t="str">
        <f t="shared" si="33"/>
        <v/>
      </c>
      <c r="AL56" s="149" t="str">
        <f t="shared" si="34"/>
        <v/>
      </c>
      <c r="AM56" s="149" t="str">
        <f t="shared" si="35"/>
        <v/>
      </c>
      <c r="AN56" s="149" t="str">
        <f t="shared" si="36"/>
        <v/>
      </c>
      <c r="AO56" s="149" t="str">
        <f t="shared" si="37"/>
        <v/>
      </c>
      <c r="AP56" s="149" t="str">
        <f t="shared" si="38"/>
        <v/>
      </c>
      <c r="AQ56" s="149" t="str">
        <f t="shared" si="39"/>
        <v/>
      </c>
    </row>
    <row r="57" spans="2:43" x14ac:dyDescent="0.35">
      <c r="B57" s="17"/>
      <c r="C57" s="200">
        <v>20101259448</v>
      </c>
      <c r="D57" s="201" t="s">
        <v>393</v>
      </c>
      <c r="F57" s="198">
        <v>72993</v>
      </c>
      <c r="G57" s="148">
        <v>50712</v>
      </c>
      <c r="H57" s="148">
        <v>75940</v>
      </c>
      <c r="I57" s="148">
        <v>54946</v>
      </c>
      <c r="J57" s="148"/>
      <c r="K57" s="148"/>
      <c r="L57" s="148"/>
      <c r="M57" s="148"/>
      <c r="N57" s="148"/>
      <c r="O57" s="148"/>
      <c r="P57" s="148"/>
      <c r="Q57" s="148"/>
      <c r="S57" s="148">
        <v>444639</v>
      </c>
      <c r="T57" s="148">
        <v>303188</v>
      </c>
      <c r="U57" s="148">
        <v>407434</v>
      </c>
      <c r="V57" s="148">
        <v>348145</v>
      </c>
      <c r="W57" s="148"/>
      <c r="X57" s="148"/>
      <c r="Y57" s="148"/>
      <c r="Z57" s="148"/>
      <c r="AA57" s="148"/>
      <c r="AB57" s="148"/>
      <c r="AC57" s="148"/>
      <c r="AD57" s="148"/>
      <c r="AF57" s="149">
        <f t="shared" si="28"/>
        <v>0.16416238791469034</v>
      </c>
      <c r="AG57" s="149">
        <f t="shared" si="29"/>
        <v>0.16726255656556327</v>
      </c>
      <c r="AH57" s="149">
        <f t="shared" si="30"/>
        <v>0.18638601589459888</v>
      </c>
      <c r="AI57" s="189">
        <f t="shared" si="31"/>
        <v>0.15782504416263338</v>
      </c>
      <c r="AJ57" s="189" t="str">
        <f t="shared" si="32"/>
        <v/>
      </c>
      <c r="AK57" s="189" t="str">
        <f t="shared" si="33"/>
        <v/>
      </c>
      <c r="AL57" s="149" t="str">
        <f t="shared" si="34"/>
        <v/>
      </c>
      <c r="AM57" s="149" t="str">
        <f t="shared" si="35"/>
        <v/>
      </c>
      <c r="AN57" s="149" t="str">
        <f t="shared" si="36"/>
        <v/>
      </c>
      <c r="AO57" s="149" t="str">
        <f t="shared" si="37"/>
        <v/>
      </c>
      <c r="AP57" s="149" t="str">
        <f t="shared" si="38"/>
        <v/>
      </c>
      <c r="AQ57" s="149" t="str">
        <f t="shared" si="39"/>
        <v/>
      </c>
    </row>
    <row r="58" spans="2:43" x14ac:dyDescent="0.35">
      <c r="B58" s="17"/>
      <c r="C58" s="200">
        <v>20348303636</v>
      </c>
      <c r="D58" s="201" t="s">
        <v>394</v>
      </c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F58" s="149" t="str">
        <f t="shared" si="28"/>
        <v/>
      </c>
      <c r="AG58" s="149" t="str">
        <f t="shared" si="29"/>
        <v/>
      </c>
      <c r="AH58" s="149" t="str">
        <f t="shared" si="30"/>
        <v/>
      </c>
      <c r="AI58" s="189" t="str">
        <f t="shared" si="31"/>
        <v/>
      </c>
      <c r="AJ58" s="189" t="str">
        <f t="shared" si="32"/>
        <v/>
      </c>
      <c r="AK58" s="189" t="str">
        <f t="shared" si="33"/>
        <v/>
      </c>
      <c r="AL58" s="149" t="str">
        <f t="shared" si="34"/>
        <v/>
      </c>
      <c r="AM58" s="149" t="str">
        <f t="shared" si="35"/>
        <v/>
      </c>
      <c r="AN58" s="149" t="str">
        <f t="shared" si="36"/>
        <v/>
      </c>
      <c r="AO58" s="149" t="str">
        <f t="shared" si="37"/>
        <v/>
      </c>
      <c r="AP58" s="149" t="str">
        <f t="shared" si="38"/>
        <v/>
      </c>
      <c r="AQ58" s="149" t="str">
        <f t="shared" si="39"/>
        <v/>
      </c>
    </row>
    <row r="59" spans="2:43" x14ac:dyDescent="0.35">
      <c r="B59" s="17"/>
      <c r="C59" s="200">
        <v>20109284786</v>
      </c>
      <c r="D59" s="201" t="s">
        <v>395</v>
      </c>
      <c r="F59" s="148">
        <v>57279</v>
      </c>
      <c r="G59" s="148">
        <v>64081</v>
      </c>
      <c r="H59" s="148">
        <v>79101</v>
      </c>
      <c r="I59" s="148">
        <v>91160</v>
      </c>
      <c r="J59" s="148"/>
      <c r="K59" s="148"/>
      <c r="L59" s="148"/>
      <c r="M59" s="148"/>
      <c r="N59" s="148"/>
      <c r="O59" s="148"/>
      <c r="P59" s="148"/>
      <c r="Q59" s="148"/>
      <c r="S59" s="148">
        <v>537343</v>
      </c>
      <c r="T59" s="148">
        <v>579994</v>
      </c>
      <c r="U59" s="148">
        <v>612158</v>
      </c>
      <c r="V59" s="148">
        <v>864881</v>
      </c>
      <c r="W59" s="148"/>
      <c r="X59" s="148"/>
      <c r="Y59" s="148"/>
      <c r="Z59" s="148"/>
      <c r="AA59" s="148"/>
      <c r="AB59" s="148"/>
      <c r="AC59" s="148"/>
      <c r="AD59" s="148"/>
      <c r="AF59" s="149">
        <f t="shared" si="28"/>
        <v>0.106596717552848</v>
      </c>
      <c r="AG59" s="149">
        <f t="shared" si="29"/>
        <v>0.11048562571336945</v>
      </c>
      <c r="AH59" s="149">
        <f t="shared" si="30"/>
        <v>0.12921664014845841</v>
      </c>
      <c r="AI59" s="189">
        <f t="shared" si="31"/>
        <v>0.10540178359797475</v>
      </c>
      <c r="AJ59" s="189" t="str">
        <f t="shared" si="32"/>
        <v/>
      </c>
      <c r="AK59" s="189" t="str">
        <f t="shared" si="33"/>
        <v/>
      </c>
      <c r="AL59" s="149" t="str">
        <f t="shared" si="34"/>
        <v/>
      </c>
      <c r="AM59" s="149" t="str">
        <f t="shared" si="35"/>
        <v/>
      </c>
      <c r="AN59" s="149" t="str">
        <f t="shared" si="36"/>
        <v/>
      </c>
      <c r="AO59" s="149" t="str">
        <f t="shared" si="37"/>
        <v/>
      </c>
      <c r="AP59" s="149" t="str">
        <f t="shared" si="38"/>
        <v/>
      </c>
      <c r="AQ59" s="149" t="str">
        <f t="shared" si="39"/>
        <v/>
      </c>
    </row>
    <row r="60" spans="2:43" x14ac:dyDescent="0.35">
      <c r="B60" s="17"/>
      <c r="C60" s="200">
        <v>20268784625</v>
      </c>
      <c r="D60" s="201" t="s">
        <v>396</v>
      </c>
      <c r="F60" s="198">
        <v>103675</v>
      </c>
      <c r="G60" s="148"/>
      <c r="H60" s="148">
        <v>120087</v>
      </c>
      <c r="I60" s="148"/>
      <c r="J60" s="148"/>
      <c r="K60" s="148"/>
      <c r="L60" s="148"/>
      <c r="M60" s="148"/>
      <c r="N60" s="148"/>
      <c r="O60" s="148"/>
      <c r="P60" s="148"/>
      <c r="Q60" s="148"/>
      <c r="S60" s="148">
        <v>528516</v>
      </c>
      <c r="T60" s="148"/>
      <c r="U60" s="148">
        <v>629032</v>
      </c>
      <c r="V60" s="148"/>
      <c r="W60" s="148"/>
      <c r="X60" s="148"/>
      <c r="Y60" s="148"/>
      <c r="Z60" s="148"/>
      <c r="AA60" s="148"/>
      <c r="AB60" s="148"/>
      <c r="AC60" s="148"/>
      <c r="AD60" s="148"/>
      <c r="AF60" s="149">
        <f t="shared" si="28"/>
        <v>0.19616246244200744</v>
      </c>
      <c r="AG60" s="149" t="str">
        <f t="shared" si="29"/>
        <v/>
      </c>
      <c r="AH60" s="149">
        <f t="shared" si="30"/>
        <v>0.19090761678261201</v>
      </c>
      <c r="AI60" s="189" t="str">
        <f t="shared" si="31"/>
        <v/>
      </c>
      <c r="AJ60" s="189" t="str">
        <f t="shared" si="32"/>
        <v/>
      </c>
      <c r="AK60" s="189" t="str">
        <f t="shared" si="33"/>
        <v/>
      </c>
      <c r="AL60" s="149" t="str">
        <f t="shared" si="34"/>
        <v/>
      </c>
      <c r="AM60" s="149" t="str">
        <f t="shared" si="35"/>
        <v/>
      </c>
      <c r="AN60" s="149" t="str">
        <f t="shared" si="36"/>
        <v/>
      </c>
      <c r="AO60" s="149" t="str">
        <f t="shared" si="37"/>
        <v/>
      </c>
      <c r="AP60" s="149" t="str">
        <f t="shared" si="38"/>
        <v/>
      </c>
      <c r="AQ60" s="149" t="str">
        <f t="shared" si="39"/>
        <v/>
      </c>
    </row>
    <row r="61" spans="2:43" x14ac:dyDescent="0.35">
      <c r="B61" s="17"/>
      <c r="C61" s="200">
        <v>20147847727</v>
      </c>
      <c r="D61" s="201" t="s">
        <v>397</v>
      </c>
      <c r="F61" s="148">
        <v>64105</v>
      </c>
      <c r="G61" s="148">
        <v>70152</v>
      </c>
      <c r="H61" s="148">
        <v>104299</v>
      </c>
      <c r="I61" s="148">
        <v>97778</v>
      </c>
      <c r="J61" s="148"/>
      <c r="K61" s="148"/>
      <c r="L61" s="148"/>
      <c r="M61" s="148"/>
      <c r="N61" s="148"/>
      <c r="O61" s="148"/>
      <c r="P61" s="148"/>
      <c r="Q61" s="148"/>
      <c r="S61" s="148">
        <v>708102</v>
      </c>
      <c r="T61" s="148">
        <v>704832</v>
      </c>
      <c r="U61" s="148">
        <v>1011061</v>
      </c>
      <c r="V61" s="148">
        <v>1056881</v>
      </c>
      <c r="W61" s="148"/>
      <c r="X61" s="148"/>
      <c r="Y61" s="148"/>
      <c r="Z61" s="148"/>
      <c r="AA61" s="148"/>
      <c r="AB61" s="148"/>
      <c r="AC61" s="148"/>
      <c r="AD61" s="148"/>
      <c r="AF61" s="149">
        <f t="shared" si="28"/>
        <v>9.0530742746101553E-2</v>
      </c>
      <c r="AG61" s="149">
        <f t="shared" si="29"/>
        <v>9.9530100789975484E-2</v>
      </c>
      <c r="AH61" s="149">
        <f t="shared" si="30"/>
        <v>0.1031579696971795</v>
      </c>
      <c r="AI61" s="189">
        <f t="shared" si="31"/>
        <v>9.251561907158895E-2</v>
      </c>
      <c r="AJ61" s="189" t="str">
        <f t="shared" si="32"/>
        <v/>
      </c>
      <c r="AK61" s="189" t="str">
        <f t="shared" si="33"/>
        <v/>
      </c>
      <c r="AL61" s="149" t="str">
        <f t="shared" si="34"/>
        <v/>
      </c>
      <c r="AM61" s="149" t="str">
        <f t="shared" si="35"/>
        <v/>
      </c>
      <c r="AN61" s="149" t="str">
        <f t="shared" si="36"/>
        <v/>
      </c>
      <c r="AO61" s="149" t="str">
        <f t="shared" si="37"/>
        <v/>
      </c>
      <c r="AP61" s="149" t="str">
        <f t="shared" si="38"/>
        <v/>
      </c>
      <c r="AQ61" s="149" t="str">
        <f t="shared" si="39"/>
        <v/>
      </c>
    </row>
    <row r="62" spans="2:43" x14ac:dyDescent="0.35">
      <c r="B62" s="17"/>
      <c r="C62" s="200">
        <v>20334129595</v>
      </c>
      <c r="D62" s="201" t="s">
        <v>398</v>
      </c>
      <c r="F62" s="148">
        <v>83154</v>
      </c>
      <c r="G62" s="148">
        <v>70875</v>
      </c>
      <c r="H62" s="148">
        <v>82929</v>
      </c>
      <c r="I62" s="148">
        <v>97298</v>
      </c>
      <c r="J62" s="148"/>
      <c r="K62" s="148"/>
      <c r="L62" s="148"/>
      <c r="M62" s="148"/>
      <c r="N62" s="148"/>
      <c r="O62" s="148"/>
      <c r="P62" s="148"/>
      <c r="Q62" s="148"/>
      <c r="S62" s="148">
        <v>490422</v>
      </c>
      <c r="T62" s="148">
        <v>468503</v>
      </c>
      <c r="U62" s="148">
        <v>570221</v>
      </c>
      <c r="V62" s="148">
        <v>641011</v>
      </c>
      <c r="W62" s="148"/>
      <c r="X62" s="148"/>
      <c r="Y62" s="148"/>
      <c r="Z62" s="148"/>
      <c r="AA62" s="148"/>
      <c r="AB62" s="148"/>
      <c r="AC62" s="148"/>
      <c r="AD62" s="148"/>
      <c r="AF62" s="149">
        <f t="shared" si="28"/>
        <v>0.16955601502379583</v>
      </c>
      <c r="AG62" s="149">
        <f t="shared" si="29"/>
        <v>0.15127971432413453</v>
      </c>
      <c r="AH62" s="149">
        <f t="shared" si="30"/>
        <v>0.14543308646998268</v>
      </c>
      <c r="AI62" s="189">
        <f t="shared" si="31"/>
        <v>0.15178834684584197</v>
      </c>
      <c r="AJ62" s="189" t="str">
        <f t="shared" si="32"/>
        <v/>
      </c>
      <c r="AK62" s="189" t="str">
        <f t="shared" si="33"/>
        <v/>
      </c>
      <c r="AL62" s="149" t="str">
        <f t="shared" si="34"/>
        <v/>
      </c>
      <c r="AM62" s="149" t="str">
        <f t="shared" si="35"/>
        <v/>
      </c>
      <c r="AN62" s="149" t="str">
        <f t="shared" si="36"/>
        <v/>
      </c>
      <c r="AO62" s="149" t="str">
        <f t="shared" si="37"/>
        <v/>
      </c>
      <c r="AP62" s="149" t="str">
        <f t="shared" si="38"/>
        <v/>
      </c>
      <c r="AQ62" s="149" t="str">
        <f t="shared" si="39"/>
        <v/>
      </c>
    </row>
    <row r="63" spans="2:43" x14ac:dyDescent="0.35">
      <c r="B63" s="17"/>
      <c r="C63" s="200">
        <v>20602533281</v>
      </c>
      <c r="D63" s="201" t="s">
        <v>399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F63" s="149" t="str">
        <f t="shared" si="28"/>
        <v/>
      </c>
      <c r="AG63" s="149" t="str">
        <f t="shared" si="29"/>
        <v/>
      </c>
      <c r="AH63" s="149" t="str">
        <f t="shared" si="30"/>
        <v/>
      </c>
      <c r="AI63" s="189" t="str">
        <f t="shared" si="31"/>
        <v/>
      </c>
      <c r="AJ63" s="189" t="str">
        <f t="shared" si="32"/>
        <v/>
      </c>
      <c r="AK63" s="189" t="str">
        <f t="shared" si="33"/>
        <v/>
      </c>
      <c r="AL63" s="149" t="str">
        <f t="shared" si="34"/>
        <v/>
      </c>
      <c r="AM63" s="149" t="str">
        <f t="shared" si="35"/>
        <v/>
      </c>
      <c r="AN63" s="149" t="str">
        <f t="shared" si="36"/>
        <v/>
      </c>
      <c r="AO63" s="149" t="str">
        <f t="shared" si="37"/>
        <v/>
      </c>
      <c r="AP63" s="149" t="str">
        <f t="shared" si="38"/>
        <v/>
      </c>
      <c r="AQ63" s="149" t="str">
        <f t="shared" si="39"/>
        <v/>
      </c>
    </row>
    <row r="64" spans="2:43" x14ac:dyDescent="0.35">
      <c r="B64" s="17"/>
      <c r="C64" s="200">
        <v>20122386229</v>
      </c>
      <c r="D64" s="201" t="s">
        <v>400</v>
      </c>
      <c r="F64" s="198">
        <v>94363</v>
      </c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S64" s="148">
        <v>568392</v>
      </c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F64" s="149">
        <f t="shared" si="28"/>
        <v>0.16601746681867444</v>
      </c>
      <c r="AG64" s="149" t="str">
        <f t="shared" si="29"/>
        <v/>
      </c>
      <c r="AH64" s="149" t="str">
        <f t="shared" si="30"/>
        <v/>
      </c>
      <c r="AI64" s="189" t="str">
        <f t="shared" si="31"/>
        <v/>
      </c>
      <c r="AJ64" s="189" t="str">
        <f t="shared" si="32"/>
        <v/>
      </c>
      <c r="AK64" s="189" t="str">
        <f t="shared" si="33"/>
        <v/>
      </c>
      <c r="AL64" s="149" t="str">
        <f t="shared" si="34"/>
        <v/>
      </c>
      <c r="AM64" s="149" t="str">
        <f t="shared" si="35"/>
        <v/>
      </c>
      <c r="AN64" s="149" t="str">
        <f t="shared" si="36"/>
        <v/>
      </c>
      <c r="AO64" s="149" t="str">
        <f t="shared" si="37"/>
        <v/>
      </c>
      <c r="AP64" s="149" t="str">
        <f t="shared" si="38"/>
        <v/>
      </c>
      <c r="AQ64" s="149" t="str">
        <f t="shared" si="39"/>
        <v/>
      </c>
    </row>
    <row r="65" spans="2:43" x14ac:dyDescent="0.35">
      <c r="B65" s="17"/>
      <c r="C65" s="200">
        <v>20545784158</v>
      </c>
      <c r="D65" s="201" t="s">
        <v>401</v>
      </c>
      <c r="F65" s="198">
        <v>10042</v>
      </c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S65" s="148">
        <v>38090</v>
      </c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F65" s="149">
        <f t="shared" si="28"/>
        <v>0.26363875032817013</v>
      </c>
      <c r="AG65" s="149" t="str">
        <f t="shared" si="29"/>
        <v/>
      </c>
      <c r="AH65" s="149" t="str">
        <f t="shared" si="30"/>
        <v/>
      </c>
      <c r="AI65" s="189" t="str">
        <f t="shared" si="31"/>
        <v/>
      </c>
      <c r="AJ65" s="189" t="str">
        <f t="shared" si="32"/>
        <v/>
      </c>
      <c r="AK65" s="189" t="str">
        <f t="shared" si="33"/>
        <v/>
      </c>
      <c r="AL65" s="149" t="str">
        <f t="shared" si="34"/>
        <v/>
      </c>
      <c r="AM65" s="149" t="str">
        <f t="shared" si="35"/>
        <v/>
      </c>
      <c r="AN65" s="149" t="str">
        <f t="shared" si="36"/>
        <v/>
      </c>
      <c r="AO65" s="149" t="str">
        <f t="shared" si="37"/>
        <v/>
      </c>
      <c r="AP65" s="149" t="str">
        <f t="shared" si="38"/>
        <v/>
      </c>
      <c r="AQ65" s="149" t="str">
        <f t="shared" si="39"/>
        <v/>
      </c>
    </row>
    <row r="66" spans="2:43" x14ac:dyDescent="0.35">
      <c r="B66" s="14" t="s">
        <v>402</v>
      </c>
      <c r="C66" s="182"/>
      <c r="D66" s="14"/>
      <c r="F66" s="150">
        <f t="shared" ref="F66:Q66" si="40">+SUM(F47:F65)</f>
        <v>6988346</v>
      </c>
      <c r="G66" s="150">
        <f t="shared" si="40"/>
        <v>6495106</v>
      </c>
      <c r="H66" s="150">
        <f t="shared" si="40"/>
        <v>6957661</v>
      </c>
      <c r="I66" s="150">
        <f t="shared" si="40"/>
        <v>8452400</v>
      </c>
      <c r="J66" s="150">
        <f t="shared" si="40"/>
        <v>0</v>
      </c>
      <c r="K66" s="150">
        <f t="shared" si="40"/>
        <v>0</v>
      </c>
      <c r="L66" s="150">
        <f t="shared" si="40"/>
        <v>0</v>
      </c>
      <c r="M66" s="150">
        <f t="shared" si="40"/>
        <v>0</v>
      </c>
      <c r="N66" s="150">
        <f t="shared" si="40"/>
        <v>0</v>
      </c>
      <c r="O66" s="150">
        <f t="shared" si="40"/>
        <v>0</v>
      </c>
      <c r="P66" s="150">
        <f t="shared" si="40"/>
        <v>0</v>
      </c>
      <c r="Q66" s="150">
        <f t="shared" si="40"/>
        <v>0</v>
      </c>
      <c r="S66" s="150">
        <f t="shared" ref="S66:AD66" si="41">+SUM(S47:S65)</f>
        <v>49630517</v>
      </c>
      <c r="T66" s="150">
        <f t="shared" si="41"/>
        <v>47891131</v>
      </c>
      <c r="U66" s="150">
        <f t="shared" si="41"/>
        <v>51594907</v>
      </c>
      <c r="V66" s="150">
        <f t="shared" si="41"/>
        <v>61703299</v>
      </c>
      <c r="W66" s="150">
        <f t="shared" si="41"/>
        <v>0</v>
      </c>
      <c r="X66" s="150">
        <f t="shared" si="41"/>
        <v>0</v>
      </c>
      <c r="Y66" s="150">
        <f t="shared" si="41"/>
        <v>0</v>
      </c>
      <c r="Z66" s="150">
        <f t="shared" si="41"/>
        <v>0</v>
      </c>
      <c r="AA66" s="150">
        <f t="shared" si="41"/>
        <v>0</v>
      </c>
      <c r="AB66" s="150">
        <f t="shared" si="41"/>
        <v>0</v>
      </c>
      <c r="AC66" s="150">
        <f t="shared" si="41"/>
        <v>0</v>
      </c>
      <c r="AD66" s="150">
        <f t="shared" si="41"/>
        <v>0</v>
      </c>
      <c r="AF66" s="151">
        <f t="shared" si="28"/>
        <v>0.14080743910042284</v>
      </c>
      <c r="AG66" s="151">
        <f t="shared" si="29"/>
        <v>0.13562231386851148</v>
      </c>
      <c r="AH66" s="151">
        <f t="shared" si="30"/>
        <v>0.1348517015448831</v>
      </c>
      <c r="AI66" s="190">
        <f t="shared" si="31"/>
        <v>0.13698457192702126</v>
      </c>
      <c r="AJ66" s="190" t="str">
        <f t="shared" si="32"/>
        <v/>
      </c>
      <c r="AK66" s="190" t="str">
        <f t="shared" si="33"/>
        <v/>
      </c>
      <c r="AL66" s="151" t="str">
        <f t="shared" si="34"/>
        <v/>
      </c>
      <c r="AM66" s="151" t="str">
        <f t="shared" si="35"/>
        <v/>
      </c>
      <c r="AN66" s="151" t="str">
        <f t="shared" si="36"/>
        <v/>
      </c>
      <c r="AO66" s="151" t="str">
        <f t="shared" si="37"/>
        <v/>
      </c>
      <c r="AP66" s="151" t="str">
        <f t="shared" si="38"/>
        <v/>
      </c>
      <c r="AQ66" s="151" t="str">
        <f t="shared" si="39"/>
        <v/>
      </c>
    </row>
    <row r="67" spans="2:43" x14ac:dyDescent="0.35">
      <c r="B67" s="17"/>
      <c r="C67" s="200"/>
      <c r="D67" s="17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F67" s="153"/>
      <c r="AG67" s="153"/>
      <c r="AH67" s="153"/>
      <c r="AI67" s="191"/>
      <c r="AJ67" s="191"/>
      <c r="AK67" s="191"/>
      <c r="AL67" s="153"/>
      <c r="AM67" s="153"/>
      <c r="AN67" s="153"/>
      <c r="AO67" s="153"/>
    </row>
    <row r="68" spans="2:43" x14ac:dyDescent="0.35">
      <c r="B68" s="17" t="s">
        <v>102</v>
      </c>
      <c r="C68" s="200">
        <v>20608430301</v>
      </c>
      <c r="D68" s="201" t="s">
        <v>403</v>
      </c>
      <c r="F68" s="148">
        <v>6704901</v>
      </c>
      <c r="G68" s="148">
        <v>6126044</v>
      </c>
      <c r="H68" s="148">
        <v>6138074</v>
      </c>
      <c r="I68" s="148">
        <v>5905619</v>
      </c>
      <c r="J68" s="148"/>
      <c r="K68" s="148"/>
      <c r="L68" s="148"/>
      <c r="M68" s="148"/>
      <c r="N68" s="148"/>
      <c r="O68" s="148"/>
      <c r="P68" s="148"/>
      <c r="Q68" s="148"/>
      <c r="S68" s="148">
        <v>53884210</v>
      </c>
      <c r="T68" s="148">
        <v>49530605</v>
      </c>
      <c r="U68" s="148">
        <v>49435156</v>
      </c>
      <c r="V68" s="148">
        <v>47307176</v>
      </c>
      <c r="W68" s="148"/>
      <c r="X68" s="148"/>
      <c r="Y68" s="148"/>
      <c r="Z68" s="148"/>
      <c r="AA68" s="148"/>
      <c r="AB68" s="148"/>
      <c r="AC68" s="148"/>
      <c r="AD68" s="148"/>
      <c r="AF68" s="149">
        <f t="shared" ref="AF68:AF88" si="42">+IFERROR(F68/S68,"")</f>
        <v>0.12443164704465372</v>
      </c>
      <c r="AG68" s="149">
        <f t="shared" ref="AG68:AG88" si="43">+IFERROR(G68/T68,"")</f>
        <v>0.12368199419328715</v>
      </c>
      <c r="AH68" s="149">
        <f t="shared" ref="AH68:AH88" si="44">+IFERROR(H68/U68,"")</f>
        <v>0.1241641474743197</v>
      </c>
      <c r="AI68" s="189">
        <f t="shared" ref="AI68:AI88" si="45">+IFERROR(I68/V68,"")</f>
        <v>0.12483558519747617</v>
      </c>
      <c r="AJ68" s="189" t="str">
        <f t="shared" ref="AJ68:AJ88" si="46">+IFERROR(J68/W68,"")</f>
        <v/>
      </c>
      <c r="AK68" s="189" t="str">
        <f t="shared" ref="AK68:AK88" si="47">+IFERROR(K68/X68,"")</f>
        <v/>
      </c>
      <c r="AL68" s="149" t="str">
        <f t="shared" ref="AL68:AL88" si="48">+IFERROR(L68/Y68,"")</f>
        <v/>
      </c>
      <c r="AM68" s="149" t="str">
        <f t="shared" ref="AM68:AM88" si="49">+IFERROR(M68/Z68,"")</f>
        <v/>
      </c>
      <c r="AN68" s="149" t="str">
        <f t="shared" ref="AN68:AN88" si="50">+IFERROR(N68/AA68,"")</f>
        <v/>
      </c>
      <c r="AO68" s="149" t="str">
        <f t="shared" ref="AO68:AO88" si="51">+IFERROR(O68/AB68,"")</f>
        <v/>
      </c>
      <c r="AP68" s="149" t="str">
        <f t="shared" ref="AP68:AP88" si="52">+IFERROR(P68/AC68,"")</f>
        <v/>
      </c>
      <c r="AQ68" s="149" t="str">
        <f t="shared" ref="AQ68:AQ88" si="53">+IFERROR(Q68/AD68,"")</f>
        <v/>
      </c>
    </row>
    <row r="69" spans="2:43" x14ac:dyDescent="0.35">
      <c r="B69" s="17"/>
      <c r="C69" s="200">
        <v>20512002090</v>
      </c>
      <c r="D69" s="201" t="s">
        <v>404</v>
      </c>
      <c r="F69" s="148">
        <v>6909486</v>
      </c>
      <c r="G69" s="148">
        <v>6325768</v>
      </c>
      <c r="H69" s="148">
        <v>6293008</v>
      </c>
      <c r="I69" s="148">
        <v>6018418</v>
      </c>
      <c r="J69" s="148"/>
      <c r="K69" s="148"/>
      <c r="L69" s="148"/>
      <c r="M69" s="148"/>
      <c r="N69" s="148"/>
      <c r="O69" s="148"/>
      <c r="P69" s="148"/>
      <c r="Q69" s="148"/>
      <c r="S69" s="148">
        <v>54217538</v>
      </c>
      <c r="T69" s="148">
        <v>49880405</v>
      </c>
      <c r="U69" s="148">
        <v>49129462</v>
      </c>
      <c r="V69" s="148">
        <v>48025339</v>
      </c>
      <c r="W69" s="148"/>
      <c r="X69" s="148"/>
      <c r="Y69" s="148"/>
      <c r="Z69" s="148"/>
      <c r="AA69" s="148"/>
      <c r="AB69" s="148"/>
      <c r="AC69" s="148"/>
      <c r="AD69" s="148"/>
      <c r="AF69" s="149">
        <f t="shared" si="42"/>
        <v>0.12744005454471208</v>
      </c>
      <c r="AG69" s="149">
        <f t="shared" si="43"/>
        <v>0.12681869764289203</v>
      </c>
      <c r="AH69" s="149">
        <f t="shared" si="44"/>
        <v>0.12809030963945831</v>
      </c>
      <c r="AI69" s="189">
        <f t="shared" si="45"/>
        <v>0.12531755371888162</v>
      </c>
      <c r="AJ69" s="189" t="str">
        <f t="shared" si="46"/>
        <v/>
      </c>
      <c r="AK69" s="189" t="str">
        <f t="shared" si="47"/>
        <v/>
      </c>
      <c r="AL69" s="149" t="str">
        <f t="shared" si="48"/>
        <v/>
      </c>
      <c r="AM69" s="149" t="str">
        <f t="shared" si="49"/>
        <v/>
      </c>
      <c r="AN69" s="149" t="str">
        <f t="shared" si="50"/>
        <v/>
      </c>
      <c r="AO69" s="149" t="str">
        <f t="shared" si="51"/>
        <v/>
      </c>
      <c r="AP69" s="149" t="str">
        <f t="shared" si="52"/>
        <v/>
      </c>
      <c r="AQ69" s="149" t="str">
        <f t="shared" si="53"/>
        <v/>
      </c>
    </row>
    <row r="70" spans="2:43" x14ac:dyDescent="0.35">
      <c r="B70" s="17"/>
      <c r="C70" s="200">
        <v>20384891943</v>
      </c>
      <c r="D70" s="201" t="s">
        <v>405</v>
      </c>
      <c r="F70" s="148">
        <v>550884</v>
      </c>
      <c r="G70" s="148">
        <v>504856</v>
      </c>
      <c r="H70" s="148">
        <v>560161</v>
      </c>
      <c r="I70" s="148">
        <v>492951</v>
      </c>
      <c r="J70" s="148"/>
      <c r="K70" s="148"/>
      <c r="L70" s="148"/>
      <c r="M70" s="148"/>
      <c r="N70" s="148"/>
      <c r="O70" s="148"/>
      <c r="P70" s="148"/>
      <c r="Q70" s="148"/>
      <c r="S70" s="148">
        <v>4187297</v>
      </c>
      <c r="T70" s="148">
        <v>3791286</v>
      </c>
      <c r="U70" s="148">
        <v>3859135</v>
      </c>
      <c r="V70" s="148">
        <v>3754034</v>
      </c>
      <c r="W70" s="148"/>
      <c r="X70" s="148"/>
      <c r="Y70" s="148"/>
      <c r="Z70" s="148"/>
      <c r="AA70" s="148"/>
      <c r="AB70" s="148"/>
      <c r="AC70" s="148"/>
      <c r="AD70" s="148"/>
      <c r="AF70" s="149">
        <f t="shared" si="42"/>
        <v>0.13156076581145307</v>
      </c>
      <c r="AG70" s="149">
        <f t="shared" si="43"/>
        <v>0.1331622040647949</v>
      </c>
      <c r="AH70" s="149">
        <f t="shared" si="44"/>
        <v>0.14515195762781039</v>
      </c>
      <c r="AI70" s="189">
        <f t="shared" si="45"/>
        <v>0.13131234293562605</v>
      </c>
      <c r="AJ70" s="189" t="str">
        <f t="shared" si="46"/>
        <v/>
      </c>
      <c r="AK70" s="189" t="str">
        <f t="shared" si="47"/>
        <v/>
      </c>
      <c r="AL70" s="149" t="str">
        <f t="shared" si="48"/>
        <v/>
      </c>
      <c r="AM70" s="149" t="str">
        <f t="shared" si="49"/>
        <v/>
      </c>
      <c r="AN70" s="149" t="str">
        <f t="shared" si="50"/>
        <v/>
      </c>
      <c r="AO70" s="149" t="str">
        <f t="shared" si="51"/>
        <v/>
      </c>
      <c r="AP70" s="149" t="str">
        <f t="shared" si="52"/>
        <v/>
      </c>
      <c r="AQ70" s="149" t="str">
        <f t="shared" si="53"/>
        <v/>
      </c>
    </row>
    <row r="71" spans="2:43" x14ac:dyDescent="0.35">
      <c r="B71" s="17"/>
      <c r="C71" s="200">
        <v>20531502508</v>
      </c>
      <c r="D71" s="201" t="s">
        <v>406</v>
      </c>
      <c r="F71" s="148">
        <v>342847</v>
      </c>
      <c r="G71" s="148">
        <v>290785</v>
      </c>
      <c r="H71" s="148">
        <v>313360</v>
      </c>
      <c r="I71" s="148">
        <v>300872</v>
      </c>
      <c r="J71" s="148"/>
      <c r="K71" s="148"/>
      <c r="L71" s="148"/>
      <c r="M71" s="148"/>
      <c r="N71" s="148"/>
      <c r="O71" s="148"/>
      <c r="P71" s="148"/>
      <c r="Q71" s="148"/>
      <c r="S71" s="148">
        <v>2136275</v>
      </c>
      <c r="T71" s="148">
        <v>1922243</v>
      </c>
      <c r="U71" s="148">
        <v>1911246</v>
      </c>
      <c r="V71" s="148">
        <v>1942228</v>
      </c>
      <c r="W71" s="148"/>
      <c r="X71" s="148"/>
      <c r="Y71" s="148"/>
      <c r="Z71" s="148"/>
      <c r="AA71" s="148"/>
      <c r="AB71" s="148"/>
      <c r="AC71" s="148"/>
      <c r="AD71" s="148"/>
      <c r="AF71" s="149">
        <f t="shared" si="42"/>
        <v>0.1604882330224339</v>
      </c>
      <c r="AG71" s="149">
        <f t="shared" si="43"/>
        <v>0.15127379836992513</v>
      </c>
      <c r="AH71" s="149">
        <f t="shared" si="44"/>
        <v>0.16395586962641126</v>
      </c>
      <c r="AI71" s="189">
        <f t="shared" si="45"/>
        <v>0.15491075198174467</v>
      </c>
      <c r="AJ71" s="189" t="str">
        <f t="shared" si="46"/>
        <v/>
      </c>
      <c r="AK71" s="189" t="str">
        <f t="shared" si="47"/>
        <v/>
      </c>
      <c r="AL71" s="149" t="str">
        <f t="shared" si="48"/>
        <v/>
      </c>
      <c r="AM71" s="149" t="str">
        <f t="shared" si="49"/>
        <v/>
      </c>
      <c r="AN71" s="149" t="str">
        <f t="shared" si="50"/>
        <v/>
      </c>
      <c r="AO71" s="149" t="str">
        <f t="shared" si="51"/>
        <v/>
      </c>
      <c r="AP71" s="149" t="str">
        <f t="shared" si="52"/>
        <v/>
      </c>
      <c r="AQ71" s="149" t="str">
        <f t="shared" si="53"/>
        <v/>
      </c>
    </row>
    <row r="72" spans="2:43" x14ac:dyDescent="0.35">
      <c r="B72" s="17"/>
      <c r="C72" s="200">
        <v>20515346113</v>
      </c>
      <c r="D72" s="201" t="s">
        <v>407</v>
      </c>
      <c r="F72" s="148">
        <v>411123</v>
      </c>
      <c r="G72" s="148">
        <v>385537</v>
      </c>
      <c r="H72" s="148">
        <v>356432</v>
      </c>
      <c r="I72" s="148">
        <v>362626</v>
      </c>
      <c r="J72" s="148"/>
      <c r="K72" s="148"/>
      <c r="L72" s="148"/>
      <c r="M72" s="148"/>
      <c r="N72" s="148"/>
      <c r="O72" s="148"/>
      <c r="P72" s="148"/>
      <c r="Q72" s="148"/>
      <c r="S72" s="148">
        <v>2751105</v>
      </c>
      <c r="T72" s="148">
        <v>2531485</v>
      </c>
      <c r="U72" s="148">
        <v>2439235</v>
      </c>
      <c r="V72" s="148">
        <v>2489075</v>
      </c>
      <c r="W72" s="148"/>
      <c r="X72" s="148"/>
      <c r="Y72" s="148"/>
      <c r="Z72" s="148"/>
      <c r="AA72" s="148"/>
      <c r="AB72" s="148"/>
      <c r="AC72" s="148"/>
      <c r="AD72" s="148"/>
      <c r="AF72" s="149">
        <f t="shared" si="42"/>
        <v>0.14943922532945852</v>
      </c>
      <c r="AG72" s="149">
        <f t="shared" si="43"/>
        <v>0.15229677442291778</v>
      </c>
      <c r="AH72" s="149">
        <f t="shared" si="44"/>
        <v>0.14612450214923942</v>
      </c>
      <c r="AI72" s="189">
        <f t="shared" si="45"/>
        <v>0.14568705241907134</v>
      </c>
      <c r="AJ72" s="189" t="str">
        <f t="shared" si="46"/>
        <v/>
      </c>
      <c r="AK72" s="189" t="str">
        <f t="shared" si="47"/>
        <v/>
      </c>
      <c r="AL72" s="149" t="str">
        <f t="shared" si="48"/>
        <v/>
      </c>
      <c r="AM72" s="149" t="str">
        <f t="shared" si="49"/>
        <v/>
      </c>
      <c r="AN72" s="149" t="str">
        <f t="shared" si="50"/>
        <v/>
      </c>
      <c r="AO72" s="149" t="str">
        <f t="shared" si="51"/>
        <v/>
      </c>
      <c r="AP72" s="149" t="str">
        <f t="shared" si="52"/>
        <v/>
      </c>
      <c r="AQ72" s="149" t="str">
        <f t="shared" si="53"/>
        <v/>
      </c>
    </row>
    <row r="73" spans="2:43" x14ac:dyDescent="0.35">
      <c r="B73" s="17"/>
      <c r="C73" s="200">
        <v>20515774182</v>
      </c>
      <c r="D73" s="201" t="s">
        <v>408</v>
      </c>
      <c r="F73" s="148">
        <v>125967</v>
      </c>
      <c r="G73" s="148">
        <v>79751</v>
      </c>
      <c r="H73" s="148">
        <v>13630</v>
      </c>
      <c r="I73" s="148">
        <v>22371</v>
      </c>
      <c r="J73" s="148"/>
      <c r="K73" s="148"/>
      <c r="L73" s="148"/>
      <c r="M73" s="148"/>
      <c r="N73" s="148"/>
      <c r="O73" s="148"/>
      <c r="P73" s="148"/>
      <c r="Q73" s="148"/>
      <c r="S73" s="148">
        <v>886634</v>
      </c>
      <c r="T73" s="148">
        <v>612195</v>
      </c>
      <c r="U73" s="148">
        <v>217584</v>
      </c>
      <c r="V73" s="148">
        <v>198913</v>
      </c>
      <c r="W73" s="148"/>
      <c r="X73" s="148"/>
      <c r="Y73" s="148"/>
      <c r="Z73" s="148"/>
      <c r="AA73" s="148"/>
      <c r="AB73" s="148"/>
      <c r="AC73" s="148"/>
      <c r="AD73" s="148"/>
      <c r="AF73" s="149">
        <f t="shared" si="42"/>
        <v>0.14207327939149639</v>
      </c>
      <c r="AG73" s="149">
        <f t="shared" si="43"/>
        <v>0.13027058371923977</v>
      </c>
      <c r="AH73" s="149">
        <f t="shared" si="44"/>
        <v>6.2642473711302299E-2</v>
      </c>
      <c r="AI73" s="189">
        <f t="shared" si="45"/>
        <v>0.1124662540909845</v>
      </c>
      <c r="AJ73" s="189" t="str">
        <f t="shared" si="46"/>
        <v/>
      </c>
      <c r="AK73" s="189" t="str">
        <f t="shared" si="47"/>
        <v/>
      </c>
      <c r="AL73" s="149" t="str">
        <f t="shared" si="48"/>
        <v/>
      </c>
      <c r="AM73" s="149" t="str">
        <f t="shared" si="49"/>
        <v/>
      </c>
      <c r="AN73" s="149" t="str">
        <f t="shared" si="50"/>
        <v/>
      </c>
      <c r="AO73" s="149" t="str">
        <f t="shared" si="51"/>
        <v/>
      </c>
      <c r="AP73" s="149" t="str">
        <f t="shared" si="52"/>
        <v/>
      </c>
      <c r="AQ73" s="149" t="str">
        <f t="shared" si="53"/>
        <v/>
      </c>
    </row>
    <row r="74" spans="2:43" x14ac:dyDescent="0.35">
      <c r="B74" s="17"/>
      <c r="C74" s="200">
        <v>20547141068</v>
      </c>
      <c r="D74" s="201" t="s">
        <v>409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F74" s="149" t="str">
        <f t="shared" si="42"/>
        <v/>
      </c>
      <c r="AG74" s="149" t="str">
        <f t="shared" si="43"/>
        <v/>
      </c>
      <c r="AH74" s="149" t="str">
        <f t="shared" si="44"/>
        <v/>
      </c>
      <c r="AI74" s="189" t="str">
        <f t="shared" si="45"/>
        <v/>
      </c>
      <c r="AJ74" s="189" t="str">
        <f t="shared" si="46"/>
        <v/>
      </c>
      <c r="AK74" s="189" t="str">
        <f t="shared" si="47"/>
        <v/>
      </c>
      <c r="AL74" s="149" t="str">
        <f t="shared" si="48"/>
        <v/>
      </c>
      <c r="AM74" s="149" t="str">
        <f t="shared" si="49"/>
        <v/>
      </c>
      <c r="AN74" s="149" t="str">
        <f t="shared" si="50"/>
        <v/>
      </c>
      <c r="AO74" s="149" t="str">
        <f t="shared" si="51"/>
        <v/>
      </c>
      <c r="AP74" s="149" t="str">
        <f t="shared" si="52"/>
        <v/>
      </c>
      <c r="AQ74" s="149" t="str">
        <f t="shared" si="53"/>
        <v/>
      </c>
    </row>
    <row r="75" spans="2:43" x14ac:dyDescent="0.35">
      <c r="B75" s="17"/>
      <c r="C75" s="200">
        <v>20514196428</v>
      </c>
      <c r="D75" s="201" t="s">
        <v>410</v>
      </c>
      <c r="F75" s="198">
        <v>5111</v>
      </c>
      <c r="G75" s="148"/>
      <c r="H75" s="148">
        <v>103488</v>
      </c>
      <c r="I75" s="148"/>
      <c r="J75" s="148"/>
      <c r="K75" s="148"/>
      <c r="L75" s="148"/>
      <c r="M75" s="148"/>
      <c r="N75" s="148"/>
      <c r="O75" s="148"/>
      <c r="P75" s="148"/>
      <c r="Q75" s="148"/>
      <c r="S75" s="148">
        <v>47691</v>
      </c>
      <c r="T75" s="148"/>
      <c r="U75" s="148">
        <v>706398</v>
      </c>
      <c r="V75" s="148"/>
      <c r="W75" s="148"/>
      <c r="X75" s="148"/>
      <c r="Y75" s="148"/>
      <c r="Z75" s="148"/>
      <c r="AA75" s="148"/>
      <c r="AB75" s="148"/>
      <c r="AC75" s="148"/>
      <c r="AD75" s="148"/>
      <c r="AF75" s="149">
        <f t="shared" si="42"/>
        <v>0.10716906753894864</v>
      </c>
      <c r="AG75" s="149" t="str">
        <f t="shared" si="43"/>
        <v/>
      </c>
      <c r="AH75" s="149">
        <f t="shared" si="44"/>
        <v>0.14650098103335513</v>
      </c>
      <c r="AI75" s="189" t="str">
        <f t="shared" si="45"/>
        <v/>
      </c>
      <c r="AJ75" s="189" t="str">
        <f t="shared" si="46"/>
        <v/>
      </c>
      <c r="AK75" s="189" t="str">
        <f t="shared" si="47"/>
        <v/>
      </c>
      <c r="AL75" s="149" t="str">
        <f t="shared" si="48"/>
        <v/>
      </c>
      <c r="AM75" s="149" t="str">
        <f t="shared" si="49"/>
        <v/>
      </c>
      <c r="AN75" s="149" t="str">
        <f t="shared" si="50"/>
        <v/>
      </c>
      <c r="AO75" s="149" t="str">
        <f t="shared" si="51"/>
        <v/>
      </c>
      <c r="AP75" s="149" t="str">
        <f t="shared" si="52"/>
        <v/>
      </c>
      <c r="AQ75" s="149" t="str">
        <f t="shared" si="53"/>
        <v/>
      </c>
    </row>
    <row r="76" spans="2:43" x14ac:dyDescent="0.35">
      <c r="B76" s="17"/>
      <c r="C76" s="200">
        <v>20100025168</v>
      </c>
      <c r="D76" s="201" t="s">
        <v>411</v>
      </c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F76" s="149" t="str">
        <f t="shared" si="42"/>
        <v/>
      </c>
      <c r="AG76" s="149" t="str">
        <f t="shared" si="43"/>
        <v/>
      </c>
      <c r="AH76" s="149" t="str">
        <f t="shared" si="44"/>
        <v/>
      </c>
      <c r="AI76" s="189" t="str">
        <f t="shared" si="45"/>
        <v/>
      </c>
      <c r="AJ76" s="189" t="str">
        <f t="shared" si="46"/>
        <v/>
      </c>
      <c r="AK76" s="189" t="str">
        <f t="shared" si="47"/>
        <v/>
      </c>
      <c r="AL76" s="149" t="str">
        <f t="shared" si="48"/>
        <v/>
      </c>
      <c r="AM76" s="149" t="str">
        <f t="shared" si="49"/>
        <v/>
      </c>
      <c r="AN76" s="149" t="str">
        <f t="shared" si="50"/>
        <v/>
      </c>
      <c r="AO76" s="149" t="str">
        <f t="shared" si="51"/>
        <v/>
      </c>
      <c r="AP76" s="149" t="str">
        <f t="shared" si="52"/>
        <v/>
      </c>
      <c r="AQ76" s="149" t="str">
        <f t="shared" si="53"/>
        <v/>
      </c>
    </row>
    <row r="77" spans="2:43" x14ac:dyDescent="0.35">
      <c r="B77" s="17"/>
      <c r="C77" s="200">
        <v>20549650440</v>
      </c>
      <c r="D77" s="201" t="s">
        <v>412</v>
      </c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F77" s="149" t="str">
        <f t="shared" si="42"/>
        <v/>
      </c>
      <c r="AG77" s="149" t="str">
        <f t="shared" si="43"/>
        <v/>
      </c>
      <c r="AH77" s="149" t="str">
        <f t="shared" si="44"/>
        <v/>
      </c>
      <c r="AI77" s="189" t="str">
        <f t="shared" si="45"/>
        <v/>
      </c>
      <c r="AJ77" s="189" t="str">
        <f t="shared" si="46"/>
        <v/>
      </c>
      <c r="AK77" s="189" t="str">
        <f t="shared" si="47"/>
        <v/>
      </c>
      <c r="AL77" s="149" t="str">
        <f t="shared" si="48"/>
        <v/>
      </c>
      <c r="AM77" s="149" t="str">
        <f t="shared" si="49"/>
        <v/>
      </c>
      <c r="AN77" s="149" t="str">
        <f t="shared" si="50"/>
        <v/>
      </c>
      <c r="AO77" s="149" t="str">
        <f t="shared" si="51"/>
        <v/>
      </c>
      <c r="AP77" s="149" t="str">
        <f t="shared" si="52"/>
        <v/>
      </c>
      <c r="AQ77" s="149" t="str">
        <f t="shared" si="53"/>
        <v/>
      </c>
    </row>
    <row r="78" spans="2:43" x14ac:dyDescent="0.35">
      <c r="B78" s="17"/>
      <c r="C78" s="200">
        <v>20531366132</v>
      </c>
      <c r="D78" s="201" t="s">
        <v>413</v>
      </c>
      <c r="F78" s="148">
        <v>64338</v>
      </c>
      <c r="G78" s="148">
        <v>51014</v>
      </c>
      <c r="H78" s="148">
        <v>55331</v>
      </c>
      <c r="I78" s="148">
        <v>48295</v>
      </c>
      <c r="J78" s="148"/>
      <c r="K78" s="148"/>
      <c r="L78" s="148"/>
      <c r="M78" s="148"/>
      <c r="N78" s="148"/>
      <c r="O78" s="148"/>
      <c r="P78" s="148"/>
      <c r="Q78" s="148"/>
      <c r="S78" s="148">
        <v>301986</v>
      </c>
      <c r="T78" s="148">
        <v>207443</v>
      </c>
      <c r="U78" s="148">
        <v>246798</v>
      </c>
      <c r="V78" s="148">
        <v>230064</v>
      </c>
      <c r="W78" s="148"/>
      <c r="X78" s="148"/>
      <c r="Y78" s="148"/>
      <c r="Z78" s="148"/>
      <c r="AA78" s="148"/>
      <c r="AB78" s="148"/>
      <c r="AC78" s="148"/>
      <c r="AD78" s="148"/>
      <c r="AF78" s="149">
        <f t="shared" si="42"/>
        <v>0.21304961157139735</v>
      </c>
      <c r="AG78" s="149">
        <f t="shared" si="43"/>
        <v>0.24591815583075832</v>
      </c>
      <c r="AH78" s="149">
        <f t="shared" si="44"/>
        <v>0.22419549591163623</v>
      </c>
      <c r="AI78" s="189">
        <f t="shared" si="45"/>
        <v>0.20991984839001321</v>
      </c>
      <c r="AJ78" s="189" t="str">
        <f t="shared" si="46"/>
        <v/>
      </c>
      <c r="AK78" s="189" t="str">
        <f t="shared" si="47"/>
        <v/>
      </c>
      <c r="AL78" s="149" t="str">
        <f t="shared" si="48"/>
        <v/>
      </c>
      <c r="AM78" s="149" t="str">
        <f t="shared" si="49"/>
        <v/>
      </c>
      <c r="AN78" s="149" t="str">
        <f t="shared" si="50"/>
        <v/>
      </c>
      <c r="AO78" s="149" t="str">
        <f t="shared" si="51"/>
        <v/>
      </c>
      <c r="AP78" s="149" t="str">
        <f t="shared" si="52"/>
        <v/>
      </c>
      <c r="AQ78" s="149" t="str">
        <f t="shared" si="53"/>
        <v/>
      </c>
    </row>
    <row r="79" spans="2:43" x14ac:dyDescent="0.35">
      <c r="B79" s="17"/>
      <c r="C79" s="200">
        <v>20523915399</v>
      </c>
      <c r="D79" s="201" t="s">
        <v>414</v>
      </c>
      <c r="F79" s="148">
        <v>9348</v>
      </c>
      <c r="G79" s="148">
        <v>11285</v>
      </c>
      <c r="H79" s="148">
        <v>9895</v>
      </c>
      <c r="I79" s="148">
        <v>9204</v>
      </c>
      <c r="J79" s="148"/>
      <c r="K79" s="148"/>
      <c r="L79" s="148"/>
      <c r="M79" s="148"/>
      <c r="N79" s="148"/>
      <c r="O79" s="148"/>
      <c r="P79" s="148"/>
      <c r="Q79" s="148"/>
      <c r="S79" s="148">
        <v>74173</v>
      </c>
      <c r="T79" s="148">
        <v>60869</v>
      </c>
      <c r="U79" s="148">
        <v>56622</v>
      </c>
      <c r="V79" s="148">
        <v>68315</v>
      </c>
      <c r="W79" s="148"/>
      <c r="X79" s="148"/>
      <c r="Y79" s="148"/>
      <c r="Z79" s="148"/>
      <c r="AA79" s="148"/>
      <c r="AB79" s="148"/>
      <c r="AC79" s="148"/>
      <c r="AD79" s="148"/>
      <c r="AF79" s="149">
        <f t="shared" si="42"/>
        <v>0.12602968735254069</v>
      </c>
      <c r="AG79" s="149">
        <f t="shared" si="43"/>
        <v>0.18539815012567973</v>
      </c>
      <c r="AH79" s="149">
        <f t="shared" si="44"/>
        <v>0.17475539542933841</v>
      </c>
      <c r="AI79" s="189">
        <f t="shared" si="45"/>
        <v>0.13472882968601332</v>
      </c>
      <c r="AJ79" s="189" t="str">
        <f t="shared" si="46"/>
        <v/>
      </c>
      <c r="AK79" s="189" t="str">
        <f t="shared" si="47"/>
        <v/>
      </c>
      <c r="AL79" s="149" t="str">
        <f t="shared" si="48"/>
        <v/>
      </c>
      <c r="AM79" s="149" t="str">
        <f t="shared" si="49"/>
        <v/>
      </c>
      <c r="AN79" s="149" t="str">
        <f t="shared" si="50"/>
        <v/>
      </c>
      <c r="AO79" s="149" t="str">
        <f t="shared" si="51"/>
        <v/>
      </c>
      <c r="AP79" s="149" t="str">
        <f t="shared" si="52"/>
        <v/>
      </c>
      <c r="AQ79" s="149" t="str">
        <f t="shared" si="53"/>
        <v/>
      </c>
    </row>
    <row r="80" spans="2:43" x14ac:dyDescent="0.35">
      <c r="B80" s="17"/>
      <c r="C80" s="200">
        <v>20601785961</v>
      </c>
      <c r="D80" s="201" t="s">
        <v>415</v>
      </c>
      <c r="F80" s="198">
        <v>44680</v>
      </c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S80" s="148">
        <v>469542</v>
      </c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F80" s="149">
        <f t="shared" si="42"/>
        <v>9.5156556814938814E-2</v>
      </c>
      <c r="AG80" s="149" t="str">
        <f t="shared" si="43"/>
        <v/>
      </c>
      <c r="AH80" s="149" t="str">
        <f t="shared" si="44"/>
        <v/>
      </c>
      <c r="AI80" s="189" t="str">
        <f t="shared" si="45"/>
        <v/>
      </c>
      <c r="AJ80" s="189" t="str">
        <f t="shared" si="46"/>
        <v/>
      </c>
      <c r="AK80" s="189" t="str">
        <f t="shared" si="47"/>
        <v/>
      </c>
      <c r="AL80" s="149" t="str">
        <f t="shared" si="48"/>
        <v/>
      </c>
      <c r="AM80" s="149" t="str">
        <f t="shared" si="49"/>
        <v/>
      </c>
      <c r="AN80" s="149" t="str">
        <f t="shared" si="50"/>
        <v/>
      </c>
      <c r="AO80" s="149" t="str">
        <f t="shared" si="51"/>
        <v/>
      </c>
      <c r="AP80" s="149" t="str">
        <f t="shared" si="52"/>
        <v/>
      </c>
      <c r="AQ80" s="149" t="str">
        <f t="shared" si="53"/>
        <v/>
      </c>
    </row>
    <row r="81" spans="2:43" x14ac:dyDescent="0.35">
      <c r="B81" s="17"/>
      <c r="C81" s="200">
        <v>20136096592</v>
      </c>
      <c r="D81" s="201" t="s">
        <v>416</v>
      </c>
      <c r="F81" s="198">
        <v>12180</v>
      </c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S81" s="148">
        <v>113960</v>
      </c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F81" s="149">
        <f t="shared" si="42"/>
        <v>0.10687960687960688</v>
      </c>
      <c r="AG81" s="149" t="str">
        <f t="shared" si="43"/>
        <v/>
      </c>
      <c r="AH81" s="149" t="str">
        <f t="shared" si="44"/>
        <v/>
      </c>
      <c r="AI81" s="189" t="str">
        <f t="shared" si="45"/>
        <v/>
      </c>
      <c r="AJ81" s="189" t="str">
        <f t="shared" si="46"/>
        <v/>
      </c>
      <c r="AK81" s="189" t="str">
        <f t="shared" si="47"/>
        <v/>
      </c>
      <c r="AL81" s="149" t="str">
        <f t="shared" si="48"/>
        <v/>
      </c>
      <c r="AM81" s="149" t="str">
        <f t="shared" si="49"/>
        <v/>
      </c>
      <c r="AN81" s="149" t="str">
        <f t="shared" si="50"/>
        <v/>
      </c>
      <c r="AO81" s="149" t="str">
        <f t="shared" si="51"/>
        <v/>
      </c>
      <c r="AP81" s="149" t="str">
        <f t="shared" si="52"/>
        <v/>
      </c>
      <c r="AQ81" s="149" t="str">
        <f t="shared" si="53"/>
        <v/>
      </c>
    </row>
    <row r="82" spans="2:43" x14ac:dyDescent="0.35">
      <c r="B82" s="17"/>
      <c r="C82" s="200">
        <v>20486562341</v>
      </c>
      <c r="D82" s="201" t="s">
        <v>417</v>
      </c>
      <c r="F82" s="148">
        <v>24147</v>
      </c>
      <c r="G82" s="148">
        <v>20330</v>
      </c>
      <c r="H82" s="148">
        <v>22350</v>
      </c>
      <c r="I82" s="148">
        <v>25212</v>
      </c>
      <c r="J82" s="148"/>
      <c r="K82" s="148"/>
      <c r="L82" s="148"/>
      <c r="M82" s="148"/>
      <c r="N82" s="148"/>
      <c r="O82" s="148"/>
      <c r="P82" s="148"/>
      <c r="Q82" s="148"/>
      <c r="S82" s="148">
        <v>151652</v>
      </c>
      <c r="T82" s="148">
        <v>125301</v>
      </c>
      <c r="U82" s="148">
        <v>125452</v>
      </c>
      <c r="V82" s="148">
        <v>130109</v>
      </c>
      <c r="W82" s="148"/>
      <c r="X82" s="148"/>
      <c r="Y82" s="148"/>
      <c r="Z82" s="148"/>
      <c r="AA82" s="148"/>
      <c r="AB82" s="148"/>
      <c r="AC82" s="148"/>
      <c r="AD82" s="148"/>
      <c r="AF82" s="149">
        <f t="shared" si="42"/>
        <v>0.15922638672750772</v>
      </c>
      <c r="AG82" s="149">
        <f t="shared" si="43"/>
        <v>0.16224930367674639</v>
      </c>
      <c r="AH82" s="149">
        <f t="shared" si="44"/>
        <v>0.17815578866817589</v>
      </c>
      <c r="AI82" s="189">
        <f t="shared" si="45"/>
        <v>0.19377598782559238</v>
      </c>
      <c r="AJ82" s="189" t="str">
        <f t="shared" si="46"/>
        <v/>
      </c>
      <c r="AK82" s="189" t="str">
        <f t="shared" si="47"/>
        <v/>
      </c>
      <c r="AL82" s="149" t="str">
        <f t="shared" si="48"/>
        <v/>
      </c>
      <c r="AM82" s="149" t="str">
        <f t="shared" si="49"/>
        <v/>
      </c>
      <c r="AN82" s="149" t="str">
        <f t="shared" si="50"/>
        <v/>
      </c>
      <c r="AO82" s="149" t="str">
        <f t="shared" si="51"/>
        <v/>
      </c>
      <c r="AP82" s="149" t="str">
        <f t="shared" si="52"/>
        <v/>
      </c>
      <c r="AQ82" s="149" t="str">
        <f t="shared" si="53"/>
        <v/>
      </c>
    </row>
    <row r="83" spans="2:43" x14ac:dyDescent="0.35">
      <c r="B83" s="17"/>
      <c r="C83" s="200">
        <v>71711119</v>
      </c>
      <c r="D83" s="201" t="s">
        <v>418</v>
      </c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F83" s="149" t="str">
        <f t="shared" si="42"/>
        <v/>
      </c>
      <c r="AG83" s="149" t="str">
        <f t="shared" si="43"/>
        <v/>
      </c>
      <c r="AH83" s="149" t="str">
        <f t="shared" si="44"/>
        <v/>
      </c>
      <c r="AI83" s="189" t="str">
        <f t="shared" si="45"/>
        <v/>
      </c>
      <c r="AJ83" s="189" t="str">
        <f t="shared" si="46"/>
        <v/>
      </c>
      <c r="AK83" s="189" t="str">
        <f t="shared" si="47"/>
        <v/>
      </c>
      <c r="AL83" s="149" t="str">
        <f t="shared" si="48"/>
        <v/>
      </c>
      <c r="AM83" s="149" t="str">
        <f t="shared" si="49"/>
        <v/>
      </c>
      <c r="AN83" s="149" t="str">
        <f t="shared" si="50"/>
        <v/>
      </c>
      <c r="AO83" s="149" t="str">
        <f t="shared" si="51"/>
        <v/>
      </c>
      <c r="AP83" s="149" t="str">
        <f t="shared" si="52"/>
        <v/>
      </c>
      <c r="AQ83" s="149" t="str">
        <f t="shared" si="53"/>
        <v/>
      </c>
    </row>
    <row r="84" spans="2:43" x14ac:dyDescent="0.35">
      <c r="B84" s="17"/>
      <c r="C84" s="200">
        <v>20504179215</v>
      </c>
      <c r="D84" s="201" t="s">
        <v>419</v>
      </c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F84" s="149" t="str">
        <f t="shared" si="42"/>
        <v/>
      </c>
      <c r="AG84" s="149" t="str">
        <f t="shared" si="43"/>
        <v/>
      </c>
      <c r="AH84" s="149" t="str">
        <f t="shared" si="44"/>
        <v/>
      </c>
      <c r="AI84" s="189" t="str">
        <f t="shared" si="45"/>
        <v/>
      </c>
      <c r="AJ84" s="189" t="str">
        <f t="shared" si="46"/>
        <v/>
      </c>
      <c r="AK84" s="189" t="str">
        <f t="shared" si="47"/>
        <v/>
      </c>
      <c r="AL84" s="149" t="str">
        <f t="shared" si="48"/>
        <v/>
      </c>
      <c r="AM84" s="149" t="str">
        <f t="shared" si="49"/>
        <v/>
      </c>
      <c r="AN84" s="149" t="str">
        <f t="shared" si="50"/>
        <v/>
      </c>
      <c r="AO84" s="149" t="str">
        <f t="shared" si="51"/>
        <v/>
      </c>
      <c r="AP84" s="149" t="str">
        <f t="shared" si="52"/>
        <v/>
      </c>
      <c r="AQ84" s="149" t="str">
        <f t="shared" si="53"/>
        <v/>
      </c>
    </row>
    <row r="85" spans="2:43" x14ac:dyDescent="0.35">
      <c r="B85" s="17"/>
      <c r="C85" s="200">
        <v>20514374032</v>
      </c>
      <c r="D85" s="201" t="s">
        <v>420</v>
      </c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F85" s="149" t="str">
        <f t="shared" si="42"/>
        <v/>
      </c>
      <c r="AG85" s="149" t="str">
        <f t="shared" si="43"/>
        <v/>
      </c>
      <c r="AH85" s="149" t="str">
        <f t="shared" si="44"/>
        <v/>
      </c>
      <c r="AI85" s="189" t="str">
        <f t="shared" si="45"/>
        <v/>
      </c>
      <c r="AJ85" s="189" t="str">
        <f t="shared" si="46"/>
        <v/>
      </c>
      <c r="AK85" s="189" t="str">
        <f t="shared" si="47"/>
        <v/>
      </c>
      <c r="AL85" s="149" t="str">
        <f t="shared" si="48"/>
        <v/>
      </c>
      <c r="AM85" s="149" t="str">
        <f t="shared" si="49"/>
        <v/>
      </c>
      <c r="AN85" s="149" t="str">
        <f t="shared" si="50"/>
        <v/>
      </c>
      <c r="AO85" s="149" t="str">
        <f t="shared" si="51"/>
        <v/>
      </c>
      <c r="AP85" s="149" t="str">
        <f t="shared" si="52"/>
        <v/>
      </c>
      <c r="AQ85" s="149" t="str">
        <f t="shared" si="53"/>
        <v/>
      </c>
    </row>
    <row r="86" spans="2:43" x14ac:dyDescent="0.35">
      <c r="B86" s="17"/>
      <c r="C86" s="200">
        <v>20515846949</v>
      </c>
      <c r="D86" s="201" t="s">
        <v>421</v>
      </c>
      <c r="F86" s="198">
        <v>11708</v>
      </c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S86" s="148">
        <v>24788</v>
      </c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F86" s="149">
        <f t="shared" si="42"/>
        <v>0.47232531870259803</v>
      </c>
      <c r="AG86" s="149" t="str">
        <f t="shared" si="43"/>
        <v/>
      </c>
      <c r="AH86" s="149" t="str">
        <f t="shared" si="44"/>
        <v/>
      </c>
      <c r="AI86" s="189" t="str">
        <f t="shared" si="45"/>
        <v/>
      </c>
      <c r="AJ86" s="189" t="str">
        <f t="shared" si="46"/>
        <v/>
      </c>
      <c r="AK86" s="189" t="str">
        <f t="shared" si="47"/>
        <v/>
      </c>
      <c r="AL86" s="149" t="str">
        <f t="shared" si="48"/>
        <v/>
      </c>
      <c r="AM86" s="149" t="str">
        <f t="shared" si="49"/>
        <v/>
      </c>
      <c r="AN86" s="149" t="str">
        <f t="shared" si="50"/>
        <v/>
      </c>
      <c r="AO86" s="149" t="str">
        <f t="shared" si="51"/>
        <v/>
      </c>
      <c r="AP86" s="149" t="str">
        <f t="shared" si="52"/>
        <v/>
      </c>
      <c r="AQ86" s="149" t="str">
        <f t="shared" si="53"/>
        <v/>
      </c>
    </row>
    <row r="87" spans="2:43" x14ac:dyDescent="0.35">
      <c r="B87" s="17"/>
      <c r="C87" s="200">
        <v>20513362596</v>
      </c>
      <c r="D87" s="201" t="s">
        <v>422</v>
      </c>
      <c r="F87" s="198">
        <v>7520</v>
      </c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S87" s="148">
        <v>107982</v>
      </c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F87" s="149">
        <f t="shared" si="42"/>
        <v>6.9641236502380022E-2</v>
      </c>
      <c r="AG87" s="149" t="str">
        <f t="shared" si="43"/>
        <v/>
      </c>
      <c r="AH87" s="149" t="str">
        <f t="shared" si="44"/>
        <v/>
      </c>
      <c r="AI87" s="189" t="str">
        <f t="shared" si="45"/>
        <v/>
      </c>
      <c r="AJ87" s="189" t="str">
        <f t="shared" si="46"/>
        <v/>
      </c>
      <c r="AK87" s="189" t="str">
        <f t="shared" si="47"/>
        <v/>
      </c>
      <c r="AL87" s="149" t="str">
        <f t="shared" si="48"/>
        <v/>
      </c>
      <c r="AM87" s="149" t="str">
        <f t="shared" si="49"/>
        <v/>
      </c>
      <c r="AN87" s="149" t="str">
        <f t="shared" si="50"/>
        <v/>
      </c>
      <c r="AO87" s="149" t="str">
        <f t="shared" si="51"/>
        <v/>
      </c>
      <c r="AP87" s="149" t="str">
        <f t="shared" si="52"/>
        <v/>
      </c>
      <c r="AQ87" s="149" t="str">
        <f t="shared" si="53"/>
        <v/>
      </c>
    </row>
    <row r="88" spans="2:43" x14ac:dyDescent="0.35">
      <c r="B88" s="14" t="s">
        <v>423</v>
      </c>
      <c r="C88" s="182"/>
      <c r="D88" s="14"/>
      <c r="F88" s="150">
        <f t="shared" ref="F88:Q88" si="54">+SUM(F68:F87)</f>
        <v>15224240</v>
      </c>
      <c r="G88" s="150">
        <f t="shared" si="54"/>
        <v>13795370</v>
      </c>
      <c r="H88" s="150">
        <f t="shared" si="54"/>
        <v>13865729</v>
      </c>
      <c r="I88" s="150">
        <f t="shared" si="54"/>
        <v>13185568</v>
      </c>
      <c r="J88" s="150">
        <f t="shared" si="54"/>
        <v>0</v>
      </c>
      <c r="K88" s="150">
        <f t="shared" si="54"/>
        <v>0</v>
      </c>
      <c r="L88" s="150">
        <f t="shared" si="54"/>
        <v>0</v>
      </c>
      <c r="M88" s="150">
        <f t="shared" si="54"/>
        <v>0</v>
      </c>
      <c r="N88" s="150">
        <f t="shared" si="54"/>
        <v>0</v>
      </c>
      <c r="O88" s="150">
        <f t="shared" si="54"/>
        <v>0</v>
      </c>
      <c r="P88" s="150">
        <f t="shared" si="54"/>
        <v>0</v>
      </c>
      <c r="Q88" s="150">
        <f t="shared" si="54"/>
        <v>0</v>
      </c>
      <c r="S88" s="150">
        <f t="shared" ref="S88:AD88" si="55">+SUM(S68:S87)</f>
        <v>119354833</v>
      </c>
      <c r="T88" s="150">
        <f t="shared" si="55"/>
        <v>108661832</v>
      </c>
      <c r="U88" s="150">
        <f t="shared" si="55"/>
        <v>108127088</v>
      </c>
      <c r="V88" s="150">
        <f t="shared" si="55"/>
        <v>104145253</v>
      </c>
      <c r="W88" s="150">
        <f t="shared" si="55"/>
        <v>0</v>
      </c>
      <c r="X88" s="150">
        <f t="shared" si="55"/>
        <v>0</v>
      </c>
      <c r="Y88" s="150">
        <f t="shared" si="55"/>
        <v>0</v>
      </c>
      <c r="Z88" s="150">
        <f t="shared" si="55"/>
        <v>0</v>
      </c>
      <c r="AA88" s="150">
        <f t="shared" si="55"/>
        <v>0</v>
      </c>
      <c r="AB88" s="150">
        <f t="shared" si="55"/>
        <v>0</v>
      </c>
      <c r="AC88" s="150">
        <f t="shared" si="55"/>
        <v>0</v>
      </c>
      <c r="AD88" s="150">
        <f t="shared" si="55"/>
        <v>0</v>
      </c>
      <c r="AF88" s="151">
        <f t="shared" si="42"/>
        <v>0.12755444934517229</v>
      </c>
      <c r="AG88" s="151">
        <f t="shared" si="43"/>
        <v>0.12695690608271726</v>
      </c>
      <c r="AH88" s="151">
        <f t="shared" si="44"/>
        <v>0.12823547971623911</v>
      </c>
      <c r="AI88" s="190">
        <f t="shared" si="45"/>
        <v>0.12660747965152094</v>
      </c>
      <c r="AJ88" s="190" t="str">
        <f t="shared" si="46"/>
        <v/>
      </c>
      <c r="AK88" s="190" t="str">
        <f t="shared" si="47"/>
        <v/>
      </c>
      <c r="AL88" s="151" t="str">
        <f t="shared" si="48"/>
        <v/>
      </c>
      <c r="AM88" s="151" t="str">
        <f t="shared" si="49"/>
        <v/>
      </c>
      <c r="AN88" s="151" t="str">
        <f t="shared" si="50"/>
        <v/>
      </c>
      <c r="AO88" s="151" t="str">
        <f t="shared" si="51"/>
        <v/>
      </c>
      <c r="AP88" s="151" t="str">
        <f t="shared" si="52"/>
        <v/>
      </c>
      <c r="AQ88" s="151" t="str">
        <f t="shared" si="53"/>
        <v/>
      </c>
    </row>
    <row r="89" spans="2:43" x14ac:dyDescent="0.35">
      <c r="B89" s="17"/>
      <c r="C89" s="200"/>
      <c r="D89" s="17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F89" s="153"/>
      <c r="AG89" s="153"/>
      <c r="AH89" s="153"/>
      <c r="AI89" s="191"/>
      <c r="AJ89" s="191"/>
      <c r="AK89" s="191"/>
      <c r="AL89" s="153"/>
      <c r="AM89" s="153"/>
      <c r="AN89" s="153"/>
      <c r="AO89" s="153"/>
    </row>
    <row r="90" spans="2:43" x14ac:dyDescent="0.35">
      <c r="B90" s="17" t="s">
        <v>103</v>
      </c>
      <c r="C90" s="200">
        <v>20492092313</v>
      </c>
      <c r="D90" s="201" t="s">
        <v>424</v>
      </c>
      <c r="F90" s="148">
        <v>10287255</v>
      </c>
      <c r="G90" s="148">
        <v>9991236</v>
      </c>
      <c r="H90" s="148">
        <v>10376257</v>
      </c>
      <c r="I90" s="148">
        <v>10240294</v>
      </c>
      <c r="J90" s="148"/>
      <c r="K90" s="148"/>
      <c r="L90" s="148"/>
      <c r="M90" s="148"/>
      <c r="N90" s="148"/>
      <c r="O90" s="148"/>
      <c r="P90" s="148"/>
      <c r="Q90" s="148"/>
      <c r="S90" s="148">
        <v>93206242</v>
      </c>
      <c r="T90" s="148">
        <v>92920431</v>
      </c>
      <c r="U90" s="148">
        <v>94767483</v>
      </c>
      <c r="V90" s="148">
        <v>91236414</v>
      </c>
      <c r="W90" s="148"/>
      <c r="X90" s="148"/>
      <c r="Y90" s="148"/>
      <c r="Z90" s="148"/>
      <c r="AA90" s="148"/>
      <c r="AB90" s="148"/>
      <c r="AC90" s="148"/>
      <c r="AD90" s="148"/>
      <c r="AF90" s="149">
        <f t="shared" ref="AF90:AF110" si="56">+IFERROR(F90/S90,"")</f>
        <v>0.11037088052536224</v>
      </c>
      <c r="AG90" s="149">
        <f t="shared" ref="AG90:AG110" si="57">+IFERROR(G90/T90,"")</f>
        <v>0.10752464116314743</v>
      </c>
      <c r="AH90" s="149">
        <f t="shared" ref="AH90:AH110" si="58">+IFERROR(H90/U90,"")</f>
        <v>0.10949174412493365</v>
      </c>
      <c r="AI90" s="189">
        <f t="shared" ref="AI90:AI110" si="59">+IFERROR(I90/V90,"")</f>
        <v>0.11223911101986099</v>
      </c>
      <c r="AJ90" s="189" t="str">
        <f t="shared" ref="AJ90:AJ110" si="60">+IFERROR(J90/W90,"")</f>
        <v/>
      </c>
      <c r="AK90" s="189" t="str">
        <f t="shared" ref="AK90:AK110" si="61">+IFERROR(K90/X90,"")</f>
        <v/>
      </c>
      <c r="AL90" s="149" t="str">
        <f t="shared" ref="AL90:AL110" si="62">+IFERROR(L90/Y90,"")</f>
        <v/>
      </c>
      <c r="AM90" s="149" t="str">
        <f t="shared" ref="AM90:AM110" si="63">+IFERROR(M90/Z90,"")</f>
        <v/>
      </c>
      <c r="AN90" s="149" t="str">
        <f t="shared" ref="AN90:AN110" si="64">+IFERROR(N90/AA90,"")</f>
        <v/>
      </c>
      <c r="AO90" s="149" t="str">
        <f t="shared" ref="AO90:AO110" si="65">+IFERROR(O90/AB90,"")</f>
        <v/>
      </c>
      <c r="AP90" s="149" t="str">
        <f t="shared" ref="AP90:AP110" si="66">+IFERROR(P90/AC90,"")</f>
        <v/>
      </c>
      <c r="AQ90" s="149" t="str">
        <f t="shared" ref="AQ90:AQ110" si="67">+IFERROR(Q90/AD90,"")</f>
        <v/>
      </c>
    </row>
    <row r="91" spans="2:43" x14ac:dyDescent="0.35">
      <c r="B91" s="17"/>
      <c r="C91" s="200">
        <v>20141189850</v>
      </c>
      <c r="D91" s="201" t="s">
        <v>425</v>
      </c>
      <c r="F91" s="198">
        <v>919228</v>
      </c>
      <c r="G91" s="148"/>
      <c r="H91" s="148">
        <v>1399040</v>
      </c>
      <c r="I91" s="148"/>
      <c r="J91" s="148"/>
      <c r="K91" s="148"/>
      <c r="L91" s="148"/>
      <c r="M91" s="148"/>
      <c r="N91" s="148"/>
      <c r="O91" s="148"/>
      <c r="P91" s="148"/>
      <c r="Q91" s="148"/>
      <c r="S91" s="148">
        <v>8430564</v>
      </c>
      <c r="T91" s="148"/>
      <c r="U91" s="148">
        <v>11458968</v>
      </c>
      <c r="V91" s="148"/>
      <c r="W91" s="148"/>
      <c r="X91" s="148"/>
      <c r="Y91" s="148"/>
      <c r="Z91" s="148"/>
      <c r="AA91" s="148"/>
      <c r="AB91" s="148"/>
      <c r="AC91" s="148"/>
      <c r="AD91" s="148"/>
      <c r="AF91" s="149">
        <f t="shared" si="56"/>
        <v>0.10903517249854221</v>
      </c>
      <c r="AG91" s="149" t="str">
        <f t="shared" si="57"/>
        <v/>
      </c>
      <c r="AH91" s="149">
        <f t="shared" si="58"/>
        <v>0.12209127383897049</v>
      </c>
      <c r="AI91" s="189" t="str">
        <f t="shared" si="59"/>
        <v/>
      </c>
      <c r="AJ91" s="189" t="str">
        <f t="shared" si="60"/>
        <v/>
      </c>
      <c r="AK91" s="189" t="str">
        <f t="shared" si="61"/>
        <v/>
      </c>
      <c r="AL91" s="149" t="str">
        <f t="shared" si="62"/>
        <v/>
      </c>
      <c r="AM91" s="149" t="str">
        <f t="shared" si="63"/>
        <v/>
      </c>
      <c r="AN91" s="149" t="str">
        <f t="shared" si="64"/>
        <v/>
      </c>
      <c r="AO91" s="149" t="str">
        <f t="shared" si="65"/>
        <v/>
      </c>
      <c r="AP91" s="149" t="str">
        <f t="shared" si="66"/>
        <v/>
      </c>
      <c r="AQ91" s="149" t="str">
        <f t="shared" si="67"/>
        <v/>
      </c>
    </row>
    <row r="92" spans="2:43" x14ac:dyDescent="0.35">
      <c r="B92" s="17"/>
      <c r="C92" s="200">
        <v>20378890161</v>
      </c>
      <c r="D92" s="201" t="s">
        <v>426</v>
      </c>
      <c r="F92" s="198">
        <v>54694</v>
      </c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S92" s="148">
        <v>137527</v>
      </c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F92" s="149">
        <f t="shared" si="56"/>
        <v>0.39769645233299644</v>
      </c>
      <c r="AG92" s="149" t="str">
        <f t="shared" si="57"/>
        <v/>
      </c>
      <c r="AH92" s="149" t="str">
        <f t="shared" si="58"/>
        <v/>
      </c>
      <c r="AI92" s="189" t="str">
        <f t="shared" si="59"/>
        <v/>
      </c>
      <c r="AJ92" s="189" t="str">
        <f t="shared" si="60"/>
        <v/>
      </c>
      <c r="AK92" s="189" t="str">
        <f t="shared" si="61"/>
        <v/>
      </c>
      <c r="AL92" s="149" t="str">
        <f t="shared" si="62"/>
        <v/>
      </c>
      <c r="AM92" s="149" t="str">
        <f t="shared" si="63"/>
        <v/>
      </c>
      <c r="AN92" s="149" t="str">
        <f t="shared" si="64"/>
        <v/>
      </c>
      <c r="AO92" s="149" t="str">
        <f t="shared" si="65"/>
        <v/>
      </c>
      <c r="AP92" s="149" t="str">
        <f t="shared" si="66"/>
        <v/>
      </c>
      <c r="AQ92" s="149" t="str">
        <f t="shared" si="67"/>
        <v/>
      </c>
    </row>
    <row r="93" spans="2:43" x14ac:dyDescent="0.35">
      <c r="B93" s="17"/>
      <c r="C93" s="200">
        <v>20467675436</v>
      </c>
      <c r="D93" s="201" t="s">
        <v>427</v>
      </c>
      <c r="F93" s="148">
        <v>1635274</v>
      </c>
      <c r="G93" s="148">
        <v>1567458</v>
      </c>
      <c r="H93" s="148">
        <v>1476655</v>
      </c>
      <c r="I93" s="148">
        <v>1446593</v>
      </c>
      <c r="J93" s="148"/>
      <c r="K93" s="148"/>
      <c r="L93" s="148"/>
      <c r="M93" s="148"/>
      <c r="N93" s="148"/>
      <c r="O93" s="148"/>
      <c r="P93" s="148"/>
      <c r="Q93" s="148"/>
      <c r="S93" s="148">
        <v>13560212</v>
      </c>
      <c r="T93" s="148">
        <v>12716655</v>
      </c>
      <c r="U93" s="148">
        <v>12403049</v>
      </c>
      <c r="V93" s="148">
        <v>11661797</v>
      </c>
      <c r="W93" s="148"/>
      <c r="X93" s="148"/>
      <c r="Y93" s="148"/>
      <c r="Z93" s="148"/>
      <c r="AA93" s="148"/>
      <c r="AB93" s="148"/>
      <c r="AC93" s="148"/>
      <c r="AD93" s="148"/>
      <c r="AF93" s="149">
        <f t="shared" si="56"/>
        <v>0.12059354234284833</v>
      </c>
      <c r="AG93" s="149">
        <f t="shared" si="57"/>
        <v>0.12326024414439174</v>
      </c>
      <c r="AH93" s="149">
        <f t="shared" si="58"/>
        <v>0.11905580635858166</v>
      </c>
      <c r="AI93" s="189">
        <f t="shared" si="59"/>
        <v>0.12404546229024566</v>
      </c>
      <c r="AJ93" s="189" t="str">
        <f t="shared" si="60"/>
        <v/>
      </c>
      <c r="AK93" s="189" t="str">
        <f t="shared" si="61"/>
        <v/>
      </c>
      <c r="AL93" s="149" t="str">
        <f t="shared" si="62"/>
        <v/>
      </c>
      <c r="AM93" s="149" t="str">
        <f t="shared" si="63"/>
        <v/>
      </c>
      <c r="AN93" s="149" t="str">
        <f t="shared" si="64"/>
        <v/>
      </c>
      <c r="AO93" s="149" t="str">
        <f t="shared" si="65"/>
        <v/>
      </c>
      <c r="AP93" s="149" t="str">
        <f t="shared" si="66"/>
        <v/>
      </c>
      <c r="AQ93" s="149" t="str">
        <f t="shared" si="67"/>
        <v/>
      </c>
    </row>
    <row r="94" spans="2:43" x14ac:dyDescent="0.35">
      <c r="B94" s="17"/>
      <c r="C94" s="200">
        <v>20601844916</v>
      </c>
      <c r="D94" s="201" t="s">
        <v>428</v>
      </c>
      <c r="F94" s="198">
        <v>68208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S94" s="148">
        <v>535786</v>
      </c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F94" s="149">
        <f t="shared" si="56"/>
        <v>0.12730455816314723</v>
      </c>
      <c r="AG94" s="149" t="str">
        <f t="shared" si="57"/>
        <v/>
      </c>
      <c r="AH94" s="149" t="str">
        <f t="shared" si="58"/>
        <v/>
      </c>
      <c r="AI94" s="189" t="str">
        <f t="shared" si="59"/>
        <v/>
      </c>
      <c r="AJ94" s="189" t="str">
        <f t="shared" si="60"/>
        <v/>
      </c>
      <c r="AK94" s="189" t="str">
        <f t="shared" si="61"/>
        <v/>
      </c>
      <c r="AL94" s="149" t="str">
        <f t="shared" si="62"/>
        <v/>
      </c>
      <c r="AM94" s="149" t="str">
        <f t="shared" si="63"/>
        <v/>
      </c>
      <c r="AN94" s="149" t="str">
        <f t="shared" si="64"/>
        <v/>
      </c>
      <c r="AO94" s="149" t="str">
        <f t="shared" si="65"/>
        <v/>
      </c>
      <c r="AP94" s="149" t="str">
        <f t="shared" si="66"/>
        <v/>
      </c>
      <c r="AQ94" s="149" t="str">
        <f t="shared" si="67"/>
        <v/>
      </c>
    </row>
    <row r="95" spans="2:43" x14ac:dyDescent="0.35">
      <c r="B95" s="17"/>
      <c r="C95" s="200">
        <v>20502257987</v>
      </c>
      <c r="D95" s="201" t="s">
        <v>429</v>
      </c>
      <c r="F95" s="148">
        <v>390888</v>
      </c>
      <c r="G95" s="148">
        <v>366890</v>
      </c>
      <c r="H95" s="148">
        <v>516761</v>
      </c>
      <c r="I95" s="148">
        <v>355481</v>
      </c>
      <c r="J95" s="148"/>
      <c r="K95" s="148"/>
      <c r="L95" s="148"/>
      <c r="M95" s="148"/>
      <c r="N95" s="148"/>
      <c r="O95" s="148"/>
      <c r="P95" s="148"/>
      <c r="Q95" s="148"/>
      <c r="S95" s="148">
        <v>5984803</v>
      </c>
      <c r="T95" s="148">
        <v>5189859</v>
      </c>
      <c r="U95" s="148">
        <v>5230813</v>
      </c>
      <c r="V95" s="148">
        <v>4409447</v>
      </c>
      <c r="W95" s="148"/>
      <c r="X95" s="148"/>
      <c r="Y95" s="148"/>
      <c r="Z95" s="148"/>
      <c r="AA95" s="148"/>
      <c r="AB95" s="148"/>
      <c r="AC95" s="148"/>
      <c r="AD95" s="148"/>
      <c r="AF95" s="149">
        <f t="shared" si="56"/>
        <v>6.5313428027622633E-2</v>
      </c>
      <c r="AG95" s="149">
        <f t="shared" si="57"/>
        <v>7.0693635414757899E-2</v>
      </c>
      <c r="AH95" s="149">
        <f t="shared" si="58"/>
        <v>9.8791717463422996E-2</v>
      </c>
      <c r="AI95" s="189">
        <f t="shared" si="59"/>
        <v>8.0618045754943871E-2</v>
      </c>
      <c r="AJ95" s="189" t="str">
        <f t="shared" si="60"/>
        <v/>
      </c>
      <c r="AK95" s="189" t="str">
        <f t="shared" si="61"/>
        <v/>
      </c>
      <c r="AL95" s="149" t="str">
        <f t="shared" si="62"/>
        <v/>
      </c>
      <c r="AM95" s="149" t="str">
        <f t="shared" si="63"/>
        <v/>
      </c>
      <c r="AN95" s="149" t="str">
        <f t="shared" si="64"/>
        <v/>
      </c>
      <c r="AO95" s="149" t="str">
        <f t="shared" si="65"/>
        <v/>
      </c>
      <c r="AP95" s="149" t="str">
        <f t="shared" si="66"/>
        <v/>
      </c>
      <c r="AQ95" s="149" t="str">
        <f t="shared" si="67"/>
        <v/>
      </c>
    </row>
    <row r="96" spans="2:43" x14ac:dyDescent="0.35">
      <c r="B96" s="17"/>
      <c r="C96" s="200">
        <v>20340546653</v>
      </c>
      <c r="D96" s="201" t="s">
        <v>430</v>
      </c>
      <c r="F96" s="148">
        <v>47915</v>
      </c>
      <c r="G96" s="148">
        <v>52075</v>
      </c>
      <c r="H96" s="148">
        <v>13808</v>
      </c>
      <c r="I96" s="148">
        <v>27186</v>
      </c>
      <c r="J96" s="148"/>
      <c r="K96" s="148"/>
      <c r="L96" s="148"/>
      <c r="M96" s="148"/>
      <c r="N96" s="148"/>
      <c r="O96" s="148"/>
      <c r="P96" s="148"/>
      <c r="Q96" s="148"/>
      <c r="S96" s="148">
        <v>427370</v>
      </c>
      <c r="T96" s="148">
        <v>332779</v>
      </c>
      <c r="U96" s="148">
        <v>79963</v>
      </c>
      <c r="V96" s="148">
        <v>377950</v>
      </c>
      <c r="W96" s="148"/>
      <c r="X96" s="148"/>
      <c r="Y96" s="148"/>
      <c r="Z96" s="148"/>
      <c r="AA96" s="148"/>
      <c r="AB96" s="148"/>
      <c r="AC96" s="148"/>
      <c r="AD96" s="148"/>
      <c r="AF96" s="149">
        <f t="shared" si="56"/>
        <v>0.11211596508879894</v>
      </c>
      <c r="AG96" s="149">
        <f t="shared" si="57"/>
        <v>0.15648523494571473</v>
      </c>
      <c r="AH96" s="149">
        <f t="shared" si="58"/>
        <v>0.17267986443730224</v>
      </c>
      <c r="AI96" s="189">
        <f t="shared" si="59"/>
        <v>7.1930149490673376E-2</v>
      </c>
      <c r="AJ96" s="189" t="str">
        <f t="shared" si="60"/>
        <v/>
      </c>
      <c r="AK96" s="189" t="str">
        <f t="shared" si="61"/>
        <v/>
      </c>
      <c r="AL96" s="149" t="str">
        <f t="shared" si="62"/>
        <v/>
      </c>
      <c r="AM96" s="149" t="str">
        <f t="shared" si="63"/>
        <v/>
      </c>
      <c r="AN96" s="149" t="str">
        <f t="shared" si="64"/>
        <v/>
      </c>
      <c r="AO96" s="149" t="str">
        <f t="shared" si="65"/>
        <v/>
      </c>
      <c r="AP96" s="149" t="str">
        <f t="shared" si="66"/>
        <v/>
      </c>
      <c r="AQ96" s="149" t="str">
        <f t="shared" si="67"/>
        <v/>
      </c>
    </row>
    <row r="97" spans="2:43" x14ac:dyDescent="0.35">
      <c r="B97" s="17"/>
      <c r="C97" s="200">
        <v>20388853752</v>
      </c>
      <c r="D97" s="201" t="s">
        <v>431</v>
      </c>
      <c r="F97" s="148">
        <v>213345</v>
      </c>
      <c r="G97" s="148">
        <v>166741</v>
      </c>
      <c r="H97" s="148">
        <v>165408</v>
      </c>
      <c r="I97" s="148">
        <v>236682</v>
      </c>
      <c r="J97" s="148"/>
      <c r="K97" s="148"/>
      <c r="L97" s="148"/>
      <c r="M97" s="148"/>
      <c r="N97" s="148"/>
      <c r="O97" s="148"/>
      <c r="P97" s="148"/>
      <c r="Q97" s="148"/>
      <c r="S97" s="148">
        <v>1321509</v>
      </c>
      <c r="T97" s="148">
        <v>1106182</v>
      </c>
      <c r="U97" s="148">
        <v>1069465</v>
      </c>
      <c r="V97" s="148">
        <v>1055054</v>
      </c>
      <c r="W97" s="148"/>
      <c r="X97" s="148"/>
      <c r="Y97" s="148"/>
      <c r="Z97" s="148"/>
      <c r="AA97" s="148"/>
      <c r="AB97" s="148"/>
      <c r="AC97" s="148"/>
      <c r="AD97" s="148"/>
      <c r="AF97" s="149">
        <f t="shared" si="56"/>
        <v>0.16144044421944914</v>
      </c>
      <c r="AG97" s="149">
        <f t="shared" si="57"/>
        <v>0.15073559323872562</v>
      </c>
      <c r="AH97" s="149">
        <f t="shared" si="58"/>
        <v>0.15466424801185641</v>
      </c>
      <c r="AI97" s="189">
        <f t="shared" si="59"/>
        <v>0.2243316455840175</v>
      </c>
      <c r="AJ97" s="189" t="str">
        <f t="shared" si="60"/>
        <v/>
      </c>
      <c r="AK97" s="189" t="str">
        <f t="shared" si="61"/>
        <v/>
      </c>
      <c r="AL97" s="149" t="str">
        <f t="shared" si="62"/>
        <v/>
      </c>
      <c r="AM97" s="149" t="str">
        <f t="shared" si="63"/>
        <v/>
      </c>
      <c r="AN97" s="149" t="str">
        <f t="shared" si="64"/>
        <v/>
      </c>
      <c r="AO97" s="149" t="str">
        <f t="shared" si="65"/>
        <v/>
      </c>
      <c r="AP97" s="149" t="str">
        <f t="shared" si="66"/>
        <v/>
      </c>
      <c r="AQ97" s="149" t="str">
        <f t="shared" si="67"/>
        <v/>
      </c>
    </row>
    <row r="98" spans="2:43" x14ac:dyDescent="0.35">
      <c r="B98" s="17"/>
      <c r="C98" s="200">
        <v>20494007488</v>
      </c>
      <c r="D98" s="201" t="s">
        <v>432</v>
      </c>
      <c r="F98" s="198">
        <v>203954</v>
      </c>
      <c r="G98" s="148"/>
      <c r="H98" s="148">
        <v>313896</v>
      </c>
      <c r="I98" s="148"/>
      <c r="J98" s="148"/>
      <c r="K98" s="148"/>
      <c r="L98" s="148"/>
      <c r="M98" s="148"/>
      <c r="N98" s="148"/>
      <c r="O98" s="148"/>
      <c r="P98" s="148"/>
      <c r="Q98" s="148"/>
      <c r="S98" s="148">
        <v>1744035</v>
      </c>
      <c r="T98" s="148"/>
      <c r="U98" s="148">
        <v>2208319</v>
      </c>
      <c r="V98" s="148"/>
      <c r="W98" s="148"/>
      <c r="X98" s="148"/>
      <c r="Y98" s="148"/>
      <c r="Z98" s="148"/>
      <c r="AA98" s="148"/>
      <c r="AB98" s="148"/>
      <c r="AC98" s="148"/>
      <c r="AD98" s="148"/>
      <c r="AF98" s="149">
        <f t="shared" si="56"/>
        <v>0.11694375399576271</v>
      </c>
      <c r="AG98" s="149" t="str">
        <f t="shared" si="57"/>
        <v/>
      </c>
      <c r="AH98" s="149">
        <f t="shared" si="58"/>
        <v>0.14214250749099203</v>
      </c>
      <c r="AI98" s="189" t="str">
        <f t="shared" si="59"/>
        <v/>
      </c>
      <c r="AJ98" s="189" t="str">
        <f t="shared" si="60"/>
        <v/>
      </c>
      <c r="AK98" s="189" t="str">
        <f t="shared" si="61"/>
        <v/>
      </c>
      <c r="AL98" s="149" t="str">
        <f t="shared" si="62"/>
        <v/>
      </c>
      <c r="AM98" s="149" t="str">
        <f t="shared" si="63"/>
        <v/>
      </c>
      <c r="AN98" s="149" t="str">
        <f t="shared" si="64"/>
        <v/>
      </c>
      <c r="AO98" s="149" t="str">
        <f t="shared" si="65"/>
        <v/>
      </c>
      <c r="AP98" s="149" t="str">
        <f t="shared" si="66"/>
        <v/>
      </c>
      <c r="AQ98" s="149" t="str">
        <f t="shared" si="67"/>
        <v/>
      </c>
    </row>
    <row r="99" spans="2:43" x14ac:dyDescent="0.35">
      <c r="B99" s="17"/>
      <c r="C99" s="200">
        <v>20212331377</v>
      </c>
      <c r="D99" s="201" t="s">
        <v>433</v>
      </c>
      <c r="F99" s="198">
        <v>55284</v>
      </c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S99" s="148">
        <v>271157</v>
      </c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F99" s="149">
        <f t="shared" si="56"/>
        <v>0.20388188392702383</v>
      </c>
      <c r="AG99" s="149" t="str">
        <f t="shared" si="57"/>
        <v/>
      </c>
      <c r="AH99" s="149" t="str">
        <f t="shared" si="58"/>
        <v/>
      </c>
      <c r="AI99" s="189" t="str">
        <f t="shared" si="59"/>
        <v/>
      </c>
      <c r="AJ99" s="189" t="str">
        <f t="shared" si="60"/>
        <v/>
      </c>
      <c r="AK99" s="189" t="str">
        <f t="shared" si="61"/>
        <v/>
      </c>
      <c r="AL99" s="149" t="str">
        <f t="shared" si="62"/>
        <v/>
      </c>
      <c r="AM99" s="149" t="str">
        <f t="shared" si="63"/>
        <v/>
      </c>
      <c r="AN99" s="149" t="str">
        <f t="shared" si="64"/>
        <v/>
      </c>
      <c r="AO99" s="149" t="str">
        <f t="shared" si="65"/>
        <v/>
      </c>
      <c r="AP99" s="149" t="str">
        <f t="shared" si="66"/>
        <v/>
      </c>
      <c r="AQ99" s="149" t="str">
        <f t="shared" si="67"/>
        <v/>
      </c>
    </row>
    <row r="100" spans="2:43" x14ac:dyDescent="0.35">
      <c r="B100" s="17"/>
      <c r="C100" s="200">
        <v>20374412524</v>
      </c>
      <c r="D100" s="201" t="s">
        <v>434</v>
      </c>
      <c r="F100" s="198">
        <v>5638</v>
      </c>
      <c r="G100" s="148"/>
      <c r="H100" s="148">
        <v>37095</v>
      </c>
      <c r="I100" s="148"/>
      <c r="J100" s="148"/>
      <c r="K100" s="148"/>
      <c r="L100" s="148"/>
      <c r="M100" s="148"/>
      <c r="N100" s="148"/>
      <c r="O100" s="148"/>
      <c r="P100" s="148"/>
      <c r="Q100" s="148"/>
      <c r="S100" s="148">
        <v>58438</v>
      </c>
      <c r="T100" s="148"/>
      <c r="U100" s="148">
        <v>284455</v>
      </c>
      <c r="V100" s="148"/>
      <c r="W100" s="148"/>
      <c r="X100" s="148"/>
      <c r="Y100" s="148"/>
      <c r="Z100" s="148"/>
      <c r="AA100" s="148"/>
      <c r="AB100" s="148"/>
      <c r="AC100" s="148"/>
      <c r="AD100" s="148"/>
      <c r="AF100" s="149">
        <f t="shared" si="56"/>
        <v>9.6478318902084262E-2</v>
      </c>
      <c r="AG100" s="149" t="str">
        <f t="shared" si="57"/>
        <v/>
      </c>
      <c r="AH100" s="149">
        <f t="shared" si="58"/>
        <v>0.13040727004271327</v>
      </c>
      <c r="AI100" s="189" t="str">
        <f t="shared" si="59"/>
        <v/>
      </c>
      <c r="AJ100" s="189" t="str">
        <f t="shared" si="60"/>
        <v/>
      </c>
      <c r="AK100" s="189" t="str">
        <f t="shared" si="61"/>
        <v/>
      </c>
      <c r="AL100" s="149" t="str">
        <f t="shared" si="62"/>
        <v/>
      </c>
      <c r="AM100" s="149" t="str">
        <f t="shared" si="63"/>
        <v/>
      </c>
      <c r="AN100" s="149" t="str">
        <f t="shared" si="64"/>
        <v/>
      </c>
      <c r="AO100" s="149" t="str">
        <f t="shared" si="65"/>
        <v/>
      </c>
      <c r="AP100" s="149" t="str">
        <f t="shared" si="66"/>
        <v/>
      </c>
      <c r="AQ100" s="149" t="str">
        <f t="shared" si="67"/>
        <v/>
      </c>
    </row>
    <row r="101" spans="2:43" x14ac:dyDescent="0.35">
      <c r="B101" s="17"/>
      <c r="C101" s="200">
        <v>20492470873</v>
      </c>
      <c r="D101" s="201" t="s">
        <v>435</v>
      </c>
      <c r="F101" s="148">
        <v>173832</v>
      </c>
      <c r="G101" s="148">
        <v>217909</v>
      </c>
      <c r="H101" s="148">
        <v>87481</v>
      </c>
      <c r="I101" s="148">
        <v>166655</v>
      </c>
      <c r="J101" s="148"/>
      <c r="K101" s="148"/>
      <c r="L101" s="148"/>
      <c r="M101" s="148"/>
      <c r="N101" s="148"/>
      <c r="O101" s="148"/>
      <c r="P101" s="148"/>
      <c r="Q101" s="148"/>
      <c r="S101" s="148">
        <v>1076058</v>
      </c>
      <c r="T101" s="148">
        <v>1274901</v>
      </c>
      <c r="U101" s="148">
        <v>652538</v>
      </c>
      <c r="V101" s="148">
        <v>1131074</v>
      </c>
      <c r="W101" s="148"/>
      <c r="X101" s="148"/>
      <c r="Y101" s="148"/>
      <c r="Z101" s="148"/>
      <c r="AA101" s="148"/>
      <c r="AB101" s="148"/>
      <c r="AC101" s="148"/>
      <c r="AD101" s="148"/>
      <c r="AF101" s="149">
        <f t="shared" si="56"/>
        <v>0.16154519551920063</v>
      </c>
      <c r="AG101" s="149">
        <f t="shared" si="57"/>
        <v>0.17092229122104383</v>
      </c>
      <c r="AH101" s="149">
        <f t="shared" si="58"/>
        <v>0.13406269060192663</v>
      </c>
      <c r="AI101" s="189">
        <f t="shared" si="59"/>
        <v>0.14734226054175059</v>
      </c>
      <c r="AJ101" s="189" t="str">
        <f t="shared" si="60"/>
        <v/>
      </c>
      <c r="AK101" s="189" t="str">
        <f t="shared" si="61"/>
        <v/>
      </c>
      <c r="AL101" s="149" t="str">
        <f t="shared" si="62"/>
        <v/>
      </c>
      <c r="AM101" s="149" t="str">
        <f t="shared" si="63"/>
        <v/>
      </c>
      <c r="AN101" s="149" t="str">
        <f t="shared" si="64"/>
        <v/>
      </c>
      <c r="AO101" s="149" t="str">
        <f t="shared" si="65"/>
        <v/>
      </c>
      <c r="AP101" s="149" t="str">
        <f t="shared" si="66"/>
        <v/>
      </c>
      <c r="AQ101" s="149" t="str">
        <f t="shared" si="67"/>
        <v/>
      </c>
    </row>
    <row r="102" spans="2:43" x14ac:dyDescent="0.35">
      <c r="B102" s="17"/>
      <c r="C102" s="200">
        <v>20608122649</v>
      </c>
      <c r="D102" s="201" t="s">
        <v>436</v>
      </c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F102" s="149" t="str">
        <f t="shared" si="56"/>
        <v/>
      </c>
      <c r="AG102" s="149" t="str">
        <f t="shared" si="57"/>
        <v/>
      </c>
      <c r="AH102" s="149" t="str">
        <f t="shared" si="58"/>
        <v/>
      </c>
      <c r="AI102" s="189" t="str">
        <f t="shared" si="59"/>
        <v/>
      </c>
      <c r="AJ102" s="189" t="str">
        <f t="shared" si="60"/>
        <v/>
      </c>
      <c r="AK102" s="189" t="str">
        <f t="shared" si="61"/>
        <v/>
      </c>
      <c r="AL102" s="149" t="str">
        <f t="shared" si="62"/>
        <v/>
      </c>
      <c r="AM102" s="149" t="str">
        <f t="shared" si="63"/>
        <v/>
      </c>
      <c r="AN102" s="149" t="str">
        <f t="shared" si="64"/>
        <v/>
      </c>
      <c r="AO102" s="149" t="str">
        <f t="shared" si="65"/>
        <v/>
      </c>
      <c r="AP102" s="149" t="str">
        <f t="shared" si="66"/>
        <v/>
      </c>
      <c r="AQ102" s="149" t="str">
        <f t="shared" si="67"/>
        <v/>
      </c>
    </row>
    <row r="103" spans="2:43" x14ac:dyDescent="0.35">
      <c r="B103" s="17"/>
      <c r="C103" s="200">
        <v>20542290979</v>
      </c>
      <c r="D103" s="201" t="s">
        <v>437</v>
      </c>
      <c r="F103" s="148">
        <v>244213</v>
      </c>
      <c r="G103" s="148">
        <v>45597</v>
      </c>
      <c r="H103" s="148"/>
      <c r="I103" s="148">
        <v>49755</v>
      </c>
      <c r="J103" s="148"/>
      <c r="K103" s="148"/>
      <c r="L103" s="148"/>
      <c r="M103" s="148"/>
      <c r="N103" s="148"/>
      <c r="O103" s="148"/>
      <c r="P103" s="148"/>
      <c r="Q103" s="148"/>
      <c r="S103" s="148">
        <v>531556</v>
      </c>
      <c r="T103" s="148">
        <v>267126</v>
      </c>
      <c r="U103" s="148"/>
      <c r="V103" s="148">
        <v>183035</v>
      </c>
      <c r="W103" s="148"/>
      <c r="X103" s="148"/>
      <c r="Y103" s="148"/>
      <c r="Z103" s="148"/>
      <c r="AA103" s="148"/>
      <c r="AB103" s="148"/>
      <c r="AC103" s="148"/>
      <c r="AD103" s="148"/>
      <c r="AF103" s="149">
        <f t="shared" si="56"/>
        <v>0.45943042689763636</v>
      </c>
      <c r="AG103" s="149">
        <f t="shared" si="57"/>
        <v>0.1706947283304508</v>
      </c>
      <c r="AH103" s="149" t="str">
        <f t="shared" si="58"/>
        <v/>
      </c>
      <c r="AI103" s="189">
        <f t="shared" si="59"/>
        <v>0.27183325593465729</v>
      </c>
      <c r="AJ103" s="189" t="str">
        <f t="shared" si="60"/>
        <v/>
      </c>
      <c r="AK103" s="189" t="str">
        <f t="shared" si="61"/>
        <v/>
      </c>
      <c r="AL103" s="149" t="str">
        <f t="shared" si="62"/>
        <v/>
      </c>
      <c r="AM103" s="149" t="str">
        <f t="shared" si="63"/>
        <v/>
      </c>
      <c r="AN103" s="149" t="str">
        <f t="shared" si="64"/>
        <v/>
      </c>
      <c r="AO103" s="149" t="str">
        <f t="shared" si="65"/>
        <v/>
      </c>
      <c r="AP103" s="149" t="str">
        <f t="shared" si="66"/>
        <v/>
      </c>
      <c r="AQ103" s="149" t="str">
        <f t="shared" si="67"/>
        <v/>
      </c>
    </row>
    <row r="104" spans="2:43" x14ac:dyDescent="0.35">
      <c r="B104" s="17"/>
      <c r="C104" s="200">
        <v>20551701264</v>
      </c>
      <c r="D104" s="201" t="s">
        <v>438</v>
      </c>
      <c r="F104" s="198">
        <v>54816</v>
      </c>
      <c r="G104" s="148">
        <v>19119</v>
      </c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S104" s="148">
        <v>232523</v>
      </c>
      <c r="T104" s="148">
        <v>54162</v>
      </c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F104" s="149">
        <f t="shared" si="56"/>
        <v>0.23574442098201037</v>
      </c>
      <c r="AG104" s="149">
        <f t="shared" si="57"/>
        <v>0.35299656585798161</v>
      </c>
      <c r="AH104" s="149" t="str">
        <f t="shared" si="58"/>
        <v/>
      </c>
      <c r="AI104" s="189" t="str">
        <f t="shared" si="59"/>
        <v/>
      </c>
      <c r="AJ104" s="189" t="str">
        <f t="shared" si="60"/>
        <v/>
      </c>
      <c r="AK104" s="189" t="str">
        <f t="shared" si="61"/>
        <v/>
      </c>
      <c r="AL104" s="149" t="str">
        <f t="shared" si="62"/>
        <v/>
      </c>
      <c r="AM104" s="149" t="str">
        <f t="shared" si="63"/>
        <v/>
      </c>
      <c r="AN104" s="149" t="str">
        <f t="shared" si="64"/>
        <v/>
      </c>
      <c r="AO104" s="149" t="str">
        <f t="shared" si="65"/>
        <v/>
      </c>
      <c r="AP104" s="149" t="str">
        <f t="shared" si="66"/>
        <v/>
      </c>
      <c r="AQ104" s="149" t="str">
        <f t="shared" si="67"/>
        <v/>
      </c>
    </row>
    <row r="105" spans="2:43" x14ac:dyDescent="0.35">
      <c r="B105" s="17"/>
      <c r="C105" s="200">
        <v>20608931156</v>
      </c>
      <c r="D105" s="201" t="s">
        <v>439</v>
      </c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F105" s="149" t="str">
        <f t="shared" si="56"/>
        <v/>
      </c>
      <c r="AG105" s="149" t="str">
        <f t="shared" si="57"/>
        <v/>
      </c>
      <c r="AH105" s="149" t="str">
        <f t="shared" si="58"/>
        <v/>
      </c>
      <c r="AI105" s="189" t="str">
        <f t="shared" si="59"/>
        <v/>
      </c>
      <c r="AJ105" s="189" t="str">
        <f t="shared" si="60"/>
        <v/>
      </c>
      <c r="AK105" s="189" t="str">
        <f t="shared" si="61"/>
        <v/>
      </c>
      <c r="AL105" s="149" t="str">
        <f t="shared" si="62"/>
        <v/>
      </c>
      <c r="AM105" s="149" t="str">
        <f t="shared" si="63"/>
        <v/>
      </c>
      <c r="AN105" s="149" t="str">
        <f t="shared" si="64"/>
        <v/>
      </c>
      <c r="AO105" s="149" t="str">
        <f t="shared" si="65"/>
        <v/>
      </c>
      <c r="AP105" s="149" t="str">
        <f t="shared" si="66"/>
        <v/>
      </c>
      <c r="AQ105" s="149" t="str">
        <f t="shared" si="67"/>
        <v/>
      </c>
    </row>
    <row r="106" spans="2:43" x14ac:dyDescent="0.35">
      <c r="B106" s="17"/>
      <c r="C106" s="200">
        <v>20524257514</v>
      </c>
      <c r="D106" s="201" t="s">
        <v>440</v>
      </c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F106" s="149" t="str">
        <f t="shared" si="56"/>
        <v/>
      </c>
      <c r="AG106" s="149" t="str">
        <f t="shared" si="57"/>
        <v/>
      </c>
      <c r="AH106" s="149" t="str">
        <f t="shared" si="58"/>
        <v/>
      </c>
      <c r="AI106" s="189" t="str">
        <f t="shared" si="59"/>
        <v/>
      </c>
      <c r="AJ106" s="189" t="str">
        <f t="shared" si="60"/>
        <v/>
      </c>
      <c r="AK106" s="189" t="str">
        <f t="shared" si="61"/>
        <v/>
      </c>
      <c r="AL106" s="149" t="str">
        <f t="shared" si="62"/>
        <v/>
      </c>
      <c r="AM106" s="149" t="str">
        <f t="shared" si="63"/>
        <v/>
      </c>
      <c r="AN106" s="149" t="str">
        <f t="shared" si="64"/>
        <v/>
      </c>
      <c r="AO106" s="149" t="str">
        <f t="shared" si="65"/>
        <v/>
      </c>
      <c r="AP106" s="149" t="str">
        <f t="shared" si="66"/>
        <v/>
      </c>
      <c r="AQ106" s="149" t="str">
        <f t="shared" si="67"/>
        <v/>
      </c>
    </row>
    <row r="107" spans="2:43" x14ac:dyDescent="0.35">
      <c r="B107" s="17"/>
      <c r="C107" s="200">
        <v>20537519461</v>
      </c>
      <c r="D107" s="201" t="s">
        <v>441</v>
      </c>
      <c r="F107" s="148">
        <v>45282</v>
      </c>
      <c r="G107" s="148">
        <v>33725</v>
      </c>
      <c r="H107" s="148">
        <v>8708</v>
      </c>
      <c r="I107" s="148">
        <v>32827</v>
      </c>
      <c r="J107" s="148"/>
      <c r="K107" s="148"/>
      <c r="L107" s="148"/>
      <c r="M107" s="148"/>
      <c r="N107" s="148"/>
      <c r="O107" s="148"/>
      <c r="P107" s="148"/>
      <c r="Q107" s="148"/>
      <c r="S107" s="148">
        <v>301630</v>
      </c>
      <c r="T107" s="148">
        <v>250076</v>
      </c>
      <c r="U107" s="148">
        <v>61358</v>
      </c>
      <c r="V107" s="148">
        <v>201177</v>
      </c>
      <c r="W107" s="148"/>
      <c r="X107" s="148"/>
      <c r="Y107" s="148"/>
      <c r="Z107" s="148"/>
      <c r="AA107" s="148"/>
      <c r="AB107" s="148"/>
      <c r="AC107" s="148"/>
      <c r="AD107" s="148"/>
      <c r="AF107" s="149">
        <f t="shared" si="56"/>
        <v>0.1501243245035308</v>
      </c>
      <c r="AG107" s="149">
        <f t="shared" si="57"/>
        <v>0.1348590028631296</v>
      </c>
      <c r="AH107" s="149">
        <f t="shared" si="58"/>
        <v>0.14192118387170377</v>
      </c>
      <c r="AI107" s="189">
        <f t="shared" si="59"/>
        <v>0.16317471679168097</v>
      </c>
      <c r="AJ107" s="189" t="str">
        <f t="shared" si="60"/>
        <v/>
      </c>
      <c r="AK107" s="189" t="str">
        <f t="shared" si="61"/>
        <v/>
      </c>
      <c r="AL107" s="149" t="str">
        <f t="shared" si="62"/>
        <v/>
      </c>
      <c r="AM107" s="149" t="str">
        <f t="shared" si="63"/>
        <v/>
      </c>
      <c r="AN107" s="149" t="str">
        <f t="shared" si="64"/>
        <v/>
      </c>
      <c r="AO107" s="149" t="str">
        <f t="shared" si="65"/>
        <v/>
      </c>
      <c r="AP107" s="149" t="str">
        <f t="shared" si="66"/>
        <v/>
      </c>
      <c r="AQ107" s="149" t="str">
        <f t="shared" si="67"/>
        <v/>
      </c>
    </row>
    <row r="108" spans="2:43" x14ac:dyDescent="0.35">
      <c r="B108" s="17"/>
      <c r="C108" s="200">
        <v>20538827224</v>
      </c>
      <c r="D108" s="201" t="s">
        <v>442</v>
      </c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F108" s="149" t="str">
        <f t="shared" si="56"/>
        <v/>
      </c>
      <c r="AG108" s="149" t="str">
        <f t="shared" si="57"/>
        <v/>
      </c>
      <c r="AH108" s="149" t="str">
        <f t="shared" si="58"/>
        <v/>
      </c>
      <c r="AI108" s="189" t="str">
        <f t="shared" si="59"/>
        <v/>
      </c>
      <c r="AJ108" s="189" t="str">
        <f t="shared" si="60"/>
        <v/>
      </c>
      <c r="AK108" s="189" t="str">
        <f t="shared" si="61"/>
        <v/>
      </c>
      <c r="AL108" s="149" t="str">
        <f t="shared" si="62"/>
        <v/>
      </c>
      <c r="AM108" s="149" t="str">
        <f t="shared" si="63"/>
        <v/>
      </c>
      <c r="AN108" s="149" t="str">
        <f t="shared" si="64"/>
        <v/>
      </c>
      <c r="AO108" s="149" t="str">
        <f t="shared" si="65"/>
        <v/>
      </c>
      <c r="AP108" s="149" t="str">
        <f t="shared" si="66"/>
        <v/>
      </c>
      <c r="AQ108" s="149" t="str">
        <f t="shared" si="67"/>
        <v/>
      </c>
    </row>
    <row r="109" spans="2:43" x14ac:dyDescent="0.35">
      <c r="B109" s="17"/>
      <c r="C109" s="200">
        <v>20547839651</v>
      </c>
      <c r="D109" s="201" t="s">
        <v>443</v>
      </c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F109" s="149" t="str">
        <f t="shared" si="56"/>
        <v/>
      </c>
      <c r="AG109" s="149" t="str">
        <f t="shared" si="57"/>
        <v/>
      </c>
      <c r="AH109" s="149" t="str">
        <f t="shared" si="58"/>
        <v/>
      </c>
      <c r="AI109" s="189" t="str">
        <f t="shared" si="59"/>
        <v/>
      </c>
      <c r="AJ109" s="189" t="str">
        <f t="shared" si="60"/>
        <v/>
      </c>
      <c r="AK109" s="189" t="str">
        <f t="shared" si="61"/>
        <v/>
      </c>
      <c r="AL109" s="149" t="str">
        <f t="shared" si="62"/>
        <v/>
      </c>
      <c r="AM109" s="149" t="str">
        <f t="shared" si="63"/>
        <v/>
      </c>
      <c r="AN109" s="149" t="str">
        <f t="shared" si="64"/>
        <v/>
      </c>
      <c r="AO109" s="149" t="str">
        <f t="shared" si="65"/>
        <v/>
      </c>
      <c r="AP109" s="149" t="str">
        <f t="shared" si="66"/>
        <v/>
      </c>
      <c r="AQ109" s="149" t="str">
        <f t="shared" si="67"/>
        <v/>
      </c>
    </row>
    <row r="110" spans="2:43" x14ac:dyDescent="0.35">
      <c r="B110" s="14" t="s">
        <v>444</v>
      </c>
      <c r="C110" s="182"/>
      <c r="D110" s="14"/>
      <c r="F110" s="150">
        <f t="shared" ref="F110:Q110" si="68">+SUM(F90:F109)</f>
        <v>14399826</v>
      </c>
      <c r="G110" s="150">
        <f t="shared" si="68"/>
        <v>12460750</v>
      </c>
      <c r="H110" s="150">
        <f t="shared" si="68"/>
        <v>14395109</v>
      </c>
      <c r="I110" s="150">
        <f t="shared" si="68"/>
        <v>12555473</v>
      </c>
      <c r="J110" s="150">
        <f t="shared" si="68"/>
        <v>0</v>
      </c>
      <c r="K110" s="150">
        <f t="shared" si="68"/>
        <v>0</v>
      </c>
      <c r="L110" s="150">
        <f t="shared" si="68"/>
        <v>0</v>
      </c>
      <c r="M110" s="150">
        <f t="shared" si="68"/>
        <v>0</v>
      </c>
      <c r="N110" s="150">
        <f t="shared" si="68"/>
        <v>0</v>
      </c>
      <c r="O110" s="150">
        <f t="shared" si="68"/>
        <v>0</v>
      </c>
      <c r="P110" s="150">
        <f t="shared" si="68"/>
        <v>0</v>
      </c>
      <c r="Q110" s="150">
        <f t="shared" si="68"/>
        <v>0</v>
      </c>
      <c r="S110" s="150">
        <f t="shared" ref="S110:AD110" si="69">+SUM(S90:S109)</f>
        <v>127819410</v>
      </c>
      <c r="T110" s="150">
        <f t="shared" si="69"/>
        <v>114112171</v>
      </c>
      <c r="U110" s="150">
        <f t="shared" si="69"/>
        <v>128216411</v>
      </c>
      <c r="V110" s="150">
        <f t="shared" si="69"/>
        <v>110255948</v>
      </c>
      <c r="W110" s="150">
        <f t="shared" si="69"/>
        <v>0</v>
      </c>
      <c r="X110" s="150">
        <f t="shared" si="69"/>
        <v>0</v>
      </c>
      <c r="Y110" s="150">
        <f t="shared" si="69"/>
        <v>0</v>
      </c>
      <c r="Z110" s="150">
        <f t="shared" si="69"/>
        <v>0</v>
      </c>
      <c r="AA110" s="150">
        <f t="shared" si="69"/>
        <v>0</v>
      </c>
      <c r="AB110" s="150">
        <f t="shared" si="69"/>
        <v>0</v>
      </c>
      <c r="AC110" s="150">
        <f t="shared" si="69"/>
        <v>0</v>
      </c>
      <c r="AD110" s="150">
        <f t="shared" si="69"/>
        <v>0</v>
      </c>
      <c r="AF110" s="151">
        <f t="shared" si="56"/>
        <v>0.11265758463444636</v>
      </c>
      <c r="AG110" s="151">
        <f t="shared" si="57"/>
        <v>0.10919737912969862</v>
      </c>
      <c r="AH110" s="151">
        <f t="shared" si="58"/>
        <v>0.11227196961549642</v>
      </c>
      <c r="AI110" s="190">
        <f t="shared" si="59"/>
        <v>0.11387569766304127</v>
      </c>
      <c r="AJ110" s="190" t="str">
        <f t="shared" si="60"/>
        <v/>
      </c>
      <c r="AK110" s="190" t="str">
        <f t="shared" si="61"/>
        <v/>
      </c>
      <c r="AL110" s="151" t="str">
        <f t="shared" si="62"/>
        <v/>
      </c>
      <c r="AM110" s="151" t="str">
        <f t="shared" si="63"/>
        <v/>
      </c>
      <c r="AN110" s="151" t="str">
        <f t="shared" si="64"/>
        <v/>
      </c>
      <c r="AO110" s="151" t="str">
        <f t="shared" si="65"/>
        <v/>
      </c>
      <c r="AP110" s="151" t="str">
        <f t="shared" si="66"/>
        <v/>
      </c>
      <c r="AQ110" s="151" t="str">
        <f t="shared" si="67"/>
        <v/>
      </c>
    </row>
    <row r="111" spans="2:43" x14ac:dyDescent="0.35">
      <c r="B111" s="17"/>
      <c r="C111" s="200"/>
      <c r="D111" s="17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F111" s="11"/>
      <c r="AG111" s="11"/>
      <c r="AH111" s="11"/>
      <c r="AI111" s="192"/>
      <c r="AJ111" s="192"/>
      <c r="AK111" s="192"/>
      <c r="AL111" s="11"/>
      <c r="AM111" s="11"/>
      <c r="AN111" s="11"/>
      <c r="AO111" s="11"/>
    </row>
    <row r="112" spans="2:43" x14ac:dyDescent="0.35">
      <c r="B112" s="17"/>
      <c r="C112" s="200"/>
      <c r="D112" s="17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F112" s="11"/>
      <c r="AG112" s="11"/>
      <c r="AH112" s="11"/>
      <c r="AI112" s="192"/>
      <c r="AJ112" s="192"/>
      <c r="AK112" s="192"/>
      <c r="AL112" s="11"/>
      <c r="AM112" s="11"/>
      <c r="AN112" s="11"/>
      <c r="AO112" s="11"/>
    </row>
    <row r="113" spans="2:41" x14ac:dyDescent="0.35">
      <c r="B113" s="17"/>
      <c r="C113" s="200"/>
      <c r="D113" s="17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F113" s="11"/>
      <c r="AG113" s="11"/>
      <c r="AH113" s="11"/>
      <c r="AI113" s="192"/>
      <c r="AJ113" s="192"/>
      <c r="AK113" s="192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Vista Total</vt:lpstr>
      <vt:lpstr>Facturacion Visa</vt:lpstr>
      <vt:lpstr>Facturación Amex</vt:lpstr>
      <vt:lpstr>Facturación MasterCard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Condori Flores, Ian Kevin</cp:lastModifiedBy>
  <cp:lastPrinted>2018-06-08T15:05:54Z</cp:lastPrinted>
  <dcterms:created xsi:type="dcterms:W3CDTF">2011-01-05T19:45:10Z</dcterms:created>
  <dcterms:modified xsi:type="dcterms:W3CDTF">2026-04-29T19:48:32Z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0x0101008ED5D333206DCD408D17A34344D3DE50</vt:lpwstr>
  </property>
  <property fmtid="{D5CDD505-2E9C-101B-9397-08002B2CF9AE}" pid="3" name="MediaServiceImageTags">
    <vt:lpwstr/>
  </property>
</Properties>
</file>